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CB_Data" sheetId="2" state="hidden" r:id="rId2"/>
    <sheet name="Country_Data" sheetId="3" state="hidden" r:id="rId3"/>
    <sheet name="Country_List" sheetId="4" state="hidden" r:id="rId4"/>
    <sheet name="CB_List" sheetId="5" state="hidden" r:id="rId5"/>
    <sheet name="Country Summary" sheetId="6" state="visible" r:id="rId6"/>
    <sheet name="Dat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FFFFFF"/>
      <sz val="18"/>
    </font>
    <font>
      <name val="Calibri"/>
      <b val="1"/>
      <color rgb="00888888"/>
      <sz val="10"/>
    </font>
    <font>
      <name val="Calibri"/>
      <b val="1"/>
      <color rgb="00005798"/>
      <sz val="14"/>
    </font>
    <font>
      <name val="Calibri"/>
      <b val="1"/>
      <color rgb="001F3864"/>
      <sz val="12"/>
    </font>
    <font>
      <name val="Calibri"/>
      <b val="1"/>
      <sz val="12"/>
    </font>
    <font>
      <name val="Calibri"/>
      <color rgb="00888888"/>
      <sz val="10"/>
    </font>
    <font>
      <name val="Calibri"/>
      <b val="1"/>
      <color rgb="00005798"/>
      <sz val="12"/>
    </font>
    <font>
      <name val="Calibri"/>
      <sz val="10"/>
    </font>
  </fonts>
  <fills count="6">
    <fill>
      <patternFill/>
    </fill>
    <fill>
      <patternFill patternType="gray125"/>
    </fill>
    <fill>
      <patternFill patternType="solid">
        <fgColor rgb="00005798"/>
      </patternFill>
    </fill>
    <fill>
      <patternFill patternType="solid">
        <fgColor rgb="00EBF3FB"/>
      </patternFill>
    </fill>
    <fill>
      <patternFill patternType="solid">
        <fgColor rgb="00DCE6F1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4" borderId="0" applyAlignment="1" pivotButton="0" quotePrefix="0" xfId="0">
      <alignment horizontal="left" vertical="center"/>
    </xf>
    <xf numFmtId="0" fontId="7" fillId="0" borderId="0" pivotButton="0" quotePrefix="0" xfId="0"/>
    <xf numFmtId="0" fontId="8" fillId="0" borderId="0" applyAlignment="1" pivotButton="0" quotePrefix="0" xfId="0">
      <alignment horizontal="left" vertical="center"/>
    </xf>
    <xf numFmtId="0" fontId="1" fillId="2" borderId="0" applyAlignment="1" pivotButton="0" quotePrefix="0" xfId="0">
      <alignment horizontal="center" vertical="center" wrapText="1"/>
    </xf>
    <xf numFmtId="0" fontId="9" fillId="3" borderId="0" pivotButton="0" quotePrefix="0" xfId="0"/>
    <xf numFmtId="0" fontId="9" fillId="5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Certificates by CB (selected country)</a:t>
            </a:r>
          </a:p>
        </rich>
      </tx>
    </title>
    <plotArea>
      <pieChart>
        <varyColors val="1"/>
        <ser>
          <idx val="0"/>
          <order val="0"/>
          <tx>
            <strRef>
              <f>'Dashboard'!C7</f>
            </strRef>
          </tx>
          <spPr>
            <a:ln>
              <a:prstDash val="solid"/>
            </a:ln>
          </spPr>
          <cat>
            <strRef>
              <f>'Dashboard'!$B$8:$B$17</f>
            </strRef>
          </cat>
          <val>
            <numRef>
              <f>'Dashboard'!$C$8:$C$17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Top Countries for Selected CB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'Dashboard'!F7</f>
            </strRef>
          </tx>
          <spPr>
            <a:ln>
              <a:prstDash val="solid"/>
            </a:ln>
          </spPr>
          <cat>
            <strRef>
              <f>'Dashboard'!$E$8:$E$17</f>
            </strRef>
          </cat>
          <val>
            <numRef>
              <f>'Dashboard'!$F$8:$F$17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18</row>
      <rowOff>0</rowOff>
    </from>
    <ext cx="648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18</row>
      <rowOff>0</rowOff>
    </from>
    <ext cx="648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CertData" displayName="CertData" ref="A1:E16326" headerRowCount="1">
  <autoFilter ref="A1:E16326"/>
  <tableColumns count="5">
    <tableColumn id="1" name="Client Name"/>
    <tableColumn id="2" name="Scope"/>
    <tableColumn id="3" name="Issuing CB"/>
    <tableColumn id="4" name="Expiry Date"/>
    <tableColumn id="5" name="Country"/>
  </tableColumns>
  <tableStyleInfo name="TableStyleMedium9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40" customWidth="1" min="3" max="3"/>
    <col width="5" customWidth="1" min="4" max="4"/>
    <col width="22" customWidth="1" min="5" max="5"/>
    <col width="45" customWidth="1" min="6" max="6"/>
    <col width="5" customWidth="1" min="7" max="7"/>
    <col width="14" customWidth="1" min="8" max="8"/>
  </cols>
  <sheetData>
    <row r="1" ht="44" customHeight="1">
      <c r="A1" s="1" t="inlineStr">
        <is>
          <t>ISCC Active Certificates — Interactive Dashboard</t>
        </is>
      </c>
    </row>
    <row r="3" ht="28" customHeight="1">
      <c r="B3" s="2" t="inlineStr">
        <is>
          <t>Total Active Certificates</t>
        </is>
      </c>
      <c r="C3" s="3" t="n">
        <v>16325</v>
      </c>
      <c r="E3" s="2" t="inlineStr">
        <is>
          <t>Countries</t>
        </is>
      </c>
      <c r="F3" s="3" t="n">
        <v>146</v>
      </c>
    </row>
    <row r="5" ht="28" customHeight="1">
      <c r="B5" s="4" t="inlineStr">
        <is>
          <t>Select Country:</t>
        </is>
      </c>
      <c r="C5" s="5" t="inlineStr">
        <is>
          <t>China</t>
        </is>
      </c>
      <c r="E5" s="4" t="inlineStr">
        <is>
          <t>Select CB:</t>
        </is>
      </c>
      <c r="F5" s="5" t="inlineStr">
        <is>
          <t>SGS Germany GmbH, Emstek, DE</t>
        </is>
      </c>
    </row>
    <row r="6" ht="20" customHeight="1">
      <c r="B6" s="6" t="inlineStr">
        <is>
          <t>Total certificates:</t>
        </is>
      </c>
      <c r="C6" s="7">
        <f>COUNTIF(CertData[Country],$C$5)</f>
        <v/>
      </c>
    </row>
    <row r="7" ht="22" customHeight="1">
      <c r="B7" s="8" t="inlineStr">
        <is>
          <t>Certification Body</t>
        </is>
      </c>
      <c r="C7" s="8" t="inlineStr">
        <is>
          <t>Count</t>
        </is>
      </c>
      <c r="E7" s="8" t="inlineStr">
        <is>
          <t>Country</t>
        </is>
      </c>
      <c r="F7" s="8" t="inlineStr">
        <is>
          <t>Count</t>
        </is>
      </c>
      <c r="G7" s="8" t="inlineStr"/>
    </row>
    <row r="8">
      <c r="B8" s="9">
        <f>IFERROR(INDEX(CB_Data!$B:$B,MATCH($C$5,CB_Data!$A:$A,0)+0),"")</f>
        <v/>
      </c>
      <c r="C8" s="9">
        <f>IFERROR(IF(INDEX(CB_Data!$C:$C,MATCH($C$5,CB_Data!$A:$A,0)+0)=0,NA(),INDEX(CB_Data!$C:$C,MATCH($C$5,CB_Data!$A:$A,0)+0)),NA())</f>
        <v/>
      </c>
      <c r="E8" s="9">
        <f>IFERROR(INDEX(Country_Data!$B:$B,MATCH($F$5,Country_Data!$A:$A,0)+0),"")</f>
        <v/>
      </c>
      <c r="F8" s="9">
        <f>IFERROR(IF(INDEX(Country_Data!$C:$C,MATCH($F$5,Country_Data!$A:$A,0)+0)=0,NA(),INDEX(Country_Data!$C:$C,MATCH($F$5,Country_Data!$A:$A,0)+0)),NA())</f>
        <v/>
      </c>
    </row>
    <row r="9">
      <c r="B9" s="10">
        <f>IFERROR(INDEX(CB_Data!$B:$B,MATCH($C$5,CB_Data!$A:$A,0)+1),"")</f>
        <v/>
      </c>
      <c r="C9" s="10">
        <f>IFERROR(IF(INDEX(CB_Data!$C:$C,MATCH($C$5,CB_Data!$A:$A,0)+1)=0,NA(),INDEX(CB_Data!$C:$C,MATCH($C$5,CB_Data!$A:$A,0)+1)),NA())</f>
        <v/>
      </c>
      <c r="E9" s="10">
        <f>IFERROR(INDEX(Country_Data!$B:$B,MATCH($F$5,Country_Data!$A:$A,0)+1),"")</f>
        <v/>
      </c>
      <c r="F9" s="10">
        <f>IFERROR(IF(INDEX(Country_Data!$C:$C,MATCH($F$5,Country_Data!$A:$A,0)+1)=0,NA(),INDEX(Country_Data!$C:$C,MATCH($F$5,Country_Data!$A:$A,0)+1)),NA())</f>
        <v/>
      </c>
    </row>
    <row r="10">
      <c r="B10" s="9">
        <f>IFERROR(INDEX(CB_Data!$B:$B,MATCH($C$5,CB_Data!$A:$A,0)+2),"")</f>
        <v/>
      </c>
      <c r="C10" s="9">
        <f>IFERROR(IF(INDEX(CB_Data!$C:$C,MATCH($C$5,CB_Data!$A:$A,0)+2)=0,NA(),INDEX(CB_Data!$C:$C,MATCH($C$5,CB_Data!$A:$A,0)+2)),NA())</f>
        <v/>
      </c>
      <c r="E10" s="9">
        <f>IFERROR(INDEX(Country_Data!$B:$B,MATCH($F$5,Country_Data!$A:$A,0)+2),"")</f>
        <v/>
      </c>
      <c r="F10" s="9">
        <f>IFERROR(IF(INDEX(Country_Data!$C:$C,MATCH($F$5,Country_Data!$A:$A,0)+2)=0,NA(),INDEX(Country_Data!$C:$C,MATCH($F$5,Country_Data!$A:$A,0)+2)),NA())</f>
        <v/>
      </c>
    </row>
    <row r="11">
      <c r="B11" s="10">
        <f>IFERROR(INDEX(CB_Data!$B:$B,MATCH($C$5,CB_Data!$A:$A,0)+3),"")</f>
        <v/>
      </c>
      <c r="C11" s="10">
        <f>IFERROR(IF(INDEX(CB_Data!$C:$C,MATCH($C$5,CB_Data!$A:$A,0)+3)=0,NA(),INDEX(CB_Data!$C:$C,MATCH($C$5,CB_Data!$A:$A,0)+3)),NA())</f>
        <v/>
      </c>
      <c r="E11" s="10">
        <f>IFERROR(INDEX(Country_Data!$B:$B,MATCH($F$5,Country_Data!$A:$A,0)+3),"")</f>
        <v/>
      </c>
      <c r="F11" s="10">
        <f>IFERROR(IF(INDEX(Country_Data!$C:$C,MATCH($F$5,Country_Data!$A:$A,0)+3)=0,NA(),INDEX(Country_Data!$C:$C,MATCH($F$5,Country_Data!$A:$A,0)+3)),NA())</f>
        <v/>
      </c>
    </row>
    <row r="12">
      <c r="B12" s="9">
        <f>IFERROR(INDEX(CB_Data!$B:$B,MATCH($C$5,CB_Data!$A:$A,0)+4),"")</f>
        <v/>
      </c>
      <c r="C12" s="9">
        <f>IFERROR(IF(INDEX(CB_Data!$C:$C,MATCH($C$5,CB_Data!$A:$A,0)+4)=0,NA(),INDEX(CB_Data!$C:$C,MATCH($C$5,CB_Data!$A:$A,0)+4)),NA())</f>
        <v/>
      </c>
      <c r="E12" s="9">
        <f>IFERROR(INDEX(Country_Data!$B:$B,MATCH($F$5,Country_Data!$A:$A,0)+4),"")</f>
        <v/>
      </c>
      <c r="F12" s="9">
        <f>IFERROR(IF(INDEX(Country_Data!$C:$C,MATCH($F$5,Country_Data!$A:$A,0)+4)=0,NA(),INDEX(Country_Data!$C:$C,MATCH($F$5,Country_Data!$A:$A,0)+4)),NA())</f>
        <v/>
      </c>
    </row>
    <row r="13">
      <c r="B13" s="10">
        <f>IFERROR(INDEX(CB_Data!$B:$B,MATCH($C$5,CB_Data!$A:$A,0)+5),"")</f>
        <v/>
      </c>
      <c r="C13" s="10">
        <f>IFERROR(IF(INDEX(CB_Data!$C:$C,MATCH($C$5,CB_Data!$A:$A,0)+5)=0,NA(),INDEX(CB_Data!$C:$C,MATCH($C$5,CB_Data!$A:$A,0)+5)),NA())</f>
        <v/>
      </c>
      <c r="E13" s="10">
        <f>IFERROR(INDEX(Country_Data!$B:$B,MATCH($F$5,Country_Data!$A:$A,0)+5),"")</f>
        <v/>
      </c>
      <c r="F13" s="10">
        <f>IFERROR(IF(INDEX(Country_Data!$C:$C,MATCH($F$5,Country_Data!$A:$A,0)+5)=0,NA(),INDEX(Country_Data!$C:$C,MATCH($F$5,Country_Data!$A:$A,0)+5)),NA())</f>
        <v/>
      </c>
    </row>
    <row r="14">
      <c r="B14" s="9">
        <f>IFERROR(INDEX(CB_Data!$B:$B,MATCH($C$5,CB_Data!$A:$A,0)+6),"")</f>
        <v/>
      </c>
      <c r="C14" s="9">
        <f>IFERROR(IF(INDEX(CB_Data!$C:$C,MATCH($C$5,CB_Data!$A:$A,0)+6)=0,NA(),INDEX(CB_Data!$C:$C,MATCH($C$5,CB_Data!$A:$A,0)+6)),NA())</f>
        <v/>
      </c>
      <c r="E14" s="9">
        <f>IFERROR(INDEX(Country_Data!$B:$B,MATCH($F$5,Country_Data!$A:$A,0)+6),"")</f>
        <v/>
      </c>
      <c r="F14" s="9">
        <f>IFERROR(IF(INDEX(Country_Data!$C:$C,MATCH($F$5,Country_Data!$A:$A,0)+6)=0,NA(),INDEX(Country_Data!$C:$C,MATCH($F$5,Country_Data!$A:$A,0)+6)),NA())</f>
        <v/>
      </c>
    </row>
    <row r="15">
      <c r="B15" s="10">
        <f>IFERROR(INDEX(CB_Data!$B:$B,MATCH($C$5,CB_Data!$A:$A,0)+7),"")</f>
        <v/>
      </c>
      <c r="C15" s="10">
        <f>IFERROR(IF(INDEX(CB_Data!$C:$C,MATCH($C$5,CB_Data!$A:$A,0)+7)=0,NA(),INDEX(CB_Data!$C:$C,MATCH($C$5,CB_Data!$A:$A,0)+7)),NA())</f>
        <v/>
      </c>
      <c r="E15" s="10">
        <f>IFERROR(INDEX(Country_Data!$B:$B,MATCH($F$5,Country_Data!$A:$A,0)+7),"")</f>
        <v/>
      </c>
      <c r="F15" s="10">
        <f>IFERROR(IF(INDEX(Country_Data!$C:$C,MATCH($F$5,Country_Data!$A:$A,0)+7)=0,NA(),INDEX(Country_Data!$C:$C,MATCH($F$5,Country_Data!$A:$A,0)+7)),NA())</f>
        <v/>
      </c>
    </row>
    <row r="16">
      <c r="B16" s="9">
        <f>IFERROR(INDEX(CB_Data!$B:$B,MATCH($C$5,CB_Data!$A:$A,0)+8),"")</f>
        <v/>
      </c>
      <c r="C16" s="9">
        <f>IFERROR(IF(INDEX(CB_Data!$C:$C,MATCH($C$5,CB_Data!$A:$A,0)+8)=0,NA(),INDEX(CB_Data!$C:$C,MATCH($C$5,CB_Data!$A:$A,0)+8)),NA())</f>
        <v/>
      </c>
      <c r="E16" s="9">
        <f>IFERROR(INDEX(Country_Data!$B:$B,MATCH($F$5,Country_Data!$A:$A,0)+8),"")</f>
        <v/>
      </c>
      <c r="F16" s="9">
        <f>IFERROR(IF(INDEX(Country_Data!$C:$C,MATCH($F$5,Country_Data!$A:$A,0)+8)=0,NA(),INDEX(Country_Data!$C:$C,MATCH($F$5,Country_Data!$A:$A,0)+8)),NA())</f>
        <v/>
      </c>
    </row>
    <row r="17">
      <c r="B17" s="10">
        <f>IFERROR(INDEX(CB_Data!$B:$B,MATCH($C$5,CB_Data!$A:$A,0)+9),"")</f>
        <v/>
      </c>
      <c r="C17" s="10">
        <f>IFERROR(IF(INDEX(CB_Data!$C:$C,MATCH($C$5,CB_Data!$A:$A,0)+9)=0,NA(),INDEX(CB_Data!$C:$C,MATCH($C$5,CB_Data!$A:$A,0)+9)),NA())</f>
        <v/>
      </c>
      <c r="E17" s="10">
        <f>IFERROR(INDEX(Country_Data!$B:$B,MATCH($F$5,Country_Data!$A:$A,0)+9),"")</f>
        <v/>
      </c>
      <c r="F17" s="10">
        <f>IFERROR(IF(INDEX(Country_Data!$C:$C,MATCH($F$5,Country_Data!$A:$A,0)+9)=0,NA(),INDEX(Country_Data!$C:$C,MATCH($F$5,Country_Data!$A:$A,0)+9)),NA())</f>
        <v/>
      </c>
    </row>
  </sheetData>
  <mergeCells count="1">
    <mergeCell ref="A1:H1"/>
  </mergeCells>
  <dataValidations count="2">
    <dataValidation sqref="C5" showDropDown="0" showInputMessage="0" showErrorMessage="0" allowBlank="0" type="list">
      <formula1>Country_List!$A$1:$A$146</formula1>
    </dataValidation>
    <dataValidation sqref="F5" showDropDown="0" showInputMessage="0" showErrorMessage="0" allowBlank="0" type="list">
      <formula1>CB_List!$A$1:$A$72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CB</t>
        </is>
      </c>
      <c r="C1" t="inlineStr">
        <is>
          <t>Count</t>
        </is>
      </c>
    </row>
    <row r="2">
      <c r="A2" t="inlineStr">
        <is>
          <t>China</t>
        </is>
      </c>
      <c r="B2" t="inlineStr">
        <is>
          <t>SCS Global Services, Emeryville, CA, US</t>
        </is>
      </c>
      <c r="C2" t="n">
        <v>646</v>
      </c>
    </row>
    <row r="3">
      <c r="A3" t="inlineStr">
        <is>
          <t>China</t>
        </is>
      </c>
      <c r="B3" t="inlineStr">
        <is>
          <t>RINA Services S.p.A., Genova, IT</t>
        </is>
      </c>
      <c r="C3" t="n">
        <v>573</v>
      </c>
    </row>
    <row r="4">
      <c r="A4" t="inlineStr">
        <is>
          <t>China</t>
        </is>
      </c>
      <c r="B4" t="inlineStr">
        <is>
          <t>SGS Germany GmbH, Emstek, DE</t>
        </is>
      </c>
      <c r="C4" t="n">
        <v>243</v>
      </c>
    </row>
    <row r="5">
      <c r="A5" t="inlineStr">
        <is>
          <t>China</t>
        </is>
      </c>
      <c r="B5" t="inlineStr">
        <is>
          <t>PT Intertek Utama Services, Jakarta, ID</t>
        </is>
      </c>
      <c r="C5" t="n">
        <v>110</v>
      </c>
    </row>
    <row r="6">
      <c r="A6" t="inlineStr">
        <is>
          <t>China</t>
        </is>
      </c>
      <c r="B6" t="inlineStr">
        <is>
          <t>CTI Certification Co. Ltd, Shenzhen, CN</t>
        </is>
      </c>
      <c r="C6" t="n">
        <v>91</v>
      </c>
    </row>
    <row r="7">
      <c r="A7" t="inlineStr">
        <is>
          <t>China</t>
        </is>
      </c>
      <c r="B7" t="inlineStr">
        <is>
          <t>China Quality Certification Centre Co., Ltd., Beijing, CN</t>
        </is>
      </c>
      <c r="C7" t="n">
        <v>87</v>
      </c>
    </row>
    <row r="8">
      <c r="A8" t="inlineStr">
        <is>
          <t>China</t>
        </is>
      </c>
      <c r="B8" t="inlineStr">
        <is>
          <t>Bureau Veritas Polska Sp. z o.o., Warsaw, PL</t>
        </is>
      </c>
      <c r="C8" t="n">
        <v>84</v>
      </c>
    </row>
    <row r="9">
      <c r="A9" t="inlineStr">
        <is>
          <t>China</t>
        </is>
      </c>
      <c r="B9" t="inlineStr">
        <is>
          <t>DIN CERTCO GmbH, Berlin, DE</t>
        </is>
      </c>
      <c r="C9" t="n">
        <v>80</v>
      </c>
    </row>
    <row r="10">
      <c r="A10" t="inlineStr">
        <is>
          <t>China</t>
        </is>
      </c>
      <c r="B10" t="inlineStr">
        <is>
          <t>Extensive Standard Technical Services Co., Ltd., Hong Kong, CN</t>
        </is>
      </c>
      <c r="C10" t="n">
        <v>49</v>
      </c>
    </row>
    <row r="11">
      <c r="A11" t="inlineStr">
        <is>
          <t>China</t>
        </is>
      </c>
      <c r="B11" t="inlineStr">
        <is>
          <t>TÜV NORD CERT GmbH, Essen, DE</t>
        </is>
      </c>
      <c r="C11" t="n">
        <v>46</v>
      </c>
    </row>
    <row r="12">
      <c r="A12" t="inlineStr">
        <is>
          <t>United States</t>
        </is>
      </c>
      <c r="B12" t="inlineStr">
        <is>
          <t>SCS Global Services, Emeryville, CA, US</t>
        </is>
      </c>
      <c r="C12" t="n">
        <v>575</v>
      </c>
    </row>
    <row r="13">
      <c r="A13" t="inlineStr">
        <is>
          <t>United States</t>
        </is>
      </c>
      <c r="B13" t="inlineStr">
        <is>
          <t>Control Union Poland Sp. z o.o., Zielona Gora, PL</t>
        </is>
      </c>
      <c r="C13" t="n">
        <v>99</v>
      </c>
    </row>
    <row r="14">
      <c r="A14" t="inlineStr">
        <is>
          <t>United States</t>
        </is>
      </c>
      <c r="B14" t="inlineStr">
        <is>
          <t>SGS Germany GmbH, Emstek, DE</t>
        </is>
      </c>
      <c r="C14" t="n">
        <v>63</v>
      </c>
    </row>
    <row r="15">
      <c r="A15" t="inlineStr">
        <is>
          <t>United States</t>
        </is>
      </c>
      <c r="B15" t="inlineStr">
        <is>
          <t>Control Union Certifications Germany GmbH, Berlin, DE</t>
        </is>
      </c>
      <c r="C15" t="n">
        <v>38</v>
      </c>
    </row>
    <row r="16">
      <c r="A16" t="inlineStr">
        <is>
          <t>United States</t>
        </is>
      </c>
      <c r="B16" t="inlineStr">
        <is>
          <t>ASG Cert GmbH, Munich, DE</t>
        </is>
      </c>
      <c r="C16" t="n">
        <v>32</v>
      </c>
    </row>
    <row r="17">
      <c r="A17" t="inlineStr">
        <is>
          <t>United States</t>
        </is>
      </c>
      <c r="B17" t="inlineStr">
        <is>
          <t>Certificadora Gallega del Noroeste SL, Vilagarcia de Arousa-Pontevedra, ES</t>
        </is>
      </c>
      <c r="C17" t="n">
        <v>28</v>
      </c>
    </row>
    <row r="18">
      <c r="A18" t="inlineStr">
        <is>
          <t>United States</t>
        </is>
      </c>
      <c r="B18" t="inlineStr">
        <is>
          <t>Amspec Iberia SL, Vilagarcia de Arousa-Pontevedra, ES</t>
        </is>
      </c>
      <c r="C18" t="n">
        <v>23</v>
      </c>
    </row>
    <row r="19">
      <c r="A19" t="inlineStr">
        <is>
          <t>United States</t>
        </is>
      </c>
      <c r="B19" t="inlineStr">
        <is>
          <t>TÜV NORD CERT GmbH, Essen, DE</t>
        </is>
      </c>
      <c r="C19" t="n">
        <v>23</v>
      </c>
    </row>
    <row r="20">
      <c r="A20" t="inlineStr">
        <is>
          <t>United States</t>
        </is>
      </c>
      <c r="B20" t="inlineStr">
        <is>
          <t>DQS CFS GmbH - Deutsche Gesellschaft für Nachhaltigkeit, Frankfurt am Main, DE</t>
        </is>
      </c>
      <c r="C20" t="n">
        <v>23</v>
      </c>
    </row>
    <row r="21">
      <c r="A21" t="inlineStr">
        <is>
          <t>United States</t>
        </is>
      </c>
      <c r="B21" t="inlineStr">
        <is>
          <t>DNV Business Assurance Sweden AB, Solna, SE</t>
        </is>
      </c>
      <c r="C21" t="n">
        <v>16</v>
      </c>
    </row>
    <row r="22">
      <c r="A22" t="inlineStr">
        <is>
          <t>Indonesia</t>
        </is>
      </c>
      <c r="B22" t="inlineStr">
        <is>
          <t>PT. Qualitas Sertifikasi Indonesia, Jakarta, ID</t>
        </is>
      </c>
      <c r="C22" t="n">
        <v>321</v>
      </c>
    </row>
    <row r="23">
      <c r="A23" t="inlineStr">
        <is>
          <t>Indonesia</t>
        </is>
      </c>
      <c r="B23" t="inlineStr">
        <is>
          <t>PT Intertek Utama Services, Jakarta, ID</t>
        </is>
      </c>
      <c r="C23" t="n">
        <v>105</v>
      </c>
    </row>
    <row r="24">
      <c r="A24" t="inlineStr">
        <is>
          <t>Indonesia</t>
        </is>
      </c>
      <c r="B24" t="inlineStr">
        <is>
          <t>SGS Germany GmbH, Emstek, DE</t>
        </is>
      </c>
      <c r="C24" t="n">
        <v>94</v>
      </c>
    </row>
    <row r="25">
      <c r="A25" t="inlineStr">
        <is>
          <t>Indonesia</t>
        </is>
      </c>
      <c r="B25" t="inlineStr">
        <is>
          <t>PT SBC Asia Sertifikasi, Kebumen, ID</t>
        </is>
      </c>
      <c r="C25" t="n">
        <v>71</v>
      </c>
    </row>
    <row r="26">
      <c r="A26" t="inlineStr">
        <is>
          <t>Indonesia</t>
        </is>
      </c>
      <c r="B26" t="inlineStr">
        <is>
          <t>Control Union Certifications Germany GmbH, Berlin, DE</t>
        </is>
      </c>
      <c r="C26" t="n">
        <v>58</v>
      </c>
    </row>
    <row r="27">
      <c r="A27" t="inlineStr">
        <is>
          <t>Indonesia</t>
        </is>
      </c>
      <c r="B27" t="inlineStr">
        <is>
          <t>PT. CBQA GLOBAL INDONESIA, JAKARTA SELATAN, ID</t>
        </is>
      </c>
      <c r="C27" t="n">
        <v>46</v>
      </c>
    </row>
    <row r="28">
      <c r="A28" t="inlineStr">
        <is>
          <t>Indonesia</t>
        </is>
      </c>
      <c r="B28" t="inlineStr">
        <is>
          <t>PT Mutuagung Lestari, Depok, ID</t>
        </is>
      </c>
      <c r="C28" t="n">
        <v>45</v>
      </c>
    </row>
    <row r="29">
      <c r="A29" t="inlineStr">
        <is>
          <t>Indonesia</t>
        </is>
      </c>
      <c r="B29" t="inlineStr">
        <is>
          <t>China Testing &amp; Certification International Group Co., Ltd., Beijing, CN</t>
        </is>
      </c>
      <c r="C29" t="n">
        <v>24</v>
      </c>
    </row>
    <row r="30">
      <c r="A30" t="inlineStr">
        <is>
          <t>Indonesia</t>
        </is>
      </c>
      <c r="B30" t="inlineStr">
        <is>
          <t>Trans Certification and Inspection Sdn Bhd, Kuantan, MY</t>
        </is>
      </c>
      <c r="C30" t="n">
        <v>21</v>
      </c>
    </row>
    <row r="31">
      <c r="A31" t="inlineStr">
        <is>
          <t>Indonesia</t>
        </is>
      </c>
      <c r="B31" t="inlineStr">
        <is>
          <t>BM Certification, Riga, LV</t>
        </is>
      </c>
      <c r="C31" t="n">
        <v>21</v>
      </c>
    </row>
    <row r="32">
      <c r="A32" t="inlineStr">
        <is>
          <t>Italy</t>
        </is>
      </c>
      <c r="B32" t="inlineStr">
        <is>
          <t>RINA Services S.p.A., Genova, IT</t>
        </is>
      </c>
      <c r="C32" t="n">
        <v>272</v>
      </c>
    </row>
    <row r="33">
      <c r="A33" t="inlineStr">
        <is>
          <t>Italy</t>
        </is>
      </c>
      <c r="B33" t="inlineStr">
        <is>
          <t>SGS Germany GmbH, Emstek, DE</t>
        </is>
      </c>
      <c r="C33" t="n">
        <v>192</v>
      </c>
    </row>
    <row r="34">
      <c r="A34" t="inlineStr">
        <is>
          <t>Italy</t>
        </is>
      </c>
      <c r="B34" t="inlineStr">
        <is>
          <t>DNV Business Assurance Sweden AB, Solna, SE</t>
        </is>
      </c>
      <c r="C34" t="n">
        <v>102</v>
      </c>
    </row>
    <row r="35">
      <c r="A35" t="inlineStr">
        <is>
          <t>Italy</t>
        </is>
      </c>
      <c r="B35" t="inlineStr">
        <is>
          <t>ICIM SpA, sesto san giovanni, IT</t>
        </is>
      </c>
      <c r="C35" t="n">
        <v>79</v>
      </c>
    </row>
    <row r="36">
      <c r="A36" t="inlineStr">
        <is>
          <t>Italy</t>
        </is>
      </c>
      <c r="B36" t="inlineStr">
        <is>
          <t>Bureau Veritas Polska Sp. z o.o., Warsaw, PL</t>
        </is>
      </c>
      <c r="C36" t="n">
        <v>56</v>
      </c>
    </row>
    <row r="37">
      <c r="A37" t="inlineStr">
        <is>
          <t>Italy</t>
        </is>
      </c>
      <c r="B37" t="inlineStr">
        <is>
          <t>IIP S.r.l., Monza, IT</t>
        </is>
      </c>
      <c r="C37" t="n">
        <v>41</v>
      </c>
    </row>
    <row r="38">
      <c r="A38" t="inlineStr">
        <is>
          <t>Italy</t>
        </is>
      </c>
      <c r="B38" t="inlineStr">
        <is>
          <t>Certiquality srl, Milano, IT</t>
        </is>
      </c>
      <c r="C38" t="n">
        <v>33</v>
      </c>
    </row>
    <row r="39">
      <c r="A39" t="inlineStr">
        <is>
          <t>Italy</t>
        </is>
      </c>
      <c r="B39" t="inlineStr">
        <is>
          <t>CSQA Certificazioni Srl, Thiene, IT</t>
        </is>
      </c>
      <c r="C39" t="n">
        <v>31</v>
      </c>
    </row>
    <row r="40">
      <c r="A40" t="inlineStr">
        <is>
          <t>Italy</t>
        </is>
      </c>
      <c r="B40" t="inlineStr">
        <is>
          <t>PT Intertek Utama Services, Jakarta, ID</t>
        </is>
      </c>
      <c r="C40" t="n">
        <v>26</v>
      </c>
    </row>
    <row r="41">
      <c r="A41" t="inlineStr">
        <is>
          <t>Italy</t>
        </is>
      </c>
      <c r="B41" t="inlineStr">
        <is>
          <t>agroVet GmbH, Enzersfeld, AT</t>
        </is>
      </c>
      <c r="C41" t="n">
        <v>8</v>
      </c>
    </row>
    <row r="42">
      <c r="A42" t="inlineStr">
        <is>
          <t>Malaysia</t>
        </is>
      </c>
      <c r="B42" t="inlineStr">
        <is>
          <t>Trans Certification and Inspection Sdn Bhd, Kuantan, MY</t>
        </is>
      </c>
      <c r="C42" t="n">
        <v>252</v>
      </c>
    </row>
    <row r="43">
      <c r="A43" t="inlineStr">
        <is>
          <t>Malaysia</t>
        </is>
      </c>
      <c r="B43" t="inlineStr">
        <is>
          <t>Control Union Certifications Germany GmbH, Berlin, DE</t>
        </is>
      </c>
      <c r="C43" t="n">
        <v>79</v>
      </c>
    </row>
    <row r="44">
      <c r="A44" t="inlineStr">
        <is>
          <t>Malaysia</t>
        </is>
      </c>
      <c r="B44" t="inlineStr">
        <is>
          <t>Global Gateway Certifications Sdn Bhd, Ampang, MY</t>
        </is>
      </c>
      <c r="C44" t="n">
        <v>63</v>
      </c>
    </row>
    <row r="45">
      <c r="A45" t="inlineStr">
        <is>
          <t>Malaysia</t>
        </is>
      </c>
      <c r="B45" t="inlineStr">
        <is>
          <t>SGS Germany GmbH, Emstek, DE</t>
        </is>
      </c>
      <c r="C45" t="n">
        <v>51</v>
      </c>
    </row>
    <row r="46">
      <c r="A46" t="inlineStr">
        <is>
          <t>Malaysia</t>
        </is>
      </c>
      <c r="B46" t="inlineStr">
        <is>
          <t>PT. CBQA GLOBAL INDONESIA, JAKARTA SELATAN, ID</t>
        </is>
      </c>
      <c r="C46" t="n">
        <v>47</v>
      </c>
    </row>
    <row r="47">
      <c r="A47" t="inlineStr">
        <is>
          <t>Malaysia</t>
        </is>
      </c>
      <c r="B47" t="inlineStr">
        <is>
          <t>ASG Cert GmbH, Munich, DE</t>
        </is>
      </c>
      <c r="C47" t="n">
        <v>43</v>
      </c>
    </row>
    <row r="48">
      <c r="A48" t="inlineStr">
        <is>
          <t>Malaysia</t>
        </is>
      </c>
      <c r="B48" t="inlineStr">
        <is>
          <t>PT Intertek Utama Services, Jakarta, ID</t>
        </is>
      </c>
      <c r="C48" t="n">
        <v>34</v>
      </c>
    </row>
    <row r="49">
      <c r="A49" t="inlineStr">
        <is>
          <t>Malaysia</t>
        </is>
      </c>
      <c r="B49" t="inlineStr">
        <is>
          <t>NIOSH Certification Sdn. Bhd., Selangor Darul Ehsan, MY</t>
        </is>
      </c>
      <c r="C49" t="n">
        <v>32</v>
      </c>
    </row>
    <row r="50">
      <c r="A50" t="inlineStr">
        <is>
          <t>Malaysia</t>
        </is>
      </c>
      <c r="B50" t="inlineStr">
        <is>
          <t>TÜV NORD CERT GmbH, Essen, DE</t>
        </is>
      </c>
      <c r="C50" t="n">
        <v>28</v>
      </c>
    </row>
    <row r="51">
      <c r="A51" t="inlineStr">
        <is>
          <t>Malaysia</t>
        </is>
      </c>
      <c r="B51" t="inlineStr">
        <is>
          <t>SCS Global Services, Emeryville, CA, US</t>
        </is>
      </c>
      <c r="C51" t="n">
        <v>22</v>
      </c>
    </row>
    <row r="52">
      <c r="A52" t="inlineStr">
        <is>
          <t>Spain</t>
        </is>
      </c>
      <c r="B52" t="inlineStr">
        <is>
          <t>Control Union Poland Sp. z o.o., Zielona Gora, PL</t>
        </is>
      </c>
      <c r="C52" t="n">
        <v>247</v>
      </c>
    </row>
    <row r="53">
      <c r="A53" t="inlineStr">
        <is>
          <t>Spain</t>
        </is>
      </c>
      <c r="B53" t="inlineStr">
        <is>
          <t>RINA Services S.p.A., Genova, IT</t>
        </is>
      </c>
      <c r="C53" t="n">
        <v>111</v>
      </c>
    </row>
    <row r="54">
      <c r="A54" t="inlineStr">
        <is>
          <t>Spain</t>
        </is>
      </c>
      <c r="B54" t="inlineStr">
        <is>
          <t>Bureau Veritas Polska Sp. z o.o., Warsaw, PL</t>
        </is>
      </c>
      <c r="C54" t="n">
        <v>71</v>
      </c>
    </row>
    <row r="55">
      <c r="A55" t="inlineStr">
        <is>
          <t>Spain</t>
        </is>
      </c>
      <c r="B55" t="inlineStr">
        <is>
          <t>Amspec Iberia SL, Vilagarcia de Arousa-Pontevedra, ES</t>
        </is>
      </c>
      <c r="C55" t="n">
        <v>66</v>
      </c>
    </row>
    <row r="56">
      <c r="A56" t="inlineStr">
        <is>
          <t>Spain</t>
        </is>
      </c>
      <c r="B56" t="inlineStr">
        <is>
          <t>Certificadora Gallega del Noroeste SL, Vilagarcia de Arousa-Pontevedra, ES</t>
        </is>
      </c>
      <c r="C56" t="n">
        <v>61</v>
      </c>
    </row>
    <row r="57">
      <c r="A57" t="inlineStr">
        <is>
          <t>Spain</t>
        </is>
      </c>
      <c r="B57" t="inlineStr">
        <is>
          <t>SGS Germany GmbH, Emstek, DE</t>
        </is>
      </c>
      <c r="C57" t="n">
        <v>50</v>
      </c>
    </row>
    <row r="58">
      <c r="A58" t="inlineStr">
        <is>
          <t>Spain</t>
        </is>
      </c>
      <c r="B58" t="inlineStr">
        <is>
          <t>PT Intertek Utama Services, Jakarta, ID</t>
        </is>
      </c>
      <c r="C58" t="n">
        <v>39</v>
      </c>
    </row>
    <row r="59">
      <c r="A59" t="inlineStr">
        <is>
          <t>Spain</t>
        </is>
      </c>
      <c r="B59" t="inlineStr">
        <is>
          <t>DNV Business Assurance Sweden AB, Solna, SE</t>
        </is>
      </c>
      <c r="C59" t="n">
        <v>15</v>
      </c>
    </row>
    <row r="60">
      <c r="A60" t="inlineStr">
        <is>
          <t>Spain</t>
        </is>
      </c>
      <c r="B60" t="inlineStr">
        <is>
          <t>BMC Assurance, S.L, Santander, ES</t>
        </is>
      </c>
      <c r="C60" t="n">
        <v>12</v>
      </c>
    </row>
    <row r="61">
      <c r="A61" t="inlineStr">
        <is>
          <t>Spain</t>
        </is>
      </c>
      <c r="B61" t="inlineStr">
        <is>
          <t>Control Union Certifications Germany GmbH, Berlin, DE</t>
        </is>
      </c>
      <c r="C61" t="n">
        <v>5</v>
      </c>
    </row>
    <row r="62">
      <c r="A62" t="inlineStr">
        <is>
          <t>Germany</t>
        </is>
      </c>
      <c r="B62" t="inlineStr">
        <is>
          <t>SGS Germany GmbH, Emstek, DE</t>
        </is>
      </c>
      <c r="C62" t="n">
        <v>166</v>
      </c>
    </row>
    <row r="63">
      <c r="A63" t="inlineStr">
        <is>
          <t>Germany</t>
        </is>
      </c>
      <c r="B63" t="inlineStr">
        <is>
          <t>GUT Certifizierungsgesellschaft für Managementsysteme mbH Umweltgutachter, Berlin, DE</t>
        </is>
      </c>
      <c r="C63" t="n">
        <v>98</v>
      </c>
    </row>
    <row r="64">
      <c r="A64" t="inlineStr">
        <is>
          <t>Germany</t>
        </is>
      </c>
      <c r="B64" t="inlineStr">
        <is>
          <t>TÜV NORD CERT GmbH, Essen, DE</t>
        </is>
      </c>
      <c r="C64" t="n">
        <v>59</v>
      </c>
    </row>
    <row r="65">
      <c r="A65" t="inlineStr">
        <is>
          <t>Germany</t>
        </is>
      </c>
      <c r="B65" t="inlineStr">
        <is>
          <t>DQS CFS GmbH - Deutsche Gesellschaft für Nachhaltigkeit, Frankfurt am Main, DE</t>
        </is>
      </c>
      <c r="C65" t="n">
        <v>57</v>
      </c>
    </row>
    <row r="66">
      <c r="A66" t="inlineStr">
        <is>
          <t>Germany</t>
        </is>
      </c>
      <c r="B66" t="inlineStr">
        <is>
          <t>Control Union Certifications Germany GmbH, Berlin, DE</t>
        </is>
      </c>
      <c r="C66" t="n">
        <v>57</v>
      </c>
    </row>
    <row r="67">
      <c r="A67" t="inlineStr">
        <is>
          <t>Germany</t>
        </is>
      </c>
      <c r="B67" t="inlineStr">
        <is>
          <t>TÜV SÜD Industrie Service GmbH, München, DE</t>
        </is>
      </c>
      <c r="C67" t="n">
        <v>44</v>
      </c>
    </row>
    <row r="68">
      <c r="A68" t="inlineStr">
        <is>
          <t>Germany</t>
        </is>
      </c>
      <c r="B68" t="inlineStr">
        <is>
          <t>DIN CERTCO GmbH, Berlin, DE</t>
        </is>
      </c>
      <c r="C68" t="n">
        <v>36</v>
      </c>
    </row>
    <row r="69">
      <c r="A69" t="inlineStr">
        <is>
          <t>Germany</t>
        </is>
      </c>
      <c r="B69" t="inlineStr">
        <is>
          <t>ASG Cert GmbH, Munich, DE</t>
        </is>
      </c>
      <c r="C69" t="n">
        <v>26</v>
      </c>
    </row>
    <row r="70">
      <c r="A70" t="inlineStr">
        <is>
          <t>Germany</t>
        </is>
      </c>
      <c r="B70" t="inlineStr">
        <is>
          <t>DEKRA Certification GmbH, Stuttgart, DE</t>
        </is>
      </c>
      <c r="C70" t="n">
        <v>20</v>
      </c>
    </row>
    <row r="71">
      <c r="A71" t="inlineStr">
        <is>
          <t>Germany</t>
        </is>
      </c>
      <c r="B71" t="inlineStr">
        <is>
          <t>DEKRA Certification B.V., Arnhem, NL</t>
        </is>
      </c>
      <c r="C71" t="n">
        <v>19</v>
      </c>
    </row>
    <row r="72">
      <c r="A72" t="inlineStr">
        <is>
          <t>Japan</t>
        </is>
      </c>
      <c r="B72" t="inlineStr">
        <is>
          <t>SGS Germany GmbH, Emstek, DE</t>
        </is>
      </c>
      <c r="C72" t="n">
        <v>300</v>
      </c>
    </row>
    <row r="73">
      <c r="A73" t="inlineStr">
        <is>
          <t>Japan</t>
        </is>
      </c>
      <c r="B73" t="inlineStr">
        <is>
          <t>Control Union Certifications Germany GmbH, Berlin, DE</t>
        </is>
      </c>
      <c r="C73" t="n">
        <v>195</v>
      </c>
    </row>
    <row r="74">
      <c r="A74" t="inlineStr">
        <is>
          <t>Japan</t>
        </is>
      </c>
      <c r="B74" t="inlineStr">
        <is>
          <t>SCS Global Services, Emeryville, CA, US</t>
        </is>
      </c>
      <c r="C74" t="n">
        <v>35</v>
      </c>
    </row>
    <row r="75">
      <c r="A75" t="inlineStr">
        <is>
          <t>Japan</t>
        </is>
      </c>
      <c r="B75" t="inlineStr">
        <is>
          <t>PT Intertek Utama Services, Jakarta, ID</t>
        </is>
      </c>
      <c r="C75" t="n">
        <v>22</v>
      </c>
    </row>
    <row r="76">
      <c r="A76" t="inlineStr">
        <is>
          <t>Japan</t>
        </is>
      </c>
      <c r="B76" t="inlineStr">
        <is>
          <t>PT TUV Rheinland Indonesia, Jakarta, ID</t>
        </is>
      </c>
      <c r="C76" t="n">
        <v>15</v>
      </c>
    </row>
    <row r="77">
      <c r="A77" t="inlineStr">
        <is>
          <t>Japan</t>
        </is>
      </c>
      <c r="B77" t="inlineStr">
        <is>
          <t>Bureau Veritas Polska Sp. z o.o., Warsaw, PL</t>
        </is>
      </c>
      <c r="C77" t="n">
        <v>15</v>
      </c>
    </row>
    <row r="78">
      <c r="A78" t="inlineStr">
        <is>
          <t>Japan</t>
        </is>
      </c>
      <c r="B78" t="inlineStr">
        <is>
          <t>Trans Certification and Inspection Sdn Bhd, Kuantan, MY</t>
        </is>
      </c>
      <c r="C78" t="n">
        <v>14</v>
      </c>
    </row>
    <row r="79">
      <c r="A79" t="inlineStr">
        <is>
          <t>Japan</t>
        </is>
      </c>
      <c r="B79" t="inlineStr">
        <is>
          <t>PT. Qualitas Sertifikasi Indonesia, Jakarta, ID</t>
        </is>
      </c>
      <c r="C79" t="n">
        <v>11</v>
      </c>
    </row>
    <row r="80">
      <c r="A80" t="inlineStr">
        <is>
          <t>Japan</t>
        </is>
      </c>
      <c r="B80" t="inlineStr">
        <is>
          <t>TÜV SÜD Industrie Service GmbH, München, DE</t>
        </is>
      </c>
      <c r="C80" t="n">
        <v>10</v>
      </c>
    </row>
    <row r="81">
      <c r="A81" t="inlineStr">
        <is>
          <t>Japan</t>
        </is>
      </c>
      <c r="B81" t="inlineStr">
        <is>
          <t>DIN CERTCO GmbH, Berlin, DE</t>
        </is>
      </c>
      <c r="C81" t="n">
        <v>3</v>
      </c>
    </row>
    <row r="82">
      <c r="A82" t="inlineStr">
        <is>
          <t>Netherlands</t>
        </is>
      </c>
      <c r="B82" t="inlineStr">
        <is>
          <t>DEKRA Certification B.V., Arnhem, NL</t>
        </is>
      </c>
      <c r="C82" t="n">
        <v>138</v>
      </c>
    </row>
    <row r="83">
      <c r="A83" t="inlineStr">
        <is>
          <t>Netherlands</t>
        </is>
      </c>
      <c r="B83" t="inlineStr">
        <is>
          <t>SGS Germany GmbH, Emstek, DE</t>
        </is>
      </c>
      <c r="C83" t="n">
        <v>82</v>
      </c>
    </row>
    <row r="84">
      <c r="A84" t="inlineStr">
        <is>
          <t>Netherlands</t>
        </is>
      </c>
      <c r="B84" t="inlineStr">
        <is>
          <t>Control Union Certifications Germany GmbH, Berlin, DE</t>
        </is>
      </c>
      <c r="C84" t="n">
        <v>75</v>
      </c>
    </row>
    <row r="85">
      <c r="A85" t="inlineStr">
        <is>
          <t>Netherlands</t>
        </is>
      </c>
      <c r="B85" t="inlineStr">
        <is>
          <t>Normec QS BV, Ede, NL</t>
        </is>
      </c>
      <c r="C85" t="n">
        <v>56</v>
      </c>
    </row>
    <row r="86">
      <c r="A86" t="inlineStr">
        <is>
          <t>Netherlands</t>
        </is>
      </c>
      <c r="B86" t="inlineStr">
        <is>
          <t>Normec QS BV, Bennekom, NL</t>
        </is>
      </c>
      <c r="C86" t="n">
        <v>29</v>
      </c>
    </row>
    <row r="87">
      <c r="A87" t="inlineStr">
        <is>
          <t>Netherlands</t>
        </is>
      </c>
      <c r="B87" t="inlineStr">
        <is>
          <t>TÜV NORD CERT GmbH, Essen, DE</t>
        </is>
      </c>
      <c r="C87" t="n">
        <v>17</v>
      </c>
    </row>
    <row r="88">
      <c r="A88" t="inlineStr">
        <is>
          <t>Netherlands</t>
        </is>
      </c>
      <c r="B88" t="inlineStr">
        <is>
          <t>DNV Business Assurance Sweden AB, Solna, SE</t>
        </is>
      </c>
      <c r="C88" t="n">
        <v>13</v>
      </c>
    </row>
    <row r="89">
      <c r="A89" t="inlineStr">
        <is>
          <t>Netherlands</t>
        </is>
      </c>
      <c r="B89" t="inlineStr">
        <is>
          <t>Bureau Veritas Polska Sp. z o.o., Warsaw, PL</t>
        </is>
      </c>
      <c r="C89" t="n">
        <v>10</v>
      </c>
    </row>
    <row r="90">
      <c r="A90" t="inlineStr">
        <is>
          <t>Netherlands</t>
        </is>
      </c>
      <c r="B90" t="inlineStr">
        <is>
          <t>SCS Global Services, Emeryville, CA, US</t>
        </is>
      </c>
      <c r="C90" t="n">
        <v>9</v>
      </c>
    </row>
    <row r="91">
      <c r="A91" t="inlineStr">
        <is>
          <t>Netherlands</t>
        </is>
      </c>
      <c r="B91" t="inlineStr">
        <is>
          <t>ASG Cert GmbH, Munich, DE</t>
        </is>
      </c>
      <c r="C91" t="n">
        <v>8</v>
      </c>
    </row>
    <row r="92">
      <c r="A92" t="inlineStr">
        <is>
          <t>Singapore</t>
        </is>
      </c>
      <c r="B92" t="inlineStr">
        <is>
          <t>Control Union Certifications Germany GmbH, Berlin, DE</t>
        </is>
      </c>
      <c r="C92" t="n">
        <v>130</v>
      </c>
    </row>
    <row r="93">
      <c r="A93" t="inlineStr">
        <is>
          <t>Singapore</t>
        </is>
      </c>
      <c r="B93" t="inlineStr">
        <is>
          <t>SGS Germany GmbH, Emstek, DE</t>
        </is>
      </c>
      <c r="C93" t="n">
        <v>62</v>
      </c>
    </row>
    <row r="94">
      <c r="A94" t="inlineStr">
        <is>
          <t>Singapore</t>
        </is>
      </c>
      <c r="B94" t="inlineStr">
        <is>
          <t>Double Helix Tracking Technologies Pte Ltd, Singapore, SG</t>
        </is>
      </c>
      <c r="C94" t="n">
        <v>39</v>
      </c>
    </row>
    <row r="95">
      <c r="A95" t="inlineStr">
        <is>
          <t>Singapore</t>
        </is>
      </c>
      <c r="B95" t="inlineStr">
        <is>
          <t>SCS Global Services, Emeryville, CA, US</t>
        </is>
      </c>
      <c r="C95" t="n">
        <v>35</v>
      </c>
    </row>
    <row r="96">
      <c r="A96" t="inlineStr">
        <is>
          <t>Singapore</t>
        </is>
      </c>
      <c r="B96" t="inlineStr">
        <is>
          <t>PT Intertek Utama Services, Jakarta, ID</t>
        </is>
      </c>
      <c r="C96" t="n">
        <v>24</v>
      </c>
    </row>
    <row r="97">
      <c r="A97" t="inlineStr">
        <is>
          <t>Singapore</t>
        </is>
      </c>
      <c r="B97" t="inlineStr">
        <is>
          <t>ASG Cert GmbH, Munich, DE</t>
        </is>
      </c>
      <c r="C97" t="n">
        <v>21</v>
      </c>
    </row>
    <row r="98">
      <c r="A98" t="inlineStr">
        <is>
          <t>Singapore</t>
        </is>
      </c>
      <c r="B98" t="inlineStr">
        <is>
          <t>Trans Certification and Inspection Sdn Bhd, Kuantan, MY</t>
        </is>
      </c>
      <c r="C98" t="n">
        <v>19</v>
      </c>
    </row>
    <row r="99">
      <c r="A99" t="inlineStr">
        <is>
          <t>Singapore</t>
        </is>
      </c>
      <c r="B99" t="inlineStr">
        <is>
          <t>RINA Services S.p.A., Genova, IT</t>
        </is>
      </c>
      <c r="C99" t="n">
        <v>14</v>
      </c>
    </row>
    <row r="100">
      <c r="A100" t="inlineStr">
        <is>
          <t>Singapore</t>
        </is>
      </c>
      <c r="B100" t="inlineStr">
        <is>
          <t>PT. Qualitas Sertifikasi Indonesia, Jakarta, ID</t>
        </is>
      </c>
      <c r="C100" t="n">
        <v>13</v>
      </c>
    </row>
    <row r="101">
      <c r="A101" t="inlineStr">
        <is>
          <t>Singapore</t>
        </is>
      </c>
      <c r="B101" t="inlineStr">
        <is>
          <t>TÜV NORD CERT GmbH, Essen, DE</t>
        </is>
      </c>
      <c r="C101" t="n">
        <v>11</v>
      </c>
    </row>
    <row r="102">
      <c r="A102" t="inlineStr">
        <is>
          <t>France</t>
        </is>
      </c>
      <c r="B102" t="inlineStr">
        <is>
          <t>Control Union Certifications Germany GmbH, Berlin, DE</t>
        </is>
      </c>
      <c r="C102" t="n">
        <v>155</v>
      </c>
    </row>
    <row r="103">
      <c r="A103" t="inlineStr">
        <is>
          <t>France</t>
        </is>
      </c>
      <c r="B103" t="inlineStr">
        <is>
          <t>Bureau Veritas Polska Sp. z o.o., Warsaw, PL</t>
        </is>
      </c>
      <c r="C103" t="n">
        <v>129</v>
      </c>
    </row>
    <row r="104">
      <c r="A104" t="inlineStr">
        <is>
          <t>France</t>
        </is>
      </c>
      <c r="B104" t="inlineStr">
        <is>
          <t>SGS Germany GmbH, Emstek, DE</t>
        </is>
      </c>
      <c r="C104" t="n">
        <v>55</v>
      </c>
    </row>
    <row r="105">
      <c r="A105" t="inlineStr">
        <is>
          <t>France</t>
        </is>
      </c>
      <c r="B105" t="inlineStr">
        <is>
          <t>RINA Services S.p.A., Genova, IT</t>
        </is>
      </c>
      <c r="C105" t="n">
        <v>17</v>
      </c>
    </row>
    <row r="106">
      <c r="A106" t="inlineStr">
        <is>
          <t>France</t>
        </is>
      </c>
      <c r="B106" t="inlineStr">
        <is>
          <t>DNV Business Assurance Sweden AB, Solna, SE</t>
        </is>
      </c>
      <c r="C106" t="n">
        <v>13</v>
      </c>
    </row>
    <row r="107">
      <c r="A107" t="inlineStr">
        <is>
          <t>France</t>
        </is>
      </c>
      <c r="B107" t="inlineStr">
        <is>
          <t>DQS CFS GmbH - Deutsche Gesellschaft für Nachhaltigkeit, Frankfurt am Main, DE</t>
        </is>
      </c>
      <c r="C107" t="n">
        <v>10</v>
      </c>
    </row>
    <row r="108">
      <c r="A108" t="inlineStr">
        <is>
          <t>France</t>
        </is>
      </c>
      <c r="B108" t="inlineStr">
        <is>
          <t>SCS Global Services, Emeryville, CA, US</t>
        </is>
      </c>
      <c r="C108" t="n">
        <v>8</v>
      </c>
    </row>
    <row r="109">
      <c r="A109" t="inlineStr">
        <is>
          <t>France</t>
        </is>
      </c>
      <c r="B109" t="inlineStr">
        <is>
          <t>Certi W Baltic SIA, Riga, LV</t>
        </is>
      </c>
      <c r="C109" t="n">
        <v>6</v>
      </c>
    </row>
    <row r="110">
      <c r="A110" t="inlineStr">
        <is>
          <t>France</t>
        </is>
      </c>
      <c r="B110" t="inlineStr">
        <is>
          <t>SI Cert Italy S.R.L., Parma, IT</t>
        </is>
      </c>
      <c r="C110" t="n">
        <v>6</v>
      </c>
    </row>
    <row r="111">
      <c r="A111" t="inlineStr">
        <is>
          <t>France</t>
        </is>
      </c>
      <c r="B111" t="inlineStr">
        <is>
          <t>Double Helix Tracking Technologies Pte Ltd, Singapore, SG</t>
        </is>
      </c>
      <c r="C111" t="n">
        <v>5</v>
      </c>
    </row>
    <row r="112">
      <c r="A112" t="inlineStr">
        <is>
          <t>United Kingdom</t>
        </is>
      </c>
      <c r="B112" t="inlineStr">
        <is>
          <t>SGS Germany GmbH, Emstek, DE</t>
        </is>
      </c>
      <c r="C112" t="n">
        <v>100</v>
      </c>
    </row>
    <row r="113">
      <c r="A113" t="inlineStr">
        <is>
          <t>United Kingdom</t>
        </is>
      </c>
      <c r="B113" t="inlineStr">
        <is>
          <t>Double Helix Tracking Technologies Pte Ltd, Singapore, SG</t>
        </is>
      </c>
      <c r="C113" t="n">
        <v>79</v>
      </c>
    </row>
    <row r="114">
      <c r="A114" t="inlineStr">
        <is>
          <t>United Kingdom</t>
        </is>
      </c>
      <c r="B114" t="inlineStr">
        <is>
          <t>Aardvark Certification Ltd, Wiveliscombe, Somerset, GB</t>
        </is>
      </c>
      <c r="C114" t="n">
        <v>60</v>
      </c>
    </row>
    <row r="115">
      <c r="A115" t="inlineStr">
        <is>
          <t>United Kingdom</t>
        </is>
      </c>
      <c r="B115" t="inlineStr">
        <is>
          <t>Control Union Certifications Germany GmbH, Berlin, DE</t>
        </is>
      </c>
      <c r="C115" t="n">
        <v>52</v>
      </c>
    </row>
    <row r="116">
      <c r="A116" t="inlineStr">
        <is>
          <t>United Kingdom</t>
        </is>
      </c>
      <c r="B116" t="inlineStr">
        <is>
          <t>SCS Global Services, Emeryville, CA, US</t>
        </is>
      </c>
      <c r="C116" t="n">
        <v>14</v>
      </c>
    </row>
    <row r="117">
      <c r="A117" t="inlineStr">
        <is>
          <t>United Kingdom</t>
        </is>
      </c>
      <c r="B117" t="inlineStr">
        <is>
          <t>BM Certification, Riga, LV</t>
        </is>
      </c>
      <c r="C117" t="n">
        <v>13</v>
      </c>
    </row>
    <row r="118">
      <c r="A118" t="inlineStr">
        <is>
          <t>United Kingdom</t>
        </is>
      </c>
      <c r="B118" t="inlineStr">
        <is>
          <t>DEKRA Certification B.V., Arnhem, NL</t>
        </is>
      </c>
      <c r="C118" t="n">
        <v>10</v>
      </c>
    </row>
    <row r="119">
      <c r="A119" t="inlineStr">
        <is>
          <t>United Kingdom</t>
        </is>
      </c>
      <c r="B119" t="inlineStr">
        <is>
          <t>Bureau Veritas Polska Sp. z o.o., Warsaw, PL</t>
        </is>
      </c>
      <c r="C119" t="n">
        <v>8</v>
      </c>
    </row>
    <row r="120">
      <c r="A120" t="inlineStr">
        <is>
          <t>United Kingdom</t>
        </is>
      </c>
      <c r="B120" t="inlineStr">
        <is>
          <t>PT Intertek Utama Services, Jakarta, ID</t>
        </is>
      </c>
      <c r="C120" t="n">
        <v>7</v>
      </c>
    </row>
    <row r="121">
      <c r="A121" t="inlineStr">
        <is>
          <t>United Kingdom</t>
        </is>
      </c>
      <c r="B121" t="inlineStr">
        <is>
          <t>RINA Services S.p.A., Genova, IT</t>
        </is>
      </c>
      <c r="C121" t="n">
        <v>7</v>
      </c>
    </row>
    <row r="122">
      <c r="A122" t="inlineStr">
        <is>
          <t>Romania</t>
        </is>
      </c>
      <c r="B122" t="inlineStr">
        <is>
          <t>SRAC Cert SRL, Bucharest, RO</t>
        </is>
      </c>
      <c r="C122" t="n">
        <v>108</v>
      </c>
    </row>
    <row r="123">
      <c r="A123" t="inlineStr">
        <is>
          <t>Romania</t>
        </is>
      </c>
      <c r="B123" t="inlineStr">
        <is>
          <t>SGS Germany GmbH, Emstek, DE</t>
        </is>
      </c>
      <c r="C123" t="n">
        <v>76</v>
      </c>
    </row>
    <row r="124">
      <c r="A124" t="inlineStr">
        <is>
          <t>Romania</t>
        </is>
      </c>
      <c r="B124" t="inlineStr">
        <is>
          <t>BM Certification, Riga, LV</t>
        </is>
      </c>
      <c r="C124" t="n">
        <v>69</v>
      </c>
    </row>
    <row r="125">
      <c r="A125" t="inlineStr">
        <is>
          <t>Romania</t>
        </is>
      </c>
      <c r="B125" t="inlineStr">
        <is>
          <t>Control Union Certifications Germany GmbH, Berlin, DE</t>
        </is>
      </c>
      <c r="C125" t="n">
        <v>51</v>
      </c>
    </row>
    <row r="126">
      <c r="A126" t="inlineStr">
        <is>
          <t>Romania</t>
        </is>
      </c>
      <c r="B126" t="inlineStr">
        <is>
          <t>RINA Services S.p.A., Genova, IT</t>
        </is>
      </c>
      <c r="C126" t="n">
        <v>16</v>
      </c>
    </row>
    <row r="127">
      <c r="A127" t="inlineStr">
        <is>
          <t>Romania</t>
        </is>
      </c>
      <c r="B127" t="inlineStr">
        <is>
          <t>Bureau Veritas Polska Sp. z o.o., Warsaw, PL</t>
        </is>
      </c>
      <c r="C127" t="n">
        <v>14</v>
      </c>
    </row>
    <row r="128">
      <c r="A128" t="inlineStr">
        <is>
          <t>Romania</t>
        </is>
      </c>
      <c r="B128" t="inlineStr">
        <is>
          <t>CertRom SRL, Bucuresti, RO</t>
        </is>
      </c>
      <c r="C128" t="n">
        <v>14</v>
      </c>
    </row>
    <row r="129">
      <c r="A129" t="inlineStr">
        <is>
          <t>Romania</t>
        </is>
      </c>
      <c r="B129" t="inlineStr">
        <is>
          <t>PT Intertek Utama Services, Jakarta, ID</t>
        </is>
      </c>
      <c r="C129" t="n">
        <v>7</v>
      </c>
    </row>
    <row r="130">
      <c r="A130" t="inlineStr">
        <is>
          <t>Romania</t>
        </is>
      </c>
      <c r="B130" t="inlineStr">
        <is>
          <t>Amspec Iberia SL, Vilagarcia de Arousa-Pontevedra, ES</t>
        </is>
      </c>
      <c r="C130" t="n">
        <v>1</v>
      </c>
    </row>
    <row r="131">
      <c r="A131" t="inlineStr">
        <is>
          <t>Romania</t>
        </is>
      </c>
      <c r="B131" t="inlineStr">
        <is>
          <t>ASG Cert GmbH, Munich, DE</t>
        </is>
      </c>
      <c r="C131" t="n">
        <v>1</v>
      </c>
    </row>
    <row r="132">
      <c r="A132" t="inlineStr">
        <is>
          <t>Ukraine</t>
        </is>
      </c>
      <c r="B132" t="inlineStr">
        <is>
          <t>Bureau Veritas Polska Sp. z o.o., Warsaw, PL</t>
        </is>
      </c>
      <c r="C132" t="n">
        <v>68</v>
      </c>
    </row>
    <row r="133">
      <c r="A133" t="inlineStr">
        <is>
          <t>Ukraine</t>
        </is>
      </c>
      <c r="B133" t="inlineStr">
        <is>
          <t>United Registrar of Systems Polska Sp. z o.o., Wrocław, PL</t>
        </is>
      </c>
      <c r="C133" t="n">
        <v>50</v>
      </c>
    </row>
    <row r="134">
      <c r="A134" t="inlineStr">
        <is>
          <t>Ukraine</t>
        </is>
      </c>
      <c r="B134" t="inlineStr">
        <is>
          <t>BM Certification, Riga, LV</t>
        </is>
      </c>
      <c r="C134" t="n">
        <v>40</v>
      </c>
    </row>
    <row r="135">
      <c r="A135" t="inlineStr">
        <is>
          <t>Ukraine</t>
        </is>
      </c>
      <c r="B135" t="inlineStr">
        <is>
          <t>Aciter Genelab LLC, Odessa, UA</t>
        </is>
      </c>
      <c r="C135" t="n">
        <v>35</v>
      </c>
    </row>
    <row r="136">
      <c r="A136" t="inlineStr">
        <is>
          <t>Ukraine</t>
        </is>
      </c>
      <c r="B136" t="inlineStr">
        <is>
          <t>Organic Standard Ltd, Kyiv, UA</t>
        </is>
      </c>
      <c r="C136" t="n">
        <v>31</v>
      </c>
    </row>
    <row r="137">
      <c r="A137" t="inlineStr">
        <is>
          <t>Ukraine</t>
        </is>
      </c>
      <c r="B137" t="inlineStr">
        <is>
          <t>Apex Genelab LLC, Odessa, UA</t>
        </is>
      </c>
      <c r="C137" t="n">
        <v>23</v>
      </c>
    </row>
    <row r="138">
      <c r="A138" t="inlineStr">
        <is>
          <t>Ukraine</t>
        </is>
      </c>
      <c r="B138" t="inlineStr">
        <is>
          <t>SGS Germany GmbH, Emstek, DE</t>
        </is>
      </c>
      <c r="C138" t="n">
        <v>22</v>
      </c>
    </row>
    <row r="139">
      <c r="A139" t="inlineStr">
        <is>
          <t>Ukraine</t>
        </is>
      </c>
      <c r="B139" t="inlineStr">
        <is>
          <t>Control Union Certifications Germany GmbH, Berlin, DE</t>
        </is>
      </c>
      <c r="C139" t="n">
        <v>20</v>
      </c>
    </row>
    <row r="140">
      <c r="A140" t="inlineStr">
        <is>
          <t>Ukraine</t>
        </is>
      </c>
      <c r="B140" t="inlineStr">
        <is>
          <t>Baltic Control Certification, Albertslund, DK</t>
        </is>
      </c>
      <c r="C140" t="n">
        <v>10</v>
      </c>
    </row>
    <row r="141">
      <c r="A141" t="inlineStr">
        <is>
          <t>Ukraine</t>
        </is>
      </c>
      <c r="B141" t="inlineStr">
        <is>
          <t>Control Union Poland Sp. z o.o., Zielona Gora, PL</t>
        </is>
      </c>
      <c r="C141" t="n">
        <v>6</v>
      </c>
    </row>
    <row r="142">
      <c r="A142" t="inlineStr">
        <is>
          <t>Hungary</t>
        </is>
      </c>
      <c r="B142" t="inlineStr">
        <is>
          <t>BM Certification, Riga, LV</t>
        </is>
      </c>
      <c r="C142" t="n">
        <v>64</v>
      </c>
    </row>
    <row r="143">
      <c r="A143" t="inlineStr">
        <is>
          <t>Hungary</t>
        </is>
      </c>
      <c r="B143" t="inlineStr">
        <is>
          <t>Amspec Iberia SL, Vilagarcia de Arousa-Pontevedra, ES</t>
        </is>
      </c>
      <c r="C143" t="n">
        <v>59</v>
      </c>
    </row>
    <row r="144">
      <c r="A144" t="inlineStr">
        <is>
          <t>Hungary</t>
        </is>
      </c>
      <c r="B144" t="inlineStr">
        <is>
          <t>Certificadora Gallega del Noroeste SL, Vilagarcia de Arousa-Pontevedra, ES</t>
        </is>
      </c>
      <c r="C144" t="n">
        <v>58</v>
      </c>
    </row>
    <row r="145">
      <c r="A145" t="inlineStr">
        <is>
          <t>Hungary</t>
        </is>
      </c>
      <c r="B145" t="inlineStr">
        <is>
          <t>SGS Germany GmbH, Emstek, DE</t>
        </is>
      </c>
      <c r="C145" t="n">
        <v>56</v>
      </c>
    </row>
    <row r="146">
      <c r="A146" t="inlineStr">
        <is>
          <t>Hungary</t>
        </is>
      </c>
      <c r="B146" t="inlineStr">
        <is>
          <t>Bureau Veritas Polska Sp. z o.o., Warsaw, PL</t>
        </is>
      </c>
      <c r="C146" t="n">
        <v>37</v>
      </c>
    </row>
    <row r="147">
      <c r="A147" t="inlineStr">
        <is>
          <t>Hungary</t>
        </is>
      </c>
      <c r="B147" t="inlineStr">
        <is>
          <t>Control Union Certifications Germany GmbH, Berlin, DE</t>
        </is>
      </c>
      <c r="C147" t="n">
        <v>24</v>
      </c>
    </row>
    <row r="148">
      <c r="A148" t="inlineStr">
        <is>
          <t>Hungary</t>
        </is>
      </c>
      <c r="B148" t="inlineStr">
        <is>
          <t>United Registrar of Systems Polska Sp. z o.o., Wrocław, PL</t>
        </is>
      </c>
      <c r="C148" t="n">
        <v>2</v>
      </c>
    </row>
    <row r="149">
      <c r="A149" t="inlineStr">
        <is>
          <t>Hungary</t>
        </is>
      </c>
      <c r="B149" t="inlineStr">
        <is>
          <t>ASG Cert GmbH, Munich, DE</t>
        </is>
      </c>
      <c r="C149" t="n">
        <v>2</v>
      </c>
    </row>
    <row r="150">
      <c r="A150" t="inlineStr">
        <is>
          <t>Hungary</t>
        </is>
      </c>
      <c r="B150" t="inlineStr">
        <is>
          <t>Double Helix Tracking Technologies Pte Ltd, Singapore, SG</t>
        </is>
      </c>
      <c r="C150" t="n">
        <v>2</v>
      </c>
    </row>
    <row r="151">
      <c r="A151" t="inlineStr">
        <is>
          <t>Hungary</t>
        </is>
      </c>
      <c r="B151" t="inlineStr">
        <is>
          <t>QMSCERT S.A., Pylaia, Thessaloniki, GR</t>
        </is>
      </c>
      <c r="C151" t="n">
        <v>1</v>
      </c>
    </row>
    <row r="152">
      <c r="A152" t="inlineStr">
        <is>
          <t>Czech Republic</t>
        </is>
      </c>
      <c r="B152" t="inlineStr">
        <is>
          <t>TÜV SÜD Czech s.r.o., Praha 4, CZ</t>
        </is>
      </c>
      <c r="C152" t="n">
        <v>79</v>
      </c>
    </row>
    <row r="153">
      <c r="A153" t="inlineStr">
        <is>
          <t>Czech Republic</t>
        </is>
      </c>
      <c r="B153" t="inlineStr">
        <is>
          <t>United Registrar of Systems Polska Sp. z o.o., Wrocław, PL</t>
        </is>
      </c>
      <c r="C153" t="n">
        <v>64</v>
      </c>
    </row>
    <row r="154">
      <c r="A154" t="inlineStr">
        <is>
          <t>Czech Republic</t>
        </is>
      </c>
      <c r="B154" t="inlineStr">
        <is>
          <t>Bureau Veritas Polska Sp. z o.o., Warsaw, PL</t>
        </is>
      </c>
      <c r="C154" t="n">
        <v>58</v>
      </c>
    </row>
    <row r="155">
      <c r="A155" t="inlineStr">
        <is>
          <t>Czech Republic</t>
        </is>
      </c>
      <c r="B155" t="inlineStr">
        <is>
          <t>SGS Germany GmbH, Emstek, DE</t>
        </is>
      </c>
      <c r="C155" t="n">
        <v>31</v>
      </c>
    </row>
    <row r="156">
      <c r="A156" t="inlineStr">
        <is>
          <t>Czech Republic</t>
        </is>
      </c>
      <c r="B156" t="inlineStr">
        <is>
          <t>PT Intertek Utama Services, Jakarta, ID</t>
        </is>
      </c>
      <c r="C156" t="n">
        <v>22</v>
      </c>
    </row>
    <row r="157">
      <c r="A157" t="inlineStr">
        <is>
          <t>Czech Republic</t>
        </is>
      </c>
      <c r="B157" t="inlineStr">
        <is>
          <t>TÜV NORD CERT GmbH, Essen, DE</t>
        </is>
      </c>
      <c r="C157" t="n">
        <v>4</v>
      </c>
    </row>
    <row r="158">
      <c r="A158" t="inlineStr">
        <is>
          <t>Czech Republic</t>
        </is>
      </c>
      <c r="B158" t="inlineStr">
        <is>
          <t>ASG Cert GmbH, Munich, DE</t>
        </is>
      </c>
      <c r="C158" t="n">
        <v>2</v>
      </c>
    </row>
    <row r="159">
      <c r="A159" t="inlineStr">
        <is>
          <t>Czech Republic</t>
        </is>
      </c>
      <c r="B159" t="inlineStr">
        <is>
          <t>Double Helix Tracking Technologies Pte Ltd, Singapore, SG</t>
        </is>
      </c>
      <c r="C159" t="n">
        <v>2</v>
      </c>
    </row>
    <row r="160">
      <c r="A160" t="inlineStr">
        <is>
          <t>Czech Republic</t>
        </is>
      </c>
      <c r="B160" t="inlineStr">
        <is>
          <t>ICIM SpA, sesto san giovanni, IT</t>
        </is>
      </c>
      <c r="C160" t="n">
        <v>1</v>
      </c>
    </row>
    <row r="161">
      <c r="A161" t="inlineStr">
        <is>
          <t>Czech Republic</t>
        </is>
      </c>
      <c r="B161" t="inlineStr">
        <is>
          <t>RINA Services S.p.A., Genova, IT</t>
        </is>
      </c>
      <c r="C161" t="n">
        <v>1</v>
      </c>
    </row>
    <row r="162">
      <c r="A162" t="inlineStr">
        <is>
          <t>Belgium</t>
        </is>
      </c>
      <c r="B162" t="inlineStr">
        <is>
          <t>SGS Germany GmbH, Emstek, DE</t>
        </is>
      </c>
      <c r="C162" t="n">
        <v>77</v>
      </c>
    </row>
    <row r="163">
      <c r="A163" t="inlineStr">
        <is>
          <t>Belgium</t>
        </is>
      </c>
      <c r="B163" t="inlineStr">
        <is>
          <t>Control Union Certifications Germany GmbH, Berlin, DE</t>
        </is>
      </c>
      <c r="C163" t="n">
        <v>66</v>
      </c>
    </row>
    <row r="164">
      <c r="A164" t="inlineStr">
        <is>
          <t>Belgium</t>
        </is>
      </c>
      <c r="B164" t="inlineStr">
        <is>
          <t>DEKRA Certification B.V., Arnhem, NL</t>
        </is>
      </c>
      <c r="C164" t="n">
        <v>28</v>
      </c>
    </row>
    <row r="165">
      <c r="A165" t="inlineStr">
        <is>
          <t>Belgium</t>
        </is>
      </c>
      <c r="B165" t="inlineStr">
        <is>
          <t>Bureau Veritas Polska Sp. z o.o., Warsaw, PL</t>
        </is>
      </c>
      <c r="C165" t="n">
        <v>14</v>
      </c>
    </row>
    <row r="166">
      <c r="A166" t="inlineStr">
        <is>
          <t>Belgium</t>
        </is>
      </c>
      <c r="B166" t="inlineStr">
        <is>
          <t>SCS Global Services, Emeryville, CA, US</t>
        </is>
      </c>
      <c r="C166" t="n">
        <v>13</v>
      </c>
    </row>
    <row r="167">
      <c r="A167" t="inlineStr">
        <is>
          <t>Belgium</t>
        </is>
      </c>
      <c r="B167" t="inlineStr">
        <is>
          <t>Normec QS BV, Bennekom, NL</t>
        </is>
      </c>
      <c r="C167" t="n">
        <v>12</v>
      </c>
    </row>
    <row r="168">
      <c r="A168" t="inlineStr">
        <is>
          <t>Belgium</t>
        </is>
      </c>
      <c r="B168" t="inlineStr">
        <is>
          <t>TÜV NORD CERT GmbH, Essen, DE</t>
        </is>
      </c>
      <c r="C168" t="n">
        <v>9</v>
      </c>
    </row>
    <row r="169">
      <c r="A169" t="inlineStr">
        <is>
          <t>Belgium</t>
        </is>
      </c>
      <c r="B169" t="inlineStr">
        <is>
          <t>DIN CERTCO GmbH, Berlin, DE</t>
        </is>
      </c>
      <c r="C169" t="n">
        <v>5</v>
      </c>
    </row>
    <row r="170">
      <c r="A170" t="inlineStr">
        <is>
          <t>Belgium</t>
        </is>
      </c>
      <c r="B170" t="inlineStr">
        <is>
          <t>DNV Business Assurance Sweden AB, Solna, SE</t>
        </is>
      </c>
      <c r="C170" t="n">
        <v>4</v>
      </c>
    </row>
    <row r="171">
      <c r="A171" t="inlineStr">
        <is>
          <t>Belgium</t>
        </is>
      </c>
      <c r="B171" t="inlineStr">
        <is>
          <t>Double Helix Tracking Technologies Pte Ltd, Singapore, SG</t>
        </is>
      </c>
      <c r="C171" t="n">
        <v>3</v>
      </c>
    </row>
    <row r="172">
      <c r="A172" t="inlineStr">
        <is>
          <t>Vietnam</t>
        </is>
      </c>
      <c r="B172" t="inlineStr">
        <is>
          <t>SGS Germany GmbH, Emstek, DE</t>
        </is>
      </c>
      <c r="C172" t="n">
        <v>60</v>
      </c>
    </row>
    <row r="173">
      <c r="A173" t="inlineStr">
        <is>
          <t>Vietnam</t>
        </is>
      </c>
      <c r="B173" t="inlineStr">
        <is>
          <t>BM Certification, Riga, LV</t>
        </is>
      </c>
      <c r="C173" t="n">
        <v>38</v>
      </c>
    </row>
    <row r="174">
      <c r="A174" t="inlineStr">
        <is>
          <t>Vietnam</t>
        </is>
      </c>
      <c r="B174" t="inlineStr">
        <is>
          <t>PT Intertek Utama Services, Jakarta, ID</t>
        </is>
      </c>
      <c r="C174" t="n">
        <v>26</v>
      </c>
    </row>
    <row r="175">
      <c r="A175" t="inlineStr">
        <is>
          <t>Vietnam</t>
        </is>
      </c>
      <c r="B175" t="inlineStr">
        <is>
          <t>Control Union Certifications Germany GmbH, Berlin, DE</t>
        </is>
      </c>
      <c r="C175" t="n">
        <v>25</v>
      </c>
    </row>
    <row r="176">
      <c r="A176" t="inlineStr">
        <is>
          <t>Vietnam</t>
        </is>
      </c>
      <c r="B176" t="inlineStr">
        <is>
          <t>RINA Services S.p.A., Genova, IT</t>
        </is>
      </c>
      <c r="C176" t="n">
        <v>23</v>
      </c>
    </row>
    <row r="177">
      <c r="A177" t="inlineStr">
        <is>
          <t>Vietnam</t>
        </is>
      </c>
      <c r="B177" t="inlineStr">
        <is>
          <t>Bureau Veritas Polska Sp. z o.o., Warsaw, PL</t>
        </is>
      </c>
      <c r="C177" t="n">
        <v>18</v>
      </c>
    </row>
    <row r="178">
      <c r="A178" t="inlineStr">
        <is>
          <t>Vietnam</t>
        </is>
      </c>
      <c r="B178" t="inlineStr">
        <is>
          <t>SCS Global Services, Emeryville, CA, US</t>
        </is>
      </c>
      <c r="C178" t="n">
        <v>18</v>
      </c>
    </row>
    <row r="179">
      <c r="A179" t="inlineStr">
        <is>
          <t>Vietnam</t>
        </is>
      </c>
      <c r="B179" t="inlineStr">
        <is>
          <t>Trans Certification and Inspection Sdn Bhd, Kuantan, MY</t>
        </is>
      </c>
      <c r="C179" t="n">
        <v>7</v>
      </c>
    </row>
    <row r="180">
      <c r="A180" t="inlineStr">
        <is>
          <t>Vietnam</t>
        </is>
      </c>
      <c r="B180" t="inlineStr">
        <is>
          <t>China Quality Certification Centre Co., Ltd., Beijing, CN</t>
        </is>
      </c>
      <c r="C180" t="n">
        <v>6</v>
      </c>
    </row>
    <row r="181">
      <c r="A181" t="inlineStr">
        <is>
          <t>Vietnam</t>
        </is>
      </c>
      <c r="B181" t="inlineStr">
        <is>
          <t>PT. CBQA GLOBAL INDONESIA, JAKARTA SELATAN, ID</t>
        </is>
      </c>
      <c r="C181" t="n">
        <v>5</v>
      </c>
    </row>
    <row r="182">
      <c r="A182" t="inlineStr">
        <is>
          <t>Brazil</t>
        </is>
      </c>
      <c r="B182" t="inlineStr">
        <is>
          <t>SCS Global Services, Emeryville, CA, US</t>
        </is>
      </c>
      <c r="C182" t="n">
        <v>62</v>
      </c>
    </row>
    <row r="183">
      <c r="A183" t="inlineStr">
        <is>
          <t>Brazil</t>
        </is>
      </c>
      <c r="B183" t="inlineStr">
        <is>
          <t>Control Union Poland Sp. z o.o., Zielona Gora, PL</t>
        </is>
      </c>
      <c r="C183" t="n">
        <v>61</v>
      </c>
    </row>
    <row r="184">
      <c r="A184" t="inlineStr">
        <is>
          <t>Brazil</t>
        </is>
      </c>
      <c r="B184" t="inlineStr">
        <is>
          <t>QIMA, Centro, Botucatu - SP, CEP, BR</t>
        </is>
      </c>
      <c r="C184" t="n">
        <v>49</v>
      </c>
    </row>
    <row r="185">
      <c r="A185" t="inlineStr">
        <is>
          <t>Brazil</t>
        </is>
      </c>
      <c r="B185" t="inlineStr">
        <is>
          <t>Control Union Certifications Germany GmbH, Berlin, DE</t>
        </is>
      </c>
      <c r="C185" t="n">
        <v>27</v>
      </c>
    </row>
    <row r="186">
      <c r="A186" t="inlineStr">
        <is>
          <t>Brazil</t>
        </is>
      </c>
      <c r="B186" t="inlineStr">
        <is>
          <t>SGS Germany GmbH, Emstek, DE</t>
        </is>
      </c>
      <c r="C186" t="n">
        <v>25</v>
      </c>
    </row>
    <row r="187">
      <c r="A187" t="inlineStr">
        <is>
          <t>Brazil</t>
        </is>
      </c>
      <c r="B187" t="inlineStr">
        <is>
          <t>RINA Services S.p.A., Genova, IT</t>
        </is>
      </c>
      <c r="C187" t="n">
        <v>4</v>
      </c>
    </row>
    <row r="188">
      <c r="A188" t="inlineStr">
        <is>
          <t>Brazil</t>
        </is>
      </c>
      <c r="B188" t="inlineStr">
        <is>
          <t>PT Intertek Utama Services, Jakarta, ID</t>
        </is>
      </c>
      <c r="C188" t="n">
        <v>3</v>
      </c>
    </row>
    <row r="189">
      <c r="A189" t="inlineStr">
        <is>
          <t>Brazil</t>
        </is>
      </c>
      <c r="B189" t="inlineStr">
        <is>
          <t>TÜV NORD CERT GmbH, Essen, DE</t>
        </is>
      </c>
      <c r="C189" t="n">
        <v>1</v>
      </c>
    </row>
    <row r="190">
      <c r="A190" t="inlineStr">
        <is>
          <t>Brazil</t>
        </is>
      </c>
      <c r="B190" t="inlineStr">
        <is>
          <t>Baltic Control Certification, Albertslund, DK</t>
        </is>
      </c>
      <c r="C190" t="n">
        <v>1</v>
      </c>
    </row>
    <row r="191">
      <c r="A191" t="inlineStr">
        <is>
          <t>Brazil</t>
        </is>
      </c>
      <c r="B191" t="inlineStr"/>
      <c r="C191" t="n">
        <v>0</v>
      </c>
    </row>
    <row r="192">
      <c r="A192" t="inlineStr">
        <is>
          <t>India</t>
        </is>
      </c>
      <c r="B192" t="inlineStr">
        <is>
          <t>Cotecna India Inspection Pvt Ltd, Kolkata, IN</t>
        </is>
      </c>
      <c r="C192" t="n">
        <v>80</v>
      </c>
    </row>
    <row r="193">
      <c r="A193" t="inlineStr">
        <is>
          <t>India</t>
        </is>
      </c>
      <c r="B193" t="inlineStr">
        <is>
          <t>SGS Germany GmbH, Emstek, DE</t>
        </is>
      </c>
      <c r="C193" t="n">
        <v>32</v>
      </c>
    </row>
    <row r="194">
      <c r="A194" t="inlineStr">
        <is>
          <t>India</t>
        </is>
      </c>
      <c r="B194" t="inlineStr">
        <is>
          <t>Alcumus ISOQAR Ltd, Stretford, Manchester, GB</t>
        </is>
      </c>
      <c r="C194" t="n">
        <v>26</v>
      </c>
    </row>
    <row r="195">
      <c r="A195" t="inlineStr">
        <is>
          <t>India</t>
        </is>
      </c>
      <c r="B195" t="inlineStr">
        <is>
          <t>PT Intertek Utama Services, Jakarta, ID</t>
        </is>
      </c>
      <c r="C195" t="n">
        <v>21</v>
      </c>
    </row>
    <row r="196">
      <c r="A196" t="inlineStr">
        <is>
          <t>India</t>
        </is>
      </c>
      <c r="B196" t="inlineStr">
        <is>
          <t>ISOQAR Ltd, Stretford, Manchester, GB</t>
        </is>
      </c>
      <c r="C196" t="n">
        <v>20</v>
      </c>
    </row>
    <row r="197">
      <c r="A197" t="inlineStr">
        <is>
          <t>India</t>
        </is>
      </c>
      <c r="B197" t="inlineStr">
        <is>
          <t>Control Union Certifications Germany GmbH, Berlin, DE</t>
        </is>
      </c>
      <c r="C197" t="n">
        <v>11</v>
      </c>
    </row>
    <row r="198">
      <c r="A198" t="inlineStr">
        <is>
          <t>India</t>
        </is>
      </c>
      <c r="B198" t="inlineStr">
        <is>
          <t>TÜV SÜD Industrie Service GmbH, München, DE</t>
        </is>
      </c>
      <c r="C198" t="n">
        <v>5</v>
      </c>
    </row>
    <row r="199">
      <c r="A199" t="inlineStr">
        <is>
          <t>India</t>
        </is>
      </c>
      <c r="B199" t="inlineStr">
        <is>
          <t>Trans Certification and Inspection Sdn Bhd, Kuantan, MY</t>
        </is>
      </c>
      <c r="C199" t="n">
        <v>5</v>
      </c>
    </row>
    <row r="200">
      <c r="A200" t="inlineStr">
        <is>
          <t>India</t>
        </is>
      </c>
      <c r="B200" t="inlineStr">
        <is>
          <t>SCS Global Services, Emeryville, CA, US</t>
        </is>
      </c>
      <c r="C200" t="n">
        <v>4</v>
      </c>
    </row>
    <row r="201">
      <c r="A201" t="inlineStr">
        <is>
          <t>India</t>
        </is>
      </c>
      <c r="B201" t="inlineStr">
        <is>
          <t>RINA Services S.p.A., Genova, IT</t>
        </is>
      </c>
      <c r="C201" t="n">
        <v>4</v>
      </c>
    </row>
    <row r="202">
      <c r="A202" t="inlineStr">
        <is>
          <t>Switzerland</t>
        </is>
      </c>
      <c r="B202" t="inlineStr">
        <is>
          <t>SGS Germany GmbH, Emstek, DE</t>
        </is>
      </c>
      <c r="C202" t="n">
        <v>65</v>
      </c>
    </row>
    <row r="203">
      <c r="A203" t="inlineStr">
        <is>
          <t>Switzerland</t>
        </is>
      </c>
      <c r="B203" t="inlineStr">
        <is>
          <t>Control Union Certifications Germany GmbH, Berlin, DE</t>
        </is>
      </c>
      <c r="C203" t="n">
        <v>31</v>
      </c>
    </row>
    <row r="204">
      <c r="A204" t="inlineStr">
        <is>
          <t>Switzerland</t>
        </is>
      </c>
      <c r="B204" t="inlineStr">
        <is>
          <t>ASG Cert GmbH, Munich, DE</t>
        </is>
      </c>
      <c r="C204" t="n">
        <v>15</v>
      </c>
    </row>
    <row r="205">
      <c r="A205" t="inlineStr">
        <is>
          <t>Switzerland</t>
        </is>
      </c>
      <c r="B205" t="inlineStr">
        <is>
          <t>Bureau Veritas Polska Sp. z o.o., Warsaw, PL</t>
        </is>
      </c>
      <c r="C205" t="n">
        <v>9</v>
      </c>
    </row>
    <row r="206">
      <c r="A206" t="inlineStr">
        <is>
          <t>Switzerland</t>
        </is>
      </c>
      <c r="B206" t="inlineStr">
        <is>
          <t>TÜV NORD CERT GmbH, Essen, DE</t>
        </is>
      </c>
      <c r="C206" t="n">
        <v>8</v>
      </c>
    </row>
    <row r="207">
      <c r="A207" t="inlineStr">
        <is>
          <t>Switzerland</t>
        </is>
      </c>
      <c r="B207" t="inlineStr">
        <is>
          <t>PT Intertek Utama Services, Jakarta, ID</t>
        </is>
      </c>
      <c r="C207" t="n">
        <v>8</v>
      </c>
    </row>
    <row r="208">
      <c r="A208" t="inlineStr">
        <is>
          <t>Switzerland</t>
        </is>
      </c>
      <c r="B208" t="inlineStr">
        <is>
          <t>Certificadora Gallega del Noroeste SL, Vilagarcia de Arousa-Pontevedra, ES</t>
        </is>
      </c>
      <c r="C208" t="n">
        <v>8</v>
      </c>
    </row>
    <row r="209">
      <c r="A209" t="inlineStr">
        <is>
          <t>Switzerland</t>
        </is>
      </c>
      <c r="B209" t="inlineStr">
        <is>
          <t>RINA Services S.p.A., Genova, IT</t>
        </is>
      </c>
      <c r="C209" t="n">
        <v>7</v>
      </c>
    </row>
    <row r="210">
      <c r="A210" t="inlineStr">
        <is>
          <t>Switzerland</t>
        </is>
      </c>
      <c r="B210" t="inlineStr">
        <is>
          <t>TÜV SÜD Industrie Service GmbH, München, DE</t>
        </is>
      </c>
      <c r="C210" t="n">
        <v>6</v>
      </c>
    </row>
    <row r="211">
      <c r="A211" t="inlineStr">
        <is>
          <t>Switzerland</t>
        </is>
      </c>
      <c r="B211" t="inlineStr">
        <is>
          <t>BM Certification, Riga, LV</t>
        </is>
      </c>
      <c r="C211" t="n">
        <v>6</v>
      </c>
    </row>
    <row r="212">
      <c r="A212" t="inlineStr">
        <is>
          <t>Slovakia</t>
        </is>
      </c>
      <c r="B212" t="inlineStr">
        <is>
          <t>United Registrar of Systems Polska Sp. z o.o., Wrocław, PL</t>
        </is>
      </c>
      <c r="C212" t="n">
        <v>127</v>
      </c>
    </row>
    <row r="213">
      <c r="A213" t="inlineStr">
        <is>
          <t>Slovakia</t>
        </is>
      </c>
      <c r="B213" t="inlineStr">
        <is>
          <t>Bureau Veritas Polska Sp. z o.o., Warsaw, PL</t>
        </is>
      </c>
      <c r="C213" t="n">
        <v>49</v>
      </c>
    </row>
    <row r="214">
      <c r="A214" t="inlineStr">
        <is>
          <t>Slovakia</t>
        </is>
      </c>
      <c r="B214" t="inlineStr">
        <is>
          <t>SGS Germany GmbH, Emstek, DE</t>
        </is>
      </c>
      <c r="C214" t="n">
        <v>22</v>
      </c>
    </row>
    <row r="215">
      <c r="A215" t="inlineStr">
        <is>
          <t>Slovakia</t>
        </is>
      </c>
      <c r="B215" t="inlineStr">
        <is>
          <t>TÜV SÜD Czech s.r.o., Praha 4, CZ</t>
        </is>
      </c>
      <c r="C215" t="n">
        <v>8</v>
      </c>
    </row>
    <row r="216">
      <c r="A216" t="inlineStr">
        <is>
          <t>Slovakia</t>
        </is>
      </c>
      <c r="B216" t="inlineStr">
        <is>
          <t>RINA Services S.p.A., Genova, IT</t>
        </is>
      </c>
      <c r="C216" t="n">
        <v>3</v>
      </c>
    </row>
    <row r="217">
      <c r="A217" t="inlineStr">
        <is>
          <t>Slovakia</t>
        </is>
      </c>
      <c r="B217" t="inlineStr">
        <is>
          <t>Double Helix Tracking Technologies Pte Ltd, Singapore, SG</t>
        </is>
      </c>
      <c r="C217" t="n">
        <v>2</v>
      </c>
    </row>
    <row r="218">
      <c r="A218" t="inlineStr">
        <is>
          <t>Slovakia</t>
        </is>
      </c>
      <c r="B218" t="inlineStr">
        <is>
          <t>PT Intertek Utama Services, Jakarta, ID</t>
        </is>
      </c>
      <c r="C218" t="n">
        <v>1</v>
      </c>
    </row>
    <row r="219">
      <c r="A219" t="inlineStr">
        <is>
          <t>Slovakia</t>
        </is>
      </c>
      <c r="B219" t="inlineStr">
        <is>
          <t>CertRom SRL, Bucuresti, RO</t>
        </is>
      </c>
      <c r="C219" t="n">
        <v>1</v>
      </c>
    </row>
    <row r="220">
      <c r="A220" t="inlineStr">
        <is>
          <t>Slovakia</t>
        </is>
      </c>
      <c r="B220" t="inlineStr">
        <is>
          <t>Aciter Genelab LLC, Odessa, UA</t>
        </is>
      </c>
      <c r="C220" t="n">
        <v>1</v>
      </c>
    </row>
    <row r="221">
      <c r="A221" t="inlineStr">
        <is>
          <t>Slovakia</t>
        </is>
      </c>
      <c r="B221" t="inlineStr">
        <is>
          <t>ASG Cert GmbH, Munich, DE</t>
        </is>
      </c>
      <c r="C221" t="n">
        <v>1</v>
      </c>
    </row>
    <row r="222">
      <c r="A222" t="inlineStr">
        <is>
          <t>Republic of</t>
        </is>
      </c>
      <c r="B222" t="inlineStr">
        <is>
          <t>Control Union Certifications Germany GmbH, Berlin, DE</t>
        </is>
      </c>
      <c r="C222" t="n">
        <v>175</v>
      </c>
    </row>
    <row r="223">
      <c r="A223" t="inlineStr">
        <is>
          <t>Republic of</t>
        </is>
      </c>
      <c r="B223" t="inlineStr">
        <is>
          <t>Korean Foundation for Quality, Songpa-gu, Seoul, KR</t>
        </is>
      </c>
      <c r="C223" t="n">
        <v>8</v>
      </c>
    </row>
    <row r="224">
      <c r="A224" t="inlineStr">
        <is>
          <t>Republic of</t>
        </is>
      </c>
      <c r="B224" t="inlineStr">
        <is>
          <t>Bureau Veritas Polska Sp. z o.o., Warsaw, PL</t>
        </is>
      </c>
      <c r="C224" t="n">
        <v>3</v>
      </c>
    </row>
    <row r="225">
      <c r="A225" t="inlineStr">
        <is>
          <t>Republic of</t>
        </is>
      </c>
      <c r="B225" t="inlineStr">
        <is>
          <t>SGS Germany GmbH, Emstek, DE</t>
        </is>
      </c>
      <c r="C225" t="n">
        <v>3</v>
      </c>
    </row>
    <row r="226">
      <c r="A226" t="inlineStr">
        <is>
          <t>Republic of</t>
        </is>
      </c>
      <c r="B226" t="inlineStr">
        <is>
          <t>BM Certification, Riga, LV</t>
        </is>
      </c>
      <c r="C226" t="n">
        <v>3</v>
      </c>
    </row>
    <row r="227">
      <c r="A227" t="inlineStr">
        <is>
          <t>Republic of</t>
        </is>
      </c>
      <c r="B227" t="inlineStr">
        <is>
          <t>TÜV NORD CERT GmbH, Essen, DE</t>
        </is>
      </c>
      <c r="C227" t="n">
        <v>2</v>
      </c>
    </row>
    <row r="228">
      <c r="A228" t="inlineStr">
        <is>
          <t>Republic of</t>
        </is>
      </c>
      <c r="B228" t="inlineStr">
        <is>
          <t>SCS Global Services, Emeryville, CA, US</t>
        </is>
      </c>
      <c r="C228" t="n">
        <v>2</v>
      </c>
    </row>
    <row r="229">
      <c r="A229" t="inlineStr">
        <is>
          <t>Republic of</t>
        </is>
      </c>
      <c r="B229" t="inlineStr">
        <is>
          <t>DNV Business Assurance Sweden AB, Solna, SE</t>
        </is>
      </c>
      <c r="C229" t="n">
        <v>1</v>
      </c>
    </row>
    <row r="230">
      <c r="A230" t="inlineStr">
        <is>
          <t>Republic of</t>
        </is>
      </c>
      <c r="B230" t="inlineStr">
        <is>
          <t>PT Intertek Utama Services, Jakarta, ID</t>
        </is>
      </c>
      <c r="C230" t="n">
        <v>1</v>
      </c>
    </row>
    <row r="231">
      <c r="A231" t="inlineStr">
        <is>
          <t>Republic of</t>
        </is>
      </c>
      <c r="B231" t="inlineStr"/>
      <c r="C231" t="n">
        <v>0</v>
      </c>
    </row>
    <row r="232">
      <c r="A232" t="inlineStr">
        <is>
          <t>Thailand</t>
        </is>
      </c>
      <c r="B232" t="inlineStr">
        <is>
          <t>SGS Germany GmbH, Emstek, DE</t>
        </is>
      </c>
      <c r="C232" t="n">
        <v>67</v>
      </c>
    </row>
    <row r="233">
      <c r="A233" t="inlineStr">
        <is>
          <t>Thailand</t>
        </is>
      </c>
      <c r="B233" t="inlineStr">
        <is>
          <t>Control Union Poland Sp. z o.o., Zielona Gora, PL</t>
        </is>
      </c>
      <c r="C233" t="n">
        <v>43</v>
      </c>
    </row>
    <row r="234">
      <c r="A234" t="inlineStr">
        <is>
          <t>Thailand</t>
        </is>
      </c>
      <c r="B234" t="inlineStr">
        <is>
          <t>Trans Certification and Inspection Sdn Bhd, Kuantan, MY</t>
        </is>
      </c>
      <c r="C234" t="n">
        <v>24</v>
      </c>
    </row>
    <row r="235">
      <c r="A235" t="inlineStr">
        <is>
          <t>Thailand</t>
        </is>
      </c>
      <c r="B235" t="inlineStr">
        <is>
          <t>Bureau Veritas Polska Sp. z o.o., Warsaw, PL</t>
        </is>
      </c>
      <c r="C235" t="n">
        <v>21</v>
      </c>
    </row>
    <row r="236">
      <c r="A236" t="inlineStr">
        <is>
          <t>Thailand</t>
        </is>
      </c>
      <c r="B236" t="inlineStr">
        <is>
          <t>SCS Global Services, Emeryville, CA, US</t>
        </is>
      </c>
      <c r="C236" t="n">
        <v>9</v>
      </c>
    </row>
    <row r="237">
      <c r="A237" t="inlineStr">
        <is>
          <t>Thailand</t>
        </is>
      </c>
      <c r="B237" t="inlineStr">
        <is>
          <t>PT Intertek Utama Services, Jakarta, ID</t>
        </is>
      </c>
      <c r="C237" t="n">
        <v>7</v>
      </c>
    </row>
    <row r="238">
      <c r="A238" t="inlineStr">
        <is>
          <t>Thailand</t>
        </is>
      </c>
      <c r="B238" t="inlineStr">
        <is>
          <t>PT. CBQA GLOBAL INDONESIA, JAKARTA SELATAN, ID</t>
        </is>
      </c>
      <c r="C238" t="n">
        <v>6</v>
      </c>
    </row>
    <row r="239">
      <c r="A239" t="inlineStr">
        <is>
          <t>Thailand</t>
        </is>
      </c>
      <c r="B239" t="inlineStr">
        <is>
          <t>TÜV NORD CERT GmbH, Essen, DE</t>
        </is>
      </c>
      <c r="C239" t="n">
        <v>3</v>
      </c>
    </row>
    <row r="240">
      <c r="A240" t="inlineStr">
        <is>
          <t>Thailand</t>
        </is>
      </c>
      <c r="B240" t="inlineStr">
        <is>
          <t>China Testing &amp; Certification International Group Co., Ltd., Beijing, CN</t>
        </is>
      </c>
      <c r="C240" t="n">
        <v>3</v>
      </c>
    </row>
    <row r="241">
      <c r="A241" t="inlineStr">
        <is>
          <t>Thailand</t>
        </is>
      </c>
      <c r="B241" t="inlineStr">
        <is>
          <t>PT. Qualitas Sertifikasi Indonesia, Jakarta, ID</t>
        </is>
      </c>
      <c r="C241" t="n">
        <v>2</v>
      </c>
    </row>
    <row r="242">
      <c r="A242" t="inlineStr">
        <is>
          <t>South Korea</t>
        </is>
      </c>
      <c r="B242" t="inlineStr">
        <is>
          <t>Control Union Certifications Germany GmbH, Berlin, DE</t>
        </is>
      </c>
      <c r="C242" t="n">
        <v>95</v>
      </c>
    </row>
    <row r="243">
      <c r="A243" t="inlineStr">
        <is>
          <t>South Korea</t>
        </is>
      </c>
      <c r="B243" t="inlineStr">
        <is>
          <t>Korean Foundation for Quality, Songpa-gu, Seoul, KR</t>
        </is>
      </c>
      <c r="C243" t="n">
        <v>53</v>
      </c>
    </row>
    <row r="244">
      <c r="A244" t="inlineStr">
        <is>
          <t>South Korea</t>
        </is>
      </c>
      <c r="B244" t="inlineStr">
        <is>
          <t>Bureau Veritas Polska Sp. z o.o., Warsaw, PL</t>
        </is>
      </c>
      <c r="C244" t="n">
        <v>10</v>
      </c>
    </row>
    <row r="245">
      <c r="A245" t="inlineStr">
        <is>
          <t>South Korea</t>
        </is>
      </c>
      <c r="B245" t="inlineStr">
        <is>
          <t>SGS Germany GmbH, Emstek, DE</t>
        </is>
      </c>
      <c r="C245" t="n">
        <v>7</v>
      </c>
    </row>
    <row r="246">
      <c r="A246" t="inlineStr">
        <is>
          <t>South Korea</t>
        </is>
      </c>
      <c r="B246" t="inlineStr">
        <is>
          <t>FITI Testing &amp; Research Institute, Seoul, KR</t>
        </is>
      </c>
      <c r="C246" t="n">
        <v>5</v>
      </c>
    </row>
    <row r="247">
      <c r="A247" t="inlineStr">
        <is>
          <t>South Korea</t>
        </is>
      </c>
      <c r="B247" t="inlineStr">
        <is>
          <t>BM Certification, Riga, LV</t>
        </is>
      </c>
      <c r="C247" t="n">
        <v>4</v>
      </c>
    </row>
    <row r="248">
      <c r="A248" t="inlineStr">
        <is>
          <t>South Korea</t>
        </is>
      </c>
      <c r="B248" t="inlineStr">
        <is>
          <t>PT. Qualitas Sertifikasi Indonesia, Jakarta, ID</t>
        </is>
      </c>
      <c r="C248" t="n">
        <v>2</v>
      </c>
    </row>
    <row r="249">
      <c r="A249" t="inlineStr">
        <is>
          <t>South Korea</t>
        </is>
      </c>
      <c r="B249" t="inlineStr">
        <is>
          <t>PT Intertek Utama Services, Jakarta, ID</t>
        </is>
      </c>
      <c r="C249" t="n">
        <v>2</v>
      </c>
    </row>
    <row r="250">
      <c r="A250" t="inlineStr">
        <is>
          <t>South Korea</t>
        </is>
      </c>
      <c r="B250" t="inlineStr">
        <is>
          <t>Guardian Independent Certification Limited, Singapore, SG</t>
        </is>
      </c>
      <c r="C250" t="n">
        <v>1</v>
      </c>
    </row>
    <row r="251">
      <c r="A251" t="inlineStr">
        <is>
          <t>South Korea</t>
        </is>
      </c>
      <c r="B251" t="inlineStr">
        <is>
          <t>TÜV NORD CERT GmbH, Essen, DE</t>
        </is>
      </c>
      <c r="C251" t="n">
        <v>1</v>
      </c>
    </row>
    <row r="252">
      <c r="A252" t="inlineStr">
        <is>
          <t>Poland</t>
        </is>
      </c>
      <c r="B252" t="inlineStr">
        <is>
          <t>Bureau Veritas Polska Sp. z o.o., Warsaw, PL</t>
        </is>
      </c>
      <c r="C252" t="n">
        <v>79</v>
      </c>
    </row>
    <row r="253">
      <c r="A253" t="inlineStr">
        <is>
          <t>Poland</t>
        </is>
      </c>
      <c r="B253" t="inlineStr">
        <is>
          <t>Control Union Poland Sp. z o.o., Zielona Gora, PL</t>
        </is>
      </c>
      <c r="C253" t="n">
        <v>39</v>
      </c>
    </row>
    <row r="254">
      <c r="A254" t="inlineStr">
        <is>
          <t>Poland</t>
        </is>
      </c>
      <c r="B254" t="inlineStr">
        <is>
          <t>SGS Germany GmbH, Emstek, DE</t>
        </is>
      </c>
      <c r="C254" t="n">
        <v>21</v>
      </c>
    </row>
    <row r="255">
      <c r="A255" t="inlineStr">
        <is>
          <t>Poland</t>
        </is>
      </c>
      <c r="B255" t="inlineStr">
        <is>
          <t>United Registrar of Systems Polska Sp. z o.o., Wrocław, PL</t>
        </is>
      </c>
      <c r="C255" t="n">
        <v>12</v>
      </c>
    </row>
    <row r="256">
      <c r="A256" t="inlineStr">
        <is>
          <t>Poland</t>
        </is>
      </c>
      <c r="B256" t="inlineStr">
        <is>
          <t>BM Certification, Riga, LV</t>
        </is>
      </c>
      <c r="C256" t="n">
        <v>4</v>
      </c>
    </row>
    <row r="257">
      <c r="A257" t="inlineStr">
        <is>
          <t>Poland</t>
        </is>
      </c>
      <c r="B257" t="inlineStr">
        <is>
          <t>DNV Business Assurance Sweden AB, Solna, SE</t>
        </is>
      </c>
      <c r="C257" t="n">
        <v>4</v>
      </c>
    </row>
    <row r="258">
      <c r="A258" t="inlineStr">
        <is>
          <t>Poland</t>
        </is>
      </c>
      <c r="B258" t="inlineStr">
        <is>
          <t>Control Union Certifications Germany GmbH, Berlin, DE</t>
        </is>
      </c>
      <c r="C258" t="n">
        <v>3</v>
      </c>
    </row>
    <row r="259">
      <c r="A259" t="inlineStr">
        <is>
          <t>Poland</t>
        </is>
      </c>
      <c r="B259" t="inlineStr">
        <is>
          <t>Double Helix Tracking Technologies Pte Ltd, Singapore, SG</t>
        </is>
      </c>
      <c r="C259" t="n">
        <v>3</v>
      </c>
    </row>
    <row r="260">
      <c r="A260" t="inlineStr">
        <is>
          <t>Poland</t>
        </is>
      </c>
      <c r="B260" t="inlineStr">
        <is>
          <t>DQS CFS GmbH - Deutsche Gesellschaft für Nachhaltigkeit, Frankfurt am Main, DE</t>
        </is>
      </c>
      <c r="C260" t="n">
        <v>3</v>
      </c>
    </row>
    <row r="261">
      <c r="A261" t="inlineStr">
        <is>
          <t>Poland</t>
        </is>
      </c>
      <c r="B261" t="inlineStr">
        <is>
          <t>Apex Genelab LLC, Odessa, UA</t>
        </is>
      </c>
      <c r="C261" t="n">
        <v>2</v>
      </c>
    </row>
    <row r="262">
      <c r="A262" t="inlineStr">
        <is>
          <t>Austria</t>
        </is>
      </c>
      <c r="B262" t="inlineStr">
        <is>
          <t>agroVet GmbH, Enzersfeld, AT</t>
        </is>
      </c>
      <c r="C262" t="n">
        <v>106</v>
      </c>
    </row>
    <row r="263">
      <c r="A263" t="inlineStr">
        <is>
          <t>Austria</t>
        </is>
      </c>
      <c r="B263" t="inlineStr">
        <is>
          <t>SGS Germany GmbH, Emstek, DE</t>
        </is>
      </c>
      <c r="C263" t="n">
        <v>15</v>
      </c>
    </row>
    <row r="264">
      <c r="A264" t="inlineStr">
        <is>
          <t>Austria</t>
        </is>
      </c>
      <c r="B264" t="inlineStr">
        <is>
          <t>TÜV SÜD Industrie Service GmbH, München, DE</t>
        </is>
      </c>
      <c r="C264" t="n">
        <v>11</v>
      </c>
    </row>
    <row r="265">
      <c r="A265" t="inlineStr">
        <is>
          <t>Austria</t>
        </is>
      </c>
      <c r="B265" t="inlineStr">
        <is>
          <t>Bureau Veritas Polska Sp. z o.o., Warsaw, PL</t>
        </is>
      </c>
      <c r="C265" t="n">
        <v>6</v>
      </c>
    </row>
    <row r="266">
      <c r="A266" t="inlineStr">
        <is>
          <t>Austria</t>
        </is>
      </c>
      <c r="B266" t="inlineStr">
        <is>
          <t>PT Intertek Utama Services, Jakarta, ID</t>
        </is>
      </c>
      <c r="C266" t="n">
        <v>5</v>
      </c>
    </row>
    <row r="267">
      <c r="A267" t="inlineStr">
        <is>
          <t>Austria</t>
        </is>
      </c>
      <c r="B267" t="inlineStr">
        <is>
          <t>BM Certification, Riga, LV</t>
        </is>
      </c>
      <c r="C267" t="n">
        <v>4</v>
      </c>
    </row>
    <row r="268">
      <c r="A268" t="inlineStr">
        <is>
          <t>Austria</t>
        </is>
      </c>
      <c r="B268" t="inlineStr">
        <is>
          <t>RINA Services S.p.A., Genova, IT</t>
        </is>
      </c>
      <c r="C268" t="n">
        <v>4</v>
      </c>
    </row>
    <row r="269">
      <c r="A269" t="inlineStr">
        <is>
          <t>Austria</t>
        </is>
      </c>
      <c r="B269" t="inlineStr">
        <is>
          <t>DIN CERTCO GmbH, Berlin, DE</t>
        </is>
      </c>
      <c r="C269" t="n">
        <v>4</v>
      </c>
    </row>
    <row r="270">
      <c r="A270" t="inlineStr">
        <is>
          <t>Austria</t>
        </is>
      </c>
      <c r="B270" t="inlineStr">
        <is>
          <t>GUT Certifizierungsgesellschaft für Managementsysteme mbH Umweltgutachter, Berlin, DE</t>
        </is>
      </c>
      <c r="C270" t="n">
        <v>3</v>
      </c>
    </row>
    <row r="271">
      <c r="A271" t="inlineStr">
        <is>
          <t>Austria</t>
        </is>
      </c>
      <c r="B271" t="inlineStr">
        <is>
          <t>Control Union Certifications Germany GmbH, Berlin, DE</t>
        </is>
      </c>
      <c r="C271" t="n">
        <v>3</v>
      </c>
    </row>
    <row r="272">
      <c r="A272" t="inlineStr">
        <is>
          <t>Denmark</t>
        </is>
      </c>
      <c r="B272" t="inlineStr">
        <is>
          <t>Baltic Control Certification, Risskov, DK</t>
        </is>
      </c>
      <c r="C272" t="n">
        <v>51</v>
      </c>
    </row>
    <row r="273">
      <c r="A273" t="inlineStr">
        <is>
          <t>Denmark</t>
        </is>
      </c>
      <c r="B273" t="inlineStr">
        <is>
          <t>Baltic Control Certification, Albertslund, DK</t>
        </is>
      </c>
      <c r="C273" t="n">
        <v>47</v>
      </c>
    </row>
    <row r="274">
      <c r="A274" t="inlineStr">
        <is>
          <t>Denmark</t>
        </is>
      </c>
      <c r="B274" t="inlineStr">
        <is>
          <t>DNV Business Assurance Sweden AB, Solna, SE</t>
        </is>
      </c>
      <c r="C274" t="n">
        <v>12</v>
      </c>
    </row>
    <row r="275">
      <c r="A275" t="inlineStr">
        <is>
          <t>Denmark</t>
        </is>
      </c>
      <c r="B275" t="inlineStr">
        <is>
          <t>GUT Certifizierungsgesellschaft für Managementsysteme mbH Umweltgutachter, Berlin, DE</t>
        </is>
      </c>
      <c r="C275" t="n">
        <v>7</v>
      </c>
    </row>
    <row r="276">
      <c r="A276" t="inlineStr">
        <is>
          <t>Denmark</t>
        </is>
      </c>
      <c r="B276" t="inlineStr">
        <is>
          <t>Control Union Certifications Germany GmbH, Berlin, DE</t>
        </is>
      </c>
      <c r="C276" t="n">
        <v>6</v>
      </c>
    </row>
    <row r="277">
      <c r="A277" t="inlineStr">
        <is>
          <t>Denmark</t>
        </is>
      </c>
      <c r="B277" t="inlineStr">
        <is>
          <t>Bureau Veritas Polska Sp. z o.o., Warsaw, PL</t>
        </is>
      </c>
      <c r="C277" t="n">
        <v>5</v>
      </c>
    </row>
    <row r="278">
      <c r="A278" t="inlineStr">
        <is>
          <t>Denmark</t>
        </is>
      </c>
      <c r="B278" t="inlineStr">
        <is>
          <t>SGS Germany GmbH, Emstek, DE</t>
        </is>
      </c>
      <c r="C278" t="n">
        <v>5</v>
      </c>
    </row>
    <row r="279">
      <c r="A279" t="inlineStr">
        <is>
          <t>Denmark</t>
        </is>
      </c>
      <c r="B279" t="inlineStr">
        <is>
          <t>NCS Estonia OÜ, Tallinn, EE</t>
        </is>
      </c>
      <c r="C279" t="n">
        <v>4</v>
      </c>
    </row>
    <row r="280">
      <c r="A280" t="inlineStr">
        <is>
          <t>Denmark</t>
        </is>
      </c>
      <c r="B280" t="inlineStr">
        <is>
          <t>TÜV SÜD Industrie Service GmbH, München, DE</t>
        </is>
      </c>
      <c r="C280" t="n">
        <v>2</v>
      </c>
    </row>
    <row r="281">
      <c r="A281" t="inlineStr">
        <is>
          <t>Denmark</t>
        </is>
      </c>
      <c r="B281" t="inlineStr">
        <is>
          <t>TÜV NORD CERT GmbH, Essen, DE</t>
        </is>
      </c>
      <c r="C281" t="n">
        <v>2</v>
      </c>
    </row>
    <row r="282">
      <c r="A282" t="inlineStr">
        <is>
          <t>Australia</t>
        </is>
      </c>
      <c r="B282" t="inlineStr">
        <is>
          <t>Control Union Certifications Germany GmbH, Berlin, DE</t>
        </is>
      </c>
      <c r="C282" t="n">
        <v>83</v>
      </c>
    </row>
    <row r="283">
      <c r="A283" t="inlineStr">
        <is>
          <t>Australia</t>
        </is>
      </c>
      <c r="B283" t="inlineStr">
        <is>
          <t>SGS Germany GmbH, Emstek, DE</t>
        </is>
      </c>
      <c r="C283" t="n">
        <v>41</v>
      </c>
    </row>
    <row r="284">
      <c r="A284" t="inlineStr">
        <is>
          <t>Australia</t>
        </is>
      </c>
      <c r="B284" t="inlineStr">
        <is>
          <t>BM Certification, Riga, LV</t>
        </is>
      </c>
      <c r="C284" t="n">
        <v>15</v>
      </c>
    </row>
    <row r="285">
      <c r="A285" t="inlineStr">
        <is>
          <t>Australia</t>
        </is>
      </c>
      <c r="B285" t="inlineStr">
        <is>
          <t>SCS Global Services, Emeryville, CA, US</t>
        </is>
      </c>
      <c r="C285" t="n">
        <v>6</v>
      </c>
    </row>
    <row r="286">
      <c r="A286" t="inlineStr">
        <is>
          <t>Australia</t>
        </is>
      </c>
      <c r="B286" t="inlineStr">
        <is>
          <t>PT Intertek Utama Services, Jakarta, ID</t>
        </is>
      </c>
      <c r="C286" t="n">
        <v>1</v>
      </c>
    </row>
    <row r="287">
      <c r="A287" t="inlineStr">
        <is>
          <t>Australia</t>
        </is>
      </c>
      <c r="B287" t="inlineStr">
        <is>
          <t>Normec QS BV, Bennekom, NL</t>
        </is>
      </c>
      <c r="C287" t="n">
        <v>1</v>
      </c>
    </row>
    <row r="288">
      <c r="A288" t="inlineStr">
        <is>
          <t>Australia</t>
        </is>
      </c>
      <c r="B288" t="inlineStr">
        <is>
          <t>PT Mutuagung Lestari, Depok, ID</t>
        </is>
      </c>
      <c r="C288" t="n">
        <v>1</v>
      </c>
    </row>
    <row r="289">
      <c r="A289" t="inlineStr">
        <is>
          <t>Australia</t>
        </is>
      </c>
      <c r="B289" t="inlineStr"/>
      <c r="C289" t="n">
        <v>0</v>
      </c>
    </row>
    <row r="290">
      <c r="A290" t="inlineStr">
        <is>
          <t>Australia</t>
        </is>
      </c>
      <c r="B290" t="inlineStr"/>
      <c r="C290" t="n">
        <v>0</v>
      </c>
    </row>
    <row r="291">
      <c r="A291" t="inlineStr">
        <is>
          <t>Australia</t>
        </is>
      </c>
      <c r="B291" t="inlineStr"/>
      <c r="C291" t="n">
        <v>0</v>
      </c>
    </row>
    <row r="292">
      <c r="A292" t="inlineStr">
        <is>
          <t>Sweden</t>
        </is>
      </c>
      <c r="B292" t="inlineStr">
        <is>
          <t>DNV Business Assurance Sweden AB, Solna, SE</t>
        </is>
      </c>
      <c r="C292" t="n">
        <v>67</v>
      </c>
    </row>
    <row r="293">
      <c r="A293" t="inlineStr">
        <is>
          <t>Sweden</t>
        </is>
      </c>
      <c r="B293" t="inlineStr">
        <is>
          <t>Bureau Veritas Polska Sp. z o.o., Warsaw, PL</t>
        </is>
      </c>
      <c r="C293" t="n">
        <v>17</v>
      </c>
    </row>
    <row r="294">
      <c r="A294" t="inlineStr">
        <is>
          <t>Sweden</t>
        </is>
      </c>
      <c r="B294" t="inlineStr">
        <is>
          <t>SGS Germany GmbH, Emstek, DE</t>
        </is>
      </c>
      <c r="C294" t="n">
        <v>16</v>
      </c>
    </row>
    <row r="295">
      <c r="A295" t="inlineStr">
        <is>
          <t>Sweden</t>
        </is>
      </c>
      <c r="B295" t="inlineStr">
        <is>
          <t>DEKRA Certification B.V., Arnhem, NL</t>
        </is>
      </c>
      <c r="C295" t="n">
        <v>11</v>
      </c>
    </row>
    <row r="296">
      <c r="A296" t="inlineStr">
        <is>
          <t>Sweden</t>
        </is>
      </c>
      <c r="B296" t="inlineStr">
        <is>
          <t>SCS Global Services, Emeryville, CA, US</t>
        </is>
      </c>
      <c r="C296" t="n">
        <v>10</v>
      </c>
    </row>
    <row r="297">
      <c r="A297" t="inlineStr">
        <is>
          <t>Sweden</t>
        </is>
      </c>
      <c r="B297" t="inlineStr">
        <is>
          <t>ASG Cert GmbH, Munich, DE</t>
        </is>
      </c>
      <c r="C297" t="n">
        <v>6</v>
      </c>
    </row>
    <row r="298">
      <c r="A298" t="inlineStr">
        <is>
          <t>Sweden</t>
        </is>
      </c>
      <c r="B298" t="inlineStr">
        <is>
          <t>PT Intertek Utama Services, Jakarta, ID</t>
        </is>
      </c>
      <c r="C298" t="n">
        <v>3</v>
      </c>
    </row>
    <row r="299">
      <c r="A299" t="inlineStr">
        <is>
          <t>Sweden</t>
        </is>
      </c>
      <c r="B299" t="inlineStr">
        <is>
          <t>DIN CERTCO GmbH, Berlin, DE</t>
        </is>
      </c>
      <c r="C299" t="n">
        <v>2</v>
      </c>
    </row>
    <row r="300">
      <c r="A300" t="inlineStr">
        <is>
          <t>Sweden</t>
        </is>
      </c>
      <c r="B300" t="inlineStr">
        <is>
          <t>TÜV SÜD Industrie Service GmbH, München, DE</t>
        </is>
      </c>
      <c r="C300" t="n">
        <v>2</v>
      </c>
    </row>
    <row r="301">
      <c r="A301" t="inlineStr">
        <is>
          <t>Sweden</t>
        </is>
      </c>
      <c r="B301" t="inlineStr">
        <is>
          <t>Double Helix Tracking Technologies Pte Ltd, Singapore, SG</t>
        </is>
      </c>
      <c r="C301" t="n">
        <v>2</v>
      </c>
    </row>
    <row r="302">
      <c r="A302" t="inlineStr">
        <is>
          <t>Canada</t>
        </is>
      </c>
      <c r="B302" t="inlineStr">
        <is>
          <t>SCS Global Services, Emeryville, CA, US</t>
        </is>
      </c>
      <c r="C302" t="n">
        <v>55</v>
      </c>
    </row>
    <row r="303">
      <c r="A303" t="inlineStr">
        <is>
          <t>Canada</t>
        </is>
      </c>
      <c r="B303" t="inlineStr">
        <is>
          <t>SGS Germany GmbH, Emstek, DE</t>
        </is>
      </c>
      <c r="C303" t="n">
        <v>40</v>
      </c>
    </row>
    <row r="304">
      <c r="A304" t="inlineStr">
        <is>
          <t>Canada</t>
        </is>
      </c>
      <c r="B304" t="inlineStr">
        <is>
          <t>Control Union Poland Sp. z o.o., Zielona Gora, PL</t>
        </is>
      </c>
      <c r="C304" t="n">
        <v>36</v>
      </c>
    </row>
    <row r="305">
      <c r="A305" t="inlineStr">
        <is>
          <t>Canada</t>
        </is>
      </c>
      <c r="B305" t="inlineStr">
        <is>
          <t>Amspec Iberia SL, Vilagarcia de Arousa-Pontevedra, ES</t>
        </is>
      </c>
      <c r="C305" t="n">
        <v>4</v>
      </c>
    </row>
    <row r="306">
      <c r="A306" t="inlineStr">
        <is>
          <t>Canada</t>
        </is>
      </c>
      <c r="B306" t="inlineStr">
        <is>
          <t>TÜV NORD CERT GmbH, Essen, DE</t>
        </is>
      </c>
      <c r="C306" t="n">
        <v>2</v>
      </c>
    </row>
    <row r="307">
      <c r="A307" t="inlineStr">
        <is>
          <t>Canada</t>
        </is>
      </c>
      <c r="B307" t="inlineStr">
        <is>
          <t>PT Intertek Utama Services, Jakarta, ID</t>
        </is>
      </c>
      <c r="C307" t="n">
        <v>1</v>
      </c>
    </row>
    <row r="308">
      <c r="A308" t="inlineStr">
        <is>
          <t>Canada</t>
        </is>
      </c>
      <c r="B308" t="inlineStr">
        <is>
          <t>Control Union Certifications Germany GmbH, Berlin, DE</t>
        </is>
      </c>
      <c r="C308" t="n">
        <v>1</v>
      </c>
    </row>
    <row r="309">
      <c r="A309" t="inlineStr">
        <is>
          <t>Canada</t>
        </is>
      </c>
      <c r="B309" t="inlineStr">
        <is>
          <t>DNV Business Assurance Sweden AB, Solna, SE</t>
        </is>
      </c>
      <c r="C309" t="n">
        <v>1</v>
      </c>
    </row>
    <row r="310">
      <c r="A310" t="inlineStr">
        <is>
          <t>Canada</t>
        </is>
      </c>
      <c r="B310" t="inlineStr">
        <is>
          <t>ASG Cert GmbH, Munich, DE</t>
        </is>
      </c>
      <c r="C310" t="n">
        <v>1</v>
      </c>
    </row>
    <row r="311">
      <c r="A311" t="inlineStr">
        <is>
          <t>Canada</t>
        </is>
      </c>
      <c r="B311" t="inlineStr">
        <is>
          <t>Normec QS BV, Bennekom, NL</t>
        </is>
      </c>
      <c r="C311" t="n">
        <v>1</v>
      </c>
    </row>
    <row r="312">
      <c r="A312" t="inlineStr">
        <is>
          <t>Greece</t>
        </is>
      </c>
      <c r="B312" t="inlineStr">
        <is>
          <t>Eurocert SA, Metamorfosi, Athens, GR</t>
        </is>
      </c>
      <c r="C312" t="n">
        <v>91</v>
      </c>
    </row>
    <row r="313">
      <c r="A313" t="inlineStr">
        <is>
          <t>Greece</t>
        </is>
      </c>
      <c r="B313" t="inlineStr">
        <is>
          <t>QMSCERT S.A., Pylaia, Thessaloniki, GR</t>
        </is>
      </c>
      <c r="C313" t="n">
        <v>32</v>
      </c>
    </row>
    <row r="314">
      <c r="A314" t="inlineStr">
        <is>
          <t>Greece</t>
        </is>
      </c>
      <c r="B314" t="inlineStr">
        <is>
          <t>Business Quality Verification Testing and Certification Services P.C. (BQV), Marousi, Athens, GR</t>
        </is>
      </c>
      <c r="C314" t="n">
        <v>9</v>
      </c>
    </row>
    <row r="315">
      <c r="A315" t="inlineStr">
        <is>
          <t>Greece</t>
        </is>
      </c>
      <c r="B315" t="inlineStr">
        <is>
          <t>Bureau Veritas Polska Sp. z o.o., Warsaw, PL</t>
        </is>
      </c>
      <c r="C315" t="n">
        <v>6</v>
      </c>
    </row>
    <row r="316">
      <c r="A316" t="inlineStr">
        <is>
          <t>Greece</t>
        </is>
      </c>
      <c r="B316" t="inlineStr">
        <is>
          <t>Control Union Certifications Germany GmbH, Berlin, DE</t>
        </is>
      </c>
      <c r="C316" t="n">
        <v>1</v>
      </c>
    </row>
    <row r="317">
      <c r="A317" t="inlineStr">
        <is>
          <t>Greece</t>
        </is>
      </c>
      <c r="B317" t="inlineStr">
        <is>
          <t>DEKRA Certification B.V., Arnhem, NL</t>
        </is>
      </c>
      <c r="C317" t="n">
        <v>1</v>
      </c>
    </row>
    <row r="318">
      <c r="A318" t="inlineStr">
        <is>
          <t>Greece</t>
        </is>
      </c>
      <c r="B318" t="inlineStr">
        <is>
          <t>SGS Germany GmbH, Emstek, DE</t>
        </is>
      </c>
      <c r="C318" t="n">
        <v>1</v>
      </c>
    </row>
    <row r="319">
      <c r="A319" t="inlineStr">
        <is>
          <t>Greece</t>
        </is>
      </c>
      <c r="B319" t="inlineStr"/>
      <c r="C319" t="n">
        <v>0</v>
      </c>
    </row>
    <row r="320">
      <c r="A320" t="inlineStr">
        <is>
          <t>Greece</t>
        </is>
      </c>
      <c r="B320" t="inlineStr"/>
      <c r="C320" t="n">
        <v>0</v>
      </c>
    </row>
    <row r="321">
      <c r="A321" t="inlineStr">
        <is>
          <t>Greece</t>
        </is>
      </c>
      <c r="B321" t="inlineStr"/>
      <c r="C321" t="n">
        <v>0</v>
      </c>
    </row>
    <row r="322">
      <c r="A322" t="inlineStr">
        <is>
          <t>The Netherlands</t>
        </is>
      </c>
      <c r="B322" t="inlineStr">
        <is>
          <t>DEKRA Certification B.V., Arnhem, NL</t>
        </is>
      </c>
      <c r="C322" t="n">
        <v>53</v>
      </c>
    </row>
    <row r="323">
      <c r="A323" t="inlineStr">
        <is>
          <t>The Netherlands</t>
        </is>
      </c>
      <c r="B323" t="inlineStr">
        <is>
          <t>Normec QS BV, Ede, NL</t>
        </is>
      </c>
      <c r="C323" t="n">
        <v>23</v>
      </c>
    </row>
    <row r="324">
      <c r="A324" t="inlineStr">
        <is>
          <t>The Netherlands</t>
        </is>
      </c>
      <c r="B324" t="inlineStr">
        <is>
          <t>SGS Germany GmbH, Emstek, DE</t>
        </is>
      </c>
      <c r="C324" t="n">
        <v>17</v>
      </c>
    </row>
    <row r="325">
      <c r="A325" t="inlineStr">
        <is>
          <t>The Netherlands</t>
        </is>
      </c>
      <c r="B325" t="inlineStr">
        <is>
          <t>Control Union Certifications Germany GmbH, Berlin, DE</t>
        </is>
      </c>
      <c r="C325" t="n">
        <v>17</v>
      </c>
    </row>
    <row r="326">
      <c r="A326" t="inlineStr">
        <is>
          <t>The Netherlands</t>
        </is>
      </c>
      <c r="B326" t="inlineStr">
        <is>
          <t>Normec QS BV, Bennekom, NL</t>
        </is>
      </c>
      <c r="C326" t="n">
        <v>7</v>
      </c>
    </row>
    <row r="327">
      <c r="A327" t="inlineStr">
        <is>
          <t>The Netherlands</t>
        </is>
      </c>
      <c r="B327" t="inlineStr">
        <is>
          <t>DQS CFS GmbH - Deutsche Gesellschaft für Nachhaltigkeit, Frankfurt am Main, DE</t>
        </is>
      </c>
      <c r="C327" t="n">
        <v>4</v>
      </c>
    </row>
    <row r="328">
      <c r="A328" t="inlineStr">
        <is>
          <t>The Netherlands</t>
        </is>
      </c>
      <c r="B328" t="inlineStr">
        <is>
          <t>Double Helix Tracking Technologies Pte Ltd, Singapore, SG</t>
        </is>
      </c>
      <c r="C328" t="n">
        <v>2</v>
      </c>
    </row>
    <row r="329">
      <c r="A329" t="inlineStr">
        <is>
          <t>The Netherlands</t>
        </is>
      </c>
      <c r="B329" t="inlineStr">
        <is>
          <t>GUT Certifizierungsgesellschaft für Managementsysteme mbH Umweltgutachter, Berlin, DE</t>
        </is>
      </c>
      <c r="C329" t="n">
        <v>2</v>
      </c>
    </row>
    <row r="330">
      <c r="A330" t="inlineStr">
        <is>
          <t>The Netherlands</t>
        </is>
      </c>
      <c r="B330" t="inlineStr">
        <is>
          <t>TÜV NORD CERT GmbH, Essen, DE</t>
        </is>
      </c>
      <c r="C330" t="n">
        <v>2</v>
      </c>
    </row>
    <row r="331">
      <c r="A331" t="inlineStr">
        <is>
          <t>The Netherlands</t>
        </is>
      </c>
      <c r="B331" t="inlineStr">
        <is>
          <t>ASG Cert GmbH, Munich, DE</t>
        </is>
      </c>
      <c r="C331" t="n">
        <v>2</v>
      </c>
    </row>
    <row r="332">
      <c r="A332" t="inlineStr">
        <is>
          <t>Portugal</t>
        </is>
      </c>
      <c r="B332" t="inlineStr">
        <is>
          <t>SGS Germany GmbH, Emstek, DE</t>
        </is>
      </c>
      <c r="C332" t="n">
        <v>35</v>
      </c>
    </row>
    <row r="333">
      <c r="A333" t="inlineStr">
        <is>
          <t>Portugal</t>
        </is>
      </c>
      <c r="B333" t="inlineStr">
        <is>
          <t>Control Union Poland Sp. z o.o., Zielona Gora, PL</t>
        </is>
      </c>
      <c r="C333" t="n">
        <v>33</v>
      </c>
    </row>
    <row r="334">
      <c r="A334" t="inlineStr">
        <is>
          <t>Portugal</t>
        </is>
      </c>
      <c r="B334" t="inlineStr">
        <is>
          <t>Certificadora Gallega del Noroeste SL, Vilagarcia de Arousa-Pontevedra, ES</t>
        </is>
      </c>
      <c r="C334" t="n">
        <v>22</v>
      </c>
    </row>
    <row r="335">
      <c r="A335" t="inlineStr">
        <is>
          <t>Portugal</t>
        </is>
      </c>
      <c r="B335" t="inlineStr">
        <is>
          <t>Amspec Iberia SL, Vilagarcia de Arousa-Pontevedra, ES</t>
        </is>
      </c>
      <c r="C335" t="n">
        <v>12</v>
      </c>
    </row>
    <row r="336">
      <c r="A336" t="inlineStr">
        <is>
          <t>Portugal</t>
        </is>
      </c>
      <c r="B336" t="inlineStr">
        <is>
          <t>RINA Services S.p.A., Genova, IT</t>
        </is>
      </c>
      <c r="C336" t="n">
        <v>7</v>
      </c>
    </row>
    <row r="337">
      <c r="A337" t="inlineStr">
        <is>
          <t>Portugal</t>
        </is>
      </c>
      <c r="B337" t="inlineStr">
        <is>
          <t>United Registrar of Systems Polska Sp. z o.o., Wrocław, PL</t>
        </is>
      </c>
      <c r="C337" t="n">
        <v>5</v>
      </c>
    </row>
    <row r="338">
      <c r="A338" t="inlineStr">
        <is>
          <t>Portugal</t>
        </is>
      </c>
      <c r="B338" t="inlineStr">
        <is>
          <t>DQS CFS GmbH - Deutsche Gesellschaft für Nachhaltigkeit, Frankfurt am Main, DE</t>
        </is>
      </c>
      <c r="C338" t="n">
        <v>2</v>
      </c>
    </row>
    <row r="339">
      <c r="A339" t="inlineStr">
        <is>
          <t>Portugal</t>
        </is>
      </c>
      <c r="B339" t="inlineStr">
        <is>
          <t>Bureau Veritas Polska Sp. z o.o., Warsaw, PL</t>
        </is>
      </c>
      <c r="C339" t="n">
        <v>2</v>
      </c>
    </row>
    <row r="340">
      <c r="A340" t="inlineStr">
        <is>
          <t>Portugal</t>
        </is>
      </c>
      <c r="B340" t="inlineStr">
        <is>
          <t>SCS Global Services, Emeryville, CA, US</t>
        </is>
      </c>
      <c r="C340" t="n">
        <v>2</v>
      </c>
    </row>
    <row r="341">
      <c r="A341" t="inlineStr">
        <is>
          <t>Portugal</t>
        </is>
      </c>
      <c r="B341" t="inlineStr">
        <is>
          <t>DNV Business Assurance Sweden AB, Solna, SE</t>
        </is>
      </c>
      <c r="C341" t="n">
        <v>1</v>
      </c>
    </row>
    <row r="342">
      <c r="A342" t="inlineStr">
        <is>
          <t>Bulgaria</t>
        </is>
      </c>
      <c r="B342" t="inlineStr">
        <is>
          <t>Bureau Veritas Polska Sp. z o.o., Warsaw, PL</t>
        </is>
      </c>
      <c r="C342" t="n">
        <v>40</v>
      </c>
    </row>
    <row r="343">
      <c r="A343" t="inlineStr">
        <is>
          <t>Bulgaria</t>
        </is>
      </c>
      <c r="B343" t="inlineStr">
        <is>
          <t>SGS Germany GmbH, Emstek, DE</t>
        </is>
      </c>
      <c r="C343" t="n">
        <v>30</v>
      </c>
    </row>
    <row r="344">
      <c r="A344" t="inlineStr">
        <is>
          <t>Bulgaria</t>
        </is>
      </c>
      <c r="B344" t="inlineStr">
        <is>
          <t>Baltic Control Certification, Albertslund, DK</t>
        </is>
      </c>
      <c r="C344" t="n">
        <v>14</v>
      </c>
    </row>
    <row r="345">
      <c r="A345" t="inlineStr">
        <is>
          <t>Bulgaria</t>
        </is>
      </c>
      <c r="B345" t="inlineStr">
        <is>
          <t>Control Union Certifications Germany GmbH, Berlin, DE</t>
        </is>
      </c>
      <c r="C345" t="n">
        <v>10</v>
      </c>
    </row>
    <row r="346">
      <c r="A346" t="inlineStr">
        <is>
          <t>Bulgaria</t>
        </is>
      </c>
      <c r="B346" t="inlineStr">
        <is>
          <t>Control Union Poland Sp. z o.o., Zielona Gora, PL</t>
        </is>
      </c>
      <c r="C346" t="n">
        <v>10</v>
      </c>
    </row>
    <row r="347">
      <c r="A347" t="inlineStr">
        <is>
          <t>Bulgaria</t>
        </is>
      </c>
      <c r="B347" t="inlineStr">
        <is>
          <t>RINA Services S.p.A., Genova, IT</t>
        </is>
      </c>
      <c r="C347" t="n">
        <v>5</v>
      </c>
    </row>
    <row r="348">
      <c r="A348" t="inlineStr">
        <is>
          <t>Bulgaria</t>
        </is>
      </c>
      <c r="B348" t="inlineStr">
        <is>
          <t>Baltic Control Certification, Risskov, DK</t>
        </is>
      </c>
      <c r="C348" t="n">
        <v>4</v>
      </c>
    </row>
    <row r="349">
      <c r="A349" t="inlineStr">
        <is>
          <t>Bulgaria</t>
        </is>
      </c>
      <c r="B349" t="inlineStr">
        <is>
          <t>BM Certification, Riga, LV</t>
        </is>
      </c>
      <c r="C349" t="n">
        <v>3</v>
      </c>
    </row>
    <row r="350">
      <c r="A350" t="inlineStr">
        <is>
          <t>Bulgaria</t>
        </is>
      </c>
      <c r="B350" t="inlineStr">
        <is>
          <t>ASG Cert GmbH, Munich, DE</t>
        </is>
      </c>
      <c r="C350" t="n">
        <v>2</v>
      </c>
    </row>
    <row r="351">
      <c r="A351" t="inlineStr">
        <is>
          <t>Bulgaria</t>
        </is>
      </c>
      <c r="B351" t="inlineStr">
        <is>
          <t>CertRom SRL, Bucuresti, RO</t>
        </is>
      </c>
      <c r="C351" t="n">
        <v>1</v>
      </c>
    </row>
    <row r="352">
      <c r="A352" t="inlineStr">
        <is>
          <t>Lithuania</t>
        </is>
      </c>
      <c r="B352" t="inlineStr">
        <is>
          <t>Bureau Veritas Polska Sp. z o.o., Warsaw, PL</t>
        </is>
      </c>
      <c r="C352" t="n">
        <v>59</v>
      </c>
    </row>
    <row r="353">
      <c r="A353" t="inlineStr">
        <is>
          <t>Lithuania</t>
        </is>
      </c>
      <c r="B353" t="inlineStr">
        <is>
          <t>BM Certification, Riga, LV</t>
        </is>
      </c>
      <c r="C353" t="n">
        <v>26</v>
      </c>
    </row>
    <row r="354">
      <c r="A354" t="inlineStr">
        <is>
          <t>Lithuania</t>
        </is>
      </c>
      <c r="B354" t="inlineStr">
        <is>
          <t>SGS Germany GmbH, Emstek, DE</t>
        </is>
      </c>
      <c r="C354" t="n">
        <v>8</v>
      </c>
    </row>
    <row r="355">
      <c r="A355" t="inlineStr">
        <is>
          <t>Lithuania</t>
        </is>
      </c>
      <c r="B355" t="inlineStr">
        <is>
          <t>NCS Estonia OÜ, Tallinn, EE</t>
        </is>
      </c>
      <c r="C355" t="n">
        <v>6</v>
      </c>
    </row>
    <row r="356">
      <c r="A356" t="inlineStr">
        <is>
          <t>Lithuania</t>
        </is>
      </c>
      <c r="B356" t="inlineStr">
        <is>
          <t>RINA Services S.p.A., Genova, IT</t>
        </is>
      </c>
      <c r="C356" t="n">
        <v>3</v>
      </c>
    </row>
    <row r="357">
      <c r="A357" t="inlineStr">
        <is>
          <t>Lithuania</t>
        </is>
      </c>
      <c r="B357" t="inlineStr">
        <is>
          <t>ASG Cert GmbH, Munich, DE</t>
        </is>
      </c>
      <c r="C357" t="n">
        <v>1</v>
      </c>
    </row>
    <row r="358">
      <c r="A358" t="inlineStr">
        <is>
          <t>Lithuania</t>
        </is>
      </c>
      <c r="B358" t="inlineStr">
        <is>
          <t>TÜV NORD CERT GmbH, Essen, DE</t>
        </is>
      </c>
      <c r="C358" t="n">
        <v>1</v>
      </c>
    </row>
    <row r="359">
      <c r="A359" t="inlineStr">
        <is>
          <t>Lithuania</t>
        </is>
      </c>
      <c r="B359" t="inlineStr"/>
      <c r="C359" t="n">
        <v>0</v>
      </c>
    </row>
    <row r="360">
      <c r="A360" t="inlineStr">
        <is>
          <t>Lithuania</t>
        </is>
      </c>
      <c r="B360" t="inlineStr"/>
      <c r="C360" t="n">
        <v>0</v>
      </c>
    </row>
    <row r="361">
      <c r="A361" t="inlineStr">
        <is>
          <t>Lithuania</t>
        </is>
      </c>
      <c r="B361" t="inlineStr"/>
      <c r="C361" t="n">
        <v>0</v>
      </c>
    </row>
    <row r="362">
      <c r="A362" t="inlineStr">
        <is>
          <t>Turkey</t>
        </is>
      </c>
      <c r="B362" t="inlineStr">
        <is>
          <t>PT Intertek Utama Services, Jakarta, ID</t>
        </is>
      </c>
      <c r="C362" t="n">
        <v>33</v>
      </c>
    </row>
    <row r="363">
      <c r="A363" t="inlineStr">
        <is>
          <t>Turkey</t>
        </is>
      </c>
      <c r="B363" t="inlineStr">
        <is>
          <t>BM Certification, Riga, LV</t>
        </is>
      </c>
      <c r="C363" t="n">
        <v>16</v>
      </c>
    </row>
    <row r="364">
      <c r="A364" t="inlineStr">
        <is>
          <t>Turkey</t>
        </is>
      </c>
      <c r="B364" t="inlineStr">
        <is>
          <t>RINA Services S.p.A., Genova, IT</t>
        </is>
      </c>
      <c r="C364" t="n">
        <v>13</v>
      </c>
    </row>
    <row r="365">
      <c r="A365" t="inlineStr">
        <is>
          <t>Turkey</t>
        </is>
      </c>
      <c r="B365" t="inlineStr">
        <is>
          <t>Trans Certification and Inspection Sdn Bhd, Kuantan, MY</t>
        </is>
      </c>
      <c r="C365" t="n">
        <v>12</v>
      </c>
    </row>
    <row r="366">
      <c r="A366" t="inlineStr">
        <is>
          <t>Turkey</t>
        </is>
      </c>
      <c r="B366" t="inlineStr">
        <is>
          <t>Bureau Veritas Polska Sp. z o.o., Warsaw, PL</t>
        </is>
      </c>
      <c r="C366" t="n">
        <v>7</v>
      </c>
    </row>
    <row r="367">
      <c r="A367" t="inlineStr">
        <is>
          <t>Turkey</t>
        </is>
      </c>
      <c r="B367" t="inlineStr">
        <is>
          <t>Control Union Certifications Germany GmbH, Berlin, DE</t>
        </is>
      </c>
      <c r="C367" t="n">
        <v>6</v>
      </c>
    </row>
    <row r="368">
      <c r="A368" t="inlineStr">
        <is>
          <t>Turkey</t>
        </is>
      </c>
      <c r="B368" t="inlineStr">
        <is>
          <t>Certificadora Gallega del Noroeste SL, Vilagarcia de Arousa-Pontevedra, ES</t>
        </is>
      </c>
      <c r="C368" t="n">
        <v>6</v>
      </c>
    </row>
    <row r="369">
      <c r="A369" t="inlineStr">
        <is>
          <t>Turkey</t>
        </is>
      </c>
      <c r="B369" t="inlineStr">
        <is>
          <t>Business Quality Verification Testing and Certification Services P.C. (BQV), Marousi, Athens, GR</t>
        </is>
      </c>
      <c r="C369" t="n">
        <v>4</v>
      </c>
    </row>
    <row r="370">
      <c r="A370" t="inlineStr">
        <is>
          <t>Turkey</t>
        </is>
      </c>
      <c r="B370" t="inlineStr">
        <is>
          <t>ASG Cert GmbH, Munich, DE</t>
        </is>
      </c>
      <c r="C370" t="n">
        <v>2</v>
      </c>
    </row>
    <row r="371">
      <c r="A371" t="inlineStr">
        <is>
          <t>Turkey</t>
        </is>
      </c>
      <c r="B371" t="inlineStr">
        <is>
          <t>Control Union Poland Sp. z o.o., Zielona Gora, PL</t>
        </is>
      </c>
      <c r="C371" t="n">
        <v>2</v>
      </c>
    </row>
    <row r="372">
      <c r="A372" t="inlineStr">
        <is>
          <t>Finland</t>
        </is>
      </c>
      <c r="B372" t="inlineStr">
        <is>
          <t>DNV Business Assurance Sweden AB, Solna, SE</t>
        </is>
      </c>
      <c r="C372" t="n">
        <v>30</v>
      </c>
    </row>
    <row r="373">
      <c r="A373" t="inlineStr">
        <is>
          <t>Finland</t>
        </is>
      </c>
      <c r="B373" t="inlineStr">
        <is>
          <t>SGS Germany GmbH, Emstek, DE</t>
        </is>
      </c>
      <c r="C373" t="n">
        <v>15</v>
      </c>
    </row>
    <row r="374">
      <c r="A374" t="inlineStr">
        <is>
          <t>Finland</t>
        </is>
      </c>
      <c r="B374" t="inlineStr">
        <is>
          <t>BM Certification, Riga, LV</t>
        </is>
      </c>
      <c r="C374" t="n">
        <v>10</v>
      </c>
    </row>
    <row r="375">
      <c r="A375" t="inlineStr">
        <is>
          <t>Finland</t>
        </is>
      </c>
      <c r="B375" t="inlineStr">
        <is>
          <t>Control Union Certifications Germany GmbH, Berlin, DE</t>
        </is>
      </c>
      <c r="C375" t="n">
        <v>8</v>
      </c>
    </row>
    <row r="376">
      <c r="A376" t="inlineStr">
        <is>
          <t>Finland</t>
        </is>
      </c>
      <c r="B376" t="inlineStr">
        <is>
          <t>SCS Global Services, Emeryville, CA, US</t>
        </is>
      </c>
      <c r="C376" t="n">
        <v>7</v>
      </c>
    </row>
    <row r="377">
      <c r="A377" t="inlineStr">
        <is>
          <t>Finland</t>
        </is>
      </c>
      <c r="B377" t="inlineStr">
        <is>
          <t>Bureau Veritas Polska Sp. z o.o., Warsaw, PL</t>
        </is>
      </c>
      <c r="C377" t="n">
        <v>6</v>
      </c>
    </row>
    <row r="378">
      <c r="A378" t="inlineStr">
        <is>
          <t>Finland</t>
        </is>
      </c>
      <c r="B378" t="inlineStr">
        <is>
          <t>PT Intertek Utama Services, Jakarta, ID</t>
        </is>
      </c>
      <c r="C378" t="n">
        <v>6</v>
      </c>
    </row>
    <row r="379">
      <c r="A379" t="inlineStr">
        <is>
          <t>Finland</t>
        </is>
      </c>
      <c r="B379" t="inlineStr">
        <is>
          <t>Normec QS BV, Ede, NL</t>
        </is>
      </c>
      <c r="C379" t="n">
        <v>5</v>
      </c>
    </row>
    <row r="380">
      <c r="A380" t="inlineStr">
        <is>
          <t>Finland</t>
        </is>
      </c>
      <c r="B380" t="inlineStr">
        <is>
          <t>DEKRA Certification B.V., Arnhem, NL</t>
        </is>
      </c>
      <c r="C380" t="n">
        <v>2</v>
      </c>
    </row>
    <row r="381">
      <c r="A381" t="inlineStr">
        <is>
          <t>Finland</t>
        </is>
      </c>
      <c r="B381" t="inlineStr">
        <is>
          <t>NCS Estonia OÜ, Tallinn, EE</t>
        </is>
      </c>
      <c r="C381" t="n">
        <v>2</v>
      </c>
    </row>
    <row r="382">
      <c r="A382" t="inlineStr">
        <is>
          <t>Argentina</t>
        </is>
      </c>
      <c r="B382" t="inlineStr">
        <is>
          <t>Control Union Poland Sp. z o.o., Zielona Gora, PL</t>
        </is>
      </c>
      <c r="C382" t="n">
        <v>27</v>
      </c>
    </row>
    <row r="383">
      <c r="A383" t="inlineStr">
        <is>
          <t>Argentina</t>
        </is>
      </c>
      <c r="B383" t="inlineStr">
        <is>
          <t>Control Union Certifications Germany GmbH, Berlin, DE</t>
        </is>
      </c>
      <c r="C383" t="n">
        <v>16</v>
      </c>
    </row>
    <row r="384">
      <c r="A384" t="inlineStr">
        <is>
          <t>Argentina</t>
        </is>
      </c>
      <c r="B384" t="inlineStr">
        <is>
          <t>Amspec Iberia SL, Vilagarcia de Arousa-Pontevedra, ES</t>
        </is>
      </c>
      <c r="C384" t="n">
        <v>14</v>
      </c>
    </row>
    <row r="385">
      <c r="A385" t="inlineStr">
        <is>
          <t>Argentina</t>
        </is>
      </c>
      <c r="B385" t="inlineStr">
        <is>
          <t>Certificadora Gallega del Noroeste SL, Vilagarcia de Arousa-Pontevedra, ES</t>
        </is>
      </c>
      <c r="C385" t="n">
        <v>13</v>
      </c>
    </row>
    <row r="386">
      <c r="A386" t="inlineStr">
        <is>
          <t>Argentina</t>
        </is>
      </c>
      <c r="B386" t="inlineStr">
        <is>
          <t>SGS Germany GmbH, Emstek, DE</t>
        </is>
      </c>
      <c r="C386" t="n">
        <v>12</v>
      </c>
    </row>
    <row r="387">
      <c r="A387" t="inlineStr">
        <is>
          <t>Argentina</t>
        </is>
      </c>
      <c r="B387" t="inlineStr">
        <is>
          <t>PT Intertek Utama Services, Jakarta, ID</t>
        </is>
      </c>
      <c r="C387" t="n">
        <v>4</v>
      </c>
    </row>
    <row r="388">
      <c r="A388" t="inlineStr">
        <is>
          <t>Argentina</t>
        </is>
      </c>
      <c r="B388" t="inlineStr">
        <is>
          <t>ASG Cert GmbH, Munich, DE</t>
        </is>
      </c>
      <c r="C388" t="n">
        <v>1</v>
      </c>
    </row>
    <row r="389">
      <c r="A389" t="inlineStr">
        <is>
          <t>Argentina</t>
        </is>
      </c>
      <c r="B389" t="inlineStr">
        <is>
          <t>SCS Global Services, Emeryville, CA, US</t>
        </is>
      </c>
      <c r="C389" t="n">
        <v>1</v>
      </c>
    </row>
    <row r="390">
      <c r="A390" t="inlineStr">
        <is>
          <t>Argentina</t>
        </is>
      </c>
      <c r="B390" t="inlineStr"/>
      <c r="C390" t="n">
        <v>0</v>
      </c>
    </row>
    <row r="391">
      <c r="A391" t="inlineStr">
        <is>
          <t>Argentina</t>
        </is>
      </c>
      <c r="B391" t="inlineStr"/>
      <c r="C391" t="n">
        <v>0</v>
      </c>
    </row>
    <row r="392">
      <c r="A392" t="inlineStr">
        <is>
          <t>The Republic of Korea</t>
        </is>
      </c>
      <c r="B392" t="inlineStr">
        <is>
          <t>Control Union Certifications Germany GmbH, Berlin, DE</t>
        </is>
      </c>
      <c r="C392" t="n">
        <v>65</v>
      </c>
    </row>
    <row r="393">
      <c r="A393" t="inlineStr">
        <is>
          <t>The Republic of Korea</t>
        </is>
      </c>
      <c r="B393" t="inlineStr">
        <is>
          <t>Korean Foundation for Quality, Songpa-gu, Seoul, KR</t>
        </is>
      </c>
      <c r="C393" t="n">
        <v>8</v>
      </c>
    </row>
    <row r="394">
      <c r="A394" t="inlineStr">
        <is>
          <t>The Republic of Korea</t>
        </is>
      </c>
      <c r="B394" t="inlineStr">
        <is>
          <t>SGS Germany GmbH, Emstek, DE</t>
        </is>
      </c>
      <c r="C394" t="n">
        <v>5</v>
      </c>
    </row>
    <row r="395">
      <c r="A395" t="inlineStr">
        <is>
          <t>The Republic of Korea</t>
        </is>
      </c>
      <c r="B395" t="inlineStr">
        <is>
          <t>BM Certification, Riga, LV</t>
        </is>
      </c>
      <c r="C395" t="n">
        <v>4</v>
      </c>
    </row>
    <row r="396">
      <c r="A396" t="inlineStr">
        <is>
          <t>The Republic of Korea</t>
        </is>
      </c>
      <c r="B396" t="inlineStr">
        <is>
          <t>PT Intertek Utama Services, Jakarta, ID</t>
        </is>
      </c>
      <c r="C396" t="n">
        <v>2</v>
      </c>
    </row>
    <row r="397">
      <c r="A397" t="inlineStr">
        <is>
          <t>The Republic of Korea</t>
        </is>
      </c>
      <c r="B397" t="inlineStr">
        <is>
          <t>FITI Testing &amp; Research Institute, Seoul, KR</t>
        </is>
      </c>
      <c r="C397" t="n">
        <v>1</v>
      </c>
    </row>
    <row r="398">
      <c r="A398" t="inlineStr">
        <is>
          <t>The Republic of Korea</t>
        </is>
      </c>
      <c r="B398" t="inlineStr">
        <is>
          <t>Bureau Veritas Polska Sp. z o.o., Warsaw, PL</t>
        </is>
      </c>
      <c r="C398" t="n">
        <v>1</v>
      </c>
    </row>
    <row r="399">
      <c r="A399" t="inlineStr">
        <is>
          <t>The Republic of Korea</t>
        </is>
      </c>
      <c r="B399" t="inlineStr"/>
      <c r="C399" t="n">
        <v>0</v>
      </c>
    </row>
    <row r="400">
      <c r="A400" t="inlineStr">
        <is>
          <t>The Republic of Korea</t>
        </is>
      </c>
      <c r="B400" t="inlineStr"/>
      <c r="C400" t="n">
        <v>0</v>
      </c>
    </row>
    <row r="401">
      <c r="A401" t="inlineStr">
        <is>
          <t>The Republic of Korea</t>
        </is>
      </c>
      <c r="B401" t="inlineStr"/>
      <c r="C401" t="n">
        <v>0</v>
      </c>
    </row>
    <row r="402">
      <c r="A402" t="inlineStr">
        <is>
          <t>The United Kingdom</t>
        </is>
      </c>
      <c r="B402" t="inlineStr">
        <is>
          <t>SGS Germany GmbH, Emstek, DE</t>
        </is>
      </c>
      <c r="C402" t="n">
        <v>26</v>
      </c>
    </row>
    <row r="403">
      <c r="A403" t="inlineStr">
        <is>
          <t>The United Kingdom</t>
        </is>
      </c>
      <c r="B403" t="inlineStr">
        <is>
          <t>Aardvark Certification Ltd, Wiveliscombe, Somerset, GB</t>
        </is>
      </c>
      <c r="C403" t="n">
        <v>15</v>
      </c>
    </row>
    <row r="404">
      <c r="A404" t="inlineStr">
        <is>
          <t>The United Kingdom</t>
        </is>
      </c>
      <c r="B404" t="inlineStr">
        <is>
          <t>Control Union Certifications Germany GmbH, Berlin, DE</t>
        </is>
      </c>
      <c r="C404" t="n">
        <v>13</v>
      </c>
    </row>
    <row r="405">
      <c r="A405" t="inlineStr">
        <is>
          <t>The United Kingdom</t>
        </is>
      </c>
      <c r="B405" t="inlineStr">
        <is>
          <t>SCS Global Services, Emeryville, CA, US</t>
        </is>
      </c>
      <c r="C405" t="n">
        <v>6</v>
      </c>
    </row>
    <row r="406">
      <c r="A406" t="inlineStr">
        <is>
          <t>The United Kingdom</t>
        </is>
      </c>
      <c r="B406" t="inlineStr">
        <is>
          <t>DEKRA Certification B.V., Arnhem, NL</t>
        </is>
      </c>
      <c r="C406" t="n">
        <v>6</v>
      </c>
    </row>
    <row r="407">
      <c r="A407" t="inlineStr">
        <is>
          <t>The United Kingdom</t>
        </is>
      </c>
      <c r="B407" t="inlineStr">
        <is>
          <t>Double Helix Tracking Technologies Pte Ltd, Singapore, SG</t>
        </is>
      </c>
      <c r="C407" t="n">
        <v>6</v>
      </c>
    </row>
    <row r="408">
      <c r="A408" t="inlineStr">
        <is>
          <t>The United Kingdom</t>
        </is>
      </c>
      <c r="B408" t="inlineStr">
        <is>
          <t>BM Certification, Riga, LV</t>
        </is>
      </c>
      <c r="C408" t="n">
        <v>5</v>
      </c>
    </row>
    <row r="409">
      <c r="A409" t="inlineStr">
        <is>
          <t>The United Kingdom</t>
        </is>
      </c>
      <c r="B409" t="inlineStr">
        <is>
          <t>PT Intertek Utama Services, Jakarta, ID</t>
        </is>
      </c>
      <c r="C409" t="n">
        <v>2</v>
      </c>
    </row>
    <row r="410">
      <c r="A410" t="inlineStr">
        <is>
          <t>The United Kingdom</t>
        </is>
      </c>
      <c r="B410" t="inlineStr">
        <is>
          <t>ASG Cert GmbH, Munich, DE</t>
        </is>
      </c>
      <c r="C410" t="n">
        <v>2</v>
      </c>
    </row>
    <row r="411">
      <c r="A411" t="inlineStr">
        <is>
          <t>The United Kingdom</t>
        </is>
      </c>
      <c r="B411" t="inlineStr">
        <is>
          <t>DQS CFS GmbH - Deutsche Gesellschaft für Nachhaltigkeit, Frankfurt am Main, DE</t>
        </is>
      </c>
      <c r="C411" t="n">
        <v>1</v>
      </c>
    </row>
    <row r="412">
      <c r="A412" t="inlineStr">
        <is>
          <t>Province of China</t>
        </is>
      </c>
      <c r="B412" t="inlineStr">
        <is>
          <t>Bureau Veritas Polska Sp. z o.o., Warsaw, PL</t>
        </is>
      </c>
      <c r="C412" t="n">
        <v>42</v>
      </c>
    </row>
    <row r="413">
      <c r="A413" t="inlineStr">
        <is>
          <t>Province of China</t>
        </is>
      </c>
      <c r="B413" t="inlineStr">
        <is>
          <t>Control Union Certifications Germany GmbH, Berlin, DE</t>
        </is>
      </c>
      <c r="C413" t="n">
        <v>14</v>
      </c>
    </row>
    <row r="414">
      <c r="A414" t="inlineStr">
        <is>
          <t>Province of China</t>
        </is>
      </c>
      <c r="B414" t="inlineStr">
        <is>
          <t>Bureau Veritas Consumer Products Services, Inc., Littleton, MA, US</t>
        </is>
      </c>
      <c r="C414" t="n">
        <v>5</v>
      </c>
    </row>
    <row r="415">
      <c r="A415" t="inlineStr">
        <is>
          <t>Province of China</t>
        </is>
      </c>
      <c r="B415" t="inlineStr">
        <is>
          <t>RINA Services S.p.A., Genova, IT</t>
        </is>
      </c>
      <c r="C415" t="n">
        <v>4</v>
      </c>
    </row>
    <row r="416">
      <c r="A416" t="inlineStr">
        <is>
          <t>Province of China</t>
        </is>
      </c>
      <c r="B416" t="inlineStr">
        <is>
          <t>TÜV SÜD Industrie Service GmbH, München, DE</t>
        </is>
      </c>
      <c r="C416" t="n">
        <v>3</v>
      </c>
    </row>
    <row r="417">
      <c r="A417" t="inlineStr">
        <is>
          <t>Province of China</t>
        </is>
      </c>
      <c r="B417" t="inlineStr">
        <is>
          <t>China Quality Certification Centre Co., Ltd., Beijing, CN</t>
        </is>
      </c>
      <c r="C417" t="n">
        <v>2</v>
      </c>
    </row>
    <row r="418">
      <c r="A418" t="inlineStr">
        <is>
          <t>Province of China</t>
        </is>
      </c>
      <c r="B418" t="inlineStr">
        <is>
          <t>DIN CERTCO GmbH, Berlin, DE</t>
        </is>
      </c>
      <c r="C418" t="n">
        <v>2</v>
      </c>
    </row>
    <row r="419">
      <c r="A419" t="inlineStr">
        <is>
          <t>Province of China</t>
        </is>
      </c>
      <c r="B419" t="inlineStr">
        <is>
          <t>PT. CBQA GLOBAL INDONESIA, JAKARTA SELATAN, ID</t>
        </is>
      </c>
      <c r="C419" t="n">
        <v>2</v>
      </c>
    </row>
    <row r="420">
      <c r="A420" t="inlineStr">
        <is>
          <t>Province of China</t>
        </is>
      </c>
      <c r="B420" t="inlineStr">
        <is>
          <t>SGS Germany GmbH, Emstek, DE</t>
        </is>
      </c>
      <c r="C420" t="n">
        <v>1</v>
      </c>
    </row>
    <row r="421">
      <c r="A421" t="inlineStr">
        <is>
          <t>Province of China</t>
        </is>
      </c>
      <c r="B421" t="inlineStr">
        <is>
          <t>SCS Global Services, Emeryville, CA, US</t>
        </is>
      </c>
      <c r="C421" t="n">
        <v>1</v>
      </c>
    </row>
    <row r="422">
      <c r="A422" t="inlineStr">
        <is>
          <t>Colombia</t>
        </is>
      </c>
      <c r="B422" t="inlineStr">
        <is>
          <t>Control Union Poland Sp. z o.o., Zielona Gora, PL</t>
        </is>
      </c>
      <c r="C422" t="n">
        <v>28</v>
      </c>
    </row>
    <row r="423">
      <c r="A423" t="inlineStr">
        <is>
          <t>Colombia</t>
        </is>
      </c>
      <c r="B423" t="inlineStr">
        <is>
          <t>SCS Global Services, Emeryville, CA, US</t>
        </is>
      </c>
      <c r="C423" t="n">
        <v>17</v>
      </c>
    </row>
    <row r="424">
      <c r="A424" t="inlineStr">
        <is>
          <t>Colombia</t>
        </is>
      </c>
      <c r="B424" t="inlineStr">
        <is>
          <t>Certificadora Gallega del Noroeste SL, Vilagarcia de Arousa-Pontevedra, ES</t>
        </is>
      </c>
      <c r="C424" t="n">
        <v>16</v>
      </c>
    </row>
    <row r="425">
      <c r="A425" t="inlineStr">
        <is>
          <t>Colombia</t>
        </is>
      </c>
      <c r="B425" t="inlineStr">
        <is>
          <t>Amspec Iberia SL, Vilagarcia de Arousa-Pontevedra, ES</t>
        </is>
      </c>
      <c r="C425" t="n">
        <v>7</v>
      </c>
    </row>
    <row r="426">
      <c r="A426" t="inlineStr">
        <is>
          <t>Colombia</t>
        </is>
      </c>
      <c r="B426" t="inlineStr">
        <is>
          <t>KIWA COLOMBIA S.A.S., Zipaquirá, CO</t>
        </is>
      </c>
      <c r="C426" t="n">
        <v>5</v>
      </c>
    </row>
    <row r="427">
      <c r="A427" t="inlineStr">
        <is>
          <t>Colombia</t>
        </is>
      </c>
      <c r="B427" t="inlineStr">
        <is>
          <t>QIMA, Centro, Botucatu - SP, CEP, BR</t>
        </is>
      </c>
      <c r="C427" t="n">
        <v>2</v>
      </c>
    </row>
    <row r="428">
      <c r="A428" t="inlineStr">
        <is>
          <t>Colombia</t>
        </is>
      </c>
      <c r="B428" t="inlineStr"/>
      <c r="C428" t="n">
        <v>0</v>
      </c>
    </row>
    <row r="429">
      <c r="A429" t="inlineStr">
        <is>
          <t>Colombia</t>
        </is>
      </c>
      <c r="B429" t="inlineStr"/>
      <c r="C429" t="n">
        <v>0</v>
      </c>
    </row>
    <row r="430">
      <c r="A430" t="inlineStr">
        <is>
          <t>Colombia</t>
        </is>
      </c>
      <c r="B430" t="inlineStr"/>
      <c r="C430" t="n">
        <v>0</v>
      </c>
    </row>
    <row r="431">
      <c r="A431" t="inlineStr">
        <is>
          <t>Colombia</t>
        </is>
      </c>
      <c r="B431" t="inlineStr"/>
      <c r="C431" t="n">
        <v>0</v>
      </c>
    </row>
    <row r="432">
      <c r="A432" t="inlineStr">
        <is>
          <t>United Arab Emirates</t>
        </is>
      </c>
      <c r="B432" t="inlineStr">
        <is>
          <t>Bureau Veritas Polska Sp. z o.o., Warsaw, PL</t>
        </is>
      </c>
      <c r="C432" t="n">
        <v>10</v>
      </c>
    </row>
    <row r="433">
      <c r="A433" t="inlineStr">
        <is>
          <t>United Arab Emirates</t>
        </is>
      </c>
      <c r="B433" t="inlineStr">
        <is>
          <t>SGS Germany GmbH, Emstek, DE</t>
        </is>
      </c>
      <c r="C433" t="n">
        <v>9</v>
      </c>
    </row>
    <row r="434">
      <c r="A434" t="inlineStr">
        <is>
          <t>United Arab Emirates</t>
        </is>
      </c>
      <c r="B434" t="inlineStr">
        <is>
          <t>RINA Services S.p.A., Genova, IT</t>
        </is>
      </c>
      <c r="C434" t="n">
        <v>6</v>
      </c>
    </row>
    <row r="435">
      <c r="A435" t="inlineStr">
        <is>
          <t>United Arab Emirates</t>
        </is>
      </c>
      <c r="B435" t="inlineStr">
        <is>
          <t>Control Union Certifications Germany GmbH, Berlin, DE</t>
        </is>
      </c>
      <c r="C435" t="n">
        <v>5</v>
      </c>
    </row>
    <row r="436">
      <c r="A436" t="inlineStr">
        <is>
          <t>United Arab Emirates</t>
        </is>
      </c>
      <c r="B436" t="inlineStr">
        <is>
          <t>Trans Certification and Inspection Sdn Bhd, Kuantan, MY</t>
        </is>
      </c>
      <c r="C436" t="n">
        <v>5</v>
      </c>
    </row>
    <row r="437">
      <c r="A437" t="inlineStr">
        <is>
          <t>United Arab Emirates</t>
        </is>
      </c>
      <c r="B437" t="inlineStr">
        <is>
          <t>Cotecna India Inspection Pvt Ltd, Kolkata, IN</t>
        </is>
      </c>
      <c r="C437" t="n">
        <v>4</v>
      </c>
    </row>
    <row r="438">
      <c r="A438" t="inlineStr">
        <is>
          <t>United Arab Emirates</t>
        </is>
      </c>
      <c r="B438" t="inlineStr">
        <is>
          <t>PT Mutuagung Lestari, Depok, ID</t>
        </is>
      </c>
      <c r="C438" t="n">
        <v>4</v>
      </c>
    </row>
    <row r="439">
      <c r="A439" t="inlineStr">
        <is>
          <t>United Arab Emirates</t>
        </is>
      </c>
      <c r="B439" t="inlineStr">
        <is>
          <t>BM Certification, Riga, LV</t>
        </is>
      </c>
      <c r="C439" t="n">
        <v>3</v>
      </c>
    </row>
    <row r="440">
      <c r="A440" t="inlineStr">
        <is>
          <t>United Arab Emirates</t>
        </is>
      </c>
      <c r="B440" t="inlineStr">
        <is>
          <t>Eurocert SA, Metamorfosi, Athens, GR</t>
        </is>
      </c>
      <c r="C440" t="n">
        <v>3</v>
      </c>
    </row>
    <row r="441">
      <c r="A441" t="inlineStr">
        <is>
          <t>United Arab Emirates</t>
        </is>
      </c>
      <c r="B441" t="inlineStr">
        <is>
          <t>PT Intertek Utama Services, Jakarta, ID</t>
        </is>
      </c>
      <c r="C441" t="n">
        <v>3</v>
      </c>
    </row>
    <row r="442">
      <c r="A442" t="inlineStr">
        <is>
          <t>Norway</t>
        </is>
      </c>
      <c r="B442" t="inlineStr">
        <is>
          <t>DNV Business Assurance Sweden AB, Solna, SE</t>
        </is>
      </c>
      <c r="C442" t="n">
        <v>11</v>
      </c>
    </row>
    <row r="443">
      <c r="A443" t="inlineStr">
        <is>
          <t>Norway</t>
        </is>
      </c>
      <c r="B443" t="inlineStr">
        <is>
          <t>DEKRA Certification B.V., Arnhem, NL</t>
        </is>
      </c>
      <c r="C443" t="n">
        <v>10</v>
      </c>
    </row>
    <row r="444">
      <c r="A444" t="inlineStr">
        <is>
          <t>Norway</t>
        </is>
      </c>
      <c r="B444" t="inlineStr">
        <is>
          <t>ASG Cert GmbH, Munich, DE</t>
        </is>
      </c>
      <c r="C444" t="n">
        <v>10</v>
      </c>
    </row>
    <row r="445">
      <c r="A445" t="inlineStr">
        <is>
          <t>Norway</t>
        </is>
      </c>
      <c r="B445" t="inlineStr">
        <is>
          <t>SGS Germany GmbH, Emstek, DE</t>
        </is>
      </c>
      <c r="C445" t="n">
        <v>9</v>
      </c>
    </row>
    <row r="446">
      <c r="A446" t="inlineStr">
        <is>
          <t>Norway</t>
        </is>
      </c>
      <c r="B446" t="inlineStr">
        <is>
          <t>SCS Global Services, Emeryville, CA, US</t>
        </is>
      </c>
      <c r="C446" t="n">
        <v>6</v>
      </c>
    </row>
    <row r="447">
      <c r="A447" t="inlineStr">
        <is>
          <t>Norway</t>
        </is>
      </c>
      <c r="B447" t="inlineStr">
        <is>
          <t>Baltic Control Certification, Risskov, DK</t>
        </is>
      </c>
      <c r="C447" t="n">
        <v>5</v>
      </c>
    </row>
    <row r="448">
      <c r="A448" t="inlineStr">
        <is>
          <t>Norway</t>
        </is>
      </c>
      <c r="B448" t="inlineStr">
        <is>
          <t>Baltic Control Certification, Albertslund, DK</t>
        </is>
      </c>
      <c r="C448" t="n">
        <v>4</v>
      </c>
    </row>
    <row r="449">
      <c r="A449" t="inlineStr">
        <is>
          <t>Norway</t>
        </is>
      </c>
      <c r="B449" t="inlineStr">
        <is>
          <t>Double Helix Tracking Technologies Pte Ltd, Singapore, SG</t>
        </is>
      </c>
      <c r="C449" t="n">
        <v>3</v>
      </c>
    </row>
    <row r="450">
      <c r="A450" t="inlineStr">
        <is>
          <t>Norway</t>
        </is>
      </c>
      <c r="B450" t="inlineStr">
        <is>
          <t>PT Intertek Utama Services, Jakarta, ID</t>
        </is>
      </c>
      <c r="C450" t="n">
        <v>3</v>
      </c>
    </row>
    <row r="451">
      <c r="A451" t="inlineStr">
        <is>
          <t>Norway</t>
        </is>
      </c>
      <c r="B451" t="inlineStr">
        <is>
          <t>Control Union Certifications Germany GmbH, Berlin, DE</t>
        </is>
      </c>
      <c r="C451" t="n">
        <v>3</v>
      </c>
    </row>
    <row r="452">
      <c r="A452" t="inlineStr">
        <is>
          <t>Mexico</t>
        </is>
      </c>
      <c r="B452" t="inlineStr">
        <is>
          <t>SCS Global Services, Emeryville, CA, US</t>
        </is>
      </c>
      <c r="C452" t="n">
        <v>31</v>
      </c>
    </row>
    <row r="453">
      <c r="A453" t="inlineStr">
        <is>
          <t>Mexico</t>
        </is>
      </c>
      <c r="B453" t="inlineStr">
        <is>
          <t>Control Union Poland Sp. z o.o., Zielona Gora, PL</t>
        </is>
      </c>
      <c r="C453" t="n">
        <v>17</v>
      </c>
    </row>
    <row r="454">
      <c r="A454" t="inlineStr">
        <is>
          <t>Mexico</t>
        </is>
      </c>
      <c r="B454" t="inlineStr">
        <is>
          <t>Amspec Iberia SL, Vilagarcia de Arousa-Pontevedra, ES</t>
        </is>
      </c>
      <c r="C454" t="n">
        <v>4</v>
      </c>
    </row>
    <row r="455">
      <c r="A455" t="inlineStr">
        <is>
          <t>Mexico</t>
        </is>
      </c>
      <c r="B455" t="inlineStr">
        <is>
          <t>Certificadora Gallega del Noroeste SL, Vilagarcia de Arousa-Pontevedra, ES</t>
        </is>
      </c>
      <c r="C455" t="n">
        <v>4</v>
      </c>
    </row>
    <row r="456">
      <c r="A456" t="inlineStr">
        <is>
          <t>Mexico</t>
        </is>
      </c>
      <c r="B456" t="inlineStr">
        <is>
          <t>Control Union Certifications Germany GmbH, Berlin, DE</t>
        </is>
      </c>
      <c r="C456" t="n">
        <v>3</v>
      </c>
    </row>
    <row r="457">
      <c r="A457" t="inlineStr">
        <is>
          <t>Mexico</t>
        </is>
      </c>
      <c r="B457" t="inlineStr">
        <is>
          <t>RINA Services S.p.A., Genova, IT</t>
        </is>
      </c>
      <c r="C457" t="n">
        <v>2</v>
      </c>
    </row>
    <row r="458">
      <c r="A458" t="inlineStr">
        <is>
          <t>Mexico</t>
        </is>
      </c>
      <c r="B458" t="inlineStr">
        <is>
          <t>Alcumus ISOQAR Ltd, Stretford, Manchester, GB</t>
        </is>
      </c>
      <c r="C458" t="n">
        <v>2</v>
      </c>
    </row>
    <row r="459">
      <c r="A459" t="inlineStr">
        <is>
          <t>Mexico</t>
        </is>
      </c>
      <c r="B459" t="inlineStr">
        <is>
          <t>Baltic Control Certification, Risskov, DK</t>
        </is>
      </c>
      <c r="C459" t="n">
        <v>2</v>
      </c>
    </row>
    <row r="460">
      <c r="A460" t="inlineStr">
        <is>
          <t>Mexico</t>
        </is>
      </c>
      <c r="B460" t="inlineStr">
        <is>
          <t>TÜV NORD CERT GmbH, Essen, DE</t>
        </is>
      </c>
      <c r="C460" t="n">
        <v>1</v>
      </c>
    </row>
    <row r="461">
      <c r="A461" t="inlineStr">
        <is>
          <t>Mexico</t>
        </is>
      </c>
      <c r="B461" t="inlineStr">
        <is>
          <t>SGS Germany GmbH, Emstek, DE</t>
        </is>
      </c>
      <c r="C461" t="n">
        <v>1</v>
      </c>
    </row>
    <row r="462">
      <c r="A462" t="inlineStr">
        <is>
          <t>Taiwan</t>
        </is>
      </c>
      <c r="B462" t="inlineStr">
        <is>
          <t>Bureau Veritas Polska Sp. z o.o., Warsaw, PL</t>
        </is>
      </c>
      <c r="C462" t="n">
        <v>45</v>
      </c>
    </row>
    <row r="463">
      <c r="A463" t="inlineStr">
        <is>
          <t>Taiwan</t>
        </is>
      </c>
      <c r="B463" t="inlineStr">
        <is>
          <t>Control Union Certifications Germany GmbH, Berlin, DE</t>
        </is>
      </c>
      <c r="C463" t="n">
        <v>11</v>
      </c>
    </row>
    <row r="464">
      <c r="A464" t="inlineStr">
        <is>
          <t>Taiwan</t>
        </is>
      </c>
      <c r="B464" t="inlineStr">
        <is>
          <t>PT Intertek Utama Services, Jakarta, ID</t>
        </is>
      </c>
      <c r="C464" t="n">
        <v>3</v>
      </c>
    </row>
    <row r="465">
      <c r="A465" t="inlineStr">
        <is>
          <t>Taiwan</t>
        </is>
      </c>
      <c r="B465" t="inlineStr">
        <is>
          <t>Trans Certification and Inspection Sdn Bhd, Kuantan, MY</t>
        </is>
      </c>
      <c r="C465" t="n">
        <v>2</v>
      </c>
    </row>
    <row r="466">
      <c r="A466" t="inlineStr">
        <is>
          <t>Taiwan</t>
        </is>
      </c>
      <c r="B466" t="inlineStr">
        <is>
          <t>PT. Qualitas Sertifikasi Indonesia, Jakarta, ID</t>
        </is>
      </c>
      <c r="C466" t="n">
        <v>2</v>
      </c>
    </row>
    <row r="467">
      <c r="A467" t="inlineStr">
        <is>
          <t>Taiwan</t>
        </is>
      </c>
      <c r="B467" t="inlineStr">
        <is>
          <t>China Quality Certification Centre Co., Ltd., Beijing, CN</t>
        </is>
      </c>
      <c r="C467" t="n">
        <v>1</v>
      </c>
    </row>
    <row r="468">
      <c r="A468" t="inlineStr">
        <is>
          <t>Taiwan</t>
        </is>
      </c>
      <c r="B468" t="inlineStr">
        <is>
          <t>Bureau Veritas Consumer Products Services, Inc., Littleton, MA, US</t>
        </is>
      </c>
      <c r="C468" t="n">
        <v>1</v>
      </c>
    </row>
    <row r="469">
      <c r="A469" t="inlineStr">
        <is>
          <t>Taiwan</t>
        </is>
      </c>
      <c r="B469" t="inlineStr">
        <is>
          <t>SGS Germany GmbH, Emstek, DE</t>
        </is>
      </c>
      <c r="C469" t="n">
        <v>1</v>
      </c>
    </row>
    <row r="470">
      <c r="A470" t="inlineStr">
        <is>
          <t>Taiwan</t>
        </is>
      </c>
      <c r="B470" t="inlineStr">
        <is>
          <t>RINA Services S.p.A., Genova, IT</t>
        </is>
      </c>
      <c r="C470" t="n">
        <v>1</v>
      </c>
    </row>
    <row r="471">
      <c r="A471" t="inlineStr">
        <is>
          <t>Taiwan</t>
        </is>
      </c>
      <c r="B471" t="inlineStr"/>
      <c r="C471" t="n">
        <v>0</v>
      </c>
    </row>
    <row r="472">
      <c r="A472" t="inlineStr">
        <is>
          <t>Ireland</t>
        </is>
      </c>
      <c r="B472" t="inlineStr">
        <is>
          <t>Aardvark Certification Ltd, Wiveliscombe, Somerset, GB</t>
        </is>
      </c>
      <c r="C472" t="n">
        <v>15</v>
      </c>
    </row>
    <row r="473">
      <c r="A473" t="inlineStr">
        <is>
          <t>Ireland</t>
        </is>
      </c>
      <c r="B473" t="inlineStr">
        <is>
          <t>Double Helix Tracking Technologies Pte Ltd, Singapore, SG</t>
        </is>
      </c>
      <c r="C473" t="n">
        <v>10</v>
      </c>
    </row>
    <row r="474">
      <c r="A474" t="inlineStr">
        <is>
          <t>Ireland</t>
        </is>
      </c>
      <c r="B474" t="inlineStr">
        <is>
          <t>SGS Germany GmbH, Emstek, DE</t>
        </is>
      </c>
      <c r="C474" t="n">
        <v>8</v>
      </c>
    </row>
    <row r="475">
      <c r="A475" t="inlineStr">
        <is>
          <t>Ireland</t>
        </is>
      </c>
      <c r="B475" t="inlineStr">
        <is>
          <t>Control Union Certifications Germany GmbH, Berlin, DE</t>
        </is>
      </c>
      <c r="C475" t="n">
        <v>7</v>
      </c>
    </row>
    <row r="476">
      <c r="A476" t="inlineStr">
        <is>
          <t>Ireland</t>
        </is>
      </c>
      <c r="B476" t="inlineStr">
        <is>
          <t>ASG Cert GmbH, Munich, DE</t>
        </is>
      </c>
      <c r="C476" t="n">
        <v>5</v>
      </c>
    </row>
    <row r="477">
      <c r="A477" t="inlineStr">
        <is>
          <t>Ireland</t>
        </is>
      </c>
      <c r="B477" t="inlineStr">
        <is>
          <t>DEKRA Certification B.V., Arnhem, NL</t>
        </is>
      </c>
      <c r="C477" t="n">
        <v>4</v>
      </c>
    </row>
    <row r="478">
      <c r="A478" t="inlineStr">
        <is>
          <t>Ireland</t>
        </is>
      </c>
      <c r="B478" t="inlineStr">
        <is>
          <t>SCS Global Services, Emeryville, CA, US</t>
        </is>
      </c>
      <c r="C478" t="n">
        <v>4</v>
      </c>
    </row>
    <row r="479">
      <c r="A479" t="inlineStr">
        <is>
          <t>Ireland</t>
        </is>
      </c>
      <c r="B479" t="inlineStr">
        <is>
          <t>DNV Business Assurance Sweden AB, Solna, SE</t>
        </is>
      </c>
      <c r="C479" t="n">
        <v>3</v>
      </c>
    </row>
    <row r="480">
      <c r="A480" t="inlineStr">
        <is>
          <t>Ireland</t>
        </is>
      </c>
      <c r="B480" t="inlineStr">
        <is>
          <t>Bureau Veritas Polska Sp. z o.o., Warsaw, PL</t>
        </is>
      </c>
      <c r="C480" t="n">
        <v>2</v>
      </c>
    </row>
    <row r="481">
      <c r="A481" t="inlineStr">
        <is>
          <t>Ireland</t>
        </is>
      </c>
      <c r="B481" t="inlineStr">
        <is>
          <t>PT Intertek Utama Services, Jakarta, ID</t>
        </is>
      </c>
      <c r="C481" t="n">
        <v>1</v>
      </c>
    </row>
    <row r="482">
      <c r="A482" t="inlineStr">
        <is>
          <t>Latvia</t>
        </is>
      </c>
      <c r="B482" t="inlineStr">
        <is>
          <t>BM Certification, Riga, LV</t>
        </is>
      </c>
      <c r="C482" t="n">
        <v>33</v>
      </c>
    </row>
    <row r="483">
      <c r="A483" t="inlineStr">
        <is>
          <t>Latvia</t>
        </is>
      </c>
      <c r="B483" t="inlineStr">
        <is>
          <t>SGS Germany GmbH, Emstek, DE</t>
        </is>
      </c>
      <c r="C483" t="n">
        <v>15</v>
      </c>
    </row>
    <row r="484">
      <c r="A484" t="inlineStr">
        <is>
          <t>Latvia</t>
        </is>
      </c>
      <c r="B484" t="inlineStr">
        <is>
          <t>Bureau Veritas Polska Sp. z o.o., Warsaw, PL</t>
        </is>
      </c>
      <c r="C484" t="n">
        <v>9</v>
      </c>
    </row>
    <row r="485">
      <c r="A485" t="inlineStr">
        <is>
          <t>Latvia</t>
        </is>
      </c>
      <c r="B485" t="inlineStr"/>
      <c r="C485" t="n">
        <v>0</v>
      </c>
    </row>
    <row r="486">
      <c r="A486" t="inlineStr">
        <is>
          <t>Latvia</t>
        </is>
      </c>
      <c r="B486" t="inlineStr"/>
      <c r="C486" t="n">
        <v>0</v>
      </c>
    </row>
    <row r="487">
      <c r="A487" t="inlineStr">
        <is>
          <t>Latvia</t>
        </is>
      </c>
      <c r="B487" t="inlineStr"/>
      <c r="C487" t="n">
        <v>0</v>
      </c>
    </row>
    <row r="488">
      <c r="A488" t="inlineStr">
        <is>
          <t>Latvia</t>
        </is>
      </c>
      <c r="B488" t="inlineStr"/>
      <c r="C488" t="n">
        <v>0</v>
      </c>
    </row>
    <row r="489">
      <c r="A489" t="inlineStr">
        <is>
          <t>Latvia</t>
        </is>
      </c>
      <c r="B489" t="inlineStr"/>
      <c r="C489" t="n">
        <v>0</v>
      </c>
    </row>
    <row r="490">
      <c r="A490" t="inlineStr">
        <is>
          <t>Latvia</t>
        </is>
      </c>
      <c r="B490" t="inlineStr"/>
      <c r="C490" t="n">
        <v>0</v>
      </c>
    </row>
    <row r="491">
      <c r="A491" t="inlineStr">
        <is>
          <t>Latvia</t>
        </is>
      </c>
      <c r="B491" t="inlineStr"/>
      <c r="C491" t="n">
        <v>0</v>
      </c>
    </row>
    <row r="492">
      <c r="A492" t="inlineStr">
        <is>
          <t>The United States of America</t>
        </is>
      </c>
      <c r="B492" t="inlineStr">
        <is>
          <t>SCS Global Services, Emeryville, CA, US</t>
        </is>
      </c>
      <c r="C492" t="n">
        <v>39</v>
      </c>
    </row>
    <row r="493">
      <c r="A493" t="inlineStr">
        <is>
          <t>The United States of America</t>
        </is>
      </c>
      <c r="B493" t="inlineStr">
        <is>
          <t>Control Union Poland Sp. z o.o., Zielona Gora, PL</t>
        </is>
      </c>
      <c r="C493" t="n">
        <v>9</v>
      </c>
    </row>
    <row r="494">
      <c r="A494" t="inlineStr">
        <is>
          <t>The United States of America</t>
        </is>
      </c>
      <c r="B494" t="inlineStr">
        <is>
          <t>DQS CFS GmbH - Deutsche Gesellschaft für Nachhaltigkeit, Frankfurt am Main, DE</t>
        </is>
      </c>
      <c r="C494" t="n">
        <v>2</v>
      </c>
    </row>
    <row r="495">
      <c r="A495" t="inlineStr">
        <is>
          <t>The United States of America</t>
        </is>
      </c>
      <c r="B495" t="inlineStr">
        <is>
          <t>SGS Germany GmbH, Emstek, DE</t>
        </is>
      </c>
      <c r="C495" t="n">
        <v>2</v>
      </c>
    </row>
    <row r="496">
      <c r="A496" t="inlineStr">
        <is>
          <t>The United States of America</t>
        </is>
      </c>
      <c r="B496" t="inlineStr">
        <is>
          <t>Baltic Control Certification, Albertslund, DK</t>
        </is>
      </c>
      <c r="C496" t="n">
        <v>1</v>
      </c>
    </row>
    <row r="497">
      <c r="A497" t="inlineStr">
        <is>
          <t>The United States of America</t>
        </is>
      </c>
      <c r="B497" t="inlineStr">
        <is>
          <t>Aardvark Certification Ltd, Wiveliscombe, Somerset, GB</t>
        </is>
      </c>
      <c r="C497" t="n">
        <v>1</v>
      </c>
    </row>
    <row r="498">
      <c r="A498" t="inlineStr">
        <is>
          <t>The United States of America</t>
        </is>
      </c>
      <c r="B498" t="inlineStr"/>
      <c r="C498" t="n">
        <v>0</v>
      </c>
    </row>
    <row r="499">
      <c r="A499" t="inlineStr">
        <is>
          <t>The United States of America</t>
        </is>
      </c>
      <c r="B499" t="inlineStr"/>
      <c r="C499" t="n">
        <v>0</v>
      </c>
    </row>
    <row r="500">
      <c r="A500" t="inlineStr">
        <is>
          <t>The United States of America</t>
        </is>
      </c>
      <c r="B500" t="inlineStr"/>
      <c r="C500" t="n">
        <v>0</v>
      </c>
    </row>
    <row r="501">
      <c r="A501" t="inlineStr">
        <is>
          <t>The United States of America</t>
        </is>
      </c>
      <c r="B501" t="inlineStr"/>
      <c r="C501" t="n">
        <v>0</v>
      </c>
    </row>
    <row r="502">
      <c r="A502" t="inlineStr">
        <is>
          <t>Croatia</t>
        </is>
      </c>
      <c r="B502" t="inlineStr">
        <is>
          <t>Bureau Veritas Polska Sp. z o.o., Warsaw, PL</t>
        </is>
      </c>
      <c r="C502" t="n">
        <v>41</v>
      </c>
    </row>
    <row r="503">
      <c r="A503" t="inlineStr">
        <is>
          <t>Croatia</t>
        </is>
      </c>
      <c r="B503" t="inlineStr">
        <is>
          <t>agroVet GmbH, Enzersfeld, AT</t>
        </is>
      </c>
      <c r="C503" t="n">
        <v>3</v>
      </c>
    </row>
    <row r="504">
      <c r="A504" t="inlineStr">
        <is>
          <t>Croatia</t>
        </is>
      </c>
      <c r="B504" t="inlineStr">
        <is>
          <t>DNV Business Assurance Sweden AB, Solna, SE</t>
        </is>
      </c>
      <c r="C504" t="n">
        <v>3</v>
      </c>
    </row>
    <row r="505">
      <c r="A505" t="inlineStr">
        <is>
          <t>Croatia</t>
        </is>
      </c>
      <c r="B505" t="inlineStr">
        <is>
          <t>Amspec Iberia SL, Vilagarcia de Arousa-Pontevedra, ES</t>
        </is>
      </c>
      <c r="C505" t="n">
        <v>1</v>
      </c>
    </row>
    <row r="506">
      <c r="A506" t="inlineStr">
        <is>
          <t>Croatia</t>
        </is>
      </c>
      <c r="B506" t="inlineStr">
        <is>
          <t>Control Union Certifications Germany GmbH, Berlin, DE</t>
        </is>
      </c>
      <c r="C506" t="n">
        <v>1</v>
      </c>
    </row>
    <row r="507">
      <c r="A507" t="inlineStr">
        <is>
          <t>Croatia</t>
        </is>
      </c>
      <c r="B507" t="inlineStr">
        <is>
          <t>BM Certification, Riga, LV</t>
        </is>
      </c>
      <c r="C507" t="n">
        <v>1</v>
      </c>
    </row>
    <row r="508">
      <c r="A508" t="inlineStr">
        <is>
          <t>Croatia</t>
        </is>
      </c>
      <c r="B508" t="inlineStr">
        <is>
          <t>ICIM SpA, sesto san giovanni, IT</t>
        </is>
      </c>
      <c r="C508" t="n">
        <v>1</v>
      </c>
    </row>
    <row r="509">
      <c r="A509" t="inlineStr">
        <is>
          <t>Croatia</t>
        </is>
      </c>
      <c r="B509" t="inlineStr"/>
      <c r="C509" t="n">
        <v>0</v>
      </c>
    </row>
    <row r="510">
      <c r="A510" t="inlineStr">
        <is>
          <t>Croatia</t>
        </is>
      </c>
      <c r="B510" t="inlineStr"/>
      <c r="C510" t="n">
        <v>0</v>
      </c>
    </row>
    <row r="511">
      <c r="A511" t="inlineStr">
        <is>
          <t>Croatia</t>
        </is>
      </c>
      <c r="B511" t="inlineStr"/>
      <c r="C511" t="n">
        <v>0</v>
      </c>
    </row>
    <row r="512">
      <c r="A512" t="inlineStr">
        <is>
          <t>Estonia</t>
        </is>
      </c>
      <c r="B512" t="inlineStr">
        <is>
          <t>Bureau Veritas Polska Sp. z o.o., Warsaw, PL</t>
        </is>
      </c>
      <c r="C512" t="n">
        <v>16</v>
      </c>
    </row>
    <row r="513">
      <c r="A513" t="inlineStr">
        <is>
          <t>Estonia</t>
        </is>
      </c>
      <c r="B513" t="inlineStr">
        <is>
          <t>NCS Estonia OÜ, Tallinn, EE</t>
        </is>
      </c>
      <c r="C513" t="n">
        <v>14</v>
      </c>
    </row>
    <row r="514">
      <c r="A514" t="inlineStr">
        <is>
          <t>Estonia</t>
        </is>
      </c>
      <c r="B514" t="inlineStr">
        <is>
          <t>BM Certification, Riga, LV</t>
        </is>
      </c>
      <c r="C514" t="n">
        <v>8</v>
      </c>
    </row>
    <row r="515">
      <c r="A515" t="inlineStr">
        <is>
          <t>Estonia</t>
        </is>
      </c>
      <c r="B515" t="inlineStr">
        <is>
          <t>SGS Germany GmbH, Emstek, DE</t>
        </is>
      </c>
      <c r="C515" t="n">
        <v>7</v>
      </c>
    </row>
    <row r="516">
      <c r="A516" t="inlineStr">
        <is>
          <t>Estonia</t>
        </is>
      </c>
      <c r="B516" t="inlineStr">
        <is>
          <t>Baltic Control Certification, Albertslund, DK</t>
        </is>
      </c>
      <c r="C516" t="n">
        <v>1</v>
      </c>
    </row>
    <row r="517">
      <c r="A517" t="inlineStr">
        <is>
          <t>Estonia</t>
        </is>
      </c>
      <c r="B517" t="inlineStr">
        <is>
          <t>TÜV NORD CERT GmbH, Essen, DE</t>
        </is>
      </c>
      <c r="C517" t="n">
        <v>1</v>
      </c>
    </row>
    <row r="518">
      <c r="A518" t="inlineStr">
        <is>
          <t>Estonia</t>
        </is>
      </c>
      <c r="B518" t="inlineStr"/>
      <c r="C518" t="n">
        <v>0</v>
      </c>
    </row>
    <row r="519">
      <c r="A519" t="inlineStr">
        <is>
          <t>Estonia</t>
        </is>
      </c>
      <c r="B519" t="inlineStr"/>
      <c r="C519" t="n">
        <v>0</v>
      </c>
    </row>
    <row r="520">
      <c r="A520" t="inlineStr">
        <is>
          <t>Estonia</t>
        </is>
      </c>
      <c r="B520" t="inlineStr"/>
      <c r="C520" t="n">
        <v>0</v>
      </c>
    </row>
    <row r="521">
      <c r="A521" t="inlineStr">
        <is>
          <t>Estonia</t>
        </is>
      </c>
      <c r="B521" t="inlineStr"/>
      <c r="C521" t="n">
        <v>0</v>
      </c>
    </row>
    <row r="522">
      <c r="A522" t="inlineStr">
        <is>
          <t>Cyprus</t>
        </is>
      </c>
      <c r="B522" t="inlineStr">
        <is>
          <t>Eurocert SA, Metamorfosi, Athens, GR</t>
        </is>
      </c>
      <c r="C522" t="n">
        <v>9</v>
      </c>
    </row>
    <row r="523">
      <c r="A523" t="inlineStr">
        <is>
          <t>Cyprus</t>
        </is>
      </c>
      <c r="B523" t="inlineStr">
        <is>
          <t>Bureau Veritas Polska Sp. z o.o., Warsaw, PL</t>
        </is>
      </c>
      <c r="C523" t="n">
        <v>6</v>
      </c>
    </row>
    <row r="524">
      <c r="A524" t="inlineStr">
        <is>
          <t>Cyprus</t>
        </is>
      </c>
      <c r="B524" t="inlineStr">
        <is>
          <t>Aciter Genelab LLC, Odessa, UA</t>
        </is>
      </c>
      <c r="C524" t="n">
        <v>6</v>
      </c>
    </row>
    <row r="525">
      <c r="A525" t="inlineStr">
        <is>
          <t>Cyprus</t>
        </is>
      </c>
      <c r="B525" t="inlineStr">
        <is>
          <t>RINA Services S.p.A., Genova, IT</t>
        </is>
      </c>
      <c r="C525" t="n">
        <v>4</v>
      </c>
    </row>
    <row r="526">
      <c r="A526" t="inlineStr">
        <is>
          <t>Cyprus</t>
        </is>
      </c>
      <c r="B526" t="inlineStr">
        <is>
          <t>BM Certification, Riga, LV</t>
        </is>
      </c>
      <c r="C526" t="n">
        <v>3</v>
      </c>
    </row>
    <row r="527">
      <c r="A527" t="inlineStr">
        <is>
          <t>Cyprus</t>
        </is>
      </c>
      <c r="B527" t="inlineStr">
        <is>
          <t>SGS Germany GmbH, Emstek, DE</t>
        </is>
      </c>
      <c r="C527" t="n">
        <v>2</v>
      </c>
    </row>
    <row r="528">
      <c r="A528" t="inlineStr">
        <is>
          <t>Cyprus</t>
        </is>
      </c>
      <c r="B528" t="inlineStr">
        <is>
          <t>Business Quality Verification Testing and Certification Services P.C. (BQV), Marousi, Athens, GR</t>
        </is>
      </c>
      <c r="C528" t="n">
        <v>2</v>
      </c>
    </row>
    <row r="529">
      <c r="A529" t="inlineStr">
        <is>
          <t>Cyprus</t>
        </is>
      </c>
      <c r="B529" t="inlineStr">
        <is>
          <t>Apex Genelab LLC, Odessa, UA</t>
        </is>
      </c>
      <c r="C529" t="n">
        <v>1</v>
      </c>
    </row>
    <row r="530">
      <c r="A530" t="inlineStr">
        <is>
          <t>Cyprus</t>
        </is>
      </c>
      <c r="B530" t="inlineStr">
        <is>
          <t>United Registrar of Systems Polska Sp. z o.o., Wrocław, PL</t>
        </is>
      </c>
      <c r="C530" t="n">
        <v>1</v>
      </c>
    </row>
    <row r="531">
      <c r="A531" t="inlineStr">
        <is>
          <t>Cyprus</t>
        </is>
      </c>
      <c r="B531" t="inlineStr">
        <is>
          <t>CertRom SRL, Bucuresti, RO</t>
        </is>
      </c>
      <c r="C531" t="n">
        <v>1</v>
      </c>
    </row>
    <row r="532">
      <c r="A532" t="inlineStr">
        <is>
          <t>Hong Kong</t>
        </is>
      </c>
      <c r="B532" t="inlineStr">
        <is>
          <t>RINA Services S.p.A., Genova, IT</t>
        </is>
      </c>
      <c r="C532" t="n">
        <v>8</v>
      </c>
    </row>
    <row r="533">
      <c r="A533" t="inlineStr">
        <is>
          <t>Hong Kong</t>
        </is>
      </c>
      <c r="B533" t="inlineStr">
        <is>
          <t>DIN CERTCO GmbH, Berlin, DE</t>
        </is>
      </c>
      <c r="C533" t="n">
        <v>5</v>
      </c>
    </row>
    <row r="534">
      <c r="A534" t="inlineStr">
        <is>
          <t>Hong Kong</t>
        </is>
      </c>
      <c r="B534" t="inlineStr">
        <is>
          <t>Bureau Veritas Polska Sp. z o.o., Warsaw, PL</t>
        </is>
      </c>
      <c r="C534" t="n">
        <v>5</v>
      </c>
    </row>
    <row r="535">
      <c r="A535" t="inlineStr">
        <is>
          <t>Hong Kong</t>
        </is>
      </c>
      <c r="B535" t="inlineStr">
        <is>
          <t>DQS CFS GmbH - Deutsche Gesellschaft für Nachhaltigkeit, Frankfurt am Main, DE</t>
        </is>
      </c>
      <c r="C535" t="n">
        <v>2</v>
      </c>
    </row>
    <row r="536">
      <c r="A536" t="inlineStr">
        <is>
          <t>Hong Kong</t>
        </is>
      </c>
      <c r="B536" t="inlineStr">
        <is>
          <t>China Quality Certification Centre Co., Ltd., Beijing, CN</t>
        </is>
      </c>
      <c r="C536" t="n">
        <v>2</v>
      </c>
    </row>
    <row r="537">
      <c r="A537" t="inlineStr">
        <is>
          <t>Hong Kong</t>
        </is>
      </c>
      <c r="B537" t="inlineStr">
        <is>
          <t>TÜV SÜD Industrie Service GmbH, München, DE</t>
        </is>
      </c>
      <c r="C537" t="n">
        <v>2</v>
      </c>
    </row>
    <row r="538">
      <c r="A538" t="inlineStr">
        <is>
          <t>Hong Kong</t>
        </is>
      </c>
      <c r="B538" t="inlineStr">
        <is>
          <t>ASG Cert GmbH, Munich, DE</t>
        </is>
      </c>
      <c r="C538" t="n">
        <v>2</v>
      </c>
    </row>
    <row r="539">
      <c r="A539" t="inlineStr">
        <is>
          <t>Hong Kong</t>
        </is>
      </c>
      <c r="B539" t="inlineStr">
        <is>
          <t>Control Union Certifications Germany GmbH, Berlin, DE</t>
        </is>
      </c>
      <c r="C539" t="n">
        <v>2</v>
      </c>
    </row>
    <row r="540">
      <c r="A540" t="inlineStr">
        <is>
          <t>Hong Kong</t>
        </is>
      </c>
      <c r="B540" t="inlineStr">
        <is>
          <t>SCS Global Services, Emeryville, CA, US</t>
        </is>
      </c>
      <c r="C540" t="n">
        <v>2</v>
      </c>
    </row>
    <row r="541">
      <c r="A541" t="inlineStr">
        <is>
          <t>Hong Kong</t>
        </is>
      </c>
      <c r="B541" t="inlineStr">
        <is>
          <t>BM Certification, Riga, LV</t>
        </is>
      </c>
      <c r="C541" t="n">
        <v>2</v>
      </c>
    </row>
    <row r="542">
      <c r="A542" t="inlineStr">
        <is>
          <t>South Africa</t>
        </is>
      </c>
      <c r="B542" t="inlineStr">
        <is>
          <t>DEKRA Certification B.V., Arnhem, NL</t>
        </is>
      </c>
      <c r="C542" t="n">
        <v>13</v>
      </c>
    </row>
    <row r="543">
      <c r="A543" t="inlineStr">
        <is>
          <t>South Africa</t>
        </is>
      </c>
      <c r="B543" t="inlineStr">
        <is>
          <t>SGS Germany GmbH, Emstek, DE</t>
        </is>
      </c>
      <c r="C543" t="n">
        <v>5</v>
      </c>
    </row>
    <row r="544">
      <c r="A544" t="inlineStr">
        <is>
          <t>South Africa</t>
        </is>
      </c>
      <c r="B544" t="inlineStr">
        <is>
          <t>Control Union Certifications Germany GmbH, Berlin, DE</t>
        </is>
      </c>
      <c r="C544" t="n">
        <v>4</v>
      </c>
    </row>
    <row r="545">
      <c r="A545" t="inlineStr">
        <is>
          <t>South Africa</t>
        </is>
      </c>
      <c r="B545" t="inlineStr">
        <is>
          <t>Double Helix Tracking Technologies Pte Ltd, Singapore, SG</t>
        </is>
      </c>
      <c r="C545" t="n">
        <v>4</v>
      </c>
    </row>
    <row r="546">
      <c r="A546" t="inlineStr">
        <is>
          <t>South Africa</t>
        </is>
      </c>
      <c r="B546" t="inlineStr">
        <is>
          <t>Aardvark Certification Ltd, Wiveliscombe, Somerset, GB</t>
        </is>
      </c>
      <c r="C546" t="n">
        <v>3</v>
      </c>
    </row>
    <row r="547">
      <c r="A547" t="inlineStr">
        <is>
          <t>South Africa</t>
        </is>
      </c>
      <c r="B547" t="inlineStr">
        <is>
          <t>Cotecna India Inspection Pvt Ltd, Kolkata, IN</t>
        </is>
      </c>
      <c r="C547" t="n">
        <v>2</v>
      </c>
    </row>
    <row r="548">
      <c r="A548" t="inlineStr">
        <is>
          <t>South Africa</t>
        </is>
      </c>
      <c r="B548" t="inlineStr">
        <is>
          <t>PT Intertek Utama Services, Jakarta, ID</t>
        </is>
      </c>
      <c r="C548" t="n">
        <v>2</v>
      </c>
    </row>
    <row r="549">
      <c r="A549" t="inlineStr">
        <is>
          <t>South Africa</t>
        </is>
      </c>
      <c r="B549" t="inlineStr">
        <is>
          <t>TÜV SÜD Industrie Service GmbH, München, DE</t>
        </is>
      </c>
      <c r="C549" t="n">
        <v>2</v>
      </c>
    </row>
    <row r="550">
      <c r="A550" t="inlineStr">
        <is>
          <t>South Africa</t>
        </is>
      </c>
      <c r="B550" t="inlineStr">
        <is>
          <t>RINA Services S.p.A., Genova, IT</t>
        </is>
      </c>
      <c r="C550" t="n">
        <v>2</v>
      </c>
    </row>
    <row r="551">
      <c r="A551" t="inlineStr">
        <is>
          <t>South Africa</t>
        </is>
      </c>
      <c r="B551" t="inlineStr">
        <is>
          <t>SCS Global Services, Emeryville, CA, US</t>
        </is>
      </c>
      <c r="C551" t="n">
        <v>1</v>
      </c>
    </row>
    <row r="552">
      <c r="A552" t="inlineStr">
        <is>
          <t>Slovenia</t>
        </is>
      </c>
      <c r="B552" t="inlineStr">
        <is>
          <t>Bureau Veritas Polska Sp. z o.o., Warsaw, PL</t>
        </is>
      </c>
      <c r="C552" t="n">
        <v>27</v>
      </c>
    </row>
    <row r="553">
      <c r="A553" t="inlineStr">
        <is>
          <t>Slovenia</t>
        </is>
      </c>
      <c r="B553" t="inlineStr">
        <is>
          <t>agroVet GmbH, Enzersfeld, AT</t>
        </is>
      </c>
      <c r="C553" t="n">
        <v>2</v>
      </c>
    </row>
    <row r="554">
      <c r="A554" t="inlineStr">
        <is>
          <t>Slovenia</t>
        </is>
      </c>
      <c r="B554" t="inlineStr">
        <is>
          <t>United Registrar of Systems Polska Sp. z o.o., Wrocław, PL</t>
        </is>
      </c>
      <c r="C554" t="n">
        <v>1</v>
      </c>
    </row>
    <row r="555">
      <c r="A555" t="inlineStr">
        <is>
          <t>Slovenia</t>
        </is>
      </c>
      <c r="B555" t="inlineStr">
        <is>
          <t>Double Helix Tracking Technologies Pte Ltd, Singapore, SG</t>
        </is>
      </c>
      <c r="C555" t="n">
        <v>1</v>
      </c>
    </row>
    <row r="556">
      <c r="A556" t="inlineStr">
        <is>
          <t>Slovenia</t>
        </is>
      </c>
      <c r="B556" t="inlineStr">
        <is>
          <t>Control Union Certifications Germany GmbH, Berlin, DE</t>
        </is>
      </c>
      <c r="C556" t="n">
        <v>1</v>
      </c>
    </row>
    <row r="557">
      <c r="A557" t="inlineStr">
        <is>
          <t>Slovenia</t>
        </is>
      </c>
      <c r="B557" t="inlineStr">
        <is>
          <t>PT Intertek Utama Services, Jakarta, ID</t>
        </is>
      </c>
      <c r="C557" t="n">
        <v>1</v>
      </c>
    </row>
    <row r="558">
      <c r="A558" t="inlineStr">
        <is>
          <t>Slovenia</t>
        </is>
      </c>
      <c r="B558" t="inlineStr">
        <is>
          <t>Global-Creative-Energy GmbH, Berlin, DE</t>
        </is>
      </c>
      <c r="C558" t="n">
        <v>1</v>
      </c>
    </row>
    <row r="559">
      <c r="A559" t="inlineStr">
        <is>
          <t>Slovenia</t>
        </is>
      </c>
      <c r="B559" t="inlineStr">
        <is>
          <t>GUT Certifizierungsgesellschaft für Managementsysteme mbH Umweltgutachter, Berlin, DE</t>
        </is>
      </c>
      <c r="C559" t="n">
        <v>1</v>
      </c>
    </row>
    <row r="560">
      <c r="A560" t="inlineStr">
        <is>
          <t>Slovenia</t>
        </is>
      </c>
      <c r="B560" t="inlineStr">
        <is>
          <t>DQS CFS GmbH - Deutsche Gesellschaft für Nachhaltigkeit, Frankfurt am Main, DE</t>
        </is>
      </c>
      <c r="C560" t="n">
        <v>1</v>
      </c>
    </row>
    <row r="561">
      <c r="A561" t="inlineStr">
        <is>
          <t>Slovenia</t>
        </is>
      </c>
      <c r="B561" t="inlineStr"/>
      <c r="C561" t="n">
        <v>0</v>
      </c>
    </row>
    <row r="562">
      <c r="A562" t="inlineStr">
        <is>
          <t>Moldova</t>
        </is>
      </c>
      <c r="B562" t="inlineStr">
        <is>
          <t>SGS Germany GmbH, Emstek, DE</t>
        </is>
      </c>
      <c r="C562" t="n">
        <v>16</v>
      </c>
    </row>
    <row r="563">
      <c r="A563" t="inlineStr">
        <is>
          <t>Moldova</t>
        </is>
      </c>
      <c r="B563" t="inlineStr">
        <is>
          <t>BM Certification, Riga, LV</t>
        </is>
      </c>
      <c r="C563" t="n">
        <v>9</v>
      </c>
    </row>
    <row r="564">
      <c r="A564" t="inlineStr">
        <is>
          <t>Moldova</t>
        </is>
      </c>
      <c r="B564" t="inlineStr">
        <is>
          <t>Apex Genelab LLC, Odessa, UA</t>
        </is>
      </c>
      <c r="C564" t="n">
        <v>3</v>
      </c>
    </row>
    <row r="565">
      <c r="A565" t="inlineStr">
        <is>
          <t>Moldova</t>
        </is>
      </c>
      <c r="B565" t="inlineStr">
        <is>
          <t>Control Union Certifications Germany GmbH, Berlin, DE</t>
        </is>
      </c>
      <c r="C565" t="n">
        <v>2</v>
      </c>
    </row>
    <row r="566">
      <c r="A566" t="inlineStr">
        <is>
          <t>Moldova</t>
        </is>
      </c>
      <c r="B566" t="inlineStr">
        <is>
          <t>SRAC Cert SRL, Bucharest, RO</t>
        </is>
      </c>
      <c r="C566" t="n">
        <v>2</v>
      </c>
    </row>
    <row r="567">
      <c r="A567" t="inlineStr">
        <is>
          <t>Moldova</t>
        </is>
      </c>
      <c r="B567" t="inlineStr">
        <is>
          <t>Business Quality Verification Testing and Certification Services P.C. (BQV), Marousi, Athens, GR</t>
        </is>
      </c>
      <c r="C567" t="n">
        <v>1</v>
      </c>
    </row>
    <row r="568">
      <c r="A568" t="inlineStr">
        <is>
          <t>Moldova</t>
        </is>
      </c>
      <c r="B568" t="inlineStr">
        <is>
          <t>PT Intertek Utama Services, Jakarta, ID</t>
        </is>
      </c>
      <c r="C568" t="n">
        <v>1</v>
      </c>
    </row>
    <row r="569">
      <c r="A569" t="inlineStr">
        <is>
          <t>Moldova</t>
        </is>
      </c>
      <c r="B569" t="inlineStr">
        <is>
          <t>Aciter Genelab LLC, Odessa, UA</t>
        </is>
      </c>
      <c r="C569" t="n">
        <v>1</v>
      </c>
    </row>
    <row r="570">
      <c r="A570" t="inlineStr">
        <is>
          <t>Moldova</t>
        </is>
      </c>
      <c r="B570" t="inlineStr">
        <is>
          <t>Bureau Veritas Polska Sp. z o.o., Warsaw, PL</t>
        </is>
      </c>
      <c r="C570" t="n">
        <v>1</v>
      </c>
    </row>
    <row r="571">
      <c r="A571" t="inlineStr">
        <is>
          <t>Moldova</t>
        </is>
      </c>
      <c r="B571" t="inlineStr"/>
      <c r="C571" t="n">
        <v>0</v>
      </c>
    </row>
    <row r="572">
      <c r="A572" t="inlineStr">
        <is>
          <t>The United Arab Emirates</t>
        </is>
      </c>
      <c r="B572" t="inlineStr">
        <is>
          <t>PT Intertek Utama Services, Jakarta, ID</t>
        </is>
      </c>
      <c r="C572" t="n">
        <v>6</v>
      </c>
    </row>
    <row r="573">
      <c r="A573" t="inlineStr">
        <is>
          <t>The United Arab Emirates</t>
        </is>
      </c>
      <c r="B573" t="inlineStr">
        <is>
          <t>Eurocert SA, Metamorfosi, Athens, GR</t>
        </is>
      </c>
      <c r="C573" t="n">
        <v>3</v>
      </c>
    </row>
    <row r="574">
      <c r="A574" t="inlineStr">
        <is>
          <t>The United Arab Emirates</t>
        </is>
      </c>
      <c r="B574" t="inlineStr">
        <is>
          <t>SCS Global Services, Emeryville, CA, US</t>
        </is>
      </c>
      <c r="C574" t="n">
        <v>3</v>
      </c>
    </row>
    <row r="575">
      <c r="A575" t="inlineStr">
        <is>
          <t>The United Arab Emirates</t>
        </is>
      </c>
      <c r="B575" t="inlineStr">
        <is>
          <t>Business Quality Verification Testing and Certification Services P.C. (BQV), Marousi, Athens, GR</t>
        </is>
      </c>
      <c r="C575" t="n">
        <v>2</v>
      </c>
    </row>
    <row r="576">
      <c r="A576" t="inlineStr">
        <is>
          <t>The United Arab Emirates</t>
        </is>
      </c>
      <c r="B576" t="inlineStr">
        <is>
          <t>Bureau Veritas Polska Sp. z o.o., Warsaw, PL</t>
        </is>
      </c>
      <c r="C576" t="n">
        <v>2</v>
      </c>
    </row>
    <row r="577">
      <c r="A577" t="inlineStr">
        <is>
          <t>The United Arab Emirates</t>
        </is>
      </c>
      <c r="B577" t="inlineStr">
        <is>
          <t>Control Union Certifications Germany GmbH, Berlin, DE</t>
        </is>
      </c>
      <c r="C577" t="n">
        <v>2</v>
      </c>
    </row>
    <row r="578">
      <c r="A578" t="inlineStr">
        <is>
          <t>The United Arab Emirates</t>
        </is>
      </c>
      <c r="B578" t="inlineStr">
        <is>
          <t>BM Certification, Riga, LV</t>
        </is>
      </c>
      <c r="C578" t="n">
        <v>2</v>
      </c>
    </row>
    <row r="579">
      <c r="A579" t="inlineStr">
        <is>
          <t>The United Arab Emirates</t>
        </is>
      </c>
      <c r="B579" t="inlineStr">
        <is>
          <t>ASG Cert GmbH, Munich, DE</t>
        </is>
      </c>
      <c r="C579" t="n">
        <v>2</v>
      </c>
    </row>
    <row r="580">
      <c r="A580" t="inlineStr">
        <is>
          <t>The United Arab Emirates</t>
        </is>
      </c>
      <c r="B580" t="inlineStr">
        <is>
          <t>Double Helix Tracking Technologies Pte Ltd, Singapore, SG</t>
        </is>
      </c>
      <c r="C580" t="n">
        <v>2</v>
      </c>
    </row>
    <row r="581">
      <c r="A581" t="inlineStr">
        <is>
          <t>The United Arab Emirates</t>
        </is>
      </c>
      <c r="B581" t="inlineStr">
        <is>
          <t>Apex Genelab LLC, Odessa, UA</t>
        </is>
      </c>
      <c r="C581" t="n">
        <v>1</v>
      </c>
    </row>
    <row r="582">
      <c r="A582" t="inlineStr">
        <is>
          <t>Saudi Arabia</t>
        </is>
      </c>
      <c r="B582" t="inlineStr">
        <is>
          <t>PT Intertek Utama Services, Jakarta, ID</t>
        </is>
      </c>
      <c r="C582" t="n">
        <v>9</v>
      </c>
    </row>
    <row r="583">
      <c r="A583" t="inlineStr">
        <is>
          <t>Saudi Arabia</t>
        </is>
      </c>
      <c r="B583" t="inlineStr">
        <is>
          <t>PT Mutuagung Lestari, Depok, ID</t>
        </is>
      </c>
      <c r="C583" t="n">
        <v>6</v>
      </c>
    </row>
    <row r="584">
      <c r="A584" t="inlineStr">
        <is>
          <t>Saudi Arabia</t>
        </is>
      </c>
      <c r="B584" t="inlineStr">
        <is>
          <t>Cotecna India Inspection Pvt Ltd, Kolkata, IN</t>
        </is>
      </c>
      <c r="C584" t="n">
        <v>5</v>
      </c>
    </row>
    <row r="585">
      <c r="A585" t="inlineStr">
        <is>
          <t>Saudi Arabia</t>
        </is>
      </c>
      <c r="B585" t="inlineStr">
        <is>
          <t>RINA Services S.p.A., Genova, IT</t>
        </is>
      </c>
      <c r="C585" t="n">
        <v>3</v>
      </c>
    </row>
    <row r="586">
      <c r="A586" t="inlineStr">
        <is>
          <t>Saudi Arabia</t>
        </is>
      </c>
      <c r="B586" t="inlineStr">
        <is>
          <t>Trans Certification and Inspection Sdn Bhd, Kuantan, MY</t>
        </is>
      </c>
      <c r="C586" t="n">
        <v>3</v>
      </c>
    </row>
    <row r="587">
      <c r="A587" t="inlineStr">
        <is>
          <t>Saudi Arabia</t>
        </is>
      </c>
      <c r="B587" t="inlineStr">
        <is>
          <t>SGS Germany GmbH, Emstek, DE</t>
        </is>
      </c>
      <c r="C587" t="n">
        <v>2</v>
      </c>
    </row>
    <row r="588">
      <c r="A588" t="inlineStr">
        <is>
          <t>Saudi Arabia</t>
        </is>
      </c>
      <c r="B588" t="inlineStr">
        <is>
          <t>ICIM SpA, sesto san giovanni, IT</t>
        </is>
      </c>
      <c r="C588" t="n">
        <v>2</v>
      </c>
    </row>
    <row r="589">
      <c r="A589" t="inlineStr">
        <is>
          <t>Saudi Arabia</t>
        </is>
      </c>
      <c r="B589" t="inlineStr">
        <is>
          <t>IIP S.r.l., Monza, IT</t>
        </is>
      </c>
      <c r="C589" t="n">
        <v>2</v>
      </c>
    </row>
    <row r="590">
      <c r="A590" t="inlineStr">
        <is>
          <t>Saudi Arabia</t>
        </is>
      </c>
      <c r="B590" t="inlineStr">
        <is>
          <t>SCS Global Services, Emeryville, CA, US</t>
        </is>
      </c>
      <c r="C590" t="n">
        <v>2</v>
      </c>
    </row>
    <row r="591">
      <c r="A591" t="inlineStr">
        <is>
          <t>Saudi Arabia</t>
        </is>
      </c>
      <c r="B591" t="inlineStr">
        <is>
          <t>Business Quality Verification Testing and Certification Services P.C. (BQV), Marousi, Athens, GR</t>
        </is>
      </c>
      <c r="C591" t="n">
        <v>1</v>
      </c>
    </row>
    <row r="592">
      <c r="A592" t="inlineStr">
        <is>
          <t>Taiwan (Province of China)</t>
        </is>
      </c>
      <c r="B592" t="inlineStr">
        <is>
          <t>Bureau Veritas Polska Sp. z o.o., Warsaw, PL</t>
        </is>
      </c>
      <c r="C592" t="n">
        <v>14</v>
      </c>
    </row>
    <row r="593">
      <c r="A593" t="inlineStr">
        <is>
          <t>Taiwan (Province of China)</t>
        </is>
      </c>
      <c r="B593" t="inlineStr">
        <is>
          <t>RINA Services S.p.A., Genova, IT</t>
        </is>
      </c>
      <c r="C593" t="n">
        <v>7</v>
      </c>
    </row>
    <row r="594">
      <c r="A594" t="inlineStr">
        <is>
          <t>Taiwan (Province of China)</t>
        </is>
      </c>
      <c r="B594" t="inlineStr">
        <is>
          <t>Control Union Certifications Germany GmbH, Berlin, DE</t>
        </is>
      </c>
      <c r="C594" t="n">
        <v>6</v>
      </c>
    </row>
    <row r="595">
      <c r="A595" t="inlineStr">
        <is>
          <t>Taiwan (Province of China)</t>
        </is>
      </c>
      <c r="B595" t="inlineStr">
        <is>
          <t>PT. CBQA GLOBAL INDONESIA, JAKARTA SELATAN, ID</t>
        </is>
      </c>
      <c r="C595" t="n">
        <v>3</v>
      </c>
    </row>
    <row r="596">
      <c r="A596" t="inlineStr">
        <is>
          <t>Taiwan (Province of China)</t>
        </is>
      </c>
      <c r="B596" t="inlineStr">
        <is>
          <t>Baltic Control Certification, Albertslund, DK</t>
        </is>
      </c>
      <c r="C596" t="n">
        <v>1</v>
      </c>
    </row>
    <row r="597">
      <c r="A597" t="inlineStr">
        <is>
          <t>Taiwan (Province of China)</t>
        </is>
      </c>
      <c r="B597" t="inlineStr">
        <is>
          <t>ASG Cert GmbH, Munich, DE</t>
        </is>
      </c>
      <c r="C597" t="n">
        <v>1</v>
      </c>
    </row>
    <row r="598">
      <c r="A598" t="inlineStr">
        <is>
          <t>Taiwan (Province of China)</t>
        </is>
      </c>
      <c r="B598" t="inlineStr">
        <is>
          <t>TÜV NORD CERT GmbH, Essen, DE</t>
        </is>
      </c>
      <c r="C598" t="n">
        <v>1</v>
      </c>
    </row>
    <row r="599">
      <c r="A599" t="inlineStr">
        <is>
          <t>Taiwan (Province of China)</t>
        </is>
      </c>
      <c r="B599" t="inlineStr">
        <is>
          <t>PT Intertek Utama Services, Jakarta, ID</t>
        </is>
      </c>
      <c r="C599" t="n">
        <v>1</v>
      </c>
    </row>
    <row r="600">
      <c r="A600" t="inlineStr">
        <is>
          <t>Taiwan (Province of China)</t>
        </is>
      </c>
      <c r="B600" t="inlineStr"/>
      <c r="C600" t="n">
        <v>0</v>
      </c>
    </row>
    <row r="601">
      <c r="A601" t="inlineStr">
        <is>
          <t>Taiwan (Province of China)</t>
        </is>
      </c>
      <c r="B601" t="inlineStr"/>
      <c r="C601" t="n">
        <v>0</v>
      </c>
    </row>
    <row r="602">
      <c r="A602" t="inlineStr">
        <is>
          <t>Serbia</t>
        </is>
      </c>
      <c r="B602" t="inlineStr">
        <is>
          <t>Bureau Veritas Polska Sp. z o.o., Warsaw, PL</t>
        </is>
      </c>
      <c r="C602" t="n">
        <v>13</v>
      </c>
    </row>
    <row r="603">
      <c r="A603" t="inlineStr">
        <is>
          <t>Serbia</t>
        </is>
      </c>
      <c r="B603" t="inlineStr">
        <is>
          <t>Control Union Certifications Germany GmbH, Berlin, DE</t>
        </is>
      </c>
      <c r="C603" t="n">
        <v>12</v>
      </c>
    </row>
    <row r="604">
      <c r="A604" t="inlineStr">
        <is>
          <t>Serbia</t>
        </is>
      </c>
      <c r="B604" t="inlineStr">
        <is>
          <t>Business Quality Verification Testing and Certification Services P.C. (BQV), Marousi, Athens, GR</t>
        </is>
      </c>
      <c r="C604" t="n">
        <v>2</v>
      </c>
    </row>
    <row r="605">
      <c r="A605" t="inlineStr">
        <is>
          <t>Serbia</t>
        </is>
      </c>
      <c r="B605" t="inlineStr">
        <is>
          <t>ASG Cert GmbH, Munich, DE</t>
        </is>
      </c>
      <c r="C605" t="n">
        <v>2</v>
      </c>
    </row>
    <row r="606">
      <c r="A606" t="inlineStr">
        <is>
          <t>Serbia</t>
        </is>
      </c>
      <c r="B606" t="inlineStr">
        <is>
          <t>agroVet GmbH, Enzersfeld, AT</t>
        </is>
      </c>
      <c r="C606" t="n">
        <v>1</v>
      </c>
    </row>
    <row r="607">
      <c r="A607" t="inlineStr">
        <is>
          <t>Serbia</t>
        </is>
      </c>
      <c r="B607" t="inlineStr">
        <is>
          <t>DQS CFS GmbH - Deutsche Gesellschaft für Nachhaltigkeit, Frankfurt am Main, DE</t>
        </is>
      </c>
      <c r="C607" t="n">
        <v>1</v>
      </c>
    </row>
    <row r="608">
      <c r="A608" t="inlineStr">
        <is>
          <t>Serbia</t>
        </is>
      </c>
      <c r="B608" t="inlineStr">
        <is>
          <t>SGS Germany GmbH, Emstek, DE</t>
        </is>
      </c>
      <c r="C608" t="n">
        <v>1</v>
      </c>
    </row>
    <row r="609">
      <c r="A609" t="inlineStr">
        <is>
          <t>Serbia</t>
        </is>
      </c>
      <c r="B609" t="inlineStr">
        <is>
          <t>SCS Global Services, Emeryville, CA, US</t>
        </is>
      </c>
      <c r="C609" t="n">
        <v>1</v>
      </c>
    </row>
    <row r="610">
      <c r="A610" t="inlineStr">
        <is>
          <t>Serbia</t>
        </is>
      </c>
      <c r="B610" t="inlineStr">
        <is>
          <t>Eurocert SA, Metamorfosi, Athens, GR</t>
        </is>
      </c>
      <c r="C610" t="n">
        <v>1</v>
      </c>
    </row>
    <row r="611">
      <c r="A611" t="inlineStr">
        <is>
          <t>Serbia</t>
        </is>
      </c>
      <c r="B611" t="inlineStr"/>
      <c r="C611" t="n">
        <v>0</v>
      </c>
    </row>
    <row r="612">
      <c r="A612" t="inlineStr">
        <is>
          <t>Tunisia</t>
        </is>
      </c>
      <c r="B612" t="inlineStr">
        <is>
          <t>BM Certification, Riga, LV</t>
        </is>
      </c>
      <c r="C612" t="n">
        <v>14</v>
      </c>
    </row>
    <row r="613">
      <c r="A613" t="inlineStr">
        <is>
          <t>Tunisia</t>
        </is>
      </c>
      <c r="B613" t="inlineStr">
        <is>
          <t>RINA Services S.p.A., Genova, IT</t>
        </is>
      </c>
      <c r="C613" t="n">
        <v>10</v>
      </c>
    </row>
    <row r="614">
      <c r="A614" t="inlineStr">
        <is>
          <t>Tunisia</t>
        </is>
      </c>
      <c r="B614" t="inlineStr">
        <is>
          <t>Amspec Iberia SL, Vilagarcia de Arousa-Pontevedra, ES</t>
        </is>
      </c>
      <c r="C614" t="n">
        <v>3</v>
      </c>
    </row>
    <row r="615">
      <c r="A615" t="inlineStr">
        <is>
          <t>Tunisia</t>
        </is>
      </c>
      <c r="B615" t="inlineStr">
        <is>
          <t>ICIM SpA, sesto san giovanni, IT</t>
        </is>
      </c>
      <c r="C615" t="n">
        <v>2</v>
      </c>
    </row>
    <row r="616">
      <c r="A616" t="inlineStr">
        <is>
          <t>Tunisia</t>
        </is>
      </c>
      <c r="B616" t="inlineStr">
        <is>
          <t>TÜV SÜD Industrie Service GmbH, München, DE</t>
        </is>
      </c>
      <c r="C616" t="n">
        <v>1</v>
      </c>
    </row>
    <row r="617">
      <c r="A617" t="inlineStr">
        <is>
          <t>Tunisia</t>
        </is>
      </c>
      <c r="B617" t="inlineStr">
        <is>
          <t>Aardvark Certification Ltd, Wiveliscombe, Somerset, GB</t>
        </is>
      </c>
      <c r="C617" t="n">
        <v>1</v>
      </c>
    </row>
    <row r="618">
      <c r="A618" t="inlineStr">
        <is>
          <t>Tunisia</t>
        </is>
      </c>
      <c r="B618" t="inlineStr">
        <is>
          <t>PT Intertek Utama Services, Jakarta, ID</t>
        </is>
      </c>
      <c r="C618" t="n">
        <v>1</v>
      </c>
    </row>
    <row r="619">
      <c r="A619" t="inlineStr">
        <is>
          <t>Tunisia</t>
        </is>
      </c>
      <c r="B619" t="inlineStr"/>
      <c r="C619" t="n">
        <v>0</v>
      </c>
    </row>
    <row r="620">
      <c r="A620" t="inlineStr">
        <is>
          <t>Tunisia</t>
        </is>
      </c>
      <c r="B620" t="inlineStr"/>
      <c r="C620" t="n">
        <v>0</v>
      </c>
    </row>
    <row r="621">
      <c r="A621" t="inlineStr">
        <is>
          <t>Tunisia</t>
        </is>
      </c>
      <c r="B621" t="inlineStr"/>
      <c r="C621" t="n">
        <v>0</v>
      </c>
    </row>
    <row r="622">
      <c r="A622" t="inlineStr">
        <is>
          <t>Pakistan</t>
        </is>
      </c>
      <c r="B622" t="inlineStr">
        <is>
          <t>PT Intertek Utama Services, Jakarta, ID</t>
        </is>
      </c>
      <c r="C622" t="n">
        <v>19</v>
      </c>
    </row>
    <row r="623">
      <c r="A623" t="inlineStr">
        <is>
          <t>Pakistan</t>
        </is>
      </c>
      <c r="B623" t="inlineStr">
        <is>
          <t>SGS Germany GmbH, Emstek, DE</t>
        </is>
      </c>
      <c r="C623" t="n">
        <v>4</v>
      </c>
    </row>
    <row r="624">
      <c r="A624" t="inlineStr">
        <is>
          <t>Pakistan</t>
        </is>
      </c>
      <c r="B624" t="inlineStr">
        <is>
          <t>PT. Qualitas Sertifikasi Indonesia, Jakarta, ID</t>
        </is>
      </c>
      <c r="C624" t="n">
        <v>3</v>
      </c>
    </row>
    <row r="625">
      <c r="A625" t="inlineStr">
        <is>
          <t>Pakistan</t>
        </is>
      </c>
      <c r="B625" t="inlineStr">
        <is>
          <t>Trans Certification and Inspection Sdn Bhd, Kuantan, MY</t>
        </is>
      </c>
      <c r="C625" t="n">
        <v>1</v>
      </c>
    </row>
    <row r="626">
      <c r="A626" t="inlineStr">
        <is>
          <t>Pakistan</t>
        </is>
      </c>
      <c r="B626" t="inlineStr"/>
      <c r="C626" t="n">
        <v>0</v>
      </c>
    </row>
    <row r="627">
      <c r="A627" t="inlineStr">
        <is>
          <t>Pakistan</t>
        </is>
      </c>
      <c r="B627" t="inlineStr"/>
      <c r="C627" t="n">
        <v>0</v>
      </c>
    </row>
    <row r="628">
      <c r="A628" t="inlineStr">
        <is>
          <t>Pakistan</t>
        </is>
      </c>
      <c r="B628" t="inlineStr"/>
      <c r="C628" t="n">
        <v>0</v>
      </c>
    </row>
    <row r="629">
      <c r="A629" t="inlineStr">
        <is>
          <t>Pakistan</t>
        </is>
      </c>
      <c r="B629" t="inlineStr"/>
      <c r="C629" t="n">
        <v>0</v>
      </c>
    </row>
    <row r="630">
      <c r="A630" t="inlineStr">
        <is>
          <t>Pakistan</t>
        </is>
      </c>
      <c r="B630" t="inlineStr"/>
      <c r="C630" t="n">
        <v>0</v>
      </c>
    </row>
    <row r="631">
      <c r="A631" t="inlineStr">
        <is>
          <t>Pakistan</t>
        </is>
      </c>
      <c r="B631" t="inlineStr"/>
      <c r="C631" t="n">
        <v>0</v>
      </c>
    </row>
    <row r="632">
      <c r="A632" t="inlineStr">
        <is>
          <t>New Zealand</t>
        </is>
      </c>
      <c r="B632" t="inlineStr">
        <is>
          <t>SGS Germany GmbH, Emstek, DE</t>
        </is>
      </c>
      <c r="C632" t="n">
        <v>17</v>
      </c>
    </row>
    <row r="633">
      <c r="A633" t="inlineStr">
        <is>
          <t>New Zealand</t>
        </is>
      </c>
      <c r="B633" t="inlineStr">
        <is>
          <t>Control Union Certifications Germany GmbH, Berlin, DE</t>
        </is>
      </c>
      <c r="C633" t="n">
        <v>6</v>
      </c>
    </row>
    <row r="634">
      <c r="A634" t="inlineStr">
        <is>
          <t>New Zealand</t>
        </is>
      </c>
      <c r="B634" t="inlineStr">
        <is>
          <t>SCS Global Services, Emeryville, CA, US</t>
        </is>
      </c>
      <c r="C634" t="n">
        <v>3</v>
      </c>
    </row>
    <row r="635">
      <c r="A635" t="inlineStr">
        <is>
          <t>New Zealand</t>
        </is>
      </c>
      <c r="B635" t="inlineStr">
        <is>
          <t>BM Certification, Riga, LV</t>
        </is>
      </c>
      <c r="C635" t="n">
        <v>1</v>
      </c>
    </row>
    <row r="636">
      <c r="A636" t="inlineStr">
        <is>
          <t>New Zealand</t>
        </is>
      </c>
      <c r="B636" t="inlineStr"/>
      <c r="C636" t="n">
        <v>0</v>
      </c>
    </row>
    <row r="637">
      <c r="A637" t="inlineStr">
        <is>
          <t>New Zealand</t>
        </is>
      </c>
      <c r="B637" t="inlineStr"/>
      <c r="C637" t="n">
        <v>0</v>
      </c>
    </row>
    <row r="638">
      <c r="A638" t="inlineStr">
        <is>
          <t>New Zealand</t>
        </is>
      </c>
      <c r="B638" t="inlineStr"/>
      <c r="C638" t="n">
        <v>0</v>
      </c>
    </row>
    <row r="639">
      <c r="A639" t="inlineStr">
        <is>
          <t>New Zealand</t>
        </is>
      </c>
      <c r="B639" t="inlineStr"/>
      <c r="C639" t="n">
        <v>0</v>
      </c>
    </row>
    <row r="640">
      <c r="A640" t="inlineStr">
        <is>
          <t>New Zealand</t>
        </is>
      </c>
      <c r="B640" t="inlineStr"/>
      <c r="C640" t="n">
        <v>0</v>
      </c>
    </row>
    <row r="641">
      <c r="A641" t="inlineStr">
        <is>
          <t>New Zealand</t>
        </is>
      </c>
      <c r="B641" t="inlineStr"/>
      <c r="C641" t="n">
        <v>0</v>
      </c>
    </row>
    <row r="642">
      <c r="A642" t="inlineStr">
        <is>
          <t>Egypt</t>
        </is>
      </c>
      <c r="B642" t="inlineStr">
        <is>
          <t>Eurocert SA, Metamorfosi, Athens, GR</t>
        </is>
      </c>
      <c r="C642" t="n">
        <v>7</v>
      </c>
    </row>
    <row r="643">
      <c r="A643" t="inlineStr">
        <is>
          <t>Egypt</t>
        </is>
      </c>
      <c r="B643" t="inlineStr">
        <is>
          <t>SGS Germany GmbH, Emstek, DE</t>
        </is>
      </c>
      <c r="C643" t="n">
        <v>7</v>
      </c>
    </row>
    <row r="644">
      <c r="A644" t="inlineStr">
        <is>
          <t>Egypt</t>
        </is>
      </c>
      <c r="B644" t="inlineStr">
        <is>
          <t>Trans Certification and Inspection Sdn Bhd, Kuantan, MY</t>
        </is>
      </c>
      <c r="C644" t="n">
        <v>5</v>
      </c>
    </row>
    <row r="645">
      <c r="A645" t="inlineStr">
        <is>
          <t>Egypt</t>
        </is>
      </c>
      <c r="B645" t="inlineStr">
        <is>
          <t>PT Intertek Utama Services, Jakarta, ID</t>
        </is>
      </c>
      <c r="C645" t="n">
        <v>4</v>
      </c>
    </row>
    <row r="646">
      <c r="A646" t="inlineStr">
        <is>
          <t>Egypt</t>
        </is>
      </c>
      <c r="B646" t="inlineStr">
        <is>
          <t>Cotecna India Inspection Pvt Ltd, Kolkata, IN</t>
        </is>
      </c>
      <c r="C646" t="n">
        <v>2</v>
      </c>
    </row>
    <row r="647">
      <c r="A647" t="inlineStr">
        <is>
          <t>Egypt</t>
        </is>
      </c>
      <c r="B647" t="inlineStr">
        <is>
          <t>DEKRA Certification B.V., Arnhem, NL</t>
        </is>
      </c>
      <c r="C647" t="n">
        <v>1</v>
      </c>
    </row>
    <row r="648">
      <c r="A648" t="inlineStr">
        <is>
          <t>Egypt</t>
        </is>
      </c>
      <c r="B648" t="inlineStr">
        <is>
          <t>Aardvark Certification Ltd, Wiveliscombe, Somerset, GB</t>
        </is>
      </c>
      <c r="C648" t="n">
        <v>1</v>
      </c>
    </row>
    <row r="649">
      <c r="A649" t="inlineStr">
        <is>
          <t>Egypt</t>
        </is>
      </c>
      <c r="B649" t="inlineStr"/>
      <c r="C649" t="n">
        <v>0</v>
      </c>
    </row>
    <row r="650">
      <c r="A650" t="inlineStr">
        <is>
          <t>Egypt</t>
        </is>
      </c>
      <c r="B650" t="inlineStr"/>
      <c r="C650" t="n">
        <v>0</v>
      </c>
    </row>
    <row r="651">
      <c r="A651" t="inlineStr">
        <is>
          <t>Egypt</t>
        </is>
      </c>
      <c r="B651" t="inlineStr"/>
      <c r="C651" t="n">
        <v>0</v>
      </c>
    </row>
    <row r="652">
      <c r="A652" t="inlineStr">
        <is>
          <t>Türkiye</t>
        </is>
      </c>
      <c r="B652" t="inlineStr">
        <is>
          <t>PT Intertek Utama Services, Jakarta, ID</t>
        </is>
      </c>
      <c r="C652" t="n">
        <v>11</v>
      </c>
    </row>
    <row r="653">
      <c r="A653" t="inlineStr">
        <is>
          <t>Türkiye</t>
        </is>
      </c>
      <c r="B653" t="inlineStr">
        <is>
          <t>Trans Certification and Inspection Sdn Bhd, Kuantan, MY</t>
        </is>
      </c>
      <c r="C653" t="n">
        <v>7</v>
      </c>
    </row>
    <row r="654">
      <c r="A654" t="inlineStr">
        <is>
          <t>Türkiye</t>
        </is>
      </c>
      <c r="B654" t="inlineStr">
        <is>
          <t>Control Union Certifications Germany GmbH, Berlin, DE</t>
        </is>
      </c>
      <c r="C654" t="n">
        <v>2</v>
      </c>
    </row>
    <row r="655">
      <c r="A655" t="inlineStr">
        <is>
          <t>Türkiye</t>
        </is>
      </c>
      <c r="B655" t="inlineStr">
        <is>
          <t>SGS Germany GmbH, Emstek, DE</t>
        </is>
      </c>
      <c r="C655" t="n">
        <v>1</v>
      </c>
    </row>
    <row r="656">
      <c r="A656" t="inlineStr">
        <is>
          <t>Türkiye</t>
        </is>
      </c>
      <c r="B656" t="inlineStr">
        <is>
          <t>BM Certification, Riga, LV</t>
        </is>
      </c>
      <c r="C656" t="n">
        <v>1</v>
      </c>
    </row>
    <row r="657">
      <c r="A657" t="inlineStr">
        <is>
          <t>Türkiye</t>
        </is>
      </c>
      <c r="B657" t="inlineStr">
        <is>
          <t>ASG Cert GmbH, Munich, DE</t>
        </is>
      </c>
      <c r="C657" t="n">
        <v>1</v>
      </c>
    </row>
    <row r="658">
      <c r="A658" t="inlineStr">
        <is>
          <t>Türkiye</t>
        </is>
      </c>
      <c r="B658" t="inlineStr">
        <is>
          <t>Business Quality Verification Testing and Certification Services P.C. (BQV), Marousi, Athens, GR</t>
        </is>
      </c>
      <c r="C658" t="n">
        <v>1</v>
      </c>
    </row>
    <row r="659">
      <c r="A659" t="inlineStr">
        <is>
          <t>Türkiye</t>
        </is>
      </c>
      <c r="B659" t="inlineStr">
        <is>
          <t>QIMA, Centro, Botucatu - SP, CEP, BR</t>
        </is>
      </c>
      <c r="C659" t="n">
        <v>1</v>
      </c>
    </row>
    <row r="660">
      <c r="A660" t="inlineStr">
        <is>
          <t>Türkiye</t>
        </is>
      </c>
      <c r="B660" t="inlineStr">
        <is>
          <t>PT SBC Asia Sertifikasi, Kebumen, ID</t>
        </is>
      </c>
      <c r="C660" t="n">
        <v>1</v>
      </c>
    </row>
    <row r="661">
      <c r="A661" t="inlineStr">
        <is>
          <t>Türkiye</t>
        </is>
      </c>
      <c r="B661" t="inlineStr"/>
      <c r="C661" t="n">
        <v>0</v>
      </c>
    </row>
    <row r="662">
      <c r="A662" t="inlineStr">
        <is>
          <t>Peru</t>
        </is>
      </c>
      <c r="B662" t="inlineStr">
        <is>
          <t>Certificadora Gallega del Noroeste SL, Vilagarcia de Arousa-Pontevedra, ES</t>
        </is>
      </c>
      <c r="C662" t="n">
        <v>8</v>
      </c>
    </row>
    <row r="663">
      <c r="A663" t="inlineStr">
        <is>
          <t>Peru</t>
        </is>
      </c>
      <c r="B663" t="inlineStr">
        <is>
          <t>SCS Global Services, Emeryville, CA, US</t>
        </is>
      </c>
      <c r="C663" t="n">
        <v>7</v>
      </c>
    </row>
    <row r="664">
      <c r="A664" t="inlineStr">
        <is>
          <t>Peru</t>
        </is>
      </c>
      <c r="B664" t="inlineStr">
        <is>
          <t>Control Union Poland Sp. z o.o., Zielona Gora, PL</t>
        </is>
      </c>
      <c r="C664" t="n">
        <v>4</v>
      </c>
    </row>
    <row r="665">
      <c r="A665" t="inlineStr">
        <is>
          <t>Peru</t>
        </is>
      </c>
      <c r="B665" t="inlineStr">
        <is>
          <t>RINA Services S.p.A., Genova, IT</t>
        </is>
      </c>
      <c r="C665" t="n">
        <v>2</v>
      </c>
    </row>
    <row r="666">
      <c r="A666" t="inlineStr">
        <is>
          <t>Peru</t>
        </is>
      </c>
      <c r="B666" t="inlineStr">
        <is>
          <t>Amspec Iberia SL, Vilagarcia de Arousa-Pontevedra, ES</t>
        </is>
      </c>
      <c r="C666" t="n">
        <v>1</v>
      </c>
    </row>
    <row r="667">
      <c r="A667" t="inlineStr">
        <is>
          <t>Peru</t>
        </is>
      </c>
      <c r="B667" t="inlineStr">
        <is>
          <t>SGS Germany GmbH, Emstek, DE</t>
        </is>
      </c>
      <c r="C667" t="n">
        <v>1</v>
      </c>
    </row>
    <row r="668">
      <c r="A668" t="inlineStr">
        <is>
          <t>Peru</t>
        </is>
      </c>
      <c r="B668" t="inlineStr">
        <is>
          <t>ASG Cert GmbH, Munich, DE</t>
        </is>
      </c>
      <c r="C668" t="n">
        <v>1</v>
      </c>
    </row>
    <row r="669">
      <c r="A669" t="inlineStr">
        <is>
          <t>Peru</t>
        </is>
      </c>
      <c r="B669" t="inlineStr"/>
      <c r="C669" t="n">
        <v>0</v>
      </c>
    </row>
    <row r="670">
      <c r="A670" t="inlineStr">
        <is>
          <t>Peru</t>
        </is>
      </c>
      <c r="B670" t="inlineStr"/>
      <c r="C670" t="n">
        <v>0</v>
      </c>
    </row>
    <row r="671">
      <c r="A671" t="inlineStr">
        <is>
          <t>Peru</t>
        </is>
      </c>
      <c r="B671" t="inlineStr"/>
      <c r="C671" t="n">
        <v>0</v>
      </c>
    </row>
    <row r="672">
      <c r="A672" t="inlineStr">
        <is>
          <t>Uruguay</t>
        </is>
      </c>
      <c r="B672" t="inlineStr">
        <is>
          <t>Control Union Poland Sp. z o.o., Zielona Gora, PL</t>
        </is>
      </c>
      <c r="C672" t="n">
        <v>8</v>
      </c>
    </row>
    <row r="673">
      <c r="A673" t="inlineStr">
        <is>
          <t>Uruguay</t>
        </is>
      </c>
      <c r="B673" t="inlineStr">
        <is>
          <t>Control Union Certifications Germany GmbH, Berlin, DE</t>
        </is>
      </c>
      <c r="C673" t="n">
        <v>8</v>
      </c>
    </row>
    <row r="674">
      <c r="A674" t="inlineStr">
        <is>
          <t>Uruguay</t>
        </is>
      </c>
      <c r="B674" t="inlineStr">
        <is>
          <t>PT Intertek Utama Services, Jakarta, ID</t>
        </is>
      </c>
      <c r="C674" t="n">
        <v>2</v>
      </c>
    </row>
    <row r="675">
      <c r="A675" t="inlineStr">
        <is>
          <t>Uruguay</t>
        </is>
      </c>
      <c r="B675" t="inlineStr">
        <is>
          <t>SGS Germany GmbH, Emstek, DE</t>
        </is>
      </c>
      <c r="C675" t="n">
        <v>2</v>
      </c>
    </row>
    <row r="676">
      <c r="A676" t="inlineStr">
        <is>
          <t>Uruguay</t>
        </is>
      </c>
      <c r="B676" t="inlineStr">
        <is>
          <t>Certificadora Gallega del Noroeste SL, Vilagarcia de Arousa-Pontevedra, ES</t>
        </is>
      </c>
      <c r="C676" t="n">
        <v>2</v>
      </c>
    </row>
    <row r="677">
      <c r="A677" t="inlineStr">
        <is>
          <t>Uruguay</t>
        </is>
      </c>
      <c r="B677" t="inlineStr">
        <is>
          <t>Amspec Iberia SL, Vilagarcia de Arousa-Pontevedra, ES</t>
        </is>
      </c>
      <c r="C677" t="n">
        <v>1</v>
      </c>
    </row>
    <row r="678">
      <c r="A678" t="inlineStr">
        <is>
          <t>Uruguay</t>
        </is>
      </c>
      <c r="B678" t="inlineStr"/>
      <c r="C678" t="n">
        <v>0</v>
      </c>
    </row>
    <row r="679">
      <c r="A679" t="inlineStr">
        <is>
          <t>Uruguay</t>
        </is>
      </c>
      <c r="B679" t="inlineStr"/>
      <c r="C679" t="n">
        <v>0</v>
      </c>
    </row>
    <row r="680">
      <c r="A680" t="inlineStr">
        <is>
          <t>Uruguay</t>
        </is>
      </c>
      <c r="B680" t="inlineStr"/>
      <c r="C680" t="n">
        <v>0</v>
      </c>
    </row>
    <row r="681">
      <c r="A681" t="inlineStr">
        <is>
          <t>Uruguay</t>
        </is>
      </c>
      <c r="B681" t="inlineStr"/>
      <c r="C681" t="n">
        <v>0</v>
      </c>
    </row>
    <row r="682">
      <c r="A682" t="inlineStr">
        <is>
          <t>Panama</t>
        </is>
      </c>
      <c r="B682" t="inlineStr">
        <is>
          <t>ICIM SpA, sesto san giovanni, IT</t>
        </is>
      </c>
      <c r="C682" t="n">
        <v>7</v>
      </c>
    </row>
    <row r="683">
      <c r="A683" t="inlineStr">
        <is>
          <t>Panama</t>
        </is>
      </c>
      <c r="B683" t="inlineStr">
        <is>
          <t>Certificadora Gallega del Noroeste SL, Vilagarcia de Arousa-Pontevedra, ES</t>
        </is>
      </c>
      <c r="C683" t="n">
        <v>7</v>
      </c>
    </row>
    <row r="684">
      <c r="A684" t="inlineStr">
        <is>
          <t>Panama</t>
        </is>
      </c>
      <c r="B684" t="inlineStr">
        <is>
          <t>Control Union Poland Sp. z o.o., Zielona Gora, PL</t>
        </is>
      </c>
      <c r="C684" t="n">
        <v>5</v>
      </c>
    </row>
    <row r="685">
      <c r="A685" t="inlineStr">
        <is>
          <t>Panama</t>
        </is>
      </c>
      <c r="B685" t="inlineStr">
        <is>
          <t>Amspec Iberia SL, Vilagarcia de Arousa-Pontevedra, ES</t>
        </is>
      </c>
      <c r="C685" t="n">
        <v>2</v>
      </c>
    </row>
    <row r="686">
      <c r="A686" t="inlineStr">
        <is>
          <t>Panama</t>
        </is>
      </c>
      <c r="B686" t="inlineStr">
        <is>
          <t>QIMA, Centro, Botucatu - SP, CEP, BR</t>
        </is>
      </c>
      <c r="C686" t="n">
        <v>1</v>
      </c>
    </row>
    <row r="687">
      <c r="A687" t="inlineStr">
        <is>
          <t>Panama</t>
        </is>
      </c>
      <c r="B687" t="inlineStr">
        <is>
          <t>ASG Cert GmbH, Munich, DE</t>
        </is>
      </c>
      <c r="C687" t="n">
        <v>1</v>
      </c>
    </row>
    <row r="688">
      <c r="A688" t="inlineStr">
        <is>
          <t>Panama</t>
        </is>
      </c>
      <c r="B688" t="inlineStr"/>
      <c r="C688" t="n">
        <v>0</v>
      </c>
    </row>
    <row r="689">
      <c r="A689" t="inlineStr">
        <is>
          <t>Panama</t>
        </is>
      </c>
      <c r="B689" t="inlineStr"/>
      <c r="C689" t="n">
        <v>0</v>
      </c>
    </row>
    <row r="690">
      <c r="A690" t="inlineStr">
        <is>
          <t>Panama</t>
        </is>
      </c>
      <c r="B690" t="inlineStr"/>
      <c r="C690" t="n">
        <v>0</v>
      </c>
    </row>
    <row r="691">
      <c r="A691" t="inlineStr">
        <is>
          <t>Panama</t>
        </is>
      </c>
      <c r="B691" t="inlineStr"/>
      <c r="C691" t="n">
        <v>0</v>
      </c>
    </row>
    <row r="692">
      <c r="A692" t="inlineStr">
        <is>
          <t>Luxembourg</t>
        </is>
      </c>
      <c r="B692" t="inlineStr">
        <is>
          <t>SGS Germany GmbH, Emstek, DE</t>
        </is>
      </c>
      <c r="C692" t="n">
        <v>5</v>
      </c>
    </row>
    <row r="693">
      <c r="A693" t="inlineStr">
        <is>
          <t>Luxembourg</t>
        </is>
      </c>
      <c r="B693" t="inlineStr">
        <is>
          <t>DQS CFS GmbH - Deutsche Gesellschaft für Nachhaltigkeit, Frankfurt am Main, DE</t>
        </is>
      </c>
      <c r="C693" t="n">
        <v>4</v>
      </c>
    </row>
    <row r="694">
      <c r="A694" t="inlineStr">
        <is>
          <t>Luxembourg</t>
        </is>
      </c>
      <c r="B694" t="inlineStr">
        <is>
          <t>Control Union Certifications Germany GmbH, Berlin, DE</t>
        </is>
      </c>
      <c r="C694" t="n">
        <v>3</v>
      </c>
    </row>
    <row r="695">
      <c r="A695" t="inlineStr">
        <is>
          <t>Luxembourg</t>
        </is>
      </c>
      <c r="B695" t="inlineStr">
        <is>
          <t>SCS Global Services, Emeryville, CA, US</t>
        </is>
      </c>
      <c r="C695" t="n">
        <v>3</v>
      </c>
    </row>
    <row r="696">
      <c r="A696" t="inlineStr">
        <is>
          <t>Luxembourg</t>
        </is>
      </c>
      <c r="B696" t="inlineStr">
        <is>
          <t>Bureau Veritas Polska Sp. z o.o., Warsaw, PL</t>
        </is>
      </c>
      <c r="C696" t="n">
        <v>3</v>
      </c>
    </row>
    <row r="697">
      <c r="A697" t="inlineStr">
        <is>
          <t>Luxembourg</t>
        </is>
      </c>
      <c r="B697" t="inlineStr">
        <is>
          <t>Double Helix Tracking Technologies Pte Ltd, Singapore, SG</t>
        </is>
      </c>
      <c r="C697" t="n">
        <v>2</v>
      </c>
    </row>
    <row r="698">
      <c r="A698" t="inlineStr">
        <is>
          <t>Luxembourg</t>
        </is>
      </c>
      <c r="B698" t="inlineStr">
        <is>
          <t>BM Certification, Riga, LV</t>
        </is>
      </c>
      <c r="C698" t="n">
        <v>1</v>
      </c>
    </row>
    <row r="699">
      <c r="A699" t="inlineStr">
        <is>
          <t>Luxembourg</t>
        </is>
      </c>
      <c r="B699" t="inlineStr">
        <is>
          <t>Control Union Poland Sp. z o.o., Zielona Gora, PL</t>
        </is>
      </c>
      <c r="C699" t="n">
        <v>1</v>
      </c>
    </row>
    <row r="700">
      <c r="A700" t="inlineStr">
        <is>
          <t>Luxembourg</t>
        </is>
      </c>
      <c r="B700" t="inlineStr"/>
      <c r="C700" t="n">
        <v>0</v>
      </c>
    </row>
    <row r="701">
      <c r="A701" t="inlineStr">
        <is>
          <t>Luxembourg</t>
        </is>
      </c>
      <c r="B701" t="inlineStr"/>
      <c r="C701" t="n">
        <v>0</v>
      </c>
    </row>
    <row r="702">
      <c r="A702" t="inlineStr">
        <is>
          <t>Kenya</t>
        </is>
      </c>
      <c r="B702" t="inlineStr">
        <is>
          <t>RINA Services S.p.A., Genova, IT</t>
        </is>
      </c>
      <c r="C702" t="n">
        <v>17</v>
      </c>
    </row>
    <row r="703">
      <c r="A703" t="inlineStr">
        <is>
          <t>Kenya</t>
        </is>
      </c>
      <c r="B703" t="inlineStr">
        <is>
          <t>SGS Germany GmbH, Emstek, DE</t>
        </is>
      </c>
      <c r="C703" t="n">
        <v>2</v>
      </c>
    </row>
    <row r="704">
      <c r="A704" t="inlineStr">
        <is>
          <t>Kenya</t>
        </is>
      </c>
      <c r="B704" t="inlineStr">
        <is>
          <t>Bureau Veritas Consumer Products Services, Inc., Buffalo, NY, US</t>
        </is>
      </c>
      <c r="C704" t="n">
        <v>1</v>
      </c>
    </row>
    <row r="705">
      <c r="A705" t="inlineStr">
        <is>
          <t>Kenya</t>
        </is>
      </c>
      <c r="B705" t="inlineStr"/>
      <c r="C705" t="n">
        <v>0</v>
      </c>
    </row>
    <row r="706">
      <c r="A706" t="inlineStr">
        <is>
          <t>Kenya</t>
        </is>
      </c>
      <c r="B706" t="inlineStr"/>
      <c r="C706" t="n">
        <v>0</v>
      </c>
    </row>
    <row r="707">
      <c r="A707" t="inlineStr">
        <is>
          <t>Kenya</t>
        </is>
      </c>
      <c r="B707" t="inlineStr"/>
      <c r="C707" t="n">
        <v>0</v>
      </c>
    </row>
    <row r="708">
      <c r="A708" t="inlineStr">
        <is>
          <t>Kenya</t>
        </is>
      </c>
      <c r="B708" t="inlineStr"/>
      <c r="C708" t="n">
        <v>0</v>
      </c>
    </row>
    <row r="709">
      <c r="A709" t="inlineStr">
        <is>
          <t>Kenya</t>
        </is>
      </c>
      <c r="B709" t="inlineStr"/>
      <c r="C709" t="n">
        <v>0</v>
      </c>
    </row>
    <row r="710">
      <c r="A710" t="inlineStr">
        <is>
          <t>Kenya</t>
        </is>
      </c>
      <c r="B710" t="inlineStr"/>
      <c r="C710" t="n">
        <v>0</v>
      </c>
    </row>
    <row r="711">
      <c r="A711" t="inlineStr">
        <is>
          <t>Kenya</t>
        </is>
      </c>
      <c r="B711" t="inlineStr"/>
      <c r="C711" t="n">
        <v>0</v>
      </c>
    </row>
    <row r="712">
      <c r="A712" t="inlineStr">
        <is>
          <t>Hong Kong (SAR)</t>
        </is>
      </c>
      <c r="B712" t="inlineStr">
        <is>
          <t>SCS Global Services, Emeryville, CA, US</t>
        </is>
      </c>
      <c r="C712" t="n">
        <v>4</v>
      </c>
    </row>
    <row r="713">
      <c r="A713" t="inlineStr">
        <is>
          <t>Hong Kong (SAR)</t>
        </is>
      </c>
      <c r="B713" t="inlineStr">
        <is>
          <t>Bureau Veritas Polska Sp. z o.o., Warsaw, PL</t>
        </is>
      </c>
      <c r="C713" t="n">
        <v>3</v>
      </c>
    </row>
    <row r="714">
      <c r="A714" t="inlineStr">
        <is>
          <t>Hong Kong (SAR)</t>
        </is>
      </c>
      <c r="B714" t="inlineStr">
        <is>
          <t>RINA Services S.p.A., Genova, IT</t>
        </is>
      </c>
      <c r="C714" t="n">
        <v>3</v>
      </c>
    </row>
    <row r="715">
      <c r="A715" t="inlineStr">
        <is>
          <t>Hong Kong (SAR)</t>
        </is>
      </c>
      <c r="B715" t="inlineStr">
        <is>
          <t>Control Union Certifications Germany GmbH, Berlin, DE</t>
        </is>
      </c>
      <c r="C715" t="n">
        <v>2</v>
      </c>
    </row>
    <row r="716">
      <c r="A716" t="inlineStr">
        <is>
          <t>Hong Kong (SAR)</t>
        </is>
      </c>
      <c r="B716" t="inlineStr">
        <is>
          <t>SGS Germany GmbH, Emstek, DE</t>
        </is>
      </c>
      <c r="C716" t="n">
        <v>2</v>
      </c>
    </row>
    <row r="717">
      <c r="A717" t="inlineStr">
        <is>
          <t>Hong Kong (SAR)</t>
        </is>
      </c>
      <c r="B717" t="inlineStr">
        <is>
          <t>TÜV NORD CERT GmbH, Essen, DE</t>
        </is>
      </c>
      <c r="C717" t="n">
        <v>1</v>
      </c>
    </row>
    <row r="718">
      <c r="A718" t="inlineStr">
        <is>
          <t>Hong Kong (SAR)</t>
        </is>
      </c>
      <c r="B718" t="inlineStr">
        <is>
          <t>PT Intertek Utama Services, Jakarta, ID</t>
        </is>
      </c>
      <c r="C718" t="n">
        <v>1</v>
      </c>
    </row>
    <row r="719">
      <c r="A719" t="inlineStr">
        <is>
          <t>Hong Kong (SAR)</t>
        </is>
      </c>
      <c r="B719" t="inlineStr">
        <is>
          <t>BM Certification, Riga, LV</t>
        </is>
      </c>
      <c r="C719" t="n">
        <v>1</v>
      </c>
    </row>
    <row r="720">
      <c r="A720" t="inlineStr">
        <is>
          <t>Hong Kong (SAR)</t>
        </is>
      </c>
      <c r="B720" t="inlineStr">
        <is>
          <t>DIN CERTCO GmbH, Berlin, DE</t>
        </is>
      </c>
      <c r="C720" t="n">
        <v>1</v>
      </c>
    </row>
    <row r="721">
      <c r="A721" t="inlineStr">
        <is>
          <t>Hong Kong (SAR)</t>
        </is>
      </c>
      <c r="B721" t="inlineStr">
        <is>
          <t>ASG Cert GmbH, Munich, DE</t>
        </is>
      </c>
      <c r="C721" t="n">
        <v>1</v>
      </c>
    </row>
    <row r="722">
      <c r="A722" t="inlineStr">
        <is>
          <t>Ivory Coast</t>
        </is>
      </c>
      <c r="B722" t="inlineStr">
        <is>
          <t>PT Intertek Utama Services, Jakarta, ID</t>
        </is>
      </c>
      <c r="C722" t="n">
        <v>10</v>
      </c>
    </row>
    <row r="723">
      <c r="A723" t="inlineStr">
        <is>
          <t>Ivory Coast</t>
        </is>
      </c>
      <c r="B723" t="inlineStr">
        <is>
          <t>Bureau Veritas Polska Sp. z o.o., Warsaw, PL</t>
        </is>
      </c>
      <c r="C723" t="n">
        <v>3</v>
      </c>
    </row>
    <row r="724">
      <c r="A724" t="inlineStr">
        <is>
          <t>Ivory Coast</t>
        </is>
      </c>
      <c r="B724" t="inlineStr">
        <is>
          <t>SGS Germany GmbH, Emstek, DE</t>
        </is>
      </c>
      <c r="C724" t="n">
        <v>2</v>
      </c>
    </row>
    <row r="725">
      <c r="A725" t="inlineStr">
        <is>
          <t>Ivory Coast</t>
        </is>
      </c>
      <c r="B725" t="inlineStr">
        <is>
          <t>RINA Services S.p.A., Genova, IT</t>
        </is>
      </c>
      <c r="C725" t="n">
        <v>2</v>
      </c>
    </row>
    <row r="726">
      <c r="A726" t="inlineStr">
        <is>
          <t>Ivory Coast</t>
        </is>
      </c>
      <c r="B726" t="inlineStr">
        <is>
          <t>BM Certification, Riga, LV</t>
        </is>
      </c>
      <c r="C726" t="n">
        <v>1</v>
      </c>
    </row>
    <row r="727">
      <c r="A727" t="inlineStr">
        <is>
          <t>Ivory Coast</t>
        </is>
      </c>
      <c r="B727" t="inlineStr"/>
      <c r="C727" t="n">
        <v>0</v>
      </c>
    </row>
    <row r="728">
      <c r="A728" t="inlineStr">
        <is>
          <t>Ivory Coast</t>
        </is>
      </c>
      <c r="B728" t="inlineStr"/>
      <c r="C728" t="n">
        <v>0</v>
      </c>
    </row>
    <row r="729">
      <c r="A729" t="inlineStr">
        <is>
          <t>Ivory Coast</t>
        </is>
      </c>
      <c r="B729" t="inlineStr"/>
      <c r="C729" t="n">
        <v>0</v>
      </c>
    </row>
    <row r="730">
      <c r="A730" t="inlineStr">
        <is>
          <t>Ivory Coast</t>
        </is>
      </c>
      <c r="B730" t="inlineStr"/>
      <c r="C730" t="n">
        <v>0</v>
      </c>
    </row>
    <row r="731">
      <c r="A731" t="inlineStr">
        <is>
          <t>Ivory Coast</t>
        </is>
      </c>
      <c r="B731" t="inlineStr"/>
      <c r="C731" t="n">
        <v>0</v>
      </c>
    </row>
    <row r="732">
      <c r="A732" t="inlineStr">
        <is>
          <t>Paraguay</t>
        </is>
      </c>
      <c r="B732" t="inlineStr">
        <is>
          <t>Control Union Poland Sp. z o.o., Zielona Gora, PL</t>
        </is>
      </c>
      <c r="C732" t="n">
        <v>10</v>
      </c>
    </row>
    <row r="733">
      <c r="A733" t="inlineStr">
        <is>
          <t>Paraguay</t>
        </is>
      </c>
      <c r="B733" t="inlineStr">
        <is>
          <t>Control Union Certifications Germany GmbH, Berlin, DE</t>
        </is>
      </c>
      <c r="C733" t="n">
        <v>5</v>
      </c>
    </row>
    <row r="734">
      <c r="A734" t="inlineStr">
        <is>
          <t>Paraguay</t>
        </is>
      </c>
      <c r="B734" t="inlineStr">
        <is>
          <t>RINA Services S.p.A., Genova, IT</t>
        </is>
      </c>
      <c r="C734" t="n">
        <v>1</v>
      </c>
    </row>
    <row r="735">
      <c r="A735" t="inlineStr">
        <is>
          <t>Paraguay</t>
        </is>
      </c>
      <c r="B735" t="inlineStr"/>
      <c r="C735" t="n">
        <v>0</v>
      </c>
    </row>
    <row r="736">
      <c r="A736" t="inlineStr">
        <is>
          <t>Paraguay</t>
        </is>
      </c>
      <c r="B736" t="inlineStr"/>
      <c r="C736" t="n">
        <v>0</v>
      </c>
    </row>
    <row r="737">
      <c r="A737" t="inlineStr">
        <is>
          <t>Paraguay</t>
        </is>
      </c>
      <c r="B737" t="inlineStr"/>
      <c r="C737" t="n">
        <v>0</v>
      </c>
    </row>
    <row r="738">
      <c r="A738" t="inlineStr">
        <is>
          <t>Paraguay</t>
        </is>
      </c>
      <c r="B738" t="inlineStr"/>
      <c r="C738" t="n">
        <v>0</v>
      </c>
    </row>
    <row r="739">
      <c r="A739" t="inlineStr">
        <is>
          <t>Paraguay</t>
        </is>
      </c>
      <c r="B739" t="inlineStr"/>
      <c r="C739" t="n">
        <v>0</v>
      </c>
    </row>
    <row r="740">
      <c r="A740" t="inlineStr">
        <is>
          <t>Paraguay</t>
        </is>
      </c>
      <c r="B740" t="inlineStr"/>
      <c r="C740" t="n">
        <v>0</v>
      </c>
    </row>
    <row r="741">
      <c r="A741" t="inlineStr">
        <is>
          <t>Paraguay</t>
        </is>
      </c>
      <c r="B741" t="inlineStr"/>
      <c r="C741" t="n">
        <v>0</v>
      </c>
    </row>
    <row r="742">
      <c r="A742" t="inlineStr">
        <is>
          <t>Philippines</t>
        </is>
      </c>
      <c r="B742" t="inlineStr">
        <is>
          <t>Control Union Certifications Germany GmbH, Berlin, DE</t>
        </is>
      </c>
      <c r="C742" t="n">
        <v>3</v>
      </c>
    </row>
    <row r="743">
      <c r="A743" t="inlineStr">
        <is>
          <t>Philippines</t>
        </is>
      </c>
      <c r="B743" t="inlineStr">
        <is>
          <t>SGS Germany GmbH, Emstek, DE</t>
        </is>
      </c>
      <c r="C743" t="n">
        <v>2</v>
      </c>
    </row>
    <row r="744">
      <c r="A744" t="inlineStr">
        <is>
          <t>Philippines</t>
        </is>
      </c>
      <c r="B744" t="inlineStr">
        <is>
          <t>China Standard Conformity Assessment Co. Ltd, Beijing, CN</t>
        </is>
      </c>
      <c r="C744" t="n">
        <v>2</v>
      </c>
    </row>
    <row r="745">
      <c r="A745" t="inlineStr">
        <is>
          <t>Philippines</t>
        </is>
      </c>
      <c r="B745" t="inlineStr">
        <is>
          <t>PT Mutuagung Lestari, Depok, ID</t>
        </is>
      </c>
      <c r="C745" t="n">
        <v>2</v>
      </c>
    </row>
    <row r="746">
      <c r="A746" t="inlineStr">
        <is>
          <t>Philippines</t>
        </is>
      </c>
      <c r="B746" t="inlineStr">
        <is>
          <t>PT. CBQA GLOBAL INDONESIA, JAKARTA SELATAN, ID</t>
        </is>
      </c>
      <c r="C746" t="n">
        <v>2</v>
      </c>
    </row>
    <row r="747">
      <c r="A747" t="inlineStr">
        <is>
          <t>Philippines</t>
        </is>
      </c>
      <c r="B747" t="inlineStr">
        <is>
          <t>PT SBC Asia Sertifikasi, Kebumen, ID</t>
        </is>
      </c>
      <c r="C747" t="n">
        <v>1</v>
      </c>
    </row>
    <row r="748">
      <c r="A748" t="inlineStr">
        <is>
          <t>Philippines</t>
        </is>
      </c>
      <c r="B748" t="inlineStr">
        <is>
          <t>PT TUV Rheinland Indonesia, Jakarta, ID</t>
        </is>
      </c>
      <c r="C748" t="n">
        <v>1</v>
      </c>
    </row>
    <row r="749">
      <c r="A749" t="inlineStr">
        <is>
          <t>Philippines</t>
        </is>
      </c>
      <c r="B749" t="inlineStr">
        <is>
          <t>Baltic Control Certification, Risskov, DK</t>
        </is>
      </c>
      <c r="C749" t="n">
        <v>1</v>
      </c>
    </row>
    <row r="750">
      <c r="A750" t="inlineStr">
        <is>
          <t>Philippines</t>
        </is>
      </c>
      <c r="B750" t="inlineStr">
        <is>
          <t>Trans Certification and Inspection Sdn Bhd, Kuantan, MY</t>
        </is>
      </c>
      <c r="C750" t="n">
        <v>1</v>
      </c>
    </row>
    <row r="751">
      <c r="A751" t="inlineStr">
        <is>
          <t>Philippines</t>
        </is>
      </c>
      <c r="B751" t="inlineStr">
        <is>
          <t>ASG Cert GmbH, Munich, DE</t>
        </is>
      </c>
      <c r="C751" t="n">
        <v>1</v>
      </c>
    </row>
    <row r="752">
      <c r="A752" t="inlineStr">
        <is>
          <t>Guatemala</t>
        </is>
      </c>
      <c r="B752" t="inlineStr">
        <is>
          <t>Control Union Poland Sp. z o.o., Zielona Gora, PL</t>
        </is>
      </c>
      <c r="C752" t="n">
        <v>9</v>
      </c>
    </row>
    <row r="753">
      <c r="A753" t="inlineStr">
        <is>
          <t>Guatemala</t>
        </is>
      </c>
      <c r="B753" t="inlineStr">
        <is>
          <t>Control Union Certifications Germany GmbH, Berlin, DE</t>
        </is>
      </c>
      <c r="C753" t="n">
        <v>4</v>
      </c>
    </row>
    <row r="754">
      <c r="A754" t="inlineStr">
        <is>
          <t>Guatemala</t>
        </is>
      </c>
      <c r="B754" t="inlineStr">
        <is>
          <t>ASG Cert GmbH, Munich, DE</t>
        </is>
      </c>
      <c r="C754" t="n">
        <v>1</v>
      </c>
    </row>
    <row r="755">
      <c r="A755" t="inlineStr">
        <is>
          <t>Guatemala</t>
        </is>
      </c>
      <c r="B755" t="inlineStr">
        <is>
          <t>Amspec Iberia SL, Vilagarcia de Arousa-Pontevedra, ES</t>
        </is>
      </c>
      <c r="C755" t="n">
        <v>1</v>
      </c>
    </row>
    <row r="756">
      <c r="A756" t="inlineStr">
        <is>
          <t>Guatemala</t>
        </is>
      </c>
      <c r="B756" t="inlineStr"/>
      <c r="C756" t="n">
        <v>0</v>
      </c>
    </row>
    <row r="757">
      <c r="A757" t="inlineStr">
        <is>
          <t>Guatemala</t>
        </is>
      </c>
      <c r="B757" t="inlineStr"/>
      <c r="C757" t="n">
        <v>0</v>
      </c>
    </row>
    <row r="758">
      <c r="A758" t="inlineStr">
        <is>
          <t>Guatemala</t>
        </is>
      </c>
      <c r="B758" t="inlineStr"/>
      <c r="C758" t="n">
        <v>0</v>
      </c>
    </row>
    <row r="759">
      <c r="A759" t="inlineStr">
        <is>
          <t>Guatemala</t>
        </is>
      </c>
      <c r="B759" t="inlineStr"/>
      <c r="C759" t="n">
        <v>0</v>
      </c>
    </row>
    <row r="760">
      <c r="A760" t="inlineStr">
        <is>
          <t>Guatemala</t>
        </is>
      </c>
      <c r="B760" t="inlineStr"/>
      <c r="C760" t="n">
        <v>0</v>
      </c>
    </row>
    <row r="761">
      <c r="A761" t="inlineStr">
        <is>
          <t>Guatemala</t>
        </is>
      </c>
      <c r="B761" t="inlineStr"/>
      <c r="C761" t="n">
        <v>0</v>
      </c>
    </row>
    <row r="762">
      <c r="A762" t="inlineStr">
        <is>
          <t>Ghana</t>
        </is>
      </c>
      <c r="B762" t="inlineStr">
        <is>
          <t>Trans Certification and Inspection Sdn Bhd, Kuantan, MY</t>
        </is>
      </c>
      <c r="C762" t="n">
        <v>4</v>
      </c>
    </row>
    <row r="763">
      <c r="A763" t="inlineStr">
        <is>
          <t>Ghana</t>
        </is>
      </c>
      <c r="B763" t="inlineStr">
        <is>
          <t>BM Certification, Riga, LV</t>
        </is>
      </c>
      <c r="C763" t="n">
        <v>3</v>
      </c>
    </row>
    <row r="764">
      <c r="A764" t="inlineStr">
        <is>
          <t>Ghana</t>
        </is>
      </c>
      <c r="B764" t="inlineStr">
        <is>
          <t>PT Intertek Utama Services, Jakarta, ID</t>
        </is>
      </c>
      <c r="C764" t="n">
        <v>2</v>
      </c>
    </row>
    <row r="765">
      <c r="A765" t="inlineStr">
        <is>
          <t>Ghana</t>
        </is>
      </c>
      <c r="B765" t="inlineStr">
        <is>
          <t>SGS Germany GmbH, Emstek, DE</t>
        </is>
      </c>
      <c r="C765" t="n">
        <v>2</v>
      </c>
    </row>
    <row r="766">
      <c r="A766" t="inlineStr">
        <is>
          <t>Ghana</t>
        </is>
      </c>
      <c r="B766" t="inlineStr">
        <is>
          <t>Global-Creative-Energy GmbH, Berlin, DE</t>
        </is>
      </c>
      <c r="C766" t="n">
        <v>1</v>
      </c>
    </row>
    <row r="767">
      <c r="A767" t="inlineStr">
        <is>
          <t>Ghana</t>
        </is>
      </c>
      <c r="B767" t="inlineStr">
        <is>
          <t>SCS Global Services, Emeryville, CA, US</t>
        </is>
      </c>
      <c r="C767" t="n">
        <v>1</v>
      </c>
    </row>
    <row r="768">
      <c r="A768" t="inlineStr">
        <is>
          <t>Ghana</t>
        </is>
      </c>
      <c r="B768" t="inlineStr"/>
      <c r="C768" t="n">
        <v>0</v>
      </c>
    </row>
    <row r="769">
      <c r="A769" t="inlineStr">
        <is>
          <t>Ghana</t>
        </is>
      </c>
      <c r="B769" t="inlineStr"/>
      <c r="C769" t="n">
        <v>0</v>
      </c>
    </row>
    <row r="770">
      <c r="A770" t="inlineStr">
        <is>
          <t>Ghana</t>
        </is>
      </c>
      <c r="B770" t="inlineStr"/>
      <c r="C770" t="n">
        <v>0</v>
      </c>
    </row>
    <row r="771">
      <c r="A771" t="inlineStr">
        <is>
          <t>Ghana</t>
        </is>
      </c>
      <c r="B771" t="inlineStr"/>
      <c r="C771" t="n">
        <v>0</v>
      </c>
    </row>
    <row r="772">
      <c r="A772" t="inlineStr">
        <is>
          <t>Malta</t>
        </is>
      </c>
      <c r="B772" t="inlineStr">
        <is>
          <t>SGS Germany GmbH, Emstek, DE</t>
        </is>
      </c>
      <c r="C772" t="n">
        <v>5</v>
      </c>
    </row>
    <row r="773">
      <c r="A773" t="inlineStr">
        <is>
          <t>Malta</t>
        </is>
      </c>
      <c r="B773" t="inlineStr">
        <is>
          <t>Bureau Veritas Polska Sp. z o.o., Warsaw, PL</t>
        </is>
      </c>
      <c r="C773" t="n">
        <v>4</v>
      </c>
    </row>
    <row r="774">
      <c r="A774" t="inlineStr">
        <is>
          <t>Malta</t>
        </is>
      </c>
      <c r="B774" t="inlineStr">
        <is>
          <t>ICIM SpA, sesto san giovanni, IT</t>
        </is>
      </c>
      <c r="C774" t="n">
        <v>2</v>
      </c>
    </row>
    <row r="775">
      <c r="A775" t="inlineStr">
        <is>
          <t>Malta</t>
        </is>
      </c>
      <c r="B775" t="inlineStr">
        <is>
          <t>Certificadora Gallega del Noroeste SL, Vilagarcia de Arousa-Pontevedra, ES</t>
        </is>
      </c>
      <c r="C775" t="n">
        <v>1</v>
      </c>
    </row>
    <row r="776">
      <c r="A776" t="inlineStr">
        <is>
          <t>Malta</t>
        </is>
      </c>
      <c r="B776" t="inlineStr">
        <is>
          <t>IIP S.r.l., Monza, IT</t>
        </is>
      </c>
      <c r="C776" t="n">
        <v>1</v>
      </c>
    </row>
    <row r="777">
      <c r="A777" t="inlineStr">
        <is>
          <t>Malta</t>
        </is>
      </c>
      <c r="B777" t="inlineStr"/>
      <c r="C777" t="n">
        <v>0</v>
      </c>
    </row>
    <row r="778">
      <c r="A778" t="inlineStr">
        <is>
          <t>Malta</t>
        </is>
      </c>
      <c r="B778" t="inlineStr"/>
      <c r="C778" t="n">
        <v>0</v>
      </c>
    </row>
    <row r="779">
      <c r="A779" t="inlineStr">
        <is>
          <t>Malta</t>
        </is>
      </c>
      <c r="B779" t="inlineStr"/>
      <c r="C779" t="n">
        <v>0</v>
      </c>
    </row>
    <row r="780">
      <c r="A780" t="inlineStr">
        <is>
          <t>Malta</t>
        </is>
      </c>
      <c r="B780" t="inlineStr"/>
      <c r="C780" t="n">
        <v>0</v>
      </c>
    </row>
    <row r="781">
      <c r="A781" t="inlineStr">
        <is>
          <t>Malta</t>
        </is>
      </c>
      <c r="B781" t="inlineStr"/>
      <c r="C781" t="n">
        <v>0</v>
      </c>
    </row>
    <row r="782">
      <c r="A782" t="inlineStr">
        <is>
          <t>Kazakhstan</t>
        </is>
      </c>
      <c r="B782" t="inlineStr">
        <is>
          <t>TÜV NORD CERT GmbH, Essen, DE</t>
        </is>
      </c>
      <c r="C782" t="n">
        <v>4</v>
      </c>
    </row>
    <row r="783">
      <c r="A783" t="inlineStr">
        <is>
          <t>Kazakhstan</t>
        </is>
      </c>
      <c r="B783" t="inlineStr">
        <is>
          <t>BM Certification, Riga, LV</t>
        </is>
      </c>
      <c r="C783" t="n">
        <v>4</v>
      </c>
    </row>
    <row r="784">
      <c r="A784" t="inlineStr">
        <is>
          <t>Kazakhstan</t>
        </is>
      </c>
      <c r="B784" t="inlineStr">
        <is>
          <t>Aciter Genelab LLC, Odessa, UA</t>
        </is>
      </c>
      <c r="C784" t="n">
        <v>2</v>
      </c>
    </row>
    <row r="785">
      <c r="A785" t="inlineStr">
        <is>
          <t>Kazakhstan</t>
        </is>
      </c>
      <c r="B785" t="inlineStr">
        <is>
          <t>Baltic Control Certification, Albertslund, DK</t>
        </is>
      </c>
      <c r="C785" t="n">
        <v>1</v>
      </c>
    </row>
    <row r="786">
      <c r="A786" t="inlineStr">
        <is>
          <t>Kazakhstan</t>
        </is>
      </c>
      <c r="B786" t="inlineStr">
        <is>
          <t>Business Quality Verification Testing and Certification Services P.C. (BQV), Marousi, Athens, GR</t>
        </is>
      </c>
      <c r="C786" t="n">
        <v>1</v>
      </c>
    </row>
    <row r="787">
      <c r="A787" t="inlineStr">
        <is>
          <t>Kazakhstan</t>
        </is>
      </c>
      <c r="B787" t="inlineStr"/>
      <c r="C787" t="n">
        <v>0</v>
      </c>
    </row>
    <row r="788">
      <c r="A788" t="inlineStr">
        <is>
          <t>Kazakhstan</t>
        </is>
      </c>
      <c r="B788" t="inlineStr"/>
      <c r="C788" t="n">
        <v>0</v>
      </c>
    </row>
    <row r="789">
      <c r="A789" t="inlineStr">
        <is>
          <t>Kazakhstan</t>
        </is>
      </c>
      <c r="B789" t="inlineStr"/>
      <c r="C789" t="n">
        <v>0</v>
      </c>
    </row>
    <row r="790">
      <c r="A790" t="inlineStr">
        <is>
          <t>Kazakhstan</t>
        </is>
      </c>
      <c r="B790" t="inlineStr"/>
      <c r="C790" t="n">
        <v>0</v>
      </c>
    </row>
    <row r="791">
      <c r="A791" t="inlineStr">
        <is>
          <t>Kazakhstan</t>
        </is>
      </c>
      <c r="B791" t="inlineStr"/>
      <c r="C791" t="n">
        <v>0</v>
      </c>
    </row>
    <row r="792">
      <c r="A792" t="inlineStr">
        <is>
          <t>Monaco</t>
        </is>
      </c>
      <c r="B792" t="inlineStr">
        <is>
          <t>Control Union Certifications Germany GmbH, Berlin, DE</t>
        </is>
      </c>
      <c r="C792" t="n">
        <v>3</v>
      </c>
    </row>
    <row r="793">
      <c r="A793" t="inlineStr">
        <is>
          <t>Monaco</t>
        </is>
      </c>
      <c r="B793" t="inlineStr">
        <is>
          <t>RINA Services S.p.A., Genova, IT</t>
        </is>
      </c>
      <c r="C793" t="n">
        <v>2</v>
      </c>
    </row>
    <row r="794">
      <c r="A794" t="inlineStr">
        <is>
          <t>Monaco</t>
        </is>
      </c>
      <c r="B794" t="inlineStr">
        <is>
          <t>SGS Germany GmbH, Emstek, DE</t>
        </is>
      </c>
      <c r="C794" t="n">
        <v>2</v>
      </c>
    </row>
    <row r="795">
      <c r="A795" t="inlineStr">
        <is>
          <t>Monaco</t>
        </is>
      </c>
      <c r="B795" t="inlineStr">
        <is>
          <t>Certificadora Gallega del Noroeste SL, Vilagarcia de Arousa-Pontevedra, ES</t>
        </is>
      </c>
      <c r="C795" t="n">
        <v>2</v>
      </c>
    </row>
    <row r="796">
      <c r="A796" t="inlineStr">
        <is>
          <t>Monaco</t>
        </is>
      </c>
      <c r="B796" t="inlineStr">
        <is>
          <t>Amspec Iberia SL, Vilagarcia de Arousa-Pontevedra, ES</t>
        </is>
      </c>
      <c r="C796" t="n">
        <v>1</v>
      </c>
    </row>
    <row r="797">
      <c r="A797" t="inlineStr">
        <is>
          <t>Monaco</t>
        </is>
      </c>
      <c r="B797" t="inlineStr">
        <is>
          <t>Control Union Poland Sp. z o.o., Zielona Gora, PL</t>
        </is>
      </c>
      <c r="C797" t="n">
        <v>1</v>
      </c>
    </row>
    <row r="798">
      <c r="A798" t="inlineStr">
        <is>
          <t>Monaco</t>
        </is>
      </c>
      <c r="B798" t="inlineStr"/>
      <c r="C798" t="n">
        <v>0</v>
      </c>
    </row>
    <row r="799">
      <c r="A799" t="inlineStr">
        <is>
          <t>Monaco</t>
        </is>
      </c>
      <c r="B799" t="inlineStr"/>
      <c r="C799" t="n">
        <v>0</v>
      </c>
    </row>
    <row r="800">
      <c r="A800" t="inlineStr">
        <is>
          <t>Monaco</t>
        </is>
      </c>
      <c r="B800" t="inlineStr"/>
      <c r="C800" t="n">
        <v>0</v>
      </c>
    </row>
    <row r="801">
      <c r="A801" t="inlineStr">
        <is>
          <t>Monaco</t>
        </is>
      </c>
      <c r="B801" t="inlineStr"/>
      <c r="C801" t="n">
        <v>0</v>
      </c>
    </row>
    <row r="802">
      <c r="A802" t="inlineStr">
        <is>
          <t>Ecuador</t>
        </is>
      </c>
      <c r="B802" t="inlineStr">
        <is>
          <t>Control Union Poland Sp. z o.o., Zielona Gora, PL</t>
        </is>
      </c>
      <c r="C802" t="n">
        <v>5</v>
      </c>
    </row>
    <row r="803">
      <c r="A803" t="inlineStr">
        <is>
          <t>Ecuador</t>
        </is>
      </c>
      <c r="B803" t="inlineStr">
        <is>
          <t>SCS Global Services, Emeryville, CA, US</t>
        </is>
      </c>
      <c r="C803" t="n">
        <v>4</v>
      </c>
    </row>
    <row r="804">
      <c r="A804" t="inlineStr">
        <is>
          <t>Ecuador</t>
        </is>
      </c>
      <c r="B804" t="inlineStr">
        <is>
          <t>RINA Services S.p.A., Genova, IT</t>
        </is>
      </c>
      <c r="C804" t="n">
        <v>1</v>
      </c>
    </row>
    <row r="805">
      <c r="A805" t="inlineStr">
        <is>
          <t>Ecuador</t>
        </is>
      </c>
      <c r="B805" t="inlineStr">
        <is>
          <t>Certificadora Gallega del Noroeste SL, Vilagarcia de Arousa-Pontevedra, ES</t>
        </is>
      </c>
      <c r="C805" t="n">
        <v>1</v>
      </c>
    </row>
    <row r="806">
      <c r="A806" t="inlineStr">
        <is>
          <t>Ecuador</t>
        </is>
      </c>
      <c r="B806" t="inlineStr"/>
      <c r="C806" t="n">
        <v>0</v>
      </c>
    </row>
    <row r="807">
      <c r="A807" t="inlineStr">
        <is>
          <t>Ecuador</t>
        </is>
      </c>
      <c r="B807" t="inlineStr"/>
      <c r="C807" t="n">
        <v>0</v>
      </c>
    </row>
    <row r="808">
      <c r="A808" t="inlineStr">
        <is>
          <t>Ecuador</t>
        </is>
      </c>
      <c r="B808" t="inlineStr"/>
      <c r="C808" t="n">
        <v>0</v>
      </c>
    </row>
    <row r="809">
      <c r="A809" t="inlineStr">
        <is>
          <t>Ecuador</t>
        </is>
      </c>
      <c r="B809" t="inlineStr"/>
      <c r="C809" t="n">
        <v>0</v>
      </c>
    </row>
    <row r="810">
      <c r="A810" t="inlineStr">
        <is>
          <t>Ecuador</t>
        </is>
      </c>
      <c r="B810" t="inlineStr"/>
      <c r="C810" t="n">
        <v>0</v>
      </c>
    </row>
    <row r="811">
      <c r="A811" t="inlineStr">
        <is>
          <t>Ecuador</t>
        </is>
      </c>
      <c r="B811" t="inlineStr"/>
      <c r="C811" t="n">
        <v>0</v>
      </c>
    </row>
    <row r="812">
      <c r="A812" t="inlineStr">
        <is>
          <t>Chile</t>
        </is>
      </c>
      <c r="B812" t="inlineStr">
        <is>
          <t>SCS Global Services, Emeryville, CA, US</t>
        </is>
      </c>
      <c r="C812" t="n">
        <v>5</v>
      </c>
    </row>
    <row r="813">
      <c r="A813" t="inlineStr">
        <is>
          <t>Chile</t>
        </is>
      </c>
      <c r="B813" t="inlineStr">
        <is>
          <t>SGS Germany GmbH, Emstek, DE</t>
        </is>
      </c>
      <c r="C813" t="n">
        <v>4</v>
      </c>
    </row>
    <row r="814">
      <c r="A814" t="inlineStr">
        <is>
          <t>Chile</t>
        </is>
      </c>
      <c r="B814" t="inlineStr">
        <is>
          <t>TÜV SÜD Industrie Service GmbH, München, DE</t>
        </is>
      </c>
      <c r="C814" t="n">
        <v>1</v>
      </c>
    </row>
    <row r="815">
      <c r="A815" t="inlineStr">
        <is>
          <t>Chile</t>
        </is>
      </c>
      <c r="B815" t="inlineStr">
        <is>
          <t>Amspec Iberia SL, Vilagarcia de Arousa-Pontevedra, ES</t>
        </is>
      </c>
      <c r="C815" t="n">
        <v>1</v>
      </c>
    </row>
    <row r="816">
      <c r="A816" t="inlineStr">
        <is>
          <t>Chile</t>
        </is>
      </c>
      <c r="B816" t="inlineStr"/>
      <c r="C816" t="n">
        <v>0</v>
      </c>
    </row>
    <row r="817">
      <c r="A817" t="inlineStr">
        <is>
          <t>Chile</t>
        </is>
      </c>
      <c r="B817" t="inlineStr"/>
      <c r="C817" t="n">
        <v>0</v>
      </c>
    </row>
    <row r="818">
      <c r="A818" t="inlineStr">
        <is>
          <t>Chile</t>
        </is>
      </c>
      <c r="B818" t="inlineStr"/>
      <c r="C818" t="n">
        <v>0</v>
      </c>
    </row>
    <row r="819">
      <c r="A819" t="inlineStr">
        <is>
          <t>Chile</t>
        </is>
      </c>
      <c r="B819" t="inlineStr"/>
      <c r="C819" t="n">
        <v>0</v>
      </c>
    </row>
    <row r="820">
      <c r="A820" t="inlineStr">
        <is>
          <t>Chile</t>
        </is>
      </c>
      <c r="B820" t="inlineStr"/>
      <c r="C820" t="n">
        <v>0</v>
      </c>
    </row>
    <row r="821">
      <c r="A821" t="inlineStr">
        <is>
          <t>Chile</t>
        </is>
      </c>
      <c r="B821" t="inlineStr"/>
      <c r="C821" t="n">
        <v>0</v>
      </c>
    </row>
    <row r="822">
      <c r="A822" t="inlineStr">
        <is>
          <t>Israel</t>
        </is>
      </c>
      <c r="B822" t="inlineStr">
        <is>
          <t>Control Union Certifications Germany GmbH, Berlin, DE</t>
        </is>
      </c>
      <c r="C822" t="n">
        <v>10</v>
      </c>
    </row>
    <row r="823">
      <c r="A823" t="inlineStr">
        <is>
          <t>Israel</t>
        </is>
      </c>
      <c r="B823" t="inlineStr"/>
      <c r="C823" t="n">
        <v>0</v>
      </c>
    </row>
    <row r="824">
      <c r="A824" t="inlineStr">
        <is>
          <t>Israel</t>
        </is>
      </c>
      <c r="B824" t="inlineStr"/>
      <c r="C824" t="n">
        <v>0</v>
      </c>
    </row>
    <row r="825">
      <c r="A825" t="inlineStr">
        <is>
          <t>Israel</t>
        </is>
      </c>
      <c r="B825" t="inlineStr"/>
      <c r="C825" t="n">
        <v>0</v>
      </c>
    </row>
    <row r="826">
      <c r="A826" t="inlineStr">
        <is>
          <t>Israel</t>
        </is>
      </c>
      <c r="B826" t="inlineStr"/>
      <c r="C826" t="n">
        <v>0</v>
      </c>
    </row>
    <row r="827">
      <c r="A827" t="inlineStr">
        <is>
          <t>Israel</t>
        </is>
      </c>
      <c r="B827" t="inlineStr"/>
      <c r="C827" t="n">
        <v>0</v>
      </c>
    </row>
    <row r="828">
      <c r="A828" t="inlineStr">
        <is>
          <t>Israel</t>
        </is>
      </c>
      <c r="B828" t="inlineStr"/>
      <c r="C828" t="n">
        <v>0</v>
      </c>
    </row>
    <row r="829">
      <c r="A829" t="inlineStr">
        <is>
          <t>Israel</t>
        </is>
      </c>
      <c r="B829" t="inlineStr"/>
      <c r="C829" t="n">
        <v>0</v>
      </c>
    </row>
    <row r="830">
      <c r="A830" t="inlineStr">
        <is>
          <t>Israel</t>
        </is>
      </c>
      <c r="B830" t="inlineStr"/>
      <c r="C830" t="n">
        <v>0</v>
      </c>
    </row>
    <row r="831">
      <c r="A831" t="inlineStr">
        <is>
          <t>Israel</t>
        </is>
      </c>
      <c r="B831" t="inlineStr"/>
      <c r="C831" t="n">
        <v>0</v>
      </c>
    </row>
    <row r="832">
      <c r="A832" t="inlineStr">
        <is>
          <t>The Philippines</t>
        </is>
      </c>
      <c r="B832" t="inlineStr">
        <is>
          <t>Control Union Certifications Germany GmbH, Berlin, DE</t>
        </is>
      </c>
      <c r="C832" t="n">
        <v>3</v>
      </c>
    </row>
    <row r="833">
      <c r="A833" t="inlineStr">
        <is>
          <t>The Philippines</t>
        </is>
      </c>
      <c r="B833" t="inlineStr">
        <is>
          <t>PT TUV Rheinland Indonesia, Jakarta, ID</t>
        </is>
      </c>
      <c r="C833" t="n">
        <v>2</v>
      </c>
    </row>
    <row r="834">
      <c r="A834" t="inlineStr">
        <is>
          <t>The Philippines</t>
        </is>
      </c>
      <c r="B834" t="inlineStr">
        <is>
          <t>RINA Services S.p.A., Genova, IT</t>
        </is>
      </c>
      <c r="C834" t="n">
        <v>2</v>
      </c>
    </row>
    <row r="835">
      <c r="A835" t="inlineStr">
        <is>
          <t>The Philippines</t>
        </is>
      </c>
      <c r="B835" t="inlineStr">
        <is>
          <t>Trans Certification and Inspection Sdn Bhd, Kuantan, MY</t>
        </is>
      </c>
      <c r="C835" t="n">
        <v>1</v>
      </c>
    </row>
    <row r="836">
      <c r="A836" t="inlineStr">
        <is>
          <t>The Philippines</t>
        </is>
      </c>
      <c r="B836" t="inlineStr">
        <is>
          <t>Control Union Poland Sp. z o.o., Zielona Gora, PL</t>
        </is>
      </c>
      <c r="C836" t="n">
        <v>1</v>
      </c>
    </row>
    <row r="837">
      <c r="A837" t="inlineStr">
        <is>
          <t>The Philippines</t>
        </is>
      </c>
      <c r="B837" t="inlineStr"/>
      <c r="C837" t="n">
        <v>0</v>
      </c>
    </row>
    <row r="838">
      <c r="A838" t="inlineStr">
        <is>
          <t>The Philippines</t>
        </is>
      </c>
      <c r="B838" t="inlineStr"/>
      <c r="C838" t="n">
        <v>0</v>
      </c>
    </row>
    <row r="839">
      <c r="A839" t="inlineStr">
        <is>
          <t>The Philippines</t>
        </is>
      </c>
      <c r="B839" t="inlineStr"/>
      <c r="C839" t="n">
        <v>0</v>
      </c>
    </row>
    <row r="840">
      <c r="A840" t="inlineStr">
        <is>
          <t>The Philippines</t>
        </is>
      </c>
      <c r="B840" t="inlineStr"/>
      <c r="C840" t="n">
        <v>0</v>
      </c>
    </row>
    <row r="841">
      <c r="A841" t="inlineStr">
        <is>
          <t>The Philippines</t>
        </is>
      </c>
      <c r="B841" t="inlineStr"/>
      <c r="C841" t="n">
        <v>0</v>
      </c>
    </row>
    <row r="842">
      <c r="A842" t="inlineStr">
        <is>
          <t>Mozambique</t>
        </is>
      </c>
      <c r="B842" t="inlineStr">
        <is>
          <t>RINA Services S.p.A., Genova, IT</t>
        </is>
      </c>
      <c r="C842" t="n">
        <v>9</v>
      </c>
    </row>
    <row r="843">
      <c r="A843" t="inlineStr">
        <is>
          <t>Mozambique</t>
        </is>
      </c>
      <c r="B843" t="inlineStr"/>
      <c r="C843" t="n">
        <v>0</v>
      </c>
    </row>
    <row r="844">
      <c r="A844" t="inlineStr">
        <is>
          <t>Mozambique</t>
        </is>
      </c>
      <c r="B844" t="inlineStr"/>
      <c r="C844" t="n">
        <v>0</v>
      </c>
    </row>
    <row r="845">
      <c r="A845" t="inlineStr">
        <is>
          <t>Mozambique</t>
        </is>
      </c>
      <c r="B845" t="inlineStr"/>
      <c r="C845" t="n">
        <v>0</v>
      </c>
    </row>
    <row r="846">
      <c r="A846" t="inlineStr">
        <is>
          <t>Mozambique</t>
        </is>
      </c>
      <c r="B846" t="inlineStr"/>
      <c r="C846" t="n">
        <v>0</v>
      </c>
    </row>
    <row r="847">
      <c r="A847" t="inlineStr">
        <is>
          <t>Mozambique</t>
        </is>
      </c>
      <c r="B847" t="inlineStr"/>
      <c r="C847" t="n">
        <v>0</v>
      </c>
    </row>
    <row r="848">
      <c r="A848" t="inlineStr">
        <is>
          <t>Mozambique</t>
        </is>
      </c>
      <c r="B848" t="inlineStr"/>
      <c r="C848" t="n">
        <v>0</v>
      </c>
    </row>
    <row r="849">
      <c r="A849" t="inlineStr">
        <is>
          <t>Mozambique</t>
        </is>
      </c>
      <c r="B849" t="inlineStr"/>
      <c r="C849" t="n">
        <v>0</v>
      </c>
    </row>
    <row r="850">
      <c r="A850" t="inlineStr">
        <is>
          <t>Mozambique</t>
        </is>
      </c>
      <c r="B850" t="inlineStr"/>
      <c r="C850" t="n">
        <v>0</v>
      </c>
    </row>
    <row r="851">
      <c r="A851" t="inlineStr">
        <is>
          <t>Mozambique</t>
        </is>
      </c>
      <c r="B851" t="inlineStr"/>
      <c r="C851" t="n">
        <v>0</v>
      </c>
    </row>
    <row r="852">
      <c r="A852" t="inlineStr">
        <is>
          <t>Costa Rica</t>
        </is>
      </c>
      <c r="B852" t="inlineStr">
        <is>
          <t>Control Union Poland Sp. z o.o., Zielona Gora, PL</t>
        </is>
      </c>
      <c r="C852" t="n">
        <v>4</v>
      </c>
    </row>
    <row r="853">
      <c r="A853" t="inlineStr">
        <is>
          <t>Costa Rica</t>
        </is>
      </c>
      <c r="B853" t="inlineStr">
        <is>
          <t>Certificadora Gallega del Noroeste SL, Vilagarcia de Arousa-Pontevedra, ES</t>
        </is>
      </c>
      <c r="C853" t="n">
        <v>2</v>
      </c>
    </row>
    <row r="854">
      <c r="A854" t="inlineStr">
        <is>
          <t>Costa Rica</t>
        </is>
      </c>
      <c r="B854" t="inlineStr">
        <is>
          <t>Control Union Certifications Germany GmbH, Berlin, DE</t>
        </is>
      </c>
      <c r="C854" t="n">
        <v>2</v>
      </c>
    </row>
    <row r="855">
      <c r="A855" t="inlineStr">
        <is>
          <t>Costa Rica</t>
        </is>
      </c>
      <c r="B855" t="inlineStr">
        <is>
          <t>Amspec Iberia SL, Vilagarcia de Arousa-Pontevedra, ES</t>
        </is>
      </c>
      <c r="C855" t="n">
        <v>1</v>
      </c>
    </row>
    <row r="856">
      <c r="A856" t="inlineStr">
        <is>
          <t>Costa Rica</t>
        </is>
      </c>
      <c r="B856" t="inlineStr"/>
      <c r="C856" t="n">
        <v>0</v>
      </c>
    </row>
    <row r="857">
      <c r="A857" t="inlineStr">
        <is>
          <t>Costa Rica</t>
        </is>
      </c>
      <c r="B857" t="inlineStr"/>
      <c r="C857" t="n">
        <v>0</v>
      </c>
    </row>
    <row r="858">
      <c r="A858" t="inlineStr">
        <is>
          <t>Costa Rica</t>
        </is>
      </c>
      <c r="B858" t="inlineStr"/>
      <c r="C858" t="n">
        <v>0</v>
      </c>
    </row>
    <row r="859">
      <c r="A859" t="inlineStr">
        <is>
          <t>Costa Rica</t>
        </is>
      </c>
      <c r="B859" t="inlineStr"/>
      <c r="C859" t="n">
        <v>0</v>
      </c>
    </row>
    <row r="860">
      <c r="A860" t="inlineStr">
        <is>
          <t>Costa Rica</t>
        </is>
      </c>
      <c r="B860" t="inlineStr"/>
      <c r="C860" t="n">
        <v>0</v>
      </c>
    </row>
    <row r="861">
      <c r="A861" t="inlineStr">
        <is>
          <t>Costa Rica</t>
        </is>
      </c>
      <c r="B861" t="inlineStr"/>
      <c r="C861" t="n">
        <v>0</v>
      </c>
    </row>
    <row r="862">
      <c r="A862" t="inlineStr">
        <is>
          <t>Oman</t>
        </is>
      </c>
      <c r="B862" t="inlineStr">
        <is>
          <t>PT Mutuagung Lestari, Depok, ID</t>
        </is>
      </c>
      <c r="C862" t="n">
        <v>4</v>
      </c>
    </row>
    <row r="863">
      <c r="A863" t="inlineStr">
        <is>
          <t>Oman</t>
        </is>
      </c>
      <c r="B863" t="inlineStr">
        <is>
          <t>Control Union Certifications Germany GmbH, Berlin, DE</t>
        </is>
      </c>
      <c r="C863" t="n">
        <v>1</v>
      </c>
    </row>
    <row r="864">
      <c r="A864" t="inlineStr">
        <is>
          <t>Oman</t>
        </is>
      </c>
      <c r="B864" t="inlineStr">
        <is>
          <t>SCS Global Services, Emeryville, CA, US</t>
        </is>
      </c>
      <c r="C864" t="n">
        <v>1</v>
      </c>
    </row>
    <row r="865">
      <c r="A865" t="inlineStr">
        <is>
          <t>Oman</t>
        </is>
      </c>
      <c r="B865" t="inlineStr">
        <is>
          <t>Trans Certification and Inspection Sdn Bhd, Kuantan, MY</t>
        </is>
      </c>
      <c r="C865" t="n">
        <v>1</v>
      </c>
    </row>
    <row r="866">
      <c r="A866" t="inlineStr">
        <is>
          <t>Oman</t>
        </is>
      </c>
      <c r="B866" t="inlineStr">
        <is>
          <t>Cotecna India Inspection Pvt Ltd, Kolkata, IN</t>
        </is>
      </c>
      <c r="C866" t="n">
        <v>1</v>
      </c>
    </row>
    <row r="867">
      <c r="A867" t="inlineStr">
        <is>
          <t>Oman</t>
        </is>
      </c>
      <c r="B867" t="inlineStr"/>
      <c r="C867" t="n">
        <v>0</v>
      </c>
    </row>
    <row r="868">
      <c r="A868" t="inlineStr">
        <is>
          <t>Oman</t>
        </is>
      </c>
      <c r="B868" t="inlineStr"/>
      <c r="C868" t="n">
        <v>0</v>
      </c>
    </row>
    <row r="869">
      <c r="A869" t="inlineStr">
        <is>
          <t>Oman</t>
        </is>
      </c>
      <c r="B869" t="inlineStr"/>
      <c r="C869" t="n">
        <v>0</v>
      </c>
    </row>
    <row r="870">
      <c r="A870" t="inlineStr">
        <is>
          <t>Oman</t>
        </is>
      </c>
      <c r="B870" t="inlineStr"/>
      <c r="C870" t="n">
        <v>0</v>
      </c>
    </row>
    <row r="871">
      <c r="A871" t="inlineStr">
        <is>
          <t>Oman</t>
        </is>
      </c>
      <c r="B871" t="inlineStr"/>
      <c r="C871" t="n">
        <v>0</v>
      </c>
    </row>
    <row r="872">
      <c r="A872" t="inlineStr">
        <is>
          <t>Iceland</t>
        </is>
      </c>
      <c r="B872" t="inlineStr">
        <is>
          <t>DNV Business Assurance Sweden AB, Solna, SE</t>
        </is>
      </c>
      <c r="C872" t="n">
        <v>5</v>
      </c>
    </row>
    <row r="873">
      <c r="A873" t="inlineStr">
        <is>
          <t>Iceland</t>
        </is>
      </c>
      <c r="B873" t="inlineStr">
        <is>
          <t>ASG Cert GmbH, Munich, DE</t>
        </is>
      </c>
      <c r="C873" t="n">
        <v>1</v>
      </c>
    </row>
    <row r="874">
      <c r="A874" t="inlineStr">
        <is>
          <t>Iceland</t>
        </is>
      </c>
      <c r="B874" t="inlineStr">
        <is>
          <t>SGS Germany GmbH, Emstek, DE</t>
        </is>
      </c>
      <c r="C874" t="n">
        <v>1</v>
      </c>
    </row>
    <row r="875">
      <c r="A875" t="inlineStr">
        <is>
          <t>Iceland</t>
        </is>
      </c>
      <c r="B875" t="inlineStr">
        <is>
          <t>Control Union Certifications Germany GmbH, Berlin, DE</t>
        </is>
      </c>
      <c r="C875" t="n">
        <v>1</v>
      </c>
    </row>
    <row r="876">
      <c r="A876" t="inlineStr">
        <is>
          <t>Iceland</t>
        </is>
      </c>
      <c r="B876" t="inlineStr"/>
      <c r="C876" t="n">
        <v>0</v>
      </c>
    </row>
    <row r="877">
      <c r="A877" t="inlineStr">
        <is>
          <t>Iceland</t>
        </is>
      </c>
      <c r="B877" t="inlineStr"/>
      <c r="C877" t="n">
        <v>0</v>
      </c>
    </row>
    <row r="878">
      <c r="A878" t="inlineStr">
        <is>
          <t>Iceland</t>
        </is>
      </c>
      <c r="B878" t="inlineStr"/>
      <c r="C878" t="n">
        <v>0</v>
      </c>
    </row>
    <row r="879">
      <c r="A879" t="inlineStr">
        <is>
          <t>Iceland</t>
        </is>
      </c>
      <c r="B879" t="inlineStr"/>
      <c r="C879" t="n">
        <v>0</v>
      </c>
    </row>
    <row r="880">
      <c r="A880" t="inlineStr">
        <is>
          <t>Iceland</t>
        </is>
      </c>
      <c r="B880" t="inlineStr"/>
      <c r="C880" t="n">
        <v>0</v>
      </c>
    </row>
    <row r="881">
      <c r="A881" t="inlineStr">
        <is>
          <t>Iceland</t>
        </is>
      </c>
      <c r="B881" t="inlineStr"/>
      <c r="C881" t="n">
        <v>0</v>
      </c>
    </row>
    <row r="882">
      <c r="A882" t="inlineStr">
        <is>
          <t>Cambodia</t>
        </is>
      </c>
      <c r="B882" t="inlineStr">
        <is>
          <t>RINA Services S.p.A., Genova, IT</t>
        </is>
      </c>
      <c r="C882" t="n">
        <v>2</v>
      </c>
    </row>
    <row r="883">
      <c r="A883" t="inlineStr">
        <is>
          <t>Cambodia</t>
        </is>
      </c>
      <c r="B883" t="inlineStr">
        <is>
          <t>SGS Germany GmbH, Emstek, DE</t>
        </is>
      </c>
      <c r="C883" t="n">
        <v>2</v>
      </c>
    </row>
    <row r="884">
      <c r="A884" t="inlineStr">
        <is>
          <t>Cambodia</t>
        </is>
      </c>
      <c r="B884" t="inlineStr">
        <is>
          <t>Trans Certification and Inspection Sdn Bhd, Kuantan, MY</t>
        </is>
      </c>
      <c r="C884" t="n">
        <v>1</v>
      </c>
    </row>
    <row r="885">
      <c r="A885" t="inlineStr">
        <is>
          <t>Cambodia</t>
        </is>
      </c>
      <c r="B885" t="inlineStr">
        <is>
          <t>PT Mutuagung Lestari, Depok, ID</t>
        </is>
      </c>
      <c r="C885" t="n">
        <v>1</v>
      </c>
    </row>
    <row r="886">
      <c r="A886" t="inlineStr">
        <is>
          <t>Cambodia</t>
        </is>
      </c>
      <c r="B886" t="inlineStr">
        <is>
          <t>Extensive Standard Technical Services Co., Ltd., Hong Kong, CN</t>
        </is>
      </c>
      <c r="C886" t="n">
        <v>1</v>
      </c>
    </row>
    <row r="887">
      <c r="A887" t="inlineStr">
        <is>
          <t>Cambodia</t>
        </is>
      </c>
      <c r="B887" t="inlineStr"/>
      <c r="C887" t="n">
        <v>0</v>
      </c>
    </row>
    <row r="888">
      <c r="A888" t="inlineStr">
        <is>
          <t>Cambodia</t>
        </is>
      </c>
      <c r="B888" t="inlineStr"/>
      <c r="C888" t="n">
        <v>0</v>
      </c>
    </row>
    <row r="889">
      <c r="A889" t="inlineStr">
        <is>
          <t>Cambodia</t>
        </is>
      </c>
      <c r="B889" t="inlineStr"/>
      <c r="C889" t="n">
        <v>0</v>
      </c>
    </row>
    <row r="890">
      <c r="A890" t="inlineStr">
        <is>
          <t>Cambodia</t>
        </is>
      </c>
      <c r="B890" t="inlineStr"/>
      <c r="C890" t="n">
        <v>0</v>
      </c>
    </row>
    <row r="891">
      <c r="A891" t="inlineStr">
        <is>
          <t>Cambodia</t>
        </is>
      </c>
      <c r="B891" t="inlineStr"/>
      <c r="C891" t="n">
        <v>0</v>
      </c>
    </row>
    <row r="892">
      <c r="A892" t="inlineStr">
        <is>
          <t>Nigeria</t>
        </is>
      </c>
      <c r="B892" t="inlineStr">
        <is>
          <t>PT Intertek Utama Services, Jakarta, ID</t>
        </is>
      </c>
      <c r="C892" t="n">
        <v>2</v>
      </c>
    </row>
    <row r="893">
      <c r="A893" t="inlineStr">
        <is>
          <t>Nigeria</t>
        </is>
      </c>
      <c r="B893" t="inlineStr">
        <is>
          <t>BM Certification, Riga, LV</t>
        </is>
      </c>
      <c r="C893" t="n">
        <v>2</v>
      </c>
    </row>
    <row r="894">
      <c r="A894" t="inlineStr">
        <is>
          <t>Nigeria</t>
        </is>
      </c>
      <c r="B894" t="inlineStr">
        <is>
          <t>Trans Certification and Inspection Sdn Bhd, Kuantan, MY</t>
        </is>
      </c>
      <c r="C894" t="n">
        <v>1</v>
      </c>
    </row>
    <row r="895">
      <c r="A895" t="inlineStr">
        <is>
          <t>Nigeria</t>
        </is>
      </c>
      <c r="B895" t="inlineStr">
        <is>
          <t>RINA Services S.p.A., Genova, IT</t>
        </is>
      </c>
      <c r="C895" t="n">
        <v>1</v>
      </c>
    </row>
    <row r="896">
      <c r="A896" t="inlineStr">
        <is>
          <t>Nigeria</t>
        </is>
      </c>
      <c r="B896" t="inlineStr">
        <is>
          <t>SGS Germany GmbH, Emstek, DE</t>
        </is>
      </c>
      <c r="C896" t="n">
        <v>1</v>
      </c>
    </row>
    <row r="897">
      <c r="A897" t="inlineStr">
        <is>
          <t>Nigeria</t>
        </is>
      </c>
      <c r="B897" t="inlineStr"/>
      <c r="C897" t="n">
        <v>0</v>
      </c>
    </row>
    <row r="898">
      <c r="A898" t="inlineStr">
        <is>
          <t>Nigeria</t>
        </is>
      </c>
      <c r="B898" t="inlineStr"/>
      <c r="C898" t="n">
        <v>0</v>
      </c>
    </row>
    <row r="899">
      <c r="A899" t="inlineStr">
        <is>
          <t>Nigeria</t>
        </is>
      </c>
      <c r="B899" t="inlineStr"/>
      <c r="C899" t="n">
        <v>0</v>
      </c>
    </row>
    <row r="900">
      <c r="A900" t="inlineStr">
        <is>
          <t>Nigeria</t>
        </is>
      </c>
      <c r="B900" t="inlineStr"/>
      <c r="C900" t="n">
        <v>0</v>
      </c>
    </row>
    <row r="901">
      <c r="A901" t="inlineStr">
        <is>
          <t>Nigeria</t>
        </is>
      </c>
      <c r="B901" t="inlineStr"/>
      <c r="C901" t="n">
        <v>0</v>
      </c>
    </row>
    <row r="902">
      <c r="A902" t="inlineStr">
        <is>
          <t>Bahrain</t>
        </is>
      </c>
      <c r="B902" t="inlineStr">
        <is>
          <t>PT TSI Sertifikasi Internasional, Jakarta Selatang, ID</t>
        </is>
      </c>
      <c r="C902" t="n">
        <v>1</v>
      </c>
    </row>
    <row r="903">
      <c r="A903" t="inlineStr">
        <is>
          <t>Bahrain</t>
        </is>
      </c>
      <c r="B903" t="inlineStr">
        <is>
          <t>PT. CBQA GLOBAL INDONESIA, JAKARTA SELATAN, ID</t>
        </is>
      </c>
      <c r="C903" t="n">
        <v>1</v>
      </c>
    </row>
    <row r="904">
      <c r="A904" t="inlineStr">
        <is>
          <t>Bahrain</t>
        </is>
      </c>
      <c r="B904" t="inlineStr">
        <is>
          <t>SGS Germany GmbH, Emstek, DE</t>
        </is>
      </c>
      <c r="C904" t="n">
        <v>1</v>
      </c>
    </row>
    <row r="905">
      <c r="A905" t="inlineStr">
        <is>
          <t>Bahrain</t>
        </is>
      </c>
      <c r="B905" t="inlineStr">
        <is>
          <t>PT Mutuagung Lestari, Depok, ID</t>
        </is>
      </c>
      <c r="C905" t="n">
        <v>1</v>
      </c>
    </row>
    <row r="906">
      <c r="A906" t="inlineStr">
        <is>
          <t>Bahrain</t>
        </is>
      </c>
      <c r="B906" t="inlineStr">
        <is>
          <t>ICIM SpA, sesto san giovanni, IT</t>
        </is>
      </c>
      <c r="C906" t="n">
        <v>1</v>
      </c>
    </row>
    <row r="907">
      <c r="A907" t="inlineStr">
        <is>
          <t>Bahrain</t>
        </is>
      </c>
      <c r="B907" t="inlineStr">
        <is>
          <t>Alcumus ISOQAR Ltd, Stretford, Manchester, GB</t>
        </is>
      </c>
      <c r="C907" t="n">
        <v>1</v>
      </c>
    </row>
    <row r="908">
      <c r="A908" t="inlineStr">
        <is>
          <t>Bahrain</t>
        </is>
      </c>
      <c r="B908" t="inlineStr"/>
      <c r="C908" t="n">
        <v>0</v>
      </c>
    </row>
    <row r="909">
      <c r="A909" t="inlineStr">
        <is>
          <t>Bahrain</t>
        </is>
      </c>
      <c r="B909" t="inlineStr"/>
      <c r="C909" t="n">
        <v>0</v>
      </c>
    </row>
    <row r="910">
      <c r="A910" t="inlineStr">
        <is>
          <t>Bahrain</t>
        </is>
      </c>
      <c r="B910" t="inlineStr"/>
      <c r="C910" t="n">
        <v>0</v>
      </c>
    </row>
    <row r="911">
      <c r="A911" t="inlineStr">
        <is>
          <t>Bahrain</t>
        </is>
      </c>
      <c r="B911" t="inlineStr"/>
      <c r="C911" t="n">
        <v>0</v>
      </c>
    </row>
    <row r="912">
      <c r="A912" t="inlineStr">
        <is>
          <t>Albania</t>
        </is>
      </c>
      <c r="B912" t="inlineStr">
        <is>
          <t>RINA Services S.p.A., Genova, IT</t>
        </is>
      </c>
      <c r="C912" t="n">
        <v>3</v>
      </c>
    </row>
    <row r="913">
      <c r="A913" t="inlineStr">
        <is>
          <t>Albania</t>
        </is>
      </c>
      <c r="B913" t="inlineStr">
        <is>
          <t>SGS Germany GmbH, Emstek, DE</t>
        </is>
      </c>
      <c r="C913" t="n">
        <v>1</v>
      </c>
    </row>
    <row r="914">
      <c r="A914" t="inlineStr">
        <is>
          <t>Albania</t>
        </is>
      </c>
      <c r="B914" t="inlineStr">
        <is>
          <t>Business Quality Verification Testing and Certification Services P.C. (BQV), Marousi, Athens, GR</t>
        </is>
      </c>
      <c r="C914" t="n">
        <v>1</v>
      </c>
    </row>
    <row r="915">
      <c r="A915" t="inlineStr">
        <is>
          <t>Albania</t>
        </is>
      </c>
      <c r="B915" t="inlineStr">
        <is>
          <t>TÜV NORD CERT GmbH, Essen, DE</t>
        </is>
      </c>
      <c r="C915" t="n">
        <v>1</v>
      </c>
    </row>
    <row r="916">
      <c r="A916" t="inlineStr">
        <is>
          <t>Albania</t>
        </is>
      </c>
      <c r="B916" t="inlineStr"/>
      <c r="C916" t="n">
        <v>0</v>
      </c>
    </row>
    <row r="917">
      <c r="A917" t="inlineStr">
        <is>
          <t>Albania</t>
        </is>
      </c>
      <c r="B917" t="inlineStr"/>
      <c r="C917" t="n">
        <v>0</v>
      </c>
    </row>
    <row r="918">
      <c r="A918" t="inlineStr">
        <is>
          <t>Albania</t>
        </is>
      </c>
      <c r="B918" t="inlineStr"/>
      <c r="C918" t="n">
        <v>0</v>
      </c>
    </row>
    <row r="919">
      <c r="A919" t="inlineStr">
        <is>
          <t>Albania</t>
        </is>
      </c>
      <c r="B919" t="inlineStr"/>
      <c r="C919" t="n">
        <v>0</v>
      </c>
    </row>
    <row r="920">
      <c r="A920" t="inlineStr">
        <is>
          <t>Albania</t>
        </is>
      </c>
      <c r="B920" t="inlineStr"/>
      <c r="C920" t="n">
        <v>0</v>
      </c>
    </row>
    <row r="921">
      <c r="A921" t="inlineStr">
        <is>
          <t>Albania</t>
        </is>
      </c>
      <c r="B921" t="inlineStr"/>
      <c r="C921" t="n">
        <v>0</v>
      </c>
    </row>
    <row r="922">
      <c r="A922" t="inlineStr">
        <is>
          <t>Benin</t>
        </is>
      </c>
      <c r="B922" t="inlineStr">
        <is>
          <t>PT Intertek Utama Services, Jakarta, ID</t>
        </is>
      </c>
      <c r="C922" t="n">
        <v>2</v>
      </c>
    </row>
    <row r="923">
      <c r="A923" t="inlineStr">
        <is>
          <t>Benin</t>
        </is>
      </c>
      <c r="B923" t="inlineStr">
        <is>
          <t>Bureau Veritas Polska Sp. z o.o., Warsaw, PL</t>
        </is>
      </c>
      <c r="C923" t="n">
        <v>2</v>
      </c>
    </row>
    <row r="924">
      <c r="A924" t="inlineStr">
        <is>
          <t>Benin</t>
        </is>
      </c>
      <c r="B924" t="inlineStr">
        <is>
          <t>SGS Germany GmbH, Emstek, DE</t>
        </is>
      </c>
      <c r="C924" t="n">
        <v>1</v>
      </c>
    </row>
    <row r="925">
      <c r="A925" t="inlineStr">
        <is>
          <t>Benin</t>
        </is>
      </c>
      <c r="B925" t="inlineStr"/>
      <c r="C925" t="n">
        <v>0</v>
      </c>
    </row>
    <row r="926">
      <c r="A926" t="inlineStr">
        <is>
          <t>Benin</t>
        </is>
      </c>
      <c r="B926" t="inlineStr"/>
      <c r="C926" t="n">
        <v>0</v>
      </c>
    </row>
    <row r="927">
      <c r="A927" t="inlineStr">
        <is>
          <t>Benin</t>
        </is>
      </c>
      <c r="B927" t="inlineStr"/>
      <c r="C927" t="n">
        <v>0</v>
      </c>
    </row>
    <row r="928">
      <c r="A928" t="inlineStr">
        <is>
          <t>Benin</t>
        </is>
      </c>
      <c r="B928" t="inlineStr"/>
      <c r="C928" t="n">
        <v>0</v>
      </c>
    </row>
    <row r="929">
      <c r="A929" t="inlineStr">
        <is>
          <t>Benin</t>
        </is>
      </c>
      <c r="B929" t="inlineStr"/>
      <c r="C929" t="n">
        <v>0</v>
      </c>
    </row>
    <row r="930">
      <c r="A930" t="inlineStr">
        <is>
          <t>Benin</t>
        </is>
      </c>
      <c r="B930" t="inlineStr"/>
      <c r="C930" t="n">
        <v>0</v>
      </c>
    </row>
    <row r="931">
      <c r="A931" t="inlineStr">
        <is>
          <t>Benin</t>
        </is>
      </c>
      <c r="B931" t="inlineStr"/>
      <c r="C931" t="n">
        <v>0</v>
      </c>
    </row>
    <row r="932">
      <c r="A932" t="inlineStr">
        <is>
          <t>Jordan</t>
        </is>
      </c>
      <c r="B932" t="inlineStr">
        <is>
          <t>PT Intertek Utama Services, Jakarta, ID</t>
        </is>
      </c>
      <c r="C932" t="n">
        <v>2</v>
      </c>
    </row>
    <row r="933">
      <c r="A933" t="inlineStr">
        <is>
          <t>Jordan</t>
        </is>
      </c>
      <c r="B933" t="inlineStr">
        <is>
          <t>ICIM SpA, sesto san giovanni, IT</t>
        </is>
      </c>
      <c r="C933" t="n">
        <v>2</v>
      </c>
    </row>
    <row r="934">
      <c r="A934" t="inlineStr">
        <is>
          <t>Jordan</t>
        </is>
      </c>
      <c r="B934" t="inlineStr">
        <is>
          <t>Business Quality Verification Testing and Certification Services P.C. (BQV), Marousi, Athens, GR</t>
        </is>
      </c>
      <c r="C934" t="n">
        <v>1</v>
      </c>
    </row>
    <row r="935">
      <c r="A935" t="inlineStr">
        <is>
          <t>Jordan</t>
        </is>
      </c>
      <c r="B935" t="inlineStr"/>
      <c r="C935" t="n">
        <v>0</v>
      </c>
    </row>
    <row r="936">
      <c r="A936" t="inlineStr">
        <is>
          <t>Jordan</t>
        </is>
      </c>
      <c r="B936" t="inlineStr"/>
      <c r="C936" t="n">
        <v>0</v>
      </c>
    </row>
    <row r="937">
      <c r="A937" t="inlineStr">
        <is>
          <t>Jordan</t>
        </is>
      </c>
      <c r="B937" t="inlineStr"/>
      <c r="C937" t="n">
        <v>0</v>
      </c>
    </row>
    <row r="938">
      <c r="A938" t="inlineStr">
        <is>
          <t>Jordan</t>
        </is>
      </c>
      <c r="B938" t="inlineStr"/>
      <c r="C938" t="n">
        <v>0</v>
      </c>
    </row>
    <row r="939">
      <c r="A939" t="inlineStr">
        <is>
          <t>Jordan</t>
        </is>
      </c>
      <c r="B939" t="inlineStr"/>
      <c r="C939" t="n">
        <v>0</v>
      </c>
    </row>
    <row r="940">
      <c r="A940" t="inlineStr">
        <is>
          <t>Jordan</t>
        </is>
      </c>
      <c r="B940" t="inlineStr"/>
      <c r="C940" t="n">
        <v>0</v>
      </c>
    </row>
    <row r="941">
      <c r="A941" t="inlineStr">
        <is>
          <t>Jordan</t>
        </is>
      </c>
      <c r="B941" t="inlineStr"/>
      <c r="C941" t="n">
        <v>0</v>
      </c>
    </row>
    <row r="942">
      <c r="A942" t="inlineStr">
        <is>
          <t>Angola</t>
        </is>
      </c>
      <c r="B942" t="inlineStr">
        <is>
          <t>RINA Services S.p.A., Genova, IT</t>
        </is>
      </c>
      <c r="C942" t="n">
        <v>5</v>
      </c>
    </row>
    <row r="943">
      <c r="A943" t="inlineStr">
        <is>
          <t>Angola</t>
        </is>
      </c>
      <c r="B943" t="inlineStr"/>
      <c r="C943" t="n">
        <v>0</v>
      </c>
    </row>
    <row r="944">
      <c r="A944" t="inlineStr">
        <is>
          <t>Angola</t>
        </is>
      </c>
      <c r="B944" t="inlineStr"/>
      <c r="C944" t="n">
        <v>0</v>
      </c>
    </row>
    <row r="945">
      <c r="A945" t="inlineStr">
        <is>
          <t>Angola</t>
        </is>
      </c>
      <c r="B945" t="inlineStr"/>
      <c r="C945" t="n">
        <v>0</v>
      </c>
    </row>
    <row r="946">
      <c r="A946" t="inlineStr">
        <is>
          <t>Angola</t>
        </is>
      </c>
      <c r="B946" t="inlineStr"/>
      <c r="C946" t="n">
        <v>0</v>
      </c>
    </row>
    <row r="947">
      <c r="A947" t="inlineStr">
        <is>
          <t>Angola</t>
        </is>
      </c>
      <c r="B947" t="inlineStr"/>
      <c r="C947" t="n">
        <v>0</v>
      </c>
    </row>
    <row r="948">
      <c r="A948" t="inlineStr">
        <is>
          <t>Angola</t>
        </is>
      </c>
      <c r="B948" t="inlineStr"/>
      <c r="C948" t="n">
        <v>0</v>
      </c>
    </row>
    <row r="949">
      <c r="A949" t="inlineStr">
        <is>
          <t>Angola</t>
        </is>
      </c>
      <c r="B949" t="inlineStr"/>
      <c r="C949" t="n">
        <v>0</v>
      </c>
    </row>
    <row r="950">
      <c r="A950" t="inlineStr">
        <is>
          <t>Angola</t>
        </is>
      </c>
      <c r="B950" t="inlineStr"/>
      <c r="C950" t="n">
        <v>0</v>
      </c>
    </row>
    <row r="951">
      <c r="A951" t="inlineStr">
        <is>
          <t>Angola</t>
        </is>
      </c>
      <c r="B951" t="inlineStr"/>
      <c r="C951" t="n">
        <v>0</v>
      </c>
    </row>
    <row r="952">
      <c r="A952" t="inlineStr">
        <is>
          <t>Gabon</t>
        </is>
      </c>
      <c r="B952" t="inlineStr">
        <is>
          <t>Trans Certification and Inspection Sdn Bhd, Kuantan, MY</t>
        </is>
      </c>
      <c r="C952" t="n">
        <v>5</v>
      </c>
    </row>
    <row r="953">
      <c r="A953" t="inlineStr">
        <is>
          <t>Gabon</t>
        </is>
      </c>
      <c r="B953" t="inlineStr"/>
      <c r="C953" t="n">
        <v>0</v>
      </c>
    </row>
    <row r="954">
      <c r="A954" t="inlineStr">
        <is>
          <t>Gabon</t>
        </is>
      </c>
      <c r="B954" t="inlineStr"/>
      <c r="C954" t="n">
        <v>0</v>
      </c>
    </row>
    <row r="955">
      <c r="A955" t="inlineStr">
        <is>
          <t>Gabon</t>
        </is>
      </c>
      <c r="B955" t="inlineStr"/>
      <c r="C955" t="n">
        <v>0</v>
      </c>
    </row>
    <row r="956">
      <c r="A956" t="inlineStr">
        <is>
          <t>Gabon</t>
        </is>
      </c>
      <c r="B956" t="inlineStr"/>
      <c r="C956" t="n">
        <v>0</v>
      </c>
    </row>
    <row r="957">
      <c r="A957" t="inlineStr">
        <is>
          <t>Gabon</t>
        </is>
      </c>
      <c r="B957" t="inlineStr"/>
      <c r="C957" t="n">
        <v>0</v>
      </c>
    </row>
    <row r="958">
      <c r="A958" t="inlineStr">
        <is>
          <t>Gabon</t>
        </is>
      </c>
      <c r="B958" t="inlineStr"/>
      <c r="C958" t="n">
        <v>0</v>
      </c>
    </row>
    <row r="959">
      <c r="A959" t="inlineStr">
        <is>
          <t>Gabon</t>
        </is>
      </c>
      <c r="B959" t="inlineStr"/>
      <c r="C959" t="n">
        <v>0</v>
      </c>
    </row>
    <row r="960">
      <c r="A960" t="inlineStr">
        <is>
          <t>Gabon</t>
        </is>
      </c>
      <c r="B960" t="inlineStr"/>
      <c r="C960" t="n">
        <v>0</v>
      </c>
    </row>
    <row r="961">
      <c r="A961" t="inlineStr">
        <is>
          <t>Gabon</t>
        </is>
      </c>
      <c r="B961" t="inlineStr"/>
      <c r="C961" t="n">
        <v>0</v>
      </c>
    </row>
    <row r="962">
      <c r="A962" t="inlineStr">
        <is>
          <t>Iraq</t>
        </is>
      </c>
      <c r="B962" t="inlineStr">
        <is>
          <t>PT Intertek Utama Services, Jakarta, ID</t>
        </is>
      </c>
      <c r="C962" t="n">
        <v>2</v>
      </c>
    </row>
    <row r="963">
      <c r="A963" t="inlineStr">
        <is>
          <t>Iraq</t>
        </is>
      </c>
      <c r="B963" t="inlineStr">
        <is>
          <t>ICIM SpA, sesto san giovanni, IT</t>
        </is>
      </c>
      <c r="C963" t="n">
        <v>1</v>
      </c>
    </row>
    <row r="964">
      <c r="A964" t="inlineStr">
        <is>
          <t>Iraq</t>
        </is>
      </c>
      <c r="B964" t="inlineStr">
        <is>
          <t>Trans Certification and Inspection Sdn Bhd, Kuantan, MY</t>
        </is>
      </c>
      <c r="C964" t="n">
        <v>1</v>
      </c>
    </row>
    <row r="965">
      <c r="A965" t="inlineStr">
        <is>
          <t>Iraq</t>
        </is>
      </c>
      <c r="B965" t="inlineStr">
        <is>
          <t>PT. CBQA GLOBAL INDONESIA, JAKARTA SELATAN, ID</t>
        </is>
      </c>
      <c r="C965" t="n">
        <v>1</v>
      </c>
    </row>
    <row r="966">
      <c r="A966" t="inlineStr">
        <is>
          <t>Iraq</t>
        </is>
      </c>
      <c r="B966" t="inlineStr"/>
      <c r="C966" t="n">
        <v>0</v>
      </c>
    </row>
    <row r="967">
      <c r="A967" t="inlineStr">
        <is>
          <t>Iraq</t>
        </is>
      </c>
      <c r="B967" t="inlineStr"/>
      <c r="C967" t="n">
        <v>0</v>
      </c>
    </row>
    <row r="968">
      <c r="A968" t="inlineStr">
        <is>
          <t>Iraq</t>
        </is>
      </c>
      <c r="B968" t="inlineStr"/>
      <c r="C968" t="n">
        <v>0</v>
      </c>
    </row>
    <row r="969">
      <c r="A969" t="inlineStr">
        <is>
          <t>Iraq</t>
        </is>
      </c>
      <c r="B969" t="inlineStr"/>
      <c r="C969" t="n">
        <v>0</v>
      </c>
    </row>
    <row r="970">
      <c r="A970" t="inlineStr">
        <is>
          <t>Iraq</t>
        </is>
      </c>
      <c r="B970" t="inlineStr"/>
      <c r="C970" t="n">
        <v>0</v>
      </c>
    </row>
    <row r="971">
      <c r="A971" t="inlineStr">
        <is>
          <t>Iraq</t>
        </is>
      </c>
      <c r="B971" t="inlineStr"/>
      <c r="C971" t="n">
        <v>0</v>
      </c>
    </row>
    <row r="972">
      <c r="A972" t="inlineStr">
        <is>
          <t>Georgia</t>
        </is>
      </c>
      <c r="B972" t="inlineStr">
        <is>
          <t>Aciter Genelab LLC, Odessa, UA</t>
        </is>
      </c>
      <c r="C972" t="n">
        <v>3</v>
      </c>
    </row>
    <row r="973">
      <c r="A973" t="inlineStr">
        <is>
          <t>Georgia</t>
        </is>
      </c>
      <c r="B973" t="inlineStr">
        <is>
          <t>Eurocert SA, Metamorfosi, Athens, GR</t>
        </is>
      </c>
      <c r="C973" t="n">
        <v>1</v>
      </c>
    </row>
    <row r="974">
      <c r="A974" t="inlineStr">
        <is>
          <t>Georgia</t>
        </is>
      </c>
      <c r="B974" t="inlineStr">
        <is>
          <t>Control Union Certifications Germany GmbH, Berlin, DE</t>
        </is>
      </c>
      <c r="C974" t="n">
        <v>1</v>
      </c>
    </row>
    <row r="975">
      <c r="A975" t="inlineStr">
        <is>
          <t>Georgia</t>
        </is>
      </c>
      <c r="B975" t="inlineStr"/>
      <c r="C975" t="n">
        <v>0</v>
      </c>
    </row>
    <row r="976">
      <c r="A976" t="inlineStr">
        <is>
          <t>Georgia</t>
        </is>
      </c>
      <c r="B976" t="inlineStr"/>
      <c r="C976" t="n">
        <v>0</v>
      </c>
    </row>
    <row r="977">
      <c r="A977" t="inlineStr">
        <is>
          <t>Georgia</t>
        </is>
      </c>
      <c r="B977" t="inlineStr"/>
      <c r="C977" t="n">
        <v>0</v>
      </c>
    </row>
    <row r="978">
      <c r="A978" t="inlineStr">
        <is>
          <t>Georgia</t>
        </is>
      </c>
      <c r="B978" t="inlineStr"/>
      <c r="C978" t="n">
        <v>0</v>
      </c>
    </row>
    <row r="979">
      <c r="A979" t="inlineStr">
        <is>
          <t>Georgia</t>
        </is>
      </c>
      <c r="B979" t="inlineStr"/>
      <c r="C979" t="n">
        <v>0</v>
      </c>
    </row>
    <row r="980">
      <c r="A980" t="inlineStr">
        <is>
          <t>Georgia</t>
        </is>
      </c>
      <c r="B980" t="inlineStr"/>
      <c r="C980" t="n">
        <v>0</v>
      </c>
    </row>
    <row r="981">
      <c r="A981" t="inlineStr">
        <is>
          <t>Georgia</t>
        </is>
      </c>
      <c r="B981" t="inlineStr"/>
      <c r="C981" t="n">
        <v>0</v>
      </c>
    </row>
    <row r="982">
      <c r="A982" t="inlineStr">
        <is>
          <t>Bangladesh</t>
        </is>
      </c>
      <c r="B982" t="inlineStr">
        <is>
          <t>Trans Certification and Inspection Sdn Bhd, Kuantan, MY</t>
        </is>
      </c>
      <c r="C982" t="n">
        <v>2</v>
      </c>
    </row>
    <row r="983">
      <c r="A983" t="inlineStr">
        <is>
          <t>Bangladesh</t>
        </is>
      </c>
      <c r="B983" t="inlineStr">
        <is>
          <t>SCS Global Services, Emeryville, CA, US</t>
        </is>
      </c>
      <c r="C983" t="n">
        <v>1</v>
      </c>
    </row>
    <row r="984">
      <c r="A984" t="inlineStr">
        <is>
          <t>Bangladesh</t>
        </is>
      </c>
      <c r="B984" t="inlineStr">
        <is>
          <t>PT Intertek Utama Services, Jakarta, ID</t>
        </is>
      </c>
      <c r="C984" t="n">
        <v>1</v>
      </c>
    </row>
    <row r="985">
      <c r="A985" t="inlineStr">
        <is>
          <t>Bangladesh</t>
        </is>
      </c>
      <c r="B985" t="inlineStr"/>
      <c r="C985" t="n">
        <v>0</v>
      </c>
    </row>
    <row r="986">
      <c r="A986" t="inlineStr">
        <is>
          <t>Bangladesh</t>
        </is>
      </c>
      <c r="B986" t="inlineStr"/>
      <c r="C986" t="n">
        <v>0</v>
      </c>
    </row>
    <row r="987">
      <c r="A987" t="inlineStr">
        <is>
          <t>Bangladesh</t>
        </is>
      </c>
      <c r="B987" t="inlineStr"/>
      <c r="C987" t="n">
        <v>0</v>
      </c>
    </row>
    <row r="988">
      <c r="A988" t="inlineStr">
        <is>
          <t>Bangladesh</t>
        </is>
      </c>
      <c r="B988" t="inlineStr"/>
      <c r="C988" t="n">
        <v>0</v>
      </c>
    </row>
    <row r="989">
      <c r="A989" t="inlineStr">
        <is>
          <t>Bangladesh</t>
        </is>
      </c>
      <c r="B989" t="inlineStr"/>
      <c r="C989" t="n">
        <v>0</v>
      </c>
    </row>
    <row r="990">
      <c r="A990" t="inlineStr">
        <is>
          <t>Bangladesh</t>
        </is>
      </c>
      <c r="B990" t="inlineStr"/>
      <c r="C990" t="n">
        <v>0</v>
      </c>
    </row>
    <row r="991">
      <c r="A991" t="inlineStr">
        <is>
          <t>Bangladesh</t>
        </is>
      </c>
      <c r="B991" t="inlineStr"/>
      <c r="C991" t="n">
        <v>0</v>
      </c>
    </row>
    <row r="992">
      <c r="A992" t="inlineStr">
        <is>
          <t>Morocco</t>
        </is>
      </c>
      <c r="B992" t="inlineStr">
        <is>
          <t>DEKRA Certification B.V., Arnhem, NL</t>
        </is>
      </c>
      <c r="C992" t="n">
        <v>2</v>
      </c>
    </row>
    <row r="993">
      <c r="A993" t="inlineStr">
        <is>
          <t>Morocco</t>
        </is>
      </c>
      <c r="B993" t="inlineStr">
        <is>
          <t>SGS Germany GmbH, Emstek, DE</t>
        </is>
      </c>
      <c r="C993" t="n">
        <v>1</v>
      </c>
    </row>
    <row r="994">
      <c r="A994" t="inlineStr">
        <is>
          <t>Morocco</t>
        </is>
      </c>
      <c r="B994" t="inlineStr">
        <is>
          <t>Bureau Veritas Polska Sp. z o.o., Warsaw, PL</t>
        </is>
      </c>
      <c r="C994" t="n">
        <v>1</v>
      </c>
    </row>
    <row r="995">
      <c r="A995" t="inlineStr">
        <is>
          <t>Morocco</t>
        </is>
      </c>
      <c r="B995" t="inlineStr"/>
      <c r="C995" t="n">
        <v>0</v>
      </c>
    </row>
    <row r="996">
      <c r="A996" t="inlineStr">
        <is>
          <t>Morocco</t>
        </is>
      </c>
      <c r="B996" t="inlineStr"/>
      <c r="C996" t="n">
        <v>0</v>
      </c>
    </row>
    <row r="997">
      <c r="A997" t="inlineStr">
        <is>
          <t>Morocco</t>
        </is>
      </c>
      <c r="B997" t="inlineStr"/>
      <c r="C997" t="n">
        <v>0</v>
      </c>
    </row>
    <row r="998">
      <c r="A998" t="inlineStr">
        <is>
          <t>Morocco</t>
        </is>
      </c>
      <c r="B998" t="inlineStr"/>
      <c r="C998" t="n">
        <v>0</v>
      </c>
    </row>
    <row r="999">
      <c r="A999" t="inlineStr">
        <is>
          <t>Morocco</t>
        </is>
      </c>
      <c r="B999" t="inlineStr"/>
      <c r="C999" t="n">
        <v>0</v>
      </c>
    </row>
    <row r="1000">
      <c r="A1000" t="inlineStr">
        <is>
          <t>Morocco</t>
        </is>
      </c>
      <c r="B1000" t="inlineStr"/>
      <c r="C1000" t="n">
        <v>0</v>
      </c>
    </row>
    <row r="1001">
      <c r="A1001" t="inlineStr">
        <is>
          <t>Morocco</t>
        </is>
      </c>
      <c r="B1001" t="inlineStr"/>
      <c r="C1001" t="n">
        <v>0</v>
      </c>
    </row>
    <row r="1002">
      <c r="A1002" t="inlineStr">
        <is>
          <t>Kuwait</t>
        </is>
      </c>
      <c r="B1002" t="inlineStr">
        <is>
          <t>Trans Certification and Inspection Sdn Bhd, Kuantan, MY</t>
        </is>
      </c>
      <c r="C1002" t="n">
        <v>2</v>
      </c>
    </row>
    <row r="1003">
      <c r="A1003" t="inlineStr">
        <is>
          <t>Kuwait</t>
        </is>
      </c>
      <c r="B1003" t="inlineStr">
        <is>
          <t>SGS Germany GmbH, Emstek, DE</t>
        </is>
      </c>
      <c r="C1003" t="n">
        <v>1</v>
      </c>
    </row>
    <row r="1004">
      <c r="A1004" t="inlineStr">
        <is>
          <t>Kuwait</t>
        </is>
      </c>
      <c r="B1004" t="inlineStr">
        <is>
          <t>Eurocert SA, Metamorfosi, Athens, GR</t>
        </is>
      </c>
      <c r="C1004" t="n">
        <v>1</v>
      </c>
    </row>
    <row r="1005">
      <c r="A1005" t="inlineStr">
        <is>
          <t>Kuwait</t>
        </is>
      </c>
      <c r="B1005" t="inlineStr"/>
      <c r="C1005" t="n">
        <v>0</v>
      </c>
    </row>
    <row r="1006">
      <c r="A1006" t="inlineStr">
        <is>
          <t>Kuwait</t>
        </is>
      </c>
      <c r="B1006" t="inlineStr"/>
      <c r="C1006" t="n">
        <v>0</v>
      </c>
    </row>
    <row r="1007">
      <c r="A1007" t="inlineStr">
        <is>
          <t>Kuwait</t>
        </is>
      </c>
      <c r="B1007" t="inlineStr"/>
      <c r="C1007" t="n">
        <v>0</v>
      </c>
    </row>
    <row r="1008">
      <c r="A1008" t="inlineStr">
        <is>
          <t>Kuwait</t>
        </is>
      </c>
      <c r="B1008" t="inlineStr"/>
      <c r="C1008" t="n">
        <v>0</v>
      </c>
    </row>
    <row r="1009">
      <c r="A1009" t="inlineStr">
        <is>
          <t>Kuwait</t>
        </is>
      </c>
      <c r="B1009" t="inlineStr"/>
      <c r="C1009" t="n">
        <v>0</v>
      </c>
    </row>
    <row r="1010">
      <c r="A1010" t="inlineStr">
        <is>
          <t>Kuwait</t>
        </is>
      </c>
      <c r="B1010" t="inlineStr"/>
      <c r="C1010" t="n">
        <v>0</v>
      </c>
    </row>
    <row r="1011">
      <c r="A1011" t="inlineStr">
        <is>
          <t>Kuwait</t>
        </is>
      </c>
      <c r="B1011" t="inlineStr"/>
      <c r="C1011" t="n">
        <v>0</v>
      </c>
    </row>
    <row r="1012">
      <c r="A1012" t="inlineStr">
        <is>
          <t>Armenia</t>
        </is>
      </c>
      <c r="B1012" t="inlineStr">
        <is>
          <t>SGS Germany GmbH, Emstek, DE</t>
        </is>
      </c>
      <c r="C1012" t="n">
        <v>2</v>
      </c>
    </row>
    <row r="1013">
      <c r="A1013" t="inlineStr">
        <is>
          <t>Armenia</t>
        </is>
      </c>
      <c r="B1013" t="inlineStr">
        <is>
          <t>Aciter Genelab LLC, Odessa, UA</t>
        </is>
      </c>
      <c r="C1013" t="n">
        <v>1</v>
      </c>
    </row>
    <row r="1014">
      <c r="A1014" t="inlineStr">
        <is>
          <t>Armenia</t>
        </is>
      </c>
      <c r="B1014" t="inlineStr"/>
      <c r="C1014" t="n">
        <v>0</v>
      </c>
    </row>
    <row r="1015">
      <c r="A1015" t="inlineStr">
        <is>
          <t>Armenia</t>
        </is>
      </c>
      <c r="B1015" t="inlineStr"/>
      <c r="C1015" t="n">
        <v>0</v>
      </c>
    </row>
    <row r="1016">
      <c r="A1016" t="inlineStr">
        <is>
          <t>Armenia</t>
        </is>
      </c>
      <c r="B1016" t="inlineStr"/>
      <c r="C1016" t="n">
        <v>0</v>
      </c>
    </row>
    <row r="1017">
      <c r="A1017" t="inlineStr">
        <is>
          <t>Armenia</t>
        </is>
      </c>
      <c r="B1017" t="inlineStr"/>
      <c r="C1017" t="n">
        <v>0</v>
      </c>
    </row>
    <row r="1018">
      <c r="A1018" t="inlineStr">
        <is>
          <t>Armenia</t>
        </is>
      </c>
      <c r="B1018" t="inlineStr"/>
      <c r="C1018" t="n">
        <v>0</v>
      </c>
    </row>
    <row r="1019">
      <c r="A1019" t="inlineStr">
        <is>
          <t>Armenia</t>
        </is>
      </c>
      <c r="B1019" t="inlineStr"/>
      <c r="C1019" t="n">
        <v>0</v>
      </c>
    </row>
    <row r="1020">
      <c r="A1020" t="inlineStr">
        <is>
          <t>Armenia</t>
        </is>
      </c>
      <c r="B1020" t="inlineStr"/>
      <c r="C1020" t="n">
        <v>0</v>
      </c>
    </row>
    <row r="1021">
      <c r="A1021" t="inlineStr">
        <is>
          <t>Armenia</t>
        </is>
      </c>
      <c r="B1021" t="inlineStr"/>
      <c r="C1021" t="n">
        <v>0</v>
      </c>
    </row>
    <row r="1022">
      <c r="A1022" t="inlineStr">
        <is>
          <t>Bosnia and Herzegovina</t>
        </is>
      </c>
      <c r="B1022" t="inlineStr">
        <is>
          <t>Bureau Veritas Polska Sp. z o.o., Warsaw, PL</t>
        </is>
      </c>
      <c r="C1022" t="n">
        <v>1</v>
      </c>
    </row>
    <row r="1023">
      <c r="A1023" t="inlineStr">
        <is>
          <t>Bosnia and Herzegovina</t>
        </is>
      </c>
      <c r="B1023" t="inlineStr">
        <is>
          <t>RINA Services S.p.A., Genova, IT</t>
        </is>
      </c>
      <c r="C1023" t="n">
        <v>1</v>
      </c>
    </row>
    <row r="1024">
      <c r="A1024" t="inlineStr">
        <is>
          <t>Bosnia and Herzegovina</t>
        </is>
      </c>
      <c r="B1024" t="inlineStr">
        <is>
          <t>agroVet GmbH, Enzersfeld, AT</t>
        </is>
      </c>
      <c r="C1024" t="n">
        <v>1</v>
      </c>
    </row>
    <row r="1025">
      <c r="A1025" t="inlineStr">
        <is>
          <t>Bosnia and Herzegovina</t>
        </is>
      </c>
      <c r="B1025" t="inlineStr"/>
      <c r="C1025" t="n">
        <v>0</v>
      </c>
    </row>
    <row r="1026">
      <c r="A1026" t="inlineStr">
        <is>
          <t>Bosnia and Herzegovina</t>
        </is>
      </c>
      <c r="B1026" t="inlineStr"/>
      <c r="C1026" t="n">
        <v>0</v>
      </c>
    </row>
    <row r="1027">
      <c r="A1027" t="inlineStr">
        <is>
          <t>Bosnia and Herzegovina</t>
        </is>
      </c>
      <c r="B1027" t="inlineStr"/>
      <c r="C1027" t="n">
        <v>0</v>
      </c>
    </row>
    <row r="1028">
      <c r="A1028" t="inlineStr">
        <is>
          <t>Bosnia and Herzegovina</t>
        </is>
      </c>
      <c r="B1028" t="inlineStr"/>
      <c r="C1028" t="n">
        <v>0</v>
      </c>
    </row>
    <row r="1029">
      <c r="A1029" t="inlineStr">
        <is>
          <t>Bosnia and Herzegovina</t>
        </is>
      </c>
      <c r="B1029" t="inlineStr"/>
      <c r="C1029" t="n">
        <v>0</v>
      </c>
    </row>
    <row r="1030">
      <c r="A1030" t="inlineStr">
        <is>
          <t>Bosnia and Herzegovina</t>
        </is>
      </c>
      <c r="B1030" t="inlineStr"/>
      <c r="C1030" t="n">
        <v>0</v>
      </c>
    </row>
    <row r="1031">
      <c r="A1031" t="inlineStr">
        <is>
          <t>Bosnia and Herzegovina</t>
        </is>
      </c>
      <c r="B1031" t="inlineStr"/>
      <c r="C1031" t="n">
        <v>0</v>
      </c>
    </row>
    <row r="1032">
      <c r="A1032" t="inlineStr">
        <is>
          <t>Azerbaijan</t>
        </is>
      </c>
      <c r="B1032" t="inlineStr">
        <is>
          <t>Apex Genelab LLC, Odessa, UA</t>
        </is>
      </c>
      <c r="C1032" t="n">
        <v>1</v>
      </c>
    </row>
    <row r="1033">
      <c r="A1033" t="inlineStr">
        <is>
          <t>Azerbaijan</t>
        </is>
      </c>
      <c r="B1033" t="inlineStr">
        <is>
          <t>SGS Germany GmbH, Emstek, DE</t>
        </is>
      </c>
      <c r="C1033" t="n">
        <v>1</v>
      </c>
    </row>
    <row r="1034">
      <c r="A1034" t="inlineStr">
        <is>
          <t>Azerbaijan</t>
        </is>
      </c>
      <c r="B1034" t="inlineStr">
        <is>
          <t>Aciter Genelab LLC, Odessa, UA</t>
        </is>
      </c>
      <c r="C1034" t="n">
        <v>1</v>
      </c>
    </row>
    <row r="1035">
      <c r="A1035" t="inlineStr">
        <is>
          <t>Azerbaijan</t>
        </is>
      </c>
      <c r="B1035" t="inlineStr"/>
      <c r="C1035" t="n">
        <v>0</v>
      </c>
    </row>
    <row r="1036">
      <c r="A1036" t="inlineStr">
        <is>
          <t>Azerbaijan</t>
        </is>
      </c>
      <c r="B1036" t="inlineStr"/>
      <c r="C1036" t="n">
        <v>0</v>
      </c>
    </row>
    <row r="1037">
      <c r="A1037" t="inlineStr">
        <is>
          <t>Azerbaijan</t>
        </is>
      </c>
      <c r="B1037" t="inlineStr"/>
      <c r="C1037" t="n">
        <v>0</v>
      </c>
    </row>
    <row r="1038">
      <c r="A1038" t="inlineStr">
        <is>
          <t>Azerbaijan</t>
        </is>
      </c>
      <c r="B1038" t="inlineStr"/>
      <c r="C1038" t="n">
        <v>0</v>
      </c>
    </row>
    <row r="1039">
      <c r="A1039" t="inlineStr">
        <is>
          <t>Azerbaijan</t>
        </is>
      </c>
      <c r="B1039" t="inlineStr"/>
      <c r="C1039" t="n">
        <v>0</v>
      </c>
    </row>
    <row r="1040">
      <c r="A1040" t="inlineStr">
        <is>
          <t>Azerbaijan</t>
        </is>
      </c>
      <c r="B1040" t="inlineStr"/>
      <c r="C1040" t="n">
        <v>0</v>
      </c>
    </row>
    <row r="1041">
      <c r="A1041" t="inlineStr">
        <is>
          <t>Azerbaijan</t>
        </is>
      </c>
      <c r="B1041" t="inlineStr"/>
      <c r="C1041" t="n">
        <v>0</v>
      </c>
    </row>
    <row r="1042">
      <c r="A1042" t="inlineStr">
        <is>
          <t>Gibraltar</t>
        </is>
      </c>
      <c r="B1042" t="inlineStr">
        <is>
          <t>DNV Business Assurance Sweden AB, Solna, SE</t>
        </is>
      </c>
      <c r="C1042" t="n">
        <v>1</v>
      </c>
    </row>
    <row r="1043">
      <c r="A1043" t="inlineStr">
        <is>
          <t>Gibraltar</t>
        </is>
      </c>
      <c r="B1043" t="inlineStr">
        <is>
          <t>Control Union Certifications Germany GmbH, Berlin, DE</t>
        </is>
      </c>
      <c r="C1043" t="n">
        <v>1</v>
      </c>
    </row>
    <row r="1044">
      <c r="A1044" t="inlineStr">
        <is>
          <t>Gibraltar</t>
        </is>
      </c>
      <c r="B1044" t="inlineStr">
        <is>
          <t>Bureau Veritas Polska Sp. z o.o., Warsaw, PL</t>
        </is>
      </c>
      <c r="C1044" t="n">
        <v>1</v>
      </c>
    </row>
    <row r="1045">
      <c r="A1045" t="inlineStr">
        <is>
          <t>Gibraltar</t>
        </is>
      </c>
      <c r="B1045" t="inlineStr"/>
      <c r="C1045" t="n">
        <v>0</v>
      </c>
    </row>
    <row r="1046">
      <c r="A1046" t="inlineStr">
        <is>
          <t>Gibraltar</t>
        </is>
      </c>
      <c r="B1046" t="inlineStr"/>
      <c r="C1046" t="n">
        <v>0</v>
      </c>
    </row>
    <row r="1047">
      <c r="A1047" t="inlineStr">
        <is>
          <t>Gibraltar</t>
        </is>
      </c>
      <c r="B1047" t="inlineStr"/>
      <c r="C1047" t="n">
        <v>0</v>
      </c>
    </row>
    <row r="1048">
      <c r="A1048" t="inlineStr">
        <is>
          <t>Gibraltar</t>
        </is>
      </c>
      <c r="B1048" t="inlineStr"/>
      <c r="C1048" t="n">
        <v>0</v>
      </c>
    </row>
    <row r="1049">
      <c r="A1049" t="inlineStr">
        <is>
          <t>Gibraltar</t>
        </is>
      </c>
      <c r="B1049" t="inlineStr"/>
      <c r="C1049" t="n">
        <v>0</v>
      </c>
    </row>
    <row r="1050">
      <c r="A1050" t="inlineStr">
        <is>
          <t>Gibraltar</t>
        </is>
      </c>
      <c r="B1050" t="inlineStr"/>
      <c r="C1050" t="n">
        <v>0</v>
      </c>
    </row>
    <row r="1051">
      <c r="A1051" t="inlineStr">
        <is>
          <t>Gibraltar</t>
        </is>
      </c>
      <c r="B1051" t="inlineStr"/>
      <c r="C1051" t="n">
        <v>0</v>
      </c>
    </row>
    <row r="1052">
      <c r="A1052" t="inlineStr">
        <is>
          <t>Trinidad and Tobago</t>
        </is>
      </c>
      <c r="B1052" t="inlineStr">
        <is>
          <t>SCS Global Services, Emeryville, CA, US</t>
        </is>
      </c>
      <c r="C1052" t="n">
        <v>1</v>
      </c>
    </row>
    <row r="1053">
      <c r="A1053" t="inlineStr">
        <is>
          <t>Trinidad and Tobago</t>
        </is>
      </c>
      <c r="B1053" t="inlineStr">
        <is>
          <t>Control Union Certifications Germany GmbH, Berlin, DE</t>
        </is>
      </c>
      <c r="C1053" t="n">
        <v>1</v>
      </c>
    </row>
    <row r="1054">
      <c r="A1054" t="inlineStr">
        <is>
          <t>Trinidad and Tobago</t>
        </is>
      </c>
      <c r="B1054" t="inlineStr">
        <is>
          <t>DEKRA Certification B.V., Arnhem, NL</t>
        </is>
      </c>
      <c r="C1054" t="n">
        <v>1</v>
      </c>
    </row>
    <row r="1055">
      <c r="A1055" t="inlineStr">
        <is>
          <t>Trinidad and Tobago</t>
        </is>
      </c>
      <c r="B1055" t="inlineStr"/>
      <c r="C1055" t="n">
        <v>0</v>
      </c>
    </row>
    <row r="1056">
      <c r="A1056" t="inlineStr">
        <is>
          <t>Trinidad and Tobago</t>
        </is>
      </c>
      <c r="B1056" t="inlineStr"/>
      <c r="C1056" t="n">
        <v>0</v>
      </c>
    </row>
    <row r="1057">
      <c r="A1057" t="inlineStr">
        <is>
          <t>Trinidad and Tobago</t>
        </is>
      </c>
      <c r="B1057" t="inlineStr"/>
      <c r="C1057" t="n">
        <v>0</v>
      </c>
    </row>
    <row r="1058">
      <c r="A1058" t="inlineStr">
        <is>
          <t>Trinidad and Tobago</t>
        </is>
      </c>
      <c r="B1058" t="inlineStr"/>
      <c r="C1058" t="n">
        <v>0</v>
      </c>
    </row>
    <row r="1059">
      <c r="A1059" t="inlineStr">
        <is>
          <t>Trinidad and Tobago</t>
        </is>
      </c>
      <c r="B1059" t="inlineStr"/>
      <c r="C1059" t="n">
        <v>0</v>
      </c>
    </row>
    <row r="1060">
      <c r="A1060" t="inlineStr">
        <is>
          <t>Trinidad and Tobago</t>
        </is>
      </c>
      <c r="B1060" t="inlineStr"/>
      <c r="C1060" t="n">
        <v>0</v>
      </c>
    </row>
    <row r="1061">
      <c r="A1061" t="inlineStr">
        <is>
          <t>Trinidad and Tobago</t>
        </is>
      </c>
      <c r="B1061" t="inlineStr"/>
      <c r="C1061" t="n">
        <v>0</v>
      </c>
    </row>
    <row r="1062">
      <c r="A1062" t="inlineStr">
        <is>
          <t>Montenegro</t>
        </is>
      </c>
      <c r="B1062" t="inlineStr">
        <is>
          <t>Bureau Veritas Polska Sp. z o.o., Warsaw, PL</t>
        </is>
      </c>
      <c r="C1062" t="n">
        <v>1</v>
      </c>
    </row>
    <row r="1063">
      <c r="A1063" t="inlineStr">
        <is>
          <t>Montenegro</t>
        </is>
      </c>
      <c r="B1063" t="inlineStr">
        <is>
          <t>Business Quality Verification Testing and Certification Services P.C. (BQV), Marousi, Athens, GR</t>
        </is>
      </c>
      <c r="C1063" t="n">
        <v>1</v>
      </c>
    </row>
    <row r="1064">
      <c r="A1064" t="inlineStr">
        <is>
          <t>Montenegro</t>
        </is>
      </c>
      <c r="B1064" t="inlineStr">
        <is>
          <t>SRAC Cert SRL, Bucharest, RO</t>
        </is>
      </c>
      <c r="C1064" t="n">
        <v>1</v>
      </c>
    </row>
    <row r="1065">
      <c r="A1065" t="inlineStr">
        <is>
          <t>Montenegro</t>
        </is>
      </c>
      <c r="B1065" t="inlineStr"/>
      <c r="C1065" t="n">
        <v>0</v>
      </c>
    </row>
    <row r="1066">
      <c r="A1066" t="inlineStr">
        <is>
          <t>Montenegro</t>
        </is>
      </c>
      <c r="B1066" t="inlineStr"/>
      <c r="C1066" t="n">
        <v>0</v>
      </c>
    </row>
    <row r="1067">
      <c r="A1067" t="inlineStr">
        <is>
          <t>Montenegro</t>
        </is>
      </c>
      <c r="B1067" t="inlineStr"/>
      <c r="C1067" t="n">
        <v>0</v>
      </c>
    </row>
    <row r="1068">
      <c r="A1068" t="inlineStr">
        <is>
          <t>Montenegro</t>
        </is>
      </c>
      <c r="B1068" t="inlineStr"/>
      <c r="C1068" t="n">
        <v>0</v>
      </c>
    </row>
    <row r="1069">
      <c r="A1069" t="inlineStr">
        <is>
          <t>Montenegro</t>
        </is>
      </c>
      <c r="B1069" t="inlineStr"/>
      <c r="C1069" t="n">
        <v>0</v>
      </c>
    </row>
    <row r="1070">
      <c r="A1070" t="inlineStr">
        <is>
          <t>Montenegro</t>
        </is>
      </c>
      <c r="B1070" t="inlineStr"/>
      <c r="C1070" t="n">
        <v>0</v>
      </c>
    </row>
    <row r="1071">
      <c r="A1071" t="inlineStr">
        <is>
          <t>Montenegro</t>
        </is>
      </c>
      <c r="B1071" t="inlineStr"/>
      <c r="C1071" t="n">
        <v>0</v>
      </c>
    </row>
    <row r="1072">
      <c r="A1072" t="inlineStr">
        <is>
          <t>Mauritius</t>
        </is>
      </c>
      <c r="B1072" t="inlineStr">
        <is>
          <t>Double Helix Tracking Technologies Pte Ltd, Singapore, SG</t>
        </is>
      </c>
      <c r="C1072" t="n">
        <v>2</v>
      </c>
    </row>
    <row r="1073">
      <c r="A1073" t="inlineStr">
        <is>
          <t>Mauritius</t>
        </is>
      </c>
      <c r="B1073" t="inlineStr">
        <is>
          <t>Cotecna India Inspection Pvt Ltd, Kolkata, IN</t>
        </is>
      </c>
      <c r="C1073" t="n">
        <v>1</v>
      </c>
    </row>
    <row r="1074">
      <c r="A1074" t="inlineStr">
        <is>
          <t>Mauritius</t>
        </is>
      </c>
      <c r="B1074" t="inlineStr"/>
      <c r="C1074" t="n">
        <v>0</v>
      </c>
    </row>
    <row r="1075">
      <c r="A1075" t="inlineStr">
        <is>
          <t>Mauritius</t>
        </is>
      </c>
      <c r="B1075" t="inlineStr"/>
      <c r="C1075" t="n">
        <v>0</v>
      </c>
    </row>
    <row r="1076">
      <c r="A1076" t="inlineStr">
        <is>
          <t>Mauritius</t>
        </is>
      </c>
      <c r="B1076" t="inlineStr"/>
      <c r="C1076" t="n">
        <v>0</v>
      </c>
    </row>
    <row r="1077">
      <c r="A1077" t="inlineStr">
        <is>
          <t>Mauritius</t>
        </is>
      </c>
      <c r="B1077" t="inlineStr"/>
      <c r="C1077" t="n">
        <v>0</v>
      </c>
    </row>
    <row r="1078">
      <c r="A1078" t="inlineStr">
        <is>
          <t>Mauritius</t>
        </is>
      </c>
      <c r="B1078" t="inlineStr"/>
      <c r="C1078" t="n">
        <v>0</v>
      </c>
    </row>
    <row r="1079">
      <c r="A1079" t="inlineStr">
        <is>
          <t>Mauritius</t>
        </is>
      </c>
      <c r="B1079" t="inlineStr"/>
      <c r="C1079" t="n">
        <v>0</v>
      </c>
    </row>
    <row r="1080">
      <c r="A1080" t="inlineStr">
        <is>
          <t>Mauritius</t>
        </is>
      </c>
      <c r="B1080" t="inlineStr"/>
      <c r="C1080" t="n">
        <v>0</v>
      </c>
    </row>
    <row r="1081">
      <c r="A1081" t="inlineStr">
        <is>
          <t>Mauritius</t>
        </is>
      </c>
      <c r="B1081" t="inlineStr"/>
      <c r="C1081" t="n">
        <v>0</v>
      </c>
    </row>
    <row r="1082">
      <c r="A1082" t="inlineStr">
        <is>
          <t>Republic of the Congo</t>
        </is>
      </c>
      <c r="B1082" t="inlineStr">
        <is>
          <t>RINA Services S.p.A., Genova, IT</t>
        </is>
      </c>
      <c r="C1082" t="n">
        <v>3</v>
      </c>
    </row>
    <row r="1083">
      <c r="A1083" t="inlineStr">
        <is>
          <t>Republic of the Congo</t>
        </is>
      </c>
      <c r="B1083" t="inlineStr"/>
      <c r="C1083" t="n">
        <v>0</v>
      </c>
    </row>
    <row r="1084">
      <c r="A1084" t="inlineStr">
        <is>
          <t>Republic of the Congo</t>
        </is>
      </c>
      <c r="B1084" t="inlineStr"/>
      <c r="C1084" t="n">
        <v>0</v>
      </c>
    </row>
    <row r="1085">
      <c r="A1085" t="inlineStr">
        <is>
          <t>Republic of the Congo</t>
        </is>
      </c>
      <c r="B1085" t="inlineStr"/>
      <c r="C1085" t="n">
        <v>0</v>
      </c>
    </row>
    <row r="1086">
      <c r="A1086" t="inlineStr">
        <is>
          <t>Republic of the Congo</t>
        </is>
      </c>
      <c r="B1086" t="inlineStr"/>
      <c r="C1086" t="n">
        <v>0</v>
      </c>
    </row>
    <row r="1087">
      <c r="A1087" t="inlineStr">
        <is>
          <t>Republic of the Congo</t>
        </is>
      </c>
      <c r="B1087" t="inlineStr"/>
      <c r="C1087" t="n">
        <v>0</v>
      </c>
    </row>
    <row r="1088">
      <c r="A1088" t="inlineStr">
        <is>
          <t>Republic of the Congo</t>
        </is>
      </c>
      <c r="B1088" t="inlineStr"/>
      <c r="C1088" t="n">
        <v>0</v>
      </c>
    </row>
    <row r="1089">
      <c r="A1089" t="inlineStr">
        <is>
          <t>Republic of the Congo</t>
        </is>
      </c>
      <c r="B1089" t="inlineStr"/>
      <c r="C1089" t="n">
        <v>0</v>
      </c>
    </row>
    <row r="1090">
      <c r="A1090" t="inlineStr">
        <is>
          <t>Republic of the Congo</t>
        </is>
      </c>
      <c r="B1090" t="inlineStr"/>
      <c r="C1090" t="n">
        <v>0</v>
      </c>
    </row>
    <row r="1091">
      <c r="A1091" t="inlineStr">
        <is>
          <t>Republic of the Congo</t>
        </is>
      </c>
      <c r="B1091" t="inlineStr"/>
      <c r="C1091" t="n">
        <v>0</v>
      </c>
    </row>
    <row r="1092">
      <c r="A1092" t="inlineStr">
        <is>
          <t>Senegal</t>
        </is>
      </c>
      <c r="B1092" t="inlineStr">
        <is>
          <t>BM Certification, Riga, LV</t>
        </is>
      </c>
      <c r="C1092" t="n">
        <v>2</v>
      </c>
    </row>
    <row r="1093">
      <c r="A1093" t="inlineStr">
        <is>
          <t>Senegal</t>
        </is>
      </c>
      <c r="B1093" t="inlineStr">
        <is>
          <t>SGS Germany GmbH, Emstek, DE</t>
        </is>
      </c>
      <c r="C1093" t="n">
        <v>1</v>
      </c>
    </row>
    <row r="1094">
      <c r="A1094" t="inlineStr">
        <is>
          <t>Senegal</t>
        </is>
      </c>
      <c r="B1094" t="inlineStr"/>
      <c r="C1094" t="n">
        <v>0</v>
      </c>
    </row>
    <row r="1095">
      <c r="A1095" t="inlineStr">
        <is>
          <t>Senegal</t>
        </is>
      </c>
      <c r="B1095" t="inlineStr"/>
      <c r="C1095" t="n">
        <v>0</v>
      </c>
    </row>
    <row r="1096">
      <c r="A1096" t="inlineStr">
        <is>
          <t>Senegal</t>
        </is>
      </c>
      <c r="B1096" t="inlineStr"/>
      <c r="C1096" t="n">
        <v>0</v>
      </c>
    </row>
    <row r="1097">
      <c r="A1097" t="inlineStr">
        <is>
          <t>Senegal</t>
        </is>
      </c>
      <c r="B1097" t="inlineStr"/>
      <c r="C1097" t="n">
        <v>0</v>
      </c>
    </row>
    <row r="1098">
      <c r="A1098" t="inlineStr">
        <is>
          <t>Senegal</t>
        </is>
      </c>
      <c r="B1098" t="inlineStr"/>
      <c r="C1098" t="n">
        <v>0</v>
      </c>
    </row>
    <row r="1099">
      <c r="A1099" t="inlineStr">
        <is>
          <t>Senegal</t>
        </is>
      </c>
      <c r="B1099" t="inlineStr"/>
      <c r="C1099" t="n">
        <v>0</v>
      </c>
    </row>
    <row r="1100">
      <c r="A1100" t="inlineStr">
        <is>
          <t>Senegal</t>
        </is>
      </c>
      <c r="B1100" t="inlineStr"/>
      <c r="C1100" t="n">
        <v>0</v>
      </c>
    </row>
    <row r="1101">
      <c r="A1101" t="inlineStr">
        <is>
          <t>Senegal</t>
        </is>
      </c>
      <c r="B1101" t="inlineStr"/>
      <c r="C1101" t="n">
        <v>0</v>
      </c>
    </row>
    <row r="1102">
      <c r="A1102" t="inlineStr">
        <is>
          <t>Togo</t>
        </is>
      </c>
      <c r="B1102" t="inlineStr">
        <is>
          <t>BM Certification, Riga, LV</t>
        </is>
      </c>
      <c r="C1102" t="n">
        <v>2</v>
      </c>
    </row>
    <row r="1103">
      <c r="A1103" t="inlineStr">
        <is>
          <t>Togo</t>
        </is>
      </c>
      <c r="B1103" t="inlineStr">
        <is>
          <t>SGS Germany GmbH, Emstek, DE</t>
        </is>
      </c>
      <c r="C1103" t="n">
        <v>1</v>
      </c>
    </row>
    <row r="1104">
      <c r="A1104" t="inlineStr">
        <is>
          <t>Togo</t>
        </is>
      </c>
      <c r="B1104" t="inlineStr"/>
      <c r="C1104" t="n">
        <v>0</v>
      </c>
    </row>
    <row r="1105">
      <c r="A1105" t="inlineStr">
        <is>
          <t>Togo</t>
        </is>
      </c>
      <c r="B1105" t="inlineStr"/>
      <c r="C1105" t="n">
        <v>0</v>
      </c>
    </row>
    <row r="1106">
      <c r="A1106" t="inlineStr">
        <is>
          <t>Togo</t>
        </is>
      </c>
      <c r="B1106" t="inlineStr"/>
      <c r="C1106" t="n">
        <v>0</v>
      </c>
    </row>
    <row r="1107">
      <c r="A1107" t="inlineStr">
        <is>
          <t>Togo</t>
        </is>
      </c>
      <c r="B1107" t="inlineStr"/>
      <c r="C1107" t="n">
        <v>0</v>
      </c>
    </row>
    <row r="1108">
      <c r="A1108" t="inlineStr">
        <is>
          <t>Togo</t>
        </is>
      </c>
      <c r="B1108" t="inlineStr"/>
      <c r="C1108" t="n">
        <v>0</v>
      </c>
    </row>
    <row r="1109">
      <c r="A1109" t="inlineStr">
        <is>
          <t>Togo</t>
        </is>
      </c>
      <c r="B1109" t="inlineStr"/>
      <c r="C1109" t="n">
        <v>0</v>
      </c>
    </row>
    <row r="1110">
      <c r="A1110" t="inlineStr">
        <is>
          <t>Togo</t>
        </is>
      </c>
      <c r="B1110" t="inlineStr"/>
      <c r="C1110" t="n">
        <v>0</v>
      </c>
    </row>
    <row r="1111">
      <c r="A1111" t="inlineStr">
        <is>
          <t>Togo</t>
        </is>
      </c>
      <c r="B1111" t="inlineStr"/>
      <c r="C1111" t="n">
        <v>0</v>
      </c>
    </row>
    <row r="1112">
      <c r="A1112" t="inlineStr">
        <is>
          <t>Macedonia</t>
        </is>
      </c>
      <c r="B1112" t="inlineStr">
        <is>
          <t>TÜV NORD CERT GmbH, Essen, DE</t>
        </is>
      </c>
      <c r="C1112" t="n">
        <v>2</v>
      </c>
    </row>
    <row r="1113">
      <c r="A1113" t="inlineStr">
        <is>
          <t>Macedonia</t>
        </is>
      </c>
      <c r="B1113" t="inlineStr">
        <is>
          <t>agroVet GmbH, Enzersfeld, AT</t>
        </is>
      </c>
      <c r="C1113" t="n">
        <v>1</v>
      </c>
    </row>
    <row r="1114">
      <c r="A1114" t="inlineStr">
        <is>
          <t>Macedonia</t>
        </is>
      </c>
      <c r="B1114" t="inlineStr"/>
      <c r="C1114" t="n">
        <v>0</v>
      </c>
    </row>
    <row r="1115">
      <c r="A1115" t="inlineStr">
        <is>
          <t>Macedonia</t>
        </is>
      </c>
      <c r="B1115" t="inlineStr"/>
      <c r="C1115" t="n">
        <v>0</v>
      </c>
    </row>
    <row r="1116">
      <c r="A1116" t="inlineStr">
        <is>
          <t>Macedonia</t>
        </is>
      </c>
      <c r="B1116" t="inlineStr"/>
      <c r="C1116" t="n">
        <v>0</v>
      </c>
    </row>
    <row r="1117">
      <c r="A1117" t="inlineStr">
        <is>
          <t>Macedonia</t>
        </is>
      </c>
      <c r="B1117" t="inlineStr"/>
      <c r="C1117" t="n">
        <v>0</v>
      </c>
    </row>
    <row r="1118">
      <c r="A1118" t="inlineStr">
        <is>
          <t>Macedonia</t>
        </is>
      </c>
      <c r="B1118" t="inlineStr"/>
      <c r="C1118" t="n">
        <v>0</v>
      </c>
    </row>
    <row r="1119">
      <c r="A1119" t="inlineStr">
        <is>
          <t>Macedonia</t>
        </is>
      </c>
      <c r="B1119" t="inlineStr"/>
      <c r="C1119" t="n">
        <v>0</v>
      </c>
    </row>
    <row r="1120">
      <c r="A1120" t="inlineStr">
        <is>
          <t>Macedonia</t>
        </is>
      </c>
      <c r="B1120" t="inlineStr"/>
      <c r="C1120" t="n">
        <v>0</v>
      </c>
    </row>
    <row r="1121">
      <c r="A1121" t="inlineStr">
        <is>
          <t>Macedonia</t>
        </is>
      </c>
      <c r="B1121" t="inlineStr"/>
      <c r="C1121" t="n">
        <v>0</v>
      </c>
    </row>
    <row r="1122">
      <c r="A1122" t="inlineStr">
        <is>
          <t>Algeria</t>
        </is>
      </c>
      <c r="B1122" t="inlineStr">
        <is>
          <t>BM Certification, Riga, LV</t>
        </is>
      </c>
      <c r="C1122" t="n">
        <v>1</v>
      </c>
    </row>
    <row r="1123">
      <c r="A1123" t="inlineStr">
        <is>
          <t>Algeria</t>
        </is>
      </c>
      <c r="B1123" t="inlineStr">
        <is>
          <t>RINA Services S.p.A., Genova, IT</t>
        </is>
      </c>
      <c r="C1123" t="n">
        <v>1</v>
      </c>
    </row>
    <row r="1124">
      <c r="A1124" t="inlineStr">
        <is>
          <t>Algeria</t>
        </is>
      </c>
      <c r="B1124" t="inlineStr"/>
      <c r="C1124" t="n">
        <v>0</v>
      </c>
    </row>
    <row r="1125">
      <c r="A1125" t="inlineStr">
        <is>
          <t>Algeria</t>
        </is>
      </c>
      <c r="B1125" t="inlineStr"/>
      <c r="C1125" t="n">
        <v>0</v>
      </c>
    </row>
    <row r="1126">
      <c r="A1126" t="inlineStr">
        <is>
          <t>Algeria</t>
        </is>
      </c>
      <c r="B1126" t="inlineStr"/>
      <c r="C1126" t="n">
        <v>0</v>
      </c>
    </row>
    <row r="1127">
      <c r="A1127" t="inlineStr">
        <is>
          <t>Algeria</t>
        </is>
      </c>
      <c r="B1127" t="inlineStr"/>
      <c r="C1127" t="n">
        <v>0</v>
      </c>
    </row>
    <row r="1128">
      <c r="A1128" t="inlineStr">
        <is>
          <t>Algeria</t>
        </is>
      </c>
      <c r="B1128" t="inlineStr"/>
      <c r="C1128" t="n">
        <v>0</v>
      </c>
    </row>
    <row r="1129">
      <c r="A1129" t="inlineStr">
        <is>
          <t>Algeria</t>
        </is>
      </c>
      <c r="B1129" t="inlineStr"/>
      <c r="C1129" t="n">
        <v>0</v>
      </c>
    </row>
    <row r="1130">
      <c r="A1130" t="inlineStr">
        <is>
          <t>Algeria</t>
        </is>
      </c>
      <c r="B1130" t="inlineStr"/>
      <c r="C1130" t="n">
        <v>0</v>
      </c>
    </row>
    <row r="1131">
      <c r="A1131" t="inlineStr">
        <is>
          <t>Algeria</t>
        </is>
      </c>
      <c r="B1131" t="inlineStr"/>
      <c r="C1131" t="n">
        <v>0</v>
      </c>
    </row>
    <row r="1132">
      <c r="A1132" t="inlineStr">
        <is>
          <t>Zambia</t>
        </is>
      </c>
      <c r="B1132" t="inlineStr">
        <is>
          <t>BM Certification, Riga, LV</t>
        </is>
      </c>
      <c r="C1132" t="n">
        <v>1</v>
      </c>
    </row>
    <row r="1133">
      <c r="A1133" t="inlineStr">
        <is>
          <t>Zambia</t>
        </is>
      </c>
      <c r="B1133" t="inlineStr">
        <is>
          <t>RINA Services S.p.A., Genova, IT</t>
        </is>
      </c>
      <c r="C1133" t="n">
        <v>1</v>
      </c>
    </row>
    <row r="1134">
      <c r="A1134" t="inlineStr">
        <is>
          <t>Zambia</t>
        </is>
      </c>
      <c r="B1134" t="inlineStr"/>
      <c r="C1134" t="n">
        <v>0</v>
      </c>
    </row>
    <row r="1135">
      <c r="A1135" t="inlineStr">
        <is>
          <t>Zambia</t>
        </is>
      </c>
      <c r="B1135" t="inlineStr"/>
      <c r="C1135" t="n">
        <v>0</v>
      </c>
    </row>
    <row r="1136">
      <c r="A1136" t="inlineStr">
        <is>
          <t>Zambia</t>
        </is>
      </c>
      <c r="B1136" t="inlineStr"/>
      <c r="C1136" t="n">
        <v>0</v>
      </c>
    </row>
    <row r="1137">
      <c r="A1137" t="inlineStr">
        <is>
          <t>Zambia</t>
        </is>
      </c>
      <c r="B1137" t="inlineStr"/>
      <c r="C1137" t="n">
        <v>0</v>
      </c>
    </row>
    <row r="1138">
      <c r="A1138" t="inlineStr">
        <is>
          <t>Zambia</t>
        </is>
      </c>
      <c r="B1138" t="inlineStr"/>
      <c r="C1138" t="n">
        <v>0</v>
      </c>
    </row>
    <row r="1139">
      <c r="A1139" t="inlineStr">
        <is>
          <t>Zambia</t>
        </is>
      </c>
      <c r="B1139" t="inlineStr"/>
      <c r="C1139" t="n">
        <v>0</v>
      </c>
    </row>
    <row r="1140">
      <c r="A1140" t="inlineStr">
        <is>
          <t>Zambia</t>
        </is>
      </c>
      <c r="B1140" t="inlineStr"/>
      <c r="C1140" t="n">
        <v>0</v>
      </c>
    </row>
    <row r="1141">
      <c r="A1141" t="inlineStr">
        <is>
          <t>Zambia</t>
        </is>
      </c>
      <c r="B1141" t="inlineStr"/>
      <c r="C1141" t="n">
        <v>0</v>
      </c>
    </row>
    <row r="1142">
      <c r="A1142" t="inlineStr">
        <is>
          <t>Kyrgyzstan</t>
        </is>
      </c>
      <c r="B1142" t="inlineStr">
        <is>
          <t>TÜV NORD CERT GmbH, Essen, DE</t>
        </is>
      </c>
      <c r="C1142" t="n">
        <v>1</v>
      </c>
    </row>
    <row r="1143">
      <c r="A1143" t="inlineStr">
        <is>
          <t>Kyrgyzstan</t>
        </is>
      </c>
      <c r="B1143" t="inlineStr">
        <is>
          <t>BM Certification, Riga, LV</t>
        </is>
      </c>
      <c r="C1143" t="n">
        <v>1</v>
      </c>
    </row>
    <row r="1144">
      <c r="A1144" t="inlineStr">
        <is>
          <t>Kyrgyzstan</t>
        </is>
      </c>
      <c r="B1144" t="inlineStr"/>
      <c r="C1144" t="n">
        <v>0</v>
      </c>
    </row>
    <row r="1145">
      <c r="A1145" t="inlineStr">
        <is>
          <t>Kyrgyzstan</t>
        </is>
      </c>
      <c r="B1145" t="inlineStr"/>
      <c r="C1145" t="n">
        <v>0</v>
      </c>
    </row>
    <row r="1146">
      <c r="A1146" t="inlineStr">
        <is>
          <t>Kyrgyzstan</t>
        </is>
      </c>
      <c r="B1146" t="inlineStr"/>
      <c r="C1146" t="n">
        <v>0</v>
      </c>
    </row>
    <row r="1147">
      <c r="A1147" t="inlineStr">
        <is>
          <t>Kyrgyzstan</t>
        </is>
      </c>
      <c r="B1147" t="inlineStr"/>
      <c r="C1147" t="n">
        <v>0</v>
      </c>
    </row>
    <row r="1148">
      <c r="A1148" t="inlineStr">
        <is>
          <t>Kyrgyzstan</t>
        </is>
      </c>
      <c r="B1148" t="inlineStr"/>
      <c r="C1148" t="n">
        <v>0</v>
      </c>
    </row>
    <row r="1149">
      <c r="A1149" t="inlineStr">
        <is>
          <t>Kyrgyzstan</t>
        </is>
      </c>
      <c r="B1149" t="inlineStr"/>
      <c r="C1149" t="n">
        <v>0</v>
      </c>
    </row>
    <row r="1150">
      <c r="A1150" t="inlineStr">
        <is>
          <t>Kyrgyzstan</t>
        </is>
      </c>
      <c r="B1150" t="inlineStr"/>
      <c r="C1150" t="n">
        <v>0</v>
      </c>
    </row>
    <row r="1151">
      <c r="A1151" t="inlineStr">
        <is>
          <t>Kyrgyzstan</t>
        </is>
      </c>
      <c r="B1151" t="inlineStr"/>
      <c r="C1151" t="n">
        <v>0</v>
      </c>
    </row>
    <row r="1152">
      <c r="A1152" t="inlineStr">
        <is>
          <t>Uganda</t>
        </is>
      </c>
      <c r="B1152" t="inlineStr">
        <is>
          <t>Trans Certification and Inspection Sdn Bhd, Kuantan, MY</t>
        </is>
      </c>
      <c r="C1152" t="n">
        <v>1</v>
      </c>
    </row>
    <row r="1153">
      <c r="A1153" t="inlineStr">
        <is>
          <t>Uganda</t>
        </is>
      </c>
      <c r="B1153" t="inlineStr">
        <is>
          <t>RINA Services S.p.A., Genova, IT</t>
        </is>
      </c>
      <c r="C1153" t="n">
        <v>1</v>
      </c>
    </row>
    <row r="1154">
      <c r="A1154" t="inlineStr">
        <is>
          <t>Uganda</t>
        </is>
      </c>
      <c r="B1154" t="inlineStr"/>
      <c r="C1154" t="n">
        <v>0</v>
      </c>
    </row>
    <row r="1155">
      <c r="A1155" t="inlineStr">
        <is>
          <t>Uganda</t>
        </is>
      </c>
      <c r="B1155" t="inlineStr"/>
      <c r="C1155" t="n">
        <v>0</v>
      </c>
    </row>
    <row r="1156">
      <c r="A1156" t="inlineStr">
        <is>
          <t>Uganda</t>
        </is>
      </c>
      <c r="B1156" t="inlineStr"/>
      <c r="C1156" t="n">
        <v>0</v>
      </c>
    </row>
    <row r="1157">
      <c r="A1157" t="inlineStr">
        <is>
          <t>Uganda</t>
        </is>
      </c>
      <c r="B1157" t="inlineStr"/>
      <c r="C1157" t="n">
        <v>0</v>
      </c>
    </row>
    <row r="1158">
      <c r="A1158" t="inlineStr">
        <is>
          <t>Uganda</t>
        </is>
      </c>
      <c r="B1158" t="inlineStr"/>
      <c r="C1158" t="n">
        <v>0</v>
      </c>
    </row>
    <row r="1159">
      <c r="A1159" t="inlineStr">
        <is>
          <t>Uganda</t>
        </is>
      </c>
      <c r="B1159" t="inlineStr"/>
      <c r="C1159" t="n">
        <v>0</v>
      </c>
    </row>
    <row r="1160">
      <c r="A1160" t="inlineStr">
        <is>
          <t>Uganda</t>
        </is>
      </c>
      <c r="B1160" t="inlineStr"/>
      <c r="C1160" t="n">
        <v>0</v>
      </c>
    </row>
    <row r="1161">
      <c r="A1161" t="inlineStr">
        <is>
          <t>Uganda</t>
        </is>
      </c>
      <c r="B1161" t="inlineStr"/>
      <c r="C1161" t="n">
        <v>0</v>
      </c>
    </row>
    <row r="1162">
      <c r="A1162" t="inlineStr">
        <is>
          <t>Puerto Rico</t>
        </is>
      </c>
      <c r="B1162" t="inlineStr">
        <is>
          <t>Aardvark Certification Ltd, Wiveliscombe, Somerset, GB</t>
        </is>
      </c>
      <c r="C1162" t="n">
        <v>1</v>
      </c>
    </row>
    <row r="1163">
      <c r="A1163" t="inlineStr">
        <is>
          <t>Puerto Rico</t>
        </is>
      </c>
      <c r="B1163" t="inlineStr">
        <is>
          <t>Certificadora Gallega del Noroeste SL, Vilagarcia de Arousa-Pontevedra, ES</t>
        </is>
      </c>
      <c r="C1163" t="n">
        <v>1</v>
      </c>
    </row>
    <row r="1164">
      <c r="A1164" t="inlineStr">
        <is>
          <t>Puerto Rico</t>
        </is>
      </c>
      <c r="B1164" t="inlineStr"/>
      <c r="C1164" t="n">
        <v>0</v>
      </c>
    </row>
    <row r="1165">
      <c r="A1165" t="inlineStr">
        <is>
          <t>Puerto Rico</t>
        </is>
      </c>
      <c r="B1165" t="inlineStr"/>
      <c r="C1165" t="n">
        <v>0</v>
      </c>
    </row>
    <row r="1166">
      <c r="A1166" t="inlineStr">
        <is>
          <t>Puerto Rico</t>
        </is>
      </c>
      <c r="B1166" t="inlineStr"/>
      <c r="C1166" t="n">
        <v>0</v>
      </c>
    </row>
    <row r="1167">
      <c r="A1167" t="inlineStr">
        <is>
          <t>Puerto Rico</t>
        </is>
      </c>
      <c r="B1167" t="inlineStr"/>
      <c r="C1167" t="n">
        <v>0</v>
      </c>
    </row>
    <row r="1168">
      <c r="A1168" t="inlineStr">
        <is>
          <t>Puerto Rico</t>
        </is>
      </c>
      <c r="B1168" t="inlineStr"/>
      <c r="C1168" t="n">
        <v>0</v>
      </c>
    </row>
    <row r="1169">
      <c r="A1169" t="inlineStr">
        <is>
          <t>Puerto Rico</t>
        </is>
      </c>
      <c r="B1169" t="inlineStr"/>
      <c r="C1169" t="n">
        <v>0</v>
      </c>
    </row>
    <row r="1170">
      <c r="A1170" t="inlineStr">
        <is>
          <t>Puerto Rico</t>
        </is>
      </c>
      <c r="B1170" t="inlineStr"/>
      <c r="C1170" t="n">
        <v>0</v>
      </c>
    </row>
    <row r="1171">
      <c r="A1171" t="inlineStr">
        <is>
          <t>Puerto Rico</t>
        </is>
      </c>
      <c r="B1171" t="inlineStr"/>
      <c r="C1171" t="n">
        <v>0</v>
      </c>
    </row>
    <row r="1172">
      <c r="A1172" t="inlineStr">
        <is>
          <t>Qatar</t>
        </is>
      </c>
      <c r="B1172" t="inlineStr">
        <is>
          <t>ICIM SpA, sesto san giovanni, IT</t>
        </is>
      </c>
      <c r="C1172" t="n">
        <v>1</v>
      </c>
    </row>
    <row r="1173">
      <c r="A1173" t="inlineStr">
        <is>
          <t>Qatar</t>
        </is>
      </c>
      <c r="B1173" t="inlineStr">
        <is>
          <t>Trans Certification and Inspection Sdn Bhd, Kuantan, MY</t>
        </is>
      </c>
      <c r="C1173" t="n">
        <v>1</v>
      </c>
    </row>
    <row r="1174">
      <c r="A1174" t="inlineStr">
        <is>
          <t>Qatar</t>
        </is>
      </c>
      <c r="B1174" t="inlineStr"/>
      <c r="C1174" t="n">
        <v>0</v>
      </c>
    </row>
    <row r="1175">
      <c r="A1175" t="inlineStr">
        <is>
          <t>Qatar</t>
        </is>
      </c>
      <c r="B1175" t="inlineStr"/>
      <c r="C1175" t="n">
        <v>0</v>
      </c>
    </row>
    <row r="1176">
      <c r="A1176" t="inlineStr">
        <is>
          <t>Qatar</t>
        </is>
      </c>
      <c r="B1176" t="inlineStr"/>
      <c r="C1176" t="n">
        <v>0</v>
      </c>
    </row>
    <row r="1177">
      <c r="A1177" t="inlineStr">
        <is>
          <t>Qatar</t>
        </is>
      </c>
      <c r="B1177" t="inlineStr"/>
      <c r="C1177" t="n">
        <v>0</v>
      </c>
    </row>
    <row r="1178">
      <c r="A1178" t="inlineStr">
        <is>
          <t>Qatar</t>
        </is>
      </c>
      <c r="B1178" t="inlineStr"/>
      <c r="C1178" t="n">
        <v>0</v>
      </c>
    </row>
    <row r="1179">
      <c r="A1179" t="inlineStr">
        <is>
          <t>Qatar</t>
        </is>
      </c>
      <c r="B1179" t="inlineStr"/>
      <c r="C1179" t="n">
        <v>0</v>
      </c>
    </row>
    <row r="1180">
      <c r="A1180" t="inlineStr">
        <is>
          <t>Qatar</t>
        </is>
      </c>
      <c r="B1180" t="inlineStr"/>
      <c r="C1180" t="n">
        <v>0</v>
      </c>
    </row>
    <row r="1181">
      <c r="A1181" t="inlineStr">
        <is>
          <t>Qatar</t>
        </is>
      </c>
      <c r="B1181" t="inlineStr"/>
      <c r="C1181" t="n">
        <v>0</v>
      </c>
    </row>
    <row r="1182">
      <c r="A1182" t="inlineStr">
        <is>
          <t>Lebanon</t>
        </is>
      </c>
      <c r="B1182" t="inlineStr">
        <is>
          <t>ICIM SpA, sesto san giovanni, IT</t>
        </is>
      </c>
      <c r="C1182" t="n">
        <v>2</v>
      </c>
    </row>
    <row r="1183">
      <c r="A1183" t="inlineStr">
        <is>
          <t>Lebanon</t>
        </is>
      </c>
      <c r="B1183" t="inlineStr"/>
      <c r="C1183" t="n">
        <v>0</v>
      </c>
    </row>
    <row r="1184">
      <c r="A1184" t="inlineStr">
        <is>
          <t>Lebanon</t>
        </is>
      </c>
      <c r="B1184" t="inlineStr"/>
      <c r="C1184" t="n">
        <v>0</v>
      </c>
    </row>
    <row r="1185">
      <c r="A1185" t="inlineStr">
        <is>
          <t>Lebanon</t>
        </is>
      </c>
      <c r="B1185" t="inlineStr"/>
      <c r="C1185" t="n">
        <v>0</v>
      </c>
    </row>
    <row r="1186">
      <c r="A1186" t="inlineStr">
        <is>
          <t>Lebanon</t>
        </is>
      </c>
      <c r="B1186" t="inlineStr"/>
      <c r="C1186" t="n">
        <v>0</v>
      </c>
    </row>
    <row r="1187">
      <c r="A1187" t="inlineStr">
        <is>
          <t>Lebanon</t>
        </is>
      </c>
      <c r="B1187" t="inlineStr"/>
      <c r="C1187" t="n">
        <v>0</v>
      </c>
    </row>
    <row r="1188">
      <c r="A1188" t="inlineStr">
        <is>
          <t>Lebanon</t>
        </is>
      </c>
      <c r="B1188" t="inlineStr"/>
      <c r="C1188" t="n">
        <v>0</v>
      </c>
    </row>
    <row r="1189">
      <c r="A1189" t="inlineStr">
        <is>
          <t>Lebanon</t>
        </is>
      </c>
      <c r="B1189" t="inlineStr"/>
      <c r="C1189" t="n">
        <v>0</v>
      </c>
    </row>
    <row r="1190">
      <c r="A1190" t="inlineStr">
        <is>
          <t>Lebanon</t>
        </is>
      </c>
      <c r="B1190" t="inlineStr"/>
      <c r="C1190" t="n">
        <v>0</v>
      </c>
    </row>
    <row r="1191">
      <c r="A1191" t="inlineStr">
        <is>
          <t>Lebanon</t>
        </is>
      </c>
      <c r="B1191" t="inlineStr"/>
      <c r="C1191" t="n">
        <v>0</v>
      </c>
    </row>
    <row r="1192">
      <c r="A1192" t="inlineStr">
        <is>
          <t>Iran</t>
        </is>
      </c>
      <c r="B1192" t="inlineStr">
        <is>
          <t>BM Certification, Riga, LV</t>
        </is>
      </c>
      <c r="C1192" t="n">
        <v>2</v>
      </c>
    </row>
    <row r="1193">
      <c r="A1193" t="inlineStr">
        <is>
          <t>Iran</t>
        </is>
      </c>
      <c r="B1193" t="inlineStr"/>
      <c r="C1193" t="n">
        <v>0</v>
      </c>
    </row>
    <row r="1194">
      <c r="A1194" t="inlineStr">
        <is>
          <t>Iran</t>
        </is>
      </c>
      <c r="B1194" t="inlineStr"/>
      <c r="C1194" t="n">
        <v>0</v>
      </c>
    </row>
    <row r="1195">
      <c r="A1195" t="inlineStr">
        <is>
          <t>Iran</t>
        </is>
      </c>
      <c r="B1195" t="inlineStr"/>
      <c r="C1195" t="n">
        <v>0</v>
      </c>
    </row>
    <row r="1196">
      <c r="A1196" t="inlineStr">
        <is>
          <t>Iran</t>
        </is>
      </c>
      <c r="B1196" t="inlineStr"/>
      <c r="C1196" t="n">
        <v>0</v>
      </c>
    </row>
    <row r="1197">
      <c r="A1197" t="inlineStr">
        <is>
          <t>Iran</t>
        </is>
      </c>
      <c r="B1197" t="inlineStr"/>
      <c r="C1197" t="n">
        <v>0</v>
      </c>
    </row>
    <row r="1198">
      <c r="A1198" t="inlineStr">
        <is>
          <t>Iran</t>
        </is>
      </c>
      <c r="B1198" t="inlineStr"/>
      <c r="C1198" t="n">
        <v>0</v>
      </c>
    </row>
    <row r="1199">
      <c r="A1199" t="inlineStr">
        <is>
          <t>Iran</t>
        </is>
      </c>
      <c r="B1199" t="inlineStr"/>
      <c r="C1199" t="n">
        <v>0</v>
      </c>
    </row>
    <row r="1200">
      <c r="A1200" t="inlineStr">
        <is>
          <t>Iran</t>
        </is>
      </c>
      <c r="B1200" t="inlineStr"/>
      <c r="C1200" t="n">
        <v>0</v>
      </c>
    </row>
    <row r="1201">
      <c r="A1201" t="inlineStr">
        <is>
          <t>Iran</t>
        </is>
      </c>
      <c r="B1201" t="inlineStr"/>
      <c r="C1201" t="n">
        <v>0</v>
      </c>
    </row>
    <row r="1202">
      <c r="A1202" t="inlineStr">
        <is>
          <t>Zimbabwe</t>
        </is>
      </c>
      <c r="B1202" t="inlineStr">
        <is>
          <t>RINA Services S.p.A., Genova, IT</t>
        </is>
      </c>
      <c r="C1202" t="n">
        <v>2</v>
      </c>
    </row>
    <row r="1203">
      <c r="A1203" t="inlineStr">
        <is>
          <t>Zimbabwe</t>
        </is>
      </c>
      <c r="B1203" t="inlineStr"/>
      <c r="C1203" t="n">
        <v>0</v>
      </c>
    </row>
    <row r="1204">
      <c r="A1204" t="inlineStr">
        <is>
          <t>Zimbabwe</t>
        </is>
      </c>
      <c r="B1204" t="inlineStr"/>
      <c r="C1204" t="n">
        <v>0</v>
      </c>
    </row>
    <row r="1205">
      <c r="A1205" t="inlineStr">
        <is>
          <t>Zimbabwe</t>
        </is>
      </c>
      <c r="B1205" t="inlineStr"/>
      <c r="C1205" t="n">
        <v>0</v>
      </c>
    </row>
    <row r="1206">
      <c r="A1206" t="inlineStr">
        <is>
          <t>Zimbabwe</t>
        </is>
      </c>
      <c r="B1206" t="inlineStr"/>
      <c r="C1206" t="n">
        <v>0</v>
      </c>
    </row>
    <row r="1207">
      <c r="A1207" t="inlineStr">
        <is>
          <t>Zimbabwe</t>
        </is>
      </c>
      <c r="B1207" t="inlineStr"/>
      <c r="C1207" t="n">
        <v>0</v>
      </c>
    </row>
    <row r="1208">
      <c r="A1208" t="inlineStr">
        <is>
          <t>Zimbabwe</t>
        </is>
      </c>
      <c r="B1208" t="inlineStr"/>
      <c r="C1208" t="n">
        <v>0</v>
      </c>
    </row>
    <row r="1209">
      <c r="A1209" t="inlineStr">
        <is>
          <t>Zimbabwe</t>
        </is>
      </c>
      <c r="B1209" t="inlineStr"/>
      <c r="C1209" t="n">
        <v>0</v>
      </c>
    </row>
    <row r="1210">
      <c r="A1210" t="inlineStr">
        <is>
          <t>Zimbabwe</t>
        </is>
      </c>
      <c r="B1210" t="inlineStr"/>
      <c r="C1210" t="n">
        <v>0</v>
      </c>
    </row>
    <row r="1211">
      <c r="A1211" t="inlineStr">
        <is>
          <t>Zimbabwe</t>
        </is>
      </c>
      <c r="B1211" t="inlineStr"/>
      <c r="C1211" t="n">
        <v>0</v>
      </c>
    </row>
    <row r="1212">
      <c r="A1212" t="inlineStr">
        <is>
          <t>Bolivia</t>
        </is>
      </c>
      <c r="B1212" t="inlineStr">
        <is>
          <t>Control Union Certifications Germany GmbH, Berlin, DE</t>
        </is>
      </c>
      <c r="C1212" t="n">
        <v>2</v>
      </c>
    </row>
    <row r="1213">
      <c r="A1213" t="inlineStr">
        <is>
          <t>Bolivia</t>
        </is>
      </c>
      <c r="B1213" t="inlineStr"/>
      <c r="C1213" t="n">
        <v>0</v>
      </c>
    </row>
    <row r="1214">
      <c r="A1214" t="inlineStr">
        <is>
          <t>Bolivia</t>
        </is>
      </c>
      <c r="B1214" t="inlineStr"/>
      <c r="C1214" t="n">
        <v>0</v>
      </c>
    </row>
    <row r="1215">
      <c r="A1215" t="inlineStr">
        <is>
          <t>Bolivia</t>
        </is>
      </c>
      <c r="B1215" t="inlineStr"/>
      <c r="C1215" t="n">
        <v>0</v>
      </c>
    </row>
    <row r="1216">
      <c r="A1216" t="inlineStr">
        <is>
          <t>Bolivia</t>
        </is>
      </c>
      <c r="B1216" t="inlineStr"/>
      <c r="C1216" t="n">
        <v>0</v>
      </c>
    </row>
    <row r="1217">
      <c r="A1217" t="inlineStr">
        <is>
          <t>Bolivia</t>
        </is>
      </c>
      <c r="B1217" t="inlineStr"/>
      <c r="C1217" t="n">
        <v>0</v>
      </c>
    </row>
    <row r="1218">
      <c r="A1218" t="inlineStr">
        <is>
          <t>Bolivia</t>
        </is>
      </c>
      <c r="B1218" t="inlineStr"/>
      <c r="C1218" t="n">
        <v>0</v>
      </c>
    </row>
    <row r="1219">
      <c r="A1219" t="inlineStr">
        <is>
          <t>Bolivia</t>
        </is>
      </c>
      <c r="B1219" t="inlineStr"/>
      <c r="C1219" t="n">
        <v>0</v>
      </c>
    </row>
    <row r="1220">
      <c r="A1220" t="inlineStr">
        <is>
          <t>Bolivia</t>
        </is>
      </c>
      <c r="B1220" t="inlineStr"/>
      <c r="C1220" t="n">
        <v>0</v>
      </c>
    </row>
    <row r="1221">
      <c r="A1221" t="inlineStr">
        <is>
          <t>Bolivia</t>
        </is>
      </c>
      <c r="B1221" t="inlineStr"/>
      <c r="C1221" t="n">
        <v>0</v>
      </c>
    </row>
    <row r="1222">
      <c r="A1222" t="inlineStr">
        <is>
          <t>Fiji</t>
        </is>
      </c>
      <c r="B1222" t="inlineStr">
        <is>
          <t>SCS Global Services, Emeryville, CA, US</t>
        </is>
      </c>
      <c r="C1222" t="n">
        <v>2</v>
      </c>
    </row>
    <row r="1223">
      <c r="A1223" t="inlineStr">
        <is>
          <t>Fiji</t>
        </is>
      </c>
      <c r="B1223" t="inlineStr"/>
      <c r="C1223" t="n">
        <v>0</v>
      </c>
    </row>
    <row r="1224">
      <c r="A1224" t="inlineStr">
        <is>
          <t>Fiji</t>
        </is>
      </c>
      <c r="B1224" t="inlineStr"/>
      <c r="C1224" t="n">
        <v>0</v>
      </c>
    </row>
    <row r="1225">
      <c r="A1225" t="inlineStr">
        <is>
          <t>Fiji</t>
        </is>
      </c>
      <c r="B1225" t="inlineStr"/>
      <c r="C1225" t="n">
        <v>0</v>
      </c>
    </row>
    <row r="1226">
      <c r="A1226" t="inlineStr">
        <is>
          <t>Fiji</t>
        </is>
      </c>
      <c r="B1226" t="inlineStr"/>
      <c r="C1226" t="n">
        <v>0</v>
      </c>
    </row>
    <row r="1227">
      <c r="A1227" t="inlineStr">
        <is>
          <t>Fiji</t>
        </is>
      </c>
      <c r="B1227" t="inlineStr"/>
      <c r="C1227" t="n">
        <v>0</v>
      </c>
    </row>
    <row r="1228">
      <c r="A1228" t="inlineStr">
        <is>
          <t>Fiji</t>
        </is>
      </c>
      <c r="B1228" t="inlineStr"/>
      <c r="C1228" t="n">
        <v>0</v>
      </c>
    </row>
    <row r="1229">
      <c r="A1229" t="inlineStr">
        <is>
          <t>Fiji</t>
        </is>
      </c>
      <c r="B1229" t="inlineStr"/>
      <c r="C1229" t="n">
        <v>0</v>
      </c>
    </row>
    <row r="1230">
      <c r="A1230" t="inlineStr">
        <is>
          <t>Fiji</t>
        </is>
      </c>
      <c r="B1230" t="inlineStr"/>
      <c r="C1230" t="n">
        <v>0</v>
      </c>
    </row>
    <row r="1231">
      <c r="A1231" t="inlineStr">
        <is>
          <t>Fiji</t>
        </is>
      </c>
      <c r="B1231" t="inlineStr"/>
      <c r="C1231" t="n">
        <v>0</v>
      </c>
    </row>
    <row r="1232">
      <c r="A1232" t="inlineStr">
        <is>
          <t>Honduras</t>
        </is>
      </c>
      <c r="B1232" t="inlineStr">
        <is>
          <t>SGS Germany GmbH, Emstek, DE</t>
        </is>
      </c>
      <c r="C1232" t="n">
        <v>1</v>
      </c>
    </row>
    <row r="1233">
      <c r="A1233" t="inlineStr">
        <is>
          <t>Honduras</t>
        </is>
      </c>
      <c r="B1233" t="inlineStr">
        <is>
          <t>SCS Global Services, Emeryville, CA, US</t>
        </is>
      </c>
      <c r="C1233" t="n">
        <v>1</v>
      </c>
    </row>
    <row r="1234">
      <c r="A1234" t="inlineStr">
        <is>
          <t>Honduras</t>
        </is>
      </c>
      <c r="B1234" t="inlineStr"/>
      <c r="C1234" t="n">
        <v>0</v>
      </c>
    </row>
    <row r="1235">
      <c r="A1235" t="inlineStr">
        <is>
          <t>Honduras</t>
        </is>
      </c>
      <c r="B1235" t="inlineStr"/>
      <c r="C1235" t="n">
        <v>0</v>
      </c>
    </row>
    <row r="1236">
      <c r="A1236" t="inlineStr">
        <is>
          <t>Honduras</t>
        </is>
      </c>
      <c r="B1236" t="inlineStr"/>
      <c r="C1236" t="n">
        <v>0</v>
      </c>
    </row>
    <row r="1237">
      <c r="A1237" t="inlineStr">
        <is>
          <t>Honduras</t>
        </is>
      </c>
      <c r="B1237" t="inlineStr"/>
      <c r="C1237" t="n">
        <v>0</v>
      </c>
    </row>
    <row r="1238">
      <c r="A1238" t="inlineStr">
        <is>
          <t>Honduras</t>
        </is>
      </c>
      <c r="B1238" t="inlineStr"/>
      <c r="C1238" t="n">
        <v>0</v>
      </c>
    </row>
    <row r="1239">
      <c r="A1239" t="inlineStr">
        <is>
          <t>Honduras</t>
        </is>
      </c>
      <c r="B1239" t="inlineStr"/>
      <c r="C1239" t="n">
        <v>0</v>
      </c>
    </row>
    <row r="1240">
      <c r="A1240" t="inlineStr">
        <is>
          <t>Honduras</t>
        </is>
      </c>
      <c r="B1240" t="inlineStr"/>
      <c r="C1240" t="n">
        <v>0</v>
      </c>
    </row>
    <row r="1241">
      <c r="A1241" t="inlineStr">
        <is>
          <t>Honduras</t>
        </is>
      </c>
      <c r="B1241" t="inlineStr"/>
      <c r="C1241" t="n">
        <v>0</v>
      </c>
    </row>
    <row r="1242">
      <c r="A1242" t="inlineStr">
        <is>
          <t>Aruba</t>
        </is>
      </c>
      <c r="B1242" t="inlineStr">
        <is>
          <t>DEKRA Certification B.V., Arnhem, NL</t>
        </is>
      </c>
      <c r="C1242" t="n">
        <v>1</v>
      </c>
    </row>
    <row r="1243">
      <c r="A1243" t="inlineStr">
        <is>
          <t>Aruba</t>
        </is>
      </c>
      <c r="B1243" t="inlineStr"/>
      <c r="C1243" t="n">
        <v>0</v>
      </c>
    </row>
    <row r="1244">
      <c r="A1244" t="inlineStr">
        <is>
          <t>Aruba</t>
        </is>
      </c>
      <c r="B1244" t="inlineStr"/>
      <c r="C1244" t="n">
        <v>0</v>
      </c>
    </row>
    <row r="1245">
      <c r="A1245" t="inlineStr">
        <is>
          <t>Aruba</t>
        </is>
      </c>
      <c r="B1245" t="inlineStr"/>
      <c r="C1245" t="n">
        <v>0</v>
      </c>
    </row>
    <row r="1246">
      <c r="A1246" t="inlineStr">
        <is>
          <t>Aruba</t>
        </is>
      </c>
      <c r="B1246" t="inlineStr"/>
      <c r="C1246" t="n">
        <v>0</v>
      </c>
    </row>
    <row r="1247">
      <c r="A1247" t="inlineStr">
        <is>
          <t>Aruba</t>
        </is>
      </c>
      <c r="B1247" t="inlineStr"/>
      <c r="C1247" t="n">
        <v>0</v>
      </c>
    </row>
    <row r="1248">
      <c r="A1248" t="inlineStr">
        <is>
          <t>Aruba</t>
        </is>
      </c>
      <c r="B1248" t="inlineStr"/>
      <c r="C1248" t="n">
        <v>0</v>
      </c>
    </row>
    <row r="1249">
      <c r="A1249" t="inlineStr">
        <is>
          <t>Aruba</t>
        </is>
      </c>
      <c r="B1249" t="inlineStr"/>
      <c r="C1249" t="n">
        <v>0</v>
      </c>
    </row>
    <row r="1250">
      <c r="A1250" t="inlineStr">
        <is>
          <t>Aruba</t>
        </is>
      </c>
      <c r="B1250" t="inlineStr"/>
      <c r="C1250" t="n">
        <v>0</v>
      </c>
    </row>
    <row r="1251">
      <c r="A1251" t="inlineStr">
        <is>
          <t>Aruba</t>
        </is>
      </c>
      <c r="B1251" t="inlineStr"/>
      <c r="C1251" t="n">
        <v>0</v>
      </c>
    </row>
    <row r="1252">
      <c r="A1252" t="inlineStr">
        <is>
          <t>Guinea-Bissau</t>
        </is>
      </c>
      <c r="B1252" t="inlineStr">
        <is>
          <t>SGS Germany GmbH, Emstek, DE</t>
        </is>
      </c>
      <c r="C1252" t="n">
        <v>1</v>
      </c>
    </row>
    <row r="1253">
      <c r="A1253" t="inlineStr">
        <is>
          <t>Guinea-Bissau</t>
        </is>
      </c>
      <c r="B1253" t="inlineStr"/>
      <c r="C1253" t="n">
        <v>0</v>
      </c>
    </row>
    <row r="1254">
      <c r="A1254" t="inlineStr">
        <is>
          <t>Guinea-Bissau</t>
        </is>
      </c>
      <c r="B1254" t="inlineStr"/>
      <c r="C1254" t="n">
        <v>0</v>
      </c>
    </row>
    <row r="1255">
      <c r="A1255" t="inlineStr">
        <is>
          <t>Guinea-Bissau</t>
        </is>
      </c>
      <c r="B1255" t="inlineStr"/>
      <c r="C1255" t="n">
        <v>0</v>
      </c>
    </row>
    <row r="1256">
      <c r="A1256" t="inlineStr">
        <is>
          <t>Guinea-Bissau</t>
        </is>
      </c>
      <c r="B1256" t="inlineStr"/>
      <c r="C1256" t="n">
        <v>0</v>
      </c>
    </row>
    <row r="1257">
      <c r="A1257" t="inlineStr">
        <is>
          <t>Guinea-Bissau</t>
        </is>
      </c>
      <c r="B1257" t="inlineStr"/>
      <c r="C1257" t="n">
        <v>0</v>
      </c>
    </row>
    <row r="1258">
      <c r="A1258" t="inlineStr">
        <is>
          <t>Guinea-Bissau</t>
        </is>
      </c>
      <c r="B1258" t="inlineStr"/>
      <c r="C1258" t="n">
        <v>0</v>
      </c>
    </row>
    <row r="1259">
      <c r="A1259" t="inlineStr">
        <is>
          <t>Guinea-Bissau</t>
        </is>
      </c>
      <c r="B1259" t="inlineStr"/>
      <c r="C1259" t="n">
        <v>0</v>
      </c>
    </row>
    <row r="1260">
      <c r="A1260" t="inlineStr">
        <is>
          <t>Guinea-Bissau</t>
        </is>
      </c>
      <c r="B1260" t="inlineStr"/>
      <c r="C1260" t="n">
        <v>0</v>
      </c>
    </row>
    <row r="1261">
      <c r="A1261" t="inlineStr">
        <is>
          <t>Guinea-Bissau</t>
        </is>
      </c>
      <c r="B1261" t="inlineStr"/>
      <c r="C1261" t="n">
        <v>0</v>
      </c>
    </row>
    <row r="1262">
      <c r="A1262" t="inlineStr">
        <is>
          <t>Réunion</t>
        </is>
      </c>
      <c r="B1262" t="inlineStr">
        <is>
          <t>Control Union Certifications Germany GmbH, Berlin, DE</t>
        </is>
      </c>
      <c r="C1262" t="n">
        <v>1</v>
      </c>
    </row>
    <row r="1263">
      <c r="A1263" t="inlineStr">
        <is>
          <t>Réunion</t>
        </is>
      </c>
      <c r="B1263" t="inlineStr"/>
      <c r="C1263" t="n">
        <v>0</v>
      </c>
    </row>
    <row r="1264">
      <c r="A1264" t="inlineStr">
        <is>
          <t>Réunion</t>
        </is>
      </c>
      <c r="B1264" t="inlineStr"/>
      <c r="C1264" t="n">
        <v>0</v>
      </c>
    </row>
    <row r="1265">
      <c r="A1265" t="inlineStr">
        <is>
          <t>Réunion</t>
        </is>
      </c>
      <c r="B1265" t="inlineStr"/>
      <c r="C1265" t="n">
        <v>0</v>
      </c>
    </row>
    <row r="1266">
      <c r="A1266" t="inlineStr">
        <is>
          <t>Réunion</t>
        </is>
      </c>
      <c r="B1266" t="inlineStr"/>
      <c r="C1266" t="n">
        <v>0</v>
      </c>
    </row>
    <row r="1267">
      <c r="A1267" t="inlineStr">
        <is>
          <t>Réunion</t>
        </is>
      </c>
      <c r="B1267" t="inlineStr"/>
      <c r="C1267" t="n">
        <v>0</v>
      </c>
    </row>
    <row r="1268">
      <c r="A1268" t="inlineStr">
        <is>
          <t>Réunion</t>
        </is>
      </c>
      <c r="B1268" t="inlineStr"/>
      <c r="C1268" t="n">
        <v>0</v>
      </c>
    </row>
    <row r="1269">
      <c r="A1269" t="inlineStr">
        <is>
          <t>Réunion</t>
        </is>
      </c>
      <c r="B1269" t="inlineStr"/>
      <c r="C1269" t="n">
        <v>0</v>
      </c>
    </row>
    <row r="1270">
      <c r="A1270" t="inlineStr">
        <is>
          <t>Réunion</t>
        </is>
      </c>
      <c r="B1270" t="inlineStr"/>
      <c r="C1270" t="n">
        <v>0</v>
      </c>
    </row>
    <row r="1271">
      <c r="A1271" t="inlineStr">
        <is>
          <t>Réunion</t>
        </is>
      </c>
      <c r="B1271" t="inlineStr"/>
      <c r="C1271" t="n">
        <v>0</v>
      </c>
    </row>
    <row r="1272">
      <c r="A1272" t="inlineStr">
        <is>
          <t>El Salvador</t>
        </is>
      </c>
      <c r="B1272" t="inlineStr">
        <is>
          <t>ASG Cert GmbH, Munich, DE</t>
        </is>
      </c>
      <c r="C1272" t="n">
        <v>1</v>
      </c>
    </row>
    <row r="1273">
      <c r="A1273" t="inlineStr">
        <is>
          <t>El Salvador</t>
        </is>
      </c>
      <c r="B1273" t="inlineStr"/>
      <c r="C1273" t="n">
        <v>0</v>
      </c>
    </row>
    <row r="1274">
      <c r="A1274" t="inlineStr">
        <is>
          <t>El Salvador</t>
        </is>
      </c>
      <c r="B1274" t="inlineStr"/>
      <c r="C1274" t="n">
        <v>0</v>
      </c>
    </row>
    <row r="1275">
      <c r="A1275" t="inlineStr">
        <is>
          <t>El Salvador</t>
        </is>
      </c>
      <c r="B1275" t="inlineStr"/>
      <c r="C1275" t="n">
        <v>0</v>
      </c>
    </row>
    <row r="1276">
      <c r="A1276" t="inlineStr">
        <is>
          <t>El Salvador</t>
        </is>
      </c>
      <c r="B1276" t="inlineStr"/>
      <c r="C1276" t="n">
        <v>0</v>
      </c>
    </row>
    <row r="1277">
      <c r="A1277" t="inlineStr">
        <is>
          <t>El Salvador</t>
        </is>
      </c>
      <c r="B1277" t="inlineStr"/>
      <c r="C1277" t="n">
        <v>0</v>
      </c>
    </row>
    <row r="1278">
      <c r="A1278" t="inlineStr">
        <is>
          <t>El Salvador</t>
        </is>
      </c>
      <c r="B1278" t="inlineStr"/>
      <c r="C1278" t="n">
        <v>0</v>
      </c>
    </row>
    <row r="1279">
      <c r="A1279" t="inlineStr">
        <is>
          <t>El Salvador</t>
        </is>
      </c>
      <c r="B1279" t="inlineStr"/>
      <c r="C1279" t="n">
        <v>0</v>
      </c>
    </row>
    <row r="1280">
      <c r="A1280" t="inlineStr">
        <is>
          <t>El Salvador</t>
        </is>
      </c>
      <c r="B1280" t="inlineStr"/>
      <c r="C1280" t="n">
        <v>0</v>
      </c>
    </row>
    <row r="1281">
      <c r="A1281" t="inlineStr">
        <is>
          <t>El Salvador</t>
        </is>
      </c>
      <c r="B1281" t="inlineStr"/>
      <c r="C1281" t="n">
        <v>0</v>
      </c>
    </row>
    <row r="1282">
      <c r="A1282" t="inlineStr">
        <is>
          <t>Cameroon</t>
        </is>
      </c>
      <c r="B1282" t="inlineStr">
        <is>
          <t>SGS Germany GmbH, Emstek, DE</t>
        </is>
      </c>
      <c r="C1282" t="n">
        <v>1</v>
      </c>
    </row>
    <row r="1283">
      <c r="A1283" t="inlineStr">
        <is>
          <t>Cameroon</t>
        </is>
      </c>
      <c r="B1283" t="inlineStr"/>
      <c r="C1283" t="n">
        <v>0</v>
      </c>
    </row>
    <row r="1284">
      <c r="A1284" t="inlineStr">
        <is>
          <t>Cameroon</t>
        </is>
      </c>
      <c r="B1284" t="inlineStr"/>
      <c r="C1284" t="n">
        <v>0</v>
      </c>
    </row>
    <row r="1285">
      <c r="A1285" t="inlineStr">
        <is>
          <t>Cameroon</t>
        </is>
      </c>
      <c r="B1285" t="inlineStr"/>
      <c r="C1285" t="n">
        <v>0</v>
      </c>
    </row>
    <row r="1286">
      <c r="A1286" t="inlineStr">
        <is>
          <t>Cameroon</t>
        </is>
      </c>
      <c r="B1286" t="inlineStr"/>
      <c r="C1286" t="n">
        <v>0</v>
      </c>
    </row>
    <row r="1287">
      <c r="A1287" t="inlineStr">
        <is>
          <t>Cameroon</t>
        </is>
      </c>
      <c r="B1287" t="inlineStr"/>
      <c r="C1287" t="n">
        <v>0</v>
      </c>
    </row>
    <row r="1288">
      <c r="A1288" t="inlineStr">
        <is>
          <t>Cameroon</t>
        </is>
      </c>
      <c r="B1288" t="inlineStr"/>
      <c r="C1288" t="n">
        <v>0</v>
      </c>
    </row>
    <row r="1289">
      <c r="A1289" t="inlineStr">
        <is>
          <t>Cameroon</t>
        </is>
      </c>
      <c r="B1289" t="inlineStr"/>
      <c r="C1289" t="n">
        <v>0</v>
      </c>
    </row>
    <row r="1290">
      <c r="A1290" t="inlineStr">
        <is>
          <t>Cameroon</t>
        </is>
      </c>
      <c r="B1290" t="inlineStr"/>
      <c r="C1290" t="n">
        <v>0</v>
      </c>
    </row>
    <row r="1291">
      <c r="A1291" t="inlineStr">
        <is>
          <t>Cameroon</t>
        </is>
      </c>
      <c r="B1291" t="inlineStr"/>
      <c r="C1291" t="n">
        <v>0</v>
      </c>
    </row>
    <row r="1292">
      <c r="A1292" t="inlineStr">
        <is>
          <t>Saint Vincent and the Grenadines</t>
        </is>
      </c>
      <c r="B1292" t="inlineStr">
        <is>
          <t>Control Union Certifications Germany GmbH, Berlin, DE</t>
        </is>
      </c>
      <c r="C1292" t="n">
        <v>1</v>
      </c>
    </row>
    <row r="1293">
      <c r="A1293" t="inlineStr">
        <is>
          <t>Saint Vincent and the Grenadines</t>
        </is>
      </c>
      <c r="B1293" t="inlineStr"/>
      <c r="C1293" t="n">
        <v>0</v>
      </c>
    </row>
    <row r="1294">
      <c r="A1294" t="inlineStr">
        <is>
          <t>Saint Vincent and the Grenadines</t>
        </is>
      </c>
      <c r="B1294" t="inlineStr"/>
      <c r="C1294" t="n">
        <v>0</v>
      </c>
    </row>
    <row r="1295">
      <c r="A1295" t="inlineStr">
        <is>
          <t>Saint Vincent and the Grenadines</t>
        </is>
      </c>
      <c r="B1295" t="inlineStr"/>
      <c r="C1295" t="n">
        <v>0</v>
      </c>
    </row>
    <row r="1296">
      <c r="A1296" t="inlineStr">
        <is>
          <t>Saint Vincent and the Grenadines</t>
        </is>
      </c>
      <c r="B1296" t="inlineStr"/>
      <c r="C1296" t="n">
        <v>0</v>
      </c>
    </row>
    <row r="1297">
      <c r="A1297" t="inlineStr">
        <is>
          <t>Saint Vincent and the Grenadines</t>
        </is>
      </c>
      <c r="B1297" t="inlineStr"/>
      <c r="C1297" t="n">
        <v>0</v>
      </c>
    </row>
    <row r="1298">
      <c r="A1298" t="inlineStr">
        <is>
          <t>Saint Vincent and the Grenadines</t>
        </is>
      </c>
      <c r="B1298" t="inlineStr"/>
      <c r="C1298" t="n">
        <v>0</v>
      </c>
    </row>
    <row r="1299">
      <c r="A1299" t="inlineStr">
        <is>
          <t>Saint Vincent and the Grenadines</t>
        </is>
      </c>
      <c r="B1299" t="inlineStr"/>
      <c r="C1299" t="n">
        <v>0</v>
      </c>
    </row>
    <row r="1300">
      <c r="A1300" t="inlineStr">
        <is>
          <t>Saint Vincent and the Grenadines</t>
        </is>
      </c>
      <c r="B1300" t="inlineStr"/>
      <c r="C1300" t="n">
        <v>0</v>
      </c>
    </row>
    <row r="1301">
      <c r="A1301" t="inlineStr">
        <is>
          <t>Saint Vincent and the Grenadines</t>
        </is>
      </c>
      <c r="B1301" t="inlineStr"/>
      <c r="C1301" t="n">
        <v>0</v>
      </c>
    </row>
    <row r="1302">
      <c r="A1302" t="inlineStr">
        <is>
          <t>Mongolia</t>
        </is>
      </c>
      <c r="B1302" t="inlineStr">
        <is>
          <t>DNV Business Assurance Sweden AB, Solna, SE</t>
        </is>
      </c>
      <c r="C1302" t="n">
        <v>1</v>
      </c>
    </row>
    <row r="1303">
      <c r="A1303" t="inlineStr">
        <is>
          <t>Mongolia</t>
        </is>
      </c>
      <c r="B1303" t="inlineStr"/>
      <c r="C1303" t="n">
        <v>0</v>
      </c>
    </row>
    <row r="1304">
      <c r="A1304" t="inlineStr">
        <is>
          <t>Mongolia</t>
        </is>
      </c>
      <c r="B1304" t="inlineStr"/>
      <c r="C1304" t="n">
        <v>0</v>
      </c>
    </row>
    <row r="1305">
      <c r="A1305" t="inlineStr">
        <is>
          <t>Mongolia</t>
        </is>
      </c>
      <c r="B1305" t="inlineStr"/>
      <c r="C1305" t="n">
        <v>0</v>
      </c>
    </row>
    <row r="1306">
      <c r="A1306" t="inlineStr">
        <is>
          <t>Mongolia</t>
        </is>
      </c>
      <c r="B1306" t="inlineStr"/>
      <c r="C1306" t="n">
        <v>0</v>
      </c>
    </row>
    <row r="1307">
      <c r="A1307" t="inlineStr">
        <is>
          <t>Mongolia</t>
        </is>
      </c>
      <c r="B1307" t="inlineStr"/>
      <c r="C1307" t="n">
        <v>0</v>
      </c>
    </row>
    <row r="1308">
      <c r="A1308" t="inlineStr">
        <is>
          <t>Mongolia</t>
        </is>
      </c>
      <c r="B1308" t="inlineStr"/>
      <c r="C1308" t="n">
        <v>0</v>
      </c>
    </row>
    <row r="1309">
      <c r="A1309" t="inlineStr">
        <is>
          <t>Mongolia</t>
        </is>
      </c>
      <c r="B1309" t="inlineStr"/>
      <c r="C1309" t="n">
        <v>0</v>
      </c>
    </row>
    <row r="1310">
      <c r="A1310" t="inlineStr">
        <is>
          <t>Mongolia</t>
        </is>
      </c>
      <c r="B1310" t="inlineStr"/>
      <c r="C1310" t="n">
        <v>0</v>
      </c>
    </row>
    <row r="1311">
      <c r="A1311" t="inlineStr">
        <is>
          <t>Mongolia</t>
        </is>
      </c>
      <c r="B1311" t="inlineStr"/>
      <c r="C1311" t="n">
        <v>0</v>
      </c>
    </row>
    <row r="1312">
      <c r="A1312" t="inlineStr">
        <is>
          <t>Isle of Man</t>
        </is>
      </c>
      <c r="B1312" t="inlineStr">
        <is>
          <t>TÜV SÜD Czech s.r.o., Praha 4, CZ</t>
        </is>
      </c>
      <c r="C1312" t="n">
        <v>1</v>
      </c>
    </row>
    <row r="1313">
      <c r="A1313" t="inlineStr">
        <is>
          <t>Isle of Man</t>
        </is>
      </c>
      <c r="B1313" t="inlineStr"/>
      <c r="C1313" t="n">
        <v>0</v>
      </c>
    </row>
    <row r="1314">
      <c r="A1314" t="inlineStr">
        <is>
          <t>Isle of Man</t>
        </is>
      </c>
      <c r="B1314" t="inlineStr"/>
      <c r="C1314" t="n">
        <v>0</v>
      </c>
    </row>
    <row r="1315">
      <c r="A1315" t="inlineStr">
        <is>
          <t>Isle of Man</t>
        </is>
      </c>
      <c r="B1315" t="inlineStr"/>
      <c r="C1315" t="n">
        <v>0</v>
      </c>
    </row>
    <row r="1316">
      <c r="A1316" t="inlineStr">
        <is>
          <t>Isle of Man</t>
        </is>
      </c>
      <c r="B1316" t="inlineStr"/>
      <c r="C1316" t="n">
        <v>0</v>
      </c>
    </row>
    <row r="1317">
      <c r="A1317" t="inlineStr">
        <is>
          <t>Isle of Man</t>
        </is>
      </c>
      <c r="B1317" t="inlineStr"/>
      <c r="C1317" t="n">
        <v>0</v>
      </c>
    </row>
    <row r="1318">
      <c r="A1318" t="inlineStr">
        <is>
          <t>Isle of Man</t>
        </is>
      </c>
      <c r="B1318" t="inlineStr"/>
      <c r="C1318" t="n">
        <v>0</v>
      </c>
    </row>
    <row r="1319">
      <c r="A1319" t="inlineStr">
        <is>
          <t>Isle of Man</t>
        </is>
      </c>
      <c r="B1319" t="inlineStr"/>
      <c r="C1319" t="n">
        <v>0</v>
      </c>
    </row>
    <row r="1320">
      <c r="A1320" t="inlineStr">
        <is>
          <t>Isle of Man</t>
        </is>
      </c>
      <c r="B1320" t="inlineStr"/>
      <c r="C1320" t="n">
        <v>0</v>
      </c>
    </row>
    <row r="1321">
      <c r="A1321" t="inlineStr">
        <is>
          <t>Isle of Man</t>
        </is>
      </c>
      <c r="B1321" t="inlineStr"/>
      <c r="C1321" t="n">
        <v>0</v>
      </c>
    </row>
    <row r="1322">
      <c r="A1322" t="inlineStr">
        <is>
          <t>Myanmar</t>
        </is>
      </c>
      <c r="B1322" t="inlineStr">
        <is>
          <t>Control Union Poland Sp. z o.o., Zielona Gora, PL</t>
        </is>
      </c>
      <c r="C1322" t="n">
        <v>1</v>
      </c>
    </row>
    <row r="1323">
      <c r="A1323" t="inlineStr">
        <is>
          <t>Myanmar</t>
        </is>
      </c>
      <c r="B1323" t="inlineStr"/>
      <c r="C1323" t="n">
        <v>0</v>
      </c>
    </row>
    <row r="1324">
      <c r="A1324" t="inlineStr">
        <is>
          <t>Myanmar</t>
        </is>
      </c>
      <c r="B1324" t="inlineStr"/>
      <c r="C1324" t="n">
        <v>0</v>
      </c>
    </row>
    <row r="1325">
      <c r="A1325" t="inlineStr">
        <is>
          <t>Myanmar</t>
        </is>
      </c>
      <c r="B1325" t="inlineStr"/>
      <c r="C1325" t="n">
        <v>0</v>
      </c>
    </row>
    <row r="1326">
      <c r="A1326" t="inlineStr">
        <is>
          <t>Myanmar</t>
        </is>
      </c>
      <c r="B1326" t="inlineStr"/>
      <c r="C1326" t="n">
        <v>0</v>
      </c>
    </row>
    <row r="1327">
      <c r="A1327" t="inlineStr">
        <is>
          <t>Myanmar</t>
        </is>
      </c>
      <c r="B1327" t="inlineStr"/>
      <c r="C1327" t="n">
        <v>0</v>
      </c>
    </row>
    <row r="1328">
      <c r="A1328" t="inlineStr">
        <is>
          <t>Myanmar</t>
        </is>
      </c>
      <c r="B1328" t="inlineStr"/>
      <c r="C1328" t="n">
        <v>0</v>
      </c>
    </row>
    <row r="1329">
      <c r="A1329" t="inlineStr">
        <is>
          <t>Myanmar</t>
        </is>
      </c>
      <c r="B1329" t="inlineStr"/>
      <c r="C1329" t="n">
        <v>0</v>
      </c>
    </row>
    <row r="1330">
      <c r="A1330" t="inlineStr">
        <is>
          <t>Myanmar</t>
        </is>
      </c>
      <c r="B1330" t="inlineStr"/>
      <c r="C1330" t="n">
        <v>0</v>
      </c>
    </row>
    <row r="1331">
      <c r="A1331" t="inlineStr">
        <is>
          <t>Myanmar</t>
        </is>
      </c>
      <c r="B1331" t="inlineStr"/>
      <c r="C1331" t="n">
        <v>0</v>
      </c>
    </row>
    <row r="1332">
      <c r="A1332" t="inlineStr">
        <is>
          <t>Sri Lanka</t>
        </is>
      </c>
      <c r="B1332" t="inlineStr">
        <is>
          <t>ASG Cert GmbH, Munich, DE</t>
        </is>
      </c>
      <c r="C1332" t="n">
        <v>1</v>
      </c>
    </row>
    <row r="1333">
      <c r="A1333" t="inlineStr">
        <is>
          <t>Sri Lanka</t>
        </is>
      </c>
      <c r="B1333" t="inlineStr"/>
      <c r="C1333" t="n">
        <v>0</v>
      </c>
    </row>
    <row r="1334">
      <c r="A1334" t="inlineStr">
        <is>
          <t>Sri Lanka</t>
        </is>
      </c>
      <c r="B1334" t="inlineStr"/>
      <c r="C1334" t="n">
        <v>0</v>
      </c>
    </row>
    <row r="1335">
      <c r="A1335" t="inlineStr">
        <is>
          <t>Sri Lanka</t>
        </is>
      </c>
      <c r="B1335" t="inlineStr"/>
      <c r="C1335" t="n">
        <v>0</v>
      </c>
    </row>
    <row r="1336">
      <c r="A1336" t="inlineStr">
        <is>
          <t>Sri Lanka</t>
        </is>
      </c>
      <c r="B1336" t="inlineStr"/>
      <c r="C1336" t="n">
        <v>0</v>
      </c>
    </row>
    <row r="1337">
      <c r="A1337" t="inlineStr">
        <is>
          <t>Sri Lanka</t>
        </is>
      </c>
      <c r="B1337" t="inlineStr"/>
      <c r="C1337" t="n">
        <v>0</v>
      </c>
    </row>
    <row r="1338">
      <c r="A1338" t="inlineStr">
        <is>
          <t>Sri Lanka</t>
        </is>
      </c>
      <c r="B1338" t="inlineStr"/>
      <c r="C1338" t="n">
        <v>0</v>
      </c>
    </row>
    <row r="1339">
      <c r="A1339" t="inlineStr">
        <is>
          <t>Sri Lanka</t>
        </is>
      </c>
      <c r="B1339" t="inlineStr"/>
      <c r="C1339" t="n">
        <v>0</v>
      </c>
    </row>
    <row r="1340">
      <c r="A1340" t="inlineStr">
        <is>
          <t>Sri Lanka</t>
        </is>
      </c>
      <c r="B1340" t="inlineStr"/>
      <c r="C1340" t="n">
        <v>0</v>
      </c>
    </row>
    <row r="1341">
      <c r="A1341" t="inlineStr">
        <is>
          <t>Sri Lanka</t>
        </is>
      </c>
      <c r="B1341" t="inlineStr"/>
      <c r="C1341" t="n">
        <v>0</v>
      </c>
    </row>
    <row r="1342">
      <c r="A1342" t="inlineStr">
        <is>
          <t>Laos</t>
        </is>
      </c>
      <c r="B1342" t="inlineStr">
        <is>
          <t>PT Intertek Utama Services, Jakarta, ID</t>
        </is>
      </c>
      <c r="C1342" t="n">
        <v>1</v>
      </c>
    </row>
    <row r="1343">
      <c r="A1343" t="inlineStr">
        <is>
          <t>Laos</t>
        </is>
      </c>
      <c r="B1343" t="inlineStr"/>
      <c r="C1343" t="n">
        <v>0</v>
      </c>
    </row>
    <row r="1344">
      <c r="A1344" t="inlineStr">
        <is>
          <t>Laos</t>
        </is>
      </c>
      <c r="B1344" t="inlineStr"/>
      <c r="C1344" t="n">
        <v>0</v>
      </c>
    </row>
    <row r="1345">
      <c r="A1345" t="inlineStr">
        <is>
          <t>Laos</t>
        </is>
      </c>
      <c r="B1345" t="inlineStr"/>
      <c r="C1345" t="n">
        <v>0</v>
      </c>
    </row>
    <row r="1346">
      <c r="A1346" t="inlineStr">
        <is>
          <t>Laos</t>
        </is>
      </c>
      <c r="B1346" t="inlineStr"/>
      <c r="C1346" t="n">
        <v>0</v>
      </c>
    </row>
    <row r="1347">
      <c r="A1347" t="inlineStr">
        <is>
          <t>Laos</t>
        </is>
      </c>
      <c r="B1347" t="inlineStr"/>
      <c r="C1347" t="n">
        <v>0</v>
      </c>
    </row>
    <row r="1348">
      <c r="A1348" t="inlineStr">
        <is>
          <t>Laos</t>
        </is>
      </c>
      <c r="B1348" t="inlineStr"/>
      <c r="C1348" t="n">
        <v>0</v>
      </c>
    </row>
    <row r="1349">
      <c r="A1349" t="inlineStr">
        <is>
          <t>Laos</t>
        </is>
      </c>
      <c r="B1349" t="inlineStr"/>
      <c r="C1349" t="n">
        <v>0</v>
      </c>
    </row>
    <row r="1350">
      <c r="A1350" t="inlineStr">
        <is>
          <t>Laos</t>
        </is>
      </c>
      <c r="B1350" t="inlineStr"/>
      <c r="C1350" t="n">
        <v>0</v>
      </c>
    </row>
    <row r="1351">
      <c r="A1351" t="inlineStr">
        <is>
          <t>Laos</t>
        </is>
      </c>
      <c r="B1351" t="inlineStr"/>
      <c r="C1351" t="n">
        <v>0</v>
      </c>
    </row>
    <row r="1352">
      <c r="A1352" t="inlineStr">
        <is>
          <t>Caribbean Netherlands</t>
        </is>
      </c>
      <c r="B1352" t="inlineStr">
        <is>
          <t>DEKRA Certification B.V., Arnhem, NL</t>
        </is>
      </c>
      <c r="C1352" t="n">
        <v>1</v>
      </c>
    </row>
    <row r="1353">
      <c r="A1353" t="inlineStr">
        <is>
          <t>Caribbean Netherlands</t>
        </is>
      </c>
      <c r="B1353" t="inlineStr"/>
      <c r="C1353" t="n">
        <v>0</v>
      </c>
    </row>
    <row r="1354">
      <c r="A1354" t="inlineStr">
        <is>
          <t>Caribbean Netherlands</t>
        </is>
      </c>
      <c r="B1354" t="inlineStr"/>
      <c r="C1354" t="n">
        <v>0</v>
      </c>
    </row>
    <row r="1355">
      <c r="A1355" t="inlineStr">
        <is>
          <t>Caribbean Netherlands</t>
        </is>
      </c>
      <c r="B1355" t="inlineStr"/>
      <c r="C1355" t="n">
        <v>0</v>
      </c>
    </row>
    <row r="1356">
      <c r="A1356" t="inlineStr">
        <is>
          <t>Caribbean Netherlands</t>
        </is>
      </c>
      <c r="B1356" t="inlineStr"/>
      <c r="C1356" t="n">
        <v>0</v>
      </c>
    </row>
    <row r="1357">
      <c r="A1357" t="inlineStr">
        <is>
          <t>Caribbean Netherlands</t>
        </is>
      </c>
      <c r="B1357" t="inlineStr"/>
      <c r="C1357" t="n">
        <v>0</v>
      </c>
    </row>
    <row r="1358">
      <c r="A1358" t="inlineStr">
        <is>
          <t>Caribbean Netherlands</t>
        </is>
      </c>
      <c r="B1358" t="inlineStr"/>
      <c r="C1358" t="n">
        <v>0</v>
      </c>
    </row>
    <row r="1359">
      <c r="A1359" t="inlineStr">
        <is>
          <t>Caribbean Netherlands</t>
        </is>
      </c>
      <c r="B1359" t="inlineStr"/>
      <c r="C1359" t="n">
        <v>0</v>
      </c>
    </row>
    <row r="1360">
      <c r="A1360" t="inlineStr">
        <is>
          <t>Caribbean Netherlands</t>
        </is>
      </c>
      <c r="B1360" t="inlineStr"/>
      <c r="C1360" t="n">
        <v>0</v>
      </c>
    </row>
    <row r="1361">
      <c r="A1361" t="inlineStr">
        <is>
          <t>Caribbean Netherlands</t>
        </is>
      </c>
      <c r="B1361" t="inlineStr"/>
      <c r="C1361" t="n">
        <v>0</v>
      </c>
    </row>
    <row r="1362">
      <c r="A1362" t="inlineStr">
        <is>
          <t>Nicaragua</t>
        </is>
      </c>
      <c r="B1362" t="inlineStr">
        <is>
          <t>Control Union Poland Sp. z o.o., Zielona Gora, PL</t>
        </is>
      </c>
      <c r="C1362" t="n">
        <v>1</v>
      </c>
    </row>
    <row r="1363">
      <c r="A1363" t="inlineStr">
        <is>
          <t>Nicaragua</t>
        </is>
      </c>
      <c r="B1363" t="inlineStr"/>
      <c r="C1363" t="n">
        <v>0</v>
      </c>
    </row>
    <row r="1364">
      <c r="A1364" t="inlineStr">
        <is>
          <t>Nicaragua</t>
        </is>
      </c>
      <c r="B1364" t="inlineStr"/>
      <c r="C1364" t="n">
        <v>0</v>
      </c>
    </row>
    <row r="1365">
      <c r="A1365" t="inlineStr">
        <is>
          <t>Nicaragua</t>
        </is>
      </c>
      <c r="B1365" t="inlineStr"/>
      <c r="C1365" t="n">
        <v>0</v>
      </c>
    </row>
    <row r="1366">
      <c r="A1366" t="inlineStr">
        <is>
          <t>Nicaragua</t>
        </is>
      </c>
      <c r="B1366" t="inlineStr"/>
      <c r="C1366" t="n">
        <v>0</v>
      </c>
    </row>
    <row r="1367">
      <c r="A1367" t="inlineStr">
        <is>
          <t>Nicaragua</t>
        </is>
      </c>
      <c r="B1367" t="inlineStr"/>
      <c r="C1367" t="n">
        <v>0</v>
      </c>
    </row>
    <row r="1368">
      <c r="A1368" t="inlineStr">
        <is>
          <t>Nicaragua</t>
        </is>
      </c>
      <c r="B1368" t="inlineStr"/>
      <c r="C1368" t="n">
        <v>0</v>
      </c>
    </row>
    <row r="1369">
      <c r="A1369" t="inlineStr">
        <is>
          <t>Nicaragua</t>
        </is>
      </c>
      <c r="B1369" t="inlineStr"/>
      <c r="C1369" t="n">
        <v>0</v>
      </c>
    </row>
    <row r="1370">
      <c r="A1370" t="inlineStr">
        <is>
          <t>Nicaragua</t>
        </is>
      </c>
      <c r="B1370" t="inlineStr"/>
      <c r="C1370" t="n">
        <v>0</v>
      </c>
    </row>
    <row r="1371">
      <c r="A1371" t="inlineStr">
        <is>
          <t>Nicaragua</t>
        </is>
      </c>
      <c r="B1371" t="inlineStr"/>
      <c r="C1371" t="n">
        <v>0</v>
      </c>
    </row>
    <row r="1372">
      <c r="A1372" t="inlineStr">
        <is>
          <t>Curacao</t>
        </is>
      </c>
      <c r="B1372" t="inlineStr">
        <is>
          <t>PT. CBQA GLOBAL INDONESIA, JAKARTA SELATAN, ID</t>
        </is>
      </c>
      <c r="C1372" t="n">
        <v>1</v>
      </c>
    </row>
    <row r="1373">
      <c r="A1373" t="inlineStr">
        <is>
          <t>Curacao</t>
        </is>
      </c>
      <c r="B1373" t="inlineStr"/>
      <c r="C1373" t="n">
        <v>0</v>
      </c>
    </row>
    <row r="1374">
      <c r="A1374" t="inlineStr">
        <is>
          <t>Curacao</t>
        </is>
      </c>
      <c r="B1374" t="inlineStr"/>
      <c r="C1374" t="n">
        <v>0</v>
      </c>
    </row>
    <row r="1375">
      <c r="A1375" t="inlineStr">
        <is>
          <t>Curacao</t>
        </is>
      </c>
      <c r="B1375" t="inlineStr"/>
      <c r="C1375" t="n">
        <v>0</v>
      </c>
    </row>
    <row r="1376">
      <c r="A1376" t="inlineStr">
        <is>
          <t>Curacao</t>
        </is>
      </c>
      <c r="B1376" t="inlineStr"/>
      <c r="C1376" t="n">
        <v>0</v>
      </c>
    </row>
    <row r="1377">
      <c r="A1377" t="inlineStr">
        <is>
          <t>Curacao</t>
        </is>
      </c>
      <c r="B1377" t="inlineStr"/>
      <c r="C1377" t="n">
        <v>0</v>
      </c>
    </row>
    <row r="1378">
      <c r="A1378" t="inlineStr">
        <is>
          <t>Curacao</t>
        </is>
      </c>
      <c r="B1378" t="inlineStr"/>
      <c r="C1378" t="n">
        <v>0</v>
      </c>
    </row>
    <row r="1379">
      <c r="A1379" t="inlineStr">
        <is>
          <t>Curacao</t>
        </is>
      </c>
      <c r="B1379" t="inlineStr"/>
      <c r="C1379" t="n">
        <v>0</v>
      </c>
    </row>
    <row r="1380">
      <c r="A1380" t="inlineStr">
        <is>
          <t>Curacao</t>
        </is>
      </c>
      <c r="B1380" t="inlineStr"/>
      <c r="C1380" t="n">
        <v>0</v>
      </c>
    </row>
    <row r="1381">
      <c r="A1381" t="inlineStr">
        <is>
          <t>Curacao</t>
        </is>
      </c>
      <c r="B1381" t="inlineStr"/>
      <c r="C1381" t="n">
        <v>0</v>
      </c>
    </row>
    <row r="1382">
      <c r="A1382" t="inlineStr">
        <is>
          <t>Liberia</t>
        </is>
      </c>
      <c r="B1382" t="inlineStr">
        <is>
          <t>SCS Global Services, Emeryville, CA, US</t>
        </is>
      </c>
      <c r="C1382" t="n">
        <v>1</v>
      </c>
    </row>
    <row r="1383">
      <c r="A1383" t="inlineStr">
        <is>
          <t>Liberia</t>
        </is>
      </c>
      <c r="B1383" t="inlineStr"/>
      <c r="C1383" t="n">
        <v>0</v>
      </c>
    </row>
    <row r="1384">
      <c r="A1384" t="inlineStr">
        <is>
          <t>Liberia</t>
        </is>
      </c>
      <c r="B1384" t="inlineStr"/>
      <c r="C1384" t="n">
        <v>0</v>
      </c>
    </row>
    <row r="1385">
      <c r="A1385" t="inlineStr">
        <is>
          <t>Liberia</t>
        </is>
      </c>
      <c r="B1385" t="inlineStr"/>
      <c r="C1385" t="n">
        <v>0</v>
      </c>
    </row>
    <row r="1386">
      <c r="A1386" t="inlineStr">
        <is>
          <t>Liberia</t>
        </is>
      </c>
      <c r="B1386" t="inlineStr"/>
      <c r="C1386" t="n">
        <v>0</v>
      </c>
    </row>
    <row r="1387">
      <c r="A1387" t="inlineStr">
        <is>
          <t>Liberia</t>
        </is>
      </c>
      <c r="B1387" t="inlineStr"/>
      <c r="C1387" t="n">
        <v>0</v>
      </c>
    </row>
    <row r="1388">
      <c r="A1388" t="inlineStr">
        <is>
          <t>Liberia</t>
        </is>
      </c>
      <c r="B1388" t="inlineStr"/>
      <c r="C1388" t="n">
        <v>0</v>
      </c>
    </row>
    <row r="1389">
      <c r="A1389" t="inlineStr">
        <is>
          <t>Liberia</t>
        </is>
      </c>
      <c r="B1389" t="inlineStr"/>
      <c r="C1389" t="n">
        <v>0</v>
      </c>
    </row>
    <row r="1390">
      <c r="A1390" t="inlineStr">
        <is>
          <t>Liberia</t>
        </is>
      </c>
      <c r="B1390" t="inlineStr"/>
      <c r="C1390" t="n">
        <v>0</v>
      </c>
    </row>
    <row r="1391">
      <c r="A1391" t="inlineStr">
        <is>
          <t>Liberia</t>
        </is>
      </c>
      <c r="B1391" t="inlineStr"/>
      <c r="C1391" t="n">
        <v>0</v>
      </c>
    </row>
    <row r="1392">
      <c r="A1392" t="inlineStr">
        <is>
          <t>Andorra</t>
        </is>
      </c>
      <c r="B1392" t="inlineStr">
        <is>
          <t>Certificadora Gallega del Noroeste SL, Vilagarcia de Arousa-Pontevedra, ES</t>
        </is>
      </c>
      <c r="C1392" t="n">
        <v>1</v>
      </c>
    </row>
    <row r="1393">
      <c r="A1393" t="inlineStr">
        <is>
          <t>Andorra</t>
        </is>
      </c>
      <c r="B1393" t="inlineStr"/>
      <c r="C1393" t="n">
        <v>0</v>
      </c>
    </row>
    <row r="1394">
      <c r="A1394" t="inlineStr">
        <is>
          <t>Andorra</t>
        </is>
      </c>
      <c r="B1394" t="inlineStr"/>
      <c r="C1394" t="n">
        <v>0</v>
      </c>
    </row>
    <row r="1395">
      <c r="A1395" t="inlineStr">
        <is>
          <t>Andorra</t>
        </is>
      </c>
      <c r="B1395" t="inlineStr"/>
      <c r="C1395" t="n">
        <v>0</v>
      </c>
    </row>
    <row r="1396">
      <c r="A1396" t="inlineStr">
        <is>
          <t>Andorra</t>
        </is>
      </c>
      <c r="B1396" t="inlineStr"/>
      <c r="C1396" t="n">
        <v>0</v>
      </c>
    </row>
    <row r="1397">
      <c r="A1397" t="inlineStr">
        <is>
          <t>Andorra</t>
        </is>
      </c>
      <c r="B1397" t="inlineStr"/>
      <c r="C1397" t="n">
        <v>0</v>
      </c>
    </row>
    <row r="1398">
      <c r="A1398" t="inlineStr">
        <is>
          <t>Andorra</t>
        </is>
      </c>
      <c r="B1398" t="inlineStr"/>
      <c r="C1398" t="n">
        <v>0</v>
      </c>
    </row>
    <row r="1399">
      <c r="A1399" t="inlineStr">
        <is>
          <t>Andorra</t>
        </is>
      </c>
      <c r="B1399" t="inlineStr"/>
      <c r="C1399" t="n">
        <v>0</v>
      </c>
    </row>
    <row r="1400">
      <c r="A1400" t="inlineStr">
        <is>
          <t>Andorra</t>
        </is>
      </c>
      <c r="B1400" t="inlineStr"/>
      <c r="C1400" t="n">
        <v>0</v>
      </c>
    </row>
    <row r="1401">
      <c r="A1401" t="inlineStr">
        <is>
          <t>Andorra</t>
        </is>
      </c>
      <c r="B1401" t="inlineStr"/>
      <c r="C1401" t="n">
        <v>0</v>
      </c>
    </row>
    <row r="1402">
      <c r="A1402" t="inlineStr">
        <is>
          <t>Spain - Canary Islands</t>
        </is>
      </c>
      <c r="B1402" t="inlineStr">
        <is>
          <t>Bureau Veritas Polska Sp. z o.o., Warsaw, PL</t>
        </is>
      </c>
      <c r="C1402" t="n">
        <v>1</v>
      </c>
    </row>
    <row r="1403">
      <c r="A1403" t="inlineStr">
        <is>
          <t>Spain - Canary Islands</t>
        </is>
      </c>
      <c r="B1403" t="inlineStr"/>
      <c r="C1403" t="n">
        <v>0</v>
      </c>
    </row>
    <row r="1404">
      <c r="A1404" t="inlineStr">
        <is>
          <t>Spain - Canary Islands</t>
        </is>
      </c>
      <c r="B1404" t="inlineStr"/>
      <c r="C1404" t="n">
        <v>0</v>
      </c>
    </row>
    <row r="1405">
      <c r="A1405" t="inlineStr">
        <is>
          <t>Spain - Canary Islands</t>
        </is>
      </c>
      <c r="B1405" t="inlineStr"/>
      <c r="C1405" t="n">
        <v>0</v>
      </c>
    </row>
    <row r="1406">
      <c r="A1406" t="inlineStr">
        <is>
          <t>Spain - Canary Islands</t>
        </is>
      </c>
      <c r="B1406" t="inlineStr"/>
      <c r="C1406" t="n">
        <v>0</v>
      </c>
    </row>
    <row r="1407">
      <c r="A1407" t="inlineStr">
        <is>
          <t>Spain - Canary Islands</t>
        </is>
      </c>
      <c r="B1407" t="inlineStr"/>
      <c r="C1407" t="n">
        <v>0</v>
      </c>
    </row>
    <row r="1408">
      <c r="A1408" t="inlineStr">
        <is>
          <t>Spain - Canary Islands</t>
        </is>
      </c>
      <c r="B1408" t="inlineStr"/>
      <c r="C1408" t="n">
        <v>0</v>
      </c>
    </row>
    <row r="1409">
      <c r="A1409" t="inlineStr">
        <is>
          <t>Spain - Canary Islands</t>
        </is>
      </c>
      <c r="B1409" t="inlineStr"/>
      <c r="C1409" t="n">
        <v>0</v>
      </c>
    </row>
    <row r="1410">
      <c r="A1410" t="inlineStr">
        <is>
          <t>Spain - Canary Islands</t>
        </is>
      </c>
      <c r="B1410" t="inlineStr"/>
      <c r="C1410" t="n">
        <v>0</v>
      </c>
    </row>
    <row r="1411">
      <c r="A1411" t="inlineStr">
        <is>
          <t>Spain - Canary Islands</t>
        </is>
      </c>
      <c r="B1411" t="inlineStr"/>
      <c r="C1411" t="n">
        <v>0</v>
      </c>
    </row>
    <row r="1412">
      <c r="A1412" t="inlineStr">
        <is>
          <t>Burkina Faso</t>
        </is>
      </c>
      <c r="B1412" t="inlineStr">
        <is>
          <t>SGS Germany GmbH, Emstek, DE</t>
        </is>
      </c>
      <c r="C1412" t="n">
        <v>1</v>
      </c>
    </row>
    <row r="1413">
      <c r="A1413" t="inlineStr">
        <is>
          <t>Burkina Faso</t>
        </is>
      </c>
      <c r="B1413" t="inlineStr"/>
      <c r="C1413" t="n">
        <v>0</v>
      </c>
    </row>
    <row r="1414">
      <c r="A1414" t="inlineStr">
        <is>
          <t>Burkina Faso</t>
        </is>
      </c>
      <c r="B1414" t="inlineStr"/>
      <c r="C1414" t="n">
        <v>0</v>
      </c>
    </row>
    <row r="1415">
      <c r="A1415" t="inlineStr">
        <is>
          <t>Burkina Faso</t>
        </is>
      </c>
      <c r="B1415" t="inlineStr"/>
      <c r="C1415" t="n">
        <v>0</v>
      </c>
    </row>
    <row r="1416">
      <c r="A1416" t="inlineStr">
        <is>
          <t>Burkina Faso</t>
        </is>
      </c>
      <c r="B1416" t="inlineStr"/>
      <c r="C1416" t="n">
        <v>0</v>
      </c>
    </row>
    <row r="1417">
      <c r="A1417" t="inlineStr">
        <is>
          <t>Burkina Faso</t>
        </is>
      </c>
      <c r="B1417" t="inlineStr"/>
      <c r="C1417" t="n">
        <v>0</v>
      </c>
    </row>
    <row r="1418">
      <c r="A1418" t="inlineStr">
        <is>
          <t>Burkina Faso</t>
        </is>
      </c>
      <c r="B1418" t="inlineStr"/>
      <c r="C1418" t="n">
        <v>0</v>
      </c>
    </row>
    <row r="1419">
      <c r="A1419" t="inlineStr">
        <is>
          <t>Burkina Faso</t>
        </is>
      </c>
      <c r="B1419" t="inlineStr"/>
      <c r="C1419" t="n">
        <v>0</v>
      </c>
    </row>
    <row r="1420">
      <c r="A1420" t="inlineStr">
        <is>
          <t>Burkina Faso</t>
        </is>
      </c>
      <c r="B1420" t="inlineStr"/>
      <c r="C1420" t="n">
        <v>0</v>
      </c>
    </row>
    <row r="1421">
      <c r="A1421" t="inlineStr">
        <is>
          <t>Burkina Faso</t>
        </is>
      </c>
      <c r="B1421" t="inlineStr"/>
      <c r="C1421" t="n">
        <v>0</v>
      </c>
    </row>
    <row r="1422">
      <c r="A1422" t="inlineStr">
        <is>
          <t>Guernsey</t>
        </is>
      </c>
      <c r="B1422" t="inlineStr">
        <is>
          <t>SGS Germany GmbH, Emstek, DE</t>
        </is>
      </c>
      <c r="C1422" t="n">
        <v>1</v>
      </c>
    </row>
    <row r="1423">
      <c r="A1423" t="inlineStr">
        <is>
          <t>Guernsey</t>
        </is>
      </c>
      <c r="B1423" t="inlineStr"/>
      <c r="C1423" t="n">
        <v>0</v>
      </c>
    </row>
    <row r="1424">
      <c r="A1424" t="inlineStr">
        <is>
          <t>Guernsey</t>
        </is>
      </c>
      <c r="B1424" t="inlineStr"/>
      <c r="C1424" t="n">
        <v>0</v>
      </c>
    </row>
    <row r="1425">
      <c r="A1425" t="inlineStr">
        <is>
          <t>Guernsey</t>
        </is>
      </c>
      <c r="B1425" t="inlineStr"/>
      <c r="C1425" t="n">
        <v>0</v>
      </c>
    </row>
    <row r="1426">
      <c r="A1426" t="inlineStr">
        <is>
          <t>Guernsey</t>
        </is>
      </c>
      <c r="B1426" t="inlineStr"/>
      <c r="C1426" t="n">
        <v>0</v>
      </c>
    </row>
    <row r="1427">
      <c r="A1427" t="inlineStr">
        <is>
          <t>Guernsey</t>
        </is>
      </c>
      <c r="B1427" t="inlineStr"/>
      <c r="C1427" t="n">
        <v>0</v>
      </c>
    </row>
    <row r="1428">
      <c r="A1428" t="inlineStr">
        <is>
          <t>Guernsey</t>
        </is>
      </c>
      <c r="B1428" t="inlineStr"/>
      <c r="C1428" t="n">
        <v>0</v>
      </c>
    </row>
    <row r="1429">
      <c r="A1429" t="inlineStr">
        <is>
          <t>Guernsey</t>
        </is>
      </c>
      <c r="B1429" t="inlineStr"/>
      <c r="C1429" t="n">
        <v>0</v>
      </c>
    </row>
    <row r="1430">
      <c r="A1430" t="inlineStr">
        <is>
          <t>Guernsey</t>
        </is>
      </c>
      <c r="B1430" t="inlineStr"/>
      <c r="C1430" t="n">
        <v>0</v>
      </c>
    </row>
    <row r="1431">
      <c r="A1431" t="inlineStr">
        <is>
          <t>Guernsey</t>
        </is>
      </c>
      <c r="B1431" t="inlineStr"/>
      <c r="C1431" t="n">
        <v>0</v>
      </c>
    </row>
    <row r="1432">
      <c r="A1432" t="inlineStr">
        <is>
          <t>Belize</t>
        </is>
      </c>
      <c r="B1432" t="inlineStr">
        <is>
          <t>PT Intertek Utama Services, Jakarta, ID</t>
        </is>
      </c>
      <c r="C1432" t="n">
        <v>1</v>
      </c>
    </row>
    <row r="1433">
      <c r="A1433" t="inlineStr">
        <is>
          <t>Belize</t>
        </is>
      </c>
      <c r="B1433" t="inlineStr"/>
      <c r="C1433" t="n">
        <v>0</v>
      </c>
    </row>
    <row r="1434">
      <c r="A1434" t="inlineStr">
        <is>
          <t>Belize</t>
        </is>
      </c>
      <c r="B1434" t="inlineStr"/>
      <c r="C1434" t="n">
        <v>0</v>
      </c>
    </row>
    <row r="1435">
      <c r="A1435" t="inlineStr">
        <is>
          <t>Belize</t>
        </is>
      </c>
      <c r="B1435" t="inlineStr"/>
      <c r="C1435" t="n">
        <v>0</v>
      </c>
    </row>
    <row r="1436">
      <c r="A1436" t="inlineStr">
        <is>
          <t>Belize</t>
        </is>
      </c>
      <c r="B1436" t="inlineStr"/>
      <c r="C1436" t="n">
        <v>0</v>
      </c>
    </row>
    <row r="1437">
      <c r="A1437" t="inlineStr">
        <is>
          <t>Belize</t>
        </is>
      </c>
      <c r="B1437" t="inlineStr"/>
      <c r="C1437" t="n">
        <v>0</v>
      </c>
    </row>
    <row r="1438">
      <c r="A1438" t="inlineStr">
        <is>
          <t>Belize</t>
        </is>
      </c>
      <c r="B1438" t="inlineStr"/>
      <c r="C1438" t="n">
        <v>0</v>
      </c>
    </row>
    <row r="1439">
      <c r="A1439" t="inlineStr">
        <is>
          <t>Belize</t>
        </is>
      </c>
      <c r="B1439" t="inlineStr"/>
      <c r="C1439" t="n">
        <v>0</v>
      </c>
    </row>
    <row r="1440">
      <c r="A1440" t="inlineStr">
        <is>
          <t>Belize</t>
        </is>
      </c>
      <c r="B1440" t="inlineStr"/>
      <c r="C1440" t="n">
        <v>0</v>
      </c>
    </row>
    <row r="1441">
      <c r="A1441" t="inlineStr">
        <is>
          <t>Belize</t>
        </is>
      </c>
      <c r="B1441" t="inlineStr"/>
      <c r="C1441" t="n">
        <v>0</v>
      </c>
    </row>
    <row r="1442">
      <c r="A1442" t="inlineStr">
        <is>
          <t>San Marino</t>
        </is>
      </c>
      <c r="B1442" t="inlineStr">
        <is>
          <t>DNV Business Assurance Sweden AB, Solna, SE</t>
        </is>
      </c>
      <c r="C1442" t="n">
        <v>1</v>
      </c>
    </row>
    <row r="1443">
      <c r="A1443" t="inlineStr">
        <is>
          <t>San Marino</t>
        </is>
      </c>
      <c r="B1443" t="inlineStr"/>
      <c r="C1443" t="n">
        <v>0</v>
      </c>
    </row>
    <row r="1444">
      <c r="A1444" t="inlineStr">
        <is>
          <t>San Marino</t>
        </is>
      </c>
      <c r="B1444" t="inlineStr"/>
      <c r="C1444" t="n">
        <v>0</v>
      </c>
    </row>
    <row r="1445">
      <c r="A1445" t="inlineStr">
        <is>
          <t>San Marino</t>
        </is>
      </c>
      <c r="B1445" t="inlineStr"/>
      <c r="C1445" t="n">
        <v>0</v>
      </c>
    </row>
    <row r="1446">
      <c r="A1446" t="inlineStr">
        <is>
          <t>San Marino</t>
        </is>
      </c>
      <c r="B1446" t="inlineStr"/>
      <c r="C1446" t="n">
        <v>0</v>
      </c>
    </row>
    <row r="1447">
      <c r="A1447" t="inlineStr">
        <is>
          <t>San Marino</t>
        </is>
      </c>
      <c r="B1447" t="inlineStr"/>
      <c r="C1447" t="n">
        <v>0</v>
      </c>
    </row>
    <row r="1448">
      <c r="A1448" t="inlineStr">
        <is>
          <t>San Marino</t>
        </is>
      </c>
      <c r="B1448" t="inlineStr"/>
      <c r="C1448" t="n">
        <v>0</v>
      </c>
    </row>
    <row r="1449">
      <c r="A1449" t="inlineStr">
        <is>
          <t>San Marino</t>
        </is>
      </c>
      <c r="B1449" t="inlineStr"/>
      <c r="C1449" t="n">
        <v>0</v>
      </c>
    </row>
    <row r="1450">
      <c r="A1450" t="inlineStr">
        <is>
          <t>San Marino</t>
        </is>
      </c>
      <c r="B1450" t="inlineStr"/>
      <c r="C1450" t="n">
        <v>0</v>
      </c>
    </row>
    <row r="1451">
      <c r="A1451" t="inlineStr">
        <is>
          <t>San Marino</t>
        </is>
      </c>
      <c r="B1451" t="inlineStr"/>
      <c r="C1451" t="n">
        <v>0</v>
      </c>
    </row>
    <row r="1452">
      <c r="A1452" t="inlineStr">
        <is>
          <t>Unknown</t>
        </is>
      </c>
      <c r="B1452" t="inlineStr">
        <is>
          <t>Trans Certification and Inspection Sdn Bhd, Kuantan, MY</t>
        </is>
      </c>
      <c r="C1452" t="n">
        <v>1</v>
      </c>
    </row>
    <row r="1453">
      <c r="A1453" t="inlineStr">
        <is>
          <t>Unknown</t>
        </is>
      </c>
      <c r="B1453" t="inlineStr"/>
      <c r="C1453" t="n">
        <v>0</v>
      </c>
    </row>
    <row r="1454">
      <c r="A1454" t="inlineStr">
        <is>
          <t>Unknown</t>
        </is>
      </c>
      <c r="B1454" t="inlineStr"/>
      <c r="C1454" t="n">
        <v>0</v>
      </c>
    </row>
    <row r="1455">
      <c r="A1455" t="inlineStr">
        <is>
          <t>Unknown</t>
        </is>
      </c>
      <c r="B1455" t="inlineStr"/>
      <c r="C1455" t="n">
        <v>0</v>
      </c>
    </row>
    <row r="1456">
      <c r="A1456" t="inlineStr">
        <is>
          <t>Unknown</t>
        </is>
      </c>
      <c r="B1456" t="inlineStr"/>
      <c r="C1456" t="n">
        <v>0</v>
      </c>
    </row>
    <row r="1457">
      <c r="A1457" t="inlineStr">
        <is>
          <t>Unknown</t>
        </is>
      </c>
      <c r="B1457" t="inlineStr"/>
      <c r="C1457" t="n">
        <v>0</v>
      </c>
    </row>
    <row r="1458">
      <c r="A1458" t="inlineStr">
        <is>
          <t>Unknown</t>
        </is>
      </c>
      <c r="B1458" t="inlineStr"/>
      <c r="C1458" t="n">
        <v>0</v>
      </c>
    </row>
    <row r="1459">
      <c r="A1459" t="inlineStr">
        <is>
          <t>Unknown</t>
        </is>
      </c>
      <c r="B1459" t="inlineStr"/>
      <c r="C1459" t="n">
        <v>0</v>
      </c>
    </row>
    <row r="1460">
      <c r="A1460" t="inlineStr">
        <is>
          <t>Unknown</t>
        </is>
      </c>
      <c r="B1460" t="inlineStr"/>
      <c r="C1460" t="n">
        <v>0</v>
      </c>
    </row>
    <row r="1461">
      <c r="A1461" t="inlineStr">
        <is>
          <t>Unknown</t>
        </is>
      </c>
      <c r="B1461" t="inlineStr"/>
      <c r="C146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CB</t>
        </is>
      </c>
      <c r="B1" t="inlineStr">
        <is>
          <t>Country</t>
        </is>
      </c>
      <c r="C1" t="inlineStr">
        <is>
          <t>Count</t>
        </is>
      </c>
    </row>
    <row r="2">
      <c r="A2" t="inlineStr">
        <is>
          <t>SGS Germany GmbH, Emstek, DE</t>
        </is>
      </c>
      <c r="B2" t="inlineStr">
        <is>
          <t>Japan</t>
        </is>
      </c>
      <c r="C2" t="n">
        <v>300</v>
      </c>
    </row>
    <row r="3">
      <c r="A3" t="inlineStr">
        <is>
          <t>SGS Germany GmbH, Emstek, DE</t>
        </is>
      </c>
      <c r="B3" t="inlineStr">
        <is>
          <t>China</t>
        </is>
      </c>
      <c r="C3" t="n">
        <v>243</v>
      </c>
    </row>
    <row r="4">
      <c r="A4" t="inlineStr">
        <is>
          <t>SGS Germany GmbH, Emstek, DE</t>
        </is>
      </c>
      <c r="B4" t="inlineStr">
        <is>
          <t>Italy</t>
        </is>
      </c>
      <c r="C4" t="n">
        <v>192</v>
      </c>
    </row>
    <row r="5">
      <c r="A5" t="inlineStr">
        <is>
          <t>SGS Germany GmbH, Emstek, DE</t>
        </is>
      </c>
      <c r="B5" t="inlineStr">
        <is>
          <t>Germany</t>
        </is>
      </c>
      <c r="C5" t="n">
        <v>166</v>
      </c>
    </row>
    <row r="6">
      <c r="A6" t="inlineStr">
        <is>
          <t>SGS Germany GmbH, Emstek, DE</t>
        </is>
      </c>
      <c r="B6" t="inlineStr">
        <is>
          <t>United Kingdom</t>
        </is>
      </c>
      <c r="C6" t="n">
        <v>100</v>
      </c>
    </row>
    <row r="7">
      <c r="A7" t="inlineStr">
        <is>
          <t>SGS Germany GmbH, Emstek, DE</t>
        </is>
      </c>
      <c r="B7" t="inlineStr">
        <is>
          <t>Indonesia</t>
        </is>
      </c>
      <c r="C7" t="n">
        <v>94</v>
      </c>
    </row>
    <row r="8">
      <c r="A8" t="inlineStr">
        <is>
          <t>SGS Germany GmbH, Emstek, DE</t>
        </is>
      </c>
      <c r="B8" t="inlineStr">
        <is>
          <t>Netherlands</t>
        </is>
      </c>
      <c r="C8" t="n">
        <v>82</v>
      </c>
    </row>
    <row r="9">
      <c r="A9" t="inlineStr">
        <is>
          <t>SGS Germany GmbH, Emstek, DE</t>
        </is>
      </c>
      <c r="B9" t="inlineStr">
        <is>
          <t>Belgium</t>
        </is>
      </c>
      <c r="C9" t="n">
        <v>77</v>
      </c>
    </row>
    <row r="10">
      <c r="A10" t="inlineStr">
        <is>
          <t>SGS Germany GmbH, Emstek, DE</t>
        </is>
      </c>
      <c r="B10" t="inlineStr">
        <is>
          <t>Romania</t>
        </is>
      </c>
      <c r="C10" t="n">
        <v>76</v>
      </c>
    </row>
    <row r="11">
      <c r="A11" t="inlineStr">
        <is>
          <t>SGS Germany GmbH, Emstek, DE</t>
        </is>
      </c>
      <c r="B11" t="inlineStr">
        <is>
          <t>Thailand</t>
        </is>
      </c>
      <c r="C11" t="n">
        <v>67</v>
      </c>
    </row>
    <row r="12">
      <c r="A12" t="inlineStr">
        <is>
          <t>Control Union Certifications Germany GmbH, Berlin, DE</t>
        </is>
      </c>
      <c r="B12" t="inlineStr">
        <is>
          <t>Japan</t>
        </is>
      </c>
      <c r="C12" t="n">
        <v>195</v>
      </c>
    </row>
    <row r="13">
      <c r="A13" t="inlineStr">
        <is>
          <t>Control Union Certifications Germany GmbH, Berlin, DE</t>
        </is>
      </c>
      <c r="B13" t="inlineStr">
        <is>
          <t>Republic of</t>
        </is>
      </c>
      <c r="C13" t="n">
        <v>175</v>
      </c>
    </row>
    <row r="14">
      <c r="A14" t="inlineStr">
        <is>
          <t>Control Union Certifications Germany GmbH, Berlin, DE</t>
        </is>
      </c>
      <c r="B14" t="inlineStr">
        <is>
          <t>France</t>
        </is>
      </c>
      <c r="C14" t="n">
        <v>155</v>
      </c>
    </row>
    <row r="15">
      <c r="A15" t="inlineStr">
        <is>
          <t>Control Union Certifications Germany GmbH, Berlin, DE</t>
        </is>
      </c>
      <c r="B15" t="inlineStr">
        <is>
          <t>Singapore</t>
        </is>
      </c>
      <c r="C15" t="n">
        <v>130</v>
      </c>
    </row>
    <row r="16">
      <c r="A16" t="inlineStr">
        <is>
          <t>Control Union Certifications Germany GmbH, Berlin, DE</t>
        </is>
      </c>
      <c r="B16" t="inlineStr">
        <is>
          <t>South Korea</t>
        </is>
      </c>
      <c r="C16" t="n">
        <v>95</v>
      </c>
    </row>
    <row r="17">
      <c r="A17" t="inlineStr">
        <is>
          <t>Control Union Certifications Germany GmbH, Berlin, DE</t>
        </is>
      </c>
      <c r="B17" t="inlineStr">
        <is>
          <t>Australia</t>
        </is>
      </c>
      <c r="C17" t="n">
        <v>83</v>
      </c>
    </row>
    <row r="18">
      <c r="A18" t="inlineStr">
        <is>
          <t>Control Union Certifications Germany GmbH, Berlin, DE</t>
        </is>
      </c>
      <c r="B18" t="inlineStr">
        <is>
          <t>Malaysia</t>
        </is>
      </c>
      <c r="C18" t="n">
        <v>79</v>
      </c>
    </row>
    <row r="19">
      <c r="A19" t="inlineStr">
        <is>
          <t>Control Union Certifications Germany GmbH, Berlin, DE</t>
        </is>
      </c>
      <c r="B19" t="inlineStr">
        <is>
          <t>Netherlands</t>
        </is>
      </c>
      <c r="C19" t="n">
        <v>75</v>
      </c>
    </row>
    <row r="20">
      <c r="A20" t="inlineStr">
        <is>
          <t>Control Union Certifications Germany GmbH, Berlin, DE</t>
        </is>
      </c>
      <c r="B20" t="inlineStr">
        <is>
          <t>Belgium</t>
        </is>
      </c>
      <c r="C20" t="n">
        <v>66</v>
      </c>
    </row>
    <row r="21">
      <c r="A21" t="inlineStr">
        <is>
          <t>Control Union Certifications Germany GmbH, Berlin, DE</t>
        </is>
      </c>
      <c r="B21" t="inlineStr">
        <is>
          <t>The Republic of Korea</t>
        </is>
      </c>
      <c r="C21" t="n">
        <v>65</v>
      </c>
    </row>
    <row r="22">
      <c r="A22" t="inlineStr">
        <is>
          <t>SCS Global Services, Emeryville, CA, US</t>
        </is>
      </c>
      <c r="B22" t="inlineStr">
        <is>
          <t>China</t>
        </is>
      </c>
      <c r="C22" t="n">
        <v>646</v>
      </c>
    </row>
    <row r="23">
      <c r="A23" t="inlineStr">
        <is>
          <t>SCS Global Services, Emeryville, CA, US</t>
        </is>
      </c>
      <c r="B23" t="inlineStr">
        <is>
          <t>United States</t>
        </is>
      </c>
      <c r="C23" t="n">
        <v>575</v>
      </c>
    </row>
    <row r="24">
      <c r="A24" t="inlineStr">
        <is>
          <t>SCS Global Services, Emeryville, CA, US</t>
        </is>
      </c>
      <c r="B24" t="inlineStr">
        <is>
          <t>Brazil</t>
        </is>
      </c>
      <c r="C24" t="n">
        <v>62</v>
      </c>
    </row>
    <row r="25">
      <c r="A25" t="inlineStr">
        <is>
          <t>SCS Global Services, Emeryville, CA, US</t>
        </is>
      </c>
      <c r="B25" t="inlineStr">
        <is>
          <t>Canada</t>
        </is>
      </c>
      <c r="C25" t="n">
        <v>55</v>
      </c>
    </row>
    <row r="26">
      <c r="A26" t="inlineStr">
        <is>
          <t>SCS Global Services, Emeryville, CA, US</t>
        </is>
      </c>
      <c r="B26" t="inlineStr">
        <is>
          <t>The United States of America</t>
        </is>
      </c>
      <c r="C26" t="n">
        <v>39</v>
      </c>
    </row>
    <row r="27">
      <c r="A27" t="inlineStr">
        <is>
          <t>SCS Global Services, Emeryville, CA, US</t>
        </is>
      </c>
      <c r="B27" t="inlineStr">
        <is>
          <t>Japan</t>
        </is>
      </c>
      <c r="C27" t="n">
        <v>35</v>
      </c>
    </row>
    <row r="28">
      <c r="A28" t="inlineStr">
        <is>
          <t>SCS Global Services, Emeryville, CA, US</t>
        </is>
      </c>
      <c r="B28" t="inlineStr">
        <is>
          <t>Singapore</t>
        </is>
      </c>
      <c r="C28" t="n">
        <v>35</v>
      </c>
    </row>
    <row r="29">
      <c r="A29" t="inlineStr">
        <is>
          <t>SCS Global Services, Emeryville, CA, US</t>
        </is>
      </c>
      <c r="B29" t="inlineStr">
        <is>
          <t>Mexico</t>
        </is>
      </c>
      <c r="C29" t="n">
        <v>31</v>
      </c>
    </row>
    <row r="30">
      <c r="A30" t="inlineStr">
        <is>
          <t>SCS Global Services, Emeryville, CA, US</t>
        </is>
      </c>
      <c r="B30" t="inlineStr">
        <is>
          <t>Malaysia</t>
        </is>
      </c>
      <c r="C30" t="n">
        <v>22</v>
      </c>
    </row>
    <row r="31">
      <c r="A31" t="inlineStr">
        <is>
          <t>SCS Global Services, Emeryville, CA, US</t>
        </is>
      </c>
      <c r="B31" t="inlineStr">
        <is>
          <t>Vietnam</t>
        </is>
      </c>
      <c r="C31" t="n">
        <v>18</v>
      </c>
    </row>
    <row r="32">
      <c r="A32" t="inlineStr">
        <is>
          <t>RINA Services S.p.A., Genova, IT</t>
        </is>
      </c>
      <c r="B32" t="inlineStr">
        <is>
          <t>China</t>
        </is>
      </c>
      <c r="C32" t="n">
        <v>573</v>
      </c>
    </row>
    <row r="33">
      <c r="A33" t="inlineStr">
        <is>
          <t>RINA Services S.p.A., Genova, IT</t>
        </is>
      </c>
      <c r="B33" t="inlineStr">
        <is>
          <t>Italy</t>
        </is>
      </c>
      <c r="C33" t="n">
        <v>272</v>
      </c>
    </row>
    <row r="34">
      <c r="A34" t="inlineStr">
        <is>
          <t>RINA Services S.p.A., Genova, IT</t>
        </is>
      </c>
      <c r="B34" t="inlineStr">
        <is>
          <t>Spain</t>
        </is>
      </c>
      <c r="C34" t="n">
        <v>111</v>
      </c>
    </row>
    <row r="35">
      <c r="A35" t="inlineStr">
        <is>
          <t>RINA Services S.p.A., Genova, IT</t>
        </is>
      </c>
      <c r="B35" t="inlineStr">
        <is>
          <t>Vietnam</t>
        </is>
      </c>
      <c r="C35" t="n">
        <v>23</v>
      </c>
    </row>
    <row r="36">
      <c r="A36" t="inlineStr">
        <is>
          <t>RINA Services S.p.A., Genova, IT</t>
        </is>
      </c>
      <c r="B36" t="inlineStr">
        <is>
          <t>Kenya</t>
        </is>
      </c>
      <c r="C36" t="n">
        <v>17</v>
      </c>
    </row>
    <row r="37">
      <c r="A37" t="inlineStr">
        <is>
          <t>RINA Services S.p.A., Genova, IT</t>
        </is>
      </c>
      <c r="B37" t="inlineStr">
        <is>
          <t>France</t>
        </is>
      </c>
      <c r="C37" t="n">
        <v>17</v>
      </c>
    </row>
    <row r="38">
      <c r="A38" t="inlineStr">
        <is>
          <t>RINA Services S.p.A., Genova, IT</t>
        </is>
      </c>
      <c r="B38" t="inlineStr">
        <is>
          <t>Malaysia</t>
        </is>
      </c>
      <c r="C38" t="n">
        <v>17</v>
      </c>
    </row>
    <row r="39">
      <c r="A39" t="inlineStr">
        <is>
          <t>RINA Services S.p.A., Genova, IT</t>
        </is>
      </c>
      <c r="B39" t="inlineStr">
        <is>
          <t>Romania</t>
        </is>
      </c>
      <c r="C39" t="n">
        <v>16</v>
      </c>
    </row>
    <row r="40">
      <c r="A40" t="inlineStr">
        <is>
          <t>RINA Services S.p.A., Genova, IT</t>
        </is>
      </c>
      <c r="B40" t="inlineStr">
        <is>
          <t>Indonesia</t>
        </is>
      </c>
      <c r="C40" t="n">
        <v>15</v>
      </c>
    </row>
    <row r="41">
      <c r="A41" t="inlineStr">
        <is>
          <t>RINA Services S.p.A., Genova, IT</t>
        </is>
      </c>
      <c r="B41" t="inlineStr">
        <is>
          <t>Singapore</t>
        </is>
      </c>
      <c r="C41" t="n">
        <v>14</v>
      </c>
    </row>
    <row r="42">
      <c r="A42" t="inlineStr">
        <is>
          <t>Bureau Veritas Polska Sp. z o.o., Warsaw, PL</t>
        </is>
      </c>
      <c r="B42" t="inlineStr">
        <is>
          <t>France</t>
        </is>
      </c>
      <c r="C42" t="n">
        <v>129</v>
      </c>
    </row>
    <row r="43">
      <c r="A43" t="inlineStr">
        <is>
          <t>Bureau Veritas Polska Sp. z o.o., Warsaw, PL</t>
        </is>
      </c>
      <c r="B43" t="inlineStr">
        <is>
          <t>China</t>
        </is>
      </c>
      <c r="C43" t="n">
        <v>84</v>
      </c>
    </row>
    <row r="44">
      <c r="A44" t="inlineStr">
        <is>
          <t>Bureau Veritas Polska Sp. z o.o., Warsaw, PL</t>
        </is>
      </c>
      <c r="B44" t="inlineStr">
        <is>
          <t>Poland</t>
        </is>
      </c>
      <c r="C44" t="n">
        <v>79</v>
      </c>
    </row>
    <row r="45">
      <c r="A45" t="inlineStr">
        <is>
          <t>Bureau Veritas Polska Sp. z o.o., Warsaw, PL</t>
        </is>
      </c>
      <c r="B45" t="inlineStr">
        <is>
          <t>Spain</t>
        </is>
      </c>
      <c r="C45" t="n">
        <v>71</v>
      </c>
    </row>
    <row r="46">
      <c r="A46" t="inlineStr">
        <is>
          <t>Bureau Veritas Polska Sp. z o.o., Warsaw, PL</t>
        </is>
      </c>
      <c r="B46" t="inlineStr">
        <is>
          <t>Ukraine</t>
        </is>
      </c>
      <c r="C46" t="n">
        <v>68</v>
      </c>
    </row>
    <row r="47">
      <c r="A47" t="inlineStr">
        <is>
          <t>Bureau Veritas Polska Sp. z o.o., Warsaw, PL</t>
        </is>
      </c>
      <c r="B47" t="inlineStr">
        <is>
          <t>Lithuania</t>
        </is>
      </c>
      <c r="C47" t="n">
        <v>59</v>
      </c>
    </row>
    <row r="48">
      <c r="A48" t="inlineStr">
        <is>
          <t>Bureau Veritas Polska Sp. z o.o., Warsaw, PL</t>
        </is>
      </c>
      <c r="B48" t="inlineStr">
        <is>
          <t>Czech Republic</t>
        </is>
      </c>
      <c r="C48" t="n">
        <v>58</v>
      </c>
    </row>
    <row r="49">
      <c r="A49" t="inlineStr">
        <is>
          <t>Bureau Veritas Polska Sp. z o.o., Warsaw, PL</t>
        </is>
      </c>
      <c r="B49" t="inlineStr">
        <is>
          <t>Italy</t>
        </is>
      </c>
      <c r="C49" t="n">
        <v>56</v>
      </c>
    </row>
    <row r="50">
      <c r="A50" t="inlineStr">
        <is>
          <t>Bureau Veritas Polska Sp. z o.o., Warsaw, PL</t>
        </is>
      </c>
      <c r="B50" t="inlineStr">
        <is>
          <t>Slovakia</t>
        </is>
      </c>
      <c r="C50" t="n">
        <v>49</v>
      </c>
    </row>
    <row r="51">
      <c r="A51" t="inlineStr">
        <is>
          <t>Bureau Veritas Polska Sp. z o.o., Warsaw, PL</t>
        </is>
      </c>
      <c r="B51" t="inlineStr">
        <is>
          <t>Taiwan</t>
        </is>
      </c>
      <c r="C51" t="n">
        <v>45</v>
      </c>
    </row>
    <row r="52">
      <c r="A52" t="inlineStr">
        <is>
          <t>Control Union Poland Sp. z o.o., Zielona Gora, PL</t>
        </is>
      </c>
      <c r="B52" t="inlineStr">
        <is>
          <t>Spain</t>
        </is>
      </c>
      <c r="C52" t="n">
        <v>247</v>
      </c>
    </row>
    <row r="53">
      <c r="A53" t="inlineStr">
        <is>
          <t>Control Union Poland Sp. z o.o., Zielona Gora, PL</t>
        </is>
      </c>
      <c r="B53" t="inlineStr">
        <is>
          <t>United States</t>
        </is>
      </c>
      <c r="C53" t="n">
        <v>99</v>
      </c>
    </row>
    <row r="54">
      <c r="A54" t="inlineStr">
        <is>
          <t>Control Union Poland Sp. z o.o., Zielona Gora, PL</t>
        </is>
      </c>
      <c r="B54" t="inlineStr">
        <is>
          <t>Brazil</t>
        </is>
      </c>
      <c r="C54" t="n">
        <v>61</v>
      </c>
    </row>
    <row r="55">
      <c r="A55" t="inlineStr">
        <is>
          <t>Control Union Poland Sp. z o.o., Zielona Gora, PL</t>
        </is>
      </c>
      <c r="B55" t="inlineStr">
        <is>
          <t>Thailand</t>
        </is>
      </c>
      <c r="C55" t="n">
        <v>43</v>
      </c>
    </row>
    <row r="56">
      <c r="A56" t="inlineStr">
        <is>
          <t>Control Union Poland Sp. z o.o., Zielona Gora, PL</t>
        </is>
      </c>
      <c r="B56" t="inlineStr">
        <is>
          <t>Poland</t>
        </is>
      </c>
      <c r="C56" t="n">
        <v>39</v>
      </c>
    </row>
    <row r="57">
      <c r="A57" t="inlineStr">
        <is>
          <t>Control Union Poland Sp. z o.o., Zielona Gora, PL</t>
        </is>
      </c>
      <c r="B57" t="inlineStr">
        <is>
          <t>Canada</t>
        </is>
      </c>
      <c r="C57" t="n">
        <v>36</v>
      </c>
    </row>
    <row r="58">
      <c r="A58" t="inlineStr">
        <is>
          <t>Control Union Poland Sp. z o.o., Zielona Gora, PL</t>
        </is>
      </c>
      <c r="B58" t="inlineStr">
        <is>
          <t>Portugal</t>
        </is>
      </c>
      <c r="C58" t="n">
        <v>33</v>
      </c>
    </row>
    <row r="59">
      <c r="A59" t="inlineStr">
        <is>
          <t>Control Union Poland Sp. z o.o., Zielona Gora, PL</t>
        </is>
      </c>
      <c r="B59" t="inlineStr">
        <is>
          <t>Colombia</t>
        </is>
      </c>
      <c r="C59" t="n">
        <v>28</v>
      </c>
    </row>
    <row r="60">
      <c r="A60" t="inlineStr">
        <is>
          <t>Control Union Poland Sp. z o.o., Zielona Gora, PL</t>
        </is>
      </c>
      <c r="B60" t="inlineStr">
        <is>
          <t>Argentina</t>
        </is>
      </c>
      <c r="C60" t="n">
        <v>27</v>
      </c>
    </row>
    <row r="61">
      <c r="A61" t="inlineStr">
        <is>
          <t>Control Union Poland Sp. z o.o., Zielona Gora, PL</t>
        </is>
      </c>
      <c r="B61" t="inlineStr">
        <is>
          <t>Mexico</t>
        </is>
      </c>
      <c r="C61" t="n">
        <v>17</v>
      </c>
    </row>
    <row r="62">
      <c r="A62" t="inlineStr">
        <is>
          <t>PT Intertek Utama Services, Jakarta, ID</t>
        </is>
      </c>
      <c r="B62" t="inlineStr">
        <is>
          <t>China</t>
        </is>
      </c>
      <c r="C62" t="n">
        <v>110</v>
      </c>
    </row>
    <row r="63">
      <c r="A63" t="inlineStr">
        <is>
          <t>PT Intertek Utama Services, Jakarta, ID</t>
        </is>
      </c>
      <c r="B63" t="inlineStr">
        <is>
          <t>Indonesia</t>
        </is>
      </c>
      <c r="C63" t="n">
        <v>105</v>
      </c>
    </row>
    <row r="64">
      <c r="A64" t="inlineStr">
        <is>
          <t>PT Intertek Utama Services, Jakarta, ID</t>
        </is>
      </c>
      <c r="B64" t="inlineStr">
        <is>
          <t>Spain</t>
        </is>
      </c>
      <c r="C64" t="n">
        <v>39</v>
      </c>
    </row>
    <row r="65">
      <c r="A65" t="inlineStr">
        <is>
          <t>PT Intertek Utama Services, Jakarta, ID</t>
        </is>
      </c>
      <c r="B65" t="inlineStr">
        <is>
          <t>Malaysia</t>
        </is>
      </c>
      <c r="C65" t="n">
        <v>34</v>
      </c>
    </row>
    <row r="66">
      <c r="A66" t="inlineStr">
        <is>
          <t>PT Intertek Utama Services, Jakarta, ID</t>
        </is>
      </c>
      <c r="B66" t="inlineStr">
        <is>
          <t>Turkey</t>
        </is>
      </c>
      <c r="C66" t="n">
        <v>33</v>
      </c>
    </row>
    <row r="67">
      <c r="A67" t="inlineStr">
        <is>
          <t>PT Intertek Utama Services, Jakarta, ID</t>
        </is>
      </c>
      <c r="B67" t="inlineStr">
        <is>
          <t>Italy</t>
        </is>
      </c>
      <c r="C67" t="n">
        <v>26</v>
      </c>
    </row>
    <row r="68">
      <c r="A68" t="inlineStr">
        <is>
          <t>PT Intertek Utama Services, Jakarta, ID</t>
        </is>
      </c>
      <c r="B68" t="inlineStr">
        <is>
          <t>Vietnam</t>
        </is>
      </c>
      <c r="C68" t="n">
        <v>26</v>
      </c>
    </row>
    <row r="69">
      <c r="A69" t="inlineStr">
        <is>
          <t>PT Intertek Utama Services, Jakarta, ID</t>
        </is>
      </c>
      <c r="B69" t="inlineStr">
        <is>
          <t>Singapore</t>
        </is>
      </c>
      <c r="C69" t="n">
        <v>24</v>
      </c>
    </row>
    <row r="70">
      <c r="A70" t="inlineStr">
        <is>
          <t>PT Intertek Utama Services, Jakarta, ID</t>
        </is>
      </c>
      <c r="B70" t="inlineStr">
        <is>
          <t>Czech Republic</t>
        </is>
      </c>
      <c r="C70" t="n">
        <v>22</v>
      </c>
    </row>
    <row r="71">
      <c r="A71" t="inlineStr">
        <is>
          <t>PT Intertek Utama Services, Jakarta, ID</t>
        </is>
      </c>
      <c r="B71" t="inlineStr">
        <is>
          <t>Japan</t>
        </is>
      </c>
      <c r="C71" t="n">
        <v>22</v>
      </c>
    </row>
    <row r="72">
      <c r="A72" t="inlineStr">
        <is>
          <t>BM Certification, Riga, LV</t>
        </is>
      </c>
      <c r="B72" t="inlineStr">
        <is>
          <t>Romania</t>
        </is>
      </c>
      <c r="C72" t="n">
        <v>69</v>
      </c>
    </row>
    <row r="73">
      <c r="A73" t="inlineStr">
        <is>
          <t>BM Certification, Riga, LV</t>
        </is>
      </c>
      <c r="B73" t="inlineStr">
        <is>
          <t>Hungary</t>
        </is>
      </c>
      <c r="C73" t="n">
        <v>64</v>
      </c>
    </row>
    <row r="74">
      <c r="A74" t="inlineStr">
        <is>
          <t>BM Certification, Riga, LV</t>
        </is>
      </c>
      <c r="B74" t="inlineStr">
        <is>
          <t>Ukraine</t>
        </is>
      </c>
      <c r="C74" t="n">
        <v>40</v>
      </c>
    </row>
    <row r="75">
      <c r="A75" t="inlineStr">
        <is>
          <t>BM Certification, Riga, LV</t>
        </is>
      </c>
      <c r="B75" t="inlineStr">
        <is>
          <t>Vietnam</t>
        </is>
      </c>
      <c r="C75" t="n">
        <v>38</v>
      </c>
    </row>
    <row r="76">
      <c r="A76" t="inlineStr">
        <is>
          <t>BM Certification, Riga, LV</t>
        </is>
      </c>
      <c r="B76" t="inlineStr">
        <is>
          <t>Latvia</t>
        </is>
      </c>
      <c r="C76" t="n">
        <v>33</v>
      </c>
    </row>
    <row r="77">
      <c r="A77" t="inlineStr">
        <is>
          <t>BM Certification, Riga, LV</t>
        </is>
      </c>
      <c r="B77" t="inlineStr">
        <is>
          <t>Lithuania</t>
        </is>
      </c>
      <c r="C77" t="n">
        <v>26</v>
      </c>
    </row>
    <row r="78">
      <c r="A78" t="inlineStr">
        <is>
          <t>BM Certification, Riga, LV</t>
        </is>
      </c>
      <c r="B78" t="inlineStr">
        <is>
          <t>Indonesia</t>
        </is>
      </c>
      <c r="C78" t="n">
        <v>21</v>
      </c>
    </row>
    <row r="79">
      <c r="A79" t="inlineStr">
        <is>
          <t>BM Certification, Riga, LV</t>
        </is>
      </c>
      <c r="B79" t="inlineStr">
        <is>
          <t>Turkey</t>
        </is>
      </c>
      <c r="C79" t="n">
        <v>16</v>
      </c>
    </row>
    <row r="80">
      <c r="A80" t="inlineStr">
        <is>
          <t>BM Certification, Riga, LV</t>
        </is>
      </c>
      <c r="B80" t="inlineStr">
        <is>
          <t>Australia</t>
        </is>
      </c>
      <c r="C80" t="n">
        <v>15</v>
      </c>
    </row>
    <row r="81">
      <c r="A81" t="inlineStr">
        <is>
          <t>BM Certification, Riga, LV</t>
        </is>
      </c>
      <c r="B81" t="inlineStr">
        <is>
          <t>Germany</t>
        </is>
      </c>
      <c r="C81" t="n">
        <v>14</v>
      </c>
    </row>
    <row r="82">
      <c r="A82" t="inlineStr">
        <is>
          <t>Trans Certification and Inspection Sdn Bhd, Kuantan, MY</t>
        </is>
      </c>
      <c r="B82" t="inlineStr">
        <is>
          <t>Malaysia</t>
        </is>
      </c>
      <c r="C82" t="n">
        <v>252</v>
      </c>
    </row>
    <row r="83">
      <c r="A83" t="inlineStr">
        <is>
          <t>Trans Certification and Inspection Sdn Bhd, Kuantan, MY</t>
        </is>
      </c>
      <c r="B83" t="inlineStr">
        <is>
          <t>Thailand</t>
        </is>
      </c>
      <c r="C83" t="n">
        <v>24</v>
      </c>
    </row>
    <row r="84">
      <c r="A84" t="inlineStr">
        <is>
          <t>Trans Certification and Inspection Sdn Bhd, Kuantan, MY</t>
        </is>
      </c>
      <c r="B84" t="inlineStr">
        <is>
          <t>Indonesia</t>
        </is>
      </c>
      <c r="C84" t="n">
        <v>21</v>
      </c>
    </row>
    <row r="85">
      <c r="A85" t="inlineStr">
        <is>
          <t>Trans Certification and Inspection Sdn Bhd, Kuantan, MY</t>
        </is>
      </c>
      <c r="B85" t="inlineStr">
        <is>
          <t>Singapore</t>
        </is>
      </c>
      <c r="C85" t="n">
        <v>19</v>
      </c>
    </row>
    <row r="86">
      <c r="A86" t="inlineStr">
        <is>
          <t>Trans Certification and Inspection Sdn Bhd, Kuantan, MY</t>
        </is>
      </c>
      <c r="B86" t="inlineStr">
        <is>
          <t>Japan</t>
        </is>
      </c>
      <c r="C86" t="n">
        <v>14</v>
      </c>
    </row>
    <row r="87">
      <c r="A87" t="inlineStr">
        <is>
          <t>Trans Certification and Inspection Sdn Bhd, Kuantan, MY</t>
        </is>
      </c>
      <c r="B87" t="inlineStr">
        <is>
          <t>China</t>
        </is>
      </c>
      <c r="C87" t="n">
        <v>12</v>
      </c>
    </row>
    <row r="88">
      <c r="A88" t="inlineStr">
        <is>
          <t>Trans Certification and Inspection Sdn Bhd, Kuantan, MY</t>
        </is>
      </c>
      <c r="B88" t="inlineStr">
        <is>
          <t>Turkey</t>
        </is>
      </c>
      <c r="C88" t="n">
        <v>12</v>
      </c>
    </row>
    <row r="89">
      <c r="A89" t="inlineStr">
        <is>
          <t>Trans Certification and Inspection Sdn Bhd, Kuantan, MY</t>
        </is>
      </c>
      <c r="B89" t="inlineStr">
        <is>
          <t>Türkiye</t>
        </is>
      </c>
      <c r="C89" t="n">
        <v>7</v>
      </c>
    </row>
    <row r="90">
      <c r="A90" t="inlineStr">
        <is>
          <t>Trans Certification and Inspection Sdn Bhd, Kuantan, MY</t>
        </is>
      </c>
      <c r="B90" t="inlineStr">
        <is>
          <t>Vietnam</t>
        </is>
      </c>
      <c r="C90" t="n">
        <v>7</v>
      </c>
    </row>
    <row r="91">
      <c r="A91" t="inlineStr">
        <is>
          <t>Trans Certification and Inspection Sdn Bhd, Kuantan, MY</t>
        </is>
      </c>
      <c r="B91" t="inlineStr">
        <is>
          <t>Gabon</t>
        </is>
      </c>
      <c r="C91" t="n">
        <v>5</v>
      </c>
    </row>
    <row r="92">
      <c r="A92" t="inlineStr">
        <is>
          <t>PT. Qualitas Sertifikasi Indonesia, Jakarta, ID</t>
        </is>
      </c>
      <c r="B92" t="inlineStr">
        <is>
          <t>Indonesia</t>
        </is>
      </c>
      <c r="C92" t="n">
        <v>321</v>
      </c>
    </row>
    <row r="93">
      <c r="A93" t="inlineStr">
        <is>
          <t>PT. Qualitas Sertifikasi Indonesia, Jakarta, ID</t>
        </is>
      </c>
      <c r="B93" t="inlineStr">
        <is>
          <t>Malaysia</t>
        </is>
      </c>
      <c r="C93" t="n">
        <v>13</v>
      </c>
    </row>
    <row r="94">
      <c r="A94" t="inlineStr">
        <is>
          <t>PT. Qualitas Sertifikasi Indonesia, Jakarta, ID</t>
        </is>
      </c>
      <c r="B94" t="inlineStr">
        <is>
          <t>Singapore</t>
        </is>
      </c>
      <c r="C94" t="n">
        <v>13</v>
      </c>
    </row>
    <row r="95">
      <c r="A95" t="inlineStr">
        <is>
          <t>PT. Qualitas Sertifikasi Indonesia, Jakarta, ID</t>
        </is>
      </c>
      <c r="B95" t="inlineStr">
        <is>
          <t>Japan</t>
        </is>
      </c>
      <c r="C95" t="n">
        <v>11</v>
      </c>
    </row>
    <row r="96">
      <c r="A96" t="inlineStr">
        <is>
          <t>PT. Qualitas Sertifikasi Indonesia, Jakarta, ID</t>
        </is>
      </c>
      <c r="B96" t="inlineStr">
        <is>
          <t>Pakistan</t>
        </is>
      </c>
      <c r="C96" t="n">
        <v>3</v>
      </c>
    </row>
    <row r="97">
      <c r="A97" t="inlineStr">
        <is>
          <t>PT. Qualitas Sertifikasi Indonesia, Jakarta, ID</t>
        </is>
      </c>
      <c r="B97" t="inlineStr">
        <is>
          <t>China</t>
        </is>
      </c>
      <c r="C97" t="n">
        <v>2</v>
      </c>
    </row>
    <row r="98">
      <c r="A98" t="inlineStr">
        <is>
          <t>PT. Qualitas Sertifikasi Indonesia, Jakarta, ID</t>
        </is>
      </c>
      <c r="B98" t="inlineStr">
        <is>
          <t>South Korea</t>
        </is>
      </c>
      <c r="C98" t="n">
        <v>2</v>
      </c>
    </row>
    <row r="99">
      <c r="A99" t="inlineStr">
        <is>
          <t>PT. Qualitas Sertifikasi Indonesia, Jakarta, ID</t>
        </is>
      </c>
      <c r="B99" t="inlineStr">
        <is>
          <t>Thailand</t>
        </is>
      </c>
      <c r="C99" t="n">
        <v>2</v>
      </c>
    </row>
    <row r="100">
      <c r="A100" t="inlineStr">
        <is>
          <t>PT. Qualitas Sertifikasi Indonesia, Jakarta, ID</t>
        </is>
      </c>
      <c r="B100" t="inlineStr">
        <is>
          <t>Vietnam</t>
        </is>
      </c>
      <c r="C100" t="n">
        <v>2</v>
      </c>
    </row>
    <row r="101">
      <c r="A101" t="inlineStr">
        <is>
          <t>PT. Qualitas Sertifikasi Indonesia, Jakarta, ID</t>
        </is>
      </c>
      <c r="B101" t="inlineStr">
        <is>
          <t>Taiwan</t>
        </is>
      </c>
      <c r="C101" t="n">
        <v>2</v>
      </c>
    </row>
    <row r="102">
      <c r="A102" t="inlineStr">
        <is>
          <t>DNV Business Assurance Sweden AB, Solna, SE</t>
        </is>
      </c>
      <c r="B102" t="inlineStr">
        <is>
          <t>Italy</t>
        </is>
      </c>
      <c r="C102" t="n">
        <v>102</v>
      </c>
    </row>
    <row r="103">
      <c r="A103" t="inlineStr">
        <is>
          <t>DNV Business Assurance Sweden AB, Solna, SE</t>
        </is>
      </c>
      <c r="B103" t="inlineStr">
        <is>
          <t>Sweden</t>
        </is>
      </c>
      <c r="C103" t="n">
        <v>67</v>
      </c>
    </row>
    <row r="104">
      <c r="A104" t="inlineStr">
        <is>
          <t>DNV Business Assurance Sweden AB, Solna, SE</t>
        </is>
      </c>
      <c r="B104" t="inlineStr">
        <is>
          <t>Finland</t>
        </is>
      </c>
      <c r="C104" t="n">
        <v>30</v>
      </c>
    </row>
    <row r="105">
      <c r="A105" t="inlineStr">
        <is>
          <t>DNV Business Assurance Sweden AB, Solna, SE</t>
        </is>
      </c>
      <c r="B105" t="inlineStr">
        <is>
          <t>United States</t>
        </is>
      </c>
      <c r="C105" t="n">
        <v>16</v>
      </c>
    </row>
    <row r="106">
      <c r="A106" t="inlineStr">
        <is>
          <t>DNV Business Assurance Sweden AB, Solna, SE</t>
        </is>
      </c>
      <c r="B106" t="inlineStr">
        <is>
          <t>Spain</t>
        </is>
      </c>
      <c r="C106" t="n">
        <v>15</v>
      </c>
    </row>
    <row r="107">
      <c r="A107" t="inlineStr">
        <is>
          <t>DNV Business Assurance Sweden AB, Solna, SE</t>
        </is>
      </c>
      <c r="B107" t="inlineStr">
        <is>
          <t>France</t>
        </is>
      </c>
      <c r="C107" t="n">
        <v>13</v>
      </c>
    </row>
    <row r="108">
      <c r="A108" t="inlineStr">
        <is>
          <t>DNV Business Assurance Sweden AB, Solna, SE</t>
        </is>
      </c>
      <c r="B108" t="inlineStr">
        <is>
          <t>Netherlands</t>
        </is>
      </c>
      <c r="C108" t="n">
        <v>13</v>
      </c>
    </row>
    <row r="109">
      <c r="A109" t="inlineStr">
        <is>
          <t>DNV Business Assurance Sweden AB, Solna, SE</t>
        </is>
      </c>
      <c r="B109" t="inlineStr">
        <is>
          <t>Germany</t>
        </is>
      </c>
      <c r="C109" t="n">
        <v>12</v>
      </c>
    </row>
    <row r="110">
      <c r="A110" t="inlineStr">
        <is>
          <t>DNV Business Assurance Sweden AB, Solna, SE</t>
        </is>
      </c>
      <c r="B110" t="inlineStr">
        <is>
          <t>Denmark</t>
        </is>
      </c>
      <c r="C110" t="n">
        <v>12</v>
      </c>
    </row>
    <row r="111">
      <c r="A111" t="inlineStr">
        <is>
          <t>DNV Business Assurance Sweden AB, Solna, SE</t>
        </is>
      </c>
      <c r="B111" t="inlineStr">
        <is>
          <t>Norway</t>
        </is>
      </c>
      <c r="C111" t="n">
        <v>11</v>
      </c>
    </row>
    <row r="112">
      <c r="A112" t="inlineStr">
        <is>
          <t>DEKRA Certification B.V., Arnhem, NL</t>
        </is>
      </c>
      <c r="B112" t="inlineStr">
        <is>
          <t>Netherlands</t>
        </is>
      </c>
      <c r="C112" t="n">
        <v>138</v>
      </c>
    </row>
    <row r="113">
      <c r="A113" t="inlineStr">
        <is>
          <t>DEKRA Certification B.V., Arnhem, NL</t>
        </is>
      </c>
      <c r="B113" t="inlineStr">
        <is>
          <t>The Netherlands</t>
        </is>
      </c>
      <c r="C113" t="n">
        <v>53</v>
      </c>
    </row>
    <row r="114">
      <c r="A114" t="inlineStr">
        <is>
          <t>DEKRA Certification B.V., Arnhem, NL</t>
        </is>
      </c>
      <c r="B114" t="inlineStr">
        <is>
          <t>Belgium</t>
        </is>
      </c>
      <c r="C114" t="n">
        <v>28</v>
      </c>
    </row>
    <row r="115">
      <c r="A115" t="inlineStr">
        <is>
          <t>DEKRA Certification B.V., Arnhem, NL</t>
        </is>
      </c>
      <c r="B115" t="inlineStr">
        <is>
          <t>Germany</t>
        </is>
      </c>
      <c r="C115" t="n">
        <v>19</v>
      </c>
    </row>
    <row r="116">
      <c r="A116" t="inlineStr">
        <is>
          <t>DEKRA Certification B.V., Arnhem, NL</t>
        </is>
      </c>
      <c r="B116" t="inlineStr">
        <is>
          <t>South Africa</t>
        </is>
      </c>
      <c r="C116" t="n">
        <v>13</v>
      </c>
    </row>
    <row r="117">
      <c r="A117" t="inlineStr">
        <is>
          <t>DEKRA Certification B.V., Arnhem, NL</t>
        </is>
      </c>
      <c r="B117" t="inlineStr">
        <is>
          <t>Sweden</t>
        </is>
      </c>
      <c r="C117" t="n">
        <v>11</v>
      </c>
    </row>
    <row r="118">
      <c r="A118" t="inlineStr">
        <is>
          <t>DEKRA Certification B.V., Arnhem, NL</t>
        </is>
      </c>
      <c r="B118" t="inlineStr">
        <is>
          <t>Norway</t>
        </is>
      </c>
      <c r="C118" t="n">
        <v>10</v>
      </c>
    </row>
    <row r="119">
      <c r="A119" t="inlineStr">
        <is>
          <t>DEKRA Certification B.V., Arnhem, NL</t>
        </is>
      </c>
      <c r="B119" t="inlineStr">
        <is>
          <t>United Kingdom</t>
        </is>
      </c>
      <c r="C119" t="n">
        <v>10</v>
      </c>
    </row>
    <row r="120">
      <c r="A120" t="inlineStr">
        <is>
          <t>DEKRA Certification B.V., Arnhem, NL</t>
        </is>
      </c>
      <c r="B120" t="inlineStr">
        <is>
          <t>United States</t>
        </is>
      </c>
      <c r="C120" t="n">
        <v>7</v>
      </c>
    </row>
    <row r="121">
      <c r="A121" t="inlineStr">
        <is>
          <t>DEKRA Certification B.V., Arnhem, NL</t>
        </is>
      </c>
      <c r="B121" t="inlineStr">
        <is>
          <t>The United Kingdom</t>
        </is>
      </c>
      <c r="C121" t="n">
        <v>6</v>
      </c>
    </row>
    <row r="122">
      <c r="A122" t="inlineStr">
        <is>
          <t>United Registrar of Systems Polska Sp. z o.o., Wrocław, PL</t>
        </is>
      </c>
      <c r="B122" t="inlineStr">
        <is>
          <t>Slovakia</t>
        </is>
      </c>
      <c r="C122" t="n">
        <v>127</v>
      </c>
    </row>
    <row r="123">
      <c r="A123" t="inlineStr">
        <is>
          <t>United Registrar of Systems Polska Sp. z o.o., Wrocław, PL</t>
        </is>
      </c>
      <c r="B123" t="inlineStr">
        <is>
          <t>Czech Republic</t>
        </is>
      </c>
      <c r="C123" t="n">
        <v>64</v>
      </c>
    </row>
    <row r="124">
      <c r="A124" t="inlineStr">
        <is>
          <t>United Registrar of Systems Polska Sp. z o.o., Wrocław, PL</t>
        </is>
      </c>
      <c r="B124" t="inlineStr">
        <is>
          <t>Ukraine</t>
        </is>
      </c>
      <c r="C124" t="n">
        <v>50</v>
      </c>
    </row>
    <row r="125">
      <c r="A125" t="inlineStr">
        <is>
          <t>United Registrar of Systems Polska Sp. z o.o., Wrocław, PL</t>
        </is>
      </c>
      <c r="B125" t="inlineStr">
        <is>
          <t>Poland</t>
        </is>
      </c>
      <c r="C125" t="n">
        <v>12</v>
      </c>
    </row>
    <row r="126">
      <c r="A126" t="inlineStr">
        <is>
          <t>United Registrar of Systems Polska Sp. z o.o., Wrocław, PL</t>
        </is>
      </c>
      <c r="B126" t="inlineStr">
        <is>
          <t>Portugal</t>
        </is>
      </c>
      <c r="C126" t="n">
        <v>5</v>
      </c>
    </row>
    <row r="127">
      <c r="A127" t="inlineStr">
        <is>
          <t>United Registrar of Systems Polska Sp. z o.o., Wrocław, PL</t>
        </is>
      </c>
      <c r="B127" t="inlineStr">
        <is>
          <t>Hungary</t>
        </is>
      </c>
      <c r="C127" t="n">
        <v>2</v>
      </c>
    </row>
    <row r="128">
      <c r="A128" t="inlineStr">
        <is>
          <t>United Registrar of Systems Polska Sp. z o.o., Wrocław, PL</t>
        </is>
      </c>
      <c r="B128" t="inlineStr">
        <is>
          <t>Spain</t>
        </is>
      </c>
      <c r="C128" t="n">
        <v>2</v>
      </c>
    </row>
    <row r="129">
      <c r="A129" t="inlineStr">
        <is>
          <t>United Registrar of Systems Polska Sp. z o.o., Wrocław, PL</t>
        </is>
      </c>
      <c r="B129" t="inlineStr">
        <is>
          <t>Slovenia</t>
        </is>
      </c>
      <c r="C129" t="n">
        <v>1</v>
      </c>
    </row>
    <row r="130">
      <c r="A130" t="inlineStr">
        <is>
          <t>United Registrar of Systems Polska Sp. z o.o., Wrocław, PL</t>
        </is>
      </c>
      <c r="B130" t="inlineStr">
        <is>
          <t>Cyprus</t>
        </is>
      </c>
      <c r="C130" t="n">
        <v>1</v>
      </c>
    </row>
    <row r="131">
      <c r="A131" t="inlineStr">
        <is>
          <t>United Registrar of Systems Polska Sp. z o.o., Wrocław, PL</t>
        </is>
      </c>
      <c r="B131" t="inlineStr">
        <is>
          <t>Switzerland</t>
        </is>
      </c>
      <c r="C131" t="n">
        <v>1</v>
      </c>
    </row>
    <row r="132">
      <c r="A132" t="inlineStr">
        <is>
          <t>TÜV NORD CERT GmbH, Essen, DE</t>
        </is>
      </c>
      <c r="B132" t="inlineStr">
        <is>
          <t>Germany</t>
        </is>
      </c>
      <c r="C132" t="n">
        <v>59</v>
      </c>
    </row>
    <row r="133">
      <c r="A133" t="inlineStr">
        <is>
          <t>TÜV NORD CERT GmbH, Essen, DE</t>
        </is>
      </c>
      <c r="B133" t="inlineStr">
        <is>
          <t>China</t>
        </is>
      </c>
      <c r="C133" t="n">
        <v>46</v>
      </c>
    </row>
    <row r="134">
      <c r="A134" t="inlineStr">
        <is>
          <t>TÜV NORD CERT GmbH, Essen, DE</t>
        </is>
      </c>
      <c r="B134" t="inlineStr">
        <is>
          <t>Malaysia</t>
        </is>
      </c>
      <c r="C134" t="n">
        <v>28</v>
      </c>
    </row>
    <row r="135">
      <c r="A135" t="inlineStr">
        <is>
          <t>TÜV NORD CERT GmbH, Essen, DE</t>
        </is>
      </c>
      <c r="B135" t="inlineStr">
        <is>
          <t>United States</t>
        </is>
      </c>
      <c r="C135" t="n">
        <v>23</v>
      </c>
    </row>
    <row r="136">
      <c r="A136" t="inlineStr">
        <is>
          <t>TÜV NORD CERT GmbH, Essen, DE</t>
        </is>
      </c>
      <c r="B136" t="inlineStr">
        <is>
          <t>Netherlands</t>
        </is>
      </c>
      <c r="C136" t="n">
        <v>17</v>
      </c>
    </row>
    <row r="137">
      <c r="A137" t="inlineStr">
        <is>
          <t>TÜV NORD CERT GmbH, Essen, DE</t>
        </is>
      </c>
      <c r="B137" t="inlineStr">
        <is>
          <t>Singapore</t>
        </is>
      </c>
      <c r="C137" t="n">
        <v>11</v>
      </c>
    </row>
    <row r="138">
      <c r="A138" t="inlineStr">
        <is>
          <t>TÜV NORD CERT GmbH, Essen, DE</t>
        </is>
      </c>
      <c r="B138" t="inlineStr">
        <is>
          <t>Belgium</t>
        </is>
      </c>
      <c r="C138" t="n">
        <v>9</v>
      </c>
    </row>
    <row r="139">
      <c r="A139" t="inlineStr">
        <is>
          <t>TÜV NORD CERT GmbH, Essen, DE</t>
        </is>
      </c>
      <c r="B139" t="inlineStr">
        <is>
          <t>Switzerland</t>
        </is>
      </c>
      <c r="C139" t="n">
        <v>8</v>
      </c>
    </row>
    <row r="140">
      <c r="A140" t="inlineStr">
        <is>
          <t>TÜV NORD CERT GmbH, Essen, DE</t>
        </is>
      </c>
      <c r="B140" t="inlineStr">
        <is>
          <t>Kazakhstan</t>
        </is>
      </c>
      <c r="C140" t="n">
        <v>4</v>
      </c>
    </row>
    <row r="141">
      <c r="A141" t="inlineStr">
        <is>
          <t>TÜV NORD CERT GmbH, Essen, DE</t>
        </is>
      </c>
      <c r="B141" t="inlineStr">
        <is>
          <t>Czech Republic</t>
        </is>
      </c>
      <c r="C141" t="n">
        <v>4</v>
      </c>
    </row>
    <row r="142">
      <c r="A142" t="inlineStr">
        <is>
          <t>Certificadora Gallega del Noroeste SL, Vilagarcia de Arousa-Pontevedra, ES</t>
        </is>
      </c>
      <c r="B142" t="inlineStr">
        <is>
          <t>Spain</t>
        </is>
      </c>
      <c r="C142" t="n">
        <v>61</v>
      </c>
    </row>
    <row r="143">
      <c r="A143" t="inlineStr">
        <is>
          <t>Certificadora Gallega del Noroeste SL, Vilagarcia de Arousa-Pontevedra, ES</t>
        </is>
      </c>
      <c r="B143" t="inlineStr">
        <is>
          <t>Hungary</t>
        </is>
      </c>
      <c r="C143" t="n">
        <v>58</v>
      </c>
    </row>
    <row r="144">
      <c r="A144" t="inlineStr">
        <is>
          <t>Certificadora Gallega del Noroeste SL, Vilagarcia de Arousa-Pontevedra, ES</t>
        </is>
      </c>
      <c r="B144" t="inlineStr">
        <is>
          <t>United States</t>
        </is>
      </c>
      <c r="C144" t="n">
        <v>28</v>
      </c>
    </row>
    <row r="145">
      <c r="A145" t="inlineStr">
        <is>
          <t>Certificadora Gallega del Noroeste SL, Vilagarcia de Arousa-Pontevedra, ES</t>
        </is>
      </c>
      <c r="B145" t="inlineStr">
        <is>
          <t>Portugal</t>
        </is>
      </c>
      <c r="C145" t="n">
        <v>22</v>
      </c>
    </row>
    <row r="146">
      <c r="A146" t="inlineStr">
        <is>
          <t>Certificadora Gallega del Noroeste SL, Vilagarcia de Arousa-Pontevedra, ES</t>
        </is>
      </c>
      <c r="B146" t="inlineStr">
        <is>
          <t>Colombia</t>
        </is>
      </c>
      <c r="C146" t="n">
        <v>16</v>
      </c>
    </row>
    <row r="147">
      <c r="A147" t="inlineStr">
        <is>
          <t>Certificadora Gallega del Noroeste SL, Vilagarcia de Arousa-Pontevedra, ES</t>
        </is>
      </c>
      <c r="B147" t="inlineStr">
        <is>
          <t>Argentina</t>
        </is>
      </c>
      <c r="C147" t="n">
        <v>13</v>
      </c>
    </row>
    <row r="148">
      <c r="A148" t="inlineStr">
        <is>
          <t>Certificadora Gallega del Noroeste SL, Vilagarcia de Arousa-Pontevedra, ES</t>
        </is>
      </c>
      <c r="B148" t="inlineStr">
        <is>
          <t>Switzerland</t>
        </is>
      </c>
      <c r="C148" t="n">
        <v>8</v>
      </c>
    </row>
    <row r="149">
      <c r="A149" t="inlineStr">
        <is>
          <t>Certificadora Gallega del Noroeste SL, Vilagarcia de Arousa-Pontevedra, ES</t>
        </is>
      </c>
      <c r="B149" t="inlineStr">
        <is>
          <t>Peru</t>
        </is>
      </c>
      <c r="C149" t="n">
        <v>8</v>
      </c>
    </row>
    <row r="150">
      <c r="A150" t="inlineStr">
        <is>
          <t>Certificadora Gallega del Noroeste SL, Vilagarcia de Arousa-Pontevedra, ES</t>
        </is>
      </c>
      <c r="B150" t="inlineStr">
        <is>
          <t>Panama</t>
        </is>
      </c>
      <c r="C150" t="n">
        <v>7</v>
      </c>
    </row>
    <row r="151">
      <c r="A151" t="inlineStr">
        <is>
          <t>Certificadora Gallega del Noroeste SL, Vilagarcia de Arousa-Pontevedra, ES</t>
        </is>
      </c>
      <c r="B151" t="inlineStr">
        <is>
          <t>Turkey</t>
        </is>
      </c>
      <c r="C151" t="n">
        <v>6</v>
      </c>
    </row>
    <row r="152">
      <c r="A152" t="inlineStr">
        <is>
          <t>ASG Cert GmbH, Munich, DE</t>
        </is>
      </c>
      <c r="B152" t="inlineStr">
        <is>
          <t>Malaysia</t>
        </is>
      </c>
      <c r="C152" t="n">
        <v>43</v>
      </c>
    </row>
    <row r="153">
      <c r="A153" t="inlineStr">
        <is>
          <t>ASG Cert GmbH, Munich, DE</t>
        </is>
      </c>
      <c r="B153" t="inlineStr">
        <is>
          <t>United States</t>
        </is>
      </c>
      <c r="C153" t="n">
        <v>32</v>
      </c>
    </row>
    <row r="154">
      <c r="A154" t="inlineStr">
        <is>
          <t>ASG Cert GmbH, Munich, DE</t>
        </is>
      </c>
      <c r="B154" t="inlineStr">
        <is>
          <t>Germany</t>
        </is>
      </c>
      <c r="C154" t="n">
        <v>26</v>
      </c>
    </row>
    <row r="155">
      <c r="A155" t="inlineStr">
        <is>
          <t>ASG Cert GmbH, Munich, DE</t>
        </is>
      </c>
      <c r="B155" t="inlineStr">
        <is>
          <t>Singapore</t>
        </is>
      </c>
      <c r="C155" t="n">
        <v>21</v>
      </c>
    </row>
    <row r="156">
      <c r="A156" t="inlineStr">
        <is>
          <t>ASG Cert GmbH, Munich, DE</t>
        </is>
      </c>
      <c r="B156" t="inlineStr">
        <is>
          <t>Indonesia</t>
        </is>
      </c>
      <c r="C156" t="n">
        <v>19</v>
      </c>
    </row>
    <row r="157">
      <c r="A157" t="inlineStr">
        <is>
          <t>ASG Cert GmbH, Munich, DE</t>
        </is>
      </c>
      <c r="B157" t="inlineStr">
        <is>
          <t>Switzerland</t>
        </is>
      </c>
      <c r="C157" t="n">
        <v>15</v>
      </c>
    </row>
    <row r="158">
      <c r="A158" t="inlineStr">
        <is>
          <t>ASG Cert GmbH, Munich, DE</t>
        </is>
      </c>
      <c r="B158" t="inlineStr">
        <is>
          <t>Norway</t>
        </is>
      </c>
      <c r="C158" t="n">
        <v>10</v>
      </c>
    </row>
    <row r="159">
      <c r="A159" t="inlineStr">
        <is>
          <t>ASG Cert GmbH, Munich, DE</t>
        </is>
      </c>
      <c r="B159" t="inlineStr">
        <is>
          <t>Netherlands</t>
        </is>
      </c>
      <c r="C159" t="n">
        <v>8</v>
      </c>
    </row>
    <row r="160">
      <c r="A160" t="inlineStr">
        <is>
          <t>ASG Cert GmbH, Munich, DE</t>
        </is>
      </c>
      <c r="B160" t="inlineStr">
        <is>
          <t>China</t>
        </is>
      </c>
      <c r="C160" t="n">
        <v>7</v>
      </c>
    </row>
    <row r="161">
      <c r="A161" t="inlineStr">
        <is>
          <t>ASG Cert GmbH, Munich, DE</t>
        </is>
      </c>
      <c r="B161" t="inlineStr">
        <is>
          <t>United Kingdom</t>
        </is>
      </c>
      <c r="C161" t="n">
        <v>6</v>
      </c>
    </row>
    <row r="162">
      <c r="A162" t="inlineStr">
        <is>
          <t>Amspec Iberia SL, Vilagarcia de Arousa-Pontevedra, ES</t>
        </is>
      </c>
      <c r="B162" t="inlineStr">
        <is>
          <t>Spain</t>
        </is>
      </c>
      <c r="C162" t="n">
        <v>66</v>
      </c>
    </row>
    <row r="163">
      <c r="A163" t="inlineStr">
        <is>
          <t>Amspec Iberia SL, Vilagarcia de Arousa-Pontevedra, ES</t>
        </is>
      </c>
      <c r="B163" t="inlineStr">
        <is>
          <t>Hungary</t>
        </is>
      </c>
      <c r="C163" t="n">
        <v>59</v>
      </c>
    </row>
    <row r="164">
      <c r="A164" t="inlineStr">
        <is>
          <t>Amspec Iberia SL, Vilagarcia de Arousa-Pontevedra, ES</t>
        </is>
      </c>
      <c r="B164" t="inlineStr">
        <is>
          <t>United States</t>
        </is>
      </c>
      <c r="C164" t="n">
        <v>23</v>
      </c>
    </row>
    <row r="165">
      <c r="A165" t="inlineStr">
        <is>
          <t>Amspec Iberia SL, Vilagarcia de Arousa-Pontevedra, ES</t>
        </is>
      </c>
      <c r="B165" t="inlineStr">
        <is>
          <t>Argentina</t>
        </is>
      </c>
      <c r="C165" t="n">
        <v>14</v>
      </c>
    </row>
    <row r="166">
      <c r="A166" t="inlineStr">
        <is>
          <t>Amspec Iberia SL, Vilagarcia de Arousa-Pontevedra, ES</t>
        </is>
      </c>
      <c r="B166" t="inlineStr">
        <is>
          <t>Portugal</t>
        </is>
      </c>
      <c r="C166" t="n">
        <v>12</v>
      </c>
    </row>
    <row r="167">
      <c r="A167" t="inlineStr">
        <is>
          <t>Amspec Iberia SL, Vilagarcia de Arousa-Pontevedra, ES</t>
        </is>
      </c>
      <c r="B167" t="inlineStr">
        <is>
          <t>Colombia</t>
        </is>
      </c>
      <c r="C167" t="n">
        <v>7</v>
      </c>
    </row>
    <row r="168">
      <c r="A168" t="inlineStr">
        <is>
          <t>Amspec Iberia SL, Vilagarcia de Arousa-Pontevedra, ES</t>
        </is>
      </c>
      <c r="B168" t="inlineStr">
        <is>
          <t>Canada</t>
        </is>
      </c>
      <c r="C168" t="n">
        <v>4</v>
      </c>
    </row>
    <row r="169">
      <c r="A169" t="inlineStr">
        <is>
          <t>Amspec Iberia SL, Vilagarcia de Arousa-Pontevedra, ES</t>
        </is>
      </c>
      <c r="B169" t="inlineStr">
        <is>
          <t>Mexico</t>
        </is>
      </c>
      <c r="C169" t="n">
        <v>4</v>
      </c>
    </row>
    <row r="170">
      <c r="A170" t="inlineStr">
        <is>
          <t>Amspec Iberia SL, Vilagarcia de Arousa-Pontevedra, ES</t>
        </is>
      </c>
      <c r="B170" t="inlineStr">
        <is>
          <t>Switzerland</t>
        </is>
      </c>
      <c r="C170" t="n">
        <v>3</v>
      </c>
    </row>
    <row r="171">
      <c r="A171" t="inlineStr">
        <is>
          <t>Amspec Iberia SL, Vilagarcia de Arousa-Pontevedra, ES</t>
        </is>
      </c>
      <c r="B171" t="inlineStr">
        <is>
          <t>Tunisia</t>
        </is>
      </c>
      <c r="C171" t="n">
        <v>3</v>
      </c>
    </row>
    <row r="172">
      <c r="A172" t="inlineStr">
        <is>
          <t>Double Helix Tracking Technologies Pte Ltd, Singapore, SG</t>
        </is>
      </c>
      <c r="B172" t="inlineStr">
        <is>
          <t>United Kingdom</t>
        </is>
      </c>
      <c r="C172" t="n">
        <v>79</v>
      </c>
    </row>
    <row r="173">
      <c r="A173" t="inlineStr">
        <is>
          <t>Double Helix Tracking Technologies Pte Ltd, Singapore, SG</t>
        </is>
      </c>
      <c r="B173" t="inlineStr">
        <is>
          <t>Singapore</t>
        </is>
      </c>
      <c r="C173" t="n">
        <v>39</v>
      </c>
    </row>
    <row r="174">
      <c r="A174" t="inlineStr">
        <is>
          <t>Double Helix Tracking Technologies Pte Ltd, Singapore, SG</t>
        </is>
      </c>
      <c r="B174" t="inlineStr">
        <is>
          <t>Ireland</t>
        </is>
      </c>
      <c r="C174" t="n">
        <v>10</v>
      </c>
    </row>
    <row r="175">
      <c r="A175" t="inlineStr">
        <is>
          <t>Double Helix Tracking Technologies Pte Ltd, Singapore, SG</t>
        </is>
      </c>
      <c r="B175" t="inlineStr">
        <is>
          <t>United States</t>
        </is>
      </c>
      <c r="C175" t="n">
        <v>8</v>
      </c>
    </row>
    <row r="176">
      <c r="A176" t="inlineStr">
        <is>
          <t>Double Helix Tracking Technologies Pte Ltd, Singapore, SG</t>
        </is>
      </c>
      <c r="B176" t="inlineStr">
        <is>
          <t>The United Kingdom</t>
        </is>
      </c>
      <c r="C176" t="n">
        <v>6</v>
      </c>
    </row>
    <row r="177">
      <c r="A177" t="inlineStr">
        <is>
          <t>Double Helix Tracking Technologies Pte Ltd, Singapore, SG</t>
        </is>
      </c>
      <c r="B177" t="inlineStr">
        <is>
          <t>France</t>
        </is>
      </c>
      <c r="C177" t="n">
        <v>5</v>
      </c>
    </row>
    <row r="178">
      <c r="A178" t="inlineStr">
        <is>
          <t>Double Helix Tracking Technologies Pte Ltd, Singapore, SG</t>
        </is>
      </c>
      <c r="B178" t="inlineStr">
        <is>
          <t>Switzerland</t>
        </is>
      </c>
      <c r="C178" t="n">
        <v>5</v>
      </c>
    </row>
    <row r="179">
      <c r="A179" t="inlineStr">
        <is>
          <t>Double Helix Tracking Technologies Pte Ltd, Singapore, SG</t>
        </is>
      </c>
      <c r="B179" t="inlineStr">
        <is>
          <t>South Africa</t>
        </is>
      </c>
      <c r="C179" t="n">
        <v>4</v>
      </c>
    </row>
    <row r="180">
      <c r="A180" t="inlineStr">
        <is>
          <t>Double Helix Tracking Technologies Pte Ltd, Singapore, SG</t>
        </is>
      </c>
      <c r="B180" t="inlineStr">
        <is>
          <t>Belgium</t>
        </is>
      </c>
      <c r="C180" t="n">
        <v>3</v>
      </c>
    </row>
    <row r="181">
      <c r="A181" t="inlineStr">
        <is>
          <t>Double Helix Tracking Technologies Pte Ltd, Singapore, SG</t>
        </is>
      </c>
      <c r="B181" t="inlineStr">
        <is>
          <t>Norway</t>
        </is>
      </c>
      <c r="C181" t="n">
        <v>3</v>
      </c>
    </row>
    <row r="182">
      <c r="A182" t="inlineStr">
        <is>
          <t>DIN CERTCO GmbH, Berlin, DE</t>
        </is>
      </c>
      <c r="B182" t="inlineStr">
        <is>
          <t>China</t>
        </is>
      </c>
      <c r="C182" t="n">
        <v>80</v>
      </c>
    </row>
    <row r="183">
      <c r="A183" t="inlineStr">
        <is>
          <t>DIN CERTCO GmbH, Berlin, DE</t>
        </is>
      </c>
      <c r="B183" t="inlineStr">
        <is>
          <t>Germany</t>
        </is>
      </c>
      <c r="C183" t="n">
        <v>36</v>
      </c>
    </row>
    <row r="184">
      <c r="A184" t="inlineStr">
        <is>
          <t>DIN CERTCO GmbH, Berlin, DE</t>
        </is>
      </c>
      <c r="B184" t="inlineStr">
        <is>
          <t>United States</t>
        </is>
      </c>
      <c r="C184" t="n">
        <v>6</v>
      </c>
    </row>
    <row r="185">
      <c r="A185" t="inlineStr">
        <is>
          <t>DIN CERTCO GmbH, Berlin, DE</t>
        </is>
      </c>
      <c r="B185" t="inlineStr">
        <is>
          <t>Hong Kong</t>
        </is>
      </c>
      <c r="C185" t="n">
        <v>5</v>
      </c>
    </row>
    <row r="186">
      <c r="A186" t="inlineStr">
        <is>
          <t>DIN CERTCO GmbH, Berlin, DE</t>
        </is>
      </c>
      <c r="B186" t="inlineStr">
        <is>
          <t>Belgium</t>
        </is>
      </c>
      <c r="C186" t="n">
        <v>5</v>
      </c>
    </row>
    <row r="187">
      <c r="A187" t="inlineStr">
        <is>
          <t>DIN CERTCO GmbH, Berlin, DE</t>
        </is>
      </c>
      <c r="B187" t="inlineStr">
        <is>
          <t>Austria</t>
        </is>
      </c>
      <c r="C187" t="n">
        <v>4</v>
      </c>
    </row>
    <row r="188">
      <c r="A188" t="inlineStr">
        <is>
          <t>DIN CERTCO GmbH, Berlin, DE</t>
        </is>
      </c>
      <c r="B188" t="inlineStr">
        <is>
          <t>Switzerland</t>
        </is>
      </c>
      <c r="C188" t="n">
        <v>4</v>
      </c>
    </row>
    <row r="189">
      <c r="A189" t="inlineStr">
        <is>
          <t>DIN CERTCO GmbH, Berlin, DE</t>
        </is>
      </c>
      <c r="B189" t="inlineStr">
        <is>
          <t>Japan</t>
        </is>
      </c>
      <c r="C189" t="n">
        <v>3</v>
      </c>
    </row>
    <row r="190">
      <c r="A190" t="inlineStr">
        <is>
          <t>DIN CERTCO GmbH, Berlin, DE</t>
        </is>
      </c>
      <c r="B190" t="inlineStr">
        <is>
          <t>Sweden</t>
        </is>
      </c>
      <c r="C190" t="n">
        <v>2</v>
      </c>
    </row>
    <row r="191">
      <c r="A191" t="inlineStr">
        <is>
          <t>DIN CERTCO GmbH, Berlin, DE</t>
        </is>
      </c>
      <c r="B191" t="inlineStr">
        <is>
          <t>Province of China</t>
        </is>
      </c>
      <c r="C191" t="n">
        <v>2</v>
      </c>
    </row>
    <row r="192">
      <c r="A192" t="inlineStr">
        <is>
          <t>DQS CFS GmbH - Deutsche Gesellschaft für Nachhaltigkeit, Frankfurt am Main, DE</t>
        </is>
      </c>
      <c r="B192" t="inlineStr">
        <is>
          <t>Germany</t>
        </is>
      </c>
      <c r="C192" t="n">
        <v>57</v>
      </c>
    </row>
    <row r="193">
      <c r="A193" t="inlineStr">
        <is>
          <t>DQS CFS GmbH - Deutsche Gesellschaft für Nachhaltigkeit, Frankfurt am Main, DE</t>
        </is>
      </c>
      <c r="B193" t="inlineStr">
        <is>
          <t>United States</t>
        </is>
      </c>
      <c r="C193" t="n">
        <v>23</v>
      </c>
    </row>
    <row r="194">
      <c r="A194" t="inlineStr">
        <is>
          <t>DQS CFS GmbH - Deutsche Gesellschaft für Nachhaltigkeit, Frankfurt am Main, DE</t>
        </is>
      </c>
      <c r="B194" t="inlineStr">
        <is>
          <t>China</t>
        </is>
      </c>
      <c r="C194" t="n">
        <v>17</v>
      </c>
    </row>
    <row r="195">
      <c r="A195" t="inlineStr">
        <is>
          <t>DQS CFS GmbH - Deutsche Gesellschaft für Nachhaltigkeit, Frankfurt am Main, DE</t>
        </is>
      </c>
      <c r="B195" t="inlineStr">
        <is>
          <t>France</t>
        </is>
      </c>
      <c r="C195" t="n">
        <v>10</v>
      </c>
    </row>
    <row r="196">
      <c r="A196" t="inlineStr">
        <is>
          <t>DQS CFS GmbH - Deutsche Gesellschaft für Nachhaltigkeit, Frankfurt am Main, DE</t>
        </is>
      </c>
      <c r="B196" t="inlineStr">
        <is>
          <t>Switzerland</t>
        </is>
      </c>
      <c r="C196" t="n">
        <v>6</v>
      </c>
    </row>
    <row r="197">
      <c r="A197" t="inlineStr">
        <is>
          <t>DQS CFS GmbH - Deutsche Gesellschaft für Nachhaltigkeit, Frankfurt am Main, DE</t>
        </is>
      </c>
      <c r="B197" t="inlineStr">
        <is>
          <t>The Netherlands</t>
        </is>
      </c>
      <c r="C197" t="n">
        <v>4</v>
      </c>
    </row>
    <row r="198">
      <c r="A198" t="inlineStr">
        <is>
          <t>DQS CFS GmbH - Deutsche Gesellschaft für Nachhaltigkeit, Frankfurt am Main, DE</t>
        </is>
      </c>
      <c r="B198" t="inlineStr">
        <is>
          <t>Luxembourg</t>
        </is>
      </c>
      <c r="C198" t="n">
        <v>4</v>
      </c>
    </row>
    <row r="199">
      <c r="A199" t="inlineStr">
        <is>
          <t>DQS CFS GmbH - Deutsche Gesellschaft für Nachhaltigkeit, Frankfurt am Main, DE</t>
        </is>
      </c>
      <c r="B199" t="inlineStr">
        <is>
          <t>Netherlands</t>
        </is>
      </c>
      <c r="C199" t="n">
        <v>4</v>
      </c>
    </row>
    <row r="200">
      <c r="A200" t="inlineStr">
        <is>
          <t>DQS CFS GmbH - Deutsche Gesellschaft für Nachhaltigkeit, Frankfurt am Main, DE</t>
        </is>
      </c>
      <c r="B200" t="inlineStr">
        <is>
          <t>Spain</t>
        </is>
      </c>
      <c r="C200" t="n">
        <v>3</v>
      </c>
    </row>
    <row r="201">
      <c r="A201" t="inlineStr">
        <is>
          <t>DQS CFS GmbH - Deutsche Gesellschaft für Nachhaltigkeit, Frankfurt am Main, DE</t>
        </is>
      </c>
      <c r="B201" t="inlineStr">
        <is>
          <t>Belgium</t>
        </is>
      </c>
      <c r="C201" t="n">
        <v>3</v>
      </c>
    </row>
    <row r="202">
      <c r="A202" t="inlineStr">
        <is>
          <t>GUT Certifizierungsgesellschaft für Managementsysteme mbH Umweltgutachter, Berlin, DE</t>
        </is>
      </c>
      <c r="B202" t="inlineStr">
        <is>
          <t>Germany</t>
        </is>
      </c>
      <c r="C202" t="n">
        <v>98</v>
      </c>
    </row>
    <row r="203">
      <c r="A203" t="inlineStr">
        <is>
          <t>GUT Certifizierungsgesellschaft für Managementsysteme mbH Umweltgutachter, Berlin, DE</t>
        </is>
      </c>
      <c r="B203" t="inlineStr">
        <is>
          <t>Denmark</t>
        </is>
      </c>
      <c r="C203" t="n">
        <v>7</v>
      </c>
    </row>
    <row r="204">
      <c r="A204" t="inlineStr">
        <is>
          <t>GUT Certifizierungsgesellschaft für Managementsysteme mbH Umweltgutachter, Berlin, DE</t>
        </is>
      </c>
      <c r="B204" t="inlineStr">
        <is>
          <t>Spain</t>
        </is>
      </c>
      <c r="C204" t="n">
        <v>4</v>
      </c>
    </row>
    <row r="205">
      <c r="A205" t="inlineStr">
        <is>
          <t>GUT Certifizierungsgesellschaft für Managementsysteme mbH Umweltgutachter, Berlin, DE</t>
        </is>
      </c>
      <c r="B205" t="inlineStr">
        <is>
          <t>Netherlands</t>
        </is>
      </c>
      <c r="C205" t="n">
        <v>4</v>
      </c>
    </row>
    <row r="206">
      <c r="A206" t="inlineStr">
        <is>
          <t>GUT Certifizierungsgesellschaft für Managementsysteme mbH Umweltgutachter, Berlin, DE</t>
        </is>
      </c>
      <c r="B206" t="inlineStr">
        <is>
          <t>Switzerland</t>
        </is>
      </c>
      <c r="C206" t="n">
        <v>4</v>
      </c>
    </row>
    <row r="207">
      <c r="A207" t="inlineStr">
        <is>
          <t>GUT Certifizierungsgesellschaft für Managementsysteme mbH Umweltgutachter, Berlin, DE</t>
        </is>
      </c>
      <c r="B207" t="inlineStr">
        <is>
          <t>Austria</t>
        </is>
      </c>
      <c r="C207" t="n">
        <v>3</v>
      </c>
    </row>
    <row r="208">
      <c r="A208" t="inlineStr">
        <is>
          <t>GUT Certifizierungsgesellschaft für Managementsysteme mbH Umweltgutachter, Berlin, DE</t>
        </is>
      </c>
      <c r="B208" t="inlineStr">
        <is>
          <t>France</t>
        </is>
      </c>
      <c r="C208" t="n">
        <v>3</v>
      </c>
    </row>
    <row r="209">
      <c r="A209" t="inlineStr">
        <is>
          <t>GUT Certifizierungsgesellschaft für Managementsysteme mbH Umweltgutachter, Berlin, DE</t>
        </is>
      </c>
      <c r="B209" t="inlineStr">
        <is>
          <t>Italy</t>
        </is>
      </c>
      <c r="C209" t="n">
        <v>3</v>
      </c>
    </row>
    <row r="210">
      <c r="A210" t="inlineStr">
        <is>
          <t>GUT Certifizierungsgesellschaft für Managementsysteme mbH Umweltgutachter, Berlin, DE</t>
        </is>
      </c>
      <c r="B210" t="inlineStr">
        <is>
          <t>The Netherlands</t>
        </is>
      </c>
      <c r="C210" t="n">
        <v>2</v>
      </c>
    </row>
    <row r="211">
      <c r="A211" t="inlineStr">
        <is>
          <t>GUT Certifizierungsgesellschaft für Managementsysteme mbH Umweltgutachter, Berlin, DE</t>
        </is>
      </c>
      <c r="B211" t="inlineStr">
        <is>
          <t>Hungary</t>
        </is>
      </c>
      <c r="C211" t="n">
        <v>1</v>
      </c>
    </row>
    <row r="212">
      <c r="A212" t="inlineStr">
        <is>
          <t>agroVet GmbH, Enzersfeld, AT</t>
        </is>
      </c>
      <c r="B212" t="inlineStr">
        <is>
          <t>Austria</t>
        </is>
      </c>
      <c r="C212" t="n">
        <v>106</v>
      </c>
    </row>
    <row r="213">
      <c r="A213" t="inlineStr">
        <is>
          <t>agroVet GmbH, Enzersfeld, AT</t>
        </is>
      </c>
      <c r="B213" t="inlineStr">
        <is>
          <t>Italy</t>
        </is>
      </c>
      <c r="C213" t="n">
        <v>8</v>
      </c>
    </row>
    <row r="214">
      <c r="A214" t="inlineStr">
        <is>
          <t>agroVet GmbH, Enzersfeld, AT</t>
        </is>
      </c>
      <c r="B214" t="inlineStr">
        <is>
          <t>Germany</t>
        </is>
      </c>
      <c r="C214" t="n">
        <v>4</v>
      </c>
    </row>
    <row r="215">
      <c r="A215" t="inlineStr">
        <is>
          <t>agroVet GmbH, Enzersfeld, AT</t>
        </is>
      </c>
      <c r="B215" t="inlineStr">
        <is>
          <t>Malaysia</t>
        </is>
      </c>
      <c r="C215" t="n">
        <v>4</v>
      </c>
    </row>
    <row r="216">
      <c r="A216" t="inlineStr">
        <is>
          <t>agroVet GmbH, Enzersfeld, AT</t>
        </is>
      </c>
      <c r="B216" t="inlineStr">
        <is>
          <t>Croatia</t>
        </is>
      </c>
      <c r="C216" t="n">
        <v>3</v>
      </c>
    </row>
    <row r="217">
      <c r="A217" t="inlineStr">
        <is>
          <t>agroVet GmbH, Enzersfeld, AT</t>
        </is>
      </c>
      <c r="B217" t="inlineStr">
        <is>
          <t>Slovenia</t>
        </is>
      </c>
      <c r="C217" t="n">
        <v>2</v>
      </c>
    </row>
    <row r="218">
      <c r="A218" t="inlineStr">
        <is>
          <t>agroVet GmbH, Enzersfeld, AT</t>
        </is>
      </c>
      <c r="B218" t="inlineStr">
        <is>
          <t>Singapore</t>
        </is>
      </c>
      <c r="C218" t="n">
        <v>2</v>
      </c>
    </row>
    <row r="219">
      <c r="A219" t="inlineStr">
        <is>
          <t>agroVet GmbH, Enzersfeld, AT</t>
        </is>
      </c>
      <c r="B219" t="inlineStr">
        <is>
          <t>Hungary</t>
        </is>
      </c>
      <c r="C219" t="n">
        <v>1</v>
      </c>
    </row>
    <row r="220">
      <c r="A220" t="inlineStr">
        <is>
          <t>agroVet GmbH, Enzersfeld, AT</t>
        </is>
      </c>
      <c r="B220" t="inlineStr">
        <is>
          <t>Bosnia and Herzegovina</t>
        </is>
      </c>
      <c r="C220" t="n">
        <v>1</v>
      </c>
    </row>
    <row r="221">
      <c r="A221" t="inlineStr">
        <is>
          <t>agroVet GmbH, Enzersfeld, AT</t>
        </is>
      </c>
      <c r="B221" t="inlineStr">
        <is>
          <t>Serbia</t>
        </is>
      </c>
      <c r="C221" t="n">
        <v>1</v>
      </c>
    </row>
    <row r="222">
      <c r="A222" t="inlineStr">
        <is>
          <t>TÜV SÜD Industrie Service GmbH, München, DE</t>
        </is>
      </c>
      <c r="B222" t="inlineStr">
        <is>
          <t>Germany</t>
        </is>
      </c>
      <c r="C222" t="n">
        <v>44</v>
      </c>
    </row>
    <row r="223">
      <c r="A223" t="inlineStr">
        <is>
          <t>TÜV SÜD Industrie Service GmbH, München, DE</t>
        </is>
      </c>
      <c r="B223" t="inlineStr">
        <is>
          <t>Austria</t>
        </is>
      </c>
      <c r="C223" t="n">
        <v>11</v>
      </c>
    </row>
    <row r="224">
      <c r="A224" t="inlineStr">
        <is>
          <t>TÜV SÜD Industrie Service GmbH, München, DE</t>
        </is>
      </c>
      <c r="B224" t="inlineStr">
        <is>
          <t>Japan</t>
        </is>
      </c>
      <c r="C224" t="n">
        <v>10</v>
      </c>
    </row>
    <row r="225">
      <c r="A225" t="inlineStr">
        <is>
          <t>TÜV SÜD Industrie Service GmbH, München, DE</t>
        </is>
      </c>
      <c r="B225" t="inlineStr">
        <is>
          <t>Switzerland</t>
        </is>
      </c>
      <c r="C225" t="n">
        <v>6</v>
      </c>
    </row>
    <row r="226">
      <c r="A226" t="inlineStr">
        <is>
          <t>TÜV SÜD Industrie Service GmbH, München, DE</t>
        </is>
      </c>
      <c r="B226" t="inlineStr">
        <is>
          <t>Netherlands</t>
        </is>
      </c>
      <c r="C226" t="n">
        <v>6</v>
      </c>
    </row>
    <row r="227">
      <c r="A227" t="inlineStr">
        <is>
          <t>TÜV SÜD Industrie Service GmbH, München, DE</t>
        </is>
      </c>
      <c r="B227" t="inlineStr">
        <is>
          <t>Italy</t>
        </is>
      </c>
      <c r="C227" t="n">
        <v>5</v>
      </c>
    </row>
    <row r="228">
      <c r="A228" t="inlineStr">
        <is>
          <t>TÜV SÜD Industrie Service GmbH, München, DE</t>
        </is>
      </c>
      <c r="B228" t="inlineStr">
        <is>
          <t>United States</t>
        </is>
      </c>
      <c r="C228" t="n">
        <v>5</v>
      </c>
    </row>
    <row r="229">
      <c r="A229" t="inlineStr">
        <is>
          <t>TÜV SÜD Industrie Service GmbH, München, DE</t>
        </is>
      </c>
      <c r="B229" t="inlineStr">
        <is>
          <t>India</t>
        </is>
      </c>
      <c r="C229" t="n">
        <v>5</v>
      </c>
    </row>
    <row r="230">
      <c r="A230" t="inlineStr">
        <is>
          <t>TÜV SÜD Industrie Service GmbH, München, DE</t>
        </is>
      </c>
      <c r="B230" t="inlineStr">
        <is>
          <t>United Kingdom</t>
        </is>
      </c>
      <c r="C230" t="n">
        <v>5</v>
      </c>
    </row>
    <row r="231">
      <c r="A231" t="inlineStr">
        <is>
          <t>TÜV SÜD Industrie Service GmbH, München, DE</t>
        </is>
      </c>
      <c r="B231" t="inlineStr">
        <is>
          <t>China</t>
        </is>
      </c>
      <c r="C231" t="n">
        <v>4</v>
      </c>
    </row>
    <row r="232">
      <c r="A232" t="inlineStr">
        <is>
          <t>PT. CBQA GLOBAL INDONESIA, JAKARTA SELATAN, ID</t>
        </is>
      </c>
      <c r="B232" t="inlineStr">
        <is>
          <t>Malaysia</t>
        </is>
      </c>
      <c r="C232" t="n">
        <v>47</v>
      </c>
    </row>
    <row r="233">
      <c r="A233" t="inlineStr">
        <is>
          <t>PT. CBQA GLOBAL INDONESIA, JAKARTA SELATAN, ID</t>
        </is>
      </c>
      <c r="B233" t="inlineStr">
        <is>
          <t>Indonesia</t>
        </is>
      </c>
      <c r="C233" t="n">
        <v>46</v>
      </c>
    </row>
    <row r="234">
      <c r="A234" t="inlineStr">
        <is>
          <t>PT. CBQA GLOBAL INDONESIA, JAKARTA SELATAN, ID</t>
        </is>
      </c>
      <c r="B234" t="inlineStr">
        <is>
          <t>Thailand</t>
        </is>
      </c>
      <c r="C234" t="n">
        <v>6</v>
      </c>
    </row>
    <row r="235">
      <c r="A235" t="inlineStr">
        <is>
          <t>PT. CBQA GLOBAL INDONESIA, JAKARTA SELATAN, ID</t>
        </is>
      </c>
      <c r="B235" t="inlineStr">
        <is>
          <t>Vietnam</t>
        </is>
      </c>
      <c r="C235" t="n">
        <v>5</v>
      </c>
    </row>
    <row r="236">
      <c r="A236" t="inlineStr">
        <is>
          <t>PT. CBQA GLOBAL INDONESIA, JAKARTA SELATAN, ID</t>
        </is>
      </c>
      <c r="B236" t="inlineStr">
        <is>
          <t>Taiwan (Province of China)</t>
        </is>
      </c>
      <c r="C236" t="n">
        <v>3</v>
      </c>
    </row>
    <row r="237">
      <c r="A237" t="inlineStr">
        <is>
          <t>PT. CBQA GLOBAL INDONESIA, JAKARTA SELATAN, ID</t>
        </is>
      </c>
      <c r="B237" t="inlineStr">
        <is>
          <t>Singapore</t>
        </is>
      </c>
      <c r="C237" t="n">
        <v>3</v>
      </c>
    </row>
    <row r="238">
      <c r="A238" t="inlineStr">
        <is>
          <t>PT. CBQA GLOBAL INDONESIA, JAKARTA SELATAN, ID</t>
        </is>
      </c>
      <c r="B238" t="inlineStr">
        <is>
          <t>Philippines</t>
        </is>
      </c>
      <c r="C238" t="n">
        <v>2</v>
      </c>
    </row>
    <row r="239">
      <c r="A239" t="inlineStr">
        <is>
          <t>PT. CBQA GLOBAL INDONESIA, JAKARTA SELATAN, ID</t>
        </is>
      </c>
      <c r="B239" t="inlineStr">
        <is>
          <t>Province of China</t>
        </is>
      </c>
      <c r="C239" t="n">
        <v>2</v>
      </c>
    </row>
    <row r="240">
      <c r="A240" t="inlineStr">
        <is>
          <t>PT. CBQA GLOBAL INDONESIA, JAKARTA SELATAN, ID</t>
        </is>
      </c>
      <c r="B240" t="inlineStr">
        <is>
          <t>Bahrain</t>
        </is>
      </c>
      <c r="C240" t="n">
        <v>1</v>
      </c>
    </row>
    <row r="241">
      <c r="A241" t="inlineStr">
        <is>
          <t>PT. CBQA GLOBAL INDONESIA, JAKARTA SELATAN, ID</t>
        </is>
      </c>
      <c r="B241" t="inlineStr">
        <is>
          <t>The United Arab Emirates</t>
        </is>
      </c>
      <c r="C241" t="n">
        <v>1</v>
      </c>
    </row>
    <row r="242">
      <c r="A242" t="inlineStr">
        <is>
          <t>Eurocert SA, Metamorfosi, Athens, GR</t>
        </is>
      </c>
      <c r="B242" t="inlineStr">
        <is>
          <t>Greece</t>
        </is>
      </c>
      <c r="C242" t="n">
        <v>91</v>
      </c>
    </row>
    <row r="243">
      <c r="A243" t="inlineStr">
        <is>
          <t>Eurocert SA, Metamorfosi, Athens, GR</t>
        </is>
      </c>
      <c r="B243" t="inlineStr">
        <is>
          <t>Cyprus</t>
        </is>
      </c>
      <c r="C243" t="n">
        <v>9</v>
      </c>
    </row>
    <row r="244">
      <c r="A244" t="inlineStr">
        <is>
          <t>Eurocert SA, Metamorfosi, Athens, GR</t>
        </is>
      </c>
      <c r="B244" t="inlineStr">
        <is>
          <t>Egypt</t>
        </is>
      </c>
      <c r="C244" t="n">
        <v>7</v>
      </c>
    </row>
    <row r="245">
      <c r="A245" t="inlineStr">
        <is>
          <t>Eurocert SA, Metamorfosi, Athens, GR</t>
        </is>
      </c>
      <c r="B245" t="inlineStr">
        <is>
          <t>The United Arab Emirates</t>
        </is>
      </c>
      <c r="C245" t="n">
        <v>3</v>
      </c>
    </row>
    <row r="246">
      <c r="A246" t="inlineStr">
        <is>
          <t>Eurocert SA, Metamorfosi, Athens, GR</t>
        </is>
      </c>
      <c r="B246" t="inlineStr">
        <is>
          <t>United Arab Emirates</t>
        </is>
      </c>
      <c r="C246" t="n">
        <v>3</v>
      </c>
    </row>
    <row r="247">
      <c r="A247" t="inlineStr">
        <is>
          <t>Eurocert SA, Metamorfosi, Athens, GR</t>
        </is>
      </c>
      <c r="B247" t="inlineStr">
        <is>
          <t>Switzerland</t>
        </is>
      </c>
      <c r="C247" t="n">
        <v>2</v>
      </c>
    </row>
    <row r="248">
      <c r="A248" t="inlineStr">
        <is>
          <t>Eurocert SA, Metamorfosi, Athens, GR</t>
        </is>
      </c>
      <c r="B248" t="inlineStr">
        <is>
          <t>France</t>
        </is>
      </c>
      <c r="C248" t="n">
        <v>1</v>
      </c>
    </row>
    <row r="249">
      <c r="A249" t="inlineStr">
        <is>
          <t>Eurocert SA, Metamorfosi, Athens, GR</t>
        </is>
      </c>
      <c r="B249" t="inlineStr">
        <is>
          <t>Georgia</t>
        </is>
      </c>
      <c r="C249" t="n">
        <v>1</v>
      </c>
    </row>
    <row r="250">
      <c r="A250" t="inlineStr">
        <is>
          <t>Eurocert SA, Metamorfosi, Athens, GR</t>
        </is>
      </c>
      <c r="B250" t="inlineStr">
        <is>
          <t>Spain</t>
        </is>
      </c>
      <c r="C250" t="n">
        <v>1</v>
      </c>
    </row>
    <row r="251">
      <c r="A251" t="inlineStr">
        <is>
          <t>Eurocert SA, Metamorfosi, Athens, GR</t>
        </is>
      </c>
      <c r="B251" t="inlineStr">
        <is>
          <t>Kuwait</t>
        </is>
      </c>
      <c r="C251" t="n">
        <v>1</v>
      </c>
    </row>
    <row r="252">
      <c r="A252" t="inlineStr">
        <is>
          <t>SRAC Cert SRL, Bucharest, RO</t>
        </is>
      </c>
      <c r="B252" t="inlineStr">
        <is>
          <t>Romania</t>
        </is>
      </c>
      <c r="C252" t="n">
        <v>108</v>
      </c>
    </row>
    <row r="253">
      <c r="A253" t="inlineStr">
        <is>
          <t>SRAC Cert SRL, Bucharest, RO</t>
        </is>
      </c>
      <c r="B253" t="inlineStr">
        <is>
          <t>Moldova</t>
        </is>
      </c>
      <c r="C253" t="n">
        <v>2</v>
      </c>
    </row>
    <row r="254">
      <c r="A254" t="inlineStr">
        <is>
          <t>SRAC Cert SRL, Bucharest, RO</t>
        </is>
      </c>
      <c r="B254" t="inlineStr">
        <is>
          <t>Germany</t>
        </is>
      </c>
      <c r="C254" t="n">
        <v>1</v>
      </c>
    </row>
    <row r="255">
      <c r="A255" t="inlineStr">
        <is>
          <t>SRAC Cert SRL, Bucharest, RO</t>
        </is>
      </c>
      <c r="B255" t="inlineStr">
        <is>
          <t>Montenegro</t>
        </is>
      </c>
      <c r="C255" t="n">
        <v>1</v>
      </c>
    </row>
    <row r="256">
      <c r="A256" t="inlineStr">
        <is>
          <t>SRAC Cert SRL, Bucharest, RO</t>
        </is>
      </c>
      <c r="B256" t="inlineStr"/>
      <c r="C256" t="n">
        <v>0</v>
      </c>
    </row>
    <row r="257">
      <c r="A257" t="inlineStr">
        <is>
          <t>SRAC Cert SRL, Bucharest, RO</t>
        </is>
      </c>
      <c r="B257" t="inlineStr"/>
      <c r="C257" t="n">
        <v>0</v>
      </c>
    </row>
    <row r="258">
      <c r="A258" t="inlineStr">
        <is>
          <t>SRAC Cert SRL, Bucharest, RO</t>
        </is>
      </c>
      <c r="B258" t="inlineStr"/>
      <c r="C258" t="n">
        <v>0</v>
      </c>
    </row>
    <row r="259">
      <c r="A259" t="inlineStr">
        <is>
          <t>SRAC Cert SRL, Bucharest, RO</t>
        </is>
      </c>
      <c r="B259" t="inlineStr"/>
      <c r="C259" t="n">
        <v>0</v>
      </c>
    </row>
    <row r="260">
      <c r="A260" t="inlineStr">
        <is>
          <t>SRAC Cert SRL, Bucharest, RO</t>
        </is>
      </c>
      <c r="B260" t="inlineStr"/>
      <c r="C260" t="n">
        <v>0</v>
      </c>
    </row>
    <row r="261">
      <c r="A261" t="inlineStr">
        <is>
          <t>SRAC Cert SRL, Bucharest, RO</t>
        </is>
      </c>
      <c r="B261" t="inlineStr"/>
      <c r="C261" t="n">
        <v>0</v>
      </c>
    </row>
    <row r="262">
      <c r="A262" t="inlineStr">
        <is>
          <t>Aardvark Certification Ltd, Wiveliscombe, Somerset, GB</t>
        </is>
      </c>
      <c r="B262" t="inlineStr">
        <is>
          <t>United Kingdom</t>
        </is>
      </c>
      <c r="C262" t="n">
        <v>60</v>
      </c>
    </row>
    <row r="263">
      <c r="A263" t="inlineStr">
        <is>
          <t>Aardvark Certification Ltd, Wiveliscombe, Somerset, GB</t>
        </is>
      </c>
      <c r="B263" t="inlineStr">
        <is>
          <t>The United Kingdom</t>
        </is>
      </c>
      <c r="C263" t="n">
        <v>15</v>
      </c>
    </row>
    <row r="264">
      <c r="A264" t="inlineStr">
        <is>
          <t>Aardvark Certification Ltd, Wiveliscombe, Somerset, GB</t>
        </is>
      </c>
      <c r="B264" t="inlineStr">
        <is>
          <t>Ireland</t>
        </is>
      </c>
      <c r="C264" t="n">
        <v>15</v>
      </c>
    </row>
    <row r="265">
      <c r="A265" t="inlineStr">
        <is>
          <t>Aardvark Certification Ltd, Wiveliscombe, Somerset, GB</t>
        </is>
      </c>
      <c r="B265" t="inlineStr">
        <is>
          <t>France</t>
        </is>
      </c>
      <c r="C265" t="n">
        <v>4</v>
      </c>
    </row>
    <row r="266">
      <c r="A266" t="inlineStr">
        <is>
          <t>Aardvark Certification Ltd, Wiveliscombe, Somerset, GB</t>
        </is>
      </c>
      <c r="B266" t="inlineStr">
        <is>
          <t>South Africa</t>
        </is>
      </c>
      <c r="C266" t="n">
        <v>3</v>
      </c>
    </row>
    <row r="267">
      <c r="A267" t="inlineStr">
        <is>
          <t>Aardvark Certification Ltd, Wiveliscombe, Somerset, GB</t>
        </is>
      </c>
      <c r="B267" t="inlineStr">
        <is>
          <t>Germany</t>
        </is>
      </c>
      <c r="C267" t="n">
        <v>3</v>
      </c>
    </row>
    <row r="268">
      <c r="A268" t="inlineStr">
        <is>
          <t>Aardvark Certification Ltd, Wiveliscombe, Somerset, GB</t>
        </is>
      </c>
      <c r="B268" t="inlineStr">
        <is>
          <t>United States</t>
        </is>
      </c>
      <c r="C268" t="n">
        <v>2</v>
      </c>
    </row>
    <row r="269">
      <c r="A269" t="inlineStr">
        <is>
          <t>Aardvark Certification Ltd, Wiveliscombe, Somerset, GB</t>
        </is>
      </c>
      <c r="B269" t="inlineStr">
        <is>
          <t>Malaysia</t>
        </is>
      </c>
      <c r="C269" t="n">
        <v>2</v>
      </c>
    </row>
    <row r="270">
      <c r="A270" t="inlineStr">
        <is>
          <t>Aardvark Certification Ltd, Wiveliscombe, Somerset, GB</t>
        </is>
      </c>
      <c r="B270" t="inlineStr">
        <is>
          <t>The United States of America</t>
        </is>
      </c>
      <c r="C270" t="n">
        <v>1</v>
      </c>
    </row>
    <row r="271">
      <c r="A271" t="inlineStr">
        <is>
          <t>Aardvark Certification Ltd, Wiveliscombe, Somerset, GB</t>
        </is>
      </c>
      <c r="B271" t="inlineStr">
        <is>
          <t>Egypt</t>
        </is>
      </c>
      <c r="C271" t="n">
        <v>1</v>
      </c>
    </row>
    <row r="272">
      <c r="A272" t="inlineStr">
        <is>
          <t>ICIM SpA, sesto san giovanni, IT</t>
        </is>
      </c>
      <c r="B272" t="inlineStr">
        <is>
          <t>Italy</t>
        </is>
      </c>
      <c r="C272" t="n">
        <v>79</v>
      </c>
    </row>
    <row r="273">
      <c r="A273" t="inlineStr">
        <is>
          <t>ICIM SpA, sesto san giovanni, IT</t>
        </is>
      </c>
      <c r="B273" t="inlineStr">
        <is>
          <t>Panama</t>
        </is>
      </c>
      <c r="C273" t="n">
        <v>7</v>
      </c>
    </row>
    <row r="274">
      <c r="A274" t="inlineStr">
        <is>
          <t>ICIM SpA, sesto san giovanni, IT</t>
        </is>
      </c>
      <c r="B274" t="inlineStr">
        <is>
          <t>Jordan</t>
        </is>
      </c>
      <c r="C274" t="n">
        <v>2</v>
      </c>
    </row>
    <row r="275">
      <c r="A275" t="inlineStr">
        <is>
          <t>ICIM SpA, sesto san giovanni, IT</t>
        </is>
      </c>
      <c r="B275" t="inlineStr">
        <is>
          <t>Saudi Arabia</t>
        </is>
      </c>
      <c r="C275" t="n">
        <v>2</v>
      </c>
    </row>
    <row r="276">
      <c r="A276" t="inlineStr">
        <is>
          <t>ICIM SpA, sesto san giovanni, IT</t>
        </is>
      </c>
      <c r="B276" t="inlineStr">
        <is>
          <t>Lebanon</t>
        </is>
      </c>
      <c r="C276" t="n">
        <v>2</v>
      </c>
    </row>
    <row r="277">
      <c r="A277" t="inlineStr">
        <is>
          <t>ICIM SpA, sesto san giovanni, IT</t>
        </is>
      </c>
      <c r="B277" t="inlineStr">
        <is>
          <t>Tunisia</t>
        </is>
      </c>
      <c r="C277" t="n">
        <v>2</v>
      </c>
    </row>
    <row r="278">
      <c r="A278" t="inlineStr">
        <is>
          <t>ICIM SpA, sesto san giovanni, IT</t>
        </is>
      </c>
      <c r="B278" t="inlineStr">
        <is>
          <t>Malta</t>
        </is>
      </c>
      <c r="C278" t="n">
        <v>2</v>
      </c>
    </row>
    <row r="279">
      <c r="A279" t="inlineStr">
        <is>
          <t>ICIM SpA, sesto san giovanni, IT</t>
        </is>
      </c>
      <c r="B279" t="inlineStr">
        <is>
          <t>Czech Republic</t>
        </is>
      </c>
      <c r="C279" t="n">
        <v>1</v>
      </c>
    </row>
    <row r="280">
      <c r="A280" t="inlineStr">
        <is>
          <t>ICIM SpA, sesto san giovanni, IT</t>
        </is>
      </c>
      <c r="B280" t="inlineStr">
        <is>
          <t>The United Arab Emirates</t>
        </is>
      </c>
      <c r="C280" t="n">
        <v>1</v>
      </c>
    </row>
    <row r="281">
      <c r="A281" t="inlineStr">
        <is>
          <t>ICIM SpA, sesto san giovanni, IT</t>
        </is>
      </c>
      <c r="B281" t="inlineStr">
        <is>
          <t>Switzerland</t>
        </is>
      </c>
      <c r="C281" t="n">
        <v>1</v>
      </c>
    </row>
    <row r="282">
      <c r="A282" t="inlineStr">
        <is>
          <t>CTI Certification Co. Ltd, Shenzhen, CN</t>
        </is>
      </c>
      <c r="B282" t="inlineStr">
        <is>
          <t>China</t>
        </is>
      </c>
      <c r="C282" t="n">
        <v>91</v>
      </c>
    </row>
    <row r="283">
      <c r="A283" t="inlineStr">
        <is>
          <t>CTI Certification Co. Ltd, Shenzhen, CN</t>
        </is>
      </c>
      <c r="B283" t="inlineStr">
        <is>
          <t>Singapore</t>
        </is>
      </c>
      <c r="C283" t="n">
        <v>9</v>
      </c>
    </row>
    <row r="284">
      <c r="A284" t="inlineStr">
        <is>
          <t>CTI Certification Co. Ltd, Shenzhen, CN</t>
        </is>
      </c>
      <c r="B284" t="inlineStr">
        <is>
          <t>Vietnam</t>
        </is>
      </c>
      <c r="C284" t="n">
        <v>1</v>
      </c>
    </row>
    <row r="285">
      <c r="A285" t="inlineStr">
        <is>
          <t>CTI Certification Co. Ltd, Shenzhen, CN</t>
        </is>
      </c>
      <c r="B285" t="inlineStr"/>
      <c r="C285" t="n">
        <v>0</v>
      </c>
    </row>
    <row r="286">
      <c r="A286" t="inlineStr">
        <is>
          <t>CTI Certification Co. Ltd, Shenzhen, CN</t>
        </is>
      </c>
      <c r="B286" t="inlineStr"/>
      <c r="C286" t="n">
        <v>0</v>
      </c>
    </row>
    <row r="287">
      <c r="A287" t="inlineStr">
        <is>
          <t>CTI Certification Co. Ltd, Shenzhen, CN</t>
        </is>
      </c>
      <c r="B287" t="inlineStr"/>
      <c r="C287" t="n">
        <v>0</v>
      </c>
    </row>
    <row r="288">
      <c r="A288" t="inlineStr">
        <is>
          <t>CTI Certification Co. Ltd, Shenzhen, CN</t>
        </is>
      </c>
      <c r="B288" t="inlineStr"/>
      <c r="C288" t="n">
        <v>0</v>
      </c>
    </row>
    <row r="289">
      <c r="A289" t="inlineStr">
        <is>
          <t>CTI Certification Co. Ltd, Shenzhen, CN</t>
        </is>
      </c>
      <c r="B289" t="inlineStr"/>
      <c r="C289" t="n">
        <v>0</v>
      </c>
    </row>
    <row r="290">
      <c r="A290" t="inlineStr">
        <is>
          <t>CTI Certification Co. Ltd, Shenzhen, CN</t>
        </is>
      </c>
      <c r="B290" t="inlineStr"/>
      <c r="C290" t="n">
        <v>0</v>
      </c>
    </row>
    <row r="291">
      <c r="A291" t="inlineStr">
        <is>
          <t>CTI Certification Co. Ltd, Shenzhen, CN</t>
        </is>
      </c>
      <c r="B291" t="inlineStr"/>
      <c r="C291" t="n">
        <v>0</v>
      </c>
    </row>
    <row r="292">
      <c r="A292" t="inlineStr">
        <is>
          <t>China Quality Certification Centre Co., Ltd., Beijing, CN</t>
        </is>
      </c>
      <c r="B292" t="inlineStr">
        <is>
          <t>China</t>
        </is>
      </c>
      <c r="C292" t="n">
        <v>87</v>
      </c>
    </row>
    <row r="293">
      <c r="A293" t="inlineStr">
        <is>
          <t>China Quality Certification Centre Co., Ltd., Beijing, CN</t>
        </is>
      </c>
      <c r="B293" t="inlineStr">
        <is>
          <t>Vietnam</t>
        </is>
      </c>
      <c r="C293" t="n">
        <v>6</v>
      </c>
    </row>
    <row r="294">
      <c r="A294" t="inlineStr">
        <is>
          <t>China Quality Certification Centre Co., Ltd., Beijing, CN</t>
        </is>
      </c>
      <c r="B294" t="inlineStr">
        <is>
          <t>Indonesia</t>
        </is>
      </c>
      <c r="C294" t="n">
        <v>3</v>
      </c>
    </row>
    <row r="295">
      <c r="A295" t="inlineStr">
        <is>
          <t>China Quality Certification Centre Co., Ltd., Beijing, CN</t>
        </is>
      </c>
      <c r="B295" t="inlineStr">
        <is>
          <t>Hong Kong</t>
        </is>
      </c>
      <c r="C295" t="n">
        <v>2</v>
      </c>
    </row>
    <row r="296">
      <c r="A296" t="inlineStr">
        <is>
          <t>China Quality Certification Centre Co., Ltd., Beijing, CN</t>
        </is>
      </c>
      <c r="B296" t="inlineStr">
        <is>
          <t>Province of China</t>
        </is>
      </c>
      <c r="C296" t="n">
        <v>2</v>
      </c>
    </row>
    <row r="297">
      <c r="A297" t="inlineStr">
        <is>
          <t>China Quality Certification Centre Co., Ltd., Beijing, CN</t>
        </is>
      </c>
      <c r="B297" t="inlineStr">
        <is>
          <t>Taiwan</t>
        </is>
      </c>
      <c r="C297" t="n">
        <v>1</v>
      </c>
    </row>
    <row r="298">
      <c r="A298" t="inlineStr">
        <is>
          <t>China Quality Certification Centre Co., Ltd., Beijing, CN</t>
        </is>
      </c>
      <c r="B298" t="inlineStr"/>
      <c r="C298" t="n">
        <v>0</v>
      </c>
    </row>
    <row r="299">
      <c r="A299" t="inlineStr">
        <is>
          <t>China Quality Certification Centre Co., Ltd., Beijing, CN</t>
        </is>
      </c>
      <c r="B299" t="inlineStr"/>
      <c r="C299" t="n">
        <v>0</v>
      </c>
    </row>
    <row r="300">
      <c r="A300" t="inlineStr">
        <is>
          <t>China Quality Certification Centre Co., Ltd., Beijing, CN</t>
        </is>
      </c>
      <c r="B300" t="inlineStr"/>
      <c r="C300" t="n">
        <v>0</v>
      </c>
    </row>
    <row r="301">
      <c r="A301" t="inlineStr">
        <is>
          <t>China Quality Certification Centre Co., Ltd., Beijing, CN</t>
        </is>
      </c>
      <c r="B301" t="inlineStr"/>
      <c r="C301" t="n">
        <v>0</v>
      </c>
    </row>
    <row r="302">
      <c r="A302" t="inlineStr">
        <is>
          <t>PT SBC Asia Sertifikasi, Kebumen, ID</t>
        </is>
      </c>
      <c r="B302" t="inlineStr">
        <is>
          <t>Indonesia</t>
        </is>
      </c>
      <c r="C302" t="n">
        <v>71</v>
      </c>
    </row>
    <row r="303">
      <c r="A303" t="inlineStr">
        <is>
          <t>PT SBC Asia Sertifikasi, Kebumen, ID</t>
        </is>
      </c>
      <c r="B303" t="inlineStr">
        <is>
          <t>Malaysia</t>
        </is>
      </c>
      <c r="C303" t="n">
        <v>15</v>
      </c>
    </row>
    <row r="304">
      <c r="A304" t="inlineStr">
        <is>
          <t>PT SBC Asia Sertifikasi, Kebumen, ID</t>
        </is>
      </c>
      <c r="B304" t="inlineStr">
        <is>
          <t>Singapore</t>
        </is>
      </c>
      <c r="C304" t="n">
        <v>7</v>
      </c>
    </row>
    <row r="305">
      <c r="A305" t="inlineStr">
        <is>
          <t>PT SBC Asia Sertifikasi, Kebumen, ID</t>
        </is>
      </c>
      <c r="B305" t="inlineStr">
        <is>
          <t>United Arab Emirates</t>
        </is>
      </c>
      <c r="C305" t="n">
        <v>2</v>
      </c>
    </row>
    <row r="306">
      <c r="A306" t="inlineStr">
        <is>
          <t>PT SBC Asia Sertifikasi, Kebumen, ID</t>
        </is>
      </c>
      <c r="B306" t="inlineStr">
        <is>
          <t>Philippines</t>
        </is>
      </c>
      <c r="C306" t="n">
        <v>1</v>
      </c>
    </row>
    <row r="307">
      <c r="A307" t="inlineStr">
        <is>
          <t>PT SBC Asia Sertifikasi, Kebumen, ID</t>
        </is>
      </c>
      <c r="B307" t="inlineStr">
        <is>
          <t>China</t>
        </is>
      </c>
      <c r="C307" t="n">
        <v>1</v>
      </c>
    </row>
    <row r="308">
      <c r="A308" t="inlineStr">
        <is>
          <t>PT SBC Asia Sertifikasi, Kebumen, ID</t>
        </is>
      </c>
      <c r="B308" t="inlineStr">
        <is>
          <t>Germany</t>
        </is>
      </c>
      <c r="C308" t="n">
        <v>1</v>
      </c>
    </row>
    <row r="309">
      <c r="A309" t="inlineStr">
        <is>
          <t>PT SBC Asia Sertifikasi, Kebumen, ID</t>
        </is>
      </c>
      <c r="B309" t="inlineStr">
        <is>
          <t>Türkiye</t>
        </is>
      </c>
      <c r="C309" t="n">
        <v>1</v>
      </c>
    </row>
    <row r="310">
      <c r="A310" t="inlineStr">
        <is>
          <t>PT SBC Asia Sertifikasi, Kebumen, ID</t>
        </is>
      </c>
      <c r="B310" t="inlineStr"/>
      <c r="C310" t="n">
        <v>0</v>
      </c>
    </row>
    <row r="311">
      <c r="A311" t="inlineStr">
        <is>
          <t>PT SBC Asia Sertifikasi, Kebumen, ID</t>
        </is>
      </c>
      <c r="B311" t="inlineStr"/>
      <c r="C311" t="n">
        <v>0</v>
      </c>
    </row>
    <row r="312">
      <c r="A312" t="inlineStr">
        <is>
          <t>Cotecna India Inspection Pvt Ltd, Kolkata, IN</t>
        </is>
      </c>
      <c r="B312" t="inlineStr">
        <is>
          <t>India</t>
        </is>
      </c>
      <c r="C312" t="n">
        <v>80</v>
      </c>
    </row>
    <row r="313">
      <c r="A313" t="inlineStr">
        <is>
          <t>Cotecna India Inspection Pvt Ltd, Kolkata, IN</t>
        </is>
      </c>
      <c r="B313" t="inlineStr">
        <is>
          <t>Saudi Arabia</t>
        </is>
      </c>
      <c r="C313" t="n">
        <v>5</v>
      </c>
    </row>
    <row r="314">
      <c r="A314" t="inlineStr">
        <is>
          <t>Cotecna India Inspection Pvt Ltd, Kolkata, IN</t>
        </is>
      </c>
      <c r="B314" t="inlineStr">
        <is>
          <t>United Arab Emirates</t>
        </is>
      </c>
      <c r="C314" t="n">
        <v>4</v>
      </c>
    </row>
    <row r="315">
      <c r="A315" t="inlineStr">
        <is>
          <t>Cotecna India Inspection Pvt Ltd, Kolkata, IN</t>
        </is>
      </c>
      <c r="B315" t="inlineStr">
        <is>
          <t>South Africa</t>
        </is>
      </c>
      <c r="C315" t="n">
        <v>2</v>
      </c>
    </row>
    <row r="316">
      <c r="A316" t="inlineStr">
        <is>
          <t>Cotecna India Inspection Pvt Ltd, Kolkata, IN</t>
        </is>
      </c>
      <c r="B316" t="inlineStr">
        <is>
          <t>Egypt</t>
        </is>
      </c>
      <c r="C316" t="n">
        <v>2</v>
      </c>
    </row>
    <row r="317">
      <c r="A317" t="inlineStr">
        <is>
          <t>Cotecna India Inspection Pvt Ltd, Kolkata, IN</t>
        </is>
      </c>
      <c r="B317" t="inlineStr">
        <is>
          <t>Thailand</t>
        </is>
      </c>
      <c r="C317" t="n">
        <v>1</v>
      </c>
    </row>
    <row r="318">
      <c r="A318" t="inlineStr">
        <is>
          <t>Cotecna India Inspection Pvt Ltd, Kolkata, IN</t>
        </is>
      </c>
      <c r="B318" t="inlineStr">
        <is>
          <t>Oman</t>
        </is>
      </c>
      <c r="C318" t="n">
        <v>1</v>
      </c>
    </row>
    <row r="319">
      <c r="A319" t="inlineStr">
        <is>
          <t>Cotecna India Inspection Pvt Ltd, Kolkata, IN</t>
        </is>
      </c>
      <c r="B319" t="inlineStr">
        <is>
          <t>United Kingdom</t>
        </is>
      </c>
      <c r="C319" t="n">
        <v>1</v>
      </c>
    </row>
    <row r="320">
      <c r="A320" t="inlineStr">
        <is>
          <t>Cotecna India Inspection Pvt Ltd, Kolkata, IN</t>
        </is>
      </c>
      <c r="B320" t="inlineStr">
        <is>
          <t>Mauritius</t>
        </is>
      </c>
      <c r="C320" t="n">
        <v>1</v>
      </c>
    </row>
    <row r="321">
      <c r="A321" t="inlineStr">
        <is>
          <t>Cotecna India Inspection Pvt Ltd, Kolkata, IN</t>
        </is>
      </c>
      <c r="B321" t="inlineStr">
        <is>
          <t>Ireland</t>
        </is>
      </c>
      <c r="C321" t="n">
        <v>1</v>
      </c>
    </row>
    <row r="322">
      <c r="A322" t="inlineStr">
        <is>
          <t>PT Mutuagung Lestari, Depok, ID</t>
        </is>
      </c>
      <c r="B322" t="inlineStr">
        <is>
          <t>Indonesia</t>
        </is>
      </c>
      <c r="C322" t="n">
        <v>45</v>
      </c>
    </row>
    <row r="323">
      <c r="A323" t="inlineStr">
        <is>
          <t>PT Mutuagung Lestari, Depok, ID</t>
        </is>
      </c>
      <c r="B323" t="inlineStr">
        <is>
          <t>Malaysia</t>
        </is>
      </c>
      <c r="C323" t="n">
        <v>20</v>
      </c>
    </row>
    <row r="324">
      <c r="A324" t="inlineStr">
        <is>
          <t>PT Mutuagung Lestari, Depok, ID</t>
        </is>
      </c>
      <c r="B324" t="inlineStr">
        <is>
          <t>Saudi Arabia</t>
        </is>
      </c>
      <c r="C324" t="n">
        <v>6</v>
      </c>
    </row>
    <row r="325">
      <c r="A325" t="inlineStr">
        <is>
          <t>PT Mutuagung Lestari, Depok, ID</t>
        </is>
      </c>
      <c r="B325" t="inlineStr">
        <is>
          <t>Singapore</t>
        </is>
      </c>
      <c r="C325" t="n">
        <v>5</v>
      </c>
    </row>
    <row r="326">
      <c r="A326" t="inlineStr">
        <is>
          <t>PT Mutuagung Lestari, Depok, ID</t>
        </is>
      </c>
      <c r="B326" t="inlineStr">
        <is>
          <t>Oman</t>
        </is>
      </c>
      <c r="C326" t="n">
        <v>4</v>
      </c>
    </row>
    <row r="327">
      <c r="A327" t="inlineStr">
        <is>
          <t>PT Mutuagung Lestari, Depok, ID</t>
        </is>
      </c>
      <c r="B327" t="inlineStr">
        <is>
          <t>United Arab Emirates</t>
        </is>
      </c>
      <c r="C327" t="n">
        <v>4</v>
      </c>
    </row>
    <row r="328">
      <c r="A328" t="inlineStr">
        <is>
          <t>PT Mutuagung Lestari, Depok, ID</t>
        </is>
      </c>
      <c r="B328" t="inlineStr">
        <is>
          <t>India</t>
        </is>
      </c>
      <c r="C328" t="n">
        <v>2</v>
      </c>
    </row>
    <row r="329">
      <c r="A329" t="inlineStr">
        <is>
          <t>PT Mutuagung Lestari, Depok, ID</t>
        </is>
      </c>
      <c r="B329" t="inlineStr">
        <is>
          <t>Philippines</t>
        </is>
      </c>
      <c r="C329" t="n">
        <v>2</v>
      </c>
    </row>
    <row r="330">
      <c r="A330" t="inlineStr">
        <is>
          <t>PT Mutuagung Lestari, Depok, ID</t>
        </is>
      </c>
      <c r="B330" t="inlineStr">
        <is>
          <t>Thailand</t>
        </is>
      </c>
      <c r="C330" t="n">
        <v>2</v>
      </c>
    </row>
    <row r="331">
      <c r="A331" t="inlineStr">
        <is>
          <t>PT Mutuagung Lestari, Depok, ID</t>
        </is>
      </c>
      <c r="B331" t="inlineStr">
        <is>
          <t>The United Arab Emirates</t>
        </is>
      </c>
      <c r="C331" t="n">
        <v>1</v>
      </c>
    </row>
    <row r="332">
      <c r="A332" t="inlineStr">
        <is>
          <t>Normec QS BV, Ede, NL</t>
        </is>
      </c>
      <c r="B332" t="inlineStr">
        <is>
          <t>Netherlands</t>
        </is>
      </c>
      <c r="C332" t="n">
        <v>56</v>
      </c>
    </row>
    <row r="333">
      <c r="A333" t="inlineStr">
        <is>
          <t>Normec QS BV, Ede, NL</t>
        </is>
      </c>
      <c r="B333" t="inlineStr">
        <is>
          <t>The Netherlands</t>
        </is>
      </c>
      <c r="C333" t="n">
        <v>23</v>
      </c>
    </row>
    <row r="334">
      <c r="A334" t="inlineStr">
        <is>
          <t>Normec QS BV, Ede, NL</t>
        </is>
      </c>
      <c r="B334" t="inlineStr">
        <is>
          <t>Finland</t>
        </is>
      </c>
      <c r="C334" t="n">
        <v>5</v>
      </c>
    </row>
    <row r="335">
      <c r="A335" t="inlineStr">
        <is>
          <t>Normec QS BV, Ede, NL</t>
        </is>
      </c>
      <c r="B335" t="inlineStr">
        <is>
          <t>Germany</t>
        </is>
      </c>
      <c r="C335" t="n">
        <v>3</v>
      </c>
    </row>
    <row r="336">
      <c r="A336" t="inlineStr">
        <is>
          <t>Normec QS BV, Ede, NL</t>
        </is>
      </c>
      <c r="B336" t="inlineStr">
        <is>
          <t>Belgium</t>
        </is>
      </c>
      <c r="C336" t="n">
        <v>2</v>
      </c>
    </row>
    <row r="337">
      <c r="A337" t="inlineStr">
        <is>
          <t>Normec QS BV, Ede, NL</t>
        </is>
      </c>
      <c r="B337" t="inlineStr">
        <is>
          <t>United States</t>
        </is>
      </c>
      <c r="C337" t="n">
        <v>2</v>
      </c>
    </row>
    <row r="338">
      <c r="A338" t="inlineStr">
        <is>
          <t>Normec QS BV, Ede, NL</t>
        </is>
      </c>
      <c r="B338" t="inlineStr">
        <is>
          <t>France</t>
        </is>
      </c>
      <c r="C338" t="n">
        <v>2</v>
      </c>
    </row>
    <row r="339">
      <c r="A339" t="inlineStr">
        <is>
          <t>Normec QS BV, Ede, NL</t>
        </is>
      </c>
      <c r="B339" t="inlineStr">
        <is>
          <t>Switzerland</t>
        </is>
      </c>
      <c r="C339" t="n">
        <v>1</v>
      </c>
    </row>
    <row r="340">
      <c r="A340" t="inlineStr">
        <is>
          <t>Normec QS BV, Ede, NL</t>
        </is>
      </c>
      <c r="B340" t="inlineStr"/>
      <c r="C340" t="n">
        <v>0</v>
      </c>
    </row>
    <row r="341">
      <c r="A341" t="inlineStr">
        <is>
          <t>Normec QS BV, Ede, NL</t>
        </is>
      </c>
      <c r="B341" t="inlineStr"/>
      <c r="C341" t="n">
        <v>0</v>
      </c>
    </row>
    <row r="342">
      <c r="A342" t="inlineStr">
        <is>
          <t>Baltic Control Certification, Albertslund, DK</t>
        </is>
      </c>
      <c r="B342" t="inlineStr">
        <is>
          <t>Denmark</t>
        </is>
      </c>
      <c r="C342" t="n">
        <v>47</v>
      </c>
    </row>
    <row r="343">
      <c r="A343" t="inlineStr">
        <is>
          <t>Baltic Control Certification, Albertslund, DK</t>
        </is>
      </c>
      <c r="B343" t="inlineStr">
        <is>
          <t>Bulgaria</t>
        </is>
      </c>
      <c r="C343" t="n">
        <v>14</v>
      </c>
    </row>
    <row r="344">
      <c r="A344" t="inlineStr">
        <is>
          <t>Baltic Control Certification, Albertslund, DK</t>
        </is>
      </c>
      <c r="B344" t="inlineStr">
        <is>
          <t>Ukraine</t>
        </is>
      </c>
      <c r="C344" t="n">
        <v>10</v>
      </c>
    </row>
    <row r="345">
      <c r="A345" t="inlineStr">
        <is>
          <t>Baltic Control Certification, Albertslund, DK</t>
        </is>
      </c>
      <c r="B345" t="inlineStr">
        <is>
          <t>Singapore</t>
        </is>
      </c>
      <c r="C345" t="n">
        <v>4</v>
      </c>
    </row>
    <row r="346">
      <c r="A346" t="inlineStr">
        <is>
          <t>Baltic Control Certification, Albertslund, DK</t>
        </is>
      </c>
      <c r="B346" t="inlineStr">
        <is>
          <t>Norway</t>
        </is>
      </c>
      <c r="C346" t="n">
        <v>4</v>
      </c>
    </row>
    <row r="347">
      <c r="A347" t="inlineStr">
        <is>
          <t>Baltic Control Certification, Albertslund, DK</t>
        </is>
      </c>
      <c r="B347" t="inlineStr">
        <is>
          <t>Spain</t>
        </is>
      </c>
      <c r="C347" t="n">
        <v>2</v>
      </c>
    </row>
    <row r="348">
      <c r="A348" t="inlineStr">
        <is>
          <t>Baltic Control Certification, Albertslund, DK</t>
        </is>
      </c>
      <c r="B348" t="inlineStr">
        <is>
          <t>Switzerland</t>
        </is>
      </c>
      <c r="C348" t="n">
        <v>2</v>
      </c>
    </row>
    <row r="349">
      <c r="A349" t="inlineStr">
        <is>
          <t>Baltic Control Certification, Albertslund, DK</t>
        </is>
      </c>
      <c r="B349" t="inlineStr">
        <is>
          <t>Taiwan (Province of China)</t>
        </is>
      </c>
      <c r="C349" t="n">
        <v>1</v>
      </c>
    </row>
    <row r="350">
      <c r="A350" t="inlineStr">
        <is>
          <t>Baltic Control Certification, Albertslund, DK</t>
        </is>
      </c>
      <c r="B350" t="inlineStr">
        <is>
          <t>The United States of America</t>
        </is>
      </c>
      <c r="C350" t="n">
        <v>1</v>
      </c>
    </row>
    <row r="351">
      <c r="A351" t="inlineStr">
        <is>
          <t>Baltic Control Certification, Albertslund, DK</t>
        </is>
      </c>
      <c r="B351" t="inlineStr">
        <is>
          <t>Sweden</t>
        </is>
      </c>
      <c r="C351" t="n">
        <v>1</v>
      </c>
    </row>
    <row r="352">
      <c r="A352" t="inlineStr">
        <is>
          <t>TÜV SÜD Czech s.r.o., Praha 4, CZ</t>
        </is>
      </c>
      <c r="B352" t="inlineStr">
        <is>
          <t>Czech Republic</t>
        </is>
      </c>
      <c r="C352" t="n">
        <v>79</v>
      </c>
    </row>
    <row r="353">
      <c r="A353" t="inlineStr">
        <is>
          <t>TÜV SÜD Czech s.r.o., Praha 4, CZ</t>
        </is>
      </c>
      <c r="B353" t="inlineStr">
        <is>
          <t>Slovakia</t>
        </is>
      </c>
      <c r="C353" t="n">
        <v>8</v>
      </c>
    </row>
    <row r="354">
      <c r="A354" t="inlineStr">
        <is>
          <t>TÜV SÜD Czech s.r.o., Praha 4, CZ</t>
        </is>
      </c>
      <c r="B354" t="inlineStr">
        <is>
          <t>Isle of Man</t>
        </is>
      </c>
      <c r="C354" t="n">
        <v>1</v>
      </c>
    </row>
    <row r="355">
      <c r="A355" t="inlineStr">
        <is>
          <t>TÜV SÜD Czech s.r.o., Praha 4, CZ</t>
        </is>
      </c>
      <c r="B355" t="inlineStr">
        <is>
          <t>Hungary</t>
        </is>
      </c>
      <c r="C355" t="n">
        <v>1</v>
      </c>
    </row>
    <row r="356">
      <c r="A356" t="inlineStr">
        <is>
          <t>TÜV SÜD Czech s.r.o., Praha 4, CZ</t>
        </is>
      </c>
      <c r="B356" t="inlineStr"/>
      <c r="C356" t="n">
        <v>0</v>
      </c>
    </row>
    <row r="357">
      <c r="A357" t="inlineStr">
        <is>
          <t>TÜV SÜD Czech s.r.o., Praha 4, CZ</t>
        </is>
      </c>
      <c r="B357" t="inlineStr"/>
      <c r="C357" t="n">
        <v>0</v>
      </c>
    </row>
    <row r="358">
      <c r="A358" t="inlineStr">
        <is>
          <t>TÜV SÜD Czech s.r.o., Praha 4, CZ</t>
        </is>
      </c>
      <c r="B358" t="inlineStr"/>
      <c r="C358" t="n">
        <v>0</v>
      </c>
    </row>
    <row r="359">
      <c r="A359" t="inlineStr">
        <is>
          <t>TÜV SÜD Czech s.r.o., Praha 4, CZ</t>
        </is>
      </c>
      <c r="B359" t="inlineStr"/>
      <c r="C359" t="n">
        <v>0</v>
      </c>
    </row>
    <row r="360">
      <c r="A360" t="inlineStr">
        <is>
          <t>TÜV SÜD Czech s.r.o., Praha 4, CZ</t>
        </is>
      </c>
      <c r="B360" t="inlineStr"/>
      <c r="C360" t="n">
        <v>0</v>
      </c>
    </row>
    <row r="361">
      <c r="A361" t="inlineStr">
        <is>
          <t>TÜV SÜD Czech s.r.o., Praha 4, CZ</t>
        </is>
      </c>
      <c r="B361" t="inlineStr"/>
      <c r="C361" t="n">
        <v>0</v>
      </c>
    </row>
    <row r="362">
      <c r="A362" t="inlineStr">
        <is>
          <t>Baltic Control Certification, Risskov, DK</t>
        </is>
      </c>
      <c r="B362" t="inlineStr">
        <is>
          <t>Denmark</t>
        </is>
      </c>
      <c r="C362" t="n">
        <v>51</v>
      </c>
    </row>
    <row r="363">
      <c r="A363" t="inlineStr">
        <is>
          <t>Baltic Control Certification, Risskov, DK</t>
        </is>
      </c>
      <c r="B363" t="inlineStr">
        <is>
          <t>Norway</t>
        </is>
      </c>
      <c r="C363" t="n">
        <v>5</v>
      </c>
    </row>
    <row r="364">
      <c r="A364" t="inlineStr">
        <is>
          <t>Baltic Control Certification, Risskov, DK</t>
        </is>
      </c>
      <c r="B364" t="inlineStr">
        <is>
          <t>Bulgaria</t>
        </is>
      </c>
      <c r="C364" t="n">
        <v>4</v>
      </c>
    </row>
    <row r="365">
      <c r="A365" t="inlineStr">
        <is>
          <t>Baltic Control Certification, Risskov, DK</t>
        </is>
      </c>
      <c r="B365" t="inlineStr">
        <is>
          <t>Ukraine</t>
        </is>
      </c>
      <c r="C365" t="n">
        <v>4</v>
      </c>
    </row>
    <row r="366">
      <c r="A366" t="inlineStr">
        <is>
          <t>Baltic Control Certification, Risskov, DK</t>
        </is>
      </c>
      <c r="B366" t="inlineStr">
        <is>
          <t>United States</t>
        </is>
      </c>
      <c r="C366" t="n">
        <v>4</v>
      </c>
    </row>
    <row r="367">
      <c r="A367" t="inlineStr">
        <is>
          <t>Baltic Control Certification, Risskov, DK</t>
        </is>
      </c>
      <c r="B367" t="inlineStr">
        <is>
          <t>United Arab Emirates</t>
        </is>
      </c>
      <c r="C367" t="n">
        <v>3</v>
      </c>
    </row>
    <row r="368">
      <c r="A368" t="inlineStr">
        <is>
          <t>Baltic Control Certification, Risskov, DK</t>
        </is>
      </c>
      <c r="B368" t="inlineStr">
        <is>
          <t>Sweden</t>
        </is>
      </c>
      <c r="C368" t="n">
        <v>2</v>
      </c>
    </row>
    <row r="369">
      <c r="A369" t="inlineStr">
        <is>
          <t>Baltic Control Certification, Risskov, DK</t>
        </is>
      </c>
      <c r="B369" t="inlineStr">
        <is>
          <t>Switzerland</t>
        </is>
      </c>
      <c r="C369" t="n">
        <v>2</v>
      </c>
    </row>
    <row r="370">
      <c r="A370" t="inlineStr">
        <is>
          <t>Baltic Control Certification, Risskov, DK</t>
        </is>
      </c>
      <c r="B370" t="inlineStr">
        <is>
          <t>Mexico</t>
        </is>
      </c>
      <c r="C370" t="n">
        <v>2</v>
      </c>
    </row>
    <row r="371">
      <c r="A371" t="inlineStr">
        <is>
          <t>Baltic Control Certification, Risskov, DK</t>
        </is>
      </c>
      <c r="B371" t="inlineStr">
        <is>
          <t>United Kingdom</t>
        </is>
      </c>
      <c r="C371" t="n">
        <v>2</v>
      </c>
    </row>
    <row r="372">
      <c r="A372" t="inlineStr">
        <is>
          <t>Global Gateway Certifications Sdn Bhd, Ampang, MY</t>
        </is>
      </c>
      <c r="B372" t="inlineStr">
        <is>
          <t>Malaysia</t>
        </is>
      </c>
      <c r="C372" t="n">
        <v>63</v>
      </c>
    </row>
    <row r="373">
      <c r="A373" t="inlineStr">
        <is>
          <t>Global Gateway Certifications Sdn Bhd, Ampang, MY</t>
        </is>
      </c>
      <c r="B373" t="inlineStr">
        <is>
          <t>Indonesia</t>
        </is>
      </c>
      <c r="C373" t="n">
        <v>4</v>
      </c>
    </row>
    <row r="374">
      <c r="A374" t="inlineStr">
        <is>
          <t>Global Gateway Certifications Sdn Bhd, Ampang, MY</t>
        </is>
      </c>
      <c r="B374" t="inlineStr">
        <is>
          <t>Singapore</t>
        </is>
      </c>
      <c r="C374" t="n">
        <v>3</v>
      </c>
    </row>
    <row r="375">
      <c r="A375" t="inlineStr">
        <is>
          <t>Global Gateway Certifications Sdn Bhd, Ampang, MY</t>
        </is>
      </c>
      <c r="B375" t="inlineStr">
        <is>
          <t>Switzerland</t>
        </is>
      </c>
      <c r="C375" t="n">
        <v>1</v>
      </c>
    </row>
    <row r="376">
      <c r="A376" t="inlineStr">
        <is>
          <t>Global Gateway Certifications Sdn Bhd, Ampang, MY</t>
        </is>
      </c>
      <c r="B376" t="inlineStr">
        <is>
          <t>The United Arab Emirates</t>
        </is>
      </c>
      <c r="C376" t="n">
        <v>1</v>
      </c>
    </row>
    <row r="377">
      <c r="A377" t="inlineStr">
        <is>
          <t>Global Gateway Certifications Sdn Bhd, Ampang, MY</t>
        </is>
      </c>
      <c r="B377" t="inlineStr"/>
      <c r="C377" t="n">
        <v>0</v>
      </c>
    </row>
    <row r="378">
      <c r="A378" t="inlineStr">
        <is>
          <t>Global Gateway Certifications Sdn Bhd, Ampang, MY</t>
        </is>
      </c>
      <c r="B378" t="inlineStr"/>
      <c r="C378" t="n">
        <v>0</v>
      </c>
    </row>
    <row r="379">
      <c r="A379" t="inlineStr">
        <is>
          <t>Global Gateway Certifications Sdn Bhd, Ampang, MY</t>
        </is>
      </c>
      <c r="B379" t="inlineStr"/>
      <c r="C379" t="n">
        <v>0</v>
      </c>
    </row>
    <row r="380">
      <c r="A380" t="inlineStr">
        <is>
          <t>Global Gateway Certifications Sdn Bhd, Ampang, MY</t>
        </is>
      </c>
      <c r="B380" t="inlineStr"/>
      <c r="C380" t="n">
        <v>0</v>
      </c>
    </row>
    <row r="381">
      <c r="A381" t="inlineStr">
        <is>
          <t>Global Gateway Certifications Sdn Bhd, Ampang, MY</t>
        </is>
      </c>
      <c r="B381" t="inlineStr"/>
      <c r="C381" t="n">
        <v>0</v>
      </c>
    </row>
    <row r="382">
      <c r="A382" t="inlineStr">
        <is>
          <t>Korean Foundation for Quality, Songpa-gu, Seoul, KR</t>
        </is>
      </c>
      <c r="B382" t="inlineStr">
        <is>
          <t>South Korea</t>
        </is>
      </c>
      <c r="C382" t="n">
        <v>53</v>
      </c>
    </row>
    <row r="383">
      <c r="A383" t="inlineStr">
        <is>
          <t>Korean Foundation for Quality, Songpa-gu, Seoul, KR</t>
        </is>
      </c>
      <c r="B383" t="inlineStr">
        <is>
          <t>The Republic of Korea</t>
        </is>
      </c>
      <c r="C383" t="n">
        <v>8</v>
      </c>
    </row>
    <row r="384">
      <c r="A384" t="inlineStr">
        <is>
          <t>Korean Foundation for Quality, Songpa-gu, Seoul, KR</t>
        </is>
      </c>
      <c r="B384" t="inlineStr">
        <is>
          <t>Republic of</t>
        </is>
      </c>
      <c r="C384" t="n">
        <v>8</v>
      </c>
    </row>
    <row r="385">
      <c r="A385" t="inlineStr">
        <is>
          <t>Korean Foundation for Quality, Songpa-gu, Seoul, KR</t>
        </is>
      </c>
      <c r="B385" t="inlineStr">
        <is>
          <t>Japan</t>
        </is>
      </c>
      <c r="C385" t="n">
        <v>1</v>
      </c>
    </row>
    <row r="386">
      <c r="A386" t="inlineStr">
        <is>
          <t>Korean Foundation for Quality, Songpa-gu, Seoul, KR</t>
        </is>
      </c>
      <c r="B386" t="inlineStr"/>
      <c r="C386" t="n">
        <v>0</v>
      </c>
    </row>
    <row r="387">
      <c r="A387" t="inlineStr">
        <is>
          <t>Korean Foundation for Quality, Songpa-gu, Seoul, KR</t>
        </is>
      </c>
      <c r="B387" t="inlineStr"/>
      <c r="C387" t="n">
        <v>0</v>
      </c>
    </row>
    <row r="388">
      <c r="A388" t="inlineStr">
        <is>
          <t>Korean Foundation for Quality, Songpa-gu, Seoul, KR</t>
        </is>
      </c>
      <c r="B388" t="inlineStr"/>
      <c r="C388" t="n">
        <v>0</v>
      </c>
    </row>
    <row r="389">
      <c r="A389" t="inlineStr">
        <is>
          <t>Korean Foundation for Quality, Songpa-gu, Seoul, KR</t>
        </is>
      </c>
      <c r="B389" t="inlineStr"/>
      <c r="C389" t="n">
        <v>0</v>
      </c>
    </row>
    <row r="390">
      <c r="A390" t="inlineStr">
        <is>
          <t>Korean Foundation for Quality, Songpa-gu, Seoul, KR</t>
        </is>
      </c>
      <c r="B390" t="inlineStr"/>
      <c r="C390" t="n">
        <v>0</v>
      </c>
    </row>
    <row r="391">
      <c r="A391" t="inlineStr">
        <is>
          <t>Korean Foundation for Quality, Songpa-gu, Seoul, KR</t>
        </is>
      </c>
      <c r="B391" t="inlineStr"/>
      <c r="C391" t="n">
        <v>0</v>
      </c>
    </row>
    <row r="392">
      <c r="A392" t="inlineStr">
        <is>
          <t>China Standard Conformity Assessment Co. Ltd, Beijing, CN</t>
        </is>
      </c>
      <c r="B392" t="inlineStr">
        <is>
          <t>China</t>
        </is>
      </c>
      <c r="C392" t="n">
        <v>41</v>
      </c>
    </row>
    <row r="393">
      <c r="A393" t="inlineStr">
        <is>
          <t>China Standard Conformity Assessment Co. Ltd, Beijing, CN</t>
        </is>
      </c>
      <c r="B393" t="inlineStr">
        <is>
          <t>Singapore</t>
        </is>
      </c>
      <c r="C393" t="n">
        <v>11</v>
      </c>
    </row>
    <row r="394">
      <c r="A394" t="inlineStr">
        <is>
          <t>China Standard Conformity Assessment Co. Ltd, Beijing, CN</t>
        </is>
      </c>
      <c r="B394" t="inlineStr">
        <is>
          <t>Vietnam</t>
        </is>
      </c>
      <c r="C394" t="n">
        <v>3</v>
      </c>
    </row>
    <row r="395">
      <c r="A395" t="inlineStr">
        <is>
          <t>China Standard Conformity Assessment Co. Ltd, Beijing, CN</t>
        </is>
      </c>
      <c r="B395" t="inlineStr">
        <is>
          <t>Philippines</t>
        </is>
      </c>
      <c r="C395" t="n">
        <v>2</v>
      </c>
    </row>
    <row r="396">
      <c r="A396" t="inlineStr">
        <is>
          <t>China Standard Conformity Assessment Co. Ltd, Beijing, CN</t>
        </is>
      </c>
      <c r="B396" t="inlineStr">
        <is>
          <t>Hong Kong</t>
        </is>
      </c>
      <c r="C396" t="n">
        <v>1</v>
      </c>
    </row>
    <row r="397">
      <c r="A397" t="inlineStr">
        <is>
          <t>China Standard Conformity Assessment Co. Ltd, Beijing, CN</t>
        </is>
      </c>
      <c r="B397" t="inlineStr"/>
      <c r="C397" t="n">
        <v>0</v>
      </c>
    </row>
    <row r="398">
      <c r="A398" t="inlineStr">
        <is>
          <t>China Standard Conformity Assessment Co. Ltd, Beijing, CN</t>
        </is>
      </c>
      <c r="B398" t="inlineStr"/>
      <c r="C398" t="n">
        <v>0</v>
      </c>
    </row>
    <row r="399">
      <c r="A399" t="inlineStr">
        <is>
          <t>China Standard Conformity Assessment Co. Ltd, Beijing, CN</t>
        </is>
      </c>
      <c r="B399" t="inlineStr"/>
      <c r="C399" t="n">
        <v>0</v>
      </c>
    </row>
    <row r="400">
      <c r="A400" t="inlineStr">
        <is>
          <t>China Standard Conformity Assessment Co. Ltd, Beijing, CN</t>
        </is>
      </c>
      <c r="B400" t="inlineStr"/>
      <c r="C400" t="n">
        <v>0</v>
      </c>
    </row>
    <row r="401">
      <c r="A401" t="inlineStr">
        <is>
          <t>China Standard Conformity Assessment Co. Ltd, Beijing, CN</t>
        </is>
      </c>
      <c r="B401" t="inlineStr"/>
      <c r="C401" t="n">
        <v>0</v>
      </c>
    </row>
    <row r="402">
      <c r="A402" t="inlineStr">
        <is>
          <t>Aciter Genelab LLC, Odessa, UA</t>
        </is>
      </c>
      <c r="B402" t="inlineStr">
        <is>
          <t>Ukraine</t>
        </is>
      </c>
      <c r="C402" t="n">
        <v>35</v>
      </c>
    </row>
    <row r="403">
      <c r="A403" t="inlineStr">
        <is>
          <t>Aciter Genelab LLC, Odessa, UA</t>
        </is>
      </c>
      <c r="B403" t="inlineStr">
        <is>
          <t>Cyprus</t>
        </is>
      </c>
      <c r="C403" t="n">
        <v>6</v>
      </c>
    </row>
    <row r="404">
      <c r="A404" t="inlineStr">
        <is>
          <t>Aciter Genelab LLC, Odessa, UA</t>
        </is>
      </c>
      <c r="B404" t="inlineStr">
        <is>
          <t>Switzerland</t>
        </is>
      </c>
      <c r="C404" t="n">
        <v>5</v>
      </c>
    </row>
    <row r="405">
      <c r="A405" t="inlineStr">
        <is>
          <t>Aciter Genelab LLC, Odessa, UA</t>
        </is>
      </c>
      <c r="B405" t="inlineStr">
        <is>
          <t>Georgia</t>
        </is>
      </c>
      <c r="C405" t="n">
        <v>3</v>
      </c>
    </row>
    <row r="406">
      <c r="A406" t="inlineStr">
        <is>
          <t>Aciter Genelab LLC, Odessa, UA</t>
        </is>
      </c>
      <c r="B406" t="inlineStr">
        <is>
          <t>Kazakhstan</t>
        </is>
      </c>
      <c r="C406" t="n">
        <v>2</v>
      </c>
    </row>
    <row r="407">
      <c r="A407" t="inlineStr">
        <is>
          <t>Aciter Genelab LLC, Odessa, UA</t>
        </is>
      </c>
      <c r="B407" t="inlineStr">
        <is>
          <t>Slovakia</t>
        </is>
      </c>
      <c r="C407" t="n">
        <v>1</v>
      </c>
    </row>
    <row r="408">
      <c r="A408" t="inlineStr">
        <is>
          <t>Aciter Genelab LLC, Odessa, UA</t>
        </is>
      </c>
      <c r="B408" t="inlineStr">
        <is>
          <t>Moldova</t>
        </is>
      </c>
      <c r="C408" t="n">
        <v>1</v>
      </c>
    </row>
    <row r="409">
      <c r="A409" t="inlineStr">
        <is>
          <t>Aciter Genelab LLC, Odessa, UA</t>
        </is>
      </c>
      <c r="B409" t="inlineStr">
        <is>
          <t>Netherlands</t>
        </is>
      </c>
      <c r="C409" t="n">
        <v>1</v>
      </c>
    </row>
    <row r="410">
      <c r="A410" t="inlineStr">
        <is>
          <t>Aciter Genelab LLC, Odessa, UA</t>
        </is>
      </c>
      <c r="B410" t="inlineStr">
        <is>
          <t>Azerbaijan</t>
        </is>
      </c>
      <c r="C410" t="n">
        <v>1</v>
      </c>
    </row>
    <row r="411">
      <c r="A411" t="inlineStr">
        <is>
          <t>Aciter Genelab LLC, Odessa, UA</t>
        </is>
      </c>
      <c r="B411" t="inlineStr">
        <is>
          <t>Armenia</t>
        </is>
      </c>
      <c r="C411" t="n">
        <v>1</v>
      </c>
    </row>
    <row r="412">
      <c r="A412" t="inlineStr">
        <is>
          <t>Normec QS BV, Bennekom, NL</t>
        </is>
      </c>
      <c r="B412" t="inlineStr">
        <is>
          <t>Netherlands</t>
        </is>
      </c>
      <c r="C412" t="n">
        <v>29</v>
      </c>
    </row>
    <row r="413">
      <c r="A413" t="inlineStr">
        <is>
          <t>Normec QS BV, Bennekom, NL</t>
        </is>
      </c>
      <c r="B413" t="inlineStr">
        <is>
          <t>Belgium</t>
        </is>
      </c>
      <c r="C413" t="n">
        <v>12</v>
      </c>
    </row>
    <row r="414">
      <c r="A414" t="inlineStr">
        <is>
          <t>Normec QS BV, Bennekom, NL</t>
        </is>
      </c>
      <c r="B414" t="inlineStr">
        <is>
          <t>The Netherlands</t>
        </is>
      </c>
      <c r="C414" t="n">
        <v>7</v>
      </c>
    </row>
    <row r="415">
      <c r="A415" t="inlineStr">
        <is>
          <t>Normec QS BV, Bennekom, NL</t>
        </is>
      </c>
      <c r="B415" t="inlineStr">
        <is>
          <t>United Kingdom</t>
        </is>
      </c>
      <c r="C415" t="n">
        <v>2</v>
      </c>
    </row>
    <row r="416">
      <c r="A416" t="inlineStr">
        <is>
          <t>Normec QS BV, Bennekom, NL</t>
        </is>
      </c>
      <c r="B416" t="inlineStr">
        <is>
          <t>France</t>
        </is>
      </c>
      <c r="C416" t="n">
        <v>2</v>
      </c>
    </row>
    <row r="417">
      <c r="A417" t="inlineStr">
        <is>
          <t>Normec QS BV, Bennekom, NL</t>
        </is>
      </c>
      <c r="B417" t="inlineStr">
        <is>
          <t>Ireland</t>
        </is>
      </c>
      <c r="C417" t="n">
        <v>1</v>
      </c>
    </row>
    <row r="418">
      <c r="A418" t="inlineStr">
        <is>
          <t>Normec QS BV, Bennekom, NL</t>
        </is>
      </c>
      <c r="B418" t="inlineStr">
        <is>
          <t>Australia</t>
        </is>
      </c>
      <c r="C418" t="n">
        <v>1</v>
      </c>
    </row>
    <row r="419">
      <c r="A419" t="inlineStr">
        <is>
          <t>Normec QS BV, Bennekom, NL</t>
        </is>
      </c>
      <c r="B419" t="inlineStr">
        <is>
          <t>Canada</t>
        </is>
      </c>
      <c r="C419" t="n">
        <v>1</v>
      </c>
    </row>
    <row r="420">
      <c r="A420" t="inlineStr">
        <is>
          <t>Normec QS BV, Bennekom, NL</t>
        </is>
      </c>
      <c r="B420" t="inlineStr">
        <is>
          <t>Spain</t>
        </is>
      </c>
      <c r="C420" t="n">
        <v>1</v>
      </c>
    </row>
    <row r="421">
      <c r="A421" t="inlineStr">
        <is>
          <t>Normec QS BV, Bennekom, NL</t>
        </is>
      </c>
      <c r="B421" t="inlineStr">
        <is>
          <t>Denmark</t>
        </is>
      </c>
      <c r="C421" t="n">
        <v>1</v>
      </c>
    </row>
    <row r="422">
      <c r="A422" t="inlineStr">
        <is>
          <t>QIMA, Centro, Botucatu - SP, CEP, BR</t>
        </is>
      </c>
      <c r="B422" t="inlineStr">
        <is>
          <t>Brazil</t>
        </is>
      </c>
      <c r="C422" t="n">
        <v>49</v>
      </c>
    </row>
    <row r="423">
      <c r="A423" t="inlineStr">
        <is>
          <t>QIMA, Centro, Botucatu - SP, CEP, BR</t>
        </is>
      </c>
      <c r="B423" t="inlineStr">
        <is>
          <t>Colombia</t>
        </is>
      </c>
      <c r="C423" t="n">
        <v>2</v>
      </c>
    </row>
    <row r="424">
      <c r="A424" t="inlineStr">
        <is>
          <t>QIMA, Centro, Botucatu - SP, CEP, BR</t>
        </is>
      </c>
      <c r="B424" t="inlineStr">
        <is>
          <t>Türkiye</t>
        </is>
      </c>
      <c r="C424" t="n">
        <v>1</v>
      </c>
    </row>
    <row r="425">
      <c r="A425" t="inlineStr">
        <is>
          <t>QIMA, Centro, Botucatu - SP, CEP, BR</t>
        </is>
      </c>
      <c r="B425" t="inlineStr">
        <is>
          <t>Panama</t>
        </is>
      </c>
      <c r="C425" t="n">
        <v>1</v>
      </c>
    </row>
    <row r="426">
      <c r="A426" t="inlineStr">
        <is>
          <t>QIMA, Centro, Botucatu - SP, CEP, BR</t>
        </is>
      </c>
      <c r="B426" t="inlineStr">
        <is>
          <t>Austria</t>
        </is>
      </c>
      <c r="C426" t="n">
        <v>1</v>
      </c>
    </row>
    <row r="427">
      <c r="A427" t="inlineStr">
        <is>
          <t>QIMA, Centro, Botucatu - SP, CEP, BR</t>
        </is>
      </c>
      <c r="B427" t="inlineStr">
        <is>
          <t>Turkey</t>
        </is>
      </c>
      <c r="C427" t="n">
        <v>1</v>
      </c>
    </row>
    <row r="428">
      <c r="A428" t="inlineStr">
        <is>
          <t>QIMA, Centro, Botucatu - SP, CEP, BR</t>
        </is>
      </c>
      <c r="B428" t="inlineStr"/>
      <c r="C428" t="n">
        <v>0</v>
      </c>
    </row>
    <row r="429">
      <c r="A429" t="inlineStr">
        <is>
          <t>QIMA, Centro, Botucatu - SP, CEP, BR</t>
        </is>
      </c>
      <c r="B429" t="inlineStr"/>
      <c r="C429" t="n">
        <v>0</v>
      </c>
    </row>
    <row r="430">
      <c r="A430" t="inlineStr">
        <is>
          <t>QIMA, Centro, Botucatu - SP, CEP, BR</t>
        </is>
      </c>
      <c r="B430" t="inlineStr"/>
      <c r="C430" t="n">
        <v>0</v>
      </c>
    </row>
    <row r="431">
      <c r="A431" t="inlineStr">
        <is>
          <t>QIMA, Centro, Botucatu - SP, CEP, BR</t>
        </is>
      </c>
      <c r="B431" t="inlineStr"/>
      <c r="C431" t="n">
        <v>0</v>
      </c>
    </row>
    <row r="432">
      <c r="A432" t="inlineStr">
        <is>
          <t>IIP S.r.l., Monza, IT</t>
        </is>
      </c>
      <c r="B432" t="inlineStr">
        <is>
          <t>Italy</t>
        </is>
      </c>
      <c r="C432" t="n">
        <v>41</v>
      </c>
    </row>
    <row r="433">
      <c r="A433" t="inlineStr">
        <is>
          <t>IIP S.r.l., Monza, IT</t>
        </is>
      </c>
      <c r="B433" t="inlineStr">
        <is>
          <t>Switzerland</t>
        </is>
      </c>
      <c r="C433" t="n">
        <v>3</v>
      </c>
    </row>
    <row r="434">
      <c r="A434" t="inlineStr">
        <is>
          <t>IIP S.r.l., Monza, IT</t>
        </is>
      </c>
      <c r="B434" t="inlineStr">
        <is>
          <t>Germany</t>
        </is>
      </c>
      <c r="C434" t="n">
        <v>2</v>
      </c>
    </row>
    <row r="435">
      <c r="A435" t="inlineStr">
        <is>
          <t>IIP S.r.l., Monza, IT</t>
        </is>
      </c>
      <c r="B435" t="inlineStr">
        <is>
          <t>Saudi Arabia</t>
        </is>
      </c>
      <c r="C435" t="n">
        <v>2</v>
      </c>
    </row>
    <row r="436">
      <c r="A436" t="inlineStr">
        <is>
          <t>IIP S.r.l., Monza, IT</t>
        </is>
      </c>
      <c r="B436" t="inlineStr">
        <is>
          <t>Austria</t>
        </is>
      </c>
      <c r="C436" t="n">
        <v>1</v>
      </c>
    </row>
    <row r="437">
      <c r="A437" t="inlineStr">
        <is>
          <t>IIP S.r.l., Monza, IT</t>
        </is>
      </c>
      <c r="B437" t="inlineStr">
        <is>
          <t>Spain</t>
        </is>
      </c>
      <c r="C437" t="n">
        <v>1</v>
      </c>
    </row>
    <row r="438">
      <c r="A438" t="inlineStr">
        <is>
          <t>IIP S.r.l., Monza, IT</t>
        </is>
      </c>
      <c r="B438" t="inlineStr">
        <is>
          <t>Malta</t>
        </is>
      </c>
      <c r="C438" t="n">
        <v>1</v>
      </c>
    </row>
    <row r="439">
      <c r="A439" t="inlineStr">
        <is>
          <t>IIP S.r.l., Monza, IT</t>
        </is>
      </c>
      <c r="B439" t="inlineStr">
        <is>
          <t>Poland</t>
        </is>
      </c>
      <c r="C439" t="n">
        <v>1</v>
      </c>
    </row>
    <row r="440">
      <c r="A440" t="inlineStr">
        <is>
          <t>IIP S.r.l., Monza, IT</t>
        </is>
      </c>
      <c r="B440" t="inlineStr"/>
      <c r="C440" t="n">
        <v>0</v>
      </c>
    </row>
    <row r="441">
      <c r="A441" t="inlineStr">
        <is>
          <t>IIP S.r.l., Monza, IT</t>
        </is>
      </c>
      <c r="B441" t="inlineStr"/>
      <c r="C441" t="n">
        <v>0</v>
      </c>
    </row>
    <row r="442">
      <c r="A442" t="inlineStr">
        <is>
          <t>Extensive Standard Technical Services Co., Ltd., Hong Kong, CN</t>
        </is>
      </c>
      <c r="B442" t="inlineStr">
        <is>
          <t>China</t>
        </is>
      </c>
      <c r="C442" t="n">
        <v>49</v>
      </c>
    </row>
    <row r="443">
      <c r="A443" t="inlineStr">
        <is>
          <t>Extensive Standard Technical Services Co., Ltd., Hong Kong, CN</t>
        </is>
      </c>
      <c r="B443" t="inlineStr">
        <is>
          <t>Cambodia</t>
        </is>
      </c>
      <c r="C443" t="n">
        <v>1</v>
      </c>
    </row>
    <row r="444">
      <c r="A444" t="inlineStr">
        <is>
          <t>Extensive Standard Technical Services Co., Ltd., Hong Kong, CN</t>
        </is>
      </c>
      <c r="B444" t="inlineStr"/>
      <c r="C444" t="n">
        <v>0</v>
      </c>
    </row>
    <row r="445">
      <c r="A445" t="inlineStr">
        <is>
          <t>Extensive Standard Technical Services Co., Ltd., Hong Kong, CN</t>
        </is>
      </c>
      <c r="B445" t="inlineStr"/>
      <c r="C445" t="n">
        <v>0</v>
      </c>
    </row>
    <row r="446">
      <c r="A446" t="inlineStr">
        <is>
          <t>Extensive Standard Technical Services Co., Ltd., Hong Kong, CN</t>
        </is>
      </c>
      <c r="B446" t="inlineStr"/>
      <c r="C446" t="n">
        <v>0</v>
      </c>
    </row>
    <row r="447">
      <c r="A447" t="inlineStr">
        <is>
          <t>Extensive Standard Technical Services Co., Ltd., Hong Kong, CN</t>
        </is>
      </c>
      <c r="B447" t="inlineStr"/>
      <c r="C447" t="n">
        <v>0</v>
      </c>
    </row>
    <row r="448">
      <c r="A448" t="inlineStr">
        <is>
          <t>Extensive Standard Technical Services Co., Ltd., Hong Kong, CN</t>
        </is>
      </c>
      <c r="B448" t="inlineStr"/>
      <c r="C448" t="n">
        <v>0</v>
      </c>
    </row>
    <row r="449">
      <c r="A449" t="inlineStr">
        <is>
          <t>Extensive Standard Technical Services Co., Ltd., Hong Kong, CN</t>
        </is>
      </c>
      <c r="B449" t="inlineStr"/>
      <c r="C449" t="n">
        <v>0</v>
      </c>
    </row>
    <row r="450">
      <c r="A450" t="inlineStr">
        <is>
          <t>Extensive Standard Technical Services Co., Ltd., Hong Kong, CN</t>
        </is>
      </c>
      <c r="B450" t="inlineStr"/>
      <c r="C450" t="n">
        <v>0</v>
      </c>
    </row>
    <row r="451">
      <c r="A451" t="inlineStr">
        <is>
          <t>Extensive Standard Technical Services Co., Ltd., Hong Kong, CN</t>
        </is>
      </c>
      <c r="B451" t="inlineStr"/>
      <c r="C451" t="n">
        <v>0</v>
      </c>
    </row>
    <row r="452">
      <c r="A452" t="inlineStr">
        <is>
          <t>China Testing &amp; Certification International Group Co., Ltd., Beijing, CN</t>
        </is>
      </c>
      <c r="B452" t="inlineStr">
        <is>
          <t>Indonesia</t>
        </is>
      </c>
      <c r="C452" t="n">
        <v>24</v>
      </c>
    </row>
    <row r="453">
      <c r="A453" t="inlineStr">
        <is>
          <t>China Testing &amp; Certification International Group Co., Ltd., Beijing, CN</t>
        </is>
      </c>
      <c r="B453" t="inlineStr">
        <is>
          <t>China</t>
        </is>
      </c>
      <c r="C453" t="n">
        <v>5</v>
      </c>
    </row>
    <row r="454">
      <c r="A454" t="inlineStr">
        <is>
          <t>China Testing &amp; Certification International Group Co., Ltd., Beijing, CN</t>
        </is>
      </c>
      <c r="B454" t="inlineStr">
        <is>
          <t>Thailand</t>
        </is>
      </c>
      <c r="C454" t="n">
        <v>3</v>
      </c>
    </row>
    <row r="455">
      <c r="A455" t="inlineStr">
        <is>
          <t>China Testing &amp; Certification International Group Co., Ltd., Beijing, CN</t>
        </is>
      </c>
      <c r="B455" t="inlineStr">
        <is>
          <t>Singapore</t>
        </is>
      </c>
      <c r="C455" t="n">
        <v>2</v>
      </c>
    </row>
    <row r="456">
      <c r="A456" t="inlineStr">
        <is>
          <t>China Testing &amp; Certification International Group Co., Ltd., Beijing, CN</t>
        </is>
      </c>
      <c r="B456" t="inlineStr">
        <is>
          <t>Vietnam</t>
        </is>
      </c>
      <c r="C456" t="n">
        <v>1</v>
      </c>
    </row>
    <row r="457">
      <c r="A457" t="inlineStr">
        <is>
          <t>China Testing &amp; Certification International Group Co., Ltd., Beijing, CN</t>
        </is>
      </c>
      <c r="B457" t="inlineStr">
        <is>
          <t>The United Arab Emirates</t>
        </is>
      </c>
      <c r="C457" t="n">
        <v>1</v>
      </c>
    </row>
    <row r="458">
      <c r="A458" t="inlineStr">
        <is>
          <t>China Testing &amp; Certification International Group Co., Ltd., Beijing, CN</t>
        </is>
      </c>
      <c r="B458" t="inlineStr">
        <is>
          <t>United Arab Emirates</t>
        </is>
      </c>
      <c r="C458" t="n">
        <v>1</v>
      </c>
    </row>
    <row r="459">
      <c r="A459" t="inlineStr">
        <is>
          <t>China Testing &amp; Certification International Group Co., Ltd., Beijing, CN</t>
        </is>
      </c>
      <c r="B459" t="inlineStr"/>
      <c r="C459" t="n">
        <v>0</v>
      </c>
    </row>
    <row r="460">
      <c r="A460" t="inlineStr">
        <is>
          <t>China Testing &amp; Certification International Group Co., Ltd., Beijing, CN</t>
        </is>
      </c>
      <c r="B460" t="inlineStr"/>
      <c r="C460" t="n">
        <v>0</v>
      </c>
    </row>
    <row r="461">
      <c r="A461" t="inlineStr">
        <is>
          <t>China Testing &amp; Certification International Group Co., Ltd., Beijing, CN</t>
        </is>
      </c>
      <c r="B461" t="inlineStr"/>
      <c r="C461" t="n">
        <v>0</v>
      </c>
    </row>
    <row r="462">
      <c r="A462" t="inlineStr">
        <is>
          <t>Certiquality srl, Milano, IT</t>
        </is>
      </c>
      <c r="B462" t="inlineStr">
        <is>
          <t>Italy</t>
        </is>
      </c>
      <c r="C462" t="n">
        <v>33</v>
      </c>
    </row>
    <row r="463">
      <c r="A463" t="inlineStr">
        <is>
          <t>Certiquality srl, Milano, IT</t>
        </is>
      </c>
      <c r="B463" t="inlineStr">
        <is>
          <t>Switzerland</t>
        </is>
      </c>
      <c r="C463" t="n">
        <v>2</v>
      </c>
    </row>
    <row r="464">
      <c r="A464" t="inlineStr">
        <is>
          <t>Certiquality srl, Milano, IT</t>
        </is>
      </c>
      <c r="B464" t="inlineStr">
        <is>
          <t>Belgium</t>
        </is>
      </c>
      <c r="C464" t="n">
        <v>1</v>
      </c>
    </row>
    <row r="465">
      <c r="A465" t="inlineStr">
        <is>
          <t>Certiquality srl, Milano, IT</t>
        </is>
      </c>
      <c r="B465" t="inlineStr">
        <is>
          <t>Turkey</t>
        </is>
      </c>
      <c r="C465" t="n">
        <v>1</v>
      </c>
    </row>
    <row r="466">
      <c r="A466" t="inlineStr">
        <is>
          <t>Certiquality srl, Milano, IT</t>
        </is>
      </c>
      <c r="B466" t="inlineStr"/>
      <c r="C466" t="n">
        <v>0</v>
      </c>
    </row>
    <row r="467">
      <c r="A467" t="inlineStr">
        <is>
          <t>Certiquality srl, Milano, IT</t>
        </is>
      </c>
      <c r="B467" t="inlineStr"/>
      <c r="C467" t="n">
        <v>0</v>
      </c>
    </row>
    <row r="468">
      <c r="A468" t="inlineStr">
        <is>
          <t>Certiquality srl, Milano, IT</t>
        </is>
      </c>
      <c r="B468" t="inlineStr"/>
      <c r="C468" t="n">
        <v>0</v>
      </c>
    </row>
    <row r="469">
      <c r="A469" t="inlineStr">
        <is>
          <t>Certiquality srl, Milano, IT</t>
        </is>
      </c>
      <c r="B469" t="inlineStr"/>
      <c r="C469" t="n">
        <v>0</v>
      </c>
    </row>
    <row r="470">
      <c r="A470" t="inlineStr">
        <is>
          <t>Certiquality srl, Milano, IT</t>
        </is>
      </c>
      <c r="B470" t="inlineStr"/>
      <c r="C470" t="n">
        <v>0</v>
      </c>
    </row>
    <row r="471">
      <c r="A471" t="inlineStr">
        <is>
          <t>Certiquality srl, Milano, IT</t>
        </is>
      </c>
      <c r="B471" t="inlineStr"/>
      <c r="C471" t="n">
        <v>0</v>
      </c>
    </row>
    <row r="472">
      <c r="A472" t="inlineStr">
        <is>
          <t>Alcumus ISOQAR Ltd, Stretford, Manchester, GB</t>
        </is>
      </c>
      <c r="B472" t="inlineStr">
        <is>
          <t>India</t>
        </is>
      </c>
      <c r="C472" t="n">
        <v>26</v>
      </c>
    </row>
    <row r="473">
      <c r="A473" t="inlineStr">
        <is>
          <t>Alcumus ISOQAR Ltd, Stretford, Manchester, GB</t>
        </is>
      </c>
      <c r="B473" t="inlineStr">
        <is>
          <t>United Kingdom</t>
        </is>
      </c>
      <c r="C473" t="n">
        <v>3</v>
      </c>
    </row>
    <row r="474">
      <c r="A474" t="inlineStr">
        <is>
          <t>Alcumus ISOQAR Ltd, Stretford, Manchester, GB</t>
        </is>
      </c>
      <c r="B474" t="inlineStr">
        <is>
          <t>Singapore</t>
        </is>
      </c>
      <c r="C474" t="n">
        <v>2</v>
      </c>
    </row>
    <row r="475">
      <c r="A475" t="inlineStr">
        <is>
          <t>Alcumus ISOQAR Ltd, Stretford, Manchester, GB</t>
        </is>
      </c>
      <c r="B475" t="inlineStr">
        <is>
          <t>United Arab Emirates</t>
        </is>
      </c>
      <c r="C475" t="n">
        <v>2</v>
      </c>
    </row>
    <row r="476">
      <c r="A476" t="inlineStr">
        <is>
          <t>Alcumus ISOQAR Ltd, Stretford, Manchester, GB</t>
        </is>
      </c>
      <c r="B476" t="inlineStr">
        <is>
          <t>Mexico</t>
        </is>
      </c>
      <c r="C476" t="n">
        <v>2</v>
      </c>
    </row>
    <row r="477">
      <c r="A477" t="inlineStr">
        <is>
          <t>Alcumus ISOQAR Ltd, Stretford, Manchester, GB</t>
        </is>
      </c>
      <c r="B477" t="inlineStr">
        <is>
          <t>Bahrain</t>
        </is>
      </c>
      <c r="C477" t="n">
        <v>1</v>
      </c>
    </row>
    <row r="478">
      <c r="A478" t="inlineStr">
        <is>
          <t>Alcumus ISOQAR Ltd, Stretford, Manchester, GB</t>
        </is>
      </c>
      <c r="B478" t="inlineStr"/>
      <c r="C478" t="n">
        <v>0</v>
      </c>
    </row>
    <row r="479">
      <c r="A479" t="inlineStr">
        <is>
          <t>Alcumus ISOQAR Ltd, Stretford, Manchester, GB</t>
        </is>
      </c>
      <c r="B479" t="inlineStr"/>
      <c r="C479" t="n">
        <v>0</v>
      </c>
    </row>
    <row r="480">
      <c r="A480" t="inlineStr">
        <is>
          <t>Alcumus ISOQAR Ltd, Stretford, Manchester, GB</t>
        </is>
      </c>
      <c r="B480" t="inlineStr"/>
      <c r="C480" t="n">
        <v>0</v>
      </c>
    </row>
    <row r="481">
      <c r="A481" t="inlineStr">
        <is>
          <t>Alcumus ISOQAR Ltd, Stretford, Manchester, GB</t>
        </is>
      </c>
      <c r="B481" t="inlineStr"/>
      <c r="C481" t="n">
        <v>0</v>
      </c>
    </row>
    <row r="482">
      <c r="A482" t="inlineStr">
        <is>
          <t>QMSCERT S.A., Pylaia, Thessaloniki, GR</t>
        </is>
      </c>
      <c r="B482" t="inlineStr">
        <is>
          <t>Greece</t>
        </is>
      </c>
      <c r="C482" t="n">
        <v>32</v>
      </c>
    </row>
    <row r="483">
      <c r="A483" t="inlineStr">
        <is>
          <t>QMSCERT S.A., Pylaia, Thessaloniki, GR</t>
        </is>
      </c>
      <c r="B483" t="inlineStr">
        <is>
          <t>Hungary</t>
        </is>
      </c>
      <c r="C483" t="n">
        <v>1</v>
      </c>
    </row>
    <row r="484">
      <c r="A484" t="inlineStr">
        <is>
          <t>QMSCERT S.A., Pylaia, Thessaloniki, GR</t>
        </is>
      </c>
      <c r="B484" t="inlineStr">
        <is>
          <t>Cyprus</t>
        </is>
      </c>
      <c r="C484" t="n">
        <v>1</v>
      </c>
    </row>
    <row r="485">
      <c r="A485" t="inlineStr">
        <is>
          <t>QMSCERT S.A., Pylaia, Thessaloniki, GR</t>
        </is>
      </c>
      <c r="B485" t="inlineStr">
        <is>
          <t>Bulgaria</t>
        </is>
      </c>
      <c r="C485" t="n">
        <v>1</v>
      </c>
    </row>
    <row r="486">
      <c r="A486" t="inlineStr">
        <is>
          <t>QMSCERT S.A., Pylaia, Thessaloniki, GR</t>
        </is>
      </c>
      <c r="B486" t="inlineStr"/>
      <c r="C486" t="n">
        <v>0</v>
      </c>
    </row>
    <row r="487">
      <c r="A487" t="inlineStr">
        <is>
          <t>QMSCERT S.A., Pylaia, Thessaloniki, GR</t>
        </is>
      </c>
      <c r="B487" t="inlineStr"/>
      <c r="C487" t="n">
        <v>0</v>
      </c>
    </row>
    <row r="488">
      <c r="A488" t="inlineStr">
        <is>
          <t>QMSCERT S.A., Pylaia, Thessaloniki, GR</t>
        </is>
      </c>
      <c r="B488" t="inlineStr"/>
      <c r="C488" t="n">
        <v>0</v>
      </c>
    </row>
    <row r="489">
      <c r="A489" t="inlineStr">
        <is>
          <t>QMSCERT S.A., Pylaia, Thessaloniki, GR</t>
        </is>
      </c>
      <c r="B489" t="inlineStr"/>
      <c r="C489" t="n">
        <v>0</v>
      </c>
    </row>
    <row r="490">
      <c r="A490" t="inlineStr">
        <is>
          <t>QMSCERT S.A., Pylaia, Thessaloniki, GR</t>
        </is>
      </c>
      <c r="B490" t="inlineStr"/>
      <c r="C490" t="n">
        <v>0</v>
      </c>
    </row>
    <row r="491">
      <c r="A491" t="inlineStr">
        <is>
          <t>QMSCERT S.A., Pylaia, Thessaloniki, GR</t>
        </is>
      </c>
      <c r="B491" t="inlineStr"/>
      <c r="C491" t="n">
        <v>0</v>
      </c>
    </row>
    <row r="492">
      <c r="A492" t="inlineStr">
        <is>
          <t>CSQA Certificazioni Srl, Thiene, IT</t>
        </is>
      </c>
      <c r="B492" t="inlineStr">
        <is>
          <t>Italy</t>
        </is>
      </c>
      <c r="C492" t="n">
        <v>31</v>
      </c>
    </row>
    <row r="493">
      <c r="A493" t="inlineStr">
        <is>
          <t>CSQA Certificazioni Srl, Thiene, IT</t>
        </is>
      </c>
      <c r="B493" t="inlineStr">
        <is>
          <t>Switzerland</t>
        </is>
      </c>
      <c r="C493" t="n">
        <v>2</v>
      </c>
    </row>
    <row r="494">
      <c r="A494" t="inlineStr">
        <is>
          <t>CSQA Certificazioni Srl, Thiene, IT</t>
        </is>
      </c>
      <c r="B494" t="inlineStr">
        <is>
          <t>Romania</t>
        </is>
      </c>
      <c r="C494" t="n">
        <v>1</v>
      </c>
    </row>
    <row r="495">
      <c r="A495" t="inlineStr">
        <is>
          <t>CSQA Certificazioni Srl, Thiene, IT</t>
        </is>
      </c>
      <c r="B495" t="inlineStr"/>
      <c r="C495" t="n">
        <v>0</v>
      </c>
    </row>
    <row r="496">
      <c r="A496" t="inlineStr">
        <is>
          <t>CSQA Certificazioni Srl, Thiene, IT</t>
        </is>
      </c>
      <c r="B496" t="inlineStr"/>
      <c r="C496" t="n">
        <v>0</v>
      </c>
    </row>
    <row r="497">
      <c r="A497" t="inlineStr">
        <is>
          <t>CSQA Certificazioni Srl, Thiene, IT</t>
        </is>
      </c>
      <c r="B497" t="inlineStr"/>
      <c r="C497" t="n">
        <v>0</v>
      </c>
    </row>
    <row r="498">
      <c r="A498" t="inlineStr">
        <is>
          <t>CSQA Certificazioni Srl, Thiene, IT</t>
        </is>
      </c>
      <c r="B498" t="inlineStr"/>
      <c r="C498" t="n">
        <v>0</v>
      </c>
    </row>
    <row r="499">
      <c r="A499" t="inlineStr">
        <is>
          <t>CSQA Certificazioni Srl, Thiene, IT</t>
        </is>
      </c>
      <c r="B499" t="inlineStr"/>
      <c r="C499" t="n">
        <v>0</v>
      </c>
    </row>
    <row r="500">
      <c r="A500" t="inlineStr">
        <is>
          <t>CSQA Certificazioni Srl, Thiene, IT</t>
        </is>
      </c>
      <c r="B500" t="inlineStr"/>
      <c r="C500" t="n">
        <v>0</v>
      </c>
    </row>
    <row r="501">
      <c r="A501" t="inlineStr">
        <is>
          <t>CSQA Certificazioni Srl, Thiene, IT</t>
        </is>
      </c>
      <c r="B501" t="inlineStr"/>
      <c r="C501" t="n">
        <v>0</v>
      </c>
    </row>
    <row r="502">
      <c r="A502" t="inlineStr">
        <is>
          <t>Apex Genelab LLC, Odessa, UA</t>
        </is>
      </c>
      <c r="B502" t="inlineStr">
        <is>
          <t>Ukraine</t>
        </is>
      </c>
      <c r="C502" t="n">
        <v>23</v>
      </c>
    </row>
    <row r="503">
      <c r="A503" t="inlineStr">
        <is>
          <t>Apex Genelab LLC, Odessa, UA</t>
        </is>
      </c>
      <c r="B503" t="inlineStr">
        <is>
          <t>Moldova</t>
        </is>
      </c>
      <c r="C503" t="n">
        <v>3</v>
      </c>
    </row>
    <row r="504">
      <c r="A504" t="inlineStr">
        <is>
          <t>Apex Genelab LLC, Odessa, UA</t>
        </is>
      </c>
      <c r="B504" t="inlineStr">
        <is>
          <t>Poland</t>
        </is>
      </c>
      <c r="C504" t="n">
        <v>2</v>
      </c>
    </row>
    <row r="505">
      <c r="A505" t="inlineStr">
        <is>
          <t>Apex Genelab LLC, Odessa, UA</t>
        </is>
      </c>
      <c r="B505" t="inlineStr">
        <is>
          <t>Cyprus</t>
        </is>
      </c>
      <c r="C505" t="n">
        <v>1</v>
      </c>
    </row>
    <row r="506">
      <c r="A506" t="inlineStr">
        <is>
          <t>Apex Genelab LLC, Odessa, UA</t>
        </is>
      </c>
      <c r="B506" t="inlineStr">
        <is>
          <t>The United Arab Emirates</t>
        </is>
      </c>
      <c r="C506" t="n">
        <v>1</v>
      </c>
    </row>
    <row r="507">
      <c r="A507" t="inlineStr">
        <is>
          <t>Apex Genelab LLC, Odessa, UA</t>
        </is>
      </c>
      <c r="B507" t="inlineStr">
        <is>
          <t>Azerbaijan</t>
        </is>
      </c>
      <c r="C507" t="n">
        <v>1</v>
      </c>
    </row>
    <row r="508">
      <c r="A508" t="inlineStr">
        <is>
          <t>Apex Genelab LLC, Odessa, UA</t>
        </is>
      </c>
      <c r="B508" t="inlineStr">
        <is>
          <t>Slovakia</t>
        </is>
      </c>
      <c r="C508" t="n">
        <v>1</v>
      </c>
    </row>
    <row r="509">
      <c r="A509" t="inlineStr">
        <is>
          <t>Apex Genelab LLC, Odessa, UA</t>
        </is>
      </c>
      <c r="B509" t="inlineStr"/>
      <c r="C509" t="n">
        <v>0</v>
      </c>
    </row>
    <row r="510">
      <c r="A510" t="inlineStr">
        <is>
          <t>Apex Genelab LLC, Odessa, UA</t>
        </is>
      </c>
      <c r="B510" t="inlineStr"/>
      <c r="C510" t="n">
        <v>0</v>
      </c>
    </row>
    <row r="511">
      <c r="A511" t="inlineStr">
        <is>
          <t>Apex Genelab LLC, Odessa, UA</t>
        </is>
      </c>
      <c r="B511" t="inlineStr"/>
      <c r="C511" t="n">
        <v>0</v>
      </c>
    </row>
    <row r="512">
      <c r="A512" t="inlineStr">
        <is>
          <t>Organic Standard Ltd, Kyiv, UA</t>
        </is>
      </c>
      <c r="B512" t="inlineStr">
        <is>
          <t>Ukraine</t>
        </is>
      </c>
      <c r="C512" t="n">
        <v>31</v>
      </c>
    </row>
    <row r="513">
      <c r="A513" t="inlineStr">
        <is>
          <t>Organic Standard Ltd, Kyiv, UA</t>
        </is>
      </c>
      <c r="B513" t="inlineStr">
        <is>
          <t>Poland</t>
        </is>
      </c>
      <c r="C513" t="n">
        <v>1</v>
      </c>
    </row>
    <row r="514">
      <c r="A514" t="inlineStr">
        <is>
          <t>Organic Standard Ltd, Kyiv, UA</t>
        </is>
      </c>
      <c r="B514" t="inlineStr"/>
      <c r="C514" t="n">
        <v>0</v>
      </c>
    </row>
    <row r="515">
      <c r="A515" t="inlineStr">
        <is>
          <t>Organic Standard Ltd, Kyiv, UA</t>
        </is>
      </c>
      <c r="B515" t="inlineStr"/>
      <c r="C515" t="n">
        <v>0</v>
      </c>
    </row>
    <row r="516">
      <c r="A516" t="inlineStr">
        <is>
          <t>Organic Standard Ltd, Kyiv, UA</t>
        </is>
      </c>
      <c r="B516" t="inlineStr"/>
      <c r="C516" t="n">
        <v>0</v>
      </c>
    </row>
    <row r="517">
      <c r="A517" t="inlineStr">
        <is>
          <t>Organic Standard Ltd, Kyiv, UA</t>
        </is>
      </c>
      <c r="B517" t="inlineStr"/>
      <c r="C517" t="n">
        <v>0</v>
      </c>
    </row>
    <row r="518">
      <c r="A518" t="inlineStr">
        <is>
          <t>Organic Standard Ltd, Kyiv, UA</t>
        </is>
      </c>
      <c r="B518" t="inlineStr"/>
      <c r="C518" t="n">
        <v>0</v>
      </c>
    </row>
    <row r="519">
      <c r="A519" t="inlineStr">
        <is>
          <t>Organic Standard Ltd, Kyiv, UA</t>
        </is>
      </c>
      <c r="B519" t="inlineStr"/>
      <c r="C519" t="n">
        <v>0</v>
      </c>
    </row>
    <row r="520">
      <c r="A520" t="inlineStr">
        <is>
          <t>Organic Standard Ltd, Kyiv, UA</t>
        </is>
      </c>
      <c r="B520" t="inlineStr"/>
      <c r="C520" t="n">
        <v>0</v>
      </c>
    </row>
    <row r="521">
      <c r="A521" t="inlineStr">
        <is>
          <t>Organic Standard Ltd, Kyiv, UA</t>
        </is>
      </c>
      <c r="B521" t="inlineStr"/>
      <c r="C521" t="n">
        <v>0</v>
      </c>
    </row>
    <row r="522">
      <c r="A522" t="inlineStr">
        <is>
          <t>NIOSH Certification Sdn. Bhd., Selangor Darul Ehsan, MY</t>
        </is>
      </c>
      <c r="B522" t="inlineStr">
        <is>
          <t>Malaysia</t>
        </is>
      </c>
      <c r="C522" t="n">
        <v>32</v>
      </c>
    </row>
    <row r="523">
      <c r="A523" t="inlineStr">
        <is>
          <t>NIOSH Certification Sdn. Bhd., Selangor Darul Ehsan, MY</t>
        </is>
      </c>
      <c r="B523" t="inlineStr"/>
      <c r="C523" t="n">
        <v>0</v>
      </c>
    </row>
    <row r="524">
      <c r="A524" t="inlineStr">
        <is>
          <t>NIOSH Certification Sdn. Bhd., Selangor Darul Ehsan, MY</t>
        </is>
      </c>
      <c r="B524" t="inlineStr"/>
      <c r="C524" t="n">
        <v>0</v>
      </c>
    </row>
    <row r="525">
      <c r="A525" t="inlineStr">
        <is>
          <t>NIOSH Certification Sdn. Bhd., Selangor Darul Ehsan, MY</t>
        </is>
      </c>
      <c r="B525" t="inlineStr"/>
      <c r="C525" t="n">
        <v>0</v>
      </c>
    </row>
    <row r="526">
      <c r="A526" t="inlineStr">
        <is>
          <t>NIOSH Certification Sdn. Bhd., Selangor Darul Ehsan, MY</t>
        </is>
      </c>
      <c r="B526" t="inlineStr"/>
      <c r="C526" t="n">
        <v>0</v>
      </c>
    </row>
    <row r="527">
      <c r="A527" t="inlineStr">
        <is>
          <t>NIOSH Certification Sdn. Bhd., Selangor Darul Ehsan, MY</t>
        </is>
      </c>
      <c r="B527" t="inlineStr"/>
      <c r="C527" t="n">
        <v>0</v>
      </c>
    </row>
    <row r="528">
      <c r="A528" t="inlineStr">
        <is>
          <t>NIOSH Certification Sdn. Bhd., Selangor Darul Ehsan, MY</t>
        </is>
      </c>
      <c r="B528" t="inlineStr"/>
      <c r="C528" t="n">
        <v>0</v>
      </c>
    </row>
    <row r="529">
      <c r="A529" t="inlineStr">
        <is>
          <t>NIOSH Certification Sdn. Bhd., Selangor Darul Ehsan, MY</t>
        </is>
      </c>
      <c r="B529" t="inlineStr"/>
      <c r="C529" t="n">
        <v>0</v>
      </c>
    </row>
    <row r="530">
      <c r="A530" t="inlineStr">
        <is>
          <t>NIOSH Certification Sdn. Bhd., Selangor Darul Ehsan, MY</t>
        </is>
      </c>
      <c r="B530" t="inlineStr"/>
      <c r="C530" t="n">
        <v>0</v>
      </c>
    </row>
    <row r="531">
      <c r="A531" t="inlineStr">
        <is>
          <t>NIOSH Certification Sdn. Bhd., Selangor Darul Ehsan, MY</t>
        </is>
      </c>
      <c r="B531" t="inlineStr"/>
      <c r="C531" t="n">
        <v>0</v>
      </c>
    </row>
    <row r="532">
      <c r="A532" t="inlineStr">
        <is>
          <t>DEKRA Certification GmbH, Stuttgart, DE</t>
        </is>
      </c>
      <c r="B532" t="inlineStr">
        <is>
          <t>Germany</t>
        </is>
      </c>
      <c r="C532" t="n">
        <v>20</v>
      </c>
    </row>
    <row r="533">
      <c r="A533" t="inlineStr">
        <is>
          <t>DEKRA Certification GmbH, Stuttgart, DE</t>
        </is>
      </c>
      <c r="B533" t="inlineStr">
        <is>
          <t>Switzerland</t>
        </is>
      </c>
      <c r="C533" t="n">
        <v>3</v>
      </c>
    </row>
    <row r="534">
      <c r="A534" t="inlineStr">
        <is>
          <t>DEKRA Certification GmbH, Stuttgart, DE</t>
        </is>
      </c>
      <c r="B534" t="inlineStr">
        <is>
          <t>Denmark</t>
        </is>
      </c>
      <c r="C534" t="n">
        <v>2</v>
      </c>
    </row>
    <row r="535">
      <c r="A535" t="inlineStr">
        <is>
          <t>DEKRA Certification GmbH, Stuttgart, DE</t>
        </is>
      </c>
      <c r="B535" t="inlineStr">
        <is>
          <t>Norway</t>
        </is>
      </c>
      <c r="C535" t="n">
        <v>2</v>
      </c>
    </row>
    <row r="536">
      <c r="A536" t="inlineStr">
        <is>
          <t>DEKRA Certification GmbH, Stuttgart, DE</t>
        </is>
      </c>
      <c r="B536" t="inlineStr">
        <is>
          <t>Sweden</t>
        </is>
      </c>
      <c r="C536" t="n">
        <v>2</v>
      </c>
    </row>
    <row r="537">
      <c r="A537" t="inlineStr">
        <is>
          <t>DEKRA Certification GmbH, Stuttgart, DE</t>
        </is>
      </c>
      <c r="B537" t="inlineStr">
        <is>
          <t>Spain</t>
        </is>
      </c>
      <c r="C537" t="n">
        <v>2</v>
      </c>
    </row>
    <row r="538">
      <c r="A538" t="inlineStr">
        <is>
          <t>DEKRA Certification GmbH, Stuttgart, DE</t>
        </is>
      </c>
      <c r="B538" t="inlineStr"/>
      <c r="C538" t="n">
        <v>0</v>
      </c>
    </row>
    <row r="539">
      <c r="A539" t="inlineStr">
        <is>
          <t>DEKRA Certification GmbH, Stuttgart, DE</t>
        </is>
      </c>
      <c r="B539" t="inlineStr"/>
      <c r="C539" t="n">
        <v>0</v>
      </c>
    </row>
    <row r="540">
      <c r="A540" t="inlineStr">
        <is>
          <t>DEKRA Certification GmbH, Stuttgart, DE</t>
        </is>
      </c>
      <c r="B540" t="inlineStr"/>
      <c r="C540" t="n">
        <v>0</v>
      </c>
    </row>
    <row r="541">
      <c r="A541" t="inlineStr">
        <is>
          <t>DEKRA Certification GmbH, Stuttgart, DE</t>
        </is>
      </c>
      <c r="B541" t="inlineStr"/>
      <c r="C541" t="n">
        <v>0</v>
      </c>
    </row>
    <row r="542">
      <c r="A542" t="inlineStr">
        <is>
          <t>PT TSI Sertifikasi Internasional, Jakarta Selatang, ID</t>
        </is>
      </c>
      <c r="B542" t="inlineStr">
        <is>
          <t>Indonesia</t>
        </is>
      </c>
      <c r="C542" t="n">
        <v>20</v>
      </c>
    </row>
    <row r="543">
      <c r="A543" t="inlineStr">
        <is>
          <t>PT TSI Sertifikasi Internasional, Jakarta Selatang, ID</t>
        </is>
      </c>
      <c r="B543" t="inlineStr">
        <is>
          <t>Singapore</t>
        </is>
      </c>
      <c r="C543" t="n">
        <v>5</v>
      </c>
    </row>
    <row r="544">
      <c r="A544" t="inlineStr">
        <is>
          <t>PT TSI Sertifikasi Internasional, Jakarta Selatang, ID</t>
        </is>
      </c>
      <c r="B544" t="inlineStr">
        <is>
          <t>India</t>
        </is>
      </c>
      <c r="C544" t="n">
        <v>3</v>
      </c>
    </row>
    <row r="545">
      <c r="A545" t="inlineStr">
        <is>
          <t>PT TSI Sertifikasi Internasional, Jakarta Selatang, ID</t>
        </is>
      </c>
      <c r="B545" t="inlineStr">
        <is>
          <t>Bahrain</t>
        </is>
      </c>
      <c r="C545" t="n">
        <v>1</v>
      </c>
    </row>
    <row r="546">
      <c r="A546" t="inlineStr">
        <is>
          <t>PT TSI Sertifikasi Internasional, Jakarta Selatang, ID</t>
        </is>
      </c>
      <c r="B546" t="inlineStr">
        <is>
          <t>China</t>
        </is>
      </c>
      <c r="C546" t="n">
        <v>1</v>
      </c>
    </row>
    <row r="547">
      <c r="A547" t="inlineStr">
        <is>
          <t>PT TSI Sertifikasi Internasional, Jakarta Selatang, ID</t>
        </is>
      </c>
      <c r="B547" t="inlineStr">
        <is>
          <t>Malaysia</t>
        </is>
      </c>
      <c r="C547" t="n">
        <v>1</v>
      </c>
    </row>
    <row r="548">
      <c r="A548" t="inlineStr">
        <is>
          <t>PT TSI Sertifikasi Internasional, Jakarta Selatang, ID</t>
        </is>
      </c>
      <c r="B548" t="inlineStr"/>
      <c r="C548" t="n">
        <v>0</v>
      </c>
    </row>
    <row r="549">
      <c r="A549" t="inlineStr">
        <is>
          <t>PT TSI Sertifikasi Internasional, Jakarta Selatang, ID</t>
        </is>
      </c>
      <c r="B549" t="inlineStr"/>
      <c r="C549" t="n">
        <v>0</v>
      </c>
    </row>
    <row r="550">
      <c r="A550" t="inlineStr">
        <is>
          <t>PT TSI Sertifikasi Internasional, Jakarta Selatang, ID</t>
        </is>
      </c>
      <c r="B550" t="inlineStr"/>
      <c r="C550" t="n">
        <v>0</v>
      </c>
    </row>
    <row r="551">
      <c r="A551" t="inlineStr">
        <is>
          <t>PT TSI Sertifikasi Internasional, Jakarta Selatang, ID</t>
        </is>
      </c>
      <c r="B551" t="inlineStr"/>
      <c r="C551" t="n">
        <v>0</v>
      </c>
    </row>
    <row r="552">
      <c r="A552" t="inlineStr">
        <is>
          <t>China Classification Society Certification Co., Ltd, Dong Cheng District, Beijing, CN</t>
        </is>
      </c>
      <c r="B552" t="inlineStr">
        <is>
          <t>China</t>
        </is>
      </c>
      <c r="C552" t="n">
        <v>31</v>
      </c>
    </row>
    <row r="553">
      <c r="A553" t="inlineStr">
        <is>
          <t>China Classification Society Certification Co., Ltd, Dong Cheng District, Beijing, CN</t>
        </is>
      </c>
      <c r="B553" t="inlineStr"/>
      <c r="C553" t="n">
        <v>0</v>
      </c>
    </row>
    <row r="554">
      <c r="A554" t="inlineStr">
        <is>
          <t>China Classification Society Certification Co., Ltd, Dong Cheng District, Beijing, CN</t>
        </is>
      </c>
      <c r="B554" t="inlineStr"/>
      <c r="C554" t="n">
        <v>0</v>
      </c>
    </row>
    <row r="555">
      <c r="A555" t="inlineStr">
        <is>
          <t>China Classification Society Certification Co., Ltd, Dong Cheng District, Beijing, CN</t>
        </is>
      </c>
      <c r="B555" t="inlineStr"/>
      <c r="C555" t="n">
        <v>0</v>
      </c>
    </row>
    <row r="556">
      <c r="A556" t="inlineStr">
        <is>
          <t>China Classification Society Certification Co., Ltd, Dong Cheng District, Beijing, CN</t>
        </is>
      </c>
      <c r="B556" t="inlineStr"/>
      <c r="C556" t="n">
        <v>0</v>
      </c>
    </row>
    <row r="557">
      <c r="A557" t="inlineStr">
        <is>
          <t>China Classification Society Certification Co., Ltd, Dong Cheng District, Beijing, CN</t>
        </is>
      </c>
      <c r="B557" t="inlineStr"/>
      <c r="C557" t="n">
        <v>0</v>
      </c>
    </row>
    <row r="558">
      <c r="A558" t="inlineStr">
        <is>
          <t>China Classification Society Certification Co., Ltd, Dong Cheng District, Beijing, CN</t>
        </is>
      </c>
      <c r="B558" t="inlineStr"/>
      <c r="C558" t="n">
        <v>0</v>
      </c>
    </row>
    <row r="559">
      <c r="A559" t="inlineStr">
        <is>
          <t>China Classification Society Certification Co., Ltd, Dong Cheng District, Beijing, CN</t>
        </is>
      </c>
      <c r="B559" t="inlineStr"/>
      <c r="C559" t="n">
        <v>0</v>
      </c>
    </row>
    <row r="560">
      <c r="A560" t="inlineStr">
        <is>
          <t>China Classification Society Certification Co., Ltd, Dong Cheng District, Beijing, CN</t>
        </is>
      </c>
      <c r="B560" t="inlineStr"/>
      <c r="C560" t="n">
        <v>0</v>
      </c>
    </row>
    <row r="561">
      <c r="A561" t="inlineStr">
        <is>
          <t>China Classification Society Certification Co., Ltd, Dong Cheng District, Beijing, CN</t>
        </is>
      </c>
      <c r="B561" t="inlineStr"/>
      <c r="C561" t="n">
        <v>0</v>
      </c>
    </row>
    <row r="562">
      <c r="A562" t="inlineStr">
        <is>
          <t>PT TUV Rheinland Indonesia, Jakarta, ID</t>
        </is>
      </c>
      <c r="B562" t="inlineStr">
        <is>
          <t>Japan</t>
        </is>
      </c>
      <c r="C562" t="n">
        <v>15</v>
      </c>
    </row>
    <row r="563">
      <c r="A563" t="inlineStr">
        <is>
          <t>PT TUV Rheinland Indonesia, Jakarta, ID</t>
        </is>
      </c>
      <c r="B563" t="inlineStr">
        <is>
          <t>Indonesia</t>
        </is>
      </c>
      <c r="C563" t="n">
        <v>4</v>
      </c>
    </row>
    <row r="564">
      <c r="A564" t="inlineStr">
        <is>
          <t>PT TUV Rheinland Indonesia, Jakarta, ID</t>
        </is>
      </c>
      <c r="B564" t="inlineStr">
        <is>
          <t>Singapore</t>
        </is>
      </c>
      <c r="C564" t="n">
        <v>4</v>
      </c>
    </row>
    <row r="565">
      <c r="A565" t="inlineStr">
        <is>
          <t>PT TUV Rheinland Indonesia, Jakarta, ID</t>
        </is>
      </c>
      <c r="B565" t="inlineStr">
        <is>
          <t>The Philippines</t>
        </is>
      </c>
      <c r="C565" t="n">
        <v>2</v>
      </c>
    </row>
    <row r="566">
      <c r="A566" t="inlineStr">
        <is>
          <t>PT TUV Rheinland Indonesia, Jakarta, ID</t>
        </is>
      </c>
      <c r="B566" t="inlineStr">
        <is>
          <t>Vietnam</t>
        </is>
      </c>
      <c r="C566" t="n">
        <v>2</v>
      </c>
    </row>
    <row r="567">
      <c r="A567" t="inlineStr">
        <is>
          <t>PT TUV Rheinland Indonesia, Jakarta, ID</t>
        </is>
      </c>
      <c r="B567" t="inlineStr">
        <is>
          <t>Thailand</t>
        </is>
      </c>
      <c r="C567" t="n">
        <v>1</v>
      </c>
    </row>
    <row r="568">
      <c r="A568" t="inlineStr">
        <is>
          <t>PT TUV Rheinland Indonesia, Jakarta, ID</t>
        </is>
      </c>
      <c r="B568" t="inlineStr">
        <is>
          <t>Philippines</t>
        </is>
      </c>
      <c r="C568" t="n">
        <v>1</v>
      </c>
    </row>
    <row r="569">
      <c r="A569" t="inlineStr">
        <is>
          <t>PT TUV Rheinland Indonesia, Jakarta, ID</t>
        </is>
      </c>
      <c r="B569" t="inlineStr"/>
      <c r="C569" t="n">
        <v>0</v>
      </c>
    </row>
    <row r="570">
      <c r="A570" t="inlineStr">
        <is>
          <t>PT TUV Rheinland Indonesia, Jakarta, ID</t>
        </is>
      </c>
      <c r="B570" t="inlineStr"/>
      <c r="C570" t="n">
        <v>0</v>
      </c>
    </row>
    <row r="571">
      <c r="A571" t="inlineStr">
        <is>
          <t>PT TUV Rheinland Indonesia, Jakarta, ID</t>
        </is>
      </c>
      <c r="B571" t="inlineStr"/>
      <c r="C571" t="n">
        <v>0</v>
      </c>
    </row>
    <row r="572">
      <c r="A572" t="inlineStr">
        <is>
          <t>Business Quality Verification Testing and Certification Services P.C. (BQV), Marousi, Athens, GR</t>
        </is>
      </c>
      <c r="B572" t="inlineStr">
        <is>
          <t>Greece</t>
        </is>
      </c>
      <c r="C572" t="n">
        <v>9</v>
      </c>
    </row>
    <row r="573">
      <c r="A573" t="inlineStr">
        <is>
          <t>Business Quality Verification Testing and Certification Services P.C. (BQV), Marousi, Athens, GR</t>
        </is>
      </c>
      <c r="B573" t="inlineStr">
        <is>
          <t>Turkey</t>
        </is>
      </c>
      <c r="C573" t="n">
        <v>4</v>
      </c>
    </row>
    <row r="574">
      <c r="A574" t="inlineStr">
        <is>
          <t>Business Quality Verification Testing and Certification Services P.C. (BQV), Marousi, Athens, GR</t>
        </is>
      </c>
      <c r="B574" t="inlineStr">
        <is>
          <t>The United Arab Emirates</t>
        </is>
      </c>
      <c r="C574" t="n">
        <v>2</v>
      </c>
    </row>
    <row r="575">
      <c r="A575" t="inlineStr">
        <is>
          <t>Business Quality Verification Testing and Certification Services P.C. (BQV), Marousi, Athens, GR</t>
        </is>
      </c>
      <c r="B575" t="inlineStr">
        <is>
          <t>Cyprus</t>
        </is>
      </c>
      <c r="C575" t="n">
        <v>2</v>
      </c>
    </row>
    <row r="576">
      <c r="A576" t="inlineStr">
        <is>
          <t>Business Quality Verification Testing and Certification Services P.C. (BQV), Marousi, Athens, GR</t>
        </is>
      </c>
      <c r="B576" t="inlineStr">
        <is>
          <t>Serbia</t>
        </is>
      </c>
      <c r="C576" t="n">
        <v>2</v>
      </c>
    </row>
    <row r="577">
      <c r="A577" t="inlineStr">
        <is>
          <t>Business Quality Verification Testing and Certification Services P.C. (BQV), Marousi, Athens, GR</t>
        </is>
      </c>
      <c r="B577" t="inlineStr">
        <is>
          <t>Moldova</t>
        </is>
      </c>
      <c r="C577" t="n">
        <v>1</v>
      </c>
    </row>
    <row r="578">
      <c r="A578" t="inlineStr">
        <is>
          <t>Business Quality Verification Testing and Certification Services P.C. (BQV), Marousi, Athens, GR</t>
        </is>
      </c>
      <c r="B578" t="inlineStr">
        <is>
          <t>Albania</t>
        </is>
      </c>
      <c r="C578" t="n">
        <v>1</v>
      </c>
    </row>
    <row r="579">
      <c r="A579" t="inlineStr">
        <is>
          <t>Business Quality Verification Testing and Certification Services P.C. (BQV), Marousi, Athens, GR</t>
        </is>
      </c>
      <c r="B579" t="inlineStr">
        <is>
          <t>Türkiye</t>
        </is>
      </c>
      <c r="C579" t="n">
        <v>1</v>
      </c>
    </row>
    <row r="580">
      <c r="A580" t="inlineStr">
        <is>
          <t>Business Quality Verification Testing and Certification Services P.C. (BQV), Marousi, Athens, GR</t>
        </is>
      </c>
      <c r="B580" t="inlineStr">
        <is>
          <t>Montenegro</t>
        </is>
      </c>
      <c r="C580" t="n">
        <v>1</v>
      </c>
    </row>
    <row r="581">
      <c r="A581" t="inlineStr">
        <is>
          <t>Business Quality Verification Testing and Certification Services P.C. (BQV), Marousi, Athens, GR</t>
        </is>
      </c>
      <c r="B581" t="inlineStr">
        <is>
          <t>Kazakhstan</t>
        </is>
      </c>
      <c r="C581" t="n">
        <v>1</v>
      </c>
    </row>
    <row r="582">
      <c r="A582" t="inlineStr">
        <is>
          <t>NCS Estonia OÜ, Tallinn, EE</t>
        </is>
      </c>
      <c r="B582" t="inlineStr">
        <is>
          <t>Estonia</t>
        </is>
      </c>
      <c r="C582" t="n">
        <v>14</v>
      </c>
    </row>
    <row r="583">
      <c r="A583" t="inlineStr">
        <is>
          <t>NCS Estonia OÜ, Tallinn, EE</t>
        </is>
      </c>
      <c r="B583" t="inlineStr">
        <is>
          <t>Lithuania</t>
        </is>
      </c>
      <c r="C583" t="n">
        <v>6</v>
      </c>
    </row>
    <row r="584">
      <c r="A584" t="inlineStr">
        <is>
          <t>NCS Estonia OÜ, Tallinn, EE</t>
        </is>
      </c>
      <c r="B584" t="inlineStr">
        <is>
          <t>Denmark</t>
        </is>
      </c>
      <c r="C584" t="n">
        <v>4</v>
      </c>
    </row>
    <row r="585">
      <c r="A585" t="inlineStr">
        <is>
          <t>NCS Estonia OÜ, Tallinn, EE</t>
        </is>
      </c>
      <c r="B585" t="inlineStr">
        <is>
          <t>Finland</t>
        </is>
      </c>
      <c r="C585" t="n">
        <v>2</v>
      </c>
    </row>
    <row r="586">
      <c r="A586" t="inlineStr">
        <is>
          <t>NCS Estonia OÜ, Tallinn, EE</t>
        </is>
      </c>
      <c r="B586" t="inlineStr"/>
      <c r="C586" t="n">
        <v>0</v>
      </c>
    </row>
    <row r="587">
      <c r="A587" t="inlineStr">
        <is>
          <t>NCS Estonia OÜ, Tallinn, EE</t>
        </is>
      </c>
      <c r="B587" t="inlineStr"/>
      <c r="C587" t="n">
        <v>0</v>
      </c>
    </row>
    <row r="588">
      <c r="A588" t="inlineStr">
        <is>
          <t>NCS Estonia OÜ, Tallinn, EE</t>
        </is>
      </c>
      <c r="B588" t="inlineStr"/>
      <c r="C588" t="n">
        <v>0</v>
      </c>
    </row>
    <row r="589">
      <c r="A589" t="inlineStr">
        <is>
          <t>NCS Estonia OÜ, Tallinn, EE</t>
        </is>
      </c>
      <c r="B589" t="inlineStr"/>
      <c r="C589" t="n">
        <v>0</v>
      </c>
    </row>
    <row r="590">
      <c r="A590" t="inlineStr">
        <is>
          <t>NCS Estonia OÜ, Tallinn, EE</t>
        </is>
      </c>
      <c r="B590" t="inlineStr"/>
      <c r="C590" t="n">
        <v>0</v>
      </c>
    </row>
    <row r="591">
      <c r="A591" t="inlineStr">
        <is>
          <t>NCS Estonia OÜ, Tallinn, EE</t>
        </is>
      </c>
      <c r="B591" t="inlineStr"/>
      <c r="C591" t="n">
        <v>0</v>
      </c>
    </row>
    <row r="592">
      <c r="A592" t="inlineStr">
        <is>
          <t>Guardian Independent Certification Limited, Singapore, SG</t>
        </is>
      </c>
      <c r="B592" t="inlineStr">
        <is>
          <t>China</t>
        </is>
      </c>
      <c r="C592" t="n">
        <v>11</v>
      </c>
    </row>
    <row r="593">
      <c r="A593" t="inlineStr">
        <is>
          <t>Guardian Independent Certification Limited, Singapore, SG</t>
        </is>
      </c>
      <c r="B593" t="inlineStr">
        <is>
          <t>Singapore</t>
        </is>
      </c>
      <c r="C593" t="n">
        <v>10</v>
      </c>
    </row>
    <row r="594">
      <c r="A594" t="inlineStr">
        <is>
          <t>Guardian Independent Certification Limited, Singapore, SG</t>
        </is>
      </c>
      <c r="B594" t="inlineStr">
        <is>
          <t>Japan</t>
        </is>
      </c>
      <c r="C594" t="n">
        <v>2</v>
      </c>
    </row>
    <row r="595">
      <c r="A595" t="inlineStr">
        <is>
          <t>Guardian Independent Certification Limited, Singapore, SG</t>
        </is>
      </c>
      <c r="B595" t="inlineStr">
        <is>
          <t>United Kingdom</t>
        </is>
      </c>
      <c r="C595" t="n">
        <v>2</v>
      </c>
    </row>
    <row r="596">
      <c r="A596" t="inlineStr">
        <is>
          <t>Guardian Independent Certification Limited, Singapore, SG</t>
        </is>
      </c>
      <c r="B596" t="inlineStr">
        <is>
          <t>South Korea</t>
        </is>
      </c>
      <c r="C596" t="n">
        <v>1</v>
      </c>
    </row>
    <row r="597">
      <c r="A597" t="inlineStr">
        <is>
          <t>Guardian Independent Certification Limited, Singapore, SG</t>
        </is>
      </c>
      <c r="B597" t="inlineStr"/>
      <c r="C597" t="n">
        <v>0</v>
      </c>
    </row>
    <row r="598">
      <c r="A598" t="inlineStr">
        <is>
          <t>Guardian Independent Certification Limited, Singapore, SG</t>
        </is>
      </c>
      <c r="B598" t="inlineStr"/>
      <c r="C598" t="n">
        <v>0</v>
      </c>
    </row>
    <row r="599">
      <c r="A599" t="inlineStr">
        <is>
          <t>Guardian Independent Certification Limited, Singapore, SG</t>
        </is>
      </c>
      <c r="B599" t="inlineStr"/>
      <c r="C599" t="n">
        <v>0</v>
      </c>
    </row>
    <row r="600">
      <c r="A600" t="inlineStr">
        <is>
          <t>Guardian Independent Certification Limited, Singapore, SG</t>
        </is>
      </c>
      <c r="B600" t="inlineStr"/>
      <c r="C600" t="n">
        <v>0</v>
      </c>
    </row>
    <row r="601">
      <c r="A601" t="inlineStr">
        <is>
          <t>Guardian Independent Certification Limited, Singapore, SG</t>
        </is>
      </c>
      <c r="B601" t="inlineStr"/>
      <c r="C601" t="n">
        <v>0</v>
      </c>
    </row>
    <row r="602">
      <c r="A602" t="inlineStr">
        <is>
          <t>ISOQAR Ltd, Stretford, Manchester, GB</t>
        </is>
      </c>
      <c r="B602" t="inlineStr">
        <is>
          <t>India</t>
        </is>
      </c>
      <c r="C602" t="n">
        <v>20</v>
      </c>
    </row>
    <row r="603">
      <c r="A603" t="inlineStr">
        <is>
          <t>ISOQAR Ltd, Stretford, Manchester, GB</t>
        </is>
      </c>
      <c r="B603" t="inlineStr">
        <is>
          <t>United Kingdom</t>
        </is>
      </c>
      <c r="C603" t="n">
        <v>1</v>
      </c>
    </row>
    <row r="604">
      <c r="A604" t="inlineStr">
        <is>
          <t>ISOQAR Ltd, Stretford, Manchester, GB</t>
        </is>
      </c>
      <c r="B604" t="inlineStr">
        <is>
          <t>Singapore</t>
        </is>
      </c>
      <c r="C604" t="n">
        <v>1</v>
      </c>
    </row>
    <row r="605">
      <c r="A605" t="inlineStr">
        <is>
          <t>ISOQAR Ltd, Stretford, Manchester, GB</t>
        </is>
      </c>
      <c r="B605" t="inlineStr"/>
      <c r="C605" t="n">
        <v>0</v>
      </c>
    </row>
    <row r="606">
      <c r="A606" t="inlineStr">
        <is>
          <t>ISOQAR Ltd, Stretford, Manchester, GB</t>
        </is>
      </c>
      <c r="B606" t="inlineStr"/>
      <c r="C606" t="n">
        <v>0</v>
      </c>
    </row>
    <row r="607">
      <c r="A607" t="inlineStr">
        <is>
          <t>ISOQAR Ltd, Stretford, Manchester, GB</t>
        </is>
      </c>
      <c r="B607" t="inlineStr"/>
      <c r="C607" t="n">
        <v>0</v>
      </c>
    </row>
    <row r="608">
      <c r="A608" t="inlineStr">
        <is>
          <t>ISOQAR Ltd, Stretford, Manchester, GB</t>
        </is>
      </c>
      <c r="B608" t="inlineStr"/>
      <c r="C608" t="n">
        <v>0</v>
      </c>
    </row>
    <row r="609">
      <c r="A609" t="inlineStr">
        <is>
          <t>ISOQAR Ltd, Stretford, Manchester, GB</t>
        </is>
      </c>
      <c r="B609" t="inlineStr"/>
      <c r="C609" t="n">
        <v>0</v>
      </c>
    </row>
    <row r="610">
      <c r="A610" t="inlineStr">
        <is>
          <t>ISOQAR Ltd, Stretford, Manchester, GB</t>
        </is>
      </c>
      <c r="B610" t="inlineStr"/>
      <c r="C610" t="n">
        <v>0</v>
      </c>
    </row>
    <row r="611">
      <c r="A611" t="inlineStr">
        <is>
          <t>ISOQAR Ltd, Stretford, Manchester, GB</t>
        </is>
      </c>
      <c r="B611" t="inlineStr"/>
      <c r="C611" t="n">
        <v>0</v>
      </c>
    </row>
    <row r="612">
      <c r="A612" t="inlineStr">
        <is>
          <t>CertRom SRL, Bucuresti, RO</t>
        </is>
      </c>
      <c r="B612" t="inlineStr">
        <is>
          <t>Romania</t>
        </is>
      </c>
      <c r="C612" t="n">
        <v>14</v>
      </c>
    </row>
    <row r="613">
      <c r="A613" t="inlineStr">
        <is>
          <t>CertRom SRL, Bucuresti, RO</t>
        </is>
      </c>
      <c r="B613" t="inlineStr">
        <is>
          <t>Switzerland</t>
        </is>
      </c>
      <c r="C613" t="n">
        <v>2</v>
      </c>
    </row>
    <row r="614">
      <c r="A614" t="inlineStr">
        <is>
          <t>CertRom SRL, Bucuresti, RO</t>
        </is>
      </c>
      <c r="B614" t="inlineStr">
        <is>
          <t>Belgium</t>
        </is>
      </c>
      <c r="C614" t="n">
        <v>2</v>
      </c>
    </row>
    <row r="615">
      <c r="A615" t="inlineStr">
        <is>
          <t>CertRom SRL, Bucuresti, RO</t>
        </is>
      </c>
      <c r="B615" t="inlineStr">
        <is>
          <t>Bulgaria</t>
        </is>
      </c>
      <c r="C615" t="n">
        <v>1</v>
      </c>
    </row>
    <row r="616">
      <c r="A616" t="inlineStr">
        <is>
          <t>CertRom SRL, Bucuresti, RO</t>
        </is>
      </c>
      <c r="B616" t="inlineStr">
        <is>
          <t>Slovakia</t>
        </is>
      </c>
      <c r="C616" t="n">
        <v>1</v>
      </c>
    </row>
    <row r="617">
      <c r="A617" t="inlineStr">
        <is>
          <t>CertRom SRL, Bucuresti, RO</t>
        </is>
      </c>
      <c r="B617" t="inlineStr">
        <is>
          <t>Hungary</t>
        </is>
      </c>
      <c r="C617" t="n">
        <v>1</v>
      </c>
    </row>
    <row r="618">
      <c r="A618" t="inlineStr">
        <is>
          <t>CertRom SRL, Bucuresti, RO</t>
        </is>
      </c>
      <c r="B618" t="inlineStr">
        <is>
          <t>Cyprus</t>
        </is>
      </c>
      <c r="C618" t="n">
        <v>1</v>
      </c>
    </row>
    <row r="619">
      <c r="A619" t="inlineStr">
        <is>
          <t>CertRom SRL, Bucuresti, RO</t>
        </is>
      </c>
      <c r="B619" t="inlineStr"/>
      <c r="C619" t="n">
        <v>0</v>
      </c>
    </row>
    <row r="620">
      <c r="A620" t="inlineStr">
        <is>
          <t>CertRom SRL, Bucuresti, RO</t>
        </is>
      </c>
      <c r="B620" t="inlineStr"/>
      <c r="C620" t="n">
        <v>0</v>
      </c>
    </row>
    <row r="621">
      <c r="A621" t="inlineStr">
        <is>
          <t>CertRom SRL, Bucuresti, RO</t>
        </is>
      </c>
      <c r="B621" t="inlineStr"/>
      <c r="C621" t="n">
        <v>0</v>
      </c>
    </row>
    <row r="622">
      <c r="A622" t="inlineStr">
        <is>
          <t>Bureau Veritas Consumer Products Services, Inc., Littleton, MA, US</t>
        </is>
      </c>
      <c r="B622" t="inlineStr">
        <is>
          <t>China</t>
        </is>
      </c>
      <c r="C622" t="n">
        <v>11</v>
      </c>
    </row>
    <row r="623">
      <c r="A623" t="inlineStr">
        <is>
          <t>Bureau Veritas Consumer Products Services, Inc., Littleton, MA, US</t>
        </is>
      </c>
      <c r="B623" t="inlineStr">
        <is>
          <t>Province of China</t>
        </is>
      </c>
      <c r="C623" t="n">
        <v>5</v>
      </c>
    </row>
    <row r="624">
      <c r="A624" t="inlineStr">
        <is>
          <t>Bureau Veritas Consumer Products Services, Inc., Littleton, MA, US</t>
        </is>
      </c>
      <c r="B624" t="inlineStr">
        <is>
          <t>Taiwan</t>
        </is>
      </c>
      <c r="C624" t="n">
        <v>1</v>
      </c>
    </row>
    <row r="625">
      <c r="A625" t="inlineStr">
        <is>
          <t>Bureau Veritas Consumer Products Services, Inc., Littleton, MA, US</t>
        </is>
      </c>
      <c r="B625" t="inlineStr">
        <is>
          <t>Indonesia</t>
        </is>
      </c>
      <c r="C625" t="n">
        <v>1</v>
      </c>
    </row>
    <row r="626">
      <c r="A626" t="inlineStr">
        <is>
          <t>Bureau Veritas Consumer Products Services, Inc., Littleton, MA, US</t>
        </is>
      </c>
      <c r="B626" t="inlineStr">
        <is>
          <t>Thailand</t>
        </is>
      </c>
      <c r="C626" t="n">
        <v>1</v>
      </c>
    </row>
    <row r="627">
      <c r="A627" t="inlineStr">
        <is>
          <t>Bureau Veritas Consumer Products Services, Inc., Littleton, MA, US</t>
        </is>
      </c>
      <c r="B627" t="inlineStr"/>
      <c r="C627" t="n">
        <v>0</v>
      </c>
    </row>
    <row r="628">
      <c r="A628" t="inlineStr">
        <is>
          <t>Bureau Veritas Consumer Products Services, Inc., Littleton, MA, US</t>
        </is>
      </c>
      <c r="B628" t="inlineStr"/>
      <c r="C628" t="n">
        <v>0</v>
      </c>
    </row>
    <row r="629">
      <c r="A629" t="inlineStr">
        <is>
          <t>Bureau Veritas Consumer Products Services, Inc., Littleton, MA, US</t>
        </is>
      </c>
      <c r="B629" t="inlineStr"/>
      <c r="C629" t="n">
        <v>0</v>
      </c>
    </row>
    <row r="630">
      <c r="A630" t="inlineStr">
        <is>
          <t>Bureau Veritas Consumer Products Services, Inc., Littleton, MA, US</t>
        </is>
      </c>
      <c r="B630" t="inlineStr"/>
      <c r="C630" t="n">
        <v>0</v>
      </c>
    </row>
    <row r="631">
      <c r="A631" t="inlineStr">
        <is>
          <t>Bureau Veritas Consumer Products Services, Inc., Littleton, MA, US</t>
        </is>
      </c>
      <c r="B631" t="inlineStr"/>
      <c r="C631" t="n">
        <v>0</v>
      </c>
    </row>
    <row r="632">
      <c r="A632" t="inlineStr">
        <is>
          <t>BMC Assurance, S.L, Santander, ES</t>
        </is>
      </c>
      <c r="B632" t="inlineStr">
        <is>
          <t>Spain</t>
        </is>
      </c>
      <c r="C632" t="n">
        <v>12</v>
      </c>
    </row>
    <row r="633">
      <c r="A633" t="inlineStr">
        <is>
          <t>BMC Assurance, S.L, Santander, ES</t>
        </is>
      </c>
      <c r="B633" t="inlineStr">
        <is>
          <t>Switzerland</t>
        </is>
      </c>
      <c r="C633" t="n">
        <v>1</v>
      </c>
    </row>
    <row r="634">
      <c r="A634" t="inlineStr">
        <is>
          <t>BMC Assurance, S.L, Santander, ES</t>
        </is>
      </c>
      <c r="B634" t="inlineStr">
        <is>
          <t>Italy</t>
        </is>
      </c>
      <c r="C634" t="n">
        <v>1</v>
      </c>
    </row>
    <row r="635">
      <c r="A635" t="inlineStr">
        <is>
          <t>BMC Assurance, S.L, Santander, ES</t>
        </is>
      </c>
      <c r="B635" t="inlineStr">
        <is>
          <t>Germany</t>
        </is>
      </c>
      <c r="C635" t="n">
        <v>1</v>
      </c>
    </row>
    <row r="636">
      <c r="A636" t="inlineStr">
        <is>
          <t>BMC Assurance, S.L, Santander, ES</t>
        </is>
      </c>
      <c r="B636" t="inlineStr">
        <is>
          <t>Portugal</t>
        </is>
      </c>
      <c r="C636" t="n">
        <v>1</v>
      </c>
    </row>
    <row r="637">
      <c r="A637" t="inlineStr">
        <is>
          <t>BMC Assurance, S.L, Santander, ES</t>
        </is>
      </c>
      <c r="B637" t="inlineStr"/>
      <c r="C637" t="n">
        <v>0</v>
      </c>
    </row>
    <row r="638">
      <c r="A638" t="inlineStr">
        <is>
          <t>BMC Assurance, S.L, Santander, ES</t>
        </is>
      </c>
      <c r="B638" t="inlineStr"/>
      <c r="C638" t="n">
        <v>0</v>
      </c>
    </row>
    <row r="639">
      <c r="A639" t="inlineStr">
        <is>
          <t>BMC Assurance, S.L, Santander, ES</t>
        </is>
      </c>
      <c r="B639" t="inlineStr"/>
      <c r="C639" t="n">
        <v>0</v>
      </c>
    </row>
    <row r="640">
      <c r="A640" t="inlineStr">
        <is>
          <t>BMC Assurance, S.L, Santander, ES</t>
        </is>
      </c>
      <c r="B640" t="inlineStr"/>
      <c r="C640" t="n">
        <v>0</v>
      </c>
    </row>
    <row r="641">
      <c r="A641" t="inlineStr">
        <is>
          <t>BMC Assurance, S.L, Santander, ES</t>
        </is>
      </c>
      <c r="B641" t="inlineStr"/>
      <c r="C641" t="n">
        <v>0</v>
      </c>
    </row>
    <row r="642">
      <c r="A642" t="inlineStr">
        <is>
          <t>NSF International, Ann Arbor, MI, US</t>
        </is>
      </c>
      <c r="B642" t="inlineStr">
        <is>
          <t>China</t>
        </is>
      </c>
      <c r="C642" t="n">
        <v>13</v>
      </c>
    </row>
    <row r="643">
      <c r="A643" t="inlineStr">
        <is>
          <t>NSF International, Ann Arbor, MI, US</t>
        </is>
      </c>
      <c r="B643" t="inlineStr">
        <is>
          <t>Vietnam</t>
        </is>
      </c>
      <c r="C643" t="n">
        <v>1</v>
      </c>
    </row>
    <row r="644">
      <c r="A644" t="inlineStr">
        <is>
          <t>NSF International, Ann Arbor, MI, US</t>
        </is>
      </c>
      <c r="B644" t="inlineStr"/>
      <c r="C644" t="n">
        <v>0</v>
      </c>
    </row>
    <row r="645">
      <c r="A645" t="inlineStr">
        <is>
          <t>NSF International, Ann Arbor, MI, US</t>
        </is>
      </c>
      <c r="B645" t="inlineStr"/>
      <c r="C645" t="n">
        <v>0</v>
      </c>
    </row>
    <row r="646">
      <c r="A646" t="inlineStr">
        <is>
          <t>NSF International, Ann Arbor, MI, US</t>
        </is>
      </c>
      <c r="B646" t="inlineStr"/>
      <c r="C646" t="n">
        <v>0</v>
      </c>
    </row>
    <row r="647">
      <c r="A647" t="inlineStr">
        <is>
          <t>NSF International, Ann Arbor, MI, US</t>
        </is>
      </c>
      <c r="B647" t="inlineStr"/>
      <c r="C647" t="n">
        <v>0</v>
      </c>
    </row>
    <row r="648">
      <c r="A648" t="inlineStr">
        <is>
          <t>NSF International, Ann Arbor, MI, US</t>
        </is>
      </c>
      <c r="B648" t="inlineStr"/>
      <c r="C648" t="n">
        <v>0</v>
      </c>
    </row>
    <row r="649">
      <c r="A649" t="inlineStr">
        <is>
          <t>NSF International, Ann Arbor, MI, US</t>
        </is>
      </c>
      <c r="B649" t="inlineStr"/>
      <c r="C649" t="n">
        <v>0</v>
      </c>
    </row>
    <row r="650">
      <c r="A650" t="inlineStr">
        <is>
          <t>NSF International, Ann Arbor, MI, US</t>
        </is>
      </c>
      <c r="B650" t="inlineStr"/>
      <c r="C650" t="n">
        <v>0</v>
      </c>
    </row>
    <row r="651">
      <c r="A651" t="inlineStr">
        <is>
          <t>NSF International, Ann Arbor, MI, US</t>
        </is>
      </c>
      <c r="B651" t="inlineStr"/>
      <c r="C651" t="n">
        <v>0</v>
      </c>
    </row>
    <row r="652">
      <c r="A652" t="inlineStr">
        <is>
          <t>Bureau Veritas Consumer Products Services, Inc., Buffalo, NY, US</t>
        </is>
      </c>
      <c r="B652" t="inlineStr">
        <is>
          <t>China</t>
        </is>
      </c>
      <c r="C652" t="n">
        <v>10</v>
      </c>
    </row>
    <row r="653">
      <c r="A653" t="inlineStr">
        <is>
          <t>Bureau Veritas Consumer Products Services, Inc., Buffalo, NY, US</t>
        </is>
      </c>
      <c r="B653" t="inlineStr">
        <is>
          <t>Kenya</t>
        </is>
      </c>
      <c r="C653" t="n">
        <v>1</v>
      </c>
    </row>
    <row r="654">
      <c r="A654" t="inlineStr">
        <is>
          <t>Bureau Veritas Consumer Products Services, Inc., Buffalo, NY, US</t>
        </is>
      </c>
      <c r="B654" t="inlineStr">
        <is>
          <t>Vietnam</t>
        </is>
      </c>
      <c r="C654" t="n">
        <v>1</v>
      </c>
    </row>
    <row r="655">
      <c r="A655" t="inlineStr">
        <is>
          <t>Bureau Veritas Consumer Products Services, Inc., Buffalo, NY, US</t>
        </is>
      </c>
      <c r="B655" t="inlineStr"/>
      <c r="C655" t="n">
        <v>0</v>
      </c>
    </row>
    <row r="656">
      <c r="A656" t="inlineStr">
        <is>
          <t>Bureau Veritas Consumer Products Services, Inc., Buffalo, NY, US</t>
        </is>
      </c>
      <c r="B656" t="inlineStr"/>
      <c r="C656" t="n">
        <v>0</v>
      </c>
    </row>
    <row r="657">
      <c r="A657" t="inlineStr">
        <is>
          <t>Bureau Veritas Consumer Products Services, Inc., Buffalo, NY, US</t>
        </is>
      </c>
      <c r="B657" t="inlineStr"/>
      <c r="C657" t="n">
        <v>0</v>
      </c>
    </row>
    <row r="658">
      <c r="A658" t="inlineStr">
        <is>
          <t>Bureau Veritas Consumer Products Services, Inc., Buffalo, NY, US</t>
        </is>
      </c>
      <c r="B658" t="inlineStr"/>
      <c r="C658" t="n">
        <v>0</v>
      </c>
    </row>
    <row r="659">
      <c r="A659" t="inlineStr">
        <is>
          <t>Bureau Veritas Consumer Products Services, Inc., Buffalo, NY, US</t>
        </is>
      </c>
      <c r="B659" t="inlineStr"/>
      <c r="C659" t="n">
        <v>0</v>
      </c>
    </row>
    <row r="660">
      <c r="A660" t="inlineStr">
        <is>
          <t>Bureau Veritas Consumer Products Services, Inc., Buffalo, NY, US</t>
        </is>
      </c>
      <c r="B660" t="inlineStr"/>
      <c r="C660" t="n">
        <v>0</v>
      </c>
    </row>
    <row r="661">
      <c r="A661" t="inlineStr">
        <is>
          <t>Bureau Veritas Consumer Products Services, Inc., Buffalo, NY, US</t>
        </is>
      </c>
      <c r="B661" t="inlineStr"/>
      <c r="C661" t="n">
        <v>0</v>
      </c>
    </row>
    <row r="662">
      <c r="A662" t="inlineStr">
        <is>
          <t>SI Cert Italy S.R.L., Parma, IT</t>
        </is>
      </c>
      <c r="B662" t="inlineStr">
        <is>
          <t>France</t>
        </is>
      </c>
      <c r="C662" t="n">
        <v>6</v>
      </c>
    </row>
    <row r="663">
      <c r="A663" t="inlineStr">
        <is>
          <t>SI Cert Italy S.R.L., Parma, IT</t>
        </is>
      </c>
      <c r="B663" t="inlineStr">
        <is>
          <t>Italy</t>
        </is>
      </c>
      <c r="C663" t="n">
        <v>3</v>
      </c>
    </row>
    <row r="664">
      <c r="A664" t="inlineStr">
        <is>
          <t>SI Cert Italy S.R.L., Parma, IT</t>
        </is>
      </c>
      <c r="B664" t="inlineStr"/>
      <c r="C664" t="n">
        <v>0</v>
      </c>
    </row>
    <row r="665">
      <c r="A665" t="inlineStr">
        <is>
          <t>SI Cert Italy S.R.L., Parma, IT</t>
        </is>
      </c>
      <c r="B665" t="inlineStr"/>
      <c r="C665" t="n">
        <v>0</v>
      </c>
    </row>
    <row r="666">
      <c r="A666" t="inlineStr">
        <is>
          <t>SI Cert Italy S.R.L., Parma, IT</t>
        </is>
      </c>
      <c r="B666" t="inlineStr"/>
      <c r="C666" t="n">
        <v>0</v>
      </c>
    </row>
    <row r="667">
      <c r="A667" t="inlineStr">
        <is>
          <t>SI Cert Italy S.R.L., Parma, IT</t>
        </is>
      </c>
      <c r="B667" t="inlineStr"/>
      <c r="C667" t="n">
        <v>0</v>
      </c>
    </row>
    <row r="668">
      <c r="A668" t="inlineStr">
        <is>
          <t>SI Cert Italy S.R.L., Parma, IT</t>
        </is>
      </c>
      <c r="B668" t="inlineStr"/>
      <c r="C668" t="n">
        <v>0</v>
      </c>
    </row>
    <row r="669">
      <c r="A669" t="inlineStr">
        <is>
          <t>SI Cert Italy S.R.L., Parma, IT</t>
        </is>
      </c>
      <c r="B669" t="inlineStr"/>
      <c r="C669" t="n">
        <v>0</v>
      </c>
    </row>
    <row r="670">
      <c r="A670" t="inlineStr">
        <is>
          <t>SI Cert Italy S.R.L., Parma, IT</t>
        </is>
      </c>
      <c r="B670" t="inlineStr"/>
      <c r="C670" t="n">
        <v>0</v>
      </c>
    </row>
    <row r="671">
      <c r="A671" t="inlineStr">
        <is>
          <t>SI Cert Italy S.R.L., Parma, IT</t>
        </is>
      </c>
      <c r="B671" t="inlineStr"/>
      <c r="C671" t="n">
        <v>0</v>
      </c>
    </row>
    <row r="672">
      <c r="A672" t="inlineStr">
        <is>
          <t>Certi W Baltic SIA, Riga, LV</t>
        </is>
      </c>
      <c r="B672" t="inlineStr">
        <is>
          <t>France</t>
        </is>
      </c>
      <c r="C672" t="n">
        <v>6</v>
      </c>
    </row>
    <row r="673">
      <c r="A673" t="inlineStr">
        <is>
          <t>Certi W Baltic SIA, Riga, LV</t>
        </is>
      </c>
      <c r="B673" t="inlineStr">
        <is>
          <t>Hong Kong</t>
        </is>
      </c>
      <c r="C673" t="n">
        <v>1</v>
      </c>
    </row>
    <row r="674">
      <c r="A674" t="inlineStr">
        <is>
          <t>Certi W Baltic SIA, Riga, LV</t>
        </is>
      </c>
      <c r="B674" t="inlineStr">
        <is>
          <t>Italy</t>
        </is>
      </c>
      <c r="C674" t="n">
        <v>1</v>
      </c>
    </row>
    <row r="675">
      <c r="A675" t="inlineStr">
        <is>
          <t>Certi W Baltic SIA, Riga, LV</t>
        </is>
      </c>
      <c r="B675" t="inlineStr">
        <is>
          <t>Belgium</t>
        </is>
      </c>
      <c r="C675" t="n">
        <v>1</v>
      </c>
    </row>
    <row r="676">
      <c r="A676" t="inlineStr">
        <is>
          <t>Certi W Baltic SIA, Riga, LV</t>
        </is>
      </c>
      <c r="B676" t="inlineStr"/>
      <c r="C676" t="n">
        <v>0</v>
      </c>
    </row>
    <row r="677">
      <c r="A677" t="inlineStr">
        <is>
          <t>Certi W Baltic SIA, Riga, LV</t>
        </is>
      </c>
      <c r="B677" t="inlineStr"/>
      <c r="C677" t="n">
        <v>0</v>
      </c>
    </row>
    <row r="678">
      <c r="A678" t="inlineStr">
        <is>
          <t>Certi W Baltic SIA, Riga, LV</t>
        </is>
      </c>
      <c r="B678" t="inlineStr"/>
      <c r="C678" t="n">
        <v>0</v>
      </c>
    </row>
    <row r="679">
      <c r="A679" t="inlineStr">
        <is>
          <t>Certi W Baltic SIA, Riga, LV</t>
        </is>
      </c>
      <c r="B679" t="inlineStr"/>
      <c r="C679" t="n">
        <v>0</v>
      </c>
    </row>
    <row r="680">
      <c r="A680" t="inlineStr">
        <is>
          <t>Certi W Baltic SIA, Riga, LV</t>
        </is>
      </c>
      <c r="B680" t="inlineStr"/>
      <c r="C680" t="n">
        <v>0</v>
      </c>
    </row>
    <row r="681">
      <c r="A681" t="inlineStr">
        <is>
          <t>Certi W Baltic SIA, Riga, LV</t>
        </is>
      </c>
      <c r="B681" t="inlineStr"/>
      <c r="C681" t="n">
        <v>0</v>
      </c>
    </row>
    <row r="682">
      <c r="A682" t="inlineStr">
        <is>
          <t>Global-Creative-Energy GmbH, Berlin, DE</t>
        </is>
      </c>
      <c r="B682" t="inlineStr">
        <is>
          <t>Germany</t>
        </is>
      </c>
      <c r="C682" t="n">
        <v>5</v>
      </c>
    </row>
    <row r="683">
      <c r="A683" t="inlineStr">
        <is>
          <t>Global-Creative-Energy GmbH, Berlin, DE</t>
        </is>
      </c>
      <c r="B683" t="inlineStr">
        <is>
          <t>Ghana</t>
        </is>
      </c>
      <c r="C683" t="n">
        <v>1</v>
      </c>
    </row>
    <row r="684">
      <c r="A684" t="inlineStr">
        <is>
          <t>Global-Creative-Energy GmbH, Berlin, DE</t>
        </is>
      </c>
      <c r="B684" t="inlineStr">
        <is>
          <t>Cyprus</t>
        </is>
      </c>
      <c r="C684" t="n">
        <v>1</v>
      </c>
    </row>
    <row r="685">
      <c r="A685" t="inlineStr">
        <is>
          <t>Global-Creative-Energy GmbH, Berlin, DE</t>
        </is>
      </c>
      <c r="B685" t="inlineStr">
        <is>
          <t>Slovenia</t>
        </is>
      </c>
      <c r="C685" t="n">
        <v>1</v>
      </c>
    </row>
    <row r="686">
      <c r="A686" t="inlineStr">
        <is>
          <t>Global-Creative-Energy GmbH, Berlin, DE</t>
        </is>
      </c>
      <c r="B686" t="inlineStr"/>
      <c r="C686" t="n">
        <v>0</v>
      </c>
    </row>
    <row r="687">
      <c r="A687" t="inlineStr">
        <is>
          <t>Global-Creative-Energy GmbH, Berlin, DE</t>
        </is>
      </c>
      <c r="B687" t="inlineStr"/>
      <c r="C687" t="n">
        <v>0</v>
      </c>
    </row>
    <row r="688">
      <c r="A688" t="inlineStr">
        <is>
          <t>Global-Creative-Energy GmbH, Berlin, DE</t>
        </is>
      </c>
      <c r="B688" t="inlineStr"/>
      <c r="C688" t="n">
        <v>0</v>
      </c>
    </row>
    <row r="689">
      <c r="A689" t="inlineStr">
        <is>
          <t>Global-Creative-Energy GmbH, Berlin, DE</t>
        </is>
      </c>
      <c r="B689" t="inlineStr"/>
      <c r="C689" t="n">
        <v>0</v>
      </c>
    </row>
    <row r="690">
      <c r="A690" t="inlineStr">
        <is>
          <t>Global-Creative-Energy GmbH, Berlin, DE</t>
        </is>
      </c>
      <c r="B690" t="inlineStr"/>
      <c r="C690" t="n">
        <v>0</v>
      </c>
    </row>
    <row r="691">
      <c r="A691" t="inlineStr">
        <is>
          <t>Global-Creative-Energy GmbH, Berlin, DE</t>
        </is>
      </c>
      <c r="B691" t="inlineStr"/>
      <c r="C691" t="n">
        <v>0</v>
      </c>
    </row>
    <row r="692">
      <c r="A692" t="inlineStr">
        <is>
          <t>FITI Testing &amp; Research Institute, Seoul, KR</t>
        </is>
      </c>
      <c r="B692" t="inlineStr">
        <is>
          <t>South Korea</t>
        </is>
      </c>
      <c r="C692" t="n">
        <v>5</v>
      </c>
    </row>
    <row r="693">
      <c r="A693" t="inlineStr">
        <is>
          <t>FITI Testing &amp; Research Institute, Seoul, KR</t>
        </is>
      </c>
      <c r="B693" t="inlineStr">
        <is>
          <t>Vietnam</t>
        </is>
      </c>
      <c r="C693" t="n">
        <v>2</v>
      </c>
    </row>
    <row r="694">
      <c r="A694" t="inlineStr">
        <is>
          <t>FITI Testing &amp; Research Institute, Seoul, KR</t>
        </is>
      </c>
      <c r="B694" t="inlineStr">
        <is>
          <t>The Republic of Korea</t>
        </is>
      </c>
      <c r="C694" t="n">
        <v>1</v>
      </c>
    </row>
    <row r="695">
      <c r="A695" t="inlineStr">
        <is>
          <t>FITI Testing &amp; Research Institute, Seoul, KR</t>
        </is>
      </c>
      <c r="B695" t="inlineStr"/>
      <c r="C695" t="n">
        <v>0</v>
      </c>
    </row>
    <row r="696">
      <c r="A696" t="inlineStr">
        <is>
          <t>FITI Testing &amp; Research Institute, Seoul, KR</t>
        </is>
      </c>
      <c r="B696" t="inlineStr"/>
      <c r="C696" t="n">
        <v>0</v>
      </c>
    </row>
    <row r="697">
      <c r="A697" t="inlineStr">
        <is>
          <t>FITI Testing &amp; Research Institute, Seoul, KR</t>
        </is>
      </c>
      <c r="B697" t="inlineStr"/>
      <c r="C697" t="n">
        <v>0</v>
      </c>
    </row>
    <row r="698">
      <c r="A698" t="inlineStr">
        <is>
          <t>FITI Testing &amp; Research Institute, Seoul, KR</t>
        </is>
      </c>
      <c r="B698" t="inlineStr"/>
      <c r="C698" t="n">
        <v>0</v>
      </c>
    </row>
    <row r="699">
      <c r="A699" t="inlineStr">
        <is>
          <t>FITI Testing &amp; Research Institute, Seoul, KR</t>
        </is>
      </c>
      <c r="B699" t="inlineStr"/>
      <c r="C699" t="n">
        <v>0</v>
      </c>
    </row>
    <row r="700">
      <c r="A700" t="inlineStr">
        <is>
          <t>FITI Testing &amp; Research Institute, Seoul, KR</t>
        </is>
      </c>
      <c r="B700" t="inlineStr"/>
      <c r="C700" t="n">
        <v>0</v>
      </c>
    </row>
    <row r="701">
      <c r="A701" t="inlineStr">
        <is>
          <t>FITI Testing &amp; Research Institute, Seoul, KR</t>
        </is>
      </c>
      <c r="B701" t="inlineStr"/>
      <c r="C701" t="n">
        <v>0</v>
      </c>
    </row>
    <row r="702">
      <c r="A702" t="inlineStr">
        <is>
          <t>KIWA COLOMBIA S.A.S., Zipaquirá, CO</t>
        </is>
      </c>
      <c r="B702" t="inlineStr">
        <is>
          <t>Colombia</t>
        </is>
      </c>
      <c r="C702" t="n">
        <v>5</v>
      </c>
    </row>
    <row r="703">
      <c r="A703" t="inlineStr">
        <is>
          <t>KIWA COLOMBIA S.A.S., Zipaquirá, CO</t>
        </is>
      </c>
      <c r="B703" t="inlineStr"/>
      <c r="C703" t="n">
        <v>0</v>
      </c>
    </row>
    <row r="704">
      <c r="A704" t="inlineStr">
        <is>
          <t>KIWA COLOMBIA S.A.S., Zipaquirá, CO</t>
        </is>
      </c>
      <c r="B704" t="inlineStr"/>
      <c r="C704" t="n">
        <v>0</v>
      </c>
    </row>
    <row r="705">
      <c r="A705" t="inlineStr">
        <is>
          <t>KIWA COLOMBIA S.A.S., Zipaquirá, CO</t>
        </is>
      </c>
      <c r="B705" t="inlineStr"/>
      <c r="C705" t="n">
        <v>0</v>
      </c>
    </row>
    <row r="706">
      <c r="A706" t="inlineStr">
        <is>
          <t>KIWA COLOMBIA S.A.S., Zipaquirá, CO</t>
        </is>
      </c>
      <c r="B706" t="inlineStr"/>
      <c r="C706" t="n">
        <v>0</v>
      </c>
    </row>
    <row r="707">
      <c r="A707" t="inlineStr">
        <is>
          <t>KIWA COLOMBIA S.A.S., Zipaquirá, CO</t>
        </is>
      </c>
      <c r="B707" t="inlineStr"/>
      <c r="C707" t="n">
        <v>0</v>
      </c>
    </row>
    <row r="708">
      <c r="A708" t="inlineStr">
        <is>
          <t>KIWA COLOMBIA S.A.S., Zipaquirá, CO</t>
        </is>
      </c>
      <c r="B708" t="inlineStr"/>
      <c r="C708" t="n">
        <v>0</v>
      </c>
    </row>
    <row r="709">
      <c r="A709" t="inlineStr">
        <is>
          <t>KIWA COLOMBIA S.A.S., Zipaquirá, CO</t>
        </is>
      </c>
      <c r="B709" t="inlineStr"/>
      <c r="C709" t="n">
        <v>0</v>
      </c>
    </row>
    <row r="710">
      <c r="A710" t="inlineStr">
        <is>
          <t>KIWA COLOMBIA S.A.S., Zipaquirá, CO</t>
        </is>
      </c>
      <c r="B710" t="inlineStr"/>
      <c r="C710" t="n">
        <v>0</v>
      </c>
    </row>
    <row r="711">
      <c r="A711" t="inlineStr">
        <is>
          <t>KIWA COLOMBIA S.A.S., Zipaquirá, CO</t>
        </is>
      </c>
      <c r="B711" t="inlineStr"/>
      <c r="C711" t="n">
        <v>0</v>
      </c>
    </row>
    <row r="712">
      <c r="A712" t="inlineStr">
        <is>
          <t>LSQA, Montevideo, UY</t>
        </is>
      </c>
      <c r="B712" t="inlineStr">
        <is>
          <t>Italy</t>
        </is>
      </c>
      <c r="C712" t="n">
        <v>1</v>
      </c>
    </row>
    <row r="713">
      <c r="A713" t="inlineStr">
        <is>
          <t>LSQA, Montevideo, UY</t>
        </is>
      </c>
      <c r="B713" t="inlineStr"/>
      <c r="C713" t="n">
        <v>0</v>
      </c>
    </row>
    <row r="714">
      <c r="A714" t="inlineStr">
        <is>
          <t>LSQA, Montevideo, UY</t>
        </is>
      </c>
      <c r="B714" t="inlineStr"/>
      <c r="C714" t="n">
        <v>0</v>
      </c>
    </row>
    <row r="715">
      <c r="A715" t="inlineStr">
        <is>
          <t>LSQA, Montevideo, UY</t>
        </is>
      </c>
      <c r="B715" t="inlineStr"/>
      <c r="C715" t="n">
        <v>0</v>
      </c>
    </row>
    <row r="716">
      <c r="A716" t="inlineStr">
        <is>
          <t>LSQA, Montevideo, UY</t>
        </is>
      </c>
      <c r="B716" t="inlineStr"/>
      <c r="C716" t="n">
        <v>0</v>
      </c>
    </row>
    <row r="717">
      <c r="A717" t="inlineStr">
        <is>
          <t>LSQA, Montevideo, UY</t>
        </is>
      </c>
      <c r="B717" t="inlineStr"/>
      <c r="C717" t="n">
        <v>0</v>
      </c>
    </row>
    <row r="718">
      <c r="A718" t="inlineStr">
        <is>
          <t>LSQA, Montevideo, UY</t>
        </is>
      </c>
      <c r="B718" t="inlineStr"/>
      <c r="C718" t="n">
        <v>0</v>
      </c>
    </row>
    <row r="719">
      <c r="A719" t="inlineStr">
        <is>
          <t>LSQA, Montevideo, UY</t>
        </is>
      </c>
      <c r="B719" t="inlineStr"/>
      <c r="C719" t="n">
        <v>0</v>
      </c>
    </row>
    <row r="720">
      <c r="A720" t="inlineStr">
        <is>
          <t>LSQA, Montevideo, UY</t>
        </is>
      </c>
      <c r="B720" t="inlineStr"/>
      <c r="C720" t="n">
        <v>0</v>
      </c>
    </row>
    <row r="721">
      <c r="A721" t="inlineStr">
        <is>
          <t>LSQA, Montevideo, UY</t>
        </is>
      </c>
      <c r="B721" t="inlineStr"/>
      <c r="C72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China</t>
        </is>
      </c>
    </row>
    <row r="2">
      <c r="A2" t="inlineStr">
        <is>
          <t>United States</t>
        </is>
      </c>
    </row>
    <row r="3">
      <c r="A3" t="inlineStr">
        <is>
          <t>Indonesia</t>
        </is>
      </c>
    </row>
    <row r="4">
      <c r="A4" t="inlineStr">
        <is>
          <t>Italy</t>
        </is>
      </c>
    </row>
    <row r="5">
      <c r="A5" t="inlineStr">
        <is>
          <t>Malaysia</t>
        </is>
      </c>
    </row>
    <row r="6">
      <c r="A6" t="inlineStr">
        <is>
          <t>Spain</t>
        </is>
      </c>
    </row>
    <row r="7">
      <c r="A7" t="inlineStr">
        <is>
          <t>Germany</t>
        </is>
      </c>
    </row>
    <row r="8">
      <c r="A8" t="inlineStr">
        <is>
          <t>Japan</t>
        </is>
      </c>
    </row>
    <row r="9">
      <c r="A9" t="inlineStr">
        <is>
          <t>Netherlands</t>
        </is>
      </c>
    </row>
    <row r="10">
      <c r="A10" t="inlineStr">
        <is>
          <t>Singapore</t>
        </is>
      </c>
    </row>
    <row r="11">
      <c r="A11" t="inlineStr">
        <is>
          <t>France</t>
        </is>
      </c>
    </row>
    <row r="12">
      <c r="A12" t="inlineStr">
        <is>
          <t>United Kingdom</t>
        </is>
      </c>
    </row>
    <row r="13">
      <c r="A13" t="inlineStr">
        <is>
          <t>Romania</t>
        </is>
      </c>
    </row>
    <row r="14">
      <c r="A14" t="inlineStr">
        <is>
          <t>Ukraine</t>
        </is>
      </c>
    </row>
    <row r="15">
      <c r="A15" t="inlineStr">
        <is>
          <t>Hungary</t>
        </is>
      </c>
    </row>
    <row r="16">
      <c r="A16" t="inlineStr">
        <is>
          <t>Czech Republic</t>
        </is>
      </c>
    </row>
    <row r="17">
      <c r="A17" t="inlineStr">
        <is>
          <t>Belgium</t>
        </is>
      </c>
    </row>
    <row r="18">
      <c r="A18" t="inlineStr">
        <is>
          <t>Vietnam</t>
        </is>
      </c>
    </row>
    <row r="19">
      <c r="A19" t="inlineStr">
        <is>
          <t>Brazil</t>
        </is>
      </c>
    </row>
    <row r="20">
      <c r="A20" t="inlineStr">
        <is>
          <t>India</t>
        </is>
      </c>
    </row>
    <row r="21">
      <c r="A21" t="inlineStr">
        <is>
          <t>Switzerland</t>
        </is>
      </c>
    </row>
    <row r="22">
      <c r="A22" t="inlineStr">
        <is>
          <t>Slovakia</t>
        </is>
      </c>
    </row>
    <row r="23">
      <c r="A23" t="inlineStr">
        <is>
          <t>Republic of</t>
        </is>
      </c>
    </row>
    <row r="24">
      <c r="A24" t="inlineStr">
        <is>
          <t>Thailand</t>
        </is>
      </c>
    </row>
    <row r="25">
      <c r="A25" t="inlineStr">
        <is>
          <t>South Korea</t>
        </is>
      </c>
    </row>
    <row r="26">
      <c r="A26" t="inlineStr">
        <is>
          <t>Poland</t>
        </is>
      </c>
    </row>
    <row r="27">
      <c r="A27" t="inlineStr">
        <is>
          <t>Austria</t>
        </is>
      </c>
    </row>
    <row r="28">
      <c r="A28" t="inlineStr">
        <is>
          <t>Denmark</t>
        </is>
      </c>
    </row>
    <row r="29">
      <c r="A29" t="inlineStr">
        <is>
          <t>Australia</t>
        </is>
      </c>
    </row>
    <row r="30">
      <c r="A30" t="inlineStr">
        <is>
          <t>Sweden</t>
        </is>
      </c>
    </row>
    <row r="31">
      <c r="A31" t="inlineStr">
        <is>
          <t>Canada</t>
        </is>
      </c>
    </row>
    <row r="32">
      <c r="A32" t="inlineStr">
        <is>
          <t>Greece</t>
        </is>
      </c>
    </row>
    <row r="33">
      <c r="A33" t="inlineStr">
        <is>
          <t>The Netherlands</t>
        </is>
      </c>
    </row>
    <row r="34">
      <c r="A34" t="inlineStr">
        <is>
          <t>Portugal</t>
        </is>
      </c>
    </row>
    <row r="35">
      <c r="A35" t="inlineStr">
        <is>
          <t>Bulgaria</t>
        </is>
      </c>
    </row>
    <row r="36">
      <c r="A36" t="inlineStr">
        <is>
          <t>Lithuania</t>
        </is>
      </c>
    </row>
    <row r="37">
      <c r="A37" t="inlineStr">
        <is>
          <t>Turkey</t>
        </is>
      </c>
    </row>
    <row r="38">
      <c r="A38" t="inlineStr">
        <is>
          <t>Finland</t>
        </is>
      </c>
    </row>
    <row r="39">
      <c r="A39" t="inlineStr">
        <is>
          <t>Argentina</t>
        </is>
      </c>
    </row>
    <row r="40">
      <c r="A40" t="inlineStr">
        <is>
          <t>The Republic of Korea</t>
        </is>
      </c>
    </row>
    <row r="41">
      <c r="A41" t="inlineStr">
        <is>
          <t>The United Kingdom</t>
        </is>
      </c>
    </row>
    <row r="42">
      <c r="A42" t="inlineStr">
        <is>
          <t>Province of China</t>
        </is>
      </c>
    </row>
    <row r="43">
      <c r="A43" t="inlineStr">
        <is>
          <t>Colombia</t>
        </is>
      </c>
    </row>
    <row r="44">
      <c r="A44" t="inlineStr">
        <is>
          <t>United Arab Emirates</t>
        </is>
      </c>
    </row>
    <row r="45">
      <c r="A45" t="inlineStr">
        <is>
          <t>Norway</t>
        </is>
      </c>
    </row>
    <row r="46">
      <c r="A46" t="inlineStr">
        <is>
          <t>Mexico</t>
        </is>
      </c>
    </row>
    <row r="47">
      <c r="A47" t="inlineStr">
        <is>
          <t>Taiwan</t>
        </is>
      </c>
    </row>
    <row r="48">
      <c r="A48" t="inlineStr">
        <is>
          <t>Ireland</t>
        </is>
      </c>
    </row>
    <row r="49">
      <c r="A49" t="inlineStr">
        <is>
          <t>Latvia</t>
        </is>
      </c>
    </row>
    <row r="50">
      <c r="A50" t="inlineStr">
        <is>
          <t>The United States of America</t>
        </is>
      </c>
    </row>
    <row r="51">
      <c r="A51" t="inlineStr">
        <is>
          <t>Croatia</t>
        </is>
      </c>
    </row>
    <row r="52">
      <c r="A52" t="inlineStr">
        <is>
          <t>Estonia</t>
        </is>
      </c>
    </row>
    <row r="53">
      <c r="A53" t="inlineStr">
        <is>
          <t>Cyprus</t>
        </is>
      </c>
    </row>
    <row r="54">
      <c r="A54" t="inlineStr">
        <is>
          <t>Hong Kong</t>
        </is>
      </c>
    </row>
    <row r="55">
      <c r="A55" t="inlineStr">
        <is>
          <t>South Africa</t>
        </is>
      </c>
    </row>
    <row r="56">
      <c r="A56" t="inlineStr">
        <is>
          <t>Slovenia</t>
        </is>
      </c>
    </row>
    <row r="57">
      <c r="A57" t="inlineStr">
        <is>
          <t>Moldova</t>
        </is>
      </c>
    </row>
    <row r="58">
      <c r="A58" t="inlineStr">
        <is>
          <t>The United Arab Emirates</t>
        </is>
      </c>
    </row>
    <row r="59">
      <c r="A59" t="inlineStr">
        <is>
          <t>Saudi Arabia</t>
        </is>
      </c>
    </row>
    <row r="60">
      <c r="A60" t="inlineStr">
        <is>
          <t>Taiwan (Province of China)</t>
        </is>
      </c>
    </row>
    <row r="61">
      <c r="A61" t="inlineStr">
        <is>
          <t>Serbia</t>
        </is>
      </c>
    </row>
    <row r="62">
      <c r="A62" t="inlineStr">
        <is>
          <t>Tunisia</t>
        </is>
      </c>
    </row>
    <row r="63">
      <c r="A63" t="inlineStr">
        <is>
          <t>Pakistan</t>
        </is>
      </c>
    </row>
    <row r="64">
      <c r="A64" t="inlineStr">
        <is>
          <t>New Zealand</t>
        </is>
      </c>
    </row>
    <row r="65">
      <c r="A65" t="inlineStr">
        <is>
          <t>Egypt</t>
        </is>
      </c>
    </row>
    <row r="66">
      <c r="A66" t="inlineStr">
        <is>
          <t>Türkiye</t>
        </is>
      </c>
    </row>
    <row r="67">
      <c r="A67" t="inlineStr">
        <is>
          <t>Peru</t>
        </is>
      </c>
    </row>
    <row r="68">
      <c r="A68" t="inlineStr">
        <is>
          <t>Uruguay</t>
        </is>
      </c>
    </row>
    <row r="69">
      <c r="A69" t="inlineStr">
        <is>
          <t>Panama</t>
        </is>
      </c>
    </row>
    <row r="70">
      <c r="A70" t="inlineStr">
        <is>
          <t>Luxembourg</t>
        </is>
      </c>
    </row>
    <row r="71">
      <c r="A71" t="inlineStr">
        <is>
          <t>Kenya</t>
        </is>
      </c>
    </row>
    <row r="72">
      <c r="A72" t="inlineStr">
        <is>
          <t>Hong Kong (SAR)</t>
        </is>
      </c>
    </row>
    <row r="73">
      <c r="A73" t="inlineStr">
        <is>
          <t>Ivory Coast</t>
        </is>
      </c>
    </row>
    <row r="74">
      <c r="A74" t="inlineStr">
        <is>
          <t>Paraguay</t>
        </is>
      </c>
    </row>
    <row r="75">
      <c r="A75" t="inlineStr">
        <is>
          <t>Philippines</t>
        </is>
      </c>
    </row>
    <row r="76">
      <c r="A76" t="inlineStr">
        <is>
          <t>Guatemala</t>
        </is>
      </c>
    </row>
    <row r="77">
      <c r="A77" t="inlineStr">
        <is>
          <t>Ghana</t>
        </is>
      </c>
    </row>
    <row r="78">
      <c r="A78" t="inlineStr">
        <is>
          <t>Malta</t>
        </is>
      </c>
    </row>
    <row r="79">
      <c r="A79" t="inlineStr">
        <is>
          <t>Kazakhstan</t>
        </is>
      </c>
    </row>
    <row r="80">
      <c r="A80" t="inlineStr">
        <is>
          <t>Monaco</t>
        </is>
      </c>
    </row>
    <row r="81">
      <c r="A81" t="inlineStr">
        <is>
          <t>Ecuador</t>
        </is>
      </c>
    </row>
    <row r="82">
      <c r="A82" t="inlineStr">
        <is>
          <t>Chile</t>
        </is>
      </c>
    </row>
    <row r="83">
      <c r="A83" t="inlineStr">
        <is>
          <t>Israel</t>
        </is>
      </c>
    </row>
    <row r="84">
      <c r="A84" t="inlineStr">
        <is>
          <t>The Philippines</t>
        </is>
      </c>
    </row>
    <row r="85">
      <c r="A85" t="inlineStr">
        <is>
          <t>Mozambique</t>
        </is>
      </c>
    </row>
    <row r="86">
      <c r="A86" t="inlineStr">
        <is>
          <t>Costa Rica</t>
        </is>
      </c>
    </row>
    <row r="87">
      <c r="A87" t="inlineStr">
        <is>
          <t>Oman</t>
        </is>
      </c>
    </row>
    <row r="88">
      <c r="A88" t="inlineStr">
        <is>
          <t>Iceland</t>
        </is>
      </c>
    </row>
    <row r="89">
      <c r="A89" t="inlineStr">
        <is>
          <t>Cambodia</t>
        </is>
      </c>
    </row>
    <row r="90">
      <c r="A90" t="inlineStr">
        <is>
          <t>Nigeria</t>
        </is>
      </c>
    </row>
    <row r="91">
      <c r="A91" t="inlineStr">
        <is>
          <t>Bahrain</t>
        </is>
      </c>
    </row>
    <row r="92">
      <c r="A92" t="inlineStr">
        <is>
          <t>Albania</t>
        </is>
      </c>
    </row>
    <row r="93">
      <c r="A93" t="inlineStr">
        <is>
          <t>Benin</t>
        </is>
      </c>
    </row>
    <row r="94">
      <c r="A94" t="inlineStr">
        <is>
          <t>Jordan</t>
        </is>
      </c>
    </row>
    <row r="95">
      <c r="A95" t="inlineStr">
        <is>
          <t>Angola</t>
        </is>
      </c>
    </row>
    <row r="96">
      <c r="A96" t="inlineStr">
        <is>
          <t>Gabon</t>
        </is>
      </c>
    </row>
    <row r="97">
      <c r="A97" t="inlineStr">
        <is>
          <t>Iraq</t>
        </is>
      </c>
    </row>
    <row r="98">
      <c r="A98" t="inlineStr">
        <is>
          <t>Georgia</t>
        </is>
      </c>
    </row>
    <row r="99">
      <c r="A99" t="inlineStr">
        <is>
          <t>Bangladesh</t>
        </is>
      </c>
    </row>
    <row r="100">
      <c r="A100" t="inlineStr">
        <is>
          <t>Morocco</t>
        </is>
      </c>
    </row>
    <row r="101">
      <c r="A101" t="inlineStr">
        <is>
          <t>Kuwait</t>
        </is>
      </c>
    </row>
    <row r="102">
      <c r="A102" t="inlineStr">
        <is>
          <t>Armenia</t>
        </is>
      </c>
    </row>
    <row r="103">
      <c r="A103" t="inlineStr">
        <is>
          <t>Bosnia and Herzegovina</t>
        </is>
      </c>
    </row>
    <row r="104">
      <c r="A104" t="inlineStr">
        <is>
          <t>Azerbaijan</t>
        </is>
      </c>
    </row>
    <row r="105">
      <c r="A105" t="inlineStr">
        <is>
          <t>Gibraltar</t>
        </is>
      </c>
    </row>
    <row r="106">
      <c r="A106" t="inlineStr">
        <is>
          <t>Trinidad and Tobago</t>
        </is>
      </c>
    </row>
    <row r="107">
      <c r="A107" t="inlineStr">
        <is>
          <t>Montenegro</t>
        </is>
      </c>
    </row>
    <row r="108">
      <c r="A108" t="inlineStr">
        <is>
          <t>Mauritius</t>
        </is>
      </c>
    </row>
    <row r="109">
      <c r="A109" t="inlineStr">
        <is>
          <t>Republic of the Congo</t>
        </is>
      </c>
    </row>
    <row r="110">
      <c r="A110" t="inlineStr">
        <is>
          <t>Senegal</t>
        </is>
      </c>
    </row>
    <row r="111">
      <c r="A111" t="inlineStr">
        <is>
          <t>Togo</t>
        </is>
      </c>
    </row>
    <row r="112">
      <c r="A112" t="inlineStr">
        <is>
          <t>Macedonia</t>
        </is>
      </c>
    </row>
    <row r="113">
      <c r="A113" t="inlineStr">
        <is>
          <t>Algeria</t>
        </is>
      </c>
    </row>
    <row r="114">
      <c r="A114" t="inlineStr">
        <is>
          <t>Zambia</t>
        </is>
      </c>
    </row>
    <row r="115">
      <c r="A115" t="inlineStr">
        <is>
          <t>Kyrgyzstan</t>
        </is>
      </c>
    </row>
    <row r="116">
      <c r="A116" t="inlineStr">
        <is>
          <t>Uganda</t>
        </is>
      </c>
    </row>
    <row r="117">
      <c r="A117" t="inlineStr">
        <is>
          <t>Puerto Rico</t>
        </is>
      </c>
    </row>
    <row r="118">
      <c r="A118" t="inlineStr">
        <is>
          <t>Qatar</t>
        </is>
      </c>
    </row>
    <row r="119">
      <c r="A119" t="inlineStr">
        <is>
          <t>Lebanon</t>
        </is>
      </c>
    </row>
    <row r="120">
      <c r="A120" t="inlineStr">
        <is>
          <t>Iran</t>
        </is>
      </c>
    </row>
    <row r="121">
      <c r="A121" t="inlineStr">
        <is>
          <t>Zimbabwe</t>
        </is>
      </c>
    </row>
    <row r="122">
      <c r="A122" t="inlineStr">
        <is>
          <t>Bolivia</t>
        </is>
      </c>
    </row>
    <row r="123">
      <c r="A123" t="inlineStr">
        <is>
          <t>Fiji</t>
        </is>
      </c>
    </row>
    <row r="124">
      <c r="A124" t="inlineStr">
        <is>
          <t>Honduras</t>
        </is>
      </c>
    </row>
    <row r="125">
      <c r="A125" t="inlineStr">
        <is>
          <t>Aruba</t>
        </is>
      </c>
    </row>
    <row r="126">
      <c r="A126" t="inlineStr">
        <is>
          <t>Guinea-Bissau</t>
        </is>
      </c>
    </row>
    <row r="127">
      <c r="A127" t="inlineStr">
        <is>
          <t>Réunion</t>
        </is>
      </c>
    </row>
    <row r="128">
      <c r="A128" t="inlineStr">
        <is>
          <t>El Salvador</t>
        </is>
      </c>
    </row>
    <row r="129">
      <c r="A129" t="inlineStr">
        <is>
          <t>Cameroon</t>
        </is>
      </c>
    </row>
    <row r="130">
      <c r="A130" t="inlineStr">
        <is>
          <t>Saint Vincent and the Grenadines</t>
        </is>
      </c>
    </row>
    <row r="131">
      <c r="A131" t="inlineStr">
        <is>
          <t>Mongolia</t>
        </is>
      </c>
    </row>
    <row r="132">
      <c r="A132" t="inlineStr">
        <is>
          <t>Isle of Man</t>
        </is>
      </c>
    </row>
    <row r="133">
      <c r="A133" t="inlineStr">
        <is>
          <t>Myanmar</t>
        </is>
      </c>
    </row>
    <row r="134">
      <c r="A134" t="inlineStr">
        <is>
          <t>Sri Lanka</t>
        </is>
      </c>
    </row>
    <row r="135">
      <c r="A135" t="inlineStr">
        <is>
          <t>Laos</t>
        </is>
      </c>
    </row>
    <row r="136">
      <c r="A136" t="inlineStr">
        <is>
          <t>Caribbean Netherlands</t>
        </is>
      </c>
    </row>
    <row r="137">
      <c r="A137" t="inlineStr">
        <is>
          <t>Nicaragua</t>
        </is>
      </c>
    </row>
    <row r="138">
      <c r="A138" t="inlineStr">
        <is>
          <t>Curacao</t>
        </is>
      </c>
    </row>
    <row r="139">
      <c r="A139" t="inlineStr">
        <is>
          <t>Liberia</t>
        </is>
      </c>
    </row>
    <row r="140">
      <c r="A140" t="inlineStr">
        <is>
          <t>Andorra</t>
        </is>
      </c>
    </row>
    <row r="141">
      <c r="A141" t="inlineStr">
        <is>
          <t>Spain - Canary Islands</t>
        </is>
      </c>
    </row>
    <row r="142">
      <c r="A142" t="inlineStr">
        <is>
          <t>Burkina Faso</t>
        </is>
      </c>
    </row>
    <row r="143">
      <c r="A143" t="inlineStr">
        <is>
          <t>Guernsey</t>
        </is>
      </c>
    </row>
    <row r="144">
      <c r="A144" t="inlineStr">
        <is>
          <t>Belize</t>
        </is>
      </c>
    </row>
    <row r="145">
      <c r="A145" t="inlineStr">
        <is>
          <t>San Marino</t>
        </is>
      </c>
    </row>
    <row r="146">
      <c r="A146" t="inlineStr">
        <is>
          <t>Unknown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SGS Germany GmbH, Emstek, DE</t>
        </is>
      </c>
    </row>
    <row r="2">
      <c r="A2" t="inlineStr">
        <is>
          <t>Control Union Certifications Germany GmbH, Berlin, DE</t>
        </is>
      </c>
    </row>
    <row r="3">
      <c r="A3" t="inlineStr">
        <is>
          <t>SCS Global Services, Emeryville, CA, US</t>
        </is>
      </c>
    </row>
    <row r="4">
      <c r="A4" t="inlineStr">
        <is>
          <t>RINA Services S.p.A., Genova, IT</t>
        </is>
      </c>
    </row>
    <row r="5">
      <c r="A5" t="inlineStr">
        <is>
          <t>Bureau Veritas Polska Sp. z o.o., Warsaw, PL</t>
        </is>
      </c>
    </row>
    <row r="6">
      <c r="A6" t="inlineStr">
        <is>
          <t>Control Union Poland Sp. z o.o., Zielona Gora, PL</t>
        </is>
      </c>
    </row>
    <row r="7">
      <c r="A7" t="inlineStr">
        <is>
          <t>PT Intertek Utama Services, Jakarta, ID</t>
        </is>
      </c>
    </row>
    <row r="8">
      <c r="A8" t="inlineStr">
        <is>
          <t>BM Certification, Riga, LV</t>
        </is>
      </c>
    </row>
    <row r="9">
      <c r="A9" t="inlineStr">
        <is>
          <t>Trans Certification and Inspection Sdn Bhd, Kuantan, MY</t>
        </is>
      </c>
    </row>
    <row r="10">
      <c r="A10" t="inlineStr">
        <is>
          <t>PT. Qualitas Sertifikasi Indonesia, Jakarta, ID</t>
        </is>
      </c>
    </row>
    <row r="11">
      <c r="A11" t="inlineStr">
        <is>
          <t>DNV Business Assurance Sweden AB, Solna, SE</t>
        </is>
      </c>
    </row>
    <row r="12">
      <c r="A12" t="inlineStr">
        <is>
          <t>DEKRA Certification B.V., Arnhem, NL</t>
        </is>
      </c>
    </row>
    <row r="13">
      <c r="A13" t="inlineStr">
        <is>
          <t>United Registrar of Systems Polska Sp. z o.o., Wrocław, PL</t>
        </is>
      </c>
    </row>
    <row r="14">
      <c r="A14" t="inlineStr">
        <is>
          <t>TÜV NORD CERT GmbH, Essen, DE</t>
        </is>
      </c>
    </row>
    <row r="15">
      <c r="A15" t="inlineStr">
        <is>
          <t>Certificadora Gallega del Noroeste SL, Vilagarcia de Arousa-Pontevedra, ES</t>
        </is>
      </c>
    </row>
    <row r="16">
      <c r="A16" t="inlineStr">
        <is>
          <t>ASG Cert GmbH, Munich, DE</t>
        </is>
      </c>
    </row>
    <row r="17">
      <c r="A17" t="inlineStr">
        <is>
          <t>Amspec Iberia SL, Vilagarcia de Arousa-Pontevedra, ES</t>
        </is>
      </c>
    </row>
    <row r="18">
      <c r="A18" t="inlineStr">
        <is>
          <t>Double Helix Tracking Technologies Pte Ltd, Singapore, SG</t>
        </is>
      </c>
    </row>
    <row r="19">
      <c r="A19" t="inlineStr">
        <is>
          <t>DIN CERTCO GmbH, Berlin, DE</t>
        </is>
      </c>
    </row>
    <row r="20">
      <c r="A20" t="inlineStr">
        <is>
          <t>DQS CFS GmbH - Deutsche Gesellschaft für Nachhaltigkeit, Frankfurt am Main, DE</t>
        </is>
      </c>
    </row>
    <row r="21">
      <c r="A21" t="inlineStr">
        <is>
          <t>GUT Certifizierungsgesellschaft für Managementsysteme mbH Umweltgutachter, Berlin, DE</t>
        </is>
      </c>
    </row>
    <row r="22">
      <c r="A22" t="inlineStr">
        <is>
          <t>agroVet GmbH, Enzersfeld, AT</t>
        </is>
      </c>
    </row>
    <row r="23">
      <c r="A23" t="inlineStr">
        <is>
          <t>TÜV SÜD Industrie Service GmbH, München, DE</t>
        </is>
      </c>
    </row>
    <row r="24">
      <c r="A24" t="inlineStr">
        <is>
          <t>PT. CBQA GLOBAL INDONESIA, JAKARTA SELATAN, ID</t>
        </is>
      </c>
    </row>
    <row r="25">
      <c r="A25" t="inlineStr">
        <is>
          <t>Eurocert SA, Metamorfosi, Athens, GR</t>
        </is>
      </c>
    </row>
    <row r="26">
      <c r="A26" t="inlineStr">
        <is>
          <t>SRAC Cert SRL, Bucharest, RO</t>
        </is>
      </c>
    </row>
    <row r="27">
      <c r="A27" t="inlineStr">
        <is>
          <t>Aardvark Certification Ltd, Wiveliscombe, Somerset, GB</t>
        </is>
      </c>
    </row>
    <row r="28">
      <c r="A28" t="inlineStr">
        <is>
          <t>ICIM SpA, sesto san giovanni, IT</t>
        </is>
      </c>
    </row>
    <row r="29">
      <c r="A29" t="inlineStr">
        <is>
          <t>CTI Certification Co. Ltd, Shenzhen, CN</t>
        </is>
      </c>
    </row>
    <row r="30">
      <c r="A30" t="inlineStr">
        <is>
          <t>China Quality Certification Centre Co., Ltd., Beijing, CN</t>
        </is>
      </c>
    </row>
    <row r="31">
      <c r="A31" t="inlineStr">
        <is>
          <t>PT SBC Asia Sertifikasi, Kebumen, ID</t>
        </is>
      </c>
    </row>
    <row r="32">
      <c r="A32" t="inlineStr">
        <is>
          <t>Cotecna India Inspection Pvt Ltd, Kolkata, IN</t>
        </is>
      </c>
    </row>
    <row r="33">
      <c r="A33" t="inlineStr">
        <is>
          <t>PT Mutuagung Lestari, Depok, ID</t>
        </is>
      </c>
    </row>
    <row r="34">
      <c r="A34" t="inlineStr">
        <is>
          <t>Normec QS BV, Ede, NL</t>
        </is>
      </c>
    </row>
    <row r="35">
      <c r="A35" t="inlineStr">
        <is>
          <t>Baltic Control Certification, Albertslund, DK</t>
        </is>
      </c>
    </row>
    <row r="36">
      <c r="A36" t="inlineStr">
        <is>
          <t>TÜV SÜD Czech s.r.o., Praha 4, CZ</t>
        </is>
      </c>
    </row>
    <row r="37">
      <c r="A37" t="inlineStr">
        <is>
          <t>Baltic Control Certification, Risskov, DK</t>
        </is>
      </c>
    </row>
    <row r="38">
      <c r="A38" t="inlineStr">
        <is>
          <t>Global Gateway Certifications Sdn Bhd, Ampang, MY</t>
        </is>
      </c>
    </row>
    <row r="39">
      <c r="A39" t="inlineStr">
        <is>
          <t>Korean Foundation for Quality, Songpa-gu, Seoul, KR</t>
        </is>
      </c>
    </row>
    <row r="40">
      <c r="A40" t="inlineStr">
        <is>
          <t>China Standard Conformity Assessment Co. Ltd, Beijing, CN</t>
        </is>
      </c>
    </row>
    <row r="41">
      <c r="A41" t="inlineStr">
        <is>
          <t>Aciter Genelab LLC, Odessa, UA</t>
        </is>
      </c>
    </row>
    <row r="42">
      <c r="A42" t="inlineStr">
        <is>
          <t>Normec QS BV, Bennekom, NL</t>
        </is>
      </c>
    </row>
    <row r="43">
      <c r="A43" t="inlineStr">
        <is>
          <t>QIMA, Centro, Botucatu - SP, CEP, BR</t>
        </is>
      </c>
    </row>
    <row r="44">
      <c r="A44" t="inlineStr">
        <is>
          <t>IIP S.r.l., Monza, IT</t>
        </is>
      </c>
    </row>
    <row r="45">
      <c r="A45" t="inlineStr">
        <is>
          <t>Extensive Standard Technical Services Co., Ltd., Hong Kong, CN</t>
        </is>
      </c>
    </row>
    <row r="46">
      <c r="A46" t="inlineStr">
        <is>
          <t>China Testing &amp; Certification International Group Co., Ltd., Beijing, CN</t>
        </is>
      </c>
    </row>
    <row r="47">
      <c r="A47" t="inlineStr">
        <is>
          <t>Certiquality srl, Milano, IT</t>
        </is>
      </c>
    </row>
    <row r="48">
      <c r="A48" t="inlineStr">
        <is>
          <t>Alcumus ISOQAR Ltd, Stretford, Manchester, GB</t>
        </is>
      </c>
    </row>
    <row r="49">
      <c r="A49" t="inlineStr">
        <is>
          <t>QMSCERT S.A., Pylaia, Thessaloniki, GR</t>
        </is>
      </c>
    </row>
    <row r="50">
      <c r="A50" t="inlineStr">
        <is>
          <t>CSQA Certificazioni Srl, Thiene, IT</t>
        </is>
      </c>
    </row>
    <row r="51">
      <c r="A51" t="inlineStr">
        <is>
          <t>Apex Genelab LLC, Odessa, UA</t>
        </is>
      </c>
    </row>
    <row r="52">
      <c r="A52" t="inlineStr">
        <is>
          <t>Organic Standard Ltd, Kyiv, UA</t>
        </is>
      </c>
    </row>
    <row r="53">
      <c r="A53" t="inlineStr">
        <is>
          <t>NIOSH Certification Sdn. Bhd., Selangor Darul Ehsan, MY</t>
        </is>
      </c>
    </row>
    <row r="54">
      <c r="A54" t="inlineStr">
        <is>
          <t>DEKRA Certification GmbH, Stuttgart, DE</t>
        </is>
      </c>
    </row>
    <row r="55">
      <c r="A55" t="inlineStr">
        <is>
          <t>PT TSI Sertifikasi Internasional, Jakarta Selatang, ID</t>
        </is>
      </c>
    </row>
    <row r="56">
      <c r="A56" t="inlineStr">
        <is>
          <t>China Classification Society Certification Co., Ltd, Dong Cheng District, Beijing, CN</t>
        </is>
      </c>
    </row>
    <row r="57">
      <c r="A57" t="inlineStr">
        <is>
          <t>PT TUV Rheinland Indonesia, Jakarta, ID</t>
        </is>
      </c>
    </row>
    <row r="58">
      <c r="A58" t="inlineStr">
        <is>
          <t>Business Quality Verification Testing and Certification Services P.C. (BQV), Marousi, Athens, GR</t>
        </is>
      </c>
    </row>
    <row r="59">
      <c r="A59" t="inlineStr">
        <is>
          <t>NCS Estonia OÜ, Tallinn, EE</t>
        </is>
      </c>
    </row>
    <row r="60">
      <c r="A60" t="inlineStr">
        <is>
          <t>Guardian Independent Certification Limited, Singapore, SG</t>
        </is>
      </c>
    </row>
    <row r="61">
      <c r="A61" t="inlineStr">
        <is>
          <t>ISOQAR Ltd, Stretford, Manchester, GB</t>
        </is>
      </c>
    </row>
    <row r="62">
      <c r="A62" t="inlineStr">
        <is>
          <t>CertRom SRL, Bucuresti, RO</t>
        </is>
      </c>
    </row>
    <row r="63">
      <c r="A63" t="inlineStr">
        <is>
          <t>Bureau Veritas Consumer Products Services, Inc., Littleton, MA, US</t>
        </is>
      </c>
    </row>
    <row r="64">
      <c r="A64" t="inlineStr">
        <is>
          <t>BMC Assurance, S.L, Santander, ES</t>
        </is>
      </c>
    </row>
    <row r="65">
      <c r="A65" t="inlineStr">
        <is>
          <t>NSF International, Ann Arbor, MI, US</t>
        </is>
      </c>
    </row>
    <row r="66">
      <c r="A66" t="inlineStr">
        <is>
          <t>Bureau Veritas Consumer Products Services, Inc., Buffalo, NY, US</t>
        </is>
      </c>
    </row>
    <row r="67">
      <c r="A67" t="inlineStr">
        <is>
          <t>SI Cert Italy S.R.L., Parma, IT</t>
        </is>
      </c>
    </row>
    <row r="68">
      <c r="A68" t="inlineStr">
        <is>
          <t>Certi W Baltic SIA, Riga, LV</t>
        </is>
      </c>
    </row>
    <row r="69">
      <c r="A69" t="inlineStr">
        <is>
          <t>Global-Creative-Energy GmbH, Berlin, DE</t>
        </is>
      </c>
    </row>
    <row r="70">
      <c r="A70" t="inlineStr">
        <is>
          <t>FITI Testing &amp; Research Institute, Seoul, KR</t>
        </is>
      </c>
    </row>
    <row r="71">
      <c r="A71" t="inlineStr">
        <is>
          <t>KIWA COLOMBIA S.A.S., Zipaquirá, CO</t>
        </is>
      </c>
    </row>
    <row r="72">
      <c r="A72" t="inlineStr">
        <is>
          <t>LSQA, Montevideo, UY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47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8" t="inlineStr">
        <is>
          <t>Country</t>
        </is>
      </c>
      <c r="B1" s="8" t="inlineStr">
        <is>
          <t>Active Certificates</t>
        </is>
      </c>
    </row>
    <row r="2">
      <c r="A2" s="11" t="inlineStr">
        <is>
          <t>China</t>
        </is>
      </c>
      <c r="B2" s="11" t="n">
        <v>2200</v>
      </c>
    </row>
    <row r="3">
      <c r="A3" t="inlineStr">
        <is>
          <t>United States</t>
        </is>
      </c>
      <c r="B3" t="n">
        <v>971</v>
      </c>
    </row>
    <row r="4">
      <c r="A4" s="11" t="inlineStr">
        <is>
          <t>Indonesia</t>
        </is>
      </c>
      <c r="B4" s="11" t="n">
        <v>881</v>
      </c>
    </row>
    <row r="5">
      <c r="A5" t="inlineStr">
        <is>
          <t>Italy</t>
        </is>
      </c>
      <c r="B5" t="n">
        <v>881</v>
      </c>
    </row>
    <row r="6">
      <c r="A6" s="11" t="inlineStr">
        <is>
          <t>Malaysia</t>
        </is>
      </c>
      <c r="B6" s="11" t="n">
        <v>748</v>
      </c>
    </row>
    <row r="7">
      <c r="A7" t="inlineStr">
        <is>
          <t>Spain</t>
        </is>
      </c>
      <c r="B7" t="n">
        <v>709</v>
      </c>
    </row>
    <row r="8">
      <c r="A8" s="11" t="inlineStr">
        <is>
          <t>Germany</t>
        </is>
      </c>
      <c r="B8" s="11" t="n">
        <v>675</v>
      </c>
    </row>
    <row r="9">
      <c r="A9" t="inlineStr">
        <is>
          <t>Japan</t>
        </is>
      </c>
      <c r="B9" t="n">
        <v>627</v>
      </c>
    </row>
    <row r="10">
      <c r="A10" s="11" t="inlineStr">
        <is>
          <t>Netherlands</t>
        </is>
      </c>
      <c r="B10" s="11" t="n">
        <v>469</v>
      </c>
    </row>
    <row r="11">
      <c r="A11" t="inlineStr">
        <is>
          <t>Singapore</t>
        </is>
      </c>
      <c r="B11" t="n">
        <v>468</v>
      </c>
    </row>
    <row r="12">
      <c r="A12" s="11" t="inlineStr">
        <is>
          <t>France</t>
        </is>
      </c>
      <c r="B12" s="11" t="n">
        <v>440</v>
      </c>
    </row>
    <row r="13">
      <c r="A13" t="inlineStr">
        <is>
          <t>United Kingdom</t>
        </is>
      </c>
      <c r="B13" t="n">
        <v>386</v>
      </c>
    </row>
    <row r="14">
      <c r="A14" s="11" t="inlineStr">
        <is>
          <t>Romania</t>
        </is>
      </c>
      <c r="B14" s="11" t="n">
        <v>360</v>
      </c>
    </row>
    <row r="15">
      <c r="A15" t="inlineStr">
        <is>
          <t>Ukraine</t>
        </is>
      </c>
      <c r="B15" t="n">
        <v>314</v>
      </c>
    </row>
    <row r="16">
      <c r="A16" s="11" t="inlineStr">
        <is>
          <t>Hungary</t>
        </is>
      </c>
      <c r="B16" s="11" t="n">
        <v>313</v>
      </c>
    </row>
    <row r="17">
      <c r="A17" t="inlineStr">
        <is>
          <t>Czech Republic</t>
        </is>
      </c>
      <c r="B17" t="n">
        <v>266</v>
      </c>
    </row>
    <row r="18">
      <c r="A18" s="11" t="inlineStr">
        <is>
          <t>Belgium</t>
        </is>
      </c>
      <c r="B18" s="11" t="n">
        <v>248</v>
      </c>
    </row>
    <row r="19">
      <c r="A19" t="inlineStr">
        <is>
          <t>Vietnam</t>
        </is>
      </c>
      <c r="B19" t="n">
        <v>240</v>
      </c>
    </row>
    <row r="20">
      <c r="A20" s="11" t="inlineStr">
        <is>
          <t>Brazil</t>
        </is>
      </c>
      <c r="B20" s="11" t="n">
        <v>233</v>
      </c>
    </row>
    <row r="21">
      <c r="A21" t="inlineStr">
        <is>
          <t>India</t>
        </is>
      </c>
      <c r="B21" t="n">
        <v>227</v>
      </c>
    </row>
    <row r="22">
      <c r="A22" s="11" t="inlineStr">
        <is>
          <t>Switzerland</t>
        </is>
      </c>
      <c r="B22" s="11" t="n">
        <v>222</v>
      </c>
    </row>
    <row r="23">
      <c r="A23" t="inlineStr">
        <is>
          <t>Slovakia</t>
        </is>
      </c>
      <c r="B23" t="n">
        <v>219</v>
      </c>
    </row>
    <row r="24">
      <c r="A24" s="11" t="inlineStr">
        <is>
          <t>Republic of</t>
        </is>
      </c>
      <c r="B24" s="11" t="n">
        <v>198</v>
      </c>
    </row>
    <row r="25">
      <c r="A25" t="inlineStr">
        <is>
          <t>Thailand</t>
        </is>
      </c>
      <c r="B25" t="n">
        <v>196</v>
      </c>
    </row>
    <row r="26">
      <c r="A26" s="11" t="inlineStr">
        <is>
          <t>South Korea</t>
        </is>
      </c>
      <c r="B26" s="11" t="n">
        <v>181</v>
      </c>
    </row>
    <row r="27">
      <c r="A27" t="inlineStr">
        <is>
          <t>Poland</t>
        </is>
      </c>
      <c r="B27" t="n">
        <v>174</v>
      </c>
    </row>
    <row r="28">
      <c r="A28" s="11" t="inlineStr">
        <is>
          <t>Austria</t>
        </is>
      </c>
      <c r="B28" s="11" t="n">
        <v>170</v>
      </c>
    </row>
    <row r="29">
      <c r="A29" t="inlineStr">
        <is>
          <t>Denmark</t>
        </is>
      </c>
      <c r="B29" t="n">
        <v>152</v>
      </c>
    </row>
    <row r="30">
      <c r="A30" s="11" t="inlineStr">
        <is>
          <t>Australia</t>
        </is>
      </c>
      <c r="B30" s="11" t="n">
        <v>148</v>
      </c>
    </row>
    <row r="31">
      <c r="A31" t="inlineStr">
        <is>
          <t>Sweden</t>
        </is>
      </c>
      <c r="B31" t="n">
        <v>147</v>
      </c>
    </row>
    <row r="32">
      <c r="A32" s="11" t="inlineStr">
        <is>
          <t>Canada</t>
        </is>
      </c>
      <c r="B32" s="11" t="n">
        <v>142</v>
      </c>
    </row>
    <row r="33">
      <c r="A33" t="inlineStr">
        <is>
          <t>Greece</t>
        </is>
      </c>
      <c r="B33" t="n">
        <v>141</v>
      </c>
    </row>
    <row r="34">
      <c r="A34" s="11" t="inlineStr">
        <is>
          <t>The Netherlands</t>
        </is>
      </c>
      <c r="B34" s="11" t="n">
        <v>130</v>
      </c>
    </row>
    <row r="35">
      <c r="A35" t="inlineStr">
        <is>
          <t>Portugal</t>
        </is>
      </c>
      <c r="B35" t="n">
        <v>125</v>
      </c>
    </row>
    <row r="36">
      <c r="A36" s="11" t="inlineStr">
        <is>
          <t>Bulgaria</t>
        </is>
      </c>
      <c r="B36" s="11" t="n">
        <v>122</v>
      </c>
    </row>
    <row r="37">
      <c r="A37" t="inlineStr">
        <is>
          <t>Lithuania</t>
        </is>
      </c>
      <c r="B37" t="n">
        <v>104</v>
      </c>
    </row>
    <row r="38">
      <c r="A38" s="11" t="inlineStr">
        <is>
          <t>Turkey</t>
        </is>
      </c>
      <c r="B38" s="11" t="n">
        <v>103</v>
      </c>
    </row>
    <row r="39">
      <c r="A39" t="inlineStr">
        <is>
          <t>Finland</t>
        </is>
      </c>
      <c r="B39" t="n">
        <v>96</v>
      </c>
    </row>
    <row r="40">
      <c r="A40" s="11" t="inlineStr">
        <is>
          <t>Argentina</t>
        </is>
      </c>
      <c r="B40" s="11" t="n">
        <v>88</v>
      </c>
    </row>
    <row r="41">
      <c r="A41" t="inlineStr">
        <is>
          <t>The Republic of Korea</t>
        </is>
      </c>
      <c r="B41" t="n">
        <v>86</v>
      </c>
    </row>
    <row r="42">
      <c r="A42" s="11" t="inlineStr">
        <is>
          <t>The United Kingdom</t>
        </is>
      </c>
      <c r="B42" s="11" t="n">
        <v>85</v>
      </c>
    </row>
    <row r="43">
      <c r="A43" t="inlineStr">
        <is>
          <t>Province of China</t>
        </is>
      </c>
      <c r="B43" t="n">
        <v>77</v>
      </c>
    </row>
    <row r="44">
      <c r="A44" s="11" t="inlineStr">
        <is>
          <t>Colombia</t>
        </is>
      </c>
      <c r="B44" s="11" t="n">
        <v>75</v>
      </c>
    </row>
    <row r="45">
      <c r="A45" t="inlineStr">
        <is>
          <t>United Arab Emirates</t>
        </is>
      </c>
      <c r="B45" t="n">
        <v>74</v>
      </c>
    </row>
    <row r="46">
      <c r="A46" s="11" t="inlineStr">
        <is>
          <t>Norway</t>
        </is>
      </c>
      <c r="B46" s="11" t="n">
        <v>69</v>
      </c>
    </row>
    <row r="47">
      <c r="A47" t="inlineStr">
        <is>
          <t>Mexico</t>
        </is>
      </c>
      <c r="B47" t="n">
        <v>69</v>
      </c>
    </row>
    <row r="48">
      <c r="A48" s="11" t="inlineStr">
        <is>
          <t>Taiwan</t>
        </is>
      </c>
      <c r="B48" s="11" t="n">
        <v>67</v>
      </c>
    </row>
    <row r="49">
      <c r="A49" t="inlineStr">
        <is>
          <t>Ireland</t>
        </is>
      </c>
      <c r="B49" t="n">
        <v>65</v>
      </c>
    </row>
    <row r="50">
      <c r="A50" s="11" t="inlineStr">
        <is>
          <t>Latvia</t>
        </is>
      </c>
      <c r="B50" s="11" t="n">
        <v>57</v>
      </c>
    </row>
    <row r="51">
      <c r="A51" t="inlineStr">
        <is>
          <t>The United States of America</t>
        </is>
      </c>
      <c r="B51" t="n">
        <v>54</v>
      </c>
    </row>
    <row r="52">
      <c r="A52" s="11" t="inlineStr">
        <is>
          <t>Croatia</t>
        </is>
      </c>
      <c r="B52" s="11" t="n">
        <v>51</v>
      </c>
    </row>
    <row r="53">
      <c r="A53" t="inlineStr">
        <is>
          <t>Estonia</t>
        </is>
      </c>
      <c r="B53" t="n">
        <v>47</v>
      </c>
    </row>
    <row r="54">
      <c r="A54" s="11" t="inlineStr">
        <is>
          <t>Cyprus</t>
        </is>
      </c>
      <c r="B54" s="11" t="n">
        <v>41</v>
      </c>
    </row>
    <row r="55">
      <c r="A55" t="inlineStr">
        <is>
          <t>Hong Kong</t>
        </is>
      </c>
      <c r="B55" t="n">
        <v>40</v>
      </c>
    </row>
    <row r="56">
      <c r="A56" s="11" t="inlineStr">
        <is>
          <t>South Africa</t>
        </is>
      </c>
      <c r="B56" s="11" t="n">
        <v>38</v>
      </c>
    </row>
    <row r="57">
      <c r="A57" t="inlineStr">
        <is>
          <t>Slovenia</t>
        </is>
      </c>
      <c r="B57" t="n">
        <v>36</v>
      </c>
    </row>
    <row r="58">
      <c r="A58" s="11" t="inlineStr">
        <is>
          <t>Moldova</t>
        </is>
      </c>
      <c r="B58" s="11" t="n">
        <v>36</v>
      </c>
    </row>
    <row r="59">
      <c r="A59" t="inlineStr">
        <is>
          <t>The United Arab Emirates</t>
        </is>
      </c>
      <c r="B59" t="n">
        <v>35</v>
      </c>
    </row>
    <row r="60">
      <c r="A60" s="11" t="inlineStr">
        <is>
          <t>Saudi Arabia</t>
        </is>
      </c>
      <c r="B60" s="11" t="n">
        <v>35</v>
      </c>
    </row>
    <row r="61">
      <c r="A61" t="inlineStr">
        <is>
          <t>Taiwan (Province of China)</t>
        </is>
      </c>
      <c r="B61" t="n">
        <v>34</v>
      </c>
    </row>
    <row r="62">
      <c r="A62" s="11" t="inlineStr">
        <is>
          <t>Serbia</t>
        </is>
      </c>
      <c r="B62" s="11" t="n">
        <v>34</v>
      </c>
    </row>
    <row r="63">
      <c r="A63" t="inlineStr">
        <is>
          <t>Tunisia</t>
        </is>
      </c>
      <c r="B63" t="n">
        <v>32</v>
      </c>
    </row>
    <row r="64">
      <c r="A64" s="11" t="inlineStr">
        <is>
          <t>Pakistan</t>
        </is>
      </c>
      <c r="B64" s="11" t="n">
        <v>27</v>
      </c>
    </row>
    <row r="65">
      <c r="A65" t="inlineStr">
        <is>
          <t>New Zealand</t>
        </is>
      </c>
      <c r="B65" t="n">
        <v>27</v>
      </c>
    </row>
    <row r="66">
      <c r="A66" s="11" t="inlineStr">
        <is>
          <t>Egypt</t>
        </is>
      </c>
      <c r="B66" s="11" t="n">
        <v>27</v>
      </c>
    </row>
    <row r="67">
      <c r="A67" t="inlineStr">
        <is>
          <t>Türkiye</t>
        </is>
      </c>
      <c r="B67" t="n">
        <v>26</v>
      </c>
    </row>
    <row r="68">
      <c r="A68" s="11" t="inlineStr">
        <is>
          <t>Peru</t>
        </is>
      </c>
      <c r="B68" s="11" t="n">
        <v>24</v>
      </c>
    </row>
    <row r="69">
      <c r="A69" t="inlineStr">
        <is>
          <t>Uruguay</t>
        </is>
      </c>
      <c r="B69" t="n">
        <v>23</v>
      </c>
    </row>
    <row r="70">
      <c r="A70" s="11" t="inlineStr">
        <is>
          <t>Panama</t>
        </is>
      </c>
      <c r="B70" s="11" t="n">
        <v>23</v>
      </c>
    </row>
    <row r="71">
      <c r="A71" t="inlineStr">
        <is>
          <t>Luxembourg</t>
        </is>
      </c>
      <c r="B71" t="n">
        <v>22</v>
      </c>
    </row>
    <row r="72">
      <c r="A72" s="11" t="inlineStr">
        <is>
          <t>Kenya</t>
        </is>
      </c>
      <c r="B72" s="11" t="n">
        <v>20</v>
      </c>
    </row>
    <row r="73">
      <c r="A73" t="inlineStr">
        <is>
          <t>Hong Kong (SAR)</t>
        </is>
      </c>
      <c r="B73" t="n">
        <v>19</v>
      </c>
    </row>
    <row r="74">
      <c r="A74" s="11" t="inlineStr">
        <is>
          <t>Ivory Coast</t>
        </is>
      </c>
      <c r="B74" s="11" t="n">
        <v>18</v>
      </c>
    </row>
    <row r="75">
      <c r="A75" t="inlineStr">
        <is>
          <t>Paraguay</t>
        </is>
      </c>
      <c r="B75" t="n">
        <v>16</v>
      </c>
    </row>
    <row r="76">
      <c r="A76" s="11" t="inlineStr">
        <is>
          <t>Philippines</t>
        </is>
      </c>
      <c r="B76" s="11" t="n">
        <v>16</v>
      </c>
    </row>
    <row r="77">
      <c r="A77" t="inlineStr">
        <is>
          <t>Guatemala</t>
        </is>
      </c>
      <c r="B77" t="n">
        <v>15</v>
      </c>
    </row>
    <row r="78">
      <c r="A78" s="11" t="inlineStr">
        <is>
          <t>Ghana</t>
        </is>
      </c>
      <c r="B78" s="11" t="n">
        <v>13</v>
      </c>
    </row>
    <row r="79">
      <c r="A79" t="inlineStr">
        <is>
          <t>Malta</t>
        </is>
      </c>
      <c r="B79" t="n">
        <v>13</v>
      </c>
    </row>
    <row r="80">
      <c r="A80" s="11" t="inlineStr">
        <is>
          <t>Kazakhstan</t>
        </is>
      </c>
      <c r="B80" s="11" t="n">
        <v>12</v>
      </c>
    </row>
    <row r="81">
      <c r="A81" t="inlineStr">
        <is>
          <t>Monaco</t>
        </is>
      </c>
      <c r="B81" t="n">
        <v>11</v>
      </c>
    </row>
    <row r="82">
      <c r="A82" s="11" t="inlineStr">
        <is>
          <t>Ecuador</t>
        </is>
      </c>
      <c r="B82" s="11" t="n">
        <v>11</v>
      </c>
    </row>
    <row r="83">
      <c r="A83" t="inlineStr">
        <is>
          <t>Chile</t>
        </is>
      </c>
      <c r="B83" t="n">
        <v>11</v>
      </c>
    </row>
    <row r="84">
      <c r="A84" s="11" t="inlineStr">
        <is>
          <t>Israel</t>
        </is>
      </c>
      <c r="B84" s="11" t="n">
        <v>10</v>
      </c>
    </row>
    <row r="85">
      <c r="A85" t="inlineStr">
        <is>
          <t>The Philippines</t>
        </is>
      </c>
      <c r="B85" t="n">
        <v>9</v>
      </c>
    </row>
    <row r="86">
      <c r="A86" s="11" t="inlineStr">
        <is>
          <t>Mozambique</t>
        </is>
      </c>
      <c r="B86" s="11" t="n">
        <v>9</v>
      </c>
    </row>
    <row r="87">
      <c r="A87" t="inlineStr">
        <is>
          <t>Costa Rica</t>
        </is>
      </c>
      <c r="B87" t="n">
        <v>9</v>
      </c>
    </row>
    <row r="88">
      <c r="A88" s="11" t="inlineStr">
        <is>
          <t>Oman</t>
        </is>
      </c>
      <c r="B88" s="11" t="n">
        <v>8</v>
      </c>
    </row>
    <row r="89">
      <c r="A89" t="inlineStr">
        <is>
          <t>Iceland</t>
        </is>
      </c>
      <c r="B89" t="n">
        <v>8</v>
      </c>
    </row>
    <row r="90">
      <c r="A90" s="11" t="inlineStr">
        <is>
          <t>Cambodia</t>
        </is>
      </c>
      <c r="B90" s="11" t="n">
        <v>7</v>
      </c>
    </row>
    <row r="91">
      <c r="A91" t="inlineStr">
        <is>
          <t>Nigeria</t>
        </is>
      </c>
      <c r="B91" t="n">
        <v>7</v>
      </c>
    </row>
    <row r="92">
      <c r="A92" s="11" t="inlineStr">
        <is>
          <t>Bahrain</t>
        </is>
      </c>
      <c r="B92" s="11" t="n">
        <v>6</v>
      </c>
    </row>
    <row r="93">
      <c r="A93" t="inlineStr">
        <is>
          <t>Albania</t>
        </is>
      </c>
      <c r="B93" t="n">
        <v>6</v>
      </c>
    </row>
    <row r="94">
      <c r="A94" s="11" t="inlineStr">
        <is>
          <t>Benin</t>
        </is>
      </c>
      <c r="B94" s="11" t="n">
        <v>5</v>
      </c>
    </row>
    <row r="95">
      <c r="A95" t="inlineStr">
        <is>
          <t>Jordan</t>
        </is>
      </c>
      <c r="B95" t="n">
        <v>5</v>
      </c>
    </row>
    <row r="96">
      <c r="A96" s="11" t="inlineStr">
        <is>
          <t>Angola</t>
        </is>
      </c>
      <c r="B96" s="11" t="n">
        <v>5</v>
      </c>
    </row>
    <row r="97">
      <c r="A97" t="inlineStr">
        <is>
          <t>Gabon</t>
        </is>
      </c>
      <c r="B97" t="n">
        <v>5</v>
      </c>
    </row>
    <row r="98">
      <c r="A98" s="11" t="inlineStr">
        <is>
          <t>Iraq</t>
        </is>
      </c>
      <c r="B98" s="11" t="n">
        <v>5</v>
      </c>
    </row>
    <row r="99">
      <c r="A99" t="inlineStr">
        <is>
          <t>Georgia</t>
        </is>
      </c>
      <c r="B99" t="n">
        <v>5</v>
      </c>
    </row>
    <row r="100">
      <c r="A100" s="11" t="inlineStr">
        <is>
          <t>Bangladesh</t>
        </is>
      </c>
      <c r="B100" s="11" t="n">
        <v>4</v>
      </c>
    </row>
    <row r="101">
      <c r="A101" t="inlineStr">
        <is>
          <t>Morocco</t>
        </is>
      </c>
      <c r="B101" t="n">
        <v>4</v>
      </c>
    </row>
    <row r="102">
      <c r="A102" s="11" t="inlineStr">
        <is>
          <t>Kuwait</t>
        </is>
      </c>
      <c r="B102" s="11" t="n">
        <v>4</v>
      </c>
    </row>
    <row r="103">
      <c r="A103" t="inlineStr">
        <is>
          <t>Armenia</t>
        </is>
      </c>
      <c r="B103" t="n">
        <v>3</v>
      </c>
    </row>
    <row r="104">
      <c r="A104" s="11" t="inlineStr">
        <is>
          <t>Bosnia and Herzegovina</t>
        </is>
      </c>
      <c r="B104" s="11" t="n">
        <v>3</v>
      </c>
    </row>
    <row r="105">
      <c r="A105" t="inlineStr">
        <is>
          <t>Azerbaijan</t>
        </is>
      </c>
      <c r="B105" t="n">
        <v>3</v>
      </c>
    </row>
    <row r="106">
      <c r="A106" s="11" t="inlineStr">
        <is>
          <t>Gibraltar</t>
        </is>
      </c>
      <c r="B106" s="11" t="n">
        <v>3</v>
      </c>
    </row>
    <row r="107">
      <c r="A107" t="inlineStr">
        <is>
          <t>Trinidad and Tobago</t>
        </is>
      </c>
      <c r="B107" t="n">
        <v>3</v>
      </c>
    </row>
    <row r="108">
      <c r="A108" s="11" t="inlineStr">
        <is>
          <t>Montenegro</t>
        </is>
      </c>
      <c r="B108" s="11" t="n">
        <v>3</v>
      </c>
    </row>
    <row r="109">
      <c r="A109" t="inlineStr">
        <is>
          <t>Mauritius</t>
        </is>
      </c>
      <c r="B109" t="n">
        <v>3</v>
      </c>
    </row>
    <row r="110">
      <c r="A110" s="11" t="inlineStr">
        <is>
          <t>Republic of the Congo</t>
        </is>
      </c>
      <c r="B110" s="11" t="n">
        <v>3</v>
      </c>
    </row>
    <row r="111">
      <c r="A111" t="inlineStr">
        <is>
          <t>Senegal</t>
        </is>
      </c>
      <c r="B111" t="n">
        <v>3</v>
      </c>
    </row>
    <row r="112">
      <c r="A112" s="11" t="inlineStr">
        <is>
          <t>Togo</t>
        </is>
      </c>
      <c r="B112" s="11" t="n">
        <v>3</v>
      </c>
    </row>
    <row r="113">
      <c r="A113" t="inlineStr">
        <is>
          <t>Macedonia</t>
        </is>
      </c>
      <c r="B113" t="n">
        <v>3</v>
      </c>
    </row>
    <row r="114">
      <c r="A114" s="11" t="inlineStr">
        <is>
          <t>Algeria</t>
        </is>
      </c>
      <c r="B114" s="11" t="n">
        <v>2</v>
      </c>
    </row>
    <row r="115">
      <c r="A115" t="inlineStr">
        <is>
          <t>Zambia</t>
        </is>
      </c>
      <c r="B115" t="n">
        <v>2</v>
      </c>
    </row>
    <row r="116">
      <c r="A116" s="11" t="inlineStr">
        <is>
          <t>Kyrgyzstan</t>
        </is>
      </c>
      <c r="B116" s="11" t="n">
        <v>2</v>
      </c>
    </row>
    <row r="117">
      <c r="A117" t="inlineStr">
        <is>
          <t>Uganda</t>
        </is>
      </c>
      <c r="B117" t="n">
        <v>2</v>
      </c>
    </row>
    <row r="118">
      <c r="A118" s="11" t="inlineStr">
        <is>
          <t>Puerto Rico</t>
        </is>
      </c>
      <c r="B118" s="11" t="n">
        <v>2</v>
      </c>
    </row>
    <row r="119">
      <c r="A119" t="inlineStr">
        <is>
          <t>Qatar</t>
        </is>
      </c>
      <c r="B119" t="n">
        <v>2</v>
      </c>
    </row>
    <row r="120">
      <c r="A120" s="11" t="inlineStr">
        <is>
          <t>Lebanon</t>
        </is>
      </c>
      <c r="B120" s="11" t="n">
        <v>2</v>
      </c>
    </row>
    <row r="121">
      <c r="A121" t="inlineStr">
        <is>
          <t>Iran</t>
        </is>
      </c>
      <c r="B121" t="n">
        <v>2</v>
      </c>
    </row>
    <row r="122">
      <c r="A122" s="11" t="inlineStr">
        <is>
          <t>Zimbabwe</t>
        </is>
      </c>
      <c r="B122" s="11" t="n">
        <v>2</v>
      </c>
    </row>
    <row r="123">
      <c r="A123" t="inlineStr">
        <is>
          <t>Bolivia</t>
        </is>
      </c>
      <c r="B123" t="n">
        <v>2</v>
      </c>
    </row>
    <row r="124">
      <c r="A124" s="11" t="inlineStr">
        <is>
          <t>Fiji</t>
        </is>
      </c>
      <c r="B124" s="11" t="n">
        <v>2</v>
      </c>
    </row>
    <row r="125">
      <c r="A125" t="inlineStr">
        <is>
          <t>Honduras</t>
        </is>
      </c>
      <c r="B125" t="n">
        <v>2</v>
      </c>
    </row>
    <row r="126">
      <c r="A126" s="11" t="inlineStr">
        <is>
          <t>Aruba</t>
        </is>
      </c>
      <c r="B126" s="11" t="n">
        <v>1</v>
      </c>
    </row>
    <row r="127">
      <c r="A127" t="inlineStr">
        <is>
          <t>Guinea-Bissau</t>
        </is>
      </c>
      <c r="B127" t="n">
        <v>1</v>
      </c>
    </row>
    <row r="128">
      <c r="A128" s="11" t="inlineStr">
        <is>
          <t>Réunion</t>
        </is>
      </c>
      <c r="B128" s="11" t="n">
        <v>1</v>
      </c>
    </row>
    <row r="129">
      <c r="A129" t="inlineStr">
        <is>
          <t>El Salvador</t>
        </is>
      </c>
      <c r="B129" t="n">
        <v>1</v>
      </c>
    </row>
    <row r="130">
      <c r="A130" s="11" t="inlineStr">
        <is>
          <t>Cameroon</t>
        </is>
      </c>
      <c r="B130" s="11" t="n">
        <v>1</v>
      </c>
    </row>
    <row r="131">
      <c r="A131" t="inlineStr">
        <is>
          <t>Saint Vincent and the Grenadines</t>
        </is>
      </c>
      <c r="B131" t="n">
        <v>1</v>
      </c>
    </row>
    <row r="132">
      <c r="A132" s="11" t="inlineStr">
        <is>
          <t>Mongolia</t>
        </is>
      </c>
      <c r="B132" s="11" t="n">
        <v>1</v>
      </c>
    </row>
    <row r="133">
      <c r="A133" t="inlineStr">
        <is>
          <t>Isle of Man</t>
        </is>
      </c>
      <c r="B133" t="n">
        <v>1</v>
      </c>
    </row>
    <row r="134">
      <c r="A134" s="11" t="inlineStr">
        <is>
          <t>Myanmar</t>
        </is>
      </c>
      <c r="B134" s="11" t="n">
        <v>1</v>
      </c>
    </row>
    <row r="135">
      <c r="A135" t="inlineStr">
        <is>
          <t>Sri Lanka</t>
        </is>
      </c>
      <c r="B135" t="n">
        <v>1</v>
      </c>
    </row>
    <row r="136">
      <c r="A136" s="11" t="inlineStr">
        <is>
          <t>Laos</t>
        </is>
      </c>
      <c r="B136" s="11" t="n">
        <v>1</v>
      </c>
    </row>
    <row r="137">
      <c r="A137" t="inlineStr">
        <is>
          <t>Caribbean Netherlands</t>
        </is>
      </c>
      <c r="B137" t="n">
        <v>1</v>
      </c>
    </row>
    <row r="138">
      <c r="A138" s="11" t="inlineStr">
        <is>
          <t>Nicaragua</t>
        </is>
      </c>
      <c r="B138" s="11" t="n">
        <v>1</v>
      </c>
    </row>
    <row r="139">
      <c r="A139" t="inlineStr">
        <is>
          <t>Curacao</t>
        </is>
      </c>
      <c r="B139" t="n">
        <v>1</v>
      </c>
    </row>
    <row r="140">
      <c r="A140" s="11" t="inlineStr">
        <is>
          <t>Liberia</t>
        </is>
      </c>
      <c r="B140" s="11" t="n">
        <v>1</v>
      </c>
    </row>
    <row r="141">
      <c r="A141" t="inlineStr">
        <is>
          <t>Andorra</t>
        </is>
      </c>
      <c r="B141" t="n">
        <v>1</v>
      </c>
    </row>
    <row r="142">
      <c r="A142" s="11" t="inlineStr">
        <is>
          <t>Spain - Canary Islands</t>
        </is>
      </c>
      <c r="B142" s="11" t="n">
        <v>1</v>
      </c>
    </row>
    <row r="143">
      <c r="A143" t="inlineStr">
        <is>
          <t>Burkina Faso</t>
        </is>
      </c>
      <c r="B143" t="n">
        <v>1</v>
      </c>
    </row>
    <row r="144">
      <c r="A144" s="11" t="inlineStr">
        <is>
          <t>Guernsey</t>
        </is>
      </c>
      <c r="B144" s="11" t="n">
        <v>1</v>
      </c>
    </row>
    <row r="145">
      <c r="A145" t="inlineStr">
        <is>
          <t>Belize</t>
        </is>
      </c>
      <c r="B145" t="n">
        <v>1</v>
      </c>
    </row>
    <row r="146">
      <c r="A146" s="11" t="inlineStr">
        <is>
          <t>San Marino</t>
        </is>
      </c>
      <c r="B146" s="11" t="n">
        <v>1</v>
      </c>
    </row>
    <row r="147">
      <c r="A147" t="inlineStr">
        <is>
          <t>Unknown</t>
        </is>
      </c>
      <c r="B147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6326"/>
  <sheetViews>
    <sheetView workbookViewId="0">
      <selection activeCell="A1" sqref="A1"/>
    </sheetView>
  </sheetViews>
  <sheetFormatPr baseColWidth="8" defaultRowHeight="15"/>
  <cols>
    <col width="50" customWidth="1" min="1" max="1"/>
    <col width="25" customWidth="1" min="2" max="2"/>
    <col width="45" customWidth="1" min="3" max="3"/>
    <col width="15" customWidth="1" min="4" max="4"/>
    <col width="20" customWidth="1" min="5" max="5"/>
  </cols>
  <sheetData>
    <row r="1">
      <c r="A1" s="8" t="inlineStr">
        <is>
          <t>Client Name</t>
        </is>
      </c>
      <c r="B1" s="8" t="inlineStr">
        <is>
          <t>Scope</t>
        </is>
      </c>
      <c r="C1" s="8" t="inlineStr">
        <is>
          <t>Issuing CB</t>
        </is>
      </c>
      <c r="D1" s="8" t="inlineStr">
        <is>
          <t>Expiry Date</t>
        </is>
      </c>
      <c r="E1" s="8" t="inlineStr">
        <is>
          <t>Country</t>
        </is>
      </c>
    </row>
    <row r="2">
      <c r="A2" t="inlineStr">
        <is>
          <t>Harima USA,Inc.,  DULUTH, The United States of America</t>
        </is>
      </c>
      <c r="B2" t="inlineStr">
        <is>
          <t>Collecting Point, Trader with Storage</t>
        </is>
      </c>
      <c r="C2" t="inlineStr">
        <is>
          <t>SCS Global Services, Emeryville, CA, US</t>
        </is>
      </c>
      <c r="D2" t="inlineStr">
        <is>
          <t>06.08.2027</t>
        </is>
      </c>
      <c r="E2" t="inlineStr">
        <is>
          <t>The United States of America</t>
        </is>
      </c>
    </row>
    <row r="3">
      <c r="A3" t="inlineStr">
        <is>
          <t>RA Energy Biofuels GmbH,  Luzern, Switzerland</t>
        </is>
      </c>
      <c r="B3" t="inlineStr">
        <is>
          <t>Trader</t>
        </is>
      </c>
      <c r="C3" t="inlineStr">
        <is>
          <t>Control Union Certifications Germany GmbH, Berlin, DE</t>
        </is>
      </c>
      <c r="D3" t="inlineStr">
        <is>
          <t>06.08.2027</t>
        </is>
      </c>
      <c r="E3" t="inlineStr">
        <is>
          <t>Switzerland</t>
        </is>
      </c>
    </row>
    <row r="4">
      <c r="A4" t="inlineStr">
        <is>
          <t>Harima USA,Inc.,  DULUTH, The United States of America</t>
        </is>
      </c>
      <c r="B4" t="inlineStr">
        <is>
          <t>Collecting Point, Trader with Storage</t>
        </is>
      </c>
      <c r="C4" t="inlineStr">
        <is>
          <t>SCS Global Services, Emeryville, CA, US</t>
        </is>
      </c>
      <c r="D4" t="inlineStr">
        <is>
          <t>06.08.2027</t>
        </is>
      </c>
      <c r="E4" t="inlineStr">
        <is>
          <t>The United States of America</t>
        </is>
      </c>
    </row>
    <row r="5">
      <c r="A5" t="inlineStr">
        <is>
          <t>KEM ONE,  Balan, France</t>
        </is>
      </c>
      <c r="B5" t="inlineStr">
        <is>
          <t>Processing Unit</t>
        </is>
      </c>
      <c r="C5" t="inlineStr">
        <is>
          <t>Bureau Veritas Polska Sp. z o.o., Warsaw, PL</t>
        </is>
      </c>
      <c r="D5" t="inlineStr">
        <is>
          <t>06.08.2027</t>
        </is>
      </c>
      <c r="E5" t="inlineStr">
        <is>
          <t>France</t>
        </is>
      </c>
    </row>
    <row r="6">
      <c r="A6" t="inlineStr">
        <is>
          <t>INNOVIA Films Poland,  Płock, Poland</t>
        </is>
      </c>
      <c r="B6" t="inlineStr">
        <is>
          <t>Processing Unit</t>
        </is>
      </c>
      <c r="C6" t="inlineStr">
        <is>
          <t>Control Union Poland Sp. z o.o., Zielona Gora, PL</t>
        </is>
      </c>
      <c r="D6" t="inlineStr">
        <is>
          <t>06.08.2027</t>
        </is>
      </c>
      <c r="E6" t="inlineStr">
        <is>
          <t>Poland</t>
        </is>
      </c>
    </row>
    <row r="7">
      <c r="A7" t="inlineStr">
        <is>
          <t>Repsol Trading S.A.,  Community of Madrid, Spain</t>
        </is>
      </c>
      <c r="B7" t="inlineStr">
        <is>
          <t>Trader with Storage</t>
        </is>
      </c>
      <c r="C7" t="inlineStr">
        <is>
          <t>Control Union Poland Sp. z o.o., Zielona Gora, PL</t>
        </is>
      </c>
      <c r="D7" t="inlineStr">
        <is>
          <t>06.08.2027</t>
        </is>
      </c>
      <c r="E7" t="inlineStr">
        <is>
          <t>Spain</t>
        </is>
      </c>
    </row>
    <row r="8">
      <c r="A8" t="inlineStr">
        <is>
          <t>Repsol Trading S.A.,  Community of Madrid, Spain</t>
        </is>
      </c>
      <c r="B8" t="inlineStr">
        <is>
          <t>Trader with Storage</t>
        </is>
      </c>
      <c r="C8" t="inlineStr">
        <is>
          <t>Control Union Poland Sp. z o.o., Zielona Gora, PL</t>
        </is>
      </c>
      <c r="D8" t="inlineStr">
        <is>
          <t>06.08.2027</t>
        </is>
      </c>
      <c r="E8" t="inlineStr">
        <is>
          <t>Spain</t>
        </is>
      </c>
    </row>
    <row r="9">
      <c r="A9" t="inlineStr">
        <is>
          <t>Repsol Trading S.A.,  Community of Madrid, Spain</t>
        </is>
      </c>
      <c r="B9" t="inlineStr">
        <is>
          <t>Proof of Compliance Trader, Trader with Storage</t>
        </is>
      </c>
      <c r="C9" t="inlineStr">
        <is>
          <t>Control Union Poland Sp. z o.o., Zielona Gora, PL</t>
        </is>
      </c>
      <c r="D9" t="inlineStr">
        <is>
          <t>06.08.2027</t>
        </is>
      </c>
      <c r="E9" t="inlineStr">
        <is>
          <t>Spain</t>
        </is>
      </c>
    </row>
    <row r="10">
      <c r="A10" t="inlineStr">
        <is>
          <t>AXPO Solutions AG,  Baden, Switzerland</t>
        </is>
      </c>
      <c r="B10" t="inlineStr">
        <is>
          <t>Trader</t>
        </is>
      </c>
      <c r="C10" t="inlineStr">
        <is>
          <t>DEKRA Certification GmbH, Stuttgart, DE</t>
        </is>
      </c>
      <c r="D10" t="inlineStr">
        <is>
          <t>06.08.2027</t>
        </is>
      </c>
      <c r="E10" t="inlineStr">
        <is>
          <t>Switzerland</t>
        </is>
      </c>
    </row>
    <row r="11">
      <c r="A11" t="inlineStr">
        <is>
          <t>PT. Anugerah Sawit Sejahtera,  Kab. Kampar, Indonesia</t>
        </is>
      </c>
      <c r="B11" t="inlineStr">
        <is>
          <t>Point of Origin</t>
        </is>
      </c>
      <c r="C11" t="inlineStr">
        <is>
          <t>RINA Services S.p.A., Genova, IT</t>
        </is>
      </c>
      <c r="D11" t="inlineStr">
        <is>
          <t>06.08.2027</t>
        </is>
      </c>
      <c r="E11" t="inlineStr">
        <is>
          <t>Indonesia</t>
        </is>
      </c>
    </row>
    <row r="12">
      <c r="A12" t="inlineStr">
        <is>
          <t>Toray Carbon Fibers Europe,  LACQ, France</t>
        </is>
      </c>
      <c r="B12" t="inlineStr">
        <is>
          <t>Processing Unit</t>
        </is>
      </c>
      <c r="C12" t="inlineStr">
        <is>
          <t>Bureau Veritas Polska Sp. z o.o., Warsaw, PL</t>
        </is>
      </c>
      <c r="D12" t="inlineStr">
        <is>
          <t>06.08.2027</t>
        </is>
      </c>
      <c r="E12" t="inlineStr">
        <is>
          <t>France</t>
        </is>
      </c>
    </row>
    <row r="13">
      <c r="A13" t="inlineStr">
        <is>
          <t>Inteplast Films Corporation (Inteplast Group BOPP Films),  Morristown, The United States of America</t>
        </is>
      </c>
      <c r="B13" t="inlineStr">
        <is>
          <t>Processing Unit</t>
        </is>
      </c>
      <c r="C13" t="inlineStr">
        <is>
          <t>SCS Global Services, Emeryville, CA, US</t>
        </is>
      </c>
      <c r="D13" t="inlineStr">
        <is>
          <t>06.08.2027</t>
        </is>
      </c>
      <c r="E13" t="inlineStr">
        <is>
          <t>The United States of America</t>
        </is>
      </c>
    </row>
    <row r="14">
      <c r="A14" t="inlineStr">
        <is>
          <t>DOČEŠ a.s.,  Jarošov nad Nežárkou, Czech Republic</t>
        </is>
      </c>
      <c r="B14" t="inlineStr">
        <is>
          <t>First Gathering Point, Trader with Storage</t>
        </is>
      </c>
      <c r="C14" t="inlineStr">
        <is>
          <t>United Registrar of Systems Polska Sp. z o.o., Wrocław, PL</t>
        </is>
      </c>
      <c r="D14" t="inlineStr">
        <is>
          <t>06.08.2027</t>
        </is>
      </c>
      <c r="E14" t="inlineStr">
        <is>
          <t>Czech Republic</t>
        </is>
      </c>
    </row>
    <row r="15">
      <c r="A15" t="inlineStr">
        <is>
          <t>ZNZ Přeštice, a.s.,  Přeštice, Czech Republic</t>
        </is>
      </c>
      <c r="B15" t="inlineStr">
        <is>
          <t>First Gathering Point, Trader with Storage, Logistics Center</t>
        </is>
      </c>
      <c r="C15" t="inlineStr">
        <is>
          <t>United Registrar of Systems Polska Sp. z o.o., Wrocław, PL</t>
        </is>
      </c>
      <c r="D15" t="inlineStr">
        <is>
          <t>06.08.2027</t>
        </is>
      </c>
      <c r="E15" t="inlineStr">
        <is>
          <t>Czech Republic</t>
        </is>
      </c>
    </row>
    <row r="16">
      <c r="A16" t="inlineStr">
        <is>
          <t>TOPCO TECHNOLOGIES CORP.,  TAIPEI, Taiwan (Province of China)</t>
        </is>
      </c>
      <c r="B16" t="inlineStr">
        <is>
          <t>Trader with Storage</t>
        </is>
      </c>
      <c r="C16" t="inlineStr">
        <is>
          <t>Control Union Certifications Germany GmbH, Berlin, DE</t>
        </is>
      </c>
      <c r="D16" t="inlineStr">
        <is>
          <t>06.08.2027</t>
        </is>
      </c>
      <c r="E16" t="inlineStr">
        <is>
          <t>Taiwan (Province of China)</t>
        </is>
      </c>
    </row>
    <row r="17">
      <c r="A17" t="inlineStr">
        <is>
          <t>Sartomer (Guangzhou) Chemicals Ltd.,  Guangzhou, Guangdong, China</t>
        </is>
      </c>
      <c r="B17" t="inlineStr">
        <is>
          <t>Processing Unit</t>
        </is>
      </c>
      <c r="C17" t="inlineStr">
        <is>
          <t>DIN CERTCO GmbH, Berlin, DE</t>
        </is>
      </c>
      <c r="D17" t="inlineStr">
        <is>
          <t>06.08.2027</t>
        </is>
      </c>
      <c r="E17" t="inlineStr">
        <is>
          <t>China</t>
        </is>
      </c>
    </row>
    <row r="18">
      <c r="A18" t="inlineStr">
        <is>
          <t>Zemes Ukio Kooperatyvas Vidukle,  Raseiniai, Lithuania</t>
        </is>
      </c>
      <c r="B18" t="inlineStr">
        <is>
          <t>First Gathering Point, Trader with Storage</t>
        </is>
      </c>
      <c r="C18" t="inlineStr">
        <is>
          <t>BM Certification, Riga, LV</t>
        </is>
      </c>
      <c r="D18" t="inlineStr">
        <is>
          <t>06.08.2027</t>
        </is>
      </c>
      <c r="E18" t="inlineStr">
        <is>
          <t>Lithuania</t>
        </is>
      </c>
    </row>
    <row r="19">
      <c r="A19" t="inlineStr">
        <is>
          <t>Eurosiloz SA,  Turnu Magurele, Romania</t>
        </is>
      </c>
      <c r="B19" t="inlineStr">
        <is>
          <t>First Gathering Point, Trader with Storage</t>
        </is>
      </c>
      <c r="C19" t="inlineStr">
        <is>
          <t>SGS Germany GmbH, Emstek, DE</t>
        </is>
      </c>
      <c r="D19" t="inlineStr">
        <is>
          <t>06.08.2027</t>
        </is>
      </c>
      <c r="E19" t="inlineStr">
        <is>
          <t>Romania</t>
        </is>
      </c>
    </row>
    <row r="20">
      <c r="A20" t="inlineStr">
        <is>
          <t>Guangdong LOVVE Cosmetics Co., LTD,  Guangzhou，Guangdong, China</t>
        </is>
      </c>
      <c r="B20" t="inlineStr">
        <is>
          <t>Processing Unit, Final Product Refinement</t>
        </is>
      </c>
      <c r="C20" t="inlineStr">
        <is>
          <t>CTI Certification Co. Ltd, Shenzhen, CN</t>
        </is>
      </c>
      <c r="D20" t="inlineStr">
        <is>
          <t>06.08.2027</t>
        </is>
      </c>
      <c r="E20" t="inlineStr">
        <is>
          <t>China</t>
        </is>
      </c>
    </row>
    <row r="21">
      <c r="A21" t="inlineStr">
        <is>
          <t>GREEN POWER GREASE TRAPS CLEANING &amp; WASTES REMOVAL,  Al Saja’a Industrial Area, Sharjah, The United Arab Emirates</t>
        </is>
      </c>
      <c r="B21" t="inlineStr">
        <is>
          <t>Collecting Point</t>
        </is>
      </c>
      <c r="C21" t="inlineStr">
        <is>
          <t>Business Quality Verification Testing and Certification Services P.C. (BQV), Marousi, Athens, GR</t>
        </is>
      </c>
      <c r="D21" t="inlineStr">
        <is>
          <t>06.08.2027</t>
        </is>
      </c>
      <c r="E21" t="inlineStr">
        <is>
          <t>The United Arab Emirates</t>
        </is>
      </c>
    </row>
    <row r="22">
      <c r="A22" t="inlineStr">
        <is>
          <t>Hebei Longhai Bioenergy Co.,Ltd,  Handan, Hebei, China</t>
        </is>
      </c>
      <c r="B22" t="inlineStr">
        <is>
          <t>Processing Unit, Trader with Storage</t>
        </is>
      </c>
      <c r="C22" t="inlineStr">
        <is>
          <t>RINA Services S.p.A., Genova, IT</t>
        </is>
      </c>
      <c r="D22" t="inlineStr">
        <is>
          <t>06.08.2027</t>
        </is>
      </c>
      <c r="E22" t="inlineStr">
        <is>
          <t>China</t>
        </is>
      </c>
    </row>
    <row r="23">
      <c r="A23" t="inlineStr">
        <is>
          <t>Tangshan Tangmaotong Technology Development Co., Ltd.,  Tangshan City, Hebei Province, China</t>
        </is>
      </c>
      <c r="B23" t="inlineStr">
        <is>
          <t>Trader</t>
        </is>
      </c>
      <c r="C23" t="inlineStr">
        <is>
          <t>SCS Global Services, Emeryville, CA, US</t>
        </is>
      </c>
      <c r="D23" t="inlineStr">
        <is>
          <t>06.08.2027</t>
        </is>
      </c>
      <c r="E23" t="inlineStr">
        <is>
          <t>China</t>
        </is>
      </c>
    </row>
    <row r="24">
      <c r="A24" t="inlineStr">
        <is>
          <t>UKR-ROL Kolesnyk Sp.K.A,  Warsaw, Poland</t>
        </is>
      </c>
      <c r="B24" t="inlineStr">
        <is>
          <t>First Gathering Point, Trader</t>
        </is>
      </c>
      <c r="C24" t="inlineStr">
        <is>
          <t>Apex Genelab LLC, Odessa, UA</t>
        </is>
      </c>
      <c r="D24" t="inlineStr">
        <is>
          <t>06.08.2027</t>
        </is>
      </c>
      <c r="E24" t="inlineStr">
        <is>
          <t>Poland</t>
        </is>
      </c>
    </row>
    <row r="25">
      <c r="A25" t="inlineStr">
        <is>
          <t>Huizhou Fengzhili Oil Co., Ltd.,  Huizhou City, Guangdong Province, China</t>
        </is>
      </c>
      <c r="B25" t="inlineStr">
        <is>
          <t>Trader</t>
        </is>
      </c>
      <c r="C25" t="inlineStr">
        <is>
          <t>RINA Services S.p.A., Genova, IT</t>
        </is>
      </c>
      <c r="D25" t="inlineStr">
        <is>
          <t>06.08.2027</t>
        </is>
      </c>
      <c r="E25" t="inlineStr">
        <is>
          <t>China</t>
        </is>
      </c>
    </row>
    <row r="26">
      <c r="A26" t="inlineStr">
        <is>
          <t>UKR-ROL Kolesnyk Sp.K.A,  Warsaw, Poland</t>
        </is>
      </c>
      <c r="B26" t="inlineStr">
        <is>
          <t>First Gathering Point, Trader</t>
        </is>
      </c>
      <c r="C26" t="inlineStr">
        <is>
          <t>Apex Genelab LLC, Odessa, UA</t>
        </is>
      </c>
      <c r="D26" t="inlineStr">
        <is>
          <t>06.08.2027</t>
        </is>
      </c>
      <c r="E26" t="inlineStr">
        <is>
          <t>Poland</t>
        </is>
      </c>
    </row>
    <row r="27">
      <c r="A27" t="inlineStr">
        <is>
          <t>F&amp;S China Co., Ltd.,  Nansha District, GUANGZHOU, China</t>
        </is>
      </c>
      <c r="B27" t="inlineStr">
        <is>
          <t>Processing Unit</t>
        </is>
      </c>
      <c r="C27" t="inlineStr">
        <is>
          <t>TÜV NORD CERT GmbH, Essen, DE</t>
        </is>
      </c>
      <c r="D27" t="inlineStr">
        <is>
          <t>06.08.2027</t>
        </is>
      </c>
      <c r="E27" t="inlineStr">
        <is>
          <t>China</t>
        </is>
      </c>
    </row>
    <row r="28">
      <c r="A28" t="inlineStr">
        <is>
          <t>SINOCHEM OIL (ZHOUSHAN) CO., LTD,  Zhoushan City, Zhejiang Province, China</t>
        </is>
      </c>
      <c r="B28" t="inlineStr">
        <is>
          <t>Trader</t>
        </is>
      </c>
      <c r="C28" t="inlineStr">
        <is>
          <t>China Standard Conformity Assessment Co. Ltd, Beijing, CN</t>
        </is>
      </c>
      <c r="D28" t="inlineStr">
        <is>
          <t>06.08.2027</t>
        </is>
      </c>
      <c r="E28" t="inlineStr">
        <is>
          <t>China</t>
        </is>
      </c>
    </row>
    <row r="29">
      <c r="A29" t="inlineStr">
        <is>
          <t>Kamel Plastik Esnek Ambalaj San. Tic. A.S.,  Beylikdüzü/Istanbul, Türkiye</t>
        </is>
      </c>
      <c r="B29" t="inlineStr">
        <is>
          <t>Processing Unit</t>
        </is>
      </c>
      <c r="C29" t="inlineStr">
        <is>
          <t>PT Intertek Utama Services, Jakarta, ID</t>
        </is>
      </c>
      <c r="D29" t="inlineStr">
        <is>
          <t>06.08.2027</t>
        </is>
      </c>
      <c r="E29" t="inlineStr">
        <is>
          <t>Türkiye</t>
        </is>
      </c>
    </row>
    <row r="30">
      <c r="A30" t="inlineStr">
        <is>
          <t>Nagamas Agro Mulia,  Kecamatan Tambusai Utara, Indonesia</t>
        </is>
      </c>
      <c r="B30" t="inlineStr">
        <is>
          <t>Point of Origin</t>
        </is>
      </c>
      <c r="C30" t="inlineStr">
        <is>
          <t>PT Intertek Utama Services, Jakarta, ID</t>
        </is>
      </c>
      <c r="D30" t="inlineStr">
        <is>
          <t>06.08.2027</t>
        </is>
      </c>
      <c r="E30" t="inlineStr">
        <is>
          <t>Indonesia</t>
        </is>
      </c>
    </row>
    <row r="31">
      <c r="A31" t="inlineStr">
        <is>
          <t>LONG SON TAN LOI CASHEW NUT SHELLS LIQUID COMPANY LIMITED,  Tan Loi Commune, Dong Nai City, Vietnam</t>
        </is>
      </c>
      <c r="B31" t="inlineStr">
        <is>
          <t>Collecting Point, Processing Unit, Trader with Storage</t>
        </is>
      </c>
      <c r="C31" t="inlineStr">
        <is>
          <t>BM Certification, Riga, LV</t>
        </is>
      </c>
      <c r="D31" t="inlineStr">
        <is>
          <t>06.08.2027</t>
        </is>
      </c>
      <c r="E31" t="inlineStr">
        <is>
          <t>Vietnam</t>
        </is>
      </c>
    </row>
    <row r="32">
      <c r="A32" t="inlineStr">
        <is>
          <t>SEBOL - COMÉRCIO E INDUSTRIA DE SEBO, S.A.,  São José da Lamarosa, Portugal</t>
        </is>
      </c>
      <c r="B32" t="inlineStr">
        <is>
          <t>Point of Origin</t>
        </is>
      </c>
      <c r="C32" t="inlineStr">
        <is>
          <t>Amspec Iberia SL, Vilagarcia de Arousa-Pontevedra, ES</t>
        </is>
      </c>
      <c r="D32" t="inlineStr">
        <is>
          <t>06.08.2027</t>
        </is>
      </c>
      <c r="E32" t="inlineStr">
        <is>
          <t>Portugal</t>
        </is>
      </c>
    </row>
    <row r="33">
      <c r="A33" t="inlineStr">
        <is>
          <t>JHON MACUNO TRADING,  TAYTAY, The Philippines</t>
        </is>
      </c>
      <c r="B33" t="inlineStr">
        <is>
          <t>Collecting Point</t>
        </is>
      </c>
      <c r="C33" t="inlineStr">
        <is>
          <t>Control Union Certifications Germany GmbH, Berlin, DE</t>
        </is>
      </c>
      <c r="D33" t="inlineStr">
        <is>
          <t>06.08.2027</t>
        </is>
      </c>
      <c r="E33" t="inlineStr">
        <is>
          <t>The Philippines</t>
        </is>
      </c>
    </row>
    <row r="34">
      <c r="A34" t="inlineStr">
        <is>
          <t>PT. WIRA KARYA PRAMITRA,  Kampar, Indonesia</t>
        </is>
      </c>
      <c r="B34" t="inlineStr">
        <is>
          <t>Point of Origin</t>
        </is>
      </c>
      <c r="C34" t="inlineStr">
        <is>
          <t>PT TSI Sertifikasi Internasional, Jakarta Selatang, ID</t>
        </is>
      </c>
      <c r="D34" t="inlineStr">
        <is>
          <t>06.08.2027</t>
        </is>
      </c>
      <c r="E34" t="inlineStr">
        <is>
          <t>Indonesia</t>
        </is>
      </c>
    </row>
    <row r="35">
      <c r="A35" t="inlineStr">
        <is>
          <t>JSP,  Kanuma-city,Tochigi, Japan</t>
        </is>
      </c>
      <c r="B35" t="inlineStr">
        <is>
          <t>Processing Unit</t>
        </is>
      </c>
      <c r="C35" t="inlineStr">
        <is>
          <t>SCS Global Services, Emeryville, CA, US</t>
        </is>
      </c>
      <c r="D35" t="inlineStr">
        <is>
          <t>05.08.2027</t>
        </is>
      </c>
      <c r="E35" t="inlineStr">
        <is>
          <t>Japan</t>
        </is>
      </c>
    </row>
    <row r="36">
      <c r="A36" t="inlineStr">
        <is>
          <t>KP,  Kanuma City , Tochigi, Japan</t>
        </is>
      </c>
      <c r="B36" t="inlineStr">
        <is>
          <t>Processing Unit</t>
        </is>
      </c>
      <c r="C36" t="inlineStr">
        <is>
          <t>SCS Global Services, Emeryville, CA, US</t>
        </is>
      </c>
      <c r="D36" t="inlineStr">
        <is>
          <t>05.08.2027</t>
        </is>
      </c>
      <c r="E36" t="inlineStr">
        <is>
          <t>Japan</t>
        </is>
      </c>
    </row>
    <row r="37">
      <c r="A37" t="inlineStr">
        <is>
          <t>JSPPackaging,  Chuo-ku,TOKYO, Japan</t>
        </is>
      </c>
      <c r="B37" t="inlineStr">
        <is>
          <t>Trader with Storage</t>
        </is>
      </c>
      <c r="C37" t="inlineStr">
        <is>
          <t>SCS Global Services, Emeryville, CA, US</t>
        </is>
      </c>
      <c r="D37" t="inlineStr">
        <is>
          <t>05.08.2027</t>
        </is>
      </c>
      <c r="E37" t="inlineStr">
        <is>
          <t>Japan</t>
        </is>
      </c>
    </row>
    <row r="38">
      <c r="A38" t="inlineStr">
        <is>
          <t>ProAmpac Holdings Inc.,  Rocky Mount, VA, The United States of America</t>
        </is>
      </c>
      <c r="B38" t="inlineStr">
        <is>
          <t>Processing Unit, Trader with Storage</t>
        </is>
      </c>
      <c r="C38" t="inlineStr">
        <is>
          <t>SCS Global Services, Emeryville, CA, US</t>
        </is>
      </c>
      <c r="D38" t="inlineStr">
        <is>
          <t>05.08.2027</t>
        </is>
      </c>
      <c r="E38" t="inlineStr">
        <is>
          <t>The United States of America</t>
        </is>
      </c>
    </row>
    <row r="39">
      <c r="A39" t="inlineStr">
        <is>
          <t>ALPLApharma Markdorf GmbH,  Markdorf, Germany</t>
        </is>
      </c>
      <c r="B39" t="inlineStr">
        <is>
          <t>Processing Unit</t>
        </is>
      </c>
      <c r="C39" t="inlineStr">
        <is>
          <t>Control Union Poland Sp. z o.o., Zielona Gora, PL</t>
        </is>
      </c>
      <c r="D39" t="inlineStr">
        <is>
          <t>05.08.2027</t>
        </is>
      </c>
      <c r="E39" t="inlineStr">
        <is>
          <t>Germany</t>
        </is>
      </c>
    </row>
    <row r="40">
      <c r="A40" t="inlineStr">
        <is>
          <t>PT. BERKAT SAWIT MANDIRI,  Sarolangun Regency, Jambi Province, Indonesia</t>
        </is>
      </c>
      <c r="B40" t="inlineStr">
        <is>
          <t>Point of Origin</t>
        </is>
      </c>
      <c r="C40" t="inlineStr">
        <is>
          <t>PT. Qualitas Sertifikasi Indonesia, Jakarta, ID</t>
        </is>
      </c>
      <c r="D40" t="inlineStr">
        <is>
          <t>05.08.2027</t>
        </is>
      </c>
      <c r="E40" t="inlineStr">
        <is>
          <t>Indonesia</t>
        </is>
      </c>
    </row>
    <row r="41">
      <c r="A41" t="inlineStr">
        <is>
          <t>PT. BERKAT SAWIT MANDIRI,  Sarolangun Regency, Jambi Province, Indonesia</t>
        </is>
      </c>
      <c r="B41" t="inlineStr">
        <is>
          <t>Point of Origin</t>
        </is>
      </c>
      <c r="C41" t="inlineStr">
        <is>
          <t>PT. Qualitas Sertifikasi Indonesia, Jakarta, ID</t>
        </is>
      </c>
      <c r="D41" t="inlineStr">
        <is>
          <t>05.08.2027</t>
        </is>
      </c>
      <c r="E41" t="inlineStr">
        <is>
          <t>Indonesia</t>
        </is>
      </c>
    </row>
    <row r="42">
      <c r="A42" t="inlineStr">
        <is>
          <t>Valero Marketing and Supply Company,  San Antonio, The United States of America</t>
        </is>
      </c>
      <c r="B42" t="inlineStr">
        <is>
          <t>Trader with Storage</t>
        </is>
      </c>
      <c r="C42" t="inlineStr">
        <is>
          <t>SCS Global Services, Emeryville, CA, US</t>
        </is>
      </c>
      <c r="D42" t="inlineStr">
        <is>
          <t>05.08.2027</t>
        </is>
      </c>
      <c r="E42" t="inlineStr">
        <is>
          <t>The United States of America</t>
        </is>
      </c>
    </row>
    <row r="43">
      <c r="A43" t="inlineStr">
        <is>
          <t>Waterleau NewEnergy Ieper,  Ieper, Belgium</t>
        </is>
      </c>
      <c r="B43" t="inlineStr">
        <is>
          <t>Collecting Point, Processing Unit</t>
        </is>
      </c>
      <c r="C43" t="inlineStr">
        <is>
          <t>Control Union Certifications Germany GmbH, Berlin, DE</t>
        </is>
      </c>
      <c r="D43" t="inlineStr">
        <is>
          <t>05.08.2027</t>
        </is>
      </c>
      <c r="E43" t="inlineStr">
        <is>
          <t>Belgium</t>
        </is>
      </c>
    </row>
    <row r="44">
      <c r="A44" t="inlineStr">
        <is>
          <t>Dan-Bunkering (Singapore) Pte Ltd,  Singapore, Singapore</t>
        </is>
      </c>
      <c r="B44" t="inlineStr">
        <is>
          <t>Trader, Proof of Compliance Trader</t>
        </is>
      </c>
      <c r="C44" t="inlineStr">
        <is>
          <t>Baltic Control Certification, Albertslund, DK</t>
        </is>
      </c>
      <c r="D44" t="inlineStr">
        <is>
          <t>05.08.2027</t>
        </is>
      </c>
      <c r="E44" t="inlineStr">
        <is>
          <t>Singapore</t>
        </is>
      </c>
    </row>
    <row r="45">
      <c r="A45" t="inlineStr">
        <is>
          <t>VIROQUE BIOENERGY, S.L.,  Madrid, Spain</t>
        </is>
      </c>
      <c r="B45" t="inlineStr">
        <is>
          <t>Trader with Storage</t>
        </is>
      </c>
      <c r="C45" t="inlineStr">
        <is>
          <t>Amspec Iberia SL, Vilagarcia de Arousa-Pontevedra, ES</t>
        </is>
      </c>
      <c r="D45" t="inlineStr">
        <is>
          <t>05.08.2027</t>
        </is>
      </c>
      <c r="E45" t="inlineStr">
        <is>
          <t>Spain</t>
        </is>
      </c>
    </row>
    <row r="46">
      <c r="A46" t="inlineStr">
        <is>
          <t>FUELING MARITIME (ASIA) PTE. LTD.,  Singapore, Singapore</t>
        </is>
      </c>
      <c r="B46" t="inlineStr">
        <is>
          <t>Trader, Proof of Compliance Trader</t>
        </is>
      </c>
      <c r="C46" t="inlineStr">
        <is>
          <t>Baltic Control Certification, Albertslund, DK</t>
        </is>
      </c>
      <c r="D46" t="inlineStr">
        <is>
          <t>05.08.2027</t>
        </is>
      </c>
      <c r="E46" t="inlineStr">
        <is>
          <t>Singapore</t>
        </is>
      </c>
    </row>
    <row r="47">
      <c r="A47" t="inlineStr">
        <is>
          <t>RWA Slovenija d.o.o.,  Škofljica, Slovenia</t>
        </is>
      </c>
      <c r="B47" t="inlineStr">
        <is>
          <t>First Gathering Point, Trader with Storage</t>
        </is>
      </c>
      <c r="C47" t="inlineStr">
        <is>
          <t>Bureau Veritas Polska Sp. z o.o., Warsaw, PL</t>
        </is>
      </c>
      <c r="D47" t="inlineStr">
        <is>
          <t>05.08.2027</t>
        </is>
      </c>
      <c r="E47" t="inlineStr">
        <is>
          <t>Slovenia</t>
        </is>
      </c>
    </row>
    <row r="48">
      <c r="A48" t="inlineStr">
        <is>
          <t>Safilo Spa,  PADOVA, Italy</t>
        </is>
      </c>
      <c r="B48" t="inlineStr">
        <is>
          <t>Trader with Storage</t>
        </is>
      </c>
      <c r="C48" t="inlineStr">
        <is>
          <t>PT Intertek Utama Services, Jakarta, ID</t>
        </is>
      </c>
      <c r="D48" t="inlineStr">
        <is>
          <t>05.08.2027</t>
        </is>
      </c>
      <c r="E48" t="inlineStr">
        <is>
          <t>Italy</t>
        </is>
      </c>
    </row>
    <row r="49">
      <c r="A49" t="inlineStr">
        <is>
          <t>Aplus Molds &amp; Plastics Co., Ltd.,  Yong Kang Dist, Tainan City, Taiwan (Province of China)</t>
        </is>
      </c>
      <c r="B49" t="inlineStr">
        <is>
          <t>Processing Unit</t>
        </is>
      </c>
      <c r="C49" t="inlineStr">
        <is>
          <t>Control Union Certifications Germany GmbH, Berlin, DE</t>
        </is>
      </c>
      <c r="D49" t="inlineStr">
        <is>
          <t>05.08.2027</t>
        </is>
      </c>
      <c r="E49" t="inlineStr">
        <is>
          <t>Taiwan (Province of China)</t>
        </is>
      </c>
    </row>
    <row r="50">
      <c r="A50" t="inlineStr">
        <is>
          <t>Sea oil public company limited,  Bangna, Thailand</t>
        </is>
      </c>
      <c r="B50" t="inlineStr">
        <is>
          <t>Trader</t>
        </is>
      </c>
      <c r="C50" t="inlineStr">
        <is>
          <t>Control Union Poland Sp. z o.o., Zielona Gora, PL</t>
        </is>
      </c>
      <c r="D50" t="inlineStr">
        <is>
          <t>05.08.2027</t>
        </is>
      </c>
      <c r="E50" t="inlineStr">
        <is>
          <t>Thailand</t>
        </is>
      </c>
    </row>
    <row r="51">
      <c r="A51" t="inlineStr">
        <is>
          <t>CRIST-VALG,  Chisinau, Moldova</t>
        </is>
      </c>
      <c r="B51" t="inlineStr">
        <is>
          <t>First Gathering Point, Trader with Storage</t>
        </is>
      </c>
      <c r="C51" t="inlineStr">
        <is>
          <t>SGS Germany GmbH, Emstek, DE</t>
        </is>
      </c>
      <c r="D51" t="inlineStr">
        <is>
          <t>05.08.2027</t>
        </is>
      </c>
      <c r="E51" t="inlineStr">
        <is>
          <t>Moldova</t>
        </is>
      </c>
    </row>
    <row r="52">
      <c r="A52" t="inlineStr">
        <is>
          <t>Hiper Cast,  HERMAGOR, Austria</t>
        </is>
      </c>
      <c r="B52" t="inlineStr">
        <is>
          <t>Processing Unit</t>
        </is>
      </c>
      <c r="C52" t="inlineStr">
        <is>
          <t>IIP S.r.l., Monza, IT</t>
        </is>
      </c>
      <c r="D52" t="inlineStr">
        <is>
          <t>05.08.2027</t>
        </is>
      </c>
      <c r="E52" t="inlineStr">
        <is>
          <t>Austria</t>
        </is>
      </c>
    </row>
    <row r="53">
      <c r="A53" t="inlineStr">
        <is>
          <t>Nantong Haomeng Eco-Technologies Co., Ltd.,  Haimen City, Jiangsu, China</t>
        </is>
      </c>
      <c r="B53" t="inlineStr">
        <is>
          <t>Trader</t>
        </is>
      </c>
      <c r="C53" t="inlineStr">
        <is>
          <t>RINA Services S.p.A., Genova, IT</t>
        </is>
      </c>
      <c r="D53" t="inlineStr">
        <is>
          <t>05.08.2027</t>
        </is>
      </c>
      <c r="E53" t="inlineStr">
        <is>
          <t>China</t>
        </is>
      </c>
    </row>
    <row r="54">
      <c r="A54" t="inlineStr">
        <is>
          <t>Adamant Ecodev,  Ferrara, Italy</t>
        </is>
      </c>
      <c r="B54" t="inlineStr">
        <is>
          <t>Trader with Storage</t>
        </is>
      </c>
      <c r="C54" t="inlineStr">
        <is>
          <t>SGS Germany GmbH, Emstek, DE</t>
        </is>
      </c>
      <c r="D54" t="inlineStr">
        <is>
          <t>05.08.2027</t>
        </is>
      </c>
      <c r="E54" t="inlineStr">
        <is>
          <t>Italy</t>
        </is>
      </c>
    </row>
    <row r="55">
      <c r="A55" t="inlineStr">
        <is>
          <t>Taiwan Mitsui Chemicals,  Taipei City, Taiwan (Province of China)</t>
        </is>
      </c>
      <c r="B55" t="inlineStr">
        <is>
          <t>Trader</t>
        </is>
      </c>
      <c r="C55" t="inlineStr">
        <is>
          <t>Control Union Certifications Germany GmbH, Berlin, DE</t>
        </is>
      </c>
      <c r="D55" t="inlineStr">
        <is>
          <t>05.08.2027</t>
        </is>
      </c>
      <c r="E55" t="inlineStr">
        <is>
          <t>Taiwan (Province of China)</t>
        </is>
      </c>
    </row>
    <row r="56">
      <c r="A56" t="inlineStr">
        <is>
          <t>GKD CO.,LTD,  Suwon-si, The Republic of Korea</t>
        </is>
      </c>
      <c r="B56" t="inlineStr">
        <is>
          <t>Trader</t>
        </is>
      </c>
      <c r="C56" t="inlineStr">
        <is>
          <t>Control Union Certifications Germany GmbH, Berlin, DE</t>
        </is>
      </c>
      <c r="D56" t="inlineStr">
        <is>
          <t>05.08.2027</t>
        </is>
      </c>
      <c r="E56" t="inlineStr">
        <is>
          <t>The Republic of Korea</t>
        </is>
      </c>
    </row>
    <row r="57">
      <c r="A57" t="inlineStr">
        <is>
          <t>DS PCR Co.,Ltd(YEONGCHEON 2nd PLANT),  Yeongcheon-si, Gyeongsangbuk-do, The Republic of Korea</t>
        </is>
      </c>
      <c r="B57" t="inlineStr">
        <is>
          <t>Trader with Storage, Processing Unit</t>
        </is>
      </c>
      <c r="C57" t="inlineStr">
        <is>
          <t>Control Union Certifications Germany GmbH, Berlin, DE</t>
        </is>
      </c>
      <c r="D57" t="inlineStr">
        <is>
          <t>05.08.2027</t>
        </is>
      </c>
      <c r="E57" t="inlineStr">
        <is>
          <t>The Republic of Korea</t>
        </is>
      </c>
    </row>
    <row r="58">
      <c r="A58" t="inlineStr">
        <is>
          <t>Phoenix Oils Ltd,  Church Road, Sittingbourne, ME9 9BA, The United Kingdom</t>
        </is>
      </c>
      <c r="B58" t="inlineStr">
        <is>
          <t>Collecting Point</t>
        </is>
      </c>
      <c r="C58" t="inlineStr">
        <is>
          <t>SGS Germany GmbH, Emstek, DE</t>
        </is>
      </c>
      <c r="D58" t="inlineStr">
        <is>
          <t>05.08.2027</t>
        </is>
      </c>
      <c r="E58" t="inlineStr">
        <is>
          <t>The United Kingdom</t>
        </is>
      </c>
    </row>
    <row r="59">
      <c r="A59" t="inlineStr">
        <is>
          <t>Sekiguchi Yushi Co., Ltd.,  Iwafunemachi, Tochigi-shi, Tochigi-ken, Japan</t>
        </is>
      </c>
      <c r="B59" t="inlineStr">
        <is>
          <t>Collecting Point</t>
        </is>
      </c>
      <c r="C59" t="inlineStr">
        <is>
          <t>SGS Germany GmbH, Emstek, DE</t>
        </is>
      </c>
      <c r="D59" t="inlineStr">
        <is>
          <t>05.08.2027</t>
        </is>
      </c>
      <c r="E59" t="inlineStr">
        <is>
          <t>Japan</t>
        </is>
      </c>
    </row>
    <row r="60">
      <c r="A60" t="inlineStr">
        <is>
          <t>Leeuwin Trading Sarl,  Shanghai, China</t>
        </is>
      </c>
      <c r="B60" t="inlineStr">
        <is>
          <t>Trader with Storage</t>
        </is>
      </c>
      <c r="C60" t="inlineStr">
        <is>
          <t>ASG Cert GmbH, Munich, DE</t>
        </is>
      </c>
      <c r="D60" t="inlineStr">
        <is>
          <t>05.08.2027</t>
        </is>
      </c>
      <c r="E60" t="inlineStr">
        <is>
          <t>China</t>
        </is>
      </c>
    </row>
    <row r="61">
      <c r="A61" t="inlineStr">
        <is>
          <t>PT Evyap Sabun Indonesia,  Simalungun, Indonesia</t>
        </is>
      </c>
      <c r="B61" t="inlineStr">
        <is>
          <t>Point of Origin</t>
        </is>
      </c>
      <c r="C61" t="inlineStr">
        <is>
          <t>PT. Qualitas Sertifikasi Indonesia, Jakarta, ID</t>
        </is>
      </c>
      <c r="D61" t="inlineStr">
        <is>
          <t>05.08.2027</t>
        </is>
      </c>
      <c r="E61" t="inlineStr">
        <is>
          <t>Indonesia</t>
        </is>
      </c>
    </row>
    <row r="62">
      <c r="A62" t="inlineStr">
        <is>
          <t>ARZN RENEWABLE ENERGY (PRIVATE) LIMITED,  Faisalabad, Pakistan</t>
        </is>
      </c>
      <c r="B62" t="inlineStr">
        <is>
          <t>Collecting Point, Point of Origin, Processing Unit, Trader with Storage</t>
        </is>
      </c>
      <c r="C62" t="inlineStr">
        <is>
          <t>PT Intertek Utama Services, Jakarta, ID</t>
        </is>
      </c>
      <c r="D62" t="inlineStr">
        <is>
          <t>05.08.2027</t>
        </is>
      </c>
      <c r="E62" t="inlineStr">
        <is>
          <t>Pakistan</t>
        </is>
      </c>
    </row>
    <row r="63">
      <c r="A63" t="inlineStr">
        <is>
          <t>Wenzhou Sojos Optical Industry Co.,Ltd,  Wenzhou, China</t>
        </is>
      </c>
      <c r="B63" t="inlineStr">
        <is>
          <t>Trader</t>
        </is>
      </c>
      <c r="C63" t="inlineStr">
        <is>
          <t>PT Intertek Utama Services, Jakarta, ID</t>
        </is>
      </c>
      <c r="D63" t="inlineStr">
        <is>
          <t>05.08.2027</t>
        </is>
      </c>
      <c r="E63" t="inlineStr">
        <is>
          <t>China</t>
        </is>
      </c>
    </row>
    <row r="64">
      <c r="A64" t="inlineStr">
        <is>
          <t>Evolua Etanol,  São Paulo-SP, Brazil</t>
        </is>
      </c>
      <c r="B64" t="inlineStr">
        <is>
          <t>Trader with Storage</t>
        </is>
      </c>
      <c r="C64" t="inlineStr">
        <is>
          <t>SGS Germany GmbH, Emstek, DE</t>
        </is>
      </c>
      <c r="D64" t="inlineStr">
        <is>
          <t>05.08.2027</t>
        </is>
      </c>
      <c r="E64" t="inlineStr">
        <is>
          <t>Brazil</t>
        </is>
      </c>
    </row>
    <row r="65">
      <c r="A65" t="inlineStr">
        <is>
          <t>Aer Lingus (Ireland) Ltd.,  Harmondsworth, The United Kingdom</t>
        </is>
      </c>
      <c r="B65" t="inlineStr">
        <is>
          <t>Proof of Compliance Trader, Trader with Storage</t>
        </is>
      </c>
      <c r="C65" t="inlineStr">
        <is>
          <t>SGS Germany GmbH, Emstek, DE</t>
        </is>
      </c>
      <c r="D65" t="inlineStr">
        <is>
          <t>05.08.2027</t>
        </is>
      </c>
      <c r="E65" t="inlineStr">
        <is>
          <t>The United Kingdom</t>
        </is>
      </c>
    </row>
    <row r="66">
      <c r="A66" t="inlineStr">
        <is>
          <t>LLC "AK HORS",  Ovidiopol, Ukraine</t>
        </is>
      </c>
      <c r="B66" t="inlineStr">
        <is>
          <t>First Gathering Point, Trader</t>
        </is>
      </c>
      <c r="C66" t="inlineStr">
        <is>
          <t>Apex Genelab LLC, Odessa, UA</t>
        </is>
      </c>
      <c r="D66" t="inlineStr">
        <is>
          <t>05.08.2027</t>
        </is>
      </c>
      <c r="E66" t="inlineStr">
        <is>
          <t>Ukraine</t>
        </is>
      </c>
    </row>
    <row r="67">
      <c r="A67" t="inlineStr">
        <is>
          <t>Elektrolyse Mitteldeutschland GmbH,  Teutschenthal, Germany</t>
        </is>
      </c>
      <c r="B67" t="inlineStr">
        <is>
          <t>Processing Unit</t>
        </is>
      </c>
      <c r="C67" t="inlineStr">
        <is>
          <t>GUT Certifizierungsgesellschaft für Managementsysteme mbH Umweltgutachter, Berlin, DE</t>
        </is>
      </c>
      <c r="D67" t="inlineStr">
        <is>
          <t>05.08.2027</t>
        </is>
      </c>
      <c r="E67" t="inlineStr">
        <is>
          <t>Germany</t>
        </is>
      </c>
    </row>
    <row r="68">
      <c r="A68" t="inlineStr">
        <is>
          <t>Albis Iberia SAU,  Sant Just Desvern, Spain</t>
        </is>
      </c>
      <c r="B68" t="inlineStr">
        <is>
          <t>Trader with Storage</t>
        </is>
      </c>
      <c r="C68" t="inlineStr">
        <is>
          <t>DQS CFS GmbH - Deutsche Gesellschaft für Nachhaltigkeit, Frankfurt am Main, DE</t>
        </is>
      </c>
      <c r="D68" t="inlineStr">
        <is>
          <t>05.08.2027</t>
        </is>
      </c>
      <c r="E68" t="inlineStr">
        <is>
          <t>Spain</t>
        </is>
      </c>
    </row>
    <row r="69">
      <c r="A69" t="inlineStr">
        <is>
          <t>OLAM AGROINDUSTRIA IMPORTACAO E EXPORTACAO LTDA,  Tarumã, Brazil</t>
        </is>
      </c>
      <c r="B69" t="inlineStr">
        <is>
          <t>Collecting Point, Processing Unit</t>
        </is>
      </c>
      <c r="C69" t="inlineStr">
        <is>
          <t>QIMA, Centro, Botucatu - SP, CEP, BR</t>
        </is>
      </c>
      <c r="D69" t="inlineStr">
        <is>
          <t>05.08.2027</t>
        </is>
      </c>
      <c r="E69" t="inlineStr">
        <is>
          <t>Brazil</t>
        </is>
      </c>
    </row>
    <row r="70">
      <c r="A70" t="inlineStr">
        <is>
          <t>Stora Enso Oyj,  Imatra, Finland</t>
        </is>
      </c>
      <c r="B70" t="inlineStr">
        <is>
          <t>Point of Origin, Collecting Point, Processing Unit</t>
        </is>
      </c>
      <c r="C70" t="inlineStr">
        <is>
          <t>Control Union Certifications Germany GmbH, Berlin, DE</t>
        </is>
      </c>
      <c r="D70" t="inlineStr">
        <is>
          <t>05.08.2027</t>
        </is>
      </c>
      <c r="E70" t="inlineStr">
        <is>
          <t>Finland</t>
        </is>
      </c>
    </row>
    <row r="71">
      <c r="A71" t="inlineStr">
        <is>
          <t>Stora Enso Oyj,  Imatra, Finland</t>
        </is>
      </c>
      <c r="B71" t="inlineStr">
        <is>
          <t>Collecting Point, Point of Origin, Processing Unit</t>
        </is>
      </c>
      <c r="C71" t="inlineStr">
        <is>
          <t>Control Union Certifications Germany GmbH, Berlin, DE</t>
        </is>
      </c>
      <c r="D71" t="inlineStr">
        <is>
          <t>05.08.2027</t>
        </is>
      </c>
      <c r="E71" t="inlineStr">
        <is>
          <t>Finland</t>
        </is>
      </c>
    </row>
    <row r="72">
      <c r="A72" t="inlineStr">
        <is>
          <t>Wago Contact SA,  Domdidier, Switzerland</t>
        </is>
      </c>
      <c r="B72" t="inlineStr">
        <is>
          <t>Final Product Refinement, Processing Unit</t>
        </is>
      </c>
      <c r="C72" t="inlineStr">
        <is>
          <t>TÜV SÜD Industrie Service GmbH, München, DE</t>
        </is>
      </c>
      <c r="D72" t="inlineStr">
        <is>
          <t>05.08.2027</t>
        </is>
      </c>
      <c r="E72" t="inlineStr">
        <is>
          <t>Switzerland</t>
        </is>
      </c>
    </row>
    <row r="73">
      <c r="A73" t="inlineStr">
        <is>
          <t>Leeuwin Trading Sarl,  Shanghai, China</t>
        </is>
      </c>
      <c r="B73" t="inlineStr">
        <is>
          <t>Trader with Storage</t>
        </is>
      </c>
      <c r="C73" t="inlineStr">
        <is>
          <t>ASG Cert GmbH, Munich, DE</t>
        </is>
      </c>
      <c r="D73" t="inlineStr">
        <is>
          <t>05.08.2027</t>
        </is>
      </c>
      <c r="E73" t="inlineStr">
        <is>
          <t>China</t>
        </is>
      </c>
    </row>
    <row r="74">
      <c r="A74" t="inlineStr">
        <is>
          <t>R.O.B.I. S.r.l.,  Treviolo Bergamo, Italy</t>
        </is>
      </c>
      <c r="B74" t="inlineStr">
        <is>
          <t>Collecting Point</t>
        </is>
      </c>
      <c r="C74" t="inlineStr">
        <is>
          <t>SGS Germany GmbH, Emstek, DE</t>
        </is>
      </c>
      <c r="D74" t="inlineStr">
        <is>
          <t>05.08.2027</t>
        </is>
      </c>
      <c r="E74" t="inlineStr">
        <is>
          <t>Italy</t>
        </is>
      </c>
    </row>
    <row r="75">
      <c r="A75" t="inlineStr">
        <is>
          <t>AGRO MURESANA COOPERATIVA AGRICOLA,  ARAD, ARAD COUNTY, Romania</t>
        </is>
      </c>
      <c r="B75" t="inlineStr">
        <is>
          <t>First Gathering Point</t>
        </is>
      </c>
      <c r="C75" t="inlineStr">
        <is>
          <t>SRAC Cert SRL, Bucharest, RO</t>
        </is>
      </c>
      <c r="D75" t="inlineStr">
        <is>
          <t>05.08.2027</t>
        </is>
      </c>
      <c r="E75" t="inlineStr">
        <is>
          <t>Romania</t>
        </is>
      </c>
    </row>
    <row r="76">
      <c r="A76" t="inlineStr">
        <is>
          <t>GESTION Y VALORIZACION DE RESIDUOS INDUSTRIALES- GESTIONA S.L.,  Bilbao, Spain</t>
        </is>
      </c>
      <c r="B76" t="inlineStr">
        <is>
          <t>Collecting Point, Trader with Storage</t>
        </is>
      </c>
      <c r="C76" t="inlineStr">
        <is>
          <t>Bureau Veritas Polska Sp. z o.o., Warsaw, PL</t>
        </is>
      </c>
      <c r="D76" t="inlineStr">
        <is>
          <t>05.08.2027</t>
        </is>
      </c>
      <c r="E76" t="inlineStr">
        <is>
          <t>Spain</t>
        </is>
      </c>
    </row>
    <row r="77">
      <c r="A77" t="inlineStr">
        <is>
          <t>Oriental Industries (Suzhou) Ltd.,  Su Zhou, China</t>
        </is>
      </c>
      <c r="B77" t="inlineStr">
        <is>
          <t>Processing Unit</t>
        </is>
      </c>
      <c r="C77" t="inlineStr">
        <is>
          <t>SGS Germany GmbH, Emstek, DE</t>
        </is>
      </c>
      <c r="D77" t="inlineStr">
        <is>
          <t>04.08.2027</t>
        </is>
      </c>
      <c r="E77" t="inlineStr">
        <is>
          <t>China</t>
        </is>
      </c>
    </row>
    <row r="78">
      <c r="A78" t="inlineStr">
        <is>
          <t>Ubi Caritas Sdn. Bhd.,  Kluang, Malaysia</t>
        </is>
      </c>
      <c r="B78" t="inlineStr">
        <is>
          <t>Trader</t>
        </is>
      </c>
      <c r="C78" t="inlineStr">
        <is>
          <t>PT. Qualitas Sertifikasi Indonesia, Jakarta, ID</t>
        </is>
      </c>
      <c r="D78" t="inlineStr">
        <is>
          <t>04.08.2027</t>
        </is>
      </c>
      <c r="E78" t="inlineStr">
        <is>
          <t>Malaysia</t>
        </is>
      </c>
    </row>
    <row r="79">
      <c r="A79" t="inlineStr">
        <is>
          <t>Valorizaciones De Aceites Usados, S.A.,  Cádiz, Spain</t>
        </is>
      </c>
      <c r="B79" t="inlineStr">
        <is>
          <t>Collecting Point, Trader with Storage, Warehouse</t>
        </is>
      </c>
      <c r="C79" t="inlineStr">
        <is>
          <t>RINA Services S.p.A., Genova, IT</t>
        </is>
      </c>
      <c r="D79" t="inlineStr">
        <is>
          <t>04.08.2027</t>
        </is>
      </c>
      <c r="E79" t="inlineStr">
        <is>
          <t>Spain</t>
        </is>
      </c>
    </row>
    <row r="80">
      <c r="A80" t="inlineStr">
        <is>
          <t>SABIC Innovative Plastics Hong Kong Ltd.,  Kowloon, Hong Kong (SAR)</t>
        </is>
      </c>
      <c r="B80" t="inlineStr">
        <is>
          <t>Trader</t>
        </is>
      </c>
      <c r="C80" t="inlineStr">
        <is>
          <t>TÜV NORD CERT GmbH, Essen, DE</t>
        </is>
      </c>
      <c r="D80" t="inlineStr">
        <is>
          <t>04.08.2027</t>
        </is>
      </c>
      <c r="E80" t="inlineStr">
        <is>
          <t>Hong Kong (SAR)</t>
        </is>
      </c>
    </row>
    <row r="81">
      <c r="A81" t="inlineStr">
        <is>
          <t>Otto A. Müller GmbH,  Ahrensburg, Germany</t>
        </is>
      </c>
      <c r="B81" t="inlineStr">
        <is>
          <t>Collecting Point, Trader with Storage</t>
        </is>
      </c>
      <c r="C81" t="inlineStr">
        <is>
          <t>ASG Cert GmbH, Munich, DE</t>
        </is>
      </c>
      <c r="D81" t="inlineStr">
        <is>
          <t>04.08.2027</t>
        </is>
      </c>
      <c r="E81" t="inlineStr">
        <is>
          <t>Germany</t>
        </is>
      </c>
    </row>
    <row r="82">
      <c r="A82" t="inlineStr">
        <is>
          <t>Fuji Oil Ghana Limited,  Techiman, Ghana</t>
        </is>
      </c>
      <c r="B82" t="inlineStr">
        <is>
          <t>Point of Origin</t>
        </is>
      </c>
      <c r="C82" t="inlineStr">
        <is>
          <t>Global-Creative-Energy GmbH, Berlin, DE</t>
        </is>
      </c>
      <c r="D82" t="inlineStr">
        <is>
          <t>04.08.2027</t>
        </is>
      </c>
      <c r="E82" t="inlineStr">
        <is>
          <t>Ghana</t>
        </is>
      </c>
    </row>
    <row r="83">
      <c r="A83" t="inlineStr">
        <is>
          <t>RenEco Ltd,  Rushden, The United Kingdom</t>
        </is>
      </c>
      <c r="B83" t="inlineStr">
        <is>
          <t>Collecting Point, Processing Unit</t>
        </is>
      </c>
      <c r="C83" t="inlineStr">
        <is>
          <t>Aardvark Certification Ltd, Wiveliscombe, Somerset, GB</t>
        </is>
      </c>
      <c r="D83" t="inlineStr">
        <is>
          <t>04.08.2027</t>
        </is>
      </c>
      <c r="E83" t="inlineStr">
        <is>
          <t>The United Kingdom</t>
        </is>
      </c>
    </row>
    <row r="84">
      <c r="A84" t="inlineStr">
        <is>
          <t>OMV Česká republika s.r.o.,  Praha 4 - Nusle, Czech Republic</t>
        </is>
      </c>
      <c r="B84" t="inlineStr">
        <is>
          <t>Trader with Storage, Proof of Compliance Trader</t>
        </is>
      </c>
      <c r="C84" t="inlineStr">
        <is>
          <t>TÜV SÜD Czech s.r.o., Praha 4, CZ</t>
        </is>
      </c>
      <c r="D84" t="inlineStr">
        <is>
          <t>04.08.2027</t>
        </is>
      </c>
      <c r="E84" t="inlineStr">
        <is>
          <t>Czech Republic</t>
        </is>
      </c>
    </row>
    <row r="85">
      <c r="A85" t="inlineStr">
        <is>
          <t>SILOZ AGRODEP SRL,  Santana, Arad county, Romania</t>
        </is>
      </c>
      <c r="B85" t="inlineStr">
        <is>
          <t>First Gathering Point</t>
        </is>
      </c>
      <c r="C85" t="inlineStr">
        <is>
          <t>SRAC Cert SRL, Bucharest, RO</t>
        </is>
      </c>
      <c r="D85" t="inlineStr">
        <is>
          <t>04.08.2027</t>
        </is>
      </c>
      <c r="E85" t="inlineStr">
        <is>
          <t>Romania</t>
        </is>
      </c>
    </row>
    <row r="86">
      <c r="A86" t="inlineStr">
        <is>
          <t>ORLEN Południe S.A.,  Trzebinia, Poland</t>
        </is>
      </c>
      <c r="B86" t="inlineStr">
        <is>
          <t>Processing Unit, Trader</t>
        </is>
      </c>
      <c r="C86" t="inlineStr">
        <is>
          <t>Bureau Veritas Polska Sp. z o.o., Warsaw, PL</t>
        </is>
      </c>
      <c r="D86" t="inlineStr">
        <is>
          <t>04.08.2027</t>
        </is>
      </c>
      <c r="E86" t="inlineStr">
        <is>
          <t>Poland</t>
        </is>
      </c>
    </row>
    <row r="87">
      <c r="A87" t="inlineStr">
        <is>
          <t>Sandakan Edible Oils Sdn. Bhd.,  Sandakan, Malaysia</t>
        </is>
      </c>
      <c r="B87" t="inlineStr">
        <is>
          <t>Point of Origin, Trader with Storage, Processing Unit, Warehouse</t>
        </is>
      </c>
      <c r="C87" t="inlineStr">
        <is>
          <t>ASG Cert GmbH, Munich, DE</t>
        </is>
      </c>
      <c r="D87" t="inlineStr">
        <is>
          <t>04.08.2027</t>
        </is>
      </c>
      <c r="E87" t="inlineStr">
        <is>
          <t>Malaysia</t>
        </is>
      </c>
    </row>
    <row r="88">
      <c r="A88" t="inlineStr">
        <is>
          <t>TSH-Wilmar Sdn Bhd,  Kunak, Malaysia</t>
        </is>
      </c>
      <c r="B88" t="inlineStr">
        <is>
          <t>Point of Origin, Processing Unit, Trader with Storage, Warehouse</t>
        </is>
      </c>
      <c r="C88" t="inlineStr">
        <is>
          <t>ASG Cert GmbH, Munich, DE</t>
        </is>
      </c>
      <c r="D88" t="inlineStr">
        <is>
          <t>04.08.2027</t>
        </is>
      </c>
      <c r="E88" t="inlineStr">
        <is>
          <t>Malaysia</t>
        </is>
      </c>
    </row>
    <row r="89">
      <c r="A89" t="inlineStr">
        <is>
          <t>S.T. Agrochem Kft.,  Dabas, Hungary</t>
        </is>
      </c>
      <c r="B89" t="inlineStr">
        <is>
          <t>First Gathering Point, Trader with Storage</t>
        </is>
      </c>
      <c r="C89" t="inlineStr">
        <is>
          <t>Bureau Veritas Polska Sp. z o.o., Warsaw, PL</t>
        </is>
      </c>
      <c r="D89" t="inlineStr">
        <is>
          <t>04.08.2027</t>
        </is>
      </c>
      <c r="E89" t="inlineStr">
        <is>
          <t>Hungary</t>
        </is>
      </c>
    </row>
    <row r="90">
      <c r="A90" t="inlineStr">
        <is>
          <t>Sabahmas Plantations Sdn. Bhd.,  Lahad Datu, Malaysia</t>
        </is>
      </c>
      <c r="B90" t="inlineStr">
        <is>
          <t>Point of Origin</t>
        </is>
      </c>
      <c r="C90" t="inlineStr">
        <is>
          <t>Trans Certification and Inspection Sdn Bhd, Kuantan, MY</t>
        </is>
      </c>
      <c r="D90" t="inlineStr">
        <is>
          <t>04.08.2027</t>
        </is>
      </c>
      <c r="E90" t="inlineStr">
        <is>
          <t>Malaysia</t>
        </is>
      </c>
    </row>
    <row r="91">
      <c r="A91" t="inlineStr">
        <is>
          <t>Sapi Plantations Sdn. Bhd.,  Sandakan, Malaysia</t>
        </is>
      </c>
      <c r="B91" t="inlineStr">
        <is>
          <t>Point of Origin</t>
        </is>
      </c>
      <c r="C91" t="inlineStr">
        <is>
          <t>Trans Certification and Inspection Sdn Bhd, Kuantan, MY</t>
        </is>
      </c>
      <c r="D91" t="inlineStr">
        <is>
          <t>04.08.2027</t>
        </is>
      </c>
      <c r="E91" t="inlineStr">
        <is>
          <t>Malaysia</t>
        </is>
      </c>
    </row>
    <row r="92">
      <c r="A92" t="inlineStr">
        <is>
          <t>Reka Halus Sdn Bhd (Reka Halus POM),  Sandakan, Sabah, Malaysia</t>
        </is>
      </c>
      <c r="B92" t="inlineStr">
        <is>
          <t>Point of Origin</t>
        </is>
      </c>
      <c r="C92" t="inlineStr">
        <is>
          <t>Trans Certification and Inspection Sdn Bhd, Kuantan, MY</t>
        </is>
      </c>
      <c r="D92" t="inlineStr">
        <is>
          <t>04.08.2027</t>
        </is>
      </c>
      <c r="E92" t="inlineStr">
        <is>
          <t>Malaysia</t>
        </is>
      </c>
    </row>
    <row r="93">
      <c r="A93" t="inlineStr">
        <is>
          <t>Sapi Plantations Sdn. Bhd.,  Sandakan, Sabah, Malaysia</t>
        </is>
      </c>
      <c r="B93" t="inlineStr">
        <is>
          <t>Point of Origin</t>
        </is>
      </c>
      <c r="C93" t="inlineStr">
        <is>
          <t>Trans Certification and Inspection Sdn Bhd, Kuantan, MY</t>
        </is>
      </c>
      <c r="D93" t="inlineStr">
        <is>
          <t>04.08.2027</t>
        </is>
      </c>
      <c r="E93" t="inlineStr">
        <is>
          <t>Malaysia</t>
        </is>
      </c>
    </row>
    <row r="94">
      <c r="A94" t="inlineStr">
        <is>
          <t>Sabahmas Plantations Sdn. Bhd.,  Sandakan, Malaysia</t>
        </is>
      </c>
      <c r="B94" t="inlineStr">
        <is>
          <t>Point of Origin</t>
        </is>
      </c>
      <c r="C94" t="inlineStr">
        <is>
          <t>Trans Certification and Inspection Sdn Bhd, Kuantan, MY</t>
        </is>
      </c>
      <c r="D94" t="inlineStr">
        <is>
          <t>04.08.2027</t>
        </is>
      </c>
      <c r="E94" t="inlineStr">
        <is>
          <t>Malaysia</t>
        </is>
      </c>
    </row>
    <row r="95">
      <c r="A95" t="inlineStr">
        <is>
          <t>JUSHI GROUP CO., LTD,  Tongxiang City, Zhejiang Province, China</t>
        </is>
      </c>
      <c r="B95" t="inlineStr">
        <is>
          <t>Collecting Point, Processing Unit</t>
        </is>
      </c>
      <c r="C95" t="inlineStr">
        <is>
          <t>SCS Global Services, Emeryville, CA, US</t>
        </is>
      </c>
      <c r="D95" t="inlineStr">
        <is>
          <t>04.08.2027</t>
        </is>
      </c>
      <c r="E95" t="inlineStr">
        <is>
          <t>China</t>
        </is>
      </c>
    </row>
    <row r="96">
      <c r="A96" t="inlineStr">
        <is>
          <t>Vexcel Pack Co.,Ltd.,  Rayong, Thailand</t>
        </is>
      </c>
      <c r="B96" t="inlineStr">
        <is>
          <t>Processing Unit</t>
        </is>
      </c>
      <c r="C96" t="inlineStr">
        <is>
          <t>PT Intertek Utama Services, Jakarta, ID</t>
        </is>
      </c>
      <c r="D96" t="inlineStr">
        <is>
          <t>04.08.2027</t>
        </is>
      </c>
      <c r="E96" t="inlineStr">
        <is>
          <t>Thailand</t>
        </is>
      </c>
    </row>
    <row r="97">
      <c r="A97" t="inlineStr">
        <is>
          <t>Sri Kamusan Sdn Bhd (Sri Kamusan POM),  Sandakan, Malaysia</t>
        </is>
      </c>
      <c r="B97" t="inlineStr">
        <is>
          <t>Point of Origin</t>
        </is>
      </c>
      <c r="C97" t="inlineStr">
        <is>
          <t>Trans Certification and Inspection Sdn Bhd, Kuantan, MY</t>
        </is>
      </c>
      <c r="D97" t="inlineStr">
        <is>
          <t>04.08.2027</t>
        </is>
      </c>
      <c r="E97" t="inlineStr">
        <is>
          <t>Malaysia</t>
        </is>
      </c>
    </row>
    <row r="98">
      <c r="A98" t="inlineStr">
        <is>
          <t>Wellmark Plastics,  Asheboro, NC, The United States of America</t>
        </is>
      </c>
      <c r="B98" t="inlineStr">
        <is>
          <t>Collecting Point, Processing Unit</t>
        </is>
      </c>
      <c r="C98" t="inlineStr">
        <is>
          <t>SCS Global Services, Emeryville, CA, US</t>
        </is>
      </c>
      <c r="D98" t="inlineStr">
        <is>
          <t>04.08.2027</t>
        </is>
      </c>
      <c r="E98" t="inlineStr">
        <is>
          <t>The United States of America</t>
        </is>
      </c>
    </row>
    <row r="99">
      <c r="A99" t="inlineStr">
        <is>
          <t>2 Degrees Clicon Pvt Ltd,  Kondapur Mandal, India</t>
        </is>
      </c>
      <c r="B99" t="inlineStr">
        <is>
          <t>Collecting Point, Processing Unit</t>
        </is>
      </c>
      <c r="C99" t="inlineStr">
        <is>
          <t>ISOQAR Ltd, Stretford, Manchester, GB</t>
        </is>
      </c>
      <c r="D99" t="inlineStr">
        <is>
          <t>04.08.2027</t>
        </is>
      </c>
      <c r="E99" t="inlineStr">
        <is>
          <t>India</t>
        </is>
      </c>
    </row>
    <row r="100">
      <c r="A100" t="inlineStr">
        <is>
          <t>G-3 Chickadee Purchaser, LLC,  Beaumont, The United States of America</t>
        </is>
      </c>
      <c r="B100" t="inlineStr">
        <is>
          <t>Processing Unit</t>
        </is>
      </c>
      <c r="C100" t="inlineStr">
        <is>
          <t>SCS Global Services, Emeryville, CA, US</t>
        </is>
      </c>
      <c r="D100" t="inlineStr">
        <is>
          <t>04.08.2027</t>
        </is>
      </c>
      <c r="E100" t="inlineStr">
        <is>
          <t>The United States of America</t>
        </is>
      </c>
    </row>
    <row r="101">
      <c r="A101" t="inlineStr">
        <is>
          <t>Seil Corporation LTD,  Seoul, The Republic of Korea</t>
        </is>
      </c>
      <c r="B101" t="inlineStr">
        <is>
          <t>Trader</t>
        </is>
      </c>
      <c r="C101" t="inlineStr">
        <is>
          <t>Control Union Certifications Germany GmbH, Berlin, DE</t>
        </is>
      </c>
      <c r="D101" t="inlineStr">
        <is>
          <t>04.08.2027</t>
        </is>
      </c>
      <c r="E101" t="inlineStr">
        <is>
          <t>The Republic of Korea</t>
        </is>
      </c>
    </row>
    <row r="102">
      <c r="A102" t="inlineStr">
        <is>
          <t>Jiangsu Shajiang Chemical Fiber Co.,Ltd.,  Suqian City,Jiangsu Province, China</t>
        </is>
      </c>
      <c r="B102" t="inlineStr">
        <is>
          <t>Processing Unit</t>
        </is>
      </c>
      <c r="C102" t="inlineStr">
        <is>
          <t>DIN CERTCO GmbH, Berlin, DE</t>
        </is>
      </c>
      <c r="D102" t="inlineStr">
        <is>
          <t>04.08.2027</t>
        </is>
      </c>
      <c r="E102" t="inlineStr">
        <is>
          <t>China</t>
        </is>
      </c>
    </row>
    <row r="103">
      <c r="A103" t="inlineStr">
        <is>
          <t>optimal media,  Röbel / Müritz, Germany</t>
        </is>
      </c>
      <c r="B103" t="inlineStr">
        <is>
          <t>Processing Unit, Final Product Refinement</t>
        </is>
      </c>
      <c r="C103" t="inlineStr">
        <is>
          <t>DIN CERTCO GmbH, Berlin, DE</t>
        </is>
      </c>
      <c r="D103" t="inlineStr">
        <is>
          <t>04.08.2027</t>
        </is>
      </c>
      <c r="E103" t="inlineStr">
        <is>
          <t>Germany</t>
        </is>
      </c>
    </row>
    <row r="104">
      <c r="A104" t="inlineStr">
        <is>
          <t>Winpak LTD,  Winnipeg, Canada</t>
        </is>
      </c>
      <c r="B104" t="inlineStr">
        <is>
          <t>Processing Unit</t>
        </is>
      </c>
      <c r="C104" t="inlineStr">
        <is>
          <t>SCS Global Services, Emeryville, CA, US</t>
        </is>
      </c>
      <c r="D104" t="inlineStr">
        <is>
          <t>04.08.2027</t>
        </is>
      </c>
      <c r="E104" t="inlineStr">
        <is>
          <t>Canada</t>
        </is>
      </c>
    </row>
    <row r="105">
      <c r="A105" t="inlineStr">
        <is>
          <t>UAB "Aruodas plius",  Joniškis, Lithuania</t>
        </is>
      </c>
      <c r="B105" t="inlineStr">
        <is>
          <t>First Gathering Point, Trader with Storage</t>
        </is>
      </c>
      <c r="C105" t="inlineStr">
        <is>
          <t>BM Certification, Riga, LV</t>
        </is>
      </c>
      <c r="D105" t="inlineStr">
        <is>
          <t>04.08.2027</t>
        </is>
      </c>
      <c r="E105" t="inlineStr">
        <is>
          <t>Lithuania</t>
        </is>
      </c>
    </row>
    <row r="106">
      <c r="A106" t="inlineStr">
        <is>
          <t>Ács Gabona Kft.,  Jászárokszállás, Hungary</t>
        </is>
      </c>
      <c r="B106" t="inlineStr">
        <is>
          <t>First Gathering Point, Trader with Storage</t>
        </is>
      </c>
      <c r="C106" t="inlineStr">
        <is>
          <t>BM Certification, Riga, LV</t>
        </is>
      </c>
      <c r="D106" t="inlineStr">
        <is>
          <t>04.08.2027</t>
        </is>
      </c>
      <c r="E106" t="inlineStr">
        <is>
          <t>Hungary</t>
        </is>
      </c>
    </row>
    <row r="107">
      <c r="A107" t="inlineStr">
        <is>
          <t>Gabona és Társa Kft.,  Székesfehérvár, Hungary</t>
        </is>
      </c>
      <c r="B107" t="inlineStr">
        <is>
          <t>First Gathering Point, Trader with Storage</t>
        </is>
      </c>
      <c r="C107" t="inlineStr">
        <is>
          <t>BM Certification, Riga, LV</t>
        </is>
      </c>
      <c r="D107" t="inlineStr">
        <is>
          <t>04.08.2027</t>
        </is>
      </c>
      <c r="E107" t="inlineStr">
        <is>
          <t>Hungary</t>
        </is>
      </c>
    </row>
    <row r="108">
      <c r="A108" t="inlineStr">
        <is>
          <t>Feijter-Granen B.V.,  Sas van Gent, The Netherlands</t>
        </is>
      </c>
      <c r="B108" t="inlineStr">
        <is>
          <t>Collecting Point, Trader with Storage</t>
        </is>
      </c>
      <c r="C108" t="inlineStr">
        <is>
          <t>Normec QS BV, Ede, NL</t>
        </is>
      </c>
      <c r="D108" t="inlineStr">
        <is>
          <t>04.08.2027</t>
        </is>
      </c>
      <c r="E108" t="inlineStr">
        <is>
          <t>The Netherlands</t>
        </is>
      </c>
    </row>
    <row r="109">
      <c r="A109" t="inlineStr">
        <is>
          <t>Kooperatyvas "Šiauliu aruodas",  Šiaulių r.sav., Lithuania</t>
        </is>
      </c>
      <c r="B109" t="inlineStr">
        <is>
          <t>First Gathering Point, Trader with Storage</t>
        </is>
      </c>
      <c r="C109" t="inlineStr">
        <is>
          <t>BM Certification, Riga, LV</t>
        </is>
      </c>
      <c r="D109" t="inlineStr">
        <is>
          <t>04.08.2027</t>
        </is>
      </c>
      <c r="E109" t="inlineStr">
        <is>
          <t>Lithuania</t>
        </is>
      </c>
    </row>
    <row r="110">
      <c r="A110" t="inlineStr">
        <is>
          <t>Yakult Honsha Co., Ltd.,  Sunto-gun, Shizuoka, Japan</t>
        </is>
      </c>
      <c r="B110" t="inlineStr">
        <is>
          <t>Final Product Refinement, Processing Unit</t>
        </is>
      </c>
      <c r="C110" t="inlineStr">
        <is>
          <t>SGS Germany GmbH, Emstek, DE</t>
        </is>
      </c>
      <c r="D110" t="inlineStr">
        <is>
          <t>04.08.2027</t>
        </is>
      </c>
      <c r="E110" t="inlineStr">
        <is>
          <t>Japan</t>
        </is>
      </c>
    </row>
    <row r="111">
      <c r="A111" t="inlineStr">
        <is>
          <t>Yakult Honsha Co., Ltd.,  Yotsukaido-shi, Chiba, Japan</t>
        </is>
      </c>
      <c r="B111" t="inlineStr">
        <is>
          <t>Final Product Refinement, Processing Unit</t>
        </is>
      </c>
      <c r="C111" t="inlineStr">
        <is>
          <t>SGS Germany GmbH, Emstek, DE</t>
        </is>
      </c>
      <c r="D111" t="inlineStr">
        <is>
          <t>04.08.2027</t>
        </is>
      </c>
      <c r="E111" t="inlineStr">
        <is>
          <t>Japan</t>
        </is>
      </c>
    </row>
    <row r="112">
      <c r="A112" t="inlineStr">
        <is>
          <t>VACMET INDIA LIMITED,  Mathura, India</t>
        </is>
      </c>
      <c r="B112" t="inlineStr">
        <is>
          <t>Collecting Point, Processing Unit</t>
        </is>
      </c>
      <c r="C112" t="inlineStr">
        <is>
          <t>Cotecna India Inspection Pvt Ltd, Kolkata, IN</t>
        </is>
      </c>
      <c r="D112" t="inlineStr">
        <is>
          <t>04.08.2027</t>
        </is>
      </c>
      <c r="E112" t="inlineStr">
        <is>
          <t>India</t>
        </is>
      </c>
    </row>
    <row r="113">
      <c r="A113" t="inlineStr">
        <is>
          <t>Guangdong Yaobang Environmental Protection Technology Co., Ltd.,  Huizhou, China</t>
        </is>
      </c>
      <c r="B113" t="inlineStr">
        <is>
          <t>Collecting Point, Processing Unit</t>
        </is>
      </c>
      <c r="C113" t="inlineStr">
        <is>
          <t>PT Intertek Utama Services, Jakarta, ID</t>
        </is>
      </c>
      <c r="D113" t="inlineStr">
        <is>
          <t>04.08.2027</t>
        </is>
      </c>
      <c r="E113" t="inlineStr">
        <is>
          <t>China</t>
        </is>
      </c>
    </row>
    <row r="114">
      <c r="A114" t="inlineStr">
        <is>
          <t>PT FAJAR AGRO SAWIT,  Kabupaten Langkat, Indonesia</t>
        </is>
      </c>
      <c r="B114" t="inlineStr">
        <is>
          <t>Point of Origin</t>
        </is>
      </c>
      <c r="C114" t="inlineStr">
        <is>
          <t>China Testing &amp; Certification International Group Co., Ltd., Beijing, CN</t>
        </is>
      </c>
      <c r="D114" t="inlineStr">
        <is>
          <t>04.08.2027</t>
        </is>
      </c>
      <c r="E114" t="inlineStr">
        <is>
          <t>Indonesia</t>
        </is>
      </c>
    </row>
    <row r="115">
      <c r="A115" t="inlineStr">
        <is>
          <t>OrganicTank B.V.,  Lemmer, The Netherlands</t>
        </is>
      </c>
      <c r="B115" t="inlineStr">
        <is>
          <t>Collecting Point, Trader</t>
        </is>
      </c>
      <c r="C115" t="inlineStr">
        <is>
          <t>DEKRA Certification B.V., Arnhem, NL</t>
        </is>
      </c>
      <c r="D115" t="inlineStr">
        <is>
          <t>04.08.2027</t>
        </is>
      </c>
      <c r="E115" t="inlineStr">
        <is>
          <t>The Netherlands</t>
        </is>
      </c>
    </row>
    <row r="116">
      <c r="A116" t="inlineStr">
        <is>
          <t>bioplus LNG GmbH,  Röthenbach an der Pegnitz;, Germany</t>
        </is>
      </c>
      <c r="B116" t="inlineStr">
        <is>
          <t>Processing Unit, Trader</t>
        </is>
      </c>
      <c r="C116" t="inlineStr">
        <is>
          <t>TÜV NORD CERT GmbH, Essen, DE</t>
        </is>
      </c>
      <c r="D116" t="inlineStr">
        <is>
          <t>04.08.2027</t>
        </is>
      </c>
      <c r="E116" t="inlineStr">
        <is>
          <t>Germany</t>
        </is>
      </c>
    </row>
    <row r="117">
      <c r="A117" t="inlineStr">
        <is>
          <t>Wepa Professional GmbH,  Arnsberg, Germany</t>
        </is>
      </c>
      <c r="B117" t="inlineStr">
        <is>
          <t>Trader</t>
        </is>
      </c>
      <c r="C117" t="inlineStr">
        <is>
          <t>DEKRA Certification B.V., Arnhem, NL</t>
        </is>
      </c>
      <c r="D117" t="inlineStr">
        <is>
          <t>04.08.2027</t>
        </is>
      </c>
      <c r="E117" t="inlineStr">
        <is>
          <t>Germany</t>
        </is>
      </c>
    </row>
    <row r="118">
      <c r="A118" t="inlineStr">
        <is>
          <t>WEPA Deutschland,  Arnsberg-Müschede, Germany</t>
        </is>
      </c>
      <c r="B118" t="inlineStr">
        <is>
          <t>Processing Unit</t>
        </is>
      </c>
      <c r="C118" t="inlineStr">
        <is>
          <t>DEKRA Certification B.V., Arnhem, NL</t>
        </is>
      </c>
      <c r="D118" t="inlineStr">
        <is>
          <t>04.08.2027</t>
        </is>
      </c>
      <c r="E118" t="inlineStr">
        <is>
          <t>Germany</t>
        </is>
      </c>
    </row>
    <row r="119">
      <c r="A119" t="inlineStr">
        <is>
          <t>LightMax Energy Pte Ltd,  Singapore, Singapore</t>
        </is>
      </c>
      <c r="B119" t="inlineStr">
        <is>
          <t>Trader with Storage</t>
        </is>
      </c>
      <c r="C119" t="inlineStr">
        <is>
          <t>PT. Qualitas Sertifikasi Indonesia, Jakarta, ID</t>
        </is>
      </c>
      <c r="D119" t="inlineStr">
        <is>
          <t>04.08.2027</t>
        </is>
      </c>
      <c r="E119" t="inlineStr">
        <is>
          <t>Singapore</t>
        </is>
      </c>
    </row>
    <row r="120">
      <c r="A120" t="inlineStr">
        <is>
          <t>LightMax Energy Pte Ltd,  Singapore, Singapore</t>
        </is>
      </c>
      <c r="B120" t="inlineStr">
        <is>
          <t>Trader with Storage</t>
        </is>
      </c>
      <c r="C120" t="inlineStr">
        <is>
          <t>PT. Qualitas Sertifikasi Indonesia, Jakarta, ID</t>
        </is>
      </c>
      <c r="D120" t="inlineStr">
        <is>
          <t>04.08.2027</t>
        </is>
      </c>
      <c r="E120" t="inlineStr">
        <is>
          <t>Singapore</t>
        </is>
      </c>
    </row>
    <row r="121">
      <c r="A121" t="inlineStr">
        <is>
          <t>GRAINTO,  Portillo de Toledo, Spain</t>
        </is>
      </c>
      <c r="B121" t="inlineStr">
        <is>
          <t>Point of Origin</t>
        </is>
      </c>
      <c r="C121" t="inlineStr">
        <is>
          <t>Amspec Iberia SL, Vilagarcia de Arousa-Pontevedra, ES</t>
        </is>
      </c>
      <c r="D121" t="inlineStr">
        <is>
          <t>04.08.2027</t>
        </is>
      </c>
      <c r="E121" t="inlineStr">
        <is>
          <t>Spain</t>
        </is>
      </c>
    </row>
    <row r="122">
      <c r="A122" t="inlineStr">
        <is>
          <t>LightMax Energy Pte Ltd,  Singapore, Singapore</t>
        </is>
      </c>
      <c r="B122" t="inlineStr">
        <is>
          <t>Trader with Storage</t>
        </is>
      </c>
      <c r="C122" t="inlineStr">
        <is>
          <t>PT. Qualitas Sertifikasi Indonesia, Jakarta, ID</t>
        </is>
      </c>
      <c r="D122" t="inlineStr">
        <is>
          <t>04.08.2027</t>
        </is>
      </c>
      <c r="E122" t="inlineStr">
        <is>
          <t>Singapore</t>
        </is>
      </c>
    </row>
    <row r="123">
      <c r="A123" t="inlineStr">
        <is>
          <t>LLC "OEP GRADOIL",  Kropyvnytskyi, Ukraine</t>
        </is>
      </c>
      <c r="B123" t="inlineStr">
        <is>
          <t>Processing Unit</t>
        </is>
      </c>
      <c r="C123" t="inlineStr">
        <is>
          <t>Organic Standard Ltd, Kyiv, UA</t>
        </is>
      </c>
      <c r="D123" t="inlineStr">
        <is>
          <t>04.08.2027</t>
        </is>
      </c>
      <c r="E123" t="inlineStr">
        <is>
          <t>Ukraine</t>
        </is>
      </c>
    </row>
    <row r="124">
      <c r="A124" t="inlineStr">
        <is>
          <t>Aspla - Plasticos Españoles, S.A.,  Reocín (Cantabria), Spain</t>
        </is>
      </c>
      <c r="B124" t="inlineStr">
        <is>
          <t>Processing Unit</t>
        </is>
      </c>
      <c r="C124" t="inlineStr">
        <is>
          <t>Amspec Iberia SL, Vilagarcia de Arousa-Pontevedra, ES</t>
        </is>
      </c>
      <c r="D124" t="inlineStr">
        <is>
          <t>04.08.2027</t>
        </is>
      </c>
      <c r="E124" t="inlineStr">
        <is>
          <t>Spain</t>
        </is>
      </c>
    </row>
    <row r="125">
      <c r="A125" t="inlineStr">
        <is>
          <t>Unilin SAS,  Bazeilles, France</t>
        </is>
      </c>
      <c r="B125" t="inlineStr">
        <is>
          <t>Collecting Point, Processing Unit</t>
        </is>
      </c>
      <c r="C125" t="inlineStr">
        <is>
          <t>SGS Germany GmbH, Emstek, DE</t>
        </is>
      </c>
      <c r="D125" t="inlineStr">
        <is>
          <t>04.08.2027</t>
        </is>
      </c>
      <c r="E125" t="inlineStr">
        <is>
          <t>France</t>
        </is>
      </c>
    </row>
    <row r="126">
      <c r="A126" t="inlineStr">
        <is>
          <t>Trinseo (Hong Kong) Limited,  Hong Kong, China</t>
        </is>
      </c>
      <c r="B126" t="inlineStr">
        <is>
          <t>Processing Unit, Trader with Storage</t>
        </is>
      </c>
      <c r="C126" t="inlineStr">
        <is>
          <t>SGS Germany GmbH, Emstek, DE</t>
        </is>
      </c>
      <c r="D126" t="inlineStr">
        <is>
          <t>04.08.2027</t>
        </is>
      </c>
      <c r="E126" t="inlineStr">
        <is>
          <t>China</t>
        </is>
      </c>
    </row>
    <row r="127">
      <c r="A127" t="inlineStr">
        <is>
          <t>Almagest EOOD,  Ihtiman District, Bulgaria</t>
        </is>
      </c>
      <c r="B127" t="inlineStr">
        <is>
          <t>First Gathering Point, Point of Origin, Processing Unit, Trader with Storage</t>
        </is>
      </c>
      <c r="C127" t="inlineStr">
        <is>
          <t>Bureau Veritas Polska Sp. z o.o., Warsaw, PL</t>
        </is>
      </c>
      <c r="D127" t="inlineStr">
        <is>
          <t>04.08.2027</t>
        </is>
      </c>
      <c r="E127" t="inlineStr">
        <is>
          <t>Bulgaria</t>
        </is>
      </c>
    </row>
    <row r="128">
      <c r="A128" t="inlineStr">
        <is>
          <t>Shell Canada Limited,  Fort Saskatchewan, Alberta, Canada</t>
        </is>
      </c>
      <c r="B128" t="inlineStr">
        <is>
          <t>Processing Unit</t>
        </is>
      </c>
      <c r="C128" t="inlineStr">
        <is>
          <t>SCS Global Services, Emeryville, CA, US</t>
        </is>
      </c>
      <c r="D128" t="inlineStr">
        <is>
          <t>04.08.2027</t>
        </is>
      </c>
      <c r="E128" t="inlineStr">
        <is>
          <t>Canada</t>
        </is>
      </c>
    </row>
    <row r="129">
      <c r="A129" t="inlineStr">
        <is>
          <t>Zhejiang Sun-Rain Industrial Co.,Ltd.,  Yuyao City, China</t>
        </is>
      </c>
      <c r="B129" t="inlineStr">
        <is>
          <t>Processing Unit</t>
        </is>
      </c>
      <c r="C129" t="inlineStr">
        <is>
          <t>SGS Germany GmbH, Emstek, DE</t>
        </is>
      </c>
      <c r="D129" t="inlineStr">
        <is>
          <t>04.08.2027</t>
        </is>
      </c>
      <c r="E129" t="inlineStr">
        <is>
          <t>China</t>
        </is>
      </c>
    </row>
    <row r="130">
      <c r="A130" t="inlineStr">
        <is>
          <t>RUBBOLI Società Agricola,  Cesena, Italy</t>
        </is>
      </c>
      <c r="B130" t="inlineStr">
        <is>
          <t>First Gathering Point, Processing Unit</t>
        </is>
      </c>
      <c r="C130" t="inlineStr">
        <is>
          <t>RINA Services S.p.A., Genova, IT</t>
        </is>
      </c>
      <c r="D130" t="inlineStr">
        <is>
          <t>04.08.2027</t>
        </is>
      </c>
      <c r="E130" t="inlineStr">
        <is>
          <t>Italy</t>
        </is>
      </c>
    </row>
    <row r="131">
      <c r="A131" t="inlineStr">
        <is>
          <t>FIBOPE Portuguesa - Filmes Biorientados SA,  Barqueiros, Portugal</t>
        </is>
      </c>
      <c r="B131" t="inlineStr">
        <is>
          <t>Processing Unit</t>
        </is>
      </c>
      <c r="C131" t="inlineStr">
        <is>
          <t>SGS Germany GmbH, Emstek, DE</t>
        </is>
      </c>
      <c r="D131" t="inlineStr">
        <is>
          <t>04.08.2027</t>
        </is>
      </c>
      <c r="E131" t="inlineStr">
        <is>
          <t>Portugal</t>
        </is>
      </c>
    </row>
    <row r="132">
      <c r="A132" t="inlineStr">
        <is>
          <t>Iliuta Expedition Srl,  Dragos Voda, Calarasi county, Romania</t>
        </is>
      </c>
      <c r="B132" t="inlineStr">
        <is>
          <t>First Gathering Point, Trader with Storage</t>
        </is>
      </c>
      <c r="C132" t="inlineStr">
        <is>
          <t>SRAC Cert SRL, Bucharest, RO</t>
        </is>
      </c>
      <c r="D132" t="inlineStr">
        <is>
          <t>04.08.2027</t>
        </is>
      </c>
      <c r="E132" t="inlineStr">
        <is>
          <t>Romania</t>
        </is>
      </c>
    </row>
    <row r="133">
      <c r="A133" t="inlineStr">
        <is>
          <t>Dezhou Rongguang Bio-Technology Co., Ltd.,  Decheng District, Dezhou City, Shandong Province, China</t>
        </is>
      </c>
      <c r="B133" t="inlineStr">
        <is>
          <t>Collecting Point, Trader with Storage</t>
        </is>
      </c>
      <c r="C133" t="inlineStr">
        <is>
          <t>SCS Global Services, Emeryville, CA, US</t>
        </is>
      </c>
      <c r="D133" t="inlineStr">
        <is>
          <t>03.08.2027</t>
        </is>
      </c>
      <c r="E133" t="inlineStr">
        <is>
          <t>China</t>
        </is>
      </c>
    </row>
    <row r="134">
      <c r="A134" t="inlineStr">
        <is>
          <t>As.I.P.O. Società Agricola Cooperativa,  Parma, Italy</t>
        </is>
      </c>
      <c r="B134" t="inlineStr">
        <is>
          <t>First Gathering Point, Trader</t>
        </is>
      </c>
      <c r="C134" t="inlineStr">
        <is>
          <t>SGS Germany GmbH, Emstek, DE</t>
        </is>
      </c>
      <c r="D134" t="inlineStr">
        <is>
          <t>03.08.2027</t>
        </is>
      </c>
      <c r="E134" t="inlineStr">
        <is>
          <t>Italy</t>
        </is>
      </c>
    </row>
    <row r="135">
      <c r="A135" t="inlineStr">
        <is>
          <t>Agrosem,  Kiev, Ukraine</t>
        </is>
      </c>
      <c r="B135" t="inlineStr">
        <is>
          <t>First Gathering Point, Trader with Storage</t>
        </is>
      </c>
      <c r="C135" t="inlineStr">
        <is>
          <t>Control Union Certifications Germany GmbH, Berlin, DE</t>
        </is>
      </c>
      <c r="D135" t="inlineStr">
        <is>
          <t>03.08.2027</t>
        </is>
      </c>
      <c r="E135" t="inlineStr">
        <is>
          <t>Ukraine</t>
        </is>
      </c>
    </row>
    <row r="136">
      <c r="A136" t="inlineStr">
        <is>
          <t>Advario Finland,  KOtka, Finland</t>
        </is>
      </c>
      <c r="B136" t="inlineStr">
        <is>
          <t>Warehouse</t>
        </is>
      </c>
      <c r="C136" t="inlineStr">
        <is>
          <t>DNV Business Assurance Sweden AB, Solna, SE</t>
        </is>
      </c>
      <c r="D136" t="inlineStr">
        <is>
          <t>03.08.2027</t>
        </is>
      </c>
      <c r="E136" t="inlineStr">
        <is>
          <t>Finland</t>
        </is>
      </c>
    </row>
    <row r="137">
      <c r="A137" t="inlineStr">
        <is>
          <t>Kalpana Agricultura Cooperativa Agricola,  Tudor Vladimirescu, Galati county, Romania</t>
        </is>
      </c>
      <c r="B137" t="inlineStr">
        <is>
          <t>First Gathering Point</t>
        </is>
      </c>
      <c r="C137" t="inlineStr">
        <is>
          <t>SRAC Cert SRL, Bucharest, RO</t>
        </is>
      </c>
      <c r="D137" t="inlineStr">
        <is>
          <t>03.08.2027</t>
        </is>
      </c>
      <c r="E137" t="inlineStr">
        <is>
          <t>Romania</t>
        </is>
      </c>
    </row>
    <row r="138">
      <c r="A138" t="inlineStr">
        <is>
          <t>Ravensburger Karton, s.r.o.,  Polička, Czech Republic</t>
        </is>
      </c>
      <c r="B138" t="inlineStr">
        <is>
          <t>Final Product Refinement, Processing Unit, Warehouse</t>
        </is>
      </c>
      <c r="C138" t="inlineStr">
        <is>
          <t>PT Intertek Utama Services, Jakarta, ID</t>
        </is>
      </c>
      <c r="D138" t="inlineStr">
        <is>
          <t>03.08.2027</t>
        </is>
      </c>
      <c r="E138" t="inlineStr">
        <is>
          <t>Czech Republic</t>
        </is>
      </c>
    </row>
    <row r="139">
      <c r="A139" t="inlineStr">
        <is>
          <t>PetroChina International (Hainan) Company Limited,  Haikou City, Hainan Province, China</t>
        </is>
      </c>
      <c r="B139" t="inlineStr">
        <is>
          <t>Trader</t>
        </is>
      </c>
      <c r="C139" t="inlineStr">
        <is>
          <t>SCS Global Services, Emeryville, CA, US</t>
        </is>
      </c>
      <c r="D139" t="inlineStr">
        <is>
          <t>03.08.2027</t>
        </is>
      </c>
      <c r="E139" t="inlineStr">
        <is>
          <t>China</t>
        </is>
      </c>
    </row>
    <row r="140">
      <c r="A140" t="inlineStr">
        <is>
          <t>PetroChina International (Hainan) Company Limited,  Haikou City, Hainan Province, China</t>
        </is>
      </c>
      <c r="B140" t="inlineStr">
        <is>
          <t>Trader with Storage</t>
        </is>
      </c>
      <c r="C140" t="inlineStr">
        <is>
          <t>SCS Global Services, Emeryville, CA, US</t>
        </is>
      </c>
      <c r="D140" t="inlineStr">
        <is>
          <t>03.08.2027</t>
        </is>
      </c>
      <c r="E140" t="inlineStr">
        <is>
          <t>China</t>
        </is>
      </c>
    </row>
    <row r="141">
      <c r="A141" t="inlineStr">
        <is>
          <t>China National Aviation Fuel Limited Ezhou Branch,  Ezhou City, China</t>
        </is>
      </c>
      <c r="B141" t="inlineStr">
        <is>
          <t>Trader with Storage</t>
        </is>
      </c>
      <c r="C141" t="inlineStr">
        <is>
          <t>China Quality Certification Centre Co., Ltd., Beijing, CN</t>
        </is>
      </c>
      <c r="D141" t="inlineStr">
        <is>
          <t>03.08.2027</t>
        </is>
      </c>
      <c r="E141" t="inlineStr">
        <is>
          <t>China</t>
        </is>
      </c>
    </row>
    <row r="142">
      <c r="A142" t="inlineStr">
        <is>
          <t>Dzvin,  Zvynyach, Chortkiv district, Ternopil region, Ukraine</t>
        </is>
      </c>
      <c r="B142" t="inlineStr">
        <is>
          <t>Farm / Plantation</t>
        </is>
      </c>
      <c r="C142" t="inlineStr">
        <is>
          <t>Apex Genelab LLC, Odessa, UA</t>
        </is>
      </c>
      <c r="D142" t="inlineStr">
        <is>
          <t>03.08.2027</t>
        </is>
      </c>
      <c r="E142" t="inlineStr">
        <is>
          <t>Ukraine</t>
        </is>
      </c>
    </row>
    <row r="143">
      <c r="A143" t="inlineStr">
        <is>
          <t>Sunflower s.r.o.,  Dunajská Streda, Slovakia</t>
        </is>
      </c>
      <c r="B143" t="inlineStr">
        <is>
          <t>First Gathering Point, Trader</t>
        </is>
      </c>
      <c r="C143" t="inlineStr">
        <is>
          <t>Bureau Veritas Polska Sp. z o.o., Warsaw, PL</t>
        </is>
      </c>
      <c r="D143" t="inlineStr">
        <is>
          <t>03.08.2027</t>
        </is>
      </c>
      <c r="E143" t="inlineStr">
        <is>
          <t>Slovakia</t>
        </is>
      </c>
    </row>
    <row r="144">
      <c r="A144" t="inlineStr">
        <is>
          <t>INVISTA Polypropylene LLC,  Longview, Texas, United States</t>
        </is>
      </c>
      <c r="B144" t="inlineStr">
        <is>
          <t>Processing Unit</t>
        </is>
      </c>
      <c r="C144" t="inlineStr">
        <is>
          <t>SCS Global Services, Emeryville, CA, US</t>
        </is>
      </c>
      <c r="D144" t="inlineStr">
        <is>
          <t>03.08.2027</t>
        </is>
      </c>
      <c r="E144" t="inlineStr">
        <is>
          <t>United States</t>
        </is>
      </c>
    </row>
    <row r="145">
      <c r="A145" t="inlineStr">
        <is>
          <t>F.J. Sánchez Sucesores, S.A.U.,  Carboneras (Almeria), Spain</t>
        </is>
      </c>
      <c r="B145" t="inlineStr">
        <is>
          <t>Point of Origin, Processing Unit, Trader with Storage</t>
        </is>
      </c>
      <c r="C145" t="inlineStr">
        <is>
          <t>Control Union Poland Sp. z o.o., Zielona Gora, PL</t>
        </is>
      </c>
      <c r="D145" t="inlineStr">
        <is>
          <t>03.08.2027</t>
        </is>
      </c>
      <c r="E145" t="inlineStr">
        <is>
          <t>Spain</t>
        </is>
      </c>
    </row>
    <row r="146">
      <c r="A146" t="inlineStr">
        <is>
          <t>Rakosmenti Innova Kft.,  Budapest, Hungary</t>
        </is>
      </c>
      <c r="B146" t="inlineStr">
        <is>
          <t>First Gathering Point, Trader</t>
        </is>
      </c>
      <c r="C146" t="inlineStr">
        <is>
          <t>United Registrar of Systems Polska Sp. z o.o., Wrocław, PL</t>
        </is>
      </c>
      <c r="D146" t="inlineStr">
        <is>
          <t>03.08.2027</t>
        </is>
      </c>
      <c r="E146" t="inlineStr">
        <is>
          <t>Hungary</t>
        </is>
      </c>
    </row>
    <row r="147">
      <c r="A147" t="inlineStr">
        <is>
          <t>Orinso Nederland B.V.,  Veghel, The Netherlands</t>
        </is>
      </c>
      <c r="B147" t="inlineStr">
        <is>
          <t>Collecting Point, Trader with Storage</t>
        </is>
      </c>
      <c r="C147" t="inlineStr">
        <is>
          <t>DEKRA Certification B.V., Arnhem, NL</t>
        </is>
      </c>
      <c r="D147" t="inlineStr">
        <is>
          <t>03.08.2027</t>
        </is>
      </c>
      <c r="E147" t="inlineStr">
        <is>
          <t>The Netherlands</t>
        </is>
      </c>
    </row>
    <row r="148">
      <c r="A148" t="inlineStr">
        <is>
          <t>Terra-Central Kft.,  Sárbogárd, Hungary</t>
        </is>
      </c>
      <c r="B148" t="inlineStr">
        <is>
          <t>First Gathering Point, Trader with Storage</t>
        </is>
      </c>
      <c r="C148" t="inlineStr">
        <is>
          <t>BM Certification, Riga, LV</t>
        </is>
      </c>
      <c r="D148" t="inlineStr">
        <is>
          <t>03.08.2027</t>
        </is>
      </c>
      <c r="E148" t="inlineStr">
        <is>
          <t>Hungary</t>
        </is>
      </c>
    </row>
    <row r="149">
      <c r="A149" t="inlineStr">
        <is>
          <t>Winpak Inc.,  Winnipeg, Manitoba, Canada</t>
        </is>
      </c>
      <c r="B149" t="inlineStr">
        <is>
          <t>Trader with Storage</t>
        </is>
      </c>
      <c r="C149" t="inlineStr">
        <is>
          <t>SCS Global Services, Emeryville, CA, US</t>
        </is>
      </c>
      <c r="D149" t="inlineStr">
        <is>
          <t>03.08.2027</t>
        </is>
      </c>
      <c r="E149" t="inlineStr">
        <is>
          <t>Canada</t>
        </is>
      </c>
    </row>
    <row r="150">
      <c r="A150" t="inlineStr">
        <is>
          <t>SC COPDAT IMPEX SRL,  PIATRA, Romania</t>
        </is>
      </c>
      <c r="B150" t="inlineStr">
        <is>
          <t>First Gathering Point</t>
        </is>
      </c>
      <c r="C150" t="inlineStr">
        <is>
          <t>BM Certification, Riga, LV</t>
        </is>
      </c>
      <c r="D150" t="inlineStr">
        <is>
          <t>03.08.2027</t>
        </is>
      </c>
      <c r="E150" t="inlineStr">
        <is>
          <t>Romania</t>
        </is>
      </c>
    </row>
    <row r="151">
      <c r="A151" t="inlineStr">
        <is>
          <t>Clark's Oils,  Newcastle upon Tyne, The United Kingdom</t>
        </is>
      </c>
      <c r="B151" t="inlineStr">
        <is>
          <t>Collecting Point</t>
        </is>
      </c>
      <c r="C151" t="inlineStr">
        <is>
          <t>SGS Germany GmbH, Emstek, DE</t>
        </is>
      </c>
      <c r="D151" t="inlineStr">
        <is>
          <t>03.08.2027</t>
        </is>
      </c>
      <c r="E151" t="inlineStr">
        <is>
          <t>The United Kingdom</t>
        </is>
      </c>
    </row>
    <row r="152">
      <c r="A152" t="inlineStr">
        <is>
          <t>SamBound New Material Technology Packaging Limited,  Dongguan City，Guangdong Province, China</t>
        </is>
      </c>
      <c r="B152" t="inlineStr">
        <is>
          <t>Processing Unit</t>
        </is>
      </c>
      <c r="C152" t="inlineStr">
        <is>
          <t>SGS Germany GmbH, Emstek, DE</t>
        </is>
      </c>
      <c r="D152" t="inlineStr">
        <is>
          <t>03.08.2027</t>
        </is>
      </c>
      <c r="E152" t="inlineStr">
        <is>
          <t>China</t>
        </is>
      </c>
    </row>
    <row r="153">
      <c r="A153" t="inlineStr">
        <is>
          <t>Shell Deutschland GmbH,  Wesseling, Germany</t>
        </is>
      </c>
      <c r="B153" t="inlineStr">
        <is>
          <t>MTBE plant, Processing Unit, Trader with Storage</t>
        </is>
      </c>
      <c r="C153" t="inlineStr">
        <is>
          <t>SGS Germany GmbH, Emstek, DE</t>
        </is>
      </c>
      <c r="D153" t="inlineStr">
        <is>
          <t>03.08.2027</t>
        </is>
      </c>
      <c r="E153" t="inlineStr">
        <is>
          <t>Germany</t>
        </is>
      </c>
    </row>
    <row r="154">
      <c r="A154" t="inlineStr">
        <is>
          <t>Shell Deutschland GmbH,  Wesseling, Germany</t>
        </is>
      </c>
      <c r="B154" t="inlineStr">
        <is>
          <t>MTBE plant, Processing Unit, Trader with Storage</t>
        </is>
      </c>
      <c r="C154" t="inlineStr">
        <is>
          <t>SGS Germany GmbH, Emstek, DE</t>
        </is>
      </c>
      <c r="D154" t="inlineStr">
        <is>
          <t>03.08.2027</t>
        </is>
      </c>
      <c r="E154" t="inlineStr">
        <is>
          <t>Germany</t>
        </is>
      </c>
    </row>
    <row r="155">
      <c r="A155" t="inlineStr">
        <is>
          <t>ADEKA FINE CHEMICAL (CHANGSHU) CO., LTD.,  Changshu, China</t>
        </is>
      </c>
      <c r="B155" t="inlineStr">
        <is>
          <t>Processing Unit</t>
        </is>
      </c>
      <c r="C155" t="inlineStr">
        <is>
          <t>SGS Germany GmbH, Emstek, DE</t>
        </is>
      </c>
      <c r="D155" t="inlineStr">
        <is>
          <t>03.08.2027</t>
        </is>
      </c>
      <c r="E155" t="inlineStr">
        <is>
          <t>China</t>
        </is>
      </c>
    </row>
    <row r="156">
      <c r="A156" t="inlineStr">
        <is>
          <t>Bridgestone Corporation,  Hikone-shi Shiga-ken, Japan</t>
        </is>
      </c>
      <c r="B156" t="inlineStr">
        <is>
          <t>Processing Unit</t>
        </is>
      </c>
      <c r="C156" t="inlineStr">
        <is>
          <t>SGS Germany GmbH, Emstek, DE</t>
        </is>
      </c>
      <c r="D156" t="inlineStr">
        <is>
          <t>03.08.2027</t>
        </is>
      </c>
      <c r="E156" t="inlineStr">
        <is>
          <t>Japan</t>
        </is>
      </c>
    </row>
    <row r="157">
      <c r="A157" t="inlineStr">
        <is>
          <t>SHENZHEN TOPVIEW EYEWEAR INDUSTRIAL CO., LTD,  Shenzhen City, Guangdong Province, China</t>
        </is>
      </c>
      <c r="B157" t="inlineStr">
        <is>
          <t>Processing Unit</t>
        </is>
      </c>
      <c r="C157" t="inlineStr">
        <is>
          <t>SCS Global Services, Emeryville, CA, US</t>
        </is>
      </c>
      <c r="D157" t="inlineStr">
        <is>
          <t>03.08.2027</t>
        </is>
      </c>
      <c r="E157" t="inlineStr">
        <is>
          <t>China</t>
        </is>
      </c>
    </row>
    <row r="158">
      <c r="A158" t="inlineStr">
        <is>
          <t>Titab Pac AB,  Norrköping, Sweden</t>
        </is>
      </c>
      <c r="B158" t="inlineStr">
        <is>
          <t>Final Product Refinement, Trader with Storage</t>
        </is>
      </c>
      <c r="C158" t="inlineStr">
        <is>
          <t>PT Intertek Utama Services, Jakarta, ID</t>
        </is>
      </c>
      <c r="D158" t="inlineStr">
        <is>
          <t>03.08.2027</t>
        </is>
      </c>
      <c r="E158" t="inlineStr">
        <is>
          <t>Sweden</t>
        </is>
      </c>
    </row>
    <row r="159">
      <c r="A159" t="inlineStr">
        <is>
          <t>AGRI EVENTUS OÜ,  HARJU MAAKOND, PUDISOO KULA, KUUSALU VALD, Estonia</t>
        </is>
      </c>
      <c r="B159" t="inlineStr">
        <is>
          <t>Trader</t>
        </is>
      </c>
      <c r="C159" t="inlineStr">
        <is>
          <t>NCS Estonia OÜ, Tallinn, EE</t>
        </is>
      </c>
      <c r="D159" t="inlineStr">
        <is>
          <t>03.08.2027</t>
        </is>
      </c>
      <c r="E159" t="inlineStr">
        <is>
          <t>Estonia</t>
        </is>
      </c>
    </row>
    <row r="160">
      <c r="A160" t="inlineStr">
        <is>
          <t>Sunflower s.r.o.,  Dunajská Streda, Slovakia</t>
        </is>
      </c>
      <c r="B160" t="inlineStr">
        <is>
          <t>First Gathering Point, Trader</t>
        </is>
      </c>
      <c r="C160" t="inlineStr">
        <is>
          <t>Bureau Veritas Polska Sp. z o.o., Warsaw, PL</t>
        </is>
      </c>
      <c r="D160" t="inlineStr">
        <is>
          <t>03.08.2027</t>
        </is>
      </c>
      <c r="E160" t="inlineStr">
        <is>
          <t>Slovakia</t>
        </is>
      </c>
    </row>
    <row r="161">
      <c r="A161" t="inlineStr">
        <is>
          <t>Anhui BBCA Biofiber CO.,Ltd,  Bengbu City,Anhui Province, China</t>
        </is>
      </c>
      <c r="B161" t="inlineStr">
        <is>
          <t>Processing Unit</t>
        </is>
      </c>
      <c r="C161" t="inlineStr">
        <is>
          <t>CTI Certification Co. Ltd, Shenzhen, CN</t>
        </is>
      </c>
      <c r="D161" t="inlineStr">
        <is>
          <t>03.08.2027</t>
        </is>
      </c>
      <c r="E161" t="inlineStr">
        <is>
          <t>China</t>
        </is>
      </c>
    </row>
    <row r="162">
      <c r="A162" t="inlineStr">
        <is>
          <t>WILD BEAR TECHNOLOGY CO., LTD,  TAOYUAN, Taiwan (Province of China)</t>
        </is>
      </c>
      <c r="B162" t="inlineStr">
        <is>
          <t>Processing Unit</t>
        </is>
      </c>
      <c r="C162" t="inlineStr">
        <is>
          <t>Bureau Veritas Polska Sp. z o.o., Warsaw, PL</t>
        </is>
      </c>
      <c r="D162" t="inlineStr">
        <is>
          <t>03.08.2027</t>
        </is>
      </c>
      <c r="E162" t="inlineStr">
        <is>
          <t>Taiwan (Province of China)</t>
        </is>
      </c>
    </row>
    <row r="163">
      <c r="A163" t="inlineStr">
        <is>
          <t>Jiangxi Guangyou Shoetown Footwear Co., Ltd.,  Nanchang, China</t>
        </is>
      </c>
      <c r="B163" t="inlineStr">
        <is>
          <t>Final Product Refinement, Processing Unit</t>
        </is>
      </c>
      <c r="C163" t="inlineStr">
        <is>
          <t>CTI Certification Co. Ltd, Shenzhen, CN</t>
        </is>
      </c>
      <c r="D163" t="inlineStr">
        <is>
          <t>03.08.2027</t>
        </is>
      </c>
      <c r="E163" t="inlineStr">
        <is>
          <t>China</t>
        </is>
      </c>
    </row>
    <row r="164">
      <c r="A164" t="inlineStr">
        <is>
          <t>LSM NEXTGEN,  ARAD, Romania</t>
        </is>
      </c>
      <c r="B164" t="inlineStr">
        <is>
          <t>First Gathering Point, Trader</t>
        </is>
      </c>
      <c r="C164" t="inlineStr">
        <is>
          <t>SGS Germany GmbH, Emstek, DE</t>
        </is>
      </c>
      <c r="D164" t="inlineStr">
        <is>
          <t>03.08.2027</t>
        </is>
      </c>
      <c r="E164" t="inlineStr">
        <is>
          <t>Romania</t>
        </is>
      </c>
    </row>
    <row r="165">
      <c r="A165" t="inlineStr">
        <is>
          <t>ROYAL CARBON BLACK PRIVATE LIMITED,  VILLAGE VANIVALI, Raigad, India</t>
        </is>
      </c>
      <c r="B165" t="inlineStr">
        <is>
          <t>Collecting Point, Trader with Storage, Processing Unit</t>
        </is>
      </c>
      <c r="C165" t="inlineStr">
        <is>
          <t>PT Intertek Utama Services, Jakarta, ID</t>
        </is>
      </c>
      <c r="D165" t="inlineStr">
        <is>
          <t>03.08.2027</t>
        </is>
      </c>
      <c r="E165" t="inlineStr">
        <is>
          <t>India</t>
        </is>
      </c>
    </row>
    <row r="166">
      <c r="A166" t="inlineStr">
        <is>
          <t>ROYAL CARBON BLACK PRIVATE LIMITED,  VILLAGE VANIVALI, Raigad, India</t>
        </is>
      </c>
      <c r="B166" t="inlineStr">
        <is>
          <t>Collecting Point, Processing Unit, Trader with Storage</t>
        </is>
      </c>
      <c r="C166" t="inlineStr">
        <is>
          <t>PT Intertek Utama Services, Jakarta, ID</t>
        </is>
      </c>
      <c r="D166" t="inlineStr">
        <is>
          <t>03.08.2027</t>
        </is>
      </c>
      <c r="E166" t="inlineStr">
        <is>
          <t>India</t>
        </is>
      </c>
    </row>
    <row r="167">
      <c r="A167" t="inlineStr">
        <is>
          <t>Prestagro Comimpex SRL,  Simand, Arad county, Romania</t>
        </is>
      </c>
      <c r="B167" t="inlineStr">
        <is>
          <t>First Gathering Point, Trader with Storage</t>
        </is>
      </c>
      <c r="C167" t="inlineStr">
        <is>
          <t>SRAC Cert SRL, Bucharest, RO</t>
        </is>
      </c>
      <c r="D167" t="inlineStr">
        <is>
          <t>03.08.2027</t>
        </is>
      </c>
      <c r="E167" t="inlineStr">
        <is>
          <t>Romania</t>
        </is>
      </c>
    </row>
    <row r="168">
      <c r="A168" t="inlineStr">
        <is>
          <t>FS Comercializacao de Etanol Ltda - ECE-SP,  São Paulo, Brazil</t>
        </is>
      </c>
      <c r="B168" t="inlineStr">
        <is>
          <t>Trader with Storage</t>
        </is>
      </c>
      <c r="C168" t="inlineStr">
        <is>
          <t>SCS Global Services, Emeryville, CA, US</t>
        </is>
      </c>
      <c r="D168" t="inlineStr">
        <is>
          <t>03.08.2027</t>
        </is>
      </c>
      <c r="E168" t="inlineStr">
        <is>
          <t>Brazil</t>
        </is>
      </c>
    </row>
    <row r="169">
      <c r="A169" t="inlineStr">
        <is>
          <t>FS Comercializacao de Etanol Ltda - ECE-SP,  São Paulo, Brazil</t>
        </is>
      </c>
      <c r="B169" t="inlineStr">
        <is>
          <t>Trader with Storage</t>
        </is>
      </c>
      <c r="C169" t="inlineStr">
        <is>
          <t>SCS Global Services, Emeryville, CA, US</t>
        </is>
      </c>
      <c r="D169" t="inlineStr">
        <is>
          <t>03.08.2027</t>
        </is>
      </c>
      <c r="E169" t="inlineStr">
        <is>
          <t>Brazil</t>
        </is>
      </c>
    </row>
    <row r="170">
      <c r="A170" t="inlineStr">
        <is>
          <t>FS Comercializacao de Etanol Ltda - ECE-SP,  São Paulo, Brazil</t>
        </is>
      </c>
      <c r="B170" t="inlineStr">
        <is>
          <t>Trader with Storage</t>
        </is>
      </c>
      <c r="C170" t="inlineStr">
        <is>
          <t>SCS Global Services, Emeryville, CA, US</t>
        </is>
      </c>
      <c r="D170" t="inlineStr">
        <is>
          <t>03.08.2027</t>
        </is>
      </c>
      <c r="E170" t="inlineStr">
        <is>
          <t>Brazil</t>
        </is>
      </c>
    </row>
    <row r="171">
      <c r="A171" t="inlineStr">
        <is>
          <t>Tradeon,  Geneva, Switzerland</t>
        </is>
      </c>
      <c r="B171" t="inlineStr">
        <is>
          <t>Trader</t>
        </is>
      </c>
      <c r="C171" t="inlineStr">
        <is>
          <t>SGS Germany GmbH, Emstek, DE</t>
        </is>
      </c>
      <c r="D171" t="inlineStr">
        <is>
          <t>03.08.2027</t>
        </is>
      </c>
      <c r="E171" t="inlineStr">
        <is>
          <t>Switzerland</t>
        </is>
      </c>
    </row>
    <row r="172">
      <c r="A172" t="inlineStr">
        <is>
          <t>UPL Limited,  VILLAGE DAHEDA TALUKA JHAGADIA, Bharuch, India</t>
        </is>
      </c>
      <c r="B172" t="inlineStr">
        <is>
          <t>Point of Origin, Processing Unit</t>
        </is>
      </c>
      <c r="C172" t="inlineStr">
        <is>
          <t>Cotecna India Inspection Pvt Ltd, Kolkata, IN</t>
        </is>
      </c>
      <c r="D172" t="inlineStr">
        <is>
          <t>03.08.2027</t>
        </is>
      </c>
      <c r="E172" t="inlineStr">
        <is>
          <t>India</t>
        </is>
      </c>
    </row>
    <row r="173">
      <c r="A173" t="inlineStr">
        <is>
          <t>Anqing Yizhimei Chemical Co., Ltd,  Anqing City, Anhui Province, China</t>
        </is>
      </c>
      <c r="B173" t="inlineStr">
        <is>
          <t>Collecting Point, Processing Unit, Trader</t>
        </is>
      </c>
      <c r="C173" t="inlineStr">
        <is>
          <t>SCS Global Services, Emeryville, CA, US</t>
        </is>
      </c>
      <c r="D173" t="inlineStr">
        <is>
          <t>02.08.2027</t>
        </is>
      </c>
      <c r="E173" t="inlineStr">
        <is>
          <t>China</t>
        </is>
      </c>
    </row>
    <row r="174">
      <c r="A174" t="inlineStr">
        <is>
          <t>Magnum Oils Ltd,  Goole, The United Kingdom</t>
        </is>
      </c>
      <c r="B174" t="inlineStr">
        <is>
          <t>Collecting Point</t>
        </is>
      </c>
      <c r="C174" t="inlineStr">
        <is>
          <t>Control Union Certifications Germany GmbH, Berlin, DE</t>
        </is>
      </c>
      <c r="D174" t="inlineStr">
        <is>
          <t>02.08.2027</t>
        </is>
      </c>
      <c r="E174" t="inlineStr">
        <is>
          <t>The United Kingdom</t>
        </is>
      </c>
    </row>
    <row r="175">
      <c r="A175" t="inlineStr">
        <is>
          <t>Cabot Plastics Belgium,  LONCIN, Belgium</t>
        </is>
      </c>
      <c r="B175" t="inlineStr">
        <is>
          <t>Processing Unit</t>
        </is>
      </c>
      <c r="C175" t="inlineStr">
        <is>
          <t>TÜV SÜD Industrie Service GmbH, München, DE</t>
        </is>
      </c>
      <c r="D175" t="inlineStr">
        <is>
          <t>02.08.2027</t>
        </is>
      </c>
      <c r="E175" t="inlineStr">
        <is>
          <t>Belgium</t>
        </is>
      </c>
    </row>
    <row r="176">
      <c r="A176" t="inlineStr">
        <is>
          <t>BFS Europe nv,  Oostrozebeke, Belgium</t>
        </is>
      </c>
      <c r="B176" t="inlineStr">
        <is>
          <t>Processing Unit</t>
        </is>
      </c>
      <c r="C176" t="inlineStr">
        <is>
          <t>Control Union Certifications Germany GmbH, Berlin, DE</t>
        </is>
      </c>
      <c r="D176" t="inlineStr">
        <is>
          <t>02.08.2027</t>
        </is>
      </c>
      <c r="E176" t="inlineStr">
        <is>
          <t>Belgium</t>
        </is>
      </c>
    </row>
    <row r="177">
      <c r="A177" t="inlineStr">
        <is>
          <t>AVIS ZERNOTRADE,  Bilovod village, Ukraine</t>
        </is>
      </c>
      <c r="B177" t="inlineStr">
        <is>
          <t>First Gathering Point</t>
        </is>
      </c>
      <c r="C177" t="inlineStr">
        <is>
          <t>Organic Standard Ltd, Kyiv, UA</t>
        </is>
      </c>
      <c r="D177" t="inlineStr">
        <is>
          <t>02.08.2027</t>
        </is>
      </c>
      <c r="E177" t="inlineStr">
        <is>
          <t>Ukraine</t>
        </is>
      </c>
    </row>
    <row r="178">
      <c r="A178" t="inlineStr">
        <is>
          <t>Benzene Co., Ltd.,  Zhongshan Dist., Taipei City, Taiwan (Province of China)</t>
        </is>
      </c>
      <c r="B178" t="inlineStr">
        <is>
          <t>Trader with Storage</t>
        </is>
      </c>
      <c r="C178" t="inlineStr">
        <is>
          <t>Bureau Veritas Polska Sp. z o.o., Warsaw, PL</t>
        </is>
      </c>
      <c r="D178" t="inlineStr">
        <is>
          <t>02.08.2027</t>
        </is>
      </c>
      <c r="E178" t="inlineStr">
        <is>
          <t>Taiwan (Province of China)</t>
        </is>
      </c>
    </row>
    <row r="179">
      <c r="A179" t="inlineStr">
        <is>
          <t>PETROL-TRADE Handelsgesellschaft m.b.H.,  VIENNA, Austria</t>
        </is>
      </c>
      <c r="B179" t="inlineStr">
        <is>
          <t>Trader</t>
        </is>
      </c>
      <c r="C179" t="inlineStr">
        <is>
          <t>agroVet GmbH, Enzersfeld, AT</t>
        </is>
      </c>
      <c r="D179" t="inlineStr">
        <is>
          <t>02.08.2027</t>
        </is>
      </c>
      <c r="E179" t="inlineStr">
        <is>
          <t>Austria</t>
        </is>
      </c>
    </row>
    <row r="180">
      <c r="A180" t="inlineStr">
        <is>
          <t>Rendac Icker GmbH &amp; Co. KG,  Belm-Icker, Germany</t>
        </is>
      </c>
      <c r="B180" t="inlineStr">
        <is>
          <t>Point of Origin</t>
        </is>
      </c>
      <c r="C180" t="inlineStr">
        <is>
          <t>DEKRA Certification B.V., Arnhem, NL</t>
        </is>
      </c>
      <c r="D180" t="inlineStr">
        <is>
          <t>02.08.2027</t>
        </is>
      </c>
      <c r="E180" t="inlineStr">
        <is>
          <t>Germany</t>
        </is>
      </c>
    </row>
    <row r="181">
      <c r="A181" t="inlineStr">
        <is>
          <t>Vitol Aviation Switzerland,  Rotterdam, The Netherlands</t>
        </is>
      </c>
      <c r="B181" t="inlineStr">
        <is>
          <t>Trader</t>
        </is>
      </c>
      <c r="C181" t="inlineStr">
        <is>
          <t>DEKRA Certification B.V., Arnhem, NL</t>
        </is>
      </c>
      <c r="D181" t="inlineStr">
        <is>
          <t>02.08.2027</t>
        </is>
      </c>
      <c r="E181" t="inlineStr">
        <is>
          <t>The Netherlands</t>
        </is>
      </c>
    </row>
    <row r="182">
      <c r="A182" t="inlineStr">
        <is>
          <t>Eni Natural Energies Kenya EPZ,  Chigato village, Bonje Kwale County, Kenya</t>
        </is>
      </c>
      <c r="B182" t="inlineStr">
        <is>
          <t>Processing Unit, Trader with Storage, Collecting Point</t>
        </is>
      </c>
      <c r="C182" t="inlineStr">
        <is>
          <t>RINA Services S.p.A., Genova, IT</t>
        </is>
      </c>
      <c r="D182" t="inlineStr">
        <is>
          <t>02.08.2027</t>
        </is>
      </c>
      <c r="E182" t="inlineStr">
        <is>
          <t>Kenya</t>
        </is>
      </c>
    </row>
    <row r="183">
      <c r="A183" t="inlineStr">
        <is>
          <t>PT Tunas Baru Lampung Tbk - Banyuasin Mill,  Kab. Banyuasin, Indonesia</t>
        </is>
      </c>
      <c r="B183" t="inlineStr">
        <is>
          <t>Point of Origin</t>
        </is>
      </c>
      <c r="C183" t="inlineStr">
        <is>
          <t>PT. Qualitas Sertifikasi Indonesia, Jakarta, ID</t>
        </is>
      </c>
      <c r="D183" t="inlineStr">
        <is>
          <t>02.08.2027</t>
        </is>
      </c>
      <c r="E183" t="inlineStr">
        <is>
          <t>Indonesia</t>
        </is>
      </c>
    </row>
    <row r="184">
      <c r="A184" t="inlineStr">
        <is>
          <t>Primagaz,  Tours Nord, France</t>
        </is>
      </c>
      <c r="B184" t="inlineStr">
        <is>
          <t>Trader with Storage</t>
        </is>
      </c>
      <c r="C184" t="inlineStr">
        <is>
          <t>SGS Germany GmbH, Emstek, DE</t>
        </is>
      </c>
      <c r="D184" t="inlineStr">
        <is>
          <t>02.08.2027</t>
        </is>
      </c>
      <c r="E184" t="inlineStr">
        <is>
          <t>France</t>
        </is>
      </c>
    </row>
    <row r="185">
      <c r="A185" t="inlineStr">
        <is>
          <t>Primagaz,  Tours Nord, France</t>
        </is>
      </c>
      <c r="B185" t="inlineStr">
        <is>
          <t>Trader with Storage</t>
        </is>
      </c>
      <c r="C185" t="inlineStr">
        <is>
          <t>SGS Germany GmbH, Emstek, DE</t>
        </is>
      </c>
      <c r="D185" t="inlineStr">
        <is>
          <t>02.08.2027</t>
        </is>
      </c>
      <c r="E185" t="inlineStr">
        <is>
          <t>France</t>
        </is>
      </c>
    </row>
    <row r="186">
      <c r="A186" t="inlineStr">
        <is>
          <t>WeTrade,  or. Soroca, Moldova</t>
        </is>
      </c>
      <c r="B186" t="inlineStr">
        <is>
          <t>First Gathering Point</t>
        </is>
      </c>
      <c r="C186" t="inlineStr">
        <is>
          <t>BM Certification, Riga, LV</t>
        </is>
      </c>
      <c r="D186" t="inlineStr">
        <is>
          <t>02.08.2027</t>
        </is>
      </c>
      <c r="E186" t="inlineStr">
        <is>
          <t>Moldova</t>
        </is>
      </c>
    </row>
    <row r="187">
      <c r="A187" t="inlineStr">
        <is>
          <t>Danamin Oil and Gas Trading,  Al Hassay, Bahrain</t>
        </is>
      </c>
      <c r="B187" t="inlineStr">
        <is>
          <t>Collecting Point, Trader with Storage</t>
        </is>
      </c>
      <c r="C187" t="inlineStr">
        <is>
          <t>PT TSI Sertifikasi Internasional, Jakarta Selatang, ID</t>
        </is>
      </c>
      <c r="D187" t="inlineStr">
        <is>
          <t>02.08.2027</t>
        </is>
      </c>
      <c r="E187" t="inlineStr">
        <is>
          <t>Bahrain</t>
        </is>
      </c>
    </row>
    <row r="188">
      <c r="A188" t="inlineStr">
        <is>
          <t>GREENERTIS TARRAGONA, S.L.U.,  TARRAGONA, Spain</t>
        </is>
      </c>
      <c r="B188" t="inlineStr">
        <is>
          <t>Collecting Point, Processing Unit</t>
        </is>
      </c>
      <c r="C188" t="inlineStr">
        <is>
          <t>Control Union Poland Sp. z o.o., Zielona Gora, PL</t>
        </is>
      </c>
      <c r="D188" t="inlineStr">
        <is>
          <t>02.08.2027</t>
        </is>
      </c>
      <c r="E188" t="inlineStr">
        <is>
          <t>Spain</t>
        </is>
      </c>
    </row>
    <row r="189">
      <c r="A189" t="inlineStr">
        <is>
          <t>ALPINE BIOFUELS COMPANY LIMITED,  Thu Duc City, Vietnam</t>
        </is>
      </c>
      <c r="B189" t="inlineStr">
        <is>
          <t>Collecting Point, Trader with Storage</t>
        </is>
      </c>
      <c r="C189" t="inlineStr">
        <is>
          <t>BM Certification, Riga, LV</t>
        </is>
      </c>
      <c r="D189" t="inlineStr">
        <is>
          <t>02.08.2027</t>
        </is>
      </c>
      <c r="E189" t="inlineStr">
        <is>
          <t>Vietnam</t>
        </is>
      </c>
    </row>
    <row r="190">
      <c r="A190" t="inlineStr">
        <is>
          <t>Nvalue,  Schindellegi SZ, Switzerland</t>
        </is>
      </c>
      <c r="B190" t="inlineStr">
        <is>
          <t>Trader</t>
        </is>
      </c>
      <c r="C190" t="inlineStr">
        <is>
          <t>TÜV NORD CERT GmbH, Essen, DE</t>
        </is>
      </c>
      <c r="D190" t="inlineStr">
        <is>
          <t>02.08.2027</t>
        </is>
      </c>
      <c r="E190" t="inlineStr">
        <is>
          <t>Switzerland</t>
        </is>
      </c>
    </row>
    <row r="191">
      <c r="A191" t="inlineStr">
        <is>
          <t>EnergiWay Logistics,  Tallin, Estonia</t>
        </is>
      </c>
      <c r="B191" t="inlineStr">
        <is>
          <t>Trader</t>
        </is>
      </c>
      <c r="C191" t="inlineStr">
        <is>
          <t>BM Certification, Riga, LV</t>
        </is>
      </c>
      <c r="D191" t="inlineStr">
        <is>
          <t>02.08.2027</t>
        </is>
      </c>
      <c r="E191" t="inlineStr">
        <is>
          <t>Estonia</t>
        </is>
      </c>
    </row>
    <row r="192">
      <c r="A192" t="inlineStr">
        <is>
          <t>Linyi Yidong Renewable Resources Co., Ltd,  Linyi City, Shandong Province, China</t>
        </is>
      </c>
      <c r="B192" t="inlineStr">
        <is>
          <t>Collecting Point, Processing Unit</t>
        </is>
      </c>
      <c r="C192" t="inlineStr">
        <is>
          <t>SCS Global Services, Emeryville, CA, US</t>
        </is>
      </c>
      <c r="D192" t="inlineStr">
        <is>
          <t>02.08.2027</t>
        </is>
      </c>
      <c r="E192" t="inlineStr">
        <is>
          <t>China</t>
        </is>
      </c>
    </row>
    <row r="193">
      <c r="A193" t="inlineStr">
        <is>
          <t>Valgroup Brasil II Indústria de Embalagens Flexíveis (MG2),  Itamonte, Minas Gerais, Brazil</t>
        </is>
      </c>
      <c r="B193" t="inlineStr">
        <is>
          <t>Processing Unit</t>
        </is>
      </c>
      <c r="C193" t="inlineStr">
        <is>
          <t>QIMA, Centro, Botucatu - SP, CEP, BR</t>
        </is>
      </c>
      <c r="D193" t="inlineStr">
        <is>
          <t>02.08.2027</t>
        </is>
      </c>
      <c r="E193" t="inlineStr">
        <is>
          <t>Brazil</t>
        </is>
      </c>
    </row>
    <row r="194">
      <c r="A194" t="inlineStr">
        <is>
          <t>Jlin Bio-energy(Yushu)CO.,LTD,  Wukeshu Town, Yushu City, Changchun City, China</t>
        </is>
      </c>
      <c r="B194" t="inlineStr">
        <is>
          <t>Point of Origin</t>
        </is>
      </c>
      <c r="C194" t="inlineStr">
        <is>
          <t>China Standard Conformity Assessment Co. Ltd, Beijing, CN</t>
        </is>
      </c>
      <c r="D194" t="inlineStr">
        <is>
          <t>02.08.2027</t>
        </is>
      </c>
      <c r="E194" t="inlineStr">
        <is>
          <t>China</t>
        </is>
      </c>
    </row>
    <row r="195">
      <c r="A195" t="inlineStr">
        <is>
          <t>VALGROUP BRASIL III INDUSTRIA DE EMBALAGENS PLASTICAS LTDA,  Lorena, Brazil</t>
        </is>
      </c>
      <c r="B195" t="inlineStr">
        <is>
          <t>Final Product Refinement</t>
        </is>
      </c>
      <c r="C195" t="inlineStr">
        <is>
          <t>QIMA, Centro, Botucatu - SP, CEP, BR</t>
        </is>
      </c>
      <c r="D195" t="inlineStr">
        <is>
          <t>02.08.2027</t>
        </is>
      </c>
      <c r="E195" t="inlineStr">
        <is>
          <t>Brazil</t>
        </is>
      </c>
    </row>
    <row r="196">
      <c r="A196" t="inlineStr">
        <is>
          <t>AGRIA SUISSE COMMODITIES SA,  Lausanne, Switzerland</t>
        </is>
      </c>
      <c r="B196" t="inlineStr">
        <is>
          <t>Trader</t>
        </is>
      </c>
      <c r="C196" t="inlineStr">
        <is>
          <t>Control Union Certifications Germany GmbH, Berlin, DE</t>
        </is>
      </c>
      <c r="D196" t="inlineStr">
        <is>
          <t>02.08.2027</t>
        </is>
      </c>
      <c r="E196" t="inlineStr">
        <is>
          <t>Switzerland</t>
        </is>
      </c>
    </row>
    <row r="197">
      <c r="A197" t="inlineStr">
        <is>
          <t>ARGONAUT VIISOARA COOPERATIVA AGRICOLA,  Viisoara village, Cobadin, Constanta county, Romania</t>
        </is>
      </c>
      <c r="B197" t="inlineStr">
        <is>
          <t>First Gathering Point</t>
        </is>
      </c>
      <c r="C197" t="inlineStr">
        <is>
          <t>SRAC Cert SRL, Bucharest, RO</t>
        </is>
      </c>
      <c r="D197" t="inlineStr">
        <is>
          <t>02.08.2027</t>
        </is>
      </c>
      <c r="E197" t="inlineStr">
        <is>
          <t>Romania</t>
        </is>
      </c>
    </row>
    <row r="198">
      <c r="A198" t="inlineStr">
        <is>
          <t>Benso Oil Palm Plantation,  Selkondi-Takoradi, Ghana</t>
        </is>
      </c>
      <c r="B198" t="inlineStr">
        <is>
          <t>Point of Origin</t>
        </is>
      </c>
      <c r="C198" t="inlineStr">
        <is>
          <t>Trans Certification and Inspection Sdn Bhd, Kuantan, MY</t>
        </is>
      </c>
      <c r="D198" t="inlineStr">
        <is>
          <t>02.08.2027</t>
        </is>
      </c>
      <c r="E198" t="inlineStr">
        <is>
          <t>Ghana</t>
        </is>
      </c>
    </row>
    <row r="199">
      <c r="A199" t="inlineStr">
        <is>
          <t>Thermal Renewables UK Limited,  Grimsby, The United Kingdom</t>
        </is>
      </c>
      <c r="B199" t="inlineStr">
        <is>
          <t>Collecting Point, Processing Unit</t>
        </is>
      </c>
      <c r="C199" t="inlineStr">
        <is>
          <t>Aardvark Certification Ltd, Wiveliscombe, Somerset, GB</t>
        </is>
      </c>
      <c r="D199" t="inlineStr">
        <is>
          <t>02.08.2027</t>
        </is>
      </c>
      <c r="E199" t="inlineStr">
        <is>
          <t>The United Kingdom</t>
        </is>
      </c>
    </row>
    <row r="200">
      <c r="A200" t="inlineStr">
        <is>
          <t>Thermal Renewables UK Limited,  Grimsby, The United Kingdom</t>
        </is>
      </c>
      <c r="B200" t="inlineStr">
        <is>
          <t>Collecting Point, Processing Unit</t>
        </is>
      </c>
      <c r="C200" t="inlineStr">
        <is>
          <t>Aardvark Certification Ltd, Wiveliscombe, Somerset, GB</t>
        </is>
      </c>
      <c r="D200" t="inlineStr">
        <is>
          <t>02.08.2027</t>
        </is>
      </c>
      <c r="E200" t="inlineStr">
        <is>
          <t>The United Kingdom</t>
        </is>
      </c>
    </row>
    <row r="201">
      <c r="A201" t="inlineStr">
        <is>
          <t>Senergho,  Hooglede-Gits, Belgium</t>
        </is>
      </c>
      <c r="B201" t="inlineStr">
        <is>
          <t>Collecting Point, Processing Unit</t>
        </is>
      </c>
      <c r="C201" t="inlineStr">
        <is>
          <t>Control Union Certifications Germany GmbH, Berlin, DE</t>
        </is>
      </c>
      <c r="D201" t="inlineStr">
        <is>
          <t>02.08.2027</t>
        </is>
      </c>
      <c r="E201" t="inlineStr">
        <is>
          <t>Belgium</t>
        </is>
      </c>
    </row>
    <row r="202">
      <c r="A202" t="inlineStr">
        <is>
          <t>JINDAL NYLON FILMS,  CESANO MADERNO, Italy</t>
        </is>
      </c>
      <c r="B202" t="inlineStr">
        <is>
          <t>Processing Unit</t>
        </is>
      </c>
      <c r="C202" t="inlineStr">
        <is>
          <t>RINA Services S.p.A., Genova, IT</t>
        </is>
      </c>
      <c r="D202" t="inlineStr">
        <is>
          <t>02.08.2027</t>
        </is>
      </c>
      <c r="E202" t="inlineStr">
        <is>
          <t>Italy</t>
        </is>
      </c>
    </row>
    <row r="203">
      <c r="A203" t="inlineStr">
        <is>
          <t>INN-FLEX,  SAN GIOVANNI AL NATISONE, Italy</t>
        </is>
      </c>
      <c r="B203" t="inlineStr">
        <is>
          <t>Processing Unit</t>
        </is>
      </c>
      <c r="C203" t="inlineStr">
        <is>
          <t>DNV Business Assurance Sweden AB, Solna, SE</t>
        </is>
      </c>
      <c r="D203" t="inlineStr">
        <is>
          <t>01.08.2027</t>
        </is>
      </c>
      <c r="E203" t="inlineStr">
        <is>
          <t>Italy</t>
        </is>
      </c>
    </row>
    <row r="204">
      <c r="A204" t="inlineStr">
        <is>
          <t>Energifabriken i Sverige AB,  Linköping, Sweden</t>
        </is>
      </c>
      <c r="B204" t="inlineStr">
        <is>
          <t>Trader with Storage</t>
        </is>
      </c>
      <c r="C204" t="inlineStr">
        <is>
          <t>DNV Business Assurance Sweden AB, Solna, SE</t>
        </is>
      </c>
      <c r="D204" t="inlineStr">
        <is>
          <t>01.08.2027</t>
        </is>
      </c>
      <c r="E204" t="inlineStr">
        <is>
          <t>Sweden</t>
        </is>
      </c>
    </row>
    <row r="205">
      <c r="A205" t="inlineStr">
        <is>
          <t>Long Yi Industrial (Vietnam) Co., LTD,  Ben Cat Ward , Ho Chi Minh City, Vietnam</t>
        </is>
      </c>
      <c r="B205" t="inlineStr">
        <is>
          <t>Processing Unit, Final Product Refinement, Trader with Storage</t>
        </is>
      </c>
      <c r="C205" t="inlineStr">
        <is>
          <t>China Quality Certification Centre Co., Ltd., Beijing, CN</t>
        </is>
      </c>
      <c r="D205" t="inlineStr">
        <is>
          <t>01.08.2027</t>
        </is>
      </c>
      <c r="E205" t="inlineStr">
        <is>
          <t>Vietnam</t>
        </is>
      </c>
    </row>
    <row r="206">
      <c r="A206" t="inlineStr">
        <is>
          <t>DIFEROIL,  Alvear, Argentina</t>
        </is>
      </c>
      <c r="B206" t="inlineStr">
        <is>
          <t>Collecting Point, Point of Origin, Processing Unit, Trader with Storage</t>
        </is>
      </c>
      <c r="C206" t="inlineStr">
        <is>
          <t>ASG Cert GmbH, Munich, DE</t>
        </is>
      </c>
      <c r="D206" t="inlineStr">
        <is>
          <t>01.08.2027</t>
        </is>
      </c>
      <c r="E206" t="inlineStr">
        <is>
          <t>Argentina</t>
        </is>
      </c>
    </row>
    <row r="207">
      <c r="A207" t="inlineStr">
        <is>
          <t>Syensqo Specialty Polymers Italy,  Bollate, MI, Italy</t>
        </is>
      </c>
      <c r="B207" t="inlineStr">
        <is>
          <t>Trader with Storage</t>
        </is>
      </c>
      <c r="C207" t="inlineStr">
        <is>
          <t>SCS Global Services, Emeryville, CA, US</t>
        </is>
      </c>
      <c r="D207" t="inlineStr">
        <is>
          <t>01.08.2027</t>
        </is>
      </c>
      <c r="E207" t="inlineStr">
        <is>
          <t>Italy</t>
        </is>
      </c>
    </row>
    <row r="208">
      <c r="A208" t="inlineStr">
        <is>
          <t>Syensqo Specialty Polymers Belgium,  Kallo-Beveren, Belgium</t>
        </is>
      </c>
      <c r="B208" t="inlineStr">
        <is>
          <t>Processing Unit</t>
        </is>
      </c>
      <c r="C208" t="inlineStr">
        <is>
          <t>SCS Global Services, Emeryville, CA, US</t>
        </is>
      </c>
      <c r="D208" t="inlineStr">
        <is>
          <t>01.08.2027</t>
        </is>
      </c>
      <c r="E208" t="inlineStr">
        <is>
          <t>Belgium</t>
        </is>
      </c>
    </row>
    <row r="209">
      <c r="A209" t="inlineStr">
        <is>
          <t>HOS Oil,  Surhuisterveen, The Netherlands</t>
        </is>
      </c>
      <c r="B209" t="inlineStr">
        <is>
          <t>Trader</t>
        </is>
      </c>
      <c r="C209" t="inlineStr">
        <is>
          <t>Normec QS BV, Ede, NL</t>
        </is>
      </c>
      <c r="D209" t="inlineStr">
        <is>
          <t>01.08.2027</t>
        </is>
      </c>
      <c r="E209" t="inlineStr">
        <is>
          <t>The Netherlands</t>
        </is>
      </c>
    </row>
    <row r="210">
      <c r="A210" t="inlineStr">
        <is>
          <t>PE "Lan-Oil Trade",  Lanivtsi, Ukraine</t>
        </is>
      </c>
      <c r="B210" t="inlineStr">
        <is>
          <t>First Gathering Point, Processing Unit</t>
        </is>
      </c>
      <c r="C210" t="inlineStr">
        <is>
          <t>Apex Genelab LLC, Odessa, UA</t>
        </is>
      </c>
      <c r="D210" t="inlineStr">
        <is>
          <t>01.08.2027</t>
        </is>
      </c>
      <c r="E210" t="inlineStr">
        <is>
          <t>Ukraine</t>
        </is>
      </c>
    </row>
    <row r="211">
      <c r="A211" t="inlineStr">
        <is>
          <t>Soloil Pitiusa SL,  Illes Baleares, Spain</t>
        </is>
      </c>
      <c r="B211" t="inlineStr">
        <is>
          <t>Collecting Point</t>
        </is>
      </c>
      <c r="C211" t="inlineStr">
        <is>
          <t>PT Intertek Utama Services, Jakarta, ID</t>
        </is>
      </c>
      <c r="D211" t="inlineStr">
        <is>
          <t>01.08.2027</t>
        </is>
      </c>
      <c r="E211" t="inlineStr">
        <is>
          <t>Spain</t>
        </is>
      </c>
    </row>
    <row r="212">
      <c r="A212" t="inlineStr">
        <is>
          <t>ECOPIG PROTEINS, S.L.,  Noblejas (Toledo), Spain</t>
        </is>
      </c>
      <c r="B212" t="inlineStr">
        <is>
          <t>Point of Origin</t>
        </is>
      </c>
      <c r="C212" t="inlineStr">
        <is>
          <t>Bureau Veritas Polska Sp. z o.o., Warsaw, PL</t>
        </is>
      </c>
      <c r="D212" t="inlineStr">
        <is>
          <t>01.08.2027</t>
        </is>
      </c>
      <c r="E212" t="inlineStr">
        <is>
          <t>Spain</t>
        </is>
      </c>
    </row>
    <row r="213">
      <c r="A213" t="inlineStr">
        <is>
          <t>INEOS Oxide,  Beveren - Kruibeke - Zwijndrecht, Belgium</t>
        </is>
      </c>
      <c r="B213" t="inlineStr">
        <is>
          <t>Processing Unit</t>
        </is>
      </c>
      <c r="C213" t="inlineStr">
        <is>
          <t>DNV Business Assurance Sweden AB, Solna, SE</t>
        </is>
      </c>
      <c r="D213" t="inlineStr">
        <is>
          <t>01.08.2027</t>
        </is>
      </c>
      <c r="E213" t="inlineStr">
        <is>
          <t>Belgium</t>
        </is>
      </c>
    </row>
    <row r="214">
      <c r="A214" t="inlineStr">
        <is>
          <t>PolyMirae Co.,Ltd (HQ),  Jung-gu, Seoul, The Republic of Korea</t>
        </is>
      </c>
      <c r="B214" t="inlineStr">
        <is>
          <t>Trader</t>
        </is>
      </c>
      <c r="C214" t="inlineStr">
        <is>
          <t>Control Union Certifications Germany GmbH, Berlin, DE</t>
        </is>
      </c>
      <c r="D214" t="inlineStr">
        <is>
          <t>01.08.2027</t>
        </is>
      </c>
      <c r="E214" t="inlineStr">
        <is>
          <t>The Republic of Korea</t>
        </is>
      </c>
    </row>
    <row r="215">
      <c r="A215" t="inlineStr">
        <is>
          <t>PolyMirae Co.Ltd (Yeosu Plant),  Yeosu-si, Jeollanam-do, The Republic of Korea</t>
        </is>
      </c>
      <c r="B215" t="inlineStr">
        <is>
          <t>Processing Unit</t>
        </is>
      </c>
      <c r="C215" t="inlineStr">
        <is>
          <t>Control Union Certifications Germany GmbH, Berlin, DE</t>
        </is>
      </c>
      <c r="D215" t="inlineStr">
        <is>
          <t>01.08.2027</t>
        </is>
      </c>
      <c r="E215" t="inlineStr">
        <is>
          <t>The Republic of Korea</t>
        </is>
      </c>
    </row>
    <row r="216">
      <c r="A216" t="inlineStr">
        <is>
          <t>VIDA Bioenergy Tilburg,  Tilburg, The Netherlands</t>
        </is>
      </c>
      <c r="B216" t="inlineStr">
        <is>
          <t>Collecting Point, Processing Unit, Trader with Storage</t>
        </is>
      </c>
      <c r="C216" t="inlineStr">
        <is>
          <t>Normec QS BV, Ede, NL</t>
        </is>
      </c>
      <c r="D216" t="inlineStr">
        <is>
          <t>01.08.2027</t>
        </is>
      </c>
      <c r="E216" t="inlineStr">
        <is>
          <t>The Netherlands</t>
        </is>
      </c>
    </row>
    <row r="217">
      <c r="A217" t="inlineStr">
        <is>
          <t>Limonta Sport S.p.A.,  Cologno al Serio, Italy</t>
        </is>
      </c>
      <c r="B217" t="inlineStr">
        <is>
          <t>Processing Unit</t>
        </is>
      </c>
      <c r="C217" t="inlineStr">
        <is>
          <t>SGS Germany GmbH, Emstek, DE</t>
        </is>
      </c>
      <c r="D217" t="inlineStr">
        <is>
          <t>01.08.2027</t>
        </is>
      </c>
      <c r="E217" t="inlineStr">
        <is>
          <t>Italy</t>
        </is>
      </c>
    </row>
    <row r="218">
      <c r="A218" t="inlineStr">
        <is>
          <t>DYKA B.V.,  Steenwijk, The Netherlands</t>
        </is>
      </c>
      <c r="B218" t="inlineStr">
        <is>
          <t>Processing Unit, Trader with Storage</t>
        </is>
      </c>
      <c r="C218" t="inlineStr">
        <is>
          <t>DEKRA Certification B.V., Arnhem, NL</t>
        </is>
      </c>
      <c r="D218" t="inlineStr">
        <is>
          <t>01.08.2027</t>
        </is>
      </c>
      <c r="E218" t="inlineStr">
        <is>
          <t>The Netherlands</t>
        </is>
      </c>
    </row>
    <row r="219">
      <c r="A219" t="inlineStr">
        <is>
          <t>Bítovka odbytové družstvo,  Klatovy, Czech Republic</t>
        </is>
      </c>
      <c r="B219" t="inlineStr">
        <is>
          <t>First Gathering Point</t>
        </is>
      </c>
      <c r="C219" t="inlineStr">
        <is>
          <t>SGS Germany GmbH, Emstek, DE</t>
        </is>
      </c>
      <c r="D219" t="inlineStr">
        <is>
          <t>01.08.2027</t>
        </is>
      </c>
      <c r="E219" t="inlineStr">
        <is>
          <t>Czech Republic</t>
        </is>
      </c>
    </row>
    <row r="220">
      <c r="A220" t="inlineStr">
        <is>
          <t>Bridgestone Corporation,  Nasushiobara-shi, Tochigi-ken, Japan</t>
        </is>
      </c>
      <c r="B220" t="inlineStr">
        <is>
          <t>Processing Unit</t>
        </is>
      </c>
      <c r="C220" t="inlineStr">
        <is>
          <t>SGS Germany GmbH, Emstek, DE</t>
        </is>
      </c>
      <c r="D220" t="inlineStr">
        <is>
          <t>01.08.2027</t>
        </is>
      </c>
      <c r="E220" t="inlineStr">
        <is>
          <t>Japan</t>
        </is>
      </c>
    </row>
    <row r="221">
      <c r="A221" t="inlineStr">
        <is>
          <t>Profit-Harvest,  Zaporizhzhia, Ukraine</t>
        </is>
      </c>
      <c r="B221" t="inlineStr">
        <is>
          <t>First Gathering Point</t>
        </is>
      </c>
      <c r="C221" t="inlineStr">
        <is>
          <t>Control Union Certifications Germany GmbH, Berlin, DE</t>
        </is>
      </c>
      <c r="D221" t="inlineStr">
        <is>
          <t>01.08.2027</t>
        </is>
      </c>
      <c r="E221" t="inlineStr">
        <is>
          <t>Ukraine</t>
        </is>
      </c>
    </row>
    <row r="222">
      <c r="A222" t="inlineStr">
        <is>
          <t>Saier Verpackungstechnik,  Alpirsbach, Germany</t>
        </is>
      </c>
      <c r="B222" t="inlineStr">
        <is>
          <t>Final Product Refinement, Processing Unit</t>
        </is>
      </c>
      <c r="C222" t="inlineStr">
        <is>
          <t>DQS CFS GmbH - Deutsche Gesellschaft für Nachhaltigkeit, Frankfurt am Main, DE</t>
        </is>
      </c>
      <c r="D222" t="inlineStr">
        <is>
          <t>01.08.2027</t>
        </is>
      </c>
      <c r="E222" t="inlineStr">
        <is>
          <t>Germany</t>
        </is>
      </c>
    </row>
    <row r="223">
      <c r="A223" t="inlineStr">
        <is>
          <t>BioGenoa-Serviços e Gestâo de Residuos,  Montijo, Portugal</t>
        </is>
      </c>
      <c r="B223" t="inlineStr">
        <is>
          <t>Collecting Point, Trader with Storage</t>
        </is>
      </c>
      <c r="C223" t="inlineStr">
        <is>
          <t>RINA Services S.p.A., Genova, IT</t>
        </is>
      </c>
      <c r="D223" t="inlineStr">
        <is>
          <t>01.08.2027</t>
        </is>
      </c>
      <c r="E223" t="inlineStr">
        <is>
          <t>Portugal</t>
        </is>
      </c>
    </row>
    <row r="224">
      <c r="A224" t="inlineStr">
        <is>
          <t>Abra,  Saulkrastu novads, Latvia</t>
        </is>
      </c>
      <c r="B224" t="inlineStr">
        <is>
          <t>First Gathering Point, Trader with Storage</t>
        </is>
      </c>
      <c r="C224" t="inlineStr">
        <is>
          <t>SGS Germany GmbH, Emstek, DE</t>
        </is>
      </c>
      <c r="D224" t="inlineStr">
        <is>
          <t>01.08.2027</t>
        </is>
      </c>
      <c r="E224" t="inlineStr">
        <is>
          <t>Latvia</t>
        </is>
      </c>
    </row>
    <row r="225">
      <c r="A225" t="inlineStr">
        <is>
          <t>"SZENT-IVÁNI GAZDÁK" Beszerző-, Értékesítő- és Gépszövetkezet,  Felsőszentiván, Hungary</t>
        </is>
      </c>
      <c r="B225" t="inlineStr">
        <is>
          <t>First Gathering Point</t>
        </is>
      </c>
      <c r="C225" t="inlineStr">
        <is>
          <t>Amspec Iberia SL, Vilagarcia de Arousa-Pontevedra, ES</t>
        </is>
      </c>
      <c r="D225" t="inlineStr">
        <is>
          <t>01.08.2027</t>
        </is>
      </c>
      <c r="E225" t="inlineStr">
        <is>
          <t>Hungary</t>
        </is>
      </c>
    </row>
    <row r="226">
      <c r="A226" t="inlineStr">
        <is>
          <t>Louis Dreyfus Company Bodaczów Sp. z o.o.,  Szczebrzeszyn, Poland</t>
        </is>
      </c>
      <c r="B226" t="inlineStr">
        <is>
          <t>Processing Unit</t>
        </is>
      </c>
      <c r="C226" t="inlineStr">
        <is>
          <t>Bureau Veritas Polska Sp. z o.o., Warsaw, PL</t>
        </is>
      </c>
      <c r="D226" t="inlineStr">
        <is>
          <t>01.08.2027</t>
        </is>
      </c>
      <c r="E226" t="inlineStr">
        <is>
          <t>Poland</t>
        </is>
      </c>
    </row>
    <row r="227">
      <c r="A227" t="inlineStr">
        <is>
          <t>Tangshan Jinlihai Bioenergy Co.,Ltd,  Tangshan City, Hebei Province, China</t>
        </is>
      </c>
      <c r="B227" t="inlineStr">
        <is>
          <t>Trader with Storage</t>
        </is>
      </c>
      <c r="C227" t="inlineStr">
        <is>
          <t>TÜV NORD CERT GmbH, Essen, DE</t>
        </is>
      </c>
      <c r="D227" t="inlineStr">
        <is>
          <t>31.07.2027</t>
        </is>
      </c>
      <c r="E227" t="inlineStr">
        <is>
          <t>China</t>
        </is>
      </c>
    </row>
    <row r="228">
      <c r="A228" t="inlineStr">
        <is>
          <t>Mallori Invest, SE,  Karviná, Czech Republic</t>
        </is>
      </c>
      <c r="B228" t="inlineStr">
        <is>
          <t>Trader with Storage</t>
        </is>
      </c>
      <c r="C228" t="inlineStr">
        <is>
          <t>Bureau Veritas Polska Sp. z o.o., Warsaw, PL</t>
        </is>
      </c>
      <c r="D228" t="inlineStr">
        <is>
          <t>31.07.2027</t>
        </is>
      </c>
      <c r="E228" t="inlineStr">
        <is>
          <t>Czech Republic</t>
        </is>
      </c>
    </row>
    <row r="229">
      <c r="A229" t="inlineStr">
        <is>
          <t>Everfuel Production Fredercia A/S,  Fredericia, Denmark</t>
        </is>
      </c>
      <c r="B229" t="inlineStr">
        <is>
          <t>Processing Unit</t>
        </is>
      </c>
      <c r="C229" t="inlineStr">
        <is>
          <t>Baltic Control Certification, Albertslund, DK</t>
        </is>
      </c>
      <c r="D229" t="inlineStr">
        <is>
          <t>31.07.2027</t>
        </is>
      </c>
      <c r="E229" t="inlineStr">
        <is>
          <t>Denmark</t>
        </is>
      </c>
    </row>
    <row r="230">
      <c r="A230" t="inlineStr">
        <is>
          <t>Aptar Radolfzell GmbH,  Radolfzell, Germany</t>
        </is>
      </c>
      <c r="B230" t="inlineStr">
        <is>
          <t>Final Product Refinement, Processing Unit, Trader with Storage</t>
        </is>
      </c>
      <c r="C230" t="inlineStr">
        <is>
          <t>IIP S.r.l., Monza, IT</t>
        </is>
      </c>
      <c r="D230" t="inlineStr">
        <is>
          <t>31.07.2027</t>
        </is>
      </c>
      <c r="E230" t="inlineStr">
        <is>
          <t>Germany</t>
        </is>
      </c>
    </row>
    <row r="231">
      <c r="A231" t="inlineStr">
        <is>
          <t>Valorcycle Innovations,  Auersthal, Austria</t>
        </is>
      </c>
      <c r="B231" t="inlineStr">
        <is>
          <t>Collecting Point, Trader with Storage, Warehouse</t>
        </is>
      </c>
      <c r="C231" t="inlineStr">
        <is>
          <t>PT Intertek Utama Services, Jakarta, ID</t>
        </is>
      </c>
      <c r="D231" t="inlineStr">
        <is>
          <t>31.07.2027</t>
        </is>
      </c>
      <c r="E231" t="inlineStr">
        <is>
          <t>Austria</t>
        </is>
      </c>
    </row>
    <row r="232">
      <c r="A232" t="inlineStr">
        <is>
          <t>Aptar Radolfzell GmbH,  Eigeltingen, Germany</t>
        </is>
      </c>
      <c r="B232" t="inlineStr">
        <is>
          <t>Final Product Refinement, Processing Unit, Trader with Storage</t>
        </is>
      </c>
      <c r="C232" t="inlineStr">
        <is>
          <t>IIP S.r.l., Monza, IT</t>
        </is>
      </c>
      <c r="D232" t="inlineStr">
        <is>
          <t>31.07.2027</t>
        </is>
      </c>
      <c r="E232" t="inlineStr">
        <is>
          <t>Germany</t>
        </is>
      </c>
    </row>
    <row r="233">
      <c r="A233" t="inlineStr">
        <is>
          <t>BIOENERGIAS AGROPECUARIAS S.A.,  ROSARIO, Argentina</t>
        </is>
      </c>
      <c r="B233" t="inlineStr">
        <is>
          <t>Trader</t>
        </is>
      </c>
      <c r="C233" t="inlineStr">
        <is>
          <t>Amspec Iberia SL, Vilagarcia de Arousa-Pontevedra, ES</t>
        </is>
      </c>
      <c r="D233" t="inlineStr">
        <is>
          <t>31.07.2027</t>
        </is>
      </c>
      <c r="E233" t="inlineStr">
        <is>
          <t>Argentina</t>
        </is>
      </c>
    </row>
    <row r="234">
      <c r="A234" t="inlineStr">
        <is>
          <t>Shanghai Qijie Environmental Protection Technology Co., Ltd,  Minhang District, Shanghai, China</t>
        </is>
      </c>
      <c r="B234" t="inlineStr">
        <is>
          <t>Trader</t>
        </is>
      </c>
      <c r="C234" t="inlineStr">
        <is>
          <t>RINA Services S.p.A., Genova, IT</t>
        </is>
      </c>
      <c r="D234" t="inlineStr">
        <is>
          <t>31.07.2027</t>
        </is>
      </c>
      <c r="E234" t="inlineStr">
        <is>
          <t>China</t>
        </is>
      </c>
    </row>
    <row r="235">
      <c r="A235" t="inlineStr">
        <is>
          <t>KIVO Plastic Verpakkingen BV,  Volendam, The Netherlands</t>
        </is>
      </c>
      <c r="B235" t="inlineStr">
        <is>
          <t>Processing Unit</t>
        </is>
      </c>
      <c r="C235" t="inlineStr">
        <is>
          <t>Normec QS BV, Ede, NL</t>
        </is>
      </c>
      <c r="D235" t="inlineStr">
        <is>
          <t>31.07.2027</t>
        </is>
      </c>
      <c r="E235" t="inlineStr">
        <is>
          <t>The Netherlands</t>
        </is>
      </c>
    </row>
    <row r="236">
      <c r="A236" t="inlineStr">
        <is>
          <t>Valero Energy (Ireland) Ltd,  Dublin, Ireland</t>
        </is>
      </c>
      <c r="B236" t="inlineStr">
        <is>
          <t>Trader with Storage, Proof of Compliance Trader</t>
        </is>
      </c>
      <c r="C236" t="inlineStr">
        <is>
          <t>PT Intertek Utama Services, Jakarta, ID</t>
        </is>
      </c>
      <c r="D236" t="inlineStr">
        <is>
          <t>31.07.2027</t>
        </is>
      </c>
      <c r="E236" t="inlineStr">
        <is>
          <t>Ireland</t>
        </is>
      </c>
    </row>
    <row r="237">
      <c r="A237" t="inlineStr">
        <is>
          <t>Saltagro a.s.,  Cesky Tesin, Czech Republic</t>
        </is>
      </c>
      <c r="B237" t="inlineStr">
        <is>
          <t>First Gathering Point, Trader</t>
        </is>
      </c>
      <c r="C237" t="inlineStr">
        <is>
          <t>TÜV SÜD Czech s.r.o., Praha 4, CZ</t>
        </is>
      </c>
      <c r="D237" t="inlineStr">
        <is>
          <t>31.07.2027</t>
        </is>
      </c>
      <c r="E237" t="inlineStr">
        <is>
          <t>Czech Republic</t>
        </is>
      </c>
    </row>
    <row r="238">
      <c r="A238" t="inlineStr">
        <is>
          <t>Saltagro a.s.,  Cesky Tesin, Czech Republic</t>
        </is>
      </c>
      <c r="B238" t="inlineStr">
        <is>
          <t>First Gathering Point, Trader</t>
        </is>
      </c>
      <c r="C238" t="inlineStr">
        <is>
          <t>TÜV SÜD Czech s.r.o., Praha 4, CZ</t>
        </is>
      </c>
      <c r="D238" t="inlineStr">
        <is>
          <t>31.07.2027</t>
        </is>
      </c>
      <c r="E238" t="inlineStr">
        <is>
          <t>Czech Republic</t>
        </is>
      </c>
    </row>
    <row r="239">
      <c r="A239" t="inlineStr">
        <is>
          <t>Ji 'an Xinxu New Energy Co., Ltd.,  Ji 'an City, Jiangxi Province, China</t>
        </is>
      </c>
      <c r="B239" t="inlineStr">
        <is>
          <t>Trader</t>
        </is>
      </c>
      <c r="C239" t="inlineStr">
        <is>
          <t>SCS Global Services, Emeryville, CA, US</t>
        </is>
      </c>
      <c r="D239" t="inlineStr">
        <is>
          <t>31.07.2027</t>
        </is>
      </c>
      <c r="E239" t="inlineStr">
        <is>
          <t>China</t>
        </is>
      </c>
    </row>
    <row r="240">
      <c r="A240" t="inlineStr">
        <is>
          <t>Genting Oil Mills (Sabah) Sdn Bhd - Genting Indah Oil Mill,  Tongod, Kota Kinabatangan, Malaysia</t>
        </is>
      </c>
      <c r="B240" t="inlineStr">
        <is>
          <t>First Gathering Point, Processing Unit</t>
        </is>
      </c>
      <c r="C240" t="inlineStr">
        <is>
          <t>Global Gateway Certifications Sdn Bhd, Ampang, MY</t>
        </is>
      </c>
      <c r="D240" t="inlineStr">
        <is>
          <t>31.07.2027</t>
        </is>
      </c>
      <c r="E240" t="inlineStr">
        <is>
          <t>Malaysia</t>
        </is>
      </c>
    </row>
    <row r="241">
      <c r="A241" t="inlineStr">
        <is>
          <t>Genting Oil Mills (Sabah) Sdn Bhd - Genting Jambongan Oil Mill,  Beluran, Malaysia</t>
        </is>
      </c>
      <c r="B241" t="inlineStr">
        <is>
          <t>First Gathering Point, Processing Unit</t>
        </is>
      </c>
      <c r="C241" t="inlineStr">
        <is>
          <t>PT Intertek Utama Services, Jakarta, ID</t>
        </is>
      </c>
      <c r="D241" t="inlineStr">
        <is>
          <t>31.07.2027</t>
        </is>
      </c>
      <c r="E241" t="inlineStr">
        <is>
          <t>Malaysia</t>
        </is>
      </c>
    </row>
    <row r="242">
      <c r="A242" t="inlineStr">
        <is>
          <t>Ngai Hing Hong Plastic Materials (Hong Kong) Ltd.,  Fotan, Shatin, NT, Hong Kong (SAR)</t>
        </is>
      </c>
      <c r="B242" t="inlineStr">
        <is>
          <t>Trader with Storage</t>
        </is>
      </c>
      <c r="C242" t="inlineStr">
        <is>
          <t>PT Intertek Utama Services, Jakarta, ID</t>
        </is>
      </c>
      <c r="D242" t="inlineStr">
        <is>
          <t>31.07.2027</t>
        </is>
      </c>
      <c r="E242" t="inlineStr">
        <is>
          <t>Hong Kong (SAR)</t>
        </is>
      </c>
    </row>
    <row r="243">
      <c r="A243" t="inlineStr">
        <is>
          <t>Profilplast Pipesystems BV,  Sittard, The Netherlands</t>
        </is>
      </c>
      <c r="B243" t="inlineStr">
        <is>
          <t>Trader with Storage</t>
        </is>
      </c>
      <c r="C243" t="inlineStr">
        <is>
          <t>Normec QS BV, Ede, NL</t>
        </is>
      </c>
      <c r="D243" t="inlineStr">
        <is>
          <t>31.07.2027</t>
        </is>
      </c>
      <c r="E243" t="inlineStr">
        <is>
          <t>The Netherlands</t>
        </is>
      </c>
    </row>
    <row r="244">
      <c r="A244" t="inlineStr">
        <is>
          <t>Jiangyin Xin’ancheng New Energy Co.,Ltd,  Jiangyin City, Jiangsu Province, China</t>
        </is>
      </c>
      <c r="B244" t="inlineStr">
        <is>
          <t>Collecting Point, Trader with Storage</t>
        </is>
      </c>
      <c r="C244" t="inlineStr">
        <is>
          <t>RINA Services S.p.A., Genova, IT</t>
        </is>
      </c>
      <c r="D244" t="inlineStr">
        <is>
          <t>31.07.2027</t>
        </is>
      </c>
      <c r="E244" t="inlineStr">
        <is>
          <t>China</t>
        </is>
      </c>
    </row>
    <row r="245">
      <c r="A245" t="inlineStr">
        <is>
          <t>Profilplast BV,  Sittard, The Netherlands</t>
        </is>
      </c>
      <c r="B245" t="inlineStr">
        <is>
          <t>Trader with Storage</t>
        </is>
      </c>
      <c r="C245" t="inlineStr">
        <is>
          <t>Normec QS BV, Ede, NL</t>
        </is>
      </c>
      <c r="D245" t="inlineStr">
        <is>
          <t>31.07.2027</t>
        </is>
      </c>
      <c r="E245" t="inlineStr">
        <is>
          <t>The Netherlands</t>
        </is>
      </c>
    </row>
    <row r="246">
      <c r="A246" t="inlineStr">
        <is>
          <t>UNICORE FUEL PTE LTD,  One Marina Boulevard, Singapore</t>
        </is>
      </c>
      <c r="B246" t="inlineStr">
        <is>
          <t>Trader, Proof of Compliance Trader</t>
        </is>
      </c>
      <c r="C246" t="inlineStr">
        <is>
          <t>Baltic Control Certification, Albertslund, DK</t>
        </is>
      </c>
      <c r="D246" t="inlineStr">
        <is>
          <t>31.07.2027</t>
        </is>
      </c>
      <c r="E246" t="inlineStr">
        <is>
          <t>Singapore</t>
        </is>
      </c>
    </row>
    <row r="247">
      <c r="A247" t="inlineStr">
        <is>
          <t>Suppleo (Taiwan) Ltd.,  Taipei, Taiwan (Province of China)</t>
        </is>
      </c>
      <c r="B247" t="inlineStr">
        <is>
          <t>Trader</t>
        </is>
      </c>
      <c r="C247" t="inlineStr">
        <is>
          <t>Baltic Control Certification, Albertslund, DK</t>
        </is>
      </c>
      <c r="D247" t="inlineStr">
        <is>
          <t>31.07.2027</t>
        </is>
      </c>
      <c r="E247" t="inlineStr">
        <is>
          <t>Taiwan (Province of China)</t>
        </is>
      </c>
    </row>
    <row r="248">
      <c r="A248" t="inlineStr">
        <is>
          <t>NISAP CZ s.r.o.,  Hrádek nad Nisou, Czech Republic</t>
        </is>
      </c>
      <c r="B248" t="inlineStr">
        <is>
          <t>First Gathering Point, Trader with Storage</t>
        </is>
      </c>
      <c r="C248" t="inlineStr">
        <is>
          <t>Bureau Veritas Polska Sp. z o.o., Warsaw, PL</t>
        </is>
      </c>
      <c r="D248" t="inlineStr">
        <is>
          <t>31.07.2027</t>
        </is>
      </c>
      <c r="E248" t="inlineStr">
        <is>
          <t>Czech Republic</t>
        </is>
      </c>
    </row>
    <row r="249">
      <c r="A249" t="inlineStr">
        <is>
          <t>Sembrar Agropecuaria SA,  Franck, Argentina</t>
        </is>
      </c>
      <c r="B249" t="inlineStr">
        <is>
          <t>Point of Origin</t>
        </is>
      </c>
      <c r="C249" t="inlineStr">
        <is>
          <t>Amspec Iberia SL, Vilagarcia de Arousa-Pontevedra, ES</t>
        </is>
      </c>
      <c r="D249" t="inlineStr">
        <is>
          <t>31.07.2027</t>
        </is>
      </c>
      <c r="E249" t="inlineStr">
        <is>
          <t>Argentina</t>
        </is>
      </c>
    </row>
    <row r="250">
      <c r="A250" t="inlineStr">
        <is>
          <t>Orgamebo Trading,  Kapel-Avezaath, The Netherlands</t>
        </is>
      </c>
      <c r="B250" t="inlineStr">
        <is>
          <t>Collecting Point, Processing Unit, Trader with Storage</t>
        </is>
      </c>
      <c r="C250" t="inlineStr">
        <is>
          <t>Normec QS BV, Ede, NL</t>
        </is>
      </c>
      <c r="D250" t="inlineStr">
        <is>
          <t>31.07.2027</t>
        </is>
      </c>
      <c r="E250" t="inlineStr">
        <is>
          <t>The Netherlands</t>
        </is>
      </c>
    </row>
    <row r="251">
      <c r="A251" t="inlineStr">
        <is>
          <t>SYNERGY OIL NUSANTARA,  KOTA BATAM, Indonesia</t>
        </is>
      </c>
      <c r="B251" t="inlineStr">
        <is>
          <t>Point of Origin</t>
        </is>
      </c>
      <c r="C251" t="inlineStr">
        <is>
          <t>PT TUV Rheinland Indonesia, Jakarta, ID</t>
        </is>
      </c>
      <c r="D251" t="inlineStr">
        <is>
          <t>31.07.2027</t>
        </is>
      </c>
      <c r="E251" t="inlineStr">
        <is>
          <t>Indonesia</t>
        </is>
      </c>
    </row>
    <row r="252">
      <c r="A252" t="inlineStr">
        <is>
          <t>Cabot Brasil Indústria e Comércio,  Maua, São Paulo, Brazil</t>
        </is>
      </c>
      <c r="B252" t="inlineStr">
        <is>
          <t>Processing Unit</t>
        </is>
      </c>
      <c r="C252" t="inlineStr">
        <is>
          <t>QIMA, Centro, Botucatu - SP, CEP, BR</t>
        </is>
      </c>
      <c r="D252" t="inlineStr">
        <is>
          <t>31.07.2027</t>
        </is>
      </c>
      <c r="E252" t="inlineStr">
        <is>
          <t>Brazil</t>
        </is>
      </c>
    </row>
    <row r="253">
      <c r="A253" t="inlineStr">
        <is>
          <t>GLADES INTERNATIONAL CORPORATION,  BIÑAN, The Philippines</t>
        </is>
      </c>
      <c r="B253" t="inlineStr">
        <is>
          <t>Final Product Refinement, Processing Unit, Trader</t>
        </is>
      </c>
      <c r="C253" t="inlineStr">
        <is>
          <t>PT TUV Rheinland Indonesia, Jakarta, ID</t>
        </is>
      </c>
      <c r="D253" t="inlineStr">
        <is>
          <t>31.07.2027</t>
        </is>
      </c>
      <c r="E253" t="inlineStr">
        <is>
          <t>The Philippines</t>
        </is>
      </c>
    </row>
    <row r="254">
      <c r="A254" t="inlineStr">
        <is>
          <t>GLADES INTERNATIONAL CORPORATION,  Biñan City, The Philippines</t>
        </is>
      </c>
      <c r="B254" t="inlineStr">
        <is>
          <t>Final Product Refinement, Processing Unit, Trader</t>
        </is>
      </c>
      <c r="C254" t="inlineStr">
        <is>
          <t>PT TUV Rheinland Indonesia, Jakarta, ID</t>
        </is>
      </c>
      <c r="D254" t="inlineStr">
        <is>
          <t>31.07.2027</t>
        </is>
      </c>
      <c r="E254" t="inlineStr">
        <is>
          <t>The Philippines</t>
        </is>
      </c>
    </row>
    <row r="255">
      <c r="A255" t="inlineStr">
        <is>
          <t>VTN Gunzenhausen,  Gunzenhausen, Germany</t>
        </is>
      </c>
      <c r="B255" t="inlineStr">
        <is>
          <t>Point of Origin</t>
        </is>
      </c>
      <c r="C255" t="inlineStr">
        <is>
          <t>DEKRA Certification B.V., Arnhem, NL</t>
        </is>
      </c>
      <c r="D255" t="inlineStr">
        <is>
          <t>31.07.2027</t>
        </is>
      </c>
      <c r="E255" t="inlineStr">
        <is>
          <t>Germany</t>
        </is>
      </c>
    </row>
    <row r="256">
      <c r="A256" t="inlineStr">
        <is>
          <t>BIO-LNG Hub Amsterdam BV,  Amsterdam, The Netherlands</t>
        </is>
      </c>
      <c r="B256" t="inlineStr">
        <is>
          <t>Processing Unit, Trader</t>
        </is>
      </c>
      <c r="C256" t="inlineStr">
        <is>
          <t>Normec QS BV, Ede, NL</t>
        </is>
      </c>
      <c r="D256" t="inlineStr">
        <is>
          <t>31.07.2027</t>
        </is>
      </c>
      <c r="E256" t="inlineStr">
        <is>
          <t>The Netherlands</t>
        </is>
      </c>
    </row>
    <row r="257">
      <c r="A257" t="inlineStr">
        <is>
          <t>Shandong Chambroad Polyolefin Performance Materials Co., Ltd,  Boxing County, Binzhou City, China</t>
        </is>
      </c>
      <c r="B257" t="inlineStr">
        <is>
          <t>Processing Unit</t>
        </is>
      </c>
      <c r="C257" t="inlineStr">
        <is>
          <t>SGS Germany GmbH, Emstek, DE</t>
        </is>
      </c>
      <c r="D257" t="inlineStr">
        <is>
          <t>31.07.2027</t>
        </is>
      </c>
      <c r="E257" t="inlineStr">
        <is>
          <t>China</t>
        </is>
      </c>
    </row>
    <row r="258">
      <c r="A258" t="inlineStr">
        <is>
          <t>Antargaz Belgium,  Machelen, Belgium</t>
        </is>
      </c>
      <c r="B258" t="inlineStr">
        <is>
          <t>Trader with Storage</t>
        </is>
      </c>
      <c r="C258" t="inlineStr">
        <is>
          <t>Double Helix Tracking Technologies Pte Ltd, Singapore, SG</t>
        </is>
      </c>
      <c r="D258" t="inlineStr">
        <is>
          <t>31.07.2027</t>
        </is>
      </c>
      <c r="E258" t="inlineStr">
        <is>
          <t>Belgium</t>
        </is>
      </c>
    </row>
    <row r="259">
      <c r="A259" t="inlineStr">
        <is>
          <t>Antargaz Belgium,  Machelen, Belgium</t>
        </is>
      </c>
      <c r="B259" t="inlineStr">
        <is>
          <t>Trader with Storage</t>
        </is>
      </c>
      <c r="C259" t="inlineStr">
        <is>
          <t>Double Helix Tracking Technologies Pte Ltd, Singapore, SG</t>
        </is>
      </c>
      <c r="D259" t="inlineStr">
        <is>
          <t>31.07.2027</t>
        </is>
      </c>
      <c r="E259" t="inlineStr">
        <is>
          <t>Belgium</t>
        </is>
      </c>
    </row>
    <row r="260">
      <c r="A260" t="inlineStr">
        <is>
          <t>Shandong Chambroad Petrochemicals Co., Ltd.,  Bin Zhou, China</t>
        </is>
      </c>
      <c r="B260" t="inlineStr">
        <is>
          <t>Processing Unit</t>
        </is>
      </c>
      <c r="C260" t="inlineStr">
        <is>
          <t>SGS Germany GmbH, Emstek, DE</t>
        </is>
      </c>
      <c r="D260" t="inlineStr">
        <is>
          <t>31.07.2027</t>
        </is>
      </c>
      <c r="E260" t="inlineStr">
        <is>
          <t>China</t>
        </is>
      </c>
    </row>
    <row r="261">
      <c r="A261" t="inlineStr">
        <is>
          <t>Ilona Malom KFT,  Szolnok, Hungary</t>
        </is>
      </c>
      <c r="B261" t="inlineStr">
        <is>
          <t>First Gathering Point, Trader with Storage</t>
        </is>
      </c>
      <c r="C261" t="inlineStr">
        <is>
          <t>BM Certification, Riga, LV</t>
        </is>
      </c>
      <c r="D261" t="inlineStr">
        <is>
          <t>31.07.2027</t>
        </is>
      </c>
      <c r="E261" t="inlineStr">
        <is>
          <t>Hungary</t>
        </is>
      </c>
    </row>
    <row r="262">
      <c r="A262" t="inlineStr">
        <is>
          <t>Ecocyclic INC,  Winnie, United States</t>
        </is>
      </c>
      <c r="B262" t="inlineStr">
        <is>
          <t>Processing Unit</t>
        </is>
      </c>
      <c r="C262" t="inlineStr">
        <is>
          <t>SCS Global Services, Emeryville, CA, US</t>
        </is>
      </c>
      <c r="D262" t="inlineStr">
        <is>
          <t>31.07.2027</t>
        </is>
      </c>
      <c r="E262" t="inlineStr">
        <is>
          <t>United States</t>
        </is>
      </c>
    </row>
    <row r="263">
      <c r="A263" t="inlineStr">
        <is>
          <t>Jinhua Yinhe Biological Technology Co., Ltd,  Jinhua, China</t>
        </is>
      </c>
      <c r="B263" t="inlineStr">
        <is>
          <t>Processing Unit</t>
        </is>
      </c>
      <c r="C263" t="inlineStr">
        <is>
          <t>NSF International, Ann Arbor, MI, US</t>
        </is>
      </c>
      <c r="D263" t="inlineStr">
        <is>
          <t>31.07.2027</t>
        </is>
      </c>
      <c r="E263" t="inlineStr">
        <is>
          <t>China</t>
        </is>
      </c>
    </row>
    <row r="264">
      <c r="A264" t="inlineStr">
        <is>
          <t>Valorcycle Innovations,  Auersthal, Austria</t>
        </is>
      </c>
      <c r="B264" t="inlineStr">
        <is>
          <t>Collecting Point, Trader with Storage, Warehouse</t>
        </is>
      </c>
      <c r="C264" t="inlineStr">
        <is>
          <t>PT Intertek Utama Services, Jakarta, ID</t>
        </is>
      </c>
      <c r="D264" t="inlineStr">
        <is>
          <t>31.07.2027</t>
        </is>
      </c>
      <c r="E264" t="inlineStr">
        <is>
          <t>Austria</t>
        </is>
      </c>
    </row>
    <row r="265">
      <c r="A265" t="inlineStr">
        <is>
          <t>Servizi Agricoli Forestali Africa,  Nakuru District, Kenya</t>
        </is>
      </c>
      <c r="B265" t="inlineStr">
        <is>
          <t>First Gathering Point</t>
        </is>
      </c>
      <c r="C265" t="inlineStr">
        <is>
          <t>RINA Services S.p.A., Genova, IT</t>
        </is>
      </c>
      <c r="D265" t="inlineStr">
        <is>
          <t>31.07.2027</t>
        </is>
      </c>
      <c r="E265" t="inlineStr">
        <is>
          <t>Kenya</t>
        </is>
      </c>
    </row>
    <row r="266">
      <c r="A266" t="inlineStr">
        <is>
          <t>Louis Dreyfus Company Suisse S.A.,  Geneva, Switzerland</t>
        </is>
      </c>
      <c r="B266" t="inlineStr">
        <is>
          <t>First Gathering Point, Trader with Storage</t>
        </is>
      </c>
      <c r="C266" t="inlineStr">
        <is>
          <t>Control Union Certifications Germany GmbH, Berlin, DE</t>
        </is>
      </c>
      <c r="D266" t="inlineStr">
        <is>
          <t>30.07.2027</t>
        </is>
      </c>
      <c r="E266" t="inlineStr">
        <is>
          <t>Switzerland</t>
        </is>
      </c>
    </row>
    <row r="267">
      <c r="A267" t="inlineStr">
        <is>
          <t>Kobylka s.r.o.,  Brno, Czech Republic</t>
        </is>
      </c>
      <c r="B267" t="inlineStr">
        <is>
          <t>Collecting Point</t>
        </is>
      </c>
      <c r="C267" t="inlineStr">
        <is>
          <t>TÜV SÜD Czech s.r.o., Praha 4, CZ</t>
        </is>
      </c>
      <c r="D267" t="inlineStr">
        <is>
          <t>30.07.2027</t>
        </is>
      </c>
      <c r="E267" t="inlineStr">
        <is>
          <t>Czech Republic</t>
        </is>
      </c>
    </row>
    <row r="268">
      <c r="A268" t="inlineStr">
        <is>
          <t>PLI (Netherlands) B.V.,  Capelle aan den IJSSEL, The Netherlands</t>
        </is>
      </c>
      <c r="B268" t="inlineStr">
        <is>
          <t>Trader with Storage</t>
        </is>
      </c>
      <c r="C268" t="inlineStr">
        <is>
          <t>SGS Germany GmbH, Emstek, DE</t>
        </is>
      </c>
      <c r="D268" t="inlineStr">
        <is>
          <t>30.07.2027</t>
        </is>
      </c>
      <c r="E268" t="inlineStr">
        <is>
          <t>The Netherlands</t>
        </is>
      </c>
    </row>
    <row r="269">
      <c r="A269" t="inlineStr">
        <is>
          <t>TANGHE FENGTAI OIL TECHNOLOGY CO., LTD,  ZAOYANG CITY, HUBEI PROVINCE, China</t>
        </is>
      </c>
      <c r="B269" t="inlineStr">
        <is>
          <t>Collecting Point, Trader with Storage</t>
        </is>
      </c>
      <c r="C269" t="inlineStr">
        <is>
          <t>China Standard Conformity Assessment Co. Ltd, Beijing, CN</t>
        </is>
      </c>
      <c r="D269" t="inlineStr">
        <is>
          <t>30.07.2027</t>
        </is>
      </c>
      <c r="E269" t="inlineStr">
        <is>
          <t>China</t>
        </is>
      </c>
    </row>
    <row r="270">
      <c r="A270" t="inlineStr">
        <is>
          <t>PME BioLiquid GmbH,  Berlin, Germany</t>
        </is>
      </c>
      <c r="B270" t="inlineStr">
        <is>
          <t>Trader</t>
        </is>
      </c>
      <c r="C270" t="inlineStr">
        <is>
          <t>Global-Creative-Energy GmbH, Berlin, DE</t>
        </is>
      </c>
      <c r="D270" t="inlineStr">
        <is>
          <t>30.07.2027</t>
        </is>
      </c>
      <c r="E270" t="inlineStr">
        <is>
          <t>Germany</t>
        </is>
      </c>
    </row>
    <row r="271">
      <c r="A271" t="inlineStr">
        <is>
          <t>POSCO INTENATIONAL MALAYSIA SDN. BHD.,  Kuala Lumpur, Malaysia</t>
        </is>
      </c>
      <c r="B271" t="inlineStr">
        <is>
          <t>Trader</t>
        </is>
      </c>
      <c r="C271" t="inlineStr">
        <is>
          <t>Control Union Certifications Germany GmbH, Berlin, DE</t>
        </is>
      </c>
      <c r="D271" t="inlineStr">
        <is>
          <t>30.07.2027</t>
        </is>
      </c>
      <c r="E271" t="inlineStr">
        <is>
          <t>Malaysia</t>
        </is>
      </c>
    </row>
    <row r="272">
      <c r="A272" t="inlineStr">
        <is>
          <t>Cargill,  Eddyville, United States</t>
        </is>
      </c>
      <c r="B272" t="inlineStr">
        <is>
          <t>First Gathering Point, Processing Unit</t>
        </is>
      </c>
      <c r="C272" t="inlineStr">
        <is>
          <t>Control Union Poland Sp. z o.o., Zielona Gora, PL</t>
        </is>
      </c>
      <c r="D272" t="inlineStr">
        <is>
          <t>30.07.2027</t>
        </is>
      </c>
      <c r="E272" t="inlineStr">
        <is>
          <t>United States</t>
        </is>
      </c>
    </row>
    <row r="273">
      <c r="A273" t="inlineStr">
        <is>
          <t>Greenswitch S.r.l.,  Ferrandina, Italy</t>
        </is>
      </c>
      <c r="B273" t="inlineStr">
        <is>
          <t>Processing Unit</t>
        </is>
      </c>
      <c r="C273" t="inlineStr">
        <is>
          <t>RINA Services S.p.A., Genova, IT</t>
        </is>
      </c>
      <c r="D273" t="inlineStr">
        <is>
          <t>30.07.2027</t>
        </is>
      </c>
      <c r="E273" t="inlineStr">
        <is>
          <t>Italy</t>
        </is>
      </c>
    </row>
    <row r="274">
      <c r="A274" t="inlineStr">
        <is>
          <t>Celtic Renewables Grangemouth Ltd,  Grangemouth, The United Kingdom</t>
        </is>
      </c>
      <c r="B274" t="inlineStr">
        <is>
          <t>Collecting Point, Processing Unit</t>
        </is>
      </c>
      <c r="C274" t="inlineStr">
        <is>
          <t>Aardvark Certification Ltd, Wiveliscombe, Somerset, GB</t>
        </is>
      </c>
      <c r="D274" t="inlineStr">
        <is>
          <t>30.07.2027</t>
        </is>
      </c>
      <c r="E274" t="inlineStr">
        <is>
          <t>The United Kingdom</t>
        </is>
      </c>
    </row>
    <row r="275">
      <c r="A275" t="inlineStr">
        <is>
          <t>Celtic Renewables Grangemouth Ltd,  Grangemouth, The United Kingdom</t>
        </is>
      </c>
      <c r="B275" t="inlineStr">
        <is>
          <t>Collecting Point, Processing Unit</t>
        </is>
      </c>
      <c r="C275" t="inlineStr">
        <is>
          <t>Aardvark Certification Ltd, Wiveliscombe, Somerset, GB</t>
        </is>
      </c>
      <c r="D275" t="inlineStr">
        <is>
          <t>30.07.2027</t>
        </is>
      </c>
      <c r="E275" t="inlineStr">
        <is>
          <t>The United Kingdom</t>
        </is>
      </c>
    </row>
    <row r="276">
      <c r="A276" t="inlineStr">
        <is>
          <t>Fujian Jugang Environmental Protection Technology Co. Ltd.,  Quanzhou, Fujian, China</t>
        </is>
      </c>
      <c r="B276" t="inlineStr">
        <is>
          <t>Collecting Point, Processing Unit, Trader with Storage</t>
        </is>
      </c>
      <c r="C276" t="inlineStr">
        <is>
          <t>RINA Services S.p.A., Genova, IT</t>
        </is>
      </c>
      <c r="D276" t="inlineStr">
        <is>
          <t>30.07.2027</t>
        </is>
      </c>
      <c r="E276" t="inlineStr">
        <is>
          <t>China</t>
        </is>
      </c>
    </row>
    <row r="277">
      <c r="A277" t="inlineStr">
        <is>
          <t>Wipak Gryspeert S.A.S.,  Bousbecque, France</t>
        </is>
      </c>
      <c r="B277" t="inlineStr">
        <is>
          <t>Processing Unit</t>
        </is>
      </c>
      <c r="C277" t="inlineStr">
        <is>
          <t>DNV Business Assurance Sweden AB, Solna, SE</t>
        </is>
      </c>
      <c r="D277" t="inlineStr">
        <is>
          <t>30.07.2027</t>
        </is>
      </c>
      <c r="E277" t="inlineStr">
        <is>
          <t>France</t>
        </is>
      </c>
    </row>
    <row r="278">
      <c r="A278" t="inlineStr">
        <is>
          <t>Cordica Medical dba Team Molding,  Batavia, The United States of America</t>
        </is>
      </c>
      <c r="B278" t="inlineStr">
        <is>
          <t>Processing Unit</t>
        </is>
      </c>
      <c r="C278" t="inlineStr">
        <is>
          <t>Control Union Poland Sp. z o.o., Zielona Gora, PL</t>
        </is>
      </c>
      <c r="D278" t="inlineStr">
        <is>
          <t>30.07.2027</t>
        </is>
      </c>
      <c r="E278" t="inlineStr">
        <is>
          <t>The United States of America</t>
        </is>
      </c>
    </row>
    <row r="279">
      <c r="A279" t="inlineStr">
        <is>
          <t>Cordica Medical,  Morristown, The United States of America</t>
        </is>
      </c>
      <c r="B279" t="inlineStr">
        <is>
          <t>Processing Unit, Trader with Storage</t>
        </is>
      </c>
      <c r="C279" t="inlineStr">
        <is>
          <t>Control Union Poland Sp. z o.o., Zielona Gora, PL</t>
        </is>
      </c>
      <c r="D279" t="inlineStr">
        <is>
          <t>30.07.2027</t>
        </is>
      </c>
      <c r="E279" t="inlineStr">
        <is>
          <t>The United States of America</t>
        </is>
      </c>
    </row>
    <row r="280">
      <c r="A280" t="inlineStr">
        <is>
          <t>DIPLOMAT IRP DOO NOVI SAD,  Đurđin, Serbia</t>
        </is>
      </c>
      <c r="B280" t="inlineStr">
        <is>
          <t>First Gathering Point, Trader with Storage, Processing Unit</t>
        </is>
      </c>
      <c r="C280" t="inlineStr">
        <is>
          <t>Bureau Veritas Polska Sp. z o.o., Warsaw, PL</t>
        </is>
      </c>
      <c r="D280" t="inlineStr">
        <is>
          <t>30.07.2027</t>
        </is>
      </c>
      <c r="E280" t="inlineStr">
        <is>
          <t>Serbia</t>
        </is>
      </c>
    </row>
    <row r="281">
      <c r="A281" t="inlineStr">
        <is>
          <t>Norwegian Hydrogen AS,  Hellesylt, Norway</t>
        </is>
      </c>
      <c r="B281" t="inlineStr">
        <is>
          <t>Processing Unit</t>
        </is>
      </c>
      <c r="C281" t="inlineStr">
        <is>
          <t>Baltic Control Certification, Albertslund, DK</t>
        </is>
      </c>
      <c r="D281" t="inlineStr">
        <is>
          <t>30.07.2027</t>
        </is>
      </c>
      <c r="E281" t="inlineStr">
        <is>
          <t>Norway</t>
        </is>
      </c>
    </row>
    <row r="282">
      <c r="A282" t="inlineStr">
        <is>
          <t>Sartorius Stedim Aseptics S.A.S,  Lourdes, France</t>
        </is>
      </c>
      <c r="B282" t="inlineStr">
        <is>
          <t>Final Product Refinement, Warehouse</t>
        </is>
      </c>
      <c r="C282" t="inlineStr">
        <is>
          <t>Aardvark Certification Ltd, Wiveliscombe, Somerset, GB</t>
        </is>
      </c>
      <c r="D282" t="inlineStr">
        <is>
          <t>30.07.2027</t>
        </is>
      </c>
      <c r="E282" t="inlineStr">
        <is>
          <t>France</t>
        </is>
      </c>
    </row>
    <row r="283">
      <c r="A283" t="inlineStr">
        <is>
          <t>XIAMEN CAIGUANG NEW MATERIAL CO., LTD.,  Xiamen, China</t>
        </is>
      </c>
      <c r="B283" t="inlineStr">
        <is>
          <t>Trader with Storage</t>
        </is>
      </c>
      <c r="C283" t="inlineStr">
        <is>
          <t>Bureau Veritas Polska Sp. z o.o., Warsaw, PL</t>
        </is>
      </c>
      <c r="D283" t="inlineStr">
        <is>
          <t>30.07.2027</t>
        </is>
      </c>
      <c r="E283" t="inlineStr">
        <is>
          <t>China</t>
        </is>
      </c>
    </row>
    <row r="284">
      <c r="A284" t="inlineStr">
        <is>
          <t>Ignitis Suomi Oy,  HELSINKI, Finland</t>
        </is>
      </c>
      <c r="B284" t="inlineStr">
        <is>
          <t>Trader</t>
        </is>
      </c>
      <c r="C284" t="inlineStr">
        <is>
          <t>Bureau Veritas Polska Sp. z o.o., Warsaw, PL</t>
        </is>
      </c>
      <c r="D284" t="inlineStr">
        <is>
          <t>30.07.2027</t>
        </is>
      </c>
      <c r="E284" t="inlineStr">
        <is>
          <t>Finland</t>
        </is>
      </c>
    </row>
    <row r="285">
      <c r="A285" t="inlineStr">
        <is>
          <t>Helios Eco Solutions,  Seri Kembangan, Selangor, Malaysia</t>
        </is>
      </c>
      <c r="B285" t="inlineStr">
        <is>
          <t>Trader</t>
        </is>
      </c>
      <c r="C285" t="inlineStr">
        <is>
          <t>Trans Certification and Inspection Sdn Bhd, Kuantan, MY</t>
        </is>
      </c>
      <c r="D285" t="inlineStr">
        <is>
          <t>30.07.2027</t>
        </is>
      </c>
      <c r="E285" t="inlineStr">
        <is>
          <t>Malaysia</t>
        </is>
      </c>
    </row>
    <row r="286">
      <c r="A286" t="inlineStr">
        <is>
          <t>VIDA CIRCULAR,  Palma de Mallorca, Spain</t>
        </is>
      </c>
      <c r="B286" t="inlineStr">
        <is>
          <t>Collecting Point</t>
        </is>
      </c>
      <c r="C286" t="inlineStr">
        <is>
          <t>RINA Services S.p.A., Genova, IT</t>
        </is>
      </c>
      <c r="D286" t="inlineStr">
        <is>
          <t>30.07.2027</t>
        </is>
      </c>
      <c r="E286" t="inlineStr">
        <is>
          <t>Spain</t>
        </is>
      </c>
    </row>
    <row r="287">
      <c r="A287" t="inlineStr">
        <is>
          <t>Communauté d'agglomération Pau Béarn Pyrénées,  Lescar, France</t>
        </is>
      </c>
      <c r="B287" t="inlineStr">
        <is>
          <t>Processing Unit</t>
        </is>
      </c>
      <c r="C287" t="inlineStr">
        <is>
          <t>Control Union Certifications Germany GmbH, Berlin, DE</t>
        </is>
      </c>
      <c r="D287" t="inlineStr">
        <is>
          <t>30.07.2027</t>
        </is>
      </c>
      <c r="E287" t="inlineStr">
        <is>
          <t>France</t>
        </is>
      </c>
    </row>
    <row r="288">
      <c r="A288" t="inlineStr">
        <is>
          <t>GLUAPS trade s.r.o.,  Ostrava, Czech Republic</t>
        </is>
      </c>
      <c r="B288" t="inlineStr">
        <is>
          <t>Trader with Storage</t>
        </is>
      </c>
      <c r="C288" t="inlineStr">
        <is>
          <t>Bureau Veritas Polska Sp. z o.o., Warsaw, PL</t>
        </is>
      </c>
      <c r="D288" t="inlineStr">
        <is>
          <t>30.07.2027</t>
        </is>
      </c>
      <c r="E288" t="inlineStr">
        <is>
          <t>Czech Republic</t>
        </is>
      </c>
    </row>
    <row r="289">
      <c r="A289" t="inlineStr">
        <is>
          <t>Henan Zhenghong Huanrui Environmental Protection Technology Co.,Ltd.,  Zhengzhou City, Henan Province, China</t>
        </is>
      </c>
      <c r="B289" t="inlineStr">
        <is>
          <t>Collecting Point</t>
        </is>
      </c>
      <c r="C289" t="inlineStr">
        <is>
          <t>RINA Services S.p.A., Genova, IT</t>
        </is>
      </c>
      <c r="D289" t="inlineStr">
        <is>
          <t>30.07.2027</t>
        </is>
      </c>
      <c r="E289" t="inlineStr">
        <is>
          <t>China</t>
        </is>
      </c>
    </row>
    <row r="290">
      <c r="A290" t="inlineStr">
        <is>
          <t>Greenway Solutions,  Warsaw, Poland</t>
        </is>
      </c>
      <c r="B290" t="inlineStr">
        <is>
          <t>Trader</t>
        </is>
      </c>
      <c r="C290" t="inlineStr">
        <is>
          <t>Control Union Poland Sp. z o.o., Zielona Gora, PL</t>
        </is>
      </c>
      <c r="D290" t="inlineStr">
        <is>
          <t>30.07.2027</t>
        </is>
      </c>
      <c r="E290" t="inlineStr">
        <is>
          <t>Poland</t>
        </is>
      </c>
    </row>
    <row r="291">
      <c r="A291" t="inlineStr">
        <is>
          <t>UTE Granollers-La Garriga,  Granollers, Spain</t>
        </is>
      </c>
      <c r="B291" t="inlineStr">
        <is>
          <t>Processing Unit, Point of Origin</t>
        </is>
      </c>
      <c r="C291" t="inlineStr">
        <is>
          <t>Amspec Iberia SL, Vilagarcia de Arousa-Pontevedra, ES</t>
        </is>
      </c>
      <c r="D291" t="inlineStr">
        <is>
          <t>30.07.2027</t>
        </is>
      </c>
      <c r="E291" t="inlineStr">
        <is>
          <t>Spain</t>
        </is>
      </c>
    </row>
    <row r="292">
      <c r="A292" t="inlineStr">
        <is>
          <t>Leonesa Astur de Piensos-Lesa, S.A.,  León, Spain</t>
        </is>
      </c>
      <c r="B292" t="inlineStr">
        <is>
          <t>First Gathering Point, Trader with Storage</t>
        </is>
      </c>
      <c r="C292" t="inlineStr">
        <is>
          <t>Control Union Poland Sp. z o.o., Zielona Gora, PL</t>
        </is>
      </c>
      <c r="D292" t="inlineStr">
        <is>
          <t>30.07.2027</t>
        </is>
      </c>
      <c r="E292" t="inlineStr">
        <is>
          <t>Spain</t>
        </is>
      </c>
    </row>
    <row r="293">
      <c r="A293" t="inlineStr">
        <is>
          <t>Hunan Huayuan New Energy Co., Ltd.,  Ningxiang City, Changsha City, Hunan Province, China</t>
        </is>
      </c>
      <c r="B293" t="inlineStr">
        <is>
          <t>Processing Unit, Trader with Storage</t>
        </is>
      </c>
      <c r="C293" t="inlineStr">
        <is>
          <t>CTI Certification Co. Ltd, Shenzhen, CN</t>
        </is>
      </c>
      <c r="D293" t="inlineStr">
        <is>
          <t>30.07.2027</t>
        </is>
      </c>
      <c r="E293" t="inlineStr">
        <is>
          <t>China</t>
        </is>
      </c>
    </row>
    <row r="294">
      <c r="A294" t="inlineStr">
        <is>
          <t>Xiangtan Yuetang Heye Oils and Fats Trading Department,  Xiangtan City,Hunan Province, China</t>
        </is>
      </c>
      <c r="B294" t="inlineStr">
        <is>
          <t>Collecting Point</t>
        </is>
      </c>
      <c r="C294" t="inlineStr">
        <is>
          <t>CTI Certification Co. Ltd, Shenzhen, CN</t>
        </is>
      </c>
      <c r="D294" t="inlineStr">
        <is>
          <t>30.07.2027</t>
        </is>
      </c>
      <c r="E294" t="inlineStr">
        <is>
          <t>China</t>
        </is>
      </c>
    </row>
    <row r="295">
      <c r="A295" t="inlineStr">
        <is>
          <t>Tomi International Trading Limited,  Pereyaslavske Village, Kyiv Region, Ukraine</t>
        </is>
      </c>
      <c r="B295" t="inlineStr">
        <is>
          <t>First Gathering Point, Trader with Storage</t>
        </is>
      </c>
      <c r="C295" t="inlineStr">
        <is>
          <t>Control Union Poland Sp. z o.o., Zielona Gora, PL</t>
        </is>
      </c>
      <c r="D295" t="inlineStr">
        <is>
          <t>30.07.2027</t>
        </is>
      </c>
      <c r="E295" t="inlineStr">
        <is>
          <t>Ukraine</t>
        </is>
      </c>
    </row>
    <row r="296">
      <c r="A296" t="inlineStr">
        <is>
          <t>SP "Niva Pereyaslavshchyny",  Kyiv region, Pereyaslavske village, Ukraine</t>
        </is>
      </c>
      <c r="B296" t="inlineStr">
        <is>
          <t>First Gathering Point, Trader with Storage</t>
        </is>
      </c>
      <c r="C296" t="inlineStr">
        <is>
          <t>Control Union Poland Sp. z o.o., Zielona Gora, PL</t>
        </is>
      </c>
      <c r="D296" t="inlineStr">
        <is>
          <t>30.07.2027</t>
        </is>
      </c>
      <c r="E296" t="inlineStr">
        <is>
          <t>Ukraine</t>
        </is>
      </c>
    </row>
    <row r="297">
      <c r="A297" t="inlineStr">
        <is>
          <t>Green Strength (International) Limited,  Hong Kong, Hong Kong (SAR)</t>
        </is>
      </c>
      <c r="B297" t="inlineStr">
        <is>
          <t>Trader</t>
        </is>
      </c>
      <c r="C297" t="inlineStr">
        <is>
          <t>SCS Global Services, Emeryville, CA, US</t>
        </is>
      </c>
      <c r="D297" t="inlineStr">
        <is>
          <t>30.07.2027</t>
        </is>
      </c>
      <c r="E297" t="inlineStr">
        <is>
          <t>Hong Kong (SAR)</t>
        </is>
      </c>
    </row>
    <row r="298">
      <c r="A298" t="inlineStr">
        <is>
          <t>Starol Refined Oil Products Trading,  Monaco, Monaco</t>
        </is>
      </c>
      <c r="B298" t="inlineStr">
        <is>
          <t>Trader with Storage</t>
        </is>
      </c>
      <c r="C298" t="inlineStr">
        <is>
          <t>Amspec Iberia SL, Vilagarcia de Arousa-Pontevedra, ES</t>
        </is>
      </c>
      <c r="D298" t="inlineStr">
        <is>
          <t>30.07.2027</t>
        </is>
      </c>
      <c r="E298" t="inlineStr">
        <is>
          <t>Monaco</t>
        </is>
      </c>
    </row>
    <row r="299">
      <c r="A299" t="inlineStr">
        <is>
          <t>Osprey Energy Supply &amp; Trade B.V.,  Dordrecht, The Netherlands</t>
        </is>
      </c>
      <c r="B299" t="inlineStr">
        <is>
          <t>Proof of Compliance Trader, Trader with Storage</t>
        </is>
      </c>
      <c r="C299" t="inlineStr">
        <is>
          <t>Normec QS BV, Ede, NL</t>
        </is>
      </c>
      <c r="D299" t="inlineStr">
        <is>
          <t>30.07.2027</t>
        </is>
      </c>
      <c r="E299" t="inlineStr">
        <is>
          <t>The Netherlands</t>
        </is>
      </c>
    </row>
    <row r="300">
      <c r="A300" t="inlineStr">
        <is>
          <t>PT. SUMBER MASANDA JAYA,  Brebes, Indonesia</t>
        </is>
      </c>
      <c r="B300" t="inlineStr">
        <is>
          <t>Final Product Refinement, Processing Unit, Trader with Storage</t>
        </is>
      </c>
      <c r="C300" t="inlineStr">
        <is>
          <t>PT Intertek Utama Services, Jakarta, ID</t>
        </is>
      </c>
      <c r="D300" t="inlineStr">
        <is>
          <t>30.07.2027</t>
        </is>
      </c>
      <c r="E300" t="inlineStr">
        <is>
          <t>Indonesia</t>
        </is>
      </c>
    </row>
    <row r="301">
      <c r="A301" t="inlineStr">
        <is>
          <t>North Emerald (M) Sdn Bhd,  Bandar Bukit Tinggi 2, Klang, Selangor Darul Ehsan, Malaysia</t>
        </is>
      </c>
      <c r="B301" t="inlineStr">
        <is>
          <t>Collecting Point, Trader with Storage</t>
        </is>
      </c>
      <c r="C301" t="inlineStr">
        <is>
          <t>ASG Cert GmbH, Munich, DE</t>
        </is>
      </c>
      <c r="D301" t="inlineStr">
        <is>
          <t>30.07.2027</t>
        </is>
      </c>
      <c r="E301" t="inlineStr">
        <is>
          <t>Malaysia</t>
        </is>
      </c>
    </row>
    <row r="302">
      <c r="A302" t="inlineStr">
        <is>
          <t>Alberta Trade LP,  Zaporizhzhia, Zaporizhzhia region, Ukraine</t>
        </is>
      </c>
      <c r="B302" t="inlineStr">
        <is>
          <t>First Gathering Point, Trader with Storage</t>
        </is>
      </c>
      <c r="C302" t="inlineStr">
        <is>
          <t>Control Union Certifications Germany GmbH, Berlin, DE</t>
        </is>
      </c>
      <c r="D302" t="inlineStr">
        <is>
          <t>30.07.2027</t>
        </is>
      </c>
      <c r="E302" t="inlineStr">
        <is>
          <t>Ukraine</t>
        </is>
      </c>
    </row>
    <row r="303">
      <c r="A303" t="inlineStr">
        <is>
          <t>TIANJIN INTERNATIONAL PETROLEUM STORAGE &amp; TRANSPORTATION.,LTD,  Tianjin City, China</t>
        </is>
      </c>
      <c r="B303" t="inlineStr">
        <is>
          <t>Trader with Storage, Warehouse</t>
        </is>
      </c>
      <c r="C303" t="inlineStr">
        <is>
          <t>SCS Global Services, Emeryville, CA, US</t>
        </is>
      </c>
      <c r="D303" t="inlineStr">
        <is>
          <t>30.07.2027</t>
        </is>
      </c>
      <c r="E303" t="inlineStr">
        <is>
          <t>China</t>
        </is>
      </c>
    </row>
    <row r="304">
      <c r="A304" t="inlineStr">
        <is>
          <t>Pražské vodovody a kanalizace,a.s.,  Praha 6, Czech Republic</t>
        </is>
      </c>
      <c r="B304" t="inlineStr">
        <is>
          <t>Point of Origin, Processing Unit</t>
        </is>
      </c>
      <c r="C304" t="inlineStr">
        <is>
          <t>TÜV SÜD Czech s.r.o., Praha 4, CZ</t>
        </is>
      </c>
      <c r="D304" t="inlineStr">
        <is>
          <t>30.07.2027</t>
        </is>
      </c>
      <c r="E304" t="inlineStr">
        <is>
          <t>Czech Republic</t>
        </is>
      </c>
    </row>
    <row r="305">
      <c r="A305" t="inlineStr">
        <is>
          <t>Centro Especial de Empleo Desarrollo Medioambiental Canario S.L.,  Arinaga, Spain</t>
        </is>
      </c>
      <c r="B305" t="inlineStr">
        <is>
          <t>Collecting Point, Trader</t>
        </is>
      </c>
      <c r="C305" t="inlineStr">
        <is>
          <t>PT Intertek Utama Services, Jakarta, ID</t>
        </is>
      </c>
      <c r="D305" t="inlineStr">
        <is>
          <t>30.07.2027</t>
        </is>
      </c>
      <c r="E305" t="inlineStr">
        <is>
          <t>Spain</t>
        </is>
      </c>
    </row>
    <row r="306">
      <c r="A306" t="inlineStr">
        <is>
          <t>Assan Panel Sanayi ve Ticaret A.Ş,  Balıkesir, Türkiye</t>
        </is>
      </c>
      <c r="B306" t="inlineStr">
        <is>
          <t>Collecting Point, Processing Unit</t>
        </is>
      </c>
      <c r="C306" t="inlineStr">
        <is>
          <t>PT Intertek Utama Services, Jakarta, ID</t>
        </is>
      </c>
      <c r="D306" t="inlineStr">
        <is>
          <t>30.07.2027</t>
        </is>
      </c>
      <c r="E306" t="inlineStr">
        <is>
          <t>Türkiye</t>
        </is>
      </c>
    </row>
    <row r="307">
      <c r="A307" t="inlineStr">
        <is>
          <t>PT. PRATAMA ABADI INDUSTRI,  Tangerang Selatan, Indonesia</t>
        </is>
      </c>
      <c r="B307" t="inlineStr">
        <is>
          <t>Final Product Refinement, Processing Unit, Trader with Storage</t>
        </is>
      </c>
      <c r="C307" t="inlineStr">
        <is>
          <t>PT Intertek Utama Services, Jakarta, ID</t>
        </is>
      </c>
      <c r="D307" t="inlineStr">
        <is>
          <t>30.07.2027</t>
        </is>
      </c>
      <c r="E307" t="inlineStr">
        <is>
          <t>Indonesia</t>
        </is>
      </c>
    </row>
    <row r="308">
      <c r="A308" t="inlineStr">
        <is>
          <t>Lahad Datu Edible Oils Sdn Bhd,  Lahad Datu, Malaysia</t>
        </is>
      </c>
      <c r="B308" t="inlineStr">
        <is>
          <t>Point of Origin, Processing Unit, Trader with Storage</t>
        </is>
      </c>
      <c r="C308" t="inlineStr">
        <is>
          <t>ASG Cert GmbH, Munich, DE</t>
        </is>
      </c>
      <c r="D308" t="inlineStr">
        <is>
          <t>30.07.2027</t>
        </is>
      </c>
      <c r="E308" t="inlineStr">
        <is>
          <t>Malaysia</t>
        </is>
      </c>
    </row>
    <row r="309">
      <c r="A309" t="inlineStr">
        <is>
          <t>Vance Bioenergy Sdn Bhd,  Kompleks Perindustrian Tanjung Langsat, Malaysia</t>
        </is>
      </c>
      <c r="B309" t="inlineStr">
        <is>
          <t>Point of Origin, Processing Unit, Trader with Storage</t>
        </is>
      </c>
      <c r="C309" t="inlineStr">
        <is>
          <t>ASG Cert GmbH, Munich, DE</t>
        </is>
      </c>
      <c r="D309" t="inlineStr">
        <is>
          <t>30.07.2027</t>
        </is>
      </c>
      <c r="E309" t="inlineStr">
        <is>
          <t>Malaysia</t>
        </is>
      </c>
    </row>
    <row r="310">
      <c r="A310" t="inlineStr">
        <is>
          <t>Tetra Pak Closures Italy,  Sezzadio, Italy</t>
        </is>
      </c>
      <c r="B310" t="inlineStr">
        <is>
          <t>Processing Unit</t>
        </is>
      </c>
      <c r="C310" t="inlineStr">
        <is>
          <t>SCS Global Services, Emeryville, CA, US</t>
        </is>
      </c>
      <c r="D310" t="inlineStr">
        <is>
          <t>30.07.2027</t>
        </is>
      </c>
      <c r="E310" t="inlineStr">
        <is>
          <t>Italy</t>
        </is>
      </c>
    </row>
    <row r="311">
      <c r="A311" t="inlineStr">
        <is>
          <t>INDIAN OIL CORPORATION LIMITED, PANIPAT REFINERY,  PANIPAT, India</t>
        </is>
      </c>
      <c r="B311" t="inlineStr">
        <is>
          <t>Processing Unit</t>
        </is>
      </c>
      <c r="C311" t="inlineStr">
        <is>
          <t>Cotecna India Inspection Pvt Ltd, Kolkata, IN</t>
        </is>
      </c>
      <c r="D311" t="inlineStr">
        <is>
          <t>30.07.2027</t>
        </is>
      </c>
      <c r="E311" t="inlineStr">
        <is>
          <t>India</t>
        </is>
      </c>
    </row>
    <row r="312">
      <c r="A312" t="inlineStr">
        <is>
          <t>Brocklesby Ltd,  North Cave, The United Kingdom</t>
        </is>
      </c>
      <c r="B312" t="inlineStr">
        <is>
          <t>Collecting Point, Processing Unit, Trader with Storage</t>
        </is>
      </c>
      <c r="C312" t="inlineStr">
        <is>
          <t>SCS Global Services, Emeryville, CA, US</t>
        </is>
      </c>
      <c r="D312" t="inlineStr">
        <is>
          <t>30.07.2027</t>
        </is>
      </c>
      <c r="E312" t="inlineStr">
        <is>
          <t>The United Kingdom</t>
        </is>
      </c>
    </row>
    <row r="313">
      <c r="A313" t="inlineStr">
        <is>
          <t>Epicentr K,  Kyiv, Ukraine</t>
        </is>
      </c>
      <c r="B313" t="inlineStr">
        <is>
          <t>First Gathering Point, Trader with Storage</t>
        </is>
      </c>
      <c r="C313" t="inlineStr">
        <is>
          <t>Apex Genelab LLC, Odessa, UA</t>
        </is>
      </c>
      <c r="D313" t="inlineStr">
        <is>
          <t>30.07.2027</t>
        </is>
      </c>
      <c r="E313" t="inlineStr">
        <is>
          <t>Ukraine</t>
        </is>
      </c>
    </row>
    <row r="314">
      <c r="A314" t="inlineStr">
        <is>
          <t>Bunge Loders Croklaan Oils,  Pasir Gudang Industrial Estate, Malaysia</t>
        </is>
      </c>
      <c r="B314" t="inlineStr">
        <is>
          <t>Point of Origin</t>
        </is>
      </c>
      <c r="C314" t="inlineStr">
        <is>
          <t>Control Union Certifications Germany GmbH, Berlin, DE</t>
        </is>
      </c>
      <c r="D314" t="inlineStr">
        <is>
          <t>30.07.2027</t>
        </is>
      </c>
      <c r="E314" t="inlineStr">
        <is>
          <t>Malaysia</t>
        </is>
      </c>
    </row>
    <row r="315">
      <c r="A315" t="inlineStr">
        <is>
          <t>YIHONG DEVELOPMENT (HONGKONG) LIMITED,  Shanghai City, China</t>
        </is>
      </c>
      <c r="B315" t="inlineStr">
        <is>
          <t>Trader</t>
        </is>
      </c>
      <c r="C315" t="inlineStr">
        <is>
          <t>SCS Global Services, Emeryville, CA, US</t>
        </is>
      </c>
      <c r="D315" t="inlineStr">
        <is>
          <t>30.07.2027</t>
        </is>
      </c>
      <c r="E315" t="inlineStr">
        <is>
          <t>China</t>
        </is>
      </c>
    </row>
    <row r="316">
      <c r="A316" t="inlineStr">
        <is>
          <t>KOLON INDUSTRIES, INC. (Daesan Plant),  Daesan-eup, Seosan-si, Chungnam, The Republic of Korea</t>
        </is>
      </c>
      <c r="B316" t="inlineStr">
        <is>
          <t>Processing Unit</t>
        </is>
      </c>
      <c r="C316" t="inlineStr">
        <is>
          <t>Control Union Certifications Germany GmbH, Berlin, DE</t>
        </is>
      </c>
      <c r="D316" t="inlineStr">
        <is>
          <t>30.07.2027</t>
        </is>
      </c>
      <c r="E316" t="inlineStr">
        <is>
          <t>The Republic of Korea</t>
        </is>
      </c>
    </row>
    <row r="317">
      <c r="A317" t="inlineStr">
        <is>
          <t>Nitrogénművek Zrt.,  Budapest, Hungary</t>
        </is>
      </c>
      <c r="B317" t="inlineStr">
        <is>
          <t>First Gathering Point, Trader with Storage</t>
        </is>
      </c>
      <c r="C317" t="inlineStr">
        <is>
          <t>QMSCERT S.A., Pylaia, Thessaloniki, GR</t>
        </is>
      </c>
      <c r="D317" t="inlineStr">
        <is>
          <t>30.07.2027</t>
        </is>
      </c>
      <c r="E317" t="inlineStr">
        <is>
          <t>Hungary</t>
        </is>
      </c>
    </row>
    <row r="318">
      <c r="A318" t="inlineStr">
        <is>
          <t>Orexim Trading LLC,  Fort Lauderdale, The United States of America</t>
        </is>
      </c>
      <c r="B318" t="inlineStr">
        <is>
          <t>Trader</t>
        </is>
      </c>
      <c r="C318" t="inlineStr">
        <is>
          <t>Baltic Control Certification, Albertslund, DK</t>
        </is>
      </c>
      <c r="D318" t="inlineStr">
        <is>
          <t>30.07.2027</t>
        </is>
      </c>
      <c r="E318" t="inlineStr">
        <is>
          <t>The United States of America</t>
        </is>
      </c>
    </row>
    <row r="319">
      <c r="A319" t="inlineStr">
        <is>
          <t>Vance Bioenergy Sdn Bhd,  Kawasan Perindustrian Pasir Gudang, Pasir Gudang, Malaysia</t>
        </is>
      </c>
      <c r="B319" t="inlineStr">
        <is>
          <t>Point of Origin, Processing Unit, Trader with Storage</t>
        </is>
      </c>
      <c r="C319" t="inlineStr">
        <is>
          <t>ASG Cert GmbH, Munich, DE</t>
        </is>
      </c>
      <c r="D319" t="inlineStr">
        <is>
          <t>30.07.2027</t>
        </is>
      </c>
      <c r="E319" t="inlineStr">
        <is>
          <t>Malaysia</t>
        </is>
      </c>
    </row>
    <row r="320">
      <c r="A320" t="inlineStr">
        <is>
          <t>Borges Agricultural &amp; Industrial Edible Oils,  Tàrrega (Lleida), Spain</t>
        </is>
      </c>
      <c r="B320" t="inlineStr">
        <is>
          <t>Point of Origin</t>
        </is>
      </c>
      <c r="C320" t="inlineStr">
        <is>
          <t>Amspec Iberia SL, Vilagarcia de Arousa-Pontevedra, ES</t>
        </is>
      </c>
      <c r="D320" t="inlineStr">
        <is>
          <t>30.07.2027</t>
        </is>
      </c>
      <c r="E320" t="inlineStr">
        <is>
          <t>Spain</t>
        </is>
      </c>
    </row>
    <row r="321">
      <c r="A321" t="inlineStr">
        <is>
          <t>velocity tradelink,  hyderabad, India</t>
        </is>
      </c>
      <c r="B321" t="inlineStr">
        <is>
          <t>Trader</t>
        </is>
      </c>
      <c r="C321" t="inlineStr">
        <is>
          <t>SGS Germany GmbH, Emstek, DE</t>
        </is>
      </c>
      <c r="D321" t="inlineStr">
        <is>
          <t>30.07.2027</t>
        </is>
      </c>
      <c r="E321" t="inlineStr">
        <is>
          <t>India</t>
        </is>
      </c>
    </row>
    <row r="322">
      <c r="A322" t="inlineStr">
        <is>
          <t>Antargaz Luxembourg SA,  Bertrange, Luxembourg</t>
        </is>
      </c>
      <c r="B322" t="inlineStr">
        <is>
          <t>Trader with Storage</t>
        </is>
      </c>
      <c r="C322" t="inlineStr">
        <is>
          <t>Double Helix Tracking Technologies Pte Ltd, Singapore, SG</t>
        </is>
      </c>
      <c r="D322" t="inlineStr">
        <is>
          <t>30.07.2027</t>
        </is>
      </c>
      <c r="E322" t="inlineStr">
        <is>
          <t>Luxembourg</t>
        </is>
      </c>
    </row>
    <row r="323">
      <c r="A323" t="inlineStr">
        <is>
          <t>Antargaz Luxembourg SA,  Bertrange, Luxembourg</t>
        </is>
      </c>
      <c r="B323" t="inlineStr">
        <is>
          <t>Trader with Storage</t>
        </is>
      </c>
      <c r="C323" t="inlineStr">
        <is>
          <t>Double Helix Tracking Technologies Pte Ltd, Singapore, SG</t>
        </is>
      </c>
      <c r="D323" t="inlineStr">
        <is>
          <t>30.07.2027</t>
        </is>
      </c>
      <c r="E323" t="inlineStr">
        <is>
          <t>Luxembourg</t>
        </is>
      </c>
    </row>
    <row r="324">
      <c r="A324" t="inlineStr">
        <is>
          <t>LUKOIL Neftohim Burgas,  Burgas, Bulgaria</t>
        </is>
      </c>
      <c r="B324" t="inlineStr">
        <is>
          <t>Processing Unit, Trader with Storage</t>
        </is>
      </c>
      <c r="C324" t="inlineStr">
        <is>
          <t>SGS Germany GmbH, Emstek, DE</t>
        </is>
      </c>
      <c r="D324" t="inlineStr">
        <is>
          <t>30.07.2027</t>
        </is>
      </c>
      <c r="E324" t="inlineStr">
        <is>
          <t>Bulgaria</t>
        </is>
      </c>
    </row>
    <row r="325">
      <c r="A325" t="inlineStr">
        <is>
          <t>MEC PROTEINS,  Maddaloni, Italy</t>
        </is>
      </c>
      <c r="B325" t="inlineStr">
        <is>
          <t>Trader</t>
        </is>
      </c>
      <c r="C325" t="inlineStr">
        <is>
          <t>SGS Germany GmbH, Emstek, DE</t>
        </is>
      </c>
      <c r="D325" t="inlineStr">
        <is>
          <t>30.07.2027</t>
        </is>
      </c>
      <c r="E325" t="inlineStr">
        <is>
          <t>Italy</t>
        </is>
      </c>
    </row>
    <row r="326">
      <c r="A326" t="inlineStr">
        <is>
          <t>NEW TRADE 68,  RESEN, Bulgaria</t>
        </is>
      </c>
      <c r="B326" t="inlineStr">
        <is>
          <t>Trader with Storage</t>
        </is>
      </c>
      <c r="C326" t="inlineStr">
        <is>
          <t>Control Union Certifications Germany GmbH, Berlin, DE</t>
        </is>
      </c>
      <c r="D326" t="inlineStr">
        <is>
          <t>30.07.2027</t>
        </is>
      </c>
      <c r="E326" t="inlineStr">
        <is>
          <t>Bulgaria</t>
        </is>
      </c>
    </row>
    <row r="327">
      <c r="A327" t="inlineStr">
        <is>
          <t>CONSORCI PER A LA GESTIÓ DELS RESIDUS DEL VALLÈS ORIENTAL,  GRANOLLERS - BARCELONA, Spain</t>
        </is>
      </c>
      <c r="B327" t="inlineStr">
        <is>
          <t>Collecting Point, Point of Origin, Processing Unit</t>
        </is>
      </c>
      <c r="C327" t="inlineStr">
        <is>
          <t>Amspec Iberia SL, Vilagarcia de Arousa-Pontevedra, ES</t>
        </is>
      </c>
      <c r="D327" t="inlineStr">
        <is>
          <t>30.07.2027</t>
        </is>
      </c>
      <c r="E327" t="inlineStr">
        <is>
          <t>Spain</t>
        </is>
      </c>
    </row>
    <row r="328">
      <c r="A328" t="inlineStr">
        <is>
          <t>Foshan City Sanshui Hong Da Li Toys Co., Ltd.,  foshan, China</t>
        </is>
      </c>
      <c r="B328" t="inlineStr">
        <is>
          <t>Processing Unit</t>
        </is>
      </c>
      <c r="C328" t="inlineStr">
        <is>
          <t>Bureau Veritas Consumer Products Services, Inc., Buffalo, NY, US</t>
        </is>
      </c>
      <c r="D328" t="inlineStr">
        <is>
          <t>30.07.2027</t>
        </is>
      </c>
      <c r="E328" t="inlineStr">
        <is>
          <t>China</t>
        </is>
      </c>
    </row>
    <row r="329">
      <c r="A329" t="inlineStr">
        <is>
          <t>Antilla Energy VBA,  Tankiflip, Aruba</t>
        </is>
      </c>
      <c r="B329" t="inlineStr">
        <is>
          <t>Collecting Point, Trader with Storage</t>
        </is>
      </c>
      <c r="C329" t="inlineStr">
        <is>
          <t>DEKRA Certification B.V., Arnhem, NL</t>
        </is>
      </c>
      <c r="D329" t="inlineStr">
        <is>
          <t>30.07.2027</t>
        </is>
      </c>
      <c r="E329" t="inlineStr">
        <is>
          <t>Aruba</t>
        </is>
      </c>
    </row>
    <row r="330">
      <c r="A330" t="inlineStr">
        <is>
          <t>LD CARBON,  Gimcheon-si, Gyeongsangbuk-do, The Republic of Korea</t>
        </is>
      </c>
      <c r="B330" t="inlineStr">
        <is>
          <t>Processing Unit</t>
        </is>
      </c>
      <c r="C330" t="inlineStr">
        <is>
          <t>Korean Foundation for Quality, Songpa-gu, Seoul, KR</t>
        </is>
      </c>
      <c r="D330" t="inlineStr">
        <is>
          <t>30.07.2027</t>
        </is>
      </c>
      <c r="E330" t="inlineStr">
        <is>
          <t>The Republic of Korea</t>
        </is>
      </c>
    </row>
    <row r="331">
      <c r="A331" t="inlineStr">
        <is>
          <t>SDIC BIOENERGY JIDONG CO.. LTD,  Jidong County, Jixi City, Heilongjiang Province, China</t>
        </is>
      </c>
      <c r="B331" t="inlineStr">
        <is>
          <t>Point of Origin</t>
        </is>
      </c>
      <c r="C331" t="inlineStr">
        <is>
          <t>China Standard Conformity Assessment Co. Ltd, Beijing, CN</t>
        </is>
      </c>
      <c r="D331" t="inlineStr">
        <is>
          <t>30.07.2027</t>
        </is>
      </c>
      <c r="E331" t="inlineStr">
        <is>
          <t>China</t>
        </is>
      </c>
    </row>
    <row r="332">
      <c r="A332" t="inlineStr">
        <is>
          <t>Agroproducciones Oleaginosas S.L.,  Madrid, Spain</t>
        </is>
      </c>
      <c r="B332" t="inlineStr">
        <is>
          <t>Trader with Storage</t>
        </is>
      </c>
      <c r="C332" t="inlineStr">
        <is>
          <t>Control Union Poland Sp. z o.o., Zielona Gora, PL</t>
        </is>
      </c>
      <c r="D332" t="inlineStr">
        <is>
          <t>30.07.2027</t>
        </is>
      </c>
      <c r="E332" t="inlineStr">
        <is>
          <t>Spain</t>
        </is>
      </c>
    </row>
    <row r="333">
      <c r="A333" t="inlineStr">
        <is>
          <t>Agroproducciones Oleaginosas S.L.,  Madrid, Spain</t>
        </is>
      </c>
      <c r="B333" t="inlineStr">
        <is>
          <t>Trader with Storage</t>
        </is>
      </c>
      <c r="C333" t="inlineStr">
        <is>
          <t>Control Union Poland Sp. z o.o., Zielona Gora, PL</t>
        </is>
      </c>
      <c r="D333" t="inlineStr">
        <is>
          <t>30.07.2027</t>
        </is>
      </c>
      <c r="E333" t="inlineStr">
        <is>
          <t>Spain</t>
        </is>
      </c>
    </row>
    <row r="334">
      <c r="A334" t="inlineStr">
        <is>
          <t>Verasuwan Co., Ltd.,  Tambon Na Di, Amphoe Mueang Samut Sakhon, Thailand</t>
        </is>
      </c>
      <c r="B334" t="inlineStr">
        <is>
          <t>Point of Origin, Processing Unit</t>
        </is>
      </c>
      <c r="C334" t="inlineStr">
        <is>
          <t>SGS Germany GmbH, Emstek, DE</t>
        </is>
      </c>
      <c r="D334" t="inlineStr">
        <is>
          <t>30.07.2027</t>
        </is>
      </c>
      <c r="E334" t="inlineStr">
        <is>
          <t>Thailand</t>
        </is>
      </c>
    </row>
    <row r="335">
      <c r="A335" t="inlineStr">
        <is>
          <t>Verasuwan Co., Ltd.,  Tambon Na Di, Amphoe Mueang Samut Sakhon, Thailand</t>
        </is>
      </c>
      <c r="B335" t="inlineStr">
        <is>
          <t>Processing Unit</t>
        </is>
      </c>
      <c r="C335" t="inlineStr">
        <is>
          <t>SGS Germany GmbH, Emstek, DE</t>
        </is>
      </c>
      <c r="D335" t="inlineStr">
        <is>
          <t>30.07.2027</t>
        </is>
      </c>
      <c r="E335" t="inlineStr">
        <is>
          <t>Thailand</t>
        </is>
      </c>
    </row>
    <row r="336">
      <c r="A336" t="inlineStr">
        <is>
          <t>PETKİM PETROKİMYA HOLDİNG ANONİM ŞİRKETİ,  ALİAĞA/İZMİR, Türkiye</t>
        </is>
      </c>
      <c r="B336" t="inlineStr">
        <is>
          <t>Processing Unit</t>
        </is>
      </c>
      <c r="C336" t="inlineStr">
        <is>
          <t>PT Intertek Utama Services, Jakarta, ID</t>
        </is>
      </c>
      <c r="D336" t="inlineStr">
        <is>
          <t>30.07.2027</t>
        </is>
      </c>
      <c r="E336" t="inlineStr">
        <is>
          <t>Türkiye</t>
        </is>
      </c>
    </row>
    <row r="337">
      <c r="A337" t="inlineStr">
        <is>
          <t>TPSC Asia Pte. Ltd.,  Singapore, Singapore</t>
        </is>
      </c>
      <c r="B337" t="inlineStr">
        <is>
          <t>Processing Unit</t>
        </is>
      </c>
      <c r="C337" t="inlineStr">
        <is>
          <t>PT Intertek Utama Services, Jakarta, ID</t>
        </is>
      </c>
      <c r="D337" t="inlineStr">
        <is>
          <t>30.07.2027</t>
        </is>
      </c>
      <c r="E337" t="inlineStr">
        <is>
          <t>Singapore</t>
        </is>
      </c>
    </row>
    <row r="338">
      <c r="A338" t="inlineStr">
        <is>
          <t>Renu Environmental Inc,  Plains, United States</t>
        </is>
      </c>
      <c r="B338" t="inlineStr">
        <is>
          <t>Collecting Point, Processing Unit, Trader</t>
        </is>
      </c>
      <c r="C338" t="inlineStr">
        <is>
          <t>Amspec Iberia SL, Vilagarcia de Arousa-Pontevedra, ES</t>
        </is>
      </c>
      <c r="D338" t="inlineStr">
        <is>
          <t>30.07.2027</t>
        </is>
      </c>
      <c r="E338" t="inlineStr">
        <is>
          <t>United States</t>
        </is>
      </c>
    </row>
    <row r="339">
      <c r="A339" t="inlineStr">
        <is>
          <t>Tietê Agroindustrial S.A.,  Paraíso, Brazil</t>
        </is>
      </c>
      <c r="B339" t="inlineStr">
        <is>
          <t>First Gathering Point, Processing Unit</t>
        </is>
      </c>
      <c r="C339" t="inlineStr">
        <is>
          <t>Control Union Poland Sp. z o.o., Zielona Gora, PL</t>
        </is>
      </c>
      <c r="D339" t="inlineStr">
        <is>
          <t>29.07.2027</t>
        </is>
      </c>
      <c r="E339" t="inlineStr">
        <is>
          <t>Brazil</t>
        </is>
      </c>
    </row>
    <row r="340">
      <c r="A340" t="inlineStr">
        <is>
          <t>Xinji Sailun Biotechnology Co., Ltd.,  Xinji, Hebei, China</t>
        </is>
      </c>
      <c r="B340" t="inlineStr">
        <is>
          <t>Collecting Point, Trader with Storage</t>
        </is>
      </c>
      <c r="C340" t="inlineStr">
        <is>
          <t>RINA Services S.p.A., Genova, IT</t>
        </is>
      </c>
      <c r="D340" t="inlineStr">
        <is>
          <t>29.07.2027</t>
        </is>
      </c>
      <c r="E340" t="inlineStr">
        <is>
          <t>China</t>
        </is>
      </c>
    </row>
    <row r="341">
      <c r="A341" t="inlineStr">
        <is>
          <t>Shijiazhuang Lairun Trading Co., Ltd.,  Shijiazhuang, Hebei, China</t>
        </is>
      </c>
      <c r="B341" t="inlineStr">
        <is>
          <t>Trader</t>
        </is>
      </c>
      <c r="C341" t="inlineStr">
        <is>
          <t>RINA Services S.p.A., Genova, IT</t>
        </is>
      </c>
      <c r="D341" t="inlineStr">
        <is>
          <t>29.07.2027</t>
        </is>
      </c>
      <c r="E341" t="inlineStr">
        <is>
          <t>China</t>
        </is>
      </c>
    </row>
    <row r="342">
      <c r="A342" t="inlineStr">
        <is>
          <t>POLYNT COMPOSITES POLAND Sp. z o.o.,  NIEPOŁOMICE, Poland</t>
        </is>
      </c>
      <c r="B342" t="inlineStr">
        <is>
          <t>Processing Unit</t>
        </is>
      </c>
      <c r="C342" t="inlineStr">
        <is>
          <t>Control Union Poland Sp. z o.o., Zielona Gora, PL</t>
        </is>
      </c>
      <c r="D342" t="inlineStr">
        <is>
          <t>29.07.2027</t>
        </is>
      </c>
      <c r="E342" t="inlineStr">
        <is>
          <t>Poland</t>
        </is>
      </c>
    </row>
    <row r="343">
      <c r="A343" t="inlineStr">
        <is>
          <t>Thedayz Sdn bhd,  Lahat, Malaysia</t>
        </is>
      </c>
      <c r="B343" t="inlineStr">
        <is>
          <t>Collecting Point, Trader with Storage</t>
        </is>
      </c>
      <c r="C343" t="inlineStr">
        <is>
          <t>TÜV NORD CERT GmbH, Essen, DE</t>
        </is>
      </c>
      <c r="D343" t="inlineStr">
        <is>
          <t>29.07.2027</t>
        </is>
      </c>
      <c r="E343" t="inlineStr">
        <is>
          <t>Malaysia</t>
        </is>
      </c>
    </row>
    <row r="344">
      <c r="A344" t="inlineStr">
        <is>
          <t>TRANSWASTE TECHNOLOGIES,  Thomastown, Australia</t>
        </is>
      </c>
      <c r="B344" t="inlineStr">
        <is>
          <t>Point of Origin</t>
        </is>
      </c>
      <c r="C344" t="inlineStr">
        <is>
          <t>BM Certification, Riga, LV</t>
        </is>
      </c>
      <c r="D344" t="inlineStr">
        <is>
          <t>29.07.2027</t>
        </is>
      </c>
      <c r="E344" t="inlineStr">
        <is>
          <t>Australia</t>
        </is>
      </c>
    </row>
    <row r="345">
      <c r="A345" t="inlineStr">
        <is>
          <t>TRANSWASTE TECHNOLOGIES,  Thomastown, Australia</t>
        </is>
      </c>
      <c r="B345" t="inlineStr">
        <is>
          <t>Point of Origin</t>
        </is>
      </c>
      <c r="C345" t="inlineStr">
        <is>
          <t>BM Certification, Riga, LV</t>
        </is>
      </c>
      <c r="D345" t="inlineStr">
        <is>
          <t>29.07.2027</t>
        </is>
      </c>
      <c r="E345" t="inlineStr">
        <is>
          <t>Australia</t>
        </is>
      </c>
    </row>
    <row r="346">
      <c r="A346" t="inlineStr">
        <is>
          <t>Bf Agricola srl - Società Agricola,  Jolanda di Savoia, Italy</t>
        </is>
      </c>
      <c r="B346" t="inlineStr">
        <is>
          <t>Farm / Plantation</t>
        </is>
      </c>
      <c r="C346" t="inlineStr">
        <is>
          <t>DNV Business Assurance Sweden AB, Solna, SE</t>
        </is>
      </c>
      <c r="D346" t="inlineStr">
        <is>
          <t>29.07.2027</t>
        </is>
      </c>
      <c r="E346" t="inlineStr">
        <is>
          <t>Italy</t>
        </is>
      </c>
    </row>
    <row r="347">
      <c r="A347" t="inlineStr">
        <is>
          <t>Bf Agricola srl - Società Agricola,  Cortona, Italy</t>
        </is>
      </c>
      <c r="B347" t="inlineStr">
        <is>
          <t>Farm / Plantation</t>
        </is>
      </c>
      <c r="C347" t="inlineStr">
        <is>
          <t>DNV Business Assurance Sweden AB, Solna, SE</t>
        </is>
      </c>
      <c r="D347" t="inlineStr">
        <is>
          <t>29.07.2027</t>
        </is>
      </c>
      <c r="E347" t="inlineStr">
        <is>
          <t>Italy</t>
        </is>
      </c>
    </row>
    <row r="348">
      <c r="A348" t="inlineStr">
        <is>
          <t>Youke Energy (Jiangsu) Co.,Ltd.,  Nantong, China</t>
        </is>
      </c>
      <c r="B348" t="inlineStr">
        <is>
          <t>Collecting Point, Trader with Storage</t>
        </is>
      </c>
      <c r="C348" t="inlineStr">
        <is>
          <t>RINA Services S.p.A., Genova, IT</t>
        </is>
      </c>
      <c r="D348" t="inlineStr">
        <is>
          <t>29.07.2027</t>
        </is>
      </c>
      <c r="E348" t="inlineStr">
        <is>
          <t>China</t>
        </is>
      </c>
    </row>
    <row r="349">
      <c r="A349" t="inlineStr">
        <is>
          <t>Idemitsu Kosan,  Chiyoda-ku, Tokyo, Japan</t>
        </is>
      </c>
      <c r="B349" t="inlineStr">
        <is>
          <t>Collecting Point, Trader with Storage</t>
        </is>
      </c>
      <c r="C349" t="inlineStr">
        <is>
          <t>Trans Certification and Inspection Sdn Bhd, Kuantan, MY</t>
        </is>
      </c>
      <c r="D349" t="inlineStr">
        <is>
          <t>29.07.2027</t>
        </is>
      </c>
      <c r="E349" t="inlineStr">
        <is>
          <t>Japan</t>
        </is>
      </c>
    </row>
    <row r="350">
      <c r="A350" t="inlineStr">
        <is>
          <t>Arttech International Ltd.,  Shenzhen, China</t>
        </is>
      </c>
      <c r="B350" t="inlineStr">
        <is>
          <t>Trader</t>
        </is>
      </c>
      <c r="C350" t="inlineStr">
        <is>
          <t>SCS Global Services, Emeryville, CA, US</t>
        </is>
      </c>
      <c r="D350" t="inlineStr">
        <is>
          <t>29.07.2027</t>
        </is>
      </c>
      <c r="E350" t="inlineStr">
        <is>
          <t>China</t>
        </is>
      </c>
    </row>
    <row r="351">
      <c r="A351" t="inlineStr">
        <is>
          <t>KYUSYU YAMAGUCHI OIL &amp; FATS COOPERATIVE,  WAKAMATSU-KU, KITAKYUSYU-SHI, Japan</t>
        </is>
      </c>
      <c r="B351" t="inlineStr">
        <is>
          <t>Collecting Point</t>
        </is>
      </c>
      <c r="C351" t="inlineStr">
        <is>
          <t>PT TUV Rheinland Indonesia, Jakarta, ID</t>
        </is>
      </c>
      <c r="D351" t="inlineStr">
        <is>
          <t>29.07.2027</t>
        </is>
      </c>
      <c r="E351" t="inlineStr">
        <is>
          <t>Japan</t>
        </is>
      </c>
    </row>
    <row r="352">
      <c r="A352" t="inlineStr">
        <is>
          <t>KYUSYU YAMAGUCHI OIL &amp; FATS COOPERATIVE,  WAKAMATSU-KU, KITAKYUSYU-SHI, Japan</t>
        </is>
      </c>
      <c r="B352" t="inlineStr">
        <is>
          <t>Collecting Point</t>
        </is>
      </c>
      <c r="C352" t="inlineStr">
        <is>
          <t>PT TUV Rheinland Indonesia, Jakarta, ID</t>
        </is>
      </c>
      <c r="D352" t="inlineStr">
        <is>
          <t>29.07.2027</t>
        </is>
      </c>
      <c r="E352" t="inlineStr">
        <is>
          <t>Japan</t>
        </is>
      </c>
    </row>
    <row r="353">
      <c r="A353" t="inlineStr">
        <is>
          <t>Apex Energy International Pte. Ltd.,  Singapore, Singapore</t>
        </is>
      </c>
      <c r="B353" t="inlineStr">
        <is>
          <t>Trader</t>
        </is>
      </c>
      <c r="C353" t="inlineStr">
        <is>
          <t>Control Union Certifications Germany GmbH, Berlin, DE</t>
        </is>
      </c>
      <c r="D353" t="inlineStr">
        <is>
          <t>29.07.2027</t>
        </is>
      </c>
      <c r="E353" t="inlineStr">
        <is>
          <t>Singapore</t>
        </is>
      </c>
    </row>
    <row r="354">
      <c r="A354" t="inlineStr">
        <is>
          <t>Apex Energy International Pte. Ltd.,  Singapore, Singapore</t>
        </is>
      </c>
      <c r="B354" t="inlineStr">
        <is>
          <t>Trader</t>
        </is>
      </c>
      <c r="C354" t="inlineStr">
        <is>
          <t>Control Union Certifications Germany GmbH, Berlin, DE</t>
        </is>
      </c>
      <c r="D354" t="inlineStr">
        <is>
          <t>29.07.2027</t>
        </is>
      </c>
      <c r="E354" t="inlineStr">
        <is>
          <t>Singapore</t>
        </is>
      </c>
    </row>
    <row r="355">
      <c r="A355" t="inlineStr">
        <is>
          <t>Apex Energy International Pte. Ltd.,  Singapore, Singapore</t>
        </is>
      </c>
      <c r="B355" t="inlineStr">
        <is>
          <t>Trader</t>
        </is>
      </c>
      <c r="C355" t="inlineStr">
        <is>
          <t>Control Union Certifications Germany GmbH, Berlin, DE</t>
        </is>
      </c>
      <c r="D355" t="inlineStr">
        <is>
          <t>29.07.2027</t>
        </is>
      </c>
      <c r="E355" t="inlineStr">
        <is>
          <t>Singapore</t>
        </is>
      </c>
    </row>
    <row r="356">
      <c r="A356" t="inlineStr">
        <is>
          <t>VIJAYNEHA POLYMERS PVT LTD. UNIT-III,  Rangareddy, India</t>
        </is>
      </c>
      <c r="B356" t="inlineStr">
        <is>
          <t>Final Product Refinement, Processing Unit</t>
        </is>
      </c>
      <c r="C356" t="inlineStr">
        <is>
          <t>Cotecna India Inspection Pvt Ltd, Kolkata, IN</t>
        </is>
      </c>
      <c r="D356" t="inlineStr">
        <is>
          <t>29.07.2027</t>
        </is>
      </c>
      <c r="E356" t="inlineStr">
        <is>
          <t>India</t>
        </is>
      </c>
    </row>
    <row r="357">
      <c r="A357" t="inlineStr">
        <is>
          <t>SK Advanced Co., Ltd.,  Ulsan, The Republic of Korea</t>
        </is>
      </c>
      <c r="B357" t="inlineStr">
        <is>
          <t>Trader with Storage</t>
        </is>
      </c>
      <c r="C357" t="inlineStr">
        <is>
          <t>Control Union Certifications Germany GmbH, Berlin, DE</t>
        </is>
      </c>
      <c r="D357" t="inlineStr">
        <is>
          <t>29.07.2027</t>
        </is>
      </c>
      <c r="E357" t="inlineStr">
        <is>
          <t>The Republic of Korea</t>
        </is>
      </c>
    </row>
    <row r="358">
      <c r="A358" t="inlineStr">
        <is>
          <t>MJM (Palm Oil Mill) Sdn Bhd,  Miri, Sibuti Land DIstrict, Malaysia</t>
        </is>
      </c>
      <c r="B358" t="inlineStr">
        <is>
          <t>Point of Origin</t>
        </is>
      </c>
      <c r="C358" t="inlineStr">
        <is>
          <t>NIOSH Certification Sdn. Bhd., Selangor Darul Ehsan, MY</t>
        </is>
      </c>
      <c r="D358" t="inlineStr">
        <is>
          <t>29.07.2027</t>
        </is>
      </c>
      <c r="E358" t="inlineStr">
        <is>
          <t>Malaysia</t>
        </is>
      </c>
    </row>
    <row r="359">
      <c r="A359" t="inlineStr">
        <is>
          <t>SFD Distribution, družstvo,  Bratislava, Slovakia</t>
        </is>
      </c>
      <c r="B359" t="inlineStr">
        <is>
          <t>First Gathering Point, Trader</t>
        </is>
      </c>
      <c r="C359" t="inlineStr">
        <is>
          <t>Bureau Veritas Polska Sp. z o.o., Warsaw, PL</t>
        </is>
      </c>
      <c r="D359" t="inlineStr">
        <is>
          <t>29.07.2027</t>
        </is>
      </c>
      <c r="E359" t="inlineStr">
        <is>
          <t>Slovakia</t>
        </is>
      </c>
    </row>
    <row r="360">
      <c r="A360" t="inlineStr">
        <is>
          <t>EAST WIND FOOTWEAR COMPANY LIMITED (INDIA BRANCH) UNIT-2,  MATHUR POST, VEMBAKKAM TALUK, THIRUVANNAMALAI, India</t>
        </is>
      </c>
      <c r="B360" t="inlineStr">
        <is>
          <t>Final Product Refinement, Processing Unit, Trader</t>
        </is>
      </c>
      <c r="C360" t="inlineStr">
        <is>
          <t>ISOQAR Ltd, Stretford, Manchester, GB</t>
        </is>
      </c>
      <c r="D360" t="inlineStr">
        <is>
          <t>29.07.2027</t>
        </is>
      </c>
      <c r="E360" t="inlineStr">
        <is>
          <t>India</t>
        </is>
      </c>
    </row>
    <row r="361">
      <c r="A361" t="inlineStr">
        <is>
          <t>Jeilpolychem.Inc,  Gunsan-si, The Republic of Korea</t>
        </is>
      </c>
      <c r="B361" t="inlineStr">
        <is>
          <t>Processing Unit</t>
        </is>
      </c>
      <c r="C361" t="inlineStr">
        <is>
          <t>Control Union Certifications Germany GmbH, Berlin, DE</t>
        </is>
      </c>
      <c r="D361" t="inlineStr">
        <is>
          <t>29.07.2027</t>
        </is>
      </c>
      <c r="E361" t="inlineStr">
        <is>
          <t>The Republic of Korea</t>
        </is>
      </c>
    </row>
    <row r="362">
      <c r="A362" t="inlineStr">
        <is>
          <t>Zhejiang Cenway Materials Co., Ltd.,  Jiaxing City, China</t>
        </is>
      </c>
      <c r="B362" t="inlineStr">
        <is>
          <t>Processing Unit</t>
        </is>
      </c>
      <c r="C362" t="inlineStr">
        <is>
          <t>SGS Germany GmbH, Emstek, DE</t>
        </is>
      </c>
      <c r="D362" t="inlineStr">
        <is>
          <t>29.07.2027</t>
        </is>
      </c>
      <c r="E362" t="inlineStr">
        <is>
          <t>China</t>
        </is>
      </c>
    </row>
    <row r="363">
      <c r="A363" t="inlineStr">
        <is>
          <t>Rabi-Simon Kft.,  Előszállás, Hungary</t>
        </is>
      </c>
      <c r="B363" t="inlineStr">
        <is>
          <t>Farm / Plantation, First Gathering Point, Trader with Storage</t>
        </is>
      </c>
      <c r="C363" t="inlineStr">
        <is>
          <t>BM Certification, Riga, LV</t>
        </is>
      </c>
      <c r="D363" t="inlineStr">
        <is>
          <t>29.07.2027</t>
        </is>
      </c>
      <c r="E363" t="inlineStr">
        <is>
          <t>Hungary</t>
        </is>
      </c>
    </row>
    <row r="364">
      <c r="A364" t="inlineStr">
        <is>
          <t>UAB, ,Agroaruodas“,  Beržynės k., Kužių sen., Šiaulių r. sav., Lithuania</t>
        </is>
      </c>
      <c r="B364" t="inlineStr">
        <is>
          <t>First Gathering Point, Trader with Storage</t>
        </is>
      </c>
      <c r="C364" t="inlineStr">
        <is>
          <t>BM Certification, Riga, LV</t>
        </is>
      </c>
      <c r="D364" t="inlineStr">
        <is>
          <t>29.07.2027</t>
        </is>
      </c>
      <c r="E364" t="inlineStr">
        <is>
          <t>Lithuania</t>
        </is>
      </c>
    </row>
    <row r="365">
      <c r="A365" t="inlineStr">
        <is>
          <t>NIVA 2008,  Kolomiytsivka Village, Nizhynskyi district, Ukraine</t>
        </is>
      </c>
      <c r="B365" t="inlineStr">
        <is>
          <t>Farm / Plantation</t>
        </is>
      </c>
      <c r="C365" t="inlineStr">
        <is>
          <t>BM Certification, Riga, LV</t>
        </is>
      </c>
      <c r="D365" t="inlineStr">
        <is>
          <t>29.07.2027</t>
        </is>
      </c>
      <c r="E365" t="inlineStr">
        <is>
          <t>Ukraine</t>
        </is>
      </c>
    </row>
    <row r="366">
      <c r="A366" t="inlineStr">
        <is>
          <t>Bridgestone Corporation,  Nasushiobara-shi, Tochigi, Japan</t>
        </is>
      </c>
      <c r="B366" t="inlineStr">
        <is>
          <t>Processing Unit</t>
        </is>
      </c>
      <c r="C366" t="inlineStr">
        <is>
          <t>SGS Germany GmbH, Emstek, DE</t>
        </is>
      </c>
      <c r="D366" t="inlineStr">
        <is>
          <t>29.07.2027</t>
        </is>
      </c>
      <c r="E366" t="inlineStr">
        <is>
          <t>Japan</t>
        </is>
      </c>
    </row>
    <row r="367">
      <c r="A367" t="inlineStr">
        <is>
          <t>Otowa Printing,  Sayama-Shi,Saitama, Japan</t>
        </is>
      </c>
      <c r="B367" t="inlineStr">
        <is>
          <t>Final Product Refinement, Processing Unit</t>
        </is>
      </c>
      <c r="C367" t="inlineStr">
        <is>
          <t>SGS Germany GmbH, Emstek, DE</t>
        </is>
      </c>
      <c r="D367" t="inlineStr">
        <is>
          <t>29.07.2027</t>
        </is>
      </c>
      <c r="E367" t="inlineStr">
        <is>
          <t>Japan</t>
        </is>
      </c>
    </row>
    <row r="368">
      <c r="A368" t="inlineStr">
        <is>
          <t>Hunan Chunxiao New Energy Co., Ltd,  Hengyang City, Hunan Province, China</t>
        </is>
      </c>
      <c r="B368" t="inlineStr">
        <is>
          <t>Collecting Point</t>
        </is>
      </c>
      <c r="C368" t="inlineStr">
        <is>
          <t>RINA Services S.p.A., Genova, IT</t>
        </is>
      </c>
      <c r="D368" t="inlineStr">
        <is>
          <t>29.07.2027</t>
        </is>
      </c>
      <c r="E368" t="inlineStr">
        <is>
          <t>China</t>
        </is>
      </c>
    </row>
    <row r="369">
      <c r="A369" t="inlineStr">
        <is>
          <t>Hebei Sky Chemical Co., Ltd.,  Shijiazhuang City, China</t>
        </is>
      </c>
      <c r="B369" t="inlineStr">
        <is>
          <t>Collecting Point, Trader with Storage</t>
        </is>
      </c>
      <c r="C369" t="inlineStr">
        <is>
          <t>RINA Services S.p.A., Genova, IT</t>
        </is>
      </c>
      <c r="D369" t="inlineStr">
        <is>
          <t>29.07.2027</t>
        </is>
      </c>
      <c r="E369" t="inlineStr">
        <is>
          <t>China</t>
        </is>
      </c>
    </row>
    <row r="370">
      <c r="A370" t="inlineStr">
        <is>
          <t>Xiamen Zhonghe Industrial Co., Ltd,  Xiamen City, China</t>
        </is>
      </c>
      <c r="B370" t="inlineStr">
        <is>
          <t>Point of Origin</t>
        </is>
      </c>
      <c r="C370" t="inlineStr">
        <is>
          <t>RINA Services S.p.A., Genova, IT</t>
        </is>
      </c>
      <c r="D370" t="inlineStr">
        <is>
          <t>29.07.2027</t>
        </is>
      </c>
      <c r="E370" t="inlineStr">
        <is>
          <t>China</t>
        </is>
      </c>
    </row>
    <row r="371">
      <c r="A371" t="inlineStr">
        <is>
          <t>Capstone Trade Kft.,  Gödöllő, Hungary</t>
        </is>
      </c>
      <c r="B371" t="inlineStr">
        <is>
          <t>First Gathering Point, Trader with Storage</t>
        </is>
      </c>
      <c r="C371" t="inlineStr">
        <is>
          <t>Amspec Iberia SL, Vilagarcia de Arousa-Pontevedra, ES</t>
        </is>
      </c>
      <c r="D371" t="inlineStr">
        <is>
          <t>29.07.2027</t>
        </is>
      </c>
      <c r="E371" t="inlineStr">
        <is>
          <t>Hungary</t>
        </is>
      </c>
    </row>
    <row r="372">
      <c r="A372" t="inlineStr">
        <is>
          <t>Shell &amp; MOH Aviation Fuels S.A.,  Marousi, Greece</t>
        </is>
      </c>
      <c r="B372" t="inlineStr">
        <is>
          <t>Proof of Compliance Trader, Trader with Storage</t>
        </is>
      </c>
      <c r="C372" t="inlineStr">
        <is>
          <t>Bureau Veritas Polska Sp. z o.o., Warsaw, PL</t>
        </is>
      </c>
      <c r="D372" t="inlineStr">
        <is>
          <t>29.07.2027</t>
        </is>
      </c>
      <c r="E372" t="inlineStr">
        <is>
          <t>Greece</t>
        </is>
      </c>
    </row>
    <row r="373">
      <c r="A373" t="inlineStr">
        <is>
          <t>BENIN CASHEW SA,  GDIZ,, Benin</t>
        </is>
      </c>
      <c r="B373" t="inlineStr">
        <is>
          <t>Point of Origin, Processing Unit</t>
        </is>
      </c>
      <c r="C373" t="inlineStr">
        <is>
          <t>PT Intertek Utama Services, Jakarta, ID</t>
        </is>
      </c>
      <c r="D373" t="inlineStr">
        <is>
          <t>29.07.2027</t>
        </is>
      </c>
      <c r="E373" t="inlineStr">
        <is>
          <t>Benin</t>
        </is>
      </c>
    </row>
    <row r="374">
      <c r="A374" t="inlineStr">
        <is>
          <t>BENIN CASHEW SA,  GDIZ,, Benin</t>
        </is>
      </c>
      <c r="B374" t="inlineStr">
        <is>
          <t>Point of Origin, Processing Unit</t>
        </is>
      </c>
      <c r="C374" t="inlineStr">
        <is>
          <t>PT Intertek Utama Services, Jakarta, ID</t>
        </is>
      </c>
      <c r="D374" t="inlineStr">
        <is>
          <t>29.07.2027</t>
        </is>
      </c>
      <c r="E374" t="inlineStr">
        <is>
          <t>Benin</t>
        </is>
      </c>
    </row>
    <row r="375">
      <c r="A375" t="inlineStr">
        <is>
          <t>Nutrivet Serv S.R.L.,  Calarasi, Calarasi county, Romania</t>
        </is>
      </c>
      <c r="B375" t="inlineStr">
        <is>
          <t>First Gathering Point, Trader with Storage</t>
        </is>
      </c>
      <c r="C375" t="inlineStr">
        <is>
          <t>SRAC Cert SRL, Bucharest, RO</t>
        </is>
      </c>
      <c r="D375" t="inlineStr">
        <is>
          <t>29.07.2027</t>
        </is>
      </c>
      <c r="E375" t="inlineStr">
        <is>
          <t>Romania</t>
        </is>
      </c>
    </row>
    <row r="376">
      <c r="A376" t="inlineStr">
        <is>
          <t>Fishfa Rubbers Limited,  CHHAPRA, RAJKOT, India</t>
        </is>
      </c>
      <c r="B376" t="inlineStr">
        <is>
          <t>Collecting Point</t>
        </is>
      </c>
      <c r="C376" t="inlineStr">
        <is>
          <t>Cotecna India Inspection Pvt Ltd, Kolkata, IN</t>
        </is>
      </c>
      <c r="D376" t="inlineStr">
        <is>
          <t>29.07.2027</t>
        </is>
      </c>
      <c r="E376" t="inlineStr">
        <is>
          <t>India</t>
        </is>
      </c>
    </row>
    <row r="377">
      <c r="A377" t="inlineStr">
        <is>
          <t>REYCARBON,  OLAIPATTI Village ,Krishnagiri District, India</t>
        </is>
      </c>
      <c r="B377" t="inlineStr">
        <is>
          <t>Collecting Point, Processing Unit</t>
        </is>
      </c>
      <c r="C377" t="inlineStr">
        <is>
          <t>SGS Germany GmbH, Emstek, DE</t>
        </is>
      </c>
      <c r="D377" t="inlineStr">
        <is>
          <t>29.07.2027</t>
        </is>
      </c>
      <c r="E377" t="inlineStr">
        <is>
          <t>India</t>
        </is>
      </c>
    </row>
    <row r="378">
      <c r="A378" t="inlineStr">
        <is>
          <t>LIMITED LIABILITY COMPANY "ECOGENESIS ENERGY",  Kamenskoye, Ukraine</t>
        </is>
      </c>
      <c r="B378" t="inlineStr">
        <is>
          <t>Processing Unit</t>
        </is>
      </c>
      <c r="C378" t="inlineStr">
        <is>
          <t>BM Certification, Riga, LV</t>
        </is>
      </c>
      <c r="D378" t="inlineStr">
        <is>
          <t>29.07.2027</t>
        </is>
      </c>
      <c r="E378" t="inlineStr">
        <is>
          <t>Ukraine</t>
        </is>
      </c>
    </row>
    <row r="379">
      <c r="A379" t="inlineStr">
        <is>
          <t>Pinokio,  Stara Zagora, Bulgaria</t>
        </is>
      </c>
      <c r="B379" t="inlineStr">
        <is>
          <t>First Gathering Point</t>
        </is>
      </c>
      <c r="C379" t="inlineStr">
        <is>
          <t>Bureau Veritas Polska Sp. z o.o., Warsaw, PL</t>
        </is>
      </c>
      <c r="D379" t="inlineStr">
        <is>
          <t>29.07.2027</t>
        </is>
      </c>
      <c r="E379" t="inlineStr">
        <is>
          <t>Bulgaria</t>
        </is>
      </c>
    </row>
    <row r="380">
      <c r="A380" t="inlineStr">
        <is>
          <t>REYCARBON,  OLAIPATTI Village ,Krishnagiri District, India</t>
        </is>
      </c>
      <c r="B380" t="inlineStr">
        <is>
          <t>Collecting Point, Processing Unit</t>
        </is>
      </c>
      <c r="C380" t="inlineStr">
        <is>
          <t>SGS Germany GmbH, Emstek, DE</t>
        </is>
      </c>
      <c r="D380" t="inlineStr">
        <is>
          <t>29.07.2027</t>
        </is>
      </c>
      <c r="E380" t="inlineStr">
        <is>
          <t>India</t>
        </is>
      </c>
    </row>
    <row r="381">
      <c r="A381" t="inlineStr">
        <is>
          <t>HOROBETA IMPEX SRL,  BEREGSAU MARE VILLAGE, SACALAZ, TIMIS COUNTY, Romania</t>
        </is>
      </c>
      <c r="B381" t="inlineStr">
        <is>
          <t>First Gathering Point</t>
        </is>
      </c>
      <c r="C381" t="inlineStr">
        <is>
          <t>SRAC Cert SRL, Bucharest, RO</t>
        </is>
      </c>
      <c r="D381" t="inlineStr">
        <is>
          <t>29.07.2027</t>
        </is>
      </c>
      <c r="E381" t="inlineStr">
        <is>
          <t>Romania</t>
        </is>
      </c>
    </row>
    <row r="382">
      <c r="A382" t="inlineStr">
        <is>
          <t>Forum Trans,  Burgas, Bulgaria</t>
        </is>
      </c>
      <c r="B382" t="inlineStr">
        <is>
          <t>First Gathering Point</t>
        </is>
      </c>
      <c r="C382" t="inlineStr">
        <is>
          <t>Baltic Control Certification, Albertslund, DK</t>
        </is>
      </c>
      <c r="D382" t="inlineStr">
        <is>
          <t>29.07.2027</t>
        </is>
      </c>
      <c r="E382" t="inlineStr">
        <is>
          <t>Bulgaria</t>
        </is>
      </c>
    </row>
    <row r="383">
      <c r="A383" t="inlineStr">
        <is>
          <t>Seltia s. r. o.,  Bardejov, Slovakia</t>
        </is>
      </c>
      <c r="B383" t="inlineStr">
        <is>
          <t>First Gathering Point, Trader</t>
        </is>
      </c>
      <c r="C383" t="inlineStr">
        <is>
          <t>United Registrar of Systems Polska Sp. z o.o., Wrocław, PL</t>
        </is>
      </c>
      <c r="D383" t="inlineStr">
        <is>
          <t>29.07.2027</t>
        </is>
      </c>
      <c r="E383" t="inlineStr">
        <is>
          <t>Slovakia</t>
        </is>
      </c>
    </row>
    <row r="384">
      <c r="A384" t="inlineStr">
        <is>
          <t>Poseidon Global Inc.,  Taoyuan City, Taiwan (Province of China)</t>
        </is>
      </c>
      <c r="B384" t="inlineStr">
        <is>
          <t>Trader</t>
        </is>
      </c>
      <c r="C384" t="inlineStr">
        <is>
          <t>ASG Cert GmbH, Munich, DE</t>
        </is>
      </c>
      <c r="D384" t="inlineStr">
        <is>
          <t>29.07.2027</t>
        </is>
      </c>
      <c r="E384" t="inlineStr">
        <is>
          <t>Taiwan (Province of China)</t>
        </is>
      </c>
    </row>
    <row r="385">
      <c r="A385" t="inlineStr">
        <is>
          <t>Northern Tier Partners LLC,  Villa Paranacito, Argentina</t>
        </is>
      </c>
      <c r="B385" t="inlineStr">
        <is>
          <t>Trader with Storage</t>
        </is>
      </c>
      <c r="C385" t="inlineStr">
        <is>
          <t>SGS Germany GmbH, Emstek, DE</t>
        </is>
      </c>
      <c r="D385" t="inlineStr">
        <is>
          <t>29.07.2027</t>
        </is>
      </c>
      <c r="E385" t="inlineStr">
        <is>
          <t>Argentina</t>
        </is>
      </c>
    </row>
    <row r="386">
      <c r="A386" t="inlineStr">
        <is>
          <t>AGROTRADE IMPEX,  Chisinau, Moldova</t>
        </is>
      </c>
      <c r="B386" t="inlineStr">
        <is>
          <t>First Gathering Point, Trader</t>
        </is>
      </c>
      <c r="C386" t="inlineStr">
        <is>
          <t>BM Certification, Riga, LV</t>
        </is>
      </c>
      <c r="D386" t="inlineStr">
        <is>
          <t>29.07.2027</t>
        </is>
      </c>
      <c r="E386" t="inlineStr">
        <is>
          <t>Moldova</t>
        </is>
      </c>
    </row>
    <row r="387">
      <c r="A387" t="inlineStr">
        <is>
          <t>Mauthner d.o.o.,  Koprivnica, Croatia</t>
        </is>
      </c>
      <c r="B387" t="inlineStr">
        <is>
          <t>First Gathering Point, Trader</t>
        </is>
      </c>
      <c r="C387" t="inlineStr">
        <is>
          <t>Bureau Veritas Polska Sp. z o.o., Warsaw, PL</t>
        </is>
      </c>
      <c r="D387" t="inlineStr">
        <is>
          <t>29.07.2027</t>
        </is>
      </c>
      <c r="E387" t="inlineStr">
        <is>
          <t>Croatia</t>
        </is>
      </c>
    </row>
    <row r="388">
      <c r="A388" t="inlineStr">
        <is>
          <t>Danyliv Capital a.s.,  Praha 10, Czech Republic</t>
        </is>
      </c>
      <c r="B388" t="inlineStr">
        <is>
          <t>First Gathering Point, Trader</t>
        </is>
      </c>
      <c r="C388" t="inlineStr">
        <is>
          <t>United Registrar of Systems Polska Sp. z o.o., Wrocław, PL</t>
        </is>
      </c>
      <c r="D388" t="inlineStr">
        <is>
          <t>29.07.2027</t>
        </is>
      </c>
      <c r="E388" t="inlineStr">
        <is>
          <t>Czech Republic</t>
        </is>
      </c>
    </row>
    <row r="389">
      <c r="A389" t="inlineStr">
        <is>
          <t>Mitsui Chemicals, Inc.,  Aizuwakamatsu-city, Fukushima, Japan</t>
        </is>
      </c>
      <c r="B389" t="inlineStr">
        <is>
          <t>Processing Unit</t>
        </is>
      </c>
      <c r="C389" t="inlineStr">
        <is>
          <t>SGS Germany GmbH, Emstek, DE</t>
        </is>
      </c>
      <c r="D389" t="inlineStr">
        <is>
          <t>29.07.2027</t>
        </is>
      </c>
      <c r="E389" t="inlineStr">
        <is>
          <t>Japan</t>
        </is>
      </c>
    </row>
    <row r="390">
      <c r="A390" t="inlineStr">
        <is>
          <t>Kolmar Americas,  Shelton, The United States of America</t>
        </is>
      </c>
      <c r="B390" t="inlineStr">
        <is>
          <t>Collecting Point, Trader with Storage</t>
        </is>
      </c>
      <c r="C390" t="inlineStr">
        <is>
          <t>Control Union Poland Sp. z o.o., Zielona Gora, PL</t>
        </is>
      </c>
      <c r="D390" t="inlineStr">
        <is>
          <t>29.07.2027</t>
        </is>
      </c>
      <c r="E390" t="inlineStr">
        <is>
          <t>The United States of America</t>
        </is>
      </c>
    </row>
    <row r="391">
      <c r="A391" t="inlineStr">
        <is>
          <t>LG Chem Poland Sp. z o.o.,  Wroclaw, Poland</t>
        </is>
      </c>
      <c r="B391" t="inlineStr">
        <is>
          <t>Processing Unit</t>
        </is>
      </c>
      <c r="C391" t="inlineStr">
        <is>
          <t>Control Union Poland Sp. z o.o., Zielona Gora, PL</t>
        </is>
      </c>
      <c r="D391" t="inlineStr">
        <is>
          <t>29.07.2027</t>
        </is>
      </c>
      <c r="E391" t="inlineStr">
        <is>
          <t>Poland</t>
        </is>
      </c>
    </row>
    <row r="392">
      <c r="A392" t="inlineStr">
        <is>
          <t>Fujian Jucheng New Energy Technology Co., Ltd.,  Quanzhou City, China</t>
        </is>
      </c>
      <c r="B392" t="inlineStr">
        <is>
          <t>Trader with Storage</t>
        </is>
      </c>
      <c r="C392" t="inlineStr">
        <is>
          <t>RINA Services S.p.A., Genova, IT</t>
        </is>
      </c>
      <c r="D392" t="inlineStr">
        <is>
          <t>29.07.2027</t>
        </is>
      </c>
      <c r="E392" t="inlineStr">
        <is>
          <t>China</t>
        </is>
      </c>
    </row>
    <row r="393">
      <c r="A393" t="inlineStr">
        <is>
          <t>Kolmar Americas,  Shelton, The United States of America</t>
        </is>
      </c>
      <c r="B393" t="inlineStr">
        <is>
          <t>Collecting Point, Trader with Storage</t>
        </is>
      </c>
      <c r="C393" t="inlineStr">
        <is>
          <t>Control Union Poland Sp. z o.o., Zielona Gora, PL</t>
        </is>
      </c>
      <c r="D393" t="inlineStr">
        <is>
          <t>29.07.2027</t>
        </is>
      </c>
      <c r="E393" t="inlineStr">
        <is>
          <t>The United States of America</t>
        </is>
      </c>
    </row>
    <row r="394">
      <c r="A394" t="inlineStr">
        <is>
          <t>Kolmar Americas,  Shelton, The United States of America</t>
        </is>
      </c>
      <c r="B394" t="inlineStr">
        <is>
          <t>Trader with Storage</t>
        </is>
      </c>
      <c r="C394" t="inlineStr">
        <is>
          <t>Control Union Poland Sp. z o.o., Zielona Gora, PL</t>
        </is>
      </c>
      <c r="D394" t="inlineStr">
        <is>
          <t>29.07.2027</t>
        </is>
      </c>
      <c r="E394" t="inlineStr">
        <is>
          <t>The United States of America</t>
        </is>
      </c>
    </row>
    <row r="395">
      <c r="A395" t="inlineStr">
        <is>
          <t>Central Palm Oil Mill,  Simpang, Malaysia</t>
        </is>
      </c>
      <c r="B395" t="inlineStr">
        <is>
          <t>Point of Origin</t>
        </is>
      </c>
      <c r="C395" t="inlineStr">
        <is>
          <t>PT. CBQA GLOBAL INDONESIA, JAKARTA SELATAN, ID</t>
        </is>
      </c>
      <c r="D395" t="inlineStr">
        <is>
          <t>29.07.2027</t>
        </is>
      </c>
      <c r="E395" t="inlineStr">
        <is>
          <t>Malaysia</t>
        </is>
      </c>
    </row>
    <row r="396">
      <c r="A396" t="inlineStr">
        <is>
          <t>Braskem S.A-UNIT Q1,  Camaçari, Brazil</t>
        </is>
      </c>
      <c r="B396" t="inlineStr">
        <is>
          <t>ETBE plant</t>
        </is>
      </c>
      <c r="C396" t="inlineStr">
        <is>
          <t>SGS Germany GmbH, Emstek, DE</t>
        </is>
      </c>
      <c r="D396" t="inlineStr">
        <is>
          <t>28.07.2027</t>
        </is>
      </c>
      <c r="E396" t="inlineStr">
        <is>
          <t>Brazil</t>
        </is>
      </c>
    </row>
    <row r="397">
      <c r="A397" t="inlineStr">
        <is>
          <t>China Renewable Energy Environmental Protection Co., Ltd,  Chongqing, China</t>
        </is>
      </c>
      <c r="B397" t="inlineStr">
        <is>
          <t>Trader with Storage</t>
        </is>
      </c>
      <c r="C397" t="inlineStr">
        <is>
          <t>RINA Services S.p.A., Genova, IT</t>
        </is>
      </c>
      <c r="D397" t="inlineStr">
        <is>
          <t>28.07.2027</t>
        </is>
      </c>
      <c r="E397" t="inlineStr">
        <is>
          <t>China</t>
        </is>
      </c>
    </row>
    <row r="398">
      <c r="A398" t="inlineStr">
        <is>
          <t>SINGAPORE JY SUPPLY CHAIN MANAGEMENT PTE. LTD.,  XIAMEN, China</t>
        </is>
      </c>
      <c r="B398" t="inlineStr">
        <is>
          <t>Trader</t>
        </is>
      </c>
      <c r="C398" t="inlineStr">
        <is>
          <t>RINA Services S.p.A., Genova, IT</t>
        </is>
      </c>
      <c r="D398" t="inlineStr">
        <is>
          <t>28.07.2027</t>
        </is>
      </c>
      <c r="E398" t="inlineStr">
        <is>
          <t>China</t>
        </is>
      </c>
    </row>
    <row r="399">
      <c r="A399" t="inlineStr">
        <is>
          <t>FYC CORPORATION,  CHUO-KU, FUKUOKA-SHI, Japan</t>
        </is>
      </c>
      <c r="B399" t="inlineStr">
        <is>
          <t>Trader</t>
        </is>
      </c>
      <c r="C399" t="inlineStr">
        <is>
          <t>PT TUV Rheinland Indonesia, Jakarta, ID</t>
        </is>
      </c>
      <c r="D399" t="inlineStr">
        <is>
          <t>28.07.2027</t>
        </is>
      </c>
      <c r="E399" t="inlineStr">
        <is>
          <t>Japan</t>
        </is>
      </c>
    </row>
    <row r="400">
      <c r="A400" t="inlineStr">
        <is>
          <t>Iogen RC Fuels LP,  Ottawa, Ontario, Canada</t>
        </is>
      </c>
      <c r="B400" t="inlineStr">
        <is>
          <t>Trader</t>
        </is>
      </c>
      <c r="C400" t="inlineStr">
        <is>
          <t>Control Union Poland Sp. z o.o., Zielona Gora, PL</t>
        </is>
      </c>
      <c r="D400" t="inlineStr">
        <is>
          <t>28.07.2027</t>
        </is>
      </c>
      <c r="E400" t="inlineStr">
        <is>
          <t>Canada</t>
        </is>
      </c>
    </row>
    <row r="401">
      <c r="A401" t="inlineStr">
        <is>
          <t>Iogen RC Fuels LP,  Ottawa, Ontario, Canada</t>
        </is>
      </c>
      <c r="B401" t="inlineStr">
        <is>
          <t>Trader</t>
        </is>
      </c>
      <c r="C401" t="inlineStr">
        <is>
          <t>Control Union Poland Sp. z o.o., Zielona Gora, PL</t>
        </is>
      </c>
      <c r="D401" t="inlineStr">
        <is>
          <t>28.07.2027</t>
        </is>
      </c>
      <c r="E401" t="inlineStr">
        <is>
          <t>Canada</t>
        </is>
      </c>
    </row>
    <row r="402">
      <c r="A402" t="inlineStr">
        <is>
          <t>Iogen RC Fuels LLC,  Ottawa, Ontario, Canada</t>
        </is>
      </c>
      <c r="B402" t="inlineStr">
        <is>
          <t>Trader</t>
        </is>
      </c>
      <c r="C402" t="inlineStr">
        <is>
          <t>Control Union Poland Sp. z o.o., Zielona Gora, PL</t>
        </is>
      </c>
      <c r="D402" t="inlineStr">
        <is>
          <t>28.07.2027</t>
        </is>
      </c>
      <c r="E402" t="inlineStr">
        <is>
          <t>Canada</t>
        </is>
      </c>
    </row>
    <row r="403">
      <c r="A403" t="inlineStr">
        <is>
          <t>Iogen RC Fuels LLC,  Ottawa, Ontario, Canada</t>
        </is>
      </c>
      <c r="B403" t="inlineStr">
        <is>
          <t>Trader</t>
        </is>
      </c>
      <c r="C403" t="inlineStr">
        <is>
          <t>Control Union Poland Sp. z o.o., Zielona Gora, PL</t>
        </is>
      </c>
      <c r="D403" t="inlineStr">
        <is>
          <t>28.07.2027</t>
        </is>
      </c>
      <c r="E403" t="inlineStr">
        <is>
          <t>Canada</t>
        </is>
      </c>
    </row>
    <row r="404">
      <c r="A404" t="inlineStr">
        <is>
          <t>Iogen Biomethane Supply Chain III,  Ottawa, Ontario, Canada</t>
        </is>
      </c>
      <c r="B404" t="inlineStr">
        <is>
          <t>Trader</t>
        </is>
      </c>
      <c r="C404" t="inlineStr">
        <is>
          <t>Control Union Poland Sp. z o.o., Zielona Gora, PL</t>
        </is>
      </c>
      <c r="D404" t="inlineStr">
        <is>
          <t>28.07.2027</t>
        </is>
      </c>
      <c r="E404" t="inlineStr">
        <is>
          <t>Canada</t>
        </is>
      </c>
    </row>
    <row r="405">
      <c r="A405" t="inlineStr">
        <is>
          <t>Valogreene Recinor,  As Somozas, Spain</t>
        </is>
      </c>
      <c r="B405" t="inlineStr">
        <is>
          <t>Collecting Point, Processing Unit</t>
        </is>
      </c>
      <c r="C405" t="inlineStr">
        <is>
          <t>Control Union Poland Sp. z o.o., Zielona Gora, PL</t>
        </is>
      </c>
      <c r="D405" t="inlineStr">
        <is>
          <t>28.07.2027</t>
        </is>
      </c>
      <c r="E405" t="inlineStr">
        <is>
          <t>Spain</t>
        </is>
      </c>
    </row>
    <row r="406">
      <c r="A406" t="inlineStr">
        <is>
          <t>ARA OIL CO., LTD,  Suratthani, Thailand</t>
        </is>
      </c>
      <c r="B406" t="inlineStr">
        <is>
          <t>Collecting Point, Trader with Storage</t>
        </is>
      </c>
      <c r="C406" t="inlineStr">
        <is>
          <t>Control Union Poland Sp. z o.o., Zielona Gora, PL</t>
        </is>
      </c>
      <c r="D406" t="inlineStr">
        <is>
          <t>28.07.2027</t>
        </is>
      </c>
      <c r="E406" t="inlineStr">
        <is>
          <t>Thailand</t>
        </is>
      </c>
    </row>
    <row r="407">
      <c r="A407" t="inlineStr">
        <is>
          <t>Iogen Biomethane Supply Chain III,  Ottawa, Ontario, Canada</t>
        </is>
      </c>
      <c r="B407" t="inlineStr">
        <is>
          <t>Trader</t>
        </is>
      </c>
      <c r="C407" t="inlineStr">
        <is>
          <t>Control Union Poland Sp. z o.o., Zielona Gora, PL</t>
        </is>
      </c>
      <c r="D407" t="inlineStr">
        <is>
          <t>28.07.2027</t>
        </is>
      </c>
      <c r="E407" t="inlineStr">
        <is>
          <t>Canada</t>
        </is>
      </c>
    </row>
    <row r="408">
      <c r="A408" t="inlineStr">
        <is>
          <t>Iogen Biofuel Holdings LLC,  Ottawa, Ontario, Canada</t>
        </is>
      </c>
      <c r="B408" t="inlineStr">
        <is>
          <t>Trader</t>
        </is>
      </c>
      <c r="C408" t="inlineStr">
        <is>
          <t>Control Union Poland Sp. z o.o., Zielona Gora, PL</t>
        </is>
      </c>
      <c r="D408" t="inlineStr">
        <is>
          <t>28.07.2027</t>
        </is>
      </c>
      <c r="E408" t="inlineStr">
        <is>
          <t>Canada</t>
        </is>
      </c>
    </row>
    <row r="409">
      <c r="A409" t="inlineStr">
        <is>
          <t>Iogen Biofuel Holdings LLC,  Ottawa, Ontario, Canada</t>
        </is>
      </c>
      <c r="B409" t="inlineStr">
        <is>
          <t>Trader</t>
        </is>
      </c>
      <c r="C409" t="inlineStr">
        <is>
          <t>Control Union Poland Sp. z o.o., Zielona Gora, PL</t>
        </is>
      </c>
      <c r="D409" t="inlineStr">
        <is>
          <t>28.07.2027</t>
        </is>
      </c>
      <c r="E409" t="inlineStr">
        <is>
          <t>Canada</t>
        </is>
      </c>
    </row>
    <row r="410">
      <c r="A410" t="inlineStr">
        <is>
          <t>HCP PACKAGING USA,  Reynosa, Mexico</t>
        </is>
      </c>
      <c r="B410" t="inlineStr">
        <is>
          <t>Processing Unit</t>
        </is>
      </c>
      <c r="C410" t="inlineStr">
        <is>
          <t>SCS Global Services, Emeryville, CA, US</t>
        </is>
      </c>
      <c r="D410" t="inlineStr">
        <is>
          <t>28.07.2027</t>
        </is>
      </c>
      <c r="E410" t="inlineStr">
        <is>
          <t>Mexico</t>
        </is>
      </c>
    </row>
    <row r="411">
      <c r="A411" t="inlineStr">
        <is>
          <t>Kovács és Társai Birtok Kft.,  Kajdacs, Hungary</t>
        </is>
      </c>
      <c r="B411" t="inlineStr">
        <is>
          <t>First Gathering Point</t>
        </is>
      </c>
      <c r="C411" t="inlineStr">
        <is>
          <t>Amspec Iberia SL, Vilagarcia de Arousa-Pontevedra, ES</t>
        </is>
      </c>
      <c r="D411" t="inlineStr">
        <is>
          <t>28.07.2027</t>
        </is>
      </c>
      <c r="E411" t="inlineStr">
        <is>
          <t>Hungary</t>
        </is>
      </c>
    </row>
    <row r="412">
      <c r="A412" t="inlineStr">
        <is>
          <t>Kurabo Industries Ltd.,  Osaka, Japan</t>
        </is>
      </c>
      <c r="B412" t="inlineStr">
        <is>
          <t>Trader</t>
        </is>
      </c>
      <c r="C412" t="inlineStr">
        <is>
          <t>Control Union Certifications Germany GmbH, Berlin, DE</t>
        </is>
      </c>
      <c r="D412" t="inlineStr">
        <is>
          <t>28.07.2027</t>
        </is>
      </c>
      <c r="E412" t="inlineStr">
        <is>
          <t>Japan</t>
        </is>
      </c>
    </row>
    <row r="413">
      <c r="A413" t="inlineStr">
        <is>
          <t>ORCA KOREA Co., Ltd.,  Mulgeum-eup, Yangsan-si, Gyeongsangnam-do, The Republic of Korea</t>
        </is>
      </c>
      <c r="B413" t="inlineStr">
        <is>
          <t>Trader</t>
        </is>
      </c>
      <c r="C413" t="inlineStr">
        <is>
          <t>Control Union Certifications Germany GmbH, Berlin, DE</t>
        </is>
      </c>
      <c r="D413" t="inlineStr">
        <is>
          <t>28.07.2027</t>
        </is>
      </c>
      <c r="E413" t="inlineStr">
        <is>
          <t>The Republic of Korea</t>
        </is>
      </c>
    </row>
    <row r="414">
      <c r="A414" t="inlineStr">
        <is>
          <t>ORCA KOREA Co., Ltd.,  Mulgeum-eup, Yangsan-si, Gyeongsangnam-do, The Republic of Korea</t>
        </is>
      </c>
      <c r="B414" t="inlineStr">
        <is>
          <t>Trader</t>
        </is>
      </c>
      <c r="C414" t="inlineStr">
        <is>
          <t>Control Union Certifications Germany GmbH, Berlin, DE</t>
        </is>
      </c>
      <c r="D414" t="inlineStr">
        <is>
          <t>28.07.2027</t>
        </is>
      </c>
      <c r="E414" t="inlineStr">
        <is>
          <t>The Republic of Korea</t>
        </is>
      </c>
    </row>
    <row r="415">
      <c r="A415" t="inlineStr">
        <is>
          <t>MM Bioenergi Aps,  Haarby, Denmark</t>
        </is>
      </c>
      <c r="B415" t="inlineStr">
        <is>
          <t>Collecting Point, First Gathering Point</t>
        </is>
      </c>
      <c r="C415" t="inlineStr">
        <is>
          <t>NCS Estonia OÜ, Tallinn, EE</t>
        </is>
      </c>
      <c r="D415" t="inlineStr">
        <is>
          <t>28.07.2027</t>
        </is>
      </c>
      <c r="E415" t="inlineStr">
        <is>
          <t>Denmark</t>
        </is>
      </c>
    </row>
    <row r="416">
      <c r="A416" t="inlineStr">
        <is>
          <t>Jabil Packaging Solutions Tortosa (Plasticos Castella, Sau),  Tortosa, Spain</t>
        </is>
      </c>
      <c r="B416" t="inlineStr">
        <is>
          <t>Processing Unit</t>
        </is>
      </c>
      <c r="C416" t="inlineStr">
        <is>
          <t>Control Union Poland Sp. z o.o., Zielona Gora, PL</t>
        </is>
      </c>
      <c r="D416" t="inlineStr">
        <is>
          <t>28.07.2027</t>
        </is>
      </c>
      <c r="E416" t="inlineStr">
        <is>
          <t>Spain</t>
        </is>
      </c>
    </row>
    <row r="417">
      <c r="A417" t="inlineStr">
        <is>
          <t>Sungnam Corporation,  Hanam-si, Gyeonggi-do, The Republic of Korea</t>
        </is>
      </c>
      <c r="B417" t="inlineStr">
        <is>
          <t>Collecting Point</t>
        </is>
      </c>
      <c r="C417" t="inlineStr">
        <is>
          <t>Control Union Certifications Germany GmbH, Berlin, DE</t>
        </is>
      </c>
      <c r="D417" t="inlineStr">
        <is>
          <t>28.07.2027</t>
        </is>
      </c>
      <c r="E417" t="inlineStr">
        <is>
          <t>The Republic of Korea</t>
        </is>
      </c>
    </row>
    <row r="418">
      <c r="A418" t="inlineStr">
        <is>
          <t>Sungnam Corporation,  Hanam-si, Gyeonggi-do, The Republic of Korea</t>
        </is>
      </c>
      <c r="B418" t="inlineStr">
        <is>
          <t>Collecting Point</t>
        </is>
      </c>
      <c r="C418" t="inlineStr">
        <is>
          <t>Control Union Certifications Germany GmbH, Berlin, DE</t>
        </is>
      </c>
      <c r="D418" t="inlineStr">
        <is>
          <t>28.07.2027</t>
        </is>
      </c>
      <c r="E418" t="inlineStr">
        <is>
          <t>The Republic of Korea</t>
        </is>
      </c>
    </row>
    <row r="419">
      <c r="A419" t="inlineStr">
        <is>
          <t>Zhejiang Ruichang Industry Co., Ltd.,  Shangyu CIty, Zhejiang Province, China</t>
        </is>
      </c>
      <c r="B419" t="inlineStr">
        <is>
          <t>Processing Unit</t>
        </is>
      </c>
      <c r="C419" t="inlineStr">
        <is>
          <t>Bureau Veritas Polska Sp. z o.o., Warsaw, PL</t>
        </is>
      </c>
      <c r="D419" t="inlineStr">
        <is>
          <t>28.07.2027</t>
        </is>
      </c>
      <c r="E419" t="inlineStr">
        <is>
          <t>China</t>
        </is>
      </c>
    </row>
    <row r="420">
      <c r="A420" t="inlineStr">
        <is>
          <t>FYC CORPORATION,  CHUO-KU, FUKUOKA-SHI, Japan</t>
        </is>
      </c>
      <c r="B420" t="inlineStr">
        <is>
          <t>Trader</t>
        </is>
      </c>
      <c r="C420" t="inlineStr">
        <is>
          <t>PT TUV Rheinland Indonesia, Jakarta, ID</t>
        </is>
      </c>
      <c r="D420" t="inlineStr">
        <is>
          <t>28.07.2027</t>
        </is>
      </c>
      <c r="E420" t="inlineStr">
        <is>
          <t>Japan</t>
        </is>
      </c>
    </row>
    <row r="421">
      <c r="A421" t="inlineStr">
        <is>
          <t>SEONG THYE PLANTATIONS SDN BHD,  KAHANG, Malaysia</t>
        </is>
      </c>
      <c r="B421" t="inlineStr">
        <is>
          <t>Point of Origin</t>
        </is>
      </c>
      <c r="C421" t="inlineStr">
        <is>
          <t>NIOSH Certification Sdn. Bhd., Selangor Darul Ehsan, MY</t>
        </is>
      </c>
      <c r="D421" t="inlineStr">
        <is>
          <t>28.07.2027</t>
        </is>
      </c>
      <c r="E421" t="inlineStr">
        <is>
          <t>Malaysia</t>
        </is>
      </c>
    </row>
    <row r="422">
      <c r="A422" t="inlineStr">
        <is>
          <t>SEONG THYE PLANTATIONS SDN BHD,  MUADZAM SHAH, Malaysia</t>
        </is>
      </c>
      <c r="B422" t="inlineStr">
        <is>
          <t>Point of Origin</t>
        </is>
      </c>
      <c r="C422" t="inlineStr">
        <is>
          <t>NIOSH Certification Sdn. Bhd., Selangor Darul Ehsan, MY</t>
        </is>
      </c>
      <c r="D422" t="inlineStr">
        <is>
          <t>28.07.2027</t>
        </is>
      </c>
      <c r="E422" t="inlineStr">
        <is>
          <t>Malaysia</t>
        </is>
      </c>
    </row>
    <row r="423">
      <c r="A423" t="inlineStr">
        <is>
          <t>CHIN TECK PLANTATIONS BERHAD,  Muadzam Shah, Malaysia</t>
        </is>
      </c>
      <c r="B423" t="inlineStr">
        <is>
          <t>Point of Origin</t>
        </is>
      </c>
      <c r="C423" t="inlineStr">
        <is>
          <t>NIOSH Certification Sdn. Bhd., Selangor Darul Ehsan, MY</t>
        </is>
      </c>
      <c r="D423" t="inlineStr">
        <is>
          <t>28.07.2027</t>
        </is>
      </c>
      <c r="E423" t="inlineStr">
        <is>
          <t>Malaysia</t>
        </is>
      </c>
    </row>
    <row r="424">
      <c r="A424" t="inlineStr">
        <is>
          <t>CHIN TECK PLANTATIONS BERHAD,  Gua Musang, Malaysia</t>
        </is>
      </c>
      <c r="B424" t="inlineStr">
        <is>
          <t>Point of Origin</t>
        </is>
      </c>
      <c r="C424" t="inlineStr">
        <is>
          <t>NIOSH Certification Sdn. Bhd., Selangor Darul Ehsan, MY</t>
        </is>
      </c>
      <c r="D424" t="inlineStr">
        <is>
          <t>28.07.2027</t>
        </is>
      </c>
      <c r="E424" t="inlineStr">
        <is>
          <t>Malaysia</t>
        </is>
      </c>
    </row>
    <row r="425">
      <c r="A425" t="inlineStr">
        <is>
          <t>SUPLUS CO., LTD.,  Shinjuku-ku, Tokyo, Japan</t>
        </is>
      </c>
      <c r="B425" t="inlineStr">
        <is>
          <t>Final Product Refinement</t>
        </is>
      </c>
      <c r="C425" t="inlineStr">
        <is>
          <t>RINA Services S.p.A., Genova, IT</t>
        </is>
      </c>
      <c r="D425" t="inlineStr">
        <is>
          <t>28.07.2027</t>
        </is>
      </c>
      <c r="E425" t="inlineStr">
        <is>
          <t>Japan</t>
        </is>
      </c>
    </row>
    <row r="426">
      <c r="A426" t="inlineStr">
        <is>
          <t>Bonett Energie,  Praha 8-Karlín, Czech Republic</t>
        </is>
      </c>
      <c r="B426" t="inlineStr">
        <is>
          <t>Trader</t>
        </is>
      </c>
      <c r="C426" t="inlineStr">
        <is>
          <t>TÜV SÜD Czech s.r.o., Praha 4, CZ</t>
        </is>
      </c>
      <c r="D426" t="inlineStr">
        <is>
          <t>28.07.2027</t>
        </is>
      </c>
      <c r="E426" t="inlineStr">
        <is>
          <t>Czech Republic</t>
        </is>
      </c>
    </row>
    <row r="427">
      <c r="A427" t="inlineStr">
        <is>
          <t>Molino Cañuelas,  Cañuelas, Buenos Aires, Argentina</t>
        </is>
      </c>
      <c r="B427" t="inlineStr">
        <is>
          <t>Point of Origin</t>
        </is>
      </c>
      <c r="C427" t="inlineStr">
        <is>
          <t>Control Union Poland Sp. z o.o., Zielona Gora, PL</t>
        </is>
      </c>
      <c r="D427" t="inlineStr">
        <is>
          <t>28.07.2027</t>
        </is>
      </c>
      <c r="E427" t="inlineStr">
        <is>
          <t>Argentina</t>
        </is>
      </c>
    </row>
    <row r="428">
      <c r="A428" t="inlineStr">
        <is>
          <t>Planet Asia Pte Ltd,  TradeHub 21, Singapore</t>
        </is>
      </c>
      <c r="B428" t="inlineStr">
        <is>
          <t>Trader with Storage</t>
        </is>
      </c>
      <c r="C428" t="inlineStr">
        <is>
          <t>Double Helix Tracking Technologies Pte Ltd, Singapore, SG</t>
        </is>
      </c>
      <c r="D428" t="inlineStr">
        <is>
          <t>28.07.2027</t>
        </is>
      </c>
      <c r="E428" t="inlineStr">
        <is>
          <t>Singapore</t>
        </is>
      </c>
    </row>
    <row r="429">
      <c r="A429" t="inlineStr">
        <is>
          <t>Desatec,  Hamburg, Germany</t>
        </is>
      </c>
      <c r="B429" t="inlineStr">
        <is>
          <t>Trader</t>
        </is>
      </c>
      <c r="C429" t="inlineStr">
        <is>
          <t>Control Union Certifications Germany GmbH, Berlin, DE</t>
        </is>
      </c>
      <c r="D429" t="inlineStr">
        <is>
          <t>28.07.2027</t>
        </is>
      </c>
      <c r="E429" t="inlineStr">
        <is>
          <t>Germany</t>
        </is>
      </c>
    </row>
    <row r="430">
      <c r="A430" t="inlineStr">
        <is>
          <t>Desatec,  Hamburg, Germany</t>
        </is>
      </c>
      <c r="B430" t="inlineStr">
        <is>
          <t>Trader</t>
        </is>
      </c>
      <c r="C430" t="inlineStr">
        <is>
          <t>Control Union Certifications Germany GmbH, Berlin, DE</t>
        </is>
      </c>
      <c r="D430" t="inlineStr">
        <is>
          <t>28.07.2027</t>
        </is>
      </c>
      <c r="E430" t="inlineStr">
        <is>
          <t>Germany</t>
        </is>
      </c>
    </row>
    <row r="431">
      <c r="A431" t="inlineStr">
        <is>
          <t>Pu'er Wanjie Environmental Engineering Co., Ltd,  Baoshan City, Yunnan Province, China</t>
        </is>
      </c>
      <c r="B431" t="inlineStr">
        <is>
          <t>Collecting Point, Processing Unit</t>
        </is>
      </c>
      <c r="C431" t="inlineStr">
        <is>
          <t>RINA Services S.p.A., Genova, IT</t>
        </is>
      </c>
      <c r="D431" t="inlineStr">
        <is>
          <t>28.07.2027</t>
        </is>
      </c>
      <c r="E431" t="inlineStr">
        <is>
          <t>China</t>
        </is>
      </c>
    </row>
    <row r="432">
      <c r="A432" t="inlineStr">
        <is>
          <t>Arena Service Società Consortile a r.l.,  Mozzecane, Italy</t>
        </is>
      </c>
      <c r="B432" t="inlineStr">
        <is>
          <t>Trader with Storage</t>
        </is>
      </c>
      <c r="C432" t="inlineStr">
        <is>
          <t>agroVet GmbH, Enzersfeld, AT</t>
        </is>
      </c>
      <c r="D432" t="inlineStr">
        <is>
          <t>28.07.2027</t>
        </is>
      </c>
      <c r="E432" t="inlineStr">
        <is>
          <t>Italy</t>
        </is>
      </c>
    </row>
    <row r="433">
      <c r="A433" t="inlineStr">
        <is>
          <t>DMT Milieutechnologie BV,  Farmsum, The Netherlands</t>
        </is>
      </c>
      <c r="B433" t="inlineStr">
        <is>
          <t>Collecting Point, Processing Unit</t>
        </is>
      </c>
      <c r="C433" t="inlineStr">
        <is>
          <t>Normec QS BV, Ede, NL</t>
        </is>
      </c>
      <c r="D433" t="inlineStr">
        <is>
          <t>28.07.2027</t>
        </is>
      </c>
      <c r="E433" t="inlineStr">
        <is>
          <t>The Netherlands</t>
        </is>
      </c>
    </row>
    <row r="434">
      <c r="A434" t="inlineStr">
        <is>
          <t>ŽŪK „Panevėžio aruodas“,  Gustonys, Panevėžio r., Lithuania</t>
        </is>
      </c>
      <c r="B434" t="inlineStr">
        <is>
          <t>First Gathering Point, Trader</t>
        </is>
      </c>
      <c r="C434" t="inlineStr">
        <is>
          <t>BM Certification, Riga, LV</t>
        </is>
      </c>
      <c r="D434" t="inlineStr">
        <is>
          <t>28.07.2027</t>
        </is>
      </c>
      <c r="E434" t="inlineStr">
        <is>
          <t>Lithuania</t>
        </is>
      </c>
    </row>
    <row r="435">
      <c r="A435" t="inlineStr">
        <is>
          <t>GreenFerm B.V.,  Apeldoorn, The Netherlands</t>
        </is>
      </c>
      <c r="B435" t="inlineStr">
        <is>
          <t>Collecting Point, Trader with Storage</t>
        </is>
      </c>
      <c r="C435" t="inlineStr">
        <is>
          <t>DEKRA Certification B.V., Arnhem, NL</t>
        </is>
      </c>
      <c r="D435" t="inlineStr">
        <is>
          <t>28.07.2027</t>
        </is>
      </c>
      <c r="E435" t="inlineStr">
        <is>
          <t>The Netherlands</t>
        </is>
      </c>
    </row>
    <row r="436">
      <c r="A436" t="inlineStr">
        <is>
          <t>Florin AG,  Muttenz, Switzerland</t>
        </is>
      </c>
      <c r="B436" t="inlineStr">
        <is>
          <t>Processing Unit</t>
        </is>
      </c>
      <c r="C436" t="inlineStr">
        <is>
          <t>SGS Germany GmbH, Emstek, DE</t>
        </is>
      </c>
      <c r="D436" t="inlineStr">
        <is>
          <t>28.07.2027</t>
        </is>
      </c>
      <c r="E436" t="inlineStr">
        <is>
          <t>Switzerland</t>
        </is>
      </c>
    </row>
    <row r="437">
      <c r="A437" t="inlineStr">
        <is>
          <t>Synthomer Asua S.L.,  Sondika, Spain</t>
        </is>
      </c>
      <c r="B437" t="inlineStr">
        <is>
          <t>Processing Unit, Trader with Storage</t>
        </is>
      </c>
      <c r="C437" t="inlineStr">
        <is>
          <t>SGS Germany GmbH, Emstek, DE</t>
        </is>
      </c>
      <c r="D437" t="inlineStr">
        <is>
          <t>28.07.2027</t>
        </is>
      </c>
      <c r="E437" t="inlineStr">
        <is>
          <t>Spain</t>
        </is>
      </c>
    </row>
    <row r="438">
      <c r="A438" t="inlineStr">
        <is>
          <t>O.Ö. Landes-Abfallverwertungsunternehmen GmbH,  Wels, Austria</t>
        </is>
      </c>
      <c r="B438" t="inlineStr">
        <is>
          <t>Collecting Point</t>
        </is>
      </c>
      <c r="C438" t="inlineStr">
        <is>
          <t>agroVet GmbH, Enzersfeld, AT</t>
        </is>
      </c>
      <c r="D438" t="inlineStr">
        <is>
          <t>28.07.2027</t>
        </is>
      </c>
      <c r="E438" t="inlineStr">
        <is>
          <t>Austria</t>
        </is>
      </c>
    </row>
    <row r="439">
      <c r="A439" t="inlineStr">
        <is>
          <t>Idemitsu Retail Marketing Co. Ltd.,  Koto-ku, Tokyo, Japan</t>
        </is>
      </c>
      <c r="B439" t="inlineStr">
        <is>
          <t>Trader</t>
        </is>
      </c>
      <c r="C439" t="inlineStr">
        <is>
          <t>SGS Germany GmbH, Emstek, DE</t>
        </is>
      </c>
      <c r="D439" t="inlineStr">
        <is>
          <t>28.07.2027</t>
        </is>
      </c>
      <c r="E439" t="inlineStr">
        <is>
          <t>Japan</t>
        </is>
      </c>
    </row>
    <row r="440">
      <c r="A440" t="inlineStr">
        <is>
          <t>LLC GOLDEN GRAIN AND COMPANY,  Pasyky-Zubrytskyi village, Ukraine</t>
        </is>
      </c>
      <c r="B440" t="inlineStr">
        <is>
          <t>First Gathering Point, Trader</t>
        </is>
      </c>
      <c r="C440" t="inlineStr">
        <is>
          <t>United Registrar of Systems Polska Sp. z o.o., Wrocław, PL</t>
        </is>
      </c>
      <c r="D440" t="inlineStr">
        <is>
          <t>28.07.2027</t>
        </is>
      </c>
      <c r="E440" t="inlineStr">
        <is>
          <t>Ukraine</t>
        </is>
      </c>
    </row>
    <row r="441">
      <c r="A441" t="inlineStr">
        <is>
          <t>VITOGAS ESPAÑA, S.A.,  EL PRAT DE LLOBREGAT, Spain</t>
        </is>
      </c>
      <c r="B441" t="inlineStr">
        <is>
          <t>Trader with Storage</t>
        </is>
      </c>
      <c r="C441" t="inlineStr">
        <is>
          <t>Control Union Poland Sp. z o.o., Zielona Gora, PL</t>
        </is>
      </c>
      <c r="D441" t="inlineStr">
        <is>
          <t>28.07.2027</t>
        </is>
      </c>
      <c r="E441" t="inlineStr">
        <is>
          <t>Spain</t>
        </is>
      </c>
    </row>
    <row r="442">
      <c r="A442" t="inlineStr">
        <is>
          <t>Golden Cashew Products,  Puducherry, India</t>
        </is>
      </c>
      <c r="B442" t="inlineStr">
        <is>
          <t>Processing Unit, Trader with Storage</t>
        </is>
      </c>
      <c r="C442" t="inlineStr">
        <is>
          <t>ISOQAR Ltd, Stretford, Manchester, GB</t>
        </is>
      </c>
      <c r="D442" t="inlineStr">
        <is>
          <t>28.07.2027</t>
        </is>
      </c>
      <c r="E442" t="inlineStr">
        <is>
          <t>India</t>
        </is>
      </c>
    </row>
    <row r="443">
      <c r="A443" t="inlineStr">
        <is>
          <t>Hangzhou Binhe New Energy Co., Ltd.,  Hangzhou City, Zhejiang Province,, China</t>
        </is>
      </c>
      <c r="B443" t="inlineStr">
        <is>
          <t>Collecting Point</t>
        </is>
      </c>
      <c r="C443" t="inlineStr">
        <is>
          <t>RINA Services S.p.A., Genova, IT</t>
        </is>
      </c>
      <c r="D443" t="inlineStr">
        <is>
          <t>28.07.2027</t>
        </is>
      </c>
      <c r="E443" t="inlineStr">
        <is>
          <t>China</t>
        </is>
      </c>
    </row>
    <row r="444">
      <c r="A444" t="inlineStr">
        <is>
          <t>Plastiape,  Sirone (LC), Italy</t>
        </is>
      </c>
      <c r="B444" t="inlineStr">
        <is>
          <t>Processing Unit</t>
        </is>
      </c>
      <c r="C444" t="inlineStr">
        <is>
          <t>RINA Services S.p.A., Genova, IT</t>
        </is>
      </c>
      <c r="D444" t="inlineStr">
        <is>
          <t>28.07.2027</t>
        </is>
      </c>
      <c r="E444" t="inlineStr">
        <is>
          <t>Italy</t>
        </is>
      </c>
    </row>
    <row r="445">
      <c r="A445" t="inlineStr">
        <is>
          <t>SDR - Sociedade de Destilação de Riachos,  Riachos, Portugal</t>
        </is>
      </c>
      <c r="B445" t="inlineStr">
        <is>
          <t>Collecting Point, Processing Unit</t>
        </is>
      </c>
      <c r="C445" t="inlineStr">
        <is>
          <t>Control Union Poland Sp. z o.o., Zielona Gora, PL</t>
        </is>
      </c>
      <c r="D445" t="inlineStr">
        <is>
          <t>28.07.2027</t>
        </is>
      </c>
      <c r="E445" t="inlineStr">
        <is>
          <t>Portugal</t>
        </is>
      </c>
    </row>
    <row r="446">
      <c r="A446" t="inlineStr">
        <is>
          <t>Plastiape,  Osnago (LC), Italy</t>
        </is>
      </c>
      <c r="B446" t="inlineStr">
        <is>
          <t>Processing Unit</t>
        </is>
      </c>
      <c r="C446" t="inlineStr">
        <is>
          <t>RINA Services S.p.A., Genova, IT</t>
        </is>
      </c>
      <c r="D446" t="inlineStr">
        <is>
          <t>28.07.2027</t>
        </is>
      </c>
      <c r="E446" t="inlineStr">
        <is>
          <t>Italy</t>
        </is>
      </c>
    </row>
    <row r="447">
      <c r="A447" t="inlineStr">
        <is>
          <t>H&amp;R Refining GmbH,  Salzbergen, Germany</t>
        </is>
      </c>
      <c r="B447" t="inlineStr">
        <is>
          <t>Processing Unit</t>
        </is>
      </c>
      <c r="C447" t="inlineStr">
        <is>
          <t>Control Union Certifications Germany GmbH, Berlin, DE</t>
        </is>
      </c>
      <c r="D447" t="inlineStr">
        <is>
          <t>28.07.2027</t>
        </is>
      </c>
      <c r="E447" t="inlineStr">
        <is>
          <t>Germany</t>
        </is>
      </c>
    </row>
    <row r="448">
      <c r="A448" t="inlineStr">
        <is>
          <t>Three Dots Kefalonia Monoprosopi IKE,  Kefalonia, Greece</t>
        </is>
      </c>
      <c r="B448" t="inlineStr">
        <is>
          <t>Collecting Point</t>
        </is>
      </c>
      <c r="C448" t="inlineStr">
        <is>
          <t>Eurocert SA, Metamorfosi, Athens, GR</t>
        </is>
      </c>
      <c r="D448" t="inlineStr">
        <is>
          <t>28.07.2027</t>
        </is>
      </c>
      <c r="E448" t="inlineStr">
        <is>
          <t>Greece</t>
        </is>
      </c>
    </row>
    <row r="449">
      <c r="A449" t="inlineStr">
        <is>
          <t>Greenergy Fuels Spain,  Madrid, Spain</t>
        </is>
      </c>
      <c r="B449" t="inlineStr">
        <is>
          <t>Trader with Storage</t>
        </is>
      </c>
      <c r="C449" t="inlineStr">
        <is>
          <t>Control Union Poland Sp. z o.o., Zielona Gora, PL</t>
        </is>
      </c>
      <c r="D449" t="inlineStr">
        <is>
          <t>28.07.2027</t>
        </is>
      </c>
      <c r="E449" t="inlineStr">
        <is>
          <t>Spain</t>
        </is>
      </c>
    </row>
    <row r="450">
      <c r="A450" t="inlineStr">
        <is>
          <t>ZARIA TRADE LTD,  BURGAS, Bulgaria</t>
        </is>
      </c>
      <c r="B450" t="inlineStr">
        <is>
          <t>Trader</t>
        </is>
      </c>
      <c r="C450" t="inlineStr">
        <is>
          <t>Baltic Control Certification, Albertslund, DK</t>
        </is>
      </c>
      <c r="D450" t="inlineStr">
        <is>
          <t>28.07.2027</t>
        </is>
      </c>
      <c r="E450" t="inlineStr">
        <is>
          <t>Bulgaria</t>
        </is>
      </c>
    </row>
    <row r="451">
      <c r="A451" t="inlineStr">
        <is>
          <t>Aeropuertos y Servicios Auxiliares,  Peñón de los Baños, Venustiano Carranza, Mexico</t>
        </is>
      </c>
      <c r="B451" t="inlineStr">
        <is>
          <t>Trader with Storage</t>
        </is>
      </c>
      <c r="C451" t="inlineStr">
        <is>
          <t>Control Union Poland Sp. z o.o., Zielona Gora, PL</t>
        </is>
      </c>
      <c r="D451" t="inlineStr">
        <is>
          <t>28.07.2027</t>
        </is>
      </c>
      <c r="E451" t="inlineStr">
        <is>
          <t>Mexico</t>
        </is>
      </c>
    </row>
    <row r="452">
      <c r="A452" t="inlineStr">
        <is>
          <t>Aeropuertos y Servicios Auxiliares,  Peñón de los Baños, Venustiano Carranza, Mexico</t>
        </is>
      </c>
      <c r="B452" t="inlineStr">
        <is>
          <t>Trader with Storage</t>
        </is>
      </c>
      <c r="C452" t="inlineStr">
        <is>
          <t>Control Union Poland Sp. z o.o., Zielona Gora, PL</t>
        </is>
      </c>
      <c r="D452" t="inlineStr">
        <is>
          <t>28.07.2027</t>
        </is>
      </c>
      <c r="E452" t="inlineStr">
        <is>
          <t>Mexico</t>
        </is>
      </c>
    </row>
    <row r="453">
      <c r="A453" t="inlineStr">
        <is>
          <t>Bio UK Fuels (Sheffield) Ltd,  Sheffield, The United Kingdom</t>
        </is>
      </c>
      <c r="B453" t="inlineStr">
        <is>
          <t>Collecting Point</t>
        </is>
      </c>
      <c r="C453" t="inlineStr">
        <is>
          <t>SGS Germany GmbH, Emstek, DE</t>
        </is>
      </c>
      <c r="D453" t="inlineStr">
        <is>
          <t>28.07.2027</t>
        </is>
      </c>
      <c r="E453" t="inlineStr">
        <is>
          <t>The United Kingdom</t>
        </is>
      </c>
    </row>
    <row r="454">
      <c r="A454" t="inlineStr">
        <is>
          <t>ANHUI BBCA BIOCHEMICAL &amp; FUTERRO PLA CO., LTD,  ANHUI,Bengbu City, China</t>
        </is>
      </c>
      <c r="B454" t="inlineStr">
        <is>
          <t>Processing Unit</t>
        </is>
      </c>
      <c r="C454" t="inlineStr">
        <is>
          <t>CTI Certification Co. Ltd, Shenzhen, CN</t>
        </is>
      </c>
      <c r="D454" t="inlineStr">
        <is>
          <t>28.07.2027</t>
        </is>
      </c>
      <c r="E454" t="inlineStr">
        <is>
          <t>China</t>
        </is>
      </c>
    </row>
    <row r="455">
      <c r="A455" t="inlineStr">
        <is>
          <t>Shandong Aomeng Energy Technology Development Co., Ltd,  Linqing City, Liaocheng City, Shandong Province, China</t>
        </is>
      </c>
      <c r="B455" t="inlineStr">
        <is>
          <t>Collecting Point, Trader with Storage</t>
        </is>
      </c>
      <c r="C455" t="inlineStr">
        <is>
          <t>SCS Global Services, Emeryville, CA, US</t>
        </is>
      </c>
      <c r="D455" t="inlineStr">
        <is>
          <t>28.07.2027</t>
        </is>
      </c>
      <c r="E455" t="inlineStr">
        <is>
          <t>China</t>
        </is>
      </c>
    </row>
    <row r="456">
      <c r="A456" t="inlineStr">
        <is>
          <t>KHANH BANG BP TRADING PRODUCTION COMPANY LIMITED,  Long Ha Commune, Dong Nai City, Vietnam</t>
        </is>
      </c>
      <c r="B456" t="inlineStr">
        <is>
          <t>Collecting Point, Point of Origin, Processing Unit, Trader with Storage</t>
        </is>
      </c>
      <c r="C456" t="inlineStr">
        <is>
          <t>BM Certification, Riga, LV</t>
        </is>
      </c>
      <c r="D456" t="inlineStr">
        <is>
          <t>28.07.2027</t>
        </is>
      </c>
      <c r="E456" t="inlineStr">
        <is>
          <t>Vietnam</t>
        </is>
      </c>
    </row>
    <row r="457">
      <c r="A457" t="inlineStr">
        <is>
          <t>TIEN LOC CASHEW OIL COMPANY LIMITED,  Lo Duc Hamlet, Ho Nai Ward, Dong Nai City, Vietnam</t>
        </is>
      </c>
      <c r="B457" t="inlineStr">
        <is>
          <t>Processing Unit, Trader with Storage</t>
        </is>
      </c>
      <c r="C457" t="inlineStr">
        <is>
          <t>BM Certification, Riga, LV</t>
        </is>
      </c>
      <c r="D457" t="inlineStr">
        <is>
          <t>28.07.2027</t>
        </is>
      </c>
      <c r="E457" t="inlineStr">
        <is>
          <t>Vietnam</t>
        </is>
      </c>
    </row>
    <row r="458">
      <c r="A458" t="inlineStr">
        <is>
          <t>LIMITED LIABILITY COMPANY "AHRO PIDPRYYEMSTVO "RISE-SHID",  Poltava region, Zavodsʹke, Ukraine</t>
        </is>
      </c>
      <c r="B458" t="inlineStr">
        <is>
          <t>First Gathering Point, Trader with Storage</t>
        </is>
      </c>
      <c r="C458" t="inlineStr">
        <is>
          <t>United Registrar of Systems Polska Sp. z o.o., Wrocław, PL</t>
        </is>
      </c>
      <c r="D458" t="inlineStr">
        <is>
          <t>28.07.2027</t>
        </is>
      </c>
      <c r="E458" t="inlineStr">
        <is>
          <t>Ukraine</t>
        </is>
      </c>
    </row>
    <row r="459">
      <c r="A459" t="inlineStr">
        <is>
          <t>Unilin BV, division Panels,  Wielsbeke, Belgium</t>
        </is>
      </c>
      <c r="B459" t="inlineStr">
        <is>
          <t>Trader</t>
        </is>
      </c>
      <c r="C459" t="inlineStr">
        <is>
          <t>SGS Germany GmbH, Emstek, DE</t>
        </is>
      </c>
      <c r="D459" t="inlineStr">
        <is>
          <t>28.07.2027</t>
        </is>
      </c>
      <c r="E459" t="inlineStr">
        <is>
          <t>Belgium</t>
        </is>
      </c>
    </row>
    <row r="460">
      <c r="A460" t="inlineStr">
        <is>
          <t>UNITED CAPS Schwerin GmbH,  Schwerin, Germany</t>
        </is>
      </c>
      <c r="B460" t="inlineStr">
        <is>
          <t>Processing Unit</t>
        </is>
      </c>
      <c r="C460" t="inlineStr">
        <is>
          <t>SGS Germany GmbH, Emstek, DE</t>
        </is>
      </c>
      <c r="D460" t="inlineStr">
        <is>
          <t>28.07.2027</t>
        </is>
      </c>
      <c r="E460" t="inlineStr">
        <is>
          <t>Germany</t>
        </is>
      </c>
    </row>
    <row r="461">
      <c r="A461" t="inlineStr">
        <is>
          <t>bio eco synergy,  subang jaya, Malaysia</t>
        </is>
      </c>
      <c r="B461" t="inlineStr">
        <is>
          <t>Trader</t>
        </is>
      </c>
      <c r="C461" t="inlineStr">
        <is>
          <t>Trans Certification and Inspection Sdn Bhd, Kuantan, MY</t>
        </is>
      </c>
      <c r="D461" t="inlineStr">
        <is>
          <t>28.07.2027</t>
        </is>
      </c>
      <c r="E461" t="inlineStr">
        <is>
          <t>Malaysia</t>
        </is>
      </c>
    </row>
    <row r="462">
      <c r="A462" t="inlineStr">
        <is>
          <t>Chongqing Yu Ying Environmental Sanitation Service Co., Ltd.,  Chongqing, China</t>
        </is>
      </c>
      <c r="B462" t="inlineStr">
        <is>
          <t>Collecting Point</t>
        </is>
      </c>
      <c r="C462" t="inlineStr">
        <is>
          <t>RINA Services S.p.A., Genova, IT</t>
        </is>
      </c>
      <c r="D462" t="inlineStr">
        <is>
          <t>28.07.2027</t>
        </is>
      </c>
      <c r="E462" t="inlineStr">
        <is>
          <t>China</t>
        </is>
      </c>
    </row>
    <row r="463">
      <c r="A463" t="inlineStr">
        <is>
          <t>Shandong Caichuang Energy Co., Ltd,  Dezhou City, Shandong Province, China</t>
        </is>
      </c>
      <c r="B463" t="inlineStr">
        <is>
          <t>Trader</t>
        </is>
      </c>
      <c r="C463" t="inlineStr">
        <is>
          <t>SCS Global Services, Emeryville, CA, US</t>
        </is>
      </c>
      <c r="D463" t="inlineStr">
        <is>
          <t>28.07.2027</t>
        </is>
      </c>
      <c r="E463" t="inlineStr">
        <is>
          <t>China</t>
        </is>
      </c>
    </row>
    <row r="464">
      <c r="A464" t="inlineStr">
        <is>
          <t>Chongqing Yu Ying Environmental Sanitation Service Co., Ltd.,  Chongqing, China</t>
        </is>
      </c>
      <c r="B464" t="inlineStr">
        <is>
          <t>Collecting Point</t>
        </is>
      </c>
      <c r="C464" t="inlineStr">
        <is>
          <t>RINA Services S.p.A., Genova, IT</t>
        </is>
      </c>
      <c r="D464" t="inlineStr">
        <is>
          <t>28.07.2027</t>
        </is>
      </c>
      <c r="E464" t="inlineStr">
        <is>
          <t>China</t>
        </is>
      </c>
    </row>
    <row r="465">
      <c r="A465" t="inlineStr">
        <is>
          <t>Standard Development (Shandong) Co., Ltd.,  Jinan City, Shandong Province, China</t>
        </is>
      </c>
      <c r="B465" t="inlineStr">
        <is>
          <t>Trader</t>
        </is>
      </c>
      <c r="C465" t="inlineStr">
        <is>
          <t>RINA Services S.p.A., Genova, IT</t>
        </is>
      </c>
      <c r="D465" t="inlineStr">
        <is>
          <t>28.07.2027</t>
        </is>
      </c>
      <c r="E465" t="inlineStr">
        <is>
          <t>China</t>
        </is>
      </c>
    </row>
    <row r="466">
      <c r="A466" t="inlineStr">
        <is>
          <t>Shandong Mingying Biotechnology Co., Ltd.,  Linyi City, Shandong Province, China</t>
        </is>
      </c>
      <c r="B466" t="inlineStr">
        <is>
          <t>Collecting Point, Trader</t>
        </is>
      </c>
      <c r="C466" t="inlineStr">
        <is>
          <t>RINA Services S.p.A., Genova, IT</t>
        </is>
      </c>
      <c r="D466" t="inlineStr">
        <is>
          <t>28.07.2027</t>
        </is>
      </c>
      <c r="E466" t="inlineStr">
        <is>
          <t>China</t>
        </is>
      </c>
    </row>
    <row r="467">
      <c r="A467" t="inlineStr">
        <is>
          <t>Hebei Carbon Zonghe Biotechnology Co., Ltd.,  Jinzhong City, China</t>
        </is>
      </c>
      <c r="B467" t="inlineStr">
        <is>
          <t>Collecting Point, Processing Unit</t>
        </is>
      </c>
      <c r="C467" t="inlineStr">
        <is>
          <t>RINA Services S.p.A., Genova, IT</t>
        </is>
      </c>
      <c r="D467" t="inlineStr">
        <is>
          <t>28.07.2027</t>
        </is>
      </c>
      <c r="E467" t="inlineStr">
        <is>
          <t>China</t>
        </is>
      </c>
    </row>
    <row r="468">
      <c r="A468" t="inlineStr">
        <is>
          <t>Hebei Carbon Zonghe Biotechnology Co., Ltd.,  Jinzhong City, China</t>
        </is>
      </c>
      <c r="B468" t="inlineStr">
        <is>
          <t>Collecting Point, Processing Unit</t>
        </is>
      </c>
      <c r="C468" t="inlineStr">
        <is>
          <t>RINA Services S.p.A., Genova, IT</t>
        </is>
      </c>
      <c r="D468" t="inlineStr">
        <is>
          <t>28.07.2027</t>
        </is>
      </c>
      <c r="E468" t="inlineStr">
        <is>
          <t>China</t>
        </is>
      </c>
    </row>
    <row r="469">
      <c r="A469" t="inlineStr">
        <is>
          <t>Agro Cosereni Cooperativa Agricola,  Cosereni, Romania</t>
        </is>
      </c>
      <c r="B469" t="inlineStr">
        <is>
          <t>First Gathering Point</t>
        </is>
      </c>
      <c r="C469" t="inlineStr">
        <is>
          <t>Bureau Veritas Polska Sp. z o.o., Warsaw, PL</t>
        </is>
      </c>
      <c r="D469" t="inlineStr">
        <is>
          <t>28.07.2027</t>
        </is>
      </c>
      <c r="E469" t="inlineStr">
        <is>
          <t>Romania</t>
        </is>
      </c>
    </row>
    <row r="470">
      <c r="A470" t="inlineStr">
        <is>
          <t>Newlight Technologies, Inc.,  Huntington Beach, The United States of America</t>
        </is>
      </c>
      <c r="B470" t="inlineStr">
        <is>
          <t>Collecting Point, Trader</t>
        </is>
      </c>
      <c r="C470" t="inlineStr">
        <is>
          <t>Aardvark Certification Ltd, Wiveliscombe, Somerset, GB</t>
        </is>
      </c>
      <c r="D470" t="inlineStr">
        <is>
          <t>28.07.2027</t>
        </is>
      </c>
      <c r="E470" t="inlineStr">
        <is>
          <t>The United States of America</t>
        </is>
      </c>
    </row>
    <row r="471">
      <c r="A471" t="inlineStr">
        <is>
          <t>AlcoNCP (PTY) LTD,  Durban, South Africa</t>
        </is>
      </c>
      <c r="B471" t="inlineStr">
        <is>
          <t>Central Office (Farms/Plantations), First Gathering Point, Point of Origin, Processing Unit</t>
        </is>
      </c>
      <c r="C471" t="inlineStr">
        <is>
          <t>Control Union Certifications Germany GmbH, Berlin, DE</t>
        </is>
      </c>
      <c r="D471" t="inlineStr">
        <is>
          <t>27.07.2027</t>
        </is>
      </c>
      <c r="E471" t="inlineStr">
        <is>
          <t>South Africa</t>
        </is>
      </c>
    </row>
    <row r="472">
      <c r="A472" t="inlineStr">
        <is>
          <t>IBS MOULDING,  Novedrate (CO), Italy</t>
        </is>
      </c>
      <c r="B472" t="inlineStr">
        <is>
          <t>Processing Unit</t>
        </is>
      </c>
      <c r="C472" t="inlineStr">
        <is>
          <t>RINA Services S.p.A., Genova, IT</t>
        </is>
      </c>
      <c r="D472" t="inlineStr">
        <is>
          <t>27.07.2027</t>
        </is>
      </c>
      <c r="E472" t="inlineStr">
        <is>
          <t>Italy</t>
        </is>
      </c>
    </row>
    <row r="473">
      <c r="A473" t="inlineStr">
        <is>
          <t>Agerona UAB,  Vilnius, Lithuania</t>
        </is>
      </c>
      <c r="B473" t="inlineStr">
        <is>
          <t>First Gathering Point, Trader with Storage</t>
        </is>
      </c>
      <c r="C473" t="inlineStr">
        <is>
          <t>Bureau Veritas Polska Sp. z o.o., Warsaw, PL</t>
        </is>
      </c>
      <c r="D473" t="inlineStr">
        <is>
          <t>27.07.2027</t>
        </is>
      </c>
      <c r="E473" t="inlineStr">
        <is>
          <t>Lithuania</t>
        </is>
      </c>
    </row>
    <row r="474">
      <c r="A474" t="inlineStr">
        <is>
          <t>Pai GOgreen CO., Ltd,  Muang Chiang Mai DIstrict, Thailand</t>
        </is>
      </c>
      <c r="B474" t="inlineStr">
        <is>
          <t>Collecting Point, Trader with Storage</t>
        </is>
      </c>
      <c r="C474" t="inlineStr">
        <is>
          <t>Control Union Poland Sp. z o.o., Zielona Gora, PL</t>
        </is>
      </c>
      <c r="D474" t="inlineStr">
        <is>
          <t>27.07.2027</t>
        </is>
      </c>
      <c r="E474" t="inlineStr">
        <is>
          <t>Thailand</t>
        </is>
      </c>
    </row>
    <row r="475">
      <c r="A475" t="inlineStr">
        <is>
          <t>Weifang Jinxinda Bio-Chemical Co.,Ltd,  Weifang City,Shandong Province, China</t>
        </is>
      </c>
      <c r="B475" t="inlineStr">
        <is>
          <t>Collecting Point, Processing Unit</t>
        </is>
      </c>
      <c r="C475" t="inlineStr">
        <is>
          <t>RINA Services S.p.A., Genova, IT</t>
        </is>
      </c>
      <c r="D475" t="inlineStr">
        <is>
          <t>27.07.2027</t>
        </is>
      </c>
      <c r="E475" t="inlineStr">
        <is>
          <t>China</t>
        </is>
      </c>
    </row>
    <row r="476">
      <c r="A476" t="inlineStr">
        <is>
          <t>KPI OceanConnect Pte Ltd,  Singapore, Singapore</t>
        </is>
      </c>
      <c r="B476" t="inlineStr">
        <is>
          <t>Trader, Proof of Compliance Trader</t>
        </is>
      </c>
      <c r="C476" t="inlineStr">
        <is>
          <t>Baltic Control Certification, Albertslund, DK</t>
        </is>
      </c>
      <c r="D476" t="inlineStr">
        <is>
          <t>27.07.2027</t>
        </is>
      </c>
      <c r="E476" t="inlineStr">
        <is>
          <t>Singapore</t>
        </is>
      </c>
    </row>
    <row r="477">
      <c r="A477" t="inlineStr">
        <is>
          <t>SIMONA AG,  Kirn, Germany</t>
        </is>
      </c>
      <c r="B477" t="inlineStr">
        <is>
          <t>Trader with Storage</t>
        </is>
      </c>
      <c r="C477" t="inlineStr">
        <is>
          <t>TÜV SÜD Industrie Service GmbH, München, DE</t>
        </is>
      </c>
      <c r="D477" t="inlineStr">
        <is>
          <t>27.07.2027</t>
        </is>
      </c>
      <c r="E477" t="inlineStr">
        <is>
          <t>Germany</t>
        </is>
      </c>
    </row>
    <row r="478">
      <c r="A478" t="inlineStr">
        <is>
          <t>SIMONA Produktion Ringsheim GmbH &amp; Co. KG,  Ringsheim, Germany</t>
        </is>
      </c>
      <c r="B478" t="inlineStr">
        <is>
          <t>Final Product Refinement, Processing Unit</t>
        </is>
      </c>
      <c r="C478" t="inlineStr">
        <is>
          <t>TÜV SÜD Industrie Service GmbH, München, DE</t>
        </is>
      </c>
      <c r="D478" t="inlineStr">
        <is>
          <t>27.07.2027</t>
        </is>
      </c>
      <c r="E478" t="inlineStr">
        <is>
          <t>Germany</t>
        </is>
      </c>
    </row>
    <row r="479">
      <c r="A479" t="inlineStr">
        <is>
          <t>SIMONA Produktion Kirn GmbH &amp; Co. KG - Werk II,  Kirn, Germany</t>
        </is>
      </c>
      <c r="B479" t="inlineStr">
        <is>
          <t>Processing Unit</t>
        </is>
      </c>
      <c r="C479" t="inlineStr">
        <is>
          <t>TÜV SÜD Industrie Service GmbH, München, DE</t>
        </is>
      </c>
      <c r="D479" t="inlineStr">
        <is>
          <t>27.07.2027</t>
        </is>
      </c>
      <c r="E479" t="inlineStr">
        <is>
          <t>Germany</t>
        </is>
      </c>
    </row>
    <row r="480">
      <c r="A480" t="inlineStr">
        <is>
          <t>Japan Elastomer Co.,  Tokyo, Japan</t>
        </is>
      </c>
      <c r="B480" t="inlineStr">
        <is>
          <t>Trader</t>
        </is>
      </c>
      <c r="C480" t="inlineStr">
        <is>
          <t>Control Union Certifications Germany GmbH, Berlin, DE</t>
        </is>
      </c>
      <c r="D480" t="inlineStr">
        <is>
          <t>27.07.2027</t>
        </is>
      </c>
      <c r="E480" t="inlineStr">
        <is>
          <t>Japan</t>
        </is>
      </c>
    </row>
    <row r="481">
      <c r="A481" t="inlineStr">
        <is>
          <t>S&amp;P TRUCKS Kft.,  Zagyvaszátnó, Hungary</t>
        </is>
      </c>
      <c r="B481" t="inlineStr">
        <is>
          <t>First Gathering Point</t>
        </is>
      </c>
      <c r="C481" t="inlineStr">
        <is>
          <t>Bureau Veritas Polska Sp. z o.o., Warsaw, PL</t>
        </is>
      </c>
      <c r="D481" t="inlineStr">
        <is>
          <t>27.07.2027</t>
        </is>
      </c>
      <c r="E481" t="inlineStr">
        <is>
          <t>Hungary</t>
        </is>
      </c>
    </row>
    <row r="482">
      <c r="A482" t="inlineStr">
        <is>
          <t>PT Alam Lestari Berjaya,  Jakarta Barat, DKI Jakarta, Indonesia</t>
        </is>
      </c>
      <c r="B482" t="inlineStr">
        <is>
          <t>Trader with Storage</t>
        </is>
      </c>
      <c r="C482" t="inlineStr">
        <is>
          <t>PT. Qualitas Sertifikasi Indonesia, Jakarta, ID</t>
        </is>
      </c>
      <c r="D482" t="inlineStr">
        <is>
          <t>27.07.2027</t>
        </is>
      </c>
      <c r="E482" t="inlineStr">
        <is>
          <t>Indonesia</t>
        </is>
      </c>
    </row>
    <row r="483">
      <c r="A483" t="inlineStr">
        <is>
          <t>PT Intibenua Perkasatama,  KOTA MEDAN, Indonesia</t>
        </is>
      </c>
      <c r="B483" t="inlineStr">
        <is>
          <t>Trader with Storage</t>
        </is>
      </c>
      <c r="C483" t="inlineStr">
        <is>
          <t>Control Union Certifications Germany GmbH, Berlin, DE</t>
        </is>
      </c>
      <c r="D483" t="inlineStr">
        <is>
          <t>27.07.2027</t>
        </is>
      </c>
      <c r="E483" t="inlineStr">
        <is>
          <t>Indonesia</t>
        </is>
      </c>
    </row>
    <row r="484">
      <c r="A484" t="inlineStr">
        <is>
          <t>PT Agro Makmur Raya,  KOTA MEDAN, Indonesia</t>
        </is>
      </c>
      <c r="B484" t="inlineStr">
        <is>
          <t>Trader with Storage</t>
        </is>
      </c>
      <c r="C484" t="inlineStr">
        <is>
          <t>Control Union Certifications Germany GmbH, Berlin, DE</t>
        </is>
      </c>
      <c r="D484" t="inlineStr">
        <is>
          <t>27.07.2027</t>
        </is>
      </c>
      <c r="E484" t="inlineStr">
        <is>
          <t>Indonesia</t>
        </is>
      </c>
    </row>
    <row r="485">
      <c r="A485" t="inlineStr">
        <is>
          <t>Kyokuyo Co.,Ltd.,  Tokyo, Japan</t>
        </is>
      </c>
      <c r="B485" t="inlineStr">
        <is>
          <t>Trader</t>
        </is>
      </c>
      <c r="C485" t="inlineStr">
        <is>
          <t>Control Union Certifications Germany GmbH, Berlin, DE</t>
        </is>
      </c>
      <c r="D485" t="inlineStr">
        <is>
          <t>27.07.2027</t>
        </is>
      </c>
      <c r="E485" t="inlineStr">
        <is>
          <t>Japan</t>
        </is>
      </c>
    </row>
    <row r="486">
      <c r="A486" t="inlineStr">
        <is>
          <t>Samyang ecotech sihwa plant,  Siheung-si, The Republic of Korea</t>
        </is>
      </c>
      <c r="B486" t="inlineStr">
        <is>
          <t>Collecting Point, Processing Unit</t>
        </is>
      </c>
      <c r="C486" t="inlineStr">
        <is>
          <t>Control Union Certifications Germany GmbH, Berlin, DE</t>
        </is>
      </c>
      <c r="D486" t="inlineStr">
        <is>
          <t>27.07.2027</t>
        </is>
      </c>
      <c r="E486" t="inlineStr">
        <is>
          <t>The Republic of Korea</t>
        </is>
      </c>
    </row>
    <row r="487">
      <c r="A487" t="inlineStr">
        <is>
          <t>KATANA TRADE,  Burgas, Bulgaria</t>
        </is>
      </c>
      <c r="B487" t="inlineStr">
        <is>
          <t>Trader</t>
        </is>
      </c>
      <c r="C487" t="inlineStr">
        <is>
          <t>SGS Germany GmbH, Emstek, DE</t>
        </is>
      </c>
      <c r="D487" t="inlineStr">
        <is>
          <t>27.07.2027</t>
        </is>
      </c>
      <c r="E487" t="inlineStr">
        <is>
          <t>Bulgaria</t>
        </is>
      </c>
    </row>
    <row r="488">
      <c r="A488" t="inlineStr">
        <is>
          <t>Fertiagro Grains SRL,  Calarasi, Romania</t>
        </is>
      </c>
      <c r="B488" t="inlineStr">
        <is>
          <t>First Gathering Point, Trader</t>
        </is>
      </c>
      <c r="C488" t="inlineStr">
        <is>
          <t>SGS Germany GmbH, Emstek, DE</t>
        </is>
      </c>
      <c r="D488" t="inlineStr">
        <is>
          <t>27.07.2027</t>
        </is>
      </c>
      <c r="E488" t="inlineStr">
        <is>
          <t>Romania</t>
        </is>
      </c>
    </row>
    <row r="489">
      <c r="A489" t="inlineStr">
        <is>
          <t>Greenacre Smallholdings Ltd,  Canewdon, The United Kingdom</t>
        </is>
      </c>
      <c r="B489" t="inlineStr">
        <is>
          <t>Collecting Point, Trader with Storage</t>
        </is>
      </c>
      <c r="C489" t="inlineStr">
        <is>
          <t>SGS Germany GmbH, Emstek, DE</t>
        </is>
      </c>
      <c r="D489" t="inlineStr">
        <is>
          <t>27.07.2027</t>
        </is>
      </c>
      <c r="E489" t="inlineStr">
        <is>
          <t>The United Kingdom</t>
        </is>
      </c>
    </row>
    <row r="490">
      <c r="A490" t="inlineStr">
        <is>
          <t>Cores Environment BV,  Zwanenburg, The Netherlands</t>
        </is>
      </c>
      <c r="B490" t="inlineStr">
        <is>
          <t>Collecting Point, Trader</t>
        </is>
      </c>
      <c r="C490" t="inlineStr">
        <is>
          <t>SGS Germany GmbH, Emstek, DE</t>
        </is>
      </c>
      <c r="D490" t="inlineStr">
        <is>
          <t>27.07.2027</t>
        </is>
      </c>
      <c r="E490" t="inlineStr">
        <is>
          <t>The Netherlands</t>
        </is>
      </c>
    </row>
    <row r="491">
      <c r="A491" t="inlineStr">
        <is>
          <t>Borealis GmbH,  Monza, Italy</t>
        </is>
      </c>
      <c r="B491" t="inlineStr">
        <is>
          <t>Processing Unit, Trader</t>
        </is>
      </c>
      <c r="C491" t="inlineStr">
        <is>
          <t>SGS Germany GmbH, Emstek, DE</t>
        </is>
      </c>
      <c r="D491" t="inlineStr">
        <is>
          <t>27.07.2027</t>
        </is>
      </c>
      <c r="E491" t="inlineStr">
        <is>
          <t>Italy</t>
        </is>
      </c>
    </row>
    <row r="492">
      <c r="A492" t="inlineStr">
        <is>
          <t>Tradimex Anh Trang Company Limited,  Hanoi City, Vietnam, Vietnam</t>
        </is>
      </c>
      <c r="B492" t="inlineStr">
        <is>
          <t>Collecting Point</t>
        </is>
      </c>
      <c r="C492" t="inlineStr">
        <is>
          <t>PT Intertek Utama Services, Jakarta, ID</t>
        </is>
      </c>
      <c r="D492" t="inlineStr">
        <is>
          <t>27.07.2027</t>
        </is>
      </c>
      <c r="E492" t="inlineStr">
        <is>
          <t>Vietnam</t>
        </is>
      </c>
    </row>
    <row r="493">
      <c r="A493" t="inlineStr">
        <is>
          <t>XTS Commodities AG,  Zug, Switzerland</t>
        </is>
      </c>
      <c r="B493" t="inlineStr">
        <is>
          <t>Trader with Storage</t>
        </is>
      </c>
      <c r="C493" t="inlineStr">
        <is>
          <t>Global Gateway Certifications Sdn Bhd, Ampang, MY</t>
        </is>
      </c>
      <c r="D493" t="inlineStr">
        <is>
          <t>27.07.2027</t>
        </is>
      </c>
      <c r="E493" t="inlineStr">
        <is>
          <t>Switzerland</t>
        </is>
      </c>
    </row>
    <row r="494">
      <c r="A494" t="inlineStr">
        <is>
          <t>KARIN CO., LTD.,  Nasushiobara, Japan</t>
        </is>
      </c>
      <c r="B494" t="inlineStr">
        <is>
          <t>Collecting Point</t>
        </is>
      </c>
      <c r="C494" t="inlineStr">
        <is>
          <t>Trans Certification and Inspection Sdn Bhd, Kuantan, MY</t>
        </is>
      </c>
      <c r="D494" t="inlineStr">
        <is>
          <t>27.07.2027</t>
        </is>
      </c>
      <c r="E494" t="inlineStr">
        <is>
          <t>Japan</t>
        </is>
      </c>
    </row>
    <row r="495">
      <c r="A495" t="inlineStr">
        <is>
          <t>AGRO GRUP SMEENI SRL,  SMEENI, BUZAU county, Romania</t>
        </is>
      </c>
      <c r="B495" t="inlineStr">
        <is>
          <t>First Gathering Point</t>
        </is>
      </c>
      <c r="C495" t="inlineStr">
        <is>
          <t>SRAC Cert SRL, Bucharest, RO</t>
        </is>
      </c>
      <c r="D495" t="inlineStr">
        <is>
          <t>27.07.2027</t>
        </is>
      </c>
      <c r="E495" t="inlineStr">
        <is>
          <t>Romania</t>
        </is>
      </c>
    </row>
    <row r="496">
      <c r="A496" t="inlineStr">
        <is>
          <t>Ningbo Xingli Advanced Materials Co., Ltd.,  Ningbo City, Zhejiang Province, China</t>
        </is>
      </c>
      <c r="B496" t="inlineStr">
        <is>
          <t>Processing Unit</t>
        </is>
      </c>
      <c r="C496" t="inlineStr">
        <is>
          <t>CTI Certification Co. Ltd, Shenzhen, CN</t>
        </is>
      </c>
      <c r="D496" t="inlineStr">
        <is>
          <t>27.07.2027</t>
        </is>
      </c>
      <c r="E496" t="inlineStr">
        <is>
          <t>China</t>
        </is>
      </c>
    </row>
    <row r="497">
      <c r="A497" t="inlineStr">
        <is>
          <t>AGRO VIZIYA LLC,  Kyiv,, Ukraine</t>
        </is>
      </c>
      <c r="B497" t="inlineStr">
        <is>
          <t>Trader</t>
        </is>
      </c>
      <c r="C497" t="inlineStr">
        <is>
          <t>BM Certification, Riga, LV</t>
        </is>
      </c>
      <c r="D497" t="inlineStr">
        <is>
          <t>27.07.2027</t>
        </is>
      </c>
      <c r="E497" t="inlineStr">
        <is>
          <t>Ukraine</t>
        </is>
      </c>
    </row>
    <row r="498">
      <c r="A498" t="inlineStr">
        <is>
          <t>DOBROGEA PLANT SRL,  SACELE, Romania</t>
        </is>
      </c>
      <c r="B498" t="inlineStr">
        <is>
          <t>First Gathering Point</t>
        </is>
      </c>
      <c r="C498" t="inlineStr">
        <is>
          <t>BM Certification, Riga, LV</t>
        </is>
      </c>
      <c r="D498" t="inlineStr">
        <is>
          <t>27.07.2027</t>
        </is>
      </c>
      <c r="E498" t="inlineStr">
        <is>
          <t>Romania</t>
        </is>
      </c>
    </row>
    <row r="499">
      <c r="A499" t="inlineStr">
        <is>
          <t>SENEMOLD SRL,  Vaslui, Vaslui county, Romania</t>
        </is>
      </c>
      <c r="B499" t="inlineStr">
        <is>
          <t>Trader</t>
        </is>
      </c>
      <c r="C499" t="inlineStr">
        <is>
          <t>SRAC Cert SRL, Bucharest, RO</t>
        </is>
      </c>
      <c r="D499" t="inlineStr">
        <is>
          <t>27.07.2027</t>
        </is>
      </c>
      <c r="E499" t="inlineStr">
        <is>
          <t>Romania</t>
        </is>
      </c>
    </row>
    <row r="500">
      <c r="A500" t="inlineStr">
        <is>
          <t>SMART OIL4LIFE,  KORINTHOS, Greece</t>
        </is>
      </c>
      <c r="B500" t="inlineStr">
        <is>
          <t>Collecting Point, Trader with Storage</t>
        </is>
      </c>
      <c r="C500" t="inlineStr">
        <is>
          <t>Eurocert SA, Metamorfosi, Athens, GR</t>
        </is>
      </c>
      <c r="D500" t="inlineStr">
        <is>
          <t>27.07.2027</t>
        </is>
      </c>
      <c r="E500" t="inlineStr">
        <is>
          <t>Greece</t>
        </is>
      </c>
    </row>
    <row r="501">
      <c r="A501" t="inlineStr">
        <is>
          <t>Amcor Norwich,  Norwich, The United Kingdom</t>
        </is>
      </c>
      <c r="B501" t="inlineStr">
        <is>
          <t>Processing Unit</t>
        </is>
      </c>
      <c r="C501" t="inlineStr">
        <is>
          <t>SGS Germany GmbH, Emstek, DE</t>
        </is>
      </c>
      <c r="D501" t="inlineStr">
        <is>
          <t>27.07.2027</t>
        </is>
      </c>
      <c r="E501" t="inlineStr">
        <is>
          <t>The United Kingdom</t>
        </is>
      </c>
    </row>
    <row r="502">
      <c r="A502" t="inlineStr">
        <is>
          <t>PT Wira Inno Mas,  KOTA MEDAN, Indonesia</t>
        </is>
      </c>
      <c r="B502" t="inlineStr">
        <is>
          <t>Trader with Storage</t>
        </is>
      </c>
      <c r="C502" t="inlineStr">
        <is>
          <t>Control Union Certifications Germany GmbH, Berlin, DE</t>
        </is>
      </c>
      <c r="D502" t="inlineStr">
        <is>
          <t>27.07.2027</t>
        </is>
      </c>
      <c r="E502" t="inlineStr">
        <is>
          <t>Indonesia</t>
        </is>
      </c>
    </row>
    <row r="503">
      <c r="A503" t="inlineStr">
        <is>
          <t>PT Sukajadi Sawit Mekar,  KOTA MEDAN, Indonesia</t>
        </is>
      </c>
      <c r="B503" t="inlineStr">
        <is>
          <t>Trader with Storage</t>
        </is>
      </c>
      <c r="C503" t="inlineStr">
        <is>
          <t>Control Union Certifications Germany GmbH, Berlin, DE</t>
        </is>
      </c>
      <c r="D503" t="inlineStr">
        <is>
          <t>27.07.2027</t>
        </is>
      </c>
      <c r="E503" t="inlineStr">
        <is>
          <t>Indonesia</t>
        </is>
      </c>
    </row>
    <row r="504">
      <c r="A504" t="inlineStr">
        <is>
          <t>PT Indokarya Internusa,  KOTA MEDAN, Indonesia</t>
        </is>
      </c>
      <c r="B504" t="inlineStr">
        <is>
          <t>Trader with Storage</t>
        </is>
      </c>
      <c r="C504" t="inlineStr">
        <is>
          <t>Control Union Certifications Germany GmbH, Berlin, DE</t>
        </is>
      </c>
      <c r="D504" t="inlineStr">
        <is>
          <t>27.07.2027</t>
        </is>
      </c>
      <c r="E504" t="inlineStr">
        <is>
          <t>Indonesia</t>
        </is>
      </c>
    </row>
    <row r="505">
      <c r="A505" t="inlineStr">
        <is>
          <t>PT Musim Mas,  KOTA MEDAN, Indonesia</t>
        </is>
      </c>
      <c r="B505" t="inlineStr">
        <is>
          <t>Trader with Storage</t>
        </is>
      </c>
      <c r="C505" t="inlineStr">
        <is>
          <t>Control Union Certifications Germany GmbH, Berlin, DE</t>
        </is>
      </c>
      <c r="D505" t="inlineStr">
        <is>
          <t>27.07.2027</t>
        </is>
      </c>
      <c r="E505" t="inlineStr">
        <is>
          <t>Indonesia</t>
        </is>
      </c>
    </row>
    <row r="506">
      <c r="A506" t="inlineStr">
        <is>
          <t>Coveris Gainsborough Ltd,  Gainsborough, The United Kingdom</t>
        </is>
      </c>
      <c r="B506" t="inlineStr">
        <is>
          <t>Final Product Refinement</t>
        </is>
      </c>
      <c r="C506" t="inlineStr">
        <is>
          <t>SGS Germany GmbH, Emstek, DE</t>
        </is>
      </c>
      <c r="D506" t="inlineStr">
        <is>
          <t>27.07.2027</t>
        </is>
      </c>
      <c r="E506" t="inlineStr">
        <is>
          <t>The United Kingdom</t>
        </is>
      </c>
    </row>
    <row r="507">
      <c r="A507" t="inlineStr">
        <is>
          <t>Nevenys Green Gas Supply and Trading,  vincennes, France</t>
        </is>
      </c>
      <c r="B507" t="inlineStr">
        <is>
          <t>Trader</t>
        </is>
      </c>
      <c r="C507" t="inlineStr">
        <is>
          <t>Control Union Certifications Germany GmbH, Berlin, DE</t>
        </is>
      </c>
      <c r="D507" t="inlineStr">
        <is>
          <t>27.07.2027</t>
        </is>
      </c>
      <c r="E507" t="inlineStr">
        <is>
          <t>France</t>
        </is>
      </c>
    </row>
    <row r="508">
      <c r="A508" t="inlineStr">
        <is>
          <t>BP Products North America,  Whiting, Indiana, The United States of America</t>
        </is>
      </c>
      <c r="B508" t="inlineStr">
        <is>
          <t>Processing Unit, Trader with Storage</t>
        </is>
      </c>
      <c r="C508" t="inlineStr">
        <is>
          <t>Control Union Poland Sp. z o.o., Zielona Gora, PL</t>
        </is>
      </c>
      <c r="D508" t="inlineStr">
        <is>
          <t>27.07.2027</t>
        </is>
      </c>
      <c r="E508" t="inlineStr">
        <is>
          <t>The United States of America</t>
        </is>
      </c>
    </row>
    <row r="509">
      <c r="A509" t="inlineStr">
        <is>
          <t>Cores Environment UK Ltd,  Zwanenburg, The Netherlands</t>
        </is>
      </c>
      <c r="B509" t="inlineStr">
        <is>
          <t>Collecting Point, Trader</t>
        </is>
      </c>
      <c r="C509" t="inlineStr">
        <is>
          <t>SGS Germany GmbH, Emstek, DE</t>
        </is>
      </c>
      <c r="D509" t="inlineStr">
        <is>
          <t>27.07.2027</t>
        </is>
      </c>
      <c r="E509" t="inlineStr">
        <is>
          <t>The Netherlands</t>
        </is>
      </c>
    </row>
    <row r="510">
      <c r="A510" t="inlineStr">
        <is>
          <t>Fuel Traders Corporation s. r. o.,  Bratislava, Slovakia</t>
        </is>
      </c>
      <c r="B510" t="inlineStr">
        <is>
          <t>Trader</t>
        </is>
      </c>
      <c r="C510" t="inlineStr">
        <is>
          <t>SGS Germany GmbH, Emstek, DE</t>
        </is>
      </c>
      <c r="D510" t="inlineStr">
        <is>
          <t>27.07.2027</t>
        </is>
      </c>
      <c r="E510" t="inlineStr">
        <is>
          <t>Slovakia</t>
        </is>
      </c>
    </row>
    <row r="511">
      <c r="A511" t="inlineStr">
        <is>
          <t>Kunshan Jiapu Packing Material Co., Ltd.,  Kunshan , Jiangsu, China</t>
        </is>
      </c>
      <c r="B511" t="inlineStr">
        <is>
          <t>Processing Unit</t>
        </is>
      </c>
      <c r="C511" t="inlineStr">
        <is>
          <t>Trans Certification and Inspection Sdn Bhd, Kuantan, MY</t>
        </is>
      </c>
      <c r="D511" t="inlineStr">
        <is>
          <t>27.07.2027</t>
        </is>
      </c>
      <c r="E511" t="inlineStr">
        <is>
          <t>China</t>
        </is>
      </c>
    </row>
    <row r="512">
      <c r="A512" t="inlineStr">
        <is>
          <t>Shandong Kaisheng New Materials Co., Ltd,  Zichuan District, Zibo City, China</t>
        </is>
      </c>
      <c r="B512" t="inlineStr">
        <is>
          <t>Processing Unit</t>
        </is>
      </c>
      <c r="C512" t="inlineStr">
        <is>
          <t>SGS Germany GmbH, Emstek, DE</t>
        </is>
      </c>
      <c r="D512" t="inlineStr">
        <is>
          <t>27.07.2027</t>
        </is>
      </c>
      <c r="E512" t="inlineStr">
        <is>
          <t>China</t>
        </is>
      </c>
    </row>
    <row r="513">
      <c r="A513" t="inlineStr">
        <is>
          <t>Barilla G. e R. F.lli S.p.A.,  Cremona, Italy</t>
        </is>
      </c>
      <c r="B513" t="inlineStr">
        <is>
          <t>Processing Unit</t>
        </is>
      </c>
      <c r="C513" t="inlineStr">
        <is>
          <t>RINA Services S.p.A., Genova, IT</t>
        </is>
      </c>
      <c r="D513" t="inlineStr">
        <is>
          <t>27.07.2027</t>
        </is>
      </c>
      <c r="E513" t="inlineStr">
        <is>
          <t>Italy</t>
        </is>
      </c>
    </row>
    <row r="514">
      <c r="A514" t="inlineStr">
        <is>
          <t>Third Coast Commodities,  Elkhart, The United States of America</t>
        </is>
      </c>
      <c r="B514" t="inlineStr">
        <is>
          <t>Trader</t>
        </is>
      </c>
      <c r="C514" t="inlineStr">
        <is>
          <t>SCS Global Services, Emeryville, CA, US</t>
        </is>
      </c>
      <c r="D514" t="inlineStr">
        <is>
          <t>27.07.2027</t>
        </is>
      </c>
      <c r="E514" t="inlineStr">
        <is>
          <t>The United States of America</t>
        </is>
      </c>
    </row>
    <row r="515">
      <c r="A515" t="inlineStr">
        <is>
          <t>American Greenfuels,  New Haven, The United States of America</t>
        </is>
      </c>
      <c r="B515" t="inlineStr">
        <is>
          <t>Processing Unit, Warehouse</t>
        </is>
      </c>
      <c r="C515" t="inlineStr">
        <is>
          <t>Control Union Poland Sp. z o.o., Zielona Gora, PL</t>
        </is>
      </c>
      <c r="D515" t="inlineStr">
        <is>
          <t>27.07.2027</t>
        </is>
      </c>
      <c r="E515" t="inlineStr">
        <is>
          <t>The United States of America</t>
        </is>
      </c>
    </row>
    <row r="516">
      <c r="A516" t="inlineStr">
        <is>
          <t>Dae Lim Co., Ltd.,  Gunsan-si, The Republic of Korea</t>
        </is>
      </c>
      <c r="B516" t="inlineStr">
        <is>
          <t>Collecting Point, Processing Unit, Trader with Storage</t>
        </is>
      </c>
      <c r="C516" t="inlineStr">
        <is>
          <t>Control Union Certifications Germany GmbH, Berlin, DE</t>
        </is>
      </c>
      <c r="D516" t="inlineStr">
        <is>
          <t>27.07.2027</t>
        </is>
      </c>
      <c r="E516" t="inlineStr">
        <is>
          <t>The Republic of Korea</t>
        </is>
      </c>
    </row>
    <row r="517">
      <c r="A517" t="inlineStr">
        <is>
          <t>KLK ALAMI EDIBLE OILS SDN. BHD.,  Telok Panglima Garang,, Malaysia</t>
        </is>
      </c>
      <c r="B517" t="inlineStr">
        <is>
          <t>Point of Origin</t>
        </is>
      </c>
      <c r="C517" t="inlineStr">
        <is>
          <t>Global Gateway Certifications Sdn Bhd, Ampang, MY</t>
        </is>
      </c>
      <c r="D517" t="inlineStr">
        <is>
          <t>27.07.2027</t>
        </is>
      </c>
      <c r="E517" t="inlineStr">
        <is>
          <t>Malaysia</t>
        </is>
      </c>
    </row>
    <row r="518">
      <c r="A518" t="inlineStr">
        <is>
          <t>Awana Sawit Lestari,  Sulawesi Barat, Indonesia</t>
        </is>
      </c>
      <c r="B518" t="inlineStr">
        <is>
          <t>Point of Origin, Trader</t>
        </is>
      </c>
      <c r="C518" t="inlineStr">
        <is>
          <t>PT. Qualitas Sertifikasi Indonesia, Jakarta, ID</t>
        </is>
      </c>
      <c r="D518" t="inlineStr">
        <is>
          <t>27.07.2027</t>
        </is>
      </c>
      <c r="E518" t="inlineStr">
        <is>
          <t>Indonesia</t>
        </is>
      </c>
    </row>
    <row r="519">
      <c r="A519" t="inlineStr">
        <is>
          <t>CIMC Green Energy Technology (Guangdong) Co., Ltd,  Shenzhen, Guangdong, China</t>
        </is>
      </c>
      <c r="B519" t="inlineStr">
        <is>
          <t>Trader with Storage</t>
        </is>
      </c>
      <c r="C519" t="inlineStr">
        <is>
          <t>SCS Global Services, Emeryville, CA, US</t>
        </is>
      </c>
      <c r="D519" t="inlineStr">
        <is>
          <t>27.07.2027</t>
        </is>
      </c>
      <c r="E519" t="inlineStr">
        <is>
          <t>China</t>
        </is>
      </c>
    </row>
    <row r="520">
      <c r="A520" t="inlineStr">
        <is>
          <t>A + S, s.r.o.,  Kojetice, Czech Republic</t>
        </is>
      </c>
      <c r="B520" t="inlineStr">
        <is>
          <t>Trader with Storage</t>
        </is>
      </c>
      <c r="C520" t="inlineStr">
        <is>
          <t>Bureau Veritas Polska Sp. z o.o., Warsaw, PL</t>
        </is>
      </c>
      <c r="D520" t="inlineStr">
        <is>
          <t>27.07.2027</t>
        </is>
      </c>
      <c r="E520" t="inlineStr">
        <is>
          <t>Czech Republic</t>
        </is>
      </c>
    </row>
    <row r="521">
      <c r="A521" t="inlineStr">
        <is>
          <t>Deneys Reitz Commodities,  Bergville, South Africa</t>
        </is>
      </c>
      <c r="B521" t="inlineStr">
        <is>
          <t>Trader with Storage</t>
        </is>
      </c>
      <c r="C521" t="inlineStr">
        <is>
          <t>Control Union Certifications Germany GmbH, Berlin, DE</t>
        </is>
      </c>
      <c r="D521" t="inlineStr">
        <is>
          <t>27.07.2027</t>
        </is>
      </c>
      <c r="E521" t="inlineStr">
        <is>
          <t>South Africa</t>
        </is>
      </c>
    </row>
    <row r="522">
      <c r="A522" t="inlineStr">
        <is>
          <t>MITO POLIMERI,  Vazzola (TV), Italy</t>
        </is>
      </c>
      <c r="B522" t="inlineStr">
        <is>
          <t>Trader with Storage, Warehouse</t>
        </is>
      </c>
      <c r="C522" t="inlineStr">
        <is>
          <t>RINA Services S.p.A., Genova, IT</t>
        </is>
      </c>
      <c r="D522" t="inlineStr">
        <is>
          <t>26.07.2027</t>
        </is>
      </c>
      <c r="E522" t="inlineStr">
        <is>
          <t>Italy</t>
        </is>
      </c>
    </row>
    <row r="523">
      <c r="A523" t="inlineStr">
        <is>
          <t>Zbarazkyi KHP LLC,  Zbaraz, Ternopil region, Ukraine</t>
        </is>
      </c>
      <c r="B523" t="inlineStr">
        <is>
          <t>First Gathering Point</t>
        </is>
      </c>
      <c r="C523" t="inlineStr">
        <is>
          <t>Bureau Veritas Polska Sp. z o.o., Warsaw, PL</t>
        </is>
      </c>
      <c r="D523" t="inlineStr">
        <is>
          <t>26.07.2027</t>
        </is>
      </c>
      <c r="E523" t="inlineStr">
        <is>
          <t>Ukraine</t>
        </is>
      </c>
    </row>
    <row r="524">
      <c r="A524" t="inlineStr">
        <is>
          <t>FIRST FOUNDATION (HK) LIMITED,  Hong Kong, Hong Kong (SAR)</t>
        </is>
      </c>
      <c r="B524" t="inlineStr">
        <is>
          <t>Trader with Storage</t>
        </is>
      </c>
      <c r="C524" t="inlineStr">
        <is>
          <t>Bureau Veritas Polska Sp. z o.o., Warsaw, PL</t>
        </is>
      </c>
      <c r="D524" t="inlineStr">
        <is>
          <t>26.07.2027</t>
        </is>
      </c>
      <c r="E524" t="inlineStr">
        <is>
          <t>Hong Kong (SAR)</t>
        </is>
      </c>
    </row>
    <row r="525">
      <c r="A525" t="inlineStr">
        <is>
          <t>SC Prutul s.a.,  Bucharest, Romania</t>
        </is>
      </c>
      <c r="B525" t="inlineStr">
        <is>
          <t>First Gathering Point, Trader with Storage</t>
        </is>
      </c>
      <c r="C525" t="inlineStr">
        <is>
          <t>SGS Germany GmbH, Emstek, DE</t>
        </is>
      </c>
      <c r="D525" t="inlineStr">
        <is>
          <t>26.07.2027</t>
        </is>
      </c>
      <c r="E525" t="inlineStr">
        <is>
          <t>Romania</t>
        </is>
      </c>
    </row>
    <row r="526">
      <c r="A526" t="inlineStr">
        <is>
          <t>UGI France,  Courbevoie, France</t>
        </is>
      </c>
      <c r="B526" t="inlineStr">
        <is>
          <t>Trader with Storage</t>
        </is>
      </c>
      <c r="C526" t="inlineStr">
        <is>
          <t>Double Helix Tracking Technologies Pte Ltd, Singapore, SG</t>
        </is>
      </c>
      <c r="D526" t="inlineStr">
        <is>
          <t>26.07.2027</t>
        </is>
      </c>
      <c r="E526" t="inlineStr">
        <is>
          <t>France</t>
        </is>
      </c>
    </row>
    <row r="527">
      <c r="A527" t="inlineStr">
        <is>
          <t>UGI France,  Courbevoie, France</t>
        </is>
      </c>
      <c r="B527" t="inlineStr">
        <is>
          <t>Trader with Storage</t>
        </is>
      </c>
      <c r="C527" t="inlineStr">
        <is>
          <t>Double Helix Tracking Technologies Pte Ltd, Singapore, SG</t>
        </is>
      </c>
      <c r="D527" t="inlineStr">
        <is>
          <t>26.07.2027</t>
        </is>
      </c>
      <c r="E527" t="inlineStr">
        <is>
          <t>France</t>
        </is>
      </c>
    </row>
    <row r="528">
      <c r="A528" t="inlineStr">
        <is>
          <t>Bright Innovation Co., Ltd,  Tokyo, Japan</t>
        </is>
      </c>
      <c r="B528" t="inlineStr">
        <is>
          <t>Collecting Point, Trader</t>
        </is>
      </c>
      <c r="C528" t="inlineStr">
        <is>
          <t>Control Union Certifications Germany GmbH, Berlin, DE</t>
        </is>
      </c>
      <c r="D528" t="inlineStr">
        <is>
          <t>26.07.2027</t>
        </is>
      </c>
      <c r="E528" t="inlineStr">
        <is>
          <t>Japan</t>
        </is>
      </c>
    </row>
    <row r="529">
      <c r="A529" t="inlineStr">
        <is>
          <t>Inner Mongolia ECO Coal Chemical Technology Company Limited,  Jungar Banner Main Rd, Ordos, China</t>
        </is>
      </c>
      <c r="B529" t="inlineStr">
        <is>
          <t>Collecting Point, Processing Unit</t>
        </is>
      </c>
      <c r="C529" t="inlineStr">
        <is>
          <t>ASG Cert GmbH, Munich, DE</t>
        </is>
      </c>
      <c r="D529" t="inlineStr">
        <is>
          <t>26.07.2027</t>
        </is>
      </c>
      <c r="E529" t="inlineStr">
        <is>
          <t>China</t>
        </is>
      </c>
    </row>
    <row r="530">
      <c r="A530" t="inlineStr">
        <is>
          <t>Inner Mongolia ECO Coal Chemical Technology Company Limited,  Jungar Banner Main Rd, Ordos, China</t>
        </is>
      </c>
      <c r="B530" t="inlineStr">
        <is>
          <t>Collecting Point, Processing Unit</t>
        </is>
      </c>
      <c r="C530" t="inlineStr">
        <is>
          <t>ASG Cert GmbH, Munich, DE</t>
        </is>
      </c>
      <c r="D530" t="inlineStr">
        <is>
          <t>26.07.2027</t>
        </is>
      </c>
      <c r="E530" t="inlineStr">
        <is>
          <t>China</t>
        </is>
      </c>
    </row>
    <row r="531">
      <c r="A531" t="inlineStr">
        <is>
          <t>Antargaz,  Courbevoie, France</t>
        </is>
      </c>
      <c r="B531" t="inlineStr">
        <is>
          <t>Trader with Storage</t>
        </is>
      </c>
      <c r="C531" t="inlineStr">
        <is>
          <t>Double Helix Tracking Technologies Pte Ltd, Singapore, SG</t>
        </is>
      </c>
      <c r="D531" t="inlineStr">
        <is>
          <t>26.07.2027</t>
        </is>
      </c>
      <c r="E531" t="inlineStr">
        <is>
          <t>France</t>
        </is>
      </c>
    </row>
    <row r="532">
      <c r="A532" t="inlineStr">
        <is>
          <t>Antargaz,  Courbevoie, France</t>
        </is>
      </c>
      <c r="B532" t="inlineStr">
        <is>
          <t>Trader with Storage</t>
        </is>
      </c>
      <c r="C532" t="inlineStr">
        <is>
          <t>Double Helix Tracking Technologies Pte Ltd, Singapore, SG</t>
        </is>
      </c>
      <c r="D532" t="inlineStr">
        <is>
          <t>26.07.2027</t>
        </is>
      </c>
      <c r="E532" t="inlineStr">
        <is>
          <t>France</t>
        </is>
      </c>
    </row>
    <row r="533">
      <c r="A533" t="inlineStr">
        <is>
          <t>PT.KURABO MANUNGGAL TEXTILE INDUSTRIES,  SALATIGA,SEMARANG, Indonesia</t>
        </is>
      </c>
      <c r="B533" t="inlineStr">
        <is>
          <t>Processing Unit</t>
        </is>
      </c>
      <c r="C533" t="inlineStr">
        <is>
          <t>Control Union Certifications Germany GmbH, Berlin, DE</t>
        </is>
      </c>
      <c r="D533" t="inlineStr">
        <is>
          <t>26.07.2027</t>
        </is>
      </c>
      <c r="E533" t="inlineStr">
        <is>
          <t>Indonesia</t>
        </is>
      </c>
    </row>
    <row r="534">
      <c r="A534" t="inlineStr">
        <is>
          <t>Kemira Italy s.p.a.,  San Giorgio di Nogaro, Italy</t>
        </is>
      </c>
      <c r="B534" t="inlineStr">
        <is>
          <t>Processing Unit</t>
        </is>
      </c>
      <c r="C534" t="inlineStr">
        <is>
          <t>PT Intertek Utama Services, Jakarta, ID</t>
        </is>
      </c>
      <c r="D534" t="inlineStr">
        <is>
          <t>26.07.2027</t>
        </is>
      </c>
      <c r="E534" t="inlineStr">
        <is>
          <t>Italy</t>
        </is>
      </c>
    </row>
    <row r="535">
      <c r="A535" t="inlineStr">
        <is>
          <t>Leo Développement – Collecto'Leo,  Saint-Jean-de-Védas, France</t>
        </is>
      </c>
      <c r="B535" t="inlineStr">
        <is>
          <t>Collecting Point, Trader with Storage</t>
        </is>
      </c>
      <c r="C535" t="inlineStr">
        <is>
          <t>Control Union Certifications Germany GmbH, Berlin, DE</t>
        </is>
      </c>
      <c r="D535" t="inlineStr">
        <is>
          <t>26.07.2027</t>
        </is>
      </c>
      <c r="E535" t="inlineStr">
        <is>
          <t>France</t>
        </is>
      </c>
    </row>
    <row r="536">
      <c r="A536" t="inlineStr">
        <is>
          <t>DH Polymers CC,  Pomona, Kempton Park, South Africa</t>
        </is>
      </c>
      <c r="B536" t="inlineStr">
        <is>
          <t>Trader with Storage</t>
        </is>
      </c>
      <c r="C536" t="inlineStr">
        <is>
          <t>Aardvark Certification Ltd, Wiveliscombe, Somerset, GB</t>
        </is>
      </c>
      <c r="D536" t="inlineStr">
        <is>
          <t>26.07.2027</t>
        </is>
      </c>
      <c r="E536" t="inlineStr">
        <is>
          <t>South Africa</t>
        </is>
      </c>
    </row>
    <row r="537">
      <c r="A537" t="inlineStr">
        <is>
          <t>RPC Formatec GmbH,  Mellrichstadt, Germany</t>
        </is>
      </c>
      <c r="B537" t="inlineStr">
        <is>
          <t>Final Product Refinement, Processing Unit</t>
        </is>
      </c>
      <c r="C537" t="inlineStr">
        <is>
          <t>DQS CFS GmbH - Deutsche Gesellschaft für Nachhaltigkeit, Frankfurt am Main, DE</t>
        </is>
      </c>
      <c r="D537" t="inlineStr">
        <is>
          <t>26.07.2027</t>
        </is>
      </c>
      <c r="E537" t="inlineStr">
        <is>
          <t>Germany</t>
        </is>
      </c>
    </row>
    <row r="538">
      <c r="A538" t="inlineStr">
        <is>
          <t>Shenzhen Bestsea Eyewear Co., Ltd.,  Shenzhen City, Guangdong Province,, China</t>
        </is>
      </c>
      <c r="B538" t="inlineStr">
        <is>
          <t>Processing Unit</t>
        </is>
      </c>
      <c r="C538" t="inlineStr">
        <is>
          <t>SCS Global Services, Emeryville, CA, US</t>
        </is>
      </c>
      <c r="D538" t="inlineStr">
        <is>
          <t>26.07.2027</t>
        </is>
      </c>
      <c r="E538" t="inlineStr">
        <is>
          <t>China</t>
        </is>
      </c>
    </row>
    <row r="539">
      <c r="A539" t="inlineStr">
        <is>
          <t>Donghai Runhe Grease Trading Co.,Ltd.,  Lianyungang City, Jiangsu Province, China</t>
        </is>
      </c>
      <c r="B539" t="inlineStr">
        <is>
          <t>Collecting Point</t>
        </is>
      </c>
      <c r="C539" t="inlineStr">
        <is>
          <t>SCS Global Services, Emeryville, CA, US</t>
        </is>
      </c>
      <c r="D539" t="inlineStr">
        <is>
          <t>26.07.2027</t>
        </is>
      </c>
      <c r="E539" t="inlineStr">
        <is>
          <t>China</t>
        </is>
      </c>
    </row>
    <row r="540">
      <c r="A540" t="inlineStr">
        <is>
          <t>Štichovická obchodní s.r.o.,  Štichovice, Czech Republic</t>
        </is>
      </c>
      <c r="B540" t="inlineStr">
        <is>
          <t>First Gathering Point</t>
        </is>
      </c>
      <c r="C540" t="inlineStr">
        <is>
          <t>PT Intertek Utama Services, Jakarta, ID</t>
        </is>
      </c>
      <c r="D540" t="inlineStr">
        <is>
          <t>26.07.2027</t>
        </is>
      </c>
      <c r="E540" t="inlineStr">
        <is>
          <t>Czech Republic</t>
        </is>
      </c>
    </row>
    <row r="541">
      <c r="A541" t="inlineStr">
        <is>
          <t>China Petrochemical Development Corporation(Dashe),  Kaohsiung, Taiwan (Province of China)</t>
        </is>
      </c>
      <c r="B541" t="inlineStr">
        <is>
          <t>Processing Unit</t>
        </is>
      </c>
      <c r="C541" t="inlineStr">
        <is>
          <t>Control Union Certifications Germany GmbH, Berlin, DE</t>
        </is>
      </c>
      <c r="D541" t="inlineStr">
        <is>
          <t>26.07.2027</t>
        </is>
      </c>
      <c r="E541" t="inlineStr">
        <is>
          <t>Taiwan (Province of China)</t>
        </is>
      </c>
    </row>
    <row r="542">
      <c r="A542" t="inlineStr">
        <is>
          <t>GRIMONT,  Borgo Valbelluna, Italy</t>
        </is>
      </c>
      <c r="B542" t="inlineStr">
        <is>
          <t>Final Product Refinement, Processing Unit</t>
        </is>
      </c>
      <c r="C542" t="inlineStr">
        <is>
          <t>RINA Services S.p.A., Genova, IT</t>
        </is>
      </c>
      <c r="D542" t="inlineStr">
        <is>
          <t>26.07.2027</t>
        </is>
      </c>
      <c r="E542" t="inlineStr">
        <is>
          <t>Italy</t>
        </is>
      </c>
    </row>
    <row r="543">
      <c r="A543" t="inlineStr">
        <is>
          <t>AEKYUNG CHEMICAL CO., LTD.,  Ulsan, The Republic of Korea</t>
        </is>
      </c>
      <c r="B543" t="inlineStr">
        <is>
          <t>Collecting Point, Processing Unit</t>
        </is>
      </c>
      <c r="C543" t="inlineStr">
        <is>
          <t>Control Union Certifications Germany GmbH, Berlin, DE</t>
        </is>
      </c>
      <c r="D543" t="inlineStr">
        <is>
          <t>26.07.2027</t>
        </is>
      </c>
      <c r="E543" t="inlineStr">
        <is>
          <t>The Republic of Korea</t>
        </is>
      </c>
    </row>
    <row r="544">
      <c r="A544" t="inlineStr">
        <is>
          <t>AEKYUNG CHEMICAL CO., LTD.,  Seoul, The Republic of Korea</t>
        </is>
      </c>
      <c r="B544" t="inlineStr">
        <is>
          <t>Trader</t>
        </is>
      </c>
      <c r="C544" t="inlineStr">
        <is>
          <t>Control Union Certifications Germany GmbH, Berlin, DE</t>
        </is>
      </c>
      <c r="D544" t="inlineStr">
        <is>
          <t>26.07.2027</t>
        </is>
      </c>
      <c r="E544" t="inlineStr">
        <is>
          <t>The Republic of Korea</t>
        </is>
      </c>
    </row>
    <row r="545">
      <c r="A545" t="inlineStr">
        <is>
          <t>Jacobson (Shenzhen) Trading Company Limited,  Futian District, Shenzhen, China</t>
        </is>
      </c>
      <c r="B545" t="inlineStr">
        <is>
          <t>Trader with Storage</t>
        </is>
      </c>
      <c r="C545" t="inlineStr">
        <is>
          <t>DIN CERTCO GmbH, Berlin, DE</t>
        </is>
      </c>
      <c r="D545" t="inlineStr">
        <is>
          <t>26.07.2027</t>
        </is>
      </c>
      <c r="E545" t="inlineStr">
        <is>
          <t>China</t>
        </is>
      </c>
    </row>
    <row r="546">
      <c r="A546" t="inlineStr">
        <is>
          <t>Minigrip (Thailand) Co.,Ltd.,  Chonburi, Thailand</t>
        </is>
      </c>
      <c r="B546" t="inlineStr">
        <is>
          <t>Processing Unit</t>
        </is>
      </c>
      <c r="C546" t="inlineStr">
        <is>
          <t>PT Intertek Utama Services, Jakarta, ID</t>
        </is>
      </c>
      <c r="D546" t="inlineStr">
        <is>
          <t>26.07.2027</t>
        </is>
      </c>
      <c r="E546" t="inlineStr">
        <is>
          <t>Thailand</t>
        </is>
      </c>
    </row>
    <row r="547">
      <c r="A547" t="inlineStr">
        <is>
          <t>Galigrain,S.A.,  Marin (Pontevedra), Spain</t>
        </is>
      </c>
      <c r="B547" t="inlineStr">
        <is>
          <t>Logistics Center</t>
        </is>
      </c>
      <c r="C547" t="inlineStr">
        <is>
          <t>Control Union Poland Sp. z o.o., Zielona Gora, PL</t>
        </is>
      </c>
      <c r="D547" t="inlineStr">
        <is>
          <t>26.07.2027</t>
        </is>
      </c>
      <c r="E547" t="inlineStr">
        <is>
          <t>Spain</t>
        </is>
      </c>
    </row>
    <row r="548">
      <c r="A548" t="inlineStr">
        <is>
          <t>HONG EN ENTERPRISE CO., LTD.,  Huatan Township, Changhua County, Taiwan (Province of China)</t>
        </is>
      </c>
      <c r="B548" t="inlineStr">
        <is>
          <t>Collecting Point, Trader with Storage</t>
        </is>
      </c>
      <c r="C548" t="inlineStr">
        <is>
          <t>Bureau Veritas Polska Sp. z o.o., Warsaw, PL</t>
        </is>
      </c>
      <c r="D548" t="inlineStr">
        <is>
          <t>26.07.2027</t>
        </is>
      </c>
      <c r="E548" t="inlineStr">
        <is>
          <t>Taiwan (Province of China)</t>
        </is>
      </c>
    </row>
    <row r="549">
      <c r="A549" t="inlineStr">
        <is>
          <t>Etablissementen Paul Van Hollebeke nv,  Roeselare, Belgium</t>
        </is>
      </c>
      <c r="B549" t="inlineStr">
        <is>
          <t>Processing Unit</t>
        </is>
      </c>
      <c r="C549" t="inlineStr">
        <is>
          <t>DEKRA Certification B.V., Arnhem, NL</t>
        </is>
      </c>
      <c r="D549" t="inlineStr">
        <is>
          <t>26.07.2027</t>
        </is>
      </c>
      <c r="E549" t="inlineStr">
        <is>
          <t>Belgium</t>
        </is>
      </c>
    </row>
    <row r="550">
      <c r="A550" t="inlineStr">
        <is>
          <t>Sumitomo Bakelite Europe NV,  Genk, Belgium</t>
        </is>
      </c>
      <c r="B550" t="inlineStr">
        <is>
          <t>Processing Unit</t>
        </is>
      </c>
      <c r="C550" t="inlineStr">
        <is>
          <t>SGS Germany GmbH, Emstek, DE</t>
        </is>
      </c>
      <c r="D550" t="inlineStr">
        <is>
          <t>26.07.2027</t>
        </is>
      </c>
      <c r="E550" t="inlineStr">
        <is>
          <t>Belgium</t>
        </is>
      </c>
    </row>
    <row r="551">
      <c r="A551" t="inlineStr">
        <is>
          <t>Hobon N.V.,  Lievegem, Belgium</t>
        </is>
      </c>
      <c r="B551" t="inlineStr">
        <is>
          <t>Processing Unit</t>
        </is>
      </c>
      <c r="C551" t="inlineStr">
        <is>
          <t>DEKRA Certification B.V., Arnhem, NL</t>
        </is>
      </c>
      <c r="D551" t="inlineStr">
        <is>
          <t>26.07.2027</t>
        </is>
      </c>
      <c r="E551" t="inlineStr">
        <is>
          <t>Belgium</t>
        </is>
      </c>
    </row>
    <row r="552">
      <c r="A552" t="inlineStr">
        <is>
          <t>TN VENTA,  Riga, Latvia</t>
        </is>
      </c>
      <c r="B552" t="inlineStr">
        <is>
          <t>Trader</t>
        </is>
      </c>
      <c r="C552" t="inlineStr">
        <is>
          <t>BM Certification, Riga, LV</t>
        </is>
      </c>
      <c r="D552" t="inlineStr">
        <is>
          <t>26.07.2027</t>
        </is>
      </c>
      <c r="E552" t="inlineStr">
        <is>
          <t>Latvia</t>
        </is>
      </c>
    </row>
    <row r="553">
      <c r="A553" t="inlineStr">
        <is>
          <t>A2 EXIM, spol. s r.o.,  Leopoldov, Slovakia</t>
        </is>
      </c>
      <c r="B553" t="inlineStr">
        <is>
          <t>Trader</t>
        </is>
      </c>
      <c r="C553" t="inlineStr">
        <is>
          <t>SGS Germany GmbH, Emstek, DE</t>
        </is>
      </c>
      <c r="D553" t="inlineStr">
        <is>
          <t>26.07.2027</t>
        </is>
      </c>
      <c r="E553" t="inlineStr">
        <is>
          <t>Slovakia</t>
        </is>
      </c>
    </row>
    <row r="554">
      <c r="A554" t="inlineStr">
        <is>
          <t>Sanner GmbH,  Bensheim, Germany</t>
        </is>
      </c>
      <c r="B554" t="inlineStr">
        <is>
          <t>Processing Unit</t>
        </is>
      </c>
      <c r="C554" t="inlineStr">
        <is>
          <t>SGS Germany GmbH, Emstek, DE</t>
        </is>
      </c>
      <c r="D554" t="inlineStr">
        <is>
          <t>26.07.2027</t>
        </is>
      </c>
      <c r="E554" t="inlineStr">
        <is>
          <t>Germany</t>
        </is>
      </c>
    </row>
    <row r="555">
      <c r="A555" t="inlineStr">
        <is>
          <t>Lianyungang Weilesi New Energy Technology Co., Ltd.,  Ganyu District, Lianyungang City, China</t>
        </is>
      </c>
      <c r="B555" t="inlineStr">
        <is>
          <t>Trader with Storage</t>
        </is>
      </c>
      <c r="C555" t="inlineStr">
        <is>
          <t>SCS Global Services, Emeryville, CA, US</t>
        </is>
      </c>
      <c r="D555" t="inlineStr">
        <is>
          <t>26.07.2027</t>
        </is>
      </c>
      <c r="E555" t="inlineStr">
        <is>
          <t>China</t>
        </is>
      </c>
    </row>
    <row r="556">
      <c r="A556" t="inlineStr">
        <is>
          <t>LIMITED LIABILITY COMPANY "AHRO PIDPRYYEMSTVO "PODILLYA AHROPRODUKT",  Sumy region, Sumy district, Stepanivka village, Ukraine</t>
        </is>
      </c>
      <c r="B556" t="inlineStr">
        <is>
          <t>First Gathering Point, Trader with Storage</t>
        </is>
      </c>
      <c r="C556" t="inlineStr">
        <is>
          <t>United Registrar of Systems Polska Sp. z o.o., Wrocław, PL</t>
        </is>
      </c>
      <c r="D556" t="inlineStr">
        <is>
          <t>26.07.2027</t>
        </is>
      </c>
      <c r="E556" t="inlineStr">
        <is>
          <t>Ukraine</t>
        </is>
      </c>
    </row>
    <row r="557">
      <c r="A557" t="inlineStr">
        <is>
          <t>Valorem Petrochemicals Trading L.L.C,  Singapore, Singapore</t>
        </is>
      </c>
      <c r="B557" t="inlineStr">
        <is>
          <t>Trader</t>
        </is>
      </c>
      <c r="C557" t="inlineStr">
        <is>
          <t>Control Union Certifications Germany GmbH, Berlin, DE</t>
        </is>
      </c>
      <c r="D557" t="inlineStr">
        <is>
          <t>26.07.2027</t>
        </is>
      </c>
      <c r="E557" t="inlineStr">
        <is>
          <t>Singapore</t>
        </is>
      </c>
    </row>
    <row r="558">
      <c r="A558" t="inlineStr">
        <is>
          <t>Vairo Energy Trading Limited,  Singapore, Singapore</t>
        </is>
      </c>
      <c r="B558" t="inlineStr">
        <is>
          <t>Trader</t>
        </is>
      </c>
      <c r="C558" t="inlineStr">
        <is>
          <t>Control Union Certifications Germany GmbH, Berlin, DE</t>
        </is>
      </c>
      <c r="D558" t="inlineStr">
        <is>
          <t>26.07.2027</t>
        </is>
      </c>
      <c r="E558" t="inlineStr">
        <is>
          <t>Singapore</t>
        </is>
      </c>
    </row>
    <row r="559">
      <c r="A559" t="inlineStr">
        <is>
          <t>Vairo Energy Trading Limited,  Singapore, Singapore</t>
        </is>
      </c>
      <c r="B559" t="inlineStr">
        <is>
          <t>Trader</t>
        </is>
      </c>
      <c r="C559" t="inlineStr">
        <is>
          <t>Control Union Certifications Germany GmbH, Berlin, DE</t>
        </is>
      </c>
      <c r="D559" t="inlineStr">
        <is>
          <t>26.07.2027</t>
        </is>
      </c>
      <c r="E559" t="inlineStr">
        <is>
          <t>Singapore</t>
        </is>
      </c>
    </row>
    <row r="560">
      <c r="A560" t="inlineStr">
        <is>
          <t>Galaxy Technology Company Limited,  Quang Ninh province, Vietnam</t>
        </is>
      </c>
      <c r="B560" t="inlineStr">
        <is>
          <t>Processing Unit</t>
        </is>
      </c>
      <c r="C560" t="inlineStr">
        <is>
          <t>Control Union Certifications Germany GmbH, Berlin, DE</t>
        </is>
      </c>
      <c r="D560" t="inlineStr">
        <is>
          <t>26.07.2027</t>
        </is>
      </c>
      <c r="E560" t="inlineStr">
        <is>
          <t>Vietnam</t>
        </is>
      </c>
    </row>
    <row r="561">
      <c r="A561" t="inlineStr">
        <is>
          <t>Aramco Trading Singapore Pte. Ltd.,  Singapore, Singapore</t>
        </is>
      </c>
      <c r="B561" t="inlineStr">
        <is>
          <t>Trader with Storage</t>
        </is>
      </c>
      <c r="C561" t="inlineStr">
        <is>
          <t>Control Union Certifications Germany GmbH, Berlin, DE</t>
        </is>
      </c>
      <c r="D561" t="inlineStr">
        <is>
          <t>26.07.2027</t>
        </is>
      </c>
      <c r="E561" t="inlineStr">
        <is>
          <t>Singapore</t>
        </is>
      </c>
    </row>
    <row r="562">
      <c r="A562" t="inlineStr">
        <is>
          <t>Pesticid Grains EOOD,  Shumen, Bulgaria</t>
        </is>
      </c>
      <c r="B562" t="inlineStr">
        <is>
          <t>First Gathering Point, Trader with Storage</t>
        </is>
      </c>
      <c r="C562" t="inlineStr">
        <is>
          <t>Baltic Control Certification, Albertslund, DK</t>
        </is>
      </c>
      <c r="D562" t="inlineStr">
        <is>
          <t>26.07.2027</t>
        </is>
      </c>
      <c r="E562" t="inlineStr">
        <is>
          <t>Bulgaria</t>
        </is>
      </c>
    </row>
    <row r="563">
      <c r="A563" t="inlineStr">
        <is>
          <t>Röchling Industrial SE &amp; Co. KG,  Haren (Ems), Germany</t>
        </is>
      </c>
      <c r="B563" t="inlineStr">
        <is>
          <t>Processing Unit, Trader with Storage, Final Product Refinement</t>
        </is>
      </c>
      <c r="C563" t="inlineStr">
        <is>
          <t>SGS Germany GmbH, Emstek, DE</t>
        </is>
      </c>
      <c r="D563" t="inlineStr">
        <is>
          <t>26.07.2027</t>
        </is>
      </c>
      <c r="E563" t="inlineStr">
        <is>
          <t>Germany</t>
        </is>
      </c>
    </row>
    <row r="564">
      <c r="A564" t="inlineStr">
        <is>
          <t>Cerealcom Timis,  Timisoara, Romania</t>
        </is>
      </c>
      <c r="B564" t="inlineStr">
        <is>
          <t>First Gathering Point, Trader with Storage</t>
        </is>
      </c>
      <c r="C564" t="inlineStr">
        <is>
          <t>SRAC Cert SRL, Bucharest, RO</t>
        </is>
      </c>
      <c r="D564" t="inlineStr">
        <is>
          <t>26.07.2027</t>
        </is>
      </c>
      <c r="E564" t="inlineStr">
        <is>
          <t>Romania</t>
        </is>
      </c>
    </row>
    <row r="565">
      <c r="A565" t="inlineStr">
        <is>
          <t>Archer Daniels Midland Company,  Red Wing, MN, United States</t>
        </is>
      </c>
      <c r="B565" t="inlineStr">
        <is>
          <t>Processing Unit</t>
        </is>
      </c>
      <c r="C565" t="inlineStr">
        <is>
          <t>ASG Cert GmbH, Munich, DE</t>
        </is>
      </c>
      <c r="D565" t="inlineStr">
        <is>
          <t>26.07.2027</t>
        </is>
      </c>
      <c r="E565" t="inlineStr">
        <is>
          <t>United States</t>
        </is>
      </c>
    </row>
    <row r="566">
      <c r="A566" t="inlineStr">
        <is>
          <t>Archer Daniels Midland Company,  Red Wing, MN, United States</t>
        </is>
      </c>
      <c r="B566" t="inlineStr">
        <is>
          <t>Processing Unit</t>
        </is>
      </c>
      <c r="C566" t="inlineStr">
        <is>
          <t>ASG Cert GmbH, Munich, DE</t>
        </is>
      </c>
      <c r="D566" t="inlineStr">
        <is>
          <t>26.07.2027</t>
        </is>
      </c>
      <c r="E566" t="inlineStr">
        <is>
          <t>United States</t>
        </is>
      </c>
    </row>
    <row r="567">
      <c r="A567" t="inlineStr">
        <is>
          <t>Agronom d.o.o.,  Požega, Croatia</t>
        </is>
      </c>
      <c r="B567" t="inlineStr">
        <is>
          <t>Farm / Plantation, First Gathering Point, Trader with Storage</t>
        </is>
      </c>
      <c r="C567" t="inlineStr">
        <is>
          <t>Bureau Veritas Polska Sp. z o.o., Warsaw, PL</t>
        </is>
      </c>
      <c r="D567" t="inlineStr">
        <is>
          <t>25.07.2027</t>
        </is>
      </c>
      <c r="E567" t="inlineStr">
        <is>
          <t>Croatia</t>
        </is>
      </c>
    </row>
    <row r="568">
      <c r="A568" t="inlineStr">
        <is>
          <t>Mercaoli Reciclatge,  Valencia, Spain</t>
        </is>
      </c>
      <c r="B568" t="inlineStr">
        <is>
          <t>Collecting Point, Trader with Storage</t>
        </is>
      </c>
      <c r="C568" t="inlineStr">
        <is>
          <t>RINA Services S.p.A., Genova, IT</t>
        </is>
      </c>
      <c r="D568" t="inlineStr">
        <is>
          <t>25.07.2027</t>
        </is>
      </c>
      <c r="E568" t="inlineStr">
        <is>
          <t>Spain</t>
        </is>
      </c>
    </row>
    <row r="569">
      <c r="A569" t="inlineStr">
        <is>
          <t>PT Swastisiddhi Amagra,  Kel.Libo Jaya Kec. Kandis Kab.Siak, Indonesia</t>
        </is>
      </c>
      <c r="B569" t="inlineStr">
        <is>
          <t>Point of Origin</t>
        </is>
      </c>
      <c r="C569" t="inlineStr">
        <is>
          <t>PT Mutuagung Lestari, Depok, ID</t>
        </is>
      </c>
      <c r="D569" t="inlineStr">
        <is>
          <t>25.07.2027</t>
        </is>
      </c>
      <c r="E569" t="inlineStr">
        <is>
          <t>Indonesia</t>
        </is>
      </c>
    </row>
    <row r="570">
      <c r="A570" t="inlineStr">
        <is>
          <t>MIDEL &amp; MIVOLT FLUIDS LIMITED,  Manchester, The United Kingdom</t>
        </is>
      </c>
      <c r="B570" t="inlineStr">
        <is>
          <t>Processing Unit</t>
        </is>
      </c>
      <c r="C570" t="inlineStr">
        <is>
          <t>Aardvark Certification Ltd, Wiveliscombe, Somerset, GB</t>
        </is>
      </c>
      <c r="D570" t="inlineStr">
        <is>
          <t>25.07.2027</t>
        </is>
      </c>
      <c r="E570" t="inlineStr">
        <is>
          <t>The United Kingdom</t>
        </is>
      </c>
    </row>
    <row r="571">
      <c r="A571" t="inlineStr">
        <is>
          <t>American Greenfuels,  New Haven, The United States of America</t>
        </is>
      </c>
      <c r="B571" t="inlineStr">
        <is>
          <t>Processing Unit, Warehouse</t>
        </is>
      </c>
      <c r="C571" t="inlineStr">
        <is>
          <t>Control Union Poland Sp. z o.o., Zielona Gora, PL</t>
        </is>
      </c>
      <c r="D571" t="inlineStr">
        <is>
          <t>25.07.2027</t>
        </is>
      </c>
      <c r="E571" t="inlineStr">
        <is>
          <t>The United States of America</t>
        </is>
      </c>
    </row>
    <row r="572">
      <c r="A572" t="inlineStr">
        <is>
          <t>GOF Hungary Kft.,  Nyíregyháza, Hungary</t>
        </is>
      </c>
      <c r="B572" t="inlineStr">
        <is>
          <t>First Gathering Point, Trader with Storage</t>
        </is>
      </c>
      <c r="C572" t="inlineStr">
        <is>
          <t>Amspec Iberia SL, Vilagarcia de Arousa-Pontevedra, ES</t>
        </is>
      </c>
      <c r="D572" t="inlineStr">
        <is>
          <t>25.07.2027</t>
        </is>
      </c>
      <c r="E572" t="inlineStr">
        <is>
          <t>Hungary</t>
        </is>
      </c>
    </row>
    <row r="573">
      <c r="A573" t="inlineStr">
        <is>
          <t>GeoEnergy Runda Biotechnology Co., Ltd.,  Xinyi City, Xuzhou, Jiangsu, China</t>
        </is>
      </c>
      <c r="B573" t="inlineStr">
        <is>
          <t>Collecting Point, Processing Unit, Trader with Storage</t>
        </is>
      </c>
      <c r="C573" t="inlineStr">
        <is>
          <t>RINA Services S.p.A., Genova, IT</t>
        </is>
      </c>
      <c r="D573" t="inlineStr">
        <is>
          <t>25.07.2027</t>
        </is>
      </c>
      <c r="E573" t="inlineStr">
        <is>
          <t>China</t>
        </is>
      </c>
    </row>
    <row r="574">
      <c r="A574" t="inlineStr">
        <is>
          <t>Asprona-León,  Leon (Quintana Raneros), Spain</t>
        </is>
      </c>
      <c r="B574" t="inlineStr">
        <is>
          <t>Collecting Point</t>
        </is>
      </c>
      <c r="C574" t="inlineStr">
        <is>
          <t>Amspec Iberia SL, Vilagarcia de Arousa-Pontevedra, ES</t>
        </is>
      </c>
      <c r="D574" t="inlineStr">
        <is>
          <t>25.07.2027</t>
        </is>
      </c>
      <c r="E574" t="inlineStr">
        <is>
          <t>Spain</t>
        </is>
      </c>
    </row>
    <row r="575">
      <c r="A575" t="inlineStr">
        <is>
          <t>Moromalt-export,s.r.o.,  Olomouc, Czech Republic</t>
        </is>
      </c>
      <c r="B575" t="inlineStr">
        <is>
          <t>First Gathering Point, Trader</t>
        </is>
      </c>
      <c r="C575" t="inlineStr">
        <is>
          <t>Bureau Veritas Polska Sp. z o.o., Warsaw, PL</t>
        </is>
      </c>
      <c r="D575" t="inlineStr">
        <is>
          <t>25.07.2027</t>
        </is>
      </c>
      <c r="E575" t="inlineStr">
        <is>
          <t>Czech Republic</t>
        </is>
      </c>
    </row>
    <row r="576">
      <c r="A576" t="inlineStr">
        <is>
          <t>Futamura Chemical co., Ltd,  Ooharu-cho Ama-gun Aichi Prefecture, Japan</t>
        </is>
      </c>
      <c r="B576" t="inlineStr">
        <is>
          <t>Processing Unit, Trader with Storage</t>
        </is>
      </c>
      <c r="C576" t="inlineStr">
        <is>
          <t>Control Union Certifications Germany GmbH, Berlin, DE</t>
        </is>
      </c>
      <c r="D576" t="inlineStr">
        <is>
          <t>25.07.2027</t>
        </is>
      </c>
      <c r="E576" t="inlineStr">
        <is>
          <t>Japan</t>
        </is>
      </c>
    </row>
    <row r="577">
      <c r="A577" t="inlineStr">
        <is>
          <t>SINOCHEM JAPAN CO., LTD.,  Tokyo, Japan</t>
        </is>
      </c>
      <c r="B577" t="inlineStr">
        <is>
          <t>Trader with Storage</t>
        </is>
      </c>
      <c r="C577" t="inlineStr">
        <is>
          <t>Control Union Certifications Germany GmbH, Berlin, DE</t>
        </is>
      </c>
      <c r="D577" t="inlineStr">
        <is>
          <t>25.07.2027</t>
        </is>
      </c>
      <c r="E577" t="inlineStr">
        <is>
          <t>Japan</t>
        </is>
      </c>
    </row>
    <row r="578">
      <c r="A578" t="inlineStr">
        <is>
          <t>SANKYO KASEI SANGYO CO., LTD,  Nakamura-ku Nagoya-city, Japan</t>
        </is>
      </c>
      <c r="B578" t="inlineStr">
        <is>
          <t>Trader</t>
        </is>
      </c>
      <c r="C578" t="inlineStr">
        <is>
          <t>Control Union Certifications Germany GmbH, Berlin, DE</t>
        </is>
      </c>
      <c r="D578" t="inlineStr">
        <is>
          <t>25.07.2027</t>
        </is>
      </c>
      <c r="E578" t="inlineStr">
        <is>
          <t>Japan</t>
        </is>
      </c>
    </row>
    <row r="579">
      <c r="A579" t="inlineStr">
        <is>
          <t>Biovender Beilen B.V.,  Beilen, The Netherlands</t>
        </is>
      </c>
      <c r="B579" t="inlineStr">
        <is>
          <t>Collecting Point, Processing Unit</t>
        </is>
      </c>
      <c r="C579" t="inlineStr">
        <is>
          <t>DEKRA Certification B.V., Arnhem, NL</t>
        </is>
      </c>
      <c r="D579" t="inlineStr">
        <is>
          <t>25.07.2027</t>
        </is>
      </c>
      <c r="E579" t="inlineStr">
        <is>
          <t>The Netherlands</t>
        </is>
      </c>
    </row>
    <row r="580">
      <c r="A580" t="inlineStr">
        <is>
          <t>ARIKIRA CO LTD,  BANGKOK, Thailand</t>
        </is>
      </c>
      <c r="B580" t="inlineStr">
        <is>
          <t>Collecting Point</t>
        </is>
      </c>
      <c r="C580" t="inlineStr">
        <is>
          <t>PT. CBQA GLOBAL INDONESIA, JAKARTA SELATAN, ID</t>
        </is>
      </c>
      <c r="D580" t="inlineStr">
        <is>
          <t>25.07.2027</t>
        </is>
      </c>
      <c r="E580" t="inlineStr">
        <is>
          <t>Thailand</t>
        </is>
      </c>
    </row>
    <row r="581">
      <c r="A581" t="inlineStr">
        <is>
          <t>Covestro (Netherlands),  Schoonebeek, The Netherlands</t>
        </is>
      </c>
      <c r="B581" t="inlineStr">
        <is>
          <t>Processing Unit</t>
        </is>
      </c>
      <c r="C581" t="inlineStr">
        <is>
          <t>DQS CFS GmbH - Deutsche Gesellschaft für Nachhaltigkeit, Frankfurt am Main, DE</t>
        </is>
      </c>
      <c r="D581" t="inlineStr">
        <is>
          <t>25.07.2027</t>
        </is>
      </c>
      <c r="E581" t="inlineStr">
        <is>
          <t>The Netherlands</t>
        </is>
      </c>
    </row>
    <row r="582">
      <c r="A582" t="inlineStr">
        <is>
          <t>Covestro (Netherlands),  Waalwijk, The Netherlands</t>
        </is>
      </c>
      <c r="B582" t="inlineStr">
        <is>
          <t>Processing Unit</t>
        </is>
      </c>
      <c r="C582" t="inlineStr">
        <is>
          <t>DQS CFS GmbH - Deutsche Gesellschaft für Nachhaltigkeit, Frankfurt am Main, DE</t>
        </is>
      </c>
      <c r="D582" t="inlineStr">
        <is>
          <t>25.07.2027</t>
        </is>
      </c>
      <c r="E582" t="inlineStr">
        <is>
          <t>The Netherlands</t>
        </is>
      </c>
    </row>
    <row r="583">
      <c r="A583" t="inlineStr">
        <is>
          <t>Gamalux Sdn Bhd,  Seksyen 7, Shah Alam,, Malaysia</t>
        </is>
      </c>
      <c r="B583" t="inlineStr">
        <is>
          <t>Collecting Point, Trader with Storage</t>
        </is>
      </c>
      <c r="C583" t="inlineStr">
        <is>
          <t>PT. Qualitas Sertifikasi Indonesia, Jakarta, ID</t>
        </is>
      </c>
      <c r="D583" t="inlineStr">
        <is>
          <t>25.07.2027</t>
        </is>
      </c>
      <c r="E583" t="inlineStr">
        <is>
          <t>Malaysia</t>
        </is>
      </c>
    </row>
    <row r="584">
      <c r="A584" t="inlineStr">
        <is>
          <t>Veenema Energy,  Sneek, The Netherlands</t>
        </is>
      </c>
      <c r="B584" t="inlineStr">
        <is>
          <t>Trader with Storage, Proof of Compliance Trader</t>
        </is>
      </c>
      <c r="C584" t="inlineStr">
        <is>
          <t>DEKRA Certification B.V., Arnhem, NL</t>
        </is>
      </c>
      <c r="D584" t="inlineStr">
        <is>
          <t>25.07.2027</t>
        </is>
      </c>
      <c r="E584" t="inlineStr">
        <is>
          <t>The Netherlands</t>
        </is>
      </c>
    </row>
    <row r="585">
      <c r="A585" t="inlineStr">
        <is>
          <t>TOPCO TRADING (SHANGHAI PUDONG NEW AREA) CO., LTD.,  Shanghai, China</t>
        </is>
      </c>
      <c r="B585" t="inlineStr">
        <is>
          <t>Trader with Storage</t>
        </is>
      </c>
      <c r="C585" t="inlineStr">
        <is>
          <t>DIN CERTCO GmbH, Berlin, DE</t>
        </is>
      </c>
      <c r="D585" t="inlineStr">
        <is>
          <t>25.07.2027</t>
        </is>
      </c>
      <c r="E585" t="inlineStr">
        <is>
          <t>China</t>
        </is>
      </c>
    </row>
    <row r="586">
      <c r="A586" t="inlineStr">
        <is>
          <t>Agricos Intertrading SRL,  Calarasi, Romania</t>
        </is>
      </c>
      <c r="B586" t="inlineStr">
        <is>
          <t>First Gathering Point, Trader with Storage</t>
        </is>
      </c>
      <c r="C586" t="inlineStr">
        <is>
          <t>Control Union Certifications Germany GmbH, Berlin, DE</t>
        </is>
      </c>
      <c r="D586" t="inlineStr">
        <is>
          <t>25.07.2027</t>
        </is>
      </c>
      <c r="E586" t="inlineStr">
        <is>
          <t>Romania</t>
        </is>
      </c>
    </row>
    <row r="587">
      <c r="A587" t="inlineStr">
        <is>
          <t>Yakult Honsha Co., Ltd.,  Sashima-gun, Ibaraki, Japan</t>
        </is>
      </c>
      <c r="B587" t="inlineStr">
        <is>
          <t>Final Product Refinement, Processing Unit</t>
        </is>
      </c>
      <c r="C587" t="inlineStr">
        <is>
          <t>SGS Germany GmbH, Emstek, DE</t>
        </is>
      </c>
      <c r="D587" t="inlineStr">
        <is>
          <t>25.07.2027</t>
        </is>
      </c>
      <c r="E587" t="inlineStr">
        <is>
          <t>Japan</t>
        </is>
      </c>
    </row>
    <row r="588">
      <c r="A588" t="inlineStr">
        <is>
          <t>Sumitomo Chemical Co.,Ltd.,  Sodegaura City, Chiba, Japan</t>
        </is>
      </c>
      <c r="B588" t="inlineStr">
        <is>
          <t>Processing Unit, Warehouse</t>
        </is>
      </c>
      <c r="C588" t="inlineStr">
        <is>
          <t>SGS Germany GmbH, Emstek, DE</t>
        </is>
      </c>
      <c r="D588" t="inlineStr">
        <is>
          <t>25.07.2027</t>
        </is>
      </c>
      <c r="E588" t="inlineStr">
        <is>
          <t>Japan</t>
        </is>
      </c>
    </row>
    <row r="589">
      <c r="A589" t="inlineStr">
        <is>
          <t>Biometagas La Galera,  La Galera - Tarragona, Spain</t>
        </is>
      </c>
      <c r="B589" t="inlineStr">
        <is>
          <t>Collecting Point, Processing Unit</t>
        </is>
      </c>
      <c r="C589" t="inlineStr">
        <is>
          <t>Bureau Veritas Polska Sp. z o.o., Warsaw, PL</t>
        </is>
      </c>
      <c r="D589" t="inlineStr">
        <is>
          <t>25.07.2027</t>
        </is>
      </c>
      <c r="E589" t="inlineStr">
        <is>
          <t>Spain</t>
        </is>
      </c>
    </row>
    <row r="590">
      <c r="A590" t="inlineStr">
        <is>
          <t>Chengdu Qingyun Waste Oil Disposal Co., Ltd.,  Chengdu City, Sichuan Province, China</t>
        </is>
      </c>
      <c r="B590" t="inlineStr">
        <is>
          <t>Collecting Point, Trader with Storage</t>
        </is>
      </c>
      <c r="C590" t="inlineStr">
        <is>
          <t>RINA Services S.p.A., Genova, IT</t>
        </is>
      </c>
      <c r="D590" t="inlineStr">
        <is>
          <t>25.07.2027</t>
        </is>
      </c>
      <c r="E590" t="inlineStr">
        <is>
          <t>China</t>
        </is>
      </c>
    </row>
    <row r="591">
      <c r="A591" t="inlineStr">
        <is>
          <t>Sichuan Shengjuyuan Environmental Protection Technology Co., Ltd.,  Mianyang City, Sichuan Province,, China</t>
        </is>
      </c>
      <c r="B591" t="inlineStr">
        <is>
          <t>Collecting Point, Trader</t>
        </is>
      </c>
      <c r="C591" t="inlineStr">
        <is>
          <t>RINA Services S.p.A., Genova, IT</t>
        </is>
      </c>
      <c r="D591" t="inlineStr">
        <is>
          <t>25.07.2027</t>
        </is>
      </c>
      <c r="E591" t="inlineStr">
        <is>
          <t>China</t>
        </is>
      </c>
    </row>
    <row r="592">
      <c r="A592" t="inlineStr">
        <is>
          <t>GASEA, s.r.o.,  Herálec, Czech Republic</t>
        </is>
      </c>
      <c r="B592" t="inlineStr">
        <is>
          <t>Processing Unit</t>
        </is>
      </c>
      <c r="C592" t="inlineStr">
        <is>
          <t>United Registrar of Systems Polska Sp. z o.o., Wrocław, PL</t>
        </is>
      </c>
      <c r="D592" t="inlineStr">
        <is>
          <t>25.07.2027</t>
        </is>
      </c>
      <c r="E592" t="inlineStr">
        <is>
          <t>Czech Republic</t>
        </is>
      </c>
    </row>
    <row r="593">
      <c r="A593" t="inlineStr">
        <is>
          <t>INDAC AGRO COOPERATIVA AGRICOLA,  Buzau, Romania</t>
        </is>
      </c>
      <c r="B593" t="inlineStr">
        <is>
          <t>First Gathering Point, Trader with Storage</t>
        </is>
      </c>
      <c r="C593" t="inlineStr">
        <is>
          <t>RINA Services S.p.A., Genova, IT</t>
        </is>
      </c>
      <c r="D593" t="inlineStr">
        <is>
          <t>24.07.2027</t>
        </is>
      </c>
      <c r="E593" t="inlineStr">
        <is>
          <t>Romania</t>
        </is>
      </c>
    </row>
    <row r="594">
      <c r="A594" t="inlineStr">
        <is>
          <t>Vale Green Energy,  Pershore, The United Kingdom</t>
        </is>
      </c>
      <c r="B594" t="inlineStr">
        <is>
          <t>First Gathering Point, Processing Unit</t>
        </is>
      </c>
      <c r="C594" t="inlineStr">
        <is>
          <t>Aardvark Certification Ltd, Wiveliscombe, Somerset, GB</t>
        </is>
      </c>
      <c r="D594" t="inlineStr">
        <is>
          <t>24.07.2027</t>
        </is>
      </c>
      <c r="E594" t="inlineStr">
        <is>
          <t>The United Kingdom</t>
        </is>
      </c>
    </row>
    <row r="595">
      <c r="A595" t="inlineStr">
        <is>
          <t>CENTERAGROEXPORT,  Cherkasy, Ukraine</t>
        </is>
      </c>
      <c r="B595" t="inlineStr">
        <is>
          <t>First Gathering Point</t>
        </is>
      </c>
      <c r="C595" t="inlineStr">
        <is>
          <t>Baltic Control Certification, Albertslund, DK</t>
        </is>
      </c>
      <c r="D595" t="inlineStr">
        <is>
          <t>24.07.2027</t>
        </is>
      </c>
      <c r="E595" t="inlineStr">
        <is>
          <t>Ukraine</t>
        </is>
      </c>
    </row>
    <row r="596">
      <c r="A596" t="inlineStr">
        <is>
          <t>Best Diamond Plastics,  Chicago, The United States of America</t>
        </is>
      </c>
      <c r="B596" t="inlineStr">
        <is>
          <t>Processing Unit</t>
        </is>
      </c>
      <c r="C596" t="inlineStr">
        <is>
          <t>SCS Global Services, Emeryville, CA, US</t>
        </is>
      </c>
      <c r="D596" t="inlineStr">
        <is>
          <t>24.07.2027</t>
        </is>
      </c>
      <c r="E596" t="inlineStr">
        <is>
          <t>The United States of America</t>
        </is>
      </c>
    </row>
    <row r="597">
      <c r="A597" t="inlineStr">
        <is>
          <t>C.P. Poly-Industry Co., Ltd.,  Nakorn Ratchasima, Thailand</t>
        </is>
      </c>
      <c r="B597" t="inlineStr">
        <is>
          <t>Processing Unit</t>
        </is>
      </c>
      <c r="C597" t="inlineStr">
        <is>
          <t>Bureau Veritas Polska Sp. z o.o., Warsaw, PL</t>
        </is>
      </c>
      <c r="D597" t="inlineStr">
        <is>
          <t>24.07.2027</t>
        </is>
      </c>
      <c r="E597" t="inlineStr">
        <is>
          <t>Thailand</t>
        </is>
      </c>
    </row>
    <row r="598">
      <c r="A598" t="inlineStr">
        <is>
          <t>Yongkang Ansheng Plastic Products Co., Ltd.,  Jinhua, Zhejiang, China</t>
        </is>
      </c>
      <c r="B598" t="inlineStr">
        <is>
          <t>Processing Unit</t>
        </is>
      </c>
      <c r="C598" t="inlineStr">
        <is>
          <t>Bureau Veritas Polska Sp. z o.o., Warsaw, PL</t>
        </is>
      </c>
      <c r="D598" t="inlineStr">
        <is>
          <t>24.07.2027</t>
        </is>
      </c>
      <c r="E598" t="inlineStr">
        <is>
          <t>China</t>
        </is>
      </c>
    </row>
    <row r="599">
      <c r="A599" t="inlineStr">
        <is>
          <t>Zhejiang Ansheng Science &amp; Technology Stock Co., Ltd.,  Jinhua City, Zhejiang Province, China</t>
        </is>
      </c>
      <c r="B599" t="inlineStr">
        <is>
          <t>Final Product Refinement, Trader</t>
        </is>
      </c>
      <c r="C599" t="inlineStr">
        <is>
          <t>Bureau Veritas Polska Sp. z o.o., Warsaw, PL</t>
        </is>
      </c>
      <c r="D599" t="inlineStr">
        <is>
          <t>24.07.2027</t>
        </is>
      </c>
      <c r="E599" t="inlineStr">
        <is>
          <t>China</t>
        </is>
      </c>
    </row>
    <row r="600">
      <c r="A600" t="inlineStr">
        <is>
          <t>bikosigma GmbH,  Holzwickede, Germany</t>
        </is>
      </c>
      <c r="B600" t="inlineStr">
        <is>
          <t>Trader with Storage</t>
        </is>
      </c>
      <c r="C600" t="inlineStr">
        <is>
          <t>TÜV NORD CERT GmbH, Essen, DE</t>
        </is>
      </c>
      <c r="D600" t="inlineStr">
        <is>
          <t>24.07.2027</t>
        </is>
      </c>
      <c r="E600" t="inlineStr">
        <is>
          <t>Germany</t>
        </is>
      </c>
    </row>
    <row r="601">
      <c r="A601" t="inlineStr">
        <is>
          <t>Acumen Engineering Pte Ltd,  Singapore, Singapore</t>
        </is>
      </c>
      <c r="B601" t="inlineStr">
        <is>
          <t>Trader with Storage</t>
        </is>
      </c>
      <c r="C601" t="inlineStr">
        <is>
          <t>Guardian Independent Certification Limited, Singapore, SG</t>
        </is>
      </c>
      <c r="D601" t="inlineStr">
        <is>
          <t>24.07.2027</t>
        </is>
      </c>
      <c r="E601" t="inlineStr">
        <is>
          <t>Singapore</t>
        </is>
      </c>
    </row>
    <row r="602">
      <c r="A602" t="inlineStr">
        <is>
          <t>Bunge Lipid Enzymtec,  Pasir Gudang industrial Estate, Malaysia</t>
        </is>
      </c>
      <c r="B602" t="inlineStr">
        <is>
          <t>Point of Origin</t>
        </is>
      </c>
      <c r="C602" t="inlineStr">
        <is>
          <t>Control Union Certifications Germany GmbH, Berlin, DE</t>
        </is>
      </c>
      <c r="D602" t="inlineStr">
        <is>
          <t>24.07.2027</t>
        </is>
      </c>
      <c r="E602" t="inlineStr">
        <is>
          <t>Malaysia</t>
        </is>
      </c>
    </row>
    <row r="603">
      <c r="A603" t="inlineStr">
        <is>
          <t>YC TEC CORP.,  Gimhae-si Gyeongsangnam-do, The Republic of Korea</t>
        </is>
      </c>
      <c r="B603" t="inlineStr">
        <is>
          <t>Processing Unit, Trader with Storage</t>
        </is>
      </c>
      <c r="C603" t="inlineStr">
        <is>
          <t>FITI Testing &amp; Research Institute, Seoul, KR</t>
        </is>
      </c>
      <c r="D603" t="inlineStr">
        <is>
          <t>24.07.2027</t>
        </is>
      </c>
      <c r="E603" t="inlineStr">
        <is>
          <t>The Republic of Korea</t>
        </is>
      </c>
    </row>
    <row r="604">
      <c r="A604" t="inlineStr">
        <is>
          <t>First Resources Trading PTE LTD,  Singapore, Singapore</t>
        </is>
      </c>
      <c r="B604" t="inlineStr">
        <is>
          <t>Trader</t>
        </is>
      </c>
      <c r="C604" t="inlineStr">
        <is>
          <t>PT SBC Asia Sertifikasi, Kebumen, ID</t>
        </is>
      </c>
      <c r="D604" t="inlineStr">
        <is>
          <t>24.07.2027</t>
        </is>
      </c>
      <c r="E604" t="inlineStr">
        <is>
          <t>Singapore</t>
        </is>
      </c>
    </row>
    <row r="605">
      <c r="A605" t="inlineStr">
        <is>
          <t>CM Synergy (M) Sdn Bhd,  Puchong, Selangor, Malaysia</t>
        </is>
      </c>
      <c r="B605" t="inlineStr">
        <is>
          <t>Trader with Storage</t>
        </is>
      </c>
      <c r="C605" t="inlineStr">
        <is>
          <t>Global Gateway Certifications Sdn Bhd, Ampang, MY</t>
        </is>
      </c>
      <c r="D605" t="inlineStr">
        <is>
          <t>24.07.2027</t>
        </is>
      </c>
      <c r="E605" t="inlineStr">
        <is>
          <t>Malaysia</t>
        </is>
      </c>
    </row>
    <row r="606">
      <c r="A606" t="inlineStr">
        <is>
          <t>COMPANY OKKO-BUSINESS,  Lviv, Ukraine</t>
        </is>
      </c>
      <c r="B606" t="inlineStr">
        <is>
          <t>First Gathering Point, Trader with Storage</t>
        </is>
      </c>
      <c r="C606" t="inlineStr">
        <is>
          <t>Apex Genelab LLC, Odessa, UA</t>
        </is>
      </c>
      <c r="D606" t="inlineStr">
        <is>
          <t>24.07.2027</t>
        </is>
      </c>
      <c r="E606" t="inlineStr">
        <is>
          <t>Ukraine</t>
        </is>
      </c>
    </row>
    <row r="607">
      <c r="A607" t="inlineStr">
        <is>
          <t>KM Packaging GmbH,  Ubstadt-Weiher, Germany</t>
        </is>
      </c>
      <c r="B607" t="inlineStr">
        <is>
          <t>Processing Unit, Trader</t>
        </is>
      </c>
      <c r="C607" t="inlineStr">
        <is>
          <t>GUT Certifizierungsgesellschaft für Managementsysteme mbH Umweltgutachter, Berlin, DE</t>
        </is>
      </c>
      <c r="D607" t="inlineStr">
        <is>
          <t>24.07.2027</t>
        </is>
      </c>
      <c r="E607" t="inlineStr">
        <is>
          <t>Germany</t>
        </is>
      </c>
    </row>
    <row r="608">
      <c r="A608" t="inlineStr">
        <is>
          <t>Kunststoffwerk Mauer Thüringen GmbH &amp; Co KG,  Drei Gleichen, Germany</t>
        </is>
      </c>
      <c r="B608" t="inlineStr">
        <is>
          <t>Processing Unit</t>
        </is>
      </c>
      <c r="C608" t="inlineStr">
        <is>
          <t>GUT Certifizierungsgesellschaft für Managementsysteme mbH Umweltgutachter, Berlin, DE</t>
        </is>
      </c>
      <c r="D608" t="inlineStr">
        <is>
          <t>24.07.2027</t>
        </is>
      </c>
      <c r="E608" t="inlineStr">
        <is>
          <t>Germany</t>
        </is>
      </c>
    </row>
    <row r="609">
      <c r="A609" t="inlineStr">
        <is>
          <t>LNZ TRADING GMBH,  Eschborn, Germany</t>
        </is>
      </c>
      <c r="B609" t="inlineStr">
        <is>
          <t>First Gathering Point, Trader</t>
        </is>
      </c>
      <c r="C609" t="inlineStr">
        <is>
          <t>Control Union Poland Sp. z o.o., Zielona Gora, PL</t>
        </is>
      </c>
      <c r="D609" t="inlineStr">
        <is>
          <t>24.07.2027</t>
        </is>
      </c>
      <c r="E609" t="inlineStr">
        <is>
          <t>Germany</t>
        </is>
      </c>
    </row>
    <row r="610">
      <c r="A610" t="inlineStr">
        <is>
          <t>Biodiesel Trading (Cyprus) Ltd,  Limassol, GERMASOGIA, Cyprus</t>
        </is>
      </c>
      <c r="B610" t="inlineStr">
        <is>
          <t>Trader</t>
        </is>
      </c>
      <c r="C610" t="inlineStr">
        <is>
          <t>Apex Genelab LLC, Odessa, UA</t>
        </is>
      </c>
      <c r="D610" t="inlineStr">
        <is>
          <t>24.07.2027</t>
        </is>
      </c>
      <c r="E610" t="inlineStr">
        <is>
          <t>Cyprus</t>
        </is>
      </c>
    </row>
    <row r="611">
      <c r="A611" t="inlineStr">
        <is>
          <t>South China Blue Sky Aviation Fuel Co., Ltd. Henan Branch,  Xinzheng International Airport, Zhengzhou City, China</t>
        </is>
      </c>
      <c r="B611" t="inlineStr">
        <is>
          <t>Trader with Storage</t>
        </is>
      </c>
      <c r="C611" t="inlineStr">
        <is>
          <t>China Quality Certification Centre Co., Ltd., Beijing, CN</t>
        </is>
      </c>
      <c r="D611" t="inlineStr">
        <is>
          <t>24.07.2027</t>
        </is>
      </c>
      <c r="E611" t="inlineStr">
        <is>
          <t>China</t>
        </is>
      </c>
    </row>
    <row r="612">
      <c r="A612" t="inlineStr">
        <is>
          <t>ASP Greentech (Simpang Pertang) Sdn Bhd,  Simpang Pertang, Malaysia</t>
        </is>
      </c>
      <c r="B612" t="inlineStr">
        <is>
          <t>Point of Origin</t>
        </is>
      </c>
      <c r="C612" t="inlineStr">
        <is>
          <t>NIOSH Certification Sdn. Bhd., Selangor Darul Ehsan, MY</t>
        </is>
      </c>
      <c r="D612" t="inlineStr">
        <is>
          <t>24.07.2027</t>
        </is>
      </c>
      <c r="E612" t="inlineStr">
        <is>
          <t>Malaysia</t>
        </is>
      </c>
    </row>
    <row r="613">
      <c r="A613" t="inlineStr">
        <is>
          <t>PT Citra Mahkota - POM CMA,  Desa nanga keruap, Desa/Kelurahan nanga keruap, Kec. menukung, Kab. melawi, Indonesia</t>
        </is>
      </c>
      <c r="B613" t="inlineStr">
        <is>
          <t>Point of Origin</t>
        </is>
      </c>
      <c r="C613" t="inlineStr">
        <is>
          <t>PT SBC Asia Sertifikasi, Kebumen, ID</t>
        </is>
      </c>
      <c r="D613" t="inlineStr">
        <is>
          <t>24.07.2027</t>
        </is>
      </c>
      <c r="E613" t="inlineStr">
        <is>
          <t>Indonesia</t>
        </is>
      </c>
    </row>
    <row r="614">
      <c r="A614" t="inlineStr">
        <is>
          <t>ExxonMobil Hong Kong Limited,  Wanchai, Hong Kong (SAR)</t>
        </is>
      </c>
      <c r="B614" t="inlineStr">
        <is>
          <t>Trader</t>
        </is>
      </c>
      <c r="C614" t="inlineStr">
        <is>
          <t>Control Union Certifications Germany GmbH, Berlin, DE</t>
        </is>
      </c>
      <c r="D614" t="inlineStr">
        <is>
          <t>24.07.2027</t>
        </is>
      </c>
      <c r="E614" t="inlineStr">
        <is>
          <t>Hong Kong (SAR)</t>
        </is>
      </c>
    </row>
    <row r="615">
      <c r="A615" t="inlineStr">
        <is>
          <t>Bengkulu Sawit Lestari (II),  Bengkulu, Indonesia</t>
        </is>
      </c>
      <c r="B615" t="inlineStr">
        <is>
          <t>Point of Origin, Trader</t>
        </is>
      </c>
      <c r="C615" t="inlineStr">
        <is>
          <t>PT. Qualitas Sertifikasi Indonesia, Jakarta, ID</t>
        </is>
      </c>
      <c r="D615" t="inlineStr">
        <is>
          <t>24.07.2027</t>
        </is>
      </c>
      <c r="E615" t="inlineStr">
        <is>
          <t>Indonesia</t>
        </is>
      </c>
    </row>
    <row r="616">
      <c r="A616" t="inlineStr">
        <is>
          <t>Bengkulu Sawit Lestari (I),  Bengkulu, Indonesia</t>
        </is>
      </c>
      <c r="B616" t="inlineStr">
        <is>
          <t>Point of Origin</t>
        </is>
      </c>
      <c r="C616" t="inlineStr">
        <is>
          <t>PT. Qualitas Sertifikasi Indonesia, Jakarta, ID</t>
        </is>
      </c>
      <c r="D616" t="inlineStr">
        <is>
          <t>24.07.2027</t>
        </is>
      </c>
      <c r="E616" t="inlineStr">
        <is>
          <t>Indonesia</t>
        </is>
      </c>
    </row>
    <row r="617">
      <c r="A617" t="inlineStr">
        <is>
          <t>Agrokomodity Decin, s.r.o.,  Dečin I - Dečin , Czech Republic</t>
        </is>
      </c>
      <c r="B617" t="inlineStr">
        <is>
          <t>First Gathering Point, Trader</t>
        </is>
      </c>
      <c r="C617" t="inlineStr">
        <is>
          <t>United Registrar of Systems Polska Sp. z o.o., Wrocław, PL</t>
        </is>
      </c>
      <c r="D617" t="inlineStr">
        <is>
          <t>24.07.2027</t>
        </is>
      </c>
      <c r="E617" t="inlineStr">
        <is>
          <t>Czech Republic</t>
        </is>
      </c>
    </row>
    <row r="618">
      <c r="A618" t="inlineStr">
        <is>
          <t>Pipelife Nederland B.V.,  Enkhuizen, The Netherlands</t>
        </is>
      </c>
      <c r="B618" t="inlineStr">
        <is>
          <t>Processing Unit</t>
        </is>
      </c>
      <c r="C618" t="inlineStr">
        <is>
          <t>Normec QS BV, Ede, NL</t>
        </is>
      </c>
      <c r="D618" t="inlineStr">
        <is>
          <t>24.07.2027</t>
        </is>
      </c>
      <c r="E618" t="inlineStr">
        <is>
          <t>The Netherlands</t>
        </is>
      </c>
    </row>
    <row r="619">
      <c r="A619" t="inlineStr">
        <is>
          <t>Ogorul Retail,  Bucuresti, Romania</t>
        </is>
      </c>
      <c r="B619" t="inlineStr">
        <is>
          <t>First Gathering Point, Trader with Storage</t>
        </is>
      </c>
      <c r="C619" t="inlineStr">
        <is>
          <t>SGS Germany GmbH, Emstek, DE</t>
        </is>
      </c>
      <c r="D619" t="inlineStr">
        <is>
          <t>24.07.2027</t>
        </is>
      </c>
      <c r="E619" t="inlineStr">
        <is>
          <t>Romania</t>
        </is>
      </c>
    </row>
    <row r="620">
      <c r="A620" t="inlineStr">
        <is>
          <t>BIOGARDEN HAMANGIA AGRICULTURAL COOPERATIVE,  BAIA, TULCEA COUNTY, Romania</t>
        </is>
      </c>
      <c r="B620" t="inlineStr">
        <is>
          <t>First Gathering Point</t>
        </is>
      </c>
      <c r="C620" t="inlineStr">
        <is>
          <t>BM Certification, Riga, LV</t>
        </is>
      </c>
      <c r="D620" t="inlineStr">
        <is>
          <t>24.07.2027</t>
        </is>
      </c>
      <c r="E620" t="inlineStr">
        <is>
          <t>Romania</t>
        </is>
      </c>
    </row>
    <row r="621">
      <c r="A621" t="inlineStr">
        <is>
          <t>LACTALIS NESTLE ULTRA-FRAIS MARQUES,  VALLET, France</t>
        </is>
      </c>
      <c r="B621" t="inlineStr">
        <is>
          <t>Final Product Refinement, Processing Unit</t>
        </is>
      </c>
      <c r="C621" t="inlineStr">
        <is>
          <t>SGS Germany GmbH, Emstek, DE</t>
        </is>
      </c>
      <c r="D621" t="inlineStr">
        <is>
          <t>24.07.2027</t>
        </is>
      </c>
      <c r="E621" t="inlineStr">
        <is>
          <t>France</t>
        </is>
      </c>
    </row>
    <row r="622">
      <c r="A622" t="inlineStr">
        <is>
          <t>Greiner Packaging AG,  Diepoldsau, Switzerland</t>
        </is>
      </c>
      <c r="B622" t="inlineStr">
        <is>
          <t>Processing Unit</t>
        </is>
      </c>
      <c r="C622" t="inlineStr">
        <is>
          <t>SGS Germany GmbH, Emstek, DE</t>
        </is>
      </c>
      <c r="D622" t="inlineStr">
        <is>
          <t>24.07.2027</t>
        </is>
      </c>
      <c r="E622" t="inlineStr">
        <is>
          <t>Switzerland</t>
        </is>
      </c>
    </row>
    <row r="623">
      <c r="A623" t="inlineStr">
        <is>
          <t>Borealis GmbH,  Kulloo, Finland</t>
        </is>
      </c>
      <c r="B623" t="inlineStr">
        <is>
          <t>Processing Unit, Trader with Storage</t>
        </is>
      </c>
      <c r="C623" t="inlineStr">
        <is>
          <t>SGS Germany GmbH, Emstek, DE</t>
        </is>
      </c>
      <c r="D623" t="inlineStr">
        <is>
          <t>24.07.2027</t>
        </is>
      </c>
      <c r="E623" t="inlineStr">
        <is>
          <t>Finland</t>
        </is>
      </c>
    </row>
    <row r="624">
      <c r="A624" t="inlineStr">
        <is>
          <t>LUKROM, spol. s r.o.,  Lípa, Czech Republic</t>
        </is>
      </c>
      <c r="B624" t="inlineStr">
        <is>
          <t>First Gathering Point, Trader with Storage</t>
        </is>
      </c>
      <c r="C624" t="inlineStr">
        <is>
          <t>SGS Germany GmbH, Emstek, DE</t>
        </is>
      </c>
      <c r="D624" t="inlineStr">
        <is>
          <t>24.07.2027</t>
        </is>
      </c>
      <c r="E624" t="inlineStr">
        <is>
          <t>Czech Republic</t>
        </is>
      </c>
    </row>
    <row r="625">
      <c r="A625" t="inlineStr">
        <is>
          <t>FVR Renewables Supplies Sdn Bhd,  Pasir Gudang, Malaysia</t>
        </is>
      </c>
      <c r="B625" t="inlineStr">
        <is>
          <t>Processing Unit, Trader with Storage</t>
        </is>
      </c>
      <c r="C625" t="inlineStr">
        <is>
          <t>PT. CBQA GLOBAL INDONESIA, JAKARTA SELATAN, ID</t>
        </is>
      </c>
      <c r="D625" t="inlineStr">
        <is>
          <t>24.07.2027</t>
        </is>
      </c>
      <c r="E625" t="inlineStr">
        <is>
          <t>Malaysia</t>
        </is>
      </c>
    </row>
    <row r="626">
      <c r="A626" t="inlineStr">
        <is>
          <t>Tazispot (Pty) Ltd,  Wynberg, Johannesburg, South Africa</t>
        </is>
      </c>
      <c r="B626" t="inlineStr">
        <is>
          <t>Collecting Point, Trader with Storage</t>
        </is>
      </c>
      <c r="C626" t="inlineStr">
        <is>
          <t>Cotecna India Inspection Pvt Ltd, Kolkata, IN</t>
        </is>
      </c>
      <c r="D626" t="inlineStr">
        <is>
          <t>24.07.2027</t>
        </is>
      </c>
      <c r="E626" t="inlineStr">
        <is>
          <t>South Africa</t>
        </is>
      </c>
    </row>
    <row r="627">
      <c r="A627" t="inlineStr">
        <is>
          <t>10084751 Canada Limited,  FORT SASKATCHEWAN, Alberta, Canada</t>
        </is>
      </c>
      <c r="B627" t="inlineStr">
        <is>
          <t>Processing Unit</t>
        </is>
      </c>
      <c r="C627" t="inlineStr">
        <is>
          <t>SCS Global Services, Emeryville, CA, US</t>
        </is>
      </c>
      <c r="D627" t="inlineStr">
        <is>
          <t>24.07.2027</t>
        </is>
      </c>
      <c r="E627" t="inlineStr">
        <is>
          <t>Canada</t>
        </is>
      </c>
    </row>
    <row r="628">
      <c r="A628" t="inlineStr">
        <is>
          <t>Taixing City Shengqun Oil &amp; Grease Co.,Ltd.,  Taixing City, Jiangsu Province, China</t>
        </is>
      </c>
      <c r="B628" t="inlineStr">
        <is>
          <t>Collecting Point</t>
        </is>
      </c>
      <c r="C628" t="inlineStr">
        <is>
          <t>RINA Services S.p.A., Genova, IT</t>
        </is>
      </c>
      <c r="D628" t="inlineStr">
        <is>
          <t>24.07.2027</t>
        </is>
      </c>
      <c r="E628" t="inlineStr">
        <is>
          <t>China</t>
        </is>
      </c>
    </row>
    <row r="629">
      <c r="A629" t="inlineStr">
        <is>
          <t>//Zolota nyva//,  Kivertsi, Ukraine</t>
        </is>
      </c>
      <c r="B629" t="inlineStr">
        <is>
          <t>Farm / Plantation</t>
        </is>
      </c>
      <c r="C629" t="inlineStr">
        <is>
          <t>Bureau Veritas Polska Sp. z o.o., Warsaw, PL</t>
        </is>
      </c>
      <c r="D629" t="inlineStr">
        <is>
          <t>23.07.2027</t>
        </is>
      </c>
      <c r="E629" t="inlineStr">
        <is>
          <t>Ukraine</t>
        </is>
      </c>
    </row>
    <row r="630">
      <c r="A630" t="inlineStr">
        <is>
          <t>Antargaz B.V.,  Nijmegen, The Netherlands</t>
        </is>
      </c>
      <c r="B630" t="inlineStr">
        <is>
          <t>Trader with Storage</t>
        </is>
      </c>
      <c r="C630" t="inlineStr">
        <is>
          <t>Double Helix Tracking Technologies Pte Ltd, Singapore, SG</t>
        </is>
      </c>
      <c r="D630" t="inlineStr">
        <is>
          <t>23.07.2027</t>
        </is>
      </c>
      <c r="E630" t="inlineStr">
        <is>
          <t>The Netherlands</t>
        </is>
      </c>
    </row>
    <row r="631">
      <c r="A631" t="inlineStr">
        <is>
          <t>Antargaz B.V.,  Nijmegen, The Netherlands</t>
        </is>
      </c>
      <c r="B631" t="inlineStr">
        <is>
          <t>Trader with Storage</t>
        </is>
      </c>
      <c r="C631" t="inlineStr">
        <is>
          <t>Double Helix Tracking Technologies Pte Ltd, Singapore, SG</t>
        </is>
      </c>
      <c r="D631" t="inlineStr">
        <is>
          <t>23.07.2027</t>
        </is>
      </c>
      <c r="E631" t="inlineStr">
        <is>
          <t>The Netherlands</t>
        </is>
      </c>
    </row>
    <row r="632">
      <c r="A632" t="inlineStr">
        <is>
          <t>KL BUNKERING (M) SDN. BHD.,  PULAU INDAH, DRY TERMINAL 2 WESTPORT, Malaysia</t>
        </is>
      </c>
      <c r="B632" t="inlineStr">
        <is>
          <t>Warehouse</t>
        </is>
      </c>
      <c r="C632" t="inlineStr">
        <is>
          <t>Global Gateway Certifications Sdn Bhd, Ampang, MY</t>
        </is>
      </c>
      <c r="D632" t="inlineStr">
        <is>
          <t>23.07.2027</t>
        </is>
      </c>
      <c r="E632" t="inlineStr">
        <is>
          <t>Malaysia</t>
        </is>
      </c>
    </row>
    <row r="633">
      <c r="A633" t="inlineStr">
        <is>
          <t>KL BUNKERING (M) SDN. BHD.,  PULAU INDAH, DRY TERMINAL 2 WESTPORT, Malaysia</t>
        </is>
      </c>
      <c r="B633" t="inlineStr">
        <is>
          <t>Warehouse</t>
        </is>
      </c>
      <c r="C633" t="inlineStr">
        <is>
          <t>Global Gateway Certifications Sdn Bhd, Ampang, MY</t>
        </is>
      </c>
      <c r="D633" t="inlineStr">
        <is>
          <t>23.07.2027</t>
        </is>
      </c>
      <c r="E633" t="inlineStr">
        <is>
          <t>Malaysia</t>
        </is>
      </c>
    </row>
    <row r="634">
      <c r="A634" t="inlineStr">
        <is>
          <t>Hiks Agro LTD,  Shumen, Bulgaria</t>
        </is>
      </c>
      <c r="B634" t="inlineStr">
        <is>
          <t>First Gathering Point, Trader</t>
        </is>
      </c>
      <c r="C634" t="inlineStr">
        <is>
          <t>Control Union Poland Sp. z o.o., Zielona Gora, PL</t>
        </is>
      </c>
      <c r="D634" t="inlineStr">
        <is>
          <t>23.07.2027</t>
        </is>
      </c>
      <c r="E634" t="inlineStr">
        <is>
          <t>Bulgaria</t>
        </is>
      </c>
    </row>
    <row r="635">
      <c r="A635" t="inlineStr">
        <is>
          <t>TAGHLEEF LATIN AMERICA, S.A.,  Puerto Industrial de Altamira, Tamaulipas - México, Mexico</t>
        </is>
      </c>
      <c r="B635" t="inlineStr">
        <is>
          <t>Processing Unit, Trader with Storage</t>
        </is>
      </c>
      <c r="C635" t="inlineStr">
        <is>
          <t>SCS Global Services, Emeryville, CA, US</t>
        </is>
      </c>
      <c r="D635" t="inlineStr">
        <is>
          <t>23.07.2027</t>
        </is>
      </c>
      <c r="E635" t="inlineStr">
        <is>
          <t>Mexico</t>
        </is>
      </c>
    </row>
    <row r="636">
      <c r="A636" t="inlineStr">
        <is>
          <t>Syncycle Operations,  Kuehnsdorf, Austria</t>
        </is>
      </c>
      <c r="B636" t="inlineStr">
        <is>
          <t>Processing Unit</t>
        </is>
      </c>
      <c r="C636" t="inlineStr">
        <is>
          <t>agroVet GmbH, Enzersfeld, AT</t>
        </is>
      </c>
      <c r="D636" t="inlineStr">
        <is>
          <t>23.07.2027</t>
        </is>
      </c>
      <c r="E636" t="inlineStr">
        <is>
          <t>Austria</t>
        </is>
      </c>
    </row>
    <row r="637">
      <c r="A637" t="inlineStr">
        <is>
          <t>PT Karyaindah Alam Sejahtera,  Gresik, Indonesia</t>
        </is>
      </c>
      <c r="B637" t="inlineStr">
        <is>
          <t>Processing Unit, Collecting Point, Trader with Storage</t>
        </is>
      </c>
      <c r="C637" t="inlineStr">
        <is>
          <t>Control Union Certifications Germany GmbH, Berlin, DE</t>
        </is>
      </c>
      <c r="D637" t="inlineStr">
        <is>
          <t>23.07.2027</t>
        </is>
      </c>
      <c r="E637" t="inlineStr">
        <is>
          <t>Indonesia</t>
        </is>
      </c>
    </row>
    <row r="638">
      <c r="A638" t="inlineStr">
        <is>
          <t>PT Karyaindah Alam Sejahtera,  Gresik, Indonesia</t>
        </is>
      </c>
      <c r="B638" t="inlineStr">
        <is>
          <t>Processing Unit, Collecting Point, Point of Origin, Trader with Storage</t>
        </is>
      </c>
      <c r="C638" t="inlineStr">
        <is>
          <t>Control Union Certifications Germany GmbH, Berlin, DE</t>
        </is>
      </c>
      <c r="D638" t="inlineStr">
        <is>
          <t>23.07.2027</t>
        </is>
      </c>
      <c r="E638" t="inlineStr">
        <is>
          <t>Indonesia</t>
        </is>
      </c>
    </row>
    <row r="639">
      <c r="A639" t="inlineStr">
        <is>
          <t>PT Karyaindah Alam Sejahtera,  Gresik, Indonesia</t>
        </is>
      </c>
      <c r="B639" t="inlineStr">
        <is>
          <t>Processing Unit, Collecting Point, Point of Origin, Trader with Storage</t>
        </is>
      </c>
      <c r="C639" t="inlineStr">
        <is>
          <t>Control Union Certifications Germany GmbH, Berlin, DE</t>
        </is>
      </c>
      <c r="D639" t="inlineStr">
        <is>
          <t>23.07.2027</t>
        </is>
      </c>
      <c r="E639" t="inlineStr">
        <is>
          <t>Indonesia</t>
        </is>
      </c>
    </row>
    <row r="640">
      <c r="A640" t="inlineStr">
        <is>
          <t>BETTER SHOES CO., LTD,  Chau Thanh District, Tay Ninh Province, Vietnam</t>
        </is>
      </c>
      <c r="B640" t="inlineStr">
        <is>
          <t>Processing Unit, Trader with Storage</t>
        </is>
      </c>
      <c r="C640" t="inlineStr">
        <is>
          <t>China Quality Certification Centre Co., Ltd., Beijing, CN</t>
        </is>
      </c>
      <c r="D640" t="inlineStr">
        <is>
          <t>23.07.2027</t>
        </is>
      </c>
      <c r="E640" t="inlineStr">
        <is>
          <t>Vietnam</t>
        </is>
      </c>
    </row>
    <row r="641">
      <c r="A641" t="inlineStr">
        <is>
          <t>Glander International Bunkering,  Valencia, Spain</t>
        </is>
      </c>
      <c r="B641" t="inlineStr">
        <is>
          <t>Trader</t>
        </is>
      </c>
      <c r="C641" t="inlineStr">
        <is>
          <t>Baltic Control Certification, Albertslund, DK</t>
        </is>
      </c>
      <c r="D641" t="inlineStr">
        <is>
          <t>23.07.2027</t>
        </is>
      </c>
      <c r="E641" t="inlineStr">
        <is>
          <t>Spain</t>
        </is>
      </c>
    </row>
    <row r="642">
      <c r="A642" t="inlineStr">
        <is>
          <t>Glander International Bunkering,  Valencia, Spain</t>
        </is>
      </c>
      <c r="B642" t="inlineStr">
        <is>
          <t>Trader, Proof of Compliance Trader</t>
        </is>
      </c>
      <c r="C642" t="inlineStr">
        <is>
          <t>Baltic Control Certification, Albertslund, DK</t>
        </is>
      </c>
      <c r="D642" t="inlineStr">
        <is>
          <t>23.07.2027</t>
        </is>
      </c>
      <c r="E642" t="inlineStr">
        <is>
          <t>Spain</t>
        </is>
      </c>
    </row>
    <row r="643">
      <c r="A643" t="inlineStr">
        <is>
          <t>Infineum Italia,  vado Ligure (SV), Italy, Italy</t>
        </is>
      </c>
      <c r="B643" t="inlineStr">
        <is>
          <t>Processing Unit</t>
        </is>
      </c>
      <c r="C643" t="inlineStr">
        <is>
          <t>TÜV SÜD Industrie Service GmbH, München, DE</t>
        </is>
      </c>
      <c r="D643" t="inlineStr">
        <is>
          <t>23.07.2027</t>
        </is>
      </c>
      <c r="E643" t="inlineStr">
        <is>
          <t>Italy</t>
        </is>
      </c>
    </row>
    <row r="644">
      <c r="A644" t="inlineStr">
        <is>
          <t>Jia Sin Oil Corp.,  Huatan Township, Changhua County, Taiwan (Province of China)</t>
        </is>
      </c>
      <c r="B644" t="inlineStr">
        <is>
          <t>Collecting Point, Trader with Storage</t>
        </is>
      </c>
      <c r="C644" t="inlineStr">
        <is>
          <t>Bureau Veritas Polska Sp. z o.o., Warsaw, PL</t>
        </is>
      </c>
      <c r="D644" t="inlineStr">
        <is>
          <t>23.07.2027</t>
        </is>
      </c>
      <c r="E644" t="inlineStr">
        <is>
          <t>Taiwan (Province of China)</t>
        </is>
      </c>
    </row>
    <row r="645">
      <c r="A645" t="inlineStr">
        <is>
          <t>RUIAN JIAHAO EYEWEAR CO., LTD,  Ruian City, Wenzhou City, Zhejiang Province, China</t>
        </is>
      </c>
      <c r="B645" t="inlineStr">
        <is>
          <t>Processing Unit</t>
        </is>
      </c>
      <c r="C645" t="inlineStr">
        <is>
          <t>Bureau Veritas Consumer Products Services, Inc., Buffalo, NY, US</t>
        </is>
      </c>
      <c r="D645" t="inlineStr">
        <is>
          <t>23.07.2027</t>
        </is>
      </c>
      <c r="E645" t="inlineStr">
        <is>
          <t>China</t>
        </is>
      </c>
    </row>
    <row r="646">
      <c r="A646" t="inlineStr">
        <is>
          <t>China National Aviation Fuel International Holdings Limited,  Beijing, China</t>
        </is>
      </c>
      <c r="B646" t="inlineStr">
        <is>
          <t>Trader</t>
        </is>
      </c>
      <c r="C646" t="inlineStr">
        <is>
          <t>SCS Global Services, Emeryville, CA, US</t>
        </is>
      </c>
      <c r="D646" t="inlineStr">
        <is>
          <t>23.07.2027</t>
        </is>
      </c>
      <c r="E646" t="inlineStr">
        <is>
          <t>China</t>
        </is>
      </c>
    </row>
    <row r="647">
      <c r="A647" t="inlineStr">
        <is>
          <t>China National Aviation Fuel International Holdings Limited,  Beijing, China</t>
        </is>
      </c>
      <c r="B647" t="inlineStr">
        <is>
          <t>Trader</t>
        </is>
      </c>
      <c r="C647" t="inlineStr">
        <is>
          <t>SCS Global Services, Emeryville, CA, US</t>
        </is>
      </c>
      <c r="D647" t="inlineStr">
        <is>
          <t>23.07.2027</t>
        </is>
      </c>
      <c r="E647" t="inlineStr">
        <is>
          <t>China</t>
        </is>
      </c>
    </row>
    <row r="648">
      <c r="A648" t="inlineStr">
        <is>
          <t>ENEOS Materials Trading (Shanghai) Co., Ltd.,  Shanghai, China</t>
        </is>
      </c>
      <c r="B648" t="inlineStr">
        <is>
          <t>Trader</t>
        </is>
      </c>
      <c r="C648" t="inlineStr">
        <is>
          <t>SCS Global Services, Emeryville, CA, US</t>
        </is>
      </c>
      <c r="D648" t="inlineStr">
        <is>
          <t>23.07.2027</t>
        </is>
      </c>
      <c r="E648" t="inlineStr">
        <is>
          <t>China</t>
        </is>
      </c>
    </row>
    <row r="649">
      <c r="A649" t="inlineStr">
        <is>
          <t>Cargill AT LLC, Ukraine,  Kyiv, Ukraine</t>
        </is>
      </c>
      <c r="B649" t="inlineStr">
        <is>
          <t>First Gathering Point, Trader with Storage</t>
        </is>
      </c>
      <c r="C649" t="inlineStr">
        <is>
          <t>Baltic Control Certification, Albertslund, DK</t>
        </is>
      </c>
      <c r="D649" t="inlineStr">
        <is>
          <t>23.07.2027</t>
        </is>
      </c>
      <c r="E649" t="inlineStr">
        <is>
          <t>Ukraine</t>
        </is>
      </c>
    </row>
    <row r="650">
      <c r="A650" t="inlineStr">
        <is>
          <t>C.S. Oil &amp; Fats Sdn Bhd,  Kajang, Malaysia</t>
        </is>
      </c>
      <c r="B650" t="inlineStr">
        <is>
          <t>Trader with Storage, Warehouse</t>
        </is>
      </c>
      <c r="C650" t="inlineStr">
        <is>
          <t>PT. CBQA GLOBAL INDONESIA, JAKARTA SELATAN, ID</t>
        </is>
      </c>
      <c r="D650" t="inlineStr">
        <is>
          <t>23.07.2027</t>
        </is>
      </c>
      <c r="E650" t="inlineStr">
        <is>
          <t>Malaysia</t>
        </is>
      </c>
    </row>
    <row r="651">
      <c r="A651" t="inlineStr">
        <is>
          <t>Pražská plynárenská,  Praha, Czech Republic</t>
        </is>
      </c>
      <c r="B651" t="inlineStr">
        <is>
          <t>Trader</t>
        </is>
      </c>
      <c r="C651" t="inlineStr">
        <is>
          <t>TÜV SÜD Czech s.r.o., Praha 4, CZ</t>
        </is>
      </c>
      <c r="D651" t="inlineStr">
        <is>
          <t>23.07.2027</t>
        </is>
      </c>
      <c r="E651" t="inlineStr">
        <is>
          <t>Czech Republic</t>
        </is>
      </c>
    </row>
    <row r="652">
      <c r="A652" t="inlineStr">
        <is>
          <t>MIKAPOLYTECH Co.,Ltd,  Byungchun-myeon, Dongnam-gu, Cheonan, The Republic of Korea</t>
        </is>
      </c>
      <c r="B652" t="inlineStr">
        <is>
          <t>Processing Unit</t>
        </is>
      </c>
      <c r="C652" t="inlineStr">
        <is>
          <t>Control Union Certifications Germany GmbH, Berlin, DE</t>
        </is>
      </c>
      <c r="D652" t="inlineStr">
        <is>
          <t>23.07.2027</t>
        </is>
      </c>
      <c r="E652" t="inlineStr">
        <is>
          <t>The Republic of Korea</t>
        </is>
      </c>
    </row>
    <row r="653">
      <c r="A653" t="inlineStr">
        <is>
          <t>PT Patiware - POM PTW,  Desa Sungai Raya, Kelurahan Rukma Jaya, Kecamatan Sungai Raya Kepulauan, Kabupaten Bengkayang, Indonesia</t>
        </is>
      </c>
      <c r="B653" t="inlineStr">
        <is>
          <t>Point of Origin</t>
        </is>
      </c>
      <c r="C653" t="inlineStr">
        <is>
          <t>PT SBC Asia Sertifikasi, Kebumen, ID</t>
        </is>
      </c>
      <c r="D653" t="inlineStr">
        <is>
          <t>23.07.2027</t>
        </is>
      </c>
      <c r="E653" t="inlineStr">
        <is>
          <t>Indonesia</t>
        </is>
      </c>
    </row>
    <row r="654">
      <c r="A654" t="inlineStr">
        <is>
          <t>PT Graha Agro Nusantara - POM GAN,  Desa Teluk Bakung, Kecamatan Sungai Ambawang, Kabupaten Kubu Raya, Indonesia</t>
        </is>
      </c>
      <c r="B654" t="inlineStr">
        <is>
          <t>Point of Origin</t>
        </is>
      </c>
      <c r="C654" t="inlineStr">
        <is>
          <t>PT SBC Asia Sertifikasi, Kebumen, ID</t>
        </is>
      </c>
      <c r="D654" t="inlineStr">
        <is>
          <t>23.07.2027</t>
        </is>
      </c>
      <c r="E654" t="inlineStr">
        <is>
          <t>Indonesia</t>
        </is>
      </c>
    </row>
    <row r="655">
      <c r="A655" t="inlineStr">
        <is>
          <t>PT Wawasan Kebun Nusantara - POM WKN,  Desa Seluas, Kecamatan Seluas, Kabupaten Bengkayang, Indonesia</t>
        </is>
      </c>
      <c r="B655" t="inlineStr">
        <is>
          <t>Point of Origin</t>
        </is>
      </c>
      <c r="C655" t="inlineStr">
        <is>
          <t>PT SBC Asia Sertifikasi, Kebumen, ID</t>
        </is>
      </c>
      <c r="D655" t="inlineStr">
        <is>
          <t>23.07.2027</t>
        </is>
      </c>
      <c r="E655" t="inlineStr">
        <is>
          <t>Indonesia</t>
        </is>
      </c>
    </row>
    <row r="656">
      <c r="A656" t="inlineStr">
        <is>
          <t>Celanese Performance Solutions Switzerland Sàrl,  Oberhausen, Germany</t>
        </is>
      </c>
      <c r="B656" t="inlineStr">
        <is>
          <t>Processing Unit</t>
        </is>
      </c>
      <c r="C656" t="inlineStr">
        <is>
          <t>DIN CERTCO GmbH, Berlin, DE</t>
        </is>
      </c>
      <c r="D656" t="inlineStr">
        <is>
          <t>23.07.2027</t>
        </is>
      </c>
      <c r="E656" t="inlineStr">
        <is>
          <t>Germany</t>
        </is>
      </c>
    </row>
    <row r="657">
      <c r="A657" t="inlineStr">
        <is>
          <t>COOPERATIVA AGRICOLA PODISUL TRANSILVANIEI COOPERATIVA AGRICOLA,  MIHAI VITEAZUL, Romania</t>
        </is>
      </c>
      <c r="B657" t="inlineStr">
        <is>
          <t>First Gathering Point, Trader with Storage</t>
        </is>
      </c>
      <c r="C657" t="inlineStr">
        <is>
          <t>BM Certification, Riga, LV</t>
        </is>
      </c>
      <c r="D657" t="inlineStr">
        <is>
          <t>23.07.2027</t>
        </is>
      </c>
      <c r="E657" t="inlineStr">
        <is>
          <t>Romania</t>
        </is>
      </c>
    </row>
    <row r="658">
      <c r="A658" t="inlineStr">
        <is>
          <t>Trinseo Deutschland Anlagengesellschaft mbH,  Rheinmünster, Germany</t>
        </is>
      </c>
      <c r="B658" t="inlineStr">
        <is>
          <t>Processing Unit, Trader with Storage</t>
        </is>
      </c>
      <c r="C658" t="inlineStr">
        <is>
          <t>SGS Germany GmbH, Emstek, DE</t>
        </is>
      </c>
      <c r="D658" t="inlineStr">
        <is>
          <t>23.07.2027</t>
        </is>
      </c>
      <c r="E658" t="inlineStr">
        <is>
          <t>Germany</t>
        </is>
      </c>
    </row>
    <row r="659">
      <c r="A659" t="inlineStr">
        <is>
          <t>Gasum AB,  Lysekil, Sweden</t>
        </is>
      </c>
      <c r="B659" t="inlineStr">
        <is>
          <t>Trader with Storage, Warehouse</t>
        </is>
      </c>
      <c r="C659" t="inlineStr">
        <is>
          <t>DEKRA Certification B.V., Arnhem, NL</t>
        </is>
      </c>
      <c r="D659" t="inlineStr">
        <is>
          <t>23.07.2027</t>
        </is>
      </c>
      <c r="E659" t="inlineStr">
        <is>
          <t>Sweden</t>
        </is>
      </c>
    </row>
    <row r="660">
      <c r="A660" t="inlineStr">
        <is>
          <t>SOLGRANA COOPERATIVĂ AGRICOLĂ,  Valea Lupului, jud. Iași, Romania</t>
        </is>
      </c>
      <c r="B660" t="inlineStr">
        <is>
          <t>First Gathering Point, Warehouse</t>
        </is>
      </c>
      <c r="C660" t="inlineStr">
        <is>
          <t>BM Certification, Riga, LV</t>
        </is>
      </c>
      <c r="D660" t="inlineStr">
        <is>
          <t>23.07.2027</t>
        </is>
      </c>
      <c r="E660" t="inlineStr">
        <is>
          <t>Romania</t>
        </is>
      </c>
    </row>
    <row r="661">
      <c r="A661" t="inlineStr">
        <is>
          <t>SINOPEC (HONG KONG) AVIATION COMPANY LIMITED,  Wan Chai, Hong Kong (SAR)</t>
        </is>
      </c>
      <c r="B661" t="inlineStr">
        <is>
          <t>Trader with Storage</t>
        </is>
      </c>
      <c r="C661" t="inlineStr">
        <is>
          <t>SGS Germany GmbH, Emstek, DE</t>
        </is>
      </c>
      <c r="D661" t="inlineStr">
        <is>
          <t>23.07.2027</t>
        </is>
      </c>
      <c r="E661" t="inlineStr">
        <is>
          <t>Hong Kong (SAR)</t>
        </is>
      </c>
    </row>
    <row r="662">
      <c r="A662" t="inlineStr">
        <is>
          <t>silver plastics GmbH &amp; Co KG,  Troisdorf, Germany</t>
        </is>
      </c>
      <c r="B662" t="inlineStr">
        <is>
          <t>Processing Unit</t>
        </is>
      </c>
      <c r="C662" t="inlineStr">
        <is>
          <t>SGS Germany GmbH, Emstek, DE</t>
        </is>
      </c>
      <c r="D662" t="inlineStr">
        <is>
          <t>23.07.2027</t>
        </is>
      </c>
      <c r="E662" t="inlineStr">
        <is>
          <t>Germany</t>
        </is>
      </c>
    </row>
    <row r="663">
      <c r="A663" t="inlineStr">
        <is>
          <t>Adamant BioNRG S.r.l.,  Ferrara, Italy</t>
        </is>
      </c>
      <c r="B663" t="inlineStr">
        <is>
          <t>Trader</t>
        </is>
      </c>
      <c r="C663" t="inlineStr">
        <is>
          <t>SGS Germany GmbH, Emstek, DE</t>
        </is>
      </c>
      <c r="D663" t="inlineStr">
        <is>
          <t>23.07.2027</t>
        </is>
      </c>
      <c r="E663" t="inlineStr">
        <is>
          <t>Italy</t>
        </is>
      </c>
    </row>
    <row r="664">
      <c r="A664" t="inlineStr">
        <is>
          <t>betterfuels BV.,  Zaventem, Belgium</t>
        </is>
      </c>
      <c r="B664" t="inlineStr">
        <is>
          <t>Trader with Storage</t>
        </is>
      </c>
      <c r="C664" t="inlineStr">
        <is>
          <t>SGS Germany GmbH, Emstek, DE</t>
        </is>
      </c>
      <c r="D664" t="inlineStr">
        <is>
          <t>23.07.2027</t>
        </is>
      </c>
      <c r="E664" t="inlineStr">
        <is>
          <t>Belgium</t>
        </is>
      </c>
    </row>
    <row r="665">
      <c r="A665" t="inlineStr">
        <is>
          <t>Ministerie van Defensie,  Den Helder, The Netherlands</t>
        </is>
      </c>
      <c r="B665" t="inlineStr">
        <is>
          <t>Trader with Storage</t>
        </is>
      </c>
      <c r="C665" t="inlineStr">
        <is>
          <t>DEKRA Certification B.V., Arnhem, NL</t>
        </is>
      </c>
      <c r="D665" t="inlineStr">
        <is>
          <t>23.07.2027</t>
        </is>
      </c>
      <c r="E665" t="inlineStr">
        <is>
          <t>The Netherlands</t>
        </is>
      </c>
    </row>
    <row r="666">
      <c r="A666" t="inlineStr">
        <is>
          <t>Sanpo Kasei Kogyo Co.,Ltd Matsue Plant,  Matsue-shi,Shimane, Japan</t>
        </is>
      </c>
      <c r="B666" t="inlineStr">
        <is>
          <t>Processing Unit</t>
        </is>
      </c>
      <c r="C666" t="inlineStr">
        <is>
          <t>SGS Germany GmbH, Emstek, DE</t>
        </is>
      </c>
      <c r="D666" t="inlineStr">
        <is>
          <t>23.07.2027</t>
        </is>
      </c>
      <c r="E666" t="inlineStr">
        <is>
          <t>Japan</t>
        </is>
      </c>
    </row>
    <row r="667">
      <c r="A667" t="inlineStr">
        <is>
          <t>DAICEL CORPORATION FUJI PLANT,  Fuji, Shizuoka, Japan</t>
        </is>
      </c>
      <c r="B667" t="inlineStr">
        <is>
          <t>Processing Unit, Trader with Storage</t>
        </is>
      </c>
      <c r="C667" t="inlineStr">
        <is>
          <t>SGS Germany GmbH, Emstek, DE</t>
        </is>
      </c>
      <c r="D667" t="inlineStr">
        <is>
          <t>23.07.2027</t>
        </is>
      </c>
      <c r="E667" t="inlineStr">
        <is>
          <t>Japan</t>
        </is>
      </c>
    </row>
    <row r="668">
      <c r="A668" t="inlineStr">
        <is>
          <t>ETTA Energy B.V.,  Ter Apelkanaal, The Netherlands</t>
        </is>
      </c>
      <c r="B668" t="inlineStr">
        <is>
          <t>Collecting Point, Trader with Storage</t>
        </is>
      </c>
      <c r="C668" t="inlineStr">
        <is>
          <t>GUT Certifizierungsgesellschaft für Managementsysteme mbH Umweltgutachter, Berlin, DE</t>
        </is>
      </c>
      <c r="D668" t="inlineStr">
        <is>
          <t>23.07.2027</t>
        </is>
      </c>
      <c r="E668" t="inlineStr">
        <is>
          <t>The Netherlands</t>
        </is>
      </c>
    </row>
    <row r="669">
      <c r="A669" t="inlineStr">
        <is>
          <t>YUCHI IMPORT &amp; EXPORT(SHANGHAI) CO.,LTD.,  Shanghai, China</t>
        </is>
      </c>
      <c r="B669" t="inlineStr">
        <is>
          <t>Trader</t>
        </is>
      </c>
      <c r="C669" t="inlineStr">
        <is>
          <t>CTI Certification Co. Ltd, Shenzhen, CN</t>
        </is>
      </c>
      <c r="D669" t="inlineStr">
        <is>
          <t>23.07.2027</t>
        </is>
      </c>
      <c r="E669" t="inlineStr">
        <is>
          <t>China</t>
        </is>
      </c>
    </row>
    <row r="670">
      <c r="A670" t="inlineStr">
        <is>
          <t>CONSORZIO CASALASCO DEL POMODORO S.A.C.,  Rivarolo del re, Italy</t>
        </is>
      </c>
      <c r="B670" t="inlineStr">
        <is>
          <t>Farm / Plantation, First Gathering Point, Trader</t>
        </is>
      </c>
      <c r="C670" t="inlineStr">
        <is>
          <t>RINA Services S.p.A., Genova, IT</t>
        </is>
      </c>
      <c r="D670" t="inlineStr">
        <is>
          <t>23.07.2027</t>
        </is>
      </c>
      <c r="E670" t="inlineStr">
        <is>
          <t>Italy</t>
        </is>
      </c>
    </row>
    <row r="671">
      <c r="A671" t="inlineStr">
        <is>
          <t>SARVAL Fischermanns GmbH,  Dissen, Germany</t>
        </is>
      </c>
      <c r="B671" t="inlineStr">
        <is>
          <t>Point of Origin</t>
        </is>
      </c>
      <c r="C671" t="inlineStr">
        <is>
          <t>GUT Certifizierungsgesellschaft für Managementsysteme mbH Umweltgutachter, Berlin, DE</t>
        </is>
      </c>
      <c r="D671" t="inlineStr">
        <is>
          <t>23.07.2027</t>
        </is>
      </c>
      <c r="E671" t="inlineStr">
        <is>
          <t>Germany</t>
        </is>
      </c>
    </row>
    <row r="672">
      <c r="A672" t="inlineStr">
        <is>
          <t>SARVAL Fischermanns GmbH,  Schwalmtal-Hopfgarten, Germany</t>
        </is>
      </c>
      <c r="B672" t="inlineStr">
        <is>
          <t>Point of Origin</t>
        </is>
      </c>
      <c r="C672" t="inlineStr">
        <is>
          <t>GUT Certifizierungsgesellschaft für Managementsysteme mbH Umweltgutachter, Berlin, DE</t>
        </is>
      </c>
      <c r="D672" t="inlineStr">
        <is>
          <t>23.07.2027</t>
        </is>
      </c>
      <c r="E672" t="inlineStr">
        <is>
          <t>Germany</t>
        </is>
      </c>
    </row>
    <row r="673">
      <c r="A673" t="inlineStr">
        <is>
          <t>ARIKIRA CO LTD,  Nonthaburi, Thailand</t>
        </is>
      </c>
      <c r="B673" t="inlineStr">
        <is>
          <t>Collecting Point</t>
        </is>
      </c>
      <c r="C673" t="inlineStr">
        <is>
          <t>PT. CBQA GLOBAL INDONESIA, JAKARTA SELATAN, ID</t>
        </is>
      </c>
      <c r="D673" t="inlineStr">
        <is>
          <t>23.07.2027</t>
        </is>
      </c>
      <c r="E673" t="inlineStr">
        <is>
          <t>Thailand</t>
        </is>
      </c>
    </row>
    <row r="674">
      <c r="A674" t="inlineStr">
        <is>
          <t>SARVAL Fischermanns GmbH,  Marl, Germany</t>
        </is>
      </c>
      <c r="B674" t="inlineStr">
        <is>
          <t>Point of Origin</t>
        </is>
      </c>
      <c r="C674" t="inlineStr">
        <is>
          <t>GUT Certifizierungsgesellschaft für Managementsysteme mbH Umweltgutachter, Berlin, DE</t>
        </is>
      </c>
      <c r="D674" t="inlineStr">
        <is>
          <t>23.07.2027</t>
        </is>
      </c>
      <c r="E674" t="inlineStr">
        <is>
          <t>Germany</t>
        </is>
      </c>
    </row>
    <row r="675">
      <c r="A675" t="inlineStr">
        <is>
          <t>Gasum AS,  Tananger, Norway</t>
        </is>
      </c>
      <c r="B675" t="inlineStr">
        <is>
          <t>Processing Unit, Trader with Storage</t>
        </is>
      </c>
      <c r="C675" t="inlineStr">
        <is>
          <t>DEKRA Certification B.V., Arnhem, NL</t>
        </is>
      </c>
      <c r="D675" t="inlineStr">
        <is>
          <t>23.07.2027</t>
        </is>
      </c>
      <c r="E675" t="inlineStr">
        <is>
          <t>Norway</t>
        </is>
      </c>
    </row>
    <row r="676">
      <c r="A676" t="inlineStr">
        <is>
          <t>Shandong ICD High Performance Fibers Co., Ltd.,  Laiwu high-tech, Jinan City, China</t>
        </is>
      </c>
      <c r="B676" t="inlineStr">
        <is>
          <t>Processing Unit</t>
        </is>
      </c>
      <c r="C676" t="inlineStr">
        <is>
          <t>PT Intertek Utama Services, Jakarta, ID</t>
        </is>
      </c>
      <c r="D676" t="inlineStr">
        <is>
          <t>23.07.2027</t>
        </is>
      </c>
      <c r="E676" t="inlineStr">
        <is>
          <t>China</t>
        </is>
      </c>
    </row>
    <row r="677">
      <c r="A677" t="inlineStr">
        <is>
          <t>Ningbo Jintian Plastic Co., Ltd.,  Ningbo city, Zhejiang Province, China</t>
        </is>
      </c>
      <c r="B677" t="inlineStr">
        <is>
          <t>Trader with Storage</t>
        </is>
      </c>
      <c r="C677" t="inlineStr">
        <is>
          <t>CTI Certification Co. Ltd, Shenzhen, CN</t>
        </is>
      </c>
      <c r="D677" t="inlineStr">
        <is>
          <t>23.07.2027</t>
        </is>
      </c>
      <c r="E677" t="inlineStr">
        <is>
          <t>China</t>
        </is>
      </c>
    </row>
    <row r="678">
      <c r="A678" t="inlineStr">
        <is>
          <t>KURARAY Co., Ltd,  Tokyo, Japan</t>
        </is>
      </c>
      <c r="B678" t="inlineStr">
        <is>
          <t>Trader with Storage</t>
        </is>
      </c>
      <c r="C678" t="inlineStr">
        <is>
          <t>Control Union Certifications Germany GmbH, Berlin, DE</t>
        </is>
      </c>
      <c r="D678" t="inlineStr">
        <is>
          <t>23.07.2027</t>
        </is>
      </c>
      <c r="E678" t="inlineStr">
        <is>
          <t>Japan</t>
        </is>
      </c>
    </row>
    <row r="679">
      <c r="A679" t="inlineStr">
        <is>
          <t>AGRICULTURAL COOPERATIVE «UKRAINIAN AGRO CONNECTION»,  Village Harkivtsi, Lohvitska territorial community, Ukraine</t>
        </is>
      </c>
      <c r="B679" t="inlineStr">
        <is>
          <t>First Gathering Point, Trader</t>
        </is>
      </c>
      <c r="C679" t="inlineStr">
        <is>
          <t>United Registrar of Systems Polska Sp. z o.o., Wrocław, PL</t>
        </is>
      </c>
      <c r="D679" t="inlineStr">
        <is>
          <t>23.07.2027</t>
        </is>
      </c>
      <c r="E679" t="inlineStr">
        <is>
          <t>Ukraine</t>
        </is>
      </c>
    </row>
    <row r="680">
      <c r="A680" t="inlineStr">
        <is>
          <t>Agrocore a.s.,  Praha 6, Czech Republic</t>
        </is>
      </c>
      <c r="B680" t="inlineStr">
        <is>
          <t>First Gathering Point, Trader</t>
        </is>
      </c>
      <c r="C680" t="inlineStr">
        <is>
          <t>Bureau Veritas Polska Sp. z o.o., Warsaw, PL</t>
        </is>
      </c>
      <c r="D680" t="inlineStr">
        <is>
          <t>23.07.2027</t>
        </is>
      </c>
      <c r="E680" t="inlineStr">
        <is>
          <t>Czech Republic</t>
        </is>
      </c>
    </row>
    <row r="681">
      <c r="A681" t="inlineStr">
        <is>
          <t>Rod Sol Agrovest,  Pecica, Romania</t>
        </is>
      </c>
      <c r="B681" t="inlineStr">
        <is>
          <t>First Gathering Point, Trader with Storage</t>
        </is>
      </c>
      <c r="C681" t="inlineStr">
        <is>
          <t>SGS Germany GmbH, Emstek, DE</t>
        </is>
      </c>
      <c r="D681" t="inlineStr">
        <is>
          <t>23.07.2027</t>
        </is>
      </c>
      <c r="E681" t="inlineStr">
        <is>
          <t>Romania</t>
        </is>
      </c>
    </row>
    <row r="682">
      <c r="A682" t="inlineStr">
        <is>
          <t>Jimei Italy srl,  Belluno, Italy</t>
        </is>
      </c>
      <c r="B682" t="inlineStr">
        <is>
          <t>Trader with Storage</t>
        </is>
      </c>
      <c r="C682" t="inlineStr">
        <is>
          <t>RINA Services S.p.A., Genova, IT</t>
        </is>
      </c>
      <c r="D682" t="inlineStr">
        <is>
          <t>23.07.2027</t>
        </is>
      </c>
      <c r="E682" t="inlineStr">
        <is>
          <t>Italy</t>
        </is>
      </c>
    </row>
    <row r="683">
      <c r="A683" t="inlineStr">
        <is>
          <t>Van Kessel Olie B.V.,  Oude-Tonge, The Netherlands</t>
        </is>
      </c>
      <c r="B683" t="inlineStr">
        <is>
          <t>Processing Unit, Trader with Storage</t>
        </is>
      </c>
      <c r="C683" t="inlineStr">
        <is>
          <t>Normec QS BV, Ede, NL</t>
        </is>
      </c>
      <c r="D683" t="inlineStr">
        <is>
          <t>23.07.2027</t>
        </is>
      </c>
      <c r="E683" t="inlineStr">
        <is>
          <t>The Netherlands</t>
        </is>
      </c>
    </row>
    <row r="684">
      <c r="A684" t="inlineStr">
        <is>
          <t>UBM AGRI TRADE SRL,  Bucharest, Romania</t>
        </is>
      </c>
      <c r="B684" t="inlineStr">
        <is>
          <t>First Gathering Point, Trader with Storage</t>
        </is>
      </c>
      <c r="C684" t="inlineStr">
        <is>
          <t>SRAC Cert SRL, Bucharest, RO</t>
        </is>
      </c>
      <c r="D684" t="inlineStr">
        <is>
          <t>23.07.2027</t>
        </is>
      </c>
      <c r="E684" t="inlineStr">
        <is>
          <t>Romania</t>
        </is>
      </c>
    </row>
    <row r="685">
      <c r="A685" t="inlineStr">
        <is>
          <t>Steel Agroconstruct S.R.L.,  Giurgita,Dolj County, Romania</t>
        </is>
      </c>
      <c r="B685" t="inlineStr">
        <is>
          <t>First Gathering Point</t>
        </is>
      </c>
      <c r="C685" t="inlineStr">
        <is>
          <t>SRAC Cert SRL, Bucharest, RO</t>
        </is>
      </c>
      <c r="D685" t="inlineStr">
        <is>
          <t>23.07.2027</t>
        </is>
      </c>
      <c r="E685" t="inlineStr">
        <is>
          <t>Romania</t>
        </is>
      </c>
    </row>
    <row r="686">
      <c r="A686" t="inlineStr">
        <is>
          <t>Individual Entrepreneur Caspian Trade,  Aktobe, Kazakhstan</t>
        </is>
      </c>
      <c r="B686" t="inlineStr">
        <is>
          <t>Collecting Point</t>
        </is>
      </c>
      <c r="C686" t="inlineStr">
        <is>
          <t>TÜV NORD CERT GmbH, Essen, DE</t>
        </is>
      </c>
      <c r="D686" t="inlineStr">
        <is>
          <t>23.07.2027</t>
        </is>
      </c>
      <c r="E686" t="inlineStr">
        <is>
          <t>Kazakhstan</t>
        </is>
      </c>
    </row>
    <row r="687">
      <c r="A687" t="inlineStr">
        <is>
          <t>Xi'an Giant Biogene Technology Co., Ltd.,  Xi'an City, Shaanxi Province, China</t>
        </is>
      </c>
      <c r="B687" t="inlineStr">
        <is>
          <t>Processing Unit</t>
        </is>
      </c>
      <c r="C687" t="inlineStr">
        <is>
          <t>SGS Germany GmbH, Emstek, DE</t>
        </is>
      </c>
      <c r="D687" t="inlineStr">
        <is>
          <t>23.07.2027</t>
        </is>
      </c>
      <c r="E687" t="inlineStr">
        <is>
          <t>China</t>
        </is>
      </c>
    </row>
    <row r="688">
      <c r="A688" t="inlineStr">
        <is>
          <t>FGV Palm Industries Sdn Bhd,  Kota Tinggi, Malaysia</t>
        </is>
      </c>
      <c r="B688" t="inlineStr">
        <is>
          <t>Point of Origin</t>
        </is>
      </c>
      <c r="C688" t="inlineStr">
        <is>
          <t>Trans Certification and Inspection Sdn Bhd, Kuantan, MY</t>
        </is>
      </c>
      <c r="D688" t="inlineStr">
        <is>
          <t>23.07.2027</t>
        </is>
      </c>
      <c r="E688" t="inlineStr">
        <is>
          <t>Malaysia</t>
        </is>
      </c>
    </row>
    <row r="689">
      <c r="A689" t="inlineStr">
        <is>
          <t>Daubert Cromwell GmbH, organizačná zložka,  Bratislava, Slovakia</t>
        </is>
      </c>
      <c r="B689" t="inlineStr">
        <is>
          <t>Processing Unit</t>
        </is>
      </c>
      <c r="C689" t="inlineStr">
        <is>
          <t>United Registrar of Systems Polska Sp. z o.o., Wrocław, PL</t>
        </is>
      </c>
      <c r="D689" t="inlineStr">
        <is>
          <t>23.07.2027</t>
        </is>
      </c>
      <c r="E689" t="inlineStr">
        <is>
          <t>Slovakia</t>
        </is>
      </c>
    </row>
    <row r="690">
      <c r="A690" t="inlineStr">
        <is>
          <t>FGV Palm Industries Sdn Bhd,  Kuala Kubu Bharu, Malaysia</t>
        </is>
      </c>
      <c r="B690" t="inlineStr">
        <is>
          <t>Point of Origin</t>
        </is>
      </c>
      <c r="C690" t="inlineStr">
        <is>
          <t>Trans Certification and Inspection Sdn Bhd, Kuantan, MY</t>
        </is>
      </c>
      <c r="D690" t="inlineStr">
        <is>
          <t>23.07.2027</t>
        </is>
      </c>
      <c r="E690" t="inlineStr">
        <is>
          <t>Malaysia</t>
        </is>
      </c>
    </row>
    <row r="691">
      <c r="A691" t="inlineStr">
        <is>
          <t>FGV Palm Industries Sdn Bhd,  Batang Padang, Malaysia</t>
        </is>
      </c>
      <c r="B691" t="inlineStr">
        <is>
          <t>Point of Origin</t>
        </is>
      </c>
      <c r="C691" t="inlineStr">
        <is>
          <t>Trans Certification and Inspection Sdn Bhd, Kuantan, MY</t>
        </is>
      </c>
      <c r="D691" t="inlineStr">
        <is>
          <t>23.07.2027</t>
        </is>
      </c>
      <c r="E691" t="inlineStr">
        <is>
          <t>Malaysia</t>
        </is>
      </c>
    </row>
    <row r="692">
      <c r="A692" t="inlineStr">
        <is>
          <t>MAJUMAS OIL &amp; FATS SDN BHD,  Taman Perindustrian Pulau Indah, Malaysia</t>
        </is>
      </c>
      <c r="B692" t="inlineStr">
        <is>
          <t>Trader with Storage</t>
        </is>
      </c>
      <c r="C692" t="inlineStr">
        <is>
          <t>Trans Certification and Inspection Sdn Bhd, Kuantan, MY</t>
        </is>
      </c>
      <c r="D692" t="inlineStr">
        <is>
          <t>23.07.2027</t>
        </is>
      </c>
      <c r="E692" t="inlineStr">
        <is>
          <t>Malaysia</t>
        </is>
      </c>
    </row>
    <row r="693">
      <c r="A693" t="inlineStr">
        <is>
          <t>Edison Spa,  Milan, Italy</t>
        </is>
      </c>
      <c r="B693" t="inlineStr">
        <is>
          <t>Proof of Compliance Trader, Trader</t>
        </is>
      </c>
      <c r="C693" t="inlineStr">
        <is>
          <t>RINA Services S.p.A., Genova, IT</t>
        </is>
      </c>
      <c r="D693" t="inlineStr">
        <is>
          <t>22.07.2027</t>
        </is>
      </c>
      <c r="E693" t="inlineStr">
        <is>
          <t>Italy</t>
        </is>
      </c>
    </row>
    <row r="694">
      <c r="A694" t="inlineStr">
        <is>
          <t>CEPSA Bioenergía San Roque SL,  San Roque (Cádiz), Spain</t>
        </is>
      </c>
      <c r="B694" t="inlineStr">
        <is>
          <t>Point of Origin, Processing Unit, Warehouse, Trader with Storage</t>
        </is>
      </c>
      <c r="C694" t="inlineStr">
        <is>
          <t>Control Union Poland Sp. z o.o., Zielona Gora, PL</t>
        </is>
      </c>
      <c r="D694" t="inlineStr">
        <is>
          <t>22.07.2027</t>
        </is>
      </c>
      <c r="E694" t="inlineStr">
        <is>
          <t>Spain</t>
        </is>
      </c>
    </row>
    <row r="695">
      <c r="A695" t="inlineStr">
        <is>
          <t>Henan Pingyuan New Material Technology Co., Ltd.,  Henan, Xuchang, China</t>
        </is>
      </c>
      <c r="B695" t="inlineStr">
        <is>
          <t>Collecting Point, Processing Unit</t>
        </is>
      </c>
      <c r="C695" t="inlineStr">
        <is>
          <t>PT Intertek Utama Services, Jakarta, ID</t>
        </is>
      </c>
      <c r="D695" t="inlineStr">
        <is>
          <t>22.07.2027</t>
        </is>
      </c>
      <c r="E695" t="inlineStr">
        <is>
          <t>China</t>
        </is>
      </c>
    </row>
    <row r="696">
      <c r="A696" t="inlineStr">
        <is>
          <t>granaagro Deutschland GmbH,  Kiefersfelden, Germany</t>
        </is>
      </c>
      <c r="B696" t="inlineStr">
        <is>
          <t>First Gathering Point, Trader</t>
        </is>
      </c>
      <c r="C696" t="inlineStr">
        <is>
          <t>SRAC Cert SRL, Bucharest, RO</t>
        </is>
      </c>
      <c r="D696" t="inlineStr">
        <is>
          <t>22.07.2027</t>
        </is>
      </c>
      <c r="E696" t="inlineStr">
        <is>
          <t>Germany</t>
        </is>
      </c>
    </row>
    <row r="697">
      <c r="A697" t="inlineStr">
        <is>
          <t>Guangxi Changying Energy Technology Co., Ltd.,  Nanning City, Guangxi Zhuang Autonomous Region, China</t>
        </is>
      </c>
      <c r="B697" t="inlineStr">
        <is>
          <t>Collecting Point, Trader with Storage</t>
        </is>
      </c>
      <c r="C697" t="inlineStr">
        <is>
          <t>SCS Global Services, Emeryville, CA, US</t>
        </is>
      </c>
      <c r="D697" t="inlineStr">
        <is>
          <t>22.07.2027</t>
        </is>
      </c>
      <c r="E697" t="inlineStr">
        <is>
          <t>China</t>
        </is>
      </c>
    </row>
    <row r="698">
      <c r="A698" t="inlineStr">
        <is>
          <t>Shanghai Luchen International Trade Co., Ltd.,  Dongying City, Shandong Province, China</t>
        </is>
      </c>
      <c r="B698" t="inlineStr">
        <is>
          <t>Trader</t>
        </is>
      </c>
      <c r="C698" t="inlineStr">
        <is>
          <t>SCS Global Services, Emeryville, CA, US</t>
        </is>
      </c>
      <c r="D698" t="inlineStr">
        <is>
          <t>22.07.2027</t>
        </is>
      </c>
      <c r="E698" t="inlineStr">
        <is>
          <t>China</t>
        </is>
      </c>
    </row>
    <row r="699">
      <c r="A699" t="inlineStr">
        <is>
          <t>Repsol Trading USA LLC,  Texas, United States</t>
        </is>
      </c>
      <c r="B699" t="inlineStr">
        <is>
          <t>Trader</t>
        </is>
      </c>
      <c r="C699" t="inlineStr">
        <is>
          <t>Control Union Poland Sp. z o.o., Zielona Gora, PL</t>
        </is>
      </c>
      <c r="D699" t="inlineStr">
        <is>
          <t>22.07.2027</t>
        </is>
      </c>
      <c r="E699" t="inlineStr">
        <is>
          <t>United States</t>
        </is>
      </c>
    </row>
    <row r="700">
      <c r="A700" t="inlineStr">
        <is>
          <t>Repsol Trading USA LLC,  Texas, United States</t>
        </is>
      </c>
      <c r="B700" t="inlineStr">
        <is>
          <t>Trader with Storage</t>
        </is>
      </c>
      <c r="C700" t="inlineStr">
        <is>
          <t>Control Union Poland Sp. z o.o., Zielona Gora, PL</t>
        </is>
      </c>
      <c r="D700" t="inlineStr">
        <is>
          <t>22.07.2027</t>
        </is>
      </c>
      <c r="E700" t="inlineStr">
        <is>
          <t>United States</t>
        </is>
      </c>
    </row>
    <row r="701">
      <c r="A701" t="inlineStr">
        <is>
          <t>TICO ENERGY PTE. LTD.,  SINGAPORE, Singapore</t>
        </is>
      </c>
      <c r="B701" t="inlineStr">
        <is>
          <t>Trader</t>
        </is>
      </c>
      <c r="C701" t="inlineStr">
        <is>
          <t>SCS Global Services, Emeryville, CA, US</t>
        </is>
      </c>
      <c r="D701" t="inlineStr">
        <is>
          <t>22.07.2027</t>
        </is>
      </c>
      <c r="E701" t="inlineStr">
        <is>
          <t>Singapore</t>
        </is>
      </c>
    </row>
    <row r="702">
      <c r="A702" t="inlineStr">
        <is>
          <t>Amarus (Shanghai) Trading Limited,  Shanghai, China</t>
        </is>
      </c>
      <c r="B702" t="inlineStr">
        <is>
          <t>Trader</t>
        </is>
      </c>
      <c r="C702" t="inlineStr">
        <is>
          <t>SCS Global Services, Emeryville, CA, US</t>
        </is>
      </c>
      <c r="D702" t="inlineStr">
        <is>
          <t>22.07.2027</t>
        </is>
      </c>
      <c r="E702" t="inlineStr">
        <is>
          <t>China</t>
        </is>
      </c>
    </row>
    <row r="703">
      <c r="A703" t="inlineStr">
        <is>
          <t>DIAS 2000,  YAMBOL, Bulgaria</t>
        </is>
      </c>
      <c r="B703" t="inlineStr">
        <is>
          <t>First Gathering Point, Trader</t>
        </is>
      </c>
      <c r="C703" t="inlineStr">
        <is>
          <t>Bureau Veritas Polska Sp. z o.o., Warsaw, PL</t>
        </is>
      </c>
      <c r="D703" t="inlineStr">
        <is>
          <t>22.07.2027</t>
        </is>
      </c>
      <c r="E703" t="inlineStr">
        <is>
          <t>Bulgaria</t>
        </is>
      </c>
    </row>
    <row r="704">
      <c r="A704" t="inlineStr">
        <is>
          <t>Union Polska Sp. z o.o.,  Radomsko, Poland</t>
        </is>
      </c>
      <c r="B704" t="inlineStr">
        <is>
          <t>Processing Unit</t>
        </is>
      </c>
      <c r="C704" t="inlineStr">
        <is>
          <t>Bureau Veritas Polska Sp. z o.o., Warsaw, PL</t>
        </is>
      </c>
      <c r="D704" t="inlineStr">
        <is>
          <t>22.07.2027</t>
        </is>
      </c>
      <c r="E704" t="inlineStr">
        <is>
          <t>Poland</t>
        </is>
      </c>
    </row>
    <row r="705">
      <c r="A705" t="inlineStr">
        <is>
          <t>UAB “Tiskūnų AGRO”,  Tiskūnų k., Vilainių sen., Kėdainių r., Lithuania</t>
        </is>
      </c>
      <c r="B705" t="inlineStr">
        <is>
          <t>First Gathering Point, Trader with Storage</t>
        </is>
      </c>
      <c r="C705" t="inlineStr">
        <is>
          <t>Bureau Veritas Polska Sp. z o.o., Warsaw, PL</t>
        </is>
      </c>
      <c r="D705" t="inlineStr">
        <is>
          <t>22.07.2027</t>
        </is>
      </c>
      <c r="E705" t="inlineStr">
        <is>
          <t>Lithuania</t>
        </is>
      </c>
    </row>
    <row r="706">
      <c r="A706" t="inlineStr">
        <is>
          <t>AGRACOMM Kereskedelmi Kft.,  Győr, Hungary</t>
        </is>
      </c>
      <c r="B706" t="inlineStr">
        <is>
          <t>First Gathering Point, Trader with Storage</t>
        </is>
      </c>
      <c r="C706" t="inlineStr">
        <is>
          <t>Control Union Certifications Germany GmbH, Berlin, DE</t>
        </is>
      </c>
      <c r="D706" t="inlineStr">
        <is>
          <t>22.07.2027</t>
        </is>
      </c>
      <c r="E706" t="inlineStr">
        <is>
          <t>Hungary</t>
        </is>
      </c>
    </row>
    <row r="707">
      <c r="A707" t="inlineStr">
        <is>
          <t>Chodská lesní s.r.o.,  Milavče, Czech Republic</t>
        </is>
      </c>
      <c r="B707" t="inlineStr">
        <is>
          <t>First Gathering Point, Trader</t>
        </is>
      </c>
      <c r="C707" t="inlineStr">
        <is>
          <t>United Registrar of Systems Polska Sp. z o.o., Wrocław, PL</t>
        </is>
      </c>
      <c r="D707" t="inlineStr">
        <is>
          <t>22.07.2027</t>
        </is>
      </c>
      <c r="E707" t="inlineStr">
        <is>
          <t>Czech Republic</t>
        </is>
      </c>
    </row>
    <row r="708">
      <c r="A708" t="inlineStr">
        <is>
          <t>Ócsárdi Gabona Mezőgazdasági Szövetkezet,  Hegyszentmárton, Hungary</t>
        </is>
      </c>
      <c r="B708" t="inlineStr">
        <is>
          <t>First Gathering Point</t>
        </is>
      </c>
      <c r="C708" t="inlineStr">
        <is>
          <t>BM Certification, Riga, LV</t>
        </is>
      </c>
      <c r="D708" t="inlineStr">
        <is>
          <t>22.07.2027</t>
        </is>
      </c>
      <c r="E708" t="inlineStr">
        <is>
          <t>Hungary</t>
        </is>
      </c>
    </row>
    <row r="709">
      <c r="A709" t="inlineStr">
        <is>
          <t>Changzhou Zhaohua Plastics Co.,ltd.,  Changzhou City, Jiangsu Province, China</t>
        </is>
      </c>
      <c r="B709" t="inlineStr">
        <is>
          <t>Processing Unit</t>
        </is>
      </c>
      <c r="C709" t="inlineStr">
        <is>
          <t>SGS Germany GmbH, Emstek, DE</t>
        </is>
      </c>
      <c r="D709" t="inlineStr">
        <is>
          <t>22.07.2027</t>
        </is>
      </c>
      <c r="E709" t="inlineStr">
        <is>
          <t>China</t>
        </is>
      </c>
    </row>
    <row r="710">
      <c r="A710" t="inlineStr">
        <is>
          <t>Celanese Performance Solutions Switzerland,  Perstorp, Sweden</t>
        </is>
      </c>
      <c r="B710" t="inlineStr">
        <is>
          <t>Processing Unit</t>
        </is>
      </c>
      <c r="C710" t="inlineStr">
        <is>
          <t>DIN CERTCO GmbH, Berlin, DE</t>
        </is>
      </c>
      <c r="D710" t="inlineStr">
        <is>
          <t>22.07.2027</t>
        </is>
      </c>
      <c r="E710" t="inlineStr">
        <is>
          <t>Sweden</t>
        </is>
      </c>
    </row>
    <row r="711">
      <c r="A711" t="inlineStr">
        <is>
          <t>Qingdao Kehai Biochemistry Co.,Ltd,  QINGDAO, China</t>
        </is>
      </c>
      <c r="B711" t="inlineStr">
        <is>
          <t>Processing Unit</t>
        </is>
      </c>
      <c r="C711" t="inlineStr">
        <is>
          <t>SGS Germany GmbH, Emstek, DE</t>
        </is>
      </c>
      <c r="D711" t="inlineStr">
        <is>
          <t>22.07.2027</t>
        </is>
      </c>
      <c r="E711" t="inlineStr">
        <is>
          <t>China</t>
        </is>
      </c>
    </row>
    <row r="712">
      <c r="A712" t="inlineStr">
        <is>
          <t>DAICEL CORPORATION,  Hanyu-shi, Saitama, Japan</t>
        </is>
      </c>
      <c r="B712" t="inlineStr">
        <is>
          <t>Processing Unit</t>
        </is>
      </c>
      <c r="C712" t="inlineStr">
        <is>
          <t>SGS Germany GmbH, Emstek, DE</t>
        </is>
      </c>
      <c r="D712" t="inlineStr">
        <is>
          <t>22.07.2027</t>
        </is>
      </c>
      <c r="E712" t="inlineStr">
        <is>
          <t>Japan</t>
        </is>
      </c>
    </row>
    <row r="713">
      <c r="A713" t="inlineStr">
        <is>
          <t>CPPC Marketing Inc.,  Florence, United States</t>
        </is>
      </c>
      <c r="B713" t="inlineStr">
        <is>
          <t>Trader with Storage</t>
        </is>
      </c>
      <c r="C713" t="inlineStr">
        <is>
          <t>SGS Germany GmbH, Emstek, DE</t>
        </is>
      </c>
      <c r="D713" t="inlineStr">
        <is>
          <t>22.07.2027</t>
        </is>
      </c>
      <c r="E713" t="inlineStr">
        <is>
          <t>United States</t>
        </is>
      </c>
    </row>
    <row r="714">
      <c r="A714" t="inlineStr">
        <is>
          <t>Khorchin Left Middle Banner Xinglei Biomass Fuel Co., Ltd,  Tongliao City, Inner Mongolia Autonomous Region, China</t>
        </is>
      </c>
      <c r="B714" t="inlineStr">
        <is>
          <t>First Gathering Point, Processing Unit</t>
        </is>
      </c>
      <c r="C714" t="inlineStr">
        <is>
          <t>SCS Global Services, Emeryville, CA, US</t>
        </is>
      </c>
      <c r="D714" t="inlineStr">
        <is>
          <t>22.07.2027</t>
        </is>
      </c>
      <c r="E714" t="inlineStr">
        <is>
          <t>China</t>
        </is>
      </c>
    </row>
    <row r="715">
      <c r="A715" t="inlineStr">
        <is>
          <t>Bostik,  Ribecourt, France</t>
        </is>
      </c>
      <c r="B715" t="inlineStr">
        <is>
          <t>Processing Unit</t>
        </is>
      </c>
      <c r="C715" t="inlineStr">
        <is>
          <t>DNV Business Assurance Sweden AB, Solna, SE</t>
        </is>
      </c>
      <c r="D715" t="inlineStr">
        <is>
          <t>22.07.2027</t>
        </is>
      </c>
      <c r="E715" t="inlineStr">
        <is>
          <t>France</t>
        </is>
      </c>
    </row>
    <row r="716">
      <c r="A716" t="inlineStr">
        <is>
          <t>LC BUFFALO CO.,LTD,  Dong Nai City, Vietnam</t>
        </is>
      </c>
      <c r="B716" t="inlineStr">
        <is>
          <t>Collecting Point, Point of Origin, Processing Unit</t>
        </is>
      </c>
      <c r="C716" t="inlineStr">
        <is>
          <t>PT Intertek Utama Services, Jakarta, ID</t>
        </is>
      </c>
      <c r="D716" t="inlineStr">
        <is>
          <t>22.07.2027</t>
        </is>
      </c>
      <c r="E716" t="inlineStr">
        <is>
          <t>Vietnam</t>
        </is>
      </c>
    </row>
    <row r="717">
      <c r="A717" t="inlineStr">
        <is>
          <t>LC BUFFALO CO.,LTD,  Dong Nai City, Vietnam</t>
        </is>
      </c>
      <c r="B717" t="inlineStr">
        <is>
          <t>Collecting Point, Point of Origin, Processing Unit</t>
        </is>
      </c>
      <c r="C717" t="inlineStr">
        <is>
          <t>PT Intertek Utama Services, Jakarta, ID</t>
        </is>
      </c>
      <c r="D717" t="inlineStr">
        <is>
          <t>22.07.2027</t>
        </is>
      </c>
      <c r="E717" t="inlineStr">
        <is>
          <t>Vietnam</t>
        </is>
      </c>
    </row>
    <row r="718">
      <c r="A718" t="inlineStr">
        <is>
          <t>Desanio Doo,  Belgrade, Serbia</t>
        </is>
      </c>
      <c r="B718" t="inlineStr">
        <is>
          <t>Collecting Point, Trader with Storage</t>
        </is>
      </c>
      <c r="C718" t="inlineStr">
        <is>
          <t>Bureau Veritas Polska Sp. z o.o., Warsaw, PL</t>
        </is>
      </c>
      <c r="D718" t="inlineStr">
        <is>
          <t>22.07.2027</t>
        </is>
      </c>
      <c r="E718" t="inlineStr">
        <is>
          <t>Serbia</t>
        </is>
      </c>
    </row>
    <row r="719">
      <c r="A719" t="inlineStr">
        <is>
          <t>TERENORD COOPERATIVA AGRICOLA,  Videle, Teleorman county, Romania</t>
        </is>
      </c>
      <c r="B719" t="inlineStr">
        <is>
          <t>First Gathering Point</t>
        </is>
      </c>
      <c r="C719" t="inlineStr">
        <is>
          <t>SRAC Cert SRL, Bucharest, RO</t>
        </is>
      </c>
      <c r="D719" t="inlineStr">
        <is>
          <t>22.07.2027</t>
        </is>
      </c>
      <c r="E719" t="inlineStr">
        <is>
          <t>Romania</t>
        </is>
      </c>
    </row>
    <row r="720">
      <c r="A720" t="inlineStr">
        <is>
          <t>Bia Energy Limited,  Dublin 11, Ireland</t>
        </is>
      </c>
      <c r="B720" t="inlineStr">
        <is>
          <t>Collecting Point, Processing Unit, Trader</t>
        </is>
      </c>
      <c r="C720" t="inlineStr">
        <is>
          <t>Aardvark Certification Ltd, Wiveliscombe, Somerset, GB</t>
        </is>
      </c>
      <c r="D720" t="inlineStr">
        <is>
          <t>22.07.2027</t>
        </is>
      </c>
      <c r="E720" t="inlineStr">
        <is>
          <t>Ireland</t>
        </is>
      </c>
    </row>
    <row r="721">
      <c r="A721" t="inlineStr">
        <is>
          <t>Vlado d.o.o.,  Domasinec, Croatia</t>
        </is>
      </c>
      <c r="B721" t="inlineStr">
        <is>
          <t>Farm / Plantation, First Gathering Point</t>
        </is>
      </c>
      <c r="C721" t="inlineStr">
        <is>
          <t>Bureau Veritas Polska Sp. z o.o., Warsaw, PL</t>
        </is>
      </c>
      <c r="D721" t="inlineStr">
        <is>
          <t>22.07.2027</t>
        </is>
      </c>
      <c r="E721" t="inlineStr">
        <is>
          <t>Croatia</t>
        </is>
      </c>
    </row>
    <row r="722">
      <c r="A722" t="inlineStr">
        <is>
          <t>C.I. ECOGRAS COLOMBIA S.A.S,  Medellin, Colombia</t>
        </is>
      </c>
      <c r="B722" t="inlineStr">
        <is>
          <t>Collecting Point, Trader with Storage</t>
        </is>
      </c>
      <c r="C722" t="inlineStr">
        <is>
          <t>Amspec Iberia SL, Vilagarcia de Arousa-Pontevedra, ES</t>
        </is>
      </c>
      <c r="D722" t="inlineStr">
        <is>
          <t>22.07.2027</t>
        </is>
      </c>
      <c r="E722" t="inlineStr">
        <is>
          <t>Colombia</t>
        </is>
      </c>
    </row>
    <row r="723">
      <c r="A723" t="inlineStr">
        <is>
          <t>Oriental Industries (Suzhou) LTD.,  SuZhou, WuZhong economic development district, China</t>
        </is>
      </c>
      <c r="B723" t="inlineStr">
        <is>
          <t>Processing Unit</t>
        </is>
      </c>
      <c r="C723" t="inlineStr">
        <is>
          <t>SGS Germany GmbH, Emstek, DE</t>
        </is>
      </c>
      <c r="D723" t="inlineStr">
        <is>
          <t>22.07.2027</t>
        </is>
      </c>
      <c r="E723" t="inlineStr">
        <is>
          <t>China</t>
        </is>
      </c>
    </row>
    <row r="724">
      <c r="A724" t="inlineStr">
        <is>
          <t>Certa Ireland Limited,  Kilternan, Ireland</t>
        </is>
      </c>
      <c r="B724" t="inlineStr">
        <is>
          <t>Trader with Storage</t>
        </is>
      </c>
      <c r="C724" t="inlineStr">
        <is>
          <t>Aardvark Certification Ltd, Wiveliscombe, Somerset, GB</t>
        </is>
      </c>
      <c r="D724" t="inlineStr">
        <is>
          <t>22.07.2027</t>
        </is>
      </c>
      <c r="E724" t="inlineStr">
        <is>
          <t>Ireland</t>
        </is>
      </c>
    </row>
    <row r="725">
      <c r="A725" t="inlineStr">
        <is>
          <t>Izmail - Transbulkterminal LLC,  IZMAIL, Ukraine</t>
        </is>
      </c>
      <c r="B725" t="inlineStr">
        <is>
          <t>First Gathering Point, Processing Unit</t>
        </is>
      </c>
      <c r="C725" t="inlineStr">
        <is>
          <t>Organic Standard Ltd, Kyiv, UA</t>
        </is>
      </c>
      <c r="D725" t="inlineStr">
        <is>
          <t>22.07.2027</t>
        </is>
      </c>
      <c r="E725" t="inlineStr">
        <is>
          <t>Ukraine</t>
        </is>
      </c>
    </row>
    <row r="726">
      <c r="A726" t="inlineStr">
        <is>
          <t>Greenchoice Trading Company B.V.,  Rotterdam, The Netherlands</t>
        </is>
      </c>
      <c r="B726" t="inlineStr">
        <is>
          <t>Trader, Proof of Compliance Trader</t>
        </is>
      </c>
      <c r="C726" t="inlineStr">
        <is>
          <t>DEKRA Certification B.V., Arnhem, NL</t>
        </is>
      </c>
      <c r="D726" t="inlineStr">
        <is>
          <t>22.07.2027</t>
        </is>
      </c>
      <c r="E726" t="inlineStr">
        <is>
          <t>The Netherlands</t>
        </is>
      </c>
    </row>
    <row r="727">
      <c r="A727" t="inlineStr">
        <is>
          <t>HD Hyundai Marine Solution Singapore Pte. Ltd.,  Singapore, Singapore</t>
        </is>
      </c>
      <c r="B727" t="inlineStr">
        <is>
          <t>Trader</t>
        </is>
      </c>
      <c r="C727" t="inlineStr">
        <is>
          <t>Control Union Certifications Germany GmbH, Berlin, DE</t>
        </is>
      </c>
      <c r="D727" t="inlineStr">
        <is>
          <t>22.07.2027</t>
        </is>
      </c>
      <c r="E727" t="inlineStr">
        <is>
          <t>Singapore</t>
        </is>
      </c>
    </row>
    <row r="728">
      <c r="A728" t="inlineStr">
        <is>
          <t>Luxottica Group Spa,  Sedico, Italy</t>
        </is>
      </c>
      <c r="B728" t="inlineStr">
        <is>
          <t>Trader with Storage</t>
        </is>
      </c>
      <c r="C728" t="inlineStr">
        <is>
          <t>SGS Germany GmbH, Emstek, DE</t>
        </is>
      </c>
      <c r="D728" t="inlineStr">
        <is>
          <t>22.07.2027</t>
        </is>
      </c>
      <c r="E728" t="inlineStr">
        <is>
          <t>Italy</t>
        </is>
      </c>
    </row>
    <row r="729">
      <c r="A729" t="inlineStr">
        <is>
          <t>Approved Oil Company,  Brooklyn, The United States of America</t>
        </is>
      </c>
      <c r="B729" t="inlineStr">
        <is>
          <t>Trader with Storage</t>
        </is>
      </c>
      <c r="C729" t="inlineStr">
        <is>
          <t>SCS Global Services, Emeryville, CA, US</t>
        </is>
      </c>
      <c r="D729" t="inlineStr">
        <is>
          <t>22.07.2027</t>
        </is>
      </c>
      <c r="E729" t="inlineStr">
        <is>
          <t>The United States of America</t>
        </is>
      </c>
    </row>
    <row r="730">
      <c r="A730" t="inlineStr">
        <is>
          <t>Wanyuan (Suixi) Biofuel Co., Ltd.,  Zhanjiang City, Guangdong Province, China</t>
        </is>
      </c>
      <c r="B730" t="inlineStr">
        <is>
          <t>Collecting Point, Processing Unit</t>
        </is>
      </c>
      <c r="C730" t="inlineStr">
        <is>
          <t>SCS Global Services, Emeryville, CA, US</t>
        </is>
      </c>
      <c r="D730" t="inlineStr">
        <is>
          <t>22.07.2027</t>
        </is>
      </c>
      <c r="E730" t="inlineStr">
        <is>
          <t>China</t>
        </is>
      </c>
    </row>
    <row r="731">
      <c r="A731" t="inlineStr">
        <is>
          <t>China Renewable Energy Environmental Protection Co., Ltd,  Chongqing, China</t>
        </is>
      </c>
      <c r="B731" t="inlineStr">
        <is>
          <t>Trader with Storage</t>
        </is>
      </c>
      <c r="C731" t="inlineStr">
        <is>
          <t>RINA Services S.p.A., Genova, IT</t>
        </is>
      </c>
      <c r="D731" t="inlineStr">
        <is>
          <t>22.07.2027</t>
        </is>
      </c>
      <c r="E731" t="inlineStr">
        <is>
          <t>China</t>
        </is>
      </c>
    </row>
    <row r="732">
      <c r="A732" t="inlineStr">
        <is>
          <t>DBE Energy Limited,  Cranleigh, The United Kingdom</t>
        </is>
      </c>
      <c r="B732" t="inlineStr">
        <is>
          <t>Collecting Point, Processing Unit, Trader</t>
        </is>
      </c>
      <c r="C732" t="inlineStr">
        <is>
          <t>Aardvark Certification Ltd, Wiveliscombe, Somerset, GB</t>
        </is>
      </c>
      <c r="D732" t="inlineStr">
        <is>
          <t>22.07.2027</t>
        </is>
      </c>
      <c r="E732" t="inlineStr">
        <is>
          <t>The United Kingdom</t>
        </is>
      </c>
    </row>
    <row r="733">
      <c r="A733" t="inlineStr">
        <is>
          <t>RELIFE RECYCLING SRL,  CORDIGNANO, Italy</t>
        </is>
      </c>
      <c r="B733" t="inlineStr">
        <is>
          <t>Collecting Point</t>
        </is>
      </c>
      <c r="C733" t="inlineStr">
        <is>
          <t>RINA Services S.p.A., Genova, IT</t>
        </is>
      </c>
      <c r="D733" t="inlineStr">
        <is>
          <t>22.07.2027</t>
        </is>
      </c>
      <c r="E733" t="inlineStr">
        <is>
          <t>Italy</t>
        </is>
      </c>
    </row>
    <row r="734">
      <c r="A734" t="inlineStr">
        <is>
          <t>Sarval Bio-Industries,  Granollers, Spain</t>
        </is>
      </c>
      <c r="B734" t="inlineStr">
        <is>
          <t>Central Office (Group of Point of Origin)</t>
        </is>
      </c>
      <c r="C734" t="inlineStr">
        <is>
          <t>Control Union Poland Sp. z o.o., Zielona Gora, PL</t>
        </is>
      </c>
      <c r="D734" t="inlineStr">
        <is>
          <t>22.07.2027</t>
        </is>
      </c>
      <c r="E734" t="inlineStr">
        <is>
          <t>Spain</t>
        </is>
      </c>
    </row>
    <row r="735">
      <c r="A735" t="inlineStr">
        <is>
          <t>Valour Investments Ltd,  Baldonnell, Ireland</t>
        </is>
      </c>
      <c r="B735" t="inlineStr">
        <is>
          <t>Trader with Storage</t>
        </is>
      </c>
      <c r="C735" t="inlineStr">
        <is>
          <t>Double Helix Tracking Technologies Pte Ltd, Singapore, SG</t>
        </is>
      </c>
      <c r="D735" t="inlineStr">
        <is>
          <t>22.07.2027</t>
        </is>
      </c>
      <c r="E735" t="inlineStr">
        <is>
          <t>Ireland</t>
        </is>
      </c>
    </row>
    <row r="736">
      <c r="A736" t="inlineStr">
        <is>
          <t>Noriap,  Longueau, France</t>
        </is>
      </c>
      <c r="B736" t="inlineStr">
        <is>
          <t>First Gathering Point</t>
        </is>
      </c>
      <c r="C736" t="inlineStr">
        <is>
          <t>RINA Services S.p.A., Genova, IT</t>
        </is>
      </c>
      <c r="D736" t="inlineStr">
        <is>
          <t>22.07.2027</t>
        </is>
      </c>
      <c r="E736" t="inlineStr">
        <is>
          <t>France</t>
        </is>
      </c>
    </row>
    <row r="737">
      <c r="A737" t="inlineStr">
        <is>
          <t>Tiancheng Zhonghe (Tianjin) Environmental Protection Technology Co., Ltd,  Tianjin, China</t>
        </is>
      </c>
      <c r="B737" t="inlineStr">
        <is>
          <t>Collecting Point, Trader with Storage</t>
        </is>
      </c>
      <c r="C737" t="inlineStr">
        <is>
          <t>RINA Services S.p.A., Genova, IT</t>
        </is>
      </c>
      <c r="D737" t="inlineStr">
        <is>
          <t>22.07.2027</t>
        </is>
      </c>
      <c r="E737" t="inlineStr">
        <is>
          <t>China</t>
        </is>
      </c>
    </row>
    <row r="738">
      <c r="A738" t="inlineStr">
        <is>
          <t>SBS – BIOENERGY TRADING, LDA,  Porto, Portugal</t>
        </is>
      </c>
      <c r="B738" t="inlineStr">
        <is>
          <t>Trader</t>
        </is>
      </c>
      <c r="C738" t="inlineStr">
        <is>
          <t>RINA Services S.p.A., Genova, IT</t>
        </is>
      </c>
      <c r="D738" t="inlineStr">
        <is>
          <t>22.07.2027</t>
        </is>
      </c>
      <c r="E738" t="inlineStr">
        <is>
          <t>Portugal</t>
        </is>
      </c>
    </row>
    <row r="739">
      <c r="A739" t="inlineStr">
        <is>
          <t>Proteínas del Olivo,  La Luisiana, Sevilla, Spain</t>
        </is>
      </c>
      <c r="B739" t="inlineStr">
        <is>
          <t>Point of Origin, Processing Unit, Warehouse</t>
        </is>
      </c>
      <c r="C739" t="inlineStr">
        <is>
          <t>PT Intertek Utama Services, Jakarta, ID</t>
        </is>
      </c>
      <c r="D739" t="inlineStr">
        <is>
          <t>21.07.2027</t>
        </is>
      </c>
      <c r="E739" t="inlineStr">
        <is>
          <t>Spain</t>
        </is>
      </c>
    </row>
    <row r="740">
      <c r="A740" t="inlineStr">
        <is>
          <t>ŽŪK Joniškio aruodas,  Joniškis, Lithuania</t>
        </is>
      </c>
      <c r="B740" t="inlineStr">
        <is>
          <t>First Gathering Point, Trader with Storage</t>
        </is>
      </c>
      <c r="C740" t="inlineStr">
        <is>
          <t>BM Certification, Riga, LV</t>
        </is>
      </c>
      <c r="D740" t="inlineStr">
        <is>
          <t>21.07.2027</t>
        </is>
      </c>
      <c r="E740" t="inlineStr">
        <is>
          <t>Lithuania</t>
        </is>
      </c>
    </row>
    <row r="741">
      <c r="A741" t="inlineStr">
        <is>
          <t>Enrise Bio Supply Co., Ltd.,  Samutprakan, Thailand</t>
        </is>
      </c>
      <c r="B741" t="inlineStr">
        <is>
          <t>Collecting Point, Trader with Storage</t>
        </is>
      </c>
      <c r="C741" t="inlineStr">
        <is>
          <t>SGS Germany GmbH, Emstek, DE</t>
        </is>
      </c>
      <c r="D741" t="inlineStr">
        <is>
          <t>21.07.2027</t>
        </is>
      </c>
      <c r="E741" t="inlineStr">
        <is>
          <t>Thailand</t>
        </is>
      </c>
    </row>
    <row r="742">
      <c r="A742" t="inlineStr">
        <is>
          <t>Enrise Bio Supply Co., Ltd.,  Samutprakan, Thailand</t>
        </is>
      </c>
      <c r="B742" t="inlineStr">
        <is>
          <t>Collecting Point, Trader with Storage</t>
        </is>
      </c>
      <c r="C742" t="inlineStr">
        <is>
          <t>SGS Germany GmbH, Emstek, DE</t>
        </is>
      </c>
      <c r="D742" t="inlineStr">
        <is>
          <t>21.07.2027</t>
        </is>
      </c>
      <c r="E742" t="inlineStr">
        <is>
          <t>Thailand</t>
        </is>
      </c>
    </row>
    <row r="743">
      <c r="A743" t="inlineStr">
        <is>
          <t>Enrise Bio Supply Co., Ltd.,  Samutprakan, Thailand</t>
        </is>
      </c>
      <c r="B743" t="inlineStr">
        <is>
          <t>Collecting Point, Trader with Storage</t>
        </is>
      </c>
      <c r="C743" t="inlineStr">
        <is>
          <t>SGS Germany GmbH, Emstek, DE</t>
        </is>
      </c>
      <c r="D743" t="inlineStr">
        <is>
          <t>21.07.2027</t>
        </is>
      </c>
      <c r="E743" t="inlineStr">
        <is>
          <t>Thailand</t>
        </is>
      </c>
    </row>
    <row r="744">
      <c r="A744" t="inlineStr">
        <is>
          <t>Thrace Synthetic Packaging Ltd.,  Clara, Ireland</t>
        </is>
      </c>
      <c r="B744" t="inlineStr">
        <is>
          <t>Processing Unit</t>
        </is>
      </c>
      <c r="C744" t="inlineStr">
        <is>
          <t>Aardvark Certification Ltd, Wiveliscombe, Somerset, GB</t>
        </is>
      </c>
      <c r="D744" t="inlineStr">
        <is>
          <t>21.07.2027</t>
        </is>
      </c>
      <c r="E744" t="inlineStr">
        <is>
          <t>Ireland</t>
        </is>
      </c>
    </row>
    <row r="745">
      <c r="A745" t="inlineStr">
        <is>
          <t>TDK Electronics Components S.A.U.,  Málaga, Spain</t>
        </is>
      </c>
      <c r="B745" t="inlineStr">
        <is>
          <t>Final Product Refinement</t>
        </is>
      </c>
      <c r="C745" t="inlineStr">
        <is>
          <t>Bureau Veritas Polska Sp. z o.o., Warsaw, PL</t>
        </is>
      </c>
      <c r="D745" t="inlineStr">
        <is>
          <t>21.07.2027</t>
        </is>
      </c>
      <c r="E745" t="inlineStr">
        <is>
          <t>Spain</t>
        </is>
      </c>
    </row>
    <row r="746">
      <c r="A746" t="inlineStr">
        <is>
          <t>GK Thilak,  Kempas Lama,, Malaysia</t>
        </is>
      </c>
      <c r="B746" t="inlineStr">
        <is>
          <t>Trader with Storage</t>
        </is>
      </c>
      <c r="C746" t="inlineStr">
        <is>
          <t>Trans Certification and Inspection Sdn Bhd, Kuantan, MY</t>
        </is>
      </c>
      <c r="D746" t="inlineStr">
        <is>
          <t>21.07.2027</t>
        </is>
      </c>
      <c r="E746" t="inlineStr">
        <is>
          <t>Malaysia</t>
        </is>
      </c>
    </row>
    <row r="747">
      <c r="A747" t="inlineStr">
        <is>
          <t>Xinji Hongzhuo Renewable Resources Utilization Co., Ltd,  Xinji City, Hebei Province, China</t>
        </is>
      </c>
      <c r="B747" t="inlineStr">
        <is>
          <t>Collecting Point, Trader with Storage</t>
        </is>
      </c>
      <c r="C747" t="inlineStr">
        <is>
          <t>RINA Services S.p.A., Genova, IT</t>
        </is>
      </c>
      <c r="D747" t="inlineStr">
        <is>
          <t>21.07.2027</t>
        </is>
      </c>
      <c r="E747" t="inlineStr">
        <is>
          <t>China</t>
        </is>
      </c>
    </row>
    <row r="748">
      <c r="A748" t="inlineStr">
        <is>
          <t>SHANGHAI LUCHUAN ENVIRONMENTAL ENGINEERING CO .,LTD,  Shanghai Province, China</t>
        </is>
      </c>
      <c r="B748" t="inlineStr">
        <is>
          <t>Trader with Storage</t>
        </is>
      </c>
      <c r="C748" t="inlineStr">
        <is>
          <t>RINA Services S.p.A., Genova, IT</t>
        </is>
      </c>
      <c r="D748" t="inlineStr">
        <is>
          <t>21.07.2027</t>
        </is>
      </c>
      <c r="E748" t="inlineStr">
        <is>
          <t>China</t>
        </is>
      </c>
    </row>
    <row r="749">
      <c r="A749" t="inlineStr">
        <is>
          <t>PetroVietnam Oil Transportation - One - Member Limited Company (PVOIL Trans),  Ho Chi Minh City, Vietnam</t>
        </is>
      </c>
      <c r="B749" t="inlineStr">
        <is>
          <t>Central Office (Group of Point of Origin), Collecting Point, Trader with Storage</t>
        </is>
      </c>
      <c r="C749" t="inlineStr">
        <is>
          <t>Bureau Veritas Polska Sp. z o.o., Warsaw, PL</t>
        </is>
      </c>
      <c r="D749" t="inlineStr">
        <is>
          <t>21.07.2027</t>
        </is>
      </c>
      <c r="E749" t="inlineStr">
        <is>
          <t>Vietnam</t>
        </is>
      </c>
    </row>
    <row r="750">
      <c r="A750" t="inlineStr">
        <is>
          <t>ENEOS Americas Inc.,  Houston, United States</t>
        </is>
      </c>
      <c r="B750" t="inlineStr">
        <is>
          <t>Trader</t>
        </is>
      </c>
      <c r="C750" t="inlineStr">
        <is>
          <t>SCS Global Services, Emeryville, CA, US</t>
        </is>
      </c>
      <c r="D750" t="inlineStr">
        <is>
          <t>21.07.2027</t>
        </is>
      </c>
      <c r="E750" t="inlineStr">
        <is>
          <t>United States</t>
        </is>
      </c>
    </row>
    <row r="751">
      <c r="A751" t="inlineStr">
        <is>
          <t>Weifang GHE New Materials Co., Ltd.,  Weifang City, Shandong Province, China</t>
        </is>
      </c>
      <c r="B751" t="inlineStr">
        <is>
          <t>Trader with Storage, Processing Unit</t>
        </is>
      </c>
      <c r="C751" t="inlineStr">
        <is>
          <t>TÜV NORD CERT GmbH, Essen, DE</t>
        </is>
      </c>
      <c r="D751" t="inlineStr">
        <is>
          <t>21.07.2027</t>
        </is>
      </c>
      <c r="E751" t="inlineStr">
        <is>
          <t>China</t>
        </is>
      </c>
    </row>
    <row r="752">
      <c r="A752" t="inlineStr">
        <is>
          <t>AP EVERGREEN INTERNATIONAL,  Lahore, Pakistan</t>
        </is>
      </c>
      <c r="B752" t="inlineStr">
        <is>
          <t>Trader</t>
        </is>
      </c>
      <c r="C752" t="inlineStr">
        <is>
          <t>PT Intertek Utama Services, Jakarta, ID</t>
        </is>
      </c>
      <c r="D752" t="inlineStr">
        <is>
          <t>21.07.2027</t>
        </is>
      </c>
      <c r="E752" t="inlineStr">
        <is>
          <t>Pakistan</t>
        </is>
      </c>
    </row>
    <row r="753">
      <c r="A753" t="inlineStr">
        <is>
          <t>Horal, a.s.,  Lukavice, Czech Republic</t>
        </is>
      </c>
      <c r="B753" t="inlineStr">
        <is>
          <t>Farm / Plantation, Point of Origin, Processing Unit</t>
        </is>
      </c>
      <c r="C753" t="inlineStr">
        <is>
          <t>PT Intertek Utama Services, Jakarta, ID</t>
        </is>
      </c>
      <c r="D753" t="inlineStr">
        <is>
          <t>21.07.2027</t>
        </is>
      </c>
      <c r="E753" t="inlineStr">
        <is>
          <t>Czech Republic</t>
        </is>
      </c>
    </row>
    <row r="754">
      <c r="A754" t="inlineStr">
        <is>
          <t>CellMark Qingdao Co., Ltd.,  Qingdao City， Shandong Province, China</t>
        </is>
      </c>
      <c r="B754" t="inlineStr">
        <is>
          <t>Trader</t>
        </is>
      </c>
      <c r="C754" t="inlineStr">
        <is>
          <t>SCS Global Services, Emeryville, CA, US</t>
        </is>
      </c>
      <c r="D754" t="inlineStr">
        <is>
          <t>21.07.2027</t>
        </is>
      </c>
      <c r="E754" t="inlineStr">
        <is>
          <t>China</t>
        </is>
      </c>
    </row>
    <row r="755">
      <c r="A755" t="inlineStr">
        <is>
          <t>Horváth-Farm Kft.,  Töltéstava, Hungary</t>
        </is>
      </c>
      <c r="B755" t="inlineStr">
        <is>
          <t>First Gathering Point, Trader with Storage, Warehouse</t>
        </is>
      </c>
      <c r="C755" t="inlineStr">
        <is>
          <t>Control Union Certifications Germany GmbH, Berlin, DE</t>
        </is>
      </c>
      <c r="D755" t="inlineStr">
        <is>
          <t>21.07.2027</t>
        </is>
      </c>
      <c r="E755" t="inlineStr">
        <is>
          <t>Hungary</t>
        </is>
      </c>
    </row>
    <row r="756">
      <c r="A756" t="inlineStr">
        <is>
          <t>ENG HUA COMPANY,  Midview City, Singapore</t>
        </is>
      </c>
      <c r="B756" t="inlineStr">
        <is>
          <t>Trader</t>
        </is>
      </c>
      <c r="C756" t="inlineStr">
        <is>
          <t>TÜV NORD CERT GmbH, Essen, DE</t>
        </is>
      </c>
      <c r="D756" t="inlineStr">
        <is>
          <t>21.07.2027</t>
        </is>
      </c>
      <c r="E756" t="inlineStr">
        <is>
          <t>Singapore</t>
        </is>
      </c>
    </row>
    <row r="757">
      <c r="A757" t="inlineStr">
        <is>
          <t>PT Home Well Indonesia,  West Java Province, Indonesia</t>
        </is>
      </c>
      <c r="B757" t="inlineStr">
        <is>
          <t>Final Product Refinement</t>
        </is>
      </c>
      <c r="C757" t="inlineStr">
        <is>
          <t>Control Union Certifications Germany GmbH, Berlin, DE</t>
        </is>
      </c>
      <c r="D757" t="inlineStr">
        <is>
          <t>21.07.2027</t>
        </is>
      </c>
      <c r="E757" t="inlineStr">
        <is>
          <t>Indonesia</t>
        </is>
      </c>
    </row>
    <row r="758">
      <c r="A758" t="inlineStr">
        <is>
          <t>Revotech Co., Ltd.,  Maseong-myeon, Mungyeong-si, Gyeongsangbuk-do, The Republic of Korea</t>
        </is>
      </c>
      <c r="B758" t="inlineStr">
        <is>
          <t>Collecting Point, Processing Unit</t>
        </is>
      </c>
      <c r="C758" t="inlineStr">
        <is>
          <t>Control Union Certifications Germany GmbH, Berlin, DE</t>
        </is>
      </c>
      <c r="D758" t="inlineStr">
        <is>
          <t>21.07.2027</t>
        </is>
      </c>
      <c r="E758" t="inlineStr">
        <is>
          <t>The Republic of Korea</t>
        </is>
      </c>
    </row>
    <row r="759">
      <c r="A759" t="inlineStr">
        <is>
          <t>BK ENERGY Co., Ltd,  Daegu Metropolitan City, The Republic of Korea</t>
        </is>
      </c>
      <c r="B759" t="inlineStr">
        <is>
          <t>Collecting Point, Trader with Storage</t>
        </is>
      </c>
      <c r="C759" t="inlineStr">
        <is>
          <t>Control Union Certifications Germany GmbH, Berlin, DE</t>
        </is>
      </c>
      <c r="D759" t="inlineStr">
        <is>
          <t>21.07.2027</t>
        </is>
      </c>
      <c r="E759" t="inlineStr">
        <is>
          <t>The Republic of Korea</t>
        </is>
      </c>
    </row>
    <row r="760">
      <c r="A760" t="inlineStr">
        <is>
          <t>UCONEXT,  SOFIA, Bulgaria</t>
        </is>
      </c>
      <c r="B760" t="inlineStr">
        <is>
          <t>Trader</t>
        </is>
      </c>
      <c r="C760" t="inlineStr">
        <is>
          <t>BM Certification, Riga, LV</t>
        </is>
      </c>
      <c r="D760" t="inlineStr">
        <is>
          <t>21.07.2027</t>
        </is>
      </c>
      <c r="E760" t="inlineStr">
        <is>
          <t>Bulgaria</t>
        </is>
      </c>
    </row>
    <row r="761">
      <c r="A761" t="inlineStr">
        <is>
          <t>BELLINTURF INDUSTRIAL (VIET NAM) COMPANY LIMITED,  Dong Thap Province, Vietnam</t>
        </is>
      </c>
      <c r="B761" t="inlineStr">
        <is>
          <t>Collecting Point, Point of Origin, Processing Unit</t>
        </is>
      </c>
      <c r="C761" t="inlineStr">
        <is>
          <t>PT Intertek Utama Services, Jakarta, ID</t>
        </is>
      </c>
      <c r="D761" t="inlineStr">
        <is>
          <t>21.07.2027</t>
        </is>
      </c>
      <c r="E761" t="inlineStr">
        <is>
          <t>Vietnam</t>
        </is>
      </c>
    </row>
    <row r="762">
      <c r="A762" t="inlineStr">
        <is>
          <t>Xiamen C &amp; D Chemical Co., Ltd.,  Xiamen, Fujian, China</t>
        </is>
      </c>
      <c r="B762" t="inlineStr">
        <is>
          <t>Trader with Storage</t>
        </is>
      </c>
      <c r="C762" t="inlineStr">
        <is>
          <t>SCS Global Services, Emeryville, CA, US</t>
        </is>
      </c>
      <c r="D762" t="inlineStr">
        <is>
          <t>21.07.2027</t>
        </is>
      </c>
      <c r="E762" t="inlineStr">
        <is>
          <t>China</t>
        </is>
      </c>
    </row>
    <row r="763">
      <c r="A763" t="inlineStr">
        <is>
          <t>ISOFlex Packaging,  Gray Court, SC, The United States of America</t>
        </is>
      </c>
      <c r="B763" t="inlineStr">
        <is>
          <t>Processing Unit</t>
        </is>
      </c>
      <c r="C763" t="inlineStr">
        <is>
          <t>SCS Global Services, Emeryville, CA, US</t>
        </is>
      </c>
      <c r="D763" t="inlineStr">
        <is>
          <t>21.07.2027</t>
        </is>
      </c>
      <c r="E763" t="inlineStr">
        <is>
          <t>The United States of America</t>
        </is>
      </c>
    </row>
    <row r="764">
      <c r="A764" t="inlineStr">
        <is>
          <t>Repsol S.A.,  Móstoles, Spain</t>
        </is>
      </c>
      <c r="B764" t="inlineStr">
        <is>
          <t>Trader with Storage</t>
        </is>
      </c>
      <c r="C764" t="inlineStr">
        <is>
          <t>Control Union Poland Sp. z o.o., Zielona Gora, PL</t>
        </is>
      </c>
      <c r="D764" t="inlineStr">
        <is>
          <t>21.07.2027</t>
        </is>
      </c>
      <c r="E764" t="inlineStr">
        <is>
          <t>Spain</t>
        </is>
      </c>
    </row>
    <row r="765">
      <c r="A765" t="inlineStr">
        <is>
          <t>Repsol S.A.,  Móstoles, Spain</t>
        </is>
      </c>
      <c r="B765" t="inlineStr">
        <is>
          <t>Trader with Storage</t>
        </is>
      </c>
      <c r="C765" t="inlineStr">
        <is>
          <t>Control Union Poland Sp. z o.o., Zielona Gora, PL</t>
        </is>
      </c>
      <c r="D765" t="inlineStr">
        <is>
          <t>21.07.2027</t>
        </is>
      </c>
      <c r="E765" t="inlineStr">
        <is>
          <t>Spain</t>
        </is>
      </c>
    </row>
    <row r="766">
      <c r="A766" t="inlineStr">
        <is>
          <t>ExxonMobil Petroleum &amp; Chemical BV,  Antwerpen, Belgium</t>
        </is>
      </c>
      <c r="B766" t="inlineStr">
        <is>
          <t>Trader with Storage, Proof of Compliance Trader</t>
        </is>
      </c>
      <c r="C766" t="inlineStr">
        <is>
          <t>Control Union Certifications Germany GmbH, Berlin, DE</t>
        </is>
      </c>
      <c r="D766" t="inlineStr">
        <is>
          <t>21.07.2027</t>
        </is>
      </c>
      <c r="E766" t="inlineStr">
        <is>
          <t>Belgium</t>
        </is>
      </c>
    </row>
    <row r="767">
      <c r="A767" t="inlineStr">
        <is>
          <t>Aviation Fuelling Services Norway AS,  Oslo, Norway</t>
        </is>
      </c>
      <c r="B767" t="inlineStr">
        <is>
          <t>Proof of Compliance Trader, Trader with Storage</t>
        </is>
      </c>
      <c r="C767" t="inlineStr">
        <is>
          <t>SCS Global Services, Emeryville, CA, US</t>
        </is>
      </c>
      <c r="D767" t="inlineStr">
        <is>
          <t>21.07.2027</t>
        </is>
      </c>
      <c r="E767" t="inlineStr">
        <is>
          <t>Norway</t>
        </is>
      </c>
    </row>
    <row r="768">
      <c r="A768" t="inlineStr">
        <is>
          <t>Vibra Energia S/A - BADUC,  Duque de Caxias, Brazil</t>
        </is>
      </c>
      <c r="B768" t="inlineStr">
        <is>
          <t>Trader with Storage</t>
        </is>
      </c>
      <c r="C768" t="inlineStr">
        <is>
          <t>SCS Global Services, Emeryville, CA, US</t>
        </is>
      </c>
      <c r="D768" t="inlineStr">
        <is>
          <t>21.07.2027</t>
        </is>
      </c>
      <c r="E768" t="inlineStr">
        <is>
          <t>Brazil</t>
        </is>
      </c>
    </row>
    <row r="769">
      <c r="A769" t="inlineStr">
        <is>
          <t>Vibra Energia S/A - BAERI,  Barueri, Brazil</t>
        </is>
      </c>
      <c r="B769" t="inlineStr">
        <is>
          <t>Trader with Storage</t>
        </is>
      </c>
      <c r="C769" t="inlineStr">
        <is>
          <t>SCS Global Services, Emeryville, CA, US</t>
        </is>
      </c>
      <c r="D769" t="inlineStr">
        <is>
          <t>21.07.2027</t>
        </is>
      </c>
      <c r="E769" t="inlineStr">
        <is>
          <t>Brazil</t>
        </is>
      </c>
    </row>
    <row r="770">
      <c r="A770" t="inlineStr">
        <is>
          <t>Goldwind Green Energy Chemicals (Xing'an League) Co., Ltd.,  Xing'an League, Inner Mongolia, China</t>
        </is>
      </c>
      <c r="B770" t="inlineStr">
        <is>
          <t>Processing Unit</t>
        </is>
      </c>
      <c r="C770" t="inlineStr">
        <is>
          <t>DQS CFS GmbH - Deutsche Gesellschaft für Nachhaltigkeit, Frankfurt am Main, DE</t>
        </is>
      </c>
      <c r="D770" t="inlineStr">
        <is>
          <t>21.07.2027</t>
        </is>
      </c>
      <c r="E770" t="inlineStr">
        <is>
          <t>China</t>
        </is>
      </c>
    </row>
    <row r="771">
      <c r="A771" t="inlineStr">
        <is>
          <t>UPM Biochemicals GmbH,  Leuna, Germany</t>
        </is>
      </c>
      <c r="B771" t="inlineStr">
        <is>
          <t>Point of Origin</t>
        </is>
      </c>
      <c r="C771" t="inlineStr">
        <is>
          <t>BM Certification, Riga, LV</t>
        </is>
      </c>
      <c r="D771" t="inlineStr">
        <is>
          <t>21.07.2027</t>
        </is>
      </c>
      <c r="E771" t="inlineStr">
        <is>
          <t>Germany</t>
        </is>
      </c>
    </row>
    <row r="772">
      <c r="A772" t="inlineStr">
        <is>
          <t>Regency Oils (Wales) Ltd.,  Rumney, Cardiff, The United Kingdom</t>
        </is>
      </c>
      <c r="B772" t="inlineStr">
        <is>
          <t>Collecting Point, Trader with Storage</t>
        </is>
      </c>
      <c r="C772" t="inlineStr">
        <is>
          <t>SGS Germany GmbH, Emstek, DE</t>
        </is>
      </c>
      <c r="D772" t="inlineStr">
        <is>
          <t>21.07.2027</t>
        </is>
      </c>
      <c r="E772" t="inlineStr">
        <is>
          <t>The United Kingdom</t>
        </is>
      </c>
    </row>
    <row r="773">
      <c r="A773" t="inlineStr">
        <is>
          <t>Zeller Plastik Deutschland GmbH,  Zell (Mosel), Germany</t>
        </is>
      </c>
      <c r="B773" t="inlineStr">
        <is>
          <t>Processing Unit</t>
        </is>
      </c>
      <c r="C773" t="inlineStr">
        <is>
          <t>SGS Germany GmbH, Emstek, DE</t>
        </is>
      </c>
      <c r="D773" t="inlineStr">
        <is>
          <t>21.07.2027</t>
        </is>
      </c>
      <c r="E773" t="inlineStr">
        <is>
          <t>Germany</t>
        </is>
      </c>
    </row>
    <row r="774">
      <c r="A774" t="inlineStr">
        <is>
          <t>tesa Werk Offenburg GmbH,  Offenburg, Germany</t>
        </is>
      </c>
      <c r="B774" t="inlineStr">
        <is>
          <t>Final Product Refinement, Processing Unit</t>
        </is>
      </c>
      <c r="C774" t="inlineStr">
        <is>
          <t>SGS Germany GmbH, Emstek, DE</t>
        </is>
      </c>
      <c r="D774" t="inlineStr">
        <is>
          <t>21.07.2027</t>
        </is>
      </c>
      <c r="E774" t="inlineStr">
        <is>
          <t>Germany</t>
        </is>
      </c>
    </row>
    <row r="775">
      <c r="A775" t="inlineStr">
        <is>
          <t>AR ENERGY (AREG) PRIVATE LIMITED,  CHENNAI, India</t>
        </is>
      </c>
      <c r="B775" t="inlineStr">
        <is>
          <t>Collecting Point, Trader with Storage</t>
        </is>
      </c>
      <c r="C775" t="inlineStr">
        <is>
          <t>SGS Germany GmbH, Emstek, DE</t>
        </is>
      </c>
      <c r="D775" t="inlineStr">
        <is>
          <t>21.07.2027</t>
        </is>
      </c>
      <c r="E775" t="inlineStr">
        <is>
          <t>India</t>
        </is>
      </c>
    </row>
    <row r="776">
      <c r="A776" t="inlineStr">
        <is>
          <t>AR ENERGY (AREG) PRIVATE LIMITED,  CHENNAI, India</t>
        </is>
      </c>
      <c r="B776" t="inlineStr">
        <is>
          <t>Collecting Point, Trader with Storage</t>
        </is>
      </c>
      <c r="C776" t="inlineStr">
        <is>
          <t>SGS Germany GmbH, Emstek, DE</t>
        </is>
      </c>
      <c r="D776" t="inlineStr">
        <is>
          <t>21.07.2027</t>
        </is>
      </c>
      <c r="E776" t="inlineStr">
        <is>
          <t>India</t>
        </is>
      </c>
    </row>
    <row r="777">
      <c r="A777" t="inlineStr">
        <is>
          <t>AR ENERGY (AREG) PRIVATE LIMITED,  CHENNAI, India</t>
        </is>
      </c>
      <c r="B777" t="inlineStr">
        <is>
          <t>Collecting Point, Trader with Storage</t>
        </is>
      </c>
      <c r="C777" t="inlineStr">
        <is>
          <t>SGS Germany GmbH, Emstek, DE</t>
        </is>
      </c>
      <c r="D777" t="inlineStr">
        <is>
          <t>21.07.2027</t>
        </is>
      </c>
      <c r="E777" t="inlineStr">
        <is>
          <t>India</t>
        </is>
      </c>
    </row>
    <row r="778">
      <c r="A778" t="inlineStr">
        <is>
          <t>ITC Antwerp,  Beveren - Kruibeke - Zwijndrecht, Belgium</t>
        </is>
      </c>
      <c r="B778" t="inlineStr">
        <is>
          <t>Warehouse</t>
        </is>
      </c>
      <c r="C778" t="inlineStr">
        <is>
          <t>SGS Germany GmbH, Emstek, DE</t>
        </is>
      </c>
      <c r="D778" t="inlineStr">
        <is>
          <t>21.07.2027</t>
        </is>
      </c>
      <c r="E778" t="inlineStr">
        <is>
          <t>Belgium</t>
        </is>
      </c>
    </row>
    <row r="779">
      <c r="A779" t="inlineStr">
        <is>
          <t>ITC Antwerp,  Beveren - Kruibeke - Zwijndrecht, Belgium</t>
        </is>
      </c>
      <c r="B779" t="inlineStr">
        <is>
          <t>Warehouse</t>
        </is>
      </c>
      <c r="C779" t="inlineStr">
        <is>
          <t>SGS Germany GmbH, Emstek, DE</t>
        </is>
      </c>
      <c r="D779" t="inlineStr">
        <is>
          <t>21.07.2027</t>
        </is>
      </c>
      <c r="E779" t="inlineStr">
        <is>
          <t>Belgium</t>
        </is>
      </c>
    </row>
    <row r="780">
      <c r="A780" t="inlineStr">
        <is>
          <t>Oliveri Group srl,  Mosciano Sant'Angelo, Italy</t>
        </is>
      </c>
      <c r="B780" t="inlineStr">
        <is>
          <t>Point of Origin, Processing Unit</t>
        </is>
      </c>
      <c r="C780" t="inlineStr">
        <is>
          <t>Bureau Veritas Polska Sp. z o.o., Warsaw, PL</t>
        </is>
      </c>
      <c r="D780" t="inlineStr">
        <is>
          <t>21.07.2027</t>
        </is>
      </c>
      <c r="E780" t="inlineStr">
        <is>
          <t>Italy</t>
        </is>
      </c>
    </row>
    <row r="781">
      <c r="A781" t="inlineStr">
        <is>
          <t>RaMa d.o.o.,  Virovitica, Croatia</t>
        </is>
      </c>
      <c r="B781" t="inlineStr">
        <is>
          <t>Collecting Point, Trader with Storage</t>
        </is>
      </c>
      <c r="C781" t="inlineStr">
        <is>
          <t>agroVet GmbH, Enzersfeld, AT</t>
        </is>
      </c>
      <c r="D781" t="inlineStr">
        <is>
          <t>21.07.2027</t>
        </is>
      </c>
      <c r="E781" t="inlineStr">
        <is>
          <t>Croatia</t>
        </is>
      </c>
    </row>
    <row r="782">
      <c r="A782" t="inlineStr">
        <is>
          <t>Honor Packaging Technology (Huizhou) Co., Ltd.,  Huizhou City, Guangdong Province, China</t>
        </is>
      </c>
      <c r="B782" t="inlineStr">
        <is>
          <t>Processing Unit</t>
        </is>
      </c>
      <c r="C782" t="inlineStr">
        <is>
          <t>SCS Global Services, Emeryville, CA, US</t>
        </is>
      </c>
      <c r="D782" t="inlineStr">
        <is>
          <t>21.07.2027</t>
        </is>
      </c>
      <c r="E782" t="inlineStr">
        <is>
          <t>China</t>
        </is>
      </c>
    </row>
    <row r="783">
      <c r="A783" t="inlineStr">
        <is>
          <t>Shandong Shangjia Renewable Resources Technology Co., Ltd.,  Dongying City, Shandong Province, China</t>
        </is>
      </c>
      <c r="B783" t="inlineStr">
        <is>
          <t>Collecting Point, Processing Unit, Trader with Storage</t>
        </is>
      </c>
      <c r="C783" t="inlineStr">
        <is>
          <t>SCS Global Services, Emeryville, CA, US</t>
        </is>
      </c>
      <c r="D783" t="inlineStr">
        <is>
          <t>21.07.2027</t>
        </is>
      </c>
      <c r="E783" t="inlineStr">
        <is>
          <t>China</t>
        </is>
      </c>
    </row>
    <row r="784">
      <c r="A784" t="inlineStr">
        <is>
          <t>Hankook Tire &amp; Technology Co., Ltd. (Tennessee Plant),  Clarksville, United States</t>
        </is>
      </c>
      <c r="B784" t="inlineStr">
        <is>
          <t>Processing Unit</t>
        </is>
      </c>
      <c r="C784" t="inlineStr">
        <is>
          <t>Control Union Certifications Germany GmbH, Berlin, DE</t>
        </is>
      </c>
      <c r="D784" t="inlineStr">
        <is>
          <t>21.07.2027</t>
        </is>
      </c>
      <c r="E784" t="inlineStr">
        <is>
          <t>United States</t>
        </is>
      </c>
    </row>
    <row r="785">
      <c r="A785" t="inlineStr">
        <is>
          <t>LA-UR Kft.,  Tiszaszentimre, Hungary</t>
        </is>
      </c>
      <c r="B785" t="inlineStr">
        <is>
          <t>First Gathering Point, Trader, Warehouse</t>
        </is>
      </c>
      <c r="C785" t="inlineStr">
        <is>
          <t>Control Union Certifications Germany GmbH, Berlin, DE</t>
        </is>
      </c>
      <c r="D785" t="inlineStr">
        <is>
          <t>21.07.2027</t>
        </is>
      </c>
      <c r="E785" t="inlineStr">
        <is>
          <t>Hungary</t>
        </is>
      </c>
    </row>
    <row r="786">
      <c r="A786" t="inlineStr">
        <is>
          <t>Agri Trade &amp; Logistics d.o.o.,  Ljubljana, Slovenia</t>
        </is>
      </c>
      <c r="B786" t="inlineStr">
        <is>
          <t>First Gathering Point, Trader</t>
        </is>
      </c>
      <c r="C786" t="inlineStr">
        <is>
          <t>United Registrar of Systems Polska Sp. z o.o., Wrocław, PL</t>
        </is>
      </c>
      <c r="D786" t="inlineStr">
        <is>
          <t>21.07.2027</t>
        </is>
      </c>
      <c r="E786" t="inlineStr">
        <is>
          <t>Slovenia</t>
        </is>
      </c>
    </row>
    <row r="787">
      <c r="A787" t="inlineStr">
        <is>
          <t>SOCAR Trading Gas &amp; Power SARL,  Luxembourg, Luxembourg</t>
        </is>
      </c>
      <c r="B787" t="inlineStr">
        <is>
          <t>Trader with Storage</t>
        </is>
      </c>
      <c r="C787" t="inlineStr">
        <is>
          <t>BM Certification, Riga, LV</t>
        </is>
      </c>
      <c r="D787" t="inlineStr">
        <is>
          <t>21.07.2027</t>
        </is>
      </c>
      <c r="E787" t="inlineStr">
        <is>
          <t>Luxembourg</t>
        </is>
      </c>
    </row>
    <row r="788">
      <c r="A788" t="inlineStr">
        <is>
          <t>YONG ZHOU CO-PROSPER RUBBER PRODUCTS CO.,LTD,  Yongzhou, China</t>
        </is>
      </c>
      <c r="B788" t="inlineStr">
        <is>
          <t>Processing Unit</t>
        </is>
      </c>
      <c r="C788" t="inlineStr">
        <is>
          <t>CTI Certification Co. Ltd, Shenzhen, CN</t>
        </is>
      </c>
      <c r="D788" t="inlineStr">
        <is>
          <t>21.07.2027</t>
        </is>
      </c>
      <c r="E788" t="inlineStr">
        <is>
          <t>China</t>
        </is>
      </c>
    </row>
    <row r="789">
      <c r="A789" t="inlineStr">
        <is>
          <t>Oval LLC,  Vinnytsia, Ukraine</t>
        </is>
      </c>
      <c r="B789" t="inlineStr">
        <is>
          <t>First Gathering Point, Trader with Storage</t>
        </is>
      </c>
      <c r="C789" t="inlineStr">
        <is>
          <t>SGS Germany GmbH, Emstek, DE</t>
        </is>
      </c>
      <c r="D789" t="inlineStr">
        <is>
          <t>21.07.2027</t>
        </is>
      </c>
      <c r="E789" t="inlineStr">
        <is>
          <t>Ukraine</t>
        </is>
      </c>
    </row>
    <row r="790">
      <c r="A790" t="inlineStr">
        <is>
          <t>GRAINER LLC,  Kyiv, Ukraine</t>
        </is>
      </c>
      <c r="B790" t="inlineStr">
        <is>
          <t>Trader</t>
        </is>
      </c>
      <c r="C790" t="inlineStr">
        <is>
          <t>BM Certification, Riga, LV</t>
        </is>
      </c>
      <c r="D790" t="inlineStr">
        <is>
          <t>21.07.2027</t>
        </is>
      </c>
      <c r="E790" t="inlineStr">
        <is>
          <t>Ukraine</t>
        </is>
      </c>
    </row>
    <row r="791">
      <c r="A791" t="inlineStr">
        <is>
          <t>MIGASA SPECIALTY OILS, S.L,  Pegalajar, Spain</t>
        </is>
      </c>
      <c r="B791" t="inlineStr">
        <is>
          <t>Point of Origin</t>
        </is>
      </c>
      <c r="C791" t="inlineStr">
        <is>
          <t>Amspec Iberia SL, Vilagarcia de Arousa-Pontevedra, ES</t>
        </is>
      </c>
      <c r="D791" t="inlineStr">
        <is>
          <t>21.07.2027</t>
        </is>
      </c>
      <c r="E791" t="inlineStr">
        <is>
          <t>Spain</t>
        </is>
      </c>
    </row>
    <row r="792">
      <c r="A792" t="inlineStr">
        <is>
          <t>Rifra Masterbatches SpA,  Molinetto di Mazzano, Italy</t>
        </is>
      </c>
      <c r="B792" t="inlineStr">
        <is>
          <t>Processing Unit</t>
        </is>
      </c>
      <c r="C792" t="inlineStr">
        <is>
          <t>IIP S.r.l., Monza, IT</t>
        </is>
      </c>
      <c r="D792" t="inlineStr">
        <is>
          <t>20.07.2027</t>
        </is>
      </c>
      <c r="E792" t="inlineStr">
        <is>
          <t>Italy</t>
        </is>
      </c>
    </row>
    <row r="793">
      <c r="A793" t="inlineStr">
        <is>
          <t>RAYFON INTERNATIONAL GROUP PTE. LTD.,  Puyang City, Henan Province, China</t>
        </is>
      </c>
      <c r="B793" t="inlineStr">
        <is>
          <t>Trader</t>
        </is>
      </c>
      <c r="C793" t="inlineStr">
        <is>
          <t>SCS Global Services, Emeryville, CA, US</t>
        </is>
      </c>
      <c r="D793" t="inlineStr">
        <is>
          <t>20.07.2027</t>
        </is>
      </c>
      <c r="E793" t="inlineStr">
        <is>
          <t>China</t>
        </is>
      </c>
    </row>
    <row r="794">
      <c r="A794" t="inlineStr">
        <is>
          <t>RAYFON INTERNATIONAL GROUP PTE. LTD.,  Puyang City, Henan Province, China</t>
        </is>
      </c>
      <c r="B794" t="inlineStr">
        <is>
          <t>Trader</t>
        </is>
      </c>
      <c r="C794" t="inlineStr">
        <is>
          <t>SCS Global Services, Emeryville, CA, US</t>
        </is>
      </c>
      <c r="D794" t="inlineStr">
        <is>
          <t>20.07.2027</t>
        </is>
      </c>
      <c r="E794" t="inlineStr">
        <is>
          <t>China</t>
        </is>
      </c>
    </row>
    <row r="795">
      <c r="A795" t="inlineStr">
        <is>
          <t>ZHUOCHUANG INDUSTRIAL CO., LIMITED,  Guangzhou City, Guangdong Province, China</t>
        </is>
      </c>
      <c r="B795" t="inlineStr">
        <is>
          <t>Trader</t>
        </is>
      </c>
      <c r="C795" t="inlineStr">
        <is>
          <t>RINA Services S.p.A., Genova, IT</t>
        </is>
      </c>
      <c r="D795" t="inlineStr">
        <is>
          <t>20.07.2027</t>
        </is>
      </c>
      <c r="E795" t="inlineStr">
        <is>
          <t>China</t>
        </is>
      </c>
    </row>
    <row r="796">
      <c r="A796" t="inlineStr">
        <is>
          <t>Xatziandronis Antonios and Son General Partnership,  Athens, Aiginio Pierias, Greece</t>
        </is>
      </c>
      <c r="B796" t="inlineStr">
        <is>
          <t>Collecting Point</t>
        </is>
      </c>
      <c r="C796" t="inlineStr">
        <is>
          <t>Eurocert SA, Metamorfosi, Athens, GR</t>
        </is>
      </c>
      <c r="D796" t="inlineStr">
        <is>
          <t>20.07.2027</t>
        </is>
      </c>
      <c r="E796" t="inlineStr">
        <is>
          <t>Greece</t>
        </is>
      </c>
    </row>
    <row r="797">
      <c r="A797" t="inlineStr">
        <is>
          <t>AKAN NEBATİ YAĞ İNŞAAT TAAHHÜT SANAYİ VE TİCARET A.Ş,  izmir, Türkiye</t>
        </is>
      </c>
      <c r="B797" t="inlineStr">
        <is>
          <t>Collecting Point, Processing Unit, Trader, Point of Origin</t>
        </is>
      </c>
      <c r="C797" t="inlineStr">
        <is>
          <t>Trans Certification and Inspection Sdn Bhd, Kuantan, MY</t>
        </is>
      </c>
      <c r="D797" t="inlineStr">
        <is>
          <t>20.07.2027</t>
        </is>
      </c>
      <c r="E797" t="inlineStr">
        <is>
          <t>Türkiye</t>
        </is>
      </c>
    </row>
    <row r="798">
      <c r="A798" t="inlineStr">
        <is>
          <t>Gestion Ecologica de Residuos Avalon (GERA), S.L.,  Chauchina, Granada, Spain</t>
        </is>
      </c>
      <c r="B798" t="inlineStr">
        <is>
          <t>Collecting Point</t>
        </is>
      </c>
      <c r="C798" t="inlineStr">
        <is>
          <t>RINA Services S.p.A., Genova, IT</t>
        </is>
      </c>
      <c r="D798" t="inlineStr">
        <is>
          <t>20.07.2027</t>
        </is>
      </c>
      <c r="E798" t="inlineStr">
        <is>
          <t>Spain</t>
        </is>
      </c>
    </row>
    <row r="799">
      <c r="A799" t="inlineStr">
        <is>
          <t>Hubei Yunjing Biotechnology Co., Ltd.,  Ezhou City, China</t>
        </is>
      </c>
      <c r="B799" t="inlineStr">
        <is>
          <t>Collecting Point, Trader with Storage</t>
        </is>
      </c>
      <c r="C799" t="inlineStr">
        <is>
          <t>RINA Services S.p.A., Genova, IT</t>
        </is>
      </c>
      <c r="D799" t="inlineStr">
        <is>
          <t>20.07.2027</t>
        </is>
      </c>
      <c r="E799" t="inlineStr">
        <is>
          <t>China</t>
        </is>
      </c>
    </row>
    <row r="800">
      <c r="A800" t="inlineStr">
        <is>
          <t>Bulpro 2004 LTD.,  Sofia, Bulgaria</t>
        </is>
      </c>
      <c r="B800" t="inlineStr">
        <is>
          <t>Trader</t>
        </is>
      </c>
      <c r="C800" t="inlineStr">
        <is>
          <t>RINA Services S.p.A., Genova, IT</t>
        </is>
      </c>
      <c r="D800" t="inlineStr">
        <is>
          <t>20.07.2027</t>
        </is>
      </c>
      <c r="E800" t="inlineStr">
        <is>
          <t>Bulgaria</t>
        </is>
      </c>
    </row>
    <row r="801">
      <c r="A801" t="inlineStr">
        <is>
          <t>Shandong Ruigang Energy Co., Ltd.,  Dongying City, Shandong Province,, China</t>
        </is>
      </c>
      <c r="B801" t="inlineStr">
        <is>
          <t>Trader</t>
        </is>
      </c>
      <c r="C801" t="inlineStr">
        <is>
          <t>RINA Services S.p.A., Genova, IT</t>
        </is>
      </c>
      <c r="D801" t="inlineStr">
        <is>
          <t>20.07.2027</t>
        </is>
      </c>
      <c r="E801" t="inlineStr">
        <is>
          <t>China</t>
        </is>
      </c>
    </row>
    <row r="802">
      <c r="A802" t="inlineStr">
        <is>
          <t>BrüggemannAlcohol Heilbronn GmbH,  Heilbronn, Germany</t>
        </is>
      </c>
      <c r="B802" t="inlineStr">
        <is>
          <t>Processing Unit, Trader with Storage</t>
        </is>
      </c>
      <c r="C802" t="inlineStr">
        <is>
          <t>SGS Germany GmbH, Emstek, DE</t>
        </is>
      </c>
      <c r="D802" t="inlineStr">
        <is>
          <t>20.07.2027</t>
        </is>
      </c>
      <c r="E802" t="inlineStr">
        <is>
          <t>Germany</t>
        </is>
      </c>
    </row>
    <row r="803">
      <c r="A803" t="inlineStr">
        <is>
          <t>Lukoil Bulgaria ltd.,  Sofia, Bulgaria</t>
        </is>
      </c>
      <c r="B803" t="inlineStr">
        <is>
          <t>Trader with Storage</t>
        </is>
      </c>
      <c r="C803" t="inlineStr">
        <is>
          <t>Bureau Veritas Polska Sp. z o.o., Warsaw, PL</t>
        </is>
      </c>
      <c r="D803" t="inlineStr">
        <is>
          <t>20.07.2027</t>
        </is>
      </c>
      <c r="E803" t="inlineStr">
        <is>
          <t>Bulgaria</t>
        </is>
      </c>
    </row>
    <row r="804">
      <c r="A804" t="inlineStr">
        <is>
          <t>Paraguay Green Oil Research &amp; Development S.A.,  San Lorenzo, Asuncion, Paraguay</t>
        </is>
      </c>
      <c r="B804" t="inlineStr">
        <is>
          <t>Processing Unit, Trader with Storage</t>
        </is>
      </c>
      <c r="C804" t="inlineStr">
        <is>
          <t>Control Union Poland Sp. z o.o., Zielona Gora, PL</t>
        </is>
      </c>
      <c r="D804" t="inlineStr">
        <is>
          <t>20.07.2027</t>
        </is>
      </c>
      <c r="E804" t="inlineStr">
        <is>
          <t>Paraguay</t>
        </is>
      </c>
    </row>
    <row r="805">
      <c r="A805" t="inlineStr">
        <is>
          <t>Harvesta Renewable,  PASIR GUDANG, Malaysia</t>
        </is>
      </c>
      <c r="B805" t="inlineStr">
        <is>
          <t>Collecting Point, Trader with Storage</t>
        </is>
      </c>
      <c r="C805" t="inlineStr">
        <is>
          <t>Trans Certification and Inspection Sdn Bhd, Kuantan, MY</t>
        </is>
      </c>
      <c r="D805" t="inlineStr">
        <is>
          <t>20.07.2027</t>
        </is>
      </c>
      <c r="E805" t="inlineStr">
        <is>
          <t>Malaysia</t>
        </is>
      </c>
    </row>
    <row r="806">
      <c r="A806" t="inlineStr">
        <is>
          <t>PLASTICAEN,  ROTS, France</t>
        </is>
      </c>
      <c r="B806" t="inlineStr">
        <is>
          <t>Final Product Refinement, Trader with Storage</t>
        </is>
      </c>
      <c r="C806" t="inlineStr">
        <is>
          <t>Bureau Veritas Polska Sp. z o.o., Warsaw, PL</t>
        </is>
      </c>
      <c r="D806" t="inlineStr">
        <is>
          <t>20.07.2027</t>
        </is>
      </c>
      <c r="E806" t="inlineStr">
        <is>
          <t>France</t>
        </is>
      </c>
    </row>
    <row r="807">
      <c r="A807" t="inlineStr">
        <is>
          <t>JFE Brindisi s.r.l,  Brindisi, Italy</t>
        </is>
      </c>
      <c r="B807" t="inlineStr">
        <is>
          <t>Processing Unit</t>
        </is>
      </c>
      <c r="C807" t="inlineStr">
        <is>
          <t>Bureau Veritas Polska Sp. z o.o., Warsaw, PL</t>
        </is>
      </c>
      <c r="D807" t="inlineStr">
        <is>
          <t>20.07.2027</t>
        </is>
      </c>
      <c r="E807" t="inlineStr">
        <is>
          <t>Italy</t>
        </is>
      </c>
    </row>
    <row r="808">
      <c r="A808" t="inlineStr">
        <is>
          <t>Pesticid EOOD,  Shumen, Bulgaria</t>
        </is>
      </c>
      <c r="B808" t="inlineStr">
        <is>
          <t>First Gathering Point, Trader with Storage</t>
        </is>
      </c>
      <c r="C808" t="inlineStr">
        <is>
          <t>Baltic Control Certification, Albertslund, DK</t>
        </is>
      </c>
      <c r="D808" t="inlineStr">
        <is>
          <t>20.07.2027</t>
        </is>
      </c>
      <c r="E808" t="inlineStr">
        <is>
          <t>Bulgaria</t>
        </is>
      </c>
    </row>
    <row r="809">
      <c r="A809" t="inlineStr">
        <is>
          <t>EAST WEST GREECE,  NEA RAIDESTOS, Greece</t>
        </is>
      </c>
      <c r="B809" t="inlineStr">
        <is>
          <t>Collecting Point</t>
        </is>
      </c>
      <c r="C809" t="inlineStr">
        <is>
          <t>QMSCERT S.A., Pylaia, Thessaloniki, GR</t>
        </is>
      </c>
      <c r="D809" t="inlineStr">
        <is>
          <t>20.07.2027</t>
        </is>
      </c>
      <c r="E809" t="inlineStr">
        <is>
          <t>Greece</t>
        </is>
      </c>
    </row>
    <row r="810">
      <c r="A810" t="inlineStr">
        <is>
          <t>Oleificio Zucchi Spa,  Cremona, Italy</t>
        </is>
      </c>
      <c r="B810" t="inlineStr">
        <is>
          <t>Processing Unit, Trader with Storage</t>
        </is>
      </c>
      <c r="C810" t="inlineStr">
        <is>
          <t>CSQA Certificazioni Srl, Thiene, IT</t>
        </is>
      </c>
      <c r="D810" t="inlineStr">
        <is>
          <t>20.07.2027</t>
        </is>
      </c>
      <c r="E810" t="inlineStr">
        <is>
          <t>Italy</t>
        </is>
      </c>
    </row>
    <row r="811">
      <c r="A811" t="inlineStr">
        <is>
          <t>Mitsui &amp; Co. Energy Trading Singapore,  Singapore, Singapore</t>
        </is>
      </c>
      <c r="B811" t="inlineStr">
        <is>
          <t>Trader with Storage</t>
        </is>
      </c>
      <c r="C811" t="inlineStr">
        <is>
          <t>Control Union Certifications Germany GmbH, Berlin, DE</t>
        </is>
      </c>
      <c r="D811" t="inlineStr">
        <is>
          <t>20.07.2027</t>
        </is>
      </c>
      <c r="E811" t="inlineStr">
        <is>
          <t>Singapore</t>
        </is>
      </c>
    </row>
    <row r="812">
      <c r="A812" t="inlineStr">
        <is>
          <t>Mitsui &amp; Co. Energy Trading Singapore,  Singapore, Singapore</t>
        </is>
      </c>
      <c r="B812" t="inlineStr">
        <is>
          <t>Trader with Storage</t>
        </is>
      </c>
      <c r="C812" t="inlineStr">
        <is>
          <t>Control Union Certifications Germany GmbH, Berlin, DE</t>
        </is>
      </c>
      <c r="D812" t="inlineStr">
        <is>
          <t>20.07.2027</t>
        </is>
      </c>
      <c r="E812" t="inlineStr">
        <is>
          <t>Singapore</t>
        </is>
      </c>
    </row>
    <row r="813">
      <c r="A813" t="inlineStr">
        <is>
          <t>Mitsui &amp; Co. Energy Trading Singapore,  Singapore, Singapore</t>
        </is>
      </c>
      <c r="B813" t="inlineStr">
        <is>
          <t>Trader with Storage, Proof of Compliance Trader, Biomarine Fuel Operator</t>
        </is>
      </c>
      <c r="C813" t="inlineStr">
        <is>
          <t>Control Union Certifications Germany GmbH, Berlin, DE</t>
        </is>
      </c>
      <c r="D813" t="inlineStr">
        <is>
          <t>20.07.2027</t>
        </is>
      </c>
      <c r="E813" t="inlineStr">
        <is>
          <t>Singapore</t>
        </is>
      </c>
    </row>
    <row r="814">
      <c r="A814" t="inlineStr">
        <is>
          <t>Euroenergo España S.L.,  Tarragona, Spain</t>
        </is>
      </c>
      <c r="B814" t="inlineStr">
        <is>
          <t>Warehouse</t>
        </is>
      </c>
      <c r="C814" t="inlineStr">
        <is>
          <t>PT Intertek Utama Services, Jakarta, ID</t>
        </is>
      </c>
      <c r="D814" t="inlineStr">
        <is>
          <t>20.07.2027</t>
        </is>
      </c>
      <c r="E814" t="inlineStr">
        <is>
          <t>Spain</t>
        </is>
      </c>
    </row>
    <row r="815">
      <c r="A815" t="inlineStr">
        <is>
          <t>Euroenergo España S.L.,  Tarragona, Spain</t>
        </is>
      </c>
      <c r="B815" t="inlineStr">
        <is>
          <t>Warehouse</t>
        </is>
      </c>
      <c r="C815" t="inlineStr">
        <is>
          <t>PT Intertek Utama Services, Jakarta, ID</t>
        </is>
      </c>
      <c r="D815" t="inlineStr">
        <is>
          <t>20.07.2027</t>
        </is>
      </c>
      <c r="E815" t="inlineStr">
        <is>
          <t>Spain</t>
        </is>
      </c>
    </row>
    <row r="816">
      <c r="A816" t="inlineStr">
        <is>
          <t>Xin Dong Optical (Jiang Xi) Manufactory Ltd.,  YingtanCity, China</t>
        </is>
      </c>
      <c r="B816" t="inlineStr">
        <is>
          <t>Processing Unit</t>
        </is>
      </c>
      <c r="C816" t="inlineStr">
        <is>
          <t>PT Intertek Utama Services, Jakarta, ID</t>
        </is>
      </c>
      <c r="D816" t="inlineStr">
        <is>
          <t>20.07.2027</t>
        </is>
      </c>
      <c r="E816" t="inlineStr">
        <is>
          <t>China</t>
        </is>
      </c>
    </row>
    <row r="817">
      <c r="A817" t="inlineStr">
        <is>
          <t>Smeg,  Guastalla (Re), Italy</t>
        </is>
      </c>
      <c r="B817" t="inlineStr">
        <is>
          <t>Trader with Storage</t>
        </is>
      </c>
      <c r="C817" t="inlineStr">
        <is>
          <t>RINA Services S.p.A., Genova, IT</t>
        </is>
      </c>
      <c r="D817" t="inlineStr">
        <is>
          <t>20.07.2027</t>
        </is>
      </c>
      <c r="E817" t="inlineStr">
        <is>
          <t>Italy</t>
        </is>
      </c>
    </row>
    <row r="818">
      <c r="A818" t="inlineStr">
        <is>
          <t>Gasum Oyj,  Espoo, Finland</t>
        </is>
      </c>
      <c r="B818" t="inlineStr">
        <is>
          <t>Trader</t>
        </is>
      </c>
      <c r="C818" t="inlineStr">
        <is>
          <t>DEKRA Certification B.V., Arnhem, NL</t>
        </is>
      </c>
      <c r="D818" t="inlineStr">
        <is>
          <t>20.07.2027</t>
        </is>
      </c>
      <c r="E818" t="inlineStr">
        <is>
          <t>Finland</t>
        </is>
      </c>
    </row>
    <row r="819">
      <c r="A819" t="inlineStr">
        <is>
          <t>Linergy Ltd,  Dungannon, The United Kingdom</t>
        </is>
      </c>
      <c r="B819" t="inlineStr">
        <is>
          <t>Point of Origin</t>
        </is>
      </c>
      <c r="C819" t="inlineStr">
        <is>
          <t>SGS Germany GmbH, Emstek, DE</t>
        </is>
      </c>
      <c r="D819" t="inlineStr">
        <is>
          <t>20.07.2027</t>
        </is>
      </c>
      <c r="E819" t="inlineStr">
        <is>
          <t>The United Kingdom</t>
        </is>
      </c>
    </row>
    <row r="820">
      <c r="A820" t="inlineStr">
        <is>
          <t>Bamberger Polymers (Europe) B.V.,  Breda, The Netherlands</t>
        </is>
      </c>
      <c r="B820" t="inlineStr">
        <is>
          <t>Trader with Storage</t>
        </is>
      </c>
      <c r="C820" t="inlineStr">
        <is>
          <t>SGS Germany GmbH, Emstek, DE</t>
        </is>
      </c>
      <c r="D820" t="inlineStr">
        <is>
          <t>20.07.2027</t>
        </is>
      </c>
      <c r="E820" t="inlineStr">
        <is>
          <t>The Netherlands</t>
        </is>
      </c>
    </row>
    <row r="821">
      <c r="A821" t="inlineStr">
        <is>
          <t>VIVA ENERGY AUSTRALIA,  Melbourne, Australia</t>
        </is>
      </c>
      <c r="B821" t="inlineStr">
        <is>
          <t>Trader with Storage</t>
        </is>
      </c>
      <c r="C821" t="inlineStr">
        <is>
          <t>SGS Germany GmbH, Emstek, DE</t>
        </is>
      </c>
      <c r="D821" t="inlineStr">
        <is>
          <t>20.07.2027</t>
        </is>
      </c>
      <c r="E821" t="inlineStr">
        <is>
          <t>Australia</t>
        </is>
      </c>
    </row>
    <row r="822">
      <c r="A822" t="inlineStr">
        <is>
          <t>Crasus Chemical Inc.,  Oita city, Oita, Japan</t>
        </is>
      </c>
      <c r="B822" t="inlineStr">
        <is>
          <t>Trader with Storage, Processing Unit</t>
        </is>
      </c>
      <c r="C822" t="inlineStr">
        <is>
          <t>SGS Germany GmbH, Emstek, DE</t>
        </is>
      </c>
      <c r="D822" t="inlineStr">
        <is>
          <t>20.07.2027</t>
        </is>
      </c>
      <c r="E822" t="inlineStr">
        <is>
          <t>Japan</t>
        </is>
      </c>
    </row>
    <row r="823">
      <c r="A823" t="inlineStr">
        <is>
          <t>Volyn-Zerno-Product,  Rovantsi, Ukraine</t>
        </is>
      </c>
      <c r="B823" t="inlineStr">
        <is>
          <t>First Gathering Point, Trader with Storage</t>
        </is>
      </c>
      <c r="C823" t="inlineStr">
        <is>
          <t>United Registrar of Systems Polska Sp. z o.o., Wrocław, PL</t>
        </is>
      </c>
      <c r="D823" t="inlineStr">
        <is>
          <t>20.07.2027</t>
        </is>
      </c>
      <c r="E823" t="inlineStr">
        <is>
          <t>Ukraine</t>
        </is>
      </c>
    </row>
    <row r="824">
      <c r="A824" t="inlineStr">
        <is>
          <t>DUMAHA LIMITED,  Nicosia, Cyprus</t>
        </is>
      </c>
      <c r="B824" t="inlineStr">
        <is>
          <t>First Gathering Point, Trader</t>
        </is>
      </c>
      <c r="C824" t="inlineStr">
        <is>
          <t>United Registrar of Systems Polska Sp. z o.o., Wrocław, PL</t>
        </is>
      </c>
      <c r="D824" t="inlineStr">
        <is>
          <t>20.07.2027</t>
        </is>
      </c>
      <c r="E824" t="inlineStr">
        <is>
          <t>Cyprus</t>
        </is>
      </c>
    </row>
    <row r="825">
      <c r="A825" t="inlineStr">
        <is>
          <t>Shijiazhuang Rongda Renewable Resources Co., Ltd.,  Shijiazhuang City, Hebei Province,, China</t>
        </is>
      </c>
      <c r="B825" t="inlineStr">
        <is>
          <t>Collecting Point, Trader with Storage</t>
        </is>
      </c>
      <c r="C825" t="inlineStr">
        <is>
          <t>China Standard Conformity Assessment Co. Ltd, Beijing, CN</t>
        </is>
      </c>
      <c r="D825" t="inlineStr">
        <is>
          <t>20.07.2027</t>
        </is>
      </c>
      <c r="E825" t="inlineStr">
        <is>
          <t>China</t>
        </is>
      </c>
    </row>
    <row r="826">
      <c r="A826" t="inlineStr">
        <is>
          <t>Managro Grains MCO,  Galati, Galati county, Romania</t>
        </is>
      </c>
      <c r="B826" t="inlineStr">
        <is>
          <t>First Gathering Point, Trader</t>
        </is>
      </c>
      <c r="C826" t="inlineStr">
        <is>
          <t>SRAC Cert SRL, Bucharest, RO</t>
        </is>
      </c>
      <c r="D826" t="inlineStr">
        <is>
          <t>20.07.2027</t>
        </is>
      </c>
      <c r="E826" t="inlineStr">
        <is>
          <t>Romania</t>
        </is>
      </c>
    </row>
    <row r="827">
      <c r="A827" t="inlineStr">
        <is>
          <t>Equinor ASA,  Stavanger, Norway</t>
        </is>
      </c>
      <c r="B827" t="inlineStr">
        <is>
          <t>Trader with Storage</t>
        </is>
      </c>
      <c r="C827" t="inlineStr">
        <is>
          <t>SGS Germany GmbH, Emstek, DE</t>
        </is>
      </c>
      <c r="D827" t="inlineStr">
        <is>
          <t>20.07.2027</t>
        </is>
      </c>
      <c r="E827" t="inlineStr">
        <is>
          <t>Norway</t>
        </is>
      </c>
    </row>
    <row r="828">
      <c r="A828" t="inlineStr">
        <is>
          <t>Equinor ASA,  Stavanger, Norway</t>
        </is>
      </c>
      <c r="B828" t="inlineStr">
        <is>
          <t>Trader with Storage</t>
        </is>
      </c>
      <c r="C828" t="inlineStr">
        <is>
          <t>SGS Germany GmbH, Emstek, DE</t>
        </is>
      </c>
      <c r="D828" t="inlineStr">
        <is>
          <t>20.07.2027</t>
        </is>
      </c>
      <c r="E828" t="inlineStr">
        <is>
          <t>Norway</t>
        </is>
      </c>
    </row>
    <row r="829">
      <c r="A829" t="inlineStr">
        <is>
          <t>Iberol - Sociedade Ibérica de Biocombustíveis e Oleaginosas, S.A.,  Sobralinho, Portugal</t>
        </is>
      </c>
      <c r="B829" t="inlineStr">
        <is>
          <t>Point of Origin, Processing Unit, Trader with Storage</t>
        </is>
      </c>
      <c r="C829" t="inlineStr">
        <is>
          <t>Control Union Poland Sp. z o.o., Zielona Gora, PL</t>
        </is>
      </c>
      <c r="D829" t="inlineStr">
        <is>
          <t>20.07.2027</t>
        </is>
      </c>
      <c r="E829" t="inlineStr">
        <is>
          <t>Portugal</t>
        </is>
      </c>
    </row>
    <row r="830">
      <c r="A830" t="inlineStr">
        <is>
          <t>Idemitsu International (Asia) Pte Ltd,  Singapore, Singapore</t>
        </is>
      </c>
      <c r="B830" t="inlineStr">
        <is>
          <t>Trader</t>
        </is>
      </c>
      <c r="C830" t="inlineStr">
        <is>
          <t>Control Union Certifications Germany GmbH, Berlin, DE</t>
        </is>
      </c>
      <c r="D830" t="inlineStr">
        <is>
          <t>20.07.2027</t>
        </is>
      </c>
      <c r="E830" t="inlineStr">
        <is>
          <t>Singapore</t>
        </is>
      </c>
    </row>
    <row r="831">
      <c r="A831" t="inlineStr">
        <is>
          <t>Trade Agro Union SA,  Zurich, Switzerland</t>
        </is>
      </c>
      <c r="B831" t="inlineStr">
        <is>
          <t>First Gathering Point, Trader</t>
        </is>
      </c>
      <c r="C831" t="inlineStr">
        <is>
          <t>United Registrar of Systems Polska Sp. z o.o., Wrocław, PL</t>
        </is>
      </c>
      <c r="D831" t="inlineStr">
        <is>
          <t>20.07.2027</t>
        </is>
      </c>
      <c r="E831" t="inlineStr">
        <is>
          <t>Switzerland</t>
        </is>
      </c>
    </row>
    <row r="832">
      <c r="A832" t="inlineStr">
        <is>
          <t>TOSOH (SHANGHAI) CO.,LTD,  Changning, SHANGHAI, China</t>
        </is>
      </c>
      <c r="B832" t="inlineStr">
        <is>
          <t>Trader</t>
        </is>
      </c>
      <c r="C832" t="inlineStr">
        <is>
          <t>SGS Germany GmbH, Emstek, DE</t>
        </is>
      </c>
      <c r="D832" t="inlineStr">
        <is>
          <t>20.07.2027</t>
        </is>
      </c>
      <c r="E832" t="inlineStr">
        <is>
          <t>China</t>
        </is>
      </c>
    </row>
    <row r="833">
      <c r="A833" t="inlineStr">
        <is>
          <t>Kraton Chemical LLC,  Savannah, United States</t>
        </is>
      </c>
      <c r="B833" t="inlineStr">
        <is>
          <t>Collecting Point, Point of Origin, Processing Unit</t>
        </is>
      </c>
      <c r="C833" t="inlineStr">
        <is>
          <t>TÜV SÜD Industrie Service GmbH, München, DE</t>
        </is>
      </c>
      <c r="D833" t="inlineStr">
        <is>
          <t>20.07.2027</t>
        </is>
      </c>
      <c r="E833" t="inlineStr">
        <is>
          <t>United States</t>
        </is>
      </c>
    </row>
    <row r="834">
      <c r="A834" t="inlineStr">
        <is>
          <t>Helios-Gastro Zrt.,  Kecskemét, Hungary</t>
        </is>
      </c>
      <c r="B834" t="inlineStr">
        <is>
          <t>Collecting Point, Trader with Storage</t>
        </is>
      </c>
      <c r="C834" t="inlineStr">
        <is>
          <t>SGS Germany GmbH, Emstek, DE</t>
        </is>
      </c>
      <c r="D834" t="inlineStr">
        <is>
          <t>20.07.2027</t>
        </is>
      </c>
      <c r="E834" t="inlineStr">
        <is>
          <t>Hungary</t>
        </is>
      </c>
    </row>
    <row r="835">
      <c r="A835" t="inlineStr">
        <is>
          <t>Evroinvest-2009 Ltd,  Yambol, Bulgaria</t>
        </is>
      </c>
      <c r="B835" t="inlineStr">
        <is>
          <t>First Gathering Point, Trader</t>
        </is>
      </c>
      <c r="C835" t="inlineStr">
        <is>
          <t>Control Union Poland Sp. z o.o., Zielona Gora, PL</t>
        </is>
      </c>
      <c r="D835" t="inlineStr">
        <is>
          <t>20.07.2027</t>
        </is>
      </c>
      <c r="E835" t="inlineStr">
        <is>
          <t>Bulgaria</t>
        </is>
      </c>
    </row>
    <row r="836">
      <c r="A836" t="inlineStr">
        <is>
          <t>MODU TRADING CO., LTD,  Youngdeungpo-gu, Seoul, The Republic of Korea</t>
        </is>
      </c>
      <c r="B836" t="inlineStr">
        <is>
          <t>Trader</t>
        </is>
      </c>
      <c r="C836" t="inlineStr">
        <is>
          <t>Control Union Certifications Germany GmbH, Berlin, DE</t>
        </is>
      </c>
      <c r="D836" t="inlineStr">
        <is>
          <t>20.07.2027</t>
        </is>
      </c>
      <c r="E836" t="inlineStr">
        <is>
          <t>The Republic of Korea</t>
        </is>
      </c>
    </row>
    <row r="837">
      <c r="A837" t="inlineStr">
        <is>
          <t>Taoyuan Refinery, Refining Business Division, CPC Corporation, Taiwan,  Taoyuan City, Taiwan (Province of China)</t>
        </is>
      </c>
      <c r="B837" t="inlineStr">
        <is>
          <t>Processing Unit</t>
        </is>
      </c>
      <c r="C837" t="inlineStr">
        <is>
          <t>Bureau Veritas Polska Sp. z o.o., Warsaw, PL</t>
        </is>
      </c>
      <c r="D837" t="inlineStr">
        <is>
          <t>20.07.2027</t>
        </is>
      </c>
      <c r="E837" t="inlineStr">
        <is>
          <t>Taiwan (Province of China)</t>
        </is>
      </c>
    </row>
    <row r="838">
      <c r="A838" t="inlineStr">
        <is>
          <t>Oasis Exim Agro FZ-LLC,  Ras Al Khaimah, The United Arab Emirates</t>
        </is>
      </c>
      <c r="B838" t="inlineStr">
        <is>
          <t>Trader with Storage</t>
        </is>
      </c>
      <c r="C838" t="inlineStr">
        <is>
          <t>Bureau Veritas Polska Sp. z o.o., Warsaw, PL</t>
        </is>
      </c>
      <c r="D838" t="inlineStr">
        <is>
          <t>20.07.2027</t>
        </is>
      </c>
      <c r="E838" t="inlineStr">
        <is>
          <t>The United Arab Emirates</t>
        </is>
      </c>
    </row>
    <row r="839">
      <c r="A839" t="inlineStr">
        <is>
          <t>ADM Bulgaria Trading EOOD,  Sofia, Triaditsa Region, Bulgaria</t>
        </is>
      </c>
      <c r="B839" t="inlineStr">
        <is>
          <t>First Gathering Point, Trader</t>
        </is>
      </c>
      <c r="C839" t="inlineStr">
        <is>
          <t>Control Union Certifications Germany GmbH, Berlin, DE</t>
        </is>
      </c>
      <c r="D839" t="inlineStr">
        <is>
          <t>19.07.2027</t>
        </is>
      </c>
      <c r="E839" t="inlineStr">
        <is>
          <t>Bulgaria</t>
        </is>
      </c>
    </row>
    <row r="840">
      <c r="A840" t="inlineStr">
        <is>
          <t>DOUBLE W IMPORT AND EXPORT PTE. LTD.,  Handan, Hebei, China</t>
        </is>
      </c>
      <c r="B840" t="inlineStr">
        <is>
          <t>Trader</t>
        </is>
      </c>
      <c r="C840" t="inlineStr">
        <is>
          <t>RINA Services S.p.A., Genova, IT</t>
        </is>
      </c>
      <c r="D840" t="inlineStr">
        <is>
          <t>19.07.2027</t>
        </is>
      </c>
      <c r="E840" t="inlineStr">
        <is>
          <t>China</t>
        </is>
      </c>
    </row>
    <row r="841">
      <c r="A841" t="inlineStr">
        <is>
          <t>Elix Polymers,  La Canonja - Tarragona, Spain</t>
        </is>
      </c>
      <c r="B841" t="inlineStr">
        <is>
          <t>Processing Unit, Warehouse</t>
        </is>
      </c>
      <c r="C841" t="inlineStr">
        <is>
          <t>Control Union Poland Sp. z o.o., Zielona Gora, PL</t>
        </is>
      </c>
      <c r="D841" t="inlineStr">
        <is>
          <t>19.07.2027</t>
        </is>
      </c>
      <c r="E841" t="inlineStr">
        <is>
          <t>Spain</t>
        </is>
      </c>
    </row>
    <row r="842">
      <c r="A842" t="inlineStr">
        <is>
          <t>Equistar Chemicals, LP,  La Porte, Texas, The United States of America</t>
        </is>
      </c>
      <c r="B842" t="inlineStr">
        <is>
          <t>Processing Unit</t>
        </is>
      </c>
      <c r="C842" t="inlineStr">
        <is>
          <t>SCS Global Services, Emeryville, CA, US</t>
        </is>
      </c>
      <c r="D842" t="inlineStr">
        <is>
          <t>19.07.2027</t>
        </is>
      </c>
      <c r="E842" t="inlineStr">
        <is>
          <t>The United States of America</t>
        </is>
      </c>
    </row>
    <row r="843">
      <c r="A843" t="inlineStr">
        <is>
          <t>Equistar Chemicals, LP,  Clinton, Iowa, The United States of America</t>
        </is>
      </c>
      <c r="B843" t="inlineStr">
        <is>
          <t>Processing Unit</t>
        </is>
      </c>
      <c r="C843" t="inlineStr">
        <is>
          <t>SCS Global Services, Emeryville, CA, US</t>
        </is>
      </c>
      <c r="D843" t="inlineStr">
        <is>
          <t>19.07.2027</t>
        </is>
      </c>
      <c r="E843" t="inlineStr">
        <is>
          <t>The United States of America</t>
        </is>
      </c>
    </row>
    <row r="844">
      <c r="A844" t="inlineStr">
        <is>
          <t>Equistar Chemicals, LP,  Westlake, Louisiana, The United States of America</t>
        </is>
      </c>
      <c r="B844" t="inlineStr">
        <is>
          <t>Processing Unit</t>
        </is>
      </c>
      <c r="C844" t="inlineStr">
        <is>
          <t>SCS Global Services, Emeryville, CA, US</t>
        </is>
      </c>
      <c r="D844" t="inlineStr">
        <is>
          <t>19.07.2027</t>
        </is>
      </c>
      <c r="E844" t="inlineStr">
        <is>
          <t>The United States of America</t>
        </is>
      </c>
    </row>
    <row r="845">
      <c r="A845" t="inlineStr">
        <is>
          <t>Goodyear S.A. (RCCE),  Colmar-Berg, Luxembourg</t>
        </is>
      </c>
      <c r="B845" t="inlineStr">
        <is>
          <t>Processing Unit</t>
        </is>
      </c>
      <c r="C845" t="inlineStr">
        <is>
          <t>DQS CFS GmbH - Deutsche Gesellschaft für Nachhaltigkeit, Frankfurt am Main, DE</t>
        </is>
      </c>
      <c r="D845" t="inlineStr">
        <is>
          <t>19.07.2027</t>
        </is>
      </c>
      <c r="E845" t="inlineStr">
        <is>
          <t>Luxembourg</t>
        </is>
      </c>
    </row>
    <row r="846">
      <c r="A846" t="inlineStr">
        <is>
          <t>KATO SANSHO CO., LTD.,  CHUO-KU, TOKYO, Japan</t>
        </is>
      </c>
      <c r="B846" t="inlineStr">
        <is>
          <t>Trader with Storage</t>
        </is>
      </c>
      <c r="C846" t="inlineStr">
        <is>
          <t>PT Intertek Utama Services, Jakarta, ID</t>
        </is>
      </c>
      <c r="D846" t="inlineStr">
        <is>
          <t>19.07.2027</t>
        </is>
      </c>
      <c r="E846" t="inlineStr">
        <is>
          <t>Japan</t>
        </is>
      </c>
    </row>
    <row r="847">
      <c r="A847" t="inlineStr">
        <is>
          <t>The Generalist,  Haarlem, The Netherlands</t>
        </is>
      </c>
      <c r="B847" t="inlineStr">
        <is>
          <t>Trader</t>
        </is>
      </c>
      <c r="C847" t="inlineStr">
        <is>
          <t>SGS Germany GmbH, Emstek, DE</t>
        </is>
      </c>
      <c r="D847" t="inlineStr">
        <is>
          <t>19.07.2027</t>
        </is>
      </c>
      <c r="E847" t="inlineStr">
        <is>
          <t>The Netherlands</t>
        </is>
      </c>
    </row>
    <row r="848">
      <c r="A848" t="inlineStr">
        <is>
          <t>The Generalist,  Haarlem, The Netherlands</t>
        </is>
      </c>
      <c r="B848" t="inlineStr">
        <is>
          <t>Trader</t>
        </is>
      </c>
      <c r="C848" t="inlineStr">
        <is>
          <t>SGS Germany GmbH, Emstek, DE</t>
        </is>
      </c>
      <c r="D848" t="inlineStr">
        <is>
          <t>19.07.2027</t>
        </is>
      </c>
      <c r="E848" t="inlineStr">
        <is>
          <t>The Netherlands</t>
        </is>
      </c>
    </row>
    <row r="849">
      <c r="A849" t="inlineStr">
        <is>
          <t>Flemløse Biogas,  Glamsbjerg, Denmark</t>
        </is>
      </c>
      <c r="B849" t="inlineStr">
        <is>
          <t>Collecting Point, First Gathering Point, Processing Unit</t>
        </is>
      </c>
      <c r="C849" t="inlineStr">
        <is>
          <t>NCS Estonia OÜ, Tallinn, EE</t>
        </is>
      </c>
      <c r="D849" t="inlineStr">
        <is>
          <t>19.07.2027</t>
        </is>
      </c>
      <c r="E849" t="inlineStr">
        <is>
          <t>Denmark</t>
        </is>
      </c>
    </row>
    <row r="850">
      <c r="A850" t="inlineStr">
        <is>
          <t>INEOS Manufacturing Deutschland GmbH,  Köln, Germany</t>
        </is>
      </c>
      <c r="B850" t="inlineStr">
        <is>
          <t>Processing Unit</t>
        </is>
      </c>
      <c r="C850" t="inlineStr">
        <is>
          <t>SCS Global Services, Emeryville, CA, US</t>
        </is>
      </c>
      <c r="D850" t="inlineStr">
        <is>
          <t>19.07.2027</t>
        </is>
      </c>
      <c r="E850" t="inlineStr">
        <is>
          <t>Germany</t>
        </is>
      </c>
    </row>
    <row r="851">
      <c r="A851" t="inlineStr">
        <is>
          <t>PT Sukses Inti Palma,  Muaro Jambi Regency, Jambi Province, Indonesia</t>
        </is>
      </c>
      <c r="B851" t="inlineStr">
        <is>
          <t>Point of Origin</t>
        </is>
      </c>
      <c r="C851" t="inlineStr">
        <is>
          <t>PT. Qualitas Sertifikasi Indonesia, Jakarta, ID</t>
        </is>
      </c>
      <c r="D851" t="inlineStr">
        <is>
          <t>19.07.2027</t>
        </is>
      </c>
      <c r="E851" t="inlineStr">
        <is>
          <t>Indonesia</t>
        </is>
      </c>
    </row>
    <row r="852">
      <c r="A852" t="inlineStr">
        <is>
          <t>PT.NIKOMAS GEMILANG,  Serang Banten, Indonesia</t>
        </is>
      </c>
      <c r="B852" t="inlineStr">
        <is>
          <t>Final Product Refinement, Processing Unit</t>
        </is>
      </c>
      <c r="C852" t="inlineStr">
        <is>
          <t>PT Intertek Utama Services, Jakarta, ID</t>
        </is>
      </c>
      <c r="D852" t="inlineStr">
        <is>
          <t>19.07.2027</t>
        </is>
      </c>
      <c r="E852" t="inlineStr">
        <is>
          <t>Indonesia</t>
        </is>
      </c>
    </row>
    <row r="853">
      <c r="A853" t="inlineStr">
        <is>
          <t>PT Sawit Nusantara Indonesia,  Kabupaten Empat Lawang, Provinsi Sumatera Selatan, Indonesia</t>
        </is>
      </c>
      <c r="B853" t="inlineStr">
        <is>
          <t>Point of Origin</t>
        </is>
      </c>
      <c r="C853" t="inlineStr">
        <is>
          <t>PT. Qualitas Sertifikasi Indonesia, Jakarta, ID</t>
        </is>
      </c>
      <c r="D853" t="inlineStr">
        <is>
          <t>19.07.2027</t>
        </is>
      </c>
      <c r="E853" t="inlineStr">
        <is>
          <t>Indonesia</t>
        </is>
      </c>
    </row>
    <row r="854">
      <c r="A854" t="inlineStr">
        <is>
          <t>PT Sawit Nusantara Indonesia,  Kabupaten Empat Lawang, Provinsi Sumatera Selatan, Indonesia</t>
        </is>
      </c>
      <c r="B854" t="inlineStr">
        <is>
          <t>Point of Origin</t>
        </is>
      </c>
      <c r="C854" t="inlineStr">
        <is>
          <t>PT. Qualitas Sertifikasi Indonesia, Jakarta, ID</t>
        </is>
      </c>
      <c r="D854" t="inlineStr">
        <is>
          <t>19.07.2027</t>
        </is>
      </c>
      <c r="E854" t="inlineStr">
        <is>
          <t>Indonesia</t>
        </is>
      </c>
    </row>
    <row r="855">
      <c r="A855" t="inlineStr">
        <is>
          <t>LINDBERG,  Aabyhoej, Denmark</t>
        </is>
      </c>
      <c r="B855" t="inlineStr">
        <is>
          <t>Processing Unit</t>
        </is>
      </c>
      <c r="C855" t="inlineStr">
        <is>
          <t>Baltic Control Certification, Albertslund, DK</t>
        </is>
      </c>
      <c r="D855" t="inlineStr">
        <is>
          <t>19.07.2027</t>
        </is>
      </c>
      <c r="E855" t="inlineStr">
        <is>
          <t>Denmark</t>
        </is>
      </c>
    </row>
    <row r="856">
      <c r="A856" t="inlineStr">
        <is>
          <t>Mitsubishi Corporation (Korea) Ltd.,  Seoul, The Republic of Korea</t>
        </is>
      </c>
      <c r="B856" t="inlineStr">
        <is>
          <t>Trader with Storage</t>
        </is>
      </c>
      <c r="C856" t="inlineStr">
        <is>
          <t>Control Union Certifications Germany GmbH, Berlin, DE</t>
        </is>
      </c>
      <c r="D856" t="inlineStr">
        <is>
          <t>19.07.2027</t>
        </is>
      </c>
      <c r="E856" t="inlineStr">
        <is>
          <t>The Republic of Korea</t>
        </is>
      </c>
    </row>
    <row r="857">
      <c r="A857" t="inlineStr">
        <is>
          <t>MCAM Manufacturing GmbH &amp; Co. KG,  Vreden, Germany</t>
        </is>
      </c>
      <c r="B857" t="inlineStr">
        <is>
          <t>Collecting Point, Point of Origin, Trader with Storage, Processing Unit</t>
        </is>
      </c>
      <c r="C857" t="inlineStr">
        <is>
          <t>DQS CFS GmbH - Deutsche Gesellschaft für Nachhaltigkeit, Frankfurt am Main, DE</t>
        </is>
      </c>
      <c r="D857" t="inlineStr">
        <is>
          <t>19.07.2027</t>
        </is>
      </c>
      <c r="E857" t="inlineStr">
        <is>
          <t>Germany</t>
        </is>
      </c>
    </row>
    <row r="858">
      <c r="A858" t="inlineStr">
        <is>
          <t>China-Base Ningbo Group Co., Ltd.,  Ningbo, Zhejiang Province, China</t>
        </is>
      </c>
      <c r="B858" t="inlineStr">
        <is>
          <t>Trader with Storage</t>
        </is>
      </c>
      <c r="C858" t="inlineStr">
        <is>
          <t>SCS Global Services, Emeryville, CA, US</t>
        </is>
      </c>
      <c r="D858" t="inlineStr">
        <is>
          <t>19.07.2027</t>
        </is>
      </c>
      <c r="E858" t="inlineStr">
        <is>
          <t>China</t>
        </is>
      </c>
    </row>
    <row r="859">
      <c r="A859" t="inlineStr">
        <is>
          <t>ELITA semenářská, a.s.,  Brno, Czech Republic</t>
        </is>
      </c>
      <c r="B859" t="inlineStr">
        <is>
          <t>First Gathering Point, Logistics Center, Trader with Storage</t>
        </is>
      </c>
      <c r="C859" t="inlineStr">
        <is>
          <t>United Registrar of Systems Polska Sp. z o.o., Wrocław, PL</t>
        </is>
      </c>
      <c r="D859" t="inlineStr">
        <is>
          <t>19.07.2027</t>
        </is>
      </c>
      <c r="E859" t="inlineStr">
        <is>
          <t>Czech Republic</t>
        </is>
      </c>
    </row>
    <row r="860">
      <c r="A860" t="inlineStr">
        <is>
          <t>Karintia Kft.,  Vasvár, Hungary</t>
        </is>
      </c>
      <c r="B860" t="inlineStr">
        <is>
          <t>First Gathering Point, Trader with Storage</t>
        </is>
      </c>
      <c r="C860" t="inlineStr">
        <is>
          <t>SGS Germany GmbH, Emstek, DE</t>
        </is>
      </c>
      <c r="D860" t="inlineStr">
        <is>
          <t>19.07.2027</t>
        </is>
      </c>
      <c r="E860" t="inlineStr">
        <is>
          <t>Hungary</t>
        </is>
      </c>
    </row>
    <row r="861">
      <c r="A861" t="inlineStr">
        <is>
          <t>MOLTECH MALAYSIA SDN. BHD.,  PELABUHAN KLANG, Malaysia</t>
        </is>
      </c>
      <c r="B861" t="inlineStr">
        <is>
          <t>Collecting Point, Trader with Storage</t>
        </is>
      </c>
      <c r="C861" t="inlineStr">
        <is>
          <t>PT Mutuagung Lestari, Depok, ID</t>
        </is>
      </c>
      <c r="D861" t="inlineStr">
        <is>
          <t>19.07.2027</t>
        </is>
      </c>
      <c r="E861" t="inlineStr">
        <is>
          <t>Malaysia</t>
        </is>
      </c>
    </row>
    <row r="862">
      <c r="A862" t="inlineStr">
        <is>
          <t>Zhongshan Meiquan Plastic Products Co., Ltd.,  Zhongshan City, Guangdong Province, China</t>
        </is>
      </c>
      <c r="B862" t="inlineStr">
        <is>
          <t>Trader with Storage, Processing Unit</t>
        </is>
      </c>
      <c r="C862" t="inlineStr">
        <is>
          <t>PT Intertek Utama Services, Jakarta, ID</t>
        </is>
      </c>
      <c r="D862" t="inlineStr">
        <is>
          <t>19.07.2027</t>
        </is>
      </c>
      <c r="E862" t="inlineStr">
        <is>
          <t>China</t>
        </is>
      </c>
    </row>
    <row r="863">
      <c r="A863" t="inlineStr">
        <is>
          <t>Damnak Atlas Oils,  Sangkat Prey Sa, Khan Dangkao, Phnom Penh, Cambodia</t>
        </is>
      </c>
      <c r="B863" t="inlineStr">
        <is>
          <t>Collecting Point, Trader with Storage</t>
        </is>
      </c>
      <c r="C863" t="inlineStr">
        <is>
          <t>Trans Certification and Inspection Sdn Bhd, Kuantan, MY</t>
        </is>
      </c>
      <c r="D863" t="inlineStr">
        <is>
          <t>19.07.2027</t>
        </is>
      </c>
      <c r="E863" t="inlineStr">
        <is>
          <t>Cambodia</t>
        </is>
      </c>
    </row>
    <row r="864">
      <c r="A864" t="inlineStr">
        <is>
          <t>Dongguan City Jingchu New Material Co., Ltd.,  Dongguan City, China</t>
        </is>
      </c>
      <c r="B864" t="inlineStr">
        <is>
          <t>Processing Unit</t>
        </is>
      </c>
      <c r="C864" t="inlineStr">
        <is>
          <t>PT Intertek Utama Services, Jakarta, ID</t>
        </is>
      </c>
      <c r="D864" t="inlineStr">
        <is>
          <t>19.07.2027</t>
        </is>
      </c>
      <c r="E864" t="inlineStr">
        <is>
          <t>China</t>
        </is>
      </c>
    </row>
    <row r="865">
      <c r="A865" t="inlineStr">
        <is>
          <t>AGRO WIJAYA INDUSTRI,  Jambi, Indonesia</t>
        </is>
      </c>
      <c r="B865" t="inlineStr">
        <is>
          <t>Point of Origin</t>
        </is>
      </c>
      <c r="C865" t="inlineStr">
        <is>
          <t>PT SBC Asia Sertifikasi, Kebumen, ID</t>
        </is>
      </c>
      <c r="D865" t="inlineStr">
        <is>
          <t>19.07.2027</t>
        </is>
      </c>
      <c r="E865" t="inlineStr">
        <is>
          <t>Indonesia</t>
        </is>
      </c>
    </row>
    <row r="866">
      <c r="A866" t="inlineStr">
        <is>
          <t>Tangshan Black Cat Carbon Black Co., Ltd.,  Tangshan City, Hebei Province, China</t>
        </is>
      </c>
      <c r="B866" t="inlineStr">
        <is>
          <t>Processing Unit</t>
        </is>
      </c>
      <c r="C866" t="inlineStr">
        <is>
          <t>CTI Certification Co. Ltd, Shenzhen, CN</t>
        </is>
      </c>
      <c r="D866" t="inlineStr">
        <is>
          <t>19.07.2027</t>
        </is>
      </c>
      <c r="E866" t="inlineStr">
        <is>
          <t>China</t>
        </is>
      </c>
    </row>
    <row r="867">
      <c r="A867" t="inlineStr">
        <is>
          <t>FILTAPOR-RESIDUOS E MANUTENCAO LDA,  Maia, Portugal</t>
        </is>
      </c>
      <c r="B867" t="inlineStr">
        <is>
          <t>Collecting Point, Trader with Storage</t>
        </is>
      </c>
      <c r="C867" t="inlineStr">
        <is>
          <t>Amspec Iberia SL, Vilagarcia de Arousa-Pontevedra, ES</t>
        </is>
      </c>
      <c r="D867" t="inlineStr">
        <is>
          <t>19.07.2027</t>
        </is>
      </c>
      <c r="E867" t="inlineStr">
        <is>
          <t>Portugal</t>
        </is>
      </c>
    </row>
    <row r="868">
      <c r="A868" t="inlineStr">
        <is>
          <t>Chin Hoe Transport Sdn. Bhd.,  Simpang Ampat,Pulau Pinang, Malaysia</t>
        </is>
      </c>
      <c r="B868" t="inlineStr">
        <is>
          <t>Point of Origin, Trader with Storage, Processing Unit</t>
        </is>
      </c>
      <c r="C868" t="inlineStr">
        <is>
          <t>Trans Certification and Inspection Sdn Bhd, Kuantan, MY</t>
        </is>
      </c>
      <c r="D868" t="inlineStr">
        <is>
          <t>19.07.2027</t>
        </is>
      </c>
      <c r="E868" t="inlineStr">
        <is>
          <t>Malaysia</t>
        </is>
      </c>
    </row>
    <row r="869">
      <c r="A869" t="inlineStr">
        <is>
          <t>Hebei Canglan Import &amp; Export Trading Co., Ltd.,  Handan, Hebei, China</t>
        </is>
      </c>
      <c r="B869" t="inlineStr">
        <is>
          <t>Trader</t>
        </is>
      </c>
      <c r="C869" t="inlineStr">
        <is>
          <t>RINA Services S.p.A., Genova, IT</t>
        </is>
      </c>
      <c r="D869" t="inlineStr">
        <is>
          <t>19.07.2027</t>
        </is>
      </c>
      <c r="E869" t="inlineStr">
        <is>
          <t>China</t>
        </is>
      </c>
    </row>
    <row r="870">
      <c r="A870" t="inlineStr">
        <is>
          <t>KRM Kunststoff Recycling Maschinen GmbH,  Kuehnsdorf, Austria</t>
        </is>
      </c>
      <c r="B870" t="inlineStr">
        <is>
          <t>Processing Unit, Trader with Storage</t>
        </is>
      </c>
      <c r="C870" t="inlineStr">
        <is>
          <t>agroVet GmbH, Enzersfeld, AT</t>
        </is>
      </c>
      <c r="D870" t="inlineStr">
        <is>
          <t>19.07.2027</t>
        </is>
      </c>
      <c r="E870" t="inlineStr">
        <is>
          <t>Austria</t>
        </is>
      </c>
    </row>
    <row r="871">
      <c r="A871" t="inlineStr">
        <is>
          <t>BENAGRO s.r.o.,  Čimelice, Czech Republic</t>
        </is>
      </c>
      <c r="B871" t="inlineStr">
        <is>
          <t>First Gathering Point, Trader</t>
        </is>
      </c>
      <c r="C871" t="inlineStr">
        <is>
          <t>Bureau Veritas Polska Sp. z o.o., Warsaw, PL</t>
        </is>
      </c>
      <c r="D871" t="inlineStr">
        <is>
          <t>19.07.2027</t>
        </is>
      </c>
      <c r="E871" t="inlineStr">
        <is>
          <t>Czech Republic</t>
        </is>
      </c>
    </row>
    <row r="872">
      <c r="A872" t="inlineStr">
        <is>
          <t>AKOULA OIL EXPORT,  SFAX, Tunisia</t>
        </is>
      </c>
      <c r="B872" t="inlineStr">
        <is>
          <t>Collecting Point, Point of Origin, Trader with Storage</t>
        </is>
      </c>
      <c r="C872" t="inlineStr">
        <is>
          <t>BM Certification, Riga, LV</t>
        </is>
      </c>
      <c r="D872" t="inlineStr">
        <is>
          <t>19.07.2027</t>
        </is>
      </c>
      <c r="E872" t="inlineStr">
        <is>
          <t>Tunisia</t>
        </is>
      </c>
    </row>
    <row r="873">
      <c r="A873" t="inlineStr">
        <is>
          <t>TESSLAGROUP,  Kyiv, Ukraine</t>
        </is>
      </c>
      <c r="B873" t="inlineStr">
        <is>
          <t>First Gathering Point, Trader with Storage</t>
        </is>
      </c>
      <c r="C873" t="inlineStr">
        <is>
          <t>Apex Genelab LLC, Odessa, UA</t>
        </is>
      </c>
      <c r="D873" t="inlineStr">
        <is>
          <t>19.07.2027</t>
        </is>
      </c>
      <c r="E873" t="inlineStr">
        <is>
          <t>Ukraine</t>
        </is>
      </c>
    </row>
    <row r="874">
      <c r="A874" t="inlineStr">
        <is>
          <t>Bio-Oils Huelva S.L.U.,  Palos de la Frontera, Spain</t>
        </is>
      </c>
      <c r="B874" t="inlineStr">
        <is>
          <t>Point of Origin, Processing Unit, Trader with Storage</t>
        </is>
      </c>
      <c r="C874" t="inlineStr">
        <is>
          <t>Control Union Poland Sp. z o.o., Zielona Gora, PL</t>
        </is>
      </c>
      <c r="D874" t="inlineStr">
        <is>
          <t>19.07.2027</t>
        </is>
      </c>
      <c r="E874" t="inlineStr">
        <is>
          <t>Spain</t>
        </is>
      </c>
    </row>
    <row r="875">
      <c r="A875" t="inlineStr">
        <is>
          <t>SSEW TECHNOLOGY SDN BHD,  LAHAD DATU, Malaysia</t>
        </is>
      </c>
      <c r="B875" t="inlineStr">
        <is>
          <t>Collecting Point, Trader with Storage</t>
        </is>
      </c>
      <c r="C875" t="inlineStr">
        <is>
          <t>SCS Global Services, Emeryville, CA, US</t>
        </is>
      </c>
      <c r="D875" t="inlineStr">
        <is>
          <t>19.07.2027</t>
        </is>
      </c>
      <c r="E875" t="inlineStr">
        <is>
          <t>Malaysia</t>
        </is>
      </c>
    </row>
    <row r="876">
      <c r="A876" t="inlineStr">
        <is>
          <t>ADM do Brasil - Rondonopolis,  Rondonópolis, Brazil</t>
        </is>
      </c>
      <c r="B876" t="inlineStr">
        <is>
          <t>Point of Origin, Trader</t>
        </is>
      </c>
      <c r="C876" t="inlineStr">
        <is>
          <t>Control Union Poland Sp. z o.o., Zielona Gora, PL</t>
        </is>
      </c>
      <c r="D876" t="inlineStr">
        <is>
          <t>19.07.2027</t>
        </is>
      </c>
      <c r="E876" t="inlineStr">
        <is>
          <t>Brazil</t>
        </is>
      </c>
    </row>
    <row r="877">
      <c r="A877" t="inlineStr">
        <is>
          <t>Trioworld Nyborg A/S,  Nyborg, Denmark</t>
        </is>
      </c>
      <c r="B877" t="inlineStr">
        <is>
          <t>Final Product Refinement, Processing Unit</t>
        </is>
      </c>
      <c r="C877" t="inlineStr">
        <is>
          <t>GUT Certifizierungsgesellschaft für Managementsysteme mbH Umweltgutachter, Berlin, DE</t>
        </is>
      </c>
      <c r="D877" t="inlineStr">
        <is>
          <t>19.07.2027</t>
        </is>
      </c>
      <c r="E877" t="inlineStr">
        <is>
          <t>Denmark</t>
        </is>
      </c>
    </row>
    <row r="878">
      <c r="A878" t="inlineStr">
        <is>
          <t>Torreol, s.r.o.,  Bratislava , Slovakia</t>
        </is>
      </c>
      <c r="B878" t="inlineStr">
        <is>
          <t>Trader</t>
        </is>
      </c>
      <c r="C878" t="inlineStr">
        <is>
          <t>SGS Germany GmbH, Emstek, DE</t>
        </is>
      </c>
      <c r="D878" t="inlineStr">
        <is>
          <t>19.07.2027</t>
        </is>
      </c>
      <c r="E878" t="inlineStr">
        <is>
          <t>Slovakia</t>
        </is>
      </c>
    </row>
    <row r="879">
      <c r="A879" t="inlineStr">
        <is>
          <t>Maghreb General Services,  Bir mouras rais, Algeria</t>
        </is>
      </c>
      <c r="B879" t="inlineStr">
        <is>
          <t>Collecting Point, Trader</t>
        </is>
      </c>
      <c r="C879" t="inlineStr">
        <is>
          <t>BM Certification, Riga, LV</t>
        </is>
      </c>
      <c r="D879" t="inlineStr">
        <is>
          <t>19.07.2027</t>
        </is>
      </c>
      <c r="E879" t="inlineStr">
        <is>
          <t>Algeria</t>
        </is>
      </c>
    </row>
    <row r="880">
      <c r="A880" t="inlineStr">
        <is>
          <t>D.A.M TRADE GROUP LLC,  Izmail, Ukraine</t>
        </is>
      </c>
      <c r="B880" t="inlineStr">
        <is>
          <t>Trader</t>
        </is>
      </c>
      <c r="C880" t="inlineStr">
        <is>
          <t>Organic Standard Ltd, Kyiv, UA</t>
        </is>
      </c>
      <c r="D880" t="inlineStr">
        <is>
          <t>19.07.2027</t>
        </is>
      </c>
      <c r="E880" t="inlineStr">
        <is>
          <t>Ukraine</t>
        </is>
      </c>
    </row>
    <row r="881">
      <c r="A881" t="inlineStr">
        <is>
          <t>AVEPO S.A.C.,  CASALEONE, Italy</t>
        </is>
      </c>
      <c r="B881" t="inlineStr">
        <is>
          <t>First Gathering Point</t>
        </is>
      </c>
      <c r="C881" t="inlineStr">
        <is>
          <t>SGS Germany GmbH, Emstek, DE</t>
        </is>
      </c>
      <c r="D881" t="inlineStr">
        <is>
          <t>19.07.2027</t>
        </is>
      </c>
      <c r="E881" t="inlineStr">
        <is>
          <t>Italy</t>
        </is>
      </c>
    </row>
    <row r="882">
      <c r="A882" t="inlineStr">
        <is>
          <t>Lebedyn Seed Plant,  Village Lebedyn, Ukraine</t>
        </is>
      </c>
      <c r="B882" t="inlineStr">
        <is>
          <t>First Gathering Point, Trader with Storage</t>
        </is>
      </c>
      <c r="C882" t="inlineStr">
        <is>
          <t>Control Union Poland Sp. z o.o., Zielona Gora, PL</t>
        </is>
      </c>
      <c r="D882" t="inlineStr">
        <is>
          <t>19.07.2027</t>
        </is>
      </c>
      <c r="E882" t="inlineStr">
        <is>
          <t>Ukraine</t>
        </is>
      </c>
    </row>
    <row r="883">
      <c r="A883" t="inlineStr">
        <is>
          <t>GREENBACK CUAUTLA,  Cuautla, Ampliacion Hermenegildo Galeana, Mexico</t>
        </is>
      </c>
      <c r="B883" t="inlineStr">
        <is>
          <t>Collecting Point, Processing Unit</t>
        </is>
      </c>
      <c r="C883" t="inlineStr">
        <is>
          <t>SCS Global Services, Emeryville, CA, US</t>
        </is>
      </c>
      <c r="D883" t="inlineStr">
        <is>
          <t>19.07.2027</t>
        </is>
      </c>
      <c r="E883" t="inlineStr">
        <is>
          <t>Mexico</t>
        </is>
      </c>
    </row>
    <row r="884">
      <c r="A884" t="inlineStr">
        <is>
          <t>ADM do Brasil - Rondonopolis,  Rondonópolis, Brazil</t>
        </is>
      </c>
      <c r="B884" t="inlineStr">
        <is>
          <t>Processing Unit</t>
        </is>
      </c>
      <c r="C884" t="inlineStr">
        <is>
          <t>Control Union Poland Sp. z o.o., Zielona Gora, PL</t>
        </is>
      </c>
      <c r="D884" t="inlineStr">
        <is>
          <t>19.07.2027</t>
        </is>
      </c>
      <c r="E884" t="inlineStr">
        <is>
          <t>Brazil</t>
        </is>
      </c>
    </row>
    <row r="885">
      <c r="A885" t="inlineStr">
        <is>
          <t>CO.P.A.S. - COOPERATIVA PRODUTTORI AGRICOLI E SERVIZI SOCIETA' AGRICOLA COOPERATIVA,  Mantova, Italy</t>
        </is>
      </c>
      <c r="B885" t="inlineStr">
        <is>
          <t>First Gathering Point</t>
        </is>
      </c>
      <c r="C885" t="inlineStr">
        <is>
          <t>SGS Germany GmbH, Emstek, DE</t>
        </is>
      </c>
      <c r="D885" t="inlineStr">
        <is>
          <t>19.07.2027</t>
        </is>
      </c>
      <c r="E885" t="inlineStr">
        <is>
          <t>Italy</t>
        </is>
      </c>
    </row>
    <row r="886">
      <c r="A886" t="inlineStr">
        <is>
          <t>Lear Corporation Poland II,  Tychy, Poland</t>
        </is>
      </c>
      <c r="B886" t="inlineStr">
        <is>
          <t>Processing Unit</t>
        </is>
      </c>
      <c r="C886" t="inlineStr">
        <is>
          <t>Bureau Veritas Polska Sp. z o.o., Warsaw, PL</t>
        </is>
      </c>
      <c r="D886" t="inlineStr">
        <is>
          <t>19.07.2027</t>
        </is>
      </c>
      <c r="E886" t="inlineStr">
        <is>
          <t>Poland</t>
        </is>
      </c>
    </row>
    <row r="887">
      <c r="A887" t="inlineStr">
        <is>
          <t>Pibiplast SPA,  Campi Bisenzio, Italy</t>
        </is>
      </c>
      <c r="B887" t="inlineStr">
        <is>
          <t>Processing Unit</t>
        </is>
      </c>
      <c r="C887" t="inlineStr">
        <is>
          <t>ICIM SpA, sesto san giovanni, IT</t>
        </is>
      </c>
      <c r="D887" t="inlineStr">
        <is>
          <t>19.07.2027</t>
        </is>
      </c>
      <c r="E887" t="inlineStr">
        <is>
          <t>Italy</t>
        </is>
      </c>
    </row>
    <row r="888">
      <c r="A888" t="inlineStr">
        <is>
          <t>Diapolyacrylate Co., Ltd.,  Rayong, Thailand</t>
        </is>
      </c>
      <c r="B888" t="inlineStr">
        <is>
          <t>Processing Unit</t>
        </is>
      </c>
      <c r="C888" t="inlineStr">
        <is>
          <t>SGS Germany GmbH, Emstek, DE</t>
        </is>
      </c>
      <c r="D888" t="inlineStr">
        <is>
          <t>19.07.2027</t>
        </is>
      </c>
      <c r="E888" t="inlineStr">
        <is>
          <t>Thailand</t>
        </is>
      </c>
    </row>
    <row r="889">
      <c r="A889" t="inlineStr">
        <is>
          <t>PT Sawit Mas Sejahtera,  Kabupaten Banyuasin, Provinsi Sumatera Selatan, Indonesia</t>
        </is>
      </c>
      <c r="B889" t="inlineStr">
        <is>
          <t>First Gathering Point, Processing Unit, Point of Origin</t>
        </is>
      </c>
      <c r="C889" t="inlineStr">
        <is>
          <t>PT Intertek Utama Services, Jakarta, ID</t>
        </is>
      </c>
      <c r="D889" t="inlineStr">
        <is>
          <t>18.07.2027</t>
        </is>
      </c>
      <c r="E889" t="inlineStr">
        <is>
          <t>Indonesia</t>
        </is>
      </c>
    </row>
    <row r="890">
      <c r="A890" t="inlineStr">
        <is>
          <t>ENERGIA VERDE BIO CREMASCA SOCIETÀ AGRICOLA S.R.L.,  Isso, Italy</t>
        </is>
      </c>
      <c r="B890" t="inlineStr">
        <is>
          <t>Collecting Point, Processing Unit</t>
        </is>
      </c>
      <c r="C890" t="inlineStr">
        <is>
          <t>ICIM SpA, sesto san giovanni, IT</t>
        </is>
      </c>
      <c r="D890" t="inlineStr">
        <is>
          <t>18.07.2027</t>
        </is>
      </c>
      <c r="E890" t="inlineStr">
        <is>
          <t>Italy</t>
        </is>
      </c>
    </row>
    <row r="891">
      <c r="A891" t="inlineStr">
        <is>
          <t>PT Bumi Sawit Permai,  Provinsi Sumatera Selatan, Indonesia</t>
        </is>
      </c>
      <c r="B891" t="inlineStr">
        <is>
          <t>First Gathering Point, Processing Unit, Point of Origin</t>
        </is>
      </c>
      <c r="C891" t="inlineStr">
        <is>
          <t>PT Intertek Utama Services, Jakarta, ID</t>
        </is>
      </c>
      <c r="D891" t="inlineStr">
        <is>
          <t>18.07.2027</t>
        </is>
      </c>
      <c r="E891" t="inlineStr">
        <is>
          <t>Indonesia</t>
        </is>
      </c>
    </row>
    <row r="892">
      <c r="A892" t="inlineStr">
        <is>
          <t>Shen Zhen Yashiwei Optical Co.,Limited,  Shenzhen City, Guangdong, China</t>
        </is>
      </c>
      <c r="B892" t="inlineStr">
        <is>
          <t>Processing Unit, Trader with Storage</t>
        </is>
      </c>
      <c r="C892" t="inlineStr">
        <is>
          <t>SCS Global Services, Emeryville, CA, US</t>
        </is>
      </c>
      <c r="D892" t="inlineStr">
        <is>
          <t>18.07.2027</t>
        </is>
      </c>
      <c r="E892" t="inlineStr">
        <is>
          <t>China</t>
        </is>
      </c>
    </row>
    <row r="893">
      <c r="A893" t="inlineStr">
        <is>
          <t>Wilmar Trading (Asia) Pte Ltd,  Singapore, Singapore</t>
        </is>
      </c>
      <c r="B893" t="inlineStr">
        <is>
          <t>Trader</t>
        </is>
      </c>
      <c r="C893" t="inlineStr">
        <is>
          <t>ASG Cert GmbH, Munich, DE</t>
        </is>
      </c>
      <c r="D893" t="inlineStr">
        <is>
          <t>18.07.2027</t>
        </is>
      </c>
      <c r="E893" t="inlineStr">
        <is>
          <t>Singapore</t>
        </is>
      </c>
    </row>
    <row r="894">
      <c r="A894" t="inlineStr">
        <is>
          <t>Wilmar Trading Pte Ltd,  Singapore, Singapore</t>
        </is>
      </c>
      <c r="B894" t="inlineStr">
        <is>
          <t>Trader with Storage</t>
        </is>
      </c>
      <c r="C894" t="inlineStr">
        <is>
          <t>ASG Cert GmbH, Munich, DE</t>
        </is>
      </c>
      <c r="D894" t="inlineStr">
        <is>
          <t>18.07.2027</t>
        </is>
      </c>
      <c r="E894" t="inlineStr">
        <is>
          <t>Singapore</t>
        </is>
      </c>
    </row>
    <row r="895">
      <c r="A895" t="inlineStr">
        <is>
          <t>Wilmar Trading Pte Ltd,  Singapore, Singapore</t>
        </is>
      </c>
      <c r="B895" t="inlineStr">
        <is>
          <t>Trader with Storage</t>
        </is>
      </c>
      <c r="C895" t="inlineStr">
        <is>
          <t>ASG Cert GmbH, Munich, DE</t>
        </is>
      </c>
      <c r="D895" t="inlineStr">
        <is>
          <t>18.07.2027</t>
        </is>
      </c>
      <c r="E895" t="inlineStr">
        <is>
          <t>Singapore</t>
        </is>
      </c>
    </row>
    <row r="896">
      <c r="A896" t="inlineStr">
        <is>
          <t>Goodyear Operations S.A. (Tire Plant),  Colmar-Berg, Luxembourg</t>
        </is>
      </c>
      <c r="B896" t="inlineStr">
        <is>
          <t>Processing Unit</t>
        </is>
      </c>
      <c r="C896" t="inlineStr">
        <is>
          <t>DQS CFS GmbH - Deutsche Gesellschaft für Nachhaltigkeit, Frankfurt am Main, DE</t>
        </is>
      </c>
      <c r="D896" t="inlineStr">
        <is>
          <t>18.07.2027</t>
        </is>
      </c>
      <c r="E896" t="inlineStr">
        <is>
          <t>Luxembourg</t>
        </is>
      </c>
    </row>
    <row r="897">
      <c r="A897" t="inlineStr">
        <is>
          <t>Oben Polska Sp. z o.o.,  Skarbimierz - Osiedle, Poland</t>
        </is>
      </c>
      <c r="B897" t="inlineStr">
        <is>
          <t>Processing Unit</t>
        </is>
      </c>
      <c r="C897" t="inlineStr">
        <is>
          <t>Control Union Poland Sp. z o.o., Zielona Gora, PL</t>
        </is>
      </c>
      <c r="D897" t="inlineStr">
        <is>
          <t>18.07.2027</t>
        </is>
      </c>
      <c r="E897" t="inlineStr">
        <is>
          <t>Poland</t>
        </is>
      </c>
    </row>
    <row r="898">
      <c r="A898" t="inlineStr">
        <is>
          <t>Establecimiento El Albardon,  Puerto General San Martin, Argentina</t>
        </is>
      </c>
      <c r="B898" t="inlineStr">
        <is>
          <t>Collecting Point, Point of Origin, Processing Unit, Trader with Storage</t>
        </is>
      </c>
      <c r="C898" t="inlineStr">
        <is>
          <t>Control Union Poland Sp. z o.o., Zielona Gora, PL</t>
        </is>
      </c>
      <c r="D898" t="inlineStr">
        <is>
          <t>18.07.2027</t>
        </is>
      </c>
      <c r="E898" t="inlineStr">
        <is>
          <t>Argentina</t>
        </is>
      </c>
    </row>
    <row r="899">
      <c r="A899" t="inlineStr">
        <is>
          <t>LyondellBasell Acetyls,  La Porte, United States</t>
        </is>
      </c>
      <c r="B899" t="inlineStr">
        <is>
          <t>Processing Unit</t>
        </is>
      </c>
      <c r="C899" t="inlineStr">
        <is>
          <t>SCS Global Services, Emeryville, CA, US</t>
        </is>
      </c>
      <c r="D899" t="inlineStr">
        <is>
          <t>18.07.2027</t>
        </is>
      </c>
      <c r="E899" t="inlineStr">
        <is>
          <t>United States</t>
        </is>
      </c>
    </row>
    <row r="900">
      <c r="A900" t="inlineStr">
        <is>
          <t>Covestro S.r.l.,  Filago, Bergamo, Italy</t>
        </is>
      </c>
      <c r="B900" t="inlineStr">
        <is>
          <t>Processing Unit, Trader</t>
        </is>
      </c>
      <c r="C900" t="inlineStr">
        <is>
          <t>DQS CFS GmbH - Deutsche Gesellschaft für Nachhaltigkeit, Frankfurt am Main, DE</t>
        </is>
      </c>
      <c r="D900" t="inlineStr">
        <is>
          <t>18.07.2027</t>
        </is>
      </c>
      <c r="E900" t="inlineStr">
        <is>
          <t>Italy</t>
        </is>
      </c>
    </row>
    <row r="901">
      <c r="A901" t="inlineStr">
        <is>
          <t>Bunker One (Europe) A/S,  Aalborg, Denmark</t>
        </is>
      </c>
      <c r="B901" t="inlineStr">
        <is>
          <t>Trader with Storage, Proof of Compliance Trader</t>
        </is>
      </c>
      <c r="C901" t="inlineStr">
        <is>
          <t>Baltic Control Certification, Albertslund, DK</t>
        </is>
      </c>
      <c r="D901" t="inlineStr">
        <is>
          <t>18.07.2027</t>
        </is>
      </c>
      <c r="E901" t="inlineStr">
        <is>
          <t>Denmark</t>
        </is>
      </c>
    </row>
    <row r="902">
      <c r="A902" t="inlineStr">
        <is>
          <t>YAMADA-VISTAMEX S.A de C.V,  Apaseo el Grande, Mexico</t>
        </is>
      </c>
      <c r="B902" t="inlineStr">
        <is>
          <t>Final Product Refinement</t>
        </is>
      </c>
      <c r="C902" t="inlineStr">
        <is>
          <t>SCS Global Services, Emeryville, CA, US</t>
        </is>
      </c>
      <c r="D902" t="inlineStr">
        <is>
          <t>18.07.2027</t>
        </is>
      </c>
      <c r="E902" t="inlineStr">
        <is>
          <t>Mexico</t>
        </is>
      </c>
    </row>
    <row r="903">
      <c r="A903" t="inlineStr">
        <is>
          <t>ACHP Vysočina s.r.o.,  Havlickuv Brod, Czech Republic</t>
        </is>
      </c>
      <c r="B903" t="inlineStr">
        <is>
          <t>First Gathering Point, Trader</t>
        </is>
      </c>
      <c r="C903" t="inlineStr">
        <is>
          <t>United Registrar of Systems Polska Sp. z o.o., Wrocław, PL</t>
        </is>
      </c>
      <c r="D903" t="inlineStr">
        <is>
          <t>18.07.2027</t>
        </is>
      </c>
      <c r="E903" t="inlineStr">
        <is>
          <t>Czech Republic</t>
        </is>
      </c>
    </row>
    <row r="904">
      <c r="A904" t="inlineStr">
        <is>
          <t>KISS spol. s r. o.,  Pribeník, Slovakia</t>
        </is>
      </c>
      <c r="B904" t="inlineStr">
        <is>
          <t>First Gathering Point, Trader with Storage</t>
        </is>
      </c>
      <c r="C904" t="inlineStr">
        <is>
          <t>United Registrar of Systems Polska Sp. z o.o., Wrocław, PL</t>
        </is>
      </c>
      <c r="D904" t="inlineStr">
        <is>
          <t>18.07.2027</t>
        </is>
      </c>
      <c r="E904" t="inlineStr">
        <is>
          <t>Slovakia</t>
        </is>
      </c>
    </row>
    <row r="905">
      <c r="A905" t="inlineStr">
        <is>
          <t>Equistar Chemicals, LP,  Bay City, Texas, United States</t>
        </is>
      </c>
      <c r="B905" t="inlineStr">
        <is>
          <t>Processing Unit</t>
        </is>
      </c>
      <c r="C905" t="inlineStr">
        <is>
          <t>SCS Global Services, Emeryville, CA, US</t>
        </is>
      </c>
      <c r="D905" t="inlineStr">
        <is>
          <t>18.07.2027</t>
        </is>
      </c>
      <c r="E905" t="inlineStr">
        <is>
          <t>United States</t>
        </is>
      </c>
    </row>
    <row r="906">
      <c r="A906" t="inlineStr">
        <is>
          <t>John Wyatt Limited,  Leeds, The United Kingdom</t>
        </is>
      </c>
      <c r="B906" t="inlineStr">
        <is>
          <t>Trader</t>
        </is>
      </c>
      <c r="C906" t="inlineStr">
        <is>
          <t>SGS Germany GmbH, Emstek, DE</t>
        </is>
      </c>
      <c r="D906" t="inlineStr">
        <is>
          <t>18.07.2027</t>
        </is>
      </c>
      <c r="E906" t="inlineStr">
        <is>
          <t>The United Kingdom</t>
        </is>
      </c>
    </row>
    <row r="907">
      <c r="A907" t="inlineStr">
        <is>
          <t>SAUDI METHANOL COMPANY (AR-RAZI),  Al-Jubail Industrial Area, Saudi Arabia</t>
        </is>
      </c>
      <c r="B907" t="inlineStr">
        <is>
          <t>Processing Unit</t>
        </is>
      </c>
      <c r="C907" t="inlineStr">
        <is>
          <t>SGS Germany GmbH, Emstek, DE</t>
        </is>
      </c>
      <c r="D907" t="inlineStr">
        <is>
          <t>18.07.2027</t>
        </is>
      </c>
      <c r="E907" t="inlineStr">
        <is>
          <t>Saudi Arabia</t>
        </is>
      </c>
    </row>
    <row r="908">
      <c r="A908" t="inlineStr">
        <is>
          <t>Braskem S.A. - Unit PP1/PP2/PE5,  Triunfo, Brazil</t>
        </is>
      </c>
      <c r="B908" t="inlineStr">
        <is>
          <t>Processing Unit</t>
        </is>
      </c>
      <c r="C908" t="inlineStr">
        <is>
          <t>SGS Germany GmbH, Emstek, DE</t>
        </is>
      </c>
      <c r="D908" t="inlineStr">
        <is>
          <t>18.07.2027</t>
        </is>
      </c>
      <c r="E908" t="inlineStr">
        <is>
          <t>Brazil</t>
        </is>
      </c>
    </row>
    <row r="909">
      <c r="A909" t="inlineStr">
        <is>
          <t>Serijaya Industri SDN BHD,  Tawau, Malaysia</t>
        </is>
      </c>
      <c r="B909" t="inlineStr">
        <is>
          <t>Point of Origin</t>
        </is>
      </c>
      <c r="C909" t="inlineStr">
        <is>
          <t>Global Gateway Certifications Sdn Bhd, Ampang, MY</t>
        </is>
      </c>
      <c r="D909" t="inlineStr">
        <is>
          <t>18.07.2027</t>
        </is>
      </c>
      <c r="E909" t="inlineStr">
        <is>
          <t>Malaysia</t>
        </is>
      </c>
    </row>
    <row r="910">
      <c r="A910" t="inlineStr">
        <is>
          <t>Hőgyészi Agrokémiai Kft.,  Szakály, Hungary</t>
        </is>
      </c>
      <c r="B910" t="inlineStr">
        <is>
          <t>First Gathering Point, Trader with Storage</t>
        </is>
      </c>
      <c r="C910" t="inlineStr">
        <is>
          <t>Amspec Iberia SL, Vilagarcia de Arousa-Pontevedra, ES</t>
        </is>
      </c>
      <c r="D910" t="inlineStr">
        <is>
          <t>18.07.2027</t>
        </is>
      </c>
      <c r="E910" t="inlineStr">
        <is>
          <t>Hungary</t>
        </is>
      </c>
    </row>
    <row r="911">
      <c r="A911" t="inlineStr">
        <is>
          <t>Hebei Titan Energy Co.,Ltd.,  Shijiazhuang City, Hebei Province, China</t>
        </is>
      </c>
      <c r="B911" t="inlineStr">
        <is>
          <t>Collecting Point, Trader with Storage</t>
        </is>
      </c>
      <c r="C911" t="inlineStr">
        <is>
          <t>RINA Services S.p.A., Genova, IT</t>
        </is>
      </c>
      <c r="D911" t="inlineStr">
        <is>
          <t>18.07.2027</t>
        </is>
      </c>
      <c r="E911" t="inlineStr">
        <is>
          <t>China</t>
        </is>
      </c>
    </row>
    <row r="912">
      <c r="A912" t="inlineStr">
        <is>
          <t>WASTE MANAGEMENT - RECYCLING L.P.,  Municipality of Tripolis, Greece</t>
        </is>
      </c>
      <c r="B912" t="inlineStr">
        <is>
          <t>Collecting Point</t>
        </is>
      </c>
      <c r="C912" t="inlineStr">
        <is>
          <t>Eurocert SA, Metamorfosi, Athens, GR</t>
        </is>
      </c>
      <c r="D912" t="inlineStr">
        <is>
          <t>18.07.2027</t>
        </is>
      </c>
      <c r="E912" t="inlineStr">
        <is>
          <t>Greece</t>
        </is>
      </c>
    </row>
    <row r="913">
      <c r="A913" t="inlineStr">
        <is>
          <t>OXYANE,  GENAS, France</t>
        </is>
      </c>
      <c r="B913" t="inlineStr">
        <is>
          <t>First Gathering Point, Trader</t>
        </is>
      </c>
      <c r="C913" t="inlineStr">
        <is>
          <t>RINA Services S.p.A., Genova, IT</t>
        </is>
      </c>
      <c r="D913" t="inlineStr">
        <is>
          <t>18.07.2027</t>
        </is>
      </c>
      <c r="E913" t="inlineStr">
        <is>
          <t>France</t>
        </is>
      </c>
    </row>
    <row r="914">
      <c r="A914" t="inlineStr">
        <is>
          <t>Moeve Chemicals,  Palos de la frontera, Huelva, Spain</t>
        </is>
      </c>
      <c r="B914" t="inlineStr">
        <is>
          <t>Processing Unit, Trader with Storage</t>
        </is>
      </c>
      <c r="C914" t="inlineStr">
        <is>
          <t>Control Union Poland Sp. z o.o., Zielona Gora, PL</t>
        </is>
      </c>
      <c r="D914" t="inlineStr">
        <is>
          <t>18.07.2027</t>
        </is>
      </c>
      <c r="E914" t="inlineStr">
        <is>
          <t>Spain</t>
        </is>
      </c>
    </row>
    <row r="915">
      <c r="A915" t="inlineStr">
        <is>
          <t>CONSORZIO AGRARIO DELLE PROVINCE DEL NORD-OVEST SOOC. COOP.,  Cuneo, Italy</t>
        </is>
      </c>
      <c r="B915" t="inlineStr">
        <is>
          <t>First Gathering Point</t>
        </is>
      </c>
      <c r="C915" t="inlineStr">
        <is>
          <t>RINA Services S.p.A., Genova, IT</t>
        </is>
      </c>
      <c r="D915" t="inlineStr">
        <is>
          <t>18.07.2027</t>
        </is>
      </c>
      <c r="E915" t="inlineStr">
        <is>
          <t>Italy</t>
        </is>
      </c>
    </row>
    <row r="916">
      <c r="A916" t="inlineStr">
        <is>
          <t>TSH Plantation Management SDN BHD,  Tawau, Sabah, Malaysia</t>
        </is>
      </c>
      <c r="B916" t="inlineStr">
        <is>
          <t>Point of Origin</t>
        </is>
      </c>
      <c r="C916" t="inlineStr">
        <is>
          <t>Global Gateway Certifications Sdn Bhd, Ampang, MY</t>
        </is>
      </c>
      <c r="D916" t="inlineStr">
        <is>
          <t>17.07.2027</t>
        </is>
      </c>
      <c r="E916" t="inlineStr">
        <is>
          <t>Malaysia</t>
        </is>
      </c>
    </row>
    <row r="917">
      <c r="A917" t="inlineStr">
        <is>
          <t>Shell Chemical LP,  Deer Park, Texas, United States</t>
        </is>
      </c>
      <c r="B917" t="inlineStr">
        <is>
          <t>Processing Unit</t>
        </is>
      </c>
      <c r="C917" t="inlineStr">
        <is>
          <t>SCS Global Services, Emeryville, CA, US</t>
        </is>
      </c>
      <c r="D917" t="inlineStr">
        <is>
          <t>17.07.2027</t>
        </is>
      </c>
      <c r="E917" t="inlineStr">
        <is>
          <t>United States</t>
        </is>
      </c>
    </row>
    <row r="918">
      <c r="A918" t="inlineStr">
        <is>
          <t>Rodolfi Mansueto SPA,  Ozzano Taro, Italy</t>
        </is>
      </c>
      <c r="B918" t="inlineStr">
        <is>
          <t>Processing Unit</t>
        </is>
      </c>
      <c r="C918" t="inlineStr">
        <is>
          <t>CSQA Certificazioni Srl, Thiene, IT</t>
        </is>
      </c>
      <c r="D918" t="inlineStr">
        <is>
          <t>17.07.2027</t>
        </is>
      </c>
      <c r="E918" t="inlineStr">
        <is>
          <t>Italy</t>
        </is>
      </c>
    </row>
    <row r="919">
      <c r="A919" t="inlineStr">
        <is>
          <t>Rodolfi Mansueto SPA,  Fontanini (Parma), Italy</t>
        </is>
      </c>
      <c r="B919" t="inlineStr">
        <is>
          <t>Processing Unit</t>
        </is>
      </c>
      <c r="C919" t="inlineStr">
        <is>
          <t>CSQA Certificazioni Srl, Thiene, IT</t>
        </is>
      </c>
      <c r="D919" t="inlineStr">
        <is>
          <t>17.07.2027</t>
        </is>
      </c>
      <c r="E919" t="inlineStr">
        <is>
          <t>Italy</t>
        </is>
      </c>
    </row>
    <row r="920">
      <c r="A920" t="inlineStr">
        <is>
          <t>Rodolfi Mansueto SPA,  Fontevivo (Parma), Italy</t>
        </is>
      </c>
      <c r="B920" t="inlineStr">
        <is>
          <t>Processing Unit</t>
        </is>
      </c>
      <c r="C920" t="inlineStr">
        <is>
          <t>CSQA Certificazioni Srl, Thiene, IT</t>
        </is>
      </c>
      <c r="D920" t="inlineStr">
        <is>
          <t>17.07.2027</t>
        </is>
      </c>
      <c r="E920" t="inlineStr">
        <is>
          <t>Italy</t>
        </is>
      </c>
    </row>
    <row r="921">
      <c r="A921" t="inlineStr">
        <is>
          <t>HS Hyosung Quang Nam Co.,Ltd,  Da Nang City, Vietnam</t>
        </is>
      </c>
      <c r="B921" t="inlineStr">
        <is>
          <t>Processing Unit, Trader</t>
        </is>
      </c>
      <c r="C921" t="inlineStr">
        <is>
          <t>Control Union Certifications Germany GmbH, Berlin, DE</t>
        </is>
      </c>
      <c r="D921" t="inlineStr">
        <is>
          <t>17.07.2027</t>
        </is>
      </c>
      <c r="E921" t="inlineStr">
        <is>
          <t>Vietnam</t>
        </is>
      </c>
    </row>
    <row r="922">
      <c r="A922" t="inlineStr">
        <is>
          <t>Mitsui Bussan Chemicals Co.,Ltd.,  Tokyo, Japan</t>
        </is>
      </c>
      <c r="B922" t="inlineStr">
        <is>
          <t>Trader</t>
        </is>
      </c>
      <c r="C922" t="inlineStr">
        <is>
          <t>Control Union Certifications Germany GmbH, Berlin, DE</t>
        </is>
      </c>
      <c r="D922" t="inlineStr">
        <is>
          <t>17.07.2027</t>
        </is>
      </c>
      <c r="E922" t="inlineStr">
        <is>
          <t>Japan</t>
        </is>
      </c>
    </row>
    <row r="923">
      <c r="A923" t="inlineStr">
        <is>
          <t>SUMITOMO SEIKA CHEMICALS CO.,LTD.,  Himeji City, Japan</t>
        </is>
      </c>
      <c r="B923" t="inlineStr">
        <is>
          <t>Processing Unit</t>
        </is>
      </c>
      <c r="C923" t="inlineStr">
        <is>
          <t>Control Union Certifications Germany GmbH, Berlin, DE</t>
        </is>
      </c>
      <c r="D923" t="inlineStr">
        <is>
          <t>17.07.2027</t>
        </is>
      </c>
      <c r="E923" t="inlineStr">
        <is>
          <t>Japan</t>
        </is>
      </c>
    </row>
    <row r="924">
      <c r="A924" t="inlineStr">
        <is>
          <t>SAHAJA SUKSES BERJAYA,  JAKARTA PUSAT, Indonesia</t>
        </is>
      </c>
      <c r="B924" t="inlineStr">
        <is>
          <t>Trader</t>
        </is>
      </c>
      <c r="C924" t="inlineStr">
        <is>
          <t>PT SBC Asia Sertifikasi, Kebumen, ID</t>
        </is>
      </c>
      <c r="D924" t="inlineStr">
        <is>
          <t>17.07.2027</t>
        </is>
      </c>
      <c r="E924" t="inlineStr">
        <is>
          <t>Indonesia</t>
        </is>
      </c>
    </row>
    <row r="925">
      <c r="A925" t="inlineStr">
        <is>
          <t>Coveris,  Burnley, The United Kingdom</t>
        </is>
      </c>
      <c r="B925" t="inlineStr">
        <is>
          <t>Final Product Refinement</t>
        </is>
      </c>
      <c r="C925" t="inlineStr">
        <is>
          <t>SGS Germany GmbH, Emstek, DE</t>
        </is>
      </c>
      <c r="D925" t="inlineStr">
        <is>
          <t>17.07.2027</t>
        </is>
      </c>
      <c r="E925" t="inlineStr">
        <is>
          <t>The United Kingdom</t>
        </is>
      </c>
    </row>
    <row r="926">
      <c r="A926" t="inlineStr">
        <is>
          <t>Agrosztár Kft.,  Dombegyház, Hungary</t>
        </is>
      </c>
      <c r="B926" t="inlineStr">
        <is>
          <t>First Gathering Point, Trader</t>
        </is>
      </c>
      <c r="C926" t="inlineStr">
        <is>
          <t>Control Union Certifications Germany GmbH, Berlin, DE</t>
        </is>
      </c>
      <c r="D926" t="inlineStr">
        <is>
          <t>17.07.2027</t>
        </is>
      </c>
      <c r="E926" t="inlineStr">
        <is>
          <t>Hungary</t>
        </is>
      </c>
    </row>
    <row r="927">
      <c r="A927" t="inlineStr">
        <is>
          <t>MATT OPTICAL CO., LTD.,  Macau, China</t>
        </is>
      </c>
      <c r="B927" t="inlineStr">
        <is>
          <t>Trader</t>
        </is>
      </c>
      <c r="C927" t="inlineStr">
        <is>
          <t>Bureau Veritas Consumer Products Services, Inc., Buffalo, NY, US</t>
        </is>
      </c>
      <c r="D927" t="inlineStr">
        <is>
          <t>17.07.2027</t>
        </is>
      </c>
      <c r="E927" t="inlineStr">
        <is>
          <t>China</t>
        </is>
      </c>
    </row>
    <row r="928">
      <c r="A928" t="inlineStr">
        <is>
          <t>St1 Sverige AB,  Gothenburg, Sweden</t>
        </is>
      </c>
      <c r="B928" t="inlineStr">
        <is>
          <t>Point of Origin, Processing Unit, Trader with Storage</t>
        </is>
      </c>
      <c r="C928" t="inlineStr">
        <is>
          <t>SCS Global Services, Emeryville, CA, US</t>
        </is>
      </c>
      <c r="D928" t="inlineStr">
        <is>
          <t>17.07.2027</t>
        </is>
      </c>
      <c r="E928" t="inlineStr">
        <is>
          <t>Sweden</t>
        </is>
      </c>
    </row>
    <row r="929">
      <c r="A929" t="inlineStr">
        <is>
          <t>St1 Sverige AB,  Gothenburg, Sweden</t>
        </is>
      </c>
      <c r="B929" t="inlineStr">
        <is>
          <t>Point of Origin, Processing Unit, Proof of Compliance Trader, Trader with Storage</t>
        </is>
      </c>
      <c r="C929" t="inlineStr">
        <is>
          <t>SCS Global Services, Emeryville, CA, US</t>
        </is>
      </c>
      <c r="D929" t="inlineStr">
        <is>
          <t>17.07.2027</t>
        </is>
      </c>
      <c r="E929" t="inlineStr">
        <is>
          <t>Sweden</t>
        </is>
      </c>
    </row>
    <row r="930">
      <c r="A930" t="inlineStr">
        <is>
          <t>Everlight Plastic Sheet (Yingtan) Co. Ltd.,  Yingtan City, Jiangxi Province, China</t>
        </is>
      </c>
      <c r="B930" t="inlineStr">
        <is>
          <t>Processing Unit</t>
        </is>
      </c>
      <c r="C930" t="inlineStr">
        <is>
          <t>PT Intertek Utama Services, Jakarta, ID</t>
        </is>
      </c>
      <c r="D930" t="inlineStr">
        <is>
          <t>17.07.2027</t>
        </is>
      </c>
      <c r="E930" t="inlineStr">
        <is>
          <t>China</t>
        </is>
      </c>
    </row>
    <row r="931">
      <c r="A931" t="inlineStr">
        <is>
          <t>Life Technologies Corporation,  Logan, Utah, United States</t>
        </is>
      </c>
      <c r="B931" t="inlineStr">
        <is>
          <t>Processing Unit</t>
        </is>
      </c>
      <c r="C931" t="inlineStr">
        <is>
          <t>SCS Global Services, Emeryville, CA, US</t>
        </is>
      </c>
      <c r="D931" t="inlineStr">
        <is>
          <t>17.07.2027</t>
        </is>
      </c>
      <c r="E931" t="inlineStr">
        <is>
          <t>United States</t>
        </is>
      </c>
    </row>
    <row r="932">
      <c r="A932" t="inlineStr">
        <is>
          <t>Montana Renewables,  Great Falls, United States</t>
        </is>
      </c>
      <c r="B932" t="inlineStr">
        <is>
          <t>Collecting Point, Processing Unit, Trader with Storage</t>
        </is>
      </c>
      <c r="C932" t="inlineStr">
        <is>
          <t>SCS Global Services, Emeryville, CA, US</t>
        </is>
      </c>
      <c r="D932" t="inlineStr">
        <is>
          <t>17.07.2027</t>
        </is>
      </c>
      <c r="E932" t="inlineStr">
        <is>
          <t>United States</t>
        </is>
      </c>
    </row>
    <row r="933">
      <c r="A933" t="inlineStr">
        <is>
          <t>Brackenfell Oil Distributors,  Brackenfell, South Africa</t>
        </is>
      </c>
      <c r="B933" t="inlineStr">
        <is>
          <t>Collecting Point</t>
        </is>
      </c>
      <c r="C933" t="inlineStr">
        <is>
          <t>DEKRA Certification B.V., Arnhem, NL</t>
        </is>
      </c>
      <c r="D933" t="inlineStr">
        <is>
          <t>17.07.2027</t>
        </is>
      </c>
      <c r="E933" t="inlineStr">
        <is>
          <t>South Africa</t>
        </is>
      </c>
    </row>
    <row r="934">
      <c r="A934" t="inlineStr">
        <is>
          <t>ExxonMobil Gas Marketing Europe,  Marsh Lane , Fawley,. Southhampton, The United Kingdom</t>
        </is>
      </c>
      <c r="B934" t="inlineStr">
        <is>
          <t>Trader</t>
        </is>
      </c>
      <c r="C934" t="inlineStr">
        <is>
          <t>DEKRA Certification B.V., Arnhem, NL</t>
        </is>
      </c>
      <c r="D934" t="inlineStr">
        <is>
          <t>17.07.2027</t>
        </is>
      </c>
      <c r="E934" t="inlineStr">
        <is>
          <t>The United Kingdom</t>
        </is>
      </c>
    </row>
    <row r="935">
      <c r="A935" t="inlineStr">
        <is>
          <t>Montana Renewables,  Great Falls, United States</t>
        </is>
      </c>
      <c r="B935" t="inlineStr">
        <is>
          <t>Collecting Point, Processing Unit, Trader with Storage</t>
        </is>
      </c>
      <c r="C935" t="inlineStr">
        <is>
          <t>SCS Global Services, Emeryville, CA, US</t>
        </is>
      </c>
      <c r="D935" t="inlineStr">
        <is>
          <t>17.07.2027</t>
        </is>
      </c>
      <c r="E935" t="inlineStr">
        <is>
          <t>United States</t>
        </is>
      </c>
    </row>
    <row r="936">
      <c r="A936" t="inlineStr">
        <is>
          <t>OHD agro a.s.,  Polkovice, Czech Republic</t>
        </is>
      </c>
      <c r="B936" t="inlineStr">
        <is>
          <t>First Gathering Point, Trader</t>
        </is>
      </c>
      <c r="C936" t="inlineStr">
        <is>
          <t>United Registrar of Systems Polska Sp. z o.o., Wrocław, PL</t>
        </is>
      </c>
      <c r="D936" t="inlineStr">
        <is>
          <t>17.07.2027</t>
        </is>
      </c>
      <c r="E936" t="inlineStr">
        <is>
          <t>Czech Republic</t>
        </is>
      </c>
    </row>
    <row r="937">
      <c r="A937" t="inlineStr">
        <is>
          <t>UNITED CAPS LLAGOSTERA, S.A.U.,  Llagostera, Spain</t>
        </is>
      </c>
      <c r="B937" t="inlineStr">
        <is>
          <t>Processing Unit</t>
        </is>
      </c>
      <c r="C937" t="inlineStr">
        <is>
          <t>SGS Germany GmbH, Emstek, DE</t>
        </is>
      </c>
      <c r="D937" t="inlineStr">
        <is>
          <t>17.07.2027</t>
        </is>
      </c>
      <c r="E937" t="inlineStr">
        <is>
          <t>Spain</t>
        </is>
      </c>
    </row>
    <row r="938">
      <c r="A938" t="inlineStr">
        <is>
          <t>Montana Renewables,  Great Falls, The United States of America</t>
        </is>
      </c>
      <c r="B938" t="inlineStr">
        <is>
          <t>Collecting Point, Processing Unit, Trader with Storage</t>
        </is>
      </c>
      <c r="C938" t="inlineStr">
        <is>
          <t>SCS Global Services, Emeryville, CA, US</t>
        </is>
      </c>
      <c r="D938" t="inlineStr">
        <is>
          <t>17.07.2027</t>
        </is>
      </c>
      <c r="E938" t="inlineStr">
        <is>
          <t>The United States of America</t>
        </is>
      </c>
    </row>
    <row r="939">
      <c r="A939" t="inlineStr">
        <is>
          <t>Future Energy,  Yerevan, Armenia</t>
        </is>
      </c>
      <c r="B939" t="inlineStr">
        <is>
          <t>Trader with Storage</t>
        </is>
      </c>
      <c r="C939" t="inlineStr">
        <is>
          <t>SGS Germany GmbH, Emstek, DE</t>
        </is>
      </c>
      <c r="D939" t="inlineStr">
        <is>
          <t>17.07.2027</t>
        </is>
      </c>
      <c r="E939" t="inlineStr">
        <is>
          <t>Armenia</t>
        </is>
      </c>
    </row>
    <row r="940">
      <c r="A940" t="inlineStr">
        <is>
          <t>LBC Tank Terminals Group,  Rotterdam-Botlek, The Netherlands</t>
        </is>
      </c>
      <c r="B940" t="inlineStr">
        <is>
          <t>Logistics Center</t>
        </is>
      </c>
      <c r="C940" t="inlineStr">
        <is>
          <t>SGS Germany GmbH, Emstek, DE</t>
        </is>
      </c>
      <c r="D940" t="inlineStr">
        <is>
          <t>17.07.2027</t>
        </is>
      </c>
      <c r="E940" t="inlineStr">
        <is>
          <t>The Netherlands</t>
        </is>
      </c>
    </row>
    <row r="941">
      <c r="A941" t="inlineStr">
        <is>
          <t>LBC Tank Terminals Group,  Rotterdam-Botlek, The Netherlands</t>
        </is>
      </c>
      <c r="B941" t="inlineStr">
        <is>
          <t>Logistics Center</t>
        </is>
      </c>
      <c r="C941" t="inlineStr">
        <is>
          <t>SGS Germany GmbH, Emstek, DE</t>
        </is>
      </c>
      <c r="D941" t="inlineStr">
        <is>
          <t>17.07.2027</t>
        </is>
      </c>
      <c r="E941" t="inlineStr">
        <is>
          <t>The Netherlands</t>
        </is>
      </c>
    </row>
    <row r="942">
      <c r="A942" t="inlineStr">
        <is>
          <t>The Andersons Switzerland Sarl,  Morges, Switzerland</t>
        </is>
      </c>
      <c r="B942" t="inlineStr">
        <is>
          <t>Trader</t>
        </is>
      </c>
      <c r="C942" t="inlineStr">
        <is>
          <t>SGS Germany GmbH, Emstek, DE</t>
        </is>
      </c>
      <c r="D942" t="inlineStr">
        <is>
          <t>17.07.2027</t>
        </is>
      </c>
      <c r="E942" t="inlineStr">
        <is>
          <t>Switzerland</t>
        </is>
      </c>
    </row>
    <row r="943">
      <c r="A943" t="inlineStr">
        <is>
          <t>Tomato Growers Societa’ Cooperativa Agricola,  Podenzano (PC), Italy</t>
        </is>
      </c>
      <c r="B943" t="inlineStr">
        <is>
          <t>First Gathering Point, Trader</t>
        </is>
      </c>
      <c r="C943" t="inlineStr">
        <is>
          <t>SGS Germany GmbH, Emstek, DE</t>
        </is>
      </c>
      <c r="D943" t="inlineStr">
        <is>
          <t>17.07.2027</t>
        </is>
      </c>
      <c r="E943" t="inlineStr">
        <is>
          <t>Italy</t>
        </is>
      </c>
    </row>
    <row r="944">
      <c r="A944" t="inlineStr">
        <is>
          <t>Coveris Flexibles Deutschland GmbH,  Rohrdorf - Thansau, Germany</t>
        </is>
      </c>
      <c r="B944" t="inlineStr">
        <is>
          <t>Processing Unit</t>
        </is>
      </c>
      <c r="C944" t="inlineStr">
        <is>
          <t>SGS Germany GmbH, Emstek, DE</t>
        </is>
      </c>
      <c r="D944" t="inlineStr">
        <is>
          <t>17.07.2027</t>
        </is>
      </c>
      <c r="E944" t="inlineStr">
        <is>
          <t>Germany</t>
        </is>
      </c>
    </row>
    <row r="945">
      <c r="A945" t="inlineStr">
        <is>
          <t>Akar,  Langenbach, Germany</t>
        </is>
      </c>
      <c r="B945" t="inlineStr">
        <is>
          <t>Trader with Storage</t>
        </is>
      </c>
      <c r="C945" t="inlineStr">
        <is>
          <t>GUT Certifizierungsgesellschaft für Managementsysteme mbH Umweltgutachter, Berlin, DE</t>
        </is>
      </c>
      <c r="D945" t="inlineStr">
        <is>
          <t>17.07.2027</t>
        </is>
      </c>
      <c r="E945" t="inlineStr">
        <is>
          <t>Germany</t>
        </is>
      </c>
    </row>
    <row r="946">
      <c r="A946" t="inlineStr">
        <is>
          <t>Frigerio Conserva Allana Private Limted,  Aligarh, India</t>
        </is>
      </c>
      <c r="B946" t="inlineStr">
        <is>
          <t>Point of Origin</t>
        </is>
      </c>
      <c r="C946" t="inlineStr">
        <is>
          <t>SGS Germany GmbH, Emstek, DE</t>
        </is>
      </c>
      <c r="D946" t="inlineStr">
        <is>
          <t>17.07.2027</t>
        </is>
      </c>
      <c r="E946" t="inlineStr">
        <is>
          <t>India</t>
        </is>
      </c>
    </row>
    <row r="947">
      <c r="A947" t="inlineStr">
        <is>
          <t>SUMATERAJAYA AGROLESTARI,  Pesisir Selatan, Indonesia</t>
        </is>
      </c>
      <c r="B947" t="inlineStr">
        <is>
          <t>Point of Origin</t>
        </is>
      </c>
      <c r="C947" t="inlineStr">
        <is>
          <t>PT. Qualitas Sertifikasi Indonesia, Jakarta, ID</t>
        </is>
      </c>
      <c r="D947" t="inlineStr">
        <is>
          <t>17.07.2027</t>
        </is>
      </c>
      <c r="E947" t="inlineStr">
        <is>
          <t>Indonesia</t>
        </is>
      </c>
    </row>
    <row r="948">
      <c r="A948" t="inlineStr">
        <is>
          <t>Transco Energi Utama,  Kecamatan Pancung Soal Kabupaten Pesisir Selatan, Indonesia</t>
        </is>
      </c>
      <c r="B948" t="inlineStr">
        <is>
          <t>Point of Origin</t>
        </is>
      </c>
      <c r="C948" t="inlineStr">
        <is>
          <t>PT. Qualitas Sertifikasi Indonesia, Jakarta, ID</t>
        </is>
      </c>
      <c r="D948" t="inlineStr">
        <is>
          <t>17.07.2027</t>
        </is>
      </c>
      <c r="E948" t="inlineStr">
        <is>
          <t>Indonesia</t>
        </is>
      </c>
    </row>
    <row r="949">
      <c r="A949" t="inlineStr">
        <is>
          <t>SC RUBIAN COMPANY,  Constanta, Romania</t>
        </is>
      </c>
      <c r="B949" t="inlineStr">
        <is>
          <t>First Gathering Point, Trader with Storage</t>
        </is>
      </c>
      <c r="C949" t="inlineStr">
        <is>
          <t>Control Union Certifications Germany GmbH, Berlin, DE</t>
        </is>
      </c>
      <c r="D949" t="inlineStr">
        <is>
          <t>17.07.2027</t>
        </is>
      </c>
      <c r="E949" t="inlineStr">
        <is>
          <t>Romania</t>
        </is>
      </c>
    </row>
    <row r="950">
      <c r="A950" t="inlineStr">
        <is>
          <t>GESTCOMPOST CENTRO, S.L,  BELINCHÓN, Spain</t>
        </is>
      </c>
      <c r="B950" t="inlineStr">
        <is>
          <t>Collecting Point, Processing Unit</t>
        </is>
      </c>
      <c r="C950" t="inlineStr">
        <is>
          <t>Bureau Veritas Polska Sp. z o.o., Warsaw, PL</t>
        </is>
      </c>
      <c r="D950" t="inlineStr">
        <is>
          <t>17.07.2027</t>
        </is>
      </c>
      <c r="E950" t="inlineStr">
        <is>
          <t>Spain</t>
        </is>
      </c>
    </row>
    <row r="951">
      <c r="A951" t="inlineStr">
        <is>
          <t>Louis Dreyfus Company Wittenberg,  Lutherstadt Wittenberg, Germany</t>
        </is>
      </c>
      <c r="B951" t="inlineStr">
        <is>
          <t>Point of Origin, Processing Unit, Warehouse, Trader</t>
        </is>
      </c>
      <c r="C951" t="inlineStr">
        <is>
          <t>DNV Business Assurance Sweden AB, Solna, SE</t>
        </is>
      </c>
      <c r="D951" t="inlineStr">
        <is>
          <t>17.07.2027</t>
        </is>
      </c>
      <c r="E951" t="inlineStr">
        <is>
          <t>Germany</t>
        </is>
      </c>
    </row>
    <row r="952">
      <c r="A952" t="inlineStr">
        <is>
          <t>Petkoma P.C.,  Piraeus, Greece</t>
        </is>
      </c>
      <c r="B952" t="inlineStr">
        <is>
          <t>Collecting Point</t>
        </is>
      </c>
      <c r="C952" t="inlineStr">
        <is>
          <t>Eurocert SA, Metamorfosi, Athens, GR</t>
        </is>
      </c>
      <c r="D952" t="inlineStr">
        <is>
          <t>17.07.2027</t>
        </is>
      </c>
      <c r="E952" t="inlineStr">
        <is>
          <t>Greece</t>
        </is>
      </c>
    </row>
    <row r="953">
      <c r="A953" t="inlineStr">
        <is>
          <t>ESO TRON d.o.o.,  Rumenka, Serbia</t>
        </is>
      </c>
      <c r="B953" t="inlineStr">
        <is>
          <t>Collecting Point, Processing Unit, Trader with Storage</t>
        </is>
      </c>
      <c r="C953" t="inlineStr">
        <is>
          <t>Bureau Veritas Polska Sp. z o.o., Warsaw, PL</t>
        </is>
      </c>
      <c r="D953" t="inlineStr">
        <is>
          <t>17.07.2027</t>
        </is>
      </c>
      <c r="E953" t="inlineStr">
        <is>
          <t>Serbia</t>
        </is>
      </c>
    </row>
    <row r="954">
      <c r="A954" t="inlineStr">
        <is>
          <t>Northern Straw Co. Limited,  Goole, The United Kingdom</t>
        </is>
      </c>
      <c r="B954" t="inlineStr">
        <is>
          <t>Collecting Point, First Gathering Point</t>
        </is>
      </c>
      <c r="C954" t="inlineStr">
        <is>
          <t>Double Helix Tracking Technologies Pte Ltd, Singapore, SG</t>
        </is>
      </c>
      <c r="D954" t="inlineStr">
        <is>
          <t>17.07.2027</t>
        </is>
      </c>
      <c r="E954" t="inlineStr">
        <is>
          <t>The United Kingdom</t>
        </is>
      </c>
    </row>
    <row r="955">
      <c r="A955" t="inlineStr">
        <is>
          <t>KEM ONE,  Hernani (Gipuzkoa), Spain</t>
        </is>
      </c>
      <c r="B955" t="inlineStr">
        <is>
          <t>Processing Unit</t>
        </is>
      </c>
      <c r="C955" t="inlineStr">
        <is>
          <t>Bureau Veritas Polska Sp. z o.o., Warsaw, PL</t>
        </is>
      </c>
      <c r="D955" t="inlineStr">
        <is>
          <t>17.07.2027</t>
        </is>
      </c>
      <c r="E955" t="inlineStr">
        <is>
          <t>Spain</t>
        </is>
      </c>
    </row>
    <row r="956">
      <c r="A956" t="inlineStr">
        <is>
          <t>FGV Palm Industries Sdn Bhd,  Batang Padang, Malaysia</t>
        </is>
      </c>
      <c r="B956" t="inlineStr">
        <is>
          <t>Point of Origin</t>
        </is>
      </c>
      <c r="C956" t="inlineStr">
        <is>
          <t>Trans Certification and Inspection Sdn Bhd, Kuantan, MY</t>
        </is>
      </c>
      <c r="D956" t="inlineStr">
        <is>
          <t>17.07.2027</t>
        </is>
      </c>
      <c r="E956" t="inlineStr">
        <is>
          <t>Malaysia</t>
        </is>
      </c>
    </row>
    <row r="957">
      <c r="A957" t="inlineStr">
        <is>
          <t>FGV Palm Industries Sdn Bhd,  Rompin, Malaysia</t>
        </is>
      </c>
      <c r="B957" t="inlineStr">
        <is>
          <t>Point of Origin</t>
        </is>
      </c>
      <c r="C957" t="inlineStr">
        <is>
          <t>Trans Certification and Inspection Sdn Bhd, Kuantan, MY</t>
        </is>
      </c>
      <c r="D957" t="inlineStr">
        <is>
          <t>17.07.2027</t>
        </is>
      </c>
      <c r="E957" t="inlineStr">
        <is>
          <t>Malaysia</t>
        </is>
      </c>
    </row>
    <row r="958">
      <c r="A958" t="inlineStr">
        <is>
          <t>FGV Palm Industries Sdn Bhd,  Mukim Chiku, Malaysia</t>
        </is>
      </c>
      <c r="B958" t="inlineStr">
        <is>
          <t>Point of Origin</t>
        </is>
      </c>
      <c r="C958" t="inlineStr">
        <is>
          <t>Trans Certification and Inspection Sdn Bhd, Kuantan, MY</t>
        </is>
      </c>
      <c r="D958" t="inlineStr">
        <is>
          <t>17.07.2027</t>
        </is>
      </c>
      <c r="E958" t="inlineStr">
        <is>
          <t>Malaysia</t>
        </is>
      </c>
    </row>
    <row r="959">
      <c r="A959" t="inlineStr">
        <is>
          <t>FGV Palm Industries Sdn Bhd,  Gua Musang, Malaysia</t>
        </is>
      </c>
      <c r="B959" t="inlineStr">
        <is>
          <t>Point of Origin</t>
        </is>
      </c>
      <c r="C959" t="inlineStr">
        <is>
          <t>Trans Certification and Inspection Sdn Bhd, Kuantan, MY</t>
        </is>
      </c>
      <c r="D959" t="inlineStr">
        <is>
          <t>17.07.2027</t>
        </is>
      </c>
      <c r="E959" t="inlineStr">
        <is>
          <t>Malaysia</t>
        </is>
      </c>
    </row>
    <row r="960">
      <c r="A960" t="inlineStr">
        <is>
          <t>FGV Palm Industries Sdn Bhd,  Tanah Merah, Malaysia</t>
        </is>
      </c>
      <c r="B960" t="inlineStr">
        <is>
          <t>Point of Origin</t>
        </is>
      </c>
      <c r="C960" t="inlineStr">
        <is>
          <t>Trans Certification and Inspection Sdn Bhd, Kuantan, MY</t>
        </is>
      </c>
      <c r="D960" t="inlineStr">
        <is>
          <t>17.07.2027</t>
        </is>
      </c>
      <c r="E960" t="inlineStr">
        <is>
          <t>Malaysia</t>
        </is>
      </c>
    </row>
    <row r="961">
      <c r="A961" t="inlineStr">
        <is>
          <t>FGV Palm Industries Sdn Bhd,  Kota Tinggi, Malaysia</t>
        </is>
      </c>
      <c r="B961" t="inlineStr">
        <is>
          <t>Point of Origin</t>
        </is>
      </c>
      <c r="C961" t="inlineStr">
        <is>
          <t>Trans Certification and Inspection Sdn Bhd, Kuantan, MY</t>
        </is>
      </c>
      <c r="D961" t="inlineStr">
        <is>
          <t>17.07.2027</t>
        </is>
      </c>
      <c r="E961" t="inlineStr">
        <is>
          <t>Malaysia</t>
        </is>
      </c>
    </row>
    <row r="962">
      <c r="A962" t="inlineStr">
        <is>
          <t>Double Corporate Oils &amp; Fats Sdn Bhd,  Mentakab, Malaysia</t>
        </is>
      </c>
      <c r="B962" t="inlineStr">
        <is>
          <t>Collecting Point, Trader with Storage</t>
        </is>
      </c>
      <c r="C962" t="inlineStr">
        <is>
          <t>Trans Certification and Inspection Sdn Bhd, Kuantan, MY</t>
        </is>
      </c>
      <c r="D962" t="inlineStr">
        <is>
          <t>17.07.2027</t>
        </is>
      </c>
      <c r="E962" t="inlineStr">
        <is>
          <t>Malaysia</t>
        </is>
      </c>
    </row>
    <row r="963">
      <c r="A963" t="inlineStr">
        <is>
          <t>FGV Palm Industries,  KOTA TINGGI, Johor, Malaysia</t>
        </is>
      </c>
      <c r="B963" t="inlineStr">
        <is>
          <t>Point of Origin</t>
        </is>
      </c>
      <c r="C963" t="inlineStr">
        <is>
          <t>Trans Certification and Inspection Sdn Bhd, Kuantan, MY</t>
        </is>
      </c>
      <c r="D963" t="inlineStr">
        <is>
          <t>17.07.2027</t>
        </is>
      </c>
      <c r="E963" t="inlineStr">
        <is>
          <t>Malaysia</t>
        </is>
      </c>
    </row>
    <row r="964">
      <c r="A964" t="inlineStr">
        <is>
          <t>FGV Palm Industries Sdn Bhd,  Segamat, Malaysia</t>
        </is>
      </c>
      <c r="B964" t="inlineStr">
        <is>
          <t>Point of Origin</t>
        </is>
      </c>
      <c r="C964" t="inlineStr">
        <is>
          <t>Trans Certification and Inspection Sdn Bhd, Kuantan, MY</t>
        </is>
      </c>
      <c r="D964" t="inlineStr">
        <is>
          <t>17.07.2027</t>
        </is>
      </c>
      <c r="E964" t="inlineStr">
        <is>
          <t>Malaysia</t>
        </is>
      </c>
    </row>
    <row r="965">
      <c r="A965" t="inlineStr">
        <is>
          <t>FGV Palm Industries Sdn Bhd,  Bandar Penawar, Malaysia</t>
        </is>
      </c>
      <c r="B965" t="inlineStr">
        <is>
          <t>Point of Origin</t>
        </is>
      </c>
      <c r="C965" t="inlineStr">
        <is>
          <t>Trans Certification and Inspection Sdn Bhd, Kuantan, MY</t>
        </is>
      </c>
      <c r="D965" t="inlineStr">
        <is>
          <t>17.07.2027</t>
        </is>
      </c>
      <c r="E965" t="inlineStr">
        <is>
          <t>Malaysia</t>
        </is>
      </c>
    </row>
    <row r="966">
      <c r="A966" t="inlineStr">
        <is>
          <t>FGV Palm Industries Sdn Bhd,  Kluang, Malaysia</t>
        </is>
      </c>
      <c r="B966" t="inlineStr">
        <is>
          <t>Point of Origin</t>
        </is>
      </c>
      <c r="C966" t="inlineStr">
        <is>
          <t>Trans Certification and Inspection Sdn Bhd, Kuantan, MY</t>
        </is>
      </c>
      <c r="D966" t="inlineStr">
        <is>
          <t>17.07.2027</t>
        </is>
      </c>
      <c r="E966" t="inlineStr">
        <is>
          <t>Malaysia</t>
        </is>
      </c>
    </row>
    <row r="967">
      <c r="A967" t="inlineStr">
        <is>
          <t>FGV Palm Industries Sdn Bhd,  Muadzam Shah, Malaysia</t>
        </is>
      </c>
      <c r="B967" t="inlineStr">
        <is>
          <t>Point of Origin</t>
        </is>
      </c>
      <c r="C967" t="inlineStr">
        <is>
          <t>Trans Certification and Inspection Sdn Bhd, Kuantan, MY</t>
        </is>
      </c>
      <c r="D967" t="inlineStr">
        <is>
          <t>17.07.2027</t>
        </is>
      </c>
      <c r="E967" t="inlineStr">
        <is>
          <t>Malaysia</t>
        </is>
      </c>
    </row>
    <row r="968">
      <c r="A968" t="inlineStr">
        <is>
          <t>Kanola Biofuels B.V.,  Lexmond, The Netherlands</t>
        </is>
      </c>
      <c r="B968" t="inlineStr">
        <is>
          <t>Collecting Point, Trader with Storage, Processing Unit</t>
        </is>
      </c>
      <c r="C968" t="inlineStr">
        <is>
          <t>DEKRA Certification B.V., Arnhem, NL</t>
        </is>
      </c>
      <c r="D968" t="inlineStr">
        <is>
          <t>16.07.2027</t>
        </is>
      </c>
      <c r="E968" t="inlineStr">
        <is>
          <t>The Netherlands</t>
        </is>
      </c>
    </row>
    <row r="969">
      <c r="A969" t="inlineStr">
        <is>
          <t>AGROZAH 2005,  Pogoanele, Romania</t>
        </is>
      </c>
      <c r="B969" t="inlineStr">
        <is>
          <t>First Gathering Point, Trader with Storage</t>
        </is>
      </c>
      <c r="C969" t="inlineStr">
        <is>
          <t>PT Intertek Utama Services, Jakarta, ID</t>
        </is>
      </c>
      <c r="D969" t="inlineStr">
        <is>
          <t>16.07.2027</t>
        </is>
      </c>
      <c r="E969" t="inlineStr">
        <is>
          <t>Romania</t>
        </is>
      </c>
    </row>
    <row r="970">
      <c r="A970" t="inlineStr">
        <is>
          <t>Soufflet Agro Bulgaria LTD,  Sofia, Bulgaria</t>
        </is>
      </c>
      <c r="B970" t="inlineStr">
        <is>
          <t>First Gathering Point, Trader</t>
        </is>
      </c>
      <c r="C970" t="inlineStr">
        <is>
          <t>Control Union Poland Sp. z o.o., Zielona Gora, PL</t>
        </is>
      </c>
      <c r="D970" t="inlineStr">
        <is>
          <t>16.07.2027</t>
        </is>
      </c>
      <c r="E970" t="inlineStr">
        <is>
          <t>Bulgaria</t>
        </is>
      </c>
    </row>
    <row r="971">
      <c r="A971" t="inlineStr">
        <is>
          <t>BRANCH OF TRUONG AN AGRICULTURAL PRODUCTS TRADING AND SERVICES JOINT STOCK COMPANY IN BINH DUONG,  Hamlet 4, Tru Van Tho Commune, Ho Chi Minh City, Vietnam</t>
        </is>
      </c>
      <c r="B971" t="inlineStr">
        <is>
          <t>Collecting Point, Point of Origin, Processing Unit, Trader with Storage</t>
        </is>
      </c>
      <c r="C971" t="inlineStr">
        <is>
          <t>BM Certification, Riga, LV</t>
        </is>
      </c>
      <c r="D971" t="inlineStr">
        <is>
          <t>16.07.2027</t>
        </is>
      </c>
      <c r="E971" t="inlineStr">
        <is>
          <t>Vietnam</t>
        </is>
      </c>
    </row>
    <row r="972">
      <c r="A972" t="inlineStr">
        <is>
          <t>MVKS, spol. s r. o.,  Tálín, Czech Republic</t>
        </is>
      </c>
      <c r="B972" t="inlineStr">
        <is>
          <t>First Gathering Point, Trader</t>
        </is>
      </c>
      <c r="C972" t="inlineStr">
        <is>
          <t>TÜV SÜD Czech s.r.o., Praha 4, CZ</t>
        </is>
      </c>
      <c r="D972" t="inlineStr">
        <is>
          <t>16.07.2027</t>
        </is>
      </c>
      <c r="E972" t="inlineStr">
        <is>
          <t>Czech Republic</t>
        </is>
      </c>
    </row>
    <row r="973">
      <c r="A973" t="inlineStr">
        <is>
          <t>Agro Baden Banat SRL,  Sanmartinu Sarbesc, Romania</t>
        </is>
      </c>
      <c r="B973" t="inlineStr">
        <is>
          <t>First Gathering Point</t>
        </is>
      </c>
      <c r="C973" t="inlineStr">
        <is>
          <t>SGS Germany GmbH, Emstek, DE</t>
        </is>
      </c>
      <c r="D973" t="inlineStr">
        <is>
          <t>16.07.2027</t>
        </is>
      </c>
      <c r="E973" t="inlineStr">
        <is>
          <t>Romania</t>
        </is>
      </c>
    </row>
    <row r="974">
      <c r="A974" t="inlineStr">
        <is>
          <t>UAB Rietavo veterinarine sanitarija,  Kalakutiškės k., Lithuania</t>
        </is>
      </c>
      <c r="B974" t="inlineStr">
        <is>
          <t>Trader with Storage, Collecting Point, Point of Origin</t>
        </is>
      </c>
      <c r="C974" t="inlineStr">
        <is>
          <t>Bureau Veritas Polska Sp. z o.o., Warsaw, PL</t>
        </is>
      </c>
      <c r="D974" t="inlineStr">
        <is>
          <t>16.07.2027</t>
        </is>
      </c>
      <c r="E974" t="inlineStr">
        <is>
          <t>Lithuania</t>
        </is>
      </c>
    </row>
    <row r="975">
      <c r="A975" t="inlineStr">
        <is>
          <t>MEDILUX OILS &amp; FATS SDN BHD,  Port klang, Malaysia</t>
        </is>
      </c>
      <c r="B975" t="inlineStr">
        <is>
          <t>Trader with Storage</t>
        </is>
      </c>
      <c r="C975" t="inlineStr">
        <is>
          <t>Global Gateway Certifications Sdn Bhd, Ampang, MY</t>
        </is>
      </c>
      <c r="D975" t="inlineStr">
        <is>
          <t>16.07.2027</t>
        </is>
      </c>
      <c r="E975" t="inlineStr">
        <is>
          <t>Malaysia</t>
        </is>
      </c>
    </row>
    <row r="976">
      <c r="A976" t="inlineStr">
        <is>
          <t>SHANDONG HAIKE IMPORT AND EXPORT CO., LTD.,  Dongying City，Shandong Province, China</t>
        </is>
      </c>
      <c r="B976" t="inlineStr">
        <is>
          <t>Trader with Storage</t>
        </is>
      </c>
      <c r="C976" t="inlineStr">
        <is>
          <t>China Standard Conformity Assessment Co. Ltd, Beijing, CN</t>
        </is>
      </c>
      <c r="D976" t="inlineStr">
        <is>
          <t>16.07.2027</t>
        </is>
      </c>
      <c r="E976" t="inlineStr">
        <is>
          <t>China</t>
        </is>
      </c>
    </row>
    <row r="977">
      <c r="A977" t="inlineStr">
        <is>
          <t>Agriprime Global Commodities GmbH,  Zug, Switzerland</t>
        </is>
      </c>
      <c r="B977" t="inlineStr">
        <is>
          <t>Trader</t>
        </is>
      </c>
      <c r="C977" t="inlineStr">
        <is>
          <t>Baltic Control Certification, Albertslund, DK</t>
        </is>
      </c>
      <c r="D977" t="inlineStr">
        <is>
          <t>16.07.2027</t>
        </is>
      </c>
      <c r="E977" t="inlineStr">
        <is>
          <t>Switzerland</t>
        </is>
      </c>
    </row>
    <row r="978">
      <c r="A978" t="inlineStr">
        <is>
          <t>Braskem S.A –Unit PP3,  Paulínia, Brazil</t>
        </is>
      </c>
      <c r="B978" t="inlineStr">
        <is>
          <t>Processing Unit</t>
        </is>
      </c>
      <c r="C978" t="inlineStr">
        <is>
          <t>SGS Germany GmbH, Emstek, DE</t>
        </is>
      </c>
      <c r="D978" t="inlineStr">
        <is>
          <t>16.07.2027</t>
        </is>
      </c>
      <c r="E978" t="inlineStr">
        <is>
          <t>Brazil</t>
        </is>
      </c>
    </row>
    <row r="979">
      <c r="A979" t="inlineStr">
        <is>
          <t>Geber Technology Sdn Bhd,  Kuantan, Malaysia</t>
        </is>
      </c>
      <c r="B979" t="inlineStr">
        <is>
          <t>Trader with Storage</t>
        </is>
      </c>
      <c r="C979" t="inlineStr">
        <is>
          <t>Global Gateway Certifications Sdn Bhd, Ampang, MY</t>
        </is>
      </c>
      <c r="D979" t="inlineStr">
        <is>
          <t>16.07.2027</t>
        </is>
      </c>
      <c r="E979" t="inlineStr">
        <is>
          <t>Malaysia</t>
        </is>
      </c>
    </row>
    <row r="980">
      <c r="A980" t="inlineStr">
        <is>
          <t>Blue Ocean Inter Hub,  Chatuchak Sub-District, Thailand</t>
        </is>
      </c>
      <c r="B980" t="inlineStr">
        <is>
          <t>Trader with Storage</t>
        </is>
      </c>
      <c r="C980" t="inlineStr">
        <is>
          <t>Control Union Poland Sp. z o.o., Zielona Gora, PL</t>
        </is>
      </c>
      <c r="D980" t="inlineStr">
        <is>
          <t>16.07.2027</t>
        </is>
      </c>
      <c r="E980" t="inlineStr">
        <is>
          <t>Thailand</t>
        </is>
      </c>
    </row>
    <row r="981">
      <c r="A981" t="inlineStr">
        <is>
          <t>Jiangsu Jiyi New Material Co., Ltd.,  Xuzhou, Jiangsu, China</t>
        </is>
      </c>
      <c r="B981" t="inlineStr">
        <is>
          <t>Processing Unit</t>
        </is>
      </c>
      <c r="C981" t="inlineStr">
        <is>
          <t>RINA Services S.p.A., Genova, IT</t>
        </is>
      </c>
      <c r="D981" t="inlineStr">
        <is>
          <t>16.07.2027</t>
        </is>
      </c>
      <c r="E981" t="inlineStr">
        <is>
          <t>China</t>
        </is>
      </c>
    </row>
    <row r="982">
      <c r="A982" t="inlineStr">
        <is>
          <t>Jiangsu Yangjing Material Supply Co., Ltd,  Lianyungang, Jiangsu, CHINA, China</t>
        </is>
      </c>
      <c r="B982" t="inlineStr">
        <is>
          <t>Trader</t>
        </is>
      </c>
      <c r="C982" t="inlineStr">
        <is>
          <t>RINA Services S.p.A., Genova, IT</t>
        </is>
      </c>
      <c r="D982" t="inlineStr">
        <is>
          <t>16.07.2027</t>
        </is>
      </c>
      <c r="E982" t="inlineStr">
        <is>
          <t>China</t>
        </is>
      </c>
    </row>
    <row r="983">
      <c r="A983" t="inlineStr">
        <is>
          <t>FTE CLEAN ENVIRONMENT COMPANY LIMITED,  Tay Ninh, Vietnam</t>
        </is>
      </c>
      <c r="B983" t="inlineStr">
        <is>
          <t>Collecting Point, Processing Unit</t>
        </is>
      </c>
      <c r="C983" t="inlineStr">
        <is>
          <t>RINA Services S.p.A., Genova, IT</t>
        </is>
      </c>
      <c r="D983" t="inlineStr">
        <is>
          <t>16.07.2027</t>
        </is>
      </c>
      <c r="E983" t="inlineStr">
        <is>
          <t>Vietnam</t>
        </is>
      </c>
    </row>
    <row r="984">
      <c r="A984" t="inlineStr">
        <is>
          <t>Hunan Ruixida New Material Technology Co., Ltd.,  Yueyang City, China</t>
        </is>
      </c>
      <c r="B984" t="inlineStr">
        <is>
          <t>Collecting Point, Processing Unit, Trader with Storage</t>
        </is>
      </c>
      <c r="C984" t="inlineStr">
        <is>
          <t>RINA Services S.p.A., Genova, IT</t>
        </is>
      </c>
      <c r="D984" t="inlineStr">
        <is>
          <t>16.07.2027</t>
        </is>
      </c>
      <c r="E984" t="inlineStr">
        <is>
          <t>China</t>
        </is>
      </c>
    </row>
    <row r="985">
      <c r="A985" t="inlineStr">
        <is>
          <t>AGRI OILS RENEWABLES PTE LTD,  Singapore, Singapore</t>
        </is>
      </c>
      <c r="B985" t="inlineStr">
        <is>
          <t>Trader</t>
        </is>
      </c>
      <c r="C985" t="inlineStr">
        <is>
          <t>Trans Certification and Inspection Sdn Bhd, Kuantan, MY</t>
        </is>
      </c>
      <c r="D985" t="inlineStr">
        <is>
          <t>16.07.2027</t>
        </is>
      </c>
      <c r="E985" t="inlineStr">
        <is>
          <t>Singapore</t>
        </is>
      </c>
    </row>
    <row r="986">
      <c r="A986" t="inlineStr">
        <is>
          <t>DAIREN CHEMICAL (M) SDN BHD,  PASIR GUDANG, Malaysia</t>
        </is>
      </c>
      <c r="B986" t="inlineStr">
        <is>
          <t>Processing Unit</t>
        </is>
      </c>
      <c r="C986" t="inlineStr">
        <is>
          <t>Trans Certification and Inspection Sdn Bhd, Kuantan, MY</t>
        </is>
      </c>
      <c r="D986" t="inlineStr">
        <is>
          <t>16.07.2027</t>
        </is>
      </c>
      <c r="E986" t="inlineStr">
        <is>
          <t>Malaysia</t>
        </is>
      </c>
    </row>
    <row r="987">
      <c r="A987" t="inlineStr">
        <is>
          <t>Xiangtan Huigang New Energy Development Co., Ltd,  Xiangtan County, Xiangtan City, China</t>
        </is>
      </c>
      <c r="B987" t="inlineStr">
        <is>
          <t>Collecting Point</t>
        </is>
      </c>
      <c r="C987" t="inlineStr">
        <is>
          <t>RINA Services S.p.A., Genova, IT</t>
        </is>
      </c>
      <c r="D987" t="inlineStr">
        <is>
          <t>16.07.2027</t>
        </is>
      </c>
      <c r="E987" t="inlineStr">
        <is>
          <t>China</t>
        </is>
      </c>
    </row>
    <row r="988">
      <c r="A988" t="inlineStr">
        <is>
          <t>Crin Prod SRL,  Vadu Lat, Romania</t>
        </is>
      </c>
      <c r="B988" t="inlineStr">
        <is>
          <t>First Gathering Point, Trader with Storage</t>
        </is>
      </c>
      <c r="C988" t="inlineStr">
        <is>
          <t>RINA Services S.p.A., Genova, IT</t>
        </is>
      </c>
      <c r="D988" t="inlineStr">
        <is>
          <t>16.07.2027</t>
        </is>
      </c>
      <c r="E988" t="inlineStr">
        <is>
          <t>Romania</t>
        </is>
      </c>
    </row>
    <row r="989">
      <c r="A989" t="inlineStr">
        <is>
          <t>Guangxi Ouruiyuan Environmental Technology Co., Ltd.,  Qinzhou City, Guangxi, China</t>
        </is>
      </c>
      <c r="B989" t="inlineStr">
        <is>
          <t>Collecting Point, Processing Unit, Trader with Storage</t>
        </is>
      </c>
      <c r="C989" t="inlineStr">
        <is>
          <t>RINA Services S.p.A., Genova, IT</t>
        </is>
      </c>
      <c r="D989" t="inlineStr">
        <is>
          <t>16.07.2027</t>
        </is>
      </c>
      <c r="E989" t="inlineStr">
        <is>
          <t>China</t>
        </is>
      </c>
    </row>
    <row r="990">
      <c r="A990" t="inlineStr">
        <is>
          <t>Pla Matels Corporation,  Shizuoka, Japan</t>
        </is>
      </c>
      <c r="B990" t="inlineStr">
        <is>
          <t>Trader</t>
        </is>
      </c>
      <c r="C990" t="inlineStr">
        <is>
          <t>SGS Germany GmbH, Emstek, DE</t>
        </is>
      </c>
      <c r="D990" t="inlineStr">
        <is>
          <t>16.07.2027</t>
        </is>
      </c>
      <c r="E990" t="inlineStr">
        <is>
          <t>Japan</t>
        </is>
      </c>
    </row>
    <row r="991">
      <c r="A991" t="inlineStr">
        <is>
          <t>TTL Trading Solutions Ltd,  Leeds,, The United Kingdom</t>
        </is>
      </c>
      <c r="B991" t="inlineStr">
        <is>
          <t>Collecting Point, Trader with Storage</t>
        </is>
      </c>
      <c r="C991" t="inlineStr">
        <is>
          <t>Aardvark Certification Ltd, Wiveliscombe, Somerset, GB</t>
        </is>
      </c>
      <c r="D991" t="inlineStr">
        <is>
          <t>16.07.2027</t>
        </is>
      </c>
      <c r="E991" t="inlineStr">
        <is>
          <t>The United Kingdom</t>
        </is>
      </c>
    </row>
    <row r="992">
      <c r="A992" t="inlineStr">
        <is>
          <t>RECICLADOS LA ESTRELLA S.L.,  Torredonjimeno, Jaén, Spain</t>
        </is>
      </c>
      <c r="B992" t="inlineStr">
        <is>
          <t>Collecting Point</t>
        </is>
      </c>
      <c r="C992" t="inlineStr">
        <is>
          <t>RINA Services S.p.A., Genova, IT</t>
        </is>
      </c>
      <c r="D992" t="inlineStr">
        <is>
          <t>16.07.2027</t>
        </is>
      </c>
      <c r="E992" t="inlineStr">
        <is>
          <t>Spain</t>
        </is>
      </c>
    </row>
    <row r="993">
      <c r="A993" t="inlineStr">
        <is>
          <t>Cerevia,  Longvic, France</t>
        </is>
      </c>
      <c r="B993" t="inlineStr">
        <is>
          <t>Trader</t>
        </is>
      </c>
      <c r="C993" t="inlineStr">
        <is>
          <t>RINA Services S.p.A., Genova, IT</t>
        </is>
      </c>
      <c r="D993" t="inlineStr">
        <is>
          <t>16.07.2027</t>
        </is>
      </c>
      <c r="E993" t="inlineStr">
        <is>
          <t>France</t>
        </is>
      </c>
    </row>
    <row r="994">
      <c r="A994" t="inlineStr">
        <is>
          <t>Eco System XXI, S.L.,  Laguna de Duero Valladolid, Spain</t>
        </is>
      </c>
      <c r="B994" t="inlineStr">
        <is>
          <t>Collecting Point, Trader with Storage</t>
        </is>
      </c>
      <c r="C994" t="inlineStr">
        <is>
          <t>RINA Services S.p.A., Genova, IT</t>
        </is>
      </c>
      <c r="D994" t="inlineStr">
        <is>
          <t>16.07.2027</t>
        </is>
      </c>
      <c r="E994" t="inlineStr">
        <is>
          <t>Spain</t>
        </is>
      </c>
    </row>
    <row r="995">
      <c r="A995" t="inlineStr">
        <is>
          <t>Alonso Representaciones Litos ,S.L.L,  Litos Zamora, Spain</t>
        </is>
      </c>
      <c r="B995" t="inlineStr">
        <is>
          <t>Collecting Point</t>
        </is>
      </c>
      <c r="C995" t="inlineStr">
        <is>
          <t>RINA Services S.p.A., Genova, IT</t>
        </is>
      </c>
      <c r="D995" t="inlineStr">
        <is>
          <t>16.07.2027</t>
        </is>
      </c>
      <c r="E995" t="inlineStr">
        <is>
          <t>Spain</t>
        </is>
      </c>
    </row>
    <row r="996">
      <c r="A996" t="inlineStr">
        <is>
          <t>D. LAZZARONI &amp; C. S.P.A.,  ISOLA DEL GRAN SASSO D'ITALIA, Italy</t>
        </is>
      </c>
      <c r="B996" t="inlineStr">
        <is>
          <t>Processing Unit</t>
        </is>
      </c>
      <c r="C996" t="inlineStr">
        <is>
          <t>RINA Services S.p.A., Genova, IT</t>
        </is>
      </c>
      <c r="D996" t="inlineStr">
        <is>
          <t>16.07.2027</t>
        </is>
      </c>
      <c r="E996" t="inlineStr">
        <is>
          <t>Italy</t>
        </is>
      </c>
    </row>
    <row r="997">
      <c r="A997" t="inlineStr">
        <is>
          <t>Butan Gas,  Milano, Italy</t>
        </is>
      </c>
      <c r="B997" t="inlineStr">
        <is>
          <t>Trader with Storage</t>
        </is>
      </c>
      <c r="C997" t="inlineStr">
        <is>
          <t>RINA Services S.p.A., Genova, IT</t>
        </is>
      </c>
      <c r="D997" t="inlineStr">
        <is>
          <t>16.07.2027</t>
        </is>
      </c>
      <c r="E997" t="inlineStr">
        <is>
          <t>Italy</t>
        </is>
      </c>
    </row>
    <row r="998">
      <c r="A998" t="inlineStr">
        <is>
          <t>Butan Gas,  Milano, Italy</t>
        </is>
      </c>
      <c r="B998" t="inlineStr">
        <is>
          <t>Trader with Storage</t>
        </is>
      </c>
      <c r="C998" t="inlineStr">
        <is>
          <t>RINA Services S.p.A., Genova, IT</t>
        </is>
      </c>
      <c r="D998" t="inlineStr">
        <is>
          <t>16.07.2027</t>
        </is>
      </c>
      <c r="E998" t="inlineStr">
        <is>
          <t>Italy</t>
        </is>
      </c>
    </row>
    <row r="999">
      <c r="A999" t="inlineStr">
        <is>
          <t>FGV Palm Industries Sdn Bhd,  Kota Tinggi, Malaysia</t>
        </is>
      </c>
      <c r="B999" t="inlineStr">
        <is>
          <t>Point of Origin</t>
        </is>
      </c>
      <c r="C999" t="inlineStr">
        <is>
          <t>Trans Certification and Inspection Sdn Bhd, Kuantan, MY</t>
        </is>
      </c>
      <c r="D999" t="inlineStr">
        <is>
          <t>16.07.2027</t>
        </is>
      </c>
      <c r="E999" t="inlineStr">
        <is>
          <t>Malaysia</t>
        </is>
      </c>
    </row>
    <row r="1000">
      <c r="A1000" t="inlineStr">
        <is>
          <t>Anhui Xinwei Renewable Resources Utilization Co., Ltd,  Hefei City, China</t>
        </is>
      </c>
      <c r="B1000" t="inlineStr">
        <is>
          <t>Collecting Point, Processing Unit</t>
        </is>
      </c>
      <c r="C1000" t="inlineStr">
        <is>
          <t>RINA Services S.p.A., Genova, IT</t>
        </is>
      </c>
      <c r="D1000" t="inlineStr">
        <is>
          <t>16.07.2027</t>
        </is>
      </c>
      <c r="E1000" t="inlineStr">
        <is>
          <t>China</t>
        </is>
      </c>
    </row>
    <row r="1001">
      <c r="A1001" t="inlineStr">
        <is>
          <t>Hunan Ruixida New Material Technology Co., Ltd.,  Yueyang City, China</t>
        </is>
      </c>
      <c r="B1001" t="inlineStr">
        <is>
          <t>Collecting Point, Processing Unit, Trader with Storage</t>
        </is>
      </c>
      <c r="C1001" t="inlineStr">
        <is>
          <t>RINA Services S.p.A., Genova, IT</t>
        </is>
      </c>
      <c r="D1001" t="inlineStr">
        <is>
          <t>16.07.2027</t>
        </is>
      </c>
      <c r="E1001" t="inlineStr">
        <is>
          <t>China</t>
        </is>
      </c>
    </row>
    <row r="1002">
      <c r="A1002" t="inlineStr">
        <is>
          <t>FGV PALM INDUSTRIES,  ROMPIN, Malaysia</t>
        </is>
      </c>
      <c r="B1002" t="inlineStr">
        <is>
          <t>Point of Origin</t>
        </is>
      </c>
      <c r="C1002" t="inlineStr">
        <is>
          <t>Trans Certification and Inspection Sdn Bhd, Kuantan, MY</t>
        </is>
      </c>
      <c r="D1002" t="inlineStr">
        <is>
          <t>16.07.2027</t>
        </is>
      </c>
      <c r="E1002" t="inlineStr">
        <is>
          <t>Malaysia</t>
        </is>
      </c>
    </row>
    <row r="1003">
      <c r="A1003" t="inlineStr">
        <is>
          <t>Sichuan Hengyuntai Environmental Protection Technology Co., Ltd.,  Deyang City, Sichuan Province, China</t>
        </is>
      </c>
      <c r="B1003" t="inlineStr">
        <is>
          <t>Collecting Point</t>
        </is>
      </c>
      <c r="C1003" t="inlineStr">
        <is>
          <t>SCS Global Services, Emeryville, CA, US</t>
        </is>
      </c>
      <c r="D1003" t="inlineStr">
        <is>
          <t>16.07.2027</t>
        </is>
      </c>
      <c r="E1003" t="inlineStr">
        <is>
          <t>China</t>
        </is>
      </c>
    </row>
    <row r="1004">
      <c r="A1004" t="inlineStr">
        <is>
          <t>Sichuan Hengyuntai Environmental Protection Technology Co., Ltd.,  Deyang City, Sichuan Province, China</t>
        </is>
      </c>
      <c r="B1004" t="inlineStr">
        <is>
          <t>Collecting Point</t>
        </is>
      </c>
      <c r="C1004" t="inlineStr">
        <is>
          <t>SCS Global Services, Emeryville, CA, US</t>
        </is>
      </c>
      <c r="D1004" t="inlineStr">
        <is>
          <t>16.07.2027</t>
        </is>
      </c>
      <c r="E1004" t="inlineStr">
        <is>
          <t>China</t>
        </is>
      </c>
    </row>
    <row r="1005">
      <c r="A1005" t="inlineStr">
        <is>
          <t>Seaboard Energy Oklahoma LLC,  Guymon, United States</t>
        </is>
      </c>
      <c r="B1005" t="inlineStr">
        <is>
          <t>Collecting Point, Processing Unit</t>
        </is>
      </c>
      <c r="C1005" t="inlineStr">
        <is>
          <t>SCS Global Services, Emeryville, CA, US</t>
        </is>
      </c>
      <c r="D1005" t="inlineStr">
        <is>
          <t>16.07.2027</t>
        </is>
      </c>
      <c r="E1005" t="inlineStr">
        <is>
          <t>United States</t>
        </is>
      </c>
    </row>
    <row r="1006">
      <c r="A1006" t="inlineStr">
        <is>
          <t>Seaboard Energy Oklahoma LLC,  Guymon, United States</t>
        </is>
      </c>
      <c r="B1006" t="inlineStr">
        <is>
          <t>Collecting Point, Processing Unit</t>
        </is>
      </c>
      <c r="C1006" t="inlineStr">
        <is>
          <t>SCS Global Services, Emeryville, CA, US</t>
        </is>
      </c>
      <c r="D1006" t="inlineStr">
        <is>
          <t>16.07.2027</t>
        </is>
      </c>
      <c r="E1006" t="inlineStr">
        <is>
          <t>United States</t>
        </is>
      </c>
    </row>
    <row r="1007">
      <c r="A1007" t="inlineStr">
        <is>
          <t>Plastchim - T,  Aksakovo, Bulgaria</t>
        </is>
      </c>
      <c r="B1007" t="inlineStr">
        <is>
          <t>Processing Unit</t>
        </is>
      </c>
      <c r="C1007" t="inlineStr">
        <is>
          <t>CertRom SRL, Bucuresti, RO</t>
        </is>
      </c>
      <c r="D1007" t="inlineStr">
        <is>
          <t>16.07.2027</t>
        </is>
      </c>
      <c r="E1007" t="inlineStr">
        <is>
          <t>Bulgaria</t>
        </is>
      </c>
    </row>
    <row r="1008">
      <c r="A1008" t="inlineStr">
        <is>
          <t>RADICI CHIMICA DEUTSCHLAND GmbH,  Elsteraue, Germany</t>
        </is>
      </c>
      <c r="B1008" t="inlineStr">
        <is>
          <t>Processing Unit</t>
        </is>
      </c>
      <c r="C1008" t="inlineStr">
        <is>
          <t>DQS CFS GmbH - Deutsche Gesellschaft für Nachhaltigkeit, Frankfurt am Main, DE</t>
        </is>
      </c>
      <c r="D1008" t="inlineStr">
        <is>
          <t>16.07.2027</t>
        </is>
      </c>
      <c r="E1008" t="inlineStr">
        <is>
          <t>Germany</t>
        </is>
      </c>
    </row>
    <row r="1009">
      <c r="A1009" t="inlineStr">
        <is>
          <t>Nantong Fuhua Medical Packing Co.,ltd,  Nantong, China</t>
        </is>
      </c>
      <c r="B1009" t="inlineStr">
        <is>
          <t>Processing Unit</t>
        </is>
      </c>
      <c r="C1009" t="inlineStr">
        <is>
          <t>China Testing &amp; Certification International Group Co., Ltd., Beijing, CN</t>
        </is>
      </c>
      <c r="D1009" t="inlineStr">
        <is>
          <t>16.07.2027</t>
        </is>
      </c>
      <c r="E1009" t="inlineStr">
        <is>
          <t>China</t>
        </is>
      </c>
    </row>
    <row r="1010">
      <c r="A1010" t="inlineStr">
        <is>
          <t>Foresa France,  Ambares et Lagrave, France</t>
        </is>
      </c>
      <c r="B1010" t="inlineStr">
        <is>
          <t>Trader with Storage</t>
        </is>
      </c>
      <c r="C1010" t="inlineStr">
        <is>
          <t>Amspec Iberia SL, Vilagarcia de Arousa-Pontevedra, ES</t>
        </is>
      </c>
      <c r="D1010" t="inlineStr">
        <is>
          <t>16.07.2027</t>
        </is>
      </c>
      <c r="E1010" t="inlineStr">
        <is>
          <t>France</t>
        </is>
      </c>
    </row>
    <row r="1011">
      <c r="A1011" t="inlineStr">
        <is>
          <t>Foresa France,  Ambares et Lagrave, France</t>
        </is>
      </c>
      <c r="B1011" t="inlineStr">
        <is>
          <t>Processing Unit, Trader with Storage</t>
        </is>
      </c>
      <c r="C1011" t="inlineStr">
        <is>
          <t>Amspec Iberia SL, Vilagarcia de Arousa-Pontevedra, ES</t>
        </is>
      </c>
      <c r="D1011" t="inlineStr">
        <is>
          <t>16.07.2027</t>
        </is>
      </c>
      <c r="E1011" t="inlineStr">
        <is>
          <t>France</t>
        </is>
      </c>
    </row>
    <row r="1012">
      <c r="A1012" t="inlineStr">
        <is>
          <t>St1 Norge AS,  Oslo, Norway</t>
        </is>
      </c>
      <c r="B1012" t="inlineStr">
        <is>
          <t>Proof of Compliance Trader, Trader</t>
        </is>
      </c>
      <c r="C1012" t="inlineStr">
        <is>
          <t>SCS Global Services, Emeryville, CA, US</t>
        </is>
      </c>
      <c r="D1012" t="inlineStr">
        <is>
          <t>16.07.2027</t>
        </is>
      </c>
      <c r="E1012" t="inlineStr">
        <is>
          <t>Norway</t>
        </is>
      </c>
    </row>
    <row r="1013">
      <c r="A1013" t="inlineStr">
        <is>
          <t>Fainplast,  Ascoli Piceno, Italy</t>
        </is>
      </c>
      <c r="B1013" t="inlineStr">
        <is>
          <t>Processing Unit</t>
        </is>
      </c>
      <c r="C1013" t="inlineStr">
        <is>
          <t>DNV Business Assurance Sweden AB, Solna, SE</t>
        </is>
      </c>
      <c r="D1013" t="inlineStr">
        <is>
          <t>16.07.2027</t>
        </is>
      </c>
      <c r="E1013" t="inlineStr">
        <is>
          <t>Italy</t>
        </is>
      </c>
    </row>
    <row r="1014">
      <c r="A1014" t="inlineStr">
        <is>
          <t>Nouryon Chemicals (Ningbo) Co., Ltd.,  Zhenhai District, Ningbo, Zhejiang, China</t>
        </is>
      </c>
      <c r="B1014" t="inlineStr">
        <is>
          <t>Processing Unit</t>
        </is>
      </c>
      <c r="C1014" t="inlineStr">
        <is>
          <t>China Classification Society Certification Co., Ltd, Dong Cheng District, Beijing, CN</t>
        </is>
      </c>
      <c r="D1014" t="inlineStr">
        <is>
          <t>16.07.2027</t>
        </is>
      </c>
      <c r="E1014" t="inlineStr">
        <is>
          <t>China</t>
        </is>
      </c>
    </row>
    <row r="1015">
      <c r="A1015" t="inlineStr">
        <is>
          <t>St1 Suomi Oy,  Helsinki, Finland</t>
        </is>
      </c>
      <c r="B1015" t="inlineStr">
        <is>
          <t>Trader, Proof of Compliance Trader</t>
        </is>
      </c>
      <c r="C1015" t="inlineStr">
        <is>
          <t>SCS Global Services, Emeryville, CA, US</t>
        </is>
      </c>
      <c r="D1015" t="inlineStr">
        <is>
          <t>16.07.2027</t>
        </is>
      </c>
      <c r="E1015" t="inlineStr">
        <is>
          <t>Finland</t>
        </is>
      </c>
    </row>
    <row r="1016">
      <c r="A1016" t="inlineStr">
        <is>
          <t>DOLAGRAS,  LA LINEA DE LA CONCEPCIÓN (CÁDIZ), Spain</t>
        </is>
      </c>
      <c r="B1016" t="inlineStr">
        <is>
          <t>Collecting Point</t>
        </is>
      </c>
      <c r="C1016" t="inlineStr">
        <is>
          <t>Amspec Iberia SL, Vilagarcia de Arousa-Pontevedra, ES</t>
        </is>
      </c>
      <c r="D1016" t="inlineStr">
        <is>
          <t>16.07.2027</t>
        </is>
      </c>
      <c r="E1016" t="inlineStr">
        <is>
          <t>Spain</t>
        </is>
      </c>
    </row>
    <row r="1017">
      <c r="A1017" t="inlineStr">
        <is>
          <t>Sabio fuels s.r.l,  Castenedolo (BS), Italy</t>
        </is>
      </c>
      <c r="B1017" t="inlineStr">
        <is>
          <t>Point of Origin, Processing Unit, Trader with Storage</t>
        </is>
      </c>
      <c r="C1017" t="inlineStr">
        <is>
          <t>Bureau Veritas Polska Sp. z o.o., Warsaw, PL</t>
        </is>
      </c>
      <c r="D1017" t="inlineStr">
        <is>
          <t>16.07.2027</t>
        </is>
      </c>
      <c r="E1017" t="inlineStr">
        <is>
          <t>Italy</t>
        </is>
      </c>
    </row>
    <row r="1018">
      <c r="A1018" t="inlineStr">
        <is>
          <t>Betapack,  IRUN, Spain</t>
        </is>
      </c>
      <c r="B1018" t="inlineStr">
        <is>
          <t>Processing Unit</t>
        </is>
      </c>
      <c r="C1018" t="inlineStr">
        <is>
          <t>BMC Assurance, S.L, Santander, ES</t>
        </is>
      </c>
      <c r="D1018" t="inlineStr">
        <is>
          <t>16.07.2027</t>
        </is>
      </c>
      <c r="E1018" t="inlineStr">
        <is>
          <t>Spain</t>
        </is>
      </c>
    </row>
    <row r="1019">
      <c r="A1019" t="inlineStr">
        <is>
          <t>PARA MEMBRANES CO., LTD.,  Mado-myeon, Hwaseong-si, Gyeonggi-do, The Republic of Korea</t>
        </is>
      </c>
      <c r="B1019" t="inlineStr">
        <is>
          <t>Trader with Storage, Final Product Refinement</t>
        </is>
      </c>
      <c r="C1019" t="inlineStr">
        <is>
          <t>Control Union Certifications Germany GmbH, Berlin, DE</t>
        </is>
      </c>
      <c r="D1019" t="inlineStr">
        <is>
          <t>16.07.2027</t>
        </is>
      </c>
      <c r="E1019" t="inlineStr">
        <is>
          <t>The Republic of Korea</t>
        </is>
      </c>
    </row>
    <row r="1020">
      <c r="A1020" t="inlineStr">
        <is>
          <t>Valency international trading SACA,  Abidjan, Ivory Coast</t>
        </is>
      </c>
      <c r="B1020" t="inlineStr">
        <is>
          <t>Collecting Point, Point of Origin, Processing Unit, Trader with Storage</t>
        </is>
      </c>
      <c r="C1020" t="inlineStr">
        <is>
          <t>SGS Germany GmbH, Emstek, DE</t>
        </is>
      </c>
      <c r="D1020" t="inlineStr">
        <is>
          <t>16.07.2027</t>
        </is>
      </c>
      <c r="E1020" t="inlineStr">
        <is>
          <t>Ivory Coast</t>
        </is>
      </c>
    </row>
    <row r="1021">
      <c r="A1021" t="inlineStr">
        <is>
          <t>SK Chemicals GmbH,  Eschborn, Germany</t>
        </is>
      </c>
      <c r="B1021" t="inlineStr">
        <is>
          <t>Trader with Storage</t>
        </is>
      </c>
      <c r="C1021" t="inlineStr">
        <is>
          <t>Control Union Certifications Germany GmbH, Berlin, DE</t>
        </is>
      </c>
      <c r="D1021" t="inlineStr">
        <is>
          <t>16.07.2027</t>
        </is>
      </c>
      <c r="E1021" t="inlineStr">
        <is>
          <t>Germany</t>
        </is>
      </c>
    </row>
    <row r="1022">
      <c r="A1022" t="inlineStr">
        <is>
          <t>Exxon Ltd,  Wanchai, Hong Kong (SAR)</t>
        </is>
      </c>
      <c r="B1022" t="inlineStr">
        <is>
          <t>Trader with Storage</t>
        </is>
      </c>
      <c r="C1022" t="inlineStr">
        <is>
          <t>Control Union Certifications Germany GmbH, Berlin, DE</t>
        </is>
      </c>
      <c r="D1022" t="inlineStr">
        <is>
          <t>16.07.2027</t>
        </is>
      </c>
      <c r="E1022" t="inlineStr">
        <is>
          <t>Hong Kong (SAR)</t>
        </is>
      </c>
    </row>
    <row r="1023">
      <c r="A1023" t="inlineStr">
        <is>
          <t>Societe Cooperative Agricole Dijon Cereales,  LONGVIC, France</t>
        </is>
      </c>
      <c r="B1023" t="inlineStr">
        <is>
          <t>First Gathering Point</t>
        </is>
      </c>
      <c r="C1023" t="inlineStr">
        <is>
          <t>RINA Services S.p.A., Genova, IT</t>
        </is>
      </c>
      <c r="D1023" t="inlineStr">
        <is>
          <t>16.07.2027</t>
        </is>
      </c>
      <c r="E1023" t="inlineStr">
        <is>
          <t>France</t>
        </is>
      </c>
    </row>
    <row r="1024">
      <c r="A1024" t="inlineStr">
        <is>
          <t>PT. LANGKAT SAWITHIJAU PRATAMA,  Kec. Bahorok, Kab. Langkat, Indonesia</t>
        </is>
      </c>
      <c r="B1024" t="inlineStr">
        <is>
          <t>Point of Origin</t>
        </is>
      </c>
      <c r="C1024" t="inlineStr">
        <is>
          <t>PT. Qualitas Sertifikasi Indonesia, Jakarta, ID</t>
        </is>
      </c>
      <c r="D1024" t="inlineStr">
        <is>
          <t>16.07.2027</t>
        </is>
      </c>
      <c r="E1024" t="inlineStr">
        <is>
          <t>Indonesia</t>
        </is>
      </c>
    </row>
    <row r="1025">
      <c r="A1025" t="inlineStr">
        <is>
          <t>Bourgogne du Sud,  Verdun Ciel, France</t>
        </is>
      </c>
      <c r="B1025" t="inlineStr">
        <is>
          <t>First Gathering Point</t>
        </is>
      </c>
      <c r="C1025" t="inlineStr">
        <is>
          <t>RINA Services S.p.A., Genova, IT</t>
        </is>
      </c>
      <c r="D1025" t="inlineStr">
        <is>
          <t>16.07.2027</t>
        </is>
      </c>
      <c r="E1025" t="inlineStr">
        <is>
          <t>France</t>
        </is>
      </c>
    </row>
    <row r="1026">
      <c r="A1026" t="inlineStr">
        <is>
          <t>Twence B.V.,  Zenderen, The Netherlands</t>
        </is>
      </c>
      <c r="B1026" t="inlineStr">
        <is>
          <t>Collecting Point, Processing Unit</t>
        </is>
      </c>
      <c r="C1026" t="inlineStr">
        <is>
          <t>DEKRA Certification B.V., Arnhem, NL</t>
        </is>
      </c>
      <c r="D1026" t="inlineStr">
        <is>
          <t>16.07.2027</t>
        </is>
      </c>
      <c r="E1026" t="inlineStr">
        <is>
          <t>The Netherlands</t>
        </is>
      </c>
    </row>
    <row r="1027">
      <c r="A1027" t="inlineStr">
        <is>
          <t>Vinnytska Ptakhofabryka,  Vasylivka village, Haisyn distr., Vinnytsia region, Ukraine</t>
        </is>
      </c>
      <c r="B1027" t="inlineStr">
        <is>
          <t>Collecting Point, Processing Unit</t>
        </is>
      </c>
      <c r="C1027" t="inlineStr">
        <is>
          <t>BM Certification, Riga, LV</t>
        </is>
      </c>
      <c r="D1027" t="inlineStr">
        <is>
          <t>16.07.2027</t>
        </is>
      </c>
      <c r="E1027" t="inlineStr">
        <is>
          <t>Ukraine</t>
        </is>
      </c>
    </row>
    <row r="1028">
      <c r="A1028" t="inlineStr">
        <is>
          <t>Coveris Winsford,  Winsford, The United Kingdom</t>
        </is>
      </c>
      <c r="B1028" t="inlineStr">
        <is>
          <t>Processing Unit</t>
        </is>
      </c>
      <c r="C1028" t="inlineStr">
        <is>
          <t>SGS Germany GmbH, Emstek, DE</t>
        </is>
      </c>
      <c r="D1028" t="inlineStr">
        <is>
          <t>16.07.2027</t>
        </is>
      </c>
      <c r="E1028" t="inlineStr">
        <is>
          <t>The United Kingdom</t>
        </is>
      </c>
    </row>
    <row r="1029">
      <c r="A1029" t="inlineStr">
        <is>
          <t>COVERIS FLEXIBLES AUSTRIA GmbH,  Langkampfen, Austria</t>
        </is>
      </c>
      <c r="B1029" t="inlineStr">
        <is>
          <t>Processing Unit</t>
        </is>
      </c>
      <c r="C1029" t="inlineStr">
        <is>
          <t>SGS Germany GmbH, Emstek, DE</t>
        </is>
      </c>
      <c r="D1029" t="inlineStr">
        <is>
          <t>16.07.2027</t>
        </is>
      </c>
      <c r="E1029" t="inlineStr">
        <is>
          <t>Austria</t>
        </is>
      </c>
    </row>
    <row r="1030">
      <c r="A1030" t="inlineStr">
        <is>
          <t>Tianjin Taixin Chemical Logistics Co., Ltd,  Tianjin City, China</t>
        </is>
      </c>
      <c r="B1030" t="inlineStr">
        <is>
          <t>Warehouse</t>
        </is>
      </c>
      <c r="C1030" t="inlineStr">
        <is>
          <t>SCS Global Services, Emeryville, CA, US</t>
        </is>
      </c>
      <c r="D1030" t="inlineStr">
        <is>
          <t>16.07.2027</t>
        </is>
      </c>
      <c r="E1030" t="inlineStr">
        <is>
          <t>China</t>
        </is>
      </c>
    </row>
    <row r="1031">
      <c r="A1031" t="inlineStr">
        <is>
          <t>FARMFUSION TRADEHOUSE OÜ,  Poltava, Ukraine</t>
        </is>
      </c>
      <c r="B1031" t="inlineStr">
        <is>
          <t>First Gathering Point, Trader with Storage</t>
        </is>
      </c>
      <c r="C1031" t="inlineStr">
        <is>
          <t>Bureau Veritas Polska Sp. z o.o., Warsaw, PL</t>
        </is>
      </c>
      <c r="D1031" t="inlineStr">
        <is>
          <t>16.07.2027</t>
        </is>
      </c>
      <c r="E1031" t="inlineStr">
        <is>
          <t>Ukraine</t>
        </is>
      </c>
    </row>
    <row r="1032">
      <c r="A1032" t="inlineStr">
        <is>
          <t>Weixian Enjie New Energy Co., Ltd.,  Handan City, Hebei Province, China</t>
        </is>
      </c>
      <c r="B1032" t="inlineStr">
        <is>
          <t>Trader</t>
        </is>
      </c>
      <c r="C1032" t="inlineStr">
        <is>
          <t>CTI Certification Co. Ltd, Shenzhen, CN</t>
        </is>
      </c>
      <c r="D1032" t="inlineStr">
        <is>
          <t>16.07.2027</t>
        </is>
      </c>
      <c r="E1032" t="inlineStr">
        <is>
          <t>China</t>
        </is>
      </c>
    </row>
    <row r="1033">
      <c r="A1033" t="inlineStr">
        <is>
          <t>Woodcomposite Sweden AB,  Hyltebruk, Sweden</t>
        </is>
      </c>
      <c r="B1033" t="inlineStr">
        <is>
          <t>Processing Unit</t>
        </is>
      </c>
      <c r="C1033" t="inlineStr">
        <is>
          <t>DNV Business Assurance Sweden AB, Solna, SE</t>
        </is>
      </c>
      <c r="D1033" t="inlineStr">
        <is>
          <t>15.07.2027</t>
        </is>
      </c>
      <c r="E1033" t="inlineStr">
        <is>
          <t>Sweden</t>
        </is>
      </c>
    </row>
    <row r="1034">
      <c r="A1034" t="inlineStr">
        <is>
          <t>J.J Richards &amp; Sons,  Cleveland, Australia</t>
        </is>
      </c>
      <c r="B1034" t="inlineStr">
        <is>
          <t>Collecting Point</t>
        </is>
      </c>
      <c r="C1034" t="inlineStr">
        <is>
          <t>Control Union Certifications Germany GmbH, Berlin, DE</t>
        </is>
      </c>
      <c r="D1034" t="inlineStr">
        <is>
          <t>15.07.2027</t>
        </is>
      </c>
      <c r="E1034" t="inlineStr">
        <is>
          <t>Australia</t>
        </is>
      </c>
    </row>
    <row r="1035">
      <c r="A1035" t="inlineStr">
        <is>
          <t>Bio Oil GmbH,  Krems an der Donau, Austria</t>
        </is>
      </c>
      <c r="B1035" t="inlineStr">
        <is>
          <t>Collecting Point, Trader with Storage</t>
        </is>
      </c>
      <c r="C1035" t="inlineStr">
        <is>
          <t>agroVet GmbH, Enzersfeld, AT</t>
        </is>
      </c>
      <c r="D1035" t="inlineStr">
        <is>
          <t>15.07.2027</t>
        </is>
      </c>
      <c r="E1035" t="inlineStr">
        <is>
          <t>Austria</t>
        </is>
      </c>
    </row>
    <row r="1036">
      <c r="A1036" t="inlineStr">
        <is>
          <t>Inéol,  Garges-les-Gonesses, France</t>
        </is>
      </c>
      <c r="B1036" t="inlineStr">
        <is>
          <t>Collecting Point</t>
        </is>
      </c>
      <c r="C1036" t="inlineStr">
        <is>
          <t>Control Union Certifications Germany GmbH, Berlin, DE</t>
        </is>
      </c>
      <c r="D1036" t="inlineStr">
        <is>
          <t>15.07.2027</t>
        </is>
      </c>
      <c r="E1036" t="inlineStr">
        <is>
          <t>France</t>
        </is>
      </c>
    </row>
    <row r="1037">
      <c r="A1037" t="inlineStr">
        <is>
          <t>Future Bio Tech (Guangdong) Ltd,  Zhongshan City, China</t>
        </is>
      </c>
      <c r="B1037" t="inlineStr">
        <is>
          <t>Collecting Point, Processing Unit, Trader with Storage</t>
        </is>
      </c>
      <c r="C1037" t="inlineStr">
        <is>
          <t>SCS Global Services, Emeryville, CA, US</t>
        </is>
      </c>
      <c r="D1037" t="inlineStr">
        <is>
          <t>15.07.2027</t>
        </is>
      </c>
      <c r="E1037" t="inlineStr">
        <is>
          <t>China</t>
        </is>
      </c>
    </row>
    <row r="1038">
      <c r="A1038" t="inlineStr">
        <is>
          <t>Industrias Ales C.A.,  Manta, Ecuador</t>
        </is>
      </c>
      <c r="B1038" t="inlineStr">
        <is>
          <t>Point of Origin</t>
        </is>
      </c>
      <c r="C1038" t="inlineStr">
        <is>
          <t>RINA Services S.p.A., Genova, IT</t>
        </is>
      </c>
      <c r="D1038" t="inlineStr">
        <is>
          <t>15.07.2027</t>
        </is>
      </c>
      <c r="E1038" t="inlineStr">
        <is>
          <t>Ecuador</t>
        </is>
      </c>
    </row>
    <row r="1039">
      <c r="A1039" t="inlineStr">
        <is>
          <t>BPREX Healthcare Offranville,  Offranville, France</t>
        </is>
      </c>
      <c r="B1039" t="inlineStr">
        <is>
          <t>Processing Unit</t>
        </is>
      </c>
      <c r="C1039" t="inlineStr">
        <is>
          <t>RINA Services S.p.A., Genova, IT</t>
        </is>
      </c>
      <c r="D1039" t="inlineStr">
        <is>
          <t>15.07.2027</t>
        </is>
      </c>
      <c r="E1039" t="inlineStr">
        <is>
          <t>France</t>
        </is>
      </c>
    </row>
    <row r="1040">
      <c r="A1040" t="inlineStr">
        <is>
          <t>Yibin Masheng Environmental Protection Co., Ltd,  Yibin, Sichuan, China</t>
        </is>
      </c>
      <c r="B1040" t="inlineStr">
        <is>
          <t>Collecting Point, Processing Unit</t>
        </is>
      </c>
      <c r="C1040" t="inlineStr">
        <is>
          <t>RINA Services S.p.A., Genova, IT</t>
        </is>
      </c>
      <c r="D1040" t="inlineStr">
        <is>
          <t>15.07.2027</t>
        </is>
      </c>
      <c r="E1040" t="inlineStr">
        <is>
          <t>China</t>
        </is>
      </c>
    </row>
    <row r="1041">
      <c r="A1041" t="inlineStr">
        <is>
          <t>EURENCO France,  SORGUES, France</t>
        </is>
      </c>
      <c r="B1041" t="inlineStr">
        <is>
          <t>Processing Unit</t>
        </is>
      </c>
      <c r="C1041" t="inlineStr">
        <is>
          <t>DNV Business Assurance Sweden AB, Solna, SE</t>
        </is>
      </c>
      <c r="D1041" t="inlineStr">
        <is>
          <t>15.07.2027</t>
        </is>
      </c>
      <c r="E1041" t="inlineStr">
        <is>
          <t>France</t>
        </is>
      </c>
    </row>
    <row r="1042">
      <c r="A1042" t="inlineStr">
        <is>
          <t>Braskem S.A - Unit Q3IN,  Maua, São Paulo, Brazil</t>
        </is>
      </c>
      <c r="B1042" t="inlineStr">
        <is>
          <t>Processing Unit</t>
        </is>
      </c>
      <c r="C1042" t="inlineStr">
        <is>
          <t>SGS Germany GmbH, Emstek, DE</t>
        </is>
      </c>
      <c r="D1042" t="inlineStr">
        <is>
          <t>15.07.2027</t>
        </is>
      </c>
      <c r="E1042" t="inlineStr">
        <is>
          <t>Brazil</t>
        </is>
      </c>
    </row>
    <row r="1043">
      <c r="A1043" t="inlineStr">
        <is>
          <t>Dynasol Elastómeros,  Gajano, Santander, Spain</t>
        </is>
      </c>
      <c r="B1043" t="inlineStr">
        <is>
          <t>Processing Unit</t>
        </is>
      </c>
      <c r="C1043" t="inlineStr">
        <is>
          <t>Control Union Poland Sp. z o.o., Zielona Gora, PL</t>
        </is>
      </c>
      <c r="D1043" t="inlineStr">
        <is>
          <t>15.07.2027</t>
        </is>
      </c>
      <c r="E1043" t="inlineStr">
        <is>
          <t>Spain</t>
        </is>
      </c>
    </row>
    <row r="1044">
      <c r="A1044" t="inlineStr">
        <is>
          <t>Winpak Films,  Senoia, GA, United States</t>
        </is>
      </c>
      <c r="B1044" t="inlineStr">
        <is>
          <t>Processing Unit</t>
        </is>
      </c>
      <c r="C1044" t="inlineStr">
        <is>
          <t>SCS Global Services, Emeryville, CA, US</t>
        </is>
      </c>
      <c r="D1044" t="inlineStr">
        <is>
          <t>15.07.2027</t>
        </is>
      </c>
      <c r="E1044" t="inlineStr">
        <is>
          <t>United States</t>
        </is>
      </c>
    </row>
    <row r="1045">
      <c r="A1045" t="inlineStr">
        <is>
          <t>Kemira Chemicals (UK) Limited,  Bradford, The United Kingdom</t>
        </is>
      </c>
      <c r="B1045" t="inlineStr">
        <is>
          <t>Processing Unit</t>
        </is>
      </c>
      <c r="C1045" t="inlineStr">
        <is>
          <t>PT Intertek Utama Services, Jakarta, ID</t>
        </is>
      </c>
      <c r="D1045" t="inlineStr">
        <is>
          <t>15.07.2027</t>
        </is>
      </c>
      <c r="E1045" t="inlineStr">
        <is>
          <t>The United Kingdom</t>
        </is>
      </c>
    </row>
    <row r="1046">
      <c r="A1046" t="inlineStr">
        <is>
          <t>PT. Pratama Abadi Industri,  Kabupaten Sukabumi, Indonesia</t>
        </is>
      </c>
      <c r="B1046" t="inlineStr">
        <is>
          <t>Final Product Refinement, Processing Unit, Trader</t>
        </is>
      </c>
      <c r="C1046" t="inlineStr">
        <is>
          <t>PT Intertek Utama Services, Jakarta, ID</t>
        </is>
      </c>
      <c r="D1046" t="inlineStr">
        <is>
          <t>15.07.2027</t>
        </is>
      </c>
      <c r="E1046" t="inlineStr">
        <is>
          <t>Indonesia</t>
        </is>
      </c>
    </row>
    <row r="1047">
      <c r="A1047" t="inlineStr">
        <is>
          <t>CHANG CHUN PETROCHEMICAL CO., LTD.,  Yunlin County, Mailiao Township, Taiwan (Province of China)</t>
        </is>
      </c>
      <c r="B1047" t="inlineStr">
        <is>
          <t>Collecting Point, Processing Unit</t>
        </is>
      </c>
      <c r="C1047" t="inlineStr">
        <is>
          <t>Bureau Veritas Polska Sp. z o.o., Warsaw, PL</t>
        </is>
      </c>
      <c r="D1047" t="inlineStr">
        <is>
          <t>15.07.2027</t>
        </is>
      </c>
      <c r="E1047" t="inlineStr">
        <is>
          <t>Taiwan (Province of China)</t>
        </is>
      </c>
    </row>
    <row r="1048">
      <c r="A1048" t="inlineStr">
        <is>
          <t>Reclean Co., Ltd.,  Boryeong-si, Chungcheongnam-do, The Republic of Korea</t>
        </is>
      </c>
      <c r="B1048" t="inlineStr">
        <is>
          <t>Collecting Point, Processing Unit</t>
        </is>
      </c>
      <c r="C1048" t="inlineStr">
        <is>
          <t>PT Intertek Utama Services, Jakarta, ID</t>
        </is>
      </c>
      <c r="D1048" t="inlineStr">
        <is>
          <t>15.07.2027</t>
        </is>
      </c>
      <c r="E1048" t="inlineStr">
        <is>
          <t>The Republic of Korea</t>
        </is>
      </c>
    </row>
    <row r="1049">
      <c r="A1049" t="inlineStr">
        <is>
          <t>Agro-Nova Prim SRL,  Chisinau, Moldova</t>
        </is>
      </c>
      <c r="B1049" t="inlineStr">
        <is>
          <t>First Gathering Point, Trader</t>
        </is>
      </c>
      <c r="C1049" t="inlineStr">
        <is>
          <t>Control Union Certifications Germany GmbH, Berlin, DE</t>
        </is>
      </c>
      <c r="D1049" t="inlineStr">
        <is>
          <t>15.07.2027</t>
        </is>
      </c>
      <c r="E1049" t="inlineStr">
        <is>
          <t>Moldova</t>
        </is>
      </c>
    </row>
    <row r="1050">
      <c r="A1050" t="inlineStr">
        <is>
          <t>Grauballegaard Biogas,  Lemming, Denmark</t>
        </is>
      </c>
      <c r="B1050" t="inlineStr">
        <is>
          <t>Collecting Point, Processing Unit</t>
        </is>
      </c>
      <c r="C1050" t="inlineStr">
        <is>
          <t>Baltic Control Certification, Albertslund, DK</t>
        </is>
      </c>
      <c r="D1050" t="inlineStr">
        <is>
          <t>15.07.2027</t>
        </is>
      </c>
      <c r="E1050" t="inlineStr">
        <is>
          <t>Denmark</t>
        </is>
      </c>
    </row>
    <row r="1051">
      <c r="A1051" t="inlineStr">
        <is>
          <t>Bio-LNG Hub Wilp,  Wilp, The Netherlands</t>
        </is>
      </c>
      <c r="B1051" t="inlineStr">
        <is>
          <t>Processing Unit</t>
        </is>
      </c>
      <c r="C1051" t="inlineStr">
        <is>
          <t>Normec QS BV, Ede, NL</t>
        </is>
      </c>
      <c r="D1051" t="inlineStr">
        <is>
          <t>15.07.2027</t>
        </is>
      </c>
      <c r="E1051" t="inlineStr">
        <is>
          <t>The Netherlands</t>
        </is>
      </c>
    </row>
    <row r="1052">
      <c r="A1052" t="inlineStr">
        <is>
          <t>Zemědělské zásobování a výkup Prachatice,a.s.,  Strunkovice nad Blanicí, Czech Republic</t>
        </is>
      </c>
      <c r="B1052" t="inlineStr">
        <is>
          <t>First Gathering Point, Trader with Storage</t>
        </is>
      </c>
      <c r="C1052" t="inlineStr">
        <is>
          <t>United Registrar of Systems Polska Sp. z o.o., Wrocław, PL</t>
        </is>
      </c>
      <c r="D1052" t="inlineStr">
        <is>
          <t>15.07.2027</t>
        </is>
      </c>
      <c r="E1052" t="inlineStr">
        <is>
          <t>Czech Republic</t>
        </is>
      </c>
    </row>
    <row r="1053">
      <c r="A1053" t="inlineStr">
        <is>
          <t>TUDOR'S GRAINS,  CONSTANTA, BANEASA, Romania</t>
        </is>
      </c>
      <c r="B1053" t="inlineStr">
        <is>
          <t>First Gathering Point, Warehouse</t>
        </is>
      </c>
      <c r="C1053" t="inlineStr">
        <is>
          <t>BM Certification, Riga, LV</t>
        </is>
      </c>
      <c r="D1053" t="inlineStr">
        <is>
          <t>15.07.2027</t>
        </is>
      </c>
      <c r="E1053" t="inlineStr">
        <is>
          <t>Romania</t>
        </is>
      </c>
    </row>
    <row r="1054">
      <c r="A1054" t="inlineStr">
        <is>
          <t>Dr. S. Tóthné Lehel Ilona Marianna,  Abony, Hungary</t>
        </is>
      </c>
      <c r="B1054" t="inlineStr">
        <is>
          <t>First Gathering Point, Trader with Storage, Warehouse</t>
        </is>
      </c>
      <c r="C1054" t="inlineStr">
        <is>
          <t>Control Union Certifications Germany GmbH, Berlin, DE</t>
        </is>
      </c>
      <c r="D1054" t="inlineStr">
        <is>
          <t>15.07.2027</t>
        </is>
      </c>
      <c r="E1054" t="inlineStr">
        <is>
          <t>Hungary</t>
        </is>
      </c>
    </row>
    <row r="1055">
      <c r="A1055" t="inlineStr">
        <is>
          <t>RM Co.,Ltd Hwaseong Factory,  Hwaseong-si Gyeonggi-do, The Republic of Korea</t>
        </is>
      </c>
      <c r="B1055" t="inlineStr">
        <is>
          <t>Collecting Point, Processing Unit</t>
        </is>
      </c>
      <c r="C1055" t="inlineStr">
        <is>
          <t>Control Union Certifications Germany GmbH, Berlin, DE</t>
        </is>
      </c>
      <c r="D1055" t="inlineStr">
        <is>
          <t>15.07.2027</t>
        </is>
      </c>
      <c r="E1055" t="inlineStr">
        <is>
          <t>The Republic of Korea</t>
        </is>
      </c>
    </row>
    <row r="1056">
      <c r="A1056" t="inlineStr">
        <is>
          <t>REIN OIL,  STRAND, South Africa</t>
        </is>
      </c>
      <c r="B1056" t="inlineStr">
        <is>
          <t>Collecting Point</t>
        </is>
      </c>
      <c r="C1056" t="inlineStr">
        <is>
          <t>DEKRA Certification B.V., Arnhem, NL</t>
        </is>
      </c>
      <c r="D1056" t="inlineStr">
        <is>
          <t>15.07.2027</t>
        </is>
      </c>
      <c r="E1056" t="inlineStr">
        <is>
          <t>South Africa</t>
        </is>
      </c>
    </row>
    <row r="1057">
      <c r="A1057" t="inlineStr">
        <is>
          <t>Otowa Industrial Co., Ltd.,  Tokyo, Japan</t>
        </is>
      </c>
      <c r="B1057" t="inlineStr">
        <is>
          <t>Trader with Storage</t>
        </is>
      </c>
      <c r="C1057" t="inlineStr">
        <is>
          <t>SGS Germany GmbH, Emstek, DE</t>
        </is>
      </c>
      <c r="D1057" t="inlineStr">
        <is>
          <t>15.07.2027</t>
        </is>
      </c>
      <c r="E1057" t="inlineStr">
        <is>
          <t>Japan</t>
        </is>
      </c>
    </row>
    <row r="1058">
      <c r="A1058" t="inlineStr">
        <is>
          <t>OilChem e.U. Lucretia Karamarkovic,  Vienna, Austria</t>
        </is>
      </c>
      <c r="B1058" t="inlineStr">
        <is>
          <t>Collecting Point, Trader</t>
        </is>
      </c>
      <c r="C1058" t="inlineStr">
        <is>
          <t>agroVet GmbH, Enzersfeld, AT</t>
        </is>
      </c>
      <c r="D1058" t="inlineStr">
        <is>
          <t>15.07.2027</t>
        </is>
      </c>
      <c r="E1058" t="inlineStr">
        <is>
          <t>Austria</t>
        </is>
      </c>
    </row>
    <row r="1059">
      <c r="A1059" t="inlineStr">
        <is>
          <t>sweet korea,  Gimpo-si, The Republic of Korea</t>
        </is>
      </c>
      <c r="B1059" t="inlineStr">
        <is>
          <t>Collecting Point</t>
        </is>
      </c>
      <c r="C1059" t="inlineStr">
        <is>
          <t>Korean Foundation for Quality, Songpa-gu, Seoul, KR</t>
        </is>
      </c>
      <c r="D1059" t="inlineStr">
        <is>
          <t>15.07.2027</t>
        </is>
      </c>
      <c r="E1059" t="inlineStr">
        <is>
          <t>The Republic of Korea</t>
        </is>
      </c>
    </row>
    <row r="1060">
      <c r="A1060" t="inlineStr">
        <is>
          <t>Poking Industrial (Dongguan) Company Limited,  Dongguan City, Guangdong Province, China</t>
        </is>
      </c>
      <c r="B1060" t="inlineStr">
        <is>
          <t>Processing Unit, Trader with Storage</t>
        </is>
      </c>
      <c r="C1060" t="inlineStr">
        <is>
          <t>RINA Services S.p.A., Genova, IT</t>
        </is>
      </c>
      <c r="D1060" t="inlineStr">
        <is>
          <t>15.07.2027</t>
        </is>
      </c>
      <c r="E1060" t="inlineStr">
        <is>
          <t>China</t>
        </is>
      </c>
    </row>
    <row r="1061">
      <c r="A1061" t="inlineStr">
        <is>
          <t>EB Greentech Renewable Material (Huangshi) Limited,  Huangshi, China</t>
        </is>
      </c>
      <c r="B1061" t="inlineStr">
        <is>
          <t>Collecting Point, Processing Unit, Trader</t>
        </is>
      </c>
      <c r="C1061" t="inlineStr">
        <is>
          <t>NSF International, Ann Arbor, MI, US</t>
        </is>
      </c>
      <c r="D1061" t="inlineStr">
        <is>
          <t>15.07.2027</t>
        </is>
      </c>
      <c r="E1061" t="inlineStr">
        <is>
          <t>China</t>
        </is>
      </c>
    </row>
    <row r="1062">
      <c r="A1062" t="inlineStr">
        <is>
          <t>Shoetown Footwear Co.,Ltd,  Qingyuan, China</t>
        </is>
      </c>
      <c r="B1062" t="inlineStr">
        <is>
          <t>Final Product Refinement</t>
        </is>
      </c>
      <c r="C1062" t="inlineStr">
        <is>
          <t>CTI Certification Co. Ltd, Shenzhen, CN</t>
        </is>
      </c>
      <c r="D1062" t="inlineStr">
        <is>
          <t>15.07.2027</t>
        </is>
      </c>
      <c r="E1062" t="inlineStr">
        <is>
          <t>China</t>
        </is>
      </c>
    </row>
    <row r="1063">
      <c r="A1063" t="inlineStr">
        <is>
          <t>PT Jatim Propertindo Jaya,  South Jakarta, RDTX Tower Lantai 16, Indonesia</t>
        </is>
      </c>
      <c r="B1063" t="inlineStr">
        <is>
          <t>Trader with Storage</t>
        </is>
      </c>
      <c r="C1063" t="inlineStr">
        <is>
          <t>Control Union Certifications Germany GmbH, Berlin, DE</t>
        </is>
      </c>
      <c r="D1063" t="inlineStr">
        <is>
          <t>15.07.2027</t>
        </is>
      </c>
      <c r="E1063" t="inlineStr">
        <is>
          <t>Indonesia</t>
        </is>
      </c>
    </row>
    <row r="1064">
      <c r="A1064" t="inlineStr">
        <is>
          <t>Dongguan Evergrowing Terminal Co. Ltd.,  Dongguan City, Guangdong Province, China</t>
        </is>
      </c>
      <c r="B1064" t="inlineStr">
        <is>
          <t>Warehouse</t>
        </is>
      </c>
      <c r="C1064" t="inlineStr">
        <is>
          <t>SGS Germany GmbH, Emstek, DE</t>
        </is>
      </c>
      <c r="D1064" t="inlineStr">
        <is>
          <t>15.07.2027</t>
        </is>
      </c>
      <c r="E1064" t="inlineStr">
        <is>
          <t>China</t>
        </is>
      </c>
    </row>
    <row r="1065">
      <c r="A1065" t="inlineStr">
        <is>
          <t>Dongguan Evergrowing Terminal Co. Ltd.,  Dongguan City, Guangdong Province, China</t>
        </is>
      </c>
      <c r="B1065" t="inlineStr">
        <is>
          <t>Warehouse</t>
        </is>
      </c>
      <c r="C1065" t="inlineStr">
        <is>
          <t>SGS Germany GmbH, Emstek, DE</t>
        </is>
      </c>
      <c r="D1065" t="inlineStr">
        <is>
          <t>15.07.2027</t>
        </is>
      </c>
      <c r="E1065" t="inlineStr">
        <is>
          <t>China</t>
        </is>
      </c>
    </row>
    <row r="1066">
      <c r="A1066" t="inlineStr">
        <is>
          <t>Forenta Group Zrt.,  Budapest, Hungary</t>
        </is>
      </c>
      <c r="B1066" t="inlineStr">
        <is>
          <t>Trader</t>
        </is>
      </c>
      <c r="C1066" t="inlineStr">
        <is>
          <t>BM Certification, Riga, LV</t>
        </is>
      </c>
      <c r="D1066" t="inlineStr">
        <is>
          <t>15.07.2027</t>
        </is>
      </c>
      <c r="E1066" t="inlineStr">
        <is>
          <t>Hungary</t>
        </is>
      </c>
    </row>
    <row r="1067">
      <c r="A1067" t="inlineStr">
        <is>
          <t>Brenntag Pte Ltd,  Singapore, Singapore</t>
        </is>
      </c>
      <c r="B1067" t="inlineStr">
        <is>
          <t>Trader with Storage</t>
        </is>
      </c>
      <c r="C1067" t="inlineStr">
        <is>
          <t>SGS Germany GmbH, Emstek, DE</t>
        </is>
      </c>
      <c r="D1067" t="inlineStr">
        <is>
          <t>15.07.2027</t>
        </is>
      </c>
      <c r="E1067" t="inlineStr">
        <is>
          <t>Singapore</t>
        </is>
      </c>
    </row>
    <row r="1068">
      <c r="A1068" t="inlineStr">
        <is>
          <t>ProAmpac Holdings, Inc.,  Hartford, United States</t>
        </is>
      </c>
      <c r="B1068" t="inlineStr">
        <is>
          <t>Processing Unit</t>
        </is>
      </c>
      <c r="C1068" t="inlineStr">
        <is>
          <t>SCS Global Services, Emeryville, CA, US</t>
        </is>
      </c>
      <c r="D1068" t="inlineStr">
        <is>
          <t>15.07.2027</t>
        </is>
      </c>
      <c r="E1068" t="inlineStr">
        <is>
          <t>United States</t>
        </is>
      </c>
    </row>
    <row r="1069">
      <c r="A1069" t="inlineStr">
        <is>
          <t>Eastman Chemical Company,  Kingsport, TN, The United States of America</t>
        </is>
      </c>
      <c r="B1069" t="inlineStr">
        <is>
          <t>Collecting Point, Point of Origin, Processing Unit, Trader with Storage</t>
        </is>
      </c>
      <c r="C1069" t="inlineStr">
        <is>
          <t>SCS Global Services, Emeryville, CA, US</t>
        </is>
      </c>
      <c r="D1069" t="inlineStr">
        <is>
          <t>15.07.2027</t>
        </is>
      </c>
      <c r="E1069" t="inlineStr">
        <is>
          <t>The United States of America</t>
        </is>
      </c>
    </row>
    <row r="1070">
      <c r="A1070" t="inlineStr">
        <is>
          <t>J&amp;M Oils,  Blaydon, Tyne &amp; Wear, The United Kingdom</t>
        </is>
      </c>
      <c r="B1070" t="inlineStr">
        <is>
          <t>Collecting Point, Trader with Storage</t>
        </is>
      </c>
      <c r="C1070" t="inlineStr">
        <is>
          <t>Control Union Certifications Germany GmbH, Berlin, DE</t>
        </is>
      </c>
      <c r="D1070" t="inlineStr">
        <is>
          <t>14.07.2027</t>
        </is>
      </c>
      <c r="E1070" t="inlineStr">
        <is>
          <t>The United Kingdom</t>
        </is>
      </c>
    </row>
    <row r="1071">
      <c r="A1071" t="inlineStr">
        <is>
          <t>GIPUZKOA INGURUMENA BI SA,  SAN SEBASTIAN, Spain</t>
        </is>
      </c>
      <c r="B1071" t="inlineStr">
        <is>
          <t>Collecting Point, Processing Unit</t>
        </is>
      </c>
      <c r="C1071" t="inlineStr">
        <is>
          <t>Control Union Poland Sp. z o.o., Zielona Gora, PL</t>
        </is>
      </c>
      <c r="D1071" t="inlineStr">
        <is>
          <t>14.07.2027</t>
        </is>
      </c>
      <c r="E1071" t="inlineStr">
        <is>
          <t>Spain</t>
        </is>
      </c>
    </row>
    <row r="1072">
      <c r="A1072" t="inlineStr">
        <is>
          <t>Yetico S.A.,  Mława, Poland</t>
        </is>
      </c>
      <c r="B1072" t="inlineStr">
        <is>
          <t>Processing Unit</t>
        </is>
      </c>
      <c r="C1072" t="inlineStr">
        <is>
          <t>Bureau Veritas Polska Sp. z o.o., Warsaw, PL</t>
        </is>
      </c>
      <c r="D1072" t="inlineStr">
        <is>
          <t>14.07.2027</t>
        </is>
      </c>
      <c r="E1072" t="inlineStr">
        <is>
          <t>Poland</t>
        </is>
      </c>
    </row>
    <row r="1073">
      <c r="A1073" t="inlineStr">
        <is>
          <t>MINH THANG JOINT STOCK COMPANY,  Ca Mau, Vietnam</t>
        </is>
      </c>
      <c r="B1073" t="inlineStr">
        <is>
          <t>Collecting Point, Trader</t>
        </is>
      </c>
      <c r="C1073" t="inlineStr">
        <is>
          <t>SGS Germany GmbH, Emstek, DE</t>
        </is>
      </c>
      <c r="D1073" t="inlineStr">
        <is>
          <t>14.07.2027</t>
        </is>
      </c>
      <c r="E1073" t="inlineStr">
        <is>
          <t>Vietnam</t>
        </is>
      </c>
    </row>
    <row r="1074">
      <c r="A1074" t="inlineStr">
        <is>
          <t>KS "VAKS",  Valmiera, Latvia</t>
        </is>
      </c>
      <c r="B1074" t="inlineStr">
        <is>
          <t>First Gathering Point</t>
        </is>
      </c>
      <c r="C1074" t="inlineStr">
        <is>
          <t>SGS Germany GmbH, Emstek, DE</t>
        </is>
      </c>
      <c r="D1074" t="inlineStr">
        <is>
          <t>14.07.2027</t>
        </is>
      </c>
      <c r="E1074" t="inlineStr">
        <is>
          <t>Latvia</t>
        </is>
      </c>
    </row>
    <row r="1075">
      <c r="A1075" t="inlineStr">
        <is>
          <t>KS "VAKS",  Valmiera, Latvia</t>
        </is>
      </c>
      <c r="B1075" t="inlineStr">
        <is>
          <t>First Gathering Point</t>
        </is>
      </c>
      <c r="C1075" t="inlineStr">
        <is>
          <t>SGS Germany GmbH, Emstek, DE</t>
        </is>
      </c>
      <c r="D1075" t="inlineStr">
        <is>
          <t>14.07.2027</t>
        </is>
      </c>
      <c r="E1075" t="inlineStr">
        <is>
          <t>Latvia</t>
        </is>
      </c>
    </row>
    <row r="1076">
      <c r="A1076" t="inlineStr">
        <is>
          <t>Zhuji Xiangyu Environmental Protection Technology Co., Ltd.,  Zhuji City, Shaoxing City, Zhejiang Province,, China</t>
        </is>
      </c>
      <c r="B1076" t="inlineStr">
        <is>
          <t>Collecting Point</t>
        </is>
      </c>
      <c r="C1076" t="inlineStr">
        <is>
          <t>RINA Services S.p.A., Genova, IT</t>
        </is>
      </c>
      <c r="D1076" t="inlineStr">
        <is>
          <t>14.07.2027</t>
        </is>
      </c>
      <c r="E1076" t="inlineStr">
        <is>
          <t>China</t>
        </is>
      </c>
    </row>
    <row r="1077">
      <c r="A1077" t="inlineStr">
        <is>
          <t>WELLE (Changzhou) Biofuel Co., Ltd.,  Changzhou City, Jiangsu Province, China</t>
        </is>
      </c>
      <c r="B1077" t="inlineStr">
        <is>
          <t>Trader</t>
        </is>
      </c>
      <c r="C1077" t="inlineStr">
        <is>
          <t>SCS Global Services, Emeryville, CA, US</t>
        </is>
      </c>
      <c r="D1077" t="inlineStr">
        <is>
          <t>14.07.2027</t>
        </is>
      </c>
      <c r="E1077" t="inlineStr">
        <is>
          <t>China</t>
        </is>
      </c>
    </row>
    <row r="1078">
      <c r="A1078" t="inlineStr">
        <is>
          <t>Shandong Henghua Jiaye Environmental Protection Technology Co. LTD.,  Rizhao City, Shandong Province, China</t>
        </is>
      </c>
      <c r="B1078" t="inlineStr">
        <is>
          <t>Collecting Point, Processing Unit, Trader with Storage</t>
        </is>
      </c>
      <c r="C1078" t="inlineStr">
        <is>
          <t>SCS Global Services, Emeryville, CA, US</t>
        </is>
      </c>
      <c r="D1078" t="inlineStr">
        <is>
          <t>14.07.2027</t>
        </is>
      </c>
      <c r="E1078" t="inlineStr">
        <is>
          <t>China</t>
        </is>
      </c>
    </row>
    <row r="1079">
      <c r="A1079" t="inlineStr">
        <is>
          <t>KL - Kepong Edible Oils Sdn Bhd,  Pasir Gudang, Johor Bharu, Malaysia</t>
        </is>
      </c>
      <c r="B1079" t="inlineStr">
        <is>
          <t>Point of Origin</t>
        </is>
      </c>
      <c r="C1079" t="inlineStr">
        <is>
          <t>Global Gateway Certifications Sdn Bhd, Ampang, MY</t>
        </is>
      </c>
      <c r="D1079" t="inlineStr">
        <is>
          <t>14.07.2027</t>
        </is>
      </c>
      <c r="E1079" t="inlineStr">
        <is>
          <t>Malaysia</t>
        </is>
      </c>
    </row>
    <row r="1080">
      <c r="A1080" t="inlineStr">
        <is>
          <t>Meridian Chemicals, LLC,  Overland Park, Kansas, United States</t>
        </is>
      </c>
      <c r="B1080" t="inlineStr">
        <is>
          <t>Central Office (Group of Point of Origin), Trader with Storage</t>
        </is>
      </c>
      <c r="C1080" t="inlineStr">
        <is>
          <t>Control Union Poland Sp. z o.o., Zielona Gora, PL</t>
        </is>
      </c>
      <c r="D1080" t="inlineStr">
        <is>
          <t>14.07.2027</t>
        </is>
      </c>
      <c r="E1080" t="inlineStr">
        <is>
          <t>United States</t>
        </is>
      </c>
    </row>
    <row r="1081">
      <c r="A1081" t="inlineStr">
        <is>
          <t>Meridian Chemicals, LLC,  Overland Park, Kansas, United States</t>
        </is>
      </c>
      <c r="B1081" t="inlineStr">
        <is>
          <t>Central Office (Group of Point of Origin), Trader with Storage</t>
        </is>
      </c>
      <c r="C1081" t="inlineStr">
        <is>
          <t>Control Union Poland Sp. z o.o., Zielona Gora, PL</t>
        </is>
      </c>
      <c r="D1081" t="inlineStr">
        <is>
          <t>14.07.2027</t>
        </is>
      </c>
      <c r="E1081" t="inlineStr">
        <is>
          <t>United States</t>
        </is>
      </c>
    </row>
    <row r="1082">
      <c r="A1082" t="inlineStr">
        <is>
          <t>CHANGZHOU YUYUANG TEXTILE LTD.,  Changzhou , Jiangsu Sheng, China</t>
        </is>
      </c>
      <c r="B1082" t="inlineStr">
        <is>
          <t>Processing Unit</t>
        </is>
      </c>
      <c r="C1082" t="inlineStr">
        <is>
          <t>Control Union Certifications Germany GmbH, Berlin, DE</t>
        </is>
      </c>
      <c r="D1082" t="inlineStr">
        <is>
          <t>14.07.2027</t>
        </is>
      </c>
      <c r="E1082" t="inlineStr">
        <is>
          <t>China</t>
        </is>
      </c>
    </row>
    <row r="1083">
      <c r="A1083" t="inlineStr">
        <is>
          <t>ITC Packaging,  Sopelana, Spain</t>
        </is>
      </c>
      <c r="B1083" t="inlineStr">
        <is>
          <t>Processing Unit</t>
        </is>
      </c>
      <c r="C1083" t="inlineStr">
        <is>
          <t>Control Union Poland Sp. z o.o., Zielona Gora, PL</t>
        </is>
      </c>
      <c r="D1083" t="inlineStr">
        <is>
          <t>14.07.2027</t>
        </is>
      </c>
      <c r="E1083" t="inlineStr">
        <is>
          <t>Spain</t>
        </is>
      </c>
    </row>
    <row r="1084">
      <c r="A1084" t="inlineStr">
        <is>
          <t>PT Sumber Indah Perkasa,  Kabupaten Tulang Bawang, Provinsi Lampung, Indonesia</t>
        </is>
      </c>
      <c r="B1084" t="inlineStr">
        <is>
          <t>First Gathering Point, Point of Origin, Processing Unit</t>
        </is>
      </c>
      <c r="C1084" t="inlineStr">
        <is>
          <t>PT Mutuagung Lestari, Depok, ID</t>
        </is>
      </c>
      <c r="D1084" t="inlineStr">
        <is>
          <t>14.07.2027</t>
        </is>
      </c>
      <c r="E1084" t="inlineStr">
        <is>
          <t>Indonesia</t>
        </is>
      </c>
    </row>
    <row r="1085">
      <c r="A1085" t="inlineStr">
        <is>
          <t>Agroindustrial Uumbal SAPI de CV,  Palenque, Mexico</t>
        </is>
      </c>
      <c r="B1085" t="inlineStr">
        <is>
          <t>Point of Origin</t>
        </is>
      </c>
      <c r="C1085" t="inlineStr">
        <is>
          <t>Control Union Poland Sp. z o.o., Zielona Gora, PL</t>
        </is>
      </c>
      <c r="D1085" t="inlineStr">
        <is>
          <t>14.07.2027</t>
        </is>
      </c>
      <c r="E1085" t="inlineStr">
        <is>
          <t>Mexico</t>
        </is>
      </c>
    </row>
    <row r="1086">
      <c r="A1086" t="inlineStr">
        <is>
          <t>SAINT ANDRE PLASTIQUE,  SAINT-ANDRE DE L'EPINE, France</t>
        </is>
      </c>
      <c r="B1086" t="inlineStr">
        <is>
          <t>Final Product Refinement, Processing Unit</t>
        </is>
      </c>
      <c r="C1086" t="inlineStr">
        <is>
          <t>Bureau Veritas Polska Sp. z o.o., Warsaw, PL</t>
        </is>
      </c>
      <c r="D1086" t="inlineStr">
        <is>
          <t>14.07.2027</t>
        </is>
      </c>
      <c r="E1086" t="inlineStr">
        <is>
          <t>France</t>
        </is>
      </c>
    </row>
    <row r="1087">
      <c r="A1087" t="inlineStr">
        <is>
          <t>PT Sumber Indah Perkasa,  Kabupaten Mesuji, Provinsi Lampung, Indonesia</t>
        </is>
      </c>
      <c r="B1087" t="inlineStr">
        <is>
          <t>First Gathering Point, Point of Origin, Processing Unit</t>
        </is>
      </c>
      <c r="C1087" t="inlineStr">
        <is>
          <t>PT Mutuagung Lestari, Depok, ID</t>
        </is>
      </c>
      <c r="D1087" t="inlineStr">
        <is>
          <t>14.07.2027</t>
        </is>
      </c>
      <c r="E1087" t="inlineStr">
        <is>
          <t>Indonesia</t>
        </is>
      </c>
    </row>
    <row r="1088">
      <c r="A1088" t="inlineStr">
        <is>
          <t>PT Sumber Indah Perkasa,  Kabupaten Tulang Bawang, Provinsi Lampung, Indonesia</t>
        </is>
      </c>
      <c r="B1088" t="inlineStr">
        <is>
          <t>Central Office (Farms/Plantations)</t>
        </is>
      </c>
      <c r="C1088" t="inlineStr">
        <is>
          <t>PT Mutuagung Lestari, Depok, ID</t>
        </is>
      </c>
      <c r="D1088" t="inlineStr">
        <is>
          <t>14.07.2027</t>
        </is>
      </c>
      <c r="E1088" t="inlineStr">
        <is>
          <t>Indonesia</t>
        </is>
      </c>
    </row>
    <row r="1089">
      <c r="A1089" t="inlineStr">
        <is>
          <t>SOVERTRADE PTE LTD,  SINGAPORE, Singapore</t>
        </is>
      </c>
      <c r="B1089" t="inlineStr">
        <is>
          <t>Trader</t>
        </is>
      </c>
      <c r="C1089" t="inlineStr">
        <is>
          <t>PT Intertek Utama Services, Jakarta, ID</t>
        </is>
      </c>
      <c r="D1089" t="inlineStr">
        <is>
          <t>14.07.2027</t>
        </is>
      </c>
      <c r="E1089" t="inlineStr">
        <is>
          <t>Singapore</t>
        </is>
      </c>
    </row>
    <row r="1090">
      <c r="A1090" t="inlineStr">
        <is>
          <t>SOVERTRADE PTE LTD,  Singapore, Singapore</t>
        </is>
      </c>
      <c r="B1090" t="inlineStr">
        <is>
          <t>Trader</t>
        </is>
      </c>
      <c r="C1090" t="inlineStr">
        <is>
          <t>PT Intertek Utama Services, Jakarta, ID</t>
        </is>
      </c>
      <c r="D1090" t="inlineStr">
        <is>
          <t>14.07.2027</t>
        </is>
      </c>
      <c r="E1090" t="inlineStr">
        <is>
          <t>Singapore</t>
        </is>
      </c>
    </row>
    <row r="1091">
      <c r="A1091" t="inlineStr">
        <is>
          <t>CERES BIOGAZ,  SEICHEPREY, France</t>
        </is>
      </c>
      <c r="B1091" t="inlineStr">
        <is>
          <t>Processing Unit</t>
        </is>
      </c>
      <c r="C1091" t="inlineStr">
        <is>
          <t>DQS CFS GmbH - Deutsche Gesellschaft für Nachhaltigkeit, Frankfurt am Main, DE</t>
        </is>
      </c>
      <c r="D1091" t="inlineStr">
        <is>
          <t>14.07.2027</t>
        </is>
      </c>
      <c r="E1091" t="inlineStr">
        <is>
          <t>France</t>
        </is>
      </c>
    </row>
    <row r="1092">
      <c r="A1092" t="inlineStr">
        <is>
          <t>IOI Global Services Sdn Bhd,  Putrajaya, Malaysia</t>
        </is>
      </c>
      <c r="B1092" t="inlineStr">
        <is>
          <t>Trader with Storage</t>
        </is>
      </c>
      <c r="C1092" t="inlineStr">
        <is>
          <t>PT Intertek Utama Services, Jakarta, ID</t>
        </is>
      </c>
      <c r="D1092" t="inlineStr">
        <is>
          <t>14.07.2027</t>
        </is>
      </c>
      <c r="E1092" t="inlineStr">
        <is>
          <t>Malaysia</t>
        </is>
      </c>
    </row>
    <row r="1093">
      <c r="A1093" t="inlineStr">
        <is>
          <t>TRILLION EXPRESS INTERNATIONAL LIMITED,  Hong Kong, SAR,, China</t>
        </is>
      </c>
      <c r="B1093" t="inlineStr">
        <is>
          <t>Trader</t>
        </is>
      </c>
      <c r="C1093" t="inlineStr">
        <is>
          <t>CTI Certification Co. Ltd, Shenzhen, CN</t>
        </is>
      </c>
      <c r="D1093" t="inlineStr">
        <is>
          <t>14.07.2027</t>
        </is>
      </c>
      <c r="E1093" t="inlineStr">
        <is>
          <t>China</t>
        </is>
      </c>
    </row>
    <row r="1094">
      <c r="A1094" t="inlineStr">
        <is>
          <t>GRACE LINK TRADING LIMITED,  Hong Kong, SAR, China</t>
        </is>
      </c>
      <c r="B1094" t="inlineStr">
        <is>
          <t>Trader</t>
        </is>
      </c>
      <c r="C1094" t="inlineStr">
        <is>
          <t>CTI Certification Co. Ltd, Shenzhen, CN</t>
        </is>
      </c>
      <c r="D1094" t="inlineStr">
        <is>
          <t>14.07.2027</t>
        </is>
      </c>
      <c r="E1094" t="inlineStr">
        <is>
          <t>China</t>
        </is>
      </c>
    </row>
    <row r="1095">
      <c r="A1095" t="inlineStr">
        <is>
          <t>Rudder S.A.M.,  MONACO, Monaco</t>
        </is>
      </c>
      <c r="B1095" t="inlineStr">
        <is>
          <t>Proof of Compliance Trader, Trader</t>
        </is>
      </c>
      <c r="C1095" t="inlineStr">
        <is>
          <t>RINA Services S.p.A., Genova, IT</t>
        </is>
      </c>
      <c r="D1095" t="inlineStr">
        <is>
          <t>14.07.2027</t>
        </is>
      </c>
      <c r="E1095" t="inlineStr">
        <is>
          <t>Monaco</t>
        </is>
      </c>
    </row>
    <row r="1096">
      <c r="A1096" t="inlineStr">
        <is>
          <t>Shanghai Dashen Cellulose Plastics Co. Ltd,  Songjiang District, Shanghai, China</t>
        </is>
      </c>
      <c r="B1096" t="inlineStr">
        <is>
          <t>Processing Unit, Trader with Storage</t>
        </is>
      </c>
      <c r="C1096" t="inlineStr">
        <is>
          <t>China Quality Certification Centre Co., Ltd., Beijing, CN</t>
        </is>
      </c>
      <c r="D1096" t="inlineStr">
        <is>
          <t>14.07.2027</t>
        </is>
      </c>
      <c r="E1096" t="inlineStr">
        <is>
          <t>China</t>
        </is>
      </c>
    </row>
    <row r="1097">
      <c r="A1097" t="inlineStr">
        <is>
          <t>Haneum Corporation,  Seoul, The Republic of Korea</t>
        </is>
      </c>
      <c r="B1097" t="inlineStr">
        <is>
          <t>Trader</t>
        </is>
      </c>
      <c r="C1097" t="inlineStr">
        <is>
          <t>BM Certification, Riga, LV</t>
        </is>
      </c>
      <c r="D1097" t="inlineStr">
        <is>
          <t>14.07.2027</t>
        </is>
      </c>
      <c r="E1097" t="inlineStr">
        <is>
          <t>The Republic of Korea</t>
        </is>
      </c>
    </row>
    <row r="1098">
      <c r="A1098" t="inlineStr">
        <is>
          <t>AGRIVALLI,  CASALEONE VR, Italy</t>
        </is>
      </c>
      <c r="B1098" t="inlineStr">
        <is>
          <t>First Gathering Point</t>
        </is>
      </c>
      <c r="C1098" t="inlineStr">
        <is>
          <t>DNV Business Assurance Sweden AB, Solna, SE</t>
        </is>
      </c>
      <c r="D1098" t="inlineStr">
        <is>
          <t>14.07.2027</t>
        </is>
      </c>
      <c r="E1098" t="inlineStr">
        <is>
          <t>Italy</t>
        </is>
      </c>
    </row>
    <row r="1099">
      <c r="A1099" t="inlineStr">
        <is>
          <t>3J-3D int., s.r.o.,  Trnava, Slovakia</t>
        </is>
      </c>
      <c r="B1099" t="inlineStr">
        <is>
          <t>First Gathering Point, Trader</t>
        </is>
      </c>
      <c r="C1099" t="inlineStr">
        <is>
          <t>United Registrar of Systems Polska Sp. z o.o., Wrocław, PL</t>
        </is>
      </c>
      <c r="D1099" t="inlineStr">
        <is>
          <t>14.07.2027</t>
        </is>
      </c>
      <c r="E1099" t="inlineStr">
        <is>
          <t>Slovakia</t>
        </is>
      </c>
    </row>
    <row r="1100">
      <c r="A1100" t="inlineStr">
        <is>
          <t>3J-3D int., s.r.o.,  Trnava, Slovakia</t>
        </is>
      </c>
      <c r="B1100" t="inlineStr">
        <is>
          <t>First Gathering Point, Trader</t>
        </is>
      </c>
      <c r="C1100" t="inlineStr">
        <is>
          <t>United Registrar of Systems Polska Sp. z o.o., Wrocław, PL</t>
        </is>
      </c>
      <c r="D1100" t="inlineStr">
        <is>
          <t>14.07.2027</t>
        </is>
      </c>
      <c r="E1100" t="inlineStr">
        <is>
          <t>Slovakia</t>
        </is>
      </c>
    </row>
    <row r="1101">
      <c r="A1101" t="inlineStr">
        <is>
          <t>Gemilang Cahaya Mentari,  Provinsi Bangka Belitung, Indonesia</t>
        </is>
      </c>
      <c r="B1101" t="inlineStr">
        <is>
          <t>Point of Origin</t>
        </is>
      </c>
      <c r="C1101" t="inlineStr">
        <is>
          <t>PT. Qualitas Sertifikasi Indonesia, Jakarta, ID</t>
        </is>
      </c>
      <c r="D1101" t="inlineStr">
        <is>
          <t>14.07.2027</t>
        </is>
      </c>
      <c r="E1101" t="inlineStr">
        <is>
          <t>Indonesia</t>
        </is>
      </c>
    </row>
    <row r="1102">
      <c r="A1102" t="inlineStr">
        <is>
          <t>Gemilang Cahaya Mentari,  Provinsi Bangka Belitung, Indonesia</t>
        </is>
      </c>
      <c r="B1102" t="inlineStr">
        <is>
          <t>Point of Origin</t>
        </is>
      </c>
      <c r="C1102" t="inlineStr">
        <is>
          <t>PT. Qualitas Sertifikasi Indonesia, Jakarta, ID</t>
        </is>
      </c>
      <c r="D1102" t="inlineStr">
        <is>
          <t>14.07.2027</t>
        </is>
      </c>
      <c r="E1102" t="inlineStr">
        <is>
          <t>Indonesia</t>
        </is>
      </c>
    </row>
    <row r="1103">
      <c r="A1103" t="inlineStr">
        <is>
          <t>UPM Biochemicals Sales GmbH,  Leuna, Germany</t>
        </is>
      </c>
      <c r="B1103" t="inlineStr">
        <is>
          <t>Trader</t>
        </is>
      </c>
      <c r="C1103" t="inlineStr">
        <is>
          <t>BM Certification, Riga, LV</t>
        </is>
      </c>
      <c r="D1103" t="inlineStr">
        <is>
          <t>14.07.2027</t>
        </is>
      </c>
      <c r="E1103" t="inlineStr">
        <is>
          <t>Germany</t>
        </is>
      </c>
    </row>
    <row r="1104">
      <c r="A1104" t="inlineStr">
        <is>
          <t>Kornelis caps &amp; closures,  Steenwijk, The Netherlands</t>
        </is>
      </c>
      <c r="B1104" t="inlineStr">
        <is>
          <t>Processing Unit</t>
        </is>
      </c>
      <c r="C1104" t="inlineStr">
        <is>
          <t>Normec QS BV, Ede, NL</t>
        </is>
      </c>
      <c r="D1104" t="inlineStr">
        <is>
          <t>14.07.2027</t>
        </is>
      </c>
      <c r="E1104" t="inlineStr">
        <is>
          <t>The Netherlands</t>
        </is>
      </c>
    </row>
    <row r="1105">
      <c r="A1105" t="inlineStr">
        <is>
          <t>Bunge Rostock GmbH,  Rostock, Germany</t>
        </is>
      </c>
      <c r="B1105" t="inlineStr">
        <is>
          <t>Processing Unit</t>
        </is>
      </c>
      <c r="C1105" t="inlineStr">
        <is>
          <t>SGS Germany GmbH, Emstek, DE</t>
        </is>
      </c>
      <c r="D1105" t="inlineStr">
        <is>
          <t>14.07.2027</t>
        </is>
      </c>
      <c r="E1105" t="inlineStr">
        <is>
          <t>Germany</t>
        </is>
      </c>
    </row>
    <row r="1106">
      <c r="A1106" t="inlineStr">
        <is>
          <t>Bunge Rostock GmbH,  Rostock, Germany</t>
        </is>
      </c>
      <c r="B1106" t="inlineStr">
        <is>
          <t>Point of Origin, Trader with Storage, Warehouse, Processing Unit</t>
        </is>
      </c>
      <c r="C1106" t="inlineStr">
        <is>
          <t>SGS Germany GmbH, Emstek, DE</t>
        </is>
      </c>
      <c r="D1106" t="inlineStr">
        <is>
          <t>14.07.2027</t>
        </is>
      </c>
      <c r="E1106" t="inlineStr">
        <is>
          <t>Germany</t>
        </is>
      </c>
    </row>
    <row r="1107">
      <c r="A1107" t="inlineStr">
        <is>
          <t>LEM,  Thiesi, Italy</t>
        </is>
      </c>
      <c r="B1107" t="inlineStr">
        <is>
          <t>Collecting Point, Trader with Storage</t>
        </is>
      </c>
      <c r="C1107" t="inlineStr">
        <is>
          <t>SGS Germany GmbH, Emstek, DE</t>
        </is>
      </c>
      <c r="D1107" t="inlineStr">
        <is>
          <t>14.07.2027</t>
        </is>
      </c>
      <c r="E1107" t="inlineStr">
        <is>
          <t>Italy</t>
        </is>
      </c>
    </row>
    <row r="1108">
      <c r="A1108" t="inlineStr">
        <is>
          <t>Braskem S.A – Unit: PE8,  Cubatão, Brazil</t>
        </is>
      </c>
      <c r="B1108" t="inlineStr">
        <is>
          <t>Processing Unit</t>
        </is>
      </c>
      <c r="C1108" t="inlineStr">
        <is>
          <t>SGS Germany GmbH, Emstek, DE</t>
        </is>
      </c>
      <c r="D1108" t="inlineStr">
        <is>
          <t>14.07.2027</t>
        </is>
      </c>
      <c r="E1108" t="inlineStr">
        <is>
          <t>Brazil</t>
        </is>
      </c>
    </row>
    <row r="1109">
      <c r="A1109" t="inlineStr">
        <is>
          <t>Gaspol S.A,  Warsaw, Poland</t>
        </is>
      </c>
      <c r="B1109" t="inlineStr">
        <is>
          <t>Trader with Storage</t>
        </is>
      </c>
      <c r="C1109" t="inlineStr">
        <is>
          <t>United Registrar of Systems Polska Sp. z o.o., Wrocław, PL</t>
        </is>
      </c>
      <c r="D1109" t="inlineStr">
        <is>
          <t>14.07.2027</t>
        </is>
      </c>
      <c r="E1109" t="inlineStr">
        <is>
          <t>Poland</t>
        </is>
      </c>
    </row>
    <row r="1110">
      <c r="A1110" t="inlineStr">
        <is>
          <t>Gaspol S.A,  Warsaw, Poland</t>
        </is>
      </c>
      <c r="B1110" t="inlineStr">
        <is>
          <t>Trader with Storage</t>
        </is>
      </c>
      <c r="C1110" t="inlineStr">
        <is>
          <t>United Registrar of Systems Polska Sp. z o.o., Wrocław, PL</t>
        </is>
      </c>
      <c r="D1110" t="inlineStr">
        <is>
          <t>14.07.2027</t>
        </is>
      </c>
      <c r="E1110" t="inlineStr">
        <is>
          <t>Poland</t>
        </is>
      </c>
    </row>
    <row r="1111">
      <c r="A1111" t="inlineStr">
        <is>
          <t>FIRM ERIDON LLC,  village Sofiyivska Borshchahivka, Ukraine</t>
        </is>
      </c>
      <c r="B1111" t="inlineStr">
        <is>
          <t>First Gathering Point, Trader with Storage</t>
        </is>
      </c>
      <c r="C1111" t="inlineStr">
        <is>
          <t>United Registrar of Systems Polska Sp. z o.o., Wrocław, PL</t>
        </is>
      </c>
      <c r="D1111" t="inlineStr">
        <is>
          <t>14.07.2027</t>
        </is>
      </c>
      <c r="E1111" t="inlineStr">
        <is>
          <t>Ukraine</t>
        </is>
      </c>
    </row>
    <row r="1112">
      <c r="A1112" t="inlineStr">
        <is>
          <t>Bema Commodities,  Twello, The Netherlands</t>
        </is>
      </c>
      <c r="B1112" t="inlineStr">
        <is>
          <t>Collecting Point, First Gathering Point, Trader with Storage</t>
        </is>
      </c>
      <c r="C1112" t="inlineStr">
        <is>
          <t>DEKRA Certification B.V., Arnhem, NL</t>
        </is>
      </c>
      <c r="D1112" t="inlineStr">
        <is>
          <t>14.07.2027</t>
        </is>
      </c>
      <c r="E1112" t="inlineStr">
        <is>
          <t>The Netherlands</t>
        </is>
      </c>
    </row>
    <row r="1113">
      <c r="A1113" t="inlineStr">
        <is>
          <t>LBT Agro A/S,  Hjørring, Denmark</t>
        </is>
      </c>
      <c r="B1113" t="inlineStr">
        <is>
          <t>Collecting Point, First Gathering Point, Processing Unit</t>
        </is>
      </c>
      <c r="C1113" t="inlineStr">
        <is>
          <t>Baltic Control Certification, Albertslund, DK</t>
        </is>
      </c>
      <c r="D1113" t="inlineStr">
        <is>
          <t>14.07.2027</t>
        </is>
      </c>
      <c r="E1113" t="inlineStr">
        <is>
          <t>Denmark</t>
        </is>
      </c>
    </row>
    <row r="1114">
      <c r="A1114" t="inlineStr">
        <is>
          <t>Ukragroalians LLC,  Kyiv, Ukraine</t>
        </is>
      </c>
      <c r="B1114" t="inlineStr">
        <is>
          <t>First Gathering Point, Trader</t>
        </is>
      </c>
      <c r="C1114" t="inlineStr">
        <is>
          <t>Organic Standard Ltd, Kyiv, UA</t>
        </is>
      </c>
      <c r="D1114" t="inlineStr">
        <is>
          <t>14.07.2027</t>
        </is>
      </c>
      <c r="E1114" t="inlineStr">
        <is>
          <t>Ukraine</t>
        </is>
      </c>
    </row>
    <row r="1115">
      <c r="A1115" t="inlineStr">
        <is>
          <t>DOOYOUNG COMPANY CO.,LTD,  Seoul, The Republic of Korea</t>
        </is>
      </c>
      <c r="B1115" t="inlineStr">
        <is>
          <t>Trader with Storage</t>
        </is>
      </c>
      <c r="C1115" t="inlineStr">
        <is>
          <t>Control Union Certifications Germany GmbH, Berlin, DE</t>
        </is>
      </c>
      <c r="D1115" t="inlineStr">
        <is>
          <t>14.07.2027</t>
        </is>
      </c>
      <c r="E1115" t="inlineStr">
        <is>
          <t>The Republic of Korea</t>
        </is>
      </c>
    </row>
    <row r="1116">
      <c r="A1116" t="inlineStr">
        <is>
          <t>AGRO GRAINS SELECT 33,  SACELE, Romania</t>
        </is>
      </c>
      <c r="B1116" t="inlineStr">
        <is>
          <t>First Gathering Point</t>
        </is>
      </c>
      <c r="C1116" t="inlineStr">
        <is>
          <t>BM Certification, Riga, LV</t>
        </is>
      </c>
      <c r="D1116" t="inlineStr">
        <is>
          <t>14.07.2027</t>
        </is>
      </c>
      <c r="E1116" t="inlineStr">
        <is>
          <t>Romania</t>
        </is>
      </c>
    </row>
    <row r="1117">
      <c r="A1117" t="inlineStr">
        <is>
          <t>METALTRANS SRL,  SLATINA, Romania</t>
        </is>
      </c>
      <c r="B1117" t="inlineStr">
        <is>
          <t>First Gathering Point, Warehouse</t>
        </is>
      </c>
      <c r="C1117" t="inlineStr">
        <is>
          <t>BM Certification, Riga, LV</t>
        </is>
      </c>
      <c r="D1117" t="inlineStr">
        <is>
          <t>14.07.2027</t>
        </is>
      </c>
      <c r="E1117" t="inlineStr">
        <is>
          <t>Romania</t>
        </is>
      </c>
    </row>
    <row r="1118">
      <c r="A1118" t="inlineStr">
        <is>
          <t>China Changjiang Bunker (Sinopec) Co., Ltd.,  Jiang’an District, Wuhan, Hubei, China</t>
        </is>
      </c>
      <c r="B1118" t="inlineStr">
        <is>
          <t>Trader</t>
        </is>
      </c>
      <c r="C1118" t="inlineStr">
        <is>
          <t>China Standard Conformity Assessment Co. Ltd, Beijing, CN</t>
        </is>
      </c>
      <c r="D1118" t="inlineStr">
        <is>
          <t>14.07.2027</t>
        </is>
      </c>
      <c r="E1118" t="inlineStr">
        <is>
          <t>China</t>
        </is>
      </c>
    </row>
    <row r="1119">
      <c r="A1119" t="inlineStr">
        <is>
          <t>PT Sukses Inti Palma,  Muaro Jambi Regency, Jambi Province, Indonesia</t>
        </is>
      </c>
      <c r="B1119" t="inlineStr">
        <is>
          <t>Point of Origin</t>
        </is>
      </c>
      <c r="C1119" t="inlineStr">
        <is>
          <t>PT. Qualitas Sertifikasi Indonesia, Jakarta, ID</t>
        </is>
      </c>
      <c r="D1119" t="inlineStr">
        <is>
          <t>14.07.2027</t>
        </is>
      </c>
      <c r="E1119" t="inlineStr">
        <is>
          <t>Indonesia</t>
        </is>
      </c>
    </row>
    <row r="1120">
      <c r="A1120" t="inlineStr">
        <is>
          <t>Shoetown Hunan FOOTWEAR CO.,LTD,  Yongzhou, China</t>
        </is>
      </c>
      <c r="B1120" t="inlineStr">
        <is>
          <t>Final Product Refinement</t>
        </is>
      </c>
      <c r="C1120" t="inlineStr">
        <is>
          <t>CTI Certification Co. Ltd, Shenzhen, CN</t>
        </is>
      </c>
      <c r="D1120" t="inlineStr">
        <is>
          <t>14.07.2027</t>
        </is>
      </c>
      <c r="E1120" t="inlineStr">
        <is>
          <t>China</t>
        </is>
      </c>
    </row>
    <row r="1121">
      <c r="A1121" t="inlineStr">
        <is>
          <t>Saria Polska SP. Z.O.O,  Gołcza, Poland</t>
        </is>
      </c>
      <c r="B1121" t="inlineStr">
        <is>
          <t>Point of Origin</t>
        </is>
      </c>
      <c r="C1121" t="inlineStr">
        <is>
          <t>Control Union Poland Sp. z o.o., Zielona Gora, PL</t>
        </is>
      </c>
      <c r="D1121" t="inlineStr">
        <is>
          <t>14.07.2027</t>
        </is>
      </c>
      <c r="E1121" t="inlineStr">
        <is>
          <t>Poland</t>
        </is>
      </c>
    </row>
    <row r="1122">
      <c r="A1122" t="inlineStr">
        <is>
          <t>Thenergy B.V.,  Oosterhout, The Netherlands</t>
        </is>
      </c>
      <c r="B1122" t="inlineStr">
        <is>
          <t>Collecting Point, Trader with Storage</t>
        </is>
      </c>
      <c r="C1122" t="inlineStr">
        <is>
          <t>Normec QS BV, Ede, NL</t>
        </is>
      </c>
      <c r="D1122" t="inlineStr">
        <is>
          <t>14.07.2027</t>
        </is>
      </c>
      <c r="E1122" t="inlineStr">
        <is>
          <t>The Netherlands</t>
        </is>
      </c>
    </row>
    <row r="1123">
      <c r="A1123" t="inlineStr">
        <is>
          <t>Adideva Carbon LLP,  Tehsil - Un, District- Shamli, India</t>
        </is>
      </c>
      <c r="B1123" t="inlineStr">
        <is>
          <t>Collecting Point, Processing Unit</t>
        </is>
      </c>
      <c r="C1123" t="inlineStr">
        <is>
          <t>Cotecna India Inspection Pvt Ltd, Kolkata, IN</t>
        </is>
      </c>
      <c r="D1123" t="inlineStr">
        <is>
          <t>14.07.2027</t>
        </is>
      </c>
      <c r="E1123" t="inlineStr">
        <is>
          <t>India</t>
        </is>
      </c>
    </row>
    <row r="1124">
      <c r="A1124" t="inlineStr">
        <is>
          <t>SERTEGO SERVICIOS MEDIOAMBIENTALES S.L.U.,  Valencia, Puerto de Valencia, Spain</t>
        </is>
      </c>
      <c r="B1124" t="inlineStr">
        <is>
          <t>Collecting Point, Processing Unit</t>
        </is>
      </c>
      <c r="C1124" t="inlineStr">
        <is>
          <t>Control Union Poland Sp. z o.o., Zielona Gora, PL</t>
        </is>
      </c>
      <c r="D1124" t="inlineStr">
        <is>
          <t>14.07.2027</t>
        </is>
      </c>
      <c r="E1124" t="inlineStr">
        <is>
          <t>Spain</t>
        </is>
      </c>
    </row>
    <row r="1125">
      <c r="A1125" t="inlineStr">
        <is>
          <t>Adideva Carbon LLP,  Tehsil - Un, District- Shamli, India</t>
        </is>
      </c>
      <c r="B1125" t="inlineStr">
        <is>
          <t>Collecting Point, Processing Unit</t>
        </is>
      </c>
      <c r="C1125" t="inlineStr">
        <is>
          <t>Cotecna India Inspection Pvt Ltd, Kolkata, IN</t>
        </is>
      </c>
      <c r="D1125" t="inlineStr">
        <is>
          <t>14.07.2027</t>
        </is>
      </c>
      <c r="E1125" t="inlineStr">
        <is>
          <t>India</t>
        </is>
      </c>
    </row>
    <row r="1126">
      <c r="A1126" t="inlineStr">
        <is>
          <t>KG Eco Solution Co., Ltd.,  Ulju-gun, Ulsan, The Republic of Korea</t>
        </is>
      </c>
      <c r="B1126" t="inlineStr">
        <is>
          <t>Processing Unit</t>
        </is>
      </c>
      <c r="C1126" t="inlineStr">
        <is>
          <t>Control Union Certifications Germany GmbH, Berlin, DE</t>
        </is>
      </c>
      <c r="D1126" t="inlineStr">
        <is>
          <t>14.07.2027</t>
        </is>
      </c>
      <c r="E1126" t="inlineStr">
        <is>
          <t>The Republic of Korea</t>
        </is>
      </c>
    </row>
    <row r="1127">
      <c r="A1127" t="inlineStr">
        <is>
          <t>MAVASER, S.L.,  Picassent (Valencia), Spain</t>
        </is>
      </c>
      <c r="B1127" t="inlineStr">
        <is>
          <t>Collecting Point, Trader</t>
        </is>
      </c>
      <c r="C1127" t="inlineStr">
        <is>
          <t>Control Union Poland Sp. z o.o., Zielona Gora, PL</t>
        </is>
      </c>
      <c r="D1127" t="inlineStr">
        <is>
          <t>14.07.2027</t>
        </is>
      </c>
      <c r="E1127" t="inlineStr">
        <is>
          <t>Spain</t>
        </is>
      </c>
    </row>
    <row r="1128">
      <c r="A1128" t="inlineStr">
        <is>
          <t>Flex Commodities FZCO,  Dubai, The United Arab Emirates</t>
        </is>
      </c>
      <c r="B1128" t="inlineStr">
        <is>
          <t>Trader</t>
        </is>
      </c>
      <c r="C1128" t="inlineStr">
        <is>
          <t>Control Union Certifications Germany GmbH, Berlin, DE</t>
        </is>
      </c>
      <c r="D1128" t="inlineStr">
        <is>
          <t>14.07.2027</t>
        </is>
      </c>
      <c r="E1128" t="inlineStr">
        <is>
          <t>The United Arab Emirates</t>
        </is>
      </c>
    </row>
    <row r="1129">
      <c r="A1129" t="inlineStr">
        <is>
          <t>Printpack,  Villa Rica, GA, United States</t>
        </is>
      </c>
      <c r="B1129" t="inlineStr">
        <is>
          <t>Processing Unit</t>
        </is>
      </c>
      <c r="C1129" t="inlineStr">
        <is>
          <t>SCS Global Services, Emeryville, CA, US</t>
        </is>
      </c>
      <c r="D1129" t="inlineStr">
        <is>
          <t>14.07.2027</t>
        </is>
      </c>
      <c r="E1129" t="inlineStr">
        <is>
          <t>United States</t>
        </is>
      </c>
    </row>
    <row r="1130">
      <c r="A1130" t="inlineStr">
        <is>
          <t>Marathon International Products Supply,  Findlay, United States</t>
        </is>
      </c>
      <c r="B1130" t="inlineStr">
        <is>
          <t>Trader</t>
        </is>
      </c>
      <c r="C1130" t="inlineStr">
        <is>
          <t>SCS Global Services, Emeryville, CA, US</t>
        </is>
      </c>
      <c r="D1130" t="inlineStr">
        <is>
          <t>14.07.2027</t>
        </is>
      </c>
      <c r="E1130" t="inlineStr">
        <is>
          <t>United States</t>
        </is>
      </c>
    </row>
    <row r="1131">
      <c r="A1131" t="inlineStr">
        <is>
          <t>GLOBAL SOURCING PARTNERS,  MONTEVIDEO, Uruguay</t>
        </is>
      </c>
      <c r="B1131" t="inlineStr">
        <is>
          <t>Trader</t>
        </is>
      </c>
      <c r="C1131" t="inlineStr">
        <is>
          <t>PT Intertek Utama Services, Jakarta, ID</t>
        </is>
      </c>
      <c r="D1131" t="inlineStr">
        <is>
          <t>14.07.2027</t>
        </is>
      </c>
      <c r="E1131" t="inlineStr">
        <is>
          <t>Uruguay</t>
        </is>
      </c>
    </row>
    <row r="1132">
      <c r="A1132" t="inlineStr">
        <is>
          <t>SMART DISTRIB SLB SRL,  Buzau, Buzau county, Romania</t>
        </is>
      </c>
      <c r="B1132" t="inlineStr">
        <is>
          <t>First Gathering Point, Trader</t>
        </is>
      </c>
      <c r="C1132" t="inlineStr">
        <is>
          <t>SRAC Cert SRL, Bucharest, RO</t>
        </is>
      </c>
      <c r="D1132" t="inlineStr">
        <is>
          <t>14.07.2027</t>
        </is>
      </c>
      <c r="E1132" t="inlineStr">
        <is>
          <t>Romania</t>
        </is>
      </c>
    </row>
    <row r="1133">
      <c r="A1133" t="inlineStr">
        <is>
          <t>Eastman Chemical Company,  Gaston, The United States of America</t>
        </is>
      </c>
      <c r="B1133" t="inlineStr">
        <is>
          <t>Processing Unit</t>
        </is>
      </c>
      <c r="C1133" t="inlineStr">
        <is>
          <t>SCS Global Services, Emeryville, CA, US</t>
        </is>
      </c>
      <c r="D1133" t="inlineStr">
        <is>
          <t>14.07.2027</t>
        </is>
      </c>
      <c r="E1133" t="inlineStr">
        <is>
          <t>The United States of America</t>
        </is>
      </c>
    </row>
    <row r="1134">
      <c r="A1134" t="inlineStr">
        <is>
          <t>Novamont S.p.A.,  Porto Torres, Italy</t>
        </is>
      </c>
      <c r="B1134" t="inlineStr">
        <is>
          <t>Point of Origin, Processing Unit</t>
        </is>
      </c>
      <c r="C1134" t="inlineStr">
        <is>
          <t>ICIM SpA, sesto san giovanni, IT</t>
        </is>
      </c>
      <c r="D1134" t="inlineStr">
        <is>
          <t>14.07.2027</t>
        </is>
      </c>
      <c r="E1134" t="inlineStr">
        <is>
          <t>Italy</t>
        </is>
      </c>
    </row>
    <row r="1135">
      <c r="A1135" t="inlineStr">
        <is>
          <t>Huaibei Xinxing Huangyuan New Energy and Technology Co., Ltd,  Huaibei, Anhui, China</t>
        </is>
      </c>
      <c r="B1135" t="inlineStr">
        <is>
          <t>Collecting Point, Processing Unit, Trader with Storage</t>
        </is>
      </c>
      <c r="C1135" t="inlineStr">
        <is>
          <t>SCS Global Services, Emeryville, CA, US</t>
        </is>
      </c>
      <c r="D1135" t="inlineStr">
        <is>
          <t>14.07.2027</t>
        </is>
      </c>
      <c r="E1135" t="inlineStr">
        <is>
          <t>China</t>
        </is>
      </c>
    </row>
    <row r="1136">
      <c r="A1136" t="inlineStr">
        <is>
          <t>KEM ONE,  Chateau-Arnoux - Saint-Auban, France</t>
        </is>
      </c>
      <c r="B1136" t="inlineStr">
        <is>
          <t>Processing Unit</t>
        </is>
      </c>
      <c r="C1136" t="inlineStr">
        <is>
          <t>Bureau Veritas Polska Sp. z o.o., Warsaw, PL</t>
        </is>
      </c>
      <c r="D1136" t="inlineStr">
        <is>
          <t>14.07.2027</t>
        </is>
      </c>
      <c r="E1136" t="inlineStr">
        <is>
          <t>France</t>
        </is>
      </c>
    </row>
    <row r="1137">
      <c r="A1137" t="inlineStr">
        <is>
          <t>Eastman Chemical Company,  Longview, The United States of America</t>
        </is>
      </c>
      <c r="B1137" t="inlineStr">
        <is>
          <t>Processing Unit, Trader with Storage</t>
        </is>
      </c>
      <c r="C1137" t="inlineStr">
        <is>
          <t>SCS Global Services, Emeryville, CA, US</t>
        </is>
      </c>
      <c r="D1137" t="inlineStr">
        <is>
          <t>14.07.2027</t>
        </is>
      </c>
      <c r="E1137" t="inlineStr">
        <is>
          <t>The United States of America</t>
        </is>
      </c>
    </row>
    <row r="1138">
      <c r="A1138" t="inlineStr">
        <is>
          <t>Jiangxi Hungpai New Material Co., Ltd.,  Jingdezhen, Jiangxi Province, China</t>
        </is>
      </c>
      <c r="B1138" t="inlineStr">
        <is>
          <t>Processing Unit</t>
        </is>
      </c>
      <c r="C1138" t="inlineStr">
        <is>
          <t>Bureau Veritas Polska Sp. z o.o., Warsaw, PL</t>
        </is>
      </c>
      <c r="D1138" t="inlineStr">
        <is>
          <t>14.07.2027</t>
        </is>
      </c>
      <c r="E1138" t="inlineStr">
        <is>
          <t>China</t>
        </is>
      </c>
    </row>
    <row r="1139">
      <c r="A1139" t="inlineStr">
        <is>
          <t>Hajer Factory for Transformative Industries Co.,  Riyadh, Iskan, 1 area, Saudi Arabia</t>
        </is>
      </c>
      <c r="B1139" t="inlineStr">
        <is>
          <t>Collecting Point, Trader with Storage</t>
        </is>
      </c>
      <c r="C1139" t="inlineStr">
        <is>
          <t>RINA Services S.p.A., Genova, IT</t>
        </is>
      </c>
      <c r="D1139" t="inlineStr">
        <is>
          <t>14.07.2027</t>
        </is>
      </c>
      <c r="E1139" t="inlineStr">
        <is>
          <t>Saudi Arabia</t>
        </is>
      </c>
    </row>
    <row r="1140">
      <c r="A1140" t="inlineStr">
        <is>
          <t>Encaplast SPA,  Mirandola, Italy</t>
        </is>
      </c>
      <c r="B1140" t="inlineStr">
        <is>
          <t>Final Product Refinement, Processing Unit</t>
        </is>
      </c>
      <c r="C1140" t="inlineStr">
        <is>
          <t>Certiquality srl, Milano, IT</t>
        </is>
      </c>
      <c r="D1140" t="inlineStr">
        <is>
          <t>14.07.2027</t>
        </is>
      </c>
      <c r="E1140" t="inlineStr">
        <is>
          <t>Italy</t>
        </is>
      </c>
    </row>
    <row r="1141">
      <c r="A1141" t="inlineStr">
        <is>
          <t>DECO INDUSTRIE,  Forli (FC), Italy</t>
        </is>
      </c>
      <c r="B1141" t="inlineStr">
        <is>
          <t>Processing Unit</t>
        </is>
      </c>
      <c r="C1141" t="inlineStr">
        <is>
          <t>RINA Services S.p.A., Genova, IT</t>
        </is>
      </c>
      <c r="D1141" t="inlineStr">
        <is>
          <t>14.07.2027</t>
        </is>
      </c>
      <c r="E1141" t="inlineStr">
        <is>
          <t>Italy</t>
        </is>
      </c>
    </row>
    <row r="1142">
      <c r="A1142" t="inlineStr">
        <is>
          <t>DECO INDUSTRIE,  Forli (FC), Italy</t>
        </is>
      </c>
      <c r="B1142" t="inlineStr">
        <is>
          <t>Processing Unit</t>
        </is>
      </c>
      <c r="C1142" t="inlineStr">
        <is>
          <t>RINA Services S.p.A., Genova, IT</t>
        </is>
      </c>
      <c r="D1142" t="inlineStr">
        <is>
          <t>14.07.2027</t>
        </is>
      </c>
      <c r="E1142" t="inlineStr">
        <is>
          <t>Italy</t>
        </is>
      </c>
    </row>
    <row r="1143">
      <c r="A1143" t="inlineStr">
        <is>
          <t>DECO INDUSTRIE,  San Michele di Ravenna, Italy</t>
        </is>
      </c>
      <c r="B1143" t="inlineStr">
        <is>
          <t>Processing Unit</t>
        </is>
      </c>
      <c r="C1143" t="inlineStr">
        <is>
          <t>RINA Services S.p.A., Genova, IT</t>
        </is>
      </c>
      <c r="D1143" t="inlineStr">
        <is>
          <t>14.07.2027</t>
        </is>
      </c>
      <c r="E1143" t="inlineStr">
        <is>
          <t>Italy</t>
        </is>
      </c>
    </row>
    <row r="1144">
      <c r="A1144" t="inlineStr">
        <is>
          <t>Diazchim,  Straseni, Moldova</t>
        </is>
      </c>
      <c r="B1144" t="inlineStr">
        <is>
          <t>First Gathering Point, Trader</t>
        </is>
      </c>
      <c r="C1144" t="inlineStr">
        <is>
          <t>SGS Germany GmbH, Emstek, DE</t>
        </is>
      </c>
      <c r="D1144" t="inlineStr">
        <is>
          <t>14.07.2027</t>
        </is>
      </c>
      <c r="E1144" t="inlineStr">
        <is>
          <t>Moldova</t>
        </is>
      </c>
    </row>
    <row r="1145">
      <c r="A1145" t="inlineStr">
        <is>
          <t>Hebei Yuanjia Environmental Protection Technology Co., Ltd,  Zhangjiakou, China</t>
        </is>
      </c>
      <c r="B1145" t="inlineStr">
        <is>
          <t>Collecting Point</t>
        </is>
      </c>
      <c r="C1145" t="inlineStr">
        <is>
          <t>RINA Services S.p.A., Genova, IT</t>
        </is>
      </c>
      <c r="D1145" t="inlineStr">
        <is>
          <t>13.07.2027</t>
        </is>
      </c>
      <c r="E1145" t="inlineStr">
        <is>
          <t>China</t>
        </is>
      </c>
    </row>
    <row r="1146">
      <c r="A1146" t="inlineStr">
        <is>
          <t>Jinzhou Gujin Grease Co., Ltd.,  Shijiazhuang, Hebei, China</t>
        </is>
      </c>
      <c r="B1146" t="inlineStr">
        <is>
          <t>Collecting Point, Trader with Storage</t>
        </is>
      </c>
      <c r="C1146" t="inlineStr">
        <is>
          <t>RINA Services S.p.A., Genova, IT</t>
        </is>
      </c>
      <c r="D1146" t="inlineStr">
        <is>
          <t>13.07.2027</t>
        </is>
      </c>
      <c r="E1146" t="inlineStr">
        <is>
          <t>China</t>
        </is>
      </c>
    </row>
    <row r="1147">
      <c r="A1147" t="inlineStr">
        <is>
          <t>PetroChina International (Hong Kong) Corporation Limited,  Hong Kong, Hong Kong (SAR)</t>
        </is>
      </c>
      <c r="B1147" t="inlineStr">
        <is>
          <t>Trader with Storage</t>
        </is>
      </c>
      <c r="C1147" t="inlineStr">
        <is>
          <t>SCS Global Services, Emeryville, CA, US</t>
        </is>
      </c>
      <c r="D1147" t="inlineStr">
        <is>
          <t>13.07.2027</t>
        </is>
      </c>
      <c r="E1147" t="inlineStr">
        <is>
          <t>Hong Kong (SAR)</t>
        </is>
      </c>
    </row>
    <row r="1148">
      <c r="A1148" t="inlineStr">
        <is>
          <t>INEOS Europe AG (Olefins &amp; Polymers),  Vilallonga del Camp, Tarragona, Spain</t>
        </is>
      </c>
      <c r="B1148" t="inlineStr">
        <is>
          <t>Processing Unit, Trader with Storage</t>
        </is>
      </c>
      <c r="C1148" t="inlineStr">
        <is>
          <t>SCS Global Services, Emeryville, CA, US</t>
        </is>
      </c>
      <c r="D1148" t="inlineStr">
        <is>
          <t>13.07.2027</t>
        </is>
      </c>
      <c r="E1148" t="inlineStr">
        <is>
          <t>Spain</t>
        </is>
      </c>
    </row>
    <row r="1149">
      <c r="A1149" t="inlineStr">
        <is>
          <t>Slovenský plynárenský priemysel, a.s.,  Bratislava, Slovakia</t>
        </is>
      </c>
      <c r="B1149" t="inlineStr">
        <is>
          <t>Trader</t>
        </is>
      </c>
      <c r="C1149" t="inlineStr">
        <is>
          <t>TÜV SÜD Czech s.r.o., Praha 4, CZ</t>
        </is>
      </c>
      <c r="D1149" t="inlineStr">
        <is>
          <t>13.07.2027</t>
        </is>
      </c>
      <c r="E1149" t="inlineStr">
        <is>
          <t>Slovakia</t>
        </is>
      </c>
    </row>
    <row r="1150">
      <c r="A1150" t="inlineStr">
        <is>
          <t>Tecnogarden Service s.r.l.,  Vimercate, Italy</t>
        </is>
      </c>
      <c r="B1150" t="inlineStr">
        <is>
          <t>Collecting Point, First Gathering Point, Point of Origin, Processing Unit, Trader, Warehouse</t>
        </is>
      </c>
      <c r="C1150" t="inlineStr">
        <is>
          <t>PT Intertek Utama Services, Jakarta, ID</t>
        </is>
      </c>
      <c r="D1150" t="inlineStr">
        <is>
          <t>13.07.2027</t>
        </is>
      </c>
      <c r="E1150" t="inlineStr">
        <is>
          <t>Italy</t>
        </is>
      </c>
    </row>
    <row r="1151">
      <c r="A1151" t="inlineStr">
        <is>
          <t>Wenzhou Weilan Optical CO., LTD.,  Wenzhou City,Zhejiang Province, China</t>
        </is>
      </c>
      <c r="B1151" t="inlineStr">
        <is>
          <t>Processing Unit</t>
        </is>
      </c>
      <c r="C1151" t="inlineStr">
        <is>
          <t>SCS Global Services, Emeryville, CA, US</t>
        </is>
      </c>
      <c r="D1151" t="inlineStr">
        <is>
          <t>13.07.2027</t>
        </is>
      </c>
      <c r="E1151" t="inlineStr">
        <is>
          <t>China</t>
        </is>
      </c>
    </row>
    <row r="1152">
      <c r="A1152" t="inlineStr">
        <is>
          <t>AB KN Energies,  Klaipėda, Lithuania</t>
        </is>
      </c>
      <c r="B1152" t="inlineStr">
        <is>
          <t>Warehouse, Processing Unit</t>
        </is>
      </c>
      <c r="C1152" t="inlineStr">
        <is>
          <t>Bureau Veritas Polska Sp. z o.o., Warsaw, PL</t>
        </is>
      </c>
      <c r="D1152" t="inlineStr">
        <is>
          <t>13.07.2027</t>
        </is>
      </c>
      <c r="E1152" t="inlineStr">
        <is>
          <t>Lithuania</t>
        </is>
      </c>
    </row>
    <row r="1153">
      <c r="A1153" t="inlineStr">
        <is>
          <t>Jebsen-Mazzucchelli (China) Limited,  Kowloon, Hong Kong (SAR)</t>
        </is>
      </c>
      <c r="B1153" t="inlineStr">
        <is>
          <t>Trader with Storage</t>
        </is>
      </c>
      <c r="C1153" t="inlineStr">
        <is>
          <t>Bureau Veritas Polska Sp. z o.o., Warsaw, PL</t>
        </is>
      </c>
      <c r="D1153" t="inlineStr">
        <is>
          <t>13.07.2027</t>
        </is>
      </c>
      <c r="E1153" t="inlineStr">
        <is>
          <t>Hong Kong (SAR)</t>
        </is>
      </c>
    </row>
    <row r="1154">
      <c r="A1154" t="inlineStr">
        <is>
          <t>Syarikat Cahaya Muda Perak (Oil Mill) Sdn. Bhd.,  Tapah, Malaysia</t>
        </is>
      </c>
      <c r="B1154" t="inlineStr">
        <is>
          <t>Point of Origin</t>
        </is>
      </c>
      <c r="C1154" t="inlineStr">
        <is>
          <t>Global Gateway Certifications Sdn Bhd, Ampang, MY</t>
        </is>
      </c>
      <c r="D1154" t="inlineStr">
        <is>
          <t>13.07.2027</t>
        </is>
      </c>
      <c r="E1154" t="inlineStr">
        <is>
          <t>Malaysia</t>
        </is>
      </c>
    </row>
    <row r="1155">
      <c r="A1155" t="inlineStr">
        <is>
          <t>Yong Yuan Shun Raw Material for Biodiesel Co. Ltd,  Tainan City, Taiwan (Province of China)</t>
        </is>
      </c>
      <c r="B1155" t="inlineStr">
        <is>
          <t>Collecting Point, Trader with Storage</t>
        </is>
      </c>
      <c r="C1155" t="inlineStr">
        <is>
          <t>Bureau Veritas Polska Sp. z o.o., Warsaw, PL</t>
        </is>
      </c>
      <c r="D1155" t="inlineStr">
        <is>
          <t>13.07.2027</t>
        </is>
      </c>
      <c r="E1155" t="inlineStr">
        <is>
          <t>Taiwan (Province of China)</t>
        </is>
      </c>
    </row>
    <row r="1156">
      <c r="A1156" t="inlineStr">
        <is>
          <t>Žemės ūkio kooperatyvas "Radviliškio aruodas",  Radviliškis, Lithuania</t>
        </is>
      </c>
      <c r="B1156" t="inlineStr">
        <is>
          <t>First Gathering Point, Trader</t>
        </is>
      </c>
      <c r="C1156" t="inlineStr">
        <is>
          <t>BM Certification, Riga, LV</t>
        </is>
      </c>
      <c r="D1156" t="inlineStr">
        <is>
          <t>13.07.2027</t>
        </is>
      </c>
      <c r="E1156" t="inlineStr">
        <is>
          <t>Lithuania</t>
        </is>
      </c>
    </row>
    <row r="1157">
      <c r="A1157" t="inlineStr">
        <is>
          <t>Ultra Plus Tape Co., Ltd.,  Tongxiang City, Zhejiang Province, China</t>
        </is>
      </c>
      <c r="B1157" t="inlineStr">
        <is>
          <t>Processing Unit</t>
        </is>
      </c>
      <c r="C1157" t="inlineStr">
        <is>
          <t>DIN CERTCO GmbH, Berlin, DE</t>
        </is>
      </c>
      <c r="D1157" t="inlineStr">
        <is>
          <t>13.07.2027</t>
        </is>
      </c>
      <c r="E1157" t="inlineStr">
        <is>
          <t>China</t>
        </is>
      </c>
    </row>
    <row r="1158">
      <c r="A1158" t="inlineStr">
        <is>
          <t>Braskem S.A. - Unit PE4/PE6,  Triunfo, Brazil</t>
        </is>
      </c>
      <c r="B1158" t="inlineStr">
        <is>
          <t>Processing Unit</t>
        </is>
      </c>
      <c r="C1158" t="inlineStr">
        <is>
          <t>SGS Germany GmbH, Emstek, DE</t>
        </is>
      </c>
      <c r="D1158" t="inlineStr">
        <is>
          <t>13.07.2027</t>
        </is>
      </c>
      <c r="E1158" t="inlineStr">
        <is>
          <t>Brazil</t>
        </is>
      </c>
    </row>
    <row r="1159">
      <c r="A1159" t="inlineStr">
        <is>
          <t>LPKS Durbes grauds,  Lieģi, Tadaiku pagasts, Durbes novads, Latvia</t>
        </is>
      </c>
      <c r="B1159" t="inlineStr">
        <is>
          <t>First Gathering Point</t>
        </is>
      </c>
      <c r="C1159" t="inlineStr">
        <is>
          <t>SGS Germany GmbH, Emstek, DE</t>
        </is>
      </c>
      <c r="D1159" t="inlineStr">
        <is>
          <t>13.07.2027</t>
        </is>
      </c>
      <c r="E1159" t="inlineStr">
        <is>
          <t>Latvia</t>
        </is>
      </c>
    </row>
    <row r="1160">
      <c r="A1160" t="inlineStr">
        <is>
          <t>Abfallservice Jüly GmbH,  Bruck/Leitha, Austria</t>
        </is>
      </c>
      <c r="B1160" t="inlineStr">
        <is>
          <t>Collecting Point, Trader with Storage</t>
        </is>
      </c>
      <c r="C1160" t="inlineStr">
        <is>
          <t>agroVet GmbH, Enzersfeld, AT</t>
        </is>
      </c>
      <c r="D1160" t="inlineStr">
        <is>
          <t>13.07.2027</t>
        </is>
      </c>
      <c r="E1160" t="inlineStr">
        <is>
          <t>Austria</t>
        </is>
      </c>
    </row>
    <row r="1161">
      <c r="A1161" t="inlineStr">
        <is>
          <t>Guiyang Bioland Technology Co.,Ltd,  Guiyang, China</t>
        </is>
      </c>
      <c r="B1161" t="inlineStr">
        <is>
          <t>Collecting Point, Processing Unit</t>
        </is>
      </c>
      <c r="C1161" t="inlineStr">
        <is>
          <t>CTI Certification Co. Ltd, Shenzhen, CN</t>
        </is>
      </c>
      <c r="D1161" t="inlineStr">
        <is>
          <t>13.07.2027</t>
        </is>
      </c>
      <c r="E1161" t="inlineStr">
        <is>
          <t>China</t>
        </is>
      </c>
    </row>
    <row r="1162">
      <c r="A1162" t="inlineStr">
        <is>
          <t>Exolum Pipeline System Ltd,  Killingholme, The United Kingdom</t>
        </is>
      </c>
      <c r="B1162" t="inlineStr">
        <is>
          <t>Warehouse</t>
        </is>
      </c>
      <c r="C1162" t="inlineStr">
        <is>
          <t>DEKRA Certification B.V., Arnhem, NL</t>
        </is>
      </c>
      <c r="D1162" t="inlineStr">
        <is>
          <t>13.07.2027</t>
        </is>
      </c>
      <c r="E1162" t="inlineStr">
        <is>
          <t>The United Kingdom</t>
        </is>
      </c>
    </row>
    <row r="1163">
      <c r="A1163" t="inlineStr">
        <is>
          <t>Dongying Baiyuan Environment Resources Co.,Ltd,  Dongying City, Shandong Province, China</t>
        </is>
      </c>
      <c r="B1163" t="inlineStr">
        <is>
          <t>Trader</t>
        </is>
      </c>
      <c r="C1163" t="inlineStr">
        <is>
          <t>PT Intertek Utama Services, Jakarta, ID</t>
        </is>
      </c>
      <c r="D1163" t="inlineStr">
        <is>
          <t>13.07.2027</t>
        </is>
      </c>
      <c r="E1163" t="inlineStr">
        <is>
          <t>China</t>
        </is>
      </c>
    </row>
    <row r="1164">
      <c r="A1164" t="inlineStr">
        <is>
          <t>DMVAR TRADING,  Radyvyliv, Ukraine</t>
        </is>
      </c>
      <c r="B1164" t="inlineStr">
        <is>
          <t>First Gathering Point, Trader with Storage</t>
        </is>
      </c>
      <c r="C1164" t="inlineStr">
        <is>
          <t>Apex Genelab LLC, Odessa, UA</t>
        </is>
      </c>
      <c r="D1164" t="inlineStr">
        <is>
          <t>13.07.2027</t>
        </is>
      </c>
      <c r="E1164" t="inlineStr">
        <is>
          <t>Ukraine</t>
        </is>
      </c>
    </row>
    <row r="1165">
      <c r="A1165" t="inlineStr">
        <is>
          <t>Braskem S.A. - Unit Q2,  Triunfo, Brazil</t>
        </is>
      </c>
      <c r="B1165" t="inlineStr">
        <is>
          <t>Processing Unit</t>
        </is>
      </c>
      <c r="C1165" t="inlineStr">
        <is>
          <t>SGS Germany GmbH, Emstek, DE</t>
        </is>
      </c>
      <c r="D1165" t="inlineStr">
        <is>
          <t>13.07.2027</t>
        </is>
      </c>
      <c r="E1165" t="inlineStr">
        <is>
          <t>Brazil</t>
        </is>
      </c>
    </row>
    <row r="1166">
      <c r="A1166" t="inlineStr">
        <is>
          <t>Braskem S.A - UNIT PE1,  Camaçari, Brazil</t>
        </is>
      </c>
      <c r="B1166" t="inlineStr">
        <is>
          <t>Processing Unit</t>
        </is>
      </c>
      <c r="C1166" t="inlineStr">
        <is>
          <t>SGS Germany GmbH, Emstek, DE</t>
        </is>
      </c>
      <c r="D1166" t="inlineStr">
        <is>
          <t>13.07.2027</t>
        </is>
      </c>
      <c r="E1166" t="inlineStr">
        <is>
          <t>Brazil</t>
        </is>
      </c>
    </row>
    <row r="1167">
      <c r="A1167" t="inlineStr">
        <is>
          <t>Braskem SA - Trader,  São Paulo - SP, Brazil</t>
        </is>
      </c>
      <c r="B1167" t="inlineStr">
        <is>
          <t>Trader with Storage</t>
        </is>
      </c>
      <c r="C1167" t="inlineStr">
        <is>
          <t>SGS Germany GmbH, Emstek, DE</t>
        </is>
      </c>
      <c r="D1167" t="inlineStr">
        <is>
          <t>13.07.2027</t>
        </is>
      </c>
      <c r="E1167" t="inlineStr">
        <is>
          <t>Brazil</t>
        </is>
      </c>
    </row>
    <row r="1168">
      <c r="A1168" t="inlineStr">
        <is>
          <t>CAKRA ALAM SEJATI,  Kabupaten Pelalawan, Indonesia</t>
        </is>
      </c>
      <c r="B1168" t="inlineStr">
        <is>
          <t>Processing Unit</t>
        </is>
      </c>
      <c r="C1168" t="inlineStr">
        <is>
          <t>RINA Services S.p.A., Genova, IT</t>
        </is>
      </c>
      <c r="D1168" t="inlineStr">
        <is>
          <t>13.07.2027</t>
        </is>
      </c>
      <c r="E1168" t="inlineStr">
        <is>
          <t>Indonesia</t>
        </is>
      </c>
    </row>
    <row r="1169">
      <c r="A1169" t="inlineStr">
        <is>
          <t>Renewable Energy Storage &amp; Trading (REST) BV,  Ermelo, The Netherlands</t>
        </is>
      </c>
      <c r="B1169" t="inlineStr">
        <is>
          <t>Processing Unit, Trader with Storage</t>
        </is>
      </c>
      <c r="C1169" t="inlineStr">
        <is>
          <t>Control Union Certifications Germany GmbH, Berlin, DE</t>
        </is>
      </c>
      <c r="D1169" t="inlineStr">
        <is>
          <t>13.07.2027</t>
        </is>
      </c>
      <c r="E1169" t="inlineStr">
        <is>
          <t>The Netherlands</t>
        </is>
      </c>
    </row>
    <row r="1170">
      <c r="A1170" t="inlineStr">
        <is>
          <t>Parkside Flexibles (Europe),  Wakefield, The United Kingdom</t>
        </is>
      </c>
      <c r="B1170" t="inlineStr">
        <is>
          <t>Processing Unit</t>
        </is>
      </c>
      <c r="C1170" t="inlineStr">
        <is>
          <t>SGS Germany GmbH, Emstek, DE</t>
        </is>
      </c>
      <c r="D1170" t="inlineStr">
        <is>
          <t>13.07.2027</t>
        </is>
      </c>
      <c r="E1170" t="inlineStr">
        <is>
          <t>The United Kingdom</t>
        </is>
      </c>
    </row>
    <row r="1171">
      <c r="A1171" t="inlineStr">
        <is>
          <t>Covestro,  Santa Margarida i els Monjos, Spain</t>
        </is>
      </c>
      <c r="B1171" t="inlineStr">
        <is>
          <t>Processing Unit</t>
        </is>
      </c>
      <c r="C1171" t="inlineStr">
        <is>
          <t>DQS CFS GmbH - Deutsche Gesellschaft für Nachhaltigkeit, Frankfurt am Main, DE</t>
        </is>
      </c>
      <c r="D1171" t="inlineStr">
        <is>
          <t>13.07.2027</t>
        </is>
      </c>
      <c r="E1171" t="inlineStr">
        <is>
          <t>Spain</t>
        </is>
      </c>
    </row>
    <row r="1172">
      <c r="A1172" t="inlineStr">
        <is>
          <t>Braskem S.A -UNIT Q3CK,  Santo André, Brazil</t>
        </is>
      </c>
      <c r="B1172" t="inlineStr">
        <is>
          <t>Processing Unit</t>
        </is>
      </c>
      <c r="C1172" t="inlineStr">
        <is>
          <t>SGS Germany GmbH, Emstek, DE</t>
        </is>
      </c>
      <c r="D1172" t="inlineStr">
        <is>
          <t>13.07.2027</t>
        </is>
      </c>
      <c r="E1172" t="inlineStr">
        <is>
          <t>Brazil</t>
        </is>
      </c>
    </row>
    <row r="1173">
      <c r="A1173" t="inlineStr">
        <is>
          <t>Braskem S.A-UNIT Q1,  Camaçari, Brazil</t>
        </is>
      </c>
      <c r="B1173" t="inlineStr">
        <is>
          <t>ETBE plant, Processing Unit, Trader with Storage</t>
        </is>
      </c>
      <c r="C1173" t="inlineStr">
        <is>
          <t>SGS Germany GmbH, Emstek, DE</t>
        </is>
      </c>
      <c r="D1173" t="inlineStr">
        <is>
          <t>13.07.2027</t>
        </is>
      </c>
      <c r="E1173" t="inlineStr">
        <is>
          <t>Brazil</t>
        </is>
      </c>
    </row>
    <row r="1174">
      <c r="A1174" t="inlineStr">
        <is>
          <t>Sinopec (Hong Kong) Hainan Petroleum Company Limited,  Yangpu,Hainan, China</t>
        </is>
      </c>
      <c r="B1174" t="inlineStr">
        <is>
          <t>Trader with Storage, Warehouse</t>
        </is>
      </c>
      <c r="C1174" t="inlineStr">
        <is>
          <t>SGS Germany GmbH, Emstek, DE</t>
        </is>
      </c>
      <c r="D1174" t="inlineStr">
        <is>
          <t>13.07.2027</t>
        </is>
      </c>
      <c r="E1174" t="inlineStr">
        <is>
          <t>China</t>
        </is>
      </c>
    </row>
    <row r="1175">
      <c r="A1175" t="inlineStr">
        <is>
          <t>Sinopec (Hong Kong) Hainan Petroleum Company Limited,  Yangpu,Hainan, China</t>
        </is>
      </c>
      <c r="B1175" t="inlineStr">
        <is>
          <t>Trader with Storage, Warehouse</t>
        </is>
      </c>
      <c r="C1175" t="inlineStr">
        <is>
          <t>SGS Germany GmbH, Emstek, DE</t>
        </is>
      </c>
      <c r="D1175" t="inlineStr">
        <is>
          <t>13.07.2027</t>
        </is>
      </c>
      <c r="E1175" t="inlineStr">
        <is>
          <t>China</t>
        </is>
      </c>
    </row>
    <row r="1176">
      <c r="A1176" t="inlineStr">
        <is>
          <t>Pactiv Evergreen,  Canandaigua, United States</t>
        </is>
      </c>
      <c r="B1176" t="inlineStr">
        <is>
          <t>Processing Unit, Trader with Storage</t>
        </is>
      </c>
      <c r="C1176" t="inlineStr">
        <is>
          <t>SCS Global Services, Emeryville, CA, US</t>
        </is>
      </c>
      <c r="D1176" t="inlineStr">
        <is>
          <t>13.07.2027</t>
        </is>
      </c>
      <c r="E1176" t="inlineStr">
        <is>
          <t>United States</t>
        </is>
      </c>
    </row>
    <row r="1177">
      <c r="A1177" t="inlineStr">
        <is>
          <t>Sc Total Agrovest Srl,  Sanandrei, Romania</t>
        </is>
      </c>
      <c r="B1177" t="inlineStr">
        <is>
          <t>First Gathering Point, Trader with Storage</t>
        </is>
      </c>
      <c r="C1177" t="inlineStr">
        <is>
          <t>RINA Services S.p.A., Genova, IT</t>
        </is>
      </c>
      <c r="D1177" t="inlineStr">
        <is>
          <t>13.07.2027</t>
        </is>
      </c>
      <c r="E1177" t="inlineStr">
        <is>
          <t>Romania</t>
        </is>
      </c>
    </row>
    <row r="1178">
      <c r="A1178" t="inlineStr">
        <is>
          <t>KremsChem Austria GmbH,  Krems an der Donau, Austria</t>
        </is>
      </c>
      <c r="B1178" t="inlineStr">
        <is>
          <t>Processing Unit</t>
        </is>
      </c>
      <c r="C1178" t="inlineStr">
        <is>
          <t>agroVet GmbH, Enzersfeld, AT</t>
        </is>
      </c>
      <c r="D1178" t="inlineStr">
        <is>
          <t>13.07.2027</t>
        </is>
      </c>
      <c r="E1178" t="inlineStr">
        <is>
          <t>Austria</t>
        </is>
      </c>
    </row>
    <row r="1179">
      <c r="A1179" t="inlineStr">
        <is>
          <t>Tianjin Northern Petrochemicals Terminal CO., Ltd.,  Tianjin City, China</t>
        </is>
      </c>
      <c r="B1179" t="inlineStr">
        <is>
          <t>Warehouse</t>
        </is>
      </c>
      <c r="C1179" t="inlineStr">
        <is>
          <t>SCS Global Services, Emeryville, CA, US</t>
        </is>
      </c>
      <c r="D1179" t="inlineStr">
        <is>
          <t>13.07.2027</t>
        </is>
      </c>
      <c r="E1179" t="inlineStr">
        <is>
          <t>China</t>
        </is>
      </c>
    </row>
    <row r="1180">
      <c r="A1180" t="inlineStr">
        <is>
          <t>INCO INTERNATIONAL (HK) CO., LIMITED,  Hangzhou City, Zhejiang Province,, China</t>
        </is>
      </c>
      <c r="B1180" t="inlineStr">
        <is>
          <t>Trader with Storage</t>
        </is>
      </c>
      <c r="C1180" t="inlineStr">
        <is>
          <t>RINA Services S.p.A., Genova, IT</t>
        </is>
      </c>
      <c r="D1180" t="inlineStr">
        <is>
          <t>13.07.2027</t>
        </is>
      </c>
      <c r="E1180" t="inlineStr">
        <is>
          <t>China</t>
        </is>
      </c>
    </row>
    <row r="1181">
      <c r="A1181" t="inlineStr">
        <is>
          <t>Multilayer Pipe Company Sp. z o.o.,  Strzelin, Poland</t>
        </is>
      </c>
      <c r="B1181" t="inlineStr">
        <is>
          <t>Processing Unit</t>
        </is>
      </c>
      <c r="C1181" t="inlineStr">
        <is>
          <t>Control Union Poland Sp. z o.o., Zielona Gora, PL</t>
        </is>
      </c>
      <c r="D1181" t="inlineStr">
        <is>
          <t>13.07.2027</t>
        </is>
      </c>
      <c r="E1181" t="inlineStr">
        <is>
          <t>Poland</t>
        </is>
      </c>
    </row>
    <row r="1182">
      <c r="A1182" t="inlineStr">
        <is>
          <t>TIRYAKI TAHIL VE YEM TICARET ANONIM SIRKETI KARACABEY SUBESI,  KARACABEY / BURSA, Türkiye</t>
        </is>
      </c>
      <c r="B1182" t="inlineStr">
        <is>
          <t>Point of Origin, Trader with Storage, Warehouse, Processing Unit</t>
        </is>
      </c>
      <c r="C1182" t="inlineStr">
        <is>
          <t>Trans Certification and Inspection Sdn Bhd, Kuantan, MY</t>
        </is>
      </c>
      <c r="D1182" t="inlineStr">
        <is>
          <t>13.07.2027</t>
        </is>
      </c>
      <c r="E1182" t="inlineStr">
        <is>
          <t>Türkiye</t>
        </is>
      </c>
    </row>
    <row r="1183">
      <c r="A1183" t="inlineStr">
        <is>
          <t>BRASKEM GREEN S.A.,  TRIUNFO, Brazil</t>
        </is>
      </c>
      <c r="B1183" t="inlineStr">
        <is>
          <t>Processing Unit, Trader with Storage</t>
        </is>
      </c>
      <c r="C1183" t="inlineStr">
        <is>
          <t>SGS Germany GmbH, Emstek, DE</t>
        </is>
      </c>
      <c r="D1183" t="inlineStr">
        <is>
          <t>13.07.2027</t>
        </is>
      </c>
      <c r="E1183" t="inlineStr">
        <is>
          <t>Brazil</t>
        </is>
      </c>
    </row>
    <row r="1184">
      <c r="A1184" t="inlineStr">
        <is>
          <t>KONSULT EKO PLASTIK TREID,  Galabovo, region Stara Zagora, Bulgaria</t>
        </is>
      </c>
      <c r="B1184" t="inlineStr">
        <is>
          <t>Collecting Point</t>
        </is>
      </c>
      <c r="C1184" t="inlineStr">
        <is>
          <t>Bureau Veritas Polska Sp. z o.o., Warsaw, PL</t>
        </is>
      </c>
      <c r="D1184" t="inlineStr">
        <is>
          <t>13.07.2027</t>
        </is>
      </c>
      <c r="E1184" t="inlineStr">
        <is>
          <t>Bulgaria</t>
        </is>
      </c>
    </row>
    <row r="1185">
      <c r="A1185" t="inlineStr">
        <is>
          <t>Grandi Molini Italiani S.p.A.,  Marghera (VE), Italy</t>
        </is>
      </c>
      <c r="B1185" t="inlineStr">
        <is>
          <t>Processing Unit</t>
        </is>
      </c>
      <c r="C1185" t="inlineStr">
        <is>
          <t>RINA Services S.p.A., Genova, IT</t>
        </is>
      </c>
      <c r="D1185" t="inlineStr">
        <is>
          <t>13.07.2027</t>
        </is>
      </c>
      <c r="E1185" t="inlineStr">
        <is>
          <t>Italy</t>
        </is>
      </c>
    </row>
    <row r="1186">
      <c r="A1186" t="inlineStr">
        <is>
          <t>Vibac S.p.A.,  L'Aquila (AQ), Italy</t>
        </is>
      </c>
      <c r="B1186" t="inlineStr">
        <is>
          <t>Processing Unit</t>
        </is>
      </c>
      <c r="C1186" t="inlineStr">
        <is>
          <t>RINA Services S.p.A., Genova, IT</t>
        </is>
      </c>
      <c r="D1186" t="inlineStr">
        <is>
          <t>13.07.2027</t>
        </is>
      </c>
      <c r="E1186" t="inlineStr">
        <is>
          <t>Italy</t>
        </is>
      </c>
    </row>
    <row r="1187">
      <c r="A1187" t="inlineStr">
        <is>
          <t>LIMITED LIABILITY COMPANY AGRO TRADING,  Volodymyrivske village, Ukraine</t>
        </is>
      </c>
      <c r="B1187" t="inlineStr">
        <is>
          <t>First Gathering Point, Processing Unit, Trader with Storage</t>
        </is>
      </c>
      <c r="C1187" t="inlineStr">
        <is>
          <t>Bureau Veritas Polska Sp. z o.o., Warsaw, PL</t>
        </is>
      </c>
      <c r="D1187" t="inlineStr">
        <is>
          <t>13.07.2027</t>
        </is>
      </c>
      <c r="E1187" t="inlineStr">
        <is>
          <t>Ukraine</t>
        </is>
      </c>
    </row>
    <row r="1188">
      <c r="A1188" t="inlineStr">
        <is>
          <t>LIMITED LIABILITY COMPANY AGRO TRADING,  Volodymyrivske village, Ukraine</t>
        </is>
      </c>
      <c r="B1188" t="inlineStr">
        <is>
          <t>First Gathering Point, Trader with Storage, Processing Unit</t>
        </is>
      </c>
      <c r="C1188" t="inlineStr">
        <is>
          <t>Bureau Veritas Polska Sp. z o.o., Warsaw, PL</t>
        </is>
      </c>
      <c r="D1188" t="inlineStr">
        <is>
          <t>13.07.2027</t>
        </is>
      </c>
      <c r="E1188" t="inlineStr">
        <is>
          <t>Ukraine</t>
        </is>
      </c>
    </row>
    <row r="1189">
      <c r="A1189" t="inlineStr">
        <is>
          <t>Poggio Agricoltura,  Frascaro, Italy</t>
        </is>
      </c>
      <c r="B1189" t="inlineStr">
        <is>
          <t>First Gathering Point</t>
        </is>
      </c>
      <c r="C1189" t="inlineStr">
        <is>
          <t>RINA Services S.p.A., Genova, IT</t>
        </is>
      </c>
      <c r="D1189" t="inlineStr">
        <is>
          <t>13.07.2027</t>
        </is>
      </c>
      <c r="E1189" t="inlineStr">
        <is>
          <t>Italy</t>
        </is>
      </c>
    </row>
    <row r="1190">
      <c r="A1190" t="inlineStr">
        <is>
          <t>Toyota Tsusho Corporation,  Nagoya, Japan</t>
        </is>
      </c>
      <c r="B1190" t="inlineStr">
        <is>
          <t>Trader with Storage</t>
        </is>
      </c>
      <c r="C1190" t="inlineStr">
        <is>
          <t>Control Union Certifications Germany GmbH, Berlin, DE</t>
        </is>
      </c>
      <c r="D1190" t="inlineStr">
        <is>
          <t>12.07.2027</t>
        </is>
      </c>
      <c r="E1190" t="inlineStr">
        <is>
          <t>Japan</t>
        </is>
      </c>
    </row>
    <row r="1191">
      <c r="A1191" t="inlineStr">
        <is>
          <t>MOPAC,  Souderton, PA, United States</t>
        </is>
      </c>
      <c r="B1191" t="inlineStr">
        <is>
          <t>Collecting Point</t>
        </is>
      </c>
      <c r="C1191" t="inlineStr">
        <is>
          <t>SCS Global Services, Emeryville, CA, US</t>
        </is>
      </c>
      <c r="D1191" t="inlineStr">
        <is>
          <t>12.07.2027</t>
        </is>
      </c>
      <c r="E1191" t="inlineStr">
        <is>
          <t>United States</t>
        </is>
      </c>
    </row>
    <row r="1192">
      <c r="A1192" t="inlineStr">
        <is>
          <t>Refinaria de Petróleo Riograndense S/A,  Rio Grande, RS, Brazil</t>
        </is>
      </c>
      <c r="B1192" t="inlineStr">
        <is>
          <t>Processing Unit, Trader, Warehouse</t>
        </is>
      </c>
      <c r="C1192" t="inlineStr">
        <is>
          <t>Control Union Poland Sp. z o.o., Zielona Gora, PL</t>
        </is>
      </c>
      <c r="D1192" t="inlineStr">
        <is>
          <t>12.07.2027</t>
        </is>
      </c>
      <c r="E1192" t="inlineStr">
        <is>
          <t>Brazil</t>
        </is>
      </c>
    </row>
    <row r="1193">
      <c r="A1193" t="inlineStr">
        <is>
          <t>LOTTE Chemical Corporation (Jamsil Office, Basic Chemical),  Songpa-gu, Seoul, The Republic of Korea</t>
        </is>
      </c>
      <c r="B1193" t="inlineStr">
        <is>
          <t>Trader</t>
        </is>
      </c>
      <c r="C1193" t="inlineStr">
        <is>
          <t>Control Union Certifications Germany GmbH, Berlin, DE</t>
        </is>
      </c>
      <c r="D1193" t="inlineStr">
        <is>
          <t>12.07.2027</t>
        </is>
      </c>
      <c r="E1193" t="inlineStr">
        <is>
          <t>The Republic of Korea</t>
        </is>
      </c>
    </row>
    <row r="1194">
      <c r="A1194" t="inlineStr">
        <is>
          <t>LOTTE Chemical Corporation (Uiwang Office, Advanced Materials),  Uiwang-si, Gyeonggi-do, The Republic of Korea</t>
        </is>
      </c>
      <c r="B1194" t="inlineStr">
        <is>
          <t>Trader with Storage</t>
        </is>
      </c>
      <c r="C1194" t="inlineStr">
        <is>
          <t>Control Union Certifications Germany GmbH, Berlin, DE</t>
        </is>
      </c>
      <c r="D1194" t="inlineStr">
        <is>
          <t>12.07.2027</t>
        </is>
      </c>
      <c r="E1194" t="inlineStr">
        <is>
          <t>The Republic of Korea</t>
        </is>
      </c>
    </row>
    <row r="1195">
      <c r="A1195" t="inlineStr">
        <is>
          <t>REG Geismar,  Geismar, Louisiana, United States</t>
        </is>
      </c>
      <c r="B1195" t="inlineStr">
        <is>
          <t>Processing Unit, Trader with Storage</t>
        </is>
      </c>
      <c r="C1195" t="inlineStr">
        <is>
          <t>SCS Global Services, Emeryville, CA, US</t>
        </is>
      </c>
      <c r="D1195" t="inlineStr">
        <is>
          <t>12.07.2027</t>
        </is>
      </c>
      <c r="E1195" t="inlineStr">
        <is>
          <t>United States</t>
        </is>
      </c>
    </row>
    <row r="1196">
      <c r="A1196" t="inlineStr">
        <is>
          <t>REG Geismar,  Geismar, Louisiana, United States</t>
        </is>
      </c>
      <c r="B1196" t="inlineStr">
        <is>
          <t>Collecting Point, Processing Unit, Trader with Storage</t>
        </is>
      </c>
      <c r="C1196" t="inlineStr">
        <is>
          <t>SCS Global Services, Emeryville, CA, US</t>
        </is>
      </c>
      <c r="D1196" t="inlineStr">
        <is>
          <t>12.07.2027</t>
        </is>
      </c>
      <c r="E1196" t="inlineStr">
        <is>
          <t>United States</t>
        </is>
      </c>
    </row>
    <row r="1197">
      <c r="A1197" t="inlineStr">
        <is>
          <t>Vinnytska Ptakhofabryka,  Ladyzhyn, Ukraine</t>
        </is>
      </c>
      <c r="B1197" t="inlineStr">
        <is>
          <t>Point of Origin</t>
        </is>
      </c>
      <c r="C1197" t="inlineStr">
        <is>
          <t>Apex Genelab LLC, Odessa, UA</t>
        </is>
      </c>
      <c r="D1197" t="inlineStr">
        <is>
          <t>12.07.2027</t>
        </is>
      </c>
      <c r="E1197" t="inlineStr">
        <is>
          <t>Ukraine</t>
        </is>
      </c>
    </row>
    <row r="1198">
      <c r="A1198" t="inlineStr">
        <is>
          <t>LOTTE Chemical Corporation (Yeosu Plant, Basic Chemicals),  Yeosu-si, Jeollanam-do, The Republic of Korea</t>
        </is>
      </c>
      <c r="B1198" t="inlineStr">
        <is>
          <t>Processing Unit</t>
        </is>
      </c>
      <c r="C1198" t="inlineStr">
        <is>
          <t>Control Union Certifications Germany GmbH, Berlin, DE</t>
        </is>
      </c>
      <c r="D1198" t="inlineStr">
        <is>
          <t>12.07.2027</t>
        </is>
      </c>
      <c r="E1198" t="inlineStr">
        <is>
          <t>The Republic of Korea</t>
        </is>
      </c>
    </row>
    <row r="1199">
      <c r="A1199" t="inlineStr">
        <is>
          <t>LUKRA Slovakia, s.r.o.,  Bratislava, Slovakia</t>
        </is>
      </c>
      <c r="B1199" t="inlineStr">
        <is>
          <t>First Gathering Point, Trader with Storage</t>
        </is>
      </c>
      <c r="C1199" t="inlineStr">
        <is>
          <t>United Registrar of Systems Polska Sp. z o.o., Wrocław, PL</t>
        </is>
      </c>
      <c r="D1199" t="inlineStr">
        <is>
          <t>12.07.2027</t>
        </is>
      </c>
      <c r="E1199" t="inlineStr">
        <is>
          <t>Slovakia</t>
        </is>
      </c>
    </row>
    <row r="1200">
      <c r="A1200" t="inlineStr">
        <is>
          <t>LOTTE Chemical Corporation,  Nam-gu, Ulsan, Republic of Korea, The Republic of Korea</t>
        </is>
      </c>
      <c r="B1200" t="inlineStr">
        <is>
          <t>Processing Unit</t>
        </is>
      </c>
      <c r="C1200" t="inlineStr">
        <is>
          <t>Control Union Certifications Germany GmbH, Berlin, DE</t>
        </is>
      </c>
      <c r="D1200" t="inlineStr">
        <is>
          <t>12.07.2027</t>
        </is>
      </c>
      <c r="E1200" t="inlineStr">
        <is>
          <t>The Republic of Korea</t>
        </is>
      </c>
    </row>
    <row r="1201">
      <c r="A1201" t="inlineStr">
        <is>
          <t>LOTTE DAESAN PETROCHEM Corporation,  Seosan-si, Chungcheongnam-do, The Republic of Korea</t>
        </is>
      </c>
      <c r="B1201" t="inlineStr">
        <is>
          <t>Processing Unit</t>
        </is>
      </c>
      <c r="C1201" t="inlineStr">
        <is>
          <t>Control Union Certifications Germany GmbH, Berlin, DE</t>
        </is>
      </c>
      <c r="D1201" t="inlineStr">
        <is>
          <t>12.07.2027</t>
        </is>
      </c>
      <c r="E1201" t="inlineStr">
        <is>
          <t>The Republic of Korea</t>
        </is>
      </c>
    </row>
    <row r="1202">
      <c r="A1202" t="inlineStr">
        <is>
          <t>LOTTE Chemical Corporation (Yeosu Plant, Advanced Materials),  Yeosu-si, Jeollanam-do, The Republic of Korea</t>
        </is>
      </c>
      <c r="B1202" t="inlineStr">
        <is>
          <t>Processing Unit</t>
        </is>
      </c>
      <c r="C1202" t="inlineStr">
        <is>
          <t>Control Union Certifications Germany GmbH, Berlin, DE</t>
        </is>
      </c>
      <c r="D1202" t="inlineStr">
        <is>
          <t>12.07.2027</t>
        </is>
      </c>
      <c r="E1202" t="inlineStr">
        <is>
          <t>The Republic of Korea</t>
        </is>
      </c>
    </row>
    <row r="1203">
      <c r="A1203" t="inlineStr">
        <is>
          <t>AJ OILS,  KUILS RIVER, CAPE TOWN, South Africa</t>
        </is>
      </c>
      <c r="B1203" t="inlineStr">
        <is>
          <t>Collecting Point</t>
        </is>
      </c>
      <c r="C1203" t="inlineStr">
        <is>
          <t>DEKRA Certification B.V., Arnhem, NL</t>
        </is>
      </c>
      <c r="D1203" t="inlineStr">
        <is>
          <t>12.07.2027</t>
        </is>
      </c>
      <c r="E1203" t="inlineStr">
        <is>
          <t>South Africa</t>
        </is>
      </c>
    </row>
    <row r="1204">
      <c r="A1204" t="inlineStr">
        <is>
          <t>Ultra Plus Film Co., Ltd.,  Tongxiang City, Zhejiang Province, China</t>
        </is>
      </c>
      <c r="B1204" t="inlineStr">
        <is>
          <t>Processing Unit</t>
        </is>
      </c>
      <c r="C1204" t="inlineStr">
        <is>
          <t>DIN CERTCO GmbH, Berlin, DE</t>
        </is>
      </c>
      <c r="D1204" t="inlineStr">
        <is>
          <t>12.07.2027</t>
        </is>
      </c>
      <c r="E1204" t="inlineStr">
        <is>
          <t>China</t>
        </is>
      </c>
    </row>
    <row r="1205">
      <c r="A1205" t="inlineStr">
        <is>
          <t>PT. Aburahmi,  Kabupaten Penukal Abab Lematang Ilir, Indonesia</t>
        </is>
      </c>
      <c r="B1205" t="inlineStr">
        <is>
          <t>Point of Origin</t>
        </is>
      </c>
      <c r="C1205" t="inlineStr">
        <is>
          <t>PT. Qualitas Sertifikasi Indonesia, Jakarta, ID</t>
        </is>
      </c>
      <c r="D1205" t="inlineStr">
        <is>
          <t>12.07.2027</t>
        </is>
      </c>
      <c r="E1205" t="inlineStr">
        <is>
          <t>Indonesia</t>
        </is>
      </c>
    </row>
    <row r="1206">
      <c r="A1206" t="inlineStr">
        <is>
          <t>PT. Aburahmi,  Kabupaten Penukal Abab Lematang Ilir, Indonesia</t>
        </is>
      </c>
      <c r="B1206" t="inlineStr">
        <is>
          <t>Point of Origin</t>
        </is>
      </c>
      <c r="C1206" t="inlineStr">
        <is>
          <t>PT. Qualitas Sertifikasi Indonesia, Jakarta, ID</t>
        </is>
      </c>
      <c r="D1206" t="inlineStr">
        <is>
          <t>12.07.2027</t>
        </is>
      </c>
      <c r="E1206" t="inlineStr">
        <is>
          <t>Indonesia</t>
        </is>
      </c>
    </row>
    <row r="1207">
      <c r="A1207" t="inlineStr">
        <is>
          <t>Nikolaos Kelaiditis,  Antiparos, Cyclades, Greece</t>
        </is>
      </c>
      <c r="B1207" t="inlineStr">
        <is>
          <t>Collecting Point</t>
        </is>
      </c>
      <c r="C1207" t="inlineStr">
        <is>
          <t>Eurocert SA, Metamorfosi, Athens, GR</t>
        </is>
      </c>
      <c r="D1207" t="inlineStr">
        <is>
          <t>12.07.2027</t>
        </is>
      </c>
      <c r="E1207" t="inlineStr">
        <is>
          <t>Greece</t>
        </is>
      </c>
    </row>
    <row r="1208">
      <c r="A1208" t="inlineStr">
        <is>
          <t>Nippon Steel Trading Corporation,  Tokyo, Japan</t>
        </is>
      </c>
      <c r="B1208" t="inlineStr">
        <is>
          <t>Trader</t>
        </is>
      </c>
      <c r="C1208" t="inlineStr">
        <is>
          <t>Control Union Certifications Germany GmbH, Berlin, DE</t>
        </is>
      </c>
      <c r="D1208" t="inlineStr">
        <is>
          <t>12.07.2027</t>
        </is>
      </c>
      <c r="E1208" t="inlineStr">
        <is>
          <t>Japan</t>
        </is>
      </c>
    </row>
    <row r="1209">
      <c r="A1209" t="inlineStr">
        <is>
          <t>Arista Trading,  Kyiv, Ukraine</t>
        </is>
      </c>
      <c r="B1209" t="inlineStr">
        <is>
          <t>First Gathering Point, Trader</t>
        </is>
      </c>
      <c r="C1209" t="inlineStr">
        <is>
          <t>Apex Genelab LLC, Odessa, UA</t>
        </is>
      </c>
      <c r="D1209" t="inlineStr">
        <is>
          <t>12.07.2027</t>
        </is>
      </c>
      <c r="E1209" t="inlineStr">
        <is>
          <t>Ukraine</t>
        </is>
      </c>
    </row>
    <row r="1210">
      <c r="A1210" t="inlineStr">
        <is>
          <t>J C C India Limited,  Ratangarh, Churu, India</t>
        </is>
      </c>
      <c r="B1210" t="inlineStr">
        <is>
          <t>Collecting Point, Processing Unit</t>
        </is>
      </c>
      <c r="C1210" t="inlineStr">
        <is>
          <t>Cotecna India Inspection Pvt Ltd, Kolkata, IN</t>
        </is>
      </c>
      <c r="D1210" t="inlineStr">
        <is>
          <t>12.07.2027</t>
        </is>
      </c>
      <c r="E1210" t="inlineStr">
        <is>
          <t>India</t>
        </is>
      </c>
    </row>
    <row r="1211">
      <c r="A1211" t="inlineStr">
        <is>
          <t>J C C India Limited,  Ratangarh, Churu, India</t>
        </is>
      </c>
      <c r="B1211" t="inlineStr">
        <is>
          <t>Collecting Point, Processing Unit</t>
        </is>
      </c>
      <c r="C1211" t="inlineStr">
        <is>
          <t>Cotecna India Inspection Pvt Ltd, Kolkata, IN</t>
        </is>
      </c>
      <c r="D1211" t="inlineStr">
        <is>
          <t>12.07.2027</t>
        </is>
      </c>
      <c r="E1211" t="inlineStr">
        <is>
          <t>India</t>
        </is>
      </c>
    </row>
    <row r="1212">
      <c r="A1212" t="inlineStr">
        <is>
          <t>EUROTRANS BGD SPEDITION,  BUZAU, Romania</t>
        </is>
      </c>
      <c r="B1212" t="inlineStr">
        <is>
          <t>First Gathering Point</t>
        </is>
      </c>
      <c r="C1212" t="inlineStr">
        <is>
          <t>BM Certification, Riga, LV</t>
        </is>
      </c>
      <c r="D1212" t="inlineStr">
        <is>
          <t>12.07.2027</t>
        </is>
      </c>
      <c r="E1212" t="inlineStr">
        <is>
          <t>Romania</t>
        </is>
      </c>
    </row>
    <row r="1213">
      <c r="A1213" t="inlineStr">
        <is>
          <t>Axereal Croatia d.o.o.,  Nova Gradiška, Croatia</t>
        </is>
      </c>
      <c r="B1213" t="inlineStr">
        <is>
          <t>Farm / Plantation, First Gathering Point, Trader with Storage</t>
        </is>
      </c>
      <c r="C1213" t="inlineStr">
        <is>
          <t>Bureau Veritas Polska Sp. z o.o., Warsaw, PL</t>
        </is>
      </c>
      <c r="D1213" t="inlineStr">
        <is>
          <t>12.07.2027</t>
        </is>
      </c>
      <c r="E1213" t="inlineStr">
        <is>
          <t>Croatia</t>
        </is>
      </c>
    </row>
    <row r="1214">
      <c r="A1214" t="inlineStr">
        <is>
          <t>BV Twentsche Kabelfabriek,  Lochem, The Netherlands</t>
        </is>
      </c>
      <c r="B1214" t="inlineStr">
        <is>
          <t>Processing Unit</t>
        </is>
      </c>
      <c r="C1214" t="inlineStr">
        <is>
          <t>DEKRA Certification B.V., Arnhem, NL</t>
        </is>
      </c>
      <c r="D1214" t="inlineStr">
        <is>
          <t>12.07.2027</t>
        </is>
      </c>
      <c r="E1214" t="inlineStr">
        <is>
          <t>The Netherlands</t>
        </is>
      </c>
    </row>
    <row r="1215">
      <c r="A1215" t="inlineStr">
        <is>
          <t>Limited liability company «Mishkovytsky spirit factory»,  Mishkovychi, Ternopil region, Ukraine</t>
        </is>
      </c>
      <c r="B1215" t="inlineStr">
        <is>
          <t>First Gathering Point, Processing Unit</t>
        </is>
      </c>
      <c r="C1215" t="inlineStr">
        <is>
          <t>BM Certification, Riga, LV</t>
        </is>
      </c>
      <c r="D1215" t="inlineStr">
        <is>
          <t>12.07.2027</t>
        </is>
      </c>
      <c r="E1215" t="inlineStr">
        <is>
          <t>Ukraine</t>
        </is>
      </c>
    </row>
    <row r="1216">
      <c r="A1216" t="inlineStr">
        <is>
          <t>KISSO CO., LTD.,  Taipei City, Taiwan (Province of China)</t>
        </is>
      </c>
      <c r="B1216" t="inlineStr">
        <is>
          <t>Trader</t>
        </is>
      </c>
      <c r="C1216" t="inlineStr">
        <is>
          <t>Bureau Veritas Polska Sp. z o.o., Warsaw, PL</t>
        </is>
      </c>
      <c r="D1216" t="inlineStr">
        <is>
          <t>12.07.2027</t>
        </is>
      </c>
      <c r="E1216" t="inlineStr">
        <is>
          <t>Taiwan (Province of China)</t>
        </is>
      </c>
    </row>
    <row r="1217">
      <c r="A1217" t="inlineStr">
        <is>
          <t>GRAIN GOLD TRADING FZE,  Jebel Ali, The United Arab Emirates</t>
        </is>
      </c>
      <c r="B1217" t="inlineStr">
        <is>
          <t>First Gathering Point, Trader with Storage</t>
        </is>
      </c>
      <c r="C1217" t="inlineStr">
        <is>
          <t>Apex Genelab LLC, Odessa, UA</t>
        </is>
      </c>
      <c r="D1217" t="inlineStr">
        <is>
          <t>12.07.2027</t>
        </is>
      </c>
      <c r="E1217" t="inlineStr">
        <is>
          <t>The United Arab Emirates</t>
        </is>
      </c>
    </row>
    <row r="1218">
      <c r="A1218" t="inlineStr">
        <is>
          <t>UPM Raflatac (China) Co., Ltd.,  Changshu, Jiangsu, China</t>
        </is>
      </c>
      <c r="B1218" t="inlineStr">
        <is>
          <t>Final Product Refinement, Trader with Storage</t>
        </is>
      </c>
      <c r="C1218" t="inlineStr">
        <is>
          <t>SGS Germany GmbH, Emstek, DE</t>
        </is>
      </c>
      <c r="D1218" t="inlineStr">
        <is>
          <t>12.07.2027</t>
        </is>
      </c>
      <c r="E1218" t="inlineStr">
        <is>
          <t>China</t>
        </is>
      </c>
    </row>
    <row r="1219">
      <c r="A1219" t="inlineStr">
        <is>
          <t>PT. Agri Cahaya Makmur,  Medan, Indonesia</t>
        </is>
      </c>
      <c r="B1219" t="inlineStr">
        <is>
          <t>Collecting Point, Trader with Storage</t>
        </is>
      </c>
      <c r="C1219" t="inlineStr">
        <is>
          <t>Control Union Certifications Germany GmbH, Berlin, DE</t>
        </is>
      </c>
      <c r="D1219" t="inlineStr">
        <is>
          <t>12.07.2027</t>
        </is>
      </c>
      <c r="E1219" t="inlineStr">
        <is>
          <t>Indonesia</t>
        </is>
      </c>
    </row>
    <row r="1220">
      <c r="A1220" t="inlineStr">
        <is>
          <t>Braskem S.A - Unit PP4,  Mauá, Brazil</t>
        </is>
      </c>
      <c r="B1220" t="inlineStr">
        <is>
          <t>Processing Unit</t>
        </is>
      </c>
      <c r="C1220" t="inlineStr">
        <is>
          <t>SGS Germany GmbH, Emstek, DE</t>
        </is>
      </c>
      <c r="D1220" t="inlineStr">
        <is>
          <t>12.07.2027</t>
        </is>
      </c>
      <c r="E1220" t="inlineStr">
        <is>
          <t>Brazil</t>
        </is>
      </c>
    </row>
    <row r="1221">
      <c r="A1221" t="inlineStr">
        <is>
          <t>Irish Biofuels Production Ltd,  Wicklow, Ireland</t>
        </is>
      </c>
      <c r="B1221" t="inlineStr">
        <is>
          <t>Processing Unit, Trader with Storage</t>
        </is>
      </c>
      <c r="C1221" t="inlineStr">
        <is>
          <t>ASG Cert GmbH, Munich, DE</t>
        </is>
      </c>
      <c r="D1221" t="inlineStr">
        <is>
          <t>12.07.2027</t>
        </is>
      </c>
      <c r="E1221" t="inlineStr">
        <is>
          <t>Ireland</t>
        </is>
      </c>
    </row>
    <row r="1222">
      <c r="A1222" t="inlineStr">
        <is>
          <t>Welle (Haiyan) Bioenergy Co., Ltd.,  Jiaxing City, Zhejiang Province, China</t>
        </is>
      </c>
      <c r="B1222" t="inlineStr">
        <is>
          <t>Processing Unit</t>
        </is>
      </c>
      <c r="C1222" t="inlineStr">
        <is>
          <t>SCS Global Services, Emeryville, CA, US</t>
        </is>
      </c>
      <c r="D1222" t="inlineStr">
        <is>
          <t>12.07.2027</t>
        </is>
      </c>
      <c r="E1222" t="inlineStr">
        <is>
          <t>China</t>
        </is>
      </c>
    </row>
    <row r="1223">
      <c r="A1223" t="inlineStr">
        <is>
          <t>TOYOTA TSUSHO (H.K.) CORP., LTD,  Hong Kong, Hong Kong (SAR)</t>
        </is>
      </c>
      <c r="B1223" t="inlineStr">
        <is>
          <t>Trader</t>
        </is>
      </c>
      <c r="C1223" t="inlineStr">
        <is>
          <t>SGS Germany GmbH, Emstek, DE</t>
        </is>
      </c>
      <c r="D1223" t="inlineStr">
        <is>
          <t>12.07.2027</t>
        </is>
      </c>
      <c r="E1223" t="inlineStr">
        <is>
          <t>Hong Kong (SAR)</t>
        </is>
      </c>
    </row>
    <row r="1224">
      <c r="A1224" t="inlineStr">
        <is>
          <t>Koryfes,  Luxembourg, Luxembourg</t>
        </is>
      </c>
      <c r="B1224" t="inlineStr">
        <is>
          <t>Logistics Center, Trader with Storage</t>
        </is>
      </c>
      <c r="C1224" t="inlineStr">
        <is>
          <t>SGS Germany GmbH, Emstek, DE</t>
        </is>
      </c>
      <c r="D1224" t="inlineStr">
        <is>
          <t>12.07.2027</t>
        </is>
      </c>
      <c r="E1224" t="inlineStr">
        <is>
          <t>Luxembourg</t>
        </is>
      </c>
    </row>
    <row r="1225">
      <c r="A1225" t="inlineStr">
        <is>
          <t>Tangshan Caofeidian Industry-Finance Holding Group Co., Ltd.,  Tangshan,Hebei Province, China</t>
        </is>
      </c>
      <c r="B1225" t="inlineStr">
        <is>
          <t>Trader</t>
        </is>
      </c>
      <c r="C1225" t="inlineStr">
        <is>
          <t>TÜV NORD CERT GmbH, Essen, DE</t>
        </is>
      </c>
      <c r="D1225" t="inlineStr">
        <is>
          <t>12.07.2027</t>
        </is>
      </c>
      <c r="E1225" t="inlineStr">
        <is>
          <t>China</t>
        </is>
      </c>
    </row>
    <row r="1226">
      <c r="A1226" t="inlineStr">
        <is>
          <t>TENIT INTERNATIONAL TRADE PTE LTD,  Luannan County, Tangshan city, China</t>
        </is>
      </c>
      <c r="B1226" t="inlineStr">
        <is>
          <t>Trader</t>
        </is>
      </c>
      <c r="C1226" t="inlineStr">
        <is>
          <t>TÜV NORD CERT GmbH, Essen, DE</t>
        </is>
      </c>
      <c r="D1226" t="inlineStr">
        <is>
          <t>12.07.2027</t>
        </is>
      </c>
      <c r="E1226" t="inlineStr">
        <is>
          <t>China</t>
        </is>
      </c>
    </row>
    <row r="1227">
      <c r="A1227" t="inlineStr">
        <is>
          <t>Enilive,  Venice, Marghera, Italy</t>
        </is>
      </c>
      <c r="B1227" t="inlineStr">
        <is>
          <t>Processing Unit, Warehouse, Trader with Storage, Point of Origin</t>
        </is>
      </c>
      <c r="C1227" t="inlineStr">
        <is>
          <t>RINA Services S.p.A., Genova, IT</t>
        </is>
      </c>
      <c r="D1227" t="inlineStr">
        <is>
          <t>12.07.2027</t>
        </is>
      </c>
      <c r="E1227" t="inlineStr">
        <is>
          <t>Italy</t>
        </is>
      </c>
    </row>
    <row r="1228">
      <c r="A1228" t="inlineStr">
        <is>
          <t>Estener,  Le Havre, France</t>
        </is>
      </c>
      <c r="B1228" t="inlineStr">
        <is>
          <t>Collecting Point, Point of Origin, Processing Unit, Trader with Storage</t>
        </is>
      </c>
      <c r="C1228" t="inlineStr">
        <is>
          <t>Control Union Certifications Germany GmbH, Berlin, DE</t>
        </is>
      </c>
      <c r="D1228" t="inlineStr">
        <is>
          <t>12.07.2027</t>
        </is>
      </c>
      <c r="E1228" t="inlineStr">
        <is>
          <t>France</t>
        </is>
      </c>
    </row>
    <row r="1229">
      <c r="A1229" t="inlineStr">
        <is>
          <t>Noba Sabi SARL,  Bissau, Guinea-Bissau</t>
        </is>
      </c>
      <c r="B1229" t="inlineStr">
        <is>
          <t>Collecting Point, Processing Unit, Point of Origin</t>
        </is>
      </c>
      <c r="C1229" t="inlineStr">
        <is>
          <t>SGS Germany GmbH, Emstek, DE</t>
        </is>
      </c>
      <c r="D1229" t="inlineStr">
        <is>
          <t>12.07.2027</t>
        </is>
      </c>
      <c r="E1229" t="inlineStr">
        <is>
          <t>Guinea-Bissau</t>
        </is>
      </c>
    </row>
    <row r="1230">
      <c r="A1230" t="inlineStr">
        <is>
          <t>Caucino Gianfranco e Mauro,  Castagnole Piemonte, Italy</t>
        </is>
      </c>
      <c r="B1230" t="inlineStr">
        <is>
          <t>Farm / Plantation</t>
        </is>
      </c>
      <c r="C1230" t="inlineStr">
        <is>
          <t>RINA Services S.p.A., Genova, IT</t>
        </is>
      </c>
      <c r="D1230" t="inlineStr">
        <is>
          <t>12.07.2027</t>
        </is>
      </c>
      <c r="E1230" t="inlineStr">
        <is>
          <t>Italy</t>
        </is>
      </c>
    </row>
    <row r="1231">
      <c r="A1231" t="inlineStr">
        <is>
          <t>ESTGREEN CO., LTD.,  Ulsan, The Republic of Korea</t>
        </is>
      </c>
      <c r="B1231" t="inlineStr">
        <is>
          <t>Trader</t>
        </is>
      </c>
      <c r="C1231" t="inlineStr">
        <is>
          <t>Bureau Veritas Polska Sp. z o.o., Warsaw, PL</t>
        </is>
      </c>
      <c r="D1231" t="inlineStr">
        <is>
          <t>12.07.2027</t>
        </is>
      </c>
      <c r="E1231" t="inlineStr">
        <is>
          <t>The Republic of Korea</t>
        </is>
      </c>
    </row>
    <row r="1232">
      <c r="A1232" t="inlineStr">
        <is>
          <t>CST LIMITED,  Xitun Dist. , Taichung City, Taiwan (Province of China)</t>
        </is>
      </c>
      <c r="B1232" t="inlineStr">
        <is>
          <t>Trader</t>
        </is>
      </c>
      <c r="C1232" t="inlineStr">
        <is>
          <t>Bureau Veritas Polska Sp. z o.o., Warsaw, PL</t>
        </is>
      </c>
      <c r="D1232" t="inlineStr">
        <is>
          <t>12.07.2027</t>
        </is>
      </c>
      <c r="E1232" t="inlineStr">
        <is>
          <t>Taiwan (Province of China)</t>
        </is>
      </c>
    </row>
    <row r="1233">
      <c r="A1233" t="inlineStr">
        <is>
          <t>Piel de Oliva S.L.,  Tabernas (Almería), Spain</t>
        </is>
      </c>
      <c r="B1233" t="inlineStr">
        <is>
          <t>Trader</t>
        </is>
      </c>
      <c r="C1233" t="inlineStr">
        <is>
          <t>Control Union Poland Sp. z o.o., Zielona Gora, PL</t>
        </is>
      </c>
      <c r="D1233" t="inlineStr">
        <is>
          <t>12.07.2027</t>
        </is>
      </c>
      <c r="E1233" t="inlineStr">
        <is>
          <t>Spain</t>
        </is>
      </c>
    </row>
    <row r="1234">
      <c r="A1234" t="inlineStr">
        <is>
          <t>RISE TECHNOLOGY DEVELOPMENT PTE.LTD.,  Nanjing, China</t>
        </is>
      </c>
      <c r="B1234" t="inlineStr">
        <is>
          <t>Trader</t>
        </is>
      </c>
      <c r="C1234" t="inlineStr">
        <is>
          <t>RINA Services S.p.A., Genova, IT</t>
        </is>
      </c>
      <c r="D1234" t="inlineStr">
        <is>
          <t>12.07.2027</t>
        </is>
      </c>
      <c r="E1234" t="inlineStr">
        <is>
          <t>China</t>
        </is>
      </c>
    </row>
    <row r="1235">
      <c r="A1235" t="inlineStr">
        <is>
          <t>KEM ONE,  Lavera, France</t>
        </is>
      </c>
      <c r="B1235" t="inlineStr">
        <is>
          <t>Processing Unit</t>
        </is>
      </c>
      <c r="C1235" t="inlineStr">
        <is>
          <t>Bureau Veritas Polska Sp. z o.o., Warsaw, PL</t>
        </is>
      </c>
      <c r="D1235" t="inlineStr">
        <is>
          <t>12.07.2027</t>
        </is>
      </c>
      <c r="E1235" t="inlineStr">
        <is>
          <t>France</t>
        </is>
      </c>
    </row>
    <row r="1236">
      <c r="A1236" t="inlineStr">
        <is>
          <t>Bunge Canada,  Sturgeon County, Canada</t>
        </is>
      </c>
      <c r="B1236" t="inlineStr">
        <is>
          <t>Processing Unit</t>
        </is>
      </c>
      <c r="C1236" t="inlineStr">
        <is>
          <t>Control Union Poland Sp. z o.o., Zielona Gora, PL</t>
        </is>
      </c>
      <c r="D1236" t="inlineStr">
        <is>
          <t>12.07.2027</t>
        </is>
      </c>
      <c r="E1236" t="inlineStr">
        <is>
          <t>Canada</t>
        </is>
      </c>
    </row>
    <row r="1237">
      <c r="A1237" t="inlineStr">
        <is>
          <t>Bunge Canada,  Sturgeon County, Canada</t>
        </is>
      </c>
      <c r="B1237" t="inlineStr">
        <is>
          <t>Processing Unit</t>
        </is>
      </c>
      <c r="C1237" t="inlineStr">
        <is>
          <t>Control Union Poland Sp. z o.o., Zielona Gora, PL</t>
        </is>
      </c>
      <c r="D1237" t="inlineStr">
        <is>
          <t>12.07.2027</t>
        </is>
      </c>
      <c r="E1237" t="inlineStr">
        <is>
          <t>Canada</t>
        </is>
      </c>
    </row>
    <row r="1238">
      <c r="A1238" t="inlineStr">
        <is>
          <t>Bunge Canada,  Sturgeon County, Canada</t>
        </is>
      </c>
      <c r="B1238" t="inlineStr">
        <is>
          <t>Processing Unit</t>
        </is>
      </c>
      <c r="C1238" t="inlineStr">
        <is>
          <t>Control Union Poland Sp. z o.o., Zielona Gora, PL</t>
        </is>
      </c>
      <c r="D1238" t="inlineStr">
        <is>
          <t>12.07.2027</t>
        </is>
      </c>
      <c r="E1238" t="inlineStr">
        <is>
          <t>Canada</t>
        </is>
      </c>
    </row>
    <row r="1239">
      <c r="A1239" t="inlineStr">
        <is>
          <t>Arkema,  Pierre Benite, France</t>
        </is>
      </c>
      <c r="B1239" t="inlineStr">
        <is>
          <t>Processing Unit</t>
        </is>
      </c>
      <c r="C1239" t="inlineStr">
        <is>
          <t>DNV Business Assurance Sweden AB, Solna, SE</t>
        </is>
      </c>
      <c r="D1239" t="inlineStr">
        <is>
          <t>12.07.2027</t>
        </is>
      </c>
      <c r="E1239" t="inlineStr">
        <is>
          <t>France</t>
        </is>
      </c>
    </row>
    <row r="1240">
      <c r="A1240" t="inlineStr">
        <is>
          <t>China Aviation Fuel (Europe) Limited,  London, The United Kingdom</t>
        </is>
      </c>
      <c r="B1240" t="inlineStr">
        <is>
          <t>Trader</t>
        </is>
      </c>
      <c r="C1240" t="inlineStr">
        <is>
          <t>Control Union Certifications Germany GmbH, Berlin, DE</t>
        </is>
      </c>
      <c r="D1240" t="inlineStr">
        <is>
          <t>12.07.2027</t>
        </is>
      </c>
      <c r="E1240" t="inlineStr">
        <is>
          <t>The United Kingdom</t>
        </is>
      </c>
    </row>
    <row r="1241">
      <c r="A1241" t="inlineStr">
        <is>
          <t>Viterra Botlek B.V.,  Rotterdam-Botlek, The Netherlands</t>
        </is>
      </c>
      <c r="B1241" t="inlineStr">
        <is>
          <t>Processing Unit</t>
        </is>
      </c>
      <c r="C1241" t="inlineStr">
        <is>
          <t>SGS Germany GmbH, Emstek, DE</t>
        </is>
      </c>
      <c r="D1241" t="inlineStr">
        <is>
          <t>12.07.2027</t>
        </is>
      </c>
      <c r="E1241" t="inlineStr">
        <is>
          <t>The Netherlands</t>
        </is>
      </c>
    </row>
    <row r="1242">
      <c r="A1242" t="inlineStr">
        <is>
          <t>Viterra Botlek B.V.,  Rotterdam-Botlek, The Netherlands</t>
        </is>
      </c>
      <c r="B1242" t="inlineStr">
        <is>
          <t>Point of Origin, Processing Unit, Trader with Storage</t>
        </is>
      </c>
      <c r="C1242" t="inlineStr">
        <is>
          <t>SGS Germany GmbH, Emstek, DE</t>
        </is>
      </c>
      <c r="D1242" t="inlineStr">
        <is>
          <t>12.07.2027</t>
        </is>
      </c>
      <c r="E1242" t="inlineStr">
        <is>
          <t>The Netherlands</t>
        </is>
      </c>
    </row>
    <row r="1243">
      <c r="A1243" t="inlineStr">
        <is>
          <t>Topnotch Biotech (Jiangsu) Co., Ltd,  Zhangjiagang City, Jiangsu Province, China</t>
        </is>
      </c>
      <c r="B1243" t="inlineStr">
        <is>
          <t>Trader with Storage</t>
        </is>
      </c>
      <c r="C1243" t="inlineStr">
        <is>
          <t>SCS Global Services, Emeryville, CA, US</t>
        </is>
      </c>
      <c r="D1243" t="inlineStr">
        <is>
          <t>12.07.2027</t>
        </is>
      </c>
      <c r="E1243" t="inlineStr">
        <is>
          <t>China</t>
        </is>
      </c>
    </row>
    <row r="1244">
      <c r="A1244" t="inlineStr">
        <is>
          <t>Pavlidis Panteleimon,  Kalochori, Thessaloniki, Greece</t>
        </is>
      </c>
      <c r="B1244" t="inlineStr">
        <is>
          <t>Collecting Point</t>
        </is>
      </c>
      <c r="C1244" t="inlineStr">
        <is>
          <t>QMSCERT S.A., Pylaia, Thessaloniki, GR</t>
        </is>
      </c>
      <c r="D1244" t="inlineStr">
        <is>
          <t>12.07.2027</t>
        </is>
      </c>
      <c r="E1244" t="inlineStr">
        <is>
          <t>Greece</t>
        </is>
      </c>
    </row>
    <row r="1245">
      <c r="A1245" t="inlineStr">
        <is>
          <t>Viet Nam Weilan Optical Company Limited,  Bac Ninh province, Vietnam</t>
        </is>
      </c>
      <c r="B1245" t="inlineStr">
        <is>
          <t>Processing Unit</t>
        </is>
      </c>
      <c r="C1245" t="inlineStr">
        <is>
          <t>SCS Global Services, Emeryville, CA, US</t>
        </is>
      </c>
      <c r="D1245" t="inlineStr">
        <is>
          <t>12.07.2027</t>
        </is>
      </c>
      <c r="E1245" t="inlineStr">
        <is>
          <t>Vietnam</t>
        </is>
      </c>
    </row>
    <row r="1246">
      <c r="A1246" t="inlineStr">
        <is>
          <t>Finproject Viet Nam company limited,  Hai Phong City, Vietnam</t>
        </is>
      </c>
      <c r="B1246" t="inlineStr">
        <is>
          <t>Processing Unit</t>
        </is>
      </c>
      <c r="C1246" t="inlineStr">
        <is>
          <t>RINA Services S.p.A., Genova, IT</t>
        </is>
      </c>
      <c r="D1246" t="inlineStr">
        <is>
          <t>12.07.2027</t>
        </is>
      </c>
      <c r="E1246" t="inlineStr">
        <is>
          <t>Vietnam</t>
        </is>
      </c>
    </row>
    <row r="1247">
      <c r="A1247" t="inlineStr">
        <is>
          <t>Gurih Awan Bangkit Perkasa,  Purwakarta, Jawa Barat, Indonesia</t>
        </is>
      </c>
      <c r="B1247" t="inlineStr">
        <is>
          <t>Collecting Point, Trader with Storage</t>
        </is>
      </c>
      <c r="C1247" t="inlineStr">
        <is>
          <t>PT Intertek Utama Services, Jakarta, ID</t>
        </is>
      </c>
      <c r="D1247" t="inlineStr">
        <is>
          <t>12.07.2027</t>
        </is>
      </c>
      <c r="E1247" t="inlineStr">
        <is>
          <t>Indonesia</t>
        </is>
      </c>
    </row>
    <row r="1248">
      <c r="A1248" t="inlineStr">
        <is>
          <t>Gurih Awan Bangkit Perkasa,  Purwakarta, Jawa Barat, Indonesia</t>
        </is>
      </c>
      <c r="B1248" t="inlineStr">
        <is>
          <t>Collecting Point, Trader with Storage</t>
        </is>
      </c>
      <c r="C1248" t="inlineStr">
        <is>
          <t>PT Intertek Utama Services, Jakarta, ID</t>
        </is>
      </c>
      <c r="D1248" t="inlineStr">
        <is>
          <t>12.07.2027</t>
        </is>
      </c>
      <c r="E1248" t="inlineStr">
        <is>
          <t>Indonesia</t>
        </is>
      </c>
    </row>
    <row r="1249">
      <c r="A1249" t="inlineStr">
        <is>
          <t>SOLOCAP-MAB,  Contrexéville, France</t>
        </is>
      </c>
      <c r="B1249" t="inlineStr">
        <is>
          <t>Final Product Refinement, Processing Unit</t>
        </is>
      </c>
      <c r="C1249" t="inlineStr">
        <is>
          <t>Bureau Veritas Polska Sp. z o.o., Warsaw, PL</t>
        </is>
      </c>
      <c r="D1249" t="inlineStr">
        <is>
          <t>11.07.2027</t>
        </is>
      </c>
      <c r="E1249" t="inlineStr">
        <is>
          <t>France</t>
        </is>
      </c>
    </row>
    <row r="1250">
      <c r="A1250" t="inlineStr">
        <is>
          <t>PG Rastina,  Đakovo, Croatia</t>
        </is>
      </c>
      <c r="B1250" t="inlineStr">
        <is>
          <t>Farm / Plantation, First Gathering Point</t>
        </is>
      </c>
      <c r="C1250" t="inlineStr">
        <is>
          <t>Bureau Veritas Polska Sp. z o.o., Warsaw, PL</t>
        </is>
      </c>
      <c r="D1250" t="inlineStr">
        <is>
          <t>11.07.2027</t>
        </is>
      </c>
      <c r="E1250" t="inlineStr">
        <is>
          <t>Croatia</t>
        </is>
      </c>
    </row>
    <row r="1251">
      <c r="A1251" t="inlineStr">
        <is>
          <t>Viterra France,  Avon, France</t>
        </is>
      </c>
      <c r="B1251" t="inlineStr">
        <is>
          <t>Trader with Storage</t>
        </is>
      </c>
      <c r="C1251" t="inlineStr">
        <is>
          <t>SGS Germany GmbH, Emstek, DE</t>
        </is>
      </c>
      <c r="D1251" t="inlineStr">
        <is>
          <t>11.07.2027</t>
        </is>
      </c>
      <c r="E1251" t="inlineStr">
        <is>
          <t>France</t>
        </is>
      </c>
    </row>
    <row r="1252">
      <c r="A1252" t="inlineStr">
        <is>
          <t>Cargill NV,  Mechelen, Belgium</t>
        </is>
      </c>
      <c r="B1252" t="inlineStr">
        <is>
          <t>Central Office (Group of Point of Origin), Collecting Point, Trader</t>
        </is>
      </c>
      <c r="C1252" t="inlineStr">
        <is>
          <t>SGS Germany GmbH, Emstek, DE</t>
        </is>
      </c>
      <c r="D1252" t="inlineStr">
        <is>
          <t>11.07.2027</t>
        </is>
      </c>
      <c r="E1252" t="inlineStr">
        <is>
          <t>Belgium</t>
        </is>
      </c>
    </row>
    <row r="1253">
      <c r="A1253" t="inlineStr">
        <is>
          <t>Manganelli Spa,  Perugia, Italy</t>
        </is>
      </c>
      <c r="B1253" t="inlineStr">
        <is>
          <t>First Gathering Point</t>
        </is>
      </c>
      <c r="C1253" t="inlineStr">
        <is>
          <t>DNV Business Assurance Sweden AB, Solna, SE</t>
        </is>
      </c>
      <c r="D1253" t="inlineStr">
        <is>
          <t>11.07.2027</t>
        </is>
      </c>
      <c r="E1253" t="inlineStr">
        <is>
          <t>Italy</t>
        </is>
      </c>
    </row>
    <row r="1254">
      <c r="A1254" t="inlineStr">
        <is>
          <t>DIA- Chemical Sdn Bhd,  Shah Alam, Malaysia</t>
        </is>
      </c>
      <c r="B1254" t="inlineStr">
        <is>
          <t>Trader</t>
        </is>
      </c>
      <c r="C1254" t="inlineStr">
        <is>
          <t>Control Union Certifications Germany GmbH, Berlin, DE</t>
        </is>
      </c>
      <c r="D1254" t="inlineStr">
        <is>
          <t>11.07.2027</t>
        </is>
      </c>
      <c r="E1254" t="inlineStr">
        <is>
          <t>Malaysia</t>
        </is>
      </c>
    </row>
    <row r="1255">
      <c r="A1255" t="inlineStr">
        <is>
          <t>San Marco Pelli Grezze S.P.A.,  Tezze sul Brenta VI, Italy</t>
        </is>
      </c>
      <c r="B1255" t="inlineStr">
        <is>
          <t>Collecting Point, Processing Unit</t>
        </is>
      </c>
      <c r="C1255" t="inlineStr">
        <is>
          <t>DNV Business Assurance Sweden AB, Solna, SE</t>
        </is>
      </c>
      <c r="D1255" t="inlineStr">
        <is>
          <t>11.07.2027</t>
        </is>
      </c>
      <c r="E1255" t="inlineStr">
        <is>
          <t>Italy</t>
        </is>
      </c>
    </row>
    <row r="1256">
      <c r="A1256" t="inlineStr">
        <is>
          <t>DOMUS RICYCLE S.r.l.,  Catania, Italy</t>
        </is>
      </c>
      <c r="B1256" t="inlineStr">
        <is>
          <t>Collecting Point</t>
        </is>
      </c>
      <c r="C1256" t="inlineStr">
        <is>
          <t>RINA Services S.p.A., Genova, IT</t>
        </is>
      </c>
      <c r="D1256" t="inlineStr">
        <is>
          <t>11.07.2027</t>
        </is>
      </c>
      <c r="E1256" t="inlineStr">
        <is>
          <t>Italy</t>
        </is>
      </c>
    </row>
    <row r="1257">
      <c r="A1257" t="inlineStr">
        <is>
          <t>Jiangsu Nangang Jinhuan Renewable Resources Co., Ltd,  Nanjing City, China</t>
        </is>
      </c>
      <c r="B1257" t="inlineStr">
        <is>
          <t>Processing Unit</t>
        </is>
      </c>
      <c r="C1257" t="inlineStr">
        <is>
          <t>Bureau Veritas Polska Sp. z o.o., Warsaw, PL</t>
        </is>
      </c>
      <c r="D1257" t="inlineStr">
        <is>
          <t>11.07.2027</t>
        </is>
      </c>
      <c r="E1257" t="inlineStr">
        <is>
          <t>China</t>
        </is>
      </c>
    </row>
    <row r="1258">
      <c r="A1258" t="inlineStr">
        <is>
          <t>Gitr-Bróker Kft.,  Kál, Hungary</t>
        </is>
      </c>
      <c r="B1258" t="inlineStr">
        <is>
          <t>First Gathering Point, Trader with Storage</t>
        </is>
      </c>
      <c r="C1258" t="inlineStr">
        <is>
          <t>Amspec Iberia SL, Vilagarcia de Arousa-Pontevedra, ES</t>
        </is>
      </c>
      <c r="D1258" t="inlineStr">
        <is>
          <t>11.07.2027</t>
        </is>
      </c>
      <c r="E1258" t="inlineStr">
        <is>
          <t>Hungary</t>
        </is>
      </c>
    </row>
    <row r="1259">
      <c r="A1259" t="inlineStr">
        <is>
          <t>Agrofon Kft.,  Fonó, Hungary</t>
        </is>
      </c>
      <c r="B1259" t="inlineStr">
        <is>
          <t>First Gathering Point, Trader with Storage</t>
        </is>
      </c>
      <c r="C1259" t="inlineStr">
        <is>
          <t>Bureau Veritas Polska Sp. z o.o., Warsaw, PL</t>
        </is>
      </c>
      <c r="D1259" t="inlineStr">
        <is>
          <t>11.07.2027</t>
        </is>
      </c>
      <c r="E1259" t="inlineStr">
        <is>
          <t>Hungary</t>
        </is>
      </c>
    </row>
    <row r="1260">
      <c r="A1260" t="inlineStr">
        <is>
          <t>Scandolara,  Ascoli Piceno (AP), Italy</t>
        </is>
      </c>
      <c r="B1260" t="inlineStr">
        <is>
          <t>Processing Unit</t>
        </is>
      </c>
      <c r="C1260" t="inlineStr">
        <is>
          <t>IIP S.r.l., Monza, IT</t>
        </is>
      </c>
      <c r="D1260" t="inlineStr">
        <is>
          <t>11.07.2027</t>
        </is>
      </c>
      <c r="E1260" t="inlineStr">
        <is>
          <t>Italy</t>
        </is>
      </c>
    </row>
    <row r="1261">
      <c r="A1261" t="inlineStr">
        <is>
          <t>Mátragabona Mezőgazdasági Szövetkezet,  Jászapáti, Hungary</t>
        </is>
      </c>
      <c r="B1261" t="inlineStr">
        <is>
          <t>First Gathering Point, Trader</t>
        </is>
      </c>
      <c r="C1261" t="inlineStr">
        <is>
          <t>Amspec Iberia SL, Vilagarcia de Arousa-Pontevedra, ES</t>
        </is>
      </c>
      <c r="D1261" t="inlineStr">
        <is>
          <t>11.07.2027</t>
        </is>
      </c>
      <c r="E1261" t="inlineStr">
        <is>
          <t>Hungary</t>
        </is>
      </c>
    </row>
    <row r="1262">
      <c r="A1262" t="inlineStr">
        <is>
          <t>Scandolara,  Ascoli Piceno (AP), Italy</t>
        </is>
      </c>
      <c r="B1262" t="inlineStr">
        <is>
          <t>Final Product Refinement, Processing Unit</t>
        </is>
      </c>
      <c r="C1262" t="inlineStr">
        <is>
          <t>IIP S.r.l., Monza, IT</t>
        </is>
      </c>
      <c r="D1262" t="inlineStr">
        <is>
          <t>11.07.2027</t>
        </is>
      </c>
      <c r="E1262" t="inlineStr">
        <is>
          <t>Italy</t>
        </is>
      </c>
    </row>
    <row r="1263">
      <c r="A1263" t="inlineStr">
        <is>
          <t>Kúti-Gabona Kft.,  Mélykút, Hungary</t>
        </is>
      </c>
      <c r="B1263" t="inlineStr">
        <is>
          <t>First Gathering Point</t>
        </is>
      </c>
      <c r="C1263" t="inlineStr">
        <is>
          <t>Amspec Iberia SL, Vilagarcia de Arousa-Pontevedra, ES</t>
        </is>
      </c>
      <c r="D1263" t="inlineStr">
        <is>
          <t>11.07.2027</t>
        </is>
      </c>
      <c r="E1263" t="inlineStr">
        <is>
          <t>Hungary</t>
        </is>
      </c>
    </row>
    <row r="1264">
      <c r="A1264" t="inlineStr">
        <is>
          <t>LUXIN OPTICAL (SHANGHAI) CO.,LTD.,  SHANGHAI, China</t>
        </is>
      </c>
      <c r="B1264" t="inlineStr">
        <is>
          <t>Trader</t>
        </is>
      </c>
      <c r="C1264" t="inlineStr">
        <is>
          <t>PT Intertek Utama Services, Jakarta, ID</t>
        </is>
      </c>
      <c r="D1264" t="inlineStr">
        <is>
          <t>11.07.2027</t>
        </is>
      </c>
      <c r="E1264" t="inlineStr">
        <is>
          <t>China</t>
        </is>
      </c>
    </row>
    <row r="1265">
      <c r="A1265" t="inlineStr">
        <is>
          <t>Pankotai Agrár Zrt.,  Szentes, Hungary</t>
        </is>
      </c>
      <c r="B1265" t="inlineStr">
        <is>
          <t>First Gathering Point</t>
        </is>
      </c>
      <c r="C1265" t="inlineStr">
        <is>
          <t>Amspec Iberia SL, Vilagarcia de Arousa-Pontevedra, ES</t>
        </is>
      </c>
      <c r="D1265" t="inlineStr">
        <is>
          <t>11.07.2027</t>
        </is>
      </c>
      <c r="E1265" t="inlineStr">
        <is>
          <t>Hungary</t>
        </is>
      </c>
    </row>
    <row r="1266">
      <c r="A1266" t="inlineStr">
        <is>
          <t>Tacchificio di Molinella,  Molinella (BO), Italy</t>
        </is>
      </c>
      <c r="B1266" t="inlineStr">
        <is>
          <t>Processing Unit</t>
        </is>
      </c>
      <c r="C1266" t="inlineStr">
        <is>
          <t>IIP S.r.l., Monza, IT</t>
        </is>
      </c>
      <c r="D1266" t="inlineStr">
        <is>
          <t>11.07.2027</t>
        </is>
      </c>
      <c r="E1266" t="inlineStr">
        <is>
          <t>Italy</t>
        </is>
      </c>
    </row>
    <row r="1267">
      <c r="A1267" t="inlineStr">
        <is>
          <t>Tosho Chemical Co.,Ltd.,  Gunma, Japan</t>
        </is>
      </c>
      <c r="B1267" t="inlineStr">
        <is>
          <t>Processing Unit</t>
        </is>
      </c>
      <c r="C1267" t="inlineStr">
        <is>
          <t>Control Union Certifications Germany GmbH, Berlin, DE</t>
        </is>
      </c>
      <c r="D1267" t="inlineStr">
        <is>
          <t>11.07.2027</t>
        </is>
      </c>
      <c r="E1267" t="inlineStr">
        <is>
          <t>Japan</t>
        </is>
      </c>
    </row>
    <row r="1268">
      <c r="A1268" t="inlineStr">
        <is>
          <t>Mráz Agro CZ s.r.o.,  Blatná, Czech Republic</t>
        </is>
      </c>
      <c r="B1268" t="inlineStr">
        <is>
          <t>Collecting Point, First Gathering Point, Trader</t>
        </is>
      </c>
      <c r="C1268" t="inlineStr">
        <is>
          <t>Bureau Veritas Polska Sp. z o.o., Warsaw, PL</t>
        </is>
      </c>
      <c r="D1268" t="inlineStr">
        <is>
          <t>11.07.2027</t>
        </is>
      </c>
      <c r="E1268" t="inlineStr">
        <is>
          <t>Czech Republic</t>
        </is>
      </c>
    </row>
    <row r="1269">
      <c r="A1269" t="inlineStr">
        <is>
          <t>LG Chem Europe GmbH,  Frankfurt am Main, Germany</t>
        </is>
      </c>
      <c r="B1269" t="inlineStr">
        <is>
          <t>Trader with Storage</t>
        </is>
      </c>
      <c r="C1269" t="inlineStr">
        <is>
          <t>Control Union Certifications Germany GmbH, Berlin, DE</t>
        </is>
      </c>
      <c r="D1269" t="inlineStr">
        <is>
          <t>11.07.2027</t>
        </is>
      </c>
      <c r="E1269" t="inlineStr">
        <is>
          <t>Germany</t>
        </is>
      </c>
    </row>
    <row r="1270">
      <c r="A1270" t="inlineStr">
        <is>
          <t>Toppac,  Randers, Denmark</t>
        </is>
      </c>
      <c r="B1270" t="inlineStr">
        <is>
          <t>Processing Unit</t>
        </is>
      </c>
      <c r="C1270" t="inlineStr">
        <is>
          <t>Baltic Control Certification, Albertslund, DK</t>
        </is>
      </c>
      <c r="D1270" t="inlineStr">
        <is>
          <t>11.07.2027</t>
        </is>
      </c>
      <c r="E1270" t="inlineStr">
        <is>
          <t>Denmark</t>
        </is>
      </c>
    </row>
    <row r="1271">
      <c r="A1271" t="inlineStr">
        <is>
          <t>UBM Grain Zrt.,  Pilisvörösvár, Hungary</t>
        </is>
      </c>
      <c r="B1271" t="inlineStr">
        <is>
          <t>First Gathering Point, Trader with Storage</t>
        </is>
      </c>
      <c r="C1271" t="inlineStr">
        <is>
          <t>Bureau Veritas Polska Sp. z o.o., Warsaw, PL</t>
        </is>
      </c>
      <c r="D1271" t="inlineStr">
        <is>
          <t>11.07.2027</t>
        </is>
      </c>
      <c r="E1271" t="inlineStr">
        <is>
          <t>Hungary</t>
        </is>
      </c>
    </row>
    <row r="1272">
      <c r="A1272" t="inlineStr">
        <is>
          <t>Sapporo Yushi Co., Ltd.,  Otaru-shi, Hokkaido, Japan</t>
        </is>
      </c>
      <c r="B1272" t="inlineStr">
        <is>
          <t>Collecting Point</t>
        </is>
      </c>
      <c r="C1272" t="inlineStr">
        <is>
          <t>PT. Qualitas Sertifikasi Indonesia, Jakarta, ID</t>
        </is>
      </c>
      <c r="D1272" t="inlineStr">
        <is>
          <t>11.07.2027</t>
        </is>
      </c>
      <c r="E1272" t="inlineStr">
        <is>
          <t>Japan</t>
        </is>
      </c>
    </row>
    <row r="1273">
      <c r="A1273" t="inlineStr">
        <is>
          <t>SK Chemicals Co., Ltd.,  Gyeonggi-do, The Republic of Korea</t>
        </is>
      </c>
      <c r="B1273" t="inlineStr">
        <is>
          <t>Trader with Storage</t>
        </is>
      </c>
      <c r="C1273" t="inlineStr">
        <is>
          <t>Control Union Certifications Germany GmbH, Berlin, DE</t>
        </is>
      </c>
      <c r="D1273" t="inlineStr">
        <is>
          <t>11.07.2027</t>
        </is>
      </c>
      <c r="E1273" t="inlineStr">
        <is>
          <t>The Republic of Korea</t>
        </is>
      </c>
    </row>
    <row r="1274">
      <c r="A1274" t="inlineStr">
        <is>
          <t>SK Chemicals Co., Ltd. (Ulsan Factory),  Nam-gu, Ulsan, The Republic of Korea</t>
        </is>
      </c>
      <c r="B1274" t="inlineStr">
        <is>
          <t>Processing Unit</t>
        </is>
      </c>
      <c r="C1274" t="inlineStr">
        <is>
          <t>Control Union Certifications Germany GmbH, Berlin, DE</t>
        </is>
      </c>
      <c r="D1274" t="inlineStr">
        <is>
          <t>11.07.2027</t>
        </is>
      </c>
      <c r="E1274" t="inlineStr">
        <is>
          <t>The Republic of Korea</t>
        </is>
      </c>
    </row>
    <row r="1275">
      <c r="A1275" t="inlineStr">
        <is>
          <t>SK CHEMICALS AMERICA INC,  Irvine CA, United States</t>
        </is>
      </c>
      <c r="B1275" t="inlineStr">
        <is>
          <t>Trader with Storage</t>
        </is>
      </c>
      <c r="C1275" t="inlineStr">
        <is>
          <t>Control Union Certifications Germany GmbH, Berlin, DE</t>
        </is>
      </c>
      <c r="D1275" t="inlineStr">
        <is>
          <t>11.07.2027</t>
        </is>
      </c>
      <c r="E1275" t="inlineStr">
        <is>
          <t>United States</t>
        </is>
      </c>
    </row>
    <row r="1276">
      <c r="A1276" t="inlineStr">
        <is>
          <t>WENZHOU HIVISION OPTICAL CO.,LTD,  WENZHOU CITY, ZHEJIANG, China</t>
        </is>
      </c>
      <c r="B1276" t="inlineStr">
        <is>
          <t>Processing Unit</t>
        </is>
      </c>
      <c r="C1276" t="inlineStr">
        <is>
          <t>SGS Germany GmbH, Emstek, DE</t>
        </is>
      </c>
      <c r="D1276" t="inlineStr">
        <is>
          <t>11.07.2027</t>
        </is>
      </c>
      <c r="E1276" t="inlineStr">
        <is>
          <t>China</t>
        </is>
      </c>
    </row>
    <row r="1277">
      <c r="A1277" t="inlineStr">
        <is>
          <t>GPR CO. PTE LTD,  Singapore, Singapore</t>
        </is>
      </c>
      <c r="B1277" t="inlineStr">
        <is>
          <t>Trader</t>
        </is>
      </c>
      <c r="C1277" t="inlineStr">
        <is>
          <t>Control Union Certifications Germany GmbH, Berlin, DE</t>
        </is>
      </c>
      <c r="D1277" t="inlineStr">
        <is>
          <t>11.07.2027</t>
        </is>
      </c>
      <c r="E1277" t="inlineStr">
        <is>
          <t>Singapore</t>
        </is>
      </c>
    </row>
    <row r="1278">
      <c r="A1278" t="inlineStr">
        <is>
          <t>GPR CO. PTE LTD,  Singapore, Singapore</t>
        </is>
      </c>
      <c r="B1278" t="inlineStr">
        <is>
          <t>Trader</t>
        </is>
      </c>
      <c r="C1278" t="inlineStr">
        <is>
          <t>Control Union Certifications Germany GmbH, Berlin, DE</t>
        </is>
      </c>
      <c r="D1278" t="inlineStr">
        <is>
          <t>11.07.2027</t>
        </is>
      </c>
      <c r="E1278" t="inlineStr">
        <is>
          <t>Singapore</t>
        </is>
      </c>
    </row>
    <row r="1279">
      <c r="A1279" t="inlineStr">
        <is>
          <t>Allnex Resin (Shanghai) Co., Ltd,  Shanghai City, Zhuanghang Fengxian, China</t>
        </is>
      </c>
      <c r="B1279" t="inlineStr">
        <is>
          <t>Processing Unit</t>
        </is>
      </c>
      <c r="C1279" t="inlineStr">
        <is>
          <t>SGS Germany GmbH, Emstek, DE</t>
        </is>
      </c>
      <c r="D1279" t="inlineStr">
        <is>
          <t>11.07.2027</t>
        </is>
      </c>
      <c r="E1279" t="inlineStr">
        <is>
          <t>China</t>
        </is>
      </c>
    </row>
    <row r="1280">
      <c r="A1280" t="inlineStr">
        <is>
          <t>MEIRYO CO.,LTD. Suzuka Factory,  Suzuka-shi Mie, Japan</t>
        </is>
      </c>
      <c r="B1280" t="inlineStr">
        <is>
          <t>Processing Unit, Warehouse</t>
        </is>
      </c>
      <c r="C1280" t="inlineStr">
        <is>
          <t>SGS Germany GmbH, Emstek, DE</t>
        </is>
      </c>
      <c r="D1280" t="inlineStr">
        <is>
          <t>11.07.2027</t>
        </is>
      </c>
      <c r="E1280" t="inlineStr">
        <is>
          <t>Japan</t>
        </is>
      </c>
    </row>
    <row r="1281">
      <c r="A1281" t="inlineStr">
        <is>
          <t>ATT Tanjung Bin Sdn Bhd,  Serkat, Pontian, Johor, Malaysia</t>
        </is>
      </c>
      <c r="B1281" t="inlineStr">
        <is>
          <t>Warehouse</t>
        </is>
      </c>
      <c r="C1281" t="inlineStr">
        <is>
          <t>TÜV NORD CERT GmbH, Essen, DE</t>
        </is>
      </c>
      <c r="D1281" t="inlineStr">
        <is>
          <t>10.07.2027</t>
        </is>
      </c>
      <c r="E1281" t="inlineStr">
        <is>
          <t>Malaysia</t>
        </is>
      </c>
    </row>
    <row r="1282">
      <c r="A1282" t="inlineStr">
        <is>
          <t>Reciclados Torres y Sosa, S.L.,  Agüimes (Las Palmas), Spain</t>
        </is>
      </c>
      <c r="B1282" t="inlineStr">
        <is>
          <t>Collecting Point, Trader with Storage</t>
        </is>
      </c>
      <c r="C1282" t="inlineStr">
        <is>
          <t>Control Union Poland Sp. z o.o., Zielona Gora, PL</t>
        </is>
      </c>
      <c r="D1282" t="inlineStr">
        <is>
          <t>10.07.2027</t>
        </is>
      </c>
      <c r="E1282" t="inlineStr">
        <is>
          <t>Spain</t>
        </is>
      </c>
    </row>
    <row r="1283">
      <c r="A1283" t="inlineStr">
        <is>
          <t>Neomille S.A.,  Maracaju, Brazil</t>
        </is>
      </c>
      <c r="B1283" t="inlineStr">
        <is>
          <t>Point of Origin, Processing Unit</t>
        </is>
      </c>
      <c r="C1283" t="inlineStr">
        <is>
          <t>Control Union Poland Sp. z o.o., Zielona Gora, PL</t>
        </is>
      </c>
      <c r="D1283" t="inlineStr">
        <is>
          <t>10.07.2027</t>
        </is>
      </c>
      <c r="E1283" t="inlineStr">
        <is>
          <t>Brazil</t>
        </is>
      </c>
    </row>
    <row r="1284">
      <c r="A1284" t="inlineStr">
        <is>
          <t>Agro Vision Kft.,  Baja, Hungary</t>
        </is>
      </c>
      <c r="B1284" t="inlineStr">
        <is>
          <t>First Gathering Point</t>
        </is>
      </c>
      <c r="C1284" t="inlineStr">
        <is>
          <t>SGS Germany GmbH, Emstek, DE</t>
        </is>
      </c>
      <c r="D1284" t="inlineStr">
        <is>
          <t>10.07.2027</t>
        </is>
      </c>
      <c r="E1284" t="inlineStr">
        <is>
          <t>Hungary</t>
        </is>
      </c>
    </row>
    <row r="1285">
      <c r="A1285" t="inlineStr">
        <is>
          <t>SC Refdan Com,  Islaz Village, Romania</t>
        </is>
      </c>
      <c r="B1285" t="inlineStr">
        <is>
          <t>First Gathering Point, Trader with Storage</t>
        </is>
      </c>
      <c r="C1285" t="inlineStr">
        <is>
          <t>Control Union Certifications Germany GmbH, Berlin, DE</t>
        </is>
      </c>
      <c r="D1285" t="inlineStr">
        <is>
          <t>10.07.2027</t>
        </is>
      </c>
      <c r="E1285" t="inlineStr">
        <is>
          <t>Romania</t>
        </is>
      </c>
    </row>
    <row r="1286">
      <c r="A1286" t="inlineStr">
        <is>
          <t>KARIAVOULAS EVANGELOS ROUKY,  ELEFSINA, Greece</t>
        </is>
      </c>
      <c r="B1286" t="inlineStr">
        <is>
          <t>Collecting Point</t>
        </is>
      </c>
      <c r="C1286" t="inlineStr">
        <is>
          <t>Eurocert SA, Metamorfosi, Athens, GR</t>
        </is>
      </c>
      <c r="D1286" t="inlineStr">
        <is>
          <t>10.07.2027</t>
        </is>
      </c>
      <c r="E1286" t="inlineStr">
        <is>
          <t>Greece</t>
        </is>
      </c>
    </row>
    <row r="1287">
      <c r="A1287" t="inlineStr">
        <is>
          <t>Consorzio Agrario Di Parma SOC. COOP. A R.L. IN C.P.,  Parma, Italy</t>
        </is>
      </c>
      <c r="B1287" t="inlineStr">
        <is>
          <t>First Gathering Point</t>
        </is>
      </c>
      <c r="C1287" t="inlineStr">
        <is>
          <t>DNV Business Assurance Sweden AB, Solna, SE</t>
        </is>
      </c>
      <c r="D1287" t="inlineStr">
        <is>
          <t>10.07.2027</t>
        </is>
      </c>
      <c r="E1287" t="inlineStr">
        <is>
          <t>Italy</t>
        </is>
      </c>
    </row>
    <row r="1288">
      <c r="A1288" t="inlineStr">
        <is>
          <t>Ecohz,  Oslo, Norway</t>
        </is>
      </c>
      <c r="B1288" t="inlineStr">
        <is>
          <t>Trader</t>
        </is>
      </c>
      <c r="C1288" t="inlineStr">
        <is>
          <t>SGS Germany GmbH, Emstek, DE</t>
        </is>
      </c>
      <c r="D1288" t="inlineStr">
        <is>
          <t>10.07.2027</t>
        </is>
      </c>
      <c r="E1288" t="inlineStr">
        <is>
          <t>Norway</t>
        </is>
      </c>
    </row>
    <row r="1289">
      <c r="A1289" t="inlineStr">
        <is>
          <t>INGRA BROZZI,  Cogozzo di Viadana, Italy</t>
        </is>
      </c>
      <c r="B1289" t="inlineStr">
        <is>
          <t>Point of Origin</t>
        </is>
      </c>
      <c r="C1289" t="inlineStr">
        <is>
          <t>SGS Germany GmbH, Emstek, DE</t>
        </is>
      </c>
      <c r="D1289" t="inlineStr">
        <is>
          <t>10.07.2027</t>
        </is>
      </c>
      <c r="E1289" t="inlineStr">
        <is>
          <t>Italy</t>
        </is>
      </c>
    </row>
    <row r="1290">
      <c r="A1290" t="inlineStr">
        <is>
          <t>Hebei Jinrui Lvyuan Biological Technology Co.,Ltd,  Xinji City, Hebei Province, China</t>
        </is>
      </c>
      <c r="B1290" t="inlineStr">
        <is>
          <t>Trader with Storage</t>
        </is>
      </c>
      <c r="C1290" t="inlineStr">
        <is>
          <t>RINA Services S.p.A., Genova, IT</t>
        </is>
      </c>
      <c r="D1290" t="inlineStr">
        <is>
          <t>10.07.2027</t>
        </is>
      </c>
      <c r="E1290" t="inlineStr">
        <is>
          <t>China</t>
        </is>
      </c>
    </row>
    <row r="1291">
      <c r="A1291" t="inlineStr">
        <is>
          <t>Yibin Maicheng Energy Technology Co., Ltd,  Yibin City, Sichuan Province, China</t>
        </is>
      </c>
      <c r="B1291" t="inlineStr">
        <is>
          <t>Collecting Point</t>
        </is>
      </c>
      <c r="C1291" t="inlineStr">
        <is>
          <t>RINA Services S.p.A., Genova, IT</t>
        </is>
      </c>
      <c r="D1291" t="inlineStr">
        <is>
          <t>10.07.2027</t>
        </is>
      </c>
      <c r="E1291" t="inlineStr">
        <is>
          <t>China</t>
        </is>
      </c>
    </row>
    <row r="1292">
      <c r="A1292" t="inlineStr">
        <is>
          <t>COMPAGNIA PER L'ENERGIA S.R.L.,  Zoppola, Italy</t>
        </is>
      </c>
      <c r="B1292" t="inlineStr">
        <is>
          <t>Biomarine Fuel Operator, Trader with Storage, Collecting Point</t>
        </is>
      </c>
      <c r="C1292" t="inlineStr">
        <is>
          <t>ICIM SpA, sesto san giovanni, IT</t>
        </is>
      </c>
      <c r="D1292" t="inlineStr">
        <is>
          <t>10.07.2027</t>
        </is>
      </c>
      <c r="E1292" t="inlineStr">
        <is>
          <t>Italy</t>
        </is>
      </c>
    </row>
    <row r="1293">
      <c r="A1293" t="inlineStr">
        <is>
          <t>C.E.S. International Company Limited,  Samut Prakarn, Thailand</t>
        </is>
      </c>
      <c r="B1293" t="inlineStr">
        <is>
          <t>Trader</t>
        </is>
      </c>
      <c r="C1293" t="inlineStr">
        <is>
          <t>Bureau Veritas Polska Sp. z o.o., Warsaw, PL</t>
        </is>
      </c>
      <c r="D1293" t="inlineStr">
        <is>
          <t>10.07.2027</t>
        </is>
      </c>
      <c r="E1293" t="inlineStr">
        <is>
          <t>Thailand</t>
        </is>
      </c>
    </row>
    <row r="1294">
      <c r="A1294" t="inlineStr">
        <is>
          <t>REFINERIA DEL CENTRO,  Lanus Oeste, Buenos Aires, Argentina</t>
        </is>
      </c>
      <c r="B1294" t="inlineStr">
        <is>
          <t>Point of Origin</t>
        </is>
      </c>
      <c r="C1294" t="inlineStr">
        <is>
          <t>Amspec Iberia SL, Vilagarcia de Arousa-Pontevedra, ES</t>
        </is>
      </c>
      <c r="D1294" t="inlineStr">
        <is>
          <t>10.07.2027</t>
        </is>
      </c>
      <c r="E1294" t="inlineStr">
        <is>
          <t>Argentina</t>
        </is>
      </c>
    </row>
    <row r="1295">
      <c r="A1295" t="inlineStr">
        <is>
          <t>REFINERIA DEL CENTRO,  Cordoba, Argentina</t>
        </is>
      </c>
      <c r="B1295" t="inlineStr">
        <is>
          <t>Point of Origin</t>
        </is>
      </c>
      <c r="C1295" t="inlineStr">
        <is>
          <t>Amspec Iberia SL, Vilagarcia de Arousa-Pontevedra, ES</t>
        </is>
      </c>
      <c r="D1295" t="inlineStr">
        <is>
          <t>10.07.2027</t>
        </is>
      </c>
      <c r="E1295" t="inlineStr">
        <is>
          <t>Argentina</t>
        </is>
      </c>
    </row>
    <row r="1296">
      <c r="A1296" t="inlineStr">
        <is>
          <t>Hollaus Speiseresteentsorgung Pinzgau,  Zell am See, Austria</t>
        </is>
      </c>
      <c r="B1296" t="inlineStr">
        <is>
          <t>Collecting Point</t>
        </is>
      </c>
      <c r="C1296" t="inlineStr">
        <is>
          <t>agroVet GmbH, Enzersfeld, AT</t>
        </is>
      </c>
      <c r="D1296" t="inlineStr">
        <is>
          <t>10.07.2027</t>
        </is>
      </c>
      <c r="E1296" t="inlineStr">
        <is>
          <t>Austria</t>
        </is>
      </c>
    </row>
    <row r="1297">
      <c r="A1297" t="inlineStr">
        <is>
          <t>Ethanol Products LLC,  Wichita Kansas, United States</t>
        </is>
      </c>
      <c r="B1297" t="inlineStr">
        <is>
          <t>Trader with Storage</t>
        </is>
      </c>
      <c r="C1297" t="inlineStr">
        <is>
          <t>SCS Global Services, Emeryville, CA, US</t>
        </is>
      </c>
      <c r="D1297" t="inlineStr">
        <is>
          <t>10.07.2027</t>
        </is>
      </c>
      <c r="E1297" t="inlineStr">
        <is>
          <t>United States</t>
        </is>
      </c>
    </row>
    <row r="1298">
      <c r="A1298" t="inlineStr">
        <is>
          <t>Ethanol Products LLC,  Wichita Kansas, United States</t>
        </is>
      </c>
      <c r="B1298" t="inlineStr">
        <is>
          <t>Trader with Storage</t>
        </is>
      </c>
      <c r="C1298" t="inlineStr">
        <is>
          <t>SCS Global Services, Emeryville, CA, US</t>
        </is>
      </c>
      <c r="D1298" t="inlineStr">
        <is>
          <t>10.07.2027</t>
        </is>
      </c>
      <c r="E1298" t="inlineStr">
        <is>
          <t>United States</t>
        </is>
      </c>
    </row>
    <row r="1299">
      <c r="A1299" t="inlineStr">
        <is>
          <t>Konimpex Sp. z o.o.,  Konin, Poland</t>
        </is>
      </c>
      <c r="B1299" t="inlineStr">
        <is>
          <t>Trader with Storage</t>
        </is>
      </c>
      <c r="C1299" t="inlineStr">
        <is>
          <t>Bureau Veritas Polska Sp. z o.o., Warsaw, PL</t>
        </is>
      </c>
      <c r="D1299" t="inlineStr">
        <is>
          <t>10.07.2027</t>
        </is>
      </c>
      <c r="E1299" t="inlineStr">
        <is>
          <t>Poland</t>
        </is>
      </c>
    </row>
    <row r="1300">
      <c r="A1300" t="inlineStr">
        <is>
          <t>Hangzhou Yuanyou e-commerce Ltd,  Shenzhen, Guangdong, China</t>
        </is>
      </c>
      <c r="B1300" t="inlineStr">
        <is>
          <t>Trader</t>
        </is>
      </c>
      <c r="C1300" t="inlineStr">
        <is>
          <t>CTI Certification Co. Ltd, Shenzhen, CN</t>
        </is>
      </c>
      <c r="D1300" t="inlineStr">
        <is>
          <t>10.07.2027</t>
        </is>
      </c>
      <c r="E1300" t="inlineStr">
        <is>
          <t>China</t>
        </is>
      </c>
    </row>
    <row r="1301">
      <c r="A1301" t="inlineStr">
        <is>
          <t>Tianjin Bohua Nangang Terminal Co.,Ltd.,  Tianjin City, China</t>
        </is>
      </c>
      <c r="B1301" t="inlineStr">
        <is>
          <t>Warehouse</t>
        </is>
      </c>
      <c r="C1301" t="inlineStr">
        <is>
          <t>SCS Global Services, Emeryville, CA, US</t>
        </is>
      </c>
      <c r="D1301" t="inlineStr">
        <is>
          <t>10.07.2027</t>
        </is>
      </c>
      <c r="E1301" t="inlineStr">
        <is>
          <t>China</t>
        </is>
      </c>
    </row>
    <row r="1302">
      <c r="A1302" t="inlineStr">
        <is>
          <t>Tianjin Bohua Nangang Terminal Co.,Ltd.,  Tianjin City, China</t>
        </is>
      </c>
      <c r="B1302" t="inlineStr">
        <is>
          <t>Warehouse</t>
        </is>
      </c>
      <c r="C1302" t="inlineStr">
        <is>
          <t>SCS Global Services, Emeryville, CA, US</t>
        </is>
      </c>
      <c r="D1302" t="inlineStr">
        <is>
          <t>10.07.2027</t>
        </is>
      </c>
      <c r="E1302" t="inlineStr">
        <is>
          <t>China</t>
        </is>
      </c>
    </row>
    <row r="1303">
      <c r="A1303" t="inlineStr">
        <is>
          <t>Tianjin Bohua Nangang Terminal Co.,Ltd.,  Tianjin City, China</t>
        </is>
      </c>
      <c r="B1303" t="inlineStr">
        <is>
          <t>Warehouse</t>
        </is>
      </c>
      <c r="C1303" t="inlineStr">
        <is>
          <t>SCS Global Services, Emeryville, CA, US</t>
        </is>
      </c>
      <c r="D1303" t="inlineStr">
        <is>
          <t>10.07.2027</t>
        </is>
      </c>
      <c r="E1303" t="inlineStr">
        <is>
          <t>China</t>
        </is>
      </c>
    </row>
    <row r="1304">
      <c r="A1304" t="inlineStr">
        <is>
          <t>Dengta City Yuan Yuan Kitchen Waste Treatment Co., Ltd.,  Dengta City, Liaoyang City, China</t>
        </is>
      </c>
      <c r="B1304" t="inlineStr">
        <is>
          <t>Collecting Point, Trader</t>
        </is>
      </c>
      <c r="C1304" t="inlineStr">
        <is>
          <t>RINA Services S.p.A., Genova, IT</t>
        </is>
      </c>
      <c r="D1304" t="inlineStr">
        <is>
          <t>10.07.2027</t>
        </is>
      </c>
      <c r="E1304" t="inlineStr">
        <is>
          <t>China</t>
        </is>
      </c>
    </row>
    <row r="1305">
      <c r="A1305" t="inlineStr">
        <is>
          <t>Bunge Canada,  Russel, Canada</t>
        </is>
      </c>
      <c r="B1305" t="inlineStr">
        <is>
          <t>Processing Unit</t>
        </is>
      </c>
      <c r="C1305" t="inlineStr">
        <is>
          <t>Control Union Poland Sp. z o.o., Zielona Gora, PL</t>
        </is>
      </c>
      <c r="D1305" t="inlineStr">
        <is>
          <t>10.07.2027</t>
        </is>
      </c>
      <c r="E1305" t="inlineStr">
        <is>
          <t>Canada</t>
        </is>
      </c>
    </row>
    <row r="1306">
      <c r="A1306" t="inlineStr">
        <is>
          <t>Bunge Canada,  Russel, Canada</t>
        </is>
      </c>
      <c r="B1306" t="inlineStr">
        <is>
          <t>Processing Unit</t>
        </is>
      </c>
      <c r="C1306" t="inlineStr">
        <is>
          <t>Control Union Poland Sp. z o.o., Zielona Gora, PL</t>
        </is>
      </c>
      <c r="D1306" t="inlineStr">
        <is>
          <t>10.07.2027</t>
        </is>
      </c>
      <c r="E1306" t="inlineStr">
        <is>
          <t>Canada</t>
        </is>
      </c>
    </row>
    <row r="1307">
      <c r="A1307" t="inlineStr">
        <is>
          <t>Bunge Canada,  Russel, Canada</t>
        </is>
      </c>
      <c r="B1307" t="inlineStr">
        <is>
          <t>Processing Unit</t>
        </is>
      </c>
      <c r="C1307" t="inlineStr">
        <is>
          <t>Control Union Poland Sp. z o.o., Zielona Gora, PL</t>
        </is>
      </c>
      <c r="D1307" t="inlineStr">
        <is>
          <t>10.07.2027</t>
        </is>
      </c>
      <c r="E1307" t="inlineStr">
        <is>
          <t>Canada</t>
        </is>
      </c>
    </row>
    <row r="1308">
      <c r="A1308" t="inlineStr">
        <is>
          <t>TRIALP SA,  Chambery, France</t>
        </is>
      </c>
      <c r="B1308" t="inlineStr">
        <is>
          <t>Collecting Point</t>
        </is>
      </c>
      <c r="C1308" t="inlineStr">
        <is>
          <t>Control Union Certifications Germany GmbH, Berlin, DE</t>
        </is>
      </c>
      <c r="D1308" t="inlineStr">
        <is>
          <t>10.07.2027</t>
        </is>
      </c>
      <c r="E1308" t="inlineStr">
        <is>
          <t>France</t>
        </is>
      </c>
    </row>
    <row r="1309">
      <c r="A1309" t="inlineStr">
        <is>
          <t>SIAMP-CEDAP,  Ressons sur Matz, France</t>
        </is>
      </c>
      <c r="B1309" t="inlineStr">
        <is>
          <t>Trader with Storage, Processing Unit</t>
        </is>
      </c>
      <c r="C1309" t="inlineStr">
        <is>
          <t>Bureau Veritas Polska Sp. z o.o., Warsaw, PL</t>
        </is>
      </c>
      <c r="D1309" t="inlineStr">
        <is>
          <t>10.07.2027</t>
        </is>
      </c>
      <c r="E1309" t="inlineStr">
        <is>
          <t>France</t>
        </is>
      </c>
    </row>
    <row r="1310">
      <c r="A1310" t="inlineStr">
        <is>
          <t>Enagás Transporte SAU,  Cartagena, Murcia, Spain</t>
        </is>
      </c>
      <c r="B1310" t="inlineStr">
        <is>
          <t>Processing Unit</t>
        </is>
      </c>
      <c r="C1310" t="inlineStr">
        <is>
          <t>Amspec Iberia SL, Vilagarcia de Arousa-Pontevedra, ES</t>
        </is>
      </c>
      <c r="D1310" t="inlineStr">
        <is>
          <t>10.07.2027</t>
        </is>
      </c>
      <c r="E1310" t="inlineStr">
        <is>
          <t>Spain</t>
        </is>
      </c>
    </row>
    <row r="1311">
      <c r="A1311" t="inlineStr">
        <is>
          <t>Wenzhou Aishi Optics Industry Co., Ltd.,  Wenzhou, Zhejiang, China</t>
        </is>
      </c>
      <c r="B1311" t="inlineStr">
        <is>
          <t>Processing Unit</t>
        </is>
      </c>
      <c r="C1311" t="inlineStr">
        <is>
          <t>SCS Global Services, Emeryville, CA, US</t>
        </is>
      </c>
      <c r="D1311" t="inlineStr">
        <is>
          <t>10.07.2027</t>
        </is>
      </c>
      <c r="E1311" t="inlineStr">
        <is>
          <t>China</t>
        </is>
      </c>
    </row>
    <row r="1312">
      <c r="A1312" t="inlineStr">
        <is>
          <t>AGROM IMPORT EXPORT,  VADENI, Romania</t>
        </is>
      </c>
      <c r="B1312" t="inlineStr">
        <is>
          <t>First Gathering Point, Trader with Storage</t>
        </is>
      </c>
      <c r="C1312" t="inlineStr">
        <is>
          <t>Control Union Certifications Germany GmbH, Berlin, DE</t>
        </is>
      </c>
      <c r="D1312" t="inlineStr">
        <is>
          <t>10.07.2027</t>
        </is>
      </c>
      <c r="E1312" t="inlineStr">
        <is>
          <t>Romania</t>
        </is>
      </c>
    </row>
    <row r="1313">
      <c r="A1313" t="inlineStr">
        <is>
          <t>Shell Trading (US) Company,  Deer Park, Texas, United States</t>
        </is>
      </c>
      <c r="B1313" t="inlineStr">
        <is>
          <t>Trader, Processing Unit</t>
        </is>
      </c>
      <c r="C1313" t="inlineStr">
        <is>
          <t>SCS Global Services, Emeryville, CA, US</t>
        </is>
      </c>
      <c r="D1313" t="inlineStr">
        <is>
          <t>10.07.2027</t>
        </is>
      </c>
      <c r="E1313" t="inlineStr">
        <is>
          <t>United States</t>
        </is>
      </c>
    </row>
    <row r="1314">
      <c r="A1314" t="inlineStr">
        <is>
          <t>ADVANCE BASE INTERNATIONAL CO.,LTD,  Xitun Dist.,Taichung City, Taiwan (Province of China)</t>
        </is>
      </c>
      <c r="B1314" t="inlineStr">
        <is>
          <t>Trader</t>
        </is>
      </c>
      <c r="C1314" t="inlineStr">
        <is>
          <t>Bureau Veritas Polska Sp. z o.o., Warsaw, PL</t>
        </is>
      </c>
      <c r="D1314" t="inlineStr">
        <is>
          <t>10.07.2027</t>
        </is>
      </c>
      <c r="E1314" t="inlineStr">
        <is>
          <t>Taiwan (Province of China)</t>
        </is>
      </c>
    </row>
    <row r="1315">
      <c r="A1315" t="inlineStr">
        <is>
          <t>MHP VERDANT,  Kyiv, Ukraine</t>
        </is>
      </c>
      <c r="B1315" t="inlineStr">
        <is>
          <t>Trader</t>
        </is>
      </c>
      <c r="C1315" t="inlineStr">
        <is>
          <t>Apex Genelab LLC, Odessa, UA</t>
        </is>
      </c>
      <c r="D1315" t="inlineStr">
        <is>
          <t>10.07.2027</t>
        </is>
      </c>
      <c r="E1315" t="inlineStr">
        <is>
          <t>Ukraine</t>
        </is>
      </c>
    </row>
    <row r="1316">
      <c r="A1316" t="inlineStr">
        <is>
          <t>Shanghai ITW Plastic &amp; Metal Co., Ltd.,  Min Hang District, Shanghai, China</t>
        </is>
      </c>
      <c r="B1316" t="inlineStr">
        <is>
          <t>Processing Unit, Trader with Storage</t>
        </is>
      </c>
      <c r="C1316" t="inlineStr">
        <is>
          <t>China Quality Certification Centre Co., Ltd., Beijing, CN</t>
        </is>
      </c>
      <c r="D1316" t="inlineStr">
        <is>
          <t>10.07.2027</t>
        </is>
      </c>
      <c r="E1316" t="inlineStr">
        <is>
          <t>China</t>
        </is>
      </c>
    </row>
    <row r="1317">
      <c r="A1317" t="inlineStr">
        <is>
          <t>PRJSC Myronivska Pticefabrika,  Stepantsi vil., Cherkasy distr., Cherkasy region, Ukraine</t>
        </is>
      </c>
      <c r="B1317" t="inlineStr">
        <is>
          <t>Point of Origin</t>
        </is>
      </c>
      <c r="C1317" t="inlineStr">
        <is>
          <t>Apex Genelab LLC, Odessa, UA</t>
        </is>
      </c>
      <c r="D1317" t="inlineStr">
        <is>
          <t>10.07.2027</t>
        </is>
      </c>
      <c r="E1317" t="inlineStr">
        <is>
          <t>Ukraine</t>
        </is>
      </c>
    </row>
    <row r="1318">
      <c r="A1318" t="inlineStr">
        <is>
          <t>Gemilang Palm Oil (M) Sdn Bhd,  Shah Alam, Selangor, Malaysia</t>
        </is>
      </c>
      <c r="B1318" t="inlineStr">
        <is>
          <t>Collecting Point, Trader with Storage</t>
        </is>
      </c>
      <c r="C1318" t="inlineStr">
        <is>
          <t>PT SBC Asia Sertifikasi, Kebumen, ID</t>
        </is>
      </c>
      <c r="D1318" t="inlineStr">
        <is>
          <t>10.07.2027</t>
        </is>
      </c>
      <c r="E1318" t="inlineStr">
        <is>
          <t>Malaysia</t>
        </is>
      </c>
    </row>
    <row r="1319">
      <c r="A1319" t="inlineStr">
        <is>
          <t>Kleiberit SE &amp; Co. KG,  Weingarten, Baden, Germany</t>
        </is>
      </c>
      <c r="B1319" t="inlineStr">
        <is>
          <t>Processing Unit, Trader with Storage</t>
        </is>
      </c>
      <c r="C1319" t="inlineStr">
        <is>
          <t>TÜV SÜD Industrie Service GmbH, München, DE</t>
        </is>
      </c>
      <c r="D1319" t="inlineStr">
        <is>
          <t>10.07.2027</t>
        </is>
      </c>
      <c r="E1319" t="inlineStr">
        <is>
          <t>Germany</t>
        </is>
      </c>
    </row>
    <row r="1320">
      <c r="A1320" t="inlineStr">
        <is>
          <t>Aurora Marine Fuels Ltd,  London, The United Kingdom</t>
        </is>
      </c>
      <c r="B1320" t="inlineStr">
        <is>
          <t>Trader, Proof of Compliance Trader</t>
        </is>
      </c>
      <c r="C1320" t="inlineStr">
        <is>
          <t>Double Helix Tracking Technologies Pte Ltd, Singapore, SG</t>
        </is>
      </c>
      <c r="D1320" t="inlineStr">
        <is>
          <t>10.07.2027</t>
        </is>
      </c>
      <c r="E1320" t="inlineStr">
        <is>
          <t>The United Kingdom</t>
        </is>
      </c>
    </row>
    <row r="1321">
      <c r="A1321" t="inlineStr">
        <is>
          <t>Denka Singapore Private Limited,  SINGAPORE, Singapore</t>
        </is>
      </c>
      <c r="B1321" t="inlineStr">
        <is>
          <t>Trader</t>
        </is>
      </c>
      <c r="C1321" t="inlineStr">
        <is>
          <t>SGS Germany GmbH, Emstek, DE</t>
        </is>
      </c>
      <c r="D1321" t="inlineStr">
        <is>
          <t>10.07.2027</t>
        </is>
      </c>
      <c r="E1321" t="inlineStr">
        <is>
          <t>Singapore</t>
        </is>
      </c>
    </row>
    <row r="1322">
      <c r="A1322" t="inlineStr">
        <is>
          <t>TKG TAEKWANG MOC BAI JOINT STOCK COMPANY,  Tay Ninh, Vietnam</t>
        </is>
      </c>
      <c r="B1322" t="inlineStr">
        <is>
          <t>Final Product Refinement, Processing Unit</t>
        </is>
      </c>
      <c r="C1322" t="inlineStr">
        <is>
          <t>SGS Germany GmbH, Emstek, DE</t>
        </is>
      </c>
      <c r="D1322" t="inlineStr">
        <is>
          <t>10.07.2027</t>
        </is>
      </c>
      <c r="E1322" t="inlineStr">
        <is>
          <t>Vietnam</t>
        </is>
      </c>
    </row>
    <row r="1323">
      <c r="A1323" t="inlineStr">
        <is>
          <t>Suntrade SE,  Kyiv, Ukraine</t>
        </is>
      </c>
      <c r="B1323" t="inlineStr">
        <is>
          <t>First Gathering Point, Trader with Storage</t>
        </is>
      </c>
      <c r="C1323" t="inlineStr">
        <is>
          <t>Bureau Veritas Polska Sp. z o.o., Warsaw, PL</t>
        </is>
      </c>
      <c r="D1323" t="inlineStr">
        <is>
          <t>09.07.2027</t>
        </is>
      </c>
      <c r="E1323" t="inlineStr">
        <is>
          <t>Ukraine</t>
        </is>
      </c>
    </row>
    <row r="1324">
      <c r="A1324" t="inlineStr">
        <is>
          <t>Salgaim Ecologic SPA,  Lugo di Campagna Lupia, Italy</t>
        </is>
      </c>
      <c r="B1324" t="inlineStr">
        <is>
          <t>Point of Origin, Trader with Storage, Processing Unit</t>
        </is>
      </c>
      <c r="C1324" t="inlineStr">
        <is>
          <t>SGS Germany GmbH, Emstek, DE</t>
        </is>
      </c>
      <c r="D1324" t="inlineStr">
        <is>
          <t>09.07.2027</t>
        </is>
      </c>
      <c r="E1324" t="inlineStr">
        <is>
          <t>Italy</t>
        </is>
      </c>
    </row>
    <row r="1325">
      <c r="A1325" t="inlineStr">
        <is>
          <t>Polaris Oil Sdn Bhd,  Mont Kiara Kuala Lumpur, Malaysia</t>
        </is>
      </c>
      <c r="B1325" t="inlineStr">
        <is>
          <t>Trader</t>
        </is>
      </c>
      <c r="C1325" t="inlineStr">
        <is>
          <t>Trans Certification and Inspection Sdn Bhd, Kuantan, MY</t>
        </is>
      </c>
      <c r="D1325" t="inlineStr">
        <is>
          <t>09.07.2027</t>
        </is>
      </c>
      <c r="E1325" t="inlineStr">
        <is>
          <t>Malaysia</t>
        </is>
      </c>
    </row>
    <row r="1326">
      <c r="A1326" t="inlineStr">
        <is>
          <t>Shijiazhuang Huan Teng Energy Technology Co., Ltd.,  Shijiazhuang City, Hebei Province, China</t>
        </is>
      </c>
      <c r="B1326" t="inlineStr">
        <is>
          <t>Trader with Storage</t>
        </is>
      </c>
      <c r="C1326" t="inlineStr">
        <is>
          <t>RINA Services S.p.A., Genova, IT</t>
        </is>
      </c>
      <c r="D1326" t="inlineStr">
        <is>
          <t>09.07.2027</t>
        </is>
      </c>
      <c r="E1326" t="inlineStr">
        <is>
          <t>China</t>
        </is>
      </c>
    </row>
    <row r="1327">
      <c r="A1327" t="inlineStr">
        <is>
          <t>Zhongshan Lions King Environmental Technology Co, Ltd.,  Zhongshan, China</t>
        </is>
      </c>
      <c r="B1327" t="inlineStr">
        <is>
          <t>Collecting Point, Processing Unit</t>
        </is>
      </c>
      <c r="C1327" t="inlineStr">
        <is>
          <t>RINA Services S.p.A., Genova, IT</t>
        </is>
      </c>
      <c r="D1327" t="inlineStr">
        <is>
          <t>09.07.2027</t>
        </is>
      </c>
      <c r="E1327" t="inlineStr">
        <is>
          <t>China</t>
        </is>
      </c>
    </row>
    <row r="1328">
      <c r="A1328" t="inlineStr">
        <is>
          <t>Guangxi Universal Industrial Oil Co., Ltd.,  Nanning City, China</t>
        </is>
      </c>
      <c r="B1328" t="inlineStr">
        <is>
          <t>Collecting Point, Trader with Storage</t>
        </is>
      </c>
      <c r="C1328" t="inlineStr">
        <is>
          <t>RINA Services S.p.A., Genova, IT</t>
        </is>
      </c>
      <c r="D1328" t="inlineStr">
        <is>
          <t>09.07.2027</t>
        </is>
      </c>
      <c r="E1328" t="inlineStr">
        <is>
          <t>China</t>
        </is>
      </c>
    </row>
    <row r="1329">
      <c r="A1329" t="inlineStr">
        <is>
          <t>Guangxi Universal Industrial Oil Co., Ltd.,  Nanning City, China</t>
        </is>
      </c>
      <c r="B1329" t="inlineStr">
        <is>
          <t>Collecting Point, Trader with Storage</t>
        </is>
      </c>
      <c r="C1329" t="inlineStr">
        <is>
          <t>RINA Services S.p.A., Genova, IT</t>
        </is>
      </c>
      <c r="D1329" t="inlineStr">
        <is>
          <t>09.07.2027</t>
        </is>
      </c>
      <c r="E1329" t="inlineStr">
        <is>
          <t>China</t>
        </is>
      </c>
    </row>
    <row r="1330">
      <c r="A1330" t="inlineStr">
        <is>
          <t>Flogas Ireland Ltd,  Dublin, Ireland</t>
        </is>
      </c>
      <c r="B1330" t="inlineStr">
        <is>
          <t>Trader with Storage</t>
        </is>
      </c>
      <c r="C1330" t="inlineStr">
        <is>
          <t>SGS Germany GmbH, Emstek, DE</t>
        </is>
      </c>
      <c r="D1330" t="inlineStr">
        <is>
          <t>09.07.2027</t>
        </is>
      </c>
      <c r="E1330" t="inlineStr">
        <is>
          <t>Ireland</t>
        </is>
      </c>
    </row>
    <row r="1331">
      <c r="A1331" t="inlineStr">
        <is>
          <t>ECE S.A.,  Jacarezinho, Brazil</t>
        </is>
      </c>
      <c r="B1331" t="inlineStr">
        <is>
          <t>Trader with Storage</t>
        </is>
      </c>
      <c r="C1331" t="inlineStr">
        <is>
          <t>SGS Germany GmbH, Emstek, DE</t>
        </is>
      </c>
      <c r="D1331" t="inlineStr">
        <is>
          <t>09.07.2027</t>
        </is>
      </c>
      <c r="E1331" t="inlineStr">
        <is>
          <t>Brazil</t>
        </is>
      </c>
    </row>
    <row r="1332">
      <c r="A1332" t="inlineStr">
        <is>
          <t>Jiangsu Junda Environmental Protection Technology Co., Ltd.,  Lianyungang City, China</t>
        </is>
      </c>
      <c r="B1332" t="inlineStr">
        <is>
          <t>Collecting Point, Trader with Storage, Processing Unit</t>
        </is>
      </c>
      <c r="C1332" t="inlineStr">
        <is>
          <t>Trans Certification and Inspection Sdn Bhd, Kuantan, MY</t>
        </is>
      </c>
      <c r="D1332" t="inlineStr">
        <is>
          <t>09.07.2027</t>
        </is>
      </c>
      <c r="E1332" t="inlineStr">
        <is>
          <t>China</t>
        </is>
      </c>
    </row>
    <row r="1333">
      <c r="A1333" t="inlineStr">
        <is>
          <t>HAINAN DEWEI NEW ENERGY TECHNOLOGY CO.,LTD,  Chengmai County, Hainan, China</t>
        </is>
      </c>
      <c r="B1333" t="inlineStr">
        <is>
          <t>Collecting Point, Processing Unit, Trader with Storage</t>
        </is>
      </c>
      <c r="C1333" t="inlineStr">
        <is>
          <t>RINA Services S.p.A., Genova, IT</t>
        </is>
      </c>
      <c r="D1333" t="inlineStr">
        <is>
          <t>09.07.2027</t>
        </is>
      </c>
      <c r="E1333" t="inlineStr">
        <is>
          <t>China</t>
        </is>
      </c>
    </row>
    <row r="1334">
      <c r="A1334" t="inlineStr">
        <is>
          <t>MCC ITALIA SPA,  Bosco Marengo, Italy</t>
        </is>
      </c>
      <c r="B1334" t="inlineStr">
        <is>
          <t>Processing Unit</t>
        </is>
      </c>
      <c r="C1334" t="inlineStr">
        <is>
          <t>DNV Business Assurance Sweden AB, Solna, SE</t>
        </is>
      </c>
      <c r="D1334" t="inlineStr">
        <is>
          <t>09.07.2027</t>
        </is>
      </c>
      <c r="E1334" t="inlineStr">
        <is>
          <t>Italy</t>
        </is>
      </c>
    </row>
    <row r="1335">
      <c r="A1335" t="inlineStr">
        <is>
          <t>ANGUS BÂRLOGU-NEGRAȘI COOPERATIVĂ AGRICOLĂ,  BARLOGU village, NEGRASI, ARGES county, Romania</t>
        </is>
      </c>
      <c r="B1335" t="inlineStr">
        <is>
          <t>First Gathering Point</t>
        </is>
      </c>
      <c r="C1335" t="inlineStr">
        <is>
          <t>SRAC Cert SRL, Bucharest, RO</t>
        </is>
      </c>
      <c r="D1335" t="inlineStr">
        <is>
          <t>09.07.2027</t>
        </is>
      </c>
      <c r="E1335" t="inlineStr">
        <is>
          <t>Romania</t>
        </is>
      </c>
    </row>
    <row r="1336">
      <c r="A1336" t="inlineStr">
        <is>
          <t>Biofuel Holdings,  seoul, The Republic of Korea</t>
        </is>
      </c>
      <c r="B1336" t="inlineStr">
        <is>
          <t>Trader, Biomarine Fuel Operator</t>
        </is>
      </c>
      <c r="C1336" t="inlineStr">
        <is>
          <t>Korean Foundation for Quality, Songpa-gu, Seoul, KR</t>
        </is>
      </c>
      <c r="D1336" t="inlineStr">
        <is>
          <t>09.07.2027</t>
        </is>
      </c>
      <c r="E1336" t="inlineStr">
        <is>
          <t>The Republic of Korea</t>
        </is>
      </c>
    </row>
    <row r="1337">
      <c r="A1337" t="inlineStr">
        <is>
          <t>PLANTA DE REGASIFICACIÓN DE SAGUNTO SA,  SAGUNTO, Spain</t>
        </is>
      </c>
      <c r="B1337" t="inlineStr">
        <is>
          <t>Processing Unit</t>
        </is>
      </c>
      <c r="C1337" t="inlineStr">
        <is>
          <t>Amspec Iberia SL, Vilagarcia de Arousa-Pontevedra, ES</t>
        </is>
      </c>
      <c r="D1337" t="inlineStr">
        <is>
          <t>09.07.2027</t>
        </is>
      </c>
      <c r="E1337" t="inlineStr">
        <is>
          <t>Spain</t>
        </is>
      </c>
    </row>
    <row r="1338">
      <c r="A1338" t="inlineStr">
        <is>
          <t>Flughafen Paderborn/Lippstadt GmbH,  Büren Ahden, Germany</t>
        </is>
      </c>
      <c r="B1338" t="inlineStr">
        <is>
          <t>Trader with Storage, Proof of Compliance Trader</t>
        </is>
      </c>
      <c r="C1338" t="inlineStr">
        <is>
          <t>Control Union Certifications Germany GmbH, Berlin, DE</t>
        </is>
      </c>
      <c r="D1338" t="inlineStr">
        <is>
          <t>09.07.2027</t>
        </is>
      </c>
      <c r="E1338" t="inlineStr">
        <is>
          <t>Germany</t>
        </is>
      </c>
    </row>
    <row r="1339">
      <c r="A1339" t="inlineStr">
        <is>
          <t>Suntrade SE,  Kyiv, Ukraine</t>
        </is>
      </c>
      <c r="B1339" t="inlineStr">
        <is>
          <t>Collecting Point, First Gathering Point, Trader with Storage</t>
        </is>
      </c>
      <c r="C1339" t="inlineStr">
        <is>
          <t>Bureau Veritas Polska Sp. z o.o., Warsaw, PL</t>
        </is>
      </c>
      <c r="D1339" t="inlineStr">
        <is>
          <t>09.07.2027</t>
        </is>
      </c>
      <c r="E1339" t="inlineStr">
        <is>
          <t>Ukraine</t>
        </is>
      </c>
    </row>
    <row r="1340">
      <c r="A1340" t="inlineStr">
        <is>
          <t>Eyewear-Solutions GmbH,  Hartberg, Austria</t>
        </is>
      </c>
      <c r="B1340" t="inlineStr">
        <is>
          <t>Processing Unit</t>
        </is>
      </c>
      <c r="C1340" t="inlineStr">
        <is>
          <t>agroVet GmbH, Enzersfeld, AT</t>
        </is>
      </c>
      <c r="D1340" t="inlineStr">
        <is>
          <t>09.07.2027</t>
        </is>
      </c>
      <c r="E1340" t="inlineStr">
        <is>
          <t>Austria</t>
        </is>
      </c>
    </row>
    <row r="1341">
      <c r="A1341" t="inlineStr">
        <is>
          <t>ROFERT ROMANIA,  com. PERIETI, sat PALTINISU, Romania</t>
        </is>
      </c>
      <c r="B1341" t="inlineStr">
        <is>
          <t>First Gathering Point</t>
        </is>
      </c>
      <c r="C1341" t="inlineStr">
        <is>
          <t>Bureau Veritas Polska Sp. z o.o., Warsaw, PL</t>
        </is>
      </c>
      <c r="D1341" t="inlineStr">
        <is>
          <t>09.07.2027</t>
        </is>
      </c>
      <c r="E1341" t="inlineStr">
        <is>
          <t>Romania</t>
        </is>
      </c>
    </row>
    <row r="1342">
      <c r="A1342" t="inlineStr">
        <is>
          <t>AAA Oils &amp; Fats Pte. Ltd.,  Singapore, Singapore</t>
        </is>
      </c>
      <c r="B1342" t="inlineStr">
        <is>
          <t>Trader with Storage</t>
        </is>
      </c>
      <c r="C1342" t="inlineStr">
        <is>
          <t>PT Intertek Utama Services, Jakarta, ID</t>
        </is>
      </c>
      <c r="D1342" t="inlineStr">
        <is>
          <t>09.07.2027</t>
        </is>
      </c>
      <c r="E1342" t="inlineStr">
        <is>
          <t>Singapore</t>
        </is>
      </c>
    </row>
    <row r="1343">
      <c r="A1343" t="inlineStr">
        <is>
          <t>Lianyungang Weites New Energy Technology Co., Ltd,  Lianyungang City, Jiangsu Province, China</t>
        </is>
      </c>
      <c r="B1343" t="inlineStr">
        <is>
          <t>Trader</t>
        </is>
      </c>
      <c r="C1343" t="inlineStr">
        <is>
          <t>SCS Global Services, Emeryville, CA, US</t>
        </is>
      </c>
      <c r="D1343" t="inlineStr">
        <is>
          <t>09.07.2027</t>
        </is>
      </c>
      <c r="E1343" t="inlineStr">
        <is>
          <t>China</t>
        </is>
      </c>
    </row>
    <row r="1344">
      <c r="A1344" t="inlineStr">
        <is>
          <t>Veos S.p.A.,  Milano, Italy</t>
        </is>
      </c>
      <c r="B1344" t="inlineStr">
        <is>
          <t>Trader</t>
        </is>
      </c>
      <c r="C1344" t="inlineStr">
        <is>
          <t>SGS Germany GmbH, Emstek, DE</t>
        </is>
      </c>
      <c r="D1344" t="inlineStr">
        <is>
          <t>09.07.2027</t>
        </is>
      </c>
      <c r="E1344" t="inlineStr">
        <is>
          <t>Italy</t>
        </is>
      </c>
    </row>
    <row r="1345">
      <c r="A1345" t="inlineStr">
        <is>
          <t>HANAGRAIN J.T.J. s.r.o.,  Přerov I-Město, Czech Republic</t>
        </is>
      </c>
      <c r="B1345" t="inlineStr">
        <is>
          <t>First Gathering Point, Trader</t>
        </is>
      </c>
      <c r="C1345" t="inlineStr">
        <is>
          <t>United Registrar of Systems Polska Sp. z o.o., Wrocław, PL</t>
        </is>
      </c>
      <c r="D1345" t="inlineStr">
        <is>
          <t>09.07.2027</t>
        </is>
      </c>
      <c r="E1345" t="inlineStr">
        <is>
          <t>Czech Republic</t>
        </is>
      </c>
    </row>
    <row r="1346">
      <c r="A1346" t="inlineStr">
        <is>
          <t>Golden Agri International Pte Ltd,  Singapore, Singapore</t>
        </is>
      </c>
      <c r="B1346" t="inlineStr">
        <is>
          <t>Trader</t>
        </is>
      </c>
      <c r="C1346" t="inlineStr">
        <is>
          <t>PT. Qualitas Sertifikasi Indonesia, Jakarta, ID</t>
        </is>
      </c>
      <c r="D1346" t="inlineStr">
        <is>
          <t>09.07.2027</t>
        </is>
      </c>
      <c r="E1346" t="inlineStr">
        <is>
          <t>Singapore</t>
        </is>
      </c>
    </row>
    <row r="1347">
      <c r="A1347" t="inlineStr">
        <is>
          <t>MVE PROSPERA,  Zug, Switzerland</t>
        </is>
      </c>
      <c r="B1347" t="inlineStr">
        <is>
          <t>Trader with Storage</t>
        </is>
      </c>
      <c r="C1347" t="inlineStr">
        <is>
          <t>BM Certification, Riga, LV</t>
        </is>
      </c>
      <c r="D1347" t="inlineStr">
        <is>
          <t>09.07.2027</t>
        </is>
      </c>
      <c r="E1347" t="inlineStr">
        <is>
          <t>Switzerland</t>
        </is>
      </c>
    </row>
    <row r="1348">
      <c r="A1348" t="inlineStr">
        <is>
          <t>PREMIUM INDUSTRY GROUP,  Kyiv, Ukraine</t>
        </is>
      </c>
      <c r="B1348" t="inlineStr">
        <is>
          <t>First Gathering Point, Trader with Storage</t>
        </is>
      </c>
      <c r="C1348" t="inlineStr">
        <is>
          <t>BM Certification, Riga, LV</t>
        </is>
      </c>
      <c r="D1348" t="inlineStr">
        <is>
          <t>09.07.2027</t>
        </is>
      </c>
      <c r="E1348" t="inlineStr">
        <is>
          <t>Ukraine</t>
        </is>
      </c>
    </row>
    <row r="1349">
      <c r="A1349" t="inlineStr">
        <is>
          <t>PMC Green Environment SRL,  Constanta, Romania</t>
        </is>
      </c>
      <c r="B1349" t="inlineStr">
        <is>
          <t>Collecting Point, Trader with Storage</t>
        </is>
      </c>
      <c r="C1349" t="inlineStr">
        <is>
          <t>SGS Germany GmbH, Emstek, DE</t>
        </is>
      </c>
      <c r="D1349" t="inlineStr">
        <is>
          <t>09.07.2027</t>
        </is>
      </c>
      <c r="E1349" t="inlineStr">
        <is>
          <t>Romania</t>
        </is>
      </c>
    </row>
    <row r="1350">
      <c r="A1350" t="inlineStr">
        <is>
          <t>Idemitsu Compounding Plastics (Guangzhou) Co., Ltd,  Nansha Zone, Guangzhou, Guangdong, China</t>
        </is>
      </c>
      <c r="B1350" t="inlineStr">
        <is>
          <t>Processing Unit</t>
        </is>
      </c>
      <c r="C1350" t="inlineStr">
        <is>
          <t>SGS Germany GmbH, Emstek, DE</t>
        </is>
      </c>
      <c r="D1350" t="inlineStr">
        <is>
          <t>09.07.2027</t>
        </is>
      </c>
      <c r="E1350" t="inlineStr">
        <is>
          <t>China</t>
        </is>
      </c>
    </row>
    <row r="1351">
      <c r="A1351" t="inlineStr">
        <is>
          <t>Brett Martin,  Newtownabbey, The United Kingdom</t>
        </is>
      </c>
      <c r="B1351" t="inlineStr">
        <is>
          <t>Processing Unit</t>
        </is>
      </c>
      <c r="C1351" t="inlineStr">
        <is>
          <t>BM Certification, Riga, LV</t>
        </is>
      </c>
      <c r="D1351" t="inlineStr">
        <is>
          <t>09.07.2027</t>
        </is>
      </c>
      <c r="E1351" t="inlineStr">
        <is>
          <t>The United Kingdom</t>
        </is>
      </c>
    </row>
    <row r="1352">
      <c r="A1352" t="inlineStr">
        <is>
          <t>Envien Trading SA,  Geneva, Switzerland</t>
        </is>
      </c>
      <c r="B1352" t="inlineStr">
        <is>
          <t>Trader with Storage</t>
        </is>
      </c>
      <c r="C1352" t="inlineStr">
        <is>
          <t>Control Union Certifications Germany GmbH, Berlin, DE</t>
        </is>
      </c>
      <c r="D1352" t="inlineStr">
        <is>
          <t>09.07.2027</t>
        </is>
      </c>
      <c r="E1352" t="inlineStr">
        <is>
          <t>Switzerland</t>
        </is>
      </c>
    </row>
    <row r="1353">
      <c r="A1353" t="inlineStr">
        <is>
          <t>AGC Vinythai Public Company Limited,  Mueang Rayong District, Rayong Province, Thailand</t>
        </is>
      </c>
      <c r="B1353" t="inlineStr">
        <is>
          <t>Processing Unit</t>
        </is>
      </c>
      <c r="C1353" t="inlineStr">
        <is>
          <t>SGS Germany GmbH, Emstek, DE</t>
        </is>
      </c>
      <c r="D1353" t="inlineStr">
        <is>
          <t>09.07.2027</t>
        </is>
      </c>
      <c r="E1353" t="inlineStr">
        <is>
          <t>Thailand</t>
        </is>
      </c>
    </row>
    <row r="1354">
      <c r="A1354" t="inlineStr">
        <is>
          <t>RB Biobased Institute BV,  Oosterhout, The Netherlands</t>
        </is>
      </c>
      <c r="B1354" t="inlineStr">
        <is>
          <t>Processing Unit, Trader with Storage</t>
        </is>
      </c>
      <c r="C1354" t="inlineStr">
        <is>
          <t>SGS Germany GmbH, Emstek, DE</t>
        </is>
      </c>
      <c r="D1354" t="inlineStr">
        <is>
          <t>09.07.2027</t>
        </is>
      </c>
      <c r="E1354" t="inlineStr">
        <is>
          <t>The Netherlands</t>
        </is>
      </c>
    </row>
    <row r="1355">
      <c r="A1355" t="inlineStr">
        <is>
          <t>NOVOSIS GREEN TECHNOLOGIES LLP,  Vadodara, India</t>
        </is>
      </c>
      <c r="B1355" t="inlineStr">
        <is>
          <t>Collecting Point, Processing Unit</t>
        </is>
      </c>
      <c r="C1355" t="inlineStr">
        <is>
          <t>Cotecna India Inspection Pvt Ltd, Kolkata, IN</t>
        </is>
      </c>
      <c r="D1355" t="inlineStr">
        <is>
          <t>09.07.2027</t>
        </is>
      </c>
      <c r="E1355" t="inlineStr">
        <is>
          <t>India</t>
        </is>
      </c>
    </row>
    <row r="1356">
      <c r="A1356" t="inlineStr">
        <is>
          <t>BRAVE LOGISTIC SRL,  CATAMARESTI-DEAL, Romania</t>
        </is>
      </c>
      <c r="B1356" t="inlineStr">
        <is>
          <t>First Gathering Point, Trader with Storage</t>
        </is>
      </c>
      <c r="C1356" t="inlineStr">
        <is>
          <t>SRAC Cert SRL, Bucharest, RO</t>
        </is>
      </c>
      <c r="D1356" t="inlineStr">
        <is>
          <t>09.07.2027</t>
        </is>
      </c>
      <c r="E1356" t="inlineStr">
        <is>
          <t>Romania</t>
        </is>
      </c>
    </row>
    <row r="1357">
      <c r="A1357" t="inlineStr">
        <is>
          <t>WEPA Nederland B.V.,  Swalmen, The Netherlands</t>
        </is>
      </c>
      <c r="B1357" t="inlineStr">
        <is>
          <t>Processing Unit</t>
        </is>
      </c>
      <c r="C1357" t="inlineStr">
        <is>
          <t>DEKRA Certification B.V., Arnhem, NL</t>
        </is>
      </c>
      <c r="D1357" t="inlineStr">
        <is>
          <t>09.07.2027</t>
        </is>
      </c>
      <c r="E1357" t="inlineStr">
        <is>
          <t>The Netherlands</t>
        </is>
      </c>
    </row>
    <row r="1358">
      <c r="A1358" t="inlineStr">
        <is>
          <t>Zhongyuan International Trading (Shanghai) Co., Ltd.,  Shanghai, China</t>
        </is>
      </c>
      <c r="B1358" t="inlineStr">
        <is>
          <t>Trader</t>
        </is>
      </c>
      <c r="C1358" t="inlineStr">
        <is>
          <t>Control Union Certifications Germany GmbH, Berlin, DE</t>
        </is>
      </c>
      <c r="D1358" t="inlineStr">
        <is>
          <t>09.07.2027</t>
        </is>
      </c>
      <c r="E1358" t="inlineStr">
        <is>
          <t>China</t>
        </is>
      </c>
    </row>
    <row r="1359">
      <c r="A1359" t="inlineStr">
        <is>
          <t>AGROBETYÁROK Szántóföldi Mezőgazdasági Szövetkezet,  Nagyhajmás, Hungary</t>
        </is>
      </c>
      <c r="B1359" t="inlineStr">
        <is>
          <t>First Gathering Point</t>
        </is>
      </c>
      <c r="C1359" t="inlineStr">
        <is>
          <t>Amspec Iberia SL, Vilagarcia de Arousa-Pontevedra, ES</t>
        </is>
      </c>
      <c r="D1359" t="inlineStr">
        <is>
          <t>09.07.2027</t>
        </is>
      </c>
      <c r="E1359" t="inlineStr">
        <is>
          <t>Hungary</t>
        </is>
      </c>
    </row>
    <row r="1360">
      <c r="A1360" t="inlineStr">
        <is>
          <t>BIO FEEDSTOCK SUPPLIES LIMITED,  CENTRAL HONG KONG, Hong Kong (SAR)</t>
        </is>
      </c>
      <c r="B1360" t="inlineStr">
        <is>
          <t>Trader</t>
        </is>
      </c>
      <c r="C1360" t="inlineStr">
        <is>
          <t>BM Certification, Riga, LV</t>
        </is>
      </c>
      <c r="D1360" t="inlineStr">
        <is>
          <t>09.07.2027</t>
        </is>
      </c>
      <c r="E1360" t="inlineStr">
        <is>
          <t>Hong Kong (SAR)</t>
        </is>
      </c>
    </row>
    <row r="1361">
      <c r="A1361" t="inlineStr">
        <is>
          <t>Unicol Limited,  Kot Momin, Sargodha, Pakistan</t>
        </is>
      </c>
      <c r="B1361" t="inlineStr">
        <is>
          <t>Processing Unit, First Gathering Point</t>
        </is>
      </c>
      <c r="C1361" t="inlineStr">
        <is>
          <t>PT Intertek Utama Services, Jakarta, ID</t>
        </is>
      </c>
      <c r="D1361" t="inlineStr">
        <is>
          <t>09.07.2027</t>
        </is>
      </c>
      <c r="E1361" t="inlineStr">
        <is>
          <t>Pakistan</t>
        </is>
      </c>
    </row>
    <row r="1362">
      <c r="A1362" t="inlineStr">
        <is>
          <t>LEBRUNI AGRO LIMITED,  IBADAN, Nigeria</t>
        </is>
      </c>
      <c r="B1362" t="inlineStr">
        <is>
          <t>Point of Origin</t>
        </is>
      </c>
      <c r="C1362" t="inlineStr">
        <is>
          <t>PT Intertek Utama Services, Jakarta, ID</t>
        </is>
      </c>
      <c r="D1362" t="inlineStr">
        <is>
          <t>09.07.2027</t>
        </is>
      </c>
      <c r="E1362" t="inlineStr">
        <is>
          <t>Nigeria</t>
        </is>
      </c>
    </row>
    <row r="1363">
      <c r="A1363" t="inlineStr">
        <is>
          <t>OLEOMONTILLA,  MONTILLA, Spain</t>
        </is>
      </c>
      <c r="B1363" t="inlineStr">
        <is>
          <t>Point of Origin</t>
        </is>
      </c>
      <c r="C1363" t="inlineStr">
        <is>
          <t>RINA Services S.p.A., Genova, IT</t>
        </is>
      </c>
      <c r="D1363" t="inlineStr">
        <is>
          <t>09.07.2027</t>
        </is>
      </c>
      <c r="E1363" t="inlineStr">
        <is>
          <t>Spain</t>
        </is>
      </c>
    </row>
    <row r="1364">
      <c r="A1364" t="inlineStr">
        <is>
          <t>TAR - Tankanlage Rümlang AG,  Rümlang, Switzerland</t>
        </is>
      </c>
      <c r="B1364" t="inlineStr">
        <is>
          <t>Warehouse</t>
        </is>
      </c>
      <c r="C1364" t="inlineStr">
        <is>
          <t>Control Union Certifications Germany GmbH, Berlin, DE</t>
        </is>
      </c>
      <c r="D1364" t="inlineStr">
        <is>
          <t>09.07.2027</t>
        </is>
      </c>
      <c r="E1364" t="inlineStr">
        <is>
          <t>Switzerland</t>
        </is>
      </c>
    </row>
    <row r="1365">
      <c r="A1365" t="inlineStr">
        <is>
          <t>Cereal Bac SRL,  Avrameni, Botosani county, Romania</t>
        </is>
      </c>
      <c r="B1365" t="inlineStr">
        <is>
          <t>First Gathering Point</t>
        </is>
      </c>
      <c r="C1365" t="inlineStr">
        <is>
          <t>SRAC Cert SRL, Bucharest, RO</t>
        </is>
      </c>
      <c r="D1365" t="inlineStr">
        <is>
          <t>09.07.2027</t>
        </is>
      </c>
      <c r="E1365" t="inlineStr">
        <is>
          <t>Romania</t>
        </is>
      </c>
    </row>
    <row r="1366">
      <c r="A1366" t="inlineStr">
        <is>
          <t>Torchoil Energy,  Ajman Free Zone, The United Arab Emirates</t>
        </is>
      </c>
      <c r="B1366" t="inlineStr">
        <is>
          <t>Trader</t>
        </is>
      </c>
      <c r="C1366" t="inlineStr">
        <is>
          <t>Business Quality Verification Testing and Certification Services P.C. (BQV), Marousi, Athens, GR</t>
        </is>
      </c>
      <c r="D1366" t="inlineStr">
        <is>
          <t>09.07.2027</t>
        </is>
      </c>
      <c r="E1366" t="inlineStr">
        <is>
          <t>The United Arab Emirates</t>
        </is>
      </c>
    </row>
    <row r="1367">
      <c r="A1367" t="inlineStr">
        <is>
          <t>FIRSTFARMS AGRO EAST SRL,  Surdila Greci, Romania</t>
        </is>
      </c>
      <c r="B1367" t="inlineStr">
        <is>
          <t>First Gathering Point</t>
        </is>
      </c>
      <c r="C1367" t="inlineStr">
        <is>
          <t>BM Certification, Riga, LV</t>
        </is>
      </c>
      <c r="D1367" t="inlineStr">
        <is>
          <t>09.07.2027</t>
        </is>
      </c>
      <c r="E1367" t="inlineStr">
        <is>
          <t>Romania</t>
        </is>
      </c>
    </row>
    <row r="1368">
      <c r="A1368" t="inlineStr">
        <is>
          <t>Alionexagro,  Stauceni, Moldova</t>
        </is>
      </c>
      <c r="B1368" t="inlineStr">
        <is>
          <t>First Gathering Point, Processing Unit</t>
        </is>
      </c>
      <c r="C1368" t="inlineStr">
        <is>
          <t>Business Quality Verification Testing and Certification Services P.C. (BQV), Marousi, Athens, GR</t>
        </is>
      </c>
      <c r="D1368" t="inlineStr">
        <is>
          <t>09.07.2027</t>
        </is>
      </c>
      <c r="E1368" t="inlineStr">
        <is>
          <t>Moldova</t>
        </is>
      </c>
    </row>
    <row r="1369">
      <c r="A1369" t="inlineStr">
        <is>
          <t>Xing'an League Tuquan County Yingkun Agriculture and Animal Husbandry Technology Co., Ltd.,  Xing'an League, Inner Mongolia, China</t>
        </is>
      </c>
      <c r="B1369" t="inlineStr">
        <is>
          <t>Processing Unit</t>
        </is>
      </c>
      <c r="C1369" t="inlineStr">
        <is>
          <t>DQS CFS GmbH - Deutsche Gesellschaft für Nachhaltigkeit, Frankfurt am Main, DE</t>
        </is>
      </c>
      <c r="D1369" t="inlineStr">
        <is>
          <t>09.07.2027</t>
        </is>
      </c>
      <c r="E1369" t="inlineStr">
        <is>
          <t>China</t>
        </is>
      </c>
    </row>
    <row r="1370">
      <c r="A1370" t="inlineStr">
        <is>
          <t>ALPLA Waidhofen GmbH,  Waidhofen/Thaya, Austria</t>
        </is>
      </c>
      <c r="B1370" t="inlineStr">
        <is>
          <t>Processing Unit</t>
        </is>
      </c>
      <c r="C1370" t="inlineStr">
        <is>
          <t>Control Union Poland Sp. z o.o., Zielona Gora, PL</t>
        </is>
      </c>
      <c r="D1370" t="inlineStr">
        <is>
          <t>09.07.2027</t>
        </is>
      </c>
      <c r="E1370" t="inlineStr">
        <is>
          <t>Austria</t>
        </is>
      </c>
    </row>
    <row r="1371">
      <c r="A1371" t="inlineStr">
        <is>
          <t>PetroChina International (America) Inc.,  Houston, United States</t>
        </is>
      </c>
      <c r="B1371" t="inlineStr">
        <is>
          <t>Trader</t>
        </is>
      </c>
      <c r="C1371" t="inlineStr">
        <is>
          <t>SCS Global Services, Emeryville, CA, US</t>
        </is>
      </c>
      <c r="D1371" t="inlineStr">
        <is>
          <t>09.07.2027</t>
        </is>
      </c>
      <c r="E1371" t="inlineStr">
        <is>
          <t>United States</t>
        </is>
      </c>
    </row>
    <row r="1372">
      <c r="A1372" t="inlineStr">
        <is>
          <t>ISTRATE SERVPROD SRL,  COMUNA POGACEAUA, SAT VALENI, Romania</t>
        </is>
      </c>
      <c r="B1372" t="inlineStr">
        <is>
          <t>First Gathering Point</t>
        </is>
      </c>
      <c r="C1372" t="inlineStr">
        <is>
          <t>SGS Germany GmbH, Emstek, DE</t>
        </is>
      </c>
      <c r="D1372" t="inlineStr">
        <is>
          <t>09.07.2027</t>
        </is>
      </c>
      <c r="E1372" t="inlineStr">
        <is>
          <t>Romania</t>
        </is>
      </c>
    </row>
    <row r="1373">
      <c r="A1373" t="inlineStr">
        <is>
          <t>Hainan Gangrong International Trade Co., Ltd,  Chengdu (SC), China</t>
        </is>
      </c>
      <c r="B1373" t="inlineStr">
        <is>
          <t>Trader</t>
        </is>
      </c>
      <c r="C1373" t="inlineStr">
        <is>
          <t>RINA Services S.p.A., Genova, IT</t>
        </is>
      </c>
      <c r="D1373" t="inlineStr">
        <is>
          <t>09.07.2027</t>
        </is>
      </c>
      <c r="E1373" t="inlineStr">
        <is>
          <t>China</t>
        </is>
      </c>
    </row>
    <row r="1374">
      <c r="A1374" t="inlineStr">
        <is>
          <t>Flogas Ireland Ltd,  Dublin, Ireland</t>
        </is>
      </c>
      <c r="B1374" t="inlineStr">
        <is>
          <t>Trader with Storage</t>
        </is>
      </c>
      <c r="C1374" t="inlineStr">
        <is>
          <t>SGS Germany GmbH, Emstek, DE</t>
        </is>
      </c>
      <c r="D1374" t="inlineStr">
        <is>
          <t>09.07.2027</t>
        </is>
      </c>
      <c r="E1374" t="inlineStr">
        <is>
          <t>Ireland</t>
        </is>
      </c>
    </row>
    <row r="1375">
      <c r="A1375" t="inlineStr">
        <is>
          <t>Kingfa Environmental SCI.&amp;TECH.CO. , LTD.,  Qingyuan, China</t>
        </is>
      </c>
      <c r="B1375" t="inlineStr">
        <is>
          <t>Processing Unit</t>
        </is>
      </c>
      <c r="C1375" t="inlineStr">
        <is>
          <t>NSF International, Ann Arbor, MI, US</t>
        </is>
      </c>
      <c r="D1375" t="inlineStr">
        <is>
          <t>08.07.2027</t>
        </is>
      </c>
      <c r="E1375" t="inlineStr">
        <is>
          <t>China</t>
        </is>
      </c>
    </row>
    <row r="1376">
      <c r="A1376" t="inlineStr">
        <is>
          <t>PH UNI PALM SDN BHD - KILANG KELAPA SAWIT LEDANG MAS,  TANGKAK, Malaysia</t>
        </is>
      </c>
      <c r="B1376" t="inlineStr">
        <is>
          <t>Point of Origin</t>
        </is>
      </c>
      <c r="C1376" t="inlineStr">
        <is>
          <t>Trans Certification and Inspection Sdn Bhd, Kuantan, MY</t>
        </is>
      </c>
      <c r="D1376" t="inlineStr">
        <is>
          <t>08.07.2027</t>
        </is>
      </c>
      <c r="E1376" t="inlineStr">
        <is>
          <t>Malaysia</t>
        </is>
      </c>
    </row>
    <row r="1377">
      <c r="A1377" t="inlineStr">
        <is>
          <t>Shijiazhuang Runxiao Oil Co. Ltd.,  Shijiazhaung City, Hebei Province, China</t>
        </is>
      </c>
      <c r="B1377" t="inlineStr">
        <is>
          <t>Collecting Point</t>
        </is>
      </c>
      <c r="C1377" t="inlineStr">
        <is>
          <t>RINA Services S.p.A., Genova, IT</t>
        </is>
      </c>
      <c r="D1377" t="inlineStr">
        <is>
          <t>08.07.2027</t>
        </is>
      </c>
      <c r="E1377" t="inlineStr">
        <is>
          <t>China</t>
        </is>
      </c>
    </row>
    <row r="1378">
      <c r="A1378" t="inlineStr">
        <is>
          <t>OIBBIO Resources Corporation,  TAGUIG NCR, METRO MANILA, The Philippines</t>
        </is>
      </c>
      <c r="B1378" t="inlineStr">
        <is>
          <t>Trader with Storage</t>
        </is>
      </c>
      <c r="C1378" t="inlineStr">
        <is>
          <t>RINA Services S.p.A., Genova, IT</t>
        </is>
      </c>
      <c r="D1378" t="inlineStr">
        <is>
          <t>08.07.2027</t>
        </is>
      </c>
      <c r="E1378" t="inlineStr">
        <is>
          <t>The Philippines</t>
        </is>
      </c>
    </row>
    <row r="1379">
      <c r="A1379" t="inlineStr">
        <is>
          <t>Delta Wilmar Ukraine,  Pivdenne, Odesa district, Odesa region, Ukraine</t>
        </is>
      </c>
      <c r="B1379" t="inlineStr">
        <is>
          <t>First Gathering Point, Processing Unit, Trader with Storage</t>
        </is>
      </c>
      <c r="C1379" t="inlineStr">
        <is>
          <t>Control Union Certifications Germany GmbH, Berlin, DE</t>
        </is>
      </c>
      <c r="D1379" t="inlineStr">
        <is>
          <t>08.07.2027</t>
        </is>
      </c>
      <c r="E1379" t="inlineStr">
        <is>
          <t>Ukraine</t>
        </is>
      </c>
    </row>
    <row r="1380">
      <c r="A1380" t="inlineStr">
        <is>
          <t>OilhubKoreaYeosu Co., Ltd.,  Yeosu Si, jeolla​nam-do, The Republic of Korea</t>
        </is>
      </c>
      <c r="B1380" t="inlineStr">
        <is>
          <t>Warehouse</t>
        </is>
      </c>
      <c r="C1380" t="inlineStr">
        <is>
          <t>Control Union Certifications Germany GmbH, Berlin, DE</t>
        </is>
      </c>
      <c r="D1380" t="inlineStr">
        <is>
          <t>08.07.2027</t>
        </is>
      </c>
      <c r="E1380" t="inlineStr">
        <is>
          <t>The Republic of Korea</t>
        </is>
      </c>
    </row>
    <row r="1381">
      <c r="A1381" t="inlineStr">
        <is>
          <t>OilhubKoreaYeosu Co., Ltd.,  Yeosu Si, jeolla​nam-do, The Republic of Korea</t>
        </is>
      </c>
      <c r="B1381" t="inlineStr">
        <is>
          <t>Warehouse</t>
        </is>
      </c>
      <c r="C1381" t="inlineStr">
        <is>
          <t>Control Union Certifications Germany GmbH, Berlin, DE</t>
        </is>
      </c>
      <c r="D1381" t="inlineStr">
        <is>
          <t>08.07.2027</t>
        </is>
      </c>
      <c r="E1381" t="inlineStr">
        <is>
          <t>The Republic of Korea</t>
        </is>
      </c>
    </row>
    <row r="1382">
      <c r="A1382" t="inlineStr">
        <is>
          <t>Mazen Group Limited,  Uttara EPZ Nilphamari, Bangladesh</t>
        </is>
      </c>
      <c r="B1382" t="inlineStr">
        <is>
          <t>Processing Unit</t>
        </is>
      </c>
      <c r="C1382" t="inlineStr">
        <is>
          <t>SCS Global Services, Emeryville, CA, US</t>
        </is>
      </c>
      <c r="D1382" t="inlineStr">
        <is>
          <t>08.07.2027</t>
        </is>
      </c>
      <c r="E1382" t="inlineStr">
        <is>
          <t>Bangladesh</t>
        </is>
      </c>
    </row>
    <row r="1383">
      <c r="A1383" t="inlineStr">
        <is>
          <t>Shandong High Speed Renewable Energy Group Limited,  Tianjin, China</t>
        </is>
      </c>
      <c r="B1383" t="inlineStr">
        <is>
          <t>Trader</t>
        </is>
      </c>
      <c r="C1383" t="inlineStr">
        <is>
          <t>SCS Global Services, Emeryville, CA, US</t>
        </is>
      </c>
      <c r="D1383" t="inlineStr">
        <is>
          <t>08.07.2027</t>
        </is>
      </c>
      <c r="E1383" t="inlineStr">
        <is>
          <t>China</t>
        </is>
      </c>
    </row>
    <row r="1384">
      <c r="A1384" t="inlineStr">
        <is>
          <t>Palmas del Cesar S.A.S,  Corregimiento de Minas, San Martin Sur del Cesar, Colombia</t>
        </is>
      </c>
      <c r="B1384" t="inlineStr">
        <is>
          <t>First Gathering Point, Processing Unit</t>
        </is>
      </c>
      <c r="C1384" t="inlineStr">
        <is>
          <t>SCS Global Services, Emeryville, CA, US</t>
        </is>
      </c>
      <c r="D1384" t="inlineStr">
        <is>
          <t>08.07.2027</t>
        </is>
      </c>
      <c r="E1384" t="inlineStr">
        <is>
          <t>Colombia</t>
        </is>
      </c>
    </row>
    <row r="1385">
      <c r="A1385" t="inlineStr">
        <is>
          <t>Palmas del Cesar S.A.S,  Corregimiento de Minas, San Martin Sur del Cesar, Colombia</t>
        </is>
      </c>
      <c r="B1385" t="inlineStr">
        <is>
          <t>First Gathering Point, Processing Unit</t>
        </is>
      </c>
      <c r="C1385" t="inlineStr">
        <is>
          <t>SCS Global Services, Emeryville, CA, US</t>
        </is>
      </c>
      <c r="D1385" t="inlineStr">
        <is>
          <t>08.07.2027</t>
        </is>
      </c>
      <c r="E1385" t="inlineStr">
        <is>
          <t>Colombia</t>
        </is>
      </c>
    </row>
    <row r="1386">
      <c r="A1386" t="inlineStr">
        <is>
          <t>Mengibar SA,  Megibar (Jaén), Spain</t>
        </is>
      </c>
      <c r="B1386" t="inlineStr">
        <is>
          <t>Collecting Point, Point of Origin, Processing Unit, Trader with Storage, Warehouse</t>
        </is>
      </c>
      <c r="C1386" t="inlineStr">
        <is>
          <t>PT Intertek Utama Services, Jakarta, ID</t>
        </is>
      </c>
      <c r="D1386" t="inlineStr">
        <is>
          <t>08.07.2027</t>
        </is>
      </c>
      <c r="E1386" t="inlineStr">
        <is>
          <t>Spain</t>
        </is>
      </c>
    </row>
    <row r="1387">
      <c r="A1387" t="inlineStr">
        <is>
          <t>ECORUYCAN SL,  Atarfe, Spain</t>
        </is>
      </c>
      <c r="B1387" t="inlineStr">
        <is>
          <t>Collecting Point</t>
        </is>
      </c>
      <c r="C1387" t="inlineStr">
        <is>
          <t>Bureau Veritas Polska Sp. z o.o., Warsaw, PL</t>
        </is>
      </c>
      <c r="D1387" t="inlineStr">
        <is>
          <t>08.07.2027</t>
        </is>
      </c>
      <c r="E1387" t="inlineStr">
        <is>
          <t>Spain</t>
        </is>
      </c>
    </row>
    <row r="1388">
      <c r="A1388" t="inlineStr">
        <is>
          <t>Birla Carbon Canada Ltd.,  Hamilton, Canada</t>
        </is>
      </c>
      <c r="B1388" t="inlineStr">
        <is>
          <t>Processing Unit</t>
        </is>
      </c>
      <c r="C1388" t="inlineStr">
        <is>
          <t>PT Intertek Utama Services, Jakarta, ID</t>
        </is>
      </c>
      <c r="D1388" t="inlineStr">
        <is>
          <t>08.07.2027</t>
        </is>
      </c>
      <c r="E1388" t="inlineStr">
        <is>
          <t>Canada</t>
        </is>
      </c>
    </row>
    <row r="1389">
      <c r="A1389" t="inlineStr">
        <is>
          <t>Birla Carbon U.S.A., Inc..,  Centerville, United States</t>
        </is>
      </c>
      <c r="B1389" t="inlineStr">
        <is>
          <t>Processing Unit</t>
        </is>
      </c>
      <c r="C1389" t="inlineStr">
        <is>
          <t>PT Intertek Utama Services, Jakarta, ID</t>
        </is>
      </c>
      <c r="D1389" t="inlineStr">
        <is>
          <t>08.07.2027</t>
        </is>
      </c>
      <c r="E1389" t="inlineStr">
        <is>
          <t>United States</t>
        </is>
      </c>
    </row>
    <row r="1390">
      <c r="A1390" t="inlineStr">
        <is>
          <t>Mačaj a.s.,  Kráľová pri Senci, Slovakia</t>
        </is>
      </c>
      <c r="B1390" t="inlineStr">
        <is>
          <t>First Gathering Point</t>
        </is>
      </c>
      <c r="C1390" t="inlineStr">
        <is>
          <t>PT Intertek Utama Services, Jakarta, ID</t>
        </is>
      </c>
      <c r="D1390" t="inlineStr">
        <is>
          <t>08.07.2027</t>
        </is>
      </c>
      <c r="E1390" t="inlineStr">
        <is>
          <t>Slovakia</t>
        </is>
      </c>
    </row>
    <row r="1391">
      <c r="A1391" t="inlineStr">
        <is>
          <t>Sumwin Solutions (M) Sdn Bhd,  Johor Bahru, Malaysia</t>
        </is>
      </c>
      <c r="B1391" t="inlineStr">
        <is>
          <t>Trader</t>
        </is>
      </c>
      <c r="C1391" t="inlineStr">
        <is>
          <t>Control Union Poland Sp. z o.o., Zielona Gora, PL</t>
        </is>
      </c>
      <c r="D1391" t="inlineStr">
        <is>
          <t>08.07.2027</t>
        </is>
      </c>
      <c r="E1391" t="inlineStr">
        <is>
          <t>Malaysia</t>
        </is>
      </c>
    </row>
    <row r="1392">
      <c r="A1392" t="inlineStr">
        <is>
          <t>TRIO - D spol. s r.o.,  Plzeň - Malesice, Czech Republic</t>
        </is>
      </c>
      <c r="B1392" t="inlineStr">
        <is>
          <t>First Gathering Point, Trader with Storage</t>
        </is>
      </c>
      <c r="C1392" t="inlineStr">
        <is>
          <t>Bureau Veritas Polska Sp. z o.o., Warsaw, PL</t>
        </is>
      </c>
      <c r="D1392" t="inlineStr">
        <is>
          <t>08.07.2027</t>
        </is>
      </c>
      <c r="E1392" t="inlineStr">
        <is>
          <t>Czech Republic</t>
        </is>
      </c>
    </row>
    <row r="1393">
      <c r="A1393" t="inlineStr">
        <is>
          <t>Green Oil Inc.,  Toronto, Canada</t>
        </is>
      </c>
      <c r="B1393" t="inlineStr">
        <is>
          <t>Collecting Point, Trader with Storage</t>
        </is>
      </c>
      <c r="C1393" t="inlineStr">
        <is>
          <t>SCS Global Services, Emeryville, CA, US</t>
        </is>
      </c>
      <c r="D1393" t="inlineStr">
        <is>
          <t>08.07.2027</t>
        </is>
      </c>
      <c r="E1393" t="inlineStr">
        <is>
          <t>Canada</t>
        </is>
      </c>
    </row>
    <row r="1394">
      <c r="A1394" t="inlineStr">
        <is>
          <t>Green Oil Inc.,  Toronto, Canada</t>
        </is>
      </c>
      <c r="B1394" t="inlineStr">
        <is>
          <t>Collecting Point, Trader with Storage</t>
        </is>
      </c>
      <c r="C1394" t="inlineStr">
        <is>
          <t>SCS Global Services, Emeryville, CA, US</t>
        </is>
      </c>
      <c r="D1394" t="inlineStr">
        <is>
          <t>08.07.2027</t>
        </is>
      </c>
      <c r="E1394" t="inlineStr">
        <is>
          <t>Canada</t>
        </is>
      </c>
    </row>
    <row r="1395">
      <c r="A1395" t="inlineStr">
        <is>
          <t>LG Chem America Inc.,  Atlanta, United States</t>
        </is>
      </c>
      <c r="B1395" t="inlineStr">
        <is>
          <t>Trader with Storage</t>
        </is>
      </c>
      <c r="C1395" t="inlineStr">
        <is>
          <t>Control Union Certifications Germany GmbH, Berlin, DE</t>
        </is>
      </c>
      <c r="D1395" t="inlineStr">
        <is>
          <t>08.07.2027</t>
        </is>
      </c>
      <c r="E1395" t="inlineStr">
        <is>
          <t>United States</t>
        </is>
      </c>
    </row>
    <row r="1396">
      <c r="A1396" t="inlineStr">
        <is>
          <t>De Greef Agro Energy bv,  Woudenberg, The Netherlands</t>
        </is>
      </c>
      <c r="B1396" t="inlineStr">
        <is>
          <t>Collecting Point, Processing Unit</t>
        </is>
      </c>
      <c r="C1396" t="inlineStr">
        <is>
          <t>DEKRA Certification B.V., Arnhem, NL</t>
        </is>
      </c>
      <c r="D1396" t="inlineStr">
        <is>
          <t>08.07.2027</t>
        </is>
      </c>
      <c r="E1396" t="inlineStr">
        <is>
          <t>The Netherlands</t>
        </is>
      </c>
    </row>
    <row r="1397">
      <c r="A1397" t="inlineStr">
        <is>
          <t>Groen Gas Gelderland BV,  Bemmel, The Netherlands</t>
        </is>
      </c>
      <c r="B1397" t="inlineStr">
        <is>
          <t>Collecting Point, Processing Unit</t>
        </is>
      </c>
      <c r="C1397" t="inlineStr">
        <is>
          <t>DEKRA Certification B.V., Arnhem, NL</t>
        </is>
      </c>
      <c r="D1397" t="inlineStr">
        <is>
          <t>08.07.2027</t>
        </is>
      </c>
      <c r="E1397" t="inlineStr">
        <is>
          <t>The Netherlands</t>
        </is>
      </c>
    </row>
    <row r="1398">
      <c r="A1398" t="inlineStr">
        <is>
          <t>H2 Hollandia B.V.,  Nieuw-Buinen, The Netherlands</t>
        </is>
      </c>
      <c r="B1398" t="inlineStr">
        <is>
          <t>Processing Unit</t>
        </is>
      </c>
      <c r="C1398" t="inlineStr">
        <is>
          <t>Normec QS BV, Ede, NL</t>
        </is>
      </c>
      <c r="D1398" t="inlineStr">
        <is>
          <t>08.07.2027</t>
        </is>
      </c>
      <c r="E1398" t="inlineStr">
        <is>
          <t>The Netherlands</t>
        </is>
      </c>
    </row>
    <row r="1399">
      <c r="A1399" t="inlineStr">
        <is>
          <t>MEAT SUIN PROD COOPERATIVA AGRICOLA,  BRADU,JUD.ARGES, Romania</t>
        </is>
      </c>
      <c r="B1399" t="inlineStr">
        <is>
          <t>First Gathering Point</t>
        </is>
      </c>
      <c r="C1399" t="inlineStr">
        <is>
          <t>BM Certification, Riga, LV</t>
        </is>
      </c>
      <c r="D1399" t="inlineStr">
        <is>
          <t>08.07.2027</t>
        </is>
      </c>
      <c r="E1399" t="inlineStr">
        <is>
          <t>Romania</t>
        </is>
      </c>
    </row>
    <row r="1400">
      <c r="A1400" t="inlineStr">
        <is>
          <t>Coveris Louth Ltd,  Louth, The United Kingdom</t>
        </is>
      </c>
      <c r="B1400" t="inlineStr">
        <is>
          <t>Processing Unit, Final Product Refinement</t>
        </is>
      </c>
      <c r="C1400" t="inlineStr">
        <is>
          <t>SGS Germany GmbH, Emstek, DE</t>
        </is>
      </c>
      <c r="D1400" t="inlineStr">
        <is>
          <t>08.07.2027</t>
        </is>
      </c>
      <c r="E1400" t="inlineStr">
        <is>
          <t>The United Kingdom</t>
        </is>
      </c>
    </row>
    <row r="1401">
      <c r="A1401" t="inlineStr">
        <is>
          <t>Cycle 0 Bellcaire S.L.,  Vallfogona de Balaguer, Spain</t>
        </is>
      </c>
      <c r="B1401" t="inlineStr">
        <is>
          <t>Collecting Point, Processing Unit</t>
        </is>
      </c>
      <c r="C1401" t="inlineStr">
        <is>
          <t>BMC Assurance, S.L, Santander, ES</t>
        </is>
      </c>
      <c r="D1401" t="inlineStr">
        <is>
          <t>08.07.2027</t>
        </is>
      </c>
      <c r="E1401" t="inlineStr">
        <is>
          <t>Spain</t>
        </is>
      </c>
    </row>
    <row r="1402">
      <c r="A1402" t="inlineStr">
        <is>
          <t>JAGRUTHI ENVIRONMENTAL SOLUTIONS PRIVATE LIMITED,  P NAYAKAMPALLI, GANDEPALLI MANDAL, KAKINADA DIST., India</t>
        </is>
      </c>
      <c r="B1402" t="inlineStr">
        <is>
          <t>Collecting Point, Processing Unit</t>
        </is>
      </c>
      <c r="C1402" t="inlineStr">
        <is>
          <t>SGS Germany GmbH, Emstek, DE</t>
        </is>
      </c>
      <c r="D1402" t="inlineStr">
        <is>
          <t>08.07.2027</t>
        </is>
      </c>
      <c r="E1402" t="inlineStr">
        <is>
          <t>India</t>
        </is>
      </c>
    </row>
    <row r="1403">
      <c r="A1403" t="inlineStr">
        <is>
          <t>Silac AG,  Euthal, Switzerland</t>
        </is>
      </c>
      <c r="B1403" t="inlineStr">
        <is>
          <t>Processing Unit</t>
        </is>
      </c>
      <c r="C1403" t="inlineStr">
        <is>
          <t>SGS Germany GmbH, Emstek, DE</t>
        </is>
      </c>
      <c r="D1403" t="inlineStr">
        <is>
          <t>08.07.2027</t>
        </is>
      </c>
      <c r="E1403" t="inlineStr">
        <is>
          <t>Switzerland</t>
        </is>
      </c>
    </row>
    <row r="1404">
      <c r="A1404" t="inlineStr">
        <is>
          <t>Carvidon-Trade SRL,  Ceadir-Lunga, Moldova</t>
        </is>
      </c>
      <c r="B1404" t="inlineStr">
        <is>
          <t>First Gathering Point</t>
        </is>
      </c>
      <c r="C1404" t="inlineStr">
        <is>
          <t>SGS Germany GmbH, Emstek, DE</t>
        </is>
      </c>
      <c r="D1404" t="inlineStr">
        <is>
          <t>08.07.2027</t>
        </is>
      </c>
      <c r="E1404" t="inlineStr">
        <is>
          <t>Moldova</t>
        </is>
      </c>
    </row>
    <row r="1405">
      <c r="A1405" t="inlineStr">
        <is>
          <t>BGFecomaterials CO., LTD.,  Jangan-myeon, Hwaseong-si, The Republic of Korea</t>
        </is>
      </c>
      <c r="B1405" t="inlineStr">
        <is>
          <t>Processing Unit</t>
        </is>
      </c>
      <c r="C1405" t="inlineStr">
        <is>
          <t>PT Intertek Utama Services, Jakarta, ID</t>
        </is>
      </c>
      <c r="D1405" t="inlineStr">
        <is>
          <t>08.07.2027</t>
        </is>
      </c>
      <c r="E1405" t="inlineStr">
        <is>
          <t>The Republic of Korea</t>
        </is>
      </c>
    </row>
    <row r="1406">
      <c r="A1406" t="inlineStr">
        <is>
          <t>100% Bottling Company Pty Ltd,  Rutherford, Australia</t>
        </is>
      </c>
      <c r="B1406" t="inlineStr">
        <is>
          <t>Processing Unit</t>
        </is>
      </c>
      <c r="C1406" t="inlineStr">
        <is>
          <t>PT Intertek Utama Services, Jakarta, ID</t>
        </is>
      </c>
      <c r="D1406" t="inlineStr">
        <is>
          <t>08.07.2027</t>
        </is>
      </c>
      <c r="E1406" t="inlineStr">
        <is>
          <t>Australia</t>
        </is>
      </c>
    </row>
    <row r="1407">
      <c r="A1407" t="inlineStr">
        <is>
          <t>JVD Commodities (Pty) Ltd,  Pretoria, South Africa</t>
        </is>
      </c>
      <c r="B1407" t="inlineStr">
        <is>
          <t>Trader, Collecting Point</t>
        </is>
      </c>
      <c r="C1407" t="inlineStr">
        <is>
          <t>DEKRA Certification B.V., Arnhem, NL</t>
        </is>
      </c>
      <c r="D1407" t="inlineStr">
        <is>
          <t>08.07.2027</t>
        </is>
      </c>
      <c r="E1407" t="inlineStr">
        <is>
          <t>South Africa</t>
        </is>
      </c>
    </row>
    <row r="1408">
      <c r="A1408" t="inlineStr">
        <is>
          <t>Monjasa PTE LTD,  Singapore, Singapore</t>
        </is>
      </c>
      <c r="B1408" t="inlineStr">
        <is>
          <t>Trader</t>
        </is>
      </c>
      <c r="C1408" t="inlineStr">
        <is>
          <t>Amspec Iberia SL, Vilagarcia de Arousa-Pontevedra, ES</t>
        </is>
      </c>
      <c r="D1408" t="inlineStr">
        <is>
          <t>08.07.2027</t>
        </is>
      </c>
      <c r="E1408" t="inlineStr">
        <is>
          <t>Singapore</t>
        </is>
      </c>
    </row>
    <row r="1409">
      <c r="A1409" t="inlineStr">
        <is>
          <t>AGRO BIAMAD COMPANY SRL,  Boldu, Romania</t>
        </is>
      </c>
      <c r="B1409" t="inlineStr">
        <is>
          <t>First Gathering Point, Trader with Storage</t>
        </is>
      </c>
      <c r="C1409" t="inlineStr">
        <is>
          <t>SGS Germany GmbH, Emstek, DE</t>
        </is>
      </c>
      <c r="D1409" t="inlineStr">
        <is>
          <t>08.07.2027</t>
        </is>
      </c>
      <c r="E1409" t="inlineStr">
        <is>
          <t>Romania</t>
        </is>
      </c>
    </row>
    <row r="1410">
      <c r="A1410" t="inlineStr">
        <is>
          <t>Best Pacific Textile Limited,  Hong Kong, China</t>
        </is>
      </c>
      <c r="B1410" t="inlineStr">
        <is>
          <t>Trader</t>
        </is>
      </c>
      <c r="C1410" t="inlineStr">
        <is>
          <t>Bureau Veritas Consumer Products Services, Inc., Buffalo, NY, US</t>
        </is>
      </c>
      <c r="D1410" t="inlineStr">
        <is>
          <t>08.07.2027</t>
        </is>
      </c>
      <c r="E1410" t="inlineStr">
        <is>
          <t>China</t>
        </is>
      </c>
    </row>
    <row r="1411">
      <c r="A1411" t="inlineStr">
        <is>
          <t>Ecotrans,  Mykolaiv, Ukraine</t>
        </is>
      </c>
      <c r="B1411" t="inlineStr">
        <is>
          <t>Processing Unit, Trader with Storage</t>
        </is>
      </c>
      <c r="C1411" t="inlineStr">
        <is>
          <t>United Registrar of Systems Polska Sp. z o.o., Wrocław, PL</t>
        </is>
      </c>
      <c r="D1411" t="inlineStr">
        <is>
          <t>08.07.2027</t>
        </is>
      </c>
      <c r="E1411" t="inlineStr">
        <is>
          <t>Ukraine</t>
        </is>
      </c>
    </row>
    <row r="1412">
      <c r="A1412" t="inlineStr">
        <is>
          <t>Indopoly Swakarsa Industry,  Purwakarta, Indonesia</t>
        </is>
      </c>
      <c r="B1412" t="inlineStr">
        <is>
          <t>Processing Unit</t>
        </is>
      </c>
      <c r="C1412" t="inlineStr">
        <is>
          <t>SGS Germany GmbH, Emstek, DE</t>
        </is>
      </c>
      <c r="D1412" t="inlineStr">
        <is>
          <t>08.07.2027</t>
        </is>
      </c>
      <c r="E1412" t="inlineStr">
        <is>
          <t>Indonesia</t>
        </is>
      </c>
    </row>
    <row r="1413">
      <c r="A1413" t="inlineStr">
        <is>
          <t>Inner Mongolia Yun Mu Grass Ecological Technology Development Co., LTD,  Xing'an League, Inner Mongolia, China</t>
        </is>
      </c>
      <c r="B1413" t="inlineStr">
        <is>
          <t>Processing Unit</t>
        </is>
      </c>
      <c r="C1413" t="inlineStr">
        <is>
          <t>SCS Global Services, Emeryville, CA, US</t>
        </is>
      </c>
      <c r="D1413" t="inlineStr">
        <is>
          <t>08.07.2027</t>
        </is>
      </c>
      <c r="E1413" t="inlineStr">
        <is>
          <t>China</t>
        </is>
      </c>
    </row>
    <row r="1414">
      <c r="A1414" t="inlineStr">
        <is>
          <t>EMGREEN ENERGY CO.,LTD,  sub-district khlong Toei district, Thailand</t>
        </is>
      </c>
      <c r="B1414" t="inlineStr">
        <is>
          <t>Trader</t>
        </is>
      </c>
      <c r="C1414" t="inlineStr">
        <is>
          <t>PT. CBQA GLOBAL INDONESIA, JAKARTA SELATAN, ID</t>
        </is>
      </c>
      <c r="D1414" t="inlineStr">
        <is>
          <t>08.07.2027</t>
        </is>
      </c>
      <c r="E1414" t="inlineStr">
        <is>
          <t>Thailand</t>
        </is>
      </c>
    </row>
    <row r="1415">
      <c r="A1415" t="inlineStr">
        <is>
          <t>MIT Inc.,  SFAX, Tunisia</t>
        </is>
      </c>
      <c r="B1415" t="inlineStr">
        <is>
          <t>Collecting Point, Trader with Storage</t>
        </is>
      </c>
      <c r="C1415" t="inlineStr">
        <is>
          <t>BM Certification, Riga, LV</t>
        </is>
      </c>
      <c r="D1415" t="inlineStr">
        <is>
          <t>08.07.2027</t>
        </is>
      </c>
      <c r="E1415" t="inlineStr">
        <is>
          <t>Tunisia</t>
        </is>
      </c>
    </row>
    <row r="1416">
      <c r="A1416" t="inlineStr">
        <is>
          <t>Northern Oil Refineries,  Yarwun, Australia</t>
        </is>
      </c>
      <c r="B1416" t="inlineStr">
        <is>
          <t>Processing Unit</t>
        </is>
      </c>
      <c r="C1416" t="inlineStr">
        <is>
          <t>Control Union Certifications Germany GmbH, Berlin, DE</t>
        </is>
      </c>
      <c r="D1416" t="inlineStr">
        <is>
          <t>08.07.2027</t>
        </is>
      </c>
      <c r="E1416" t="inlineStr">
        <is>
          <t>Australia</t>
        </is>
      </c>
    </row>
    <row r="1417">
      <c r="A1417" t="inlineStr">
        <is>
          <t>mandrakopetra,  milos, Greece</t>
        </is>
      </c>
      <c r="B1417" t="inlineStr">
        <is>
          <t>Collecting Point</t>
        </is>
      </c>
      <c r="C1417" t="inlineStr">
        <is>
          <t>QMSCERT S.A., Pylaia, Thessaloniki, GR</t>
        </is>
      </c>
      <c r="D1417" t="inlineStr">
        <is>
          <t>08.07.2027</t>
        </is>
      </c>
      <c r="E1417" t="inlineStr">
        <is>
          <t>Greece</t>
        </is>
      </c>
    </row>
    <row r="1418">
      <c r="A1418" t="inlineStr">
        <is>
          <t>OIBBIO Resources Corporation,  TAGUIG NCR, METRO MANILA, The Philippines</t>
        </is>
      </c>
      <c r="B1418" t="inlineStr">
        <is>
          <t>Collecting Point, Trader with Storage</t>
        </is>
      </c>
      <c r="C1418" t="inlineStr">
        <is>
          <t>RINA Services S.p.A., Genova, IT</t>
        </is>
      </c>
      <c r="D1418" t="inlineStr">
        <is>
          <t>08.07.2027</t>
        </is>
      </c>
      <c r="E1418" t="inlineStr">
        <is>
          <t>The Philippines</t>
        </is>
      </c>
    </row>
    <row r="1419">
      <c r="A1419" t="inlineStr">
        <is>
          <t>MARLINE SAS,  BRIERES LES SCELLES, France</t>
        </is>
      </c>
      <c r="B1419" t="inlineStr">
        <is>
          <t>Trader with Storage</t>
        </is>
      </c>
      <c r="C1419" t="inlineStr">
        <is>
          <t>Control Union Certifications Germany GmbH, Berlin, DE</t>
        </is>
      </c>
      <c r="D1419" t="inlineStr">
        <is>
          <t>08.07.2027</t>
        </is>
      </c>
      <c r="E1419" t="inlineStr">
        <is>
          <t>France</t>
        </is>
      </c>
    </row>
    <row r="1420">
      <c r="A1420" t="inlineStr">
        <is>
          <t>Unibarge Sustainable Bunkering B.V.,  Hendrik-Ido-Ambacht, The Netherlands</t>
        </is>
      </c>
      <c r="B1420" t="inlineStr">
        <is>
          <t>Biomarine Fuel Operator, Proof of Compliance Trader, Trader with Storage</t>
        </is>
      </c>
      <c r="C1420" t="inlineStr">
        <is>
          <t>DEKRA Certification B.V., Arnhem, NL</t>
        </is>
      </c>
      <c r="D1420" t="inlineStr">
        <is>
          <t>08.07.2027</t>
        </is>
      </c>
      <c r="E1420" t="inlineStr">
        <is>
          <t>The Netherlands</t>
        </is>
      </c>
    </row>
    <row r="1421">
      <c r="A1421" t="inlineStr">
        <is>
          <t>«KV AGRO GROUP» LLC,  Bar village, Ukraine</t>
        </is>
      </c>
      <c r="B1421" t="inlineStr">
        <is>
          <t>First Gathering Point, Trader with Storage</t>
        </is>
      </c>
      <c r="C1421" t="inlineStr">
        <is>
          <t>Apex Genelab LLC, Odessa, UA</t>
        </is>
      </c>
      <c r="D1421" t="inlineStr">
        <is>
          <t>08.07.2027</t>
        </is>
      </c>
      <c r="E1421" t="inlineStr">
        <is>
          <t>Ukraine</t>
        </is>
      </c>
    </row>
    <row r="1422">
      <c r="A1422" t="inlineStr">
        <is>
          <t>ALFAGRICOLA DI ANTONIO ALFANO,  BATTIPAGLIA, Italy</t>
        </is>
      </c>
      <c r="B1422" t="inlineStr">
        <is>
          <t>Farm / Plantation, Processing Unit</t>
        </is>
      </c>
      <c r="C1422" t="inlineStr">
        <is>
          <t>SGS Germany GmbH, Emstek, DE</t>
        </is>
      </c>
      <c r="D1422" t="inlineStr">
        <is>
          <t>08.07.2027</t>
        </is>
      </c>
      <c r="E1422" t="inlineStr">
        <is>
          <t>Italy</t>
        </is>
      </c>
    </row>
    <row r="1423">
      <c r="A1423" t="inlineStr">
        <is>
          <t>AP Agro Spółka z ograniczoną odpowiedzialnością,  Szczebrzeszyn, Poland</t>
        </is>
      </c>
      <c r="B1423" t="inlineStr">
        <is>
          <t>First Gathering Point, Trader with Storage</t>
        </is>
      </c>
      <c r="C1423" t="inlineStr">
        <is>
          <t>United Registrar of Systems Polska Sp. z o.o., Wrocław, PL</t>
        </is>
      </c>
      <c r="D1423" t="inlineStr">
        <is>
          <t>08.07.2027</t>
        </is>
      </c>
      <c r="E1423" t="inlineStr">
        <is>
          <t>Poland</t>
        </is>
      </c>
    </row>
    <row r="1424">
      <c r="A1424" t="inlineStr">
        <is>
          <t>W.KROM Sp. z o.o. Sp. K,  Szczebrzeszyn, Poland</t>
        </is>
      </c>
      <c r="B1424" t="inlineStr">
        <is>
          <t>First Gathering Point, Trader with Storage</t>
        </is>
      </c>
      <c r="C1424" t="inlineStr">
        <is>
          <t>United Registrar of Systems Polska Sp. z o.o., Wrocław, PL</t>
        </is>
      </c>
      <c r="D1424" t="inlineStr">
        <is>
          <t>08.07.2027</t>
        </is>
      </c>
      <c r="E1424" t="inlineStr">
        <is>
          <t>Poland</t>
        </is>
      </c>
    </row>
    <row r="1425">
      <c r="A1425" t="inlineStr">
        <is>
          <t>Kildair Service ULC,  Terrebonne, Canada</t>
        </is>
      </c>
      <c r="B1425" t="inlineStr">
        <is>
          <t>Trader with Storage</t>
        </is>
      </c>
      <c r="C1425" t="inlineStr">
        <is>
          <t>Control Union Poland Sp. z o.o., Zielona Gora, PL</t>
        </is>
      </c>
      <c r="D1425" t="inlineStr">
        <is>
          <t>08.07.2027</t>
        </is>
      </c>
      <c r="E1425" t="inlineStr">
        <is>
          <t>Canada</t>
        </is>
      </c>
    </row>
    <row r="1426">
      <c r="A1426" t="inlineStr">
        <is>
          <t>Wakud International LLC,  Khazaen, Barka, Oman</t>
        </is>
      </c>
      <c r="B1426" t="inlineStr">
        <is>
          <t>Processing Unit, Point of Origin, Trader with Storage</t>
        </is>
      </c>
      <c r="C1426" t="inlineStr">
        <is>
          <t>Control Union Certifications Germany GmbH, Berlin, DE</t>
        </is>
      </c>
      <c r="D1426" t="inlineStr">
        <is>
          <t>08.07.2027</t>
        </is>
      </c>
      <c r="E1426" t="inlineStr">
        <is>
          <t>Oman</t>
        </is>
      </c>
    </row>
    <row r="1427">
      <c r="A1427" t="inlineStr">
        <is>
          <t>AGRO ROM IMPEX,  Targu Mures, Romania</t>
        </is>
      </c>
      <c r="B1427" t="inlineStr">
        <is>
          <t>First Gathering Point</t>
        </is>
      </c>
      <c r="C1427" t="inlineStr">
        <is>
          <t>RINA Services S.p.A., Genova, IT</t>
        </is>
      </c>
      <c r="D1427" t="inlineStr">
        <is>
          <t>08.07.2027</t>
        </is>
      </c>
      <c r="E1427" t="inlineStr">
        <is>
          <t>Romania</t>
        </is>
      </c>
    </row>
    <row r="1428">
      <c r="A1428" t="inlineStr">
        <is>
          <t>Vita Polymers Poland Sp. z o.o.,  Brzeg Dolny, Poland</t>
        </is>
      </c>
      <c r="B1428" t="inlineStr">
        <is>
          <t>Processing Unit</t>
        </is>
      </c>
      <c r="C1428" t="inlineStr">
        <is>
          <t>Bureau Veritas Polska Sp. z o.o., Warsaw, PL</t>
        </is>
      </c>
      <c r="D1428" t="inlineStr">
        <is>
          <t>08.07.2027</t>
        </is>
      </c>
      <c r="E1428" t="inlineStr">
        <is>
          <t>Poland</t>
        </is>
      </c>
    </row>
    <row r="1429">
      <c r="A1429" t="inlineStr">
        <is>
          <t>ELJAY CAHAYA INDAH,  Tangerang, Banten, Indonesia</t>
        </is>
      </c>
      <c r="B1429" t="inlineStr">
        <is>
          <t>Collecting Point</t>
        </is>
      </c>
      <c r="C1429" t="inlineStr">
        <is>
          <t>Control Union Poland Sp. z o.o., Zielona Gora, PL</t>
        </is>
      </c>
      <c r="D1429" t="inlineStr">
        <is>
          <t>08.07.2027</t>
        </is>
      </c>
      <c r="E1429" t="inlineStr">
        <is>
          <t>Indonesia</t>
        </is>
      </c>
    </row>
    <row r="1430">
      <c r="A1430" t="inlineStr">
        <is>
          <t>OilRight SRL,  Timisoara, Romania</t>
        </is>
      </c>
      <c r="B1430" t="inlineStr">
        <is>
          <t>Collecting Point</t>
        </is>
      </c>
      <c r="C1430" t="inlineStr">
        <is>
          <t>RINA Services S.p.A., Genova, IT</t>
        </is>
      </c>
      <c r="D1430" t="inlineStr">
        <is>
          <t>08.07.2027</t>
        </is>
      </c>
      <c r="E1430" t="inlineStr">
        <is>
          <t>Romania</t>
        </is>
      </c>
    </row>
    <row r="1431">
      <c r="A1431" t="inlineStr">
        <is>
          <t>ARIMEX AGROSLUŽBY, s.r.o.,  Týnské Předměstí, Domažlice, Czech Republic</t>
        </is>
      </c>
      <c r="B1431" t="inlineStr">
        <is>
          <t>First Gathering Point, Trader with Storage</t>
        </is>
      </c>
      <c r="C1431" t="inlineStr">
        <is>
          <t>United Registrar of Systems Polska Sp. z o.o., Wrocław, PL</t>
        </is>
      </c>
      <c r="D1431" t="inlineStr">
        <is>
          <t>08.07.2027</t>
        </is>
      </c>
      <c r="E1431" t="inlineStr">
        <is>
          <t>Czech Republic</t>
        </is>
      </c>
    </row>
    <row r="1432">
      <c r="A1432" t="inlineStr">
        <is>
          <t>Cargill Poland Sp.z.o.o.,  Kobierzyce, Poland</t>
        </is>
      </c>
      <c r="B1432" t="inlineStr">
        <is>
          <t>Point of Origin, Trader with Storage, Processing Unit</t>
        </is>
      </c>
      <c r="C1432" t="inlineStr">
        <is>
          <t>Control Union Poland Sp. z o.o., Zielona Gora, PL</t>
        </is>
      </c>
      <c r="D1432" t="inlineStr">
        <is>
          <t>07.07.2027</t>
        </is>
      </c>
      <c r="E1432" t="inlineStr">
        <is>
          <t>Poland</t>
        </is>
      </c>
    </row>
    <row r="1433">
      <c r="A1433" t="inlineStr">
        <is>
          <t>Cardolite Specialty Chemicals India LLP,  Mangaluru, D.K District, India</t>
        </is>
      </c>
      <c r="B1433" t="inlineStr">
        <is>
          <t>Collecting Point, Processing Unit</t>
        </is>
      </c>
      <c r="C1433" t="inlineStr">
        <is>
          <t>Cotecna India Inspection Pvt Ltd, Kolkata, IN</t>
        </is>
      </c>
      <c r="D1433" t="inlineStr">
        <is>
          <t>07.07.2027</t>
        </is>
      </c>
      <c r="E1433" t="inlineStr">
        <is>
          <t>India</t>
        </is>
      </c>
    </row>
    <row r="1434">
      <c r="A1434" t="inlineStr">
        <is>
          <t>Cosco Shipping (Singapore) Petroleum Pte Ltd,  Singapore, Singapore</t>
        </is>
      </c>
      <c r="B1434" t="inlineStr">
        <is>
          <t>Trader</t>
        </is>
      </c>
      <c r="C1434" t="inlineStr">
        <is>
          <t>Guardian Independent Certification Limited, Singapore, SG</t>
        </is>
      </c>
      <c r="D1434" t="inlineStr">
        <is>
          <t>07.07.2027</t>
        </is>
      </c>
      <c r="E1434" t="inlineStr">
        <is>
          <t>Singapore</t>
        </is>
      </c>
    </row>
    <row r="1435">
      <c r="A1435" t="inlineStr">
        <is>
          <t>Modern Arabian Gulf Projects,  Sharjah Media City, The United Arab Emirates</t>
        </is>
      </c>
      <c r="B1435" t="inlineStr">
        <is>
          <t>Trader</t>
        </is>
      </c>
      <c r="C1435" t="inlineStr">
        <is>
          <t>PT Mutuagung Lestari, Depok, ID</t>
        </is>
      </c>
      <c r="D1435" t="inlineStr">
        <is>
          <t>07.07.2027</t>
        </is>
      </c>
      <c r="E1435" t="inlineStr">
        <is>
          <t>The United Arab Emirates</t>
        </is>
      </c>
    </row>
    <row r="1436">
      <c r="A1436" t="inlineStr">
        <is>
          <t>Stone Straw Limited,  Brantford, Canada</t>
        </is>
      </c>
      <c r="B1436" t="inlineStr">
        <is>
          <t>Processing Unit</t>
        </is>
      </c>
      <c r="C1436" t="inlineStr">
        <is>
          <t>SCS Global Services, Emeryville, CA, US</t>
        </is>
      </c>
      <c r="D1436" t="inlineStr">
        <is>
          <t>07.07.2027</t>
        </is>
      </c>
      <c r="E1436" t="inlineStr">
        <is>
          <t>Canada</t>
        </is>
      </c>
    </row>
    <row r="1437">
      <c r="A1437" t="inlineStr">
        <is>
          <t>Olleco,  Liverpool, The United Kingdom</t>
        </is>
      </c>
      <c r="B1437" t="inlineStr">
        <is>
          <t>Collecting Point, Point of Origin, Processing Unit, Trader with Storage, Warehouse</t>
        </is>
      </c>
      <c r="C1437" t="inlineStr">
        <is>
          <t>Control Union Certifications Germany GmbH, Berlin, DE</t>
        </is>
      </c>
      <c r="D1437" t="inlineStr">
        <is>
          <t>07.07.2027</t>
        </is>
      </c>
      <c r="E1437" t="inlineStr">
        <is>
          <t>The United Kingdom</t>
        </is>
      </c>
    </row>
    <row r="1438">
      <c r="A1438" t="inlineStr">
        <is>
          <t>Gallon Fuel SA,  Aspropyrgos, Greece</t>
        </is>
      </c>
      <c r="B1438" t="inlineStr">
        <is>
          <t>Trader</t>
        </is>
      </c>
      <c r="C1438" t="inlineStr">
        <is>
          <t>Eurocert SA, Metamorfosi, Athens, GR</t>
        </is>
      </c>
      <c r="D1438" t="inlineStr">
        <is>
          <t>07.07.2027</t>
        </is>
      </c>
      <c r="E1438" t="inlineStr">
        <is>
          <t>Greece</t>
        </is>
      </c>
    </row>
    <row r="1439">
      <c r="A1439" t="inlineStr">
        <is>
          <t>Abadi Timur Mandiri,  DKI Jakarta, Indonesia</t>
        </is>
      </c>
      <c r="B1439" t="inlineStr">
        <is>
          <t>Collecting Point, Trader with Storage</t>
        </is>
      </c>
      <c r="C1439" t="inlineStr">
        <is>
          <t>PT. Qualitas Sertifikasi Indonesia, Jakarta, ID</t>
        </is>
      </c>
      <c r="D1439" t="inlineStr">
        <is>
          <t>07.07.2027</t>
        </is>
      </c>
      <c r="E1439" t="inlineStr">
        <is>
          <t>Indonesia</t>
        </is>
      </c>
    </row>
    <row r="1440">
      <c r="A1440" t="inlineStr">
        <is>
          <t>WA International CO., LTD.,  Mueang Samut Prakan District, Samut Prakan Province, Thailand</t>
        </is>
      </c>
      <c r="B1440" t="inlineStr">
        <is>
          <t>Collecting Point</t>
        </is>
      </c>
      <c r="C1440" t="inlineStr">
        <is>
          <t>PT. CBQA GLOBAL INDONESIA, JAKARTA SELATAN, ID</t>
        </is>
      </c>
      <c r="D1440" t="inlineStr">
        <is>
          <t>07.07.2027</t>
        </is>
      </c>
      <c r="E1440" t="inlineStr">
        <is>
          <t>Thailand</t>
        </is>
      </c>
    </row>
    <row r="1441">
      <c r="A1441" t="inlineStr">
        <is>
          <t>AMS Ameropa Marketing and Sales AG,  Binningen, Switzerland</t>
        </is>
      </c>
      <c r="B1441" t="inlineStr">
        <is>
          <t>Trader with Storage</t>
        </is>
      </c>
      <c r="C1441" t="inlineStr">
        <is>
          <t>Control Union Certifications Germany GmbH, Berlin, DE</t>
        </is>
      </c>
      <c r="D1441" t="inlineStr">
        <is>
          <t>07.07.2027</t>
        </is>
      </c>
      <c r="E1441" t="inlineStr">
        <is>
          <t>Switzerland</t>
        </is>
      </c>
    </row>
    <row r="1442">
      <c r="A1442" t="inlineStr">
        <is>
          <t>PCW GmbH,  Eilenburg, Germany</t>
        </is>
      </c>
      <c r="B1442" t="inlineStr">
        <is>
          <t>Processing Unit</t>
        </is>
      </c>
      <c r="C1442" t="inlineStr">
        <is>
          <t>GUT Certifizierungsgesellschaft für Managementsysteme mbH Umweltgutachter, Berlin, DE</t>
        </is>
      </c>
      <c r="D1442" t="inlineStr">
        <is>
          <t>07.07.2027</t>
        </is>
      </c>
      <c r="E1442" t="inlineStr">
        <is>
          <t>Germany</t>
        </is>
      </c>
    </row>
    <row r="1443">
      <c r="A1443" t="inlineStr">
        <is>
          <t>Nantong Fenghui Biotechnology Co., Ltd.,  Nantong City, Jiangsu Province, China</t>
        </is>
      </c>
      <c r="B1443" t="inlineStr">
        <is>
          <t>Collecting Point</t>
        </is>
      </c>
      <c r="C1443" t="inlineStr">
        <is>
          <t>Bureau Veritas Consumer Products Services, Inc., Buffalo, NY, US</t>
        </is>
      </c>
      <c r="D1443" t="inlineStr">
        <is>
          <t>07.07.2027</t>
        </is>
      </c>
      <c r="E1443" t="inlineStr">
        <is>
          <t>China</t>
        </is>
      </c>
    </row>
    <row r="1444">
      <c r="A1444" t="inlineStr">
        <is>
          <t>DONG NAM OIL Co.,Ltd,  Yangsan-si, Gyeongsangnam-do, The Republic of Korea</t>
        </is>
      </c>
      <c r="B1444" t="inlineStr">
        <is>
          <t>Collecting Point, Processing Unit</t>
        </is>
      </c>
      <c r="C1444" t="inlineStr">
        <is>
          <t>Control Union Certifications Germany GmbH, Berlin, DE</t>
        </is>
      </c>
      <c r="D1444" t="inlineStr">
        <is>
          <t>07.07.2027</t>
        </is>
      </c>
      <c r="E1444" t="inlineStr">
        <is>
          <t>The Republic of Korea</t>
        </is>
      </c>
    </row>
    <row r="1445">
      <c r="A1445" t="inlineStr">
        <is>
          <t>Hallingplast AB,  Stora Höga, Sweden</t>
        </is>
      </c>
      <c r="B1445" t="inlineStr">
        <is>
          <t>Trader</t>
        </is>
      </c>
      <c r="C1445" t="inlineStr">
        <is>
          <t>Baltic Control Certification, Albertslund, DK</t>
        </is>
      </c>
      <c r="D1445" t="inlineStr">
        <is>
          <t>07.07.2027</t>
        </is>
      </c>
      <c r="E1445" t="inlineStr">
        <is>
          <t>Sweden</t>
        </is>
      </c>
    </row>
    <row r="1446">
      <c r="A1446" t="inlineStr">
        <is>
          <t>Tetra Pak Closures France,  Chateaubriant, France</t>
        </is>
      </c>
      <c r="B1446" t="inlineStr">
        <is>
          <t>Processing Unit</t>
        </is>
      </c>
      <c r="C1446" t="inlineStr">
        <is>
          <t>SCS Global Services, Emeryville, CA, US</t>
        </is>
      </c>
      <c r="D1446" t="inlineStr">
        <is>
          <t>07.07.2027</t>
        </is>
      </c>
      <c r="E1446" t="inlineStr">
        <is>
          <t>France</t>
        </is>
      </c>
    </row>
    <row r="1447">
      <c r="A1447" t="inlineStr">
        <is>
          <t>Republic Plastics, Ltd.,  Knoxville, United States</t>
        </is>
      </c>
      <c r="B1447" t="inlineStr">
        <is>
          <t>Processing Unit, Trader with Storage</t>
        </is>
      </c>
      <c r="C1447" t="inlineStr">
        <is>
          <t>SCS Global Services, Emeryville, CA, US</t>
        </is>
      </c>
      <c r="D1447" t="inlineStr">
        <is>
          <t>07.07.2027</t>
        </is>
      </c>
      <c r="E1447" t="inlineStr">
        <is>
          <t>United States</t>
        </is>
      </c>
    </row>
    <row r="1448">
      <c r="A1448" t="inlineStr">
        <is>
          <t>Recilectric Global,  Lorquí (Murcia), Spain</t>
        </is>
      </c>
      <c r="B1448" t="inlineStr">
        <is>
          <t>Collecting Point, Trader with Storage</t>
        </is>
      </c>
      <c r="C1448" t="inlineStr">
        <is>
          <t>RINA Services S.p.A., Genova, IT</t>
        </is>
      </c>
      <c r="D1448" t="inlineStr">
        <is>
          <t>07.07.2027</t>
        </is>
      </c>
      <c r="E1448" t="inlineStr">
        <is>
          <t>Spain</t>
        </is>
      </c>
    </row>
    <row r="1449">
      <c r="A1449" t="inlineStr">
        <is>
          <t>Wengyuan County Kainan Plastic Co.,Ltd.,  Shaoguan City, Guangdong Province, China</t>
        </is>
      </c>
      <c r="B1449" t="inlineStr">
        <is>
          <t>Processing Unit</t>
        </is>
      </c>
      <c r="C1449" t="inlineStr">
        <is>
          <t>DIN CERTCO GmbH, Berlin, DE</t>
        </is>
      </c>
      <c r="D1449" t="inlineStr">
        <is>
          <t>07.07.2027</t>
        </is>
      </c>
      <c r="E1449" t="inlineStr">
        <is>
          <t>China</t>
        </is>
      </c>
    </row>
    <row r="1450">
      <c r="A1450" t="inlineStr">
        <is>
          <t>Colandis B.V.,  Wolvega, The Netherlands</t>
        </is>
      </c>
      <c r="B1450" t="inlineStr">
        <is>
          <t>Collecting Point, Trader with Storage</t>
        </is>
      </c>
      <c r="C1450" t="inlineStr">
        <is>
          <t>DEKRA Certification B.V., Arnhem, NL</t>
        </is>
      </c>
      <c r="D1450" t="inlineStr">
        <is>
          <t>07.07.2027</t>
        </is>
      </c>
      <c r="E1450" t="inlineStr">
        <is>
          <t>The Netherlands</t>
        </is>
      </c>
    </row>
    <row r="1451">
      <c r="A1451" t="inlineStr">
        <is>
          <t>LIAONING KINGFA SCI.&amp;TECH.CO.,LTD.,  Panjin City, Liaoning Province, China</t>
        </is>
      </c>
      <c r="B1451" t="inlineStr">
        <is>
          <t>Processing Unit</t>
        </is>
      </c>
      <c r="C1451" t="inlineStr">
        <is>
          <t>DIN CERTCO GmbH, Berlin, DE</t>
        </is>
      </c>
      <c r="D1451" t="inlineStr">
        <is>
          <t>07.07.2027</t>
        </is>
      </c>
      <c r="E1451" t="inlineStr">
        <is>
          <t>China</t>
        </is>
      </c>
    </row>
    <row r="1452">
      <c r="A1452" t="inlineStr">
        <is>
          <t>AGC Chemicals Europe Ltd,  Amsterdam, The Netherlands</t>
        </is>
      </c>
      <c r="B1452" t="inlineStr">
        <is>
          <t>Trader with Storage</t>
        </is>
      </c>
      <c r="C1452" t="inlineStr">
        <is>
          <t>SGS Germany GmbH, Emstek, DE</t>
        </is>
      </c>
      <c r="D1452" t="inlineStr">
        <is>
          <t>07.07.2027</t>
        </is>
      </c>
      <c r="E1452" t="inlineStr">
        <is>
          <t>The Netherlands</t>
        </is>
      </c>
    </row>
    <row r="1453">
      <c r="A1453" t="inlineStr">
        <is>
          <t>Green Resources Pte Ltd,  Singapore, Singapore</t>
        </is>
      </c>
      <c r="B1453" t="inlineStr">
        <is>
          <t>Trader</t>
        </is>
      </c>
      <c r="C1453" t="inlineStr">
        <is>
          <t>Control Union Certifications Germany GmbH, Berlin, DE</t>
        </is>
      </c>
      <c r="D1453" t="inlineStr">
        <is>
          <t>07.07.2027</t>
        </is>
      </c>
      <c r="E1453" t="inlineStr">
        <is>
          <t>Singapore</t>
        </is>
      </c>
    </row>
    <row r="1454">
      <c r="A1454" t="inlineStr">
        <is>
          <t>DLG Service A/S,  Fredericia, Denmark</t>
        </is>
      </c>
      <c r="B1454" t="inlineStr">
        <is>
          <t>Collecting Point, Trader</t>
        </is>
      </c>
      <c r="C1454" t="inlineStr">
        <is>
          <t>DNV Business Assurance Sweden AB, Solna, SE</t>
        </is>
      </c>
      <c r="D1454" t="inlineStr">
        <is>
          <t>07.07.2027</t>
        </is>
      </c>
      <c r="E1454" t="inlineStr">
        <is>
          <t>Denmark</t>
        </is>
      </c>
    </row>
    <row r="1455">
      <c r="A1455" t="inlineStr">
        <is>
          <t>ENVIXA GLOBAL LLP,  DHOLANA, India</t>
        </is>
      </c>
      <c r="B1455" t="inlineStr">
        <is>
          <t>Collecting Point, Processing Unit, Trader with Storage</t>
        </is>
      </c>
      <c r="C1455" t="inlineStr">
        <is>
          <t>SGS Germany GmbH, Emstek, DE</t>
        </is>
      </c>
      <c r="D1455" t="inlineStr">
        <is>
          <t>07.07.2027</t>
        </is>
      </c>
      <c r="E1455" t="inlineStr">
        <is>
          <t>India</t>
        </is>
      </c>
    </row>
    <row r="1456">
      <c r="A1456" t="inlineStr">
        <is>
          <t>Gunvor S.A.,  Geneva, Switzerland</t>
        </is>
      </c>
      <c r="B1456" t="inlineStr">
        <is>
          <t>Trader with Storage</t>
        </is>
      </c>
      <c r="C1456" t="inlineStr">
        <is>
          <t>Amspec Iberia SL, Vilagarcia de Arousa-Pontevedra, ES</t>
        </is>
      </c>
      <c r="D1456" t="inlineStr">
        <is>
          <t>07.07.2027</t>
        </is>
      </c>
      <c r="E1456" t="inlineStr">
        <is>
          <t>Switzerland</t>
        </is>
      </c>
    </row>
    <row r="1457">
      <c r="A1457" t="inlineStr">
        <is>
          <t>CITIC COMMODITIES PTE. LTD.,  SINGAPORE, Singapore</t>
        </is>
      </c>
      <c r="B1457" t="inlineStr">
        <is>
          <t>Trader</t>
        </is>
      </c>
      <c r="C1457" t="inlineStr">
        <is>
          <t>China Standard Conformity Assessment Co. Ltd, Beijing, CN</t>
        </is>
      </c>
      <c r="D1457" t="inlineStr">
        <is>
          <t>07.07.2027</t>
        </is>
      </c>
      <c r="E1457" t="inlineStr">
        <is>
          <t>Singapore</t>
        </is>
      </c>
    </row>
    <row r="1458">
      <c r="A1458" t="inlineStr">
        <is>
          <t>Gunvor S.A.,  Geneva, Switzerland</t>
        </is>
      </c>
      <c r="B1458" t="inlineStr">
        <is>
          <t>Trader with Storage</t>
        </is>
      </c>
      <c r="C1458" t="inlineStr">
        <is>
          <t>Amspec Iberia SL, Vilagarcia de Arousa-Pontevedra, ES</t>
        </is>
      </c>
      <c r="D1458" t="inlineStr">
        <is>
          <t>07.07.2027</t>
        </is>
      </c>
      <c r="E1458" t="inlineStr">
        <is>
          <t>Switzerland</t>
        </is>
      </c>
    </row>
    <row r="1459">
      <c r="A1459" t="inlineStr">
        <is>
          <t>Faraday Green Gas B.V.,  Bussum, The Netherlands</t>
        </is>
      </c>
      <c r="B1459" t="inlineStr">
        <is>
          <t>Trader</t>
        </is>
      </c>
      <c r="C1459" t="inlineStr">
        <is>
          <t>DEKRA Certification B.V., Arnhem, NL</t>
        </is>
      </c>
      <c r="D1459" t="inlineStr">
        <is>
          <t>07.07.2027</t>
        </is>
      </c>
      <c r="E1459" t="inlineStr">
        <is>
          <t>The Netherlands</t>
        </is>
      </c>
    </row>
    <row r="1460">
      <c r="A1460" t="inlineStr">
        <is>
          <t>GK Recycling Co., Ltd.,  Hwaseong-si, The Republic of Korea</t>
        </is>
      </c>
      <c r="B1460" t="inlineStr">
        <is>
          <t>Collecting Point, Processing Unit</t>
        </is>
      </c>
      <c r="C1460" t="inlineStr">
        <is>
          <t>Korean Foundation for Quality, Songpa-gu, Seoul, KR</t>
        </is>
      </c>
      <c r="D1460" t="inlineStr">
        <is>
          <t>07.07.2027</t>
        </is>
      </c>
      <c r="E1460" t="inlineStr">
        <is>
          <t>The Republic of Korea</t>
        </is>
      </c>
    </row>
    <row r="1461">
      <c r="A1461" t="inlineStr">
        <is>
          <t>MCC Italia S.p.A.,  Badia di Cantignano, Italy</t>
        </is>
      </c>
      <c r="B1461" t="inlineStr">
        <is>
          <t>Processing Unit</t>
        </is>
      </c>
      <c r="C1461" t="inlineStr">
        <is>
          <t>DNV Business Assurance Sweden AB, Solna, SE</t>
        </is>
      </c>
      <c r="D1461" t="inlineStr">
        <is>
          <t>07.07.2027</t>
        </is>
      </c>
      <c r="E1461" t="inlineStr">
        <is>
          <t>Italy</t>
        </is>
      </c>
    </row>
    <row r="1462">
      <c r="A1462" t="inlineStr">
        <is>
          <t>Omnisyst SpA Società benefit,  Sant'Angelo Lodigiano, Italy</t>
        </is>
      </c>
      <c r="B1462" t="inlineStr">
        <is>
          <t>Collecting Point</t>
        </is>
      </c>
      <c r="C1462" t="inlineStr">
        <is>
          <t>Certiquality srl, Milano, IT</t>
        </is>
      </c>
      <c r="D1462" t="inlineStr">
        <is>
          <t>07.07.2027</t>
        </is>
      </c>
      <c r="E1462" t="inlineStr">
        <is>
          <t>Italy</t>
        </is>
      </c>
    </row>
    <row r="1463">
      <c r="A1463" t="inlineStr">
        <is>
          <t>ED&amp;F Man Liquid Products LLC,  New Orleans, United States</t>
        </is>
      </c>
      <c r="B1463" t="inlineStr">
        <is>
          <t>Trader</t>
        </is>
      </c>
      <c r="C1463" t="inlineStr">
        <is>
          <t>Control Union Poland Sp. z o.o., Zielona Gora, PL</t>
        </is>
      </c>
      <c r="D1463" t="inlineStr">
        <is>
          <t>07.07.2027</t>
        </is>
      </c>
      <c r="E1463" t="inlineStr">
        <is>
          <t>United States</t>
        </is>
      </c>
    </row>
    <row r="1464">
      <c r="A1464" t="inlineStr">
        <is>
          <t>EAST GRAIN D.O.O,  Novi Sad, Serbia</t>
        </is>
      </c>
      <c r="B1464" t="inlineStr">
        <is>
          <t>First Gathering Point</t>
        </is>
      </c>
      <c r="C1464" t="inlineStr">
        <is>
          <t>Control Union Certifications Germany GmbH, Berlin, DE</t>
        </is>
      </c>
      <c r="D1464" t="inlineStr">
        <is>
          <t>07.07.2027</t>
        </is>
      </c>
      <c r="E1464" t="inlineStr">
        <is>
          <t>Serbia</t>
        </is>
      </c>
    </row>
    <row r="1465">
      <c r="A1465" t="inlineStr">
        <is>
          <t>AGRICODE GREEN SDN. BHD.,  SENAI, Malaysia</t>
        </is>
      </c>
      <c r="B1465" t="inlineStr">
        <is>
          <t>Collecting Point, Processing Unit, Trader</t>
        </is>
      </c>
      <c r="C1465" t="inlineStr">
        <is>
          <t>SCS Global Services, Emeryville, CA, US</t>
        </is>
      </c>
      <c r="D1465" t="inlineStr">
        <is>
          <t>07.07.2027</t>
        </is>
      </c>
      <c r="E1465" t="inlineStr">
        <is>
          <t>Malaysia</t>
        </is>
      </c>
    </row>
    <row r="1466">
      <c r="A1466" t="inlineStr">
        <is>
          <t>AGRICODE GREEN SDN. BHD.,  SENAI, Malaysia</t>
        </is>
      </c>
      <c r="B1466" t="inlineStr">
        <is>
          <t>Collecting Point, Trader, Processing Unit</t>
        </is>
      </c>
      <c r="C1466" t="inlineStr">
        <is>
          <t>SCS Global Services, Emeryville, CA, US</t>
        </is>
      </c>
      <c r="D1466" t="inlineStr">
        <is>
          <t>07.07.2027</t>
        </is>
      </c>
      <c r="E1466" t="inlineStr">
        <is>
          <t>Malaysia</t>
        </is>
      </c>
    </row>
    <row r="1467">
      <c r="A1467" t="inlineStr">
        <is>
          <t>PT Indo Sepadan Jaya,  Bilah Hilir District, Labuhan Batu Regency, North Sumatera , Indonesia</t>
        </is>
      </c>
      <c r="B1467" t="inlineStr">
        <is>
          <t>Point of Origin</t>
        </is>
      </c>
      <c r="C1467" t="inlineStr">
        <is>
          <t>SGS Germany GmbH, Emstek, DE</t>
        </is>
      </c>
      <c r="D1467" t="inlineStr">
        <is>
          <t>07.07.2027</t>
        </is>
      </c>
      <c r="E1467" t="inlineStr">
        <is>
          <t>Indonesia</t>
        </is>
      </c>
    </row>
    <row r="1468">
      <c r="A1468" t="inlineStr">
        <is>
          <t>CCL Tube (Wilkes-Barre), Inc.,  Hanover Township, United States</t>
        </is>
      </c>
      <c r="B1468" t="inlineStr">
        <is>
          <t>Processing Unit</t>
        </is>
      </c>
      <c r="C1468" t="inlineStr">
        <is>
          <t>SCS Global Services, Emeryville, CA, US</t>
        </is>
      </c>
      <c r="D1468" t="inlineStr">
        <is>
          <t>07.07.2027</t>
        </is>
      </c>
      <c r="E1468" t="inlineStr">
        <is>
          <t>United States</t>
        </is>
      </c>
    </row>
    <row r="1469">
      <c r="A1469" t="inlineStr">
        <is>
          <t>Bunge Canada,  Nipawin, Canada</t>
        </is>
      </c>
      <c r="B1469" t="inlineStr">
        <is>
          <t>Processing Unit</t>
        </is>
      </c>
      <c r="C1469" t="inlineStr">
        <is>
          <t>Control Union Poland Sp. z o.o., Zielona Gora, PL</t>
        </is>
      </c>
      <c r="D1469" t="inlineStr">
        <is>
          <t>07.07.2027</t>
        </is>
      </c>
      <c r="E1469" t="inlineStr">
        <is>
          <t>Canada</t>
        </is>
      </c>
    </row>
    <row r="1470">
      <c r="A1470" t="inlineStr">
        <is>
          <t>Bunge Canada,  Nipawin, Canada</t>
        </is>
      </c>
      <c r="B1470" t="inlineStr">
        <is>
          <t>Processing Unit</t>
        </is>
      </c>
      <c r="C1470" t="inlineStr">
        <is>
          <t>Control Union Poland Sp. z o.o., Zielona Gora, PL</t>
        </is>
      </c>
      <c r="D1470" t="inlineStr">
        <is>
          <t>07.07.2027</t>
        </is>
      </c>
      <c r="E1470" t="inlineStr">
        <is>
          <t>Canada</t>
        </is>
      </c>
    </row>
    <row r="1471">
      <c r="A1471" t="inlineStr">
        <is>
          <t>Bunge Canada,  Nipawin, Canada</t>
        </is>
      </c>
      <c r="B1471" t="inlineStr">
        <is>
          <t>Processing Unit</t>
        </is>
      </c>
      <c r="C1471" t="inlineStr">
        <is>
          <t>Control Union Poland Sp. z o.o., Zielona Gora, PL</t>
        </is>
      </c>
      <c r="D1471" t="inlineStr">
        <is>
          <t>07.07.2027</t>
        </is>
      </c>
      <c r="E1471" t="inlineStr">
        <is>
          <t>Canada</t>
        </is>
      </c>
    </row>
    <row r="1472">
      <c r="A1472" t="inlineStr">
        <is>
          <t>Sterf Hungary Kft.,  Szombathely, Hungary</t>
        </is>
      </c>
      <c r="B1472" t="inlineStr">
        <is>
          <t>First Gathering Point, Trader with Storage</t>
        </is>
      </c>
      <c r="C1472" t="inlineStr">
        <is>
          <t>agroVet GmbH, Enzersfeld, AT</t>
        </is>
      </c>
      <c r="D1472" t="inlineStr">
        <is>
          <t>07.07.2027</t>
        </is>
      </c>
      <c r="E1472" t="inlineStr">
        <is>
          <t>Hungary</t>
        </is>
      </c>
    </row>
    <row r="1473">
      <c r="A1473" t="inlineStr">
        <is>
          <t>TRANS ENERGY (MALAYSIA) SDN BHD,  JOHOR BAHRU, Malaysia</t>
        </is>
      </c>
      <c r="B1473" t="inlineStr">
        <is>
          <t>Trader with Storage</t>
        </is>
      </c>
      <c r="C1473" t="inlineStr">
        <is>
          <t>Trans Certification and Inspection Sdn Bhd, Kuantan, MY</t>
        </is>
      </c>
      <c r="D1473" t="inlineStr">
        <is>
          <t>07.07.2027</t>
        </is>
      </c>
      <c r="E1473" t="inlineStr">
        <is>
          <t>Malaysia</t>
        </is>
      </c>
    </row>
    <row r="1474">
      <c r="A1474" t="inlineStr">
        <is>
          <t>DLF Seeds A/S,  Randers SV, Denmark</t>
        </is>
      </c>
      <c r="B1474" t="inlineStr">
        <is>
          <t>First Gathering Point</t>
        </is>
      </c>
      <c r="C1474" t="inlineStr">
        <is>
          <t>Baltic Control Certification, Albertslund, DK</t>
        </is>
      </c>
      <c r="D1474" t="inlineStr">
        <is>
          <t>07.07.2027</t>
        </is>
      </c>
      <c r="E1474" t="inlineStr">
        <is>
          <t>Denmark</t>
        </is>
      </c>
    </row>
    <row r="1475">
      <c r="A1475" t="inlineStr">
        <is>
          <t>ACM,  Montana, Bulgaria</t>
        </is>
      </c>
      <c r="B1475" t="inlineStr">
        <is>
          <t>First Gathering Point</t>
        </is>
      </c>
      <c r="C1475" t="inlineStr">
        <is>
          <t>Bureau Veritas Polska Sp. z o.o., Warsaw, PL</t>
        </is>
      </c>
      <c r="D1475" t="inlineStr">
        <is>
          <t>07.07.2027</t>
        </is>
      </c>
      <c r="E1475" t="inlineStr">
        <is>
          <t>Bulgaria</t>
        </is>
      </c>
    </row>
    <row r="1476">
      <c r="A1476" t="inlineStr">
        <is>
          <t>Alkhabbaz collection of cooking oil,  ras zuwayed, Bahrain</t>
        </is>
      </c>
      <c r="B1476" t="inlineStr">
        <is>
          <t>Collecting Point</t>
        </is>
      </c>
      <c r="C1476" t="inlineStr">
        <is>
          <t>PT. CBQA GLOBAL INDONESIA, JAKARTA SELATAN, ID</t>
        </is>
      </c>
      <c r="D1476" t="inlineStr">
        <is>
          <t>07.07.2027</t>
        </is>
      </c>
      <c r="E1476" t="inlineStr">
        <is>
          <t>Bahrain</t>
        </is>
      </c>
    </row>
    <row r="1477">
      <c r="A1477" t="inlineStr">
        <is>
          <t>Terménykereskedő,  Szigetvár, Hungary</t>
        </is>
      </c>
      <c r="B1477" t="inlineStr">
        <is>
          <t>First Gathering Point</t>
        </is>
      </c>
      <c r="C1477" t="inlineStr">
        <is>
          <t>Bureau Veritas Polska Sp. z o.o., Warsaw, PL</t>
        </is>
      </c>
      <c r="D1477" t="inlineStr">
        <is>
          <t>07.07.2027</t>
        </is>
      </c>
      <c r="E1477" t="inlineStr">
        <is>
          <t>Hungary</t>
        </is>
      </c>
    </row>
    <row r="1478">
      <c r="A1478" t="inlineStr">
        <is>
          <t>BIOIBERICA,  Olerdola, Spain</t>
        </is>
      </c>
      <c r="B1478" t="inlineStr">
        <is>
          <t>Point of Origin</t>
        </is>
      </c>
      <c r="C1478" t="inlineStr">
        <is>
          <t>RINA Services S.p.A., Genova, IT</t>
        </is>
      </c>
      <c r="D1478" t="inlineStr">
        <is>
          <t>07.07.2027</t>
        </is>
      </c>
      <c r="E1478" t="inlineStr">
        <is>
          <t>Spain</t>
        </is>
      </c>
    </row>
    <row r="1479">
      <c r="A1479" t="inlineStr">
        <is>
          <t>Shenzhen Langkun Juneng Energy Co., Ltd.,  Shenzhen, Guangdong, China</t>
        </is>
      </c>
      <c r="B1479" t="inlineStr">
        <is>
          <t>Trader</t>
        </is>
      </c>
      <c r="C1479" t="inlineStr">
        <is>
          <t>RINA Services S.p.A., Genova, IT</t>
        </is>
      </c>
      <c r="D1479" t="inlineStr">
        <is>
          <t>07.07.2027</t>
        </is>
      </c>
      <c r="E1479" t="inlineStr">
        <is>
          <t>China</t>
        </is>
      </c>
    </row>
    <row r="1480">
      <c r="A1480" t="inlineStr">
        <is>
          <t>Isaia SRL,  Savigliano (CN), Italy</t>
        </is>
      </c>
      <c r="B1480" t="inlineStr">
        <is>
          <t>First Gathering Point</t>
        </is>
      </c>
      <c r="C1480" t="inlineStr">
        <is>
          <t>RINA Services S.p.A., Genova, IT</t>
        </is>
      </c>
      <c r="D1480" t="inlineStr">
        <is>
          <t>07.07.2027</t>
        </is>
      </c>
      <c r="E1480" t="inlineStr">
        <is>
          <t>Italy</t>
        </is>
      </c>
    </row>
    <row r="1481">
      <c r="A1481" t="inlineStr">
        <is>
          <t>A-Esse Fabbrica Ossidi di Zinco S.r.l.,  Carasco, Italy</t>
        </is>
      </c>
      <c r="B1481" t="inlineStr">
        <is>
          <t>Collecting Point, Processing Unit</t>
        </is>
      </c>
      <c r="C1481" t="inlineStr">
        <is>
          <t>Certiquality srl, Milano, IT</t>
        </is>
      </c>
      <c r="D1481" t="inlineStr">
        <is>
          <t>07.07.2027</t>
        </is>
      </c>
      <c r="E1481" t="inlineStr">
        <is>
          <t>Italy</t>
        </is>
      </c>
    </row>
    <row r="1482">
      <c r="A1482" t="inlineStr">
        <is>
          <t>BrüggemannAlcohol Heilbronn GmbH,  Heilbronn, Germany</t>
        </is>
      </c>
      <c r="B1482" t="inlineStr">
        <is>
          <t>Collecting Point, Processing Unit, Trader with Storage, Point of Origin</t>
        </is>
      </c>
      <c r="C1482" t="inlineStr">
        <is>
          <t>SGS Germany GmbH, Emstek, DE</t>
        </is>
      </c>
      <c r="D1482" t="inlineStr">
        <is>
          <t>07.07.2027</t>
        </is>
      </c>
      <c r="E1482" t="inlineStr">
        <is>
          <t>Germany</t>
        </is>
      </c>
    </row>
    <row r="1483">
      <c r="A1483" t="inlineStr">
        <is>
          <t>Uni cycle Sdn Bhd,  Kg Kepayang Perak, Malaysia</t>
        </is>
      </c>
      <c r="B1483" t="inlineStr">
        <is>
          <t>Processing Unit</t>
        </is>
      </c>
      <c r="C1483" t="inlineStr">
        <is>
          <t>ASG Cert GmbH, Munich, DE</t>
        </is>
      </c>
      <c r="D1483" t="inlineStr">
        <is>
          <t>07.07.2027</t>
        </is>
      </c>
      <c r="E1483" t="inlineStr">
        <is>
          <t>Malaysia</t>
        </is>
      </c>
    </row>
    <row r="1484">
      <c r="A1484" t="inlineStr">
        <is>
          <t>Uni cycle Sdn Bhd,  Kg Kepayang Perak, Malaysia</t>
        </is>
      </c>
      <c r="B1484" t="inlineStr">
        <is>
          <t>Processing Unit</t>
        </is>
      </c>
      <c r="C1484" t="inlineStr">
        <is>
          <t>ASG Cert GmbH, Munich, DE</t>
        </is>
      </c>
      <c r="D1484" t="inlineStr">
        <is>
          <t>07.07.2027</t>
        </is>
      </c>
      <c r="E1484" t="inlineStr">
        <is>
          <t>Malaysia</t>
        </is>
      </c>
    </row>
    <row r="1485">
      <c r="A1485" t="inlineStr">
        <is>
          <t>Oleoinnova,  Mengibar, Spain</t>
        </is>
      </c>
      <c r="B1485" t="inlineStr">
        <is>
          <t>Collecting Point, Point of Origin, Trader with Storage, Warehouse, Processing Unit</t>
        </is>
      </c>
      <c r="C1485" t="inlineStr">
        <is>
          <t>RINA Services S.p.A., Genova, IT</t>
        </is>
      </c>
      <c r="D1485" t="inlineStr">
        <is>
          <t>07.07.2027</t>
        </is>
      </c>
      <c r="E1485" t="inlineStr">
        <is>
          <t>Spain</t>
        </is>
      </c>
    </row>
    <row r="1486">
      <c r="A1486" t="inlineStr">
        <is>
          <t>Bernard Agriculture,  SAINT ANDRE DE CORCY, France</t>
        </is>
      </c>
      <c r="B1486" t="inlineStr">
        <is>
          <t>First Gathering Point</t>
        </is>
      </c>
      <c r="C1486" t="inlineStr">
        <is>
          <t>RINA Services S.p.A., Genova, IT</t>
        </is>
      </c>
      <c r="D1486" t="inlineStr">
        <is>
          <t>07.07.2027</t>
        </is>
      </c>
      <c r="E1486" t="inlineStr">
        <is>
          <t>France</t>
        </is>
      </c>
    </row>
    <row r="1487">
      <c r="A1487" t="inlineStr">
        <is>
          <t>Australian Tallow Producers,  Brooklyn, Australia</t>
        </is>
      </c>
      <c r="B1487" t="inlineStr">
        <is>
          <t>Point of Origin, Trader with Storage</t>
        </is>
      </c>
      <c r="C1487" t="inlineStr">
        <is>
          <t>SGS Germany GmbH, Emstek, DE</t>
        </is>
      </c>
      <c r="D1487" t="inlineStr">
        <is>
          <t>06.07.2027</t>
        </is>
      </c>
      <c r="E1487" t="inlineStr">
        <is>
          <t>Australia</t>
        </is>
      </c>
    </row>
    <row r="1488">
      <c r="A1488" t="inlineStr">
        <is>
          <t>Stourport waste oils,  stourport on severn, The United Kingdom</t>
        </is>
      </c>
      <c r="B1488" t="inlineStr">
        <is>
          <t>Collecting Point</t>
        </is>
      </c>
      <c r="C1488" t="inlineStr">
        <is>
          <t>SGS Germany GmbH, Emstek, DE</t>
        </is>
      </c>
      <c r="D1488" t="inlineStr">
        <is>
          <t>06.07.2027</t>
        </is>
      </c>
      <c r="E1488" t="inlineStr">
        <is>
          <t>The United Kingdom</t>
        </is>
      </c>
    </row>
    <row r="1489">
      <c r="A1489" t="inlineStr">
        <is>
          <t>Cheekah-Kemayan Plantations Sdn Bhd,  Bera, Malaysia</t>
        </is>
      </c>
      <c r="B1489" t="inlineStr">
        <is>
          <t>Point of Origin</t>
        </is>
      </c>
      <c r="C1489" t="inlineStr">
        <is>
          <t>Global Gateway Certifications Sdn Bhd, Ampang, MY</t>
        </is>
      </c>
      <c r="D1489" t="inlineStr">
        <is>
          <t>06.07.2027</t>
        </is>
      </c>
      <c r="E1489" t="inlineStr">
        <is>
          <t>Malaysia</t>
        </is>
      </c>
    </row>
    <row r="1490">
      <c r="A1490" t="inlineStr">
        <is>
          <t>Reed City Group,  Reed City, Michigan, United States</t>
        </is>
      </c>
      <c r="B1490" t="inlineStr">
        <is>
          <t>Processing Unit</t>
        </is>
      </c>
      <c r="C1490" t="inlineStr">
        <is>
          <t>SCS Global Services, Emeryville, CA, US</t>
        </is>
      </c>
      <c r="D1490" t="inlineStr">
        <is>
          <t>06.07.2027</t>
        </is>
      </c>
      <c r="E1490" t="inlineStr">
        <is>
          <t>United States</t>
        </is>
      </c>
    </row>
    <row r="1491">
      <c r="A1491" t="inlineStr">
        <is>
          <t>Bunge Canada,  Altona, Canada</t>
        </is>
      </c>
      <c r="B1491" t="inlineStr">
        <is>
          <t>Processing Unit</t>
        </is>
      </c>
      <c r="C1491" t="inlineStr">
        <is>
          <t>Control Union Poland Sp. z o.o., Zielona Gora, PL</t>
        </is>
      </c>
      <c r="D1491" t="inlineStr">
        <is>
          <t>06.07.2027</t>
        </is>
      </c>
      <c r="E1491" t="inlineStr">
        <is>
          <t>Canada</t>
        </is>
      </c>
    </row>
    <row r="1492">
      <c r="A1492" t="inlineStr">
        <is>
          <t>Bunge Canada,  Altona, Canada</t>
        </is>
      </c>
      <c r="B1492" t="inlineStr">
        <is>
          <t>Processing Unit</t>
        </is>
      </c>
      <c r="C1492" t="inlineStr">
        <is>
          <t>Control Union Poland Sp. z o.o., Zielona Gora, PL</t>
        </is>
      </c>
      <c r="D1492" t="inlineStr">
        <is>
          <t>06.07.2027</t>
        </is>
      </c>
      <c r="E1492" t="inlineStr">
        <is>
          <t>Canada</t>
        </is>
      </c>
    </row>
    <row r="1493">
      <c r="A1493" t="inlineStr">
        <is>
          <t>Bunge Canada,  Altona, Canada</t>
        </is>
      </c>
      <c r="B1493" t="inlineStr">
        <is>
          <t>Processing Unit</t>
        </is>
      </c>
      <c r="C1493" t="inlineStr">
        <is>
          <t>Control Union Poland Sp. z o.o., Zielona Gora, PL</t>
        </is>
      </c>
      <c r="D1493" t="inlineStr">
        <is>
          <t>06.07.2027</t>
        </is>
      </c>
      <c r="E1493" t="inlineStr">
        <is>
          <t>Canada</t>
        </is>
      </c>
    </row>
    <row r="1494">
      <c r="A1494" t="inlineStr">
        <is>
          <t>BANDURSKY VEGETABLE OIL EXTRACTION PLANT,  Settlement of Bandurka, Pervomaisk district, Ukraine</t>
        </is>
      </c>
      <c r="B1494" t="inlineStr">
        <is>
          <t>Processing Unit</t>
        </is>
      </c>
      <c r="C1494" t="inlineStr">
        <is>
          <t>Bureau Veritas Polska Sp. z o.o., Warsaw, PL</t>
        </is>
      </c>
      <c r="D1494" t="inlineStr">
        <is>
          <t>06.07.2027</t>
        </is>
      </c>
      <c r="E1494" t="inlineStr">
        <is>
          <t>Ukraine</t>
        </is>
      </c>
    </row>
    <row r="1495">
      <c r="A1495" t="inlineStr">
        <is>
          <t>Barilla G. e R. F.lli S.p.A.,  Ascoli Piceno, Italy</t>
        </is>
      </c>
      <c r="B1495" t="inlineStr">
        <is>
          <t>Processing Unit</t>
        </is>
      </c>
      <c r="C1495" t="inlineStr">
        <is>
          <t>RINA Services S.p.A., Genova, IT</t>
        </is>
      </c>
      <c r="D1495" t="inlineStr">
        <is>
          <t>06.07.2027</t>
        </is>
      </c>
      <c r="E1495" t="inlineStr">
        <is>
          <t>Italy</t>
        </is>
      </c>
    </row>
    <row r="1496">
      <c r="A1496" t="inlineStr">
        <is>
          <t>MHB Kft.,  Budapest, Hungary</t>
        </is>
      </c>
      <c r="B1496" t="inlineStr">
        <is>
          <t>Collecting Point</t>
        </is>
      </c>
      <c r="C1496" t="inlineStr">
        <is>
          <t>SGS Germany GmbH, Emstek, DE</t>
        </is>
      </c>
      <c r="D1496" t="inlineStr">
        <is>
          <t>06.07.2027</t>
        </is>
      </c>
      <c r="E1496" t="inlineStr">
        <is>
          <t>Hungary</t>
        </is>
      </c>
    </row>
    <row r="1497">
      <c r="A1497" t="inlineStr">
        <is>
          <t>Drury Adams Limited,  Bacup, The United Kingdom</t>
        </is>
      </c>
      <c r="B1497" t="inlineStr">
        <is>
          <t>Final Product Refinement</t>
        </is>
      </c>
      <c r="C1497" t="inlineStr">
        <is>
          <t>SGS Germany GmbH, Emstek, DE</t>
        </is>
      </c>
      <c r="D1497" t="inlineStr">
        <is>
          <t>06.07.2027</t>
        </is>
      </c>
      <c r="E1497" t="inlineStr">
        <is>
          <t>The United Kingdom</t>
        </is>
      </c>
    </row>
    <row r="1498">
      <c r="A1498" t="inlineStr">
        <is>
          <t>Agrobeketinci d.o.o.,  Beketinci, Croatia</t>
        </is>
      </c>
      <c r="B1498" t="inlineStr">
        <is>
          <t>First Gathering Point, Trader</t>
        </is>
      </c>
      <c r="C1498" t="inlineStr">
        <is>
          <t>Bureau Veritas Polska Sp. z o.o., Warsaw, PL</t>
        </is>
      </c>
      <c r="D1498" t="inlineStr">
        <is>
          <t>06.07.2027</t>
        </is>
      </c>
      <c r="E1498" t="inlineStr">
        <is>
          <t>Croatia</t>
        </is>
      </c>
    </row>
    <row r="1499">
      <c r="A1499" t="inlineStr">
        <is>
          <t>Bio Tron Ekologija d.o.o.,  Gradiška, Bosnia and Herzegovina</t>
        </is>
      </c>
      <c r="B1499" t="inlineStr">
        <is>
          <t>Collecting Point, Trader with Storage</t>
        </is>
      </c>
      <c r="C1499" t="inlineStr">
        <is>
          <t>Bureau Veritas Polska Sp. z o.o., Warsaw, PL</t>
        </is>
      </c>
      <c r="D1499" t="inlineStr">
        <is>
          <t>06.07.2027</t>
        </is>
      </c>
      <c r="E1499" t="inlineStr">
        <is>
          <t>Bosnia and Herzegovina</t>
        </is>
      </c>
    </row>
    <row r="1500">
      <c r="A1500" t="inlineStr">
        <is>
          <t>New biodiesel Co.,LTD,  Surat Thani, Thailand</t>
        </is>
      </c>
      <c r="B1500" t="inlineStr">
        <is>
          <t>Collecting Point, Point of Origin, Processing Unit, Trader with Storage</t>
        </is>
      </c>
      <c r="C1500" t="inlineStr">
        <is>
          <t>TÜV NORD CERT GmbH, Essen, DE</t>
        </is>
      </c>
      <c r="D1500" t="inlineStr">
        <is>
          <t>06.07.2027</t>
        </is>
      </c>
      <c r="E1500" t="inlineStr">
        <is>
          <t>Thailand</t>
        </is>
      </c>
    </row>
    <row r="1501">
      <c r="A1501" t="inlineStr">
        <is>
          <t>Terra Cycle Sdn Bhd,  Kg, Kepayang Perak, Malaysia</t>
        </is>
      </c>
      <c r="B1501" t="inlineStr">
        <is>
          <t>Collecting Point, Processing Unit</t>
        </is>
      </c>
      <c r="C1501" t="inlineStr">
        <is>
          <t>ASG Cert GmbH, Munich, DE</t>
        </is>
      </c>
      <c r="D1501" t="inlineStr">
        <is>
          <t>06.07.2027</t>
        </is>
      </c>
      <c r="E1501" t="inlineStr">
        <is>
          <t>Malaysia</t>
        </is>
      </c>
    </row>
    <row r="1502">
      <c r="A1502" t="inlineStr">
        <is>
          <t>Terra Cycle Sdn Bhd,  Kg, Kepayang Perak, Malaysia</t>
        </is>
      </c>
      <c r="B1502" t="inlineStr">
        <is>
          <t>Collecting Point, Processing Unit</t>
        </is>
      </c>
      <c r="C1502" t="inlineStr">
        <is>
          <t>ASG Cert GmbH, Munich, DE</t>
        </is>
      </c>
      <c r="D1502" t="inlineStr">
        <is>
          <t>06.07.2027</t>
        </is>
      </c>
      <c r="E1502" t="inlineStr">
        <is>
          <t>Malaysia</t>
        </is>
      </c>
    </row>
    <row r="1503">
      <c r="A1503" t="inlineStr">
        <is>
          <t>Robert Taylor Tankers Limited,  Warminster, The United Kingdom</t>
        </is>
      </c>
      <c r="B1503" t="inlineStr">
        <is>
          <t>Collecting Point, Trader</t>
        </is>
      </c>
      <c r="C1503" t="inlineStr">
        <is>
          <t>Aardvark Certification Ltd, Wiveliscombe, Somerset, GB</t>
        </is>
      </c>
      <c r="D1503" t="inlineStr">
        <is>
          <t>06.07.2027</t>
        </is>
      </c>
      <c r="E1503" t="inlineStr">
        <is>
          <t>The United Kingdom</t>
        </is>
      </c>
    </row>
    <row r="1504">
      <c r="A1504" t="inlineStr">
        <is>
          <t>Organizzazione Produttori Cereali soc. cons. a r.l.,  Cotignola, RA, Italy</t>
        </is>
      </c>
      <c r="B1504" t="inlineStr">
        <is>
          <t>Trader</t>
        </is>
      </c>
      <c r="C1504" t="inlineStr">
        <is>
          <t>RINA Services S.p.A., Genova, IT</t>
        </is>
      </c>
      <c r="D1504" t="inlineStr">
        <is>
          <t>06.07.2027</t>
        </is>
      </c>
      <c r="E1504" t="inlineStr">
        <is>
          <t>Italy</t>
        </is>
      </c>
    </row>
    <row r="1505">
      <c r="A1505" t="inlineStr">
        <is>
          <t>Prysmian Cavi e Sistemi Italia,  Pignataro Maggiore, Italy</t>
        </is>
      </c>
      <c r="B1505" t="inlineStr">
        <is>
          <t>Processing Unit</t>
        </is>
      </c>
      <c r="C1505" t="inlineStr">
        <is>
          <t>Bureau Veritas Polska Sp. z o.o., Warsaw, PL</t>
        </is>
      </c>
      <c r="D1505" t="inlineStr">
        <is>
          <t>06.07.2027</t>
        </is>
      </c>
      <c r="E1505" t="inlineStr">
        <is>
          <t>Italy</t>
        </is>
      </c>
    </row>
    <row r="1506">
      <c r="A1506" t="inlineStr">
        <is>
          <t>GESTIÓN DE RESIDUOS MANCHEGOS,  Madridejos (Toledo), Spain</t>
        </is>
      </c>
      <c r="B1506" t="inlineStr">
        <is>
          <t>Point of Origin</t>
        </is>
      </c>
      <c r="C1506" t="inlineStr">
        <is>
          <t>RINA Services S.p.A., Genova, IT</t>
        </is>
      </c>
      <c r="D1506" t="inlineStr">
        <is>
          <t>06.07.2027</t>
        </is>
      </c>
      <c r="E1506" t="inlineStr">
        <is>
          <t>Spain</t>
        </is>
      </c>
    </row>
    <row r="1507">
      <c r="A1507" t="inlineStr">
        <is>
          <t>Carmeuse Slovakia,  Slavec, Slovakia</t>
        </is>
      </c>
      <c r="B1507" t="inlineStr">
        <is>
          <t>Collecting Point, Processing Unit</t>
        </is>
      </c>
      <c r="C1507" t="inlineStr">
        <is>
          <t>CertRom SRL, Bucuresti, RO</t>
        </is>
      </c>
      <c r="D1507" t="inlineStr">
        <is>
          <t>06.07.2027</t>
        </is>
      </c>
      <c r="E1507" t="inlineStr">
        <is>
          <t>Slovakia</t>
        </is>
      </c>
    </row>
    <row r="1508">
      <c r="A1508" t="inlineStr">
        <is>
          <t>Envalior Indústria de Materiais de Performance LTDA,  Porto Feliz, São Paulo, Brazil</t>
        </is>
      </c>
      <c r="B1508" t="inlineStr">
        <is>
          <t>Processing Unit</t>
        </is>
      </c>
      <c r="C1508" t="inlineStr">
        <is>
          <t>TÜV NORD CERT GmbH, Essen, DE</t>
        </is>
      </c>
      <c r="D1508" t="inlineStr">
        <is>
          <t>06.07.2027</t>
        </is>
      </c>
      <c r="E1508" t="inlineStr">
        <is>
          <t>Brazil</t>
        </is>
      </c>
    </row>
    <row r="1509">
      <c r="A1509" t="inlineStr">
        <is>
          <t>Luxol srl,  Lozzo di Cadore, Italy</t>
        </is>
      </c>
      <c r="B1509" t="inlineStr">
        <is>
          <t>Final Product Refinement, Processing Unit</t>
        </is>
      </c>
      <c r="C1509" t="inlineStr">
        <is>
          <t>ICIM SpA, sesto san giovanni, IT</t>
        </is>
      </c>
      <c r="D1509" t="inlineStr">
        <is>
          <t>06.07.2027</t>
        </is>
      </c>
      <c r="E1509" t="inlineStr">
        <is>
          <t>Italy</t>
        </is>
      </c>
    </row>
    <row r="1510">
      <c r="A1510" t="inlineStr">
        <is>
          <t>CF. STARCOMEXIM,  VIDELE, Romania</t>
        </is>
      </c>
      <c r="B1510" t="inlineStr">
        <is>
          <t>First Gathering Point, Trader with Storage</t>
        </is>
      </c>
      <c r="C1510" t="inlineStr">
        <is>
          <t>RINA Services S.p.A., Genova, IT</t>
        </is>
      </c>
      <c r="D1510" t="inlineStr">
        <is>
          <t>06.07.2027</t>
        </is>
      </c>
      <c r="E1510" t="inlineStr">
        <is>
          <t>Romania</t>
        </is>
      </c>
    </row>
    <row r="1511">
      <c r="A1511" t="inlineStr">
        <is>
          <t>Cycle 0 Maians S.L.,  manlleu, Spain</t>
        </is>
      </c>
      <c r="B1511" t="inlineStr">
        <is>
          <t>Collecting Point, Processing Unit</t>
        </is>
      </c>
      <c r="C1511" t="inlineStr">
        <is>
          <t>Amspec Iberia SL, Vilagarcia de Arousa-Pontevedra, ES</t>
        </is>
      </c>
      <c r="D1511" t="inlineStr">
        <is>
          <t>06.07.2027</t>
        </is>
      </c>
      <c r="E1511" t="inlineStr">
        <is>
          <t>Spain</t>
        </is>
      </c>
    </row>
    <row r="1512">
      <c r="A1512" t="inlineStr">
        <is>
          <t>Zakura Szövetkezet,  Bogyiszló, Hungary</t>
        </is>
      </c>
      <c r="B1512" t="inlineStr">
        <is>
          <t>First Gathering Point</t>
        </is>
      </c>
      <c r="C1512" t="inlineStr">
        <is>
          <t>Amspec Iberia SL, Vilagarcia de Arousa-Pontevedra, ES</t>
        </is>
      </c>
      <c r="D1512" t="inlineStr">
        <is>
          <t>06.07.2027</t>
        </is>
      </c>
      <c r="E1512" t="inlineStr">
        <is>
          <t>Hungary</t>
        </is>
      </c>
    </row>
    <row r="1513">
      <c r="A1513" t="inlineStr">
        <is>
          <t>Zhejiang Aodu Commodity Co.,Ltd,  Yongkang City, Jinhua City, China</t>
        </is>
      </c>
      <c r="B1513" t="inlineStr">
        <is>
          <t>Processing Unit</t>
        </is>
      </c>
      <c r="C1513" t="inlineStr">
        <is>
          <t>Extensive Standard Technical Services Co., Ltd., Hong Kong, CN</t>
        </is>
      </c>
      <c r="D1513" t="inlineStr">
        <is>
          <t>06.07.2027</t>
        </is>
      </c>
      <c r="E1513" t="inlineStr">
        <is>
          <t>China</t>
        </is>
      </c>
    </row>
    <row r="1514">
      <c r="A1514" t="inlineStr">
        <is>
          <t>Agroszolg-Trade Kft.,  Kalocsa, Hungary</t>
        </is>
      </c>
      <c r="B1514" t="inlineStr">
        <is>
          <t>First Gathering Point</t>
        </is>
      </c>
      <c r="C1514" t="inlineStr">
        <is>
          <t>Amspec Iberia SL, Vilagarcia de Arousa-Pontevedra, ES</t>
        </is>
      </c>
      <c r="D1514" t="inlineStr">
        <is>
          <t>06.07.2027</t>
        </is>
      </c>
      <c r="E1514" t="inlineStr">
        <is>
          <t>Hungary</t>
        </is>
      </c>
    </row>
    <row r="1515">
      <c r="A1515" t="inlineStr">
        <is>
          <t>Agranum Trade,  Sofia, Bulgaria</t>
        </is>
      </c>
      <c r="B1515" t="inlineStr">
        <is>
          <t>First Gathering Point, Trader</t>
        </is>
      </c>
      <c r="C1515" t="inlineStr">
        <is>
          <t>Control Union Poland Sp. z o.o., Zielona Gora, PL</t>
        </is>
      </c>
      <c r="D1515" t="inlineStr">
        <is>
          <t>06.07.2027</t>
        </is>
      </c>
      <c r="E1515" t="inlineStr">
        <is>
          <t>Bulgaria</t>
        </is>
      </c>
    </row>
    <row r="1516">
      <c r="A1516" t="inlineStr">
        <is>
          <t>GRANDO INVEST GROUP,  Karagash village, Slobodzeysky district, Moldova</t>
        </is>
      </c>
      <c r="B1516" t="inlineStr">
        <is>
          <t>First Gathering Point, Trader with Storage</t>
        </is>
      </c>
      <c r="C1516" t="inlineStr">
        <is>
          <t>Apex Genelab LLC, Odessa, UA</t>
        </is>
      </c>
      <c r="D1516" t="inlineStr">
        <is>
          <t>06.07.2027</t>
        </is>
      </c>
      <c r="E1516" t="inlineStr">
        <is>
          <t>Moldova</t>
        </is>
      </c>
    </row>
    <row r="1517">
      <c r="A1517" t="inlineStr">
        <is>
          <t>SFP Commodities BV,  Heerenveen, The Netherlands</t>
        </is>
      </c>
      <c r="B1517" t="inlineStr">
        <is>
          <t>Trader with Storage</t>
        </is>
      </c>
      <c r="C1517" t="inlineStr">
        <is>
          <t>Normec QS BV, Ede, NL</t>
        </is>
      </c>
      <c r="D1517" t="inlineStr">
        <is>
          <t>06.07.2027</t>
        </is>
      </c>
      <c r="E1517" t="inlineStr">
        <is>
          <t>The Netherlands</t>
        </is>
      </c>
    </row>
    <row r="1518">
      <c r="A1518" t="inlineStr">
        <is>
          <t>Palma Lestari Putra Borneo,  Kabupaten Ketapang, Indonesia</t>
        </is>
      </c>
      <c r="B1518" t="inlineStr">
        <is>
          <t>Point of Origin</t>
        </is>
      </c>
      <c r="C1518" t="inlineStr">
        <is>
          <t>PT. Qualitas Sertifikasi Indonesia, Jakarta, ID</t>
        </is>
      </c>
      <c r="D1518" t="inlineStr">
        <is>
          <t>06.07.2027</t>
        </is>
      </c>
      <c r="E1518" t="inlineStr">
        <is>
          <t>Indonesia</t>
        </is>
      </c>
    </row>
    <row r="1519">
      <c r="A1519" t="inlineStr">
        <is>
          <t>Palma Lestari Putra Borneo,  Kabupaten Ketapang, Indonesia</t>
        </is>
      </c>
      <c r="B1519" t="inlineStr">
        <is>
          <t>Point of Origin</t>
        </is>
      </c>
      <c r="C1519" t="inlineStr">
        <is>
          <t>PT. Qualitas Sertifikasi Indonesia, Jakarta, ID</t>
        </is>
      </c>
      <c r="D1519" t="inlineStr">
        <is>
          <t>06.07.2027</t>
        </is>
      </c>
      <c r="E1519" t="inlineStr">
        <is>
          <t>Indonesia</t>
        </is>
      </c>
    </row>
    <row r="1520">
      <c r="A1520" t="inlineStr">
        <is>
          <t>PROAGROS Levice, s.r.o.,  Levice, Slovakia</t>
        </is>
      </c>
      <c r="B1520" t="inlineStr">
        <is>
          <t>First Gathering Point, Trader with Storage</t>
        </is>
      </c>
      <c r="C1520" t="inlineStr">
        <is>
          <t>United Registrar of Systems Polska Sp. z o.o., Wrocław, PL</t>
        </is>
      </c>
      <c r="D1520" t="inlineStr">
        <is>
          <t>06.07.2027</t>
        </is>
      </c>
      <c r="E1520" t="inlineStr">
        <is>
          <t>Slovakia</t>
        </is>
      </c>
    </row>
    <row r="1521">
      <c r="A1521" t="inlineStr">
        <is>
          <t>PROAGROS Levice, s.r.o.,  Levice, Slovakia</t>
        </is>
      </c>
      <c r="B1521" t="inlineStr">
        <is>
          <t>First Gathering Point, Trader with Storage</t>
        </is>
      </c>
      <c r="C1521" t="inlineStr">
        <is>
          <t>United Registrar of Systems Polska Sp. z o.o., Wrocław, PL</t>
        </is>
      </c>
      <c r="D1521" t="inlineStr">
        <is>
          <t>06.07.2027</t>
        </is>
      </c>
      <c r="E1521" t="inlineStr">
        <is>
          <t>Slovakia</t>
        </is>
      </c>
    </row>
    <row r="1522">
      <c r="A1522" t="inlineStr">
        <is>
          <t>FU-LUH SHOES CO., LTD,  Tay Ninh Province, Vietnam</t>
        </is>
      </c>
      <c r="B1522" t="inlineStr">
        <is>
          <t>Final Product Refinement, Processing Unit</t>
        </is>
      </c>
      <c r="C1522" t="inlineStr">
        <is>
          <t>SGS Germany GmbH, Emstek, DE</t>
        </is>
      </c>
      <c r="D1522" t="inlineStr">
        <is>
          <t>06.07.2027</t>
        </is>
      </c>
      <c r="E1522" t="inlineStr">
        <is>
          <t>Vietnam</t>
        </is>
      </c>
    </row>
    <row r="1523">
      <c r="A1523" t="inlineStr">
        <is>
          <t>Otowa Printing Co.,LTD.,  Sayama-Shi,Saitama, Japan</t>
        </is>
      </c>
      <c r="B1523" t="inlineStr">
        <is>
          <t>Final Product Refinement</t>
        </is>
      </c>
      <c r="C1523" t="inlineStr">
        <is>
          <t>SGS Germany GmbH, Emstek, DE</t>
        </is>
      </c>
      <c r="D1523" t="inlineStr">
        <is>
          <t>06.07.2027</t>
        </is>
      </c>
      <c r="E1523" t="inlineStr">
        <is>
          <t>Japan</t>
        </is>
      </c>
    </row>
    <row r="1524">
      <c r="A1524" t="inlineStr">
        <is>
          <t>DAICEL CORPORATION,  Aboshi-ku, Himeji-shi, Hyogo, Japan</t>
        </is>
      </c>
      <c r="B1524" t="inlineStr">
        <is>
          <t>Processing Unit</t>
        </is>
      </c>
      <c r="C1524" t="inlineStr">
        <is>
          <t>SGS Germany GmbH, Emstek, DE</t>
        </is>
      </c>
      <c r="D1524" t="inlineStr">
        <is>
          <t>06.07.2027</t>
        </is>
      </c>
      <c r="E1524" t="inlineStr">
        <is>
          <t>Japan</t>
        </is>
      </c>
    </row>
    <row r="1525">
      <c r="A1525" t="inlineStr">
        <is>
          <t>Pla Matels Corporation,  Tokyo, Japan</t>
        </is>
      </c>
      <c r="B1525" t="inlineStr">
        <is>
          <t>Trader</t>
        </is>
      </c>
      <c r="C1525" t="inlineStr">
        <is>
          <t>SGS Germany GmbH, Emstek, DE</t>
        </is>
      </c>
      <c r="D1525" t="inlineStr">
        <is>
          <t>06.07.2027</t>
        </is>
      </c>
      <c r="E1525" t="inlineStr">
        <is>
          <t>Japan</t>
        </is>
      </c>
    </row>
    <row r="1526">
      <c r="A1526" t="inlineStr">
        <is>
          <t>FGV Palm Industries Sdn Bhd,  Mersing, Malaysia</t>
        </is>
      </c>
      <c r="B1526" t="inlineStr">
        <is>
          <t>Point of Origin</t>
        </is>
      </c>
      <c r="C1526" t="inlineStr">
        <is>
          <t>Trans Certification and Inspection Sdn Bhd, Kuantan, MY</t>
        </is>
      </c>
      <c r="D1526" t="inlineStr">
        <is>
          <t>06.07.2027</t>
        </is>
      </c>
      <c r="E1526" t="inlineStr">
        <is>
          <t>Malaysia</t>
        </is>
      </c>
    </row>
    <row r="1527">
      <c r="A1527" t="inlineStr">
        <is>
          <t>FGV Palm Industries Sdn Bhd,  Mersing, Malaysia</t>
        </is>
      </c>
      <c r="B1527" t="inlineStr">
        <is>
          <t>Point of Origin</t>
        </is>
      </c>
      <c r="C1527" t="inlineStr">
        <is>
          <t>Trans Certification and Inspection Sdn Bhd, Kuantan, MY</t>
        </is>
      </c>
      <c r="D1527" t="inlineStr">
        <is>
          <t>06.07.2027</t>
        </is>
      </c>
      <c r="E1527" t="inlineStr">
        <is>
          <t>Malaysia</t>
        </is>
      </c>
    </row>
    <row r="1528">
      <c r="A1528" t="inlineStr">
        <is>
          <t>TRUST(QING YUAN)SHOE MATERIALS CO.,LTD.,  Qingyuan, China</t>
        </is>
      </c>
      <c r="B1528" t="inlineStr">
        <is>
          <t>Processing Unit</t>
        </is>
      </c>
      <c r="C1528" t="inlineStr">
        <is>
          <t>CTI Certification Co. Ltd, Shenzhen, CN</t>
        </is>
      </c>
      <c r="D1528" t="inlineStr">
        <is>
          <t>06.07.2027</t>
        </is>
      </c>
      <c r="E1528" t="inlineStr">
        <is>
          <t>China</t>
        </is>
      </c>
    </row>
    <row r="1529">
      <c r="A1529" t="inlineStr">
        <is>
          <t>Dara Lam Soon,  Muadzam Shah, Pahang Darul Makmur, Malaysia</t>
        </is>
      </c>
      <c r="B1529" t="inlineStr">
        <is>
          <t>Point of Origin, Warehouse</t>
        </is>
      </c>
      <c r="C1529" t="inlineStr">
        <is>
          <t>PT Intertek Utama Services, Jakarta, ID</t>
        </is>
      </c>
      <c r="D1529" t="inlineStr">
        <is>
          <t>06.07.2027</t>
        </is>
      </c>
      <c r="E1529" t="inlineStr">
        <is>
          <t>Malaysia</t>
        </is>
      </c>
    </row>
    <row r="1530">
      <c r="A1530" t="inlineStr">
        <is>
          <t>HUAZERUIFU BIOTECHNOLOGY (GUANG ZHOU) CO., LTD,  Huangpu District, Guangzhou City, China</t>
        </is>
      </c>
      <c r="B1530" t="inlineStr">
        <is>
          <t>Processing Unit, Final Product Refinement</t>
        </is>
      </c>
      <c r="C1530" t="inlineStr">
        <is>
          <t>CTI Certification Co. Ltd, Shenzhen, CN</t>
        </is>
      </c>
      <c r="D1530" t="inlineStr">
        <is>
          <t>06.07.2027</t>
        </is>
      </c>
      <c r="E1530" t="inlineStr">
        <is>
          <t>China</t>
        </is>
      </c>
    </row>
    <row r="1531">
      <c r="A1531" t="inlineStr">
        <is>
          <t>Migasa Aceites S.L.U.,  Dos Hermanas (Sevilla), Spain</t>
        </is>
      </c>
      <c r="B1531" t="inlineStr">
        <is>
          <t>Point of Origin, Processing Unit, Warehouse, Trader with Storage</t>
        </is>
      </c>
      <c r="C1531" t="inlineStr">
        <is>
          <t>PT Intertek Utama Services, Jakarta, ID</t>
        </is>
      </c>
      <c r="D1531" t="inlineStr">
        <is>
          <t>06.07.2027</t>
        </is>
      </c>
      <c r="E1531" t="inlineStr">
        <is>
          <t>Spain</t>
        </is>
      </c>
    </row>
    <row r="1532">
      <c r="A1532" t="inlineStr">
        <is>
          <t>RD Australia Pty Ltd,  Sydney, Australia</t>
        </is>
      </c>
      <c r="B1532" t="inlineStr">
        <is>
          <t>Trader with Storage</t>
        </is>
      </c>
      <c r="C1532" t="inlineStr">
        <is>
          <t>BM Certification, Riga, LV</t>
        </is>
      </c>
      <c r="D1532" t="inlineStr">
        <is>
          <t>06.07.2027</t>
        </is>
      </c>
      <c r="E1532" t="inlineStr">
        <is>
          <t>Australia</t>
        </is>
      </c>
    </row>
    <row r="1533">
      <c r="A1533" t="inlineStr">
        <is>
          <t>LIMBURG SRL,  CHISINAU, Moldova</t>
        </is>
      </c>
      <c r="B1533" t="inlineStr">
        <is>
          <t>First Gathering Point, Trader with Storage</t>
        </is>
      </c>
      <c r="C1533" t="inlineStr">
        <is>
          <t>SRAC Cert SRL, Bucharest, RO</t>
        </is>
      </c>
      <c r="D1533" t="inlineStr">
        <is>
          <t>06.07.2027</t>
        </is>
      </c>
      <c r="E1533" t="inlineStr">
        <is>
          <t>Moldova</t>
        </is>
      </c>
    </row>
    <row r="1534">
      <c r="A1534" t="inlineStr">
        <is>
          <t>Chrisoula Spilioti,  Lavrio, Greece</t>
        </is>
      </c>
      <c r="B1534" t="inlineStr">
        <is>
          <t>Collecting Point</t>
        </is>
      </c>
      <c r="C1534" t="inlineStr">
        <is>
          <t>Eurocert SA, Metamorfosi, Athens, GR</t>
        </is>
      </c>
      <c r="D1534" t="inlineStr">
        <is>
          <t>05.07.2027</t>
        </is>
      </c>
      <c r="E1534" t="inlineStr">
        <is>
          <t>Greece</t>
        </is>
      </c>
    </row>
    <row r="1535">
      <c r="A1535" t="inlineStr">
        <is>
          <t>Frylite Ltd.,  Strabane, The United Kingdom</t>
        </is>
      </c>
      <c r="B1535" t="inlineStr">
        <is>
          <t>Collecting Point, Trader with Storage</t>
        </is>
      </c>
      <c r="C1535" t="inlineStr">
        <is>
          <t>Control Union Certifications Germany GmbH, Berlin, DE</t>
        </is>
      </c>
      <c r="D1535" t="inlineStr">
        <is>
          <t>05.07.2027</t>
        </is>
      </c>
      <c r="E1535" t="inlineStr">
        <is>
          <t>The United Kingdom</t>
        </is>
      </c>
    </row>
    <row r="1536">
      <c r="A1536" t="inlineStr">
        <is>
          <t>CAUBERE,  YEBLES, France</t>
        </is>
      </c>
      <c r="B1536" t="inlineStr">
        <is>
          <t>Processing Unit</t>
        </is>
      </c>
      <c r="C1536" t="inlineStr">
        <is>
          <t>Bureau Veritas Polska Sp. z o.o., Warsaw, PL</t>
        </is>
      </c>
      <c r="D1536" t="inlineStr">
        <is>
          <t>05.07.2027</t>
        </is>
      </c>
      <c r="E1536" t="inlineStr">
        <is>
          <t>France</t>
        </is>
      </c>
    </row>
    <row r="1537">
      <c r="A1537" t="inlineStr">
        <is>
          <t>Nanjing Jincheng Renewable Resources Co., Ltd,  Nanjing CIty, China</t>
        </is>
      </c>
      <c r="B1537" t="inlineStr">
        <is>
          <t>Trader</t>
        </is>
      </c>
      <c r="C1537" t="inlineStr">
        <is>
          <t>Bureau Veritas Polska Sp. z o.o., Warsaw, PL</t>
        </is>
      </c>
      <c r="D1537" t="inlineStr">
        <is>
          <t>05.07.2027</t>
        </is>
      </c>
      <c r="E1537" t="inlineStr">
        <is>
          <t>China</t>
        </is>
      </c>
    </row>
    <row r="1538">
      <c r="A1538" t="inlineStr">
        <is>
          <t>MBP Solutions Ltd,  Neuchatel, Switzerland</t>
        </is>
      </c>
      <c r="B1538" t="inlineStr">
        <is>
          <t>Collecting Point, Biomarine Fuel Operator, Trader with Storage</t>
        </is>
      </c>
      <c r="C1538" t="inlineStr">
        <is>
          <t>Control Union Certifications Germany GmbH, Berlin, DE</t>
        </is>
      </c>
      <c r="D1538" t="inlineStr">
        <is>
          <t>05.07.2027</t>
        </is>
      </c>
      <c r="E1538" t="inlineStr">
        <is>
          <t>Switzerland</t>
        </is>
      </c>
    </row>
    <row r="1539">
      <c r="A1539" t="inlineStr">
        <is>
          <t>Tongchuan City Industrial Park Investment, Development and Operation Co., Ltd.,  Tongchuan City, Shaanxi Province, China</t>
        </is>
      </c>
      <c r="B1539" t="inlineStr">
        <is>
          <t>Trader</t>
        </is>
      </c>
      <c r="C1539" t="inlineStr">
        <is>
          <t>SCS Global Services, Emeryville, CA, US</t>
        </is>
      </c>
      <c r="D1539" t="inlineStr">
        <is>
          <t>05.07.2027</t>
        </is>
      </c>
      <c r="E1539" t="inlineStr">
        <is>
          <t>China</t>
        </is>
      </c>
    </row>
    <row r="1540">
      <c r="A1540" t="inlineStr">
        <is>
          <t>Agro Oil Service S.R.L.,  Slobozia, Romania</t>
        </is>
      </c>
      <c r="B1540" t="inlineStr">
        <is>
          <t>First Gathering Point, Trader with Storage</t>
        </is>
      </c>
      <c r="C1540" t="inlineStr">
        <is>
          <t>SGS Germany GmbH, Emstek, DE</t>
        </is>
      </c>
      <c r="D1540" t="inlineStr">
        <is>
          <t>05.07.2027</t>
        </is>
      </c>
      <c r="E1540" t="inlineStr">
        <is>
          <t>Romania</t>
        </is>
      </c>
    </row>
    <row r="1541">
      <c r="A1541" t="inlineStr">
        <is>
          <t>DP LUBRIFICANTI,  Aprilia, Italy</t>
        </is>
      </c>
      <c r="B1541" t="inlineStr">
        <is>
          <t>Point of Origin, Processing Unit, Trader with Storage</t>
        </is>
      </c>
      <c r="C1541" t="inlineStr">
        <is>
          <t>SGS Germany GmbH, Emstek, DE</t>
        </is>
      </c>
      <c r="D1541" t="inlineStr">
        <is>
          <t>05.07.2027</t>
        </is>
      </c>
      <c r="E1541" t="inlineStr">
        <is>
          <t>Italy</t>
        </is>
      </c>
    </row>
    <row r="1542">
      <c r="A1542" t="inlineStr">
        <is>
          <t>Sucroalcolera del Chira S.A.,  Sullana, Ignacio Escudero, Peru</t>
        </is>
      </c>
      <c r="B1542" t="inlineStr">
        <is>
          <t>First Gathering Point, Processing Unit</t>
        </is>
      </c>
      <c r="C1542" t="inlineStr">
        <is>
          <t>Control Union Poland Sp. z o.o., Zielona Gora, PL</t>
        </is>
      </c>
      <c r="D1542" t="inlineStr">
        <is>
          <t>05.07.2027</t>
        </is>
      </c>
      <c r="E1542" t="inlineStr">
        <is>
          <t>Peru</t>
        </is>
      </c>
    </row>
    <row r="1543">
      <c r="A1543" t="inlineStr">
        <is>
          <t>KATSIKOPOULOS DIMITRIOS KAI SIA E.E.,  MITILINIOI, SAMOS, Greece</t>
        </is>
      </c>
      <c r="B1543" t="inlineStr">
        <is>
          <t>Collecting Point</t>
        </is>
      </c>
      <c r="C1543" t="inlineStr">
        <is>
          <t>Eurocert SA, Metamorfosi, Athens, GR</t>
        </is>
      </c>
      <c r="D1543" t="inlineStr">
        <is>
          <t>05.07.2027</t>
        </is>
      </c>
      <c r="E1543" t="inlineStr">
        <is>
          <t>Greece</t>
        </is>
      </c>
    </row>
    <row r="1544">
      <c r="A1544" t="inlineStr">
        <is>
          <t>ITOCHU Corporation,  Minato-ku, Tokyo, Japan</t>
        </is>
      </c>
      <c r="B1544" t="inlineStr">
        <is>
          <t>Trader with Storage</t>
        </is>
      </c>
      <c r="C1544" t="inlineStr">
        <is>
          <t>Control Union Certifications Germany GmbH, Berlin, DE</t>
        </is>
      </c>
      <c r="D1544" t="inlineStr">
        <is>
          <t>05.07.2027</t>
        </is>
      </c>
      <c r="E1544" t="inlineStr">
        <is>
          <t>Japan</t>
        </is>
      </c>
    </row>
    <row r="1545">
      <c r="A1545" t="inlineStr">
        <is>
          <t>Csali Hungaria Zrt.,  Kiskunhalas, Hungary</t>
        </is>
      </c>
      <c r="B1545" t="inlineStr">
        <is>
          <t>Point of Origin</t>
        </is>
      </c>
      <c r="C1545" t="inlineStr">
        <is>
          <t>Amspec Iberia SL, Vilagarcia de Arousa-Pontevedra, ES</t>
        </is>
      </c>
      <c r="D1545" t="inlineStr">
        <is>
          <t>05.07.2027</t>
        </is>
      </c>
      <c r="E1545" t="inlineStr">
        <is>
          <t>Hungary</t>
        </is>
      </c>
    </row>
    <row r="1546">
      <c r="A1546" t="inlineStr">
        <is>
          <t>PT. Agro Muko - Mukomuko POM,  Kec. Teras Terunjam, Kab. Mukomuko, Prov. Bengkulu, Indonesia</t>
        </is>
      </c>
      <c r="B1546" t="inlineStr">
        <is>
          <t>First Gathering Point, Processing Unit</t>
        </is>
      </c>
      <c r="C1546" t="inlineStr">
        <is>
          <t>PT SBC Asia Sertifikasi, Kebumen, ID</t>
        </is>
      </c>
      <c r="D1546" t="inlineStr">
        <is>
          <t>05.07.2027</t>
        </is>
      </c>
      <c r="E1546" t="inlineStr">
        <is>
          <t>Indonesia</t>
        </is>
      </c>
    </row>
    <row r="1547">
      <c r="A1547" t="inlineStr">
        <is>
          <t>Quick Wonder Glasses Jiangxi Co., Ltd,  Yingtan City, Jiangxi Province, China</t>
        </is>
      </c>
      <c r="B1547" t="inlineStr">
        <is>
          <t>Processing Unit, Trader</t>
        </is>
      </c>
      <c r="C1547" t="inlineStr">
        <is>
          <t>SCS Global Services, Emeryville, CA, US</t>
        </is>
      </c>
      <c r="D1547" t="inlineStr">
        <is>
          <t>05.07.2027</t>
        </is>
      </c>
      <c r="E1547" t="inlineStr">
        <is>
          <t>China</t>
        </is>
      </c>
    </row>
    <row r="1548">
      <c r="A1548" t="inlineStr">
        <is>
          <t>Green Energy Koggenland BV,  Hensbroek, The Netherlands</t>
        </is>
      </c>
      <c r="B1548" t="inlineStr">
        <is>
          <t>Collecting Point, Processing Unit</t>
        </is>
      </c>
      <c r="C1548" t="inlineStr">
        <is>
          <t>Normec QS BV, Ede, NL</t>
        </is>
      </c>
      <c r="D1548" t="inlineStr">
        <is>
          <t>05.07.2027</t>
        </is>
      </c>
      <c r="E1548" t="inlineStr">
        <is>
          <t>The Netherlands</t>
        </is>
      </c>
    </row>
    <row r="1549">
      <c r="A1549" t="inlineStr">
        <is>
          <t>PT. Agro Muko Tank Terminal,  Teluk Bayur, Padang, Sumatera Barat, Indonesia</t>
        </is>
      </c>
      <c r="B1549" t="inlineStr">
        <is>
          <t>Warehouse</t>
        </is>
      </c>
      <c r="C1549" t="inlineStr">
        <is>
          <t>PT SBC Asia Sertifikasi, Kebumen, ID</t>
        </is>
      </c>
      <c r="D1549" t="inlineStr">
        <is>
          <t>05.07.2027</t>
        </is>
      </c>
      <c r="E1549" t="inlineStr">
        <is>
          <t>Indonesia</t>
        </is>
      </c>
    </row>
    <row r="1550">
      <c r="A1550" t="inlineStr">
        <is>
          <t>HUHTAMAKI (VIETNAM) LIMITED,  Ho Chi Minh, Vietnam</t>
        </is>
      </c>
      <c r="B1550" t="inlineStr">
        <is>
          <t>Processing Unit</t>
        </is>
      </c>
      <c r="C1550" t="inlineStr">
        <is>
          <t>Bureau Veritas Polska Sp. z o.o., Warsaw, PL</t>
        </is>
      </c>
      <c r="D1550" t="inlineStr">
        <is>
          <t>05.07.2027</t>
        </is>
      </c>
      <c r="E1550" t="inlineStr">
        <is>
          <t>Vietnam</t>
        </is>
      </c>
    </row>
    <row r="1551">
      <c r="A1551" t="inlineStr">
        <is>
          <t>Mauer + Partner GmbH,  Kittsee, Austria</t>
        </is>
      </c>
      <c r="B1551" t="inlineStr">
        <is>
          <t>Processing Unit</t>
        </is>
      </c>
      <c r="C1551" t="inlineStr">
        <is>
          <t>GUT Certifizierungsgesellschaft für Managementsysteme mbH Umweltgutachter, Berlin, DE</t>
        </is>
      </c>
      <c r="D1551" t="inlineStr">
        <is>
          <t>05.07.2027</t>
        </is>
      </c>
      <c r="E1551" t="inlineStr">
        <is>
          <t>Austria</t>
        </is>
      </c>
    </row>
    <row r="1552">
      <c r="A1552" t="inlineStr">
        <is>
          <t>MELITEK A/S,  Nr. Alslev, Denmark</t>
        </is>
      </c>
      <c r="B1552" t="inlineStr">
        <is>
          <t>Processing Unit</t>
        </is>
      </c>
      <c r="C1552" t="inlineStr">
        <is>
          <t>Baltic Control Certification, Albertslund, DK</t>
        </is>
      </c>
      <c r="D1552" t="inlineStr">
        <is>
          <t>05.07.2027</t>
        </is>
      </c>
      <c r="E1552" t="inlineStr">
        <is>
          <t>Denmark</t>
        </is>
      </c>
    </row>
    <row r="1553">
      <c r="A1553" t="inlineStr">
        <is>
          <t>Kunststoffwerk Kutterer,  Karlsruhe, Germany</t>
        </is>
      </c>
      <c r="B1553" t="inlineStr">
        <is>
          <t>Processing Unit</t>
        </is>
      </c>
      <c r="C1553" t="inlineStr">
        <is>
          <t>GUT Certifizierungsgesellschaft für Managementsysteme mbH Umweltgutachter, Berlin, DE</t>
        </is>
      </c>
      <c r="D1553" t="inlineStr">
        <is>
          <t>05.07.2027</t>
        </is>
      </c>
      <c r="E1553" t="inlineStr">
        <is>
          <t>Germany</t>
        </is>
      </c>
    </row>
    <row r="1554">
      <c r="A1554" t="inlineStr">
        <is>
          <t>Amcor Flexibles Porto,  Seixezelo - Vila Nova de Gaia, Portugal</t>
        </is>
      </c>
      <c r="B1554" t="inlineStr">
        <is>
          <t>Processing Unit</t>
        </is>
      </c>
      <c r="C1554" t="inlineStr">
        <is>
          <t>SGS Germany GmbH, Emstek, DE</t>
        </is>
      </c>
      <c r="D1554" t="inlineStr">
        <is>
          <t>05.07.2027</t>
        </is>
      </c>
      <c r="E1554" t="inlineStr">
        <is>
          <t>Portugal</t>
        </is>
      </c>
    </row>
    <row r="1555">
      <c r="A1555" t="inlineStr">
        <is>
          <t>Alcotra S.A.,  Geneva, Switzerland</t>
        </is>
      </c>
      <c r="B1555" t="inlineStr">
        <is>
          <t>Trader</t>
        </is>
      </c>
      <c r="C1555" t="inlineStr">
        <is>
          <t>SGS Germany GmbH, Emstek, DE</t>
        </is>
      </c>
      <c r="D1555" t="inlineStr">
        <is>
          <t>05.07.2027</t>
        </is>
      </c>
      <c r="E1555" t="inlineStr">
        <is>
          <t>Switzerland</t>
        </is>
      </c>
    </row>
    <row r="1556">
      <c r="A1556" t="inlineStr">
        <is>
          <t>Kaszat-2003 Kft,  Szolnok út, Hungary</t>
        </is>
      </c>
      <c r="B1556" t="inlineStr">
        <is>
          <t>First Gathering Point</t>
        </is>
      </c>
      <c r="C1556" t="inlineStr">
        <is>
          <t>BM Certification, Riga, LV</t>
        </is>
      </c>
      <c r="D1556" t="inlineStr">
        <is>
          <t>05.07.2027</t>
        </is>
      </c>
      <c r="E1556" t="inlineStr">
        <is>
          <t>Hungary</t>
        </is>
      </c>
    </row>
    <row r="1557">
      <c r="A1557" t="inlineStr">
        <is>
          <t>Alcotra S.A.,  Geneva, Switzerland</t>
        </is>
      </c>
      <c r="B1557" t="inlineStr">
        <is>
          <t>Trader</t>
        </is>
      </c>
      <c r="C1557" t="inlineStr">
        <is>
          <t>SGS Germany GmbH, Emstek, DE</t>
        </is>
      </c>
      <c r="D1557" t="inlineStr">
        <is>
          <t>05.07.2027</t>
        </is>
      </c>
      <c r="E1557" t="inlineStr">
        <is>
          <t>Switzerland</t>
        </is>
      </c>
    </row>
    <row r="1558">
      <c r="A1558" t="inlineStr">
        <is>
          <t>Shandong Sanju Bioenergy Co., Ltd.,  Rizhao city, Shandong Province, China</t>
        </is>
      </c>
      <c r="B1558" t="inlineStr">
        <is>
          <t>Processing Unit, Trader with Storage</t>
        </is>
      </c>
      <c r="C1558" t="inlineStr">
        <is>
          <t>SCS Global Services, Emeryville, CA, US</t>
        </is>
      </c>
      <c r="D1558" t="inlineStr">
        <is>
          <t>05.07.2027</t>
        </is>
      </c>
      <c r="E1558" t="inlineStr">
        <is>
          <t>China</t>
        </is>
      </c>
    </row>
    <row r="1559">
      <c r="A1559" t="inlineStr">
        <is>
          <t>MAYUANDA TOYS (HK) CO., LIMITED,  Hongkong, China</t>
        </is>
      </c>
      <c r="B1559" t="inlineStr">
        <is>
          <t>Trader</t>
        </is>
      </c>
      <c r="C1559" t="inlineStr">
        <is>
          <t>Bureau Veritas Consumer Products Services, Inc., Buffalo, NY, US</t>
        </is>
      </c>
      <c r="D1559" t="inlineStr">
        <is>
          <t>05.07.2027</t>
        </is>
      </c>
      <c r="E1559" t="inlineStr">
        <is>
          <t>China</t>
        </is>
      </c>
    </row>
    <row r="1560">
      <c r="A1560" t="inlineStr">
        <is>
          <t>Ibero Chemical - Combustiveis, S.A,  Figueira da Foz, Portugal</t>
        </is>
      </c>
      <c r="B1560" t="inlineStr">
        <is>
          <t>Trader</t>
        </is>
      </c>
      <c r="C1560" t="inlineStr">
        <is>
          <t>Amspec Iberia SL, Vilagarcia de Arousa-Pontevedra, ES</t>
        </is>
      </c>
      <c r="D1560" t="inlineStr">
        <is>
          <t>05.07.2027</t>
        </is>
      </c>
      <c r="E1560" t="inlineStr">
        <is>
          <t>Portugal</t>
        </is>
      </c>
    </row>
    <row r="1561">
      <c r="A1561" t="inlineStr">
        <is>
          <t>Wuxi Rongyao Renewable Energy Technology Co., Ltd.,  Wuxi City, Jiangsu Province, China</t>
        </is>
      </c>
      <c r="B1561" t="inlineStr">
        <is>
          <t>Processing Unit</t>
        </is>
      </c>
      <c r="C1561" t="inlineStr">
        <is>
          <t>SCS Global Services, Emeryville, CA, US</t>
        </is>
      </c>
      <c r="D1561" t="inlineStr">
        <is>
          <t>05.07.2027</t>
        </is>
      </c>
      <c r="E1561" t="inlineStr">
        <is>
          <t>China</t>
        </is>
      </c>
    </row>
    <row r="1562">
      <c r="A1562" t="inlineStr">
        <is>
          <t>GRP Limited,  Panoli, Dist. Bharuch, Gujarat, India</t>
        </is>
      </c>
      <c r="B1562" t="inlineStr">
        <is>
          <t>Collecting Point, Processing Unit</t>
        </is>
      </c>
      <c r="C1562" t="inlineStr">
        <is>
          <t>TÜV SÜD Industrie Service GmbH, München, DE</t>
        </is>
      </c>
      <c r="D1562" t="inlineStr">
        <is>
          <t>05.07.2027</t>
        </is>
      </c>
      <c r="E1562" t="inlineStr">
        <is>
          <t>India</t>
        </is>
      </c>
    </row>
    <row r="1563">
      <c r="A1563" t="inlineStr">
        <is>
          <t>L.E.A SRL,  MARTINSICURO, Italy</t>
        </is>
      </c>
      <c r="B1563" t="inlineStr">
        <is>
          <t>Collecting Point, Processing Unit</t>
        </is>
      </c>
      <c r="C1563" t="inlineStr">
        <is>
          <t>PT Intertek Utama Services, Jakarta, ID</t>
        </is>
      </c>
      <c r="D1563" t="inlineStr">
        <is>
          <t>05.07.2027</t>
        </is>
      </c>
      <c r="E1563" t="inlineStr">
        <is>
          <t>Italy</t>
        </is>
      </c>
    </row>
    <row r="1564">
      <c r="A1564" t="inlineStr">
        <is>
          <t>SPIC AGRO S.R.L.,  BL.I1, AP.6, CAREI, Romania</t>
        </is>
      </c>
      <c r="B1564" t="inlineStr">
        <is>
          <t>First Gathering Point, Trader with Storage</t>
        </is>
      </c>
      <c r="C1564" t="inlineStr">
        <is>
          <t>SRAC Cert SRL, Bucharest, RO</t>
        </is>
      </c>
      <c r="D1564" t="inlineStr">
        <is>
          <t>05.07.2027</t>
        </is>
      </c>
      <c r="E1564" t="inlineStr">
        <is>
          <t>Romania</t>
        </is>
      </c>
    </row>
    <row r="1565">
      <c r="A1565" t="inlineStr">
        <is>
          <t>HWASONG INDUSTRY,  Daejeong-eup, Seogwipo-si, Jeju-do, The Republic of Korea</t>
        </is>
      </c>
      <c r="B1565" t="inlineStr">
        <is>
          <t>Point of Origin</t>
        </is>
      </c>
      <c r="C1565" t="inlineStr">
        <is>
          <t>Control Union Certifications Germany GmbH, Berlin, DE</t>
        </is>
      </c>
      <c r="D1565" t="inlineStr">
        <is>
          <t>05.07.2027</t>
        </is>
      </c>
      <c r="E1565" t="inlineStr">
        <is>
          <t>The Republic of Korea</t>
        </is>
      </c>
    </row>
    <row r="1566">
      <c r="A1566" t="inlineStr">
        <is>
          <t>BANAT AGRI GROUP,  Timisoara, Timis County, Romania</t>
        </is>
      </c>
      <c r="B1566" t="inlineStr">
        <is>
          <t>First Gathering Point</t>
        </is>
      </c>
      <c r="C1566" t="inlineStr">
        <is>
          <t>SRAC Cert SRL, Bucharest, RO</t>
        </is>
      </c>
      <c r="D1566" t="inlineStr">
        <is>
          <t>05.07.2027</t>
        </is>
      </c>
      <c r="E1566" t="inlineStr">
        <is>
          <t>Romania</t>
        </is>
      </c>
    </row>
    <row r="1567">
      <c r="A1567" t="inlineStr">
        <is>
          <t>Bunge Canada,  Hamilton, Canada</t>
        </is>
      </c>
      <c r="B1567" t="inlineStr">
        <is>
          <t>Processing Unit</t>
        </is>
      </c>
      <c r="C1567" t="inlineStr">
        <is>
          <t>Control Union Poland Sp. z o.o., Zielona Gora, PL</t>
        </is>
      </c>
      <c r="D1567" t="inlineStr">
        <is>
          <t>05.07.2027</t>
        </is>
      </c>
      <c r="E1567" t="inlineStr">
        <is>
          <t>Canada</t>
        </is>
      </c>
    </row>
    <row r="1568">
      <c r="A1568" t="inlineStr">
        <is>
          <t>Bunge Canada,  Hamilton, Canada</t>
        </is>
      </c>
      <c r="B1568" t="inlineStr">
        <is>
          <t>Processing Unit</t>
        </is>
      </c>
      <c r="C1568" t="inlineStr">
        <is>
          <t>Control Union Poland Sp. z o.o., Zielona Gora, PL</t>
        </is>
      </c>
      <c r="D1568" t="inlineStr">
        <is>
          <t>05.07.2027</t>
        </is>
      </c>
      <c r="E1568" t="inlineStr">
        <is>
          <t>Canada</t>
        </is>
      </c>
    </row>
    <row r="1569">
      <c r="A1569" t="inlineStr">
        <is>
          <t>MODERN GULF INTERNATIONAL LLC,  AL DAKHILIYAH, Oman</t>
        </is>
      </c>
      <c r="B1569" t="inlineStr">
        <is>
          <t>Collecting Point, Trader with Storage</t>
        </is>
      </c>
      <c r="C1569" t="inlineStr">
        <is>
          <t>PT Mutuagung Lestari, Depok, ID</t>
        </is>
      </c>
      <c r="D1569" t="inlineStr">
        <is>
          <t>05.07.2027</t>
        </is>
      </c>
      <c r="E1569" t="inlineStr">
        <is>
          <t>Oman</t>
        </is>
      </c>
    </row>
    <row r="1570">
      <c r="A1570" t="inlineStr">
        <is>
          <t>Fishfa Rubbers Limited,  Rajkot, India</t>
        </is>
      </c>
      <c r="B1570" t="inlineStr">
        <is>
          <t>Processing Unit</t>
        </is>
      </c>
      <c r="C1570" t="inlineStr">
        <is>
          <t>Cotecna India Inspection Pvt Ltd, Kolkata, IN</t>
        </is>
      </c>
      <c r="D1570" t="inlineStr">
        <is>
          <t>05.07.2027</t>
        </is>
      </c>
      <c r="E1570" t="inlineStr">
        <is>
          <t>India</t>
        </is>
      </c>
    </row>
    <row r="1571">
      <c r="A1571" t="inlineStr">
        <is>
          <t>AGS Hrvatska d.o.o.,  Zagreb, Croatia</t>
        </is>
      </c>
      <c r="B1571" t="inlineStr">
        <is>
          <t>Trader with Storage</t>
        </is>
      </c>
      <c r="C1571" t="inlineStr">
        <is>
          <t>Bureau Veritas Polska Sp. z o.o., Warsaw, PL</t>
        </is>
      </c>
      <c r="D1571" t="inlineStr">
        <is>
          <t>05.07.2027</t>
        </is>
      </c>
      <c r="E1571" t="inlineStr">
        <is>
          <t>Croatia</t>
        </is>
      </c>
    </row>
    <row r="1572">
      <c r="A1572" t="inlineStr">
        <is>
          <t>GRAIN RESOURCES BLACK SEA LTD,  Strovolos, 2018，Nicosia, Cyprus</t>
        </is>
      </c>
      <c r="B1572" t="inlineStr">
        <is>
          <t>Trader with Storage</t>
        </is>
      </c>
      <c r="C1572" t="inlineStr">
        <is>
          <t>Bureau Veritas Polska Sp. z o.o., Warsaw, PL</t>
        </is>
      </c>
      <c r="D1572" t="inlineStr">
        <is>
          <t>05.07.2027</t>
        </is>
      </c>
      <c r="E1572" t="inlineStr">
        <is>
          <t>Cyprus</t>
        </is>
      </c>
    </row>
    <row r="1573">
      <c r="A1573" t="inlineStr">
        <is>
          <t>KH MARQUE PTE LTD,  Singapore, Singapore</t>
        </is>
      </c>
      <c r="B1573" t="inlineStr">
        <is>
          <t>Collecting Point, Trader with Storage</t>
        </is>
      </c>
      <c r="C1573" t="inlineStr">
        <is>
          <t>Trans Certification and Inspection Sdn Bhd, Kuantan, MY</t>
        </is>
      </c>
      <c r="D1573" t="inlineStr">
        <is>
          <t>05.07.2027</t>
        </is>
      </c>
      <c r="E1573" t="inlineStr">
        <is>
          <t>Singapore</t>
        </is>
      </c>
    </row>
    <row r="1574">
      <c r="A1574" t="inlineStr">
        <is>
          <t>RE-POL Innovációs Kft.,  Karcag, Hungary</t>
        </is>
      </c>
      <c r="B1574" t="inlineStr">
        <is>
          <t>Collecting Point, Point of Origin, Processing Unit, Trader with Storage</t>
        </is>
      </c>
      <c r="C1574" t="inlineStr">
        <is>
          <t>BM Certification, Riga, LV</t>
        </is>
      </c>
      <c r="D1574" t="inlineStr">
        <is>
          <t>05.07.2027</t>
        </is>
      </c>
      <c r="E1574" t="inlineStr">
        <is>
          <t>Hungary</t>
        </is>
      </c>
    </row>
    <row r="1575">
      <c r="A1575" t="inlineStr">
        <is>
          <t>RE-POL Innovációs Kft.,  Karcag, Hungary</t>
        </is>
      </c>
      <c r="B1575" t="inlineStr">
        <is>
          <t>Collecting Point, Point of Origin, Processing Unit, Trader with Storage</t>
        </is>
      </c>
      <c r="C1575" t="inlineStr">
        <is>
          <t>BM Certification, Riga, LV</t>
        </is>
      </c>
      <c r="D1575" t="inlineStr">
        <is>
          <t>05.07.2027</t>
        </is>
      </c>
      <c r="E1575" t="inlineStr">
        <is>
          <t>Hungary</t>
        </is>
      </c>
    </row>
    <row r="1576">
      <c r="A1576" t="inlineStr">
        <is>
          <t>VERBIO North America, LLC,  Stamford, United States</t>
        </is>
      </c>
      <c r="B1576" t="inlineStr">
        <is>
          <t>Trader with Storage</t>
        </is>
      </c>
      <c r="C1576" t="inlineStr">
        <is>
          <t>Control Union Poland Sp. z o.o., Zielona Gora, PL</t>
        </is>
      </c>
      <c r="D1576" t="inlineStr">
        <is>
          <t>04.07.2027</t>
        </is>
      </c>
      <c r="E1576" t="inlineStr">
        <is>
          <t>United States</t>
        </is>
      </c>
    </row>
    <row r="1577">
      <c r="A1577" t="inlineStr">
        <is>
          <t>Bioprotect,  Stăuceni, Moldova</t>
        </is>
      </c>
      <c r="B1577" t="inlineStr">
        <is>
          <t>First Gathering Point</t>
        </is>
      </c>
      <c r="C1577" t="inlineStr">
        <is>
          <t>SGS Germany GmbH, Emstek, DE</t>
        </is>
      </c>
      <c r="D1577" t="inlineStr">
        <is>
          <t>04.07.2027</t>
        </is>
      </c>
      <c r="E1577" t="inlineStr">
        <is>
          <t>Moldova</t>
        </is>
      </c>
    </row>
    <row r="1578">
      <c r="A1578" t="inlineStr">
        <is>
          <t>SEPANG DYNAMICS SDN BHD,  PASIR GUDANG, Malaysia</t>
        </is>
      </c>
      <c r="B1578" t="inlineStr">
        <is>
          <t>Trader with Storage, Warehouse</t>
        </is>
      </c>
      <c r="C1578" t="inlineStr">
        <is>
          <t>Trans Certification and Inspection Sdn Bhd, Kuantan, MY</t>
        </is>
      </c>
      <c r="D1578" t="inlineStr">
        <is>
          <t>04.07.2027</t>
        </is>
      </c>
      <c r="E1578" t="inlineStr">
        <is>
          <t>Malaysia</t>
        </is>
      </c>
    </row>
    <row r="1579">
      <c r="A1579" t="inlineStr">
        <is>
          <t>Jiaao International trading (Singapore) PTE Ltd,  Tongxiang, Jiaxing City, Zhejiang Province, China</t>
        </is>
      </c>
      <c r="B1579" t="inlineStr">
        <is>
          <t>Trader</t>
        </is>
      </c>
      <c r="C1579" t="inlineStr">
        <is>
          <t>RINA Services S.p.A., Genova, IT</t>
        </is>
      </c>
      <c r="D1579" t="inlineStr">
        <is>
          <t>04.07.2027</t>
        </is>
      </c>
      <c r="E1579" t="inlineStr">
        <is>
          <t>China</t>
        </is>
      </c>
    </row>
    <row r="1580">
      <c r="A1580" t="inlineStr">
        <is>
          <t>Arkema France,  Saint-Auban, France</t>
        </is>
      </c>
      <c r="B1580" t="inlineStr">
        <is>
          <t>Processing Unit</t>
        </is>
      </c>
      <c r="C1580" t="inlineStr">
        <is>
          <t>DNV Business Assurance Sweden AB, Solna, SE</t>
        </is>
      </c>
      <c r="D1580" t="inlineStr">
        <is>
          <t>04.07.2027</t>
        </is>
      </c>
      <c r="E1580" t="inlineStr">
        <is>
          <t>France</t>
        </is>
      </c>
    </row>
    <row r="1581">
      <c r="A1581" t="inlineStr">
        <is>
          <t>Mitsui Chemicals Sun Alloys,  Sodegaura, Chiba, Japan</t>
        </is>
      </c>
      <c r="B1581" t="inlineStr">
        <is>
          <t>Processing Unit</t>
        </is>
      </c>
      <c r="C1581" t="inlineStr">
        <is>
          <t>Control Union Certifications Germany GmbH, Berlin, DE</t>
        </is>
      </c>
      <c r="D1581" t="inlineStr">
        <is>
          <t>04.07.2027</t>
        </is>
      </c>
      <c r="E1581" t="inlineStr">
        <is>
          <t>Japan</t>
        </is>
      </c>
    </row>
    <row r="1582">
      <c r="A1582" t="inlineStr">
        <is>
          <t>SC LA CIMP NOU SRL,  CAJVANA, Romania</t>
        </is>
      </c>
      <c r="B1582" t="inlineStr">
        <is>
          <t>First Gathering Point, Trader with Storage</t>
        </is>
      </c>
      <c r="C1582" t="inlineStr">
        <is>
          <t>Control Union Certifications Germany GmbH, Berlin, DE</t>
        </is>
      </c>
      <c r="D1582" t="inlineStr">
        <is>
          <t>04.07.2027</t>
        </is>
      </c>
      <c r="E1582" t="inlineStr">
        <is>
          <t>Romania</t>
        </is>
      </c>
    </row>
    <row r="1583">
      <c r="A1583" t="inlineStr">
        <is>
          <t>SunAllomer Ltd,  Oita, Japan</t>
        </is>
      </c>
      <c r="B1583" t="inlineStr">
        <is>
          <t>Processing Unit</t>
        </is>
      </c>
      <c r="C1583" t="inlineStr">
        <is>
          <t>Control Union Certifications Germany GmbH, Berlin, DE</t>
        </is>
      </c>
      <c r="D1583" t="inlineStr">
        <is>
          <t>04.07.2027</t>
        </is>
      </c>
      <c r="E1583" t="inlineStr">
        <is>
          <t>Japan</t>
        </is>
      </c>
    </row>
    <row r="1584">
      <c r="A1584" t="inlineStr">
        <is>
          <t>Cargill Palm Products - Westport Refinery,  Selangor, Malaysia</t>
        </is>
      </c>
      <c r="B1584" t="inlineStr">
        <is>
          <t>Point of Origin</t>
        </is>
      </c>
      <c r="C1584" t="inlineStr">
        <is>
          <t>Control Union Certifications Germany GmbH, Berlin, DE</t>
        </is>
      </c>
      <c r="D1584" t="inlineStr">
        <is>
          <t>04.07.2027</t>
        </is>
      </c>
      <c r="E1584" t="inlineStr">
        <is>
          <t>Malaysia</t>
        </is>
      </c>
    </row>
    <row r="1585">
      <c r="A1585" t="inlineStr">
        <is>
          <t>Lamprint Packaging Holdings Ltd,  Petone, New Zealand</t>
        </is>
      </c>
      <c r="B1585" t="inlineStr">
        <is>
          <t>Processing Unit</t>
        </is>
      </c>
      <c r="C1585" t="inlineStr">
        <is>
          <t>SCS Global Services, Emeryville, CA, US</t>
        </is>
      </c>
      <c r="D1585" t="inlineStr">
        <is>
          <t>04.07.2027</t>
        </is>
      </c>
      <c r="E1585" t="inlineStr">
        <is>
          <t>New Zealand</t>
        </is>
      </c>
    </row>
    <row r="1586">
      <c r="A1586" t="inlineStr">
        <is>
          <t>Polyprint A/S,  Hedensted, Denmark</t>
        </is>
      </c>
      <c r="B1586" t="inlineStr">
        <is>
          <t>Processing Unit</t>
        </is>
      </c>
      <c r="C1586" t="inlineStr">
        <is>
          <t>Baltic Control Certification, Albertslund, DK</t>
        </is>
      </c>
      <c r="D1586" t="inlineStr">
        <is>
          <t>04.07.2027</t>
        </is>
      </c>
      <c r="E1586" t="inlineStr">
        <is>
          <t>Denmark</t>
        </is>
      </c>
    </row>
    <row r="1587">
      <c r="A1587" t="inlineStr">
        <is>
          <t>Stena Recycling AB,  Halmstad, Sweden</t>
        </is>
      </c>
      <c r="B1587" t="inlineStr">
        <is>
          <t>Collecting Point, Trader with Storage</t>
        </is>
      </c>
      <c r="C1587" t="inlineStr">
        <is>
          <t>DNV Business Assurance Sweden AB, Solna, SE</t>
        </is>
      </c>
      <c r="D1587" t="inlineStr">
        <is>
          <t>04.07.2027</t>
        </is>
      </c>
      <c r="E1587" t="inlineStr">
        <is>
          <t>Sweden</t>
        </is>
      </c>
    </row>
    <row r="1588">
      <c r="A1588" t="inlineStr">
        <is>
          <t>SunAllomer Ltd,  Kanagawa, Japan</t>
        </is>
      </c>
      <c r="B1588" t="inlineStr">
        <is>
          <t>Processing Unit</t>
        </is>
      </c>
      <c r="C1588" t="inlineStr">
        <is>
          <t>Control Union Certifications Germany GmbH, Berlin, DE</t>
        </is>
      </c>
      <c r="D1588" t="inlineStr">
        <is>
          <t>04.07.2027</t>
        </is>
      </c>
      <c r="E1588" t="inlineStr">
        <is>
          <t>Japan</t>
        </is>
      </c>
    </row>
    <row r="1589">
      <c r="A1589" t="inlineStr">
        <is>
          <t>SG dujos, UAB,  Vilnius, Lithuania</t>
        </is>
      </c>
      <c r="B1589" t="inlineStr">
        <is>
          <t>Proof of Compliance Trader, Trader</t>
        </is>
      </c>
      <c r="C1589" t="inlineStr">
        <is>
          <t>Bureau Veritas Polska Sp. z o.o., Warsaw, PL</t>
        </is>
      </c>
      <c r="D1589" t="inlineStr">
        <is>
          <t>04.07.2027</t>
        </is>
      </c>
      <c r="E1589" t="inlineStr">
        <is>
          <t>Lithuania</t>
        </is>
      </c>
    </row>
    <row r="1590">
      <c r="A1590" t="inlineStr">
        <is>
          <t>Nike IHM, Inc.,  Beaverton, United States</t>
        </is>
      </c>
      <c r="B1590" t="inlineStr">
        <is>
          <t>Processing Unit</t>
        </is>
      </c>
      <c r="C1590" t="inlineStr">
        <is>
          <t>PT Intertek Utama Services, Jakarta, ID</t>
        </is>
      </c>
      <c r="D1590" t="inlineStr">
        <is>
          <t>04.07.2027</t>
        </is>
      </c>
      <c r="E1590" t="inlineStr">
        <is>
          <t>United States</t>
        </is>
      </c>
    </row>
    <row r="1591">
      <c r="A1591" t="inlineStr">
        <is>
          <t>Nike IHM, Inc.,  St. Charles, United States</t>
        </is>
      </c>
      <c r="B1591" t="inlineStr">
        <is>
          <t>Processing Unit</t>
        </is>
      </c>
      <c r="C1591" t="inlineStr">
        <is>
          <t>PT Intertek Utama Services, Jakarta, ID</t>
        </is>
      </c>
      <c r="D1591" t="inlineStr">
        <is>
          <t>04.07.2027</t>
        </is>
      </c>
      <c r="E1591" t="inlineStr">
        <is>
          <t>United States</t>
        </is>
      </c>
    </row>
    <row r="1592">
      <c r="A1592" t="inlineStr">
        <is>
          <t>TURKBIN ULUSLARARASI ILISKILER A.S.,  SARIYER, Türkiye</t>
        </is>
      </c>
      <c r="B1592" t="inlineStr">
        <is>
          <t>Trader</t>
        </is>
      </c>
      <c r="C1592" t="inlineStr">
        <is>
          <t>SGS Germany GmbH, Emstek, DE</t>
        </is>
      </c>
      <c r="D1592" t="inlineStr">
        <is>
          <t>04.07.2027</t>
        </is>
      </c>
      <c r="E1592" t="inlineStr">
        <is>
          <t>Türkiye</t>
        </is>
      </c>
    </row>
    <row r="1593">
      <c r="A1593" t="inlineStr">
        <is>
          <t>Ege Solventum Yag ve Kimyasal Madde Tedarik Anonim Sirketi,  KONAK/IZMIR, Türkiye</t>
        </is>
      </c>
      <c r="B1593" t="inlineStr">
        <is>
          <t>Trader</t>
        </is>
      </c>
      <c r="C1593" t="inlineStr">
        <is>
          <t>BM Certification, Riga, LV</t>
        </is>
      </c>
      <c r="D1593" t="inlineStr">
        <is>
          <t>04.07.2027</t>
        </is>
      </c>
      <c r="E1593" t="inlineStr">
        <is>
          <t>Türkiye</t>
        </is>
      </c>
    </row>
    <row r="1594">
      <c r="A1594" t="inlineStr">
        <is>
          <t>Napra Mezőgazdasági Szövetkezet,  Marcali, Hungary</t>
        </is>
      </c>
      <c r="B1594" t="inlineStr">
        <is>
          <t>First Gathering Point, Trader with Storage</t>
        </is>
      </c>
      <c r="C1594" t="inlineStr">
        <is>
          <t>BM Certification, Riga, LV</t>
        </is>
      </c>
      <c r="D1594" t="inlineStr">
        <is>
          <t>04.07.2027</t>
        </is>
      </c>
      <c r="E1594" t="inlineStr">
        <is>
          <t>Hungary</t>
        </is>
      </c>
    </row>
    <row r="1595">
      <c r="A1595" t="inlineStr">
        <is>
          <t>Green Recycling Sh.p.k.,  Kamez, Tirana, Albania</t>
        </is>
      </c>
      <c r="B1595" t="inlineStr">
        <is>
          <t>Collecting Point</t>
        </is>
      </c>
      <c r="C1595" t="inlineStr">
        <is>
          <t>SGS Germany GmbH, Emstek, DE</t>
        </is>
      </c>
      <c r="D1595" t="inlineStr">
        <is>
          <t>04.07.2027</t>
        </is>
      </c>
      <c r="E1595" t="inlineStr">
        <is>
          <t>Albania</t>
        </is>
      </c>
    </row>
    <row r="1596">
      <c r="A1596" t="inlineStr">
        <is>
          <t>Viterra Bulgaria,  Sofia, Bulgaria</t>
        </is>
      </c>
      <c r="B1596" t="inlineStr">
        <is>
          <t>Trader with Storage</t>
        </is>
      </c>
      <c r="C1596" t="inlineStr">
        <is>
          <t>SGS Germany GmbH, Emstek, DE</t>
        </is>
      </c>
      <c r="D1596" t="inlineStr">
        <is>
          <t>04.07.2027</t>
        </is>
      </c>
      <c r="E1596" t="inlineStr">
        <is>
          <t>Bulgaria</t>
        </is>
      </c>
    </row>
    <row r="1597">
      <c r="A1597" t="inlineStr">
        <is>
          <t>Shuye SK Chemicals (Shantou) Co. ltd,  Yanhong, Chenghai, Shantou, Guangdong, China</t>
        </is>
      </c>
      <c r="B1597" t="inlineStr">
        <is>
          <t>Processing Unit</t>
        </is>
      </c>
      <c r="C1597" t="inlineStr">
        <is>
          <t>SGS Germany GmbH, Emstek, DE</t>
        </is>
      </c>
      <c r="D1597" t="inlineStr">
        <is>
          <t>04.07.2027</t>
        </is>
      </c>
      <c r="E1597" t="inlineStr">
        <is>
          <t>China</t>
        </is>
      </c>
    </row>
    <row r="1598">
      <c r="A1598" t="inlineStr">
        <is>
          <t>Danfond A/S,  Sønderborg, Denmark</t>
        </is>
      </c>
      <c r="B1598" t="inlineStr">
        <is>
          <t>Collecting Point</t>
        </is>
      </c>
      <c r="C1598" t="inlineStr">
        <is>
          <t>GUT Certifizierungsgesellschaft für Managementsysteme mbH Umweltgutachter, Berlin, DE</t>
        </is>
      </c>
      <c r="D1598" t="inlineStr">
        <is>
          <t>04.07.2027</t>
        </is>
      </c>
      <c r="E1598" t="inlineStr">
        <is>
          <t>Denmark</t>
        </is>
      </c>
    </row>
    <row r="1599">
      <c r="A1599" t="inlineStr">
        <is>
          <t>Maicerias Españolas,S.A.,  Almassera-Valencia, Spain</t>
        </is>
      </c>
      <c r="B1599" t="inlineStr">
        <is>
          <t>Trader with Storage</t>
        </is>
      </c>
      <c r="C1599" t="inlineStr">
        <is>
          <t>Control Union Poland Sp. z o.o., Zielona Gora, PL</t>
        </is>
      </c>
      <c r="D1599" t="inlineStr">
        <is>
          <t>04.07.2027</t>
        </is>
      </c>
      <c r="E1599" t="inlineStr">
        <is>
          <t>Spain</t>
        </is>
      </c>
    </row>
    <row r="1600">
      <c r="A1600" t="inlineStr">
        <is>
          <t>Zhejiang Jiaren New Materials Co., Ltd. Shaoxing Manufacturing Branch,  Shaoxing, China</t>
        </is>
      </c>
      <c r="B1600" t="inlineStr">
        <is>
          <t>Processing Unit</t>
        </is>
      </c>
      <c r="C1600" t="inlineStr">
        <is>
          <t>SGS Germany GmbH, Emstek, DE</t>
        </is>
      </c>
      <c r="D1600" t="inlineStr">
        <is>
          <t>04.07.2027</t>
        </is>
      </c>
      <c r="E1600" t="inlineStr">
        <is>
          <t>China</t>
        </is>
      </c>
    </row>
    <row r="1601">
      <c r="A1601" t="inlineStr">
        <is>
          <t>Zhejiang Jiaren New Materials Co., Ltd.,  Shaoxing, China</t>
        </is>
      </c>
      <c r="B1601" t="inlineStr">
        <is>
          <t>Trader with Storage</t>
        </is>
      </c>
      <c r="C1601" t="inlineStr">
        <is>
          <t>SGS Germany GmbH, Emstek, DE</t>
        </is>
      </c>
      <c r="D1601" t="inlineStr">
        <is>
          <t>04.07.2027</t>
        </is>
      </c>
      <c r="E1601" t="inlineStr">
        <is>
          <t>China</t>
        </is>
      </c>
    </row>
    <row r="1602">
      <c r="A1602" t="inlineStr">
        <is>
          <t>Gabona-2003 Kft,  Szolnok, Hungary</t>
        </is>
      </c>
      <c r="B1602" t="inlineStr">
        <is>
          <t>First Gathering Point</t>
        </is>
      </c>
      <c r="C1602" t="inlineStr">
        <is>
          <t>BM Certification, Riga, LV</t>
        </is>
      </c>
      <c r="D1602" t="inlineStr">
        <is>
          <t>04.07.2027</t>
        </is>
      </c>
      <c r="E1602" t="inlineStr">
        <is>
          <t>Hungary</t>
        </is>
      </c>
    </row>
    <row r="1603">
      <c r="A1603" t="inlineStr">
        <is>
          <t>Dow Europe GmbH,  Dordrecht, The Netherlands</t>
        </is>
      </c>
      <c r="B1603" t="inlineStr">
        <is>
          <t>Processing Unit</t>
        </is>
      </c>
      <c r="C1603" t="inlineStr">
        <is>
          <t>SGS Germany GmbH, Emstek, DE</t>
        </is>
      </c>
      <c r="D1603" t="inlineStr">
        <is>
          <t>04.07.2027</t>
        </is>
      </c>
      <c r="E1603" t="inlineStr">
        <is>
          <t>The Netherlands</t>
        </is>
      </c>
    </row>
    <row r="1604">
      <c r="A1604" t="inlineStr">
        <is>
          <t>Jiangxi Huaqing Glasses Co. Ltd.,  Yingtan City, Jiangxi Province, China</t>
        </is>
      </c>
      <c r="B1604" t="inlineStr">
        <is>
          <t>Processing Unit</t>
        </is>
      </c>
      <c r="C1604" t="inlineStr">
        <is>
          <t>DIN CERTCO GmbH, Berlin, DE</t>
        </is>
      </c>
      <c r="D1604" t="inlineStr">
        <is>
          <t>04.07.2027</t>
        </is>
      </c>
      <c r="E1604" t="inlineStr">
        <is>
          <t>China</t>
        </is>
      </c>
    </row>
    <row r="1605">
      <c r="A1605" t="inlineStr">
        <is>
          <t>Cereali Padenna Societa’ Cooperativa Agricola,  Cotignola, Ravenna, Italy</t>
        </is>
      </c>
      <c r="B1605" t="inlineStr">
        <is>
          <t>First Gathering Point</t>
        </is>
      </c>
      <c r="C1605" t="inlineStr">
        <is>
          <t>RINA Services S.p.A., Genova, IT</t>
        </is>
      </c>
      <c r="D1605" t="inlineStr">
        <is>
          <t>04.07.2027</t>
        </is>
      </c>
      <c r="E1605" t="inlineStr">
        <is>
          <t>Italy</t>
        </is>
      </c>
    </row>
    <row r="1606">
      <c r="A1606" t="inlineStr">
        <is>
          <t>Veolia Energy Contracting Poland Sp.zo.o.,  Warszawa, Poland</t>
        </is>
      </c>
      <c r="B1606" t="inlineStr">
        <is>
          <t>Trader</t>
        </is>
      </c>
      <c r="C1606" t="inlineStr">
        <is>
          <t>Bureau Veritas Polska Sp. z o.o., Warsaw, PL</t>
        </is>
      </c>
      <c r="D1606" t="inlineStr">
        <is>
          <t>04.07.2027</t>
        </is>
      </c>
      <c r="E1606" t="inlineStr">
        <is>
          <t>Poland</t>
        </is>
      </c>
    </row>
    <row r="1607">
      <c r="A1607" t="inlineStr">
        <is>
          <t>PT. Medan Bioenergy Nusantara,  Kab. Deli Serdang, Indonesia</t>
        </is>
      </c>
      <c r="B1607" t="inlineStr">
        <is>
          <t>Collecting Point, Trader with Storage</t>
        </is>
      </c>
      <c r="C1607" t="inlineStr">
        <is>
          <t>Trans Certification and Inspection Sdn Bhd, Kuantan, MY</t>
        </is>
      </c>
      <c r="D1607" t="inlineStr">
        <is>
          <t>04.07.2027</t>
        </is>
      </c>
      <c r="E1607" t="inlineStr">
        <is>
          <t>Indonesia</t>
        </is>
      </c>
    </row>
    <row r="1608">
      <c r="A1608" t="inlineStr">
        <is>
          <t>Veolia Environmental Services BE,  Beerse, Belgium</t>
        </is>
      </c>
      <c r="B1608" t="inlineStr">
        <is>
          <t>Collecting Point</t>
        </is>
      </c>
      <c r="C1608" t="inlineStr">
        <is>
          <t>DEKRA Certification B.V., Arnhem, NL</t>
        </is>
      </c>
      <c r="D1608" t="inlineStr">
        <is>
          <t>04.07.2027</t>
        </is>
      </c>
      <c r="E1608" t="inlineStr">
        <is>
          <t>Belgium</t>
        </is>
      </c>
    </row>
    <row r="1609">
      <c r="A1609" t="inlineStr">
        <is>
          <t>SABIC Innovative Plastics B.V.,  Bergen op Zoom, The Netherlands</t>
        </is>
      </c>
      <c r="B1609" t="inlineStr">
        <is>
          <t>Processing Unit, Trader with Storage</t>
        </is>
      </c>
      <c r="C1609" t="inlineStr">
        <is>
          <t>TÜV NORD CERT GmbH, Essen, DE</t>
        </is>
      </c>
      <c r="D1609" t="inlineStr">
        <is>
          <t>04.07.2027</t>
        </is>
      </c>
      <c r="E1609" t="inlineStr">
        <is>
          <t>The Netherlands</t>
        </is>
      </c>
    </row>
    <row r="1610">
      <c r="A1610" t="inlineStr">
        <is>
          <t>SABIC Innovative Plastics España S.C.P.A,  La Aljorra, Cartagena, Spain</t>
        </is>
      </c>
      <c r="B1610" t="inlineStr">
        <is>
          <t>Processing Unit</t>
        </is>
      </c>
      <c r="C1610" t="inlineStr">
        <is>
          <t>TÜV NORD CERT GmbH, Essen, DE</t>
        </is>
      </c>
      <c r="D1610" t="inlineStr">
        <is>
          <t>04.07.2027</t>
        </is>
      </c>
      <c r="E1610" t="inlineStr">
        <is>
          <t>Spain</t>
        </is>
      </c>
    </row>
    <row r="1611">
      <c r="A1611" t="inlineStr">
        <is>
          <t>PB Gelatins GmbH,  Nienburg, Germany</t>
        </is>
      </c>
      <c r="B1611" t="inlineStr">
        <is>
          <t>Point of Origin</t>
        </is>
      </c>
      <c r="C1611" t="inlineStr">
        <is>
          <t>Control Union Certifications Germany GmbH, Berlin, DE</t>
        </is>
      </c>
      <c r="D1611" t="inlineStr">
        <is>
          <t>04.07.2027</t>
        </is>
      </c>
      <c r="E1611" t="inlineStr">
        <is>
          <t>Germany</t>
        </is>
      </c>
    </row>
    <row r="1612">
      <c r="A1612" t="inlineStr">
        <is>
          <t>VERBIO North America, LLC,  Stamford, United States</t>
        </is>
      </c>
      <c r="B1612" t="inlineStr">
        <is>
          <t>Trader with Storage</t>
        </is>
      </c>
      <c r="C1612" t="inlineStr">
        <is>
          <t>Control Union Poland Sp. z o.o., Zielona Gora, PL</t>
        </is>
      </c>
      <c r="D1612" t="inlineStr">
        <is>
          <t>04.07.2027</t>
        </is>
      </c>
      <c r="E1612" t="inlineStr">
        <is>
          <t>United States</t>
        </is>
      </c>
    </row>
    <row r="1613">
      <c r="A1613" t="inlineStr">
        <is>
          <t>Nokian Tyres plc,  Nokia, Finland</t>
        </is>
      </c>
      <c r="B1613" t="inlineStr">
        <is>
          <t>Processing Unit, Final Product Refinement</t>
        </is>
      </c>
      <c r="C1613" t="inlineStr">
        <is>
          <t>DNV Business Assurance Sweden AB, Solna, SE</t>
        </is>
      </c>
      <c r="D1613" t="inlineStr">
        <is>
          <t>04.07.2027</t>
        </is>
      </c>
      <c r="E1613" t="inlineStr">
        <is>
          <t>Finland</t>
        </is>
      </c>
    </row>
    <row r="1614">
      <c r="A1614" t="inlineStr">
        <is>
          <t>Speiseresteentsorgung Lindinger GmbH,  Schwarzach, Pongau, Austria</t>
        </is>
      </c>
      <c r="B1614" t="inlineStr">
        <is>
          <t>Collecting Point</t>
        </is>
      </c>
      <c r="C1614" t="inlineStr">
        <is>
          <t>agroVet GmbH, Enzersfeld, AT</t>
        </is>
      </c>
      <c r="D1614" t="inlineStr">
        <is>
          <t>03.07.2027</t>
        </is>
      </c>
      <c r="E1614" t="inlineStr">
        <is>
          <t>Austria</t>
        </is>
      </c>
    </row>
    <row r="1615">
      <c r="A1615" t="inlineStr">
        <is>
          <t>Agroprosperis Trade LLC,  Vinnytsia, Ukraine</t>
        </is>
      </c>
      <c r="B1615" t="inlineStr">
        <is>
          <t>First Gathering Point, Trader with Storage</t>
        </is>
      </c>
      <c r="C1615" t="inlineStr">
        <is>
          <t>SGS Germany GmbH, Emstek, DE</t>
        </is>
      </c>
      <c r="D1615" t="inlineStr">
        <is>
          <t>03.07.2027</t>
        </is>
      </c>
      <c r="E1615" t="inlineStr">
        <is>
          <t>Ukraine</t>
        </is>
      </c>
    </row>
    <row r="1616">
      <c r="A1616" t="inlineStr">
        <is>
          <t>BP Europa SE Oddzial w Polsce,  Krakow, Poland</t>
        </is>
      </c>
      <c r="B1616" t="inlineStr">
        <is>
          <t>Trader with Storage</t>
        </is>
      </c>
      <c r="C1616" t="inlineStr">
        <is>
          <t>Control Union Poland Sp. z o.o., Zielona Gora, PL</t>
        </is>
      </c>
      <c r="D1616" t="inlineStr">
        <is>
          <t>03.07.2027</t>
        </is>
      </c>
      <c r="E1616" t="inlineStr">
        <is>
          <t>Poland</t>
        </is>
      </c>
    </row>
    <row r="1617">
      <c r="A1617" t="inlineStr">
        <is>
          <t>newagri società agricola,  Felino (PR), Italy</t>
        </is>
      </c>
      <c r="B1617" t="inlineStr">
        <is>
          <t>Farm / Plantation</t>
        </is>
      </c>
      <c r="C1617" t="inlineStr">
        <is>
          <t>RINA Services S.p.A., Genova, IT</t>
        </is>
      </c>
      <c r="D1617" t="inlineStr">
        <is>
          <t>03.07.2027</t>
        </is>
      </c>
      <c r="E1617" t="inlineStr">
        <is>
          <t>Italy</t>
        </is>
      </c>
    </row>
    <row r="1618">
      <c r="A1618" t="inlineStr">
        <is>
          <t>Axpo Iberia SLU,  Madrid, Spain</t>
        </is>
      </c>
      <c r="B1618" t="inlineStr">
        <is>
          <t>Trader</t>
        </is>
      </c>
      <c r="C1618" t="inlineStr">
        <is>
          <t>Control Union Poland Sp. z o.o., Zielona Gora, PL</t>
        </is>
      </c>
      <c r="D1618" t="inlineStr">
        <is>
          <t>03.07.2027</t>
        </is>
      </c>
      <c r="E1618" t="inlineStr">
        <is>
          <t>Spain</t>
        </is>
      </c>
    </row>
    <row r="1619">
      <c r="A1619" t="inlineStr">
        <is>
          <t>SUMEC HONG KONG COMPANY LIMITED,  XUANWU DISTRICT, NANJING, China</t>
        </is>
      </c>
      <c r="B1619" t="inlineStr">
        <is>
          <t>Trader with Storage</t>
        </is>
      </c>
      <c r="C1619" t="inlineStr">
        <is>
          <t>RINA Services S.p.A., Genova, IT</t>
        </is>
      </c>
      <c r="D1619" t="inlineStr">
        <is>
          <t>03.07.2027</t>
        </is>
      </c>
      <c r="E1619" t="inlineStr">
        <is>
          <t>China</t>
        </is>
      </c>
    </row>
    <row r="1620">
      <c r="A1620" t="inlineStr">
        <is>
          <t>BIR Bioressurs AS,  Voss, Norway</t>
        </is>
      </c>
      <c r="B1620" t="inlineStr">
        <is>
          <t>Collecting Point, Processing Unit</t>
        </is>
      </c>
      <c r="C1620" t="inlineStr">
        <is>
          <t>ASG Cert GmbH, Munich, DE</t>
        </is>
      </c>
      <c r="D1620" t="inlineStr">
        <is>
          <t>03.07.2027</t>
        </is>
      </c>
      <c r="E1620" t="inlineStr">
        <is>
          <t>Norway</t>
        </is>
      </c>
    </row>
    <row r="1621">
      <c r="A1621" t="inlineStr">
        <is>
          <t>Foshan Huahaoneng Energy Investment Co., Ltd,  Foshan City, China</t>
        </is>
      </c>
      <c r="B1621" t="inlineStr">
        <is>
          <t>Trader with Storage</t>
        </is>
      </c>
      <c r="C1621" t="inlineStr">
        <is>
          <t>China Standard Conformity Assessment Co. Ltd, Beijing, CN</t>
        </is>
      </c>
      <c r="D1621" t="inlineStr">
        <is>
          <t>03.07.2027</t>
        </is>
      </c>
      <c r="E1621" t="inlineStr">
        <is>
          <t>China</t>
        </is>
      </c>
    </row>
    <row r="1622">
      <c r="A1622" t="inlineStr">
        <is>
          <t>AGROM CZ, s.r.o.,  Dobruška, Czech Republic</t>
        </is>
      </c>
      <c r="B1622" t="inlineStr">
        <is>
          <t>First Gathering Point, Trader with Storage, Warehouse</t>
        </is>
      </c>
      <c r="C1622" t="inlineStr">
        <is>
          <t>United Registrar of Systems Polska Sp. z o.o., Wrocław, PL</t>
        </is>
      </c>
      <c r="D1622" t="inlineStr">
        <is>
          <t>03.07.2027</t>
        </is>
      </c>
      <c r="E1622" t="inlineStr">
        <is>
          <t>Czech Republic</t>
        </is>
      </c>
    </row>
    <row r="1623">
      <c r="A1623" t="inlineStr">
        <is>
          <t>Tokyo Seimitsu Buhin Indonesia,  Cikarang Barat, Jawa Barat, Indonesia</t>
        </is>
      </c>
      <c r="B1623" t="inlineStr">
        <is>
          <t>Processing Unit</t>
        </is>
      </c>
      <c r="C1623" t="inlineStr">
        <is>
          <t>PT TSI Sertifikasi Internasional, Jakarta Selatang, ID</t>
        </is>
      </c>
      <c r="D1623" t="inlineStr">
        <is>
          <t>03.07.2027</t>
        </is>
      </c>
      <c r="E1623" t="inlineStr">
        <is>
          <t>Indonesia</t>
        </is>
      </c>
    </row>
    <row r="1624">
      <c r="A1624" t="inlineStr">
        <is>
          <t>Nordiska Plast AB,  Gislaved, Sweden</t>
        </is>
      </c>
      <c r="B1624" t="inlineStr">
        <is>
          <t>Processing Unit</t>
        </is>
      </c>
      <c r="C1624" t="inlineStr">
        <is>
          <t>DNV Business Assurance Sweden AB, Solna, SE</t>
        </is>
      </c>
      <c r="D1624" t="inlineStr">
        <is>
          <t>03.07.2027</t>
        </is>
      </c>
      <c r="E1624" t="inlineStr">
        <is>
          <t>Sweden</t>
        </is>
      </c>
    </row>
    <row r="1625">
      <c r="A1625" t="inlineStr">
        <is>
          <t>Žito d.d.,  Osijek, Croatia</t>
        </is>
      </c>
      <c r="B1625" t="inlineStr">
        <is>
          <t>First Gathering Point, Farm / Plantation, Logistics Center, Trader with Storage</t>
        </is>
      </c>
      <c r="C1625" t="inlineStr">
        <is>
          <t>Bureau Veritas Polska Sp. z o.o., Warsaw, PL</t>
        </is>
      </c>
      <c r="D1625" t="inlineStr">
        <is>
          <t>03.07.2027</t>
        </is>
      </c>
      <c r="E1625" t="inlineStr">
        <is>
          <t>Croatia</t>
        </is>
      </c>
    </row>
    <row r="1626">
      <c r="A1626" t="inlineStr">
        <is>
          <t>Dong Guan Best Pacific Textile Limited,  Dong Guan City, China</t>
        </is>
      </c>
      <c r="B1626" t="inlineStr">
        <is>
          <t>Processing Unit</t>
        </is>
      </c>
      <c r="C1626" t="inlineStr">
        <is>
          <t>Bureau Veritas Consumer Products Services, Inc., Buffalo, NY, US</t>
        </is>
      </c>
      <c r="D1626" t="inlineStr">
        <is>
          <t>03.07.2027</t>
        </is>
      </c>
      <c r="E1626" t="inlineStr">
        <is>
          <t>China</t>
        </is>
      </c>
    </row>
    <row r="1627">
      <c r="A1627" t="inlineStr">
        <is>
          <t>MICRON VIETNAM EYEWEAR MANUFACTORY COMPANY LIMITED,  Hai Duong province,, Vietnam</t>
        </is>
      </c>
      <c r="B1627" t="inlineStr">
        <is>
          <t>Processing Unit</t>
        </is>
      </c>
      <c r="C1627" t="inlineStr">
        <is>
          <t>SCS Global Services, Emeryville, CA, US</t>
        </is>
      </c>
      <c r="D1627" t="inlineStr">
        <is>
          <t>03.07.2027</t>
        </is>
      </c>
      <c r="E1627" t="inlineStr">
        <is>
          <t>Vietnam</t>
        </is>
      </c>
    </row>
    <row r="1628">
      <c r="A1628" t="inlineStr">
        <is>
          <t>MERPANO SRL,  SACALAZ, Romania</t>
        </is>
      </c>
      <c r="B1628" t="inlineStr">
        <is>
          <t>First Gathering Point</t>
        </is>
      </c>
      <c r="C1628" t="inlineStr">
        <is>
          <t>SRAC Cert SRL, Bucharest, RO</t>
        </is>
      </c>
      <c r="D1628" t="inlineStr">
        <is>
          <t>03.07.2027</t>
        </is>
      </c>
      <c r="E1628" t="inlineStr">
        <is>
          <t>Romania</t>
        </is>
      </c>
    </row>
    <row r="1629">
      <c r="A1629" t="inlineStr">
        <is>
          <t>DAIREN CHEMICAL CORPORATION,  Yunlin County. Mailiao Township, Taiwan (Province of China)</t>
        </is>
      </c>
      <c r="B1629" t="inlineStr">
        <is>
          <t>Processing Unit</t>
        </is>
      </c>
      <c r="C1629" t="inlineStr">
        <is>
          <t>Bureau Veritas Polska Sp. z o.o., Warsaw, PL</t>
        </is>
      </c>
      <c r="D1629" t="inlineStr">
        <is>
          <t>03.07.2027</t>
        </is>
      </c>
      <c r="E1629" t="inlineStr">
        <is>
          <t>Taiwan (Province of China)</t>
        </is>
      </c>
    </row>
    <row r="1630">
      <c r="A1630" t="inlineStr">
        <is>
          <t>RenoServices, s.r.o.,  Klimkovice, Czech Republic</t>
        </is>
      </c>
      <c r="B1630" t="inlineStr">
        <is>
          <t>First Gathering Point, Logistics Center</t>
        </is>
      </c>
      <c r="C1630" t="inlineStr">
        <is>
          <t>PT Intertek Utama Services, Jakarta, ID</t>
        </is>
      </c>
      <c r="D1630" t="inlineStr">
        <is>
          <t>03.07.2027</t>
        </is>
      </c>
      <c r="E1630" t="inlineStr">
        <is>
          <t>Czech Republic</t>
        </is>
      </c>
    </row>
    <row r="1631">
      <c r="A1631" t="inlineStr">
        <is>
          <t>Sté Raffinage Et Condiotionnement D´huile Vegetale "SATHOP",  Sfax, Tunisia</t>
        </is>
      </c>
      <c r="B1631" t="inlineStr">
        <is>
          <t>Point of Origin</t>
        </is>
      </c>
      <c r="C1631" t="inlineStr">
        <is>
          <t>BM Certification, Riga, LV</t>
        </is>
      </c>
      <c r="D1631" t="inlineStr">
        <is>
          <t>03.07.2027</t>
        </is>
      </c>
      <c r="E1631" t="inlineStr">
        <is>
          <t>Tunisia</t>
        </is>
      </c>
    </row>
    <row r="1632">
      <c r="A1632" t="inlineStr">
        <is>
          <t>UAB "Ignitis,  Vilnius, Lithuania</t>
        </is>
      </c>
      <c r="B1632" t="inlineStr">
        <is>
          <t>Trader</t>
        </is>
      </c>
      <c r="C1632" t="inlineStr">
        <is>
          <t>Bureau Veritas Polska Sp. z o.o., Warsaw, PL</t>
        </is>
      </c>
      <c r="D1632" t="inlineStr">
        <is>
          <t>03.07.2027</t>
        </is>
      </c>
      <c r="E1632" t="inlineStr">
        <is>
          <t>Lithuania</t>
        </is>
      </c>
    </row>
    <row r="1633">
      <c r="A1633" t="inlineStr">
        <is>
          <t>Molinos Agro S.A.,  San Lorenzo, Santa Fe, Argentina</t>
        </is>
      </c>
      <c r="B1633" t="inlineStr">
        <is>
          <t>Processing Unit, Warehouse</t>
        </is>
      </c>
      <c r="C1633" t="inlineStr">
        <is>
          <t>Control Union Poland Sp. z o.o., Zielona Gora, PL</t>
        </is>
      </c>
      <c r="D1633" t="inlineStr">
        <is>
          <t>03.07.2027</t>
        </is>
      </c>
      <c r="E1633" t="inlineStr">
        <is>
          <t>Argentina</t>
        </is>
      </c>
    </row>
    <row r="1634">
      <c r="A1634" t="inlineStr">
        <is>
          <t>BB&amp;G RECYCLING SA,  Vilar dos Prazeres, Ourém, Portugal</t>
        </is>
      </c>
      <c r="B1634" t="inlineStr">
        <is>
          <t>Processing Unit</t>
        </is>
      </c>
      <c r="C1634" t="inlineStr">
        <is>
          <t>SGS Germany GmbH, Emstek, DE</t>
        </is>
      </c>
      <c r="D1634" t="inlineStr">
        <is>
          <t>03.07.2027</t>
        </is>
      </c>
      <c r="E1634" t="inlineStr">
        <is>
          <t>Portugal</t>
        </is>
      </c>
    </row>
    <row r="1635">
      <c r="A1635" t="inlineStr">
        <is>
          <t>Korrels B.V.,  Wapenveld, The Netherlands</t>
        </is>
      </c>
      <c r="B1635" t="inlineStr">
        <is>
          <t>Processing Unit</t>
        </is>
      </c>
      <c r="C1635" t="inlineStr">
        <is>
          <t>Normec QS BV, Ede, NL</t>
        </is>
      </c>
      <c r="D1635" t="inlineStr">
        <is>
          <t>03.07.2027</t>
        </is>
      </c>
      <c r="E1635" t="inlineStr">
        <is>
          <t>The Netherlands</t>
        </is>
      </c>
    </row>
    <row r="1636">
      <c r="A1636" t="inlineStr">
        <is>
          <t>PT NX Shoji Indonesia,  Bekasi, Indonesia</t>
        </is>
      </c>
      <c r="B1636" t="inlineStr">
        <is>
          <t>Collecting Point, Trader</t>
        </is>
      </c>
      <c r="C1636" t="inlineStr">
        <is>
          <t>PT. Qualitas Sertifikasi Indonesia, Jakarta, ID</t>
        </is>
      </c>
      <c r="D1636" t="inlineStr">
        <is>
          <t>03.07.2027</t>
        </is>
      </c>
      <c r="E1636" t="inlineStr">
        <is>
          <t>Indonesia</t>
        </is>
      </c>
    </row>
    <row r="1637">
      <c r="A1637" t="inlineStr">
        <is>
          <t>PT NX Shoji Indonesia,  Bekasi, Indonesia</t>
        </is>
      </c>
      <c r="B1637" t="inlineStr">
        <is>
          <t>Collecting Point, Trader</t>
        </is>
      </c>
      <c r="C1637" t="inlineStr">
        <is>
          <t>PT. Qualitas Sertifikasi Indonesia, Jakarta, ID</t>
        </is>
      </c>
      <c r="D1637" t="inlineStr">
        <is>
          <t>03.07.2027</t>
        </is>
      </c>
      <c r="E1637" t="inlineStr">
        <is>
          <t>Indonesia</t>
        </is>
      </c>
    </row>
    <row r="1638">
      <c r="A1638" t="inlineStr">
        <is>
          <t>Dare Sustainable Solutions Ltd,  London, The United Kingdom</t>
        </is>
      </c>
      <c r="B1638" t="inlineStr">
        <is>
          <t>Trader</t>
        </is>
      </c>
      <c r="C1638" t="inlineStr">
        <is>
          <t>Double Helix Tracking Technologies Pte Ltd, Singapore, SG</t>
        </is>
      </c>
      <c r="D1638" t="inlineStr">
        <is>
          <t>03.07.2027</t>
        </is>
      </c>
      <c r="E1638" t="inlineStr">
        <is>
          <t>The United Kingdom</t>
        </is>
      </c>
    </row>
    <row r="1639">
      <c r="A1639" t="inlineStr">
        <is>
          <t>Bridgestone Hispania Manufacturing, S. L.,  Burgos, Spain</t>
        </is>
      </c>
      <c r="B1639" t="inlineStr">
        <is>
          <t>Processing Unit</t>
        </is>
      </c>
      <c r="C1639" t="inlineStr">
        <is>
          <t>SGS Germany GmbH, Emstek, DE</t>
        </is>
      </c>
      <c r="D1639" t="inlineStr">
        <is>
          <t>03.07.2027</t>
        </is>
      </c>
      <c r="E1639" t="inlineStr">
        <is>
          <t>Spain</t>
        </is>
      </c>
    </row>
    <row r="1640">
      <c r="A1640" t="inlineStr">
        <is>
          <t>United Utilities Water,  Manchester, The United Kingdom</t>
        </is>
      </c>
      <c r="B1640" t="inlineStr">
        <is>
          <t>Processing Unit</t>
        </is>
      </c>
      <c r="C1640" t="inlineStr">
        <is>
          <t>DEKRA Certification B.V., Arnhem, NL</t>
        </is>
      </c>
      <c r="D1640" t="inlineStr">
        <is>
          <t>03.07.2027</t>
        </is>
      </c>
      <c r="E1640" t="inlineStr">
        <is>
          <t>The United Kingdom</t>
        </is>
      </c>
    </row>
    <row r="1641">
      <c r="A1641" t="inlineStr">
        <is>
          <t>MAISFELDT COM SRL,  Sfantu Gheorghe, Romania</t>
        </is>
      </c>
      <c r="B1641" t="inlineStr">
        <is>
          <t>First Gathering Point, Trader</t>
        </is>
      </c>
      <c r="C1641" t="inlineStr">
        <is>
          <t>SGS Germany GmbH, Emstek, DE</t>
        </is>
      </c>
      <c r="D1641" t="inlineStr">
        <is>
          <t>03.07.2027</t>
        </is>
      </c>
      <c r="E1641" t="inlineStr">
        <is>
          <t>Romania</t>
        </is>
      </c>
    </row>
    <row r="1642">
      <c r="A1642" t="inlineStr">
        <is>
          <t>CHANG CHUN CHEMICAL (JIANGSU) CO., LTD.,  Changshu City, Jiangsu Province, China</t>
        </is>
      </c>
      <c r="B1642" t="inlineStr">
        <is>
          <t>Processing Unit</t>
        </is>
      </c>
      <c r="C1642" t="inlineStr">
        <is>
          <t>SGS Germany GmbH, Emstek, DE</t>
        </is>
      </c>
      <c r="D1642" t="inlineStr">
        <is>
          <t>03.07.2027</t>
        </is>
      </c>
      <c r="E1642" t="inlineStr">
        <is>
          <t>China</t>
        </is>
      </c>
    </row>
    <row r="1643">
      <c r="A1643" t="inlineStr">
        <is>
          <t>BP Europa SE Oddzial w Polsce,  Krakow, Poland</t>
        </is>
      </c>
      <c r="B1643" t="inlineStr">
        <is>
          <t>Trader with Storage, Proof of Compliance Trader</t>
        </is>
      </c>
      <c r="C1643" t="inlineStr">
        <is>
          <t>Control Union Poland Sp. z o.o., Zielona Gora, PL</t>
        </is>
      </c>
      <c r="D1643" t="inlineStr">
        <is>
          <t>03.07.2027</t>
        </is>
      </c>
      <c r="E1643" t="inlineStr">
        <is>
          <t>Poland</t>
        </is>
      </c>
    </row>
    <row r="1644">
      <c r="A1644" t="inlineStr">
        <is>
          <t>PT Sejahtera Tani Damai,  Kab. Tanah Laut, Provinsi Kalimantan Selatan, Indonesia</t>
        </is>
      </c>
      <c r="B1644" t="inlineStr">
        <is>
          <t>Point of Origin</t>
        </is>
      </c>
      <c r="C1644" t="inlineStr">
        <is>
          <t>PT. Qualitas Sertifikasi Indonesia, Jakarta, ID</t>
        </is>
      </c>
      <c r="D1644" t="inlineStr">
        <is>
          <t>03.07.2027</t>
        </is>
      </c>
      <c r="E1644" t="inlineStr">
        <is>
          <t>Indonesia</t>
        </is>
      </c>
    </row>
    <row r="1645">
      <c r="A1645" t="inlineStr">
        <is>
          <t>PT Sejahtera Tani Damai,  Kab. Tanah Laut, Provinsi Kalimantan Selatan, Indonesia</t>
        </is>
      </c>
      <c r="B1645" t="inlineStr">
        <is>
          <t>Point of Origin</t>
        </is>
      </c>
      <c r="C1645" t="inlineStr">
        <is>
          <t>PT. Qualitas Sertifikasi Indonesia, Jakarta, ID</t>
        </is>
      </c>
      <c r="D1645" t="inlineStr">
        <is>
          <t>03.07.2027</t>
        </is>
      </c>
      <c r="E1645" t="inlineStr">
        <is>
          <t>Indonesia</t>
        </is>
      </c>
    </row>
    <row r="1646">
      <c r="A1646" t="inlineStr">
        <is>
          <t>Sumitomo Chemical Co.,Ltd.,  Ichihara City, Chiba, Japan</t>
        </is>
      </c>
      <c r="B1646" t="inlineStr">
        <is>
          <t>Processing Unit, Trader with Storage, Warehouse</t>
        </is>
      </c>
      <c r="C1646" t="inlineStr">
        <is>
          <t>SGS Germany GmbH, Emstek, DE</t>
        </is>
      </c>
      <c r="D1646" t="inlineStr">
        <is>
          <t>03.07.2027</t>
        </is>
      </c>
      <c r="E1646" t="inlineStr">
        <is>
          <t>Japan</t>
        </is>
      </c>
    </row>
    <row r="1647">
      <c r="A1647" t="inlineStr">
        <is>
          <t>AGRIPROD SUD MUNTENIA COOPERATIVA AGRICOLA,  CORP C1, IONESTI, BUZOESTI, JUDET ARGES, Romania</t>
        </is>
      </c>
      <c r="B1647" t="inlineStr">
        <is>
          <t>First Gathering Point</t>
        </is>
      </c>
      <c r="C1647" t="inlineStr">
        <is>
          <t>BM Certification, Riga, LV</t>
        </is>
      </c>
      <c r="D1647" t="inlineStr">
        <is>
          <t>03.07.2027</t>
        </is>
      </c>
      <c r="E1647" t="inlineStr">
        <is>
          <t>Romania</t>
        </is>
      </c>
    </row>
    <row r="1648">
      <c r="A1648" t="inlineStr">
        <is>
          <t>Kanae Co.,Ltd.,  Chuo-Ku,Osaka, Japan</t>
        </is>
      </c>
      <c r="B1648" t="inlineStr">
        <is>
          <t>Trader with Storage</t>
        </is>
      </c>
      <c r="C1648" t="inlineStr">
        <is>
          <t>SGS Germany GmbH, Emstek, DE</t>
        </is>
      </c>
      <c r="D1648" t="inlineStr">
        <is>
          <t>03.07.2027</t>
        </is>
      </c>
      <c r="E1648" t="inlineStr">
        <is>
          <t>Japan</t>
        </is>
      </c>
    </row>
    <row r="1649">
      <c r="A1649" t="inlineStr">
        <is>
          <t>Agroprosperis Trade LLC,  Vinnytsia, Ukraine</t>
        </is>
      </c>
      <c r="B1649" t="inlineStr">
        <is>
          <t>First Gathering Point, Trader with Storage</t>
        </is>
      </c>
      <c r="C1649" t="inlineStr">
        <is>
          <t>SGS Germany GmbH, Emstek, DE</t>
        </is>
      </c>
      <c r="D1649" t="inlineStr">
        <is>
          <t>03.07.2027</t>
        </is>
      </c>
      <c r="E1649" t="inlineStr">
        <is>
          <t>Ukraine</t>
        </is>
      </c>
    </row>
    <row r="1650">
      <c r="A1650" t="inlineStr">
        <is>
          <t>LPKS Latraps,  Eleja, Jelgavas novads, Latvia</t>
        </is>
      </c>
      <c r="B1650" t="inlineStr">
        <is>
          <t>First Gathering Point, Processing Unit, Trader with Storage</t>
        </is>
      </c>
      <c r="C1650" t="inlineStr">
        <is>
          <t>SGS Germany GmbH, Emstek, DE</t>
        </is>
      </c>
      <c r="D1650" t="inlineStr">
        <is>
          <t>03.07.2027</t>
        </is>
      </c>
      <c r="E1650" t="inlineStr">
        <is>
          <t>Latvia</t>
        </is>
      </c>
    </row>
    <row r="1651">
      <c r="A1651" t="inlineStr">
        <is>
          <t>Agroprosperis Trading 2 Limited,  Nicosia, Cyprus</t>
        </is>
      </c>
      <c r="B1651" t="inlineStr">
        <is>
          <t>First Gathering Point, Trader with Storage</t>
        </is>
      </c>
      <c r="C1651" t="inlineStr">
        <is>
          <t>SGS Germany GmbH, Emstek, DE</t>
        </is>
      </c>
      <c r="D1651" t="inlineStr">
        <is>
          <t>03.07.2027</t>
        </is>
      </c>
      <c r="E1651" t="inlineStr">
        <is>
          <t>Cyprus</t>
        </is>
      </c>
    </row>
    <row r="1652">
      <c r="A1652" t="inlineStr">
        <is>
          <t>Agroprosperis Trading 2 Limited,  Nicosia, Cyprus</t>
        </is>
      </c>
      <c r="B1652" t="inlineStr">
        <is>
          <t>First Gathering Point, Trader with Storage</t>
        </is>
      </c>
      <c r="C1652" t="inlineStr">
        <is>
          <t>SGS Germany GmbH, Emstek, DE</t>
        </is>
      </c>
      <c r="D1652" t="inlineStr">
        <is>
          <t>03.07.2027</t>
        </is>
      </c>
      <c r="E1652" t="inlineStr">
        <is>
          <t>Cyprus</t>
        </is>
      </c>
    </row>
    <row r="1653">
      <c r="A1653" t="inlineStr">
        <is>
          <t>Oils 4 Us Limited,  Harlow, The United Kingdom</t>
        </is>
      </c>
      <c r="B1653" t="inlineStr">
        <is>
          <t>Collecting Point, Trader with Storage</t>
        </is>
      </c>
      <c r="C1653" t="inlineStr">
        <is>
          <t>Control Union Certifications Germany GmbH, Berlin, DE</t>
        </is>
      </c>
      <c r="D1653" t="inlineStr">
        <is>
          <t>03.07.2027</t>
        </is>
      </c>
      <c r="E1653" t="inlineStr">
        <is>
          <t>The United Kingdom</t>
        </is>
      </c>
    </row>
    <row r="1654">
      <c r="A1654" t="inlineStr">
        <is>
          <t>MODERN PACKAGING, UK , LTD.,  PERSHORE, The United Kingdom</t>
        </is>
      </c>
      <c r="B1654" t="inlineStr">
        <is>
          <t>Processing Unit</t>
        </is>
      </c>
      <c r="C1654" t="inlineStr">
        <is>
          <t>Aardvark Certification Ltd, Wiveliscombe, Somerset, GB</t>
        </is>
      </c>
      <c r="D1654" t="inlineStr">
        <is>
          <t>03.07.2027</t>
        </is>
      </c>
      <c r="E1654" t="inlineStr">
        <is>
          <t>The United Kingdom</t>
        </is>
      </c>
    </row>
    <row r="1655">
      <c r="A1655" t="inlineStr">
        <is>
          <t>PARESTRI,  LUCENA, Spain</t>
        </is>
      </c>
      <c r="B1655" t="inlineStr">
        <is>
          <t>Trader</t>
        </is>
      </c>
      <c r="C1655" t="inlineStr">
        <is>
          <t>Bureau Veritas Polska Sp. z o.o., Warsaw, PL</t>
        </is>
      </c>
      <c r="D1655" t="inlineStr">
        <is>
          <t>03.07.2027</t>
        </is>
      </c>
      <c r="E1655" t="inlineStr">
        <is>
          <t>Spain</t>
        </is>
      </c>
    </row>
    <row r="1656">
      <c r="A1656" t="inlineStr">
        <is>
          <t>Converplast Embalagens Ltda - Matriz,  Guarulhos, Brazil</t>
        </is>
      </c>
      <c r="B1656" t="inlineStr">
        <is>
          <t>Processing Unit</t>
        </is>
      </c>
      <c r="C1656" t="inlineStr">
        <is>
          <t>QIMA, Centro, Botucatu - SP, CEP, BR</t>
        </is>
      </c>
      <c r="D1656" t="inlineStr">
        <is>
          <t>03.07.2027</t>
        </is>
      </c>
      <c r="E1656" t="inlineStr">
        <is>
          <t>Brazil</t>
        </is>
      </c>
    </row>
    <row r="1657">
      <c r="A1657" t="inlineStr">
        <is>
          <t>Converplast Embalagens Ltda - Filial,  Guarulhos, Brazil</t>
        </is>
      </c>
      <c r="B1657" t="inlineStr">
        <is>
          <t>Processing Unit</t>
        </is>
      </c>
      <c r="C1657" t="inlineStr">
        <is>
          <t>QIMA, Centro, Botucatu - SP, CEP, BR</t>
        </is>
      </c>
      <c r="D1657" t="inlineStr">
        <is>
          <t>03.07.2027</t>
        </is>
      </c>
      <c r="E1657" t="inlineStr">
        <is>
          <t>Brazil</t>
        </is>
      </c>
    </row>
    <row r="1658">
      <c r="A1658" t="inlineStr">
        <is>
          <t>Bunge Canada,  Oakville, Canada</t>
        </is>
      </c>
      <c r="B1658" t="inlineStr">
        <is>
          <t>Trader with Storage</t>
        </is>
      </c>
      <c r="C1658" t="inlineStr">
        <is>
          <t>Control Union Poland Sp. z o.o., Zielona Gora, PL</t>
        </is>
      </c>
      <c r="D1658" t="inlineStr">
        <is>
          <t>03.07.2027</t>
        </is>
      </c>
      <c r="E1658" t="inlineStr">
        <is>
          <t>Canada</t>
        </is>
      </c>
    </row>
    <row r="1659">
      <c r="A1659" t="inlineStr">
        <is>
          <t>Bunge Canada,  Oakville, Canada</t>
        </is>
      </c>
      <c r="B1659" t="inlineStr">
        <is>
          <t>Trader with Storage</t>
        </is>
      </c>
      <c r="C1659" t="inlineStr">
        <is>
          <t>Control Union Poland Sp. z o.o., Zielona Gora, PL</t>
        </is>
      </c>
      <c r="D1659" t="inlineStr">
        <is>
          <t>03.07.2027</t>
        </is>
      </c>
      <c r="E1659" t="inlineStr">
        <is>
          <t>Canada</t>
        </is>
      </c>
    </row>
    <row r="1660">
      <c r="A1660" t="inlineStr">
        <is>
          <t>Bunge Canada,  Oakville, Canada</t>
        </is>
      </c>
      <c r="B1660" t="inlineStr">
        <is>
          <t>Trader with Storage</t>
        </is>
      </c>
      <c r="C1660" t="inlineStr">
        <is>
          <t>Control Union Poland Sp. z o.o., Zielona Gora, PL</t>
        </is>
      </c>
      <c r="D1660" t="inlineStr">
        <is>
          <t>03.07.2027</t>
        </is>
      </c>
      <c r="E1660" t="inlineStr">
        <is>
          <t>Canada</t>
        </is>
      </c>
    </row>
    <row r="1661">
      <c r="A1661" t="inlineStr">
        <is>
          <t>Rudong Tiansheng Grain&amp;Oil Co.,Ltd.,  Rudong County, Nantong City, Jiangsu Province, China</t>
        </is>
      </c>
      <c r="B1661" t="inlineStr">
        <is>
          <t>Collecting Point, Trader with Storage</t>
        </is>
      </c>
      <c r="C1661" t="inlineStr">
        <is>
          <t>RINA Services S.p.A., Genova, IT</t>
        </is>
      </c>
      <c r="D1661" t="inlineStr">
        <is>
          <t>03.07.2027</t>
        </is>
      </c>
      <c r="E1661" t="inlineStr">
        <is>
          <t>China</t>
        </is>
      </c>
    </row>
    <row r="1662">
      <c r="A1662" t="inlineStr">
        <is>
          <t>TEDA PACK EAD,  Botevgrad, Bulgaria</t>
        </is>
      </c>
      <c r="B1662" t="inlineStr">
        <is>
          <t>Processing Unit</t>
        </is>
      </c>
      <c r="C1662" t="inlineStr">
        <is>
          <t>Bureau Veritas Polska Sp. z o.o., Warsaw, PL</t>
        </is>
      </c>
      <c r="D1662" t="inlineStr">
        <is>
          <t>03.07.2027</t>
        </is>
      </c>
      <c r="E1662" t="inlineStr">
        <is>
          <t>Bulgaria</t>
        </is>
      </c>
    </row>
    <row r="1663">
      <c r="A1663" t="inlineStr">
        <is>
          <t>ERCA,  Grassobbio, Italy</t>
        </is>
      </c>
      <c r="B1663" t="inlineStr">
        <is>
          <t>Processing Unit</t>
        </is>
      </c>
      <c r="C1663" t="inlineStr">
        <is>
          <t>Certiquality srl, Milano, IT</t>
        </is>
      </c>
      <c r="D1663" t="inlineStr">
        <is>
          <t>03.07.2027</t>
        </is>
      </c>
      <c r="E1663" t="inlineStr">
        <is>
          <t>Italy</t>
        </is>
      </c>
    </row>
    <row r="1664">
      <c r="A1664" t="inlineStr">
        <is>
          <t>ERCA TEXTILE CHEMICAL SOLUTIONS,  Grassobbio, Italy</t>
        </is>
      </c>
      <c r="B1664" t="inlineStr">
        <is>
          <t>Trader with Storage</t>
        </is>
      </c>
      <c r="C1664" t="inlineStr">
        <is>
          <t>Certiquality srl, Milano, IT</t>
        </is>
      </c>
      <c r="D1664" t="inlineStr">
        <is>
          <t>03.07.2027</t>
        </is>
      </c>
      <c r="E1664" t="inlineStr">
        <is>
          <t>Italy</t>
        </is>
      </c>
    </row>
    <row r="1665">
      <c r="A1665" t="inlineStr">
        <is>
          <t>MOHU MOL Hulladékgazdálkodási Zrt,  Budapest, Hungary</t>
        </is>
      </c>
      <c r="B1665" t="inlineStr">
        <is>
          <t>Collecting Point</t>
        </is>
      </c>
      <c r="C1665" t="inlineStr">
        <is>
          <t>SGS Germany GmbH, Emstek, DE</t>
        </is>
      </c>
      <c r="D1665" t="inlineStr">
        <is>
          <t>02.07.2027</t>
        </is>
      </c>
      <c r="E1665" t="inlineStr">
        <is>
          <t>Hungary</t>
        </is>
      </c>
    </row>
    <row r="1666">
      <c r="A1666" t="inlineStr">
        <is>
          <t>VERBIO Nevada, LLC,  Nevada, IA, United States</t>
        </is>
      </c>
      <c r="B1666" t="inlineStr">
        <is>
          <t>Point of Origin, Processing Unit</t>
        </is>
      </c>
      <c r="C1666" t="inlineStr">
        <is>
          <t>Control Union Poland Sp. z o.o., Zielona Gora, PL</t>
        </is>
      </c>
      <c r="D1666" t="inlineStr">
        <is>
          <t>02.07.2027</t>
        </is>
      </c>
      <c r="E1666" t="inlineStr">
        <is>
          <t>United States</t>
        </is>
      </c>
    </row>
    <row r="1667">
      <c r="A1667" t="inlineStr">
        <is>
          <t>VERBIO Nevada, LLC,  Nevada, IA, United States</t>
        </is>
      </c>
      <c r="B1667" t="inlineStr">
        <is>
          <t>Point of Origin, Processing Unit</t>
        </is>
      </c>
      <c r="C1667" t="inlineStr">
        <is>
          <t>Control Union Poland Sp. z o.o., Zielona Gora, PL</t>
        </is>
      </c>
      <c r="D1667" t="inlineStr">
        <is>
          <t>02.07.2027</t>
        </is>
      </c>
      <c r="E1667" t="inlineStr">
        <is>
          <t>United States</t>
        </is>
      </c>
    </row>
    <row r="1668">
      <c r="A1668" t="inlineStr">
        <is>
          <t>INTACT,  Baule, France</t>
        </is>
      </c>
      <c r="B1668" t="inlineStr">
        <is>
          <t>Processing Unit</t>
        </is>
      </c>
      <c r="C1668" t="inlineStr">
        <is>
          <t>Control Union Certifications Germany GmbH, Berlin, DE</t>
        </is>
      </c>
      <c r="D1668" t="inlineStr">
        <is>
          <t>02.07.2027</t>
        </is>
      </c>
      <c r="E1668" t="inlineStr">
        <is>
          <t>France</t>
        </is>
      </c>
    </row>
    <row r="1669">
      <c r="A1669" t="inlineStr">
        <is>
          <t>Ukrainian Food Alliance ECO,  Korosten, Ukraine</t>
        </is>
      </c>
      <c r="B1669" t="inlineStr">
        <is>
          <t>Farm / Plantation</t>
        </is>
      </c>
      <c r="C1669" t="inlineStr">
        <is>
          <t>BM Certification, Riga, LV</t>
        </is>
      </c>
      <c r="D1669" t="inlineStr">
        <is>
          <t>02.07.2027</t>
        </is>
      </c>
      <c r="E1669" t="inlineStr">
        <is>
          <t>Ukraine</t>
        </is>
      </c>
    </row>
    <row r="1670">
      <c r="A1670" t="inlineStr">
        <is>
          <t>Unicol,  Fontanelle, Italy</t>
        </is>
      </c>
      <c r="B1670" t="inlineStr">
        <is>
          <t>Processing Unit, Trader with Storage</t>
        </is>
      </c>
      <c r="C1670" t="inlineStr">
        <is>
          <t>DNV Business Assurance Sweden AB, Solna, SE</t>
        </is>
      </c>
      <c r="D1670" t="inlineStr">
        <is>
          <t>02.07.2027</t>
        </is>
      </c>
      <c r="E1670" t="inlineStr">
        <is>
          <t>Italy</t>
        </is>
      </c>
    </row>
    <row r="1671">
      <c r="A1671" t="inlineStr">
        <is>
          <t>LianYunGang Jiaao Enproenergy Co., Ltd,  Lianyungang City, Jiangsu, China</t>
        </is>
      </c>
      <c r="B1671" t="inlineStr">
        <is>
          <t>Processing Unit, Trader with Storage</t>
        </is>
      </c>
      <c r="C1671" t="inlineStr">
        <is>
          <t>RINA Services S.p.A., Genova, IT</t>
        </is>
      </c>
      <c r="D1671" t="inlineStr">
        <is>
          <t>02.07.2027</t>
        </is>
      </c>
      <c r="E1671" t="inlineStr">
        <is>
          <t>China</t>
        </is>
      </c>
    </row>
    <row r="1672">
      <c r="A1672" t="inlineStr">
        <is>
          <t>Aectra Plastics,  Comuna Ștefăneștii de Jos, Județ Ilfov, Romania</t>
        </is>
      </c>
      <c r="B1672" t="inlineStr">
        <is>
          <t>Trader with Storage</t>
        </is>
      </c>
      <c r="C1672" t="inlineStr">
        <is>
          <t>CertRom SRL, Bucuresti, RO</t>
        </is>
      </c>
      <c r="D1672" t="inlineStr">
        <is>
          <t>02.07.2027</t>
        </is>
      </c>
      <c r="E1672" t="inlineStr">
        <is>
          <t>Romania</t>
        </is>
      </c>
    </row>
    <row r="1673">
      <c r="A1673" t="inlineStr">
        <is>
          <t>Roquette Freres,  Lestrem, France</t>
        </is>
      </c>
      <c r="B1673" t="inlineStr">
        <is>
          <t>Processing Unit</t>
        </is>
      </c>
      <c r="C1673" t="inlineStr">
        <is>
          <t>Control Union Certifications Germany GmbH, Berlin, DE</t>
        </is>
      </c>
      <c r="D1673" t="inlineStr">
        <is>
          <t>02.07.2027</t>
        </is>
      </c>
      <c r="E1673" t="inlineStr">
        <is>
          <t>France</t>
        </is>
      </c>
    </row>
    <row r="1674">
      <c r="A1674" t="inlineStr">
        <is>
          <t>Horodyshche-Pustovarivska Agricultural Company LLC,  Linovitsa village, Pryluki distr. Chernigiv region, Ukraine</t>
        </is>
      </c>
      <c r="B1674" t="inlineStr">
        <is>
          <t>Collecting Point, Processing Unit</t>
        </is>
      </c>
      <c r="C1674" t="inlineStr">
        <is>
          <t>Bureau Veritas Polska Sp. z o.o., Warsaw, PL</t>
        </is>
      </c>
      <c r="D1674" t="inlineStr">
        <is>
          <t>02.07.2027</t>
        </is>
      </c>
      <c r="E1674" t="inlineStr">
        <is>
          <t>Ukraine</t>
        </is>
      </c>
    </row>
    <row r="1675">
      <c r="A1675" t="inlineStr">
        <is>
          <t>Polivouga Indústria de Plásticos S.A.,  Albergaria A Velha, Portugal</t>
        </is>
      </c>
      <c r="B1675" t="inlineStr">
        <is>
          <t>Processing Unit</t>
        </is>
      </c>
      <c r="C1675" t="inlineStr">
        <is>
          <t>Control Union Poland Sp. z o.o., Zielona Gora, PL</t>
        </is>
      </c>
      <c r="D1675" t="inlineStr">
        <is>
          <t>02.07.2027</t>
        </is>
      </c>
      <c r="E1675" t="inlineStr">
        <is>
          <t>Portugal</t>
        </is>
      </c>
    </row>
    <row r="1676">
      <c r="A1676" t="inlineStr">
        <is>
          <t>Sawit Permai Pratama,  Kab. Morowali Utara, Indonesia</t>
        </is>
      </c>
      <c r="B1676" t="inlineStr">
        <is>
          <t>Point of Origin</t>
        </is>
      </c>
      <c r="C1676" t="inlineStr">
        <is>
          <t>PT. CBQA GLOBAL INDONESIA, JAKARTA SELATAN, ID</t>
        </is>
      </c>
      <c r="D1676" t="inlineStr">
        <is>
          <t>02.07.2027</t>
        </is>
      </c>
      <c r="E1676" t="inlineStr">
        <is>
          <t>Indonesia</t>
        </is>
      </c>
    </row>
    <row r="1677">
      <c r="A1677" t="inlineStr">
        <is>
          <t>Wanapotensi Guna,  Kab. Musi Banyuasin, Indonesia</t>
        </is>
      </c>
      <c r="B1677" t="inlineStr">
        <is>
          <t>Point of Origin</t>
        </is>
      </c>
      <c r="C1677" t="inlineStr">
        <is>
          <t>PT. Qualitas Sertifikasi Indonesia, Jakarta, ID</t>
        </is>
      </c>
      <c r="D1677" t="inlineStr">
        <is>
          <t>02.07.2027</t>
        </is>
      </c>
      <c r="E1677" t="inlineStr">
        <is>
          <t>Indonesia</t>
        </is>
      </c>
    </row>
    <row r="1678">
      <c r="A1678" t="inlineStr">
        <is>
          <t>Repsol Gás Portugal,  Monte de Caparica, Almada, Portugal</t>
        </is>
      </c>
      <c r="B1678" t="inlineStr">
        <is>
          <t>Trader with Storage</t>
        </is>
      </c>
      <c r="C1678" t="inlineStr">
        <is>
          <t>Control Union Poland Sp. z o.o., Zielona Gora, PL</t>
        </is>
      </c>
      <c r="D1678" t="inlineStr">
        <is>
          <t>02.07.2027</t>
        </is>
      </c>
      <c r="E1678" t="inlineStr">
        <is>
          <t>Portugal</t>
        </is>
      </c>
    </row>
    <row r="1679">
      <c r="A1679" t="inlineStr">
        <is>
          <t>PT. LDC Indonesia,  Kota Bandar Lampung, Indonesia</t>
        </is>
      </c>
      <c r="B1679" t="inlineStr">
        <is>
          <t>Point of Origin, Processing Unit, Trader with Storage</t>
        </is>
      </c>
      <c r="C1679" t="inlineStr">
        <is>
          <t>PT Intertek Utama Services, Jakarta, ID</t>
        </is>
      </c>
      <c r="D1679" t="inlineStr">
        <is>
          <t>02.07.2027</t>
        </is>
      </c>
      <c r="E1679" t="inlineStr">
        <is>
          <t>Indonesia</t>
        </is>
      </c>
    </row>
    <row r="1680">
      <c r="A1680" t="inlineStr">
        <is>
          <t>PT LDC East Indonesia,  Kalimantan Timur, Balikpapan, Indonesia</t>
        </is>
      </c>
      <c r="B1680" t="inlineStr">
        <is>
          <t>Point of Origin, Processing Unit, Trader with Storage</t>
        </is>
      </c>
      <c r="C1680" t="inlineStr">
        <is>
          <t>PT Intertek Utama Services, Jakarta, ID</t>
        </is>
      </c>
      <c r="D1680" t="inlineStr">
        <is>
          <t>02.07.2027</t>
        </is>
      </c>
      <c r="E1680" t="inlineStr">
        <is>
          <t>Indonesia</t>
        </is>
      </c>
    </row>
    <row r="1681">
      <c r="A1681" t="inlineStr">
        <is>
          <t>GRANDO INVEST TRADING,  Chisinau, Moldova</t>
        </is>
      </c>
      <c r="B1681" t="inlineStr">
        <is>
          <t>Trader with Storage</t>
        </is>
      </c>
      <c r="C1681" t="inlineStr">
        <is>
          <t>Apex Genelab LLC, Odessa, UA</t>
        </is>
      </c>
      <c r="D1681" t="inlineStr">
        <is>
          <t>02.07.2027</t>
        </is>
      </c>
      <c r="E1681" t="inlineStr">
        <is>
          <t>Moldova</t>
        </is>
      </c>
    </row>
    <row r="1682">
      <c r="A1682" t="inlineStr">
        <is>
          <t>WONIK CUBE Corp.,  Seongnam-si, Gyeonggi-do, The Republic of Korea</t>
        </is>
      </c>
      <c r="B1682" t="inlineStr">
        <is>
          <t>Trader</t>
        </is>
      </c>
      <c r="C1682" t="inlineStr">
        <is>
          <t>Control Union Certifications Germany GmbH, Berlin, DE</t>
        </is>
      </c>
      <c r="D1682" t="inlineStr">
        <is>
          <t>02.07.2027</t>
        </is>
      </c>
      <c r="E1682" t="inlineStr">
        <is>
          <t>The Republic of Korea</t>
        </is>
      </c>
    </row>
    <row r="1683">
      <c r="A1683" t="inlineStr">
        <is>
          <t>AGRIFARM GRIVITA COOPERATIVA AGRICOLA,  COMUNA GRIVITA, Romania</t>
        </is>
      </c>
      <c r="B1683" t="inlineStr">
        <is>
          <t>First Gathering Point</t>
        </is>
      </c>
      <c r="C1683" t="inlineStr">
        <is>
          <t>BM Certification, Riga, LV</t>
        </is>
      </c>
      <c r="D1683" t="inlineStr">
        <is>
          <t>02.07.2027</t>
        </is>
      </c>
      <c r="E1683" t="inlineStr">
        <is>
          <t>Romania</t>
        </is>
      </c>
    </row>
    <row r="1684">
      <c r="A1684" t="inlineStr">
        <is>
          <t>tesa Werk Hamburg,  Hamburg, Germany</t>
        </is>
      </c>
      <c r="B1684" t="inlineStr">
        <is>
          <t>Final Product Refinement, Processing Unit</t>
        </is>
      </c>
      <c r="C1684" t="inlineStr">
        <is>
          <t>SGS Germany GmbH, Emstek, DE</t>
        </is>
      </c>
      <c r="D1684" t="inlineStr">
        <is>
          <t>02.07.2027</t>
        </is>
      </c>
      <c r="E1684" t="inlineStr">
        <is>
          <t>Germany</t>
        </is>
      </c>
    </row>
    <row r="1685">
      <c r="A1685" t="inlineStr">
        <is>
          <t>Anglo Beef Processors Ireland T/A Waterford Proteins,  Waterford, Ireland</t>
        </is>
      </c>
      <c r="B1685" t="inlineStr">
        <is>
          <t>Point of Origin</t>
        </is>
      </c>
      <c r="C1685" t="inlineStr">
        <is>
          <t>SGS Germany GmbH, Emstek, DE</t>
        </is>
      </c>
      <c r="D1685" t="inlineStr">
        <is>
          <t>02.07.2027</t>
        </is>
      </c>
      <c r="E1685" t="inlineStr">
        <is>
          <t>Ireland</t>
        </is>
      </c>
    </row>
    <row r="1686">
      <c r="A1686" t="inlineStr">
        <is>
          <t>Little Oak Energy,  Horsham, The United Kingdom</t>
        </is>
      </c>
      <c r="B1686" t="inlineStr">
        <is>
          <t>Trader</t>
        </is>
      </c>
      <c r="C1686" t="inlineStr">
        <is>
          <t>Double Helix Tracking Technologies Pte Ltd, Singapore, SG</t>
        </is>
      </c>
      <c r="D1686" t="inlineStr">
        <is>
          <t>02.07.2027</t>
        </is>
      </c>
      <c r="E1686" t="inlineStr">
        <is>
          <t>The United Kingdom</t>
        </is>
      </c>
    </row>
    <row r="1687">
      <c r="A1687" t="inlineStr">
        <is>
          <t>Dow Europe GmbH,  Correggio, Italy</t>
        </is>
      </c>
      <c r="B1687" t="inlineStr">
        <is>
          <t>Processing Unit, Trader with Storage</t>
        </is>
      </c>
      <c r="C1687" t="inlineStr">
        <is>
          <t>SGS Germany GmbH, Emstek, DE</t>
        </is>
      </c>
      <c r="D1687" t="inlineStr">
        <is>
          <t>02.07.2027</t>
        </is>
      </c>
      <c r="E1687" t="inlineStr">
        <is>
          <t>Italy</t>
        </is>
      </c>
    </row>
    <row r="1688">
      <c r="A1688" t="inlineStr">
        <is>
          <t>PT Argha Karya Prima Industry Tbk,  Citeureup Bogor - West Java, Indonesia</t>
        </is>
      </c>
      <c r="B1688" t="inlineStr">
        <is>
          <t>Processing Unit</t>
        </is>
      </c>
      <c r="C1688" t="inlineStr">
        <is>
          <t>SGS Germany GmbH, Emstek, DE</t>
        </is>
      </c>
      <c r="D1688" t="inlineStr">
        <is>
          <t>02.07.2027</t>
        </is>
      </c>
      <c r="E1688" t="inlineStr">
        <is>
          <t>Indonesia</t>
        </is>
      </c>
    </row>
    <row r="1689">
      <c r="A1689" t="inlineStr">
        <is>
          <t>PT Mitra Unggul Pusaka,  Langgam District, Pelalawan Regency, Riau , Indonesia</t>
        </is>
      </c>
      <c r="B1689" t="inlineStr">
        <is>
          <t>Point of Origin, Processing Unit</t>
        </is>
      </c>
      <c r="C1689" t="inlineStr">
        <is>
          <t>SGS Germany GmbH, Emstek, DE</t>
        </is>
      </c>
      <c r="D1689" t="inlineStr">
        <is>
          <t>02.07.2027</t>
        </is>
      </c>
      <c r="E1689" t="inlineStr">
        <is>
          <t>Indonesia</t>
        </is>
      </c>
    </row>
    <row r="1690">
      <c r="A1690" t="inlineStr">
        <is>
          <t>Nitto Denko Corporation,  Toyohashi-shi, Aichi-ken, Japan</t>
        </is>
      </c>
      <c r="B1690" t="inlineStr">
        <is>
          <t>Processing Unit</t>
        </is>
      </c>
      <c r="C1690" t="inlineStr">
        <is>
          <t>SGS Germany GmbH, Emstek, DE</t>
        </is>
      </c>
      <c r="D1690" t="inlineStr">
        <is>
          <t>02.07.2027</t>
        </is>
      </c>
      <c r="E1690" t="inlineStr">
        <is>
          <t>Japan</t>
        </is>
      </c>
    </row>
    <row r="1691">
      <c r="A1691" t="inlineStr">
        <is>
          <t>Polycompo Co., Ltd.,  Chiyoda-Ku,Tokyo, Japan</t>
        </is>
      </c>
      <c r="B1691" t="inlineStr">
        <is>
          <t>Trader with Storage</t>
        </is>
      </c>
      <c r="C1691" t="inlineStr">
        <is>
          <t>SGS Germany GmbH, Emstek, DE</t>
        </is>
      </c>
      <c r="D1691" t="inlineStr">
        <is>
          <t>02.07.2027</t>
        </is>
      </c>
      <c r="E1691" t="inlineStr">
        <is>
          <t>Japan</t>
        </is>
      </c>
    </row>
    <row r="1692">
      <c r="A1692" t="inlineStr">
        <is>
          <t>Daicel HPP Malaysia Sdn Bhd,  Kuantan, Pahang, Malaysia</t>
        </is>
      </c>
      <c r="B1692" t="inlineStr">
        <is>
          <t>Processing Unit</t>
        </is>
      </c>
      <c r="C1692" t="inlineStr">
        <is>
          <t>SGS Germany GmbH, Emstek, DE</t>
        </is>
      </c>
      <c r="D1692" t="inlineStr">
        <is>
          <t>02.07.2027</t>
        </is>
      </c>
      <c r="E1692" t="inlineStr">
        <is>
          <t>Malaysia</t>
        </is>
      </c>
    </row>
    <row r="1693">
      <c r="A1693" t="inlineStr">
        <is>
          <t>SYG Import And Export, S.L.U,  Albacete, Spain</t>
        </is>
      </c>
      <c r="B1693" t="inlineStr">
        <is>
          <t>Trader</t>
        </is>
      </c>
      <c r="C1693" t="inlineStr">
        <is>
          <t>RINA Services S.p.A., Genova, IT</t>
        </is>
      </c>
      <c r="D1693" t="inlineStr">
        <is>
          <t>02.07.2027</t>
        </is>
      </c>
      <c r="E1693" t="inlineStr">
        <is>
          <t>Spain</t>
        </is>
      </c>
    </row>
    <row r="1694">
      <c r="A1694" t="inlineStr">
        <is>
          <t>AFOI G. KAROUTSOU G.P,  ASPROPYRGOS, Greece</t>
        </is>
      </c>
      <c r="B1694" t="inlineStr">
        <is>
          <t>Point of Origin</t>
        </is>
      </c>
      <c r="C1694" t="inlineStr">
        <is>
          <t>Eurocert SA, Metamorfosi, Athens, GR</t>
        </is>
      </c>
      <c r="D1694" t="inlineStr">
        <is>
          <t>02.07.2027</t>
        </is>
      </c>
      <c r="E1694" t="inlineStr">
        <is>
          <t>Greece</t>
        </is>
      </c>
    </row>
    <row r="1695">
      <c r="A1695" t="inlineStr">
        <is>
          <t>TAGADDOD JORDANIAN EGYPTIAN FOR WASTE OIL COLLECTION AND TRANSPORT,  Amman, Jordan</t>
        </is>
      </c>
      <c r="B1695" t="inlineStr">
        <is>
          <t>Collecting Point, Trader with Storage, Warehouse</t>
        </is>
      </c>
      <c r="C1695" t="inlineStr">
        <is>
          <t>PT Intertek Utama Services, Jakarta, ID</t>
        </is>
      </c>
      <c r="D1695" t="inlineStr">
        <is>
          <t>02.07.2027</t>
        </is>
      </c>
      <c r="E1695" t="inlineStr">
        <is>
          <t>Jordan</t>
        </is>
      </c>
    </row>
    <row r="1696">
      <c r="A1696" t="inlineStr">
        <is>
          <t>CONECTIV SUPPLY CHAIN SOLUTIONS, INC,  MEMPHIS, United States</t>
        </is>
      </c>
      <c r="B1696" t="inlineStr">
        <is>
          <t>Trader with Storage, Final Product Refinement</t>
        </is>
      </c>
      <c r="C1696" t="inlineStr">
        <is>
          <t>SCS Global Services, Emeryville, CA, US</t>
        </is>
      </c>
      <c r="D1696" t="inlineStr">
        <is>
          <t>02.07.2027</t>
        </is>
      </c>
      <c r="E1696" t="inlineStr">
        <is>
          <t>United States</t>
        </is>
      </c>
    </row>
    <row r="1697">
      <c r="A1697" t="inlineStr">
        <is>
          <t>TAGADDOD JORDANIAN EGYPTIAN FOR WASTE OIL COLLECTION AND TRANSPORT,  Amman, Jordan</t>
        </is>
      </c>
      <c r="B1697" t="inlineStr">
        <is>
          <t>Collecting Point, Trader with Storage, Warehouse</t>
        </is>
      </c>
      <c r="C1697" t="inlineStr">
        <is>
          <t>PT Intertek Utama Services, Jakarta, ID</t>
        </is>
      </c>
      <c r="D1697" t="inlineStr">
        <is>
          <t>02.07.2027</t>
        </is>
      </c>
      <c r="E1697" t="inlineStr">
        <is>
          <t>Jordan</t>
        </is>
      </c>
    </row>
    <row r="1698">
      <c r="A1698" t="inlineStr">
        <is>
          <t>Ste Tunisienne de Traitement de Grignon d'Olive (STTGO),  Ksour essef Mahdia, Tunisia</t>
        </is>
      </c>
      <c r="B1698" t="inlineStr">
        <is>
          <t>Point of Origin</t>
        </is>
      </c>
      <c r="C1698" t="inlineStr">
        <is>
          <t>RINA Services S.p.A., Genova, IT</t>
        </is>
      </c>
      <c r="D1698" t="inlineStr">
        <is>
          <t>02.07.2027</t>
        </is>
      </c>
      <c r="E1698" t="inlineStr">
        <is>
          <t>Tunisia</t>
        </is>
      </c>
    </row>
    <row r="1699">
      <c r="A1699" t="inlineStr">
        <is>
          <t>AXEGAZ Trading &amp; Technologies,  Levallois-Perret, France</t>
        </is>
      </c>
      <c r="B1699" t="inlineStr">
        <is>
          <t>Trader with Storage</t>
        </is>
      </c>
      <c r="C1699" t="inlineStr">
        <is>
          <t>RINA Services S.p.A., Genova, IT</t>
        </is>
      </c>
      <c r="D1699" t="inlineStr">
        <is>
          <t>02.07.2027</t>
        </is>
      </c>
      <c r="E1699" t="inlineStr">
        <is>
          <t>France</t>
        </is>
      </c>
    </row>
    <row r="1700">
      <c r="A1700" t="inlineStr">
        <is>
          <t>INTTECH PTE. LTD.,  SINGAPORE, Singapore</t>
        </is>
      </c>
      <c r="B1700" t="inlineStr">
        <is>
          <t>Trader</t>
        </is>
      </c>
      <c r="C1700" t="inlineStr">
        <is>
          <t>China Standard Conformity Assessment Co. Ltd, Beijing, CN</t>
        </is>
      </c>
      <c r="D1700" t="inlineStr">
        <is>
          <t>02.07.2027</t>
        </is>
      </c>
      <c r="E1700" t="inlineStr">
        <is>
          <t>Singapore</t>
        </is>
      </c>
    </row>
    <row r="1701">
      <c r="A1701" t="inlineStr">
        <is>
          <t>Wenzhou Bokang Glasses Manufacture Co.,Ltd,  Wenzhou, China</t>
        </is>
      </c>
      <c r="B1701" t="inlineStr">
        <is>
          <t>Processing Unit</t>
        </is>
      </c>
      <c r="C1701" t="inlineStr">
        <is>
          <t>PT Intertek Utama Services, Jakarta, ID</t>
        </is>
      </c>
      <c r="D1701" t="inlineStr">
        <is>
          <t>02.07.2027</t>
        </is>
      </c>
      <c r="E1701" t="inlineStr">
        <is>
          <t>China</t>
        </is>
      </c>
    </row>
    <row r="1702">
      <c r="A1702" t="inlineStr">
        <is>
          <t>YNO Group Co.,Ltd.,  Seoul, The Republic of Korea</t>
        </is>
      </c>
      <c r="B1702" t="inlineStr">
        <is>
          <t>Trader</t>
        </is>
      </c>
      <c r="C1702" t="inlineStr">
        <is>
          <t>Korean Foundation for Quality, Songpa-gu, Seoul, KR</t>
        </is>
      </c>
      <c r="D1702" t="inlineStr">
        <is>
          <t>02.07.2027</t>
        </is>
      </c>
      <c r="E1702" t="inlineStr">
        <is>
          <t>The Republic of Korea</t>
        </is>
      </c>
    </row>
    <row r="1703">
      <c r="A1703" t="inlineStr">
        <is>
          <t>RWE Eemshaven Holding II B.V.,  Eemshaven, The Netherlands</t>
        </is>
      </c>
      <c r="B1703" t="inlineStr">
        <is>
          <t>Processing Unit, Trader</t>
        </is>
      </c>
      <c r="C1703" t="inlineStr">
        <is>
          <t>Control Union Certifications Germany GmbH, Berlin, DE</t>
        </is>
      </c>
      <c r="D1703" t="inlineStr">
        <is>
          <t>02.07.2027</t>
        </is>
      </c>
      <c r="E1703" t="inlineStr">
        <is>
          <t>The Netherlands</t>
        </is>
      </c>
    </row>
    <row r="1704">
      <c r="A1704" t="inlineStr">
        <is>
          <t>Bangkok Synthetics Co., Ltd.,  Map Ta Phut Industrial Estate, Mueang, Rayong, Thailand</t>
        </is>
      </c>
      <c r="B1704" t="inlineStr">
        <is>
          <t>Processing Unit, Trader with Storage</t>
        </is>
      </c>
      <c r="C1704" t="inlineStr">
        <is>
          <t>SGS Germany GmbH, Emstek, DE</t>
        </is>
      </c>
      <c r="D1704" t="inlineStr">
        <is>
          <t>02.07.2027</t>
        </is>
      </c>
      <c r="E1704" t="inlineStr">
        <is>
          <t>Thailand</t>
        </is>
      </c>
    </row>
    <row r="1705">
      <c r="A1705" t="inlineStr">
        <is>
          <t>SC First Grain Srl,  Comuna Amzacea, Judetul Constanta, Romania</t>
        </is>
      </c>
      <c r="B1705" t="inlineStr">
        <is>
          <t>First Gathering Point, Trader with Storage</t>
        </is>
      </c>
      <c r="C1705" t="inlineStr">
        <is>
          <t>Control Union Certifications Germany GmbH, Berlin, DE</t>
        </is>
      </c>
      <c r="D1705" t="inlineStr">
        <is>
          <t>02.07.2027</t>
        </is>
      </c>
      <c r="E1705" t="inlineStr">
        <is>
          <t>Romania</t>
        </is>
      </c>
    </row>
    <row r="1706">
      <c r="A1706" t="inlineStr">
        <is>
          <t>Cargill Bulgaria EOOD,  Sofia, Bulgaria</t>
        </is>
      </c>
      <c r="B1706" t="inlineStr">
        <is>
          <t>First Gathering Point, Trader with Storage</t>
        </is>
      </c>
      <c r="C1706" t="inlineStr">
        <is>
          <t>SGS Germany GmbH, Emstek, DE</t>
        </is>
      </c>
      <c r="D1706" t="inlineStr">
        <is>
          <t>02.07.2027</t>
        </is>
      </c>
      <c r="E1706" t="inlineStr">
        <is>
          <t>Bulgaria</t>
        </is>
      </c>
    </row>
    <row r="1707">
      <c r="A1707" t="inlineStr">
        <is>
          <t>Hirsch France,  Le Meux, France</t>
        </is>
      </c>
      <c r="B1707" t="inlineStr">
        <is>
          <t>Processing Unit</t>
        </is>
      </c>
      <c r="C1707" t="inlineStr">
        <is>
          <t>Bureau Veritas Polska Sp. z o.o., Warsaw, PL</t>
        </is>
      </c>
      <c r="D1707" t="inlineStr">
        <is>
          <t>02.07.2027</t>
        </is>
      </c>
      <c r="E1707" t="inlineStr">
        <is>
          <t>France</t>
        </is>
      </c>
    </row>
    <row r="1708">
      <c r="A1708" t="inlineStr">
        <is>
          <t>AGRIECO SOLUTIONS LIMITED,  MPIKA, Zambia</t>
        </is>
      </c>
      <c r="B1708" t="inlineStr">
        <is>
          <t>Central Office (Farms/Plantations), First Gathering Point, Processing Unit, Warehouse</t>
        </is>
      </c>
      <c r="C1708" t="inlineStr">
        <is>
          <t>BM Certification, Riga, LV</t>
        </is>
      </c>
      <c r="D1708" t="inlineStr">
        <is>
          <t>02.07.2027</t>
        </is>
      </c>
      <c r="E1708" t="inlineStr">
        <is>
          <t>Zambia</t>
        </is>
      </c>
    </row>
    <row r="1709">
      <c r="A1709" t="inlineStr">
        <is>
          <t>Atlas-Trading Sp. z o.o.,  Lublin, Poland</t>
        </is>
      </c>
      <c r="B1709" t="inlineStr">
        <is>
          <t>First Gathering Point</t>
        </is>
      </c>
      <c r="C1709" t="inlineStr">
        <is>
          <t>Bureau Veritas Polska Sp. z o.o., Warsaw, PL</t>
        </is>
      </c>
      <c r="D1709" t="inlineStr">
        <is>
          <t>02.07.2027</t>
        </is>
      </c>
      <c r="E1709" t="inlineStr">
        <is>
          <t>Poland</t>
        </is>
      </c>
    </row>
    <row r="1710">
      <c r="A1710" t="inlineStr">
        <is>
          <t>VICOGEN LUX,  MERESENI, Moldova</t>
        </is>
      </c>
      <c r="B1710" t="inlineStr">
        <is>
          <t>First Gathering Point, Trader with Storage</t>
        </is>
      </c>
      <c r="C1710" t="inlineStr">
        <is>
          <t>BM Certification, Riga, LV</t>
        </is>
      </c>
      <c r="D1710" t="inlineStr">
        <is>
          <t>02.07.2027</t>
        </is>
      </c>
      <c r="E1710" t="inlineStr">
        <is>
          <t>Moldova</t>
        </is>
      </c>
    </row>
    <row r="1711">
      <c r="A1711" t="inlineStr">
        <is>
          <t>Casanaceb-Grup,  Chisinau, Moldova</t>
        </is>
      </c>
      <c r="B1711" t="inlineStr">
        <is>
          <t>First Gathering Point, Trader</t>
        </is>
      </c>
      <c r="C1711" t="inlineStr">
        <is>
          <t>BM Certification, Riga, LV</t>
        </is>
      </c>
      <c r="D1711" t="inlineStr">
        <is>
          <t>02.07.2027</t>
        </is>
      </c>
      <c r="E1711" t="inlineStr">
        <is>
          <t>Moldova</t>
        </is>
      </c>
    </row>
    <row r="1712">
      <c r="A1712" t="inlineStr">
        <is>
          <t>Maruzen Petrochemical Co., Ltd.,  Ichihara, Chiba, Japan</t>
        </is>
      </c>
      <c r="B1712" t="inlineStr">
        <is>
          <t>Processing Unit</t>
        </is>
      </c>
      <c r="C1712" t="inlineStr">
        <is>
          <t>SGS Germany GmbH, Emstek, DE</t>
        </is>
      </c>
      <c r="D1712" t="inlineStr">
        <is>
          <t>02.07.2027</t>
        </is>
      </c>
      <c r="E1712" t="inlineStr">
        <is>
          <t>Japan</t>
        </is>
      </c>
    </row>
    <row r="1713">
      <c r="A1713" t="inlineStr">
        <is>
          <t>Direct Way,  Bishkek, Kyrgyzstan</t>
        </is>
      </c>
      <c r="B1713" t="inlineStr">
        <is>
          <t>Collecting Point, Trader with Storage</t>
        </is>
      </c>
      <c r="C1713" t="inlineStr">
        <is>
          <t>TÜV NORD CERT GmbH, Essen, DE</t>
        </is>
      </c>
      <c r="D1713" t="inlineStr">
        <is>
          <t>02.07.2027</t>
        </is>
      </c>
      <c r="E1713" t="inlineStr">
        <is>
          <t>Kyrgyzstan</t>
        </is>
      </c>
    </row>
    <row r="1714">
      <c r="A1714" t="inlineStr">
        <is>
          <t>RIOJANA DE GRASAS, S.A.,  Baños de Río Tobia (La Rioja), Spain</t>
        </is>
      </c>
      <c r="B1714" t="inlineStr">
        <is>
          <t>Point of Origin, Collecting Point, Processing Unit, Trader with Storage</t>
        </is>
      </c>
      <c r="C1714" t="inlineStr">
        <is>
          <t>RINA Services S.p.A., Genova, IT</t>
        </is>
      </c>
      <c r="D1714" t="inlineStr">
        <is>
          <t>02.07.2027</t>
        </is>
      </c>
      <c r="E1714" t="inlineStr">
        <is>
          <t>Spain</t>
        </is>
      </c>
    </row>
    <row r="1715">
      <c r="A1715" t="inlineStr">
        <is>
          <t>Veggie Oil Distributors CC,  Port Elizabeth, South Africa</t>
        </is>
      </c>
      <c r="B1715" t="inlineStr">
        <is>
          <t>Collecting Point</t>
        </is>
      </c>
      <c r="C1715" t="inlineStr">
        <is>
          <t>DEKRA Certification B.V., Arnhem, NL</t>
        </is>
      </c>
      <c r="D1715" t="inlineStr">
        <is>
          <t>02.07.2027</t>
        </is>
      </c>
      <c r="E1715" t="inlineStr">
        <is>
          <t>South Africa</t>
        </is>
      </c>
    </row>
    <row r="1716">
      <c r="A1716" t="inlineStr">
        <is>
          <t>Glacial Lakes Corn Processors,  Watertown, United States</t>
        </is>
      </c>
      <c r="B1716" t="inlineStr">
        <is>
          <t>Central Office (Group of Point of Origin)</t>
        </is>
      </c>
      <c r="C1716" t="inlineStr">
        <is>
          <t>SGS Germany GmbH, Emstek, DE</t>
        </is>
      </c>
      <c r="D1716" t="inlineStr">
        <is>
          <t>02.07.2027</t>
        </is>
      </c>
      <c r="E1716" t="inlineStr">
        <is>
          <t>United States</t>
        </is>
      </c>
    </row>
    <row r="1717">
      <c r="A1717" t="inlineStr">
        <is>
          <t>Glacial Lakes Corn Processors,  Watertown, United States</t>
        </is>
      </c>
      <c r="B1717" t="inlineStr">
        <is>
          <t>Central Office (Group of Point of Origin)</t>
        </is>
      </c>
      <c r="C1717" t="inlineStr">
        <is>
          <t>SGS Germany GmbH, Emstek, DE</t>
        </is>
      </c>
      <c r="D1717" t="inlineStr">
        <is>
          <t>02.07.2027</t>
        </is>
      </c>
      <c r="E1717" t="inlineStr">
        <is>
          <t>United States</t>
        </is>
      </c>
    </row>
    <row r="1718">
      <c r="A1718" t="inlineStr">
        <is>
          <t>Glacial Lakes Corn Processors,  Watertown, United States</t>
        </is>
      </c>
      <c r="B1718" t="inlineStr">
        <is>
          <t>Central Office (Group of Point of Origin)</t>
        </is>
      </c>
      <c r="C1718" t="inlineStr">
        <is>
          <t>SGS Germany GmbH, Emstek, DE</t>
        </is>
      </c>
      <c r="D1718" t="inlineStr">
        <is>
          <t>02.07.2027</t>
        </is>
      </c>
      <c r="E1718" t="inlineStr">
        <is>
          <t>United States</t>
        </is>
      </c>
    </row>
    <row r="1719">
      <c r="A1719" t="inlineStr">
        <is>
          <t>TERMINAL CHORNOTYSIV,  Chornotysiv village, Berehivskyi district, Ukraine</t>
        </is>
      </c>
      <c r="B1719" t="inlineStr">
        <is>
          <t>Warehouse, Trader with Storage</t>
        </is>
      </c>
      <c r="C1719" t="inlineStr">
        <is>
          <t>United Registrar of Systems Polska Sp. z o.o., Wrocław, PL</t>
        </is>
      </c>
      <c r="D1719" t="inlineStr">
        <is>
          <t>02.07.2027</t>
        </is>
      </c>
      <c r="E1719" t="inlineStr">
        <is>
          <t>Ukraine</t>
        </is>
      </c>
    </row>
    <row r="1720">
      <c r="A1720" t="inlineStr">
        <is>
          <t>DERPROSA SPECIALTY FILMS USA LLC,  Rosedale, United States</t>
        </is>
      </c>
      <c r="B1720" t="inlineStr">
        <is>
          <t>Final Product Refinement, Trader with Storage</t>
        </is>
      </c>
      <c r="C1720" t="inlineStr">
        <is>
          <t>Control Union Poland Sp. z o.o., Zielona Gora, PL</t>
        </is>
      </c>
      <c r="D1720" t="inlineStr">
        <is>
          <t>02.07.2027</t>
        </is>
      </c>
      <c r="E1720" t="inlineStr">
        <is>
          <t>United States</t>
        </is>
      </c>
    </row>
    <row r="1721">
      <c r="A1721" t="inlineStr">
        <is>
          <t>Sc Dudagro Corporation Srl,  Simand, Romania</t>
        </is>
      </c>
      <c r="B1721" t="inlineStr">
        <is>
          <t>First Gathering Point, Trader with Storage</t>
        </is>
      </c>
      <c r="C1721" t="inlineStr">
        <is>
          <t>RINA Services S.p.A., Genova, IT</t>
        </is>
      </c>
      <c r="D1721" t="inlineStr">
        <is>
          <t>02.07.2027</t>
        </is>
      </c>
      <c r="E1721" t="inlineStr">
        <is>
          <t>Romania</t>
        </is>
      </c>
    </row>
    <row r="1722">
      <c r="A1722" t="inlineStr">
        <is>
          <t>OLLECO BUNGE IB SLU,  La Unión, Spain</t>
        </is>
      </c>
      <c r="B1722" t="inlineStr">
        <is>
          <t>Collecting Point, Trader with Storage</t>
        </is>
      </c>
      <c r="C1722" t="inlineStr">
        <is>
          <t>Control Union Poland Sp. z o.o., Zielona Gora, PL</t>
        </is>
      </c>
      <c r="D1722" t="inlineStr">
        <is>
          <t>02.07.2027</t>
        </is>
      </c>
      <c r="E1722" t="inlineStr">
        <is>
          <t>Spain</t>
        </is>
      </c>
    </row>
    <row r="1723">
      <c r="A1723" t="inlineStr">
        <is>
          <t>TRANSFORPEL - COMBUSTÍVEIS,  Pataias, Portugal</t>
        </is>
      </c>
      <c r="B1723" t="inlineStr">
        <is>
          <t>Trader with Storage</t>
        </is>
      </c>
      <c r="C1723" t="inlineStr">
        <is>
          <t>Amspec Iberia SL, Vilagarcia de Arousa-Pontevedra, ES</t>
        </is>
      </c>
      <c r="D1723" t="inlineStr">
        <is>
          <t>02.07.2027</t>
        </is>
      </c>
      <c r="E1723" t="inlineStr">
        <is>
          <t>Portugal</t>
        </is>
      </c>
    </row>
    <row r="1724">
      <c r="A1724" t="inlineStr">
        <is>
          <t>3 Fuel Production s.r.o.,  Střekov,400 03 Ústí nad Labem,, Czech Republic</t>
        </is>
      </c>
      <c r="B1724" t="inlineStr">
        <is>
          <t>Point of Origin, Processing Unit, Trader with Storage</t>
        </is>
      </c>
      <c r="C1724" t="inlineStr">
        <is>
          <t>ICIM SpA, sesto san giovanni, IT</t>
        </is>
      </c>
      <c r="D1724" t="inlineStr">
        <is>
          <t>02.07.2027</t>
        </is>
      </c>
      <c r="E1724" t="inlineStr">
        <is>
          <t>Czech Republic</t>
        </is>
      </c>
    </row>
    <row r="1725">
      <c r="A1725" t="inlineStr">
        <is>
          <t>Alcogreen S.A,  Paraguarí, Paraguay</t>
        </is>
      </c>
      <c r="B1725" t="inlineStr">
        <is>
          <t>Point of Origin, Processing Unit, Trader with Storage</t>
        </is>
      </c>
      <c r="C1725" t="inlineStr">
        <is>
          <t>Control Union Poland Sp. z o.o., Zielona Gora, PL</t>
        </is>
      </c>
      <c r="D1725" t="inlineStr">
        <is>
          <t>02.07.2027</t>
        </is>
      </c>
      <c r="E1725" t="inlineStr">
        <is>
          <t>Paraguay</t>
        </is>
      </c>
    </row>
    <row r="1726">
      <c r="A1726" t="inlineStr">
        <is>
          <t>FRIGOMERC S.A.,  ASUNCIÓN, Paraguay</t>
        </is>
      </c>
      <c r="B1726" t="inlineStr">
        <is>
          <t>Collecting Point, Trader with Storage</t>
        </is>
      </c>
      <c r="C1726" t="inlineStr">
        <is>
          <t>Control Union Poland Sp. z o.o., Zielona Gora, PL</t>
        </is>
      </c>
      <c r="D1726" t="inlineStr">
        <is>
          <t>02.07.2027</t>
        </is>
      </c>
      <c r="E1726" t="inlineStr">
        <is>
          <t>Paraguay</t>
        </is>
      </c>
    </row>
    <row r="1727">
      <c r="A1727" t="inlineStr">
        <is>
          <t>KN International Co., Ltd,  Dongjak-gu, Seoul, The Republic of Korea</t>
        </is>
      </c>
      <c r="B1727" t="inlineStr">
        <is>
          <t>Trader</t>
        </is>
      </c>
      <c r="C1727" t="inlineStr">
        <is>
          <t>Control Union Certifications Germany GmbH, Berlin, DE</t>
        </is>
      </c>
      <c r="D1727" t="inlineStr">
        <is>
          <t>02.07.2027</t>
        </is>
      </c>
      <c r="E1727" t="inlineStr">
        <is>
          <t>The Republic of Korea</t>
        </is>
      </c>
    </row>
    <row r="1728">
      <c r="A1728" t="inlineStr">
        <is>
          <t>TKF Subsea Solutions B.V.,  Eemshaven, The Netherlands</t>
        </is>
      </c>
      <c r="B1728" t="inlineStr">
        <is>
          <t>Processing Unit</t>
        </is>
      </c>
      <c r="C1728" t="inlineStr">
        <is>
          <t>DEKRA Certification B.V., Arnhem, NL</t>
        </is>
      </c>
      <c r="D1728" t="inlineStr">
        <is>
          <t>02.07.2027</t>
        </is>
      </c>
      <c r="E1728" t="inlineStr">
        <is>
          <t>The Netherlands</t>
        </is>
      </c>
    </row>
    <row r="1729">
      <c r="A1729" t="inlineStr">
        <is>
          <t>FRIGOMERC S.A.,  ASUNCIÓN, Paraguay</t>
        </is>
      </c>
      <c r="B1729" t="inlineStr">
        <is>
          <t>Collecting Point, Trader with Storage</t>
        </is>
      </c>
      <c r="C1729" t="inlineStr">
        <is>
          <t>Control Union Poland Sp. z o.o., Zielona Gora, PL</t>
        </is>
      </c>
      <c r="D1729" t="inlineStr">
        <is>
          <t>02.07.2027</t>
        </is>
      </c>
      <c r="E1729" t="inlineStr">
        <is>
          <t>Paraguay</t>
        </is>
      </c>
    </row>
    <row r="1730">
      <c r="A1730" t="inlineStr">
        <is>
          <t>ALL RISE GROUP CO., LTD.,  Samutsakhon, Thailand</t>
        </is>
      </c>
      <c r="B1730" t="inlineStr">
        <is>
          <t>Collecting Point, Trader</t>
        </is>
      </c>
      <c r="C1730" t="inlineStr">
        <is>
          <t>Trans Certification and Inspection Sdn Bhd, Kuantan, MY</t>
        </is>
      </c>
      <c r="D1730" t="inlineStr">
        <is>
          <t>02.07.2027</t>
        </is>
      </c>
      <c r="E1730" t="inlineStr">
        <is>
          <t>Thailand</t>
        </is>
      </c>
    </row>
    <row r="1731">
      <c r="A1731" t="inlineStr">
        <is>
          <t>ALL RISE GROUP CO., LTD.,  Samutsakhon, Thailand</t>
        </is>
      </c>
      <c r="B1731" t="inlineStr">
        <is>
          <t>Collecting Point, Trader</t>
        </is>
      </c>
      <c r="C1731" t="inlineStr">
        <is>
          <t>Trans Certification and Inspection Sdn Bhd, Kuantan, MY</t>
        </is>
      </c>
      <c r="D1731" t="inlineStr">
        <is>
          <t>02.07.2027</t>
        </is>
      </c>
      <c r="E1731" t="inlineStr">
        <is>
          <t>Thailand</t>
        </is>
      </c>
    </row>
    <row r="1732">
      <c r="A1732" t="inlineStr">
        <is>
          <t>JIA RU SDN BHD,  KUALA LUMPUR, Malaysia</t>
        </is>
      </c>
      <c r="B1732" t="inlineStr">
        <is>
          <t>Trader with Storage</t>
        </is>
      </c>
      <c r="C1732" t="inlineStr">
        <is>
          <t>Trans Certification and Inspection Sdn Bhd, Kuantan, MY</t>
        </is>
      </c>
      <c r="D1732" t="inlineStr">
        <is>
          <t>02.07.2027</t>
        </is>
      </c>
      <c r="E1732" t="inlineStr">
        <is>
          <t>Malaysia</t>
        </is>
      </c>
    </row>
    <row r="1733">
      <c r="A1733" t="inlineStr">
        <is>
          <t>Essent Sales Portfolio Management,  's-Hertogenbosch, The Netherlands</t>
        </is>
      </c>
      <c r="B1733" t="inlineStr">
        <is>
          <t>Proof of Compliance Trader, Trader</t>
        </is>
      </c>
      <c r="C1733" t="inlineStr">
        <is>
          <t>DEKRA Certification B.V., Arnhem, NL</t>
        </is>
      </c>
      <c r="D1733" t="inlineStr">
        <is>
          <t>01.07.2027</t>
        </is>
      </c>
      <c r="E1733" t="inlineStr">
        <is>
          <t>The Netherlands</t>
        </is>
      </c>
    </row>
    <row r="1734">
      <c r="A1734" t="inlineStr">
        <is>
          <t>Ningbo Chongsheng Trading Co., Ltd.,  Ningbo City, Zhejiang Province, China</t>
        </is>
      </c>
      <c r="B1734" t="inlineStr">
        <is>
          <t>Trader</t>
        </is>
      </c>
      <c r="C1734" t="inlineStr">
        <is>
          <t>CTI Certification Co. Ltd, Shenzhen, CN</t>
        </is>
      </c>
      <c r="D1734" t="inlineStr">
        <is>
          <t>01.07.2027</t>
        </is>
      </c>
      <c r="E1734" t="inlineStr">
        <is>
          <t>China</t>
        </is>
      </c>
    </row>
    <row r="1735">
      <c r="A1735" t="inlineStr">
        <is>
          <t>Twence B.V.,  Hengelo, The Netherlands</t>
        </is>
      </c>
      <c r="B1735" t="inlineStr">
        <is>
          <t>Collecting Point, Processing Unit, Trader with Storage</t>
        </is>
      </c>
      <c r="C1735" t="inlineStr">
        <is>
          <t>DEKRA Certification B.V., Arnhem, NL</t>
        </is>
      </c>
      <c r="D1735" t="inlineStr">
        <is>
          <t>01.07.2027</t>
        </is>
      </c>
      <c r="E1735" t="inlineStr">
        <is>
          <t>The Netherlands</t>
        </is>
      </c>
    </row>
    <row r="1736">
      <c r="A1736" t="inlineStr">
        <is>
          <t>Mora Riccardo,  Vaprio D'agogna (NO), Italy</t>
        </is>
      </c>
      <c r="B1736" t="inlineStr">
        <is>
          <t>Warehouse</t>
        </is>
      </c>
      <c r="C1736" t="inlineStr">
        <is>
          <t>RINA Services S.p.A., Genova, IT</t>
        </is>
      </c>
      <c r="D1736" t="inlineStr">
        <is>
          <t>01.07.2027</t>
        </is>
      </c>
      <c r="E1736" t="inlineStr">
        <is>
          <t>Italy</t>
        </is>
      </c>
    </row>
    <row r="1737">
      <c r="A1737" t="inlineStr">
        <is>
          <t>United Caps Messia,  Messia-sur-Sorne, France</t>
        </is>
      </c>
      <c r="B1737" t="inlineStr">
        <is>
          <t>Processing Unit</t>
        </is>
      </c>
      <c r="C1737" t="inlineStr">
        <is>
          <t>Bureau Veritas Polska Sp. z o.o., Warsaw, PL</t>
        </is>
      </c>
      <c r="D1737" t="inlineStr">
        <is>
          <t>01.07.2027</t>
        </is>
      </c>
      <c r="E1737" t="inlineStr">
        <is>
          <t>France</t>
        </is>
      </c>
    </row>
    <row r="1738">
      <c r="A1738" t="inlineStr">
        <is>
          <t>Uponor Suomi Oy,  Lahti, Finland</t>
        </is>
      </c>
      <c r="B1738" t="inlineStr">
        <is>
          <t>Processing Unit, Trader</t>
        </is>
      </c>
      <c r="C1738" t="inlineStr">
        <is>
          <t>DNV Business Assurance Sweden AB, Solna, SE</t>
        </is>
      </c>
      <c r="D1738" t="inlineStr">
        <is>
          <t>01.07.2027</t>
        </is>
      </c>
      <c r="E1738" t="inlineStr">
        <is>
          <t>Finland</t>
        </is>
      </c>
    </row>
    <row r="1739">
      <c r="A1739" t="inlineStr">
        <is>
          <t>Goodyear Germany GmbH,  Fürstenwalde /Spree, Germany</t>
        </is>
      </c>
      <c r="B1739" t="inlineStr">
        <is>
          <t>Processing Unit</t>
        </is>
      </c>
      <c r="C1739" t="inlineStr">
        <is>
          <t>DQS CFS GmbH - Deutsche Gesellschaft für Nachhaltigkeit, Frankfurt am Main, DE</t>
        </is>
      </c>
      <c r="D1739" t="inlineStr">
        <is>
          <t>01.07.2027</t>
        </is>
      </c>
      <c r="E1739" t="inlineStr">
        <is>
          <t>Germany</t>
        </is>
      </c>
    </row>
    <row r="1740">
      <c r="A1740" t="inlineStr">
        <is>
          <t>FincoEnergies - Marine B.V.,  Rotterdam, The Netherlands</t>
        </is>
      </c>
      <c r="B1740" t="inlineStr">
        <is>
          <t>Trader, Proof of Compliance Trader</t>
        </is>
      </c>
      <c r="C1740" t="inlineStr">
        <is>
          <t>Control Union Certifications Germany GmbH, Berlin, DE</t>
        </is>
      </c>
      <c r="D1740" t="inlineStr">
        <is>
          <t>01.07.2027</t>
        </is>
      </c>
      <c r="E1740" t="inlineStr">
        <is>
          <t>The Netherlands</t>
        </is>
      </c>
    </row>
    <row r="1741">
      <c r="A1741" t="inlineStr">
        <is>
          <t>INTERCOM AGRICOLA CEREAL,  Arad, Romania</t>
        </is>
      </c>
      <c r="B1741" t="inlineStr">
        <is>
          <t>First Gathering Point, Trader</t>
        </is>
      </c>
      <c r="C1741" t="inlineStr">
        <is>
          <t>SRAC Cert SRL, Bucharest, RO</t>
        </is>
      </c>
      <c r="D1741" t="inlineStr">
        <is>
          <t>01.07.2027</t>
        </is>
      </c>
      <c r="E1741" t="inlineStr">
        <is>
          <t>Romania</t>
        </is>
      </c>
    </row>
    <row r="1742">
      <c r="A1742" t="inlineStr">
        <is>
          <t>Aurora Commodities BV,  AMSTERDAM, The Netherlands</t>
        </is>
      </c>
      <c r="B1742" t="inlineStr">
        <is>
          <t>Trader with Storage</t>
        </is>
      </c>
      <c r="C1742" t="inlineStr">
        <is>
          <t>DEKRA Certification B.V., Arnhem, NL</t>
        </is>
      </c>
      <c r="D1742" t="inlineStr">
        <is>
          <t>01.07.2027</t>
        </is>
      </c>
      <c r="E1742" t="inlineStr">
        <is>
          <t>The Netherlands</t>
        </is>
      </c>
    </row>
    <row r="1743">
      <c r="A1743" t="inlineStr">
        <is>
          <t>Les Huileries du Souss Belhassan Centre,  AIN TAOUJDATE, Morocco</t>
        </is>
      </c>
      <c r="B1743" t="inlineStr">
        <is>
          <t>Point of Origin</t>
        </is>
      </c>
      <c r="C1743" t="inlineStr">
        <is>
          <t>DEKRA Certification B.V., Arnhem, NL</t>
        </is>
      </c>
      <c r="D1743" t="inlineStr">
        <is>
          <t>01.07.2027</t>
        </is>
      </c>
      <c r="E1743" t="inlineStr">
        <is>
          <t>Morocco</t>
        </is>
      </c>
    </row>
    <row r="1744">
      <c r="A1744" t="inlineStr">
        <is>
          <t>Chongqing Chihua biological energy Co., Ltd.,  Chongqing, China</t>
        </is>
      </c>
      <c r="B1744" t="inlineStr">
        <is>
          <t>Trader with Storage</t>
        </is>
      </c>
      <c r="C1744" t="inlineStr">
        <is>
          <t>RINA Services S.p.A., Genova, IT</t>
        </is>
      </c>
      <c r="D1744" t="inlineStr">
        <is>
          <t>01.07.2027</t>
        </is>
      </c>
      <c r="E1744" t="inlineStr">
        <is>
          <t>China</t>
        </is>
      </c>
    </row>
    <row r="1745">
      <c r="A1745" t="inlineStr">
        <is>
          <t>Gomes &amp; Severino,  Camarate, Portugal</t>
        </is>
      </c>
      <c r="B1745" t="inlineStr">
        <is>
          <t>Collecting Point</t>
        </is>
      </c>
      <c r="C1745" t="inlineStr">
        <is>
          <t>Amspec Iberia SL, Vilagarcia de Arousa-Pontevedra, ES</t>
        </is>
      </c>
      <c r="D1745" t="inlineStr">
        <is>
          <t>01.07.2027</t>
        </is>
      </c>
      <c r="E1745" t="inlineStr">
        <is>
          <t>Portugal</t>
        </is>
      </c>
    </row>
    <row r="1746">
      <c r="A1746" t="inlineStr">
        <is>
          <t>Wuhan Yunjing Qingyuan Biotechnology Co., Ltd.,  Wuhan City, China</t>
        </is>
      </c>
      <c r="B1746" t="inlineStr">
        <is>
          <t>Trader</t>
        </is>
      </c>
      <c r="C1746" t="inlineStr">
        <is>
          <t>RINA Services S.p.A., Genova, IT</t>
        </is>
      </c>
      <c r="D1746" t="inlineStr">
        <is>
          <t>01.07.2027</t>
        </is>
      </c>
      <c r="E1746" t="inlineStr">
        <is>
          <t>China</t>
        </is>
      </c>
    </row>
    <row r="1747">
      <c r="A1747" t="inlineStr">
        <is>
          <t>bp Retail Austria GmbH,  Wien, Austria</t>
        </is>
      </c>
      <c r="B1747" t="inlineStr">
        <is>
          <t>Trader with Storage</t>
        </is>
      </c>
      <c r="C1747" t="inlineStr">
        <is>
          <t>Control Union Certifications Germany GmbH, Berlin, DE</t>
        </is>
      </c>
      <c r="D1747" t="inlineStr">
        <is>
          <t>01.07.2027</t>
        </is>
      </c>
      <c r="E1747" t="inlineStr">
        <is>
          <t>Austria</t>
        </is>
      </c>
    </row>
    <row r="1748">
      <c r="A1748" t="inlineStr">
        <is>
          <t>Eazy Grease NJ,  Elizabeth, United States</t>
        </is>
      </c>
      <c r="B1748" t="inlineStr">
        <is>
          <t>Collecting Point</t>
        </is>
      </c>
      <c r="C1748" t="inlineStr">
        <is>
          <t>ASG Cert GmbH, Munich, DE</t>
        </is>
      </c>
      <c r="D1748" t="inlineStr">
        <is>
          <t>01.07.2027</t>
        </is>
      </c>
      <c r="E1748" t="inlineStr">
        <is>
          <t>United States</t>
        </is>
      </c>
    </row>
    <row r="1749">
      <c r="A1749" t="inlineStr">
        <is>
          <t>Essent Sales Portfolio Management,  's-Hertogenbosch, The Netherlands</t>
        </is>
      </c>
      <c r="B1749" t="inlineStr">
        <is>
          <t>Proof of Compliance Trader, Trader</t>
        </is>
      </c>
      <c r="C1749" t="inlineStr">
        <is>
          <t>DEKRA Certification B.V., Arnhem, NL</t>
        </is>
      </c>
      <c r="D1749" t="inlineStr">
        <is>
          <t>01.07.2027</t>
        </is>
      </c>
      <c r="E1749" t="inlineStr">
        <is>
          <t>The Netherlands</t>
        </is>
      </c>
    </row>
    <row r="1750">
      <c r="A1750" t="inlineStr">
        <is>
          <t>AVVATERRA-SM,  Chișinău, Moldova</t>
        </is>
      </c>
      <c r="B1750" t="inlineStr">
        <is>
          <t>First Gathering Point, Trader with Storage</t>
        </is>
      </c>
      <c r="C1750" t="inlineStr">
        <is>
          <t>Control Union Certifications Germany GmbH, Berlin, DE</t>
        </is>
      </c>
      <c r="D1750" t="inlineStr">
        <is>
          <t>01.07.2027</t>
        </is>
      </c>
      <c r="E1750" t="inlineStr">
        <is>
          <t>Moldova</t>
        </is>
      </c>
    </row>
    <row r="1751">
      <c r="A1751" t="inlineStr">
        <is>
          <t>Shin-Etsu Chemical Co., Ltd.,  Chiyoda-ku, Japan</t>
        </is>
      </c>
      <c r="B1751" t="inlineStr">
        <is>
          <t>Trader</t>
        </is>
      </c>
      <c r="C1751" t="inlineStr">
        <is>
          <t>SGS Germany GmbH, Emstek, DE</t>
        </is>
      </c>
      <c r="D1751" t="inlineStr">
        <is>
          <t>01.07.2027</t>
        </is>
      </c>
      <c r="E1751" t="inlineStr">
        <is>
          <t>Japan</t>
        </is>
      </c>
    </row>
    <row r="1752">
      <c r="A1752" t="inlineStr">
        <is>
          <t>Corsair Asia Holding Company Limited,  Khlong Tan, Khlong Toei, Thailand</t>
        </is>
      </c>
      <c r="B1752" t="inlineStr">
        <is>
          <t>Trader</t>
        </is>
      </c>
      <c r="C1752" t="inlineStr">
        <is>
          <t>Trans Certification and Inspection Sdn Bhd, Kuantan, MY</t>
        </is>
      </c>
      <c r="D1752" t="inlineStr">
        <is>
          <t>01.07.2027</t>
        </is>
      </c>
      <c r="E1752" t="inlineStr">
        <is>
          <t>Thailand</t>
        </is>
      </c>
    </row>
    <row r="1753">
      <c r="A1753" t="inlineStr">
        <is>
          <t>PPK Valpovo d.o.o.,  Valpovo, Croatia</t>
        </is>
      </c>
      <c r="B1753" t="inlineStr">
        <is>
          <t>Farm / Plantation, First Gathering Point, Trader with Storage</t>
        </is>
      </c>
      <c r="C1753" t="inlineStr">
        <is>
          <t>Bureau Veritas Polska Sp. z o.o., Warsaw, PL</t>
        </is>
      </c>
      <c r="D1753" t="inlineStr">
        <is>
          <t>01.07.2027</t>
        </is>
      </c>
      <c r="E1753" t="inlineStr">
        <is>
          <t>Croatia</t>
        </is>
      </c>
    </row>
    <row r="1754">
      <c r="A1754" t="inlineStr">
        <is>
          <t>Tiense Suikerraffinaderij,  Tienen, Belgium</t>
        </is>
      </c>
      <c r="B1754" t="inlineStr">
        <is>
          <t>Point of Origin, Processing Unit</t>
        </is>
      </c>
      <c r="C1754" t="inlineStr">
        <is>
          <t>Normec QS BV, Ede, NL</t>
        </is>
      </c>
      <c r="D1754" t="inlineStr">
        <is>
          <t>01.07.2027</t>
        </is>
      </c>
      <c r="E1754" t="inlineStr">
        <is>
          <t>Belgium</t>
        </is>
      </c>
    </row>
    <row r="1755">
      <c r="A1755" t="inlineStr">
        <is>
          <t>666 I,  VELIKO TARNOVO, Bulgaria</t>
        </is>
      </c>
      <c r="B1755" t="inlineStr">
        <is>
          <t>Trader with Storage</t>
        </is>
      </c>
      <c r="C1755" t="inlineStr">
        <is>
          <t>Control Union Certifications Germany GmbH, Berlin, DE</t>
        </is>
      </c>
      <c r="D1755" t="inlineStr">
        <is>
          <t>01.07.2027</t>
        </is>
      </c>
      <c r="E1755" t="inlineStr">
        <is>
          <t>Bulgaria</t>
        </is>
      </c>
    </row>
    <row r="1756">
      <c r="A1756" t="inlineStr">
        <is>
          <t>Örménykúti Petőfi Kft.,  Örménykút, Hungary</t>
        </is>
      </c>
      <c r="B1756" t="inlineStr">
        <is>
          <t>First Gathering Point</t>
        </is>
      </c>
      <c r="C1756" t="inlineStr">
        <is>
          <t>Amspec Iberia SL, Vilagarcia de Arousa-Pontevedra, ES</t>
        </is>
      </c>
      <c r="D1756" t="inlineStr">
        <is>
          <t>01.07.2027</t>
        </is>
      </c>
      <c r="E1756" t="inlineStr">
        <is>
          <t>Hungary</t>
        </is>
      </c>
    </row>
    <row r="1757">
      <c r="A1757" t="inlineStr">
        <is>
          <t>Cardama S.A.,  Montevideo, Uruguay</t>
        </is>
      </c>
      <c r="B1757" t="inlineStr">
        <is>
          <t>Collecting Point, Point of Origin, Trader with Storage</t>
        </is>
      </c>
      <c r="C1757" t="inlineStr">
        <is>
          <t>Control Union Poland Sp. z o.o., Zielona Gora, PL</t>
        </is>
      </c>
      <c r="D1757" t="inlineStr">
        <is>
          <t>01.07.2027</t>
        </is>
      </c>
      <c r="E1757" t="inlineStr">
        <is>
          <t>Uruguay</t>
        </is>
      </c>
    </row>
    <row r="1758">
      <c r="A1758" t="inlineStr">
        <is>
          <t>CABOT SPECIALTY CHEMICALS MEXICO, S.A.P.I. DE C.V.,  altamira, Mexico</t>
        </is>
      </c>
      <c r="B1758" t="inlineStr">
        <is>
          <t>Processing Unit, Trader with Storage</t>
        </is>
      </c>
      <c r="C1758" t="inlineStr">
        <is>
          <t>SCS Global Services, Emeryville, CA, US</t>
        </is>
      </c>
      <c r="D1758" t="inlineStr">
        <is>
          <t>01.07.2027</t>
        </is>
      </c>
      <c r="E1758" t="inlineStr">
        <is>
          <t>Mexico</t>
        </is>
      </c>
    </row>
    <row r="1759">
      <c r="A1759" t="inlineStr">
        <is>
          <t>Xinji Lirongxin New Energy Technology Co., Ltd.,  Xinji, Hebei, China</t>
        </is>
      </c>
      <c r="B1759" t="inlineStr">
        <is>
          <t>Processing Unit, Trader with Storage</t>
        </is>
      </c>
      <c r="C1759" t="inlineStr">
        <is>
          <t>RINA Services S.p.A., Genova, IT</t>
        </is>
      </c>
      <c r="D1759" t="inlineStr">
        <is>
          <t>01.07.2027</t>
        </is>
      </c>
      <c r="E1759" t="inlineStr">
        <is>
          <t>China</t>
        </is>
      </c>
    </row>
    <row r="1760">
      <c r="A1760" t="inlineStr">
        <is>
          <t>Southmedic Inc,  Barrie, Canada</t>
        </is>
      </c>
      <c r="B1760" t="inlineStr">
        <is>
          <t>Processing Unit</t>
        </is>
      </c>
      <c r="C1760" t="inlineStr">
        <is>
          <t>SCS Global Services, Emeryville, CA, US</t>
        </is>
      </c>
      <c r="D1760" t="inlineStr">
        <is>
          <t>01.07.2027</t>
        </is>
      </c>
      <c r="E1760" t="inlineStr">
        <is>
          <t>Canada</t>
        </is>
      </c>
    </row>
    <row r="1761">
      <c r="A1761" t="inlineStr">
        <is>
          <t>PT Harapan Sawit Sejahterah - POM HSS,  Dusun Pekasau, RT 03, Desa Modang, Kecamatan Kuaro, Kabupaten Paser, Indonesia</t>
        </is>
      </c>
      <c r="B1761" t="inlineStr">
        <is>
          <t>Point of Origin</t>
        </is>
      </c>
      <c r="C1761" t="inlineStr">
        <is>
          <t>PT SBC Asia Sertifikasi, Kebumen, ID</t>
        </is>
      </c>
      <c r="D1761" t="inlineStr">
        <is>
          <t>01.07.2027</t>
        </is>
      </c>
      <c r="E1761" t="inlineStr">
        <is>
          <t>Indonesia</t>
        </is>
      </c>
    </row>
    <row r="1762">
      <c r="A1762" t="inlineStr">
        <is>
          <t>Temperatior s.r.o.,  Liberec VI-Rochlice, Czech Republic</t>
        </is>
      </c>
      <c r="B1762" t="inlineStr">
        <is>
          <t>Collecting Point, Processing Unit, Point of Origin</t>
        </is>
      </c>
      <c r="C1762" t="inlineStr">
        <is>
          <t>United Registrar of Systems Polska Sp. z o.o., Wrocław, PL</t>
        </is>
      </c>
      <c r="D1762" t="inlineStr">
        <is>
          <t>01.07.2027</t>
        </is>
      </c>
      <c r="E1762" t="inlineStr">
        <is>
          <t>Czech Republic</t>
        </is>
      </c>
    </row>
    <row r="1763">
      <c r="A1763" t="inlineStr">
        <is>
          <t>Shen Zhen New King Tec Co., Ltd.,  Shenzhen City, Guangdong Province, China</t>
        </is>
      </c>
      <c r="B1763" t="inlineStr">
        <is>
          <t>Trader</t>
        </is>
      </c>
      <c r="C1763" t="inlineStr">
        <is>
          <t>DIN CERTCO GmbH, Berlin, DE</t>
        </is>
      </c>
      <c r="D1763" t="inlineStr">
        <is>
          <t>01.07.2027</t>
        </is>
      </c>
      <c r="E1763" t="inlineStr">
        <is>
          <t>China</t>
        </is>
      </c>
    </row>
    <row r="1764">
      <c r="A1764" t="inlineStr">
        <is>
          <t>Pure Green Co., Ltd,  Chungcheongnam-do, The Republic of Korea</t>
        </is>
      </c>
      <c r="B1764" t="inlineStr">
        <is>
          <t>Point of Origin</t>
        </is>
      </c>
      <c r="C1764" t="inlineStr">
        <is>
          <t>BM Certification, Riga, LV</t>
        </is>
      </c>
      <c r="D1764" t="inlineStr">
        <is>
          <t>01.07.2027</t>
        </is>
      </c>
      <c r="E1764" t="inlineStr">
        <is>
          <t>The Republic of Korea</t>
        </is>
      </c>
    </row>
    <row r="1765">
      <c r="A1765" t="inlineStr">
        <is>
          <t>Nyerges Agro Kft.,  Veszkény, Hungary</t>
        </is>
      </c>
      <c r="B1765" t="inlineStr">
        <is>
          <t>First Gathering Point</t>
        </is>
      </c>
      <c r="C1765" t="inlineStr">
        <is>
          <t>BM Certification, Riga, LV</t>
        </is>
      </c>
      <c r="D1765" t="inlineStr">
        <is>
          <t>01.07.2027</t>
        </is>
      </c>
      <c r="E1765" t="inlineStr">
        <is>
          <t>Hungary</t>
        </is>
      </c>
    </row>
    <row r="1766">
      <c r="A1766" t="inlineStr">
        <is>
          <t>ENEOS Materials Trading Co., Ltd.,  Minato-ku, Tokyo, Japan</t>
        </is>
      </c>
      <c r="B1766" t="inlineStr">
        <is>
          <t>Trader</t>
        </is>
      </c>
      <c r="C1766" t="inlineStr">
        <is>
          <t>SGS Germany GmbH, Emstek, DE</t>
        </is>
      </c>
      <c r="D1766" t="inlineStr">
        <is>
          <t>01.07.2027</t>
        </is>
      </c>
      <c r="E1766" t="inlineStr">
        <is>
          <t>Japan</t>
        </is>
      </c>
    </row>
    <row r="1767">
      <c r="A1767" t="inlineStr">
        <is>
          <t>OILS TRADER PARAGUAY S.A.,  María Auxiliadora, Paraguay</t>
        </is>
      </c>
      <c r="B1767" t="inlineStr">
        <is>
          <t>Point of Origin, Processing Unit, Trader with Storage</t>
        </is>
      </c>
      <c r="C1767" t="inlineStr">
        <is>
          <t>Control Union Poland Sp. z o.o., Zielona Gora, PL</t>
        </is>
      </c>
      <c r="D1767" t="inlineStr">
        <is>
          <t>01.07.2027</t>
        </is>
      </c>
      <c r="E1767" t="inlineStr">
        <is>
          <t>Paraguay</t>
        </is>
      </c>
    </row>
    <row r="1768">
      <c r="A1768" t="inlineStr">
        <is>
          <t>Oleocastellar S.A.,  Castellar, Jaén, Spain</t>
        </is>
      </c>
      <c r="B1768" t="inlineStr">
        <is>
          <t>Point of Origin, Processing Unit, Warehouse</t>
        </is>
      </c>
      <c r="C1768" t="inlineStr">
        <is>
          <t>PT Intertek Utama Services, Jakarta, ID</t>
        </is>
      </c>
      <c r="D1768" t="inlineStr">
        <is>
          <t>01.07.2027</t>
        </is>
      </c>
      <c r="E1768" t="inlineStr">
        <is>
          <t>Spain</t>
        </is>
      </c>
    </row>
    <row r="1769">
      <c r="A1769" t="inlineStr">
        <is>
          <t>Naturgy Nuevas Energías S.L.U.,  Madrid, Spain</t>
        </is>
      </c>
      <c r="B1769" t="inlineStr">
        <is>
          <t>Trader with Storage</t>
        </is>
      </c>
      <c r="C1769" t="inlineStr">
        <is>
          <t>Bureau Veritas Polska Sp. z o.o., Warsaw, PL</t>
        </is>
      </c>
      <c r="D1769" t="inlineStr">
        <is>
          <t>01.07.2027</t>
        </is>
      </c>
      <c r="E1769" t="inlineStr">
        <is>
          <t>Spain</t>
        </is>
      </c>
    </row>
    <row r="1770">
      <c r="A1770" t="inlineStr">
        <is>
          <t>MATPLUS,  Rasa, Malaysia</t>
        </is>
      </c>
      <c r="B1770" t="inlineStr">
        <is>
          <t>Processing Unit</t>
        </is>
      </c>
      <c r="C1770" t="inlineStr">
        <is>
          <t>SGS Germany GmbH, Emstek, DE</t>
        </is>
      </c>
      <c r="D1770" t="inlineStr">
        <is>
          <t>01.07.2027</t>
        </is>
      </c>
      <c r="E1770" t="inlineStr">
        <is>
          <t>Malaysia</t>
        </is>
      </c>
    </row>
    <row r="1771">
      <c r="A1771" t="inlineStr">
        <is>
          <t>Consorzio Agrario Terrepadane Scrl,  Piacenza, Italy</t>
        </is>
      </c>
      <c r="B1771" t="inlineStr">
        <is>
          <t>First Gathering Point</t>
        </is>
      </c>
      <c r="C1771" t="inlineStr">
        <is>
          <t>RINA Services S.p.A., Genova, IT</t>
        </is>
      </c>
      <c r="D1771" t="inlineStr">
        <is>
          <t>30.06.2027</t>
        </is>
      </c>
      <c r="E1771" t="inlineStr">
        <is>
          <t>Italy</t>
        </is>
      </c>
    </row>
    <row r="1772">
      <c r="A1772" t="inlineStr">
        <is>
          <t>Longyan Zhuoyue New Energy Biotechnology Co., Ltd.,  Longyan City,Fujian Province, China</t>
        </is>
      </c>
      <c r="B1772" t="inlineStr">
        <is>
          <t>Processing Unit, Trader with Storage</t>
        </is>
      </c>
      <c r="C1772" t="inlineStr">
        <is>
          <t>TÜV NORD CERT GmbH, Essen, DE</t>
        </is>
      </c>
      <c r="D1772" t="inlineStr">
        <is>
          <t>30.06.2027</t>
        </is>
      </c>
      <c r="E1772" t="inlineStr">
        <is>
          <t>China</t>
        </is>
      </c>
    </row>
    <row r="1773">
      <c r="A1773" t="inlineStr">
        <is>
          <t>Oman Blending Services LLC,  Samail, Oman</t>
        </is>
      </c>
      <c r="B1773" t="inlineStr">
        <is>
          <t>Processing Unit, Collecting Point</t>
        </is>
      </c>
      <c r="C1773" t="inlineStr">
        <is>
          <t>PT Mutuagung Lestari, Depok, ID</t>
        </is>
      </c>
      <c r="D1773" t="inlineStr">
        <is>
          <t>30.06.2027</t>
        </is>
      </c>
      <c r="E1773" t="inlineStr">
        <is>
          <t>Oman</t>
        </is>
      </c>
    </row>
    <row r="1774">
      <c r="A1774" t="inlineStr">
        <is>
          <t>Cargill GmbH,  Düsseldorf, Germany</t>
        </is>
      </c>
      <c r="B1774" t="inlineStr">
        <is>
          <t>Trader with Storage</t>
        </is>
      </c>
      <c r="C1774" t="inlineStr">
        <is>
          <t>SGS Germany GmbH, Emstek, DE</t>
        </is>
      </c>
      <c r="D1774" t="inlineStr">
        <is>
          <t>30.06.2027</t>
        </is>
      </c>
      <c r="E1774" t="inlineStr">
        <is>
          <t>Germany</t>
        </is>
      </c>
    </row>
    <row r="1775">
      <c r="A1775" t="inlineStr">
        <is>
          <t>Cerealit S.R.L.,  Cerro Maggiore, Italy</t>
        </is>
      </c>
      <c r="B1775" t="inlineStr">
        <is>
          <t>First Gathering Point, Warehouse</t>
        </is>
      </c>
      <c r="C1775" t="inlineStr">
        <is>
          <t>RINA Services S.p.A., Genova, IT</t>
        </is>
      </c>
      <c r="D1775" t="inlineStr">
        <is>
          <t>30.06.2027</t>
        </is>
      </c>
      <c r="E1775" t="inlineStr">
        <is>
          <t>Italy</t>
        </is>
      </c>
    </row>
    <row r="1776">
      <c r="A1776" t="inlineStr">
        <is>
          <t>Seineyonne,  Moneteau, France</t>
        </is>
      </c>
      <c r="B1776" t="inlineStr">
        <is>
          <t>Trader</t>
        </is>
      </c>
      <c r="C1776" t="inlineStr">
        <is>
          <t>RINA Services S.p.A., Genova, IT</t>
        </is>
      </c>
      <c r="D1776" t="inlineStr">
        <is>
          <t>30.06.2027</t>
        </is>
      </c>
      <c r="E1776" t="inlineStr">
        <is>
          <t>France</t>
        </is>
      </c>
    </row>
    <row r="1777">
      <c r="A1777" t="inlineStr">
        <is>
          <t>CHEMICAL CYCLING TRADER,  SEVILLA, Spain</t>
        </is>
      </c>
      <c r="B1777" t="inlineStr">
        <is>
          <t>Trader</t>
        </is>
      </c>
      <c r="C1777" t="inlineStr">
        <is>
          <t>RINA Services S.p.A., Genova, IT</t>
        </is>
      </c>
      <c r="D1777" t="inlineStr">
        <is>
          <t>30.06.2027</t>
        </is>
      </c>
      <c r="E1777" t="inlineStr">
        <is>
          <t>Spain</t>
        </is>
      </c>
    </row>
    <row r="1778">
      <c r="A1778" t="inlineStr">
        <is>
          <t>Seaboard Foods RNG, LLC,  Hooker, OK, United States</t>
        </is>
      </c>
      <c r="B1778" t="inlineStr">
        <is>
          <t>Collecting Point, Processing Unit</t>
        </is>
      </c>
      <c r="C1778" t="inlineStr">
        <is>
          <t>SCS Global Services, Emeryville, CA, US</t>
        </is>
      </c>
      <c r="D1778" t="inlineStr">
        <is>
          <t>30.06.2027</t>
        </is>
      </c>
      <c r="E1778" t="inlineStr">
        <is>
          <t>United States</t>
        </is>
      </c>
    </row>
    <row r="1779">
      <c r="A1779" t="inlineStr">
        <is>
          <t>Seaboard Foods RNG, LLC,  Hooker, OK, United States</t>
        </is>
      </c>
      <c r="B1779" t="inlineStr">
        <is>
          <t>Collecting Point, Processing Unit</t>
        </is>
      </c>
      <c r="C1779" t="inlineStr">
        <is>
          <t>SCS Global Services, Emeryville, CA, US</t>
        </is>
      </c>
      <c r="D1779" t="inlineStr">
        <is>
          <t>30.06.2027</t>
        </is>
      </c>
      <c r="E1779" t="inlineStr">
        <is>
          <t>United States</t>
        </is>
      </c>
    </row>
    <row r="1780">
      <c r="A1780" t="inlineStr">
        <is>
          <t>UPM-Kymmene Inc.,  Naperville, IL, United States</t>
        </is>
      </c>
      <c r="B1780" t="inlineStr">
        <is>
          <t>Collecting Point, Trader with Storage</t>
        </is>
      </c>
      <c r="C1780" t="inlineStr">
        <is>
          <t>SCS Global Services, Emeryville, CA, US</t>
        </is>
      </c>
      <c r="D1780" t="inlineStr">
        <is>
          <t>30.06.2027</t>
        </is>
      </c>
      <c r="E1780" t="inlineStr">
        <is>
          <t>United States</t>
        </is>
      </c>
    </row>
    <row r="1781">
      <c r="A1781" t="inlineStr">
        <is>
          <t>UPM-Kymmene Inc.,  Naperville, IL, United States</t>
        </is>
      </c>
      <c r="B1781" t="inlineStr">
        <is>
          <t>Collecting Point, Trader with Storage</t>
        </is>
      </c>
      <c r="C1781" t="inlineStr">
        <is>
          <t>SCS Global Services, Emeryville, CA, US</t>
        </is>
      </c>
      <c r="D1781" t="inlineStr">
        <is>
          <t>30.06.2027</t>
        </is>
      </c>
      <c r="E1781" t="inlineStr">
        <is>
          <t>United States</t>
        </is>
      </c>
    </row>
    <row r="1782">
      <c r="A1782" t="inlineStr">
        <is>
          <t>ECO Biochemical Technology (Zhangjiagang) Company Limited,  Jingang Town, Zhangjiagang, Jiangsu Province, China</t>
        </is>
      </c>
      <c r="B1782" t="inlineStr">
        <is>
          <t>Processing Unit</t>
        </is>
      </c>
      <c r="C1782" t="inlineStr">
        <is>
          <t>SCS Global Services, Emeryville, CA, US</t>
        </is>
      </c>
      <c r="D1782" t="inlineStr">
        <is>
          <t>30.06.2027</t>
        </is>
      </c>
      <c r="E1782" t="inlineStr">
        <is>
          <t>China</t>
        </is>
      </c>
    </row>
    <row r="1783">
      <c r="A1783" t="inlineStr">
        <is>
          <t>ECO Biochemical Technology (Zhangjiagang) Company Limited,  Jingang Town, Zhangjiagang, Jiangsu Province, China</t>
        </is>
      </c>
      <c r="B1783" t="inlineStr">
        <is>
          <t>Processing Unit</t>
        </is>
      </c>
      <c r="C1783" t="inlineStr">
        <is>
          <t>SCS Global Services, Emeryville, CA, US</t>
        </is>
      </c>
      <c r="D1783" t="inlineStr">
        <is>
          <t>30.06.2027</t>
        </is>
      </c>
      <c r="E1783" t="inlineStr">
        <is>
          <t>China</t>
        </is>
      </c>
    </row>
    <row r="1784">
      <c r="A1784" t="inlineStr">
        <is>
          <t>ECO Biochemical Technology (Zhangjiagang) Company Limited,  Jingang Town, Zhangjiagang, Jiangsu Province, China</t>
        </is>
      </c>
      <c r="B1784" t="inlineStr">
        <is>
          <t>Processing Unit</t>
        </is>
      </c>
      <c r="C1784" t="inlineStr">
        <is>
          <t>SCS Global Services, Emeryville, CA, US</t>
        </is>
      </c>
      <c r="D1784" t="inlineStr">
        <is>
          <t>30.06.2027</t>
        </is>
      </c>
      <c r="E1784" t="inlineStr">
        <is>
          <t>China</t>
        </is>
      </c>
    </row>
    <row r="1785">
      <c r="A1785" t="inlineStr">
        <is>
          <t>OP NAZIONALE "CEREALI ITALIA" S.CONSORTILE AR.L.,  Cremona, Italy</t>
        </is>
      </c>
      <c r="B1785" t="inlineStr">
        <is>
          <t>First Gathering Point, Trader</t>
        </is>
      </c>
      <c r="C1785" t="inlineStr">
        <is>
          <t>DNV Business Assurance Sweden AB, Solna, SE</t>
        </is>
      </c>
      <c r="D1785" t="inlineStr">
        <is>
          <t>30.06.2027</t>
        </is>
      </c>
      <c r="E1785" t="inlineStr">
        <is>
          <t>Italy</t>
        </is>
      </c>
    </row>
    <row r="1786">
      <c r="A1786" t="inlineStr">
        <is>
          <t>Produttori Mais di Alessandria,  Alessandria, Castelceriolo, Italy</t>
        </is>
      </c>
      <c r="B1786" t="inlineStr">
        <is>
          <t>First Gathering Point, Warehouse</t>
        </is>
      </c>
      <c r="C1786" t="inlineStr">
        <is>
          <t>RINA Services S.p.A., Genova, IT</t>
        </is>
      </c>
      <c r="D1786" t="inlineStr">
        <is>
          <t>30.06.2027</t>
        </is>
      </c>
      <c r="E1786" t="inlineStr">
        <is>
          <t>Italy</t>
        </is>
      </c>
    </row>
    <row r="1787">
      <c r="A1787" t="inlineStr">
        <is>
          <t>E-COGENERACION CABANILLAS, S.L.,  Cabanillas, Spain</t>
        </is>
      </c>
      <c r="B1787" t="inlineStr">
        <is>
          <t>Collecting Point, Processing Unit</t>
        </is>
      </c>
      <c r="C1787" t="inlineStr">
        <is>
          <t>Amspec Iberia SL, Vilagarcia de Arousa-Pontevedra, ES</t>
        </is>
      </c>
      <c r="D1787" t="inlineStr">
        <is>
          <t>30.06.2027</t>
        </is>
      </c>
      <c r="E1787" t="inlineStr">
        <is>
          <t>Spain</t>
        </is>
      </c>
    </row>
    <row r="1788">
      <c r="A1788" t="inlineStr">
        <is>
          <t>Jia Hsing Enterprise Co., Ltd.,  Fu Shin Shuen, Changhua County, Taiwan (Province of China)</t>
        </is>
      </c>
      <c r="B1788" t="inlineStr">
        <is>
          <t>Processing Unit</t>
        </is>
      </c>
      <c r="C1788" t="inlineStr">
        <is>
          <t>Bureau Veritas Polska Sp. z o.o., Warsaw, PL</t>
        </is>
      </c>
      <c r="D1788" t="inlineStr">
        <is>
          <t>30.06.2027</t>
        </is>
      </c>
      <c r="E1788" t="inlineStr">
        <is>
          <t>Taiwan (Province of China)</t>
        </is>
      </c>
    </row>
    <row r="1789">
      <c r="A1789" t="inlineStr">
        <is>
          <t>Guangzhou Nansha Huamao Energy Trading Co., Ltd.,  Nansha, Guangzhou, Guangdong, China</t>
        </is>
      </c>
      <c r="B1789" t="inlineStr">
        <is>
          <t>Trader with Storage</t>
        </is>
      </c>
      <c r="C1789" t="inlineStr">
        <is>
          <t>China Standard Conformity Assessment Co. Ltd, Beijing, CN</t>
        </is>
      </c>
      <c r="D1789" t="inlineStr">
        <is>
          <t>30.06.2027</t>
        </is>
      </c>
      <c r="E1789" t="inlineStr">
        <is>
          <t>China</t>
        </is>
      </c>
    </row>
    <row r="1790">
      <c r="A1790" t="inlineStr">
        <is>
          <t>EcoCeres Limited,  Hong Kong (SAR), China</t>
        </is>
      </c>
      <c r="B1790" t="inlineStr">
        <is>
          <t>Trader with Storage</t>
        </is>
      </c>
      <c r="C1790" t="inlineStr">
        <is>
          <t>SCS Global Services, Emeryville, CA, US</t>
        </is>
      </c>
      <c r="D1790" t="inlineStr">
        <is>
          <t>30.06.2027</t>
        </is>
      </c>
      <c r="E1790" t="inlineStr">
        <is>
          <t>China</t>
        </is>
      </c>
    </row>
    <row r="1791">
      <c r="A1791" t="inlineStr">
        <is>
          <t>EcoCeres Limited,  Hong Kong (SAR), China</t>
        </is>
      </c>
      <c r="B1791" t="inlineStr">
        <is>
          <t>Trader with Storage</t>
        </is>
      </c>
      <c r="C1791" t="inlineStr">
        <is>
          <t>SCS Global Services, Emeryville, CA, US</t>
        </is>
      </c>
      <c r="D1791" t="inlineStr">
        <is>
          <t>30.06.2027</t>
        </is>
      </c>
      <c r="E1791" t="inlineStr">
        <is>
          <t>China</t>
        </is>
      </c>
    </row>
    <row r="1792">
      <c r="A1792" t="inlineStr">
        <is>
          <t>EcoCeres Limited,  Hong Kong (SAR), China</t>
        </is>
      </c>
      <c r="B1792" t="inlineStr">
        <is>
          <t>Trader with Storage</t>
        </is>
      </c>
      <c r="C1792" t="inlineStr">
        <is>
          <t>SCS Global Services, Emeryville, CA, US</t>
        </is>
      </c>
      <c r="D1792" t="inlineStr">
        <is>
          <t>30.06.2027</t>
        </is>
      </c>
      <c r="E1792" t="inlineStr">
        <is>
          <t>China</t>
        </is>
      </c>
    </row>
    <row r="1793">
      <c r="A1793" t="inlineStr">
        <is>
          <t>PPH "AGRO-TOP" SP. Z O.O.,  Gręzówka, Poland</t>
        </is>
      </c>
      <c r="B1793" t="inlineStr">
        <is>
          <t>Point of Origin, Collecting Point, Trader with Storage</t>
        </is>
      </c>
      <c r="C1793" t="inlineStr">
        <is>
          <t>Control Union Poland Sp. z o.o., Zielona Gora, PL</t>
        </is>
      </c>
      <c r="D1793" t="inlineStr">
        <is>
          <t>30.06.2027</t>
        </is>
      </c>
      <c r="E1793" t="inlineStr">
        <is>
          <t>Poland</t>
        </is>
      </c>
    </row>
    <row r="1794">
      <c r="A1794" t="inlineStr">
        <is>
          <t>Dugolity-Transz Kft.,  Baja, Hungary</t>
        </is>
      </c>
      <c r="B1794" t="inlineStr">
        <is>
          <t>First Gathering Point, Trader</t>
        </is>
      </c>
      <c r="C1794" t="inlineStr">
        <is>
          <t>Amspec Iberia SL, Vilagarcia de Arousa-Pontevedra, ES</t>
        </is>
      </c>
      <c r="D1794" t="inlineStr">
        <is>
          <t>30.06.2027</t>
        </is>
      </c>
      <c r="E1794" t="inlineStr">
        <is>
          <t>Hungary</t>
        </is>
      </c>
    </row>
    <row r="1795">
      <c r="A1795" t="inlineStr">
        <is>
          <t>Monjasa A/S,  Fredericia, Denmark</t>
        </is>
      </c>
      <c r="B1795" t="inlineStr">
        <is>
          <t>Proof of Compliance Trader, Trader</t>
        </is>
      </c>
      <c r="C1795" t="inlineStr">
        <is>
          <t>Amspec Iberia SL, Vilagarcia de Arousa-Pontevedra, ES</t>
        </is>
      </c>
      <c r="D1795" t="inlineStr">
        <is>
          <t>30.06.2027</t>
        </is>
      </c>
      <c r="E1795" t="inlineStr">
        <is>
          <t>Denmark</t>
        </is>
      </c>
    </row>
    <row r="1796">
      <c r="A1796" t="inlineStr">
        <is>
          <t>Groengas Enschede,  Enschede, The Netherlands</t>
        </is>
      </c>
      <c r="B1796" t="inlineStr">
        <is>
          <t>Collecting Point, Processing Unit</t>
        </is>
      </c>
      <c r="C1796" t="inlineStr">
        <is>
          <t>Normec QS BV, Ede, NL</t>
        </is>
      </c>
      <c r="D1796" t="inlineStr">
        <is>
          <t>30.06.2027</t>
        </is>
      </c>
      <c r="E1796" t="inlineStr">
        <is>
          <t>The Netherlands</t>
        </is>
      </c>
    </row>
    <row r="1797">
      <c r="A1797" t="inlineStr">
        <is>
          <t>Oleoverde S.L.,  Villanueva de Algaidas (Málaga), Spain</t>
        </is>
      </c>
      <c r="B1797" t="inlineStr">
        <is>
          <t>Point of Origin</t>
        </is>
      </c>
      <c r="C1797" t="inlineStr">
        <is>
          <t>PT Intertek Utama Services, Jakarta, ID</t>
        </is>
      </c>
      <c r="D1797" t="inlineStr">
        <is>
          <t>30.06.2027</t>
        </is>
      </c>
      <c r="E1797" t="inlineStr">
        <is>
          <t>Spain</t>
        </is>
      </c>
    </row>
    <row r="1798">
      <c r="A1798" t="inlineStr">
        <is>
          <t>NAVOS, a.s.,  Kroměříž, Czech Republic</t>
        </is>
      </c>
      <c r="B1798" t="inlineStr">
        <is>
          <t>First Gathering Point, Logistics Center, Trader</t>
        </is>
      </c>
      <c r="C1798" t="inlineStr">
        <is>
          <t>PT Intertek Utama Services, Jakarta, ID</t>
        </is>
      </c>
      <c r="D1798" t="inlineStr">
        <is>
          <t>30.06.2027</t>
        </is>
      </c>
      <c r="E1798" t="inlineStr">
        <is>
          <t>Czech Republic</t>
        </is>
      </c>
    </row>
    <row r="1799">
      <c r="A1799" t="inlineStr">
        <is>
          <t>ZAGORA 23 EOOD,  Stara Zagora, Bulgaria</t>
        </is>
      </c>
      <c r="B1799" t="inlineStr">
        <is>
          <t>First Gathering Point, Trader</t>
        </is>
      </c>
      <c r="C1799" t="inlineStr">
        <is>
          <t>Control Union Poland Sp. z o.o., Zielona Gora, PL</t>
        </is>
      </c>
      <c r="D1799" t="inlineStr">
        <is>
          <t>30.06.2027</t>
        </is>
      </c>
      <c r="E1799" t="inlineStr">
        <is>
          <t>Bulgaria</t>
        </is>
      </c>
    </row>
    <row r="1800">
      <c r="A1800" t="inlineStr">
        <is>
          <t>Bright Environmental Solutions Private Limited,  District-Raigad, Maharashtra, India</t>
        </is>
      </c>
      <c r="B1800" t="inlineStr">
        <is>
          <t>Collecting Point, Processing Unit</t>
        </is>
      </c>
      <c r="C1800" t="inlineStr">
        <is>
          <t>Cotecna India Inspection Pvt Ltd, Kolkata, IN</t>
        </is>
      </c>
      <c r="D1800" t="inlineStr">
        <is>
          <t>30.06.2027</t>
        </is>
      </c>
      <c r="E1800" t="inlineStr">
        <is>
          <t>India</t>
        </is>
      </c>
    </row>
    <row r="1801">
      <c r="A1801" t="inlineStr">
        <is>
          <t>Mondi Jackson LLC.,  Jackson, The United States of America</t>
        </is>
      </c>
      <c r="B1801" t="inlineStr">
        <is>
          <t>Processing Unit</t>
        </is>
      </c>
      <c r="C1801" t="inlineStr">
        <is>
          <t>DQS CFS GmbH - Deutsche Gesellschaft für Nachhaltigkeit, Frankfurt am Main, DE</t>
        </is>
      </c>
      <c r="D1801" t="inlineStr">
        <is>
          <t>30.06.2027</t>
        </is>
      </c>
      <c r="E1801" t="inlineStr">
        <is>
          <t>The United States of America</t>
        </is>
      </c>
    </row>
    <row r="1802">
      <c r="A1802" t="inlineStr">
        <is>
          <t>TIME OF TEAM,  smt. Sarata, Ukraine</t>
        </is>
      </c>
      <c r="B1802" t="inlineStr">
        <is>
          <t>First Gathering Point, Trader</t>
        </is>
      </c>
      <c r="C1802" t="inlineStr">
        <is>
          <t>Baltic Control Certification, Albertslund, DK</t>
        </is>
      </c>
      <c r="D1802" t="inlineStr">
        <is>
          <t>30.06.2027</t>
        </is>
      </c>
      <c r="E1802" t="inlineStr">
        <is>
          <t>Ukraine</t>
        </is>
      </c>
    </row>
    <row r="1803">
      <c r="A1803" t="inlineStr">
        <is>
          <t>Phillips 66 International Trading Pte Ltd,  Singapore, Singapore</t>
        </is>
      </c>
      <c r="B1803" t="inlineStr">
        <is>
          <t>Trader with Storage, Collecting Point</t>
        </is>
      </c>
      <c r="C1803" t="inlineStr">
        <is>
          <t>Control Union Certifications Germany GmbH, Berlin, DE</t>
        </is>
      </c>
      <c r="D1803" t="inlineStr">
        <is>
          <t>30.06.2027</t>
        </is>
      </c>
      <c r="E1803" t="inlineStr">
        <is>
          <t>Singapore</t>
        </is>
      </c>
    </row>
    <row r="1804">
      <c r="A1804" t="inlineStr">
        <is>
          <t>Phillips 66 International Trading Pte Ltd,  Singapore, Singapore</t>
        </is>
      </c>
      <c r="B1804" t="inlineStr">
        <is>
          <t>Trader with Storage</t>
        </is>
      </c>
      <c r="C1804" t="inlineStr">
        <is>
          <t>Control Union Certifications Germany GmbH, Berlin, DE</t>
        </is>
      </c>
      <c r="D1804" t="inlineStr">
        <is>
          <t>30.06.2027</t>
        </is>
      </c>
      <c r="E1804" t="inlineStr">
        <is>
          <t>Singapore</t>
        </is>
      </c>
    </row>
    <row r="1805">
      <c r="A1805" t="inlineStr">
        <is>
          <t>Phillips 66 International Trading Pte Ltd,  Singapore, Singapore</t>
        </is>
      </c>
      <c r="B1805" t="inlineStr">
        <is>
          <t>Trader with Storage, Collecting Point</t>
        </is>
      </c>
      <c r="C1805" t="inlineStr">
        <is>
          <t>Control Union Certifications Germany GmbH, Berlin, DE</t>
        </is>
      </c>
      <c r="D1805" t="inlineStr">
        <is>
          <t>30.06.2027</t>
        </is>
      </c>
      <c r="E1805" t="inlineStr">
        <is>
          <t>Singapore</t>
        </is>
      </c>
    </row>
    <row r="1806">
      <c r="A1806" t="inlineStr">
        <is>
          <t>SEFE Marketing &amp; Trading Limited,  London, The United Kingdom</t>
        </is>
      </c>
      <c r="B1806" t="inlineStr">
        <is>
          <t>Trader</t>
        </is>
      </c>
      <c r="C1806" t="inlineStr">
        <is>
          <t>Double Helix Tracking Technologies Pte Ltd, Singapore, SG</t>
        </is>
      </c>
      <c r="D1806" t="inlineStr">
        <is>
          <t>30.06.2027</t>
        </is>
      </c>
      <c r="E1806" t="inlineStr">
        <is>
          <t>The United Kingdom</t>
        </is>
      </c>
    </row>
    <row r="1807">
      <c r="A1807" t="inlineStr">
        <is>
          <t>INEOS Nitriles USA,  Port Lavaca, United States</t>
        </is>
      </c>
      <c r="B1807" t="inlineStr">
        <is>
          <t>Processing Unit</t>
        </is>
      </c>
      <c r="C1807" t="inlineStr">
        <is>
          <t>SCS Global Services, Emeryville, CA, US</t>
        </is>
      </c>
      <c r="D1807" t="inlineStr">
        <is>
          <t>30.06.2027</t>
        </is>
      </c>
      <c r="E1807" t="inlineStr">
        <is>
          <t>United States</t>
        </is>
      </c>
    </row>
    <row r="1808">
      <c r="A1808" t="inlineStr">
        <is>
          <t>Alto ICP, LLC,  Pekin, United States</t>
        </is>
      </c>
      <c r="B1808" t="inlineStr">
        <is>
          <t>Point of Origin, Processing Unit</t>
        </is>
      </c>
      <c r="C1808" t="inlineStr">
        <is>
          <t>SCS Global Services, Emeryville, CA, US</t>
        </is>
      </c>
      <c r="D1808" t="inlineStr">
        <is>
          <t>30.06.2027</t>
        </is>
      </c>
      <c r="E1808" t="inlineStr">
        <is>
          <t>United States</t>
        </is>
      </c>
    </row>
    <row r="1809">
      <c r="A1809" t="inlineStr">
        <is>
          <t>Alto ICP, LLC,  Pekin, United States</t>
        </is>
      </c>
      <c r="B1809" t="inlineStr">
        <is>
          <t>Point of Origin, Processing Unit</t>
        </is>
      </c>
      <c r="C1809" t="inlineStr">
        <is>
          <t>SCS Global Services, Emeryville, CA, US</t>
        </is>
      </c>
      <c r="D1809" t="inlineStr">
        <is>
          <t>30.06.2027</t>
        </is>
      </c>
      <c r="E1809" t="inlineStr">
        <is>
          <t>United States</t>
        </is>
      </c>
    </row>
    <row r="1810">
      <c r="A1810" t="inlineStr">
        <is>
          <t>Skyland Bio-Energy Pte Ltd,  Singapore, Singapore</t>
        </is>
      </c>
      <c r="B1810" t="inlineStr">
        <is>
          <t>Collecting Point, Trader</t>
        </is>
      </c>
      <c r="C1810" t="inlineStr">
        <is>
          <t>ASG Cert GmbH, Munich, DE</t>
        </is>
      </c>
      <c r="D1810" t="inlineStr">
        <is>
          <t>30.06.2027</t>
        </is>
      </c>
      <c r="E1810" t="inlineStr">
        <is>
          <t>Singapore</t>
        </is>
      </c>
    </row>
    <row r="1811">
      <c r="A1811" t="inlineStr">
        <is>
          <t>Gasum LNG Oy,  Tornio, Finland</t>
        </is>
      </c>
      <c r="B1811" t="inlineStr">
        <is>
          <t>Trader with Storage, Warehouse</t>
        </is>
      </c>
      <c r="C1811" t="inlineStr">
        <is>
          <t>DEKRA Certification B.V., Arnhem, NL</t>
        </is>
      </c>
      <c r="D1811" t="inlineStr">
        <is>
          <t>30.06.2027</t>
        </is>
      </c>
      <c r="E1811" t="inlineStr">
        <is>
          <t>Finland</t>
        </is>
      </c>
    </row>
    <row r="1812">
      <c r="A1812" t="inlineStr">
        <is>
          <t>Nenergija,  Šalnaičių k. 4, Saločių sen., Pasvalio r., Lithuania</t>
        </is>
      </c>
      <c r="B1812" t="inlineStr">
        <is>
          <t>Collecting Point, Processing Unit</t>
        </is>
      </c>
      <c r="C1812" t="inlineStr">
        <is>
          <t>NCS Estonia OÜ, Tallinn, EE</t>
        </is>
      </c>
      <c r="D1812" t="inlineStr">
        <is>
          <t>30.06.2027</t>
        </is>
      </c>
      <c r="E1812" t="inlineStr">
        <is>
          <t>Lithuania</t>
        </is>
      </c>
    </row>
    <row r="1813">
      <c r="A1813" t="inlineStr">
        <is>
          <t>OMV Downstream GmbH,  Schwechat, Austria</t>
        </is>
      </c>
      <c r="B1813" t="inlineStr">
        <is>
          <t>Point of Origin, Processing Unit, Installation consuming RFNBOs</t>
        </is>
      </c>
      <c r="C1813" t="inlineStr">
        <is>
          <t>TÜV SÜD Industrie Service GmbH, München, DE</t>
        </is>
      </c>
      <c r="D1813" t="inlineStr">
        <is>
          <t>30.06.2027</t>
        </is>
      </c>
      <c r="E1813" t="inlineStr">
        <is>
          <t>Austria</t>
        </is>
      </c>
    </row>
    <row r="1814">
      <c r="A1814" t="inlineStr">
        <is>
          <t>STOLTHAVEN SINGAPORE PTE LTD,  SINGAPORE, Singapore</t>
        </is>
      </c>
      <c r="B1814" t="inlineStr">
        <is>
          <t>Warehouse</t>
        </is>
      </c>
      <c r="C1814" t="inlineStr">
        <is>
          <t>Double Helix Tracking Technologies Pte Ltd, Singapore, SG</t>
        </is>
      </c>
      <c r="D1814" t="inlineStr">
        <is>
          <t>30.06.2027</t>
        </is>
      </c>
      <c r="E1814" t="inlineStr">
        <is>
          <t>Singapore</t>
        </is>
      </c>
    </row>
    <row r="1815">
      <c r="A1815" t="inlineStr">
        <is>
          <t>STOLTHAVEN SINGAPORE PTE LTD,  SINGAPORE, Singapore</t>
        </is>
      </c>
      <c r="B1815" t="inlineStr">
        <is>
          <t>Warehouse</t>
        </is>
      </c>
      <c r="C1815" t="inlineStr">
        <is>
          <t>Double Helix Tracking Technologies Pte Ltd, Singapore, SG</t>
        </is>
      </c>
      <c r="D1815" t="inlineStr">
        <is>
          <t>30.06.2027</t>
        </is>
      </c>
      <c r="E1815" t="inlineStr">
        <is>
          <t>Singapore</t>
        </is>
      </c>
    </row>
    <row r="1816">
      <c r="A1816" t="inlineStr">
        <is>
          <t>Jiangsu Green Gold Giant Technology Co., Ltd.,  Suqian, China</t>
        </is>
      </c>
      <c r="B1816" t="inlineStr">
        <is>
          <t>Collecting Point, Processing Unit</t>
        </is>
      </c>
      <c r="C1816" t="inlineStr">
        <is>
          <t>SGS Germany GmbH, Emstek, DE</t>
        </is>
      </c>
      <c r="D1816" t="inlineStr">
        <is>
          <t>30.06.2027</t>
        </is>
      </c>
      <c r="E1816" t="inlineStr">
        <is>
          <t>China</t>
        </is>
      </c>
    </row>
    <row r="1817">
      <c r="A1817" t="inlineStr">
        <is>
          <t>Guanghui Petroleum Storage and Transportation (Zhoushan) Co., Ltd,  Zhoushan City, Zhejiang Province, China</t>
        </is>
      </c>
      <c r="B1817" t="inlineStr">
        <is>
          <t>Warehouse</t>
        </is>
      </c>
      <c r="C1817" t="inlineStr">
        <is>
          <t>SCS Global Services, Emeryville, CA, US</t>
        </is>
      </c>
      <c r="D1817" t="inlineStr">
        <is>
          <t>30.06.2027</t>
        </is>
      </c>
      <c r="E1817" t="inlineStr">
        <is>
          <t>China</t>
        </is>
      </c>
    </row>
    <row r="1818">
      <c r="A1818" t="inlineStr">
        <is>
          <t>Orgaworld Nederland,  Amsterdam, The Netherlands</t>
        </is>
      </c>
      <c r="B1818" t="inlineStr">
        <is>
          <t>Collecting Point, Processing Unit</t>
        </is>
      </c>
      <c r="C1818" t="inlineStr">
        <is>
          <t>Normec QS BV, Ede, NL</t>
        </is>
      </c>
      <c r="D1818" t="inlineStr">
        <is>
          <t>30.06.2027</t>
        </is>
      </c>
      <c r="E1818" t="inlineStr">
        <is>
          <t>The Netherlands</t>
        </is>
      </c>
    </row>
    <row r="1819">
      <c r="A1819" t="inlineStr">
        <is>
          <t>SC COFCO International Romania SRL,  Bucharest, Romania</t>
        </is>
      </c>
      <c r="B1819" t="inlineStr">
        <is>
          <t>First Gathering Point, Trader with Storage</t>
        </is>
      </c>
      <c r="C1819" t="inlineStr">
        <is>
          <t>Control Union Certifications Germany GmbH, Berlin, DE</t>
        </is>
      </c>
      <c r="D1819" t="inlineStr">
        <is>
          <t>30.06.2027</t>
        </is>
      </c>
      <c r="E1819" t="inlineStr">
        <is>
          <t>Romania</t>
        </is>
      </c>
    </row>
    <row r="1820">
      <c r="A1820" t="inlineStr">
        <is>
          <t>Sinopec Fuel Oil (Singapore) Pte Ltd,  Singapore, Singapore</t>
        </is>
      </c>
      <c r="B1820" t="inlineStr">
        <is>
          <t>Trader with Storage</t>
        </is>
      </c>
      <c r="C1820" t="inlineStr">
        <is>
          <t>Double Helix Tracking Technologies Pte Ltd, Singapore, SG</t>
        </is>
      </c>
      <c r="D1820" t="inlineStr">
        <is>
          <t>30.06.2027</t>
        </is>
      </c>
      <c r="E1820" t="inlineStr">
        <is>
          <t>Singapore</t>
        </is>
      </c>
    </row>
    <row r="1821">
      <c r="A1821" t="inlineStr">
        <is>
          <t>Sinopec Fuel Oil (Singapore) Pte Ltd,  Singapore, Singapore</t>
        </is>
      </c>
      <c r="B1821" t="inlineStr">
        <is>
          <t>Trader with Storage</t>
        </is>
      </c>
      <c r="C1821" t="inlineStr">
        <is>
          <t>Double Helix Tracking Technologies Pte Ltd, Singapore, SG</t>
        </is>
      </c>
      <c r="D1821" t="inlineStr">
        <is>
          <t>30.06.2027</t>
        </is>
      </c>
      <c r="E1821" t="inlineStr">
        <is>
          <t>Singapore</t>
        </is>
      </c>
    </row>
    <row r="1822">
      <c r="A1822" t="inlineStr">
        <is>
          <t>CHO Company,  Kairouan, Tunisia</t>
        </is>
      </c>
      <c r="B1822" t="inlineStr">
        <is>
          <t>Point of Origin</t>
        </is>
      </c>
      <c r="C1822" t="inlineStr">
        <is>
          <t>BM Certification, Riga, LV</t>
        </is>
      </c>
      <c r="D1822" t="inlineStr">
        <is>
          <t>30.06.2027</t>
        </is>
      </c>
      <c r="E1822" t="inlineStr">
        <is>
          <t>Tunisia</t>
        </is>
      </c>
    </row>
    <row r="1823">
      <c r="A1823" t="inlineStr">
        <is>
          <t>VICTORIA INTERMED SRL,  Slatina, Romania</t>
        </is>
      </c>
      <c r="B1823" t="inlineStr">
        <is>
          <t>First Gathering Point, Trader with Storage</t>
        </is>
      </c>
      <c r="C1823" t="inlineStr">
        <is>
          <t>BM Certification, Riga, LV</t>
        </is>
      </c>
      <c r="D1823" t="inlineStr">
        <is>
          <t>30.06.2027</t>
        </is>
      </c>
      <c r="E1823" t="inlineStr">
        <is>
          <t>Romania</t>
        </is>
      </c>
    </row>
    <row r="1824">
      <c r="A1824" t="inlineStr">
        <is>
          <t>Kolibrie Energy MX,  Ciudad de Mexico, Mexico</t>
        </is>
      </c>
      <c r="B1824" t="inlineStr">
        <is>
          <t>Collecting Point, Trader with Storage</t>
        </is>
      </c>
      <c r="C1824" t="inlineStr">
        <is>
          <t>Control Union Poland Sp. z o.o., Zielona Gora, PL</t>
        </is>
      </c>
      <c r="D1824" t="inlineStr">
        <is>
          <t>30.06.2027</t>
        </is>
      </c>
      <c r="E1824" t="inlineStr">
        <is>
          <t>Mexico</t>
        </is>
      </c>
    </row>
    <row r="1825">
      <c r="A1825" t="inlineStr">
        <is>
          <t>Mts. M., TJ. En H.W. van Oosten,  Hantumhuizen, The Netherlands</t>
        </is>
      </c>
      <c r="B1825" t="inlineStr">
        <is>
          <t>Collecting Point, Processing Unit</t>
        </is>
      </c>
      <c r="C1825" t="inlineStr">
        <is>
          <t>DEKRA Certification B.V., Arnhem, NL</t>
        </is>
      </c>
      <c r="D1825" t="inlineStr">
        <is>
          <t>30.06.2027</t>
        </is>
      </c>
      <c r="E1825" t="inlineStr">
        <is>
          <t>The Netherlands</t>
        </is>
      </c>
    </row>
    <row r="1826">
      <c r="A1826" t="inlineStr">
        <is>
          <t>Kolibrie Energy MX,  Ciudad de Mexico, Mexico</t>
        </is>
      </c>
      <c r="B1826" t="inlineStr">
        <is>
          <t>Collecting Point, Trader with Storage</t>
        </is>
      </c>
      <c r="C1826" t="inlineStr">
        <is>
          <t>Control Union Poland Sp. z o.o., Zielona Gora, PL</t>
        </is>
      </c>
      <c r="D1826" t="inlineStr">
        <is>
          <t>30.06.2027</t>
        </is>
      </c>
      <c r="E1826" t="inlineStr">
        <is>
          <t>Mexico</t>
        </is>
      </c>
    </row>
    <row r="1827">
      <c r="A1827" t="inlineStr">
        <is>
          <t>Ponachem Compound,  Hamburg, Germany</t>
        </is>
      </c>
      <c r="B1827" t="inlineStr">
        <is>
          <t>Trader with Storage</t>
        </is>
      </c>
      <c r="C1827" t="inlineStr">
        <is>
          <t>SGS Germany GmbH, Emstek, DE</t>
        </is>
      </c>
      <c r="D1827" t="inlineStr">
        <is>
          <t>30.06.2027</t>
        </is>
      </c>
      <c r="E1827" t="inlineStr">
        <is>
          <t>Germany</t>
        </is>
      </c>
    </row>
    <row r="1828">
      <c r="A1828" t="inlineStr">
        <is>
          <t>Logeco,  SANTA MARIA CAPUA VETERE, Italy</t>
        </is>
      </c>
      <c r="B1828" t="inlineStr">
        <is>
          <t>Collecting Point, Trader with Storage</t>
        </is>
      </c>
      <c r="C1828" t="inlineStr">
        <is>
          <t>SGS Germany GmbH, Emstek, DE</t>
        </is>
      </c>
      <c r="D1828" t="inlineStr">
        <is>
          <t>30.06.2027</t>
        </is>
      </c>
      <c r="E1828" t="inlineStr">
        <is>
          <t>Italy</t>
        </is>
      </c>
    </row>
    <row r="1829">
      <c r="A1829" t="inlineStr">
        <is>
          <t>Evonik Oxeno GmbH &amp; Co. KG,  Marl, Germany</t>
        </is>
      </c>
      <c r="B1829" t="inlineStr">
        <is>
          <t>Processing Unit, Trader with Storage</t>
        </is>
      </c>
      <c r="C1829" t="inlineStr">
        <is>
          <t>DIN CERTCO GmbH, Berlin, DE</t>
        </is>
      </c>
      <c r="D1829" t="inlineStr">
        <is>
          <t>30.06.2027</t>
        </is>
      </c>
      <c r="E1829" t="inlineStr">
        <is>
          <t>Germany</t>
        </is>
      </c>
    </row>
    <row r="1830">
      <c r="A1830" t="inlineStr">
        <is>
          <t>Lambang Bumi Perkasa,  Lampung, Indonesia</t>
        </is>
      </c>
      <c r="B1830" t="inlineStr">
        <is>
          <t>Point of Origin</t>
        </is>
      </c>
      <c r="C1830" t="inlineStr">
        <is>
          <t>PT. Qualitas Sertifikasi Indonesia, Jakarta, ID</t>
        </is>
      </c>
      <c r="D1830" t="inlineStr">
        <is>
          <t>30.06.2027</t>
        </is>
      </c>
      <c r="E1830" t="inlineStr">
        <is>
          <t>Indonesia</t>
        </is>
      </c>
    </row>
    <row r="1831">
      <c r="A1831" t="inlineStr">
        <is>
          <t>Lambang Bumi Perkasa,  Lampung, Indonesia</t>
        </is>
      </c>
      <c r="B1831" t="inlineStr">
        <is>
          <t>Point of Origin</t>
        </is>
      </c>
      <c r="C1831" t="inlineStr">
        <is>
          <t>PT. Qualitas Sertifikasi Indonesia, Jakarta, ID</t>
        </is>
      </c>
      <c r="D1831" t="inlineStr">
        <is>
          <t>30.06.2027</t>
        </is>
      </c>
      <c r="E1831" t="inlineStr">
        <is>
          <t>Indonesia</t>
        </is>
      </c>
    </row>
    <row r="1832">
      <c r="A1832" t="inlineStr">
        <is>
          <t>Cooperative 110 Bourgogne,  Moneteau, France</t>
        </is>
      </c>
      <c r="B1832" t="inlineStr">
        <is>
          <t>First Gathering Point</t>
        </is>
      </c>
      <c r="C1832" t="inlineStr">
        <is>
          <t>RINA Services S.p.A., Genova, IT</t>
        </is>
      </c>
      <c r="D1832" t="inlineStr">
        <is>
          <t>30.06.2027</t>
        </is>
      </c>
      <c r="E1832" t="inlineStr">
        <is>
          <t>France</t>
        </is>
      </c>
    </row>
    <row r="1833">
      <c r="A1833" t="inlineStr">
        <is>
          <t>Allnex Resins (Changshu) Co. LTD.,  Changshu City, Jiangsu Province, China</t>
        </is>
      </c>
      <c r="B1833" t="inlineStr">
        <is>
          <t>Processing Unit</t>
        </is>
      </c>
      <c r="C1833" t="inlineStr">
        <is>
          <t>SGS Germany GmbH, Emstek, DE</t>
        </is>
      </c>
      <c r="D1833" t="inlineStr">
        <is>
          <t>30.06.2027</t>
        </is>
      </c>
      <c r="E1833" t="inlineStr">
        <is>
          <t>China</t>
        </is>
      </c>
    </row>
    <row r="1834">
      <c r="A1834" t="inlineStr">
        <is>
          <t>Dow Europe GmbH,  Villers Saint Paul, France</t>
        </is>
      </c>
      <c r="B1834" t="inlineStr">
        <is>
          <t>Processing Unit</t>
        </is>
      </c>
      <c r="C1834" t="inlineStr">
        <is>
          <t>SGS Germany GmbH, Emstek, DE</t>
        </is>
      </c>
      <c r="D1834" t="inlineStr">
        <is>
          <t>30.06.2027</t>
        </is>
      </c>
      <c r="E1834" t="inlineStr">
        <is>
          <t>France</t>
        </is>
      </c>
    </row>
    <row r="1835">
      <c r="A1835" t="inlineStr">
        <is>
          <t>UNION CARBIDE CORPORATION,  Seadrift, United States</t>
        </is>
      </c>
      <c r="B1835" t="inlineStr">
        <is>
          <t>Processing Unit</t>
        </is>
      </c>
      <c r="C1835" t="inlineStr">
        <is>
          <t>SGS Germany GmbH, Emstek, DE</t>
        </is>
      </c>
      <c r="D1835" t="inlineStr">
        <is>
          <t>30.06.2027</t>
        </is>
      </c>
      <c r="E1835" t="inlineStr">
        <is>
          <t>United States</t>
        </is>
      </c>
    </row>
    <row r="1836">
      <c r="A1836" t="inlineStr">
        <is>
          <t>MLPolymer,  Hamburg, Germany</t>
        </is>
      </c>
      <c r="B1836" t="inlineStr">
        <is>
          <t>Trader</t>
        </is>
      </c>
      <c r="C1836" t="inlineStr">
        <is>
          <t>SGS Germany GmbH, Emstek, DE</t>
        </is>
      </c>
      <c r="D1836" t="inlineStr">
        <is>
          <t>30.06.2027</t>
        </is>
      </c>
      <c r="E1836" t="inlineStr">
        <is>
          <t>Germany</t>
        </is>
      </c>
    </row>
    <row r="1837">
      <c r="A1837" t="inlineStr">
        <is>
          <t>Van Eijck Groengas,  Alphen, The Netherlands</t>
        </is>
      </c>
      <c r="B1837" t="inlineStr">
        <is>
          <t>Collecting Point, Processing Unit</t>
        </is>
      </c>
      <c r="C1837" t="inlineStr">
        <is>
          <t>DEKRA Certification B.V., Arnhem, NL</t>
        </is>
      </c>
      <c r="D1837" t="inlineStr">
        <is>
          <t>30.06.2027</t>
        </is>
      </c>
      <c r="E1837" t="inlineStr">
        <is>
          <t>The Netherlands</t>
        </is>
      </c>
    </row>
    <row r="1838">
      <c r="A1838" t="inlineStr">
        <is>
          <t>Agrii Romania SRL,  Galati, Romania</t>
        </is>
      </c>
      <c r="B1838" t="inlineStr">
        <is>
          <t>First Gathering Point, Trader with Storage</t>
        </is>
      </c>
      <c r="C1838" t="inlineStr">
        <is>
          <t>SGS Germany GmbH, Emstek, DE</t>
        </is>
      </c>
      <c r="D1838" t="inlineStr">
        <is>
          <t>30.06.2027</t>
        </is>
      </c>
      <c r="E1838" t="inlineStr">
        <is>
          <t>Romania</t>
        </is>
      </c>
    </row>
    <row r="1839">
      <c r="A1839" t="inlineStr">
        <is>
          <t>Taiyo Oil Company, Limited,  Chiyoda-ku, Tokyo, Japan</t>
        </is>
      </c>
      <c r="B1839" t="inlineStr">
        <is>
          <t>Trader with Storage</t>
        </is>
      </c>
      <c r="C1839" t="inlineStr">
        <is>
          <t>SGS Germany GmbH, Emstek, DE</t>
        </is>
      </c>
      <c r="D1839" t="inlineStr">
        <is>
          <t>30.06.2027</t>
        </is>
      </c>
      <c r="E1839" t="inlineStr">
        <is>
          <t>Japan</t>
        </is>
      </c>
    </row>
    <row r="1840">
      <c r="A1840" t="inlineStr">
        <is>
          <t>Ecoservice Sarda SRL,  Elmas (CA), Italy</t>
        </is>
      </c>
      <c r="B1840" t="inlineStr">
        <is>
          <t>Collecting Point</t>
        </is>
      </c>
      <c r="C1840" t="inlineStr">
        <is>
          <t>SGS Germany GmbH, Emstek, DE</t>
        </is>
      </c>
      <c r="D1840" t="inlineStr">
        <is>
          <t>30.06.2027</t>
        </is>
      </c>
      <c r="E1840" t="inlineStr">
        <is>
          <t>Italy</t>
        </is>
      </c>
    </row>
    <row r="1841">
      <c r="A1841" t="inlineStr">
        <is>
          <t>College Proteins ULC,  Nobber, Co. Meath, Ireland</t>
        </is>
      </c>
      <c r="B1841" t="inlineStr">
        <is>
          <t>Trader with Storage, Collecting Point, Point of Origin, Processing Unit</t>
        </is>
      </c>
      <c r="C1841" t="inlineStr">
        <is>
          <t>DEKRA Certification B.V., Arnhem, NL</t>
        </is>
      </c>
      <c r="D1841" t="inlineStr">
        <is>
          <t>30.06.2027</t>
        </is>
      </c>
      <c r="E1841" t="inlineStr">
        <is>
          <t>Ireland</t>
        </is>
      </c>
    </row>
    <row r="1842">
      <c r="A1842" t="inlineStr">
        <is>
          <t>Shaw Polymers, LLC,  Crown Point, Indiana, United States</t>
        </is>
      </c>
      <c r="B1842" t="inlineStr">
        <is>
          <t>Trader with Storage</t>
        </is>
      </c>
      <c r="C1842" t="inlineStr">
        <is>
          <t>SCS Global Services, Emeryville, CA, US</t>
        </is>
      </c>
      <c r="D1842" t="inlineStr">
        <is>
          <t>30.06.2027</t>
        </is>
      </c>
      <c r="E1842" t="inlineStr">
        <is>
          <t>United States</t>
        </is>
      </c>
    </row>
    <row r="1843">
      <c r="A1843" t="inlineStr">
        <is>
          <t>Roeslein RNG Equity Investments of Iowa,  Murray, United States</t>
        </is>
      </c>
      <c r="B1843" t="inlineStr">
        <is>
          <t>Collecting Point, Processing Unit</t>
        </is>
      </c>
      <c r="C1843" t="inlineStr">
        <is>
          <t>SCS Global Services, Emeryville, CA, US</t>
        </is>
      </c>
      <c r="D1843" t="inlineStr">
        <is>
          <t>30.06.2027</t>
        </is>
      </c>
      <c r="E1843" t="inlineStr">
        <is>
          <t>United States</t>
        </is>
      </c>
    </row>
    <row r="1844">
      <c r="A1844" t="inlineStr">
        <is>
          <t>Roeslein RNG Equity Investments of Iowa,  Murray, United States</t>
        </is>
      </c>
      <c r="B1844" t="inlineStr">
        <is>
          <t>Collecting Point, Processing Unit</t>
        </is>
      </c>
      <c r="C1844" t="inlineStr">
        <is>
          <t>SCS Global Services, Emeryville, CA, US</t>
        </is>
      </c>
      <c r="D1844" t="inlineStr">
        <is>
          <t>30.06.2027</t>
        </is>
      </c>
      <c r="E1844" t="inlineStr">
        <is>
          <t>United States</t>
        </is>
      </c>
    </row>
    <row r="1845">
      <c r="A1845" t="inlineStr">
        <is>
          <t>Shahmurad Sugar Mills Limited (Ethanol Division),  Mirpure Bathoro, District Thatta, Pakistan</t>
        </is>
      </c>
      <c r="B1845" t="inlineStr">
        <is>
          <t>Processing Unit</t>
        </is>
      </c>
      <c r="C1845" t="inlineStr">
        <is>
          <t>PT Intertek Utama Services, Jakarta, ID</t>
        </is>
      </c>
      <c r="D1845" t="inlineStr">
        <is>
          <t>30.06.2027</t>
        </is>
      </c>
      <c r="E1845" t="inlineStr">
        <is>
          <t>Pakistan</t>
        </is>
      </c>
    </row>
    <row r="1846">
      <c r="A1846" t="inlineStr">
        <is>
          <t>Shahmurad Sugar Mills Limited (Ethanol Division),  Mirpure Bathoro, District Thatta, Pakistan</t>
        </is>
      </c>
      <c r="B1846" t="inlineStr">
        <is>
          <t>Processing Unit</t>
        </is>
      </c>
      <c r="C1846" t="inlineStr">
        <is>
          <t>PT Intertek Utama Services, Jakarta, ID</t>
        </is>
      </c>
      <c r="D1846" t="inlineStr">
        <is>
          <t>30.06.2027</t>
        </is>
      </c>
      <c r="E1846" t="inlineStr">
        <is>
          <t>Pakistan</t>
        </is>
      </c>
    </row>
    <row r="1847">
      <c r="A1847" t="inlineStr">
        <is>
          <t>Cash Horse (M) SDN BHD,  SANDAKAN, Malaysia</t>
        </is>
      </c>
      <c r="B1847" t="inlineStr">
        <is>
          <t>Point of Origin</t>
        </is>
      </c>
      <c r="C1847" t="inlineStr">
        <is>
          <t>SGS Germany GmbH, Emstek, DE</t>
        </is>
      </c>
      <c r="D1847" t="inlineStr">
        <is>
          <t>30.06.2027</t>
        </is>
      </c>
      <c r="E1847" t="inlineStr">
        <is>
          <t>Malaysia</t>
        </is>
      </c>
    </row>
    <row r="1848">
      <c r="A1848" t="inlineStr">
        <is>
          <t>BAGUR SUPPLY,  MADRID, Spain</t>
        </is>
      </c>
      <c r="B1848" t="inlineStr">
        <is>
          <t>Trader</t>
        </is>
      </c>
      <c r="C1848" t="inlineStr">
        <is>
          <t>RINA Services S.p.A., Genova, IT</t>
        </is>
      </c>
      <c r="D1848" t="inlineStr">
        <is>
          <t>30.06.2027</t>
        </is>
      </c>
      <c r="E1848" t="inlineStr">
        <is>
          <t>Spain</t>
        </is>
      </c>
    </row>
    <row r="1849">
      <c r="A1849" t="inlineStr">
        <is>
          <t>Ensus UK Ltd,  Redcar, The United Kingdom</t>
        </is>
      </c>
      <c r="B1849" t="inlineStr">
        <is>
          <t>Processing Unit, Trader with Storage</t>
        </is>
      </c>
      <c r="C1849" t="inlineStr">
        <is>
          <t>SGS Germany GmbH, Emstek, DE</t>
        </is>
      </c>
      <c r="D1849" t="inlineStr">
        <is>
          <t>30.06.2027</t>
        </is>
      </c>
      <c r="E1849" t="inlineStr">
        <is>
          <t>The United Kingdom</t>
        </is>
      </c>
    </row>
    <row r="1850">
      <c r="A1850" t="inlineStr">
        <is>
          <t>Perrigo Deutschland GmbH,  Stuttgart, Germany</t>
        </is>
      </c>
      <c r="B1850" t="inlineStr">
        <is>
          <t>Trader with Storage</t>
        </is>
      </c>
      <c r="C1850" t="inlineStr">
        <is>
          <t>ASG Cert GmbH, Munich, DE</t>
        </is>
      </c>
      <c r="D1850" t="inlineStr">
        <is>
          <t>30.06.2027</t>
        </is>
      </c>
      <c r="E1850" t="inlineStr">
        <is>
          <t>Germany</t>
        </is>
      </c>
    </row>
    <row r="1851">
      <c r="A1851" t="inlineStr">
        <is>
          <t>Renew-E Central Europe,  Budapest, Hungary</t>
        </is>
      </c>
      <c r="B1851" t="inlineStr">
        <is>
          <t>Trader</t>
        </is>
      </c>
      <c r="C1851" t="inlineStr">
        <is>
          <t>CertRom SRL, Bucuresti, RO</t>
        </is>
      </c>
      <c r="D1851" t="inlineStr">
        <is>
          <t>30.06.2027</t>
        </is>
      </c>
      <c r="E1851" t="inlineStr">
        <is>
          <t>Hungary</t>
        </is>
      </c>
    </row>
    <row r="1852">
      <c r="A1852" t="inlineStr">
        <is>
          <t>JJ FNB LLC,  Yongin-si, The Republic of Korea</t>
        </is>
      </c>
      <c r="B1852" t="inlineStr">
        <is>
          <t>Collecting Point</t>
        </is>
      </c>
      <c r="C1852" t="inlineStr">
        <is>
          <t>Control Union Certifications Germany GmbH, Berlin, DE</t>
        </is>
      </c>
      <c r="D1852" t="inlineStr">
        <is>
          <t>30.06.2027</t>
        </is>
      </c>
      <c r="E1852" t="inlineStr">
        <is>
          <t>The Republic of Korea</t>
        </is>
      </c>
    </row>
    <row r="1853">
      <c r="A1853" t="inlineStr">
        <is>
          <t>LD CARBON,  Dangjin-si, The Republic of Korea</t>
        </is>
      </c>
      <c r="B1853" t="inlineStr">
        <is>
          <t>Processing Unit</t>
        </is>
      </c>
      <c r="C1853" t="inlineStr">
        <is>
          <t>Korean Foundation for Quality, Songpa-gu, Seoul, KR</t>
        </is>
      </c>
      <c r="D1853" t="inlineStr">
        <is>
          <t>30.06.2027</t>
        </is>
      </c>
      <c r="E1853" t="inlineStr">
        <is>
          <t>The Republic of Korea</t>
        </is>
      </c>
    </row>
    <row r="1854">
      <c r="A1854" t="inlineStr">
        <is>
          <t>Perrigo Supply Chain International designated activity company,  Dublin 2, Ireland</t>
        </is>
      </c>
      <c r="B1854" t="inlineStr">
        <is>
          <t>Trader with Storage</t>
        </is>
      </c>
      <c r="C1854" t="inlineStr">
        <is>
          <t>ASG Cert GmbH, Munich, DE</t>
        </is>
      </c>
      <c r="D1854" t="inlineStr">
        <is>
          <t>30.06.2027</t>
        </is>
      </c>
      <c r="E1854" t="inlineStr">
        <is>
          <t>Ireland</t>
        </is>
      </c>
    </row>
    <row r="1855">
      <c r="A1855" t="inlineStr">
        <is>
          <t>Evonik Oxeno GmbH &amp; Co. KG,  Marl, Germany</t>
        </is>
      </c>
      <c r="B1855" t="inlineStr">
        <is>
          <t>ETBE plant, MTBE plant, Trader with Storage</t>
        </is>
      </c>
      <c r="C1855" t="inlineStr">
        <is>
          <t>DIN CERTCO GmbH, Berlin, DE</t>
        </is>
      </c>
      <c r="D1855" t="inlineStr">
        <is>
          <t>30.06.2027</t>
        </is>
      </c>
      <c r="E1855" t="inlineStr">
        <is>
          <t>Germany</t>
        </is>
      </c>
    </row>
    <row r="1856">
      <c r="A1856" t="inlineStr">
        <is>
          <t>Alto Pekin, LLC,  Pekin, United States</t>
        </is>
      </c>
      <c r="B1856" t="inlineStr">
        <is>
          <t>Point of Origin, Processing Unit, Trader with Storage</t>
        </is>
      </c>
      <c r="C1856" t="inlineStr">
        <is>
          <t>SCS Global Services, Emeryville, CA, US</t>
        </is>
      </c>
      <c r="D1856" t="inlineStr">
        <is>
          <t>30.06.2027</t>
        </is>
      </c>
      <c r="E1856" t="inlineStr">
        <is>
          <t>United States</t>
        </is>
      </c>
    </row>
    <row r="1857">
      <c r="A1857" t="inlineStr">
        <is>
          <t>Alto Pekin, LLC,  Pekin, United States</t>
        </is>
      </c>
      <c r="B1857" t="inlineStr">
        <is>
          <t>Point of Origin, Processing Unit, Trader with Storage</t>
        </is>
      </c>
      <c r="C1857" t="inlineStr">
        <is>
          <t>SCS Global Services, Emeryville, CA, US</t>
        </is>
      </c>
      <c r="D1857" t="inlineStr">
        <is>
          <t>30.06.2027</t>
        </is>
      </c>
      <c r="E1857" t="inlineStr">
        <is>
          <t>United States</t>
        </is>
      </c>
    </row>
    <row r="1858">
      <c r="A1858" t="inlineStr">
        <is>
          <t>Coopaca,  Treteau, France</t>
        </is>
      </c>
      <c r="B1858" t="inlineStr">
        <is>
          <t>First Gathering Point</t>
        </is>
      </c>
      <c r="C1858" t="inlineStr">
        <is>
          <t>RINA Services S.p.A., Genova, IT</t>
        </is>
      </c>
      <c r="D1858" t="inlineStr">
        <is>
          <t>30.06.2027</t>
        </is>
      </c>
      <c r="E1858" t="inlineStr">
        <is>
          <t>France</t>
        </is>
      </c>
    </row>
    <row r="1859">
      <c r="A1859" t="inlineStr">
        <is>
          <t>Krentz International,  Detmold, Germany</t>
        </is>
      </c>
      <c r="B1859" t="inlineStr">
        <is>
          <t>First Gathering Point</t>
        </is>
      </c>
      <c r="C1859" t="inlineStr">
        <is>
          <t>RINA Services S.p.A., Genova, IT</t>
        </is>
      </c>
      <c r="D1859" t="inlineStr">
        <is>
          <t>30.06.2027</t>
        </is>
      </c>
      <c r="E1859" t="inlineStr">
        <is>
          <t>Germany</t>
        </is>
      </c>
    </row>
    <row r="1860">
      <c r="A1860" t="inlineStr">
        <is>
          <t>MOL Downstream Private Company Limited by Shares,  Százhalombatta, Hungary</t>
        </is>
      </c>
      <c r="B1860" t="inlineStr">
        <is>
          <t>ETBE plant, Processing Unit, Trader with Storage</t>
        </is>
      </c>
      <c r="C1860" t="inlineStr">
        <is>
          <t>SGS Germany GmbH, Emstek, DE</t>
        </is>
      </c>
      <c r="D1860" t="inlineStr">
        <is>
          <t>30.06.2027</t>
        </is>
      </c>
      <c r="E1860" t="inlineStr">
        <is>
          <t>Hungary</t>
        </is>
      </c>
    </row>
    <row r="1861">
      <c r="A1861" t="inlineStr">
        <is>
          <t>Sterf HandelsgmbH,  Mettersdorf, Austria</t>
        </is>
      </c>
      <c r="B1861" t="inlineStr">
        <is>
          <t>First Gathering Point, Trader with Storage</t>
        </is>
      </c>
      <c r="C1861" t="inlineStr">
        <is>
          <t>agroVet GmbH, Enzersfeld, AT</t>
        </is>
      </c>
      <c r="D1861" t="inlineStr">
        <is>
          <t>30.06.2027</t>
        </is>
      </c>
      <c r="E1861" t="inlineStr">
        <is>
          <t>Austria</t>
        </is>
      </c>
    </row>
    <row r="1862">
      <c r="A1862" t="inlineStr">
        <is>
          <t>Ludogorsko Zarno Ltd.,  Village of Pristoe, Bulgaria</t>
        </is>
      </c>
      <c r="B1862" t="inlineStr">
        <is>
          <t>First Gathering Point</t>
        </is>
      </c>
      <c r="C1862" t="inlineStr">
        <is>
          <t>Baltic Control Certification, Albertslund, DK</t>
        </is>
      </c>
      <c r="D1862" t="inlineStr">
        <is>
          <t>29.06.2027</t>
        </is>
      </c>
      <c r="E1862" t="inlineStr">
        <is>
          <t>Bulgaria</t>
        </is>
      </c>
    </row>
    <row r="1863">
      <c r="A1863" t="inlineStr">
        <is>
          <t>ENI NATURAL ENERGIES KENYA EPZ,  Wote, Makueni, Kenya</t>
        </is>
      </c>
      <c r="B1863" t="inlineStr">
        <is>
          <t>Collecting Point, First Gathering Point, Processing Unit, Trader with Storage</t>
        </is>
      </c>
      <c r="C1863" t="inlineStr">
        <is>
          <t>RINA Services S.p.A., Genova, IT</t>
        </is>
      </c>
      <c r="D1863" t="inlineStr">
        <is>
          <t>29.06.2027</t>
        </is>
      </c>
      <c r="E1863" t="inlineStr">
        <is>
          <t>Kenya</t>
        </is>
      </c>
    </row>
    <row r="1864">
      <c r="A1864" t="inlineStr">
        <is>
          <t>Consorzio Maiscoltori Cerealicoltori Polesani Società Cooperativa Agricola,  Villadose (RO), Italy</t>
        </is>
      </c>
      <c r="B1864" t="inlineStr">
        <is>
          <t>First Gathering Point</t>
        </is>
      </c>
      <c r="C1864" t="inlineStr">
        <is>
          <t>RINA Services S.p.A., Genova, IT</t>
        </is>
      </c>
      <c r="D1864" t="inlineStr">
        <is>
          <t>29.06.2027</t>
        </is>
      </c>
      <c r="E1864" t="inlineStr">
        <is>
          <t>Italy</t>
        </is>
      </c>
    </row>
    <row r="1865">
      <c r="A1865" t="inlineStr">
        <is>
          <t>Papas Olio JSC,  Yambol, Bulgaria</t>
        </is>
      </c>
      <c r="B1865" t="inlineStr">
        <is>
          <t>Trader with Storage, Processing Unit, Point of Origin, First Gathering Point</t>
        </is>
      </c>
      <c r="C1865" t="inlineStr">
        <is>
          <t>SGS Germany GmbH, Emstek, DE</t>
        </is>
      </c>
      <c r="D1865" t="inlineStr">
        <is>
          <t>29.06.2027</t>
        </is>
      </c>
      <c r="E1865" t="inlineStr">
        <is>
          <t>Bulgaria</t>
        </is>
      </c>
    </row>
    <row r="1866">
      <c r="A1866" t="inlineStr">
        <is>
          <t>Münzer Bioindustrie GmbH,  Vienna, Austria</t>
        </is>
      </c>
      <c r="B1866" t="inlineStr">
        <is>
          <t>Collecting Point, Processing Unit, Proof of Compliance Trader, Trader with Storage, Point of Origin</t>
        </is>
      </c>
      <c r="C1866" t="inlineStr">
        <is>
          <t>agroVet GmbH, Enzersfeld, AT</t>
        </is>
      </c>
      <c r="D1866" t="inlineStr">
        <is>
          <t>29.06.2027</t>
        </is>
      </c>
      <c r="E1866" t="inlineStr">
        <is>
          <t>Austria</t>
        </is>
      </c>
    </row>
    <row r="1867">
      <c r="A1867" t="inlineStr">
        <is>
          <t>Equistar Chemicals, LP,  Victoria, Texas, United States</t>
        </is>
      </c>
      <c r="B1867" t="inlineStr">
        <is>
          <t>Processing Unit</t>
        </is>
      </c>
      <c r="C1867" t="inlineStr">
        <is>
          <t>SCS Global Services, Emeryville, CA, US</t>
        </is>
      </c>
      <c r="D1867" t="inlineStr">
        <is>
          <t>29.06.2027</t>
        </is>
      </c>
      <c r="E1867" t="inlineStr">
        <is>
          <t>United States</t>
        </is>
      </c>
    </row>
    <row r="1868">
      <c r="A1868" t="inlineStr">
        <is>
          <t>SARL STAM,  Hourtin, France</t>
        </is>
      </c>
      <c r="B1868" t="inlineStr">
        <is>
          <t>Collecting Point, Trader with Storage</t>
        </is>
      </c>
      <c r="C1868" t="inlineStr">
        <is>
          <t>Control Union Certifications Germany GmbH, Berlin, DE</t>
        </is>
      </c>
      <c r="D1868" t="inlineStr">
        <is>
          <t>29.06.2027</t>
        </is>
      </c>
      <c r="E1868" t="inlineStr">
        <is>
          <t>France</t>
        </is>
      </c>
    </row>
    <row r="1869">
      <c r="A1869" t="inlineStr">
        <is>
          <t>Centrica Energy Trading A/S,  Aalborg, Denmark</t>
        </is>
      </c>
      <c r="B1869" t="inlineStr">
        <is>
          <t>Trader</t>
        </is>
      </c>
      <c r="C1869" t="inlineStr">
        <is>
          <t>TÜV SÜD Industrie Service GmbH, München, DE</t>
        </is>
      </c>
      <c r="D1869" t="inlineStr">
        <is>
          <t>29.06.2027</t>
        </is>
      </c>
      <c r="E1869" t="inlineStr">
        <is>
          <t>Denmark</t>
        </is>
      </c>
    </row>
    <row r="1870">
      <c r="A1870" t="inlineStr">
        <is>
          <t>Hardlevel Energias Renovaveis, S.A.,  Avanca, Portugal</t>
        </is>
      </c>
      <c r="B1870" t="inlineStr">
        <is>
          <t>Collecting Point, Trader with Storage</t>
        </is>
      </c>
      <c r="C1870" t="inlineStr">
        <is>
          <t>Amspec Iberia SL, Vilagarcia de Arousa-Pontevedra, ES</t>
        </is>
      </c>
      <c r="D1870" t="inlineStr">
        <is>
          <t>29.06.2027</t>
        </is>
      </c>
      <c r="E1870" t="inlineStr">
        <is>
          <t>Portugal</t>
        </is>
      </c>
    </row>
    <row r="1871">
      <c r="A1871" t="inlineStr">
        <is>
          <t>ARGEŞ BIOSUD COOPERATIVĂ AGRICOLĂ,  COSTESTI, Romania</t>
        </is>
      </c>
      <c r="B1871" t="inlineStr">
        <is>
          <t>First Gathering Point, Trader with Storage</t>
        </is>
      </c>
      <c r="C1871" t="inlineStr">
        <is>
          <t>SRAC Cert SRL, Bucharest, RO</t>
        </is>
      </c>
      <c r="D1871" t="inlineStr">
        <is>
          <t>29.06.2027</t>
        </is>
      </c>
      <c r="E1871" t="inlineStr">
        <is>
          <t>Romania</t>
        </is>
      </c>
    </row>
    <row r="1872">
      <c r="A1872" t="inlineStr">
        <is>
          <t>Young Young Co. Ltd.,  Longjing Dist., Taichung City, Taiwan (Province of China)</t>
        </is>
      </c>
      <c r="B1872" t="inlineStr">
        <is>
          <t>Collecting Point, Trader with Storage</t>
        </is>
      </c>
      <c r="C1872" t="inlineStr">
        <is>
          <t>PT. CBQA GLOBAL INDONESIA, JAKARTA SELATAN, ID</t>
        </is>
      </c>
      <c r="D1872" t="inlineStr">
        <is>
          <t>29.06.2027</t>
        </is>
      </c>
      <c r="E1872" t="inlineStr">
        <is>
          <t>Taiwan (Province of China)</t>
        </is>
      </c>
    </row>
    <row r="1873">
      <c r="A1873" t="inlineStr">
        <is>
          <t>TAPYRUS CO., LTD.,  Kanagawa-ken, Japan</t>
        </is>
      </c>
      <c r="B1873" t="inlineStr">
        <is>
          <t>Processing Unit</t>
        </is>
      </c>
      <c r="C1873" t="inlineStr">
        <is>
          <t>Control Union Certifications Germany GmbH, Berlin, DE</t>
        </is>
      </c>
      <c r="D1873" t="inlineStr">
        <is>
          <t>29.06.2027</t>
        </is>
      </c>
      <c r="E1873" t="inlineStr">
        <is>
          <t>Japan</t>
        </is>
      </c>
    </row>
    <row r="1874">
      <c r="A1874" t="inlineStr">
        <is>
          <t>Reliance Plaschem Co.,Ltd,  Bangkhlo, Bangkholaem, Bangkok, Thailand</t>
        </is>
      </c>
      <c r="B1874" t="inlineStr">
        <is>
          <t>Trader</t>
        </is>
      </c>
      <c r="C1874" t="inlineStr">
        <is>
          <t>Control Union Poland Sp. z o.o., Zielona Gora, PL</t>
        </is>
      </c>
      <c r="D1874" t="inlineStr">
        <is>
          <t>29.06.2027</t>
        </is>
      </c>
      <c r="E1874" t="inlineStr">
        <is>
          <t>Thailand</t>
        </is>
      </c>
    </row>
    <row r="1875">
      <c r="A1875" t="inlineStr">
        <is>
          <t>BASF Oy,  Hamina, Finland</t>
        </is>
      </c>
      <c r="B1875" t="inlineStr">
        <is>
          <t>Processing Unit</t>
        </is>
      </c>
      <c r="C1875" t="inlineStr">
        <is>
          <t>TÜV NORD CERT GmbH, Essen, DE</t>
        </is>
      </c>
      <c r="D1875" t="inlineStr">
        <is>
          <t>29.06.2027</t>
        </is>
      </c>
      <c r="E1875" t="inlineStr">
        <is>
          <t>Finland</t>
        </is>
      </c>
    </row>
    <row r="1876">
      <c r="A1876" t="inlineStr">
        <is>
          <t>MJD Trading s.r.o.,  Tábor, Czech Republic</t>
        </is>
      </c>
      <c r="B1876" t="inlineStr">
        <is>
          <t>First Gathering Point, Trader</t>
        </is>
      </c>
      <c r="C1876" t="inlineStr">
        <is>
          <t>Bureau Veritas Polska Sp. z o.o., Warsaw, PL</t>
        </is>
      </c>
      <c r="D1876" t="inlineStr">
        <is>
          <t>29.06.2027</t>
        </is>
      </c>
      <c r="E1876" t="inlineStr">
        <is>
          <t>Czech Republic</t>
        </is>
      </c>
    </row>
    <row r="1877">
      <c r="A1877" t="inlineStr">
        <is>
          <t>PT Sinar Alam Permai,  Sumatera Selatan, Indonesia</t>
        </is>
      </c>
      <c r="B1877" t="inlineStr">
        <is>
          <t>Point of Origin, Trader with Storage, Warehouse</t>
        </is>
      </c>
      <c r="C1877" t="inlineStr">
        <is>
          <t>PT Intertek Utama Services, Jakarta, ID</t>
        </is>
      </c>
      <c r="D1877" t="inlineStr">
        <is>
          <t>29.06.2027</t>
        </is>
      </c>
      <c r="E1877" t="inlineStr">
        <is>
          <t>Indonesia</t>
        </is>
      </c>
    </row>
    <row r="1878">
      <c r="A1878" t="inlineStr">
        <is>
          <t>Papresa,  ERRENTERIA, Spain</t>
        </is>
      </c>
      <c r="B1878" t="inlineStr">
        <is>
          <t>Point of Origin</t>
        </is>
      </c>
      <c r="C1878" t="inlineStr">
        <is>
          <t>Control Union Poland Sp. z o.o., Zielona Gora, PL</t>
        </is>
      </c>
      <c r="D1878" t="inlineStr">
        <is>
          <t>29.06.2027</t>
        </is>
      </c>
      <c r="E1878" t="inlineStr">
        <is>
          <t>Spain</t>
        </is>
      </c>
    </row>
    <row r="1879">
      <c r="A1879" t="inlineStr">
        <is>
          <t>PT Sumber IndahPerkasa,  Kabupaten Lampung Selatan, Indonesia</t>
        </is>
      </c>
      <c r="B1879" t="inlineStr">
        <is>
          <t>Point of Origin, Processing Unit, Trader with Storage</t>
        </is>
      </c>
      <c r="C1879" t="inlineStr">
        <is>
          <t>PT Intertek Utama Services, Jakarta, ID</t>
        </is>
      </c>
      <c r="D1879" t="inlineStr">
        <is>
          <t>29.06.2027</t>
        </is>
      </c>
      <c r="E1879" t="inlineStr">
        <is>
          <t>Indonesia</t>
        </is>
      </c>
    </row>
    <row r="1880">
      <c r="A1880" t="inlineStr">
        <is>
          <t>Shanghai Zijiang Color Printing &amp; Packing Co., LTD.,  Shanghai, China</t>
        </is>
      </c>
      <c r="B1880" t="inlineStr">
        <is>
          <t>Processing Unit</t>
        </is>
      </c>
      <c r="C1880" t="inlineStr">
        <is>
          <t>SGS Germany GmbH, Emstek, DE</t>
        </is>
      </c>
      <c r="D1880" t="inlineStr">
        <is>
          <t>29.06.2027</t>
        </is>
      </c>
      <c r="E1880" t="inlineStr">
        <is>
          <t>China</t>
        </is>
      </c>
    </row>
    <row r="1881">
      <c r="A1881" t="inlineStr">
        <is>
          <t>VAROPreem AG,  Baar, Switzerland</t>
        </is>
      </c>
      <c r="B1881" t="inlineStr">
        <is>
          <t>Trader with Storage, Proof of Compliance Trader</t>
        </is>
      </c>
      <c r="C1881" t="inlineStr">
        <is>
          <t>Control Union Certifications Germany GmbH, Berlin, DE</t>
        </is>
      </c>
      <c r="D1881" t="inlineStr">
        <is>
          <t>29.06.2027</t>
        </is>
      </c>
      <c r="E1881" t="inlineStr">
        <is>
          <t>Switzerland</t>
        </is>
      </c>
    </row>
    <row r="1882">
      <c r="A1882" t="inlineStr">
        <is>
          <t>Agrokomodity a.s.,  Stredokluky, Czech Republic</t>
        </is>
      </c>
      <c r="B1882" t="inlineStr">
        <is>
          <t>First Gathering Point, Trader with Storage</t>
        </is>
      </c>
      <c r="C1882" t="inlineStr">
        <is>
          <t>United Registrar of Systems Polska Sp. z o.o., Wrocław, PL</t>
        </is>
      </c>
      <c r="D1882" t="inlineStr">
        <is>
          <t>29.06.2027</t>
        </is>
      </c>
      <c r="E1882" t="inlineStr">
        <is>
          <t>Czech Republic</t>
        </is>
      </c>
    </row>
    <row r="1883">
      <c r="A1883" t="inlineStr">
        <is>
          <t>SC MALPROD SRL,  GRINDU, IALOMITA, Romania</t>
        </is>
      </c>
      <c r="B1883" t="inlineStr">
        <is>
          <t>First Gathering Point</t>
        </is>
      </c>
      <c r="C1883" t="inlineStr">
        <is>
          <t>BM Certification, Riga, LV</t>
        </is>
      </c>
      <c r="D1883" t="inlineStr">
        <is>
          <t>29.06.2027</t>
        </is>
      </c>
      <c r="E1883" t="inlineStr">
        <is>
          <t>Romania</t>
        </is>
      </c>
    </row>
    <row r="1884">
      <c r="A1884" t="inlineStr">
        <is>
          <t>Taiyo Oil Company, Limited,  Imabari, Ehime, Japan</t>
        </is>
      </c>
      <c r="B1884" t="inlineStr">
        <is>
          <t>Processing Unit, Warehouse</t>
        </is>
      </c>
      <c r="C1884" t="inlineStr">
        <is>
          <t>SGS Germany GmbH, Emstek, DE</t>
        </is>
      </c>
      <c r="D1884" t="inlineStr">
        <is>
          <t>29.06.2027</t>
        </is>
      </c>
      <c r="E1884" t="inlineStr">
        <is>
          <t>Japan</t>
        </is>
      </c>
    </row>
    <row r="1885">
      <c r="A1885" t="inlineStr">
        <is>
          <t>MISEN CORPORATION,  Sano-shi , Tochigi, Japan</t>
        </is>
      </c>
      <c r="B1885" t="inlineStr">
        <is>
          <t>Trader</t>
        </is>
      </c>
      <c r="C1885" t="inlineStr">
        <is>
          <t>PT. Qualitas Sertifikasi Indonesia, Jakarta, ID</t>
        </is>
      </c>
      <c r="D1885" t="inlineStr">
        <is>
          <t>29.06.2027</t>
        </is>
      </c>
      <c r="E1885" t="inlineStr">
        <is>
          <t>Japan</t>
        </is>
      </c>
    </row>
    <row r="1886">
      <c r="A1886" t="inlineStr">
        <is>
          <t>MISEN CORPORATION,  Sano-shi , Tochigi, Japan</t>
        </is>
      </c>
      <c r="B1886" t="inlineStr">
        <is>
          <t>Trader</t>
        </is>
      </c>
      <c r="C1886" t="inlineStr">
        <is>
          <t>PT. Qualitas Sertifikasi Indonesia, Jakarta, ID</t>
        </is>
      </c>
      <c r="D1886" t="inlineStr">
        <is>
          <t>29.06.2027</t>
        </is>
      </c>
      <c r="E1886" t="inlineStr">
        <is>
          <t>Japan</t>
        </is>
      </c>
    </row>
    <row r="1887">
      <c r="A1887" t="inlineStr">
        <is>
          <t>SEOJIN BLOW TEC CO.,LTD.,  Hwaseong-Si, Gyeonggi-Do, The Republic of Korea</t>
        </is>
      </c>
      <c r="B1887" t="inlineStr">
        <is>
          <t>Processing Unit</t>
        </is>
      </c>
      <c r="C1887" t="inlineStr">
        <is>
          <t>Control Union Certifications Germany GmbH, Berlin, DE</t>
        </is>
      </c>
      <c r="D1887" t="inlineStr">
        <is>
          <t>29.06.2027</t>
        </is>
      </c>
      <c r="E1887" t="inlineStr">
        <is>
          <t>The Republic of Korea</t>
        </is>
      </c>
    </row>
    <row r="1888">
      <c r="A1888" t="inlineStr">
        <is>
          <t>PT Cahaya Energy Artha Abadi,  Bandar Lampung, Lampung, Indonesia</t>
        </is>
      </c>
      <c r="B1888" t="inlineStr">
        <is>
          <t>Collecting Point, Processing Unit, Trader with Storage</t>
        </is>
      </c>
      <c r="C1888" t="inlineStr">
        <is>
          <t>BM Certification, Riga, LV</t>
        </is>
      </c>
      <c r="D1888" t="inlineStr">
        <is>
          <t>29.06.2027</t>
        </is>
      </c>
      <c r="E1888" t="inlineStr">
        <is>
          <t>Indonesia</t>
        </is>
      </c>
    </row>
    <row r="1889">
      <c r="A1889" t="inlineStr">
        <is>
          <t>Hindustan Petroleum Corporation Limited,  Visakhapatnam, India</t>
        </is>
      </c>
      <c r="B1889" t="inlineStr">
        <is>
          <t>Processing Unit</t>
        </is>
      </c>
      <c r="C1889" t="inlineStr">
        <is>
          <t>Cotecna India Inspection Pvt Ltd, Kolkata, IN</t>
        </is>
      </c>
      <c r="D1889" t="inlineStr">
        <is>
          <t>29.06.2027</t>
        </is>
      </c>
      <c r="E1889" t="inlineStr">
        <is>
          <t>India</t>
        </is>
      </c>
    </row>
    <row r="1890">
      <c r="A1890" t="inlineStr">
        <is>
          <t>INSTAL HEAT CONSTRUCT SRL,  CONSTANTA, Romania</t>
        </is>
      </c>
      <c r="B1890" t="inlineStr">
        <is>
          <t>Collecting Point, Processing Unit</t>
        </is>
      </c>
      <c r="C1890" t="inlineStr">
        <is>
          <t>Amspec Iberia SL, Vilagarcia de Arousa-Pontevedra, ES</t>
        </is>
      </c>
      <c r="D1890" t="inlineStr">
        <is>
          <t>29.06.2027</t>
        </is>
      </c>
      <c r="E1890" t="inlineStr">
        <is>
          <t>Romania</t>
        </is>
      </c>
    </row>
    <row r="1891">
      <c r="A1891" t="inlineStr">
        <is>
          <t>ALVA,  Reze-Cedex, France</t>
        </is>
      </c>
      <c r="B1891" t="inlineStr">
        <is>
          <t>Central Office (Group of Point of Origin)</t>
        </is>
      </c>
      <c r="C1891" t="inlineStr">
        <is>
          <t>Control Union Certifications Germany GmbH, Berlin, DE</t>
        </is>
      </c>
      <c r="D1891" t="inlineStr">
        <is>
          <t>29.06.2027</t>
        </is>
      </c>
      <c r="E1891" t="inlineStr">
        <is>
          <t>France</t>
        </is>
      </c>
    </row>
    <row r="1892">
      <c r="A1892" t="inlineStr">
        <is>
          <t>PAXXUS,  Addison, United States</t>
        </is>
      </c>
      <c r="B1892" t="inlineStr">
        <is>
          <t>Final Product Refinement</t>
        </is>
      </c>
      <c r="C1892" t="inlineStr">
        <is>
          <t>SCS Global Services, Emeryville, CA, US</t>
        </is>
      </c>
      <c r="D1892" t="inlineStr">
        <is>
          <t>29.06.2027</t>
        </is>
      </c>
      <c r="E1892" t="inlineStr">
        <is>
          <t>United States</t>
        </is>
      </c>
    </row>
    <row r="1893">
      <c r="A1893" t="inlineStr">
        <is>
          <t>Kinergy Marketing LLC,  Pekin, United States</t>
        </is>
      </c>
      <c r="B1893" t="inlineStr">
        <is>
          <t>Trader</t>
        </is>
      </c>
      <c r="C1893" t="inlineStr">
        <is>
          <t>SCS Global Services, Emeryville, CA, US</t>
        </is>
      </c>
      <c r="D1893" t="inlineStr">
        <is>
          <t>29.06.2027</t>
        </is>
      </c>
      <c r="E1893" t="inlineStr">
        <is>
          <t>United States</t>
        </is>
      </c>
    </row>
    <row r="1894">
      <c r="A1894" t="inlineStr">
        <is>
          <t>Kinergy Marketing LLC,  Pekin, United States</t>
        </is>
      </c>
      <c r="B1894" t="inlineStr">
        <is>
          <t>Trader</t>
        </is>
      </c>
      <c r="C1894" t="inlineStr">
        <is>
          <t>SCS Global Services, Emeryville, CA, US</t>
        </is>
      </c>
      <c r="D1894" t="inlineStr">
        <is>
          <t>29.06.2027</t>
        </is>
      </c>
      <c r="E1894" t="inlineStr">
        <is>
          <t>United States</t>
        </is>
      </c>
    </row>
    <row r="1895">
      <c r="A1895" t="inlineStr">
        <is>
          <t>PetroChina Specialty Fuels &amp; Materials Co., Ltd. North China Branch,  Beijing city, China</t>
        </is>
      </c>
      <c r="B1895" t="inlineStr">
        <is>
          <t>Trader</t>
        </is>
      </c>
      <c r="C1895" t="inlineStr">
        <is>
          <t>SCS Global Services, Emeryville, CA, US</t>
        </is>
      </c>
      <c r="D1895" t="inlineStr">
        <is>
          <t>29.06.2027</t>
        </is>
      </c>
      <c r="E1895" t="inlineStr">
        <is>
          <t>China</t>
        </is>
      </c>
    </row>
    <row r="1896">
      <c r="A1896" t="inlineStr">
        <is>
          <t>Zhangjiakou HyPower New Energy Technology Co., Ltd.,  Zhangjiakou City, Hebei Province, China</t>
        </is>
      </c>
      <c r="B1896" t="inlineStr">
        <is>
          <t>Trader</t>
        </is>
      </c>
      <c r="C1896" t="inlineStr">
        <is>
          <t>SCS Global Services, Emeryville, CA, US</t>
        </is>
      </c>
      <c r="D1896" t="inlineStr">
        <is>
          <t>29.06.2027</t>
        </is>
      </c>
      <c r="E1896" t="inlineStr">
        <is>
          <t>China</t>
        </is>
      </c>
    </row>
    <row r="1897">
      <c r="A1897" t="inlineStr">
        <is>
          <t>China National Aviation Fuel Group Tianjin Petroleum Co., Ltd.,  TIANJIN, China</t>
        </is>
      </c>
      <c r="B1897" t="inlineStr">
        <is>
          <t>Trader with Storage, Warehouse</t>
        </is>
      </c>
      <c r="C1897" t="inlineStr">
        <is>
          <t>SCS Global Services, Emeryville, CA, US</t>
        </is>
      </c>
      <c r="D1897" t="inlineStr">
        <is>
          <t>29.06.2027</t>
        </is>
      </c>
      <c r="E1897" t="inlineStr">
        <is>
          <t>China</t>
        </is>
      </c>
    </row>
    <row r="1898">
      <c r="A1898" t="inlineStr">
        <is>
          <t>China National Aviation Fuel Group Tianjin Petroleum Co., Ltd.,  TIANJIN, China</t>
        </is>
      </c>
      <c r="B1898" t="inlineStr">
        <is>
          <t>Trader with Storage, Warehouse</t>
        </is>
      </c>
      <c r="C1898" t="inlineStr">
        <is>
          <t>SCS Global Services, Emeryville, CA, US</t>
        </is>
      </c>
      <c r="D1898" t="inlineStr">
        <is>
          <t>29.06.2027</t>
        </is>
      </c>
      <c r="E1898" t="inlineStr">
        <is>
          <t>China</t>
        </is>
      </c>
    </row>
    <row r="1899">
      <c r="A1899" t="inlineStr">
        <is>
          <t>Soufflet Agriculture,  Lux, France</t>
        </is>
      </c>
      <c r="B1899" t="inlineStr">
        <is>
          <t>First Gathering Point</t>
        </is>
      </c>
      <c r="C1899" t="inlineStr">
        <is>
          <t>RINA Services S.p.A., Genova, IT</t>
        </is>
      </c>
      <c r="D1899" t="inlineStr">
        <is>
          <t>29.06.2027</t>
        </is>
      </c>
      <c r="E1899" t="inlineStr">
        <is>
          <t>France</t>
        </is>
      </c>
    </row>
    <row r="1900">
      <c r="A1900" t="inlineStr">
        <is>
          <t>Baki Agrocentrum Kft,  Bak, Hungary</t>
        </is>
      </c>
      <c r="B1900" t="inlineStr">
        <is>
          <t>First Gathering Point, Trader with Storage</t>
        </is>
      </c>
      <c r="C1900" t="inlineStr">
        <is>
          <t>SGS Germany GmbH, Emstek, DE</t>
        </is>
      </c>
      <c r="D1900" t="inlineStr">
        <is>
          <t>29.06.2027</t>
        </is>
      </c>
      <c r="E1900" t="inlineStr">
        <is>
          <t>Hungary</t>
        </is>
      </c>
    </row>
    <row r="1901">
      <c r="A1901" t="inlineStr">
        <is>
          <t>Ningbo Baizhehui Trading Co., Ltd,  Shijiazhuang city, China</t>
        </is>
      </c>
      <c r="B1901" t="inlineStr">
        <is>
          <t>Trader</t>
        </is>
      </c>
      <c r="C1901" t="inlineStr">
        <is>
          <t>RINA Services S.p.A., Genova, IT</t>
        </is>
      </c>
      <c r="D1901" t="inlineStr">
        <is>
          <t>29.06.2027</t>
        </is>
      </c>
      <c r="E1901" t="inlineStr">
        <is>
          <t>China</t>
        </is>
      </c>
    </row>
    <row r="1902">
      <c r="A1902" t="inlineStr">
        <is>
          <t>Nouryon Chemicals MCA (Taixing) Co., Ltd.,  Jiangsu Province, China</t>
        </is>
      </c>
      <c r="B1902" t="inlineStr">
        <is>
          <t>Processing Unit</t>
        </is>
      </c>
      <c r="C1902" t="inlineStr">
        <is>
          <t>China Classification Society Certification Co., Ltd, Dong Cheng District, Beijing, CN</t>
        </is>
      </c>
      <c r="D1902" t="inlineStr">
        <is>
          <t>29.06.2027</t>
        </is>
      </c>
      <c r="E1902" t="inlineStr">
        <is>
          <t>China</t>
        </is>
      </c>
    </row>
    <row r="1903">
      <c r="A1903" t="inlineStr">
        <is>
          <t>Anhui Clean Tire Materials Co., Ltd,  Anqing, China</t>
        </is>
      </c>
      <c r="B1903" t="inlineStr">
        <is>
          <t>Collecting Point, Point of Origin</t>
        </is>
      </c>
      <c r="C1903" t="inlineStr">
        <is>
          <t>Trans Certification and Inspection Sdn Bhd, Kuantan, MY</t>
        </is>
      </c>
      <c r="D1903" t="inlineStr">
        <is>
          <t>29.06.2027</t>
        </is>
      </c>
      <c r="E1903" t="inlineStr">
        <is>
          <t>China</t>
        </is>
      </c>
    </row>
    <row r="1904">
      <c r="A1904" t="inlineStr">
        <is>
          <t>Firestone Polymers,  Akron, OH, United States</t>
        </is>
      </c>
      <c r="B1904" t="inlineStr">
        <is>
          <t>Processing Unit</t>
        </is>
      </c>
      <c r="C1904" t="inlineStr">
        <is>
          <t>SCS Global Services, Emeryville, CA, US</t>
        </is>
      </c>
      <c r="D1904" t="inlineStr">
        <is>
          <t>29.06.2027</t>
        </is>
      </c>
      <c r="E1904" t="inlineStr">
        <is>
          <t>United States</t>
        </is>
      </c>
    </row>
    <row r="1905">
      <c r="A1905" t="inlineStr">
        <is>
          <t>LianYunGang Jiaao Enproenergy Co., Ltd,  Lianyungang City, Jiangsu, China</t>
        </is>
      </c>
      <c r="B1905" t="inlineStr">
        <is>
          <t>Processing Unit, Trader with Storage</t>
        </is>
      </c>
      <c r="C1905" t="inlineStr">
        <is>
          <t>RINA Services S.p.A., Genova, IT</t>
        </is>
      </c>
      <c r="D1905" t="inlineStr">
        <is>
          <t>29.06.2027</t>
        </is>
      </c>
      <c r="E1905" t="inlineStr">
        <is>
          <t>China</t>
        </is>
      </c>
    </row>
    <row r="1906">
      <c r="A1906" t="inlineStr">
        <is>
          <t>RayGreen Bio-Resources(Zhongshan)Co., Ltd.,  Zhongshan, Guangdong, China</t>
        </is>
      </c>
      <c r="B1906" t="inlineStr">
        <is>
          <t>Collecting Point, Trader with Storage</t>
        </is>
      </c>
      <c r="C1906" t="inlineStr">
        <is>
          <t>RINA Services S.p.A., Genova, IT</t>
        </is>
      </c>
      <c r="D1906" t="inlineStr">
        <is>
          <t>29.06.2027</t>
        </is>
      </c>
      <c r="E1906" t="inlineStr">
        <is>
          <t>China</t>
        </is>
      </c>
    </row>
    <row r="1907">
      <c r="A1907" t="inlineStr">
        <is>
          <t>TH.NITSIAKOS AVEE,  THESSALONIKI, Greece</t>
        </is>
      </c>
      <c r="B1907" t="inlineStr">
        <is>
          <t>Trader with Storage</t>
        </is>
      </c>
      <c r="C1907" t="inlineStr">
        <is>
          <t>Eurocert SA, Metamorfosi, Athens, GR</t>
        </is>
      </c>
      <c r="D1907" t="inlineStr">
        <is>
          <t>29.06.2027</t>
        </is>
      </c>
      <c r="E1907" t="inlineStr">
        <is>
          <t>Greece</t>
        </is>
      </c>
    </row>
    <row r="1908">
      <c r="A1908" t="inlineStr">
        <is>
          <t>Totalis UAB,  Vilnius, Lithuania</t>
        </is>
      </c>
      <c r="B1908" t="inlineStr">
        <is>
          <t>Trader</t>
        </is>
      </c>
      <c r="C1908" t="inlineStr">
        <is>
          <t>Bureau Veritas Polska Sp. z o.o., Warsaw, PL</t>
        </is>
      </c>
      <c r="D1908" t="inlineStr">
        <is>
          <t>28.06.2027</t>
        </is>
      </c>
      <c r="E1908" t="inlineStr">
        <is>
          <t>Lithuania</t>
        </is>
      </c>
    </row>
    <row r="1909">
      <c r="A1909" t="inlineStr">
        <is>
          <t>Rubis Antilles Guyane,  Abymes, France</t>
        </is>
      </c>
      <c r="B1909" t="inlineStr">
        <is>
          <t>Trader</t>
        </is>
      </c>
      <c r="C1909" t="inlineStr">
        <is>
          <t>Control Union Certifications Germany GmbH, Berlin, DE</t>
        </is>
      </c>
      <c r="D1909" t="inlineStr">
        <is>
          <t>28.06.2027</t>
        </is>
      </c>
      <c r="E1909" t="inlineStr">
        <is>
          <t>France</t>
        </is>
      </c>
    </row>
    <row r="1910">
      <c r="A1910" t="inlineStr">
        <is>
          <t>Vitagrain BG AD,  Sofia, Bulgaria</t>
        </is>
      </c>
      <c r="B1910" t="inlineStr">
        <is>
          <t>First Gathering Point</t>
        </is>
      </c>
      <c r="C1910" t="inlineStr">
        <is>
          <t>Baltic Control Certification, Albertslund, DK</t>
        </is>
      </c>
      <c r="D1910" t="inlineStr">
        <is>
          <t>28.06.2027</t>
        </is>
      </c>
      <c r="E1910" t="inlineStr">
        <is>
          <t>Bulgaria</t>
        </is>
      </c>
    </row>
    <row r="1911">
      <c r="A1911" t="inlineStr">
        <is>
          <t>PT Long Rich Indonesia,  Kab. Cirebon, Indonesia</t>
        </is>
      </c>
      <c r="B1911" t="inlineStr">
        <is>
          <t>Processing Unit, Final Product Refinement, Trader with Storage</t>
        </is>
      </c>
      <c r="C1911" t="inlineStr">
        <is>
          <t>China Quality Certification Centre Co., Ltd., Beijing, CN</t>
        </is>
      </c>
      <c r="D1911" t="inlineStr">
        <is>
          <t>28.06.2027</t>
        </is>
      </c>
      <c r="E1911" t="inlineStr">
        <is>
          <t>Indonesia</t>
        </is>
      </c>
    </row>
    <row r="1912">
      <c r="A1912" t="inlineStr">
        <is>
          <t>LEGUSEM pt, a.s.,  Horná Streda, Slovakia</t>
        </is>
      </c>
      <c r="B1912" t="inlineStr">
        <is>
          <t>First Gathering Point, Trader with Storage</t>
        </is>
      </c>
      <c r="C1912" t="inlineStr">
        <is>
          <t>United Registrar of Systems Polska Sp. z o.o., Wrocław, PL</t>
        </is>
      </c>
      <c r="D1912" t="inlineStr">
        <is>
          <t>28.06.2027</t>
        </is>
      </c>
      <c r="E1912" t="inlineStr">
        <is>
          <t>Slovakia</t>
        </is>
      </c>
    </row>
    <row r="1913">
      <c r="A1913" t="inlineStr">
        <is>
          <t>RENOLIT HISPANIA S.A.,  Villatuerta - Navarra, Spain</t>
        </is>
      </c>
      <c r="B1913" t="inlineStr">
        <is>
          <t>Processing Unit</t>
        </is>
      </c>
      <c r="C1913" t="inlineStr">
        <is>
          <t>BMC Assurance, S.L, Santander, ES</t>
        </is>
      </c>
      <c r="D1913" t="inlineStr">
        <is>
          <t>28.06.2027</t>
        </is>
      </c>
      <c r="E1913" t="inlineStr">
        <is>
          <t>Spain</t>
        </is>
      </c>
    </row>
    <row r="1914">
      <c r="A1914" t="inlineStr">
        <is>
          <t>PT Rigunas Agri Utama,  PWK Sumai / Tebo Ulu District, Bungo Tebo Regency, Jambi , Indonesia</t>
        </is>
      </c>
      <c r="B1914" t="inlineStr">
        <is>
          <t>Point of Origin</t>
        </is>
      </c>
      <c r="C1914" t="inlineStr">
        <is>
          <t>SGS Germany GmbH, Emstek, DE</t>
        </is>
      </c>
      <c r="D1914" t="inlineStr">
        <is>
          <t>28.06.2027</t>
        </is>
      </c>
      <c r="E1914" t="inlineStr">
        <is>
          <t>Indonesia</t>
        </is>
      </c>
    </row>
    <row r="1915">
      <c r="A1915" t="inlineStr">
        <is>
          <t>Emmi Schweiz AG,  Ostermundigen, Switzerland</t>
        </is>
      </c>
      <c r="B1915" t="inlineStr">
        <is>
          <t>Final Product Refinement, Trader with Storage</t>
        </is>
      </c>
      <c r="C1915" t="inlineStr">
        <is>
          <t>SGS Germany GmbH, Emstek, DE</t>
        </is>
      </c>
      <c r="D1915" t="inlineStr">
        <is>
          <t>28.06.2027</t>
        </is>
      </c>
      <c r="E1915" t="inlineStr">
        <is>
          <t>Switzerland</t>
        </is>
      </c>
    </row>
    <row r="1916">
      <c r="A1916" t="inlineStr">
        <is>
          <t>Bio Energy Coevorden BV,  Coevorden, Netherlands</t>
        </is>
      </c>
      <c r="B1916" t="inlineStr">
        <is>
          <t>Collecting Point, Processing Unit, Trader with Storage</t>
        </is>
      </c>
      <c r="C1916" t="inlineStr">
        <is>
          <t>Normec QS BV, Ede, NL</t>
        </is>
      </c>
      <c r="D1916" t="inlineStr">
        <is>
          <t>28.06.2027</t>
        </is>
      </c>
      <c r="E1916" t="inlineStr">
        <is>
          <t>Netherlands</t>
        </is>
      </c>
    </row>
    <row r="1917">
      <c r="A1917" t="inlineStr">
        <is>
          <t>Hebei Ouyue Renewable Resources Co., Ltd.,  Xinji, Hebei, China</t>
        </is>
      </c>
      <c r="B1917" t="inlineStr">
        <is>
          <t>Collecting Point, Trader with Storage</t>
        </is>
      </c>
      <c r="C1917" t="inlineStr">
        <is>
          <t>RINA Services S.p.A., Genova, IT</t>
        </is>
      </c>
      <c r="D1917" t="inlineStr">
        <is>
          <t>28.06.2027</t>
        </is>
      </c>
      <c r="E1917" t="inlineStr">
        <is>
          <t>China</t>
        </is>
      </c>
    </row>
    <row r="1918">
      <c r="A1918" t="inlineStr">
        <is>
          <t>C.S. (SHANGHAI) NEW ENERGY CO., LTD.,  Shanghai, China</t>
        </is>
      </c>
      <c r="B1918" t="inlineStr">
        <is>
          <t>Trader</t>
        </is>
      </c>
      <c r="C1918" t="inlineStr">
        <is>
          <t>RINA Services S.p.A., Genova, IT</t>
        </is>
      </c>
      <c r="D1918" t="inlineStr">
        <is>
          <t>28.06.2027</t>
        </is>
      </c>
      <c r="E1918" t="inlineStr">
        <is>
          <t>China</t>
        </is>
      </c>
    </row>
    <row r="1919">
      <c r="A1919" t="inlineStr">
        <is>
          <t>Zhaotong Shitai Renewable Resources Co., Ltd.,  Zhaotong City, China</t>
        </is>
      </c>
      <c r="B1919" t="inlineStr">
        <is>
          <t>Collecting Point, Trader with Storage</t>
        </is>
      </c>
      <c r="C1919" t="inlineStr">
        <is>
          <t>RINA Services S.p.A., Genova, IT</t>
        </is>
      </c>
      <c r="D1919" t="inlineStr">
        <is>
          <t>28.06.2027</t>
        </is>
      </c>
      <c r="E1919" t="inlineStr">
        <is>
          <t>China</t>
        </is>
      </c>
    </row>
    <row r="1920">
      <c r="A1920" t="inlineStr">
        <is>
          <t>Outrup Biogas,  Outrup, Denmark</t>
        </is>
      </c>
      <c r="B1920" t="inlineStr">
        <is>
          <t>Collecting Point, Processing Unit</t>
        </is>
      </c>
      <c r="C1920" t="inlineStr">
        <is>
          <t>Baltic Control Certification, Albertslund, DK</t>
        </is>
      </c>
      <c r="D1920" t="inlineStr">
        <is>
          <t>28.06.2027</t>
        </is>
      </c>
      <c r="E1920" t="inlineStr">
        <is>
          <t>Denmark</t>
        </is>
      </c>
    </row>
    <row r="1921">
      <c r="A1921" t="inlineStr">
        <is>
          <t>ELKEM SILICONES FRANCE SAS,  SAINT-FONS, France</t>
        </is>
      </c>
      <c r="B1921" t="inlineStr">
        <is>
          <t>Trader, Warehouse</t>
        </is>
      </c>
      <c r="C1921" t="inlineStr">
        <is>
          <t>Bureau Veritas Polska Sp. z o.o., Warsaw, PL</t>
        </is>
      </c>
      <c r="D1921" t="inlineStr">
        <is>
          <t>28.06.2027</t>
        </is>
      </c>
      <c r="E1921" t="inlineStr">
        <is>
          <t>France</t>
        </is>
      </c>
    </row>
    <row r="1922">
      <c r="A1922" t="inlineStr">
        <is>
          <t>Lingga Tiga Sawit,  Labuhanbatu Utara, Indonesia</t>
        </is>
      </c>
      <c r="B1922" t="inlineStr">
        <is>
          <t>Point of Origin</t>
        </is>
      </c>
      <c r="C1922" t="inlineStr">
        <is>
          <t>PT Intertek Utama Services, Jakarta, ID</t>
        </is>
      </c>
      <c r="D1922" t="inlineStr">
        <is>
          <t>28.06.2027</t>
        </is>
      </c>
      <c r="E1922" t="inlineStr">
        <is>
          <t>Indonesia</t>
        </is>
      </c>
    </row>
    <row r="1923">
      <c r="A1923" t="inlineStr">
        <is>
          <t>Sumber Sawit Nusantara,  Kecamatan Simangambat, Indonesia</t>
        </is>
      </c>
      <c r="B1923" t="inlineStr">
        <is>
          <t>Point of Origin</t>
        </is>
      </c>
      <c r="C1923" t="inlineStr">
        <is>
          <t>PT Intertek Utama Services, Jakarta, ID</t>
        </is>
      </c>
      <c r="D1923" t="inlineStr">
        <is>
          <t>28.06.2027</t>
        </is>
      </c>
      <c r="E1923" t="inlineStr">
        <is>
          <t>Indonesia</t>
        </is>
      </c>
    </row>
    <row r="1924">
      <c r="A1924" t="inlineStr">
        <is>
          <t>SOTACIB,  Feriana, Tunisia</t>
        </is>
      </c>
      <c r="B1924" t="inlineStr">
        <is>
          <t>Collecting Point, Processing Unit</t>
        </is>
      </c>
      <c r="C1924" t="inlineStr">
        <is>
          <t>BM Certification, Riga, LV</t>
        </is>
      </c>
      <c r="D1924" t="inlineStr">
        <is>
          <t>28.06.2027</t>
        </is>
      </c>
      <c r="E1924" t="inlineStr">
        <is>
          <t>Tunisia</t>
        </is>
      </c>
    </row>
    <row r="1925">
      <c r="A1925" t="inlineStr">
        <is>
          <t>LLC "Zolota Nyva",  Vesnyane w., Mykolaiv district, Mykolaiv oblast, Ukraine</t>
        </is>
      </c>
      <c r="B1925" t="inlineStr">
        <is>
          <t>First Gathering Point</t>
        </is>
      </c>
      <c r="C1925" t="inlineStr">
        <is>
          <t>Baltic Control Certification, Albertslund, DK</t>
        </is>
      </c>
      <c r="D1925" t="inlineStr">
        <is>
          <t>28.06.2027</t>
        </is>
      </c>
      <c r="E1925" t="inlineStr">
        <is>
          <t>Ukraine</t>
        </is>
      </c>
    </row>
    <row r="1926">
      <c r="A1926" t="inlineStr">
        <is>
          <t>RoxTrade OÜ,  Tallinn, Estonia</t>
        </is>
      </c>
      <c r="B1926" t="inlineStr">
        <is>
          <t>Trader</t>
        </is>
      </c>
      <c r="C1926" t="inlineStr">
        <is>
          <t>Bureau Veritas Polska Sp. z o.o., Warsaw, PL</t>
        </is>
      </c>
      <c r="D1926" t="inlineStr">
        <is>
          <t>28.06.2027</t>
        </is>
      </c>
      <c r="E1926" t="inlineStr">
        <is>
          <t>Estonia</t>
        </is>
      </c>
    </row>
    <row r="1927">
      <c r="A1927" t="inlineStr">
        <is>
          <t>SOTACIB KAIROUAN,  Les Berges du Lac, Tunisia</t>
        </is>
      </c>
      <c r="B1927" t="inlineStr">
        <is>
          <t>Collecting Point, Processing Unit</t>
        </is>
      </c>
      <c r="C1927" t="inlineStr">
        <is>
          <t>BM Certification, Riga, LV</t>
        </is>
      </c>
      <c r="D1927" t="inlineStr">
        <is>
          <t>28.06.2027</t>
        </is>
      </c>
      <c r="E1927" t="inlineStr">
        <is>
          <t>Tunisia</t>
        </is>
      </c>
    </row>
    <row r="1928">
      <c r="A1928" t="inlineStr">
        <is>
          <t>IGP Pulvertechnik,  Wil, Switzerland</t>
        </is>
      </c>
      <c r="B1928" t="inlineStr">
        <is>
          <t>Processing Unit, Trader with Storage</t>
        </is>
      </c>
      <c r="C1928" t="inlineStr">
        <is>
          <t>DQS CFS GmbH - Deutsche Gesellschaft für Nachhaltigkeit, Frankfurt am Main, DE</t>
        </is>
      </c>
      <c r="D1928" t="inlineStr">
        <is>
          <t>28.06.2027</t>
        </is>
      </c>
      <c r="E1928" t="inlineStr">
        <is>
          <t>Switzerland</t>
        </is>
      </c>
    </row>
    <row r="1929">
      <c r="A1929" t="inlineStr">
        <is>
          <t>Zhejiang Wise New Materials Co., Ltd,  Yuyao City, Zhejiang Province, China</t>
        </is>
      </c>
      <c r="B1929" t="inlineStr">
        <is>
          <t>Trader with Storage</t>
        </is>
      </c>
      <c r="C1929" t="inlineStr">
        <is>
          <t>Bureau Veritas Polska Sp. z o.o., Warsaw, PL</t>
        </is>
      </c>
      <c r="D1929" t="inlineStr">
        <is>
          <t>28.06.2027</t>
        </is>
      </c>
      <c r="E1929" t="inlineStr">
        <is>
          <t>China</t>
        </is>
      </c>
    </row>
    <row r="1930">
      <c r="A1930" t="inlineStr">
        <is>
          <t>Recycling Prod,  Ludus, Romania</t>
        </is>
      </c>
      <c r="B1930" t="inlineStr">
        <is>
          <t>Collecting Point, Processing Unit, Trader</t>
        </is>
      </c>
      <c r="C1930" t="inlineStr">
        <is>
          <t>BM Certification, Riga, LV</t>
        </is>
      </c>
      <c r="D1930" t="inlineStr">
        <is>
          <t>28.06.2027</t>
        </is>
      </c>
      <c r="E1930" t="inlineStr">
        <is>
          <t>Romania</t>
        </is>
      </c>
    </row>
    <row r="1931">
      <c r="A1931" t="inlineStr">
        <is>
          <t>PRODUCTIE SI PROCESARE REGIUNEA SUD COOPERATIVA AGRICOLA,  PITESTI, ARGES COUNTIY, Romania</t>
        </is>
      </c>
      <c r="B1931" t="inlineStr">
        <is>
          <t>First Gathering Point</t>
        </is>
      </c>
      <c r="C1931" t="inlineStr">
        <is>
          <t>SRAC Cert SRL, Bucharest, RO</t>
        </is>
      </c>
      <c r="D1931" t="inlineStr">
        <is>
          <t>28.06.2027</t>
        </is>
      </c>
      <c r="E1931" t="inlineStr">
        <is>
          <t>Romania</t>
        </is>
      </c>
    </row>
    <row r="1932">
      <c r="A1932" t="inlineStr">
        <is>
          <t>FRITEX SK s.r.o.,  Nitra, Slovakia</t>
        </is>
      </c>
      <c r="B1932" t="inlineStr">
        <is>
          <t>Collecting Point, Trader with Storage</t>
        </is>
      </c>
      <c r="C1932" t="inlineStr">
        <is>
          <t>United Registrar of Systems Polska Sp. z o.o., Wrocław, PL</t>
        </is>
      </c>
      <c r="D1932" t="inlineStr">
        <is>
          <t>28.06.2027</t>
        </is>
      </c>
      <c r="E1932" t="inlineStr">
        <is>
          <t>Slovakia</t>
        </is>
      </c>
    </row>
    <row r="1933">
      <c r="A1933" t="inlineStr">
        <is>
          <t>Just Renewable Energy Technology (Hai'an) Co., Ltd.,  Nantong City, Jiangsu Province, China</t>
        </is>
      </c>
      <c r="B1933" t="inlineStr">
        <is>
          <t>Trader with Storage</t>
        </is>
      </c>
      <c r="C1933" t="inlineStr">
        <is>
          <t>SCS Global Services, Emeryville, CA, US</t>
        </is>
      </c>
      <c r="D1933" t="inlineStr">
        <is>
          <t>28.06.2027</t>
        </is>
      </c>
      <c r="E1933" t="inlineStr">
        <is>
          <t>China</t>
        </is>
      </c>
    </row>
    <row r="1934">
      <c r="A1934" t="inlineStr">
        <is>
          <t>Just Renewable Energy Technology (Hai'an) Co., Ltd.,  Nantong City, Jiangsu Province, China</t>
        </is>
      </c>
      <c r="B1934" t="inlineStr">
        <is>
          <t>Trader with Storage</t>
        </is>
      </c>
      <c r="C1934" t="inlineStr">
        <is>
          <t>SCS Global Services, Emeryville, CA, US</t>
        </is>
      </c>
      <c r="D1934" t="inlineStr">
        <is>
          <t>28.06.2027</t>
        </is>
      </c>
      <c r="E1934" t="inlineStr">
        <is>
          <t>China</t>
        </is>
      </c>
    </row>
    <row r="1935">
      <c r="A1935" t="inlineStr">
        <is>
          <t>Shenzhen Mengchuangzhen Trading Company,  Shenzhen, China</t>
        </is>
      </c>
      <c r="B1935" t="inlineStr">
        <is>
          <t>Trader with Storage</t>
        </is>
      </c>
      <c r="C1935" t="inlineStr">
        <is>
          <t>SCS Global Services, Emeryville, CA, US</t>
        </is>
      </c>
      <c r="D1935" t="inlineStr">
        <is>
          <t>28.06.2027</t>
        </is>
      </c>
      <c r="E1935" t="inlineStr">
        <is>
          <t>China</t>
        </is>
      </c>
    </row>
    <row r="1936">
      <c r="A1936" t="inlineStr">
        <is>
          <t>ITG RESOURCES (SINGAPORE) PTE. LTD.,  SINGAPORE, Singapore</t>
        </is>
      </c>
      <c r="B1936" t="inlineStr">
        <is>
          <t>Trader</t>
        </is>
      </c>
      <c r="C1936" t="inlineStr">
        <is>
          <t>SCS Global Services, Emeryville, CA, US</t>
        </is>
      </c>
      <c r="D1936" t="inlineStr">
        <is>
          <t>28.06.2027</t>
        </is>
      </c>
      <c r="E1936" t="inlineStr">
        <is>
          <t>Singapore</t>
        </is>
      </c>
    </row>
    <row r="1937">
      <c r="A1937" t="inlineStr">
        <is>
          <t>Yinan County Kunpeng Feed Additives Co., Ltd,  Yinan County, Linyi City, China</t>
        </is>
      </c>
      <c r="B1937" t="inlineStr">
        <is>
          <t>Collecting Point</t>
        </is>
      </c>
      <c r="C1937" t="inlineStr">
        <is>
          <t>SCS Global Services, Emeryville, CA, US</t>
        </is>
      </c>
      <c r="D1937" t="inlineStr">
        <is>
          <t>28.06.2027</t>
        </is>
      </c>
      <c r="E1937" t="inlineStr">
        <is>
          <t>China</t>
        </is>
      </c>
    </row>
    <row r="1938">
      <c r="A1938" t="inlineStr">
        <is>
          <t>Yinan County Kunpeng Feed Additives Co., Ltd,  Yinan County, Linyi City, China</t>
        </is>
      </c>
      <c r="B1938" t="inlineStr">
        <is>
          <t>Collecting Point</t>
        </is>
      </c>
      <c r="C1938" t="inlineStr">
        <is>
          <t>SCS Global Services, Emeryville, CA, US</t>
        </is>
      </c>
      <c r="D1938" t="inlineStr">
        <is>
          <t>28.06.2027</t>
        </is>
      </c>
      <c r="E1938" t="inlineStr">
        <is>
          <t>China</t>
        </is>
      </c>
    </row>
    <row r="1939">
      <c r="A1939" t="inlineStr">
        <is>
          <t>Ing. Norbert Fassinger - NOFA,  Vrbov, Slovakia</t>
        </is>
      </c>
      <c r="B1939" t="inlineStr">
        <is>
          <t>First Gathering Point, Trader with Storage</t>
        </is>
      </c>
      <c r="C1939" t="inlineStr">
        <is>
          <t>United Registrar of Systems Polska Sp. z o.o., Wrocław, PL</t>
        </is>
      </c>
      <c r="D1939" t="inlineStr">
        <is>
          <t>28.06.2027</t>
        </is>
      </c>
      <c r="E1939" t="inlineStr">
        <is>
          <t>Slovakia</t>
        </is>
      </c>
    </row>
    <row r="1940">
      <c r="A1940" t="inlineStr">
        <is>
          <t>Industriële- en Handelsonderneming Weston-Isolatie B.V.,  Soesterberg, The Netherlands</t>
        </is>
      </c>
      <c r="B1940" t="inlineStr">
        <is>
          <t>Trader with Storage, Final Product Refinement</t>
        </is>
      </c>
      <c r="C1940" t="inlineStr">
        <is>
          <t>DEKRA Certification B.V., Arnhem, NL</t>
        </is>
      </c>
      <c r="D1940" t="inlineStr">
        <is>
          <t>28.06.2027</t>
        </is>
      </c>
      <c r="E1940" t="inlineStr">
        <is>
          <t>The Netherlands</t>
        </is>
      </c>
    </row>
    <row r="1941">
      <c r="A1941" t="inlineStr">
        <is>
          <t>SMR Polska sp. z o.o.,  Skawina, Poland</t>
        </is>
      </c>
      <c r="B1941" t="inlineStr">
        <is>
          <t>Trader with Storage</t>
        </is>
      </c>
      <c r="C1941" t="inlineStr">
        <is>
          <t>Control Union Poland Sp. z o.o., Zielona Gora, PL</t>
        </is>
      </c>
      <c r="D1941" t="inlineStr">
        <is>
          <t>28.06.2027</t>
        </is>
      </c>
      <c r="E1941" t="inlineStr">
        <is>
          <t>Poland</t>
        </is>
      </c>
    </row>
    <row r="1942">
      <c r="A1942" t="inlineStr">
        <is>
          <t>SAPIO Produzione Idrogeno e Ossigeno S.r.l.,  Venezia, Italy</t>
        </is>
      </c>
      <c r="B1942" t="inlineStr">
        <is>
          <t>Processing Unit</t>
        </is>
      </c>
      <c r="C1942" t="inlineStr">
        <is>
          <t>Certiquality srl, Milano, IT</t>
        </is>
      </c>
      <c r="D1942" t="inlineStr">
        <is>
          <t>28.06.2027</t>
        </is>
      </c>
      <c r="E1942" t="inlineStr">
        <is>
          <t>Italy</t>
        </is>
      </c>
    </row>
    <row r="1943">
      <c r="A1943" t="inlineStr">
        <is>
          <t>SAPIO Produzione Idrogeno e Ossigeno S.r.l.,  Rosignano Solvay Castiglioncello (LI), Italy</t>
        </is>
      </c>
      <c r="B1943" t="inlineStr">
        <is>
          <t>Processing Unit</t>
        </is>
      </c>
      <c r="C1943" t="inlineStr">
        <is>
          <t>Certiquality srl, Milano, IT</t>
        </is>
      </c>
      <c r="D1943" t="inlineStr">
        <is>
          <t>28.06.2027</t>
        </is>
      </c>
      <c r="E1943" t="inlineStr">
        <is>
          <t>Italy</t>
        </is>
      </c>
    </row>
    <row r="1944">
      <c r="A1944" t="inlineStr">
        <is>
          <t>Soufflet Agro Ukraine,  Khmelnytsky region, Krupets village, Ukraine</t>
        </is>
      </c>
      <c r="B1944" t="inlineStr">
        <is>
          <t>First Gathering Point, Trader with Storage</t>
        </is>
      </c>
      <c r="C1944" t="inlineStr">
        <is>
          <t>Bureau Veritas Polska Sp. z o.o., Warsaw, PL</t>
        </is>
      </c>
      <c r="D1944" t="inlineStr">
        <is>
          <t>28.06.2027</t>
        </is>
      </c>
      <c r="E1944" t="inlineStr">
        <is>
          <t>Ukraine</t>
        </is>
      </c>
    </row>
    <row r="1945">
      <c r="A1945" t="inlineStr">
        <is>
          <t>Tvornica ulja Čepin d.d.,  Čepin, Croatia</t>
        </is>
      </c>
      <c r="B1945" t="inlineStr">
        <is>
          <t>First Gathering Point, Trader with Storage, Warehouse, Processing Unit</t>
        </is>
      </c>
      <c r="C1945" t="inlineStr">
        <is>
          <t>Bureau Veritas Polska Sp. z o.o., Warsaw, PL</t>
        </is>
      </c>
      <c r="D1945" t="inlineStr">
        <is>
          <t>28.06.2027</t>
        </is>
      </c>
      <c r="E1945" t="inlineStr">
        <is>
          <t>Croatia</t>
        </is>
      </c>
    </row>
    <row r="1946">
      <c r="A1946" t="inlineStr">
        <is>
          <t>Grupo Biocar Francosur,  Jerez de la Frontera, Cádiz, Spain</t>
        </is>
      </c>
      <c r="B1946" t="inlineStr">
        <is>
          <t>Collecting Point</t>
        </is>
      </c>
      <c r="C1946" t="inlineStr">
        <is>
          <t>RINA Services S.p.A., Genova, IT</t>
        </is>
      </c>
      <c r="D1946" t="inlineStr">
        <is>
          <t>28.06.2027</t>
        </is>
      </c>
      <c r="E1946" t="inlineStr">
        <is>
          <t>Spain</t>
        </is>
      </c>
    </row>
    <row r="1947">
      <c r="A1947" t="inlineStr">
        <is>
          <t>RUBIS RESTAURATION ET SERVICES,  Abymes Cedex, France</t>
        </is>
      </c>
      <c r="B1947" t="inlineStr">
        <is>
          <t>Collecting Point</t>
        </is>
      </c>
      <c r="C1947" t="inlineStr">
        <is>
          <t>Control Union Certifications Germany GmbH, Berlin, DE</t>
        </is>
      </c>
      <c r="D1947" t="inlineStr">
        <is>
          <t>28.06.2027</t>
        </is>
      </c>
      <c r="E1947" t="inlineStr">
        <is>
          <t>France</t>
        </is>
      </c>
    </row>
    <row r="1948">
      <c r="A1948" t="inlineStr">
        <is>
          <t>Kelet-Somogy Mezőgazdasági Szövetkezet,  Kaposvár-Toponár, Hungary</t>
        </is>
      </c>
      <c r="B1948" t="inlineStr">
        <is>
          <t>First Gathering Point</t>
        </is>
      </c>
      <c r="C1948" t="inlineStr">
        <is>
          <t>SGS Germany GmbH, Emstek, DE</t>
        </is>
      </c>
      <c r="D1948" t="inlineStr">
        <is>
          <t>28.06.2027</t>
        </is>
      </c>
      <c r="E1948" t="inlineStr">
        <is>
          <t>Hungary</t>
        </is>
      </c>
    </row>
    <row r="1949">
      <c r="A1949" t="inlineStr">
        <is>
          <t>ZZN polaby a.s.,  kolin, Czech Republic</t>
        </is>
      </c>
      <c r="B1949" t="inlineStr">
        <is>
          <t>First Gathering Point</t>
        </is>
      </c>
      <c r="C1949" t="inlineStr">
        <is>
          <t>RINA Services S.p.A., Genova, IT</t>
        </is>
      </c>
      <c r="D1949" t="inlineStr">
        <is>
          <t>28.06.2027</t>
        </is>
      </c>
      <c r="E1949" t="inlineStr">
        <is>
          <t>Czech Republic</t>
        </is>
      </c>
    </row>
    <row r="1950">
      <c r="A1950" t="inlineStr">
        <is>
          <t>SIA Pirmas,  Olaines pag., Latvia</t>
        </is>
      </c>
      <c r="B1950" t="inlineStr">
        <is>
          <t>Trader with Storage</t>
        </is>
      </c>
      <c r="C1950" t="inlineStr">
        <is>
          <t>Bureau Veritas Polska Sp. z o.o., Warsaw, PL</t>
        </is>
      </c>
      <c r="D1950" t="inlineStr">
        <is>
          <t>28.06.2027</t>
        </is>
      </c>
      <c r="E1950" t="inlineStr">
        <is>
          <t>Latvia</t>
        </is>
      </c>
    </row>
    <row r="1951">
      <c r="A1951" t="inlineStr">
        <is>
          <t>Guohua (Cangzhou) Integrated Energy Co., Ltd.,  Huanghua City, China</t>
        </is>
      </c>
      <c r="B1951" t="inlineStr">
        <is>
          <t>Processing Unit</t>
        </is>
      </c>
      <c r="C1951" t="inlineStr">
        <is>
          <t>Bureau Veritas Polska Sp. z o.o., Warsaw, PL</t>
        </is>
      </c>
      <c r="D1951" t="inlineStr">
        <is>
          <t>28.06.2027</t>
        </is>
      </c>
      <c r="E1951" t="inlineStr">
        <is>
          <t>China</t>
        </is>
      </c>
    </row>
    <row r="1952">
      <c r="A1952" t="inlineStr">
        <is>
          <t>AZ Rendering shpk,  Lezhe, Albania</t>
        </is>
      </c>
      <c r="B1952" t="inlineStr">
        <is>
          <t>Collecting Point</t>
        </is>
      </c>
      <c r="C1952" t="inlineStr">
        <is>
          <t>RINA Services S.p.A., Genova, IT</t>
        </is>
      </c>
      <c r="D1952" t="inlineStr">
        <is>
          <t>28.06.2027</t>
        </is>
      </c>
      <c r="E1952" t="inlineStr">
        <is>
          <t>Albania</t>
        </is>
      </c>
    </row>
    <row r="1953">
      <c r="A1953" t="inlineStr">
        <is>
          <t>ADM Europoort,  Europoort Rotterdam, The Netherlands</t>
        </is>
      </c>
      <c r="B1953" t="inlineStr">
        <is>
          <t>Point of Origin, Trader with Storage, Processing Unit</t>
        </is>
      </c>
      <c r="C1953" t="inlineStr">
        <is>
          <t>ASG Cert GmbH, Munich, DE</t>
        </is>
      </c>
      <c r="D1953" t="inlineStr">
        <is>
          <t>27.06.2027</t>
        </is>
      </c>
      <c r="E1953" t="inlineStr">
        <is>
          <t>The Netherlands</t>
        </is>
      </c>
    </row>
    <row r="1954">
      <c r="A1954" t="inlineStr">
        <is>
          <t>PACUR LLC,  Oshkosh, WI, United States</t>
        </is>
      </c>
      <c r="B1954" t="inlineStr">
        <is>
          <t>Processing Unit</t>
        </is>
      </c>
      <c r="C1954" t="inlineStr">
        <is>
          <t>SCS Global Services, Emeryville, CA, US</t>
        </is>
      </c>
      <c r="D1954" t="inlineStr">
        <is>
          <t>27.06.2027</t>
        </is>
      </c>
      <c r="E1954" t="inlineStr">
        <is>
          <t>United States</t>
        </is>
      </c>
    </row>
    <row r="1955">
      <c r="A1955" t="inlineStr">
        <is>
          <t>MAJU OIL,  SANDAKAN, Malaysia</t>
        </is>
      </c>
      <c r="B1955" t="inlineStr">
        <is>
          <t>Collecting Point</t>
        </is>
      </c>
      <c r="C1955" t="inlineStr">
        <is>
          <t>PT. CBQA GLOBAL INDONESIA, JAKARTA SELATAN, ID</t>
        </is>
      </c>
      <c r="D1955" t="inlineStr">
        <is>
          <t>27.06.2027</t>
        </is>
      </c>
      <c r="E1955" t="inlineStr">
        <is>
          <t>Malaysia</t>
        </is>
      </c>
    </row>
    <row r="1956">
      <c r="A1956" t="inlineStr">
        <is>
          <t>Mondi Jackson LLC.,  Jackson, The United States of America</t>
        </is>
      </c>
      <c r="B1956" t="inlineStr">
        <is>
          <t>Processing Unit</t>
        </is>
      </c>
      <c r="C1956" t="inlineStr">
        <is>
          <t>DQS CFS GmbH - Deutsche Gesellschaft für Nachhaltigkeit, Frankfurt am Main, DE</t>
        </is>
      </c>
      <c r="D1956" t="inlineStr">
        <is>
          <t>27.06.2027</t>
        </is>
      </c>
      <c r="E1956" t="inlineStr">
        <is>
          <t>The United States of America</t>
        </is>
      </c>
    </row>
    <row r="1957">
      <c r="A1957" t="inlineStr">
        <is>
          <t>JWCT East Coast Trading,  Kuantan, Malaysia</t>
        </is>
      </c>
      <c r="B1957" t="inlineStr">
        <is>
          <t>Collecting Point, Trader with Storage, Warehouse</t>
        </is>
      </c>
      <c r="C1957" t="inlineStr">
        <is>
          <t>PT. CBQA GLOBAL INDONESIA, JAKARTA SELATAN, ID</t>
        </is>
      </c>
      <c r="D1957" t="inlineStr">
        <is>
          <t>27.06.2027</t>
        </is>
      </c>
      <c r="E1957" t="inlineStr">
        <is>
          <t>Malaysia</t>
        </is>
      </c>
    </row>
    <row r="1958">
      <c r="A1958" t="inlineStr">
        <is>
          <t>Ragn-Sells Denmark A/S,  Holsted, Denmark</t>
        </is>
      </c>
      <c r="B1958" t="inlineStr">
        <is>
          <t>Collecting Point, Processing Unit</t>
        </is>
      </c>
      <c r="C1958" t="inlineStr">
        <is>
          <t>Baltic Control Certification, Albertslund, DK</t>
        </is>
      </c>
      <c r="D1958" t="inlineStr">
        <is>
          <t>27.06.2027</t>
        </is>
      </c>
      <c r="E1958" t="inlineStr">
        <is>
          <t>Denmark</t>
        </is>
      </c>
    </row>
    <row r="1959">
      <c r="A1959" t="inlineStr">
        <is>
          <t>Ragn-Sells Denmark A/S,  Ringe, Denmark</t>
        </is>
      </c>
      <c r="B1959" t="inlineStr">
        <is>
          <t>Collecting Point, Processing Unit</t>
        </is>
      </c>
      <c r="C1959" t="inlineStr">
        <is>
          <t>Baltic Control Certification, Albertslund, DK</t>
        </is>
      </c>
      <c r="D1959" t="inlineStr">
        <is>
          <t>27.06.2027</t>
        </is>
      </c>
      <c r="E1959" t="inlineStr">
        <is>
          <t>Denmark</t>
        </is>
      </c>
    </row>
    <row r="1960">
      <c r="A1960" t="inlineStr">
        <is>
          <t>ADM Europoort,  Europoort Rotterdam, The Netherlands</t>
        </is>
      </c>
      <c r="B1960" t="inlineStr">
        <is>
          <t>Point of Origin, Processing Unit, Trader with Storage</t>
        </is>
      </c>
      <c r="C1960" t="inlineStr">
        <is>
          <t>ASG Cert GmbH, Munich, DE</t>
        </is>
      </c>
      <c r="D1960" t="inlineStr">
        <is>
          <t>27.06.2027</t>
        </is>
      </c>
      <c r="E1960" t="inlineStr">
        <is>
          <t>The Netherlands</t>
        </is>
      </c>
    </row>
    <row r="1961">
      <c r="A1961" t="inlineStr">
        <is>
          <t>SABIC Americas,  Houston, United States</t>
        </is>
      </c>
      <c r="B1961" t="inlineStr">
        <is>
          <t>Trader with Storage</t>
        </is>
      </c>
      <c r="C1961" t="inlineStr">
        <is>
          <t>SCS Global Services, Emeryville, CA, US</t>
        </is>
      </c>
      <c r="D1961" t="inlineStr">
        <is>
          <t>27.06.2027</t>
        </is>
      </c>
      <c r="E1961" t="inlineStr">
        <is>
          <t>United States</t>
        </is>
      </c>
    </row>
    <row r="1962">
      <c r="A1962" t="inlineStr">
        <is>
          <t>Fueling Maritime Middle East FZCO,  Dubai, The United Arab Emirates</t>
        </is>
      </c>
      <c r="B1962" t="inlineStr">
        <is>
          <t>Trader</t>
        </is>
      </c>
      <c r="C1962" t="inlineStr">
        <is>
          <t>Baltic Control Certification, Albertslund, DK</t>
        </is>
      </c>
      <c r="D1962" t="inlineStr">
        <is>
          <t>27.06.2027</t>
        </is>
      </c>
      <c r="E1962" t="inlineStr">
        <is>
          <t>The United Arab Emirates</t>
        </is>
      </c>
    </row>
    <row r="1963">
      <c r="A1963" t="inlineStr">
        <is>
          <t>RWE Supply &amp; Trading GmbH,  Essen, Germany</t>
        </is>
      </c>
      <c r="B1963" t="inlineStr">
        <is>
          <t>Trader with Storage</t>
        </is>
      </c>
      <c r="C1963" t="inlineStr">
        <is>
          <t>TÜV SÜD Industrie Service GmbH, München, DE</t>
        </is>
      </c>
      <c r="D1963" t="inlineStr">
        <is>
          <t>27.06.2027</t>
        </is>
      </c>
      <c r="E1963" t="inlineStr">
        <is>
          <t>Germany</t>
        </is>
      </c>
    </row>
    <row r="1964">
      <c r="A1964" t="inlineStr">
        <is>
          <t>Clariant Produkte (Deutschland) GmbH,  Burgkirchen, Germany</t>
        </is>
      </c>
      <c r="B1964" t="inlineStr">
        <is>
          <t>Processing Unit</t>
        </is>
      </c>
      <c r="C1964" t="inlineStr">
        <is>
          <t>GUT Certifizierungsgesellschaft für Managementsysteme mbH Umweltgutachter, Berlin, DE</t>
        </is>
      </c>
      <c r="D1964" t="inlineStr">
        <is>
          <t>27.06.2027</t>
        </is>
      </c>
      <c r="E1964" t="inlineStr">
        <is>
          <t>Germany</t>
        </is>
      </c>
    </row>
    <row r="1965">
      <c r="A1965" t="inlineStr">
        <is>
          <t>GRANARIA CERES SRL,  Tabara, Romania</t>
        </is>
      </c>
      <c r="B1965" t="inlineStr">
        <is>
          <t>First Gathering Point</t>
        </is>
      </c>
      <c r="C1965" t="inlineStr">
        <is>
          <t>Bureau Veritas Polska Sp. z o.o., Warsaw, PL</t>
        </is>
      </c>
      <c r="D1965" t="inlineStr">
        <is>
          <t>27.06.2027</t>
        </is>
      </c>
      <c r="E1965" t="inlineStr">
        <is>
          <t>Romania</t>
        </is>
      </c>
    </row>
    <row r="1966">
      <c r="A1966" t="inlineStr">
        <is>
          <t>Allit AG Kunststofftechnik,  Bad Kreuznach, Germany</t>
        </is>
      </c>
      <c r="B1966" t="inlineStr">
        <is>
          <t>Final Product Refinement, Processing Unit</t>
        </is>
      </c>
      <c r="C1966" t="inlineStr">
        <is>
          <t>SGS Germany GmbH, Emstek, DE</t>
        </is>
      </c>
      <c r="D1966" t="inlineStr">
        <is>
          <t>27.06.2027</t>
        </is>
      </c>
      <c r="E1966" t="inlineStr">
        <is>
          <t>Germany</t>
        </is>
      </c>
    </row>
    <row r="1967">
      <c r="A1967" t="inlineStr">
        <is>
          <t>RWA Srbija,  Novi Beograd, Serbia</t>
        </is>
      </c>
      <c r="B1967" t="inlineStr">
        <is>
          <t>First Gathering Point, Trader with Storage</t>
        </is>
      </c>
      <c r="C1967" t="inlineStr">
        <is>
          <t>Control Union Certifications Germany GmbH, Berlin, DE</t>
        </is>
      </c>
      <c r="D1967" t="inlineStr">
        <is>
          <t>27.06.2027</t>
        </is>
      </c>
      <c r="E1967" t="inlineStr">
        <is>
          <t>Serbia</t>
        </is>
      </c>
    </row>
    <row r="1968">
      <c r="A1968" t="inlineStr">
        <is>
          <t>TivAgro Kereskedelmi és Szolgáltató Kft.,  Dunaújváros, Hungary</t>
        </is>
      </c>
      <c r="B1968" t="inlineStr">
        <is>
          <t>First Gathering Point, Trader</t>
        </is>
      </c>
      <c r="C1968" t="inlineStr">
        <is>
          <t>BM Certification, Riga, LV</t>
        </is>
      </c>
      <c r="D1968" t="inlineStr">
        <is>
          <t>27.06.2027</t>
        </is>
      </c>
      <c r="E1968" t="inlineStr">
        <is>
          <t>Hungary</t>
        </is>
      </c>
    </row>
    <row r="1969">
      <c r="A1969" t="inlineStr">
        <is>
          <t>Beboli Ingatlan- és Vagyonkezelő Kft.,  Püski, Hungary</t>
        </is>
      </c>
      <c r="B1969" t="inlineStr">
        <is>
          <t>First Gathering Point, Trader with Storage</t>
        </is>
      </c>
      <c r="C1969" t="inlineStr">
        <is>
          <t>BM Certification, Riga, LV</t>
        </is>
      </c>
      <c r="D1969" t="inlineStr">
        <is>
          <t>27.06.2027</t>
        </is>
      </c>
      <c r="E1969" t="inlineStr">
        <is>
          <t>Hungary</t>
        </is>
      </c>
    </row>
    <row r="1970">
      <c r="A1970" t="inlineStr">
        <is>
          <t>SIA "VS Biogas",  Aizkraukle, Latvia</t>
        </is>
      </c>
      <c r="B1970" t="inlineStr">
        <is>
          <t>Collecting Point, Processing Unit</t>
        </is>
      </c>
      <c r="C1970" t="inlineStr">
        <is>
          <t>BM Certification, Riga, LV</t>
        </is>
      </c>
      <c r="D1970" t="inlineStr">
        <is>
          <t>27.06.2027</t>
        </is>
      </c>
      <c r="E1970" t="inlineStr">
        <is>
          <t>Latvia</t>
        </is>
      </c>
    </row>
    <row r="1971">
      <c r="A1971" t="inlineStr">
        <is>
          <t>Bericap Inc,  Burlington, Canada</t>
        </is>
      </c>
      <c r="B1971" t="inlineStr">
        <is>
          <t>Processing Unit</t>
        </is>
      </c>
      <c r="C1971" t="inlineStr">
        <is>
          <t>SCS Global Services, Emeryville, CA, US</t>
        </is>
      </c>
      <c r="D1971" t="inlineStr">
        <is>
          <t>27.06.2027</t>
        </is>
      </c>
      <c r="E1971" t="inlineStr">
        <is>
          <t>Canada</t>
        </is>
      </c>
    </row>
    <row r="1972">
      <c r="A1972" t="inlineStr">
        <is>
          <t>BE8 COMÉRCIO, IMPORTAÇÃO E EXPORTAÇÃO LTDA,  São Paulo, Brazil</t>
        </is>
      </c>
      <c r="B1972" t="inlineStr">
        <is>
          <t>Collecting Point, Trader with Storage</t>
        </is>
      </c>
      <c r="C1972" t="inlineStr">
        <is>
          <t>Control Union Poland Sp. z o.o., Zielona Gora, PL</t>
        </is>
      </c>
      <c r="D1972" t="inlineStr">
        <is>
          <t>27.06.2027</t>
        </is>
      </c>
      <c r="E1972" t="inlineStr">
        <is>
          <t>Brazil</t>
        </is>
      </c>
    </row>
    <row r="1973">
      <c r="A1973" t="inlineStr">
        <is>
          <t>Oropan,  Altamura, Italy</t>
        </is>
      </c>
      <c r="B1973" t="inlineStr">
        <is>
          <t>Final Product Refinement, Processing Unit</t>
        </is>
      </c>
      <c r="C1973" t="inlineStr">
        <is>
          <t>DNV Business Assurance Sweden AB, Solna, SE</t>
        </is>
      </c>
      <c r="D1973" t="inlineStr">
        <is>
          <t>27.06.2027</t>
        </is>
      </c>
      <c r="E1973" t="inlineStr">
        <is>
          <t>Italy</t>
        </is>
      </c>
    </row>
    <row r="1974">
      <c r="A1974" t="inlineStr">
        <is>
          <t>Summits Agronegocios SL,  Rosario, Argentina</t>
        </is>
      </c>
      <c r="B1974" t="inlineStr">
        <is>
          <t>Trader</t>
        </is>
      </c>
      <c r="C1974" t="inlineStr">
        <is>
          <t>Amspec Iberia SL, Vilagarcia de Arousa-Pontevedra, ES</t>
        </is>
      </c>
      <c r="D1974" t="inlineStr">
        <is>
          <t>27.06.2027</t>
        </is>
      </c>
      <c r="E1974" t="inlineStr">
        <is>
          <t>Argentina</t>
        </is>
      </c>
    </row>
    <row r="1975">
      <c r="A1975" t="inlineStr">
        <is>
          <t>AG. Final s.r.o.,  Přerov, Czech Republic</t>
        </is>
      </c>
      <c r="B1975" t="inlineStr">
        <is>
          <t>First Gathering Point, Trader</t>
        </is>
      </c>
      <c r="C1975" t="inlineStr">
        <is>
          <t>Bureau Veritas Polska Sp. z o.o., Warsaw, PL</t>
        </is>
      </c>
      <c r="D1975" t="inlineStr">
        <is>
          <t>27.06.2027</t>
        </is>
      </c>
      <c r="E1975" t="inlineStr">
        <is>
          <t>Czech Republic</t>
        </is>
      </c>
    </row>
    <row r="1976">
      <c r="A1976" t="inlineStr">
        <is>
          <t>Sc Ren Eco Oil Srl,  Ciochina, Romania</t>
        </is>
      </c>
      <c r="B1976" t="inlineStr">
        <is>
          <t>Collecting Point</t>
        </is>
      </c>
      <c r="C1976" t="inlineStr">
        <is>
          <t>RINA Services S.p.A., Genova, IT</t>
        </is>
      </c>
      <c r="D1976" t="inlineStr">
        <is>
          <t>27.06.2027</t>
        </is>
      </c>
      <c r="E1976" t="inlineStr">
        <is>
          <t>Romania</t>
        </is>
      </c>
    </row>
    <row r="1977">
      <c r="A1977" t="inlineStr">
        <is>
          <t>The Andersons, Inc.,  Overland Park, United States</t>
        </is>
      </c>
      <c r="B1977" t="inlineStr">
        <is>
          <t>Central Office (Group of Point of Origin), Collecting Point, Trader with Storage</t>
        </is>
      </c>
      <c r="C1977" t="inlineStr">
        <is>
          <t>SCS Global Services, Emeryville, CA, US</t>
        </is>
      </c>
      <c r="D1977" t="inlineStr">
        <is>
          <t>27.06.2027</t>
        </is>
      </c>
      <c r="E1977" t="inlineStr">
        <is>
          <t>United States</t>
        </is>
      </c>
    </row>
    <row r="1978">
      <c r="A1978" t="inlineStr">
        <is>
          <t>BIOGASNALIA,  Burgos, Spain</t>
        </is>
      </c>
      <c r="B1978" t="inlineStr">
        <is>
          <t>Collecting Point, Processing Unit</t>
        </is>
      </c>
      <c r="C1978" t="inlineStr">
        <is>
          <t>Bureau Veritas Polska Sp. z o.o., Warsaw, PL</t>
        </is>
      </c>
      <c r="D1978" t="inlineStr">
        <is>
          <t>27.06.2027</t>
        </is>
      </c>
      <c r="E1978" t="inlineStr">
        <is>
          <t>Spain</t>
        </is>
      </c>
    </row>
    <row r="1979">
      <c r="A1979" t="inlineStr">
        <is>
          <t>Kalászos Agroker Kft.,  Ceglédbercel, Hungary</t>
        </is>
      </c>
      <c r="B1979" t="inlineStr">
        <is>
          <t>First Gathering Point, Trader with Storage</t>
        </is>
      </c>
      <c r="C1979" t="inlineStr">
        <is>
          <t>Control Union Certifications Germany GmbH, Berlin, DE</t>
        </is>
      </c>
      <c r="D1979" t="inlineStr">
        <is>
          <t>27.06.2027</t>
        </is>
      </c>
      <c r="E1979" t="inlineStr">
        <is>
          <t>Hungary</t>
        </is>
      </c>
    </row>
    <row r="1980">
      <c r="A1980" t="inlineStr">
        <is>
          <t>ProAmpac Holdings Inc.,  Granite City, United States</t>
        </is>
      </c>
      <c r="B1980" t="inlineStr">
        <is>
          <t>Processing Unit</t>
        </is>
      </c>
      <c r="C1980" t="inlineStr">
        <is>
          <t>SCS Global Services, Emeryville, CA, US</t>
        </is>
      </c>
      <c r="D1980" t="inlineStr">
        <is>
          <t>26.06.2027</t>
        </is>
      </c>
      <c r="E1980" t="inlineStr">
        <is>
          <t>United States</t>
        </is>
      </c>
    </row>
    <row r="1981">
      <c r="A1981" t="inlineStr">
        <is>
          <t>ZNZ Pelhřimov s.r.o.,  Pelhřimov, Czech Republic</t>
        </is>
      </c>
      <c r="B1981" t="inlineStr">
        <is>
          <t>First Gathering Point, Trader</t>
        </is>
      </c>
      <c r="C1981" t="inlineStr">
        <is>
          <t>Bureau Veritas Polska Sp. z o.o., Warsaw, PL</t>
        </is>
      </c>
      <c r="D1981" t="inlineStr">
        <is>
          <t>26.06.2027</t>
        </is>
      </c>
      <c r="E1981" t="inlineStr">
        <is>
          <t>Czech Republic</t>
        </is>
      </c>
    </row>
    <row r="1982">
      <c r="A1982" t="inlineStr">
        <is>
          <t>COOPERATIVA AGRICOLA BANAT AGRO VEST,  Ghiroda, Timis county, Romania</t>
        </is>
      </c>
      <c r="B1982" t="inlineStr">
        <is>
          <t>First Gathering Point</t>
        </is>
      </c>
      <c r="C1982" t="inlineStr">
        <is>
          <t>SRAC Cert SRL, Bucharest, RO</t>
        </is>
      </c>
      <c r="D1982" t="inlineStr">
        <is>
          <t>26.06.2027</t>
        </is>
      </c>
      <c r="E1982" t="inlineStr">
        <is>
          <t>Romania</t>
        </is>
      </c>
    </row>
    <row r="1983">
      <c r="A1983" t="inlineStr">
        <is>
          <t>Valodirect bv,  Zwalm, Belgium</t>
        </is>
      </c>
      <c r="B1983" t="inlineStr">
        <is>
          <t>Collecting Point, Trader</t>
        </is>
      </c>
      <c r="C1983" t="inlineStr">
        <is>
          <t>Control Union Certifications Germany GmbH, Berlin, DE</t>
        </is>
      </c>
      <c r="D1983" t="inlineStr">
        <is>
          <t>26.06.2027</t>
        </is>
      </c>
      <c r="E1983" t="inlineStr">
        <is>
          <t>Belgium</t>
        </is>
      </c>
    </row>
    <row r="1984">
      <c r="A1984" t="inlineStr">
        <is>
          <t>BIOSUD DOBROGEA COOPERATIVA AGRICOLA,  Cogealac, county Constanta, Romania</t>
        </is>
      </c>
      <c r="B1984" t="inlineStr">
        <is>
          <t>First Gathering Point</t>
        </is>
      </c>
      <c r="C1984" t="inlineStr">
        <is>
          <t>SRAC Cert SRL, Bucharest, RO</t>
        </is>
      </c>
      <c r="D1984" t="inlineStr">
        <is>
          <t>26.06.2027</t>
        </is>
      </c>
      <c r="E1984" t="inlineStr">
        <is>
          <t>Romania</t>
        </is>
      </c>
    </row>
    <row r="1985">
      <c r="A1985" t="inlineStr">
        <is>
          <t>AgriFuels Global LLC,  Sharjah, The United Arab Emirates</t>
        </is>
      </c>
      <c r="B1985" t="inlineStr">
        <is>
          <t>Trader</t>
        </is>
      </c>
      <c r="C1985" t="inlineStr">
        <is>
          <t>PT Intertek Utama Services, Jakarta, ID</t>
        </is>
      </c>
      <c r="D1985" t="inlineStr">
        <is>
          <t>26.06.2027</t>
        </is>
      </c>
      <c r="E1985" t="inlineStr">
        <is>
          <t>The United Arab Emirates</t>
        </is>
      </c>
    </row>
    <row r="1986">
      <c r="A1986" t="inlineStr">
        <is>
          <t>INDUSTRIA MOLITORIA MININNI SRL,  ALTAMURA, Italy</t>
        </is>
      </c>
      <c r="B1986" t="inlineStr">
        <is>
          <t>Processing Unit</t>
        </is>
      </c>
      <c r="C1986" t="inlineStr">
        <is>
          <t>DNV Business Assurance Sweden AB, Solna, SE</t>
        </is>
      </c>
      <c r="D1986" t="inlineStr">
        <is>
          <t>26.06.2027</t>
        </is>
      </c>
      <c r="E1986" t="inlineStr">
        <is>
          <t>Italy</t>
        </is>
      </c>
    </row>
    <row r="1987">
      <c r="A1987" t="inlineStr">
        <is>
          <t>Wenzhou Lidong Optical Manufacture Co.,Ltd,  Wenzhou City， Zhejiang Province, China</t>
        </is>
      </c>
      <c r="B1987" t="inlineStr">
        <is>
          <t>Processing Unit</t>
        </is>
      </c>
      <c r="C1987" t="inlineStr">
        <is>
          <t>SCS Global Services, Emeryville, CA, US</t>
        </is>
      </c>
      <c r="D1987" t="inlineStr">
        <is>
          <t>26.06.2027</t>
        </is>
      </c>
      <c r="E1987" t="inlineStr">
        <is>
          <t>China</t>
        </is>
      </c>
    </row>
    <row r="1988">
      <c r="A1988" t="inlineStr">
        <is>
          <t>FERTIVAL,  LAMBALLE, France</t>
        </is>
      </c>
      <c r="B1988" t="inlineStr">
        <is>
          <t>Collecting Point, Processing Unit, Trader</t>
        </is>
      </c>
      <c r="C1988" t="inlineStr">
        <is>
          <t>Control Union Certifications Germany GmbH, Berlin, DE</t>
        </is>
      </c>
      <c r="D1988" t="inlineStr">
        <is>
          <t>26.06.2027</t>
        </is>
      </c>
      <c r="E1988" t="inlineStr">
        <is>
          <t>France</t>
        </is>
      </c>
    </row>
    <row r="1989">
      <c r="A1989" t="inlineStr">
        <is>
          <t>PT Alam Jaya Persada - POM AJP,  Desa Senipah RT 08, Kecamatan Samboja, Kabupaten Kutai Kartanegara, Indonesia</t>
        </is>
      </c>
      <c r="B1989" t="inlineStr">
        <is>
          <t>Point of Origin</t>
        </is>
      </c>
      <c r="C1989" t="inlineStr">
        <is>
          <t>PT SBC Asia Sertifikasi, Kebumen, ID</t>
        </is>
      </c>
      <c r="D1989" t="inlineStr">
        <is>
          <t>26.06.2027</t>
        </is>
      </c>
      <c r="E1989" t="inlineStr">
        <is>
          <t>Indonesia</t>
        </is>
      </c>
    </row>
    <row r="1990">
      <c r="A1990" t="inlineStr">
        <is>
          <t>PT Tritunggal Sentra Buana - POM TSB,  Desa Saliki, Kecamatan Muara Badak, Kabupaten Kutai Kartanegara, Indonesia</t>
        </is>
      </c>
      <c r="B1990" t="inlineStr">
        <is>
          <t>Point of Origin</t>
        </is>
      </c>
      <c r="C1990" t="inlineStr">
        <is>
          <t>PT SBC Asia Sertifikasi, Kebumen, ID</t>
        </is>
      </c>
      <c r="D1990" t="inlineStr">
        <is>
          <t>26.06.2027</t>
        </is>
      </c>
      <c r="E1990" t="inlineStr">
        <is>
          <t>Indonesia</t>
        </is>
      </c>
    </row>
    <row r="1991">
      <c r="A1991" t="inlineStr">
        <is>
          <t>Sinochem Oil Co., Ltd.,  Beijing City, China</t>
        </is>
      </c>
      <c r="B1991" t="inlineStr">
        <is>
          <t>Trader</t>
        </is>
      </c>
      <c r="C1991" t="inlineStr">
        <is>
          <t>SCS Global Services, Emeryville, CA, US</t>
        </is>
      </c>
      <c r="D1991" t="inlineStr">
        <is>
          <t>26.06.2027</t>
        </is>
      </c>
      <c r="E1991" t="inlineStr">
        <is>
          <t>China</t>
        </is>
      </c>
    </row>
    <row r="1992">
      <c r="A1992" t="inlineStr">
        <is>
          <t>kanemitsu Co., Ltd,  Kagawa, Japan</t>
        </is>
      </c>
      <c r="B1992" t="inlineStr">
        <is>
          <t>Trader</t>
        </is>
      </c>
      <c r="C1992" t="inlineStr">
        <is>
          <t>Control Union Certifications Germany GmbH, Berlin, DE</t>
        </is>
      </c>
      <c r="D1992" t="inlineStr">
        <is>
          <t>26.06.2027</t>
        </is>
      </c>
      <c r="E1992" t="inlineStr">
        <is>
          <t>Japan</t>
        </is>
      </c>
    </row>
    <row r="1993">
      <c r="A1993" t="inlineStr">
        <is>
          <t>Mondi Békéscsaba Kft.,  Békéscsaba, Hungary</t>
        </is>
      </c>
      <c r="B1993" t="inlineStr">
        <is>
          <t>Processing Unit</t>
        </is>
      </c>
      <c r="C1993" t="inlineStr">
        <is>
          <t>SGS Germany GmbH, Emstek, DE</t>
        </is>
      </c>
      <c r="D1993" t="inlineStr">
        <is>
          <t>26.06.2027</t>
        </is>
      </c>
      <c r="E1993" t="inlineStr">
        <is>
          <t>Hungary</t>
        </is>
      </c>
    </row>
    <row r="1994">
      <c r="A1994" t="inlineStr">
        <is>
          <t>Maruzen Petrochemical Co., Ltd.,  Ichihara, Chiba, Japan</t>
        </is>
      </c>
      <c r="B1994" t="inlineStr">
        <is>
          <t>Processing Unit</t>
        </is>
      </c>
      <c r="C1994" t="inlineStr">
        <is>
          <t>SGS Germany GmbH, Emstek, DE</t>
        </is>
      </c>
      <c r="D1994" t="inlineStr">
        <is>
          <t>26.06.2027</t>
        </is>
      </c>
      <c r="E1994" t="inlineStr">
        <is>
          <t>Japan</t>
        </is>
      </c>
    </row>
    <row r="1995">
      <c r="A1995" t="inlineStr">
        <is>
          <t>PAHARPUR 3P PRIVATE LIMITED,  GHAZIABAD, India</t>
        </is>
      </c>
      <c r="B1995" t="inlineStr">
        <is>
          <t>Final Product Refinement, Processing Unit</t>
        </is>
      </c>
      <c r="C1995" t="inlineStr">
        <is>
          <t>ISOQAR Ltd, Stretford, Manchester, GB</t>
        </is>
      </c>
      <c r="D1995" t="inlineStr">
        <is>
          <t>26.06.2027</t>
        </is>
      </c>
      <c r="E1995" t="inlineStr">
        <is>
          <t>India</t>
        </is>
      </c>
    </row>
    <row r="1996">
      <c r="A1996" t="inlineStr">
        <is>
          <t>Reciclajes Oleicolas San Roque,S.L.,  Alcaudete,Jaen, Spain</t>
        </is>
      </c>
      <c r="B1996" t="inlineStr">
        <is>
          <t>Trader</t>
        </is>
      </c>
      <c r="C1996" t="inlineStr">
        <is>
          <t>RINA Services S.p.A., Genova, IT</t>
        </is>
      </c>
      <c r="D1996" t="inlineStr">
        <is>
          <t>26.06.2027</t>
        </is>
      </c>
      <c r="E1996" t="inlineStr">
        <is>
          <t>Spain</t>
        </is>
      </c>
    </row>
    <row r="1997">
      <c r="A1997" t="inlineStr">
        <is>
          <t>Shanghai Tribute Energy,  Changning District, China</t>
        </is>
      </c>
      <c r="B1997" t="inlineStr">
        <is>
          <t>Trader</t>
        </is>
      </c>
      <c r="C1997" t="inlineStr">
        <is>
          <t>RINA Services S.p.A., Genova, IT</t>
        </is>
      </c>
      <c r="D1997" t="inlineStr">
        <is>
          <t>26.06.2027</t>
        </is>
      </c>
      <c r="E1997" t="inlineStr">
        <is>
          <t>China</t>
        </is>
      </c>
    </row>
    <row r="1998">
      <c r="A1998" t="inlineStr">
        <is>
          <t>Shanghai Tribute Energy,  Changning District, China</t>
        </is>
      </c>
      <c r="B1998" t="inlineStr">
        <is>
          <t>Trader</t>
        </is>
      </c>
      <c r="C1998" t="inlineStr">
        <is>
          <t>RINA Services S.p.A., Genova, IT</t>
        </is>
      </c>
      <c r="D1998" t="inlineStr">
        <is>
          <t>26.06.2027</t>
        </is>
      </c>
      <c r="E1998" t="inlineStr">
        <is>
          <t>China</t>
        </is>
      </c>
    </row>
    <row r="1999">
      <c r="A1999" t="inlineStr">
        <is>
          <t>Pacs és Társa Kft.,  Andocs, Hungary</t>
        </is>
      </c>
      <c r="B1999" t="inlineStr">
        <is>
          <t>First Gathering Point</t>
        </is>
      </c>
      <c r="C1999" t="inlineStr">
        <is>
          <t>SGS Germany GmbH, Emstek, DE</t>
        </is>
      </c>
      <c r="D1999" t="inlineStr">
        <is>
          <t>26.06.2027</t>
        </is>
      </c>
      <c r="E1999" t="inlineStr">
        <is>
          <t>Hungary</t>
        </is>
      </c>
    </row>
    <row r="2000">
      <c r="A2000" t="inlineStr">
        <is>
          <t>TIGANELAIA OIL HELLAS,  Xanthi, Greece</t>
        </is>
      </c>
      <c r="B2000" t="inlineStr">
        <is>
          <t>Collecting Point</t>
        </is>
      </c>
      <c r="C2000" t="inlineStr">
        <is>
          <t>Eurocert SA, Metamorfosi, Athens, GR</t>
        </is>
      </c>
      <c r="D2000" t="inlineStr">
        <is>
          <t>26.06.2027</t>
        </is>
      </c>
      <c r="E2000" t="inlineStr">
        <is>
          <t>Greece</t>
        </is>
      </c>
    </row>
    <row r="2001">
      <c r="A2001" t="inlineStr">
        <is>
          <t>East West Productos Textiles,  Lachar, Granada, Spain</t>
        </is>
      </c>
      <c r="B2001" t="inlineStr">
        <is>
          <t>Collecting Point</t>
        </is>
      </c>
      <c r="C2001" t="inlineStr">
        <is>
          <t>RINA Services S.p.A., Genova, IT</t>
        </is>
      </c>
      <c r="D2001" t="inlineStr">
        <is>
          <t>26.06.2027</t>
        </is>
      </c>
      <c r="E2001" t="inlineStr">
        <is>
          <t>Spain</t>
        </is>
      </c>
    </row>
    <row r="2002">
      <c r="A2002" t="inlineStr">
        <is>
          <t>De Wit Bunkering N.V.,  Antwerp, Belgium</t>
        </is>
      </c>
      <c r="B2002" t="inlineStr">
        <is>
          <t>Trader with Storage, Proof of Compliance Trader</t>
        </is>
      </c>
      <c r="C2002" t="inlineStr">
        <is>
          <t>DEKRA Certification B.V., Arnhem, NL</t>
        </is>
      </c>
      <c r="D2002" t="inlineStr">
        <is>
          <t>26.06.2027</t>
        </is>
      </c>
      <c r="E2002" t="inlineStr">
        <is>
          <t>Belgium</t>
        </is>
      </c>
    </row>
    <row r="2003">
      <c r="A2003" t="inlineStr">
        <is>
          <t>ReOil,  Riga, Latvia</t>
        </is>
      </c>
      <c r="B2003" t="inlineStr">
        <is>
          <t>Collecting Point</t>
        </is>
      </c>
      <c r="C2003" t="inlineStr">
        <is>
          <t>Bureau Veritas Polska Sp. z o.o., Warsaw, PL</t>
        </is>
      </c>
      <c r="D2003" t="inlineStr">
        <is>
          <t>26.06.2027</t>
        </is>
      </c>
      <c r="E2003" t="inlineStr">
        <is>
          <t>Latvia</t>
        </is>
      </c>
    </row>
    <row r="2004">
      <c r="A2004" t="inlineStr">
        <is>
          <t>SIL-TRI BIO FUELS INC.,  Hannon, Canada</t>
        </is>
      </c>
      <c r="B2004" t="inlineStr">
        <is>
          <t>Collecting Point, Trader with Storage</t>
        </is>
      </c>
      <c r="C2004" t="inlineStr">
        <is>
          <t>Control Union Poland Sp. z o.o., Zielona Gora, PL</t>
        </is>
      </c>
      <c r="D2004" t="inlineStr">
        <is>
          <t>26.06.2027</t>
        </is>
      </c>
      <c r="E2004" t="inlineStr">
        <is>
          <t>Canada</t>
        </is>
      </c>
    </row>
    <row r="2005">
      <c r="A2005" t="inlineStr">
        <is>
          <t>SIL-TRI BIO FUELS INC.,  Hannon, Canada</t>
        </is>
      </c>
      <c r="B2005" t="inlineStr">
        <is>
          <t>Trader with Storage</t>
        </is>
      </c>
      <c r="C2005" t="inlineStr">
        <is>
          <t>Control Union Poland Sp. z o.o., Zielona Gora, PL</t>
        </is>
      </c>
      <c r="D2005" t="inlineStr">
        <is>
          <t>26.06.2027</t>
        </is>
      </c>
      <c r="E2005" t="inlineStr">
        <is>
          <t>Canada</t>
        </is>
      </c>
    </row>
    <row r="2006">
      <c r="A2006" t="inlineStr">
        <is>
          <t>SIL-TRI BIO FUELS INC.,  Hannon, Canada</t>
        </is>
      </c>
      <c r="B2006" t="inlineStr">
        <is>
          <t>Trader with Storage</t>
        </is>
      </c>
      <c r="C2006" t="inlineStr">
        <is>
          <t>Control Union Poland Sp. z o.o., Zielona Gora, PL</t>
        </is>
      </c>
      <c r="D2006" t="inlineStr">
        <is>
          <t>26.06.2027</t>
        </is>
      </c>
      <c r="E2006" t="inlineStr">
        <is>
          <t>Canada</t>
        </is>
      </c>
    </row>
    <row r="2007">
      <c r="A2007" t="inlineStr">
        <is>
          <t>Belgian Trading and Bunkering,  Antwerp, Belgium</t>
        </is>
      </c>
      <c r="B2007" t="inlineStr">
        <is>
          <t>Trader with Storage, Proof of Compliance Trader</t>
        </is>
      </c>
      <c r="C2007" t="inlineStr">
        <is>
          <t>DEKRA Certification B.V., Arnhem, NL</t>
        </is>
      </c>
      <c r="D2007" t="inlineStr">
        <is>
          <t>26.06.2027</t>
        </is>
      </c>
      <c r="E2007" t="inlineStr">
        <is>
          <t>Belgium</t>
        </is>
      </c>
    </row>
    <row r="2008">
      <c r="A2008" t="inlineStr">
        <is>
          <t>Groengas Brabant,  Nistelrode, The Netherlands</t>
        </is>
      </c>
      <c r="B2008" t="inlineStr">
        <is>
          <t>Collecting Point, Processing Unit</t>
        </is>
      </c>
      <c r="C2008" t="inlineStr">
        <is>
          <t>DEKRA Certification B.V., Arnhem, NL</t>
        </is>
      </c>
      <c r="D2008" t="inlineStr">
        <is>
          <t>26.06.2027</t>
        </is>
      </c>
      <c r="E2008" t="inlineStr">
        <is>
          <t>The Netherlands</t>
        </is>
      </c>
    </row>
    <row r="2009">
      <c r="A2009" t="inlineStr">
        <is>
          <t>UPM Raflatac Oy,  Tampere, Finland</t>
        </is>
      </c>
      <c r="B2009" t="inlineStr">
        <is>
          <t>Final Product Refinement, Trader with Storage</t>
        </is>
      </c>
      <c r="C2009" t="inlineStr">
        <is>
          <t>SGS Germany GmbH, Emstek, DE</t>
        </is>
      </c>
      <c r="D2009" t="inlineStr">
        <is>
          <t>26.06.2027</t>
        </is>
      </c>
      <c r="E2009" t="inlineStr">
        <is>
          <t>Finland</t>
        </is>
      </c>
    </row>
    <row r="2010">
      <c r="A2010" t="inlineStr">
        <is>
          <t>The Andersons Inc.,  Overland Park, United States</t>
        </is>
      </c>
      <c r="B2010" t="inlineStr">
        <is>
          <t>Central Office (Group of Point of Origin), Collecting Point, Trader with Storage</t>
        </is>
      </c>
      <c r="C2010" t="inlineStr">
        <is>
          <t>SCS Global Services, Emeryville, CA, US</t>
        </is>
      </c>
      <c r="D2010" t="inlineStr">
        <is>
          <t>26.06.2027</t>
        </is>
      </c>
      <c r="E2010" t="inlineStr">
        <is>
          <t>United States</t>
        </is>
      </c>
    </row>
    <row r="2011">
      <c r="A2011" t="inlineStr">
        <is>
          <t>The Andersons Inc.,  Overland Park, United States</t>
        </is>
      </c>
      <c r="B2011" t="inlineStr">
        <is>
          <t>Central Office (Group of Point of Origin), Collecting Point, Trader with Storage</t>
        </is>
      </c>
      <c r="C2011" t="inlineStr">
        <is>
          <t>SCS Global Services, Emeryville, CA, US</t>
        </is>
      </c>
      <c r="D2011" t="inlineStr">
        <is>
          <t>26.06.2027</t>
        </is>
      </c>
      <c r="E2011" t="inlineStr">
        <is>
          <t>United States</t>
        </is>
      </c>
    </row>
    <row r="2012">
      <c r="A2012" t="inlineStr">
        <is>
          <t>Lógar Industrias Agroalimentarias, S.A.,  Ólvega, Spain</t>
        </is>
      </c>
      <c r="B2012" t="inlineStr">
        <is>
          <t>Point of Origin, Trader with Storage</t>
        </is>
      </c>
      <c r="C2012" t="inlineStr">
        <is>
          <t>RINA Services S.p.A., Genova, IT</t>
        </is>
      </c>
      <c r="D2012" t="inlineStr">
        <is>
          <t>26.06.2027</t>
        </is>
      </c>
      <c r="E2012" t="inlineStr">
        <is>
          <t>Spain</t>
        </is>
      </c>
    </row>
    <row r="2013">
      <c r="A2013" t="inlineStr">
        <is>
          <t>Targray Technology International,  Kirkland, Canada</t>
        </is>
      </c>
      <c r="B2013" t="inlineStr">
        <is>
          <t>Trader</t>
        </is>
      </c>
      <c r="C2013" t="inlineStr">
        <is>
          <t>SCS Global Services, Emeryville, CA, US</t>
        </is>
      </c>
      <c r="D2013" t="inlineStr">
        <is>
          <t>26.06.2027</t>
        </is>
      </c>
      <c r="E2013" t="inlineStr">
        <is>
          <t>Canada</t>
        </is>
      </c>
    </row>
    <row r="2014">
      <c r="A2014" t="inlineStr">
        <is>
          <t>Targray Technology International,  Kirkland, Canada</t>
        </is>
      </c>
      <c r="B2014" t="inlineStr">
        <is>
          <t>Trader</t>
        </is>
      </c>
      <c r="C2014" t="inlineStr">
        <is>
          <t>SCS Global Services, Emeryville, CA, US</t>
        </is>
      </c>
      <c r="D2014" t="inlineStr">
        <is>
          <t>26.06.2027</t>
        </is>
      </c>
      <c r="E2014" t="inlineStr">
        <is>
          <t>Canada</t>
        </is>
      </c>
    </row>
    <row r="2015">
      <c r="A2015" t="inlineStr">
        <is>
          <t>Targray Technology International,  Kirkland, Canada</t>
        </is>
      </c>
      <c r="B2015" t="inlineStr">
        <is>
          <t>Trader</t>
        </is>
      </c>
      <c r="C2015" t="inlineStr">
        <is>
          <t>SCS Global Services, Emeryville, CA, US</t>
        </is>
      </c>
      <c r="D2015" t="inlineStr">
        <is>
          <t>26.06.2027</t>
        </is>
      </c>
      <c r="E2015" t="inlineStr">
        <is>
          <t>Canada</t>
        </is>
      </c>
    </row>
    <row r="2016">
      <c r="A2016" t="inlineStr">
        <is>
          <t>Yunnan Dingqing Environmental Protection Technology Co., Ltd.,  Baoshan City, Yunnan Provin, China</t>
        </is>
      </c>
      <c r="B2016" t="inlineStr">
        <is>
          <t>Collecting Point, Processing Unit</t>
        </is>
      </c>
      <c r="C2016" t="inlineStr">
        <is>
          <t>RINA Services S.p.A., Genova, IT</t>
        </is>
      </c>
      <c r="D2016" t="inlineStr">
        <is>
          <t>26.06.2027</t>
        </is>
      </c>
      <c r="E2016" t="inlineStr">
        <is>
          <t>China</t>
        </is>
      </c>
    </row>
    <row r="2017">
      <c r="A2017" t="inlineStr">
        <is>
          <t>Zhuhai Ding Rong Plastic Products Co.,Ltd,  Zhuhai City, China</t>
        </is>
      </c>
      <c r="B2017" t="inlineStr">
        <is>
          <t>Processing Unit</t>
        </is>
      </c>
      <c r="C2017" t="inlineStr">
        <is>
          <t>Bureau Veritas Polska Sp. z o.o., Warsaw, PL</t>
        </is>
      </c>
      <c r="D2017" t="inlineStr">
        <is>
          <t>25.06.2027</t>
        </is>
      </c>
      <c r="E2017" t="inlineStr">
        <is>
          <t>China</t>
        </is>
      </c>
    </row>
    <row r="2018">
      <c r="A2018" t="inlineStr">
        <is>
          <t>TH BUKIT LAWIANG,  Kluang, Malaysia</t>
        </is>
      </c>
      <c r="B2018" t="inlineStr">
        <is>
          <t>Point of Origin</t>
        </is>
      </c>
      <c r="C2018" t="inlineStr">
        <is>
          <t>Global Gateway Certifications Sdn Bhd, Ampang, MY</t>
        </is>
      </c>
      <c r="D2018" t="inlineStr">
        <is>
          <t>25.06.2027</t>
        </is>
      </c>
      <c r="E2018" t="inlineStr">
        <is>
          <t>Malaysia</t>
        </is>
      </c>
    </row>
    <row r="2019">
      <c r="A2019" t="inlineStr">
        <is>
          <t>NEVEPLAST,  Cologno Monzese, Italy</t>
        </is>
      </c>
      <c r="B2019" t="inlineStr">
        <is>
          <t>Processing Unit</t>
        </is>
      </c>
      <c r="C2019" t="inlineStr">
        <is>
          <t>RINA Services S.p.A., Genova, IT</t>
        </is>
      </c>
      <c r="D2019" t="inlineStr">
        <is>
          <t>25.06.2027</t>
        </is>
      </c>
      <c r="E2019" t="inlineStr">
        <is>
          <t>Italy</t>
        </is>
      </c>
    </row>
    <row r="2020">
      <c r="A2020" t="inlineStr">
        <is>
          <t>TangShan CaoFeiDian GangShen Trading Co.,Ltd.,  Tangshan City, China</t>
        </is>
      </c>
      <c r="B2020" t="inlineStr">
        <is>
          <t>Trader</t>
        </is>
      </c>
      <c r="C2020" t="inlineStr">
        <is>
          <t>TÜV NORD CERT GmbH, Essen, DE</t>
        </is>
      </c>
      <c r="D2020" t="inlineStr">
        <is>
          <t>25.06.2027</t>
        </is>
      </c>
      <c r="E2020" t="inlineStr">
        <is>
          <t>China</t>
        </is>
      </c>
    </row>
    <row r="2021">
      <c r="A2021" t="inlineStr">
        <is>
          <t>CONSORZI AGRARI D'ITALIA SPA,  SAN GIORGIO DI PIANO, Italy</t>
        </is>
      </c>
      <c r="B2021" t="inlineStr">
        <is>
          <t>First Gathering Point</t>
        </is>
      </c>
      <c r="C2021" t="inlineStr">
        <is>
          <t>DNV Business Assurance Sweden AB, Solna, SE</t>
        </is>
      </c>
      <c r="D2021" t="inlineStr">
        <is>
          <t>25.06.2027</t>
        </is>
      </c>
      <c r="E2021" t="inlineStr">
        <is>
          <t>Italy</t>
        </is>
      </c>
    </row>
    <row r="2022">
      <c r="A2022" t="inlineStr">
        <is>
          <t>Guohua (Cangzhou) Integrated Energy Co., Ltd.,  Huanghua City, China</t>
        </is>
      </c>
      <c r="B2022" t="inlineStr">
        <is>
          <t>Processing Unit</t>
        </is>
      </c>
      <c r="C2022" t="inlineStr">
        <is>
          <t>Bureau Veritas Polska Sp. z o.o., Warsaw, PL</t>
        </is>
      </c>
      <c r="D2022" t="inlineStr">
        <is>
          <t>25.06.2027</t>
        </is>
      </c>
      <c r="E2022" t="inlineStr">
        <is>
          <t>China</t>
        </is>
      </c>
    </row>
    <row r="2023">
      <c r="A2023" t="inlineStr">
        <is>
          <t>Goldgrain Trading SRL,  Periam, Romania</t>
        </is>
      </c>
      <c r="B2023" t="inlineStr">
        <is>
          <t>First Gathering Point</t>
        </is>
      </c>
      <c r="C2023" t="inlineStr">
        <is>
          <t>SGS Germany GmbH, Emstek, DE</t>
        </is>
      </c>
      <c r="D2023" t="inlineStr">
        <is>
          <t>25.06.2027</t>
        </is>
      </c>
      <c r="E2023" t="inlineStr">
        <is>
          <t>Romania</t>
        </is>
      </c>
    </row>
    <row r="2024">
      <c r="A2024" t="inlineStr">
        <is>
          <t>HMO GREEN,  Simaxis, Italy</t>
        </is>
      </c>
      <c r="B2024" t="inlineStr">
        <is>
          <t>Point of Origin, Trader with Storage</t>
        </is>
      </c>
      <c r="C2024" t="inlineStr">
        <is>
          <t>SGS Germany GmbH, Emstek, DE</t>
        </is>
      </c>
      <c r="D2024" t="inlineStr">
        <is>
          <t>25.06.2027</t>
        </is>
      </c>
      <c r="E2024" t="inlineStr">
        <is>
          <t>Italy</t>
        </is>
      </c>
    </row>
    <row r="2025">
      <c r="A2025" t="inlineStr">
        <is>
          <t>Shandong Zhuoqiang Petrochemical Co., Ltd,  Shijiazhuang, China</t>
        </is>
      </c>
      <c r="B2025" t="inlineStr">
        <is>
          <t>Trader</t>
        </is>
      </c>
      <c r="C2025" t="inlineStr">
        <is>
          <t>RINA Services S.p.A., Genova, IT</t>
        </is>
      </c>
      <c r="D2025" t="inlineStr">
        <is>
          <t>25.06.2027</t>
        </is>
      </c>
      <c r="E2025" t="inlineStr">
        <is>
          <t>China</t>
        </is>
      </c>
    </row>
    <row r="2026">
      <c r="A2026" t="inlineStr">
        <is>
          <t>Kilang Sawit FELCRA Berhad Maran,  Maran, Malaysia</t>
        </is>
      </c>
      <c r="B2026" t="inlineStr">
        <is>
          <t>Point of Origin</t>
        </is>
      </c>
      <c r="C2026" t="inlineStr">
        <is>
          <t>Trans Certification and Inspection Sdn Bhd, Kuantan, MY</t>
        </is>
      </c>
      <c r="D2026" t="inlineStr">
        <is>
          <t>25.06.2027</t>
        </is>
      </c>
      <c r="E2026" t="inlineStr">
        <is>
          <t>Malaysia</t>
        </is>
      </c>
    </row>
    <row r="2027">
      <c r="A2027" t="inlineStr">
        <is>
          <t>Soc.Coop.Agr.Santa Maria Assunta,  Adria, Italy</t>
        </is>
      </c>
      <c r="B2027" t="inlineStr">
        <is>
          <t>First Gathering Point, Warehouse</t>
        </is>
      </c>
      <c r="C2027" t="inlineStr">
        <is>
          <t>RINA Services S.p.A., Genova, IT</t>
        </is>
      </c>
      <c r="D2027" t="inlineStr">
        <is>
          <t>25.06.2027</t>
        </is>
      </c>
      <c r="E2027" t="inlineStr">
        <is>
          <t>Italy</t>
        </is>
      </c>
    </row>
    <row r="2028">
      <c r="A2028" t="inlineStr">
        <is>
          <t>Green Marine Supply Sdn. Bhd.,  Bandar Menjalara, Kuala Lumpur, Malaysia</t>
        </is>
      </c>
      <c r="B2028" t="inlineStr">
        <is>
          <t>Trader with Storage</t>
        </is>
      </c>
      <c r="C2028" t="inlineStr">
        <is>
          <t>Trans Certification and Inspection Sdn Bhd, Kuantan, MY</t>
        </is>
      </c>
      <c r="D2028" t="inlineStr">
        <is>
          <t>25.06.2027</t>
        </is>
      </c>
      <c r="E2028" t="inlineStr">
        <is>
          <t>Malaysia</t>
        </is>
      </c>
    </row>
    <row r="2029">
      <c r="A2029" t="inlineStr">
        <is>
          <t>Kilang Sawit FELCRA Berhad Seberang Perak,  Kampung Gajah, Malaysia</t>
        </is>
      </c>
      <c r="B2029" t="inlineStr">
        <is>
          <t>Point of Origin</t>
        </is>
      </c>
      <c r="C2029" t="inlineStr">
        <is>
          <t>Trans Certification and Inspection Sdn Bhd, Kuantan, MY</t>
        </is>
      </c>
      <c r="D2029" t="inlineStr">
        <is>
          <t>25.06.2027</t>
        </is>
      </c>
      <c r="E2029" t="inlineStr">
        <is>
          <t>Malaysia</t>
        </is>
      </c>
    </row>
    <row r="2030">
      <c r="A2030" t="inlineStr">
        <is>
          <t>Mereranna PÜ,  Tahula küla, Estonia</t>
        </is>
      </c>
      <c r="B2030" t="inlineStr">
        <is>
          <t>Collecting Point, Processing Unit</t>
        </is>
      </c>
      <c r="C2030" t="inlineStr">
        <is>
          <t>Bureau Veritas Polska Sp. z o.o., Warsaw, PL</t>
        </is>
      </c>
      <c r="D2030" t="inlineStr">
        <is>
          <t>25.06.2027</t>
        </is>
      </c>
      <c r="E2030" t="inlineStr">
        <is>
          <t>Estonia</t>
        </is>
      </c>
    </row>
    <row r="2031">
      <c r="A2031" t="inlineStr">
        <is>
          <t>Oxiteno S.A. Indústria e Comércio,  Camaçari - Bahia, Brazil</t>
        </is>
      </c>
      <c r="B2031" t="inlineStr">
        <is>
          <t>Processing Unit</t>
        </is>
      </c>
      <c r="C2031" t="inlineStr">
        <is>
          <t>QIMA, Centro, Botucatu - SP, CEP, BR</t>
        </is>
      </c>
      <c r="D2031" t="inlineStr">
        <is>
          <t>25.06.2027</t>
        </is>
      </c>
      <c r="E2031" t="inlineStr">
        <is>
          <t>Brazil</t>
        </is>
      </c>
    </row>
    <row r="2032">
      <c r="A2032" t="inlineStr">
        <is>
          <t>Inno-Wangsa Oils &amp; Fats Sdn Bhd,  Pasir Gudang Johor, Malaysia</t>
        </is>
      </c>
      <c r="B2032" t="inlineStr">
        <is>
          <t>Collecting Point, Trader with Storage</t>
        </is>
      </c>
      <c r="C2032" t="inlineStr">
        <is>
          <t>Trans Certification and Inspection Sdn Bhd, Kuantan, MY</t>
        </is>
      </c>
      <c r="D2032" t="inlineStr">
        <is>
          <t>25.06.2027</t>
        </is>
      </c>
      <c r="E2032" t="inlineStr">
        <is>
          <t>Malaysia</t>
        </is>
      </c>
    </row>
    <row r="2033">
      <c r="A2033" t="inlineStr">
        <is>
          <t>REFOOD S.L.U.,  Llerona (Les Franqueses Del Valles), Spain</t>
        </is>
      </c>
      <c r="B2033" t="inlineStr">
        <is>
          <t>Collecting Point, Trader with Storage, Processing Unit</t>
        </is>
      </c>
      <c r="C2033" t="inlineStr">
        <is>
          <t>Control Union Poland Sp. z o.o., Zielona Gora, PL</t>
        </is>
      </c>
      <c r="D2033" t="inlineStr">
        <is>
          <t>25.06.2027</t>
        </is>
      </c>
      <c r="E2033" t="inlineStr">
        <is>
          <t>Spain</t>
        </is>
      </c>
    </row>
    <row r="2034">
      <c r="A2034" t="inlineStr">
        <is>
          <t>Industrias Plásticas Triana,  Barberà del Vallès, Spain</t>
        </is>
      </c>
      <c r="B2034" t="inlineStr">
        <is>
          <t>Final Product Refinement, Processing Unit</t>
        </is>
      </c>
      <c r="C2034" t="inlineStr">
        <is>
          <t>SGS Germany GmbH, Emstek, DE</t>
        </is>
      </c>
      <c r="D2034" t="inlineStr">
        <is>
          <t>25.06.2027</t>
        </is>
      </c>
      <c r="E2034" t="inlineStr">
        <is>
          <t>Spain</t>
        </is>
      </c>
    </row>
    <row r="2035">
      <c r="A2035" t="inlineStr">
        <is>
          <t>Samyang EP Hungary Kft.,  Jászberény, Hungary</t>
        </is>
      </c>
      <c r="B2035" t="inlineStr">
        <is>
          <t>Processing Unit</t>
        </is>
      </c>
      <c r="C2035" t="inlineStr">
        <is>
          <t>Control Union Certifications Germany GmbH, Berlin, DE</t>
        </is>
      </c>
      <c r="D2035" t="inlineStr">
        <is>
          <t>25.06.2027</t>
        </is>
      </c>
      <c r="E2035" t="inlineStr">
        <is>
          <t>Hungary</t>
        </is>
      </c>
    </row>
    <row r="2036">
      <c r="A2036" t="inlineStr">
        <is>
          <t>Soleum Energy Pte. Ltd,  Singapore, Singapore</t>
        </is>
      </c>
      <c r="B2036" t="inlineStr">
        <is>
          <t>Trader with Storage</t>
        </is>
      </c>
      <c r="C2036" t="inlineStr">
        <is>
          <t>China Standard Conformity Assessment Co. Ltd, Beijing, CN</t>
        </is>
      </c>
      <c r="D2036" t="inlineStr">
        <is>
          <t>25.06.2027</t>
        </is>
      </c>
      <c r="E2036" t="inlineStr">
        <is>
          <t>Singapore</t>
        </is>
      </c>
    </row>
    <row r="2037">
      <c r="A2037" t="inlineStr">
        <is>
          <t>MIHÁLYKÓ Kft.,  Tiszakarád, Hungary</t>
        </is>
      </c>
      <c r="B2037" t="inlineStr">
        <is>
          <t>First Gathering Point</t>
        </is>
      </c>
      <c r="C2037" t="inlineStr">
        <is>
          <t>Amspec Iberia SL, Vilagarcia de Arousa-Pontevedra, ES</t>
        </is>
      </c>
      <c r="D2037" t="inlineStr">
        <is>
          <t>25.06.2027</t>
        </is>
      </c>
      <c r="E2037" t="inlineStr">
        <is>
          <t>Hungary</t>
        </is>
      </c>
    </row>
    <row r="2038">
      <c r="A2038" t="inlineStr">
        <is>
          <t>AGROACTIV COOPERATIVA AGRICOLA,  Marghia de Sus village, Lunca Corbului, Romania</t>
        </is>
      </c>
      <c r="B2038" t="inlineStr">
        <is>
          <t>First Gathering Point</t>
        </is>
      </c>
      <c r="C2038" t="inlineStr">
        <is>
          <t>SRAC Cert SRL, Bucharest, RO</t>
        </is>
      </c>
      <c r="D2038" t="inlineStr">
        <is>
          <t>25.06.2027</t>
        </is>
      </c>
      <c r="E2038" t="inlineStr">
        <is>
          <t>Romania</t>
        </is>
      </c>
    </row>
    <row r="2039">
      <c r="A2039" t="inlineStr">
        <is>
          <t>Green Marine Supply Sdn. Bhd.,  Bandar Menjalara, Kuala Lumpur, Malaysia</t>
        </is>
      </c>
      <c r="B2039" t="inlineStr">
        <is>
          <t>Trader with Storage</t>
        </is>
      </c>
      <c r="C2039" t="inlineStr">
        <is>
          <t>Trans Certification and Inspection Sdn Bhd, Kuantan, MY</t>
        </is>
      </c>
      <c r="D2039" t="inlineStr">
        <is>
          <t>25.06.2027</t>
        </is>
      </c>
      <c r="E2039" t="inlineStr">
        <is>
          <t>Malaysia</t>
        </is>
      </c>
    </row>
    <row r="2040">
      <c r="A2040" t="inlineStr">
        <is>
          <t>Campa Iberia S.A.U.,  Barcelona, Spain</t>
        </is>
      </c>
      <c r="B2040" t="inlineStr">
        <is>
          <t>Trader with Storage</t>
        </is>
      </c>
      <c r="C2040" t="inlineStr">
        <is>
          <t>GUT Certifizierungsgesellschaft für Managementsysteme mbH Umweltgutachter, Berlin, DE</t>
        </is>
      </c>
      <c r="D2040" t="inlineStr">
        <is>
          <t>25.06.2027</t>
        </is>
      </c>
      <c r="E2040" t="inlineStr">
        <is>
          <t>Spain</t>
        </is>
      </c>
    </row>
    <row r="2041">
      <c r="A2041" t="inlineStr">
        <is>
          <t>Green Marine Energy Sdn. Bhd.,  Bandar Menjalara, Kuala Lumpur, Malaysia</t>
        </is>
      </c>
      <c r="B2041" t="inlineStr">
        <is>
          <t>Trader</t>
        </is>
      </c>
      <c r="C2041" t="inlineStr">
        <is>
          <t>Trans Certification and Inspection Sdn Bhd, Kuantan, MY</t>
        </is>
      </c>
      <c r="D2041" t="inlineStr">
        <is>
          <t>25.06.2027</t>
        </is>
      </c>
      <c r="E2041" t="inlineStr">
        <is>
          <t>Malaysia</t>
        </is>
      </c>
    </row>
    <row r="2042">
      <c r="A2042" t="inlineStr">
        <is>
          <t>PT ZHENTAI MANUFACTURE INDONESIA,  Kab. Cirebon, Indonesia</t>
        </is>
      </c>
      <c r="B2042" t="inlineStr">
        <is>
          <t>Processing Unit, Trader with Storage</t>
        </is>
      </c>
      <c r="C2042" t="inlineStr">
        <is>
          <t>China Quality Certification Centre Co., Ltd., Beijing, CN</t>
        </is>
      </c>
      <c r="D2042" t="inlineStr">
        <is>
          <t>25.06.2027</t>
        </is>
      </c>
      <c r="E2042" t="inlineStr">
        <is>
          <t>Indonesia</t>
        </is>
      </c>
    </row>
    <row r="2043">
      <c r="A2043" t="inlineStr">
        <is>
          <t>Green Marine Energy Sdn. Bhd.,  Bandar Menjalara, Kuala Lumpur, Malaysia</t>
        </is>
      </c>
      <c r="B2043" t="inlineStr">
        <is>
          <t>Trader</t>
        </is>
      </c>
      <c r="C2043" t="inlineStr">
        <is>
          <t>Trans Certification and Inspection Sdn Bhd, Kuantan, MY</t>
        </is>
      </c>
      <c r="D2043" t="inlineStr">
        <is>
          <t>25.06.2027</t>
        </is>
      </c>
      <c r="E2043" t="inlineStr">
        <is>
          <t>Malaysia</t>
        </is>
      </c>
    </row>
    <row r="2044">
      <c r="A2044" t="inlineStr">
        <is>
          <t>Nilit (Suzhou) Engineering Plastic Technologies Co., Ltd.,  Suzhou,Jiangsu, China</t>
        </is>
      </c>
      <c r="B2044" t="inlineStr">
        <is>
          <t>Processing Unit, Trader with Storage</t>
        </is>
      </c>
      <c r="C2044" t="inlineStr">
        <is>
          <t>SCS Global Services, Emeryville, CA, US</t>
        </is>
      </c>
      <c r="D2044" t="inlineStr">
        <is>
          <t>25.06.2027</t>
        </is>
      </c>
      <c r="E2044" t="inlineStr">
        <is>
          <t>China</t>
        </is>
      </c>
    </row>
    <row r="2045">
      <c r="A2045" t="inlineStr">
        <is>
          <t>ESW Reiner Logistik GmbH,  Höchst, Austria</t>
        </is>
      </c>
      <c r="B2045" t="inlineStr">
        <is>
          <t>Trader with Storage</t>
        </is>
      </c>
      <c r="C2045" t="inlineStr">
        <is>
          <t>agroVet GmbH, Enzersfeld, AT</t>
        </is>
      </c>
      <c r="D2045" t="inlineStr">
        <is>
          <t>25.06.2027</t>
        </is>
      </c>
      <c r="E2045" t="inlineStr">
        <is>
          <t>Austria</t>
        </is>
      </c>
    </row>
    <row r="2046">
      <c r="A2046" t="inlineStr">
        <is>
          <t>Stahl Chemicals Germany GmbH,  Leinfelden-Echterdingen, Germany</t>
        </is>
      </c>
      <c r="B2046" t="inlineStr">
        <is>
          <t>Processing Unit</t>
        </is>
      </c>
      <c r="C2046" t="inlineStr">
        <is>
          <t>TÜV NORD CERT GmbH, Essen, DE</t>
        </is>
      </c>
      <c r="D2046" t="inlineStr">
        <is>
          <t>25.06.2027</t>
        </is>
      </c>
      <c r="E2046" t="inlineStr">
        <is>
          <t>Germany</t>
        </is>
      </c>
    </row>
    <row r="2047">
      <c r="A2047" t="inlineStr">
        <is>
          <t>CAMPIA BURNAZULUI COOPERATIVA AGRICOLA,  MALU, GIURGIU COUNTY, Romania</t>
        </is>
      </c>
      <c r="B2047" t="inlineStr">
        <is>
          <t>First Gathering Point</t>
        </is>
      </c>
      <c r="C2047" t="inlineStr">
        <is>
          <t>SRAC Cert SRL, Bucharest, RO</t>
        </is>
      </c>
      <c r="D2047" t="inlineStr">
        <is>
          <t>25.06.2027</t>
        </is>
      </c>
      <c r="E2047" t="inlineStr">
        <is>
          <t>Romania</t>
        </is>
      </c>
    </row>
    <row r="2048">
      <c r="A2048" t="inlineStr">
        <is>
          <t>Stahl Europe B.V.,  Waalwijk, Netherlands</t>
        </is>
      </c>
      <c r="B2048" t="inlineStr">
        <is>
          <t>Trader with Storage</t>
        </is>
      </c>
      <c r="C2048" t="inlineStr">
        <is>
          <t>TÜV NORD CERT GmbH, Essen, DE</t>
        </is>
      </c>
      <c r="D2048" t="inlineStr">
        <is>
          <t>25.06.2027</t>
        </is>
      </c>
      <c r="E2048" t="inlineStr">
        <is>
          <t>Netherlands</t>
        </is>
      </c>
    </row>
    <row r="2049">
      <c r="A2049" t="inlineStr">
        <is>
          <t>Lanxess Corporation,  Kalama, Washington, United States</t>
        </is>
      </c>
      <c r="B2049" t="inlineStr">
        <is>
          <t>Processing Unit</t>
        </is>
      </c>
      <c r="C2049" t="inlineStr">
        <is>
          <t>TÜV NORD CERT GmbH, Essen, DE</t>
        </is>
      </c>
      <c r="D2049" t="inlineStr">
        <is>
          <t>25.06.2027</t>
        </is>
      </c>
      <c r="E2049" t="inlineStr">
        <is>
          <t>United States</t>
        </is>
      </c>
    </row>
    <row r="2050">
      <c r="A2050" t="inlineStr">
        <is>
          <t>Schindele Handel,  Hörbranz, Austria</t>
        </is>
      </c>
      <c r="B2050" t="inlineStr">
        <is>
          <t>Trader with Storage</t>
        </is>
      </c>
      <c r="C2050" t="inlineStr">
        <is>
          <t>agroVet GmbH, Enzersfeld, AT</t>
        </is>
      </c>
      <c r="D2050" t="inlineStr">
        <is>
          <t>25.06.2027</t>
        </is>
      </c>
      <c r="E2050" t="inlineStr">
        <is>
          <t>Austria</t>
        </is>
      </c>
    </row>
    <row r="2051">
      <c r="A2051" t="inlineStr">
        <is>
          <t>Royal Sino-Energy Aviation Service Co., Ltd.,  Chaoyang District, Beijing City, China</t>
        </is>
      </c>
      <c r="B2051" t="inlineStr">
        <is>
          <t>Trader</t>
        </is>
      </c>
      <c r="C2051" t="inlineStr">
        <is>
          <t>SCS Global Services, Emeryville, CA, US</t>
        </is>
      </c>
      <c r="D2051" t="inlineStr">
        <is>
          <t>25.06.2027</t>
        </is>
      </c>
      <c r="E2051" t="inlineStr">
        <is>
          <t>China</t>
        </is>
      </c>
    </row>
    <row r="2052">
      <c r="A2052" t="inlineStr">
        <is>
          <t>Agri-Center,  Finale Emilia (Modena), Italy</t>
        </is>
      </c>
      <c r="B2052" t="inlineStr">
        <is>
          <t>First Gathering Point</t>
        </is>
      </c>
      <c r="C2052" t="inlineStr">
        <is>
          <t>DNV Business Assurance Sweden AB, Solna, SE</t>
        </is>
      </c>
      <c r="D2052" t="inlineStr">
        <is>
          <t>25.06.2027</t>
        </is>
      </c>
      <c r="E2052" t="inlineStr">
        <is>
          <t>Italy</t>
        </is>
      </c>
    </row>
    <row r="2053">
      <c r="A2053" t="inlineStr">
        <is>
          <t>Pacific Oils &amp; Fats Industries Sdn Bhd,  KAWASAN ZON PERDAGANGAN BEBAS, PASIR GUDANG, Malaysia</t>
        </is>
      </c>
      <c r="B2053" t="inlineStr">
        <is>
          <t>Warehouse</t>
        </is>
      </c>
      <c r="C2053" t="inlineStr">
        <is>
          <t>Control Union Poland Sp. z o.o., Zielona Gora, PL</t>
        </is>
      </c>
      <c r="D2053" t="inlineStr">
        <is>
          <t>25.06.2027</t>
        </is>
      </c>
      <c r="E2053" t="inlineStr">
        <is>
          <t>Malaysia</t>
        </is>
      </c>
    </row>
    <row r="2054">
      <c r="A2054" t="inlineStr">
        <is>
          <t>Singapore Petroleum Company Limited,  Millenia tower, Singapore</t>
        </is>
      </c>
      <c r="B2054" t="inlineStr">
        <is>
          <t>Trader with Storage</t>
        </is>
      </c>
      <c r="C2054" t="inlineStr">
        <is>
          <t>Control Union Certifications Germany GmbH, Berlin, DE</t>
        </is>
      </c>
      <c r="D2054" t="inlineStr">
        <is>
          <t>25.06.2027</t>
        </is>
      </c>
      <c r="E2054" t="inlineStr">
        <is>
          <t>Singapore</t>
        </is>
      </c>
    </row>
    <row r="2055">
      <c r="A2055" t="inlineStr">
        <is>
          <t>SM Tech Co.,LTD,  Pyeongtaek-si, Gyeonggi-do, Korea, Republic of</t>
        </is>
      </c>
      <c r="B2055" t="inlineStr">
        <is>
          <t>Collecting Point, Processing Unit</t>
        </is>
      </c>
      <c r="C2055" t="inlineStr">
        <is>
          <t>Control Union Certifications Germany GmbH, Berlin, DE</t>
        </is>
      </c>
      <c r="D2055" t="inlineStr">
        <is>
          <t>25.06.2027</t>
        </is>
      </c>
      <c r="E2055" t="inlineStr">
        <is>
          <t>Republic of</t>
        </is>
      </c>
    </row>
    <row r="2056">
      <c r="A2056" t="inlineStr">
        <is>
          <t>Singapore Petroleum Company Limited,  Millenia tower, Singapore</t>
        </is>
      </c>
      <c r="B2056" t="inlineStr">
        <is>
          <t>Trader with Storage</t>
        </is>
      </c>
      <c r="C2056" t="inlineStr">
        <is>
          <t>Control Union Certifications Germany GmbH, Berlin, DE</t>
        </is>
      </c>
      <c r="D2056" t="inlineStr">
        <is>
          <t>25.06.2027</t>
        </is>
      </c>
      <c r="E2056" t="inlineStr">
        <is>
          <t>Singapore</t>
        </is>
      </c>
    </row>
    <row r="2057">
      <c r="A2057" t="inlineStr">
        <is>
          <t>Seaboard Energías Renovables y Alimentos S.R.L.,  Orán, Salta, Argentina</t>
        </is>
      </c>
      <c r="B2057" t="inlineStr">
        <is>
          <t>First Gathering Point, Processing Unit</t>
        </is>
      </c>
      <c r="C2057" t="inlineStr">
        <is>
          <t>Control Union Poland Sp. z o.o., Zielona Gora, PL</t>
        </is>
      </c>
      <c r="D2057" t="inlineStr">
        <is>
          <t>25.06.2027</t>
        </is>
      </c>
      <c r="E2057" t="inlineStr">
        <is>
          <t>Argentina</t>
        </is>
      </c>
    </row>
    <row r="2058">
      <c r="A2058" t="inlineStr">
        <is>
          <t>NEWAY MACAO COMMERCIAL LIMITED,  MACAU, China</t>
        </is>
      </c>
      <c r="B2058" t="inlineStr">
        <is>
          <t>Trader</t>
        </is>
      </c>
      <c r="C2058" t="inlineStr">
        <is>
          <t>China Testing &amp; Certification International Group Co., Ltd., Beijing, CN</t>
        </is>
      </c>
      <c r="D2058" t="inlineStr">
        <is>
          <t>25.06.2027</t>
        </is>
      </c>
      <c r="E2058" t="inlineStr">
        <is>
          <t>China</t>
        </is>
      </c>
    </row>
    <row r="2059">
      <c r="A2059" t="inlineStr">
        <is>
          <t>LOTTE VERSALIS ELASTOMERS,  Yeosu city, South Korea</t>
        </is>
      </c>
      <c r="B2059" t="inlineStr">
        <is>
          <t>Processing Unit</t>
        </is>
      </c>
      <c r="C2059" t="inlineStr">
        <is>
          <t>Control Union Certifications Germany GmbH, Berlin, DE</t>
        </is>
      </c>
      <c r="D2059" t="inlineStr">
        <is>
          <t>25.06.2027</t>
        </is>
      </c>
      <c r="E2059" t="inlineStr">
        <is>
          <t>South Korea</t>
        </is>
      </c>
    </row>
    <row r="2060">
      <c r="A2060" t="inlineStr">
        <is>
          <t>DONGGUAN JIUXIN PLASTIC CO., LTD,  DONGGUAN CITY, GUANGDONG PROVINCE, China</t>
        </is>
      </c>
      <c r="B2060" t="inlineStr">
        <is>
          <t>Processing Unit</t>
        </is>
      </c>
      <c r="C2060" t="inlineStr">
        <is>
          <t>SCS Global Services, Emeryville, CA, US</t>
        </is>
      </c>
      <c r="D2060" t="inlineStr">
        <is>
          <t>25.06.2027</t>
        </is>
      </c>
      <c r="E2060" t="inlineStr">
        <is>
          <t>China</t>
        </is>
      </c>
    </row>
    <row r="2061">
      <c r="A2061" t="inlineStr">
        <is>
          <t>mydibel,  Mouscron, Belgium</t>
        </is>
      </c>
      <c r="B2061" t="inlineStr">
        <is>
          <t>Point of Origin, Trader, Processing Unit</t>
        </is>
      </c>
      <c r="C2061" t="inlineStr">
        <is>
          <t>Control Union Certifications Germany GmbH, Berlin, DE</t>
        </is>
      </c>
      <c r="D2061" t="inlineStr">
        <is>
          <t>25.06.2027</t>
        </is>
      </c>
      <c r="E2061" t="inlineStr">
        <is>
          <t>Belgium</t>
        </is>
      </c>
    </row>
    <row r="2062">
      <c r="A2062" t="inlineStr">
        <is>
          <t>EC.O.E. s.r.l. Ecologia Oli Esausti,  Elmas (CA), Italy</t>
        </is>
      </c>
      <c r="B2062" t="inlineStr">
        <is>
          <t>Collecting Point</t>
        </is>
      </c>
      <c r="C2062" t="inlineStr">
        <is>
          <t>RINA Services S.p.A., Genova, IT</t>
        </is>
      </c>
      <c r="D2062" t="inlineStr">
        <is>
          <t>25.06.2027</t>
        </is>
      </c>
      <c r="E2062" t="inlineStr">
        <is>
          <t>Italy</t>
        </is>
      </c>
    </row>
    <row r="2063">
      <c r="A2063" t="inlineStr">
        <is>
          <t>Cargill Palm Products - Port Klang Refinery,  Port Klang, Malaysia</t>
        </is>
      </c>
      <c r="B2063" t="inlineStr">
        <is>
          <t>Point of Origin</t>
        </is>
      </c>
      <c r="C2063" t="inlineStr">
        <is>
          <t>Control Union Certifications Germany GmbH, Berlin, DE</t>
        </is>
      </c>
      <c r="D2063" t="inlineStr">
        <is>
          <t>25.06.2027</t>
        </is>
      </c>
      <c r="E2063" t="inlineStr">
        <is>
          <t>Malaysia</t>
        </is>
      </c>
    </row>
    <row r="2064">
      <c r="A2064" t="inlineStr">
        <is>
          <t>BP Europa SE,  Lingen, Germany</t>
        </is>
      </c>
      <c r="B2064" t="inlineStr">
        <is>
          <t>Processing Unit, Trader with Storage</t>
        </is>
      </c>
      <c r="C2064" t="inlineStr">
        <is>
          <t>Control Union Certifications Germany GmbH, Berlin, DE</t>
        </is>
      </c>
      <c r="D2064" t="inlineStr">
        <is>
          <t>25.06.2027</t>
        </is>
      </c>
      <c r="E2064" t="inlineStr">
        <is>
          <t>Germany</t>
        </is>
      </c>
    </row>
    <row r="2065">
      <c r="A2065" t="inlineStr">
        <is>
          <t>GLOBAL TRADE HOUSE GI FZCO,  Chisinau, Moldova</t>
        </is>
      </c>
      <c r="B2065" t="inlineStr">
        <is>
          <t>First Gathering Point, Trader with Storage</t>
        </is>
      </c>
      <c r="C2065" t="inlineStr">
        <is>
          <t>Apex Genelab LLC, Odessa, UA</t>
        </is>
      </c>
      <c r="D2065" t="inlineStr">
        <is>
          <t>25.06.2027</t>
        </is>
      </c>
      <c r="E2065" t="inlineStr">
        <is>
          <t>Moldova</t>
        </is>
      </c>
    </row>
    <row r="2066">
      <c r="A2066" t="inlineStr">
        <is>
          <t>Lycos Malt s.r.o.,  Trnava, Slovakia</t>
        </is>
      </c>
      <c r="B2066" t="inlineStr">
        <is>
          <t>First Gathering Point, Trader with Storage</t>
        </is>
      </c>
      <c r="C2066" t="inlineStr">
        <is>
          <t>Bureau Veritas Polska Sp. z o.o., Warsaw, PL</t>
        </is>
      </c>
      <c r="D2066" t="inlineStr">
        <is>
          <t>25.06.2027</t>
        </is>
      </c>
      <c r="E2066" t="inlineStr">
        <is>
          <t>Slovakia</t>
        </is>
      </c>
    </row>
    <row r="2067">
      <c r="A2067" t="inlineStr">
        <is>
          <t>Kian Hoe Plantations Berhad,  Kluang, Malaysia</t>
        </is>
      </c>
      <c r="B2067" t="inlineStr">
        <is>
          <t>Point of Origin, Processing Unit</t>
        </is>
      </c>
      <c r="C2067" t="inlineStr">
        <is>
          <t>PT. Qualitas Sertifikasi Indonesia, Jakarta, ID</t>
        </is>
      </c>
      <c r="D2067" t="inlineStr">
        <is>
          <t>25.06.2027</t>
        </is>
      </c>
      <c r="E2067" t="inlineStr">
        <is>
          <t>Malaysia</t>
        </is>
      </c>
    </row>
    <row r="2068">
      <c r="A2068" t="inlineStr">
        <is>
          <t>BP Europa SE,  Lingen, Germany</t>
        </is>
      </c>
      <c r="B2068" t="inlineStr">
        <is>
          <t>Processing Unit, Trader with Storage</t>
        </is>
      </c>
      <c r="C2068" t="inlineStr">
        <is>
          <t>Control Union Certifications Germany GmbH, Berlin, DE</t>
        </is>
      </c>
      <c r="D2068" t="inlineStr">
        <is>
          <t>25.06.2027</t>
        </is>
      </c>
      <c r="E2068" t="inlineStr">
        <is>
          <t>Germany</t>
        </is>
      </c>
    </row>
    <row r="2069">
      <c r="A2069" t="inlineStr">
        <is>
          <t>Rolande Germany GmbH,  Emmerich am Rhein, Germany</t>
        </is>
      </c>
      <c r="B2069" t="inlineStr">
        <is>
          <t>Trader</t>
        </is>
      </c>
      <c r="C2069" t="inlineStr">
        <is>
          <t>DEKRA Certification B.V., Arnhem, NL</t>
        </is>
      </c>
      <c r="D2069" t="inlineStr">
        <is>
          <t>25.06.2027</t>
        </is>
      </c>
      <c r="E2069" t="inlineStr">
        <is>
          <t>Germany</t>
        </is>
      </c>
    </row>
    <row r="2070">
      <c r="A2070" t="inlineStr">
        <is>
          <t>Rolande B.V.,  Tilburg, Netherlands</t>
        </is>
      </c>
      <c r="B2070" t="inlineStr">
        <is>
          <t>Trader</t>
        </is>
      </c>
      <c r="C2070" t="inlineStr">
        <is>
          <t>DEKRA Certification B.V., Arnhem, NL</t>
        </is>
      </c>
      <c r="D2070" t="inlineStr">
        <is>
          <t>25.06.2027</t>
        </is>
      </c>
      <c r="E2070" t="inlineStr">
        <is>
          <t>Netherlands</t>
        </is>
      </c>
    </row>
    <row r="2071">
      <c r="A2071" t="inlineStr">
        <is>
          <t>Zhejiang Xinyijia Renewable Resources Co.,LTD.,  Shaoxing, China</t>
        </is>
      </c>
      <c r="B2071" t="inlineStr">
        <is>
          <t>Collecting Point</t>
        </is>
      </c>
      <c r="C2071" t="inlineStr">
        <is>
          <t>SGS Germany GmbH, Emstek, DE</t>
        </is>
      </c>
      <c r="D2071" t="inlineStr">
        <is>
          <t>25.06.2027</t>
        </is>
      </c>
      <c r="E2071" t="inlineStr">
        <is>
          <t>China</t>
        </is>
      </c>
    </row>
    <row r="2072">
      <c r="A2072" t="inlineStr">
        <is>
          <t>Loparex Germany GmbH &amp; Co. KG,  Forchheim, Germany</t>
        </is>
      </c>
      <c r="B2072" t="inlineStr">
        <is>
          <t>Processing Unit</t>
        </is>
      </c>
      <c r="C2072" t="inlineStr">
        <is>
          <t>DIN CERTCO GmbH, Berlin, DE</t>
        </is>
      </c>
      <c r="D2072" t="inlineStr">
        <is>
          <t>25.06.2027</t>
        </is>
      </c>
      <c r="E2072" t="inlineStr">
        <is>
          <t>Germany</t>
        </is>
      </c>
    </row>
    <row r="2073">
      <c r="A2073" t="inlineStr">
        <is>
          <t>FORTUNE PLANET INDUSTRIAL LIMITED,  Long An Province, Vietnam</t>
        </is>
      </c>
      <c r="B2073" t="inlineStr">
        <is>
          <t>Trader</t>
        </is>
      </c>
      <c r="C2073" t="inlineStr">
        <is>
          <t>SGS Germany GmbH, Emstek, DE</t>
        </is>
      </c>
      <c r="D2073" t="inlineStr">
        <is>
          <t>25.06.2027</t>
        </is>
      </c>
      <c r="E2073" t="inlineStr">
        <is>
          <t>Vietnam</t>
        </is>
      </c>
    </row>
    <row r="2074">
      <c r="A2074" t="inlineStr">
        <is>
          <t>Kanae Co.,Ltd.,  Minato,Chuo-ku,Tokyo, Japan</t>
        </is>
      </c>
      <c r="B2074" t="inlineStr">
        <is>
          <t>Trader with Storage</t>
        </is>
      </c>
      <c r="C2074" t="inlineStr">
        <is>
          <t>SGS Germany GmbH, Emstek, DE</t>
        </is>
      </c>
      <c r="D2074" t="inlineStr">
        <is>
          <t>25.06.2027</t>
        </is>
      </c>
      <c r="E2074" t="inlineStr">
        <is>
          <t>Japan</t>
        </is>
      </c>
    </row>
    <row r="2075">
      <c r="A2075" t="inlineStr">
        <is>
          <t>leimao international limited,  shanghai, China</t>
        </is>
      </c>
      <c r="B2075" t="inlineStr">
        <is>
          <t>Trader</t>
        </is>
      </c>
      <c r="C2075" t="inlineStr">
        <is>
          <t>SGS Germany GmbH, Emstek, DE</t>
        </is>
      </c>
      <c r="D2075" t="inlineStr">
        <is>
          <t>25.06.2027</t>
        </is>
      </c>
      <c r="E2075" t="inlineStr">
        <is>
          <t>China</t>
        </is>
      </c>
    </row>
    <row r="2076">
      <c r="A2076" t="inlineStr">
        <is>
          <t>Sun Hing Eyewear Company Limited,  Chang'an Town, Dongguan City, Guangdong Province, China</t>
        </is>
      </c>
      <c r="B2076" t="inlineStr">
        <is>
          <t>Trader</t>
        </is>
      </c>
      <c r="C2076" t="inlineStr">
        <is>
          <t>SGS Germany GmbH, Emstek, DE</t>
        </is>
      </c>
      <c r="D2076" t="inlineStr">
        <is>
          <t>25.06.2027</t>
        </is>
      </c>
      <c r="E2076" t="inlineStr">
        <is>
          <t>China</t>
        </is>
      </c>
    </row>
    <row r="2077">
      <c r="A2077" t="inlineStr">
        <is>
          <t>TUI AIRLINES BELGIUM,  ZAVENTEM, Belgium</t>
        </is>
      </c>
      <c r="B2077" t="inlineStr">
        <is>
          <t>Proof of Compliance Trader, Trader with Storage</t>
        </is>
      </c>
      <c r="C2077" t="inlineStr">
        <is>
          <t>SGS Germany GmbH, Emstek, DE</t>
        </is>
      </c>
      <c r="D2077" t="inlineStr">
        <is>
          <t>25.06.2027</t>
        </is>
      </c>
      <c r="E2077" t="inlineStr">
        <is>
          <t>Belgium</t>
        </is>
      </c>
    </row>
    <row r="2078">
      <c r="A2078" t="inlineStr">
        <is>
          <t>Inno Wangsa Industries Sdn Bhd,  Kawasan Perindustrian Meil, Malaysia</t>
        </is>
      </c>
      <c r="B2078" t="inlineStr">
        <is>
          <t>Trader</t>
        </is>
      </c>
      <c r="C2078" t="inlineStr">
        <is>
          <t>Trans Certification and Inspection Sdn Bhd, Kuantan, MY</t>
        </is>
      </c>
      <c r="D2078" t="inlineStr">
        <is>
          <t>25.06.2027</t>
        </is>
      </c>
      <c r="E2078" t="inlineStr">
        <is>
          <t>Malaysia</t>
        </is>
      </c>
    </row>
    <row r="2079">
      <c r="A2079" t="inlineStr">
        <is>
          <t>Marees en Kistemaker B.V.,  Kolhorn, Netherlands</t>
        </is>
      </c>
      <c r="B2079" t="inlineStr">
        <is>
          <t>Trader with Storage</t>
        </is>
      </c>
      <c r="C2079" t="inlineStr">
        <is>
          <t>DEKRA Certification B.V., Arnhem, NL</t>
        </is>
      </c>
      <c r="D2079" t="inlineStr">
        <is>
          <t>25.06.2027</t>
        </is>
      </c>
      <c r="E2079" t="inlineStr">
        <is>
          <t>Netherlands</t>
        </is>
      </c>
    </row>
    <row r="2080">
      <c r="A2080" t="inlineStr">
        <is>
          <t>Xi'an Aerospace Investment Huanyu Bioenergy Technology Co., Ltd.,  Xi'an City, Shaanxi Province, China</t>
        </is>
      </c>
      <c r="B2080" t="inlineStr">
        <is>
          <t>Trader</t>
        </is>
      </c>
      <c r="C2080" t="inlineStr">
        <is>
          <t>CTI Certification Co. Ltd, Shenzhen, CN</t>
        </is>
      </c>
      <c r="D2080" t="inlineStr">
        <is>
          <t>25.06.2027</t>
        </is>
      </c>
      <c r="E2080" t="inlineStr">
        <is>
          <t>China</t>
        </is>
      </c>
    </row>
    <row r="2081">
      <c r="A2081" t="inlineStr">
        <is>
          <t>CHENGDU HSINDA POLYMER MATERIALS CO., LTD,  Chengdu, Sichuan, China</t>
        </is>
      </c>
      <c r="B2081" t="inlineStr">
        <is>
          <t>Processing Unit</t>
        </is>
      </c>
      <c r="C2081" t="inlineStr">
        <is>
          <t>CTI Certification Co. Ltd, Shenzhen, CN</t>
        </is>
      </c>
      <c r="D2081" t="inlineStr">
        <is>
          <t>25.06.2027</t>
        </is>
      </c>
      <c r="E2081" t="inlineStr">
        <is>
          <t>China</t>
        </is>
      </c>
    </row>
    <row r="2082">
      <c r="A2082" t="inlineStr">
        <is>
          <t>CHIMBUSCO Marine Bunker (Nantong) Co., Ltd.,  Nantong, Jiangsu Province,, China</t>
        </is>
      </c>
      <c r="B2082" t="inlineStr">
        <is>
          <t>Trader</t>
        </is>
      </c>
      <c r="C2082" t="inlineStr">
        <is>
          <t>Guardian Independent Certification Limited, Singapore, SG</t>
        </is>
      </c>
      <c r="D2082" t="inlineStr">
        <is>
          <t>25.06.2027</t>
        </is>
      </c>
      <c r="E2082" t="inlineStr">
        <is>
          <t>China</t>
        </is>
      </c>
    </row>
    <row r="2083">
      <c r="A2083" t="inlineStr">
        <is>
          <t>Camonix Star SRL,  OLTENITA, Romania</t>
        </is>
      </c>
      <c r="B2083" t="inlineStr">
        <is>
          <t>First Gathering Point</t>
        </is>
      </c>
      <c r="C2083" t="inlineStr">
        <is>
          <t>BM Certification, Riga, LV</t>
        </is>
      </c>
      <c r="D2083" t="inlineStr">
        <is>
          <t>25.06.2027</t>
        </is>
      </c>
      <c r="E2083" t="inlineStr">
        <is>
          <t>Romania</t>
        </is>
      </c>
    </row>
    <row r="2084">
      <c r="A2084" t="inlineStr">
        <is>
          <t>Redi Pellet SHPK,  Maliq, Albania</t>
        </is>
      </c>
      <c r="B2084" t="inlineStr">
        <is>
          <t>Collecting Point, Processing Unit</t>
        </is>
      </c>
      <c r="C2084" t="inlineStr">
        <is>
          <t>Business Quality Verification Testing and Certification Services P.C. (BQV), Marousi, Athens, GR</t>
        </is>
      </c>
      <c r="D2084" t="inlineStr">
        <is>
          <t>25.06.2027</t>
        </is>
      </c>
      <c r="E2084" t="inlineStr">
        <is>
          <t>Albania</t>
        </is>
      </c>
    </row>
    <row r="2085">
      <c r="A2085" t="inlineStr">
        <is>
          <t>JUPITER LAMINATORS PRIVATE LIMITED,  Sonipat, India</t>
        </is>
      </c>
      <c r="B2085" t="inlineStr">
        <is>
          <t>Final Product Refinement, Processing Unit</t>
        </is>
      </c>
      <c r="C2085" t="inlineStr">
        <is>
          <t>PT Intertek Utama Services, Jakarta, ID</t>
        </is>
      </c>
      <c r="D2085" t="inlineStr">
        <is>
          <t>25.06.2027</t>
        </is>
      </c>
      <c r="E2085" t="inlineStr">
        <is>
          <t>India</t>
        </is>
      </c>
    </row>
    <row r="2086">
      <c r="A2086" t="inlineStr">
        <is>
          <t>Patalomi Agrár Szövetkezet,  Patalom, Hungary</t>
        </is>
      </c>
      <c r="B2086" t="inlineStr">
        <is>
          <t>First Gathering Point</t>
        </is>
      </c>
      <c r="C2086" t="inlineStr">
        <is>
          <t>Amspec Iberia SL, Vilagarcia de Arousa-Pontevedra, ES</t>
        </is>
      </c>
      <c r="D2086" t="inlineStr">
        <is>
          <t>25.06.2027</t>
        </is>
      </c>
      <c r="E2086" t="inlineStr">
        <is>
          <t>Hungary</t>
        </is>
      </c>
    </row>
    <row r="2087">
      <c r="A2087" t="inlineStr">
        <is>
          <t>Teknikum Oy,  Sastamala, Finland</t>
        </is>
      </c>
      <c r="B2087" t="inlineStr">
        <is>
          <t>Processing Unit</t>
        </is>
      </c>
      <c r="C2087" t="inlineStr">
        <is>
          <t>DNV Business Assurance Sweden AB, Solna, SE</t>
        </is>
      </c>
      <c r="D2087" t="inlineStr">
        <is>
          <t>25.06.2027</t>
        </is>
      </c>
      <c r="E2087" t="inlineStr">
        <is>
          <t>Finland</t>
        </is>
      </c>
    </row>
    <row r="2088">
      <c r="A2088" t="inlineStr">
        <is>
          <t>ECOTRANSOIL S.L.,  Cambre-A Coruña, Spain</t>
        </is>
      </c>
      <c r="B2088" t="inlineStr">
        <is>
          <t>Collecting Point</t>
        </is>
      </c>
      <c r="C2088" t="inlineStr">
        <is>
          <t>Amspec Iberia SL, Vilagarcia de Arousa-Pontevedra, ES</t>
        </is>
      </c>
      <c r="D2088" t="inlineStr">
        <is>
          <t>25.06.2027</t>
        </is>
      </c>
      <c r="E2088" t="inlineStr">
        <is>
          <t>Spain</t>
        </is>
      </c>
    </row>
    <row r="2089">
      <c r="A2089" t="inlineStr">
        <is>
          <t>DuPont Specialty Products (US), LLC,  Richmond, United States</t>
        </is>
      </c>
      <c r="B2089" t="inlineStr">
        <is>
          <t>Processing Unit, Final Product Refinement</t>
        </is>
      </c>
      <c r="C2089" t="inlineStr">
        <is>
          <t>Control Union Poland Sp. z o.o., Zielona Gora, PL</t>
        </is>
      </c>
      <c r="D2089" t="inlineStr">
        <is>
          <t>24.06.2027</t>
        </is>
      </c>
      <c r="E2089" t="inlineStr">
        <is>
          <t>United States</t>
        </is>
      </c>
    </row>
    <row r="2090">
      <c r="A2090" t="inlineStr">
        <is>
          <t>Selecatar SLU,  Santa Cruz de Tenerife, Spain</t>
        </is>
      </c>
      <c r="B2090" t="inlineStr">
        <is>
          <t>Collecting Point, Trader</t>
        </is>
      </c>
      <c r="C2090" t="inlineStr">
        <is>
          <t>Control Union Poland Sp. z o.o., Zielona Gora, PL</t>
        </is>
      </c>
      <c r="D2090" t="inlineStr">
        <is>
          <t>24.06.2027</t>
        </is>
      </c>
      <c r="E2090" t="inlineStr">
        <is>
          <t>Spain</t>
        </is>
      </c>
    </row>
    <row r="2091">
      <c r="A2091" t="inlineStr">
        <is>
          <t>S-OIL Corporation (Onsan Refinery),  Onsan-eup, Ulju-gun, Ulsan, Korea, Republic of</t>
        </is>
      </c>
      <c r="B2091" t="inlineStr">
        <is>
          <t>Trader with Storage</t>
        </is>
      </c>
      <c r="C2091" t="inlineStr">
        <is>
          <t>Control Union Certifications Germany GmbH, Berlin, DE</t>
        </is>
      </c>
      <c r="D2091" t="inlineStr">
        <is>
          <t>24.06.2027</t>
        </is>
      </c>
      <c r="E2091" t="inlineStr">
        <is>
          <t>Republic of</t>
        </is>
      </c>
    </row>
    <row r="2092">
      <c r="A2092" t="inlineStr">
        <is>
          <t>Beijing Youtong Technology Co., Ltd.,  Beijing, China</t>
        </is>
      </c>
      <c r="B2092" t="inlineStr">
        <is>
          <t>Collecting Point, Trader with Storage</t>
        </is>
      </c>
      <c r="C2092" t="inlineStr">
        <is>
          <t>RINA Services S.p.A., Genova, IT</t>
        </is>
      </c>
      <c r="D2092" t="inlineStr">
        <is>
          <t>24.06.2027</t>
        </is>
      </c>
      <c r="E2092" t="inlineStr">
        <is>
          <t>China</t>
        </is>
      </c>
    </row>
    <row r="2093">
      <c r="A2093" t="inlineStr">
        <is>
          <t>Beijing Youtong Technology Co., Ltd.,  Beijing, China</t>
        </is>
      </c>
      <c r="B2093" t="inlineStr">
        <is>
          <t>Collecting Point, Trader with Storage</t>
        </is>
      </c>
      <c r="C2093" t="inlineStr">
        <is>
          <t>RINA Services S.p.A., Genova, IT</t>
        </is>
      </c>
      <c r="D2093" t="inlineStr">
        <is>
          <t>24.06.2027</t>
        </is>
      </c>
      <c r="E2093" t="inlineStr">
        <is>
          <t>China</t>
        </is>
      </c>
    </row>
    <row r="2094">
      <c r="A2094" t="inlineStr">
        <is>
          <t>Euro Grains Trading,  Tecuci, Galati County, Romania</t>
        </is>
      </c>
      <c r="B2094" t="inlineStr">
        <is>
          <t>First Gathering Point, Trader with Storage</t>
        </is>
      </c>
      <c r="C2094" t="inlineStr">
        <is>
          <t>Bureau Veritas Polska Sp. z o.o., Warsaw, PL</t>
        </is>
      </c>
      <c r="D2094" t="inlineStr">
        <is>
          <t>24.06.2027</t>
        </is>
      </c>
      <c r="E2094" t="inlineStr">
        <is>
          <t>Romania</t>
        </is>
      </c>
    </row>
    <row r="2095">
      <c r="A2095" t="inlineStr">
        <is>
          <t>Piemonte Ambiente,  Chiusanico, Italy</t>
        </is>
      </c>
      <c r="B2095" t="inlineStr">
        <is>
          <t>Collecting Point</t>
        </is>
      </c>
      <c r="C2095" t="inlineStr">
        <is>
          <t>ICIM SpA, sesto san giovanni, IT</t>
        </is>
      </c>
      <c r="D2095" t="inlineStr">
        <is>
          <t>24.06.2027</t>
        </is>
      </c>
      <c r="E2095" t="inlineStr">
        <is>
          <t>Italy</t>
        </is>
      </c>
    </row>
    <row r="2096">
      <c r="A2096" t="inlineStr">
        <is>
          <t>Agromas Grup SRL,  Slobozia, Romania</t>
        </is>
      </c>
      <c r="B2096" t="inlineStr">
        <is>
          <t>First Gathering Point, Trader with Storage</t>
        </is>
      </c>
      <c r="C2096" t="inlineStr">
        <is>
          <t>Control Union Certifications Germany GmbH, Berlin, DE</t>
        </is>
      </c>
      <c r="D2096" t="inlineStr">
        <is>
          <t>24.06.2027</t>
        </is>
      </c>
      <c r="E2096" t="inlineStr">
        <is>
          <t>Romania</t>
        </is>
      </c>
    </row>
    <row r="2097">
      <c r="A2097" t="inlineStr">
        <is>
          <t>THANASAPRUNG VEGETABLE OIL,  Pathum Thani, Thailand</t>
        </is>
      </c>
      <c r="B2097" t="inlineStr">
        <is>
          <t>Collecting Point, Trader with Storage</t>
        </is>
      </c>
      <c r="C2097" t="inlineStr">
        <is>
          <t>Trans Certification and Inspection Sdn Bhd, Kuantan, MY</t>
        </is>
      </c>
      <c r="D2097" t="inlineStr">
        <is>
          <t>24.06.2027</t>
        </is>
      </c>
      <c r="E2097" t="inlineStr">
        <is>
          <t>Thailand</t>
        </is>
      </c>
    </row>
    <row r="2098">
      <c r="A2098" t="inlineStr">
        <is>
          <t>TIRYAKI TAHIL VE YEM TICARET ANONIM SIRKETI KARACABEY SUBESI,  KARACABEY / BURSA, Türkiye</t>
        </is>
      </c>
      <c r="B2098" t="inlineStr">
        <is>
          <t>Point of Origin, Trader with Storage, Warehouse, Processing Unit</t>
        </is>
      </c>
      <c r="C2098" t="inlineStr">
        <is>
          <t>Trans Certification and Inspection Sdn Bhd, Kuantan, MY</t>
        </is>
      </c>
      <c r="D2098" t="inlineStr">
        <is>
          <t>24.06.2027</t>
        </is>
      </c>
      <c r="E2098" t="inlineStr">
        <is>
          <t>Türkiye</t>
        </is>
      </c>
    </row>
    <row r="2099">
      <c r="A2099" t="inlineStr">
        <is>
          <t>TERRE DEL DELTA SOCIETA' COOPERATIVA AGRICOLA,  Taglio di Po, Italy</t>
        </is>
      </c>
      <c r="B2099" t="inlineStr">
        <is>
          <t>First Gathering Point</t>
        </is>
      </c>
      <c r="C2099" t="inlineStr">
        <is>
          <t>RINA Services S.p.A., Genova, IT</t>
        </is>
      </c>
      <c r="D2099" t="inlineStr">
        <is>
          <t>24.06.2027</t>
        </is>
      </c>
      <c r="E2099" t="inlineStr">
        <is>
          <t>Italy</t>
        </is>
      </c>
    </row>
    <row r="2100">
      <c r="A2100" t="inlineStr">
        <is>
          <t>Ruhr-Petrol GmbH,  Essen, Germany</t>
        </is>
      </c>
      <c r="B2100" t="inlineStr">
        <is>
          <t>Trader</t>
        </is>
      </c>
      <c r="C2100" t="inlineStr">
        <is>
          <t>TÜV NORD CERT GmbH, Essen, DE</t>
        </is>
      </c>
      <c r="D2100" t="inlineStr">
        <is>
          <t>24.06.2027</t>
        </is>
      </c>
      <c r="E2100" t="inlineStr">
        <is>
          <t>Germany</t>
        </is>
      </c>
    </row>
    <row r="2101">
      <c r="A2101" t="inlineStr">
        <is>
          <t>Ruhr-Petrol GmbH,  Essen, Germany</t>
        </is>
      </c>
      <c r="B2101" t="inlineStr">
        <is>
          <t>Trader</t>
        </is>
      </c>
      <c r="C2101" t="inlineStr">
        <is>
          <t>TÜV NORD CERT GmbH, Essen, DE</t>
        </is>
      </c>
      <c r="D2101" t="inlineStr">
        <is>
          <t>24.06.2027</t>
        </is>
      </c>
      <c r="E2101" t="inlineStr">
        <is>
          <t>Germany</t>
        </is>
      </c>
    </row>
    <row r="2102">
      <c r="A2102" t="inlineStr">
        <is>
          <t>ElbOil UK Ltd,  London, United Kingdom</t>
        </is>
      </c>
      <c r="B2102" t="inlineStr">
        <is>
          <t>Trader</t>
        </is>
      </c>
      <c r="C2102" t="inlineStr">
        <is>
          <t>Control Union Certifications Germany GmbH, Berlin, DE</t>
        </is>
      </c>
      <c r="D2102" t="inlineStr">
        <is>
          <t>24.06.2027</t>
        </is>
      </c>
      <c r="E2102" t="inlineStr">
        <is>
          <t>United Kingdom</t>
        </is>
      </c>
    </row>
    <row r="2103">
      <c r="A2103" t="inlineStr">
        <is>
          <t>TOYOTA TSUSHO CORPORATION,  Aichi, Japan</t>
        </is>
      </c>
      <c r="B2103" t="inlineStr">
        <is>
          <t>Collecting Point</t>
        </is>
      </c>
      <c r="C2103" t="inlineStr">
        <is>
          <t>Control Union Certifications Germany GmbH, Berlin, DE</t>
        </is>
      </c>
      <c r="D2103" t="inlineStr">
        <is>
          <t>24.06.2027</t>
        </is>
      </c>
      <c r="E2103" t="inlineStr">
        <is>
          <t>Japan</t>
        </is>
      </c>
    </row>
    <row r="2104">
      <c r="A2104" t="inlineStr">
        <is>
          <t>UTTER GROWTH LIMITED.,  Taipei City, Songshan Dist.,, Taiwan, Province of China</t>
        </is>
      </c>
      <c r="B2104" t="inlineStr">
        <is>
          <t>Trader</t>
        </is>
      </c>
      <c r="C2104" t="inlineStr">
        <is>
          <t>Control Union Certifications Germany GmbH, Berlin, DE</t>
        </is>
      </c>
      <c r="D2104" t="inlineStr">
        <is>
          <t>24.06.2027</t>
        </is>
      </c>
      <c r="E2104" t="inlineStr">
        <is>
          <t>Province of China</t>
        </is>
      </c>
    </row>
    <row r="2105">
      <c r="A2105" t="inlineStr">
        <is>
          <t>MKL Viet Nam Company Limited,  Khanh Hoi Ward, Ho Chi Minh City, Vietnam</t>
        </is>
      </c>
      <c r="B2105" t="inlineStr">
        <is>
          <t>Collecting Point, Trader with Storage</t>
        </is>
      </c>
      <c r="C2105" t="inlineStr">
        <is>
          <t>China Standard Conformity Assessment Co. Ltd, Beijing, CN</t>
        </is>
      </c>
      <c r="D2105" t="inlineStr">
        <is>
          <t>24.06.2027</t>
        </is>
      </c>
      <c r="E2105" t="inlineStr">
        <is>
          <t>Vietnam</t>
        </is>
      </c>
    </row>
    <row r="2106">
      <c r="A2106" t="inlineStr">
        <is>
          <t>ITG RESOURCES (SINGAPORE) PTE. LTD.,  SINGAPORE, Singapore</t>
        </is>
      </c>
      <c r="B2106" t="inlineStr">
        <is>
          <t>Trader</t>
        </is>
      </c>
      <c r="C2106" t="inlineStr">
        <is>
          <t>SCS Global Services, Emeryville, CA, US</t>
        </is>
      </c>
      <c r="D2106" t="inlineStr">
        <is>
          <t>24.06.2027</t>
        </is>
      </c>
      <c r="E2106" t="inlineStr">
        <is>
          <t>Singapore</t>
        </is>
      </c>
    </row>
    <row r="2107">
      <c r="A2107" t="inlineStr">
        <is>
          <t>Poljoprivredno Poduzece Orahovica d.o.o.,  Zdenci, Croatia</t>
        </is>
      </c>
      <c r="B2107" t="inlineStr">
        <is>
          <t>Farm / Plantation, First Gathering Point, Trader with Storage</t>
        </is>
      </c>
      <c r="C2107" t="inlineStr">
        <is>
          <t>Bureau Veritas Polska Sp. z o.o., Warsaw, PL</t>
        </is>
      </c>
      <c r="D2107" t="inlineStr">
        <is>
          <t>24.06.2027</t>
        </is>
      </c>
      <c r="E2107" t="inlineStr">
        <is>
          <t>Croatia</t>
        </is>
      </c>
    </row>
    <row r="2108">
      <c r="A2108" t="inlineStr">
        <is>
          <t>Zhongshan Meiquan Plastic Products Co., Ltd.,  Zhongshan City, Guangdong Province, China</t>
        </is>
      </c>
      <c r="B2108" t="inlineStr">
        <is>
          <t>Processing Unit, Trader with Storage</t>
        </is>
      </c>
      <c r="C2108" t="inlineStr">
        <is>
          <t>PT Intertek Utama Services, Jakarta, ID</t>
        </is>
      </c>
      <c r="D2108" t="inlineStr">
        <is>
          <t>24.06.2027</t>
        </is>
      </c>
      <c r="E2108" t="inlineStr">
        <is>
          <t>China</t>
        </is>
      </c>
    </row>
    <row r="2109">
      <c r="A2109" t="inlineStr">
        <is>
          <t>Rui'an Huamei Glasses Co., Ltd.,  Ruian City, China</t>
        </is>
      </c>
      <c r="B2109" t="inlineStr">
        <is>
          <t>Processing Unit</t>
        </is>
      </c>
      <c r="C2109" t="inlineStr">
        <is>
          <t>PT Intertek Utama Services, Jakarta, ID</t>
        </is>
      </c>
      <c r="D2109" t="inlineStr">
        <is>
          <t>24.06.2027</t>
        </is>
      </c>
      <c r="E2109" t="inlineStr">
        <is>
          <t>China</t>
        </is>
      </c>
    </row>
    <row r="2110">
      <c r="A2110" t="inlineStr">
        <is>
          <t>AgroTrade Pulse s.r.o,  Filakovo, Slovakia</t>
        </is>
      </c>
      <c r="B2110" t="inlineStr">
        <is>
          <t>First Gathering Point, Trader</t>
        </is>
      </c>
      <c r="C2110" t="inlineStr">
        <is>
          <t>United Registrar of Systems Polska Sp. z o.o., Wrocław, PL</t>
        </is>
      </c>
      <c r="D2110" t="inlineStr">
        <is>
          <t>24.06.2027</t>
        </is>
      </c>
      <c r="E2110" t="inlineStr">
        <is>
          <t>Slovakia</t>
        </is>
      </c>
    </row>
    <row r="2111">
      <c r="A2111" t="inlineStr">
        <is>
          <t>Gulfstream Oil, SIA,  Mārupes nov., Latvia</t>
        </is>
      </c>
      <c r="B2111" t="inlineStr">
        <is>
          <t>Proof of Compliance Trader, Trader with Storage</t>
        </is>
      </c>
      <c r="C2111" t="inlineStr">
        <is>
          <t>Bureau Veritas Polska Sp. z o.o., Warsaw, PL</t>
        </is>
      </c>
      <c r="D2111" t="inlineStr">
        <is>
          <t>24.06.2027</t>
        </is>
      </c>
      <c r="E2111" t="inlineStr">
        <is>
          <t>Latvia</t>
        </is>
      </c>
    </row>
    <row r="2112">
      <c r="A2112" t="inlineStr">
        <is>
          <t>Hayco Manufacturing Limited,  Hong Kong, China</t>
        </is>
      </c>
      <c r="B2112" t="inlineStr">
        <is>
          <t>Trader</t>
        </is>
      </c>
      <c r="C2112" t="inlineStr">
        <is>
          <t>China Quality Certification Centre Co., Ltd., Beijing, CN</t>
        </is>
      </c>
      <c r="D2112" t="inlineStr">
        <is>
          <t>24.06.2027</t>
        </is>
      </c>
      <c r="E2112" t="inlineStr">
        <is>
          <t>China</t>
        </is>
      </c>
    </row>
    <row r="2113">
      <c r="A2113" t="inlineStr">
        <is>
          <t>Se Myung Electronics Co.,  Mado-myeon, Hwaseong-si, Korea, Republic of</t>
        </is>
      </c>
      <c r="B2113" t="inlineStr">
        <is>
          <t>Processing Unit</t>
        </is>
      </c>
      <c r="C2113" t="inlineStr">
        <is>
          <t>Control Union Certifications Germany GmbH, Berlin, DE</t>
        </is>
      </c>
      <c r="D2113" t="inlineStr">
        <is>
          <t>24.06.2027</t>
        </is>
      </c>
      <c r="E2113" t="inlineStr">
        <is>
          <t>Republic of</t>
        </is>
      </c>
    </row>
    <row r="2114">
      <c r="A2114" t="inlineStr">
        <is>
          <t>Millipore SAS,  Molsheim, France</t>
        </is>
      </c>
      <c r="B2114" t="inlineStr">
        <is>
          <t>Final Product Refinement, Processing Unit, Warehouse</t>
        </is>
      </c>
      <c r="C2114" t="inlineStr">
        <is>
          <t>Aardvark Certification Ltd, Wiveliscombe, Somerset, GB</t>
        </is>
      </c>
      <c r="D2114" t="inlineStr">
        <is>
          <t>24.06.2027</t>
        </is>
      </c>
      <c r="E2114" t="inlineStr">
        <is>
          <t>France</t>
        </is>
      </c>
    </row>
    <row r="2115">
      <c r="A2115" t="inlineStr">
        <is>
          <t>TAIYO INTERNATIONAL PTE LTD,  Singapore, Singapore</t>
        </is>
      </c>
      <c r="B2115" t="inlineStr">
        <is>
          <t>Trader</t>
        </is>
      </c>
      <c r="C2115" t="inlineStr">
        <is>
          <t>Control Union Certifications Germany GmbH, Berlin, DE</t>
        </is>
      </c>
      <c r="D2115" t="inlineStr">
        <is>
          <t>24.06.2027</t>
        </is>
      </c>
      <c r="E2115" t="inlineStr">
        <is>
          <t>Singapore</t>
        </is>
      </c>
    </row>
    <row r="2116">
      <c r="A2116" t="inlineStr">
        <is>
          <t>TAIYO INTERNATIONAL PTE LTD,  Singapore, Singapore</t>
        </is>
      </c>
      <c r="B2116" t="inlineStr">
        <is>
          <t>Trader</t>
        </is>
      </c>
      <c r="C2116" t="inlineStr">
        <is>
          <t>Control Union Certifications Germany GmbH, Berlin, DE</t>
        </is>
      </c>
      <c r="D2116" t="inlineStr">
        <is>
          <t>24.06.2027</t>
        </is>
      </c>
      <c r="E2116" t="inlineStr">
        <is>
          <t>Singapore</t>
        </is>
      </c>
    </row>
    <row r="2117">
      <c r="A2117" t="inlineStr">
        <is>
          <t>Advanced Recycling Solutions,  ANTWERP, Belgium</t>
        </is>
      </c>
      <c r="B2117" t="inlineStr">
        <is>
          <t>Logistics Center</t>
        </is>
      </c>
      <c r="C2117" t="inlineStr">
        <is>
          <t>SGS Germany GmbH, Emstek, DE</t>
        </is>
      </c>
      <c r="D2117" t="inlineStr">
        <is>
          <t>24.06.2027</t>
        </is>
      </c>
      <c r="E2117" t="inlineStr">
        <is>
          <t>Belgium</t>
        </is>
      </c>
    </row>
    <row r="2118">
      <c r="A2118" t="inlineStr">
        <is>
          <t>Sarpi EcoServices BE,  Beerse, Belgium</t>
        </is>
      </c>
      <c r="B2118" t="inlineStr">
        <is>
          <t>Collecting Point</t>
        </is>
      </c>
      <c r="C2118" t="inlineStr">
        <is>
          <t>DEKRA Certification B.V., Arnhem, NL</t>
        </is>
      </c>
      <c r="D2118" t="inlineStr">
        <is>
          <t>24.06.2027</t>
        </is>
      </c>
      <c r="E2118" t="inlineStr">
        <is>
          <t>Belgium</t>
        </is>
      </c>
    </row>
    <row r="2119">
      <c r="A2119" t="inlineStr">
        <is>
          <t>GP Groot energie,  Heiloo, Netherlands</t>
        </is>
      </c>
      <c r="B2119" t="inlineStr">
        <is>
          <t>Trader with Storage</t>
        </is>
      </c>
      <c r="C2119" t="inlineStr">
        <is>
          <t>DEKRA Certification B.V., Arnhem, NL</t>
        </is>
      </c>
      <c r="D2119" t="inlineStr">
        <is>
          <t>24.06.2027</t>
        </is>
      </c>
      <c r="E2119" t="inlineStr">
        <is>
          <t>Netherlands</t>
        </is>
      </c>
    </row>
    <row r="2120">
      <c r="A2120" t="inlineStr">
        <is>
          <t>LACROIX EMBALLAGES,  FONCINE LE HAUT, France</t>
        </is>
      </c>
      <c r="B2120" t="inlineStr">
        <is>
          <t>Processing Unit</t>
        </is>
      </c>
      <c r="C2120" t="inlineStr">
        <is>
          <t>SGS Germany GmbH, Emstek, DE</t>
        </is>
      </c>
      <c r="D2120" t="inlineStr">
        <is>
          <t>24.06.2027</t>
        </is>
      </c>
      <c r="E2120" t="inlineStr">
        <is>
          <t>France</t>
        </is>
      </c>
    </row>
    <row r="2121">
      <c r="A2121" t="inlineStr">
        <is>
          <t>Reborn Tire Co., Ltd,  Gwangyang-si, South Korea</t>
        </is>
      </c>
      <c r="B2121" t="inlineStr">
        <is>
          <t>Collecting Point, Processing Unit</t>
        </is>
      </c>
      <c r="C2121" t="inlineStr">
        <is>
          <t>Control Union Certifications Germany GmbH, Berlin, DE</t>
        </is>
      </c>
      <c r="D2121" t="inlineStr">
        <is>
          <t>24.06.2027</t>
        </is>
      </c>
      <c r="E2121" t="inlineStr">
        <is>
          <t>South Korea</t>
        </is>
      </c>
    </row>
    <row r="2122">
      <c r="A2122" t="inlineStr">
        <is>
          <t>Tagaddod Company for Manufacturing,  Yanbu, Saudi Arabia</t>
        </is>
      </c>
      <c r="B2122" t="inlineStr">
        <is>
          <t>Collecting Point, Trader with Storage</t>
        </is>
      </c>
      <c r="C2122" t="inlineStr">
        <is>
          <t>PT Intertek Utama Services, Jakarta, ID</t>
        </is>
      </c>
      <c r="D2122" t="inlineStr">
        <is>
          <t>24.06.2027</t>
        </is>
      </c>
      <c r="E2122" t="inlineStr">
        <is>
          <t>Saudi Arabia</t>
        </is>
      </c>
    </row>
    <row r="2123">
      <c r="A2123" t="inlineStr">
        <is>
          <t>Tagaddod Company for Manufacturing,  Yanbu, Saudi Arabia</t>
        </is>
      </c>
      <c r="B2123" t="inlineStr">
        <is>
          <t>Trader</t>
        </is>
      </c>
      <c r="C2123" t="inlineStr">
        <is>
          <t>PT Intertek Utama Services, Jakarta, ID</t>
        </is>
      </c>
      <c r="D2123" t="inlineStr">
        <is>
          <t>24.06.2027</t>
        </is>
      </c>
      <c r="E2123" t="inlineStr">
        <is>
          <t>Saudi Arabia</t>
        </is>
      </c>
    </row>
    <row r="2124">
      <c r="A2124" t="inlineStr">
        <is>
          <t>SOPHIM,  Peyruis, France</t>
        </is>
      </c>
      <c r="B2124" t="inlineStr">
        <is>
          <t>Point of Origin, Trader with Storage</t>
        </is>
      </c>
      <c r="C2124" t="inlineStr">
        <is>
          <t>Bureau Veritas Polska Sp. z o.o., Warsaw, PL</t>
        </is>
      </c>
      <c r="D2124" t="inlineStr">
        <is>
          <t>24.06.2027</t>
        </is>
      </c>
      <c r="E2124" t="inlineStr">
        <is>
          <t>France</t>
        </is>
      </c>
    </row>
    <row r="2125">
      <c r="A2125" t="inlineStr">
        <is>
          <t>NEXUS PALM TRADING,  PETALING JAYA, SELANGOR, Malaysia</t>
        </is>
      </c>
      <c r="B2125" t="inlineStr">
        <is>
          <t>Trader</t>
        </is>
      </c>
      <c r="C2125" t="inlineStr">
        <is>
          <t>PT SBC Asia Sertifikasi, Kebumen, ID</t>
        </is>
      </c>
      <c r="D2125" t="inlineStr">
        <is>
          <t>24.06.2027</t>
        </is>
      </c>
      <c r="E2125" t="inlineStr">
        <is>
          <t>Malaysia</t>
        </is>
      </c>
    </row>
    <row r="2126">
      <c r="A2126" t="inlineStr">
        <is>
          <t>Hainan Xinhuan Trading Co. Ltd,  Haikou, China</t>
        </is>
      </c>
      <c r="B2126" t="inlineStr">
        <is>
          <t>Trader with Storage</t>
        </is>
      </c>
      <c r="C2126" t="inlineStr">
        <is>
          <t>PT TSI Sertifikasi Internasional, Jakarta Selatang, ID</t>
        </is>
      </c>
      <c r="D2126" t="inlineStr">
        <is>
          <t>24.06.2027</t>
        </is>
      </c>
      <c r="E2126" t="inlineStr">
        <is>
          <t>China</t>
        </is>
      </c>
    </row>
    <row r="2127">
      <c r="A2127" t="inlineStr">
        <is>
          <t>Greenwaste B.V.,  Hoogeveen, Netherlands</t>
        </is>
      </c>
      <c r="B2127" t="inlineStr">
        <is>
          <t>Trader, Collecting Point</t>
        </is>
      </c>
      <c r="C2127" t="inlineStr">
        <is>
          <t>DEKRA Certification B.V., Arnhem, NL</t>
        </is>
      </c>
      <c r="D2127" t="inlineStr">
        <is>
          <t>24.06.2027</t>
        </is>
      </c>
      <c r="E2127" t="inlineStr">
        <is>
          <t>Netherlands</t>
        </is>
      </c>
    </row>
    <row r="2128">
      <c r="A2128" t="inlineStr">
        <is>
          <t>Greenwaste B.V.,  Hoogeveen, Netherlands</t>
        </is>
      </c>
      <c r="B2128" t="inlineStr">
        <is>
          <t>Collecting Point, Trader</t>
        </is>
      </c>
      <c r="C2128" t="inlineStr">
        <is>
          <t>DEKRA Certification B.V., Arnhem, NL</t>
        </is>
      </c>
      <c r="D2128" t="inlineStr">
        <is>
          <t>24.06.2027</t>
        </is>
      </c>
      <c r="E2128" t="inlineStr">
        <is>
          <t>Netherlands</t>
        </is>
      </c>
    </row>
    <row r="2129">
      <c r="A2129" t="inlineStr">
        <is>
          <t>379 IMPORT EXPORT COMPANY LIMITED,  Thien Hung Commune, Dong Nai City, Vietnam</t>
        </is>
      </c>
      <c r="B2129" t="inlineStr">
        <is>
          <t>Collecting Point, Point of Origin, Processing Unit, Trader with Storage</t>
        </is>
      </c>
      <c r="C2129" t="inlineStr">
        <is>
          <t>BM Certification, Riga, LV</t>
        </is>
      </c>
      <c r="D2129" t="inlineStr">
        <is>
          <t>24.06.2027</t>
        </is>
      </c>
      <c r="E2129" t="inlineStr">
        <is>
          <t>Vietnam</t>
        </is>
      </c>
    </row>
    <row r="2130">
      <c r="A2130" t="inlineStr">
        <is>
          <t>Jiangxi Tongpu New Material Technology Co., LTD.,  Shangrao City, Jiangxi Province, China</t>
        </is>
      </c>
      <c r="B2130" t="inlineStr">
        <is>
          <t>Processing Unit</t>
        </is>
      </c>
      <c r="C2130" t="inlineStr">
        <is>
          <t>SGS Germany GmbH, Emstek, DE</t>
        </is>
      </c>
      <c r="D2130" t="inlineStr">
        <is>
          <t>24.06.2027</t>
        </is>
      </c>
      <c r="E2130" t="inlineStr">
        <is>
          <t>China</t>
        </is>
      </c>
    </row>
    <row r="2131">
      <c r="A2131" t="inlineStr">
        <is>
          <t>Valnyc Cargo SRL,  Cogealac, Romania</t>
        </is>
      </c>
      <c r="B2131" t="inlineStr">
        <is>
          <t>First Gathering Point</t>
        </is>
      </c>
      <c r="C2131" t="inlineStr">
        <is>
          <t>BM Certification, Riga, LV</t>
        </is>
      </c>
      <c r="D2131" t="inlineStr">
        <is>
          <t>24.06.2027</t>
        </is>
      </c>
      <c r="E2131" t="inlineStr">
        <is>
          <t>Romania</t>
        </is>
      </c>
    </row>
    <row r="2132">
      <c r="A2132" t="inlineStr">
        <is>
          <t>Terrasem Grup SRL,  Anenii Noi, Moldova</t>
        </is>
      </c>
      <c r="B2132" t="inlineStr">
        <is>
          <t>First Gathering Point, Trader with Storage</t>
        </is>
      </c>
      <c r="C2132" t="inlineStr">
        <is>
          <t>SGS Germany GmbH, Emstek, DE</t>
        </is>
      </c>
      <c r="D2132" t="inlineStr">
        <is>
          <t>24.06.2027</t>
        </is>
      </c>
      <c r="E2132" t="inlineStr">
        <is>
          <t>Moldova</t>
        </is>
      </c>
    </row>
    <row r="2133">
      <c r="A2133" t="inlineStr">
        <is>
          <t>Agrar-Speicher-Betriebs-GesmbH,  Korneuburg, Austria</t>
        </is>
      </c>
      <c r="B2133" t="inlineStr">
        <is>
          <t>Warehouse</t>
        </is>
      </c>
      <c r="C2133" t="inlineStr">
        <is>
          <t>agroVet GmbH, Enzersfeld, AT</t>
        </is>
      </c>
      <c r="D2133" t="inlineStr">
        <is>
          <t>24.06.2027</t>
        </is>
      </c>
      <c r="E2133" t="inlineStr">
        <is>
          <t>Austria</t>
        </is>
      </c>
    </row>
    <row r="2134">
      <c r="A2134" t="inlineStr">
        <is>
          <t>343 KFT.,  Eger, Hungary</t>
        </is>
      </c>
      <c r="B2134" t="inlineStr">
        <is>
          <t>First Gathering Point</t>
        </is>
      </c>
      <c r="C2134" t="inlineStr">
        <is>
          <t>Amspec Iberia SL, Vilagarcia de Arousa-Pontevedra, ES</t>
        </is>
      </c>
      <c r="D2134" t="inlineStr">
        <is>
          <t>24.06.2027</t>
        </is>
      </c>
      <c r="E2134" t="inlineStr">
        <is>
          <t>Hungary</t>
        </is>
      </c>
    </row>
    <row r="2135">
      <c r="A2135" t="inlineStr">
        <is>
          <t>Talajerőgazdálkodási Kft.,  Pápa, Hungary</t>
        </is>
      </c>
      <c r="B2135" t="inlineStr">
        <is>
          <t>Collecting Point, Trader with Storage</t>
        </is>
      </c>
      <c r="C2135" t="inlineStr">
        <is>
          <t>BM Certification, Riga, LV</t>
        </is>
      </c>
      <c r="D2135" t="inlineStr">
        <is>
          <t>24.06.2027</t>
        </is>
      </c>
      <c r="E2135" t="inlineStr">
        <is>
          <t>Hungary</t>
        </is>
      </c>
    </row>
    <row r="2136">
      <c r="A2136" t="inlineStr">
        <is>
          <t>ESZLÁR - TRADE Kft.,  Tiszaeszlár, Hungary</t>
        </is>
      </c>
      <c r="B2136" t="inlineStr">
        <is>
          <t>First Gathering Point</t>
        </is>
      </c>
      <c r="C2136" t="inlineStr">
        <is>
          <t>Amspec Iberia SL, Vilagarcia de Arousa-Pontevedra, ES</t>
        </is>
      </c>
      <c r="D2136" t="inlineStr">
        <is>
          <t>24.06.2027</t>
        </is>
      </c>
      <c r="E2136" t="inlineStr">
        <is>
          <t>Hungary</t>
        </is>
      </c>
    </row>
    <row r="2137">
      <c r="A2137" t="inlineStr">
        <is>
          <t>SEKAVIN SA,  MAROUSI, Greece</t>
        </is>
      </c>
      <c r="B2137" t="inlineStr">
        <is>
          <t>Trader, Proof of Compliance Trader</t>
        </is>
      </c>
      <c r="C2137" t="inlineStr">
        <is>
          <t>Eurocert SA, Metamorfosi, Athens, GR</t>
        </is>
      </c>
      <c r="D2137" t="inlineStr">
        <is>
          <t>24.06.2027</t>
        </is>
      </c>
      <c r="E2137" t="inlineStr">
        <is>
          <t>Greece</t>
        </is>
      </c>
    </row>
    <row r="2138">
      <c r="A2138" t="inlineStr">
        <is>
          <t>Essity Operations Gennep,  Heijen, Netherlands</t>
        </is>
      </c>
      <c r="B2138" t="inlineStr">
        <is>
          <t>Final Product Refinement</t>
        </is>
      </c>
      <c r="C2138" t="inlineStr">
        <is>
          <t>Double Helix Tracking Technologies Pte Ltd, Singapore, SG</t>
        </is>
      </c>
      <c r="D2138" t="inlineStr">
        <is>
          <t>23.06.2027</t>
        </is>
      </c>
      <c r="E2138" t="inlineStr">
        <is>
          <t>Netherlands</t>
        </is>
      </c>
    </row>
    <row r="2139">
      <c r="A2139" t="inlineStr">
        <is>
          <t>Debaj Arabian Industrial Company,  Jeddah, Saudi Arabia</t>
        </is>
      </c>
      <c r="B2139" t="inlineStr">
        <is>
          <t>Collecting Point, Trader with Storage</t>
        </is>
      </c>
      <c r="C2139" t="inlineStr">
        <is>
          <t>PT Mutuagung Lestari, Depok, ID</t>
        </is>
      </c>
      <c r="D2139" t="inlineStr">
        <is>
          <t>23.06.2027</t>
        </is>
      </c>
      <c r="E2139" t="inlineStr">
        <is>
          <t>Saudi Arabia</t>
        </is>
      </c>
    </row>
    <row r="2140">
      <c r="A2140" t="inlineStr">
        <is>
          <t>Agropodnik a.s. Trnava,  Trnava, Slovakia</t>
        </is>
      </c>
      <c r="B2140" t="inlineStr">
        <is>
          <t>First Gathering Point, Trader with Storage</t>
        </is>
      </c>
      <c r="C2140" t="inlineStr">
        <is>
          <t>RINA Services S.p.A., Genova, IT</t>
        </is>
      </c>
      <c r="D2140" t="inlineStr">
        <is>
          <t>23.06.2027</t>
        </is>
      </c>
      <c r="E2140" t="inlineStr">
        <is>
          <t>Slovakia</t>
        </is>
      </c>
    </row>
    <row r="2141">
      <c r="A2141" t="inlineStr">
        <is>
          <t>Agro Invest Dobrogea SRL,  Constanta, Romania</t>
        </is>
      </c>
      <c r="B2141" t="inlineStr">
        <is>
          <t>First Gathering Point, Trader</t>
        </is>
      </c>
      <c r="C2141" t="inlineStr">
        <is>
          <t>Control Union Certifications Germany GmbH, Berlin, DE</t>
        </is>
      </c>
      <c r="D2141" t="inlineStr">
        <is>
          <t>23.06.2027</t>
        </is>
      </c>
      <c r="E2141" t="inlineStr">
        <is>
          <t>Romania</t>
        </is>
      </c>
    </row>
    <row r="2142">
      <c r="A2142" t="inlineStr">
        <is>
          <t>Equistar Chemical,  Morris, United States</t>
        </is>
      </c>
      <c r="B2142" t="inlineStr">
        <is>
          <t>Processing Unit</t>
        </is>
      </c>
      <c r="C2142" t="inlineStr">
        <is>
          <t>SCS Global Services, Emeryville, CA, US</t>
        </is>
      </c>
      <c r="D2142" t="inlineStr">
        <is>
          <t>23.06.2027</t>
        </is>
      </c>
      <c r="E2142" t="inlineStr">
        <is>
          <t>United States</t>
        </is>
      </c>
    </row>
    <row r="2143">
      <c r="A2143" t="inlineStr">
        <is>
          <t>Equistar Chemical,  Alvin, United States</t>
        </is>
      </c>
      <c r="B2143" t="inlineStr">
        <is>
          <t>Processing Unit</t>
        </is>
      </c>
      <c r="C2143" t="inlineStr">
        <is>
          <t>SCS Global Services, Emeryville, CA, US</t>
        </is>
      </c>
      <c r="D2143" t="inlineStr">
        <is>
          <t>23.06.2027</t>
        </is>
      </c>
      <c r="E2143" t="inlineStr">
        <is>
          <t>United States</t>
        </is>
      </c>
    </row>
    <row r="2144">
      <c r="A2144" t="inlineStr">
        <is>
          <t>Wenzhou Liguang New Material Technology Co., Ltd,  Wenzhou City, Zhejiang Province, China</t>
        </is>
      </c>
      <c r="B2144" t="inlineStr">
        <is>
          <t>Processing Unit, Trader with Storage</t>
        </is>
      </c>
      <c r="C2144" t="inlineStr">
        <is>
          <t>SCS Global Services, Emeryville, CA, US</t>
        </is>
      </c>
      <c r="D2144" t="inlineStr">
        <is>
          <t>23.06.2027</t>
        </is>
      </c>
      <c r="E2144" t="inlineStr">
        <is>
          <t>China</t>
        </is>
      </c>
    </row>
    <row r="2145">
      <c r="A2145" t="inlineStr">
        <is>
          <t>Kacsóta Gabona Kft.,  Kacsóta, Hungary</t>
        </is>
      </c>
      <c r="B2145" t="inlineStr">
        <is>
          <t>First Gathering Point</t>
        </is>
      </c>
      <c r="C2145" t="inlineStr">
        <is>
          <t>Amspec Iberia SL, Vilagarcia de Arousa-Pontevedra, ES</t>
        </is>
      </c>
      <c r="D2145" t="inlineStr">
        <is>
          <t>23.06.2027</t>
        </is>
      </c>
      <c r="E2145" t="inlineStr">
        <is>
          <t>Hungary</t>
        </is>
      </c>
    </row>
    <row r="2146">
      <c r="A2146" t="inlineStr">
        <is>
          <t>Drosba S.L.,  Sena (Huesca), Spain</t>
        </is>
      </c>
      <c r="B2146" t="inlineStr">
        <is>
          <t>Collecting Point, Trader with Storage, Processing Unit</t>
        </is>
      </c>
      <c r="C2146" t="inlineStr">
        <is>
          <t>Amspec Iberia SL, Vilagarcia de Arousa-Pontevedra, ES</t>
        </is>
      </c>
      <c r="D2146" t="inlineStr">
        <is>
          <t>23.06.2027</t>
        </is>
      </c>
      <c r="E2146" t="inlineStr">
        <is>
          <t>Spain</t>
        </is>
      </c>
    </row>
    <row r="2147">
      <c r="A2147" t="inlineStr">
        <is>
          <t>OKIA Optical Co.,Ltd,  Kowloon, HongKong, Hong Kong, SAR, China</t>
        </is>
      </c>
      <c r="B2147" t="inlineStr">
        <is>
          <t>Trader with Storage</t>
        </is>
      </c>
      <c r="C2147" t="inlineStr">
        <is>
          <t>SCS Global Services, Emeryville, CA, US</t>
        </is>
      </c>
      <c r="D2147" t="inlineStr">
        <is>
          <t>23.06.2027</t>
        </is>
      </c>
      <c r="E2147" t="inlineStr">
        <is>
          <t>China</t>
        </is>
      </c>
    </row>
    <row r="2148">
      <c r="A2148" t="inlineStr">
        <is>
          <t>Oil Marketing &amp; Trading International FZC,  Fujairah, The United Arab Emirates</t>
        </is>
      </c>
      <c r="B2148" t="inlineStr">
        <is>
          <t>Trader</t>
        </is>
      </c>
      <c r="C2148" t="inlineStr">
        <is>
          <t>PT Intertek Utama Services, Jakarta, ID</t>
        </is>
      </c>
      <c r="D2148" t="inlineStr">
        <is>
          <t>23.06.2027</t>
        </is>
      </c>
      <c r="E2148" t="inlineStr">
        <is>
          <t>The United Arab Emirates</t>
        </is>
      </c>
    </row>
    <row r="2149">
      <c r="A2149" t="inlineStr">
        <is>
          <t>China Marine Bunker(Shanghai) Co., Ltd.,  Pudong New Area, Shanghai, China</t>
        </is>
      </c>
      <c r="B2149" t="inlineStr">
        <is>
          <t>Trader with Storage</t>
        </is>
      </c>
      <c r="C2149" t="inlineStr">
        <is>
          <t>Guardian Independent Certification Limited, Singapore, SG</t>
        </is>
      </c>
      <c r="D2149" t="inlineStr">
        <is>
          <t>23.06.2027</t>
        </is>
      </c>
      <c r="E2149" t="inlineStr">
        <is>
          <t>China</t>
        </is>
      </c>
    </row>
    <row r="2150">
      <c r="A2150" t="inlineStr">
        <is>
          <t>SK Energy Co., Ltd,  ulsan, The Republic of Korea</t>
        </is>
      </c>
      <c r="B2150" t="inlineStr">
        <is>
          <t>Processing Unit</t>
        </is>
      </c>
      <c r="C2150" t="inlineStr">
        <is>
          <t>Control Union Certifications Germany GmbH, Berlin, DE</t>
        </is>
      </c>
      <c r="D2150" t="inlineStr">
        <is>
          <t>23.06.2027</t>
        </is>
      </c>
      <c r="E2150" t="inlineStr">
        <is>
          <t>The Republic of Korea</t>
        </is>
      </c>
    </row>
    <row r="2151">
      <c r="A2151" t="inlineStr">
        <is>
          <t>SK Energy Co., Ltd,  ulsan, The Republic of Korea</t>
        </is>
      </c>
      <c r="B2151" t="inlineStr">
        <is>
          <t>Processing Unit</t>
        </is>
      </c>
      <c r="C2151" t="inlineStr">
        <is>
          <t>Control Union Certifications Germany GmbH, Berlin, DE</t>
        </is>
      </c>
      <c r="D2151" t="inlineStr">
        <is>
          <t>23.06.2027</t>
        </is>
      </c>
      <c r="E2151" t="inlineStr">
        <is>
          <t>The Republic of Korea</t>
        </is>
      </c>
    </row>
    <row r="2152">
      <c r="A2152" t="inlineStr">
        <is>
          <t>AGRIS spol. s r.o.,  Odry, Czech Republic</t>
        </is>
      </c>
      <c r="B2152" t="inlineStr">
        <is>
          <t>Point of Origin</t>
        </is>
      </c>
      <c r="C2152" t="inlineStr">
        <is>
          <t>TÜV SÜD Czech s.r.o., Praha 4, CZ</t>
        </is>
      </c>
      <c r="D2152" t="inlineStr">
        <is>
          <t>23.06.2027</t>
        </is>
      </c>
      <c r="E2152" t="inlineStr">
        <is>
          <t>Czech Republic</t>
        </is>
      </c>
    </row>
    <row r="2153">
      <c r="A2153" t="inlineStr">
        <is>
          <t>Dai Hanh Phuc Company Limited,  Hoc Mon Commune, Ho Chi Minh City, Vietnam</t>
        </is>
      </c>
      <c r="B2153" t="inlineStr">
        <is>
          <t>Collecting Point, Point of Origin</t>
        </is>
      </c>
      <c r="C2153" t="inlineStr">
        <is>
          <t>PT Intertek Utama Services, Jakarta, ID</t>
        </is>
      </c>
      <c r="D2153" t="inlineStr">
        <is>
          <t>23.06.2027</t>
        </is>
      </c>
      <c r="E2153" t="inlineStr">
        <is>
          <t>Vietnam</t>
        </is>
      </c>
    </row>
    <row r="2154">
      <c r="A2154" t="inlineStr">
        <is>
          <t>Dai Hanh Phuc Company Limited,  Hoc Mon Commune, Ho Chi Minh City, Vietnam</t>
        </is>
      </c>
      <c r="B2154" t="inlineStr">
        <is>
          <t>Collecting Point, Point of Origin</t>
        </is>
      </c>
      <c r="C2154" t="inlineStr">
        <is>
          <t>PT Intertek Utama Services, Jakarta, ID</t>
        </is>
      </c>
      <c r="D2154" t="inlineStr">
        <is>
          <t>23.06.2027</t>
        </is>
      </c>
      <c r="E2154" t="inlineStr">
        <is>
          <t>Vietnam</t>
        </is>
      </c>
    </row>
    <row r="2155">
      <c r="A2155" t="inlineStr">
        <is>
          <t>Xiamen J&amp;X Green Energy Solutions Co., Ltd,  Beijing, China</t>
        </is>
      </c>
      <c r="B2155" t="inlineStr">
        <is>
          <t>Trader</t>
        </is>
      </c>
      <c r="C2155" t="inlineStr">
        <is>
          <t>RINA Services S.p.A., Genova, IT</t>
        </is>
      </c>
      <c r="D2155" t="inlineStr">
        <is>
          <t>23.06.2027</t>
        </is>
      </c>
      <c r="E2155" t="inlineStr">
        <is>
          <t>China</t>
        </is>
      </c>
    </row>
    <row r="2156">
      <c r="A2156" t="inlineStr">
        <is>
          <t>Advanced Proteins UNLTD,  Staffordshire, United Kingdom</t>
        </is>
      </c>
      <c r="B2156" t="inlineStr">
        <is>
          <t>Point of Origin</t>
        </is>
      </c>
      <c r="C2156" t="inlineStr">
        <is>
          <t>Control Union Certifications Germany GmbH, Berlin, DE</t>
        </is>
      </c>
      <c r="D2156" t="inlineStr">
        <is>
          <t>23.06.2027</t>
        </is>
      </c>
      <c r="E2156" t="inlineStr">
        <is>
          <t>United Kingdom</t>
        </is>
      </c>
    </row>
    <row r="2157">
      <c r="A2157" t="inlineStr">
        <is>
          <t>Constantia Propak Ambalaj Üretim ve Pazarlama AŞ,  Düzce, Türkiye</t>
        </is>
      </c>
      <c r="B2157" t="inlineStr">
        <is>
          <t>Processing Unit</t>
        </is>
      </c>
      <c r="C2157" t="inlineStr">
        <is>
          <t>PT Intertek Utama Services, Jakarta, ID</t>
        </is>
      </c>
      <c r="D2157" t="inlineStr">
        <is>
          <t>23.06.2027</t>
        </is>
      </c>
      <c r="E2157" t="inlineStr">
        <is>
          <t>Türkiye</t>
        </is>
      </c>
    </row>
    <row r="2158">
      <c r="A2158" t="inlineStr">
        <is>
          <t>Aratas s.r.o.,  Ivančice, Czech Republic</t>
        </is>
      </c>
      <c r="B2158" t="inlineStr">
        <is>
          <t>First Gathering Point, Trader</t>
        </is>
      </c>
      <c r="C2158" t="inlineStr">
        <is>
          <t>United Registrar of Systems Polska Sp. z o.o., Wrocław, PL</t>
        </is>
      </c>
      <c r="D2158" t="inlineStr">
        <is>
          <t>23.06.2027</t>
        </is>
      </c>
      <c r="E2158" t="inlineStr">
        <is>
          <t>Czech Republic</t>
        </is>
      </c>
    </row>
    <row r="2159">
      <c r="A2159" t="inlineStr">
        <is>
          <t>India Tindivanam Footwear Private Limited,  Viluppuram, India</t>
        </is>
      </c>
      <c r="B2159" t="inlineStr">
        <is>
          <t>Final Product Refinement, Processing Unit, Trader</t>
        </is>
      </c>
      <c r="C2159" t="inlineStr">
        <is>
          <t>ISOQAR Ltd, Stretford, Manchester, GB</t>
        </is>
      </c>
      <c r="D2159" t="inlineStr">
        <is>
          <t>23.06.2027</t>
        </is>
      </c>
      <c r="E2159" t="inlineStr">
        <is>
          <t>India</t>
        </is>
      </c>
    </row>
    <row r="2160">
      <c r="A2160" t="inlineStr">
        <is>
          <t>Dongguan Baihui plastic products Co., LTD,  Dongguan, China</t>
        </is>
      </c>
      <c r="B2160" t="inlineStr">
        <is>
          <t>Processing Unit</t>
        </is>
      </c>
      <c r="C2160" t="inlineStr">
        <is>
          <t>RINA Services S.p.A., Genova, IT</t>
        </is>
      </c>
      <c r="D2160" t="inlineStr">
        <is>
          <t>23.06.2027</t>
        </is>
      </c>
      <c r="E2160" t="inlineStr">
        <is>
          <t>China</t>
        </is>
      </c>
    </row>
    <row r="2161">
      <c r="A2161" t="inlineStr">
        <is>
          <t>Orkla Snacks Sverige AB,  Filipstad, Sweden</t>
        </is>
      </c>
      <c r="B2161" t="inlineStr">
        <is>
          <t>Processing Unit</t>
        </is>
      </c>
      <c r="C2161" t="inlineStr">
        <is>
          <t>DNV Business Assurance Sweden AB, Solna, SE</t>
        </is>
      </c>
      <c r="D2161" t="inlineStr">
        <is>
          <t>23.06.2027</t>
        </is>
      </c>
      <c r="E2161" t="inlineStr">
        <is>
          <t>Sweden</t>
        </is>
      </c>
    </row>
    <row r="2162">
      <c r="A2162" t="inlineStr">
        <is>
          <t>SK Energy Co., Ltd.,  Seoul, The Republic of Korea</t>
        </is>
      </c>
      <c r="B2162" t="inlineStr">
        <is>
          <t>Trader with Storage</t>
        </is>
      </c>
      <c r="C2162" t="inlineStr">
        <is>
          <t>Control Union Certifications Germany GmbH, Berlin, DE</t>
        </is>
      </c>
      <c r="D2162" t="inlineStr">
        <is>
          <t>23.06.2027</t>
        </is>
      </c>
      <c r="E2162" t="inlineStr">
        <is>
          <t>The Republic of Korea</t>
        </is>
      </c>
    </row>
    <row r="2163">
      <c r="A2163" t="inlineStr">
        <is>
          <t>SK Energy Co., Ltd.,  Seoul, The Republic of Korea</t>
        </is>
      </c>
      <c r="B2163" t="inlineStr">
        <is>
          <t>Trader with Storage</t>
        </is>
      </c>
      <c r="C2163" t="inlineStr">
        <is>
          <t>Control Union Certifications Germany GmbH, Berlin, DE</t>
        </is>
      </c>
      <c r="D2163" t="inlineStr">
        <is>
          <t>23.06.2027</t>
        </is>
      </c>
      <c r="E2163" t="inlineStr">
        <is>
          <t>The Republic of Korea</t>
        </is>
      </c>
    </row>
    <row r="2164">
      <c r="A2164" t="inlineStr">
        <is>
          <t>Co-operative Bulk Handling,  West Perth WA, Australia</t>
        </is>
      </c>
      <c r="B2164" t="inlineStr">
        <is>
          <t>Logistics Center</t>
        </is>
      </c>
      <c r="C2164" t="inlineStr">
        <is>
          <t>SGS Germany GmbH, Emstek, DE</t>
        </is>
      </c>
      <c r="D2164" t="inlineStr">
        <is>
          <t>23.06.2027</t>
        </is>
      </c>
      <c r="E2164" t="inlineStr">
        <is>
          <t>Australia</t>
        </is>
      </c>
    </row>
    <row r="2165">
      <c r="A2165" t="inlineStr">
        <is>
          <t>Stryker Fuels LLC,  Port Arthur, United States</t>
        </is>
      </c>
      <c r="B2165" t="inlineStr">
        <is>
          <t>Trader with Storage, Processing Unit</t>
        </is>
      </c>
      <c r="C2165" t="inlineStr">
        <is>
          <t>SCS Global Services, Emeryville, CA, US</t>
        </is>
      </c>
      <c r="D2165" t="inlineStr">
        <is>
          <t>23.06.2027</t>
        </is>
      </c>
      <c r="E2165" t="inlineStr">
        <is>
          <t>United States</t>
        </is>
      </c>
    </row>
    <row r="2166">
      <c r="A2166" t="inlineStr">
        <is>
          <t>Co-operative Bulk Handling,  West Perth WA, Australia</t>
        </is>
      </c>
      <c r="B2166" t="inlineStr">
        <is>
          <t>Logistics Center</t>
        </is>
      </c>
      <c r="C2166" t="inlineStr">
        <is>
          <t>SGS Germany GmbH, Emstek, DE</t>
        </is>
      </c>
      <c r="D2166" t="inlineStr">
        <is>
          <t>23.06.2027</t>
        </is>
      </c>
      <c r="E2166" t="inlineStr">
        <is>
          <t>Australia</t>
        </is>
      </c>
    </row>
    <row r="2167">
      <c r="A2167" t="inlineStr">
        <is>
          <t>Atmo Meijel BV,  Meijel, Netherlands</t>
        </is>
      </c>
      <c r="B2167" t="inlineStr">
        <is>
          <t>Collecting Point, Trader with Storage</t>
        </is>
      </c>
      <c r="C2167" t="inlineStr">
        <is>
          <t>Normec QS BV, Ede, NL</t>
        </is>
      </c>
      <c r="D2167" t="inlineStr">
        <is>
          <t>23.06.2027</t>
        </is>
      </c>
      <c r="E2167" t="inlineStr">
        <is>
          <t>Netherlands</t>
        </is>
      </c>
    </row>
    <row r="2168">
      <c r="A2168" t="inlineStr">
        <is>
          <t>SK Energy Co., Ltd,  ulsan, The Republic of Korea</t>
        </is>
      </c>
      <c r="B2168" t="inlineStr">
        <is>
          <t>Processing Unit</t>
        </is>
      </c>
      <c r="C2168" t="inlineStr">
        <is>
          <t>Control Union Certifications Germany GmbH, Berlin, DE</t>
        </is>
      </c>
      <c r="D2168" t="inlineStr">
        <is>
          <t>23.06.2027</t>
        </is>
      </c>
      <c r="E2168" t="inlineStr">
        <is>
          <t>The Republic of Korea</t>
        </is>
      </c>
    </row>
    <row r="2169">
      <c r="A2169" t="inlineStr">
        <is>
          <t>Vitol Bunkers B.V.,  Rotterdam, Netherlands</t>
        </is>
      </c>
      <c r="B2169" t="inlineStr">
        <is>
          <t>Trader with Storage, Proof of Compliance Trader, Biomarine Fuel Operator</t>
        </is>
      </c>
      <c r="C2169" t="inlineStr">
        <is>
          <t>DEKRA Certification B.V., Arnhem, NL</t>
        </is>
      </c>
      <c r="D2169" t="inlineStr">
        <is>
          <t>23.06.2027</t>
        </is>
      </c>
      <c r="E2169" t="inlineStr">
        <is>
          <t>Netherlands</t>
        </is>
      </c>
    </row>
    <row r="2170">
      <c r="A2170" t="inlineStr">
        <is>
          <t>Cornhouse B.V.,  Rotterdam, Netherlands</t>
        </is>
      </c>
      <c r="B2170" t="inlineStr">
        <is>
          <t>Trader</t>
        </is>
      </c>
      <c r="C2170" t="inlineStr">
        <is>
          <t>BM Certification, Riga, LV</t>
        </is>
      </c>
      <c r="D2170" t="inlineStr">
        <is>
          <t>23.06.2027</t>
        </is>
      </c>
      <c r="E2170" t="inlineStr">
        <is>
          <t>Netherlands</t>
        </is>
      </c>
    </row>
    <row r="2171">
      <c r="A2171" t="inlineStr">
        <is>
          <t>Luis Miguel Carrillo Sanfiel,  Isla de la Palma, Spain</t>
        </is>
      </c>
      <c r="B2171" t="inlineStr">
        <is>
          <t>Collecting Point</t>
        </is>
      </c>
      <c r="C2171" t="inlineStr">
        <is>
          <t>Amspec Iberia SL, Vilagarcia de Arousa-Pontevedra, ES</t>
        </is>
      </c>
      <c r="D2171" t="inlineStr">
        <is>
          <t>23.06.2027</t>
        </is>
      </c>
      <c r="E2171" t="inlineStr">
        <is>
          <t>Spain</t>
        </is>
      </c>
    </row>
    <row r="2172">
      <c r="A2172" t="inlineStr">
        <is>
          <t>Goodyear Dalian Tire Company Limited,  Haiwan Industry Zone, Pulandian City , Dalian, China</t>
        </is>
      </c>
      <c r="B2172" t="inlineStr">
        <is>
          <t>Processing Unit</t>
        </is>
      </c>
      <c r="C2172" t="inlineStr">
        <is>
          <t>DIN CERTCO GmbH, Berlin, DE</t>
        </is>
      </c>
      <c r="D2172" t="inlineStr">
        <is>
          <t>23.06.2027</t>
        </is>
      </c>
      <c r="E2172" t="inlineStr">
        <is>
          <t>China</t>
        </is>
      </c>
    </row>
    <row r="2173">
      <c r="A2173" t="inlineStr">
        <is>
          <t>Shin-Etsu Silicone (Nantong) Co., Ltd.,  Nantong, Jiangsu, China</t>
        </is>
      </c>
      <c r="B2173" t="inlineStr">
        <is>
          <t>Trader</t>
        </is>
      </c>
      <c r="C2173" t="inlineStr">
        <is>
          <t>DIN CERTCO GmbH, Berlin, DE</t>
        </is>
      </c>
      <c r="D2173" t="inlineStr">
        <is>
          <t>23.06.2027</t>
        </is>
      </c>
      <c r="E2173" t="inlineStr">
        <is>
          <t>China</t>
        </is>
      </c>
    </row>
    <row r="2174">
      <c r="A2174" t="inlineStr">
        <is>
          <t>SHANGHAI LINGYUN GLOBAL FORWARDING CO., LTD.,  Shanghai, China</t>
        </is>
      </c>
      <c r="B2174" t="inlineStr">
        <is>
          <t>Warehouse</t>
        </is>
      </c>
      <c r="C2174" t="inlineStr">
        <is>
          <t>DIN CERTCO GmbH, Berlin, DE</t>
        </is>
      </c>
      <c r="D2174" t="inlineStr">
        <is>
          <t>23.06.2027</t>
        </is>
      </c>
      <c r="E2174" t="inlineStr">
        <is>
          <t>China</t>
        </is>
      </c>
    </row>
    <row r="2175">
      <c r="A2175" t="inlineStr">
        <is>
          <t>Fujian Huanyang New Material Co., Ltd.,  Fuzhou, Fujian Province, China</t>
        </is>
      </c>
      <c r="B2175" t="inlineStr">
        <is>
          <t>Processing Unit</t>
        </is>
      </c>
      <c r="C2175" t="inlineStr">
        <is>
          <t>SGS Germany GmbH, Emstek, DE</t>
        </is>
      </c>
      <c r="D2175" t="inlineStr">
        <is>
          <t>23.06.2027</t>
        </is>
      </c>
      <c r="E2175" t="inlineStr">
        <is>
          <t>China</t>
        </is>
      </c>
    </row>
    <row r="2176">
      <c r="A2176" t="inlineStr">
        <is>
          <t>Amcor Flexibles (New Zealand) Limited,  Hornby, New Zealand</t>
        </is>
      </c>
      <c r="B2176" t="inlineStr">
        <is>
          <t>Processing Unit, Trader with Storage</t>
        </is>
      </c>
      <c r="C2176" t="inlineStr">
        <is>
          <t>SGS Germany GmbH, Emstek, DE</t>
        </is>
      </c>
      <c r="D2176" t="inlineStr">
        <is>
          <t>23.06.2027</t>
        </is>
      </c>
      <c r="E2176" t="inlineStr">
        <is>
          <t>New Zealand</t>
        </is>
      </c>
    </row>
    <row r="2177">
      <c r="A2177" t="inlineStr">
        <is>
          <t>Baldjievi-91 LTD,  Sevlievo, Bulgaria</t>
        </is>
      </c>
      <c r="B2177" t="inlineStr">
        <is>
          <t>First Gathering Point, Trader with Storage</t>
        </is>
      </c>
      <c r="C2177" t="inlineStr">
        <is>
          <t>SGS Germany GmbH, Emstek, DE</t>
        </is>
      </c>
      <c r="D2177" t="inlineStr">
        <is>
          <t>23.06.2027</t>
        </is>
      </c>
      <c r="E2177" t="inlineStr">
        <is>
          <t>Bulgaria</t>
        </is>
      </c>
    </row>
    <row r="2178">
      <c r="A2178" t="inlineStr">
        <is>
          <t>CHEMSTAR SLOVAKIA a.s.,  Veľký Meder, Slovakia</t>
        </is>
      </c>
      <c r="B2178" t="inlineStr">
        <is>
          <t>First Gathering Point</t>
        </is>
      </c>
      <c r="C2178" t="inlineStr">
        <is>
          <t>SGS Germany GmbH, Emstek, DE</t>
        </is>
      </c>
      <c r="D2178" t="inlineStr">
        <is>
          <t>23.06.2027</t>
        </is>
      </c>
      <c r="E2178" t="inlineStr">
        <is>
          <t>Slovakia</t>
        </is>
      </c>
    </row>
    <row r="2179">
      <c r="A2179" t="inlineStr">
        <is>
          <t>HOXIN GLOBAL TRADE Pte., Ltd.,  HIGH STREET CENTRE, Singapore</t>
        </is>
      </c>
      <c r="B2179" t="inlineStr">
        <is>
          <t>Trader</t>
        </is>
      </c>
      <c r="C2179" t="inlineStr">
        <is>
          <t>PT. Qualitas Sertifikasi Indonesia, Jakarta, ID</t>
        </is>
      </c>
      <c r="D2179" t="inlineStr">
        <is>
          <t>23.06.2027</t>
        </is>
      </c>
      <c r="E2179" t="inlineStr">
        <is>
          <t>Singapore</t>
        </is>
      </c>
    </row>
    <row r="2180">
      <c r="A2180" t="inlineStr">
        <is>
          <t>SHANDONG ZHONGHAI FINE CHEMICAL INDUSTRY CO., LTD,  Binzhou City, China</t>
        </is>
      </c>
      <c r="B2180" t="inlineStr">
        <is>
          <t>Processing Unit, Trader with Storage</t>
        </is>
      </c>
      <c r="C2180" t="inlineStr">
        <is>
          <t>PT Intertek Utama Services, Jakarta, ID</t>
        </is>
      </c>
      <c r="D2180" t="inlineStr">
        <is>
          <t>23.06.2027</t>
        </is>
      </c>
      <c r="E2180" t="inlineStr">
        <is>
          <t>China</t>
        </is>
      </c>
    </row>
    <row r="2181">
      <c r="A2181" t="inlineStr">
        <is>
          <t>SHANDONG ZHONGHAI FINE CHEMICAL INDUSTRY CO., LTD,  Binzhou City, China</t>
        </is>
      </c>
      <c r="B2181" t="inlineStr">
        <is>
          <t>Processing Unit, Trader with Storage</t>
        </is>
      </c>
      <c r="C2181" t="inlineStr">
        <is>
          <t>PT Intertek Utama Services, Jakarta, ID</t>
        </is>
      </c>
      <c r="D2181" t="inlineStr">
        <is>
          <t>23.06.2027</t>
        </is>
      </c>
      <c r="E2181" t="inlineStr">
        <is>
          <t>China</t>
        </is>
      </c>
    </row>
    <row r="2182">
      <c r="A2182" t="inlineStr">
        <is>
          <t>Complet Agria Serv s.r.l.,  Comuna Sacalaz, Romania</t>
        </is>
      </c>
      <c r="B2182" t="inlineStr">
        <is>
          <t>First Gathering Point</t>
        </is>
      </c>
      <c r="C2182" t="inlineStr">
        <is>
          <t>SRAC Cert SRL, Bucharest, RO</t>
        </is>
      </c>
      <c r="D2182" t="inlineStr">
        <is>
          <t>23.06.2027</t>
        </is>
      </c>
      <c r="E2182" t="inlineStr">
        <is>
          <t>Romania</t>
        </is>
      </c>
    </row>
    <row r="2183">
      <c r="A2183" t="inlineStr">
        <is>
          <t>Nan Ya Electronic Materials (Kun Shan) Co., Ltd,  KunShan City, China</t>
        </is>
      </c>
      <c r="B2183" t="inlineStr">
        <is>
          <t>Processing Unit</t>
        </is>
      </c>
      <c r="C2183" t="inlineStr">
        <is>
          <t>SGS Germany GmbH, Emstek, DE</t>
        </is>
      </c>
      <c r="D2183" t="inlineStr">
        <is>
          <t>23.06.2027</t>
        </is>
      </c>
      <c r="E2183" t="inlineStr">
        <is>
          <t>China</t>
        </is>
      </c>
    </row>
    <row r="2184">
      <c r="A2184" t="inlineStr">
        <is>
          <t>Spazzoni S.E. Europe d.o.o.,  Zagreb, Croatia</t>
        </is>
      </c>
      <c r="B2184" t="inlineStr">
        <is>
          <t>First Gathering Point, Trader</t>
        </is>
      </c>
      <c r="C2184" t="inlineStr">
        <is>
          <t>Bureau Veritas Polska Sp. z o.o., Warsaw, PL</t>
        </is>
      </c>
      <c r="D2184" t="inlineStr">
        <is>
          <t>23.06.2027</t>
        </is>
      </c>
      <c r="E2184" t="inlineStr">
        <is>
          <t>Croatia</t>
        </is>
      </c>
    </row>
    <row r="2185">
      <c r="A2185" t="inlineStr">
        <is>
          <t>Essar Oil (UK) Limited,  Ellesmere Port, Cheshire, The United Kingdom</t>
        </is>
      </c>
      <c r="B2185" t="inlineStr">
        <is>
          <t>Processing Unit, Trader with Storage</t>
        </is>
      </c>
      <c r="C2185" t="inlineStr">
        <is>
          <t>BM Certification, Riga, LV</t>
        </is>
      </c>
      <c r="D2185" t="inlineStr">
        <is>
          <t>23.06.2027</t>
        </is>
      </c>
      <c r="E2185" t="inlineStr">
        <is>
          <t>The United Kingdom</t>
        </is>
      </c>
    </row>
    <row r="2186">
      <c r="A2186" t="inlineStr">
        <is>
          <t>Essar Oil (UK) Limited,  Ellesmere Port, Cheshire, United Kingdom</t>
        </is>
      </c>
      <c r="B2186" t="inlineStr">
        <is>
          <t>Processing Unit, Proof of Compliance Trader, Trader with Storage</t>
        </is>
      </c>
      <c r="C2186" t="inlineStr">
        <is>
          <t>BM Certification, Riga, LV</t>
        </is>
      </c>
      <c r="D2186" t="inlineStr">
        <is>
          <t>23.06.2027</t>
        </is>
      </c>
      <c r="E2186" t="inlineStr">
        <is>
          <t>United Kingdom</t>
        </is>
      </c>
    </row>
    <row r="2187">
      <c r="A2187" t="inlineStr">
        <is>
          <t>Essar Oil (UK) Limited,  Ellesmere Port, Cheshire, The United Kingdom</t>
        </is>
      </c>
      <c r="B2187" t="inlineStr">
        <is>
          <t>Trader with Storage</t>
        </is>
      </c>
      <c r="C2187" t="inlineStr">
        <is>
          <t>BM Certification, Riga, LV</t>
        </is>
      </c>
      <c r="D2187" t="inlineStr">
        <is>
          <t>23.06.2027</t>
        </is>
      </c>
      <c r="E2187" t="inlineStr">
        <is>
          <t>The United Kingdom</t>
        </is>
      </c>
    </row>
    <row r="2188">
      <c r="A2188" t="inlineStr">
        <is>
          <t>AAA oil inc,  Garden Grove, The United States of America</t>
        </is>
      </c>
      <c r="B2188" t="inlineStr">
        <is>
          <t>Trader</t>
        </is>
      </c>
      <c r="C2188" t="inlineStr">
        <is>
          <t>SCS Global Services, Emeryville, CA, US</t>
        </is>
      </c>
      <c r="D2188" t="inlineStr">
        <is>
          <t>23.06.2027</t>
        </is>
      </c>
      <c r="E2188" t="inlineStr">
        <is>
          <t>The United States of America</t>
        </is>
      </c>
    </row>
    <row r="2189">
      <c r="A2189" t="inlineStr">
        <is>
          <t>AAA oil inc,  Garden Grove, United States</t>
        </is>
      </c>
      <c r="B2189" t="inlineStr">
        <is>
          <t>Trader</t>
        </is>
      </c>
      <c r="C2189" t="inlineStr">
        <is>
          <t>SCS Global Services, Emeryville, CA, US</t>
        </is>
      </c>
      <c r="D2189" t="inlineStr">
        <is>
          <t>23.06.2027</t>
        </is>
      </c>
      <c r="E2189" t="inlineStr">
        <is>
          <t>United States</t>
        </is>
      </c>
    </row>
    <row r="2190">
      <c r="A2190" t="inlineStr">
        <is>
          <t>Agromex-BG,  Yambol, Bulgaria</t>
        </is>
      </c>
      <c r="B2190" t="inlineStr">
        <is>
          <t>First Gathering Point, Trader</t>
        </is>
      </c>
      <c r="C2190" t="inlineStr">
        <is>
          <t>Control Union Poland Sp. z o.o., Zielona Gora, PL</t>
        </is>
      </c>
      <c r="D2190" t="inlineStr">
        <is>
          <t>23.06.2027</t>
        </is>
      </c>
      <c r="E2190" t="inlineStr">
        <is>
          <t>Bulgaria</t>
        </is>
      </c>
    </row>
    <row r="2191">
      <c r="A2191" t="inlineStr">
        <is>
          <t>Idemitsu Advanced Materials (M) Sdn Bhd,  Pasir Gudang, Malaysia</t>
        </is>
      </c>
      <c r="B2191" t="inlineStr">
        <is>
          <t>Processing Unit</t>
        </is>
      </c>
      <c r="C2191" t="inlineStr">
        <is>
          <t>Trans Certification and Inspection Sdn Bhd, Kuantan, MY</t>
        </is>
      </c>
      <c r="D2191" t="inlineStr">
        <is>
          <t>23.06.2027</t>
        </is>
      </c>
      <c r="E2191" t="inlineStr">
        <is>
          <t>Malaysia</t>
        </is>
      </c>
    </row>
    <row r="2192">
      <c r="A2192" t="inlineStr">
        <is>
          <t>OSEVA UNI, a.s.,  Choceň, Czech Republic</t>
        </is>
      </c>
      <c r="B2192" t="inlineStr">
        <is>
          <t>First Gathering Point, Trader with Storage</t>
        </is>
      </c>
      <c r="C2192" t="inlineStr">
        <is>
          <t>TÜV SÜD Czech s.r.o., Praha 4, CZ</t>
        </is>
      </c>
      <c r="D2192" t="inlineStr">
        <is>
          <t>23.06.2027</t>
        </is>
      </c>
      <c r="E2192" t="inlineStr">
        <is>
          <t>Czech Republic</t>
        </is>
      </c>
    </row>
    <row r="2193">
      <c r="A2193" t="inlineStr">
        <is>
          <t>FGV PALM INDUSTRIES,  KETENGAH JAYA, Malaysia</t>
        </is>
      </c>
      <c r="B2193" t="inlineStr">
        <is>
          <t>Point of Origin</t>
        </is>
      </c>
      <c r="C2193" t="inlineStr">
        <is>
          <t>Trans Certification and Inspection Sdn Bhd, Kuantan, MY</t>
        </is>
      </c>
      <c r="D2193" t="inlineStr">
        <is>
          <t>23.06.2027</t>
        </is>
      </c>
      <c r="E2193" t="inlineStr">
        <is>
          <t>Malaysia</t>
        </is>
      </c>
    </row>
    <row r="2194">
      <c r="A2194" t="inlineStr">
        <is>
          <t>JC BIO Co., Ltd.,  Jeongeup-si, South Korea</t>
        </is>
      </c>
      <c r="B2194" t="inlineStr">
        <is>
          <t>Trader</t>
        </is>
      </c>
      <c r="C2194" t="inlineStr">
        <is>
          <t>Korean Foundation for Quality, Songpa-gu, Seoul, KR</t>
        </is>
      </c>
      <c r="D2194" t="inlineStr">
        <is>
          <t>22.06.2027</t>
        </is>
      </c>
      <c r="E2194" t="inlineStr">
        <is>
          <t>South Korea</t>
        </is>
      </c>
    </row>
    <row r="2195">
      <c r="A2195" t="inlineStr">
        <is>
          <t>Blessing Precisions Technology Shenzhen Company Limited,  Shenzhen, Guangdong, China</t>
        </is>
      </c>
      <c r="B2195" t="inlineStr">
        <is>
          <t>Processing Unit, Trader with Storage</t>
        </is>
      </c>
      <c r="C2195" t="inlineStr">
        <is>
          <t>SCS Global Services, Emeryville, CA, US</t>
        </is>
      </c>
      <c r="D2195" t="inlineStr">
        <is>
          <t>22.06.2027</t>
        </is>
      </c>
      <c r="E2195" t="inlineStr">
        <is>
          <t>China</t>
        </is>
      </c>
    </row>
    <row r="2196">
      <c r="A2196" t="inlineStr">
        <is>
          <t>ZHONGSHAN LONGSEN PRECISION PLASTICS LTD,  Zhongshan City,Guangdong Province, China</t>
        </is>
      </c>
      <c r="B2196" t="inlineStr">
        <is>
          <t>Processing Unit</t>
        </is>
      </c>
      <c r="C2196" t="inlineStr">
        <is>
          <t>RINA Services S.p.A., Genova, IT</t>
        </is>
      </c>
      <c r="D2196" t="inlineStr">
        <is>
          <t>22.06.2027</t>
        </is>
      </c>
      <c r="E2196" t="inlineStr">
        <is>
          <t>China</t>
        </is>
      </c>
    </row>
    <row r="2197">
      <c r="A2197" t="inlineStr">
        <is>
          <t>Rengo Co.,  Tokyo, Japan</t>
        </is>
      </c>
      <c r="B2197" t="inlineStr">
        <is>
          <t>Trader</t>
        </is>
      </c>
      <c r="C2197" t="inlineStr">
        <is>
          <t>Control Union Certifications Germany GmbH, Berlin, DE</t>
        </is>
      </c>
      <c r="D2197" t="inlineStr">
        <is>
          <t>22.06.2027</t>
        </is>
      </c>
      <c r="E2197" t="inlineStr">
        <is>
          <t>Japan</t>
        </is>
      </c>
    </row>
    <row r="2198">
      <c r="A2198" t="inlineStr">
        <is>
          <t>Cardolite Chemical Zhuhai Co., Ltd.,  Zhuhai City, Guangdong Province, China</t>
        </is>
      </c>
      <c r="B2198" t="inlineStr">
        <is>
          <t>Processing Unit</t>
        </is>
      </c>
      <c r="C2198" t="inlineStr">
        <is>
          <t>SGS Germany GmbH, Emstek, DE</t>
        </is>
      </c>
      <c r="D2198" t="inlineStr">
        <is>
          <t>22.06.2027</t>
        </is>
      </c>
      <c r="E2198" t="inlineStr">
        <is>
          <t>China</t>
        </is>
      </c>
    </row>
    <row r="2199">
      <c r="A2199" t="inlineStr">
        <is>
          <t>EYESTAR LIMITED,  Hong Kong, Hong Kong (SAR)</t>
        </is>
      </c>
      <c r="B2199" t="inlineStr">
        <is>
          <t>Trader</t>
        </is>
      </c>
      <c r="C2199" t="inlineStr">
        <is>
          <t>SCS Global Services, Emeryville, CA, US</t>
        </is>
      </c>
      <c r="D2199" t="inlineStr">
        <is>
          <t>22.06.2027</t>
        </is>
      </c>
      <c r="E2199" t="inlineStr">
        <is>
          <t>Hong Kong (SAR)</t>
        </is>
      </c>
    </row>
    <row r="2200">
      <c r="A2200" t="inlineStr">
        <is>
          <t>PORGAPORCS, S.L.,  VILA-SANA, Spain</t>
        </is>
      </c>
      <c r="B2200" t="inlineStr">
        <is>
          <t>Collecting Point, Processing Unit</t>
        </is>
      </c>
      <c r="C2200" t="inlineStr">
        <is>
          <t>Bureau Veritas Polska Sp. z o.o., Warsaw, PL</t>
        </is>
      </c>
      <c r="D2200" t="inlineStr">
        <is>
          <t>22.06.2027</t>
        </is>
      </c>
      <c r="E2200" t="inlineStr">
        <is>
          <t>Spain</t>
        </is>
      </c>
    </row>
    <row r="2201">
      <c r="A2201" t="inlineStr">
        <is>
          <t>Südzucker AG Werk Zeitz - Stärkefabrik,  Zeitz, Germany</t>
        </is>
      </c>
      <c r="B2201" t="inlineStr">
        <is>
          <t>Point of Origin, Processing Unit, Trader with Storage</t>
        </is>
      </c>
      <c r="C2201" t="inlineStr">
        <is>
          <t>Control Union Certifications Germany GmbH, Berlin, DE</t>
        </is>
      </c>
      <c r="D2201" t="inlineStr">
        <is>
          <t>22.06.2027</t>
        </is>
      </c>
      <c r="E2201" t="inlineStr">
        <is>
          <t>Germany</t>
        </is>
      </c>
    </row>
    <row r="2202">
      <c r="A2202" t="inlineStr">
        <is>
          <t>Discoil Medioambiente SL,  Loeches Madrid, Spain</t>
        </is>
      </c>
      <c r="B2202" t="inlineStr">
        <is>
          <t>Collecting Point, Trader with Storage</t>
        </is>
      </c>
      <c r="C2202" t="inlineStr">
        <is>
          <t>Amspec Iberia SL, Vilagarcia de Arousa-Pontevedra, ES</t>
        </is>
      </c>
      <c r="D2202" t="inlineStr">
        <is>
          <t>22.06.2027</t>
        </is>
      </c>
      <c r="E2202" t="inlineStr">
        <is>
          <t>Spain</t>
        </is>
      </c>
    </row>
    <row r="2203">
      <c r="A2203" t="inlineStr">
        <is>
          <t>Kalimantan Subur Sawit,  Kab. Bengkayang, Indonesia</t>
        </is>
      </c>
      <c r="B2203" t="inlineStr">
        <is>
          <t>Point of Origin</t>
        </is>
      </c>
      <c r="C2203" t="inlineStr">
        <is>
          <t>PT. Qualitas Sertifikasi Indonesia, Jakarta, ID</t>
        </is>
      </c>
      <c r="D2203" t="inlineStr">
        <is>
          <t>22.06.2027</t>
        </is>
      </c>
      <c r="E2203" t="inlineStr">
        <is>
          <t>Indonesia</t>
        </is>
      </c>
    </row>
    <row r="2204">
      <c r="A2204" t="inlineStr">
        <is>
          <t>Kalimantan Subur Sawit,  Kab. Bengkayang, Indonesia</t>
        </is>
      </c>
      <c r="B2204" t="inlineStr">
        <is>
          <t>Point of Origin</t>
        </is>
      </c>
      <c r="C2204" t="inlineStr">
        <is>
          <t>PT. Qualitas Sertifikasi Indonesia, Jakarta, ID</t>
        </is>
      </c>
      <c r="D2204" t="inlineStr">
        <is>
          <t>22.06.2027</t>
        </is>
      </c>
      <c r="E2204" t="inlineStr">
        <is>
          <t>Indonesia</t>
        </is>
      </c>
    </row>
    <row r="2205">
      <c r="A2205" t="inlineStr">
        <is>
          <t>Discoil Gestion Ambiental, S.L.,  Alcala De Guadaira, Sevilla, Spain</t>
        </is>
      </c>
      <c r="B2205" t="inlineStr">
        <is>
          <t>Collecting Point, Trader with Storage</t>
        </is>
      </c>
      <c r="C2205" t="inlineStr">
        <is>
          <t>Amspec Iberia SL, Vilagarcia de Arousa-Pontevedra, ES</t>
        </is>
      </c>
      <c r="D2205" t="inlineStr">
        <is>
          <t>22.06.2027</t>
        </is>
      </c>
      <c r="E2205" t="inlineStr">
        <is>
          <t>Spain</t>
        </is>
      </c>
    </row>
    <row r="2206">
      <c r="A2206" t="inlineStr">
        <is>
          <t>Circtec Ltd,  London, The United Kingdom</t>
        </is>
      </c>
      <c r="B2206" t="inlineStr">
        <is>
          <t>Trader</t>
        </is>
      </c>
      <c r="C2206" t="inlineStr">
        <is>
          <t>DEKRA Certification B.V., Arnhem, NL</t>
        </is>
      </c>
      <c r="D2206" t="inlineStr">
        <is>
          <t>22.06.2027</t>
        </is>
      </c>
      <c r="E2206" t="inlineStr">
        <is>
          <t>The United Kingdom</t>
        </is>
      </c>
    </row>
    <row r="2207">
      <c r="A2207" t="inlineStr">
        <is>
          <t>Fuzhou Xingzhong Bioenergy Technology Co., LTD,  Jin’ an District, Fuzhou City, Fujian Province, China</t>
        </is>
      </c>
      <c r="B2207" t="inlineStr">
        <is>
          <t>Collecting Point</t>
        </is>
      </c>
      <c r="C2207" t="inlineStr">
        <is>
          <t>China Standard Conformity Assessment Co. Ltd, Beijing, CN</t>
        </is>
      </c>
      <c r="D2207" t="inlineStr">
        <is>
          <t>22.06.2027</t>
        </is>
      </c>
      <c r="E2207" t="inlineStr">
        <is>
          <t>China</t>
        </is>
      </c>
    </row>
    <row r="2208">
      <c r="A2208" t="inlineStr">
        <is>
          <t>Oil2U,  Brooklyn, Australia</t>
        </is>
      </c>
      <c r="B2208" t="inlineStr">
        <is>
          <t>Collecting Point</t>
        </is>
      </c>
      <c r="C2208" t="inlineStr">
        <is>
          <t>SGS Germany GmbH, Emstek, DE</t>
        </is>
      </c>
      <c r="D2208" t="inlineStr">
        <is>
          <t>22.06.2027</t>
        </is>
      </c>
      <c r="E2208" t="inlineStr">
        <is>
          <t>Australia</t>
        </is>
      </c>
    </row>
    <row r="2209">
      <c r="A2209" t="inlineStr">
        <is>
          <t>Circtec Ltd,  London, The United Kingdom</t>
        </is>
      </c>
      <c r="B2209" t="inlineStr">
        <is>
          <t>Trader</t>
        </is>
      </c>
      <c r="C2209" t="inlineStr">
        <is>
          <t>DEKRA Certification B.V., Arnhem, NL</t>
        </is>
      </c>
      <c r="D2209" t="inlineStr">
        <is>
          <t>22.06.2027</t>
        </is>
      </c>
      <c r="E2209" t="inlineStr">
        <is>
          <t>The United Kingdom</t>
        </is>
      </c>
    </row>
    <row r="2210">
      <c r="A2210" t="inlineStr">
        <is>
          <t>Suzhou Kunlene Film Industries Co Ltd,  Suzhou, China</t>
        </is>
      </c>
      <c r="B2210" t="inlineStr">
        <is>
          <t>Processing Unit</t>
        </is>
      </c>
      <c r="C2210" t="inlineStr">
        <is>
          <t>SGS Germany GmbH, Emstek, DE</t>
        </is>
      </c>
      <c r="D2210" t="inlineStr">
        <is>
          <t>22.06.2027</t>
        </is>
      </c>
      <c r="E2210" t="inlineStr">
        <is>
          <t>China</t>
        </is>
      </c>
    </row>
    <row r="2211">
      <c r="A2211" t="inlineStr">
        <is>
          <t>Közép-Magyarországi Gazdák Mezőgazdasági Szövetkezete,  Törtel, Hungary</t>
        </is>
      </c>
      <c r="B2211" t="inlineStr">
        <is>
          <t>First Gathering Point</t>
        </is>
      </c>
      <c r="C2211" t="inlineStr">
        <is>
          <t>SGS Germany GmbH, Emstek, DE</t>
        </is>
      </c>
      <c r="D2211" t="inlineStr">
        <is>
          <t>22.06.2027</t>
        </is>
      </c>
      <c r="E2211" t="inlineStr">
        <is>
          <t>Hungary</t>
        </is>
      </c>
    </row>
    <row r="2212">
      <c r="A2212" t="inlineStr">
        <is>
          <t>Rodbun Grup SA,  Bucuresti, Romania</t>
        </is>
      </c>
      <c r="B2212" t="inlineStr">
        <is>
          <t>First Gathering Point, Trader with Storage</t>
        </is>
      </c>
      <c r="C2212" t="inlineStr">
        <is>
          <t>SGS Germany GmbH, Emstek, DE</t>
        </is>
      </c>
      <c r="D2212" t="inlineStr">
        <is>
          <t>22.06.2027</t>
        </is>
      </c>
      <c r="E2212" t="inlineStr">
        <is>
          <t>Romania</t>
        </is>
      </c>
    </row>
    <row r="2213">
      <c r="A2213" t="inlineStr">
        <is>
          <t>RAIL OPERATOR CEREAL SRL,  LOVRIN, Romania</t>
        </is>
      </c>
      <c r="B2213" t="inlineStr">
        <is>
          <t>First Gathering Point, Trader with Storage</t>
        </is>
      </c>
      <c r="C2213" t="inlineStr">
        <is>
          <t>SGS Germany GmbH, Emstek, DE</t>
        </is>
      </c>
      <c r="D2213" t="inlineStr">
        <is>
          <t>22.06.2027</t>
        </is>
      </c>
      <c r="E2213" t="inlineStr">
        <is>
          <t>Romania</t>
        </is>
      </c>
    </row>
    <row r="2214">
      <c r="A2214" t="inlineStr">
        <is>
          <t>WISE R TECHNOLOGY HK LIMITED,  Tsim Sha Tsui, KL, Hong Kong, SAR, China</t>
        </is>
      </c>
      <c r="B2214" t="inlineStr">
        <is>
          <t>Trader</t>
        </is>
      </c>
      <c r="C2214" t="inlineStr">
        <is>
          <t>SCS Global Services, Emeryville, CA, US</t>
        </is>
      </c>
      <c r="D2214" t="inlineStr">
        <is>
          <t>22.06.2027</t>
        </is>
      </c>
      <c r="E2214" t="inlineStr">
        <is>
          <t>China</t>
        </is>
      </c>
    </row>
    <row r="2215">
      <c r="A2215" t="inlineStr">
        <is>
          <t>ZOPPE' ABRAMO,  BORGO VALBELLUNA, Italy</t>
        </is>
      </c>
      <c r="B2215" t="inlineStr">
        <is>
          <t>Collecting Point, First Gathering Point</t>
        </is>
      </c>
      <c r="C2215" t="inlineStr">
        <is>
          <t>ICIM SpA, sesto san giovanni, IT</t>
        </is>
      </c>
      <c r="D2215" t="inlineStr">
        <is>
          <t>22.06.2027</t>
        </is>
      </c>
      <c r="E2215" t="inlineStr">
        <is>
          <t>Italy</t>
        </is>
      </c>
    </row>
    <row r="2216">
      <c r="A2216" t="inlineStr">
        <is>
          <t>Ina Industrija nafte d.d.,  Zagreb, Croatia</t>
        </is>
      </c>
      <c r="B2216" t="inlineStr">
        <is>
          <t>Proof of Compliance Trader, Trader with Storage</t>
        </is>
      </c>
      <c r="C2216" t="inlineStr">
        <is>
          <t>Bureau Veritas Polska Sp. z o.o., Warsaw, PL</t>
        </is>
      </c>
      <c r="D2216" t="inlineStr">
        <is>
          <t>22.06.2027</t>
        </is>
      </c>
      <c r="E2216" t="inlineStr">
        <is>
          <t>Croatia</t>
        </is>
      </c>
    </row>
    <row r="2217">
      <c r="A2217" t="inlineStr">
        <is>
          <t>AGROINVEST ZAMBREASCA COOPERATIVA AGRICOLA,  Zambreasca, Romania</t>
        </is>
      </c>
      <c r="B2217" t="inlineStr">
        <is>
          <t>First Gathering Point</t>
        </is>
      </c>
      <c r="C2217" t="inlineStr">
        <is>
          <t>BM Certification, Riga, LV</t>
        </is>
      </c>
      <c r="D2217" t="inlineStr">
        <is>
          <t>22.06.2027</t>
        </is>
      </c>
      <c r="E2217" t="inlineStr">
        <is>
          <t>Romania</t>
        </is>
      </c>
    </row>
    <row r="2218">
      <c r="A2218" t="inlineStr">
        <is>
          <t>AGROCEREAL GROUP SRL,  SLOBOZIA, Romania</t>
        </is>
      </c>
      <c r="B2218" t="inlineStr">
        <is>
          <t>First Gathering Point, Trader</t>
        </is>
      </c>
      <c r="C2218" t="inlineStr">
        <is>
          <t>PT Intertek Utama Services, Jakarta, ID</t>
        </is>
      </c>
      <c r="D2218" t="inlineStr">
        <is>
          <t>22.06.2027</t>
        </is>
      </c>
      <c r="E2218" t="inlineStr">
        <is>
          <t>Romania</t>
        </is>
      </c>
    </row>
    <row r="2219">
      <c r="A2219" t="inlineStr">
        <is>
          <t>Agro Business Group,  Ocnița, Moldova</t>
        </is>
      </c>
      <c r="B2219" t="inlineStr">
        <is>
          <t>First Gathering Point</t>
        </is>
      </c>
      <c r="C2219" t="inlineStr">
        <is>
          <t>BM Certification, Riga, LV</t>
        </is>
      </c>
      <c r="D2219" t="inlineStr">
        <is>
          <t>22.06.2027</t>
        </is>
      </c>
      <c r="E2219" t="inlineStr">
        <is>
          <t>Moldova</t>
        </is>
      </c>
    </row>
    <row r="2220">
      <c r="A2220" t="inlineStr">
        <is>
          <t>SHARPMAX INTERNATIONAL (HONGKONG) CO., LIMITED,  Hefei City, China</t>
        </is>
      </c>
      <c r="B2220" t="inlineStr">
        <is>
          <t>Trader</t>
        </is>
      </c>
      <c r="C2220" t="inlineStr">
        <is>
          <t>RINA Services S.p.A., Genova, IT</t>
        </is>
      </c>
      <c r="D2220" t="inlineStr">
        <is>
          <t>22.06.2027</t>
        </is>
      </c>
      <c r="E2220" t="inlineStr">
        <is>
          <t>China</t>
        </is>
      </c>
    </row>
    <row r="2221">
      <c r="A2221" t="inlineStr">
        <is>
          <t>ICA – Industria Chimica Adriatica S.p.A.,  Civitanova Marche, Italy</t>
        </is>
      </c>
      <c r="B2221" t="inlineStr">
        <is>
          <t>Processing Unit</t>
        </is>
      </c>
      <c r="C2221" t="inlineStr">
        <is>
          <t>SGS Germany GmbH, Emstek, DE</t>
        </is>
      </c>
      <c r="D2221" t="inlineStr">
        <is>
          <t>22.06.2027</t>
        </is>
      </c>
      <c r="E2221" t="inlineStr">
        <is>
          <t>Italy</t>
        </is>
      </c>
    </row>
    <row r="2222">
      <c r="A2222" t="inlineStr">
        <is>
          <t>UAB MESTILLA,  Klaipėda, Lithuania</t>
        </is>
      </c>
      <c r="B2222" t="inlineStr">
        <is>
          <t>First Gathering Point, Point of Origin, Processing Unit</t>
        </is>
      </c>
      <c r="C2222" t="inlineStr">
        <is>
          <t>Bureau Veritas Polska Sp. z o.o., Warsaw, PL</t>
        </is>
      </c>
      <c r="D2222" t="inlineStr">
        <is>
          <t>22.06.2027</t>
        </is>
      </c>
      <c r="E2222" t="inlineStr">
        <is>
          <t>Lithuania</t>
        </is>
      </c>
    </row>
    <row r="2223">
      <c r="A2223" t="inlineStr">
        <is>
          <t>AUTOTRASPORTI DIBONA ROBERTO,  CORTINA D'AMPEZZO, Italy</t>
        </is>
      </c>
      <c r="B2223" t="inlineStr">
        <is>
          <t>Collecting Point, First Gathering Point</t>
        </is>
      </c>
      <c r="C2223" t="inlineStr">
        <is>
          <t>ICIM SpA, sesto san giovanni, IT</t>
        </is>
      </c>
      <c r="D2223" t="inlineStr">
        <is>
          <t>22.06.2027</t>
        </is>
      </c>
      <c r="E2223" t="inlineStr">
        <is>
          <t>Italy</t>
        </is>
      </c>
    </row>
    <row r="2224">
      <c r="A2224" t="inlineStr">
        <is>
          <t>QINGDAO BRANCH OF SHANDONG HIGH-SPEED ASPHALT CO., LTD.,  jinan City, Shandong Province, China</t>
        </is>
      </c>
      <c r="B2224" t="inlineStr">
        <is>
          <t>Trader</t>
        </is>
      </c>
      <c r="C2224" t="inlineStr">
        <is>
          <t>SCS Global Services, Emeryville, CA, US</t>
        </is>
      </c>
      <c r="D2224" t="inlineStr">
        <is>
          <t>22.06.2027</t>
        </is>
      </c>
      <c r="E2224" t="inlineStr">
        <is>
          <t>China</t>
        </is>
      </c>
    </row>
    <row r="2225">
      <c r="A2225" t="inlineStr">
        <is>
          <t>QINGDAO BRANCH OF SHANDONG HIGH-SPEED ASPHALT CO., LTD.,  jinan City, Shandong Province, China</t>
        </is>
      </c>
      <c r="B2225" t="inlineStr">
        <is>
          <t>Trader</t>
        </is>
      </c>
      <c r="C2225" t="inlineStr">
        <is>
          <t>SCS Global Services, Emeryville, CA, US</t>
        </is>
      </c>
      <c r="D2225" t="inlineStr">
        <is>
          <t>22.06.2027</t>
        </is>
      </c>
      <c r="E2225" t="inlineStr">
        <is>
          <t>China</t>
        </is>
      </c>
    </row>
    <row r="2226">
      <c r="A2226" t="inlineStr">
        <is>
          <t>Chemical Agro,  Racari, Romania</t>
        </is>
      </c>
      <c r="B2226" t="inlineStr">
        <is>
          <t>First Gathering Point</t>
        </is>
      </c>
      <c r="C2226" t="inlineStr">
        <is>
          <t>CertRom SRL, Bucuresti, RO</t>
        </is>
      </c>
      <c r="D2226" t="inlineStr">
        <is>
          <t>22.06.2027</t>
        </is>
      </c>
      <c r="E2226" t="inlineStr">
        <is>
          <t>Romania</t>
        </is>
      </c>
    </row>
    <row r="2227">
      <c r="A2227" t="inlineStr">
        <is>
          <t>SLM Energy GmbH,  Wien, Austria</t>
        </is>
      </c>
      <c r="B2227" t="inlineStr">
        <is>
          <t>Trader</t>
        </is>
      </c>
      <c r="C2227" t="inlineStr">
        <is>
          <t>agroVet GmbH, Enzersfeld, AT</t>
        </is>
      </c>
      <c r="D2227" t="inlineStr">
        <is>
          <t>22.06.2027</t>
        </is>
      </c>
      <c r="E2227" t="inlineStr">
        <is>
          <t>Austria</t>
        </is>
      </c>
    </row>
    <row r="2228">
      <c r="A2228" t="inlineStr">
        <is>
          <t>Pencomers,  Varna, Bulgaria</t>
        </is>
      </c>
      <c r="B2228" t="inlineStr">
        <is>
          <t>Collecting Point, Trader with Storage</t>
        </is>
      </c>
      <c r="C2228" t="inlineStr">
        <is>
          <t>SGS Germany GmbH, Emstek, DE</t>
        </is>
      </c>
      <c r="D2228" t="inlineStr">
        <is>
          <t>22.06.2027</t>
        </is>
      </c>
      <c r="E2228" t="inlineStr">
        <is>
          <t>Bulgaria</t>
        </is>
      </c>
    </row>
    <row r="2229">
      <c r="A2229" t="inlineStr">
        <is>
          <t>Abena Produktion,  Aabenraa, Denmark</t>
        </is>
      </c>
      <c r="B2229" t="inlineStr">
        <is>
          <t>Final Product Refinement</t>
        </is>
      </c>
      <c r="C2229" t="inlineStr">
        <is>
          <t>Bureau Veritas Polska Sp. z o.o., Warsaw, PL</t>
        </is>
      </c>
      <c r="D2229" t="inlineStr">
        <is>
          <t>22.06.2027</t>
        </is>
      </c>
      <c r="E2229" t="inlineStr">
        <is>
          <t>Denmark</t>
        </is>
      </c>
    </row>
    <row r="2230">
      <c r="A2230" t="inlineStr">
        <is>
          <t>GO2-markets GmbH,  Berlin, Germany</t>
        </is>
      </c>
      <c r="B2230" t="inlineStr">
        <is>
          <t>Trader with Storage</t>
        </is>
      </c>
      <c r="C2230" t="inlineStr">
        <is>
          <t>TÜV SÜD Industrie Service GmbH, München, DE</t>
        </is>
      </c>
      <c r="D2230" t="inlineStr">
        <is>
          <t>22.06.2027</t>
        </is>
      </c>
      <c r="E2230" t="inlineStr">
        <is>
          <t>Germany</t>
        </is>
      </c>
    </row>
    <row r="2231">
      <c r="A2231" t="inlineStr">
        <is>
          <t>Kohyei Trading Co.,Ltd.,  Osaka, Japan</t>
        </is>
      </c>
      <c r="B2231" t="inlineStr">
        <is>
          <t>Trader with Storage</t>
        </is>
      </c>
      <c r="C2231" t="inlineStr">
        <is>
          <t>SGS Germany GmbH, Emstek, DE</t>
        </is>
      </c>
      <c r="D2231" t="inlineStr">
        <is>
          <t>22.06.2027</t>
        </is>
      </c>
      <c r="E2231" t="inlineStr">
        <is>
          <t>Japan</t>
        </is>
      </c>
    </row>
    <row r="2232">
      <c r="A2232" t="inlineStr">
        <is>
          <t>QUYNH TRUNG AGRICULTURAL ONE MEMBER COMPANY LIMITED,  Dong Tien Hamlet, Phu Trung Commune, Dong Nai City, Vietnam</t>
        </is>
      </c>
      <c r="B2232" t="inlineStr">
        <is>
          <t>Collecting Point, Point of Origin, Processing Unit, Trader with Storage</t>
        </is>
      </c>
      <c r="C2232" t="inlineStr">
        <is>
          <t>BM Certification, Riga, LV</t>
        </is>
      </c>
      <c r="D2232" t="inlineStr">
        <is>
          <t>22.06.2027</t>
        </is>
      </c>
      <c r="E2232" t="inlineStr">
        <is>
          <t>Vietnam</t>
        </is>
      </c>
    </row>
    <row r="2233">
      <c r="A2233" t="inlineStr">
        <is>
          <t>PT.YUSUNG ADVANCED INDONESIA,  Kab. Majalengka, Indonesia</t>
        </is>
      </c>
      <c r="B2233" t="inlineStr">
        <is>
          <t>Processing Unit</t>
        </is>
      </c>
      <c r="C2233" t="inlineStr">
        <is>
          <t>SGS Germany GmbH, Emstek, DE</t>
        </is>
      </c>
      <c r="D2233" t="inlineStr">
        <is>
          <t>22.06.2027</t>
        </is>
      </c>
      <c r="E2233" t="inlineStr">
        <is>
          <t>Indonesia</t>
        </is>
      </c>
    </row>
    <row r="2234">
      <c r="A2234" t="inlineStr">
        <is>
          <t>Masol Cartagena Biofuel S.L.,  Cartagena (Murcia), Spain</t>
        </is>
      </c>
      <c r="B2234" t="inlineStr">
        <is>
          <t>Biomarine Fuel Operator, Point of Origin, Processing Unit, Warehouse</t>
        </is>
      </c>
      <c r="C2234" t="inlineStr">
        <is>
          <t>Control Union Poland Sp. z o.o., Zielona Gora, PL</t>
        </is>
      </c>
      <c r="D2234" t="inlineStr">
        <is>
          <t>22.06.2027</t>
        </is>
      </c>
      <c r="E2234" t="inlineStr">
        <is>
          <t>Spain</t>
        </is>
      </c>
    </row>
    <row r="2235">
      <c r="A2235" t="inlineStr">
        <is>
          <t>LLC Katerynopilsky Elevator,  Yerky Urban Village, Ukraine</t>
        </is>
      </c>
      <c r="B2235" t="inlineStr">
        <is>
          <t>First Gathering Point, Point of Origin, Processing Unit, Trader with Storage</t>
        </is>
      </c>
      <c r="C2235" t="inlineStr">
        <is>
          <t>Apex Genelab LLC, Odessa, UA</t>
        </is>
      </c>
      <c r="D2235" t="inlineStr">
        <is>
          <t>22.06.2027</t>
        </is>
      </c>
      <c r="E2235" t="inlineStr">
        <is>
          <t>Ukraine</t>
        </is>
      </c>
    </row>
    <row r="2236">
      <c r="A2236" t="inlineStr">
        <is>
          <t>Vinni Biogaas OÜ,  Vinni, Estonia</t>
        </is>
      </c>
      <c r="B2236" t="inlineStr">
        <is>
          <t>Collecting Point, Processing Unit</t>
        </is>
      </c>
      <c r="C2236" t="inlineStr">
        <is>
          <t>Bureau Veritas Polska Sp. z o.o., Warsaw, PL</t>
        </is>
      </c>
      <c r="D2236" t="inlineStr">
        <is>
          <t>22.06.2027</t>
        </is>
      </c>
      <c r="E2236" t="inlineStr">
        <is>
          <t>Estonia</t>
        </is>
      </c>
    </row>
    <row r="2237">
      <c r="A2237" t="inlineStr">
        <is>
          <t>INTERAGROS, a. s.,  Trnava, Slovakia</t>
        </is>
      </c>
      <c r="B2237" t="inlineStr">
        <is>
          <t>First Gathering Point, Trader with Storage, Logistics Center</t>
        </is>
      </c>
      <c r="C2237" t="inlineStr">
        <is>
          <t>Bureau Veritas Polska Sp. z o.o., Warsaw, PL</t>
        </is>
      </c>
      <c r="D2237" t="inlineStr">
        <is>
          <t>22.06.2027</t>
        </is>
      </c>
      <c r="E2237" t="inlineStr">
        <is>
          <t>Slovakia</t>
        </is>
      </c>
    </row>
    <row r="2238">
      <c r="A2238" t="inlineStr">
        <is>
          <t>BV OILS S.L.,  Reus (Tarragona), Spain</t>
        </is>
      </c>
      <c r="B2238" t="inlineStr">
        <is>
          <t>Trader</t>
        </is>
      </c>
      <c r="C2238" t="inlineStr">
        <is>
          <t>RINA Services S.p.A., Genova, IT</t>
        </is>
      </c>
      <c r="D2238" t="inlineStr">
        <is>
          <t>22.06.2027</t>
        </is>
      </c>
      <c r="E2238" t="inlineStr">
        <is>
          <t>Spain</t>
        </is>
      </c>
    </row>
    <row r="2239">
      <c r="A2239" t="inlineStr">
        <is>
          <t>INTERAGROS, a. s.,  Trnava, Slovakia</t>
        </is>
      </c>
      <c r="B2239" t="inlineStr">
        <is>
          <t>First Gathering Point, Trader with Storage, Logistics Center</t>
        </is>
      </c>
      <c r="C2239" t="inlineStr">
        <is>
          <t>Bureau Veritas Polska Sp. z o.o., Warsaw, PL</t>
        </is>
      </c>
      <c r="D2239" t="inlineStr">
        <is>
          <t>22.06.2027</t>
        </is>
      </c>
      <c r="E2239" t="inlineStr">
        <is>
          <t>Slovakia</t>
        </is>
      </c>
    </row>
    <row r="2240">
      <c r="A2240" t="inlineStr">
        <is>
          <t>Georgia Wood Char,  Commerce, United States</t>
        </is>
      </c>
      <c r="B2240" t="inlineStr">
        <is>
          <t>Collecting Point, Processing Unit</t>
        </is>
      </c>
      <c r="C2240" t="inlineStr">
        <is>
          <t>SGS Germany GmbH, Emstek, DE</t>
        </is>
      </c>
      <c r="D2240" t="inlineStr">
        <is>
          <t>22.06.2027</t>
        </is>
      </c>
      <c r="E2240" t="inlineStr">
        <is>
          <t>United States</t>
        </is>
      </c>
    </row>
    <row r="2241">
      <c r="A2241" t="inlineStr">
        <is>
          <t>St. Johns Packaging,  Saint-Jean-sur-Richelieu, Quebec, Canada</t>
        </is>
      </c>
      <c r="B2241" t="inlineStr">
        <is>
          <t>Final Product Refinement, Trader with Storage</t>
        </is>
      </c>
      <c r="C2241" t="inlineStr">
        <is>
          <t>Control Union Poland Sp. z o.o., Zielona Gora, PL</t>
        </is>
      </c>
      <c r="D2241" t="inlineStr">
        <is>
          <t>22.06.2027</t>
        </is>
      </c>
      <c r="E2241" t="inlineStr">
        <is>
          <t>Canada</t>
        </is>
      </c>
    </row>
    <row r="2242">
      <c r="A2242" t="inlineStr">
        <is>
          <t>FGV Palm Industries Sdn Bhd,  Setiu, Malaysia</t>
        </is>
      </c>
      <c r="B2242" t="inlineStr">
        <is>
          <t>Point of Origin</t>
        </is>
      </c>
      <c r="C2242" t="inlineStr">
        <is>
          <t>Trans Certification and Inspection Sdn Bhd, Kuantan, MY</t>
        </is>
      </c>
      <c r="D2242" t="inlineStr">
        <is>
          <t>22.06.2027</t>
        </is>
      </c>
      <c r="E2242" t="inlineStr">
        <is>
          <t>Malaysia</t>
        </is>
      </c>
    </row>
    <row r="2243">
      <c r="A2243" t="inlineStr">
        <is>
          <t>LLC "ITRIY",  Kyiv, Ukraine</t>
        </is>
      </c>
      <c r="B2243" t="inlineStr">
        <is>
          <t>First Gathering Point, Trader</t>
        </is>
      </c>
      <c r="C2243" t="inlineStr">
        <is>
          <t>Baltic Control Certification, Albertslund, DK</t>
        </is>
      </c>
      <c r="D2243" t="inlineStr">
        <is>
          <t>22.06.2027</t>
        </is>
      </c>
      <c r="E2243" t="inlineStr">
        <is>
          <t>Ukraine</t>
        </is>
      </c>
    </row>
    <row r="2244">
      <c r="A2244" t="inlineStr">
        <is>
          <t>Flexopack Polska Sp. z o. o.,  Malbork, Poland</t>
        </is>
      </c>
      <c r="B2244" t="inlineStr">
        <is>
          <t>Processing Unit</t>
        </is>
      </c>
      <c r="C2244" t="inlineStr">
        <is>
          <t>Bureau Veritas Polska Sp. z o.o., Warsaw, PL</t>
        </is>
      </c>
      <c r="D2244" t="inlineStr">
        <is>
          <t>22.06.2027</t>
        </is>
      </c>
      <c r="E2244" t="inlineStr">
        <is>
          <t>Poland</t>
        </is>
      </c>
    </row>
    <row r="2245">
      <c r="A2245" t="inlineStr">
        <is>
          <t>Naturgy Nuevas Energías S.L.U.,  Vila-sana, Spain</t>
        </is>
      </c>
      <c r="B2245" t="inlineStr">
        <is>
          <t>Processing Unit</t>
        </is>
      </c>
      <c r="C2245" t="inlineStr">
        <is>
          <t>Bureau Veritas Polska Sp. z o.o., Warsaw, PL</t>
        </is>
      </c>
      <c r="D2245" t="inlineStr">
        <is>
          <t>22.06.2027</t>
        </is>
      </c>
      <c r="E2245" t="inlineStr">
        <is>
          <t>Spain</t>
        </is>
      </c>
    </row>
    <row r="2246">
      <c r="A2246" t="inlineStr">
        <is>
          <t>Papas Olio JSC,  Balchik, Bulgaria</t>
        </is>
      </c>
      <c r="B2246" t="inlineStr">
        <is>
          <t>Point of Origin, Processing Unit</t>
        </is>
      </c>
      <c r="C2246" t="inlineStr">
        <is>
          <t>SGS Germany GmbH, Emstek, DE</t>
        </is>
      </c>
      <c r="D2246" t="inlineStr">
        <is>
          <t>22.06.2027</t>
        </is>
      </c>
      <c r="E2246" t="inlineStr">
        <is>
          <t>Bulgaria</t>
        </is>
      </c>
    </row>
    <row r="2247">
      <c r="A2247" t="inlineStr">
        <is>
          <t>St. Johns Packaging,  St-Jean-sur-Richelieu, Canada</t>
        </is>
      </c>
      <c r="B2247" t="inlineStr">
        <is>
          <t>Processing Unit</t>
        </is>
      </c>
      <c r="C2247" t="inlineStr">
        <is>
          <t>Control Union Poland Sp. z o.o., Zielona Gora, PL</t>
        </is>
      </c>
      <c r="D2247" t="inlineStr">
        <is>
          <t>22.06.2027</t>
        </is>
      </c>
      <c r="E2247" t="inlineStr">
        <is>
          <t>Canada</t>
        </is>
      </c>
    </row>
    <row r="2248">
      <c r="A2248" t="inlineStr">
        <is>
          <t>AGRIA s.r.o,  Zalužice, Slovakia</t>
        </is>
      </c>
      <c r="B2248" t="inlineStr">
        <is>
          <t>Trader, First Gathering Point</t>
        </is>
      </c>
      <c r="C2248" t="inlineStr">
        <is>
          <t>United Registrar of Systems Polska Sp. z o.o., Wrocław, PL</t>
        </is>
      </c>
      <c r="D2248" t="inlineStr">
        <is>
          <t>22.06.2027</t>
        </is>
      </c>
      <c r="E2248" t="inlineStr">
        <is>
          <t>Slovakia</t>
        </is>
      </c>
    </row>
    <row r="2249">
      <c r="A2249" t="inlineStr">
        <is>
          <t>GO2-markets GmbH,  Berlin, Germany</t>
        </is>
      </c>
      <c r="B2249" t="inlineStr">
        <is>
          <t>Trader</t>
        </is>
      </c>
      <c r="C2249" t="inlineStr">
        <is>
          <t>TÜV SÜD Industrie Service GmbH, München, DE</t>
        </is>
      </c>
      <c r="D2249" t="inlineStr">
        <is>
          <t>22.06.2027</t>
        </is>
      </c>
      <c r="E2249" t="inlineStr">
        <is>
          <t>Germany</t>
        </is>
      </c>
    </row>
    <row r="2250">
      <c r="A2250" t="inlineStr">
        <is>
          <t>FGV Palm Industries Sdn Bhd,  Hulu Terengganu, Malaysia</t>
        </is>
      </c>
      <c r="B2250" t="inlineStr">
        <is>
          <t>Point of Origin</t>
        </is>
      </c>
      <c r="C2250" t="inlineStr">
        <is>
          <t>Trans Certification and Inspection Sdn Bhd, Kuantan, MY</t>
        </is>
      </c>
      <c r="D2250" t="inlineStr">
        <is>
          <t>22.06.2027</t>
        </is>
      </c>
      <c r="E2250" t="inlineStr">
        <is>
          <t>Malaysia</t>
        </is>
      </c>
    </row>
    <row r="2251">
      <c r="A2251" t="inlineStr">
        <is>
          <t>Kilang Sawit FELCRA Berhad Bukit Kepong,  Labis, Malaysia</t>
        </is>
      </c>
      <c r="B2251" t="inlineStr">
        <is>
          <t>Point of Origin</t>
        </is>
      </c>
      <c r="C2251" t="inlineStr">
        <is>
          <t>Trans Certification and Inspection Sdn Bhd, Kuantan, MY</t>
        </is>
      </c>
      <c r="D2251" t="inlineStr">
        <is>
          <t>22.06.2027</t>
        </is>
      </c>
      <c r="E2251" t="inlineStr">
        <is>
          <t>Malaysia</t>
        </is>
      </c>
    </row>
    <row r="2252">
      <c r="A2252" t="inlineStr">
        <is>
          <t>Delta Agrar doo,  Novi Beograd, Serbia</t>
        </is>
      </c>
      <c r="B2252" t="inlineStr">
        <is>
          <t>Collecting Point, First Gathering Point, Farm / Plantation, Trader with Storage, Point of Origin</t>
        </is>
      </c>
      <c r="C2252" t="inlineStr">
        <is>
          <t>Bureau Veritas Polska Sp. z o.o., Warsaw, PL</t>
        </is>
      </c>
      <c r="D2252" t="inlineStr">
        <is>
          <t>22.06.2027</t>
        </is>
      </c>
      <c r="E2252" t="inlineStr">
        <is>
          <t>Serbia</t>
        </is>
      </c>
    </row>
    <row r="2253">
      <c r="A2253" t="inlineStr">
        <is>
          <t>PT Kaltim Methanol Industri,  Guntung, Bontang Utara, Kota Bontang, Indonesia</t>
        </is>
      </c>
      <c r="B2253" t="inlineStr">
        <is>
          <t>Processing Unit</t>
        </is>
      </c>
      <c r="C2253" t="inlineStr">
        <is>
          <t>PT. CBQA GLOBAL INDONESIA, JAKARTA SELATAN, ID</t>
        </is>
      </c>
      <c r="D2253" t="inlineStr">
        <is>
          <t>22.06.2027</t>
        </is>
      </c>
      <c r="E2253" t="inlineStr">
        <is>
          <t>Indonesia</t>
        </is>
      </c>
    </row>
    <row r="2254">
      <c r="A2254" t="inlineStr">
        <is>
          <t>St. Johns Packaging (UK) Ltd,  Ilkeston, The United Kingdom</t>
        </is>
      </c>
      <c r="B2254" t="inlineStr">
        <is>
          <t>Processing Unit, Trader with Storage</t>
        </is>
      </c>
      <c r="C2254" t="inlineStr">
        <is>
          <t>Aardvark Certification Ltd, Wiveliscombe, Somerset, GB</t>
        </is>
      </c>
      <c r="D2254" t="inlineStr">
        <is>
          <t>22.06.2027</t>
        </is>
      </c>
      <c r="E2254" t="inlineStr">
        <is>
          <t>The United Kingdom</t>
        </is>
      </c>
    </row>
    <row r="2255">
      <c r="A2255" t="inlineStr">
        <is>
          <t>BV OILS S.L.,  Reus (Tarragona), Spain</t>
        </is>
      </c>
      <c r="B2255" t="inlineStr">
        <is>
          <t>Trader</t>
        </is>
      </c>
      <c r="C2255" t="inlineStr">
        <is>
          <t>RINA Services S.p.A., Genova, IT</t>
        </is>
      </c>
      <c r="D2255" t="inlineStr">
        <is>
          <t>22.06.2027</t>
        </is>
      </c>
      <c r="E2255" t="inlineStr">
        <is>
          <t>Spain</t>
        </is>
      </c>
    </row>
    <row r="2256">
      <c r="A2256" t="inlineStr">
        <is>
          <t>Shandong Xianglian Environmental Protection Technology Co., Ltd.,  Rizhao,Shandong Province, China</t>
        </is>
      </c>
      <c r="B2256" t="inlineStr">
        <is>
          <t>Trader</t>
        </is>
      </c>
      <c r="C2256" t="inlineStr">
        <is>
          <t>CTI Certification Co. Ltd, Shenzhen, CN</t>
        </is>
      </c>
      <c r="D2256" t="inlineStr">
        <is>
          <t>21.06.2027</t>
        </is>
      </c>
      <c r="E2256" t="inlineStr">
        <is>
          <t>China</t>
        </is>
      </c>
    </row>
    <row r="2257">
      <c r="A2257" t="inlineStr">
        <is>
          <t>SEEDVAL,  Galati, Romania</t>
        </is>
      </c>
      <c r="B2257" t="inlineStr">
        <is>
          <t>Trader, First Gathering Point</t>
        </is>
      </c>
      <c r="C2257" t="inlineStr">
        <is>
          <t>BM Certification, Riga, LV</t>
        </is>
      </c>
      <c r="D2257" t="inlineStr">
        <is>
          <t>21.06.2027</t>
        </is>
      </c>
      <c r="E2257" t="inlineStr">
        <is>
          <t>Romania</t>
        </is>
      </c>
    </row>
    <row r="2258">
      <c r="A2258" t="inlineStr">
        <is>
          <t>Celena Alimentos,  São Paulo, São Paulo, Brazil</t>
        </is>
      </c>
      <c r="B2258" t="inlineStr">
        <is>
          <t>Collecting Point, Trader with Storage</t>
        </is>
      </c>
      <c r="C2258" t="inlineStr">
        <is>
          <t>QIMA, Centro, Botucatu - SP, CEP, BR</t>
        </is>
      </c>
      <c r="D2258" t="inlineStr">
        <is>
          <t>21.06.2027</t>
        </is>
      </c>
      <c r="E2258" t="inlineStr">
        <is>
          <t>Brazil</t>
        </is>
      </c>
    </row>
    <row r="2259">
      <c r="A2259" t="inlineStr">
        <is>
          <t>Sc Sandomar Pan Srl,  Lacu Sarat village, Chiscani, Braila county, Romania</t>
        </is>
      </c>
      <c r="B2259" t="inlineStr">
        <is>
          <t>First Gathering Point, Trader with Storage</t>
        </is>
      </c>
      <c r="C2259" t="inlineStr">
        <is>
          <t>SRAC Cert SRL, Bucharest, RO</t>
        </is>
      </c>
      <c r="D2259" t="inlineStr">
        <is>
          <t>21.06.2027</t>
        </is>
      </c>
      <c r="E2259" t="inlineStr">
        <is>
          <t>Romania</t>
        </is>
      </c>
    </row>
    <row r="2260">
      <c r="A2260" t="inlineStr">
        <is>
          <t>Cailà &amp; Parés, S.A.,  Barcelona, Spain</t>
        </is>
      </c>
      <c r="B2260" t="inlineStr">
        <is>
          <t>Trader with Storage, Point of Origin</t>
        </is>
      </c>
      <c r="C2260" t="inlineStr">
        <is>
          <t>Control Union Poland Sp. z o.o., Zielona Gora, PL</t>
        </is>
      </c>
      <c r="D2260" t="inlineStr">
        <is>
          <t>21.06.2027</t>
        </is>
      </c>
      <c r="E2260" t="inlineStr">
        <is>
          <t>Spain</t>
        </is>
      </c>
    </row>
    <row r="2261">
      <c r="A2261" t="inlineStr">
        <is>
          <t>SMF AGRO LOGISTIC SRL,  Slobozia, Romania</t>
        </is>
      </c>
      <c r="B2261" t="inlineStr">
        <is>
          <t>First Gathering Point</t>
        </is>
      </c>
      <c r="C2261" t="inlineStr">
        <is>
          <t>SRAC Cert SRL, Bucharest, RO</t>
        </is>
      </c>
      <c r="D2261" t="inlineStr">
        <is>
          <t>21.06.2027</t>
        </is>
      </c>
      <c r="E2261" t="inlineStr">
        <is>
          <t>Romania</t>
        </is>
      </c>
    </row>
    <row r="2262">
      <c r="A2262" t="inlineStr">
        <is>
          <t>Aptar Verneuil,  Verneuil d'Avre et d'Iton, France</t>
        </is>
      </c>
      <c r="B2262" t="inlineStr">
        <is>
          <t>Final Product Refinement, Processing Unit, Trader with Storage</t>
        </is>
      </c>
      <c r="C2262" t="inlineStr">
        <is>
          <t>SGS Germany GmbH, Emstek, DE</t>
        </is>
      </c>
      <c r="D2262" t="inlineStr">
        <is>
          <t>21.06.2027</t>
        </is>
      </c>
      <c r="E2262" t="inlineStr">
        <is>
          <t>France</t>
        </is>
      </c>
    </row>
    <row r="2263">
      <c r="A2263" t="inlineStr">
        <is>
          <t>SHANDONG LINK TRADING CO., LTD.,  Weifang City, Shandong Province, China</t>
        </is>
      </c>
      <c r="B2263" t="inlineStr">
        <is>
          <t>Trader</t>
        </is>
      </c>
      <c r="C2263" t="inlineStr">
        <is>
          <t>SGS Germany GmbH, Emstek, DE</t>
        </is>
      </c>
      <c r="D2263" t="inlineStr">
        <is>
          <t>21.06.2027</t>
        </is>
      </c>
      <c r="E2263" t="inlineStr">
        <is>
          <t>China</t>
        </is>
      </c>
    </row>
    <row r="2264">
      <c r="A2264" t="inlineStr">
        <is>
          <t>Tin Thanh Packing Joint Stock Company,  Tay Ninh province, Vietnam</t>
        </is>
      </c>
      <c r="B2264" t="inlineStr">
        <is>
          <t>Processing Unit</t>
        </is>
      </c>
      <c r="C2264" t="inlineStr">
        <is>
          <t>SGS Germany GmbH, Emstek, DE</t>
        </is>
      </c>
      <c r="D2264" t="inlineStr">
        <is>
          <t>21.06.2027</t>
        </is>
      </c>
      <c r="E2264" t="inlineStr">
        <is>
          <t>Vietnam</t>
        </is>
      </c>
    </row>
    <row r="2265">
      <c r="A2265" t="inlineStr">
        <is>
          <t>Sozon &amp; Antonios Triantafillou,  Aigina, Greece</t>
        </is>
      </c>
      <c r="B2265" t="inlineStr">
        <is>
          <t>Collecting Point</t>
        </is>
      </c>
      <c r="C2265" t="inlineStr">
        <is>
          <t>Eurocert SA, Metamorfosi, Athens, GR</t>
        </is>
      </c>
      <c r="D2265" t="inlineStr">
        <is>
          <t>21.06.2027</t>
        </is>
      </c>
      <c r="E2265" t="inlineStr">
        <is>
          <t>Greece</t>
        </is>
      </c>
    </row>
    <row r="2266">
      <c r="A2266" t="inlineStr">
        <is>
          <t>Commodities,  San Lorenzo, Argentina</t>
        </is>
      </c>
      <c r="B2266" t="inlineStr">
        <is>
          <t>Processing Unit, Trader with Storage</t>
        </is>
      </c>
      <c r="C2266" t="inlineStr">
        <is>
          <t>Control Union Poland Sp. z o.o., Zielona Gora, PL</t>
        </is>
      </c>
      <c r="D2266" t="inlineStr">
        <is>
          <t>21.06.2027</t>
        </is>
      </c>
      <c r="E2266" t="inlineStr">
        <is>
          <t>Argentina</t>
        </is>
      </c>
    </row>
    <row r="2267">
      <c r="A2267" t="inlineStr">
        <is>
          <t>LEONE DOMENICO SRL,  PAGANI (SA), Italy</t>
        </is>
      </c>
      <c r="B2267" t="inlineStr">
        <is>
          <t>Trader with Storage, Collecting Point</t>
        </is>
      </c>
      <c r="C2267" t="inlineStr">
        <is>
          <t>SGS Germany GmbH, Emstek, DE</t>
        </is>
      </c>
      <c r="D2267" t="inlineStr">
        <is>
          <t>21.06.2027</t>
        </is>
      </c>
      <c r="E2267" t="inlineStr">
        <is>
          <t>Italy</t>
        </is>
      </c>
    </row>
    <row r="2268">
      <c r="A2268" t="inlineStr">
        <is>
          <t>Chimitrade S.p.A.,  Milano, Italy</t>
        </is>
      </c>
      <c r="B2268" t="inlineStr">
        <is>
          <t>Trader with Storage</t>
        </is>
      </c>
      <c r="C2268" t="inlineStr">
        <is>
          <t>SGS Germany GmbH, Emstek, DE</t>
        </is>
      </c>
      <c r="D2268" t="inlineStr">
        <is>
          <t>21.06.2027</t>
        </is>
      </c>
      <c r="E2268" t="inlineStr">
        <is>
          <t>Italy</t>
        </is>
      </c>
    </row>
    <row r="2269">
      <c r="A2269" t="inlineStr">
        <is>
          <t>Biotech Energy (Pvt) Limited,  Lahore, Pakistan</t>
        </is>
      </c>
      <c r="B2269" t="inlineStr">
        <is>
          <t>Collecting Point, Point of Origin, Processing Unit</t>
        </is>
      </c>
      <c r="C2269" t="inlineStr">
        <is>
          <t>SGS Germany GmbH, Emstek, DE</t>
        </is>
      </c>
      <c r="D2269" t="inlineStr">
        <is>
          <t>21.06.2027</t>
        </is>
      </c>
      <c r="E2269" t="inlineStr">
        <is>
          <t>Pakistan</t>
        </is>
      </c>
    </row>
    <row r="2270">
      <c r="A2270" t="inlineStr">
        <is>
          <t>XPERTA TRADING SPA,  COMUNA DE LAMPA, Chile</t>
        </is>
      </c>
      <c r="B2270" t="inlineStr">
        <is>
          <t>Collecting Point, Trader with Storage</t>
        </is>
      </c>
      <c r="C2270" t="inlineStr">
        <is>
          <t>SCS Global Services, Emeryville, CA, US</t>
        </is>
      </c>
      <c r="D2270" t="inlineStr">
        <is>
          <t>21.06.2027</t>
        </is>
      </c>
      <c r="E2270" t="inlineStr">
        <is>
          <t>Chile</t>
        </is>
      </c>
    </row>
    <row r="2271">
      <c r="A2271" t="inlineStr">
        <is>
          <t>XPERTA TRADING SPA,  COMUNA DE LAMPA, Chile</t>
        </is>
      </c>
      <c r="B2271" t="inlineStr">
        <is>
          <t>Collecting Point, Trader with Storage</t>
        </is>
      </c>
      <c r="C2271" t="inlineStr">
        <is>
          <t>SCS Global Services, Emeryville, CA, US</t>
        </is>
      </c>
      <c r="D2271" t="inlineStr">
        <is>
          <t>21.06.2027</t>
        </is>
      </c>
      <c r="E2271" t="inlineStr">
        <is>
          <t>Chile</t>
        </is>
      </c>
    </row>
    <row r="2272">
      <c r="A2272" t="inlineStr">
        <is>
          <t>Asio International Pte. Ltd,  Shanghai, China</t>
        </is>
      </c>
      <c r="B2272" t="inlineStr">
        <is>
          <t>Trader</t>
        </is>
      </c>
      <c r="C2272" t="inlineStr">
        <is>
          <t>RINA Services S.p.A., Genova, IT</t>
        </is>
      </c>
      <c r="D2272" t="inlineStr">
        <is>
          <t>21.06.2027</t>
        </is>
      </c>
      <c r="E2272" t="inlineStr">
        <is>
          <t>China</t>
        </is>
      </c>
    </row>
    <row r="2273">
      <c r="A2273" t="inlineStr">
        <is>
          <t>Nanjing Ningruichao Biotechnology Co., Ltd.,  Nanjing City, Jiangsu Province, China</t>
        </is>
      </c>
      <c r="B2273" t="inlineStr">
        <is>
          <t>Collecting Point, Trader with Storage</t>
        </is>
      </c>
      <c r="C2273" t="inlineStr">
        <is>
          <t>RINA Services S.p.A., Genova, IT</t>
        </is>
      </c>
      <c r="D2273" t="inlineStr">
        <is>
          <t>21.06.2027</t>
        </is>
      </c>
      <c r="E2273" t="inlineStr">
        <is>
          <t>China</t>
        </is>
      </c>
    </row>
    <row r="2274">
      <c r="A2274" t="inlineStr">
        <is>
          <t>Codlaw Renewable Energy Ltd,  Hexham, The United Kingdom</t>
        </is>
      </c>
      <c r="B2274" t="inlineStr">
        <is>
          <t>Collecting Point, First Gathering Point, Processing Unit</t>
        </is>
      </c>
      <c r="C2274" t="inlineStr">
        <is>
          <t>Aardvark Certification Ltd, Wiveliscombe, Somerset, GB</t>
        </is>
      </c>
      <c r="D2274" t="inlineStr">
        <is>
          <t>21.06.2027</t>
        </is>
      </c>
      <c r="E2274" t="inlineStr">
        <is>
          <t>The United Kingdom</t>
        </is>
      </c>
    </row>
    <row r="2275">
      <c r="A2275" t="inlineStr">
        <is>
          <t>Shandong Befar Dongrui Chemical Co., Ltd.,  Binzhou, China</t>
        </is>
      </c>
      <c r="B2275" t="inlineStr">
        <is>
          <t>Processing Unit</t>
        </is>
      </c>
      <c r="C2275" t="inlineStr">
        <is>
          <t>Bureau Veritas Polska Sp. z o.o., Warsaw, PL</t>
        </is>
      </c>
      <c r="D2275" t="inlineStr">
        <is>
          <t>21.06.2027</t>
        </is>
      </c>
      <c r="E2275" t="inlineStr">
        <is>
          <t>China</t>
        </is>
      </c>
    </row>
    <row r="2276">
      <c r="A2276" t="inlineStr">
        <is>
          <t>Ladisco s.r.o.,  Nové Mesto nad Váhom, Slovakia</t>
        </is>
      </c>
      <c r="B2276" t="inlineStr">
        <is>
          <t>Collecting Point, Trader</t>
        </is>
      </c>
      <c r="C2276" t="inlineStr">
        <is>
          <t>United Registrar of Systems Polska Sp. z o.o., Wrocław, PL</t>
        </is>
      </c>
      <c r="D2276" t="inlineStr">
        <is>
          <t>21.06.2027</t>
        </is>
      </c>
      <c r="E2276" t="inlineStr">
        <is>
          <t>Slovakia</t>
        </is>
      </c>
    </row>
    <row r="2277">
      <c r="A2277" t="inlineStr">
        <is>
          <t>Amond Mariusz Gibasiewicz,  Ostrów Wielkopolski, Poland</t>
        </is>
      </c>
      <c r="B2277" t="inlineStr">
        <is>
          <t>Trader with Storage</t>
        </is>
      </c>
      <c r="C2277" t="inlineStr">
        <is>
          <t>United Registrar of Systems Polska Sp. z o.o., Wrocław, PL</t>
        </is>
      </c>
      <c r="D2277" t="inlineStr">
        <is>
          <t>21.06.2027</t>
        </is>
      </c>
      <c r="E2277" t="inlineStr">
        <is>
          <t>Poland</t>
        </is>
      </c>
    </row>
    <row r="2278">
      <c r="A2278" t="inlineStr">
        <is>
          <t>JIANGSU CEREALS. OILS &amp; FOODSTUFFS IMPORT &amp; EXPORT GROUP CORPORATION,  Nanjing City, Jiangsu Province, China</t>
        </is>
      </c>
      <c r="B2278" t="inlineStr">
        <is>
          <t>Trader</t>
        </is>
      </c>
      <c r="C2278" t="inlineStr">
        <is>
          <t>RINA Services S.p.A., Genova, IT</t>
        </is>
      </c>
      <c r="D2278" t="inlineStr">
        <is>
          <t>21.06.2027</t>
        </is>
      </c>
      <c r="E2278" t="inlineStr">
        <is>
          <t>China</t>
        </is>
      </c>
    </row>
    <row r="2279">
      <c r="A2279" t="inlineStr">
        <is>
          <t>Evolv Commodities,  Singapore, Singapore</t>
        </is>
      </c>
      <c r="B2279" t="inlineStr">
        <is>
          <t>Trader</t>
        </is>
      </c>
      <c r="C2279" t="inlineStr">
        <is>
          <t>RINA Services S.p.A., Genova, IT</t>
        </is>
      </c>
      <c r="D2279" t="inlineStr">
        <is>
          <t>21.06.2027</t>
        </is>
      </c>
      <c r="E2279" t="inlineStr">
        <is>
          <t>Singapore</t>
        </is>
      </c>
    </row>
    <row r="2280">
      <c r="A2280" t="inlineStr">
        <is>
          <t>La Doria,  Parma, Italy</t>
        </is>
      </c>
      <c r="B2280" t="inlineStr">
        <is>
          <t>Processing Unit</t>
        </is>
      </c>
      <c r="C2280" t="inlineStr">
        <is>
          <t>RINA Services S.p.A., Genova, IT</t>
        </is>
      </c>
      <c r="D2280" t="inlineStr">
        <is>
          <t>21.06.2027</t>
        </is>
      </c>
      <c r="E2280" t="inlineStr">
        <is>
          <t>Italy</t>
        </is>
      </c>
    </row>
    <row r="2281">
      <c r="A2281" t="inlineStr">
        <is>
          <t>ZHEJIANG JINSHENG NEW MATERIALS CO.,LTD.,  Shaoxing, China</t>
        </is>
      </c>
      <c r="B2281" t="inlineStr">
        <is>
          <t>Processing Unit</t>
        </is>
      </c>
      <c r="C2281" t="inlineStr">
        <is>
          <t>Bureau Veritas Polska Sp. z o.o., Warsaw, PL</t>
        </is>
      </c>
      <c r="D2281" t="inlineStr">
        <is>
          <t>21.06.2027</t>
        </is>
      </c>
      <c r="E2281" t="inlineStr">
        <is>
          <t>China</t>
        </is>
      </c>
    </row>
    <row r="2282">
      <c r="A2282" t="inlineStr">
        <is>
          <t>AL JAZEERA AL ZAYTIA USED COOKING OILS TRADING L.L.C,  Dubai, The United Arab Emirates</t>
        </is>
      </c>
      <c r="B2282" t="inlineStr">
        <is>
          <t>Collecting Point, Trader with Storage</t>
        </is>
      </c>
      <c r="C2282" t="inlineStr">
        <is>
          <t>Global Gateway Certifications Sdn Bhd, Ampang, MY</t>
        </is>
      </c>
      <c r="D2282" t="inlineStr">
        <is>
          <t>21.06.2027</t>
        </is>
      </c>
      <c r="E2282" t="inlineStr">
        <is>
          <t>The United Arab Emirates</t>
        </is>
      </c>
    </row>
    <row r="2283">
      <c r="A2283" t="inlineStr">
        <is>
          <t>Vitol Bunkers(S) PTE. LTD. Fujairah Branch,  Fujairah Free Zone, Fujairah, The United Arab Emirates</t>
        </is>
      </c>
      <c r="B2283" t="inlineStr">
        <is>
          <t>Trader</t>
        </is>
      </c>
      <c r="C2283" t="inlineStr">
        <is>
          <t>Control Union Certifications Germany GmbH, Berlin, DE</t>
        </is>
      </c>
      <c r="D2283" t="inlineStr">
        <is>
          <t>21.06.2027</t>
        </is>
      </c>
      <c r="E2283" t="inlineStr">
        <is>
          <t>The United Arab Emirates</t>
        </is>
      </c>
    </row>
    <row r="2284">
      <c r="A2284" t="inlineStr">
        <is>
          <t>Albea Tubes (Zhongshan) Co. Ltd.,  Zhongshan City, Guangdong Province, China</t>
        </is>
      </c>
      <c r="B2284" t="inlineStr">
        <is>
          <t>Processing Unit</t>
        </is>
      </c>
      <c r="C2284" t="inlineStr">
        <is>
          <t>PT Intertek Utama Services, Jakarta, ID</t>
        </is>
      </c>
      <c r="D2284" t="inlineStr">
        <is>
          <t>21.06.2027</t>
        </is>
      </c>
      <c r="E2284" t="inlineStr">
        <is>
          <t>China</t>
        </is>
      </c>
    </row>
    <row r="2285">
      <c r="A2285" t="inlineStr">
        <is>
          <t>Jose Campos,  Las Piedras, Uruguay</t>
        </is>
      </c>
      <c r="B2285" t="inlineStr">
        <is>
          <t>Collecting Point</t>
        </is>
      </c>
      <c r="C2285" t="inlineStr">
        <is>
          <t>Control Union Poland Sp. z o.o., Zielona Gora, PL</t>
        </is>
      </c>
      <c r="D2285" t="inlineStr">
        <is>
          <t>21.06.2027</t>
        </is>
      </c>
      <c r="E2285" t="inlineStr">
        <is>
          <t>Uruguay</t>
        </is>
      </c>
    </row>
    <row r="2286">
      <c r="A2286" t="inlineStr">
        <is>
          <t>Gestion de Aceites Vegetales, S.L. (GAVE SL),  Torrejón de Velasco (Madrid), Spain</t>
        </is>
      </c>
      <c r="B2286" t="inlineStr">
        <is>
          <t>Collecting Point, Trader</t>
        </is>
      </c>
      <c r="C2286" t="inlineStr">
        <is>
          <t>Control Union Poland Sp. z o.o., Zielona Gora, PL</t>
        </is>
      </c>
      <c r="D2286" t="inlineStr">
        <is>
          <t>21.06.2027</t>
        </is>
      </c>
      <c r="E2286" t="inlineStr">
        <is>
          <t>Spain</t>
        </is>
      </c>
    </row>
    <row r="2287">
      <c r="A2287" t="inlineStr">
        <is>
          <t>TOYOTA TSUSHO,  Minato-ku, Tokyo, Japan</t>
        </is>
      </c>
      <c r="B2287" t="inlineStr">
        <is>
          <t>Trader with Storage</t>
        </is>
      </c>
      <c r="C2287" t="inlineStr">
        <is>
          <t>Control Union Certifications Germany GmbH, Berlin, DE</t>
        </is>
      </c>
      <c r="D2287" t="inlineStr">
        <is>
          <t>21.06.2027</t>
        </is>
      </c>
      <c r="E2287" t="inlineStr">
        <is>
          <t>Japan</t>
        </is>
      </c>
    </row>
    <row r="2288">
      <c r="A2288" t="inlineStr">
        <is>
          <t>Zemědělské služby Dynín, a.s.,  Dynín, Czech Republic</t>
        </is>
      </c>
      <c r="B2288" t="inlineStr">
        <is>
          <t>First Gathering Point, Logistics Center, Trader</t>
        </is>
      </c>
      <c r="C2288" t="inlineStr">
        <is>
          <t>Bureau Veritas Polska Sp. z o.o., Warsaw, PL</t>
        </is>
      </c>
      <c r="D2288" t="inlineStr">
        <is>
          <t>21.06.2027</t>
        </is>
      </c>
      <c r="E2288" t="inlineStr">
        <is>
          <t>Czech Republic</t>
        </is>
      </c>
    </row>
    <row r="2289">
      <c r="A2289" t="inlineStr">
        <is>
          <t>Uponor Hispania,  Getafe, Spain</t>
        </is>
      </c>
      <c r="B2289" t="inlineStr">
        <is>
          <t>Trader with Storage</t>
        </is>
      </c>
      <c r="C2289" t="inlineStr">
        <is>
          <t>DNV Business Assurance Sweden AB, Solna, SE</t>
        </is>
      </c>
      <c r="D2289" t="inlineStr">
        <is>
          <t>21.06.2027</t>
        </is>
      </c>
      <c r="E2289" t="inlineStr">
        <is>
          <t>Spain</t>
        </is>
      </c>
    </row>
    <row r="2290">
      <c r="A2290" t="inlineStr">
        <is>
          <t>ALLY POWER DEVELOPMENTS LIMITED,  HONG KONG, Hong Kong, SAR, China</t>
        </is>
      </c>
      <c r="B2290" t="inlineStr">
        <is>
          <t>Trader</t>
        </is>
      </c>
      <c r="C2290" t="inlineStr">
        <is>
          <t>China Quality Certification Centre Co., Ltd., Beijing, CN</t>
        </is>
      </c>
      <c r="D2290" t="inlineStr">
        <is>
          <t>21.06.2027</t>
        </is>
      </c>
      <c r="E2290" t="inlineStr">
        <is>
          <t>China</t>
        </is>
      </c>
    </row>
    <row r="2291">
      <c r="A2291" t="inlineStr">
        <is>
          <t>China-Base Ningbo Group Co., Ltd.,  Ningbo, Zhejiang Province, China</t>
        </is>
      </c>
      <c r="B2291" t="inlineStr">
        <is>
          <t>Trader with Storage</t>
        </is>
      </c>
      <c r="C2291" t="inlineStr">
        <is>
          <t>SCS Global Services, Emeryville, CA, US</t>
        </is>
      </c>
      <c r="D2291" t="inlineStr">
        <is>
          <t>21.06.2027</t>
        </is>
      </c>
      <c r="E2291" t="inlineStr">
        <is>
          <t>China</t>
        </is>
      </c>
    </row>
    <row r="2292">
      <c r="A2292" t="inlineStr">
        <is>
          <t>Hrabovszki és fia Kft.,  Békéscsaba, Hungary</t>
        </is>
      </c>
      <c r="B2292" t="inlineStr">
        <is>
          <t>First Gathering Point, Trader with Storage</t>
        </is>
      </c>
      <c r="C2292" t="inlineStr">
        <is>
          <t>BM Certification, Riga, LV</t>
        </is>
      </c>
      <c r="D2292" t="inlineStr">
        <is>
          <t>21.06.2027</t>
        </is>
      </c>
      <c r="E2292" t="inlineStr">
        <is>
          <t>Hungary</t>
        </is>
      </c>
    </row>
    <row r="2293">
      <c r="A2293" t="inlineStr">
        <is>
          <t>PT Citra Borneo Utama Tbk,  Kelurahan Kumai Hulu, Kabupaten Kotawaringin Barat, Indonesia</t>
        </is>
      </c>
      <c r="B2293" t="inlineStr">
        <is>
          <t>Point of Origin</t>
        </is>
      </c>
      <c r="C2293" t="inlineStr">
        <is>
          <t>PT Intertek Utama Services, Jakarta, ID</t>
        </is>
      </c>
      <c r="D2293" t="inlineStr">
        <is>
          <t>21.06.2027</t>
        </is>
      </c>
      <c r="E2293" t="inlineStr">
        <is>
          <t>Indonesia</t>
        </is>
      </c>
    </row>
    <row r="2294">
      <c r="A2294" t="inlineStr">
        <is>
          <t>PT INDIKA INDONESIA RESOURCES,  Kota Adm. Jakarta Selatan, Indonesia</t>
        </is>
      </c>
      <c r="B2294" t="inlineStr">
        <is>
          <t>Trader</t>
        </is>
      </c>
      <c r="C2294" t="inlineStr">
        <is>
          <t>China Testing &amp; Certification International Group Co., Ltd., Beijing, CN</t>
        </is>
      </c>
      <c r="D2294" t="inlineStr">
        <is>
          <t>21.06.2027</t>
        </is>
      </c>
      <c r="E2294" t="inlineStr">
        <is>
          <t>Indonesia</t>
        </is>
      </c>
    </row>
    <row r="2295">
      <c r="A2295" t="inlineStr">
        <is>
          <t>BrasALPLA Brasil industria de embalagens Ltda,  Itapevi - SP, Brazil</t>
        </is>
      </c>
      <c r="B2295" t="inlineStr">
        <is>
          <t>Processing Unit</t>
        </is>
      </c>
      <c r="C2295" t="inlineStr">
        <is>
          <t>Control Union Poland Sp. z o.o., Zielona Gora, PL</t>
        </is>
      </c>
      <c r="D2295" t="inlineStr">
        <is>
          <t>21.06.2027</t>
        </is>
      </c>
      <c r="E2295" t="inlineStr">
        <is>
          <t>Brazil</t>
        </is>
      </c>
    </row>
    <row r="2296">
      <c r="A2296" t="inlineStr">
        <is>
          <t>Inner Mongolia Zhijia Supply Chain Management Co., Ltd,  Ulanhot, Inner Mongolia Autonomous Region, China</t>
        </is>
      </c>
      <c r="B2296" t="inlineStr">
        <is>
          <t>First Gathering Point</t>
        </is>
      </c>
      <c r="C2296" t="inlineStr">
        <is>
          <t>SCS Global Services, Emeryville, CA, US</t>
        </is>
      </c>
      <c r="D2296" t="inlineStr">
        <is>
          <t>21.06.2027</t>
        </is>
      </c>
      <c r="E2296" t="inlineStr">
        <is>
          <t>China</t>
        </is>
      </c>
    </row>
    <row r="2297">
      <c r="A2297" t="inlineStr">
        <is>
          <t>Topaz Trade EOOD,  Karnobat, Burgas, Bulgaria</t>
        </is>
      </c>
      <c r="B2297" t="inlineStr">
        <is>
          <t>First Gathering Point, Trader with Storage</t>
        </is>
      </c>
      <c r="C2297" t="inlineStr">
        <is>
          <t>SGS Germany GmbH, Emstek, DE</t>
        </is>
      </c>
      <c r="D2297" t="inlineStr">
        <is>
          <t>20.06.2027</t>
        </is>
      </c>
      <c r="E2297" t="inlineStr">
        <is>
          <t>Bulgaria</t>
        </is>
      </c>
    </row>
    <row r="2298">
      <c r="A2298" t="inlineStr">
        <is>
          <t>Topaz Trade EOOD,  Karnobat, Burgas, Bulgaria</t>
        </is>
      </c>
      <c r="B2298" t="inlineStr">
        <is>
          <t>First Gathering Point, Trader with Storage</t>
        </is>
      </c>
      <c r="C2298" t="inlineStr">
        <is>
          <t>SGS Germany GmbH, Emstek, DE</t>
        </is>
      </c>
      <c r="D2298" t="inlineStr">
        <is>
          <t>20.06.2027</t>
        </is>
      </c>
      <c r="E2298" t="inlineStr">
        <is>
          <t>Bulgaria</t>
        </is>
      </c>
    </row>
    <row r="2299">
      <c r="A2299" t="inlineStr">
        <is>
          <t>Shin-Etsu Silicones (Thailand) Limited.,  Rayong, Thailand</t>
        </is>
      </c>
      <c r="B2299" t="inlineStr">
        <is>
          <t>Processing Unit, Trader with Storage</t>
        </is>
      </c>
      <c r="C2299" t="inlineStr">
        <is>
          <t>Bureau Veritas Polska Sp. z o.o., Warsaw, PL</t>
        </is>
      </c>
      <c r="D2299" t="inlineStr">
        <is>
          <t>20.06.2027</t>
        </is>
      </c>
      <c r="E2299" t="inlineStr">
        <is>
          <t>Thailand</t>
        </is>
      </c>
    </row>
    <row r="2300">
      <c r="A2300" t="inlineStr">
        <is>
          <t>VAROPreem Sverige AB,  Stockholm, Sweden</t>
        </is>
      </c>
      <c r="B2300" t="inlineStr">
        <is>
          <t>Logistics Center, Trader with Storage</t>
        </is>
      </c>
      <c r="C2300" t="inlineStr">
        <is>
          <t>DNV Business Assurance Sweden AB, Solna, SE</t>
        </is>
      </c>
      <c r="D2300" t="inlineStr">
        <is>
          <t>20.06.2027</t>
        </is>
      </c>
      <c r="E2300" t="inlineStr">
        <is>
          <t>Sweden</t>
        </is>
      </c>
    </row>
    <row r="2301">
      <c r="A2301" t="inlineStr">
        <is>
          <t>VAROPreem Sverige AB,  Stockholm, Sweden</t>
        </is>
      </c>
      <c r="B2301" t="inlineStr">
        <is>
          <t>Logistics Center, Trader with Storage</t>
        </is>
      </c>
      <c r="C2301" t="inlineStr">
        <is>
          <t>DNV Business Assurance Sweden AB, Solna, SE</t>
        </is>
      </c>
      <c r="D2301" t="inlineStr">
        <is>
          <t>20.06.2027</t>
        </is>
      </c>
      <c r="E2301" t="inlineStr">
        <is>
          <t>Sweden</t>
        </is>
      </c>
    </row>
    <row r="2302">
      <c r="A2302" t="inlineStr">
        <is>
          <t>Zöld Mező 2000 Kft.,  Magyaregres, Hungary</t>
        </is>
      </c>
      <c r="B2302" t="inlineStr">
        <is>
          <t>First Gathering Point</t>
        </is>
      </c>
      <c r="C2302" t="inlineStr">
        <is>
          <t>Amspec Iberia SL, Vilagarcia de Arousa-Pontevedra, ES</t>
        </is>
      </c>
      <c r="D2302" t="inlineStr">
        <is>
          <t>20.06.2027</t>
        </is>
      </c>
      <c r="E2302" t="inlineStr">
        <is>
          <t>Hungary</t>
        </is>
      </c>
    </row>
    <row r="2303">
      <c r="A2303" t="inlineStr">
        <is>
          <t>Gold Plast Production,  Topoloveni, Romania</t>
        </is>
      </c>
      <c r="B2303" t="inlineStr">
        <is>
          <t>Processing Unit</t>
        </is>
      </c>
      <c r="C2303" t="inlineStr">
        <is>
          <t>RINA Services S.p.A., Genova, IT</t>
        </is>
      </c>
      <c r="D2303" t="inlineStr">
        <is>
          <t>20.06.2027</t>
        </is>
      </c>
      <c r="E2303" t="inlineStr">
        <is>
          <t>Romania</t>
        </is>
      </c>
    </row>
    <row r="2304">
      <c r="A2304" t="inlineStr">
        <is>
          <t>IKEDA FUKUSUKE CO.,LTD.,  Ikeda-Cho, Miyoshi-City, Tokushima, Japan</t>
        </is>
      </c>
      <c r="B2304" t="inlineStr">
        <is>
          <t>Processing Unit</t>
        </is>
      </c>
      <c r="C2304" t="inlineStr">
        <is>
          <t>SGS Germany GmbH, Emstek, DE</t>
        </is>
      </c>
      <c r="D2304" t="inlineStr">
        <is>
          <t>20.06.2027</t>
        </is>
      </c>
      <c r="E2304" t="inlineStr">
        <is>
          <t>Japan</t>
        </is>
      </c>
    </row>
    <row r="2305">
      <c r="A2305" t="inlineStr">
        <is>
          <t>St. Johns Packaging,  Pointe-aux-Trembles, Canada</t>
        </is>
      </c>
      <c r="B2305" t="inlineStr">
        <is>
          <t>Final Product Refinement</t>
        </is>
      </c>
      <c r="C2305" t="inlineStr">
        <is>
          <t>Control Union Poland Sp. z o.o., Zielona Gora, PL</t>
        </is>
      </c>
      <c r="D2305" t="inlineStr">
        <is>
          <t>20.06.2027</t>
        </is>
      </c>
      <c r="E2305" t="inlineStr">
        <is>
          <t>Canada</t>
        </is>
      </c>
    </row>
    <row r="2306">
      <c r="A2306" t="inlineStr">
        <is>
          <t>Xiamen Excellence Haiao New Energy Co.,Ltd.,  Xiamen, China</t>
        </is>
      </c>
      <c r="B2306" t="inlineStr">
        <is>
          <t>Trader with Storage</t>
        </is>
      </c>
      <c r="C2306" t="inlineStr">
        <is>
          <t>RINA Services S.p.A., Genova, IT</t>
        </is>
      </c>
      <c r="D2306" t="inlineStr">
        <is>
          <t>20.06.2027</t>
        </is>
      </c>
      <c r="E2306" t="inlineStr">
        <is>
          <t>China</t>
        </is>
      </c>
    </row>
    <row r="2307">
      <c r="A2307" t="inlineStr">
        <is>
          <t>Tartu Biogaas OÜ,  Ilmatsalu, Estonia</t>
        </is>
      </c>
      <c r="B2307" t="inlineStr">
        <is>
          <t>Collecting Point, Processing Unit</t>
        </is>
      </c>
      <c r="C2307" t="inlineStr">
        <is>
          <t>Bureau Veritas Polska Sp. z o.o., Warsaw, PL</t>
        </is>
      </c>
      <c r="D2307" t="inlineStr">
        <is>
          <t>20.06.2027</t>
        </is>
      </c>
      <c r="E2307" t="inlineStr">
        <is>
          <t>Estonia</t>
        </is>
      </c>
    </row>
    <row r="2308">
      <c r="A2308" t="inlineStr">
        <is>
          <t>Isera &amp; Scaldis Sugar,  Fontenoy, Belgium</t>
        </is>
      </c>
      <c r="B2308" t="inlineStr">
        <is>
          <t>Point of Origin, Processing Unit</t>
        </is>
      </c>
      <c r="C2308" t="inlineStr">
        <is>
          <t>DEKRA Certification B.V., Arnhem, NL</t>
        </is>
      </c>
      <c r="D2308" t="inlineStr">
        <is>
          <t>20.06.2027</t>
        </is>
      </c>
      <c r="E2308" t="inlineStr">
        <is>
          <t>Belgium</t>
        </is>
      </c>
    </row>
    <row r="2309">
      <c r="A2309" t="inlineStr">
        <is>
          <t>Idemitsu Kosan,  Chiyoda-ku, Tokyo, Japan</t>
        </is>
      </c>
      <c r="B2309" t="inlineStr">
        <is>
          <t>Trader with Storage</t>
        </is>
      </c>
      <c r="C2309" t="inlineStr">
        <is>
          <t>Bureau Veritas Polska Sp. z o.o., Warsaw, PL</t>
        </is>
      </c>
      <c r="D2309" t="inlineStr">
        <is>
          <t>20.06.2027</t>
        </is>
      </c>
      <c r="E2309" t="inlineStr">
        <is>
          <t>Japan</t>
        </is>
      </c>
    </row>
    <row r="2310">
      <c r="A2310" t="inlineStr">
        <is>
          <t>PT Energi Unggul Persada,  Kota Bontang Provinsi Kalimantan Timur, Indonesia</t>
        </is>
      </c>
      <c r="B2310" t="inlineStr">
        <is>
          <t>Point of Origin, Processing Unit, Trader with Storage</t>
        </is>
      </c>
      <c r="C2310" t="inlineStr">
        <is>
          <t>PT SBC Asia Sertifikasi, Kebumen, ID</t>
        </is>
      </c>
      <c r="D2310" t="inlineStr">
        <is>
          <t>20.06.2027</t>
        </is>
      </c>
      <c r="E2310" t="inlineStr">
        <is>
          <t>Indonesia</t>
        </is>
      </c>
    </row>
    <row r="2311">
      <c r="A2311" t="inlineStr">
        <is>
          <t>OMV Deutschland Marketing &amp; Trading GmbH &amp; Co. KG,  Burghausen, Germany</t>
        </is>
      </c>
      <c r="B2311" t="inlineStr">
        <is>
          <t>Proof of Compliance Trader, Trader with Storage</t>
        </is>
      </c>
      <c r="C2311" t="inlineStr">
        <is>
          <t>TÜV SÜD Industrie Service GmbH, München, DE</t>
        </is>
      </c>
      <c r="D2311" t="inlineStr">
        <is>
          <t>20.06.2027</t>
        </is>
      </c>
      <c r="E2311" t="inlineStr">
        <is>
          <t>Germany</t>
        </is>
      </c>
    </row>
    <row r="2312">
      <c r="A2312" t="inlineStr">
        <is>
          <t>Apical Middle East FZCO,  Dubai, The United Arab Emirates</t>
        </is>
      </c>
      <c r="B2312" t="inlineStr">
        <is>
          <t>Trader with Storage</t>
        </is>
      </c>
      <c r="C2312" t="inlineStr">
        <is>
          <t>PT Intertek Utama Services, Jakarta, ID</t>
        </is>
      </c>
      <c r="D2312" t="inlineStr">
        <is>
          <t>20.06.2027</t>
        </is>
      </c>
      <c r="E2312" t="inlineStr">
        <is>
          <t>The United Arab Emirates</t>
        </is>
      </c>
    </row>
    <row r="2313">
      <c r="A2313" t="inlineStr">
        <is>
          <t>JAPAN CARPET CO., LTD,  Osaka, Japan</t>
        </is>
      </c>
      <c r="B2313" t="inlineStr">
        <is>
          <t>Processing Unit</t>
        </is>
      </c>
      <c r="C2313" t="inlineStr">
        <is>
          <t>Control Union Certifications Germany GmbH, Berlin, DE</t>
        </is>
      </c>
      <c r="D2313" t="inlineStr">
        <is>
          <t>20.06.2027</t>
        </is>
      </c>
      <c r="E2313" t="inlineStr">
        <is>
          <t>Japan</t>
        </is>
      </c>
    </row>
    <row r="2314">
      <c r="A2314" t="inlineStr">
        <is>
          <t>JAPAN CARPET CO., LTD.,  Shiga, Japan</t>
        </is>
      </c>
      <c r="B2314" t="inlineStr">
        <is>
          <t>Processing Unit</t>
        </is>
      </c>
      <c r="C2314" t="inlineStr">
        <is>
          <t>Control Union Certifications Germany GmbH, Berlin, DE</t>
        </is>
      </c>
      <c r="D2314" t="inlineStr">
        <is>
          <t>20.06.2027</t>
        </is>
      </c>
      <c r="E2314" t="inlineStr">
        <is>
          <t>Japan</t>
        </is>
      </c>
    </row>
    <row r="2315">
      <c r="A2315" t="inlineStr">
        <is>
          <t>Družstvo Rolník,  Čistá u Mladé Boleslavi, Czech Republic</t>
        </is>
      </c>
      <c r="B2315" t="inlineStr">
        <is>
          <t>First Gathering Point</t>
        </is>
      </c>
      <c r="C2315" t="inlineStr">
        <is>
          <t>PT Intertek Utama Services, Jakarta, ID</t>
        </is>
      </c>
      <c r="D2315" t="inlineStr">
        <is>
          <t>20.06.2027</t>
        </is>
      </c>
      <c r="E2315" t="inlineStr">
        <is>
          <t>Czech Republic</t>
        </is>
      </c>
    </row>
    <row r="2316">
      <c r="A2316" t="inlineStr">
        <is>
          <t>2G CHEMICAL PLASTIC RECYCLING,  Ascó, Spain</t>
        </is>
      </c>
      <c r="B2316" t="inlineStr">
        <is>
          <t>Collecting Point, Processing Unit</t>
        </is>
      </c>
      <c r="C2316" t="inlineStr">
        <is>
          <t>Control Union Poland Sp. z o.o., Zielona Gora, PL</t>
        </is>
      </c>
      <c r="D2316" t="inlineStr">
        <is>
          <t>20.06.2027</t>
        </is>
      </c>
      <c r="E2316" t="inlineStr">
        <is>
          <t>Spain</t>
        </is>
      </c>
    </row>
    <row r="2317">
      <c r="A2317" t="inlineStr">
        <is>
          <t>Europlant Ily Cooperativa Agricola,  Buzescu, Teleorman, Romania</t>
        </is>
      </c>
      <c r="B2317" t="inlineStr">
        <is>
          <t>First Gathering Point</t>
        </is>
      </c>
      <c r="C2317" t="inlineStr">
        <is>
          <t>SRAC Cert SRL, Bucharest, RO</t>
        </is>
      </c>
      <c r="D2317" t="inlineStr">
        <is>
          <t>20.06.2027</t>
        </is>
      </c>
      <c r="E2317" t="inlineStr">
        <is>
          <t>Romania</t>
        </is>
      </c>
    </row>
    <row r="2318">
      <c r="A2318" t="inlineStr">
        <is>
          <t>Fatouros Gerasimos (Zerbas Oil),  Lefkas, Greece</t>
        </is>
      </c>
      <c r="B2318" t="inlineStr">
        <is>
          <t>Collecting Point</t>
        </is>
      </c>
      <c r="C2318" t="inlineStr">
        <is>
          <t>Eurocert SA, Metamorfosi, Athens, GR</t>
        </is>
      </c>
      <c r="D2318" t="inlineStr">
        <is>
          <t>20.06.2027</t>
        </is>
      </c>
      <c r="E2318" t="inlineStr">
        <is>
          <t>Greece</t>
        </is>
      </c>
    </row>
    <row r="2319">
      <c r="A2319" t="inlineStr">
        <is>
          <t>Golden Star Optical MFY. Co., Ltd,  Shenzhen City, Guangdong Province, China</t>
        </is>
      </c>
      <c r="B2319" t="inlineStr">
        <is>
          <t>Processing Unit</t>
        </is>
      </c>
      <c r="C2319" t="inlineStr">
        <is>
          <t>DIN CERTCO GmbH, Berlin, DE</t>
        </is>
      </c>
      <c r="D2319" t="inlineStr">
        <is>
          <t>20.06.2027</t>
        </is>
      </c>
      <c r="E2319" t="inlineStr">
        <is>
          <t>China</t>
        </is>
      </c>
    </row>
    <row r="2320">
      <c r="A2320" t="inlineStr">
        <is>
          <t>Mitsubishi Chemical Corporation,  Yokkaichi-shi, Japan</t>
        </is>
      </c>
      <c r="B2320" t="inlineStr">
        <is>
          <t>Processing Unit, Trader with Storage</t>
        </is>
      </c>
      <c r="C2320" t="inlineStr">
        <is>
          <t>Control Union Certifications Germany GmbH, Berlin, DE</t>
        </is>
      </c>
      <c r="D2320" t="inlineStr">
        <is>
          <t>20.06.2027</t>
        </is>
      </c>
      <c r="E2320" t="inlineStr">
        <is>
          <t>Japan</t>
        </is>
      </c>
    </row>
    <row r="2321">
      <c r="A2321" t="inlineStr">
        <is>
          <t>Covestro (Thailand) Co., Ltd.,  Muang Rayong District, Thailand</t>
        </is>
      </c>
      <c r="B2321" t="inlineStr">
        <is>
          <t>Processing Unit</t>
        </is>
      </c>
      <c r="C2321" t="inlineStr">
        <is>
          <t>DIN CERTCO GmbH, Berlin, DE</t>
        </is>
      </c>
      <c r="D2321" t="inlineStr">
        <is>
          <t>20.06.2027</t>
        </is>
      </c>
      <c r="E2321" t="inlineStr">
        <is>
          <t>Thailand</t>
        </is>
      </c>
    </row>
    <row r="2322">
      <c r="A2322" t="inlineStr">
        <is>
          <t>Oogen Co., Ltd.,  SABAE, FUKUI, Japan</t>
        </is>
      </c>
      <c r="B2322" t="inlineStr">
        <is>
          <t>Trader with Storage</t>
        </is>
      </c>
      <c r="C2322" t="inlineStr">
        <is>
          <t>DIN CERTCO GmbH, Berlin, DE</t>
        </is>
      </c>
      <c r="D2322" t="inlineStr">
        <is>
          <t>20.06.2027</t>
        </is>
      </c>
      <c r="E2322" t="inlineStr">
        <is>
          <t>Japan</t>
        </is>
      </c>
    </row>
    <row r="2323">
      <c r="A2323" t="inlineStr">
        <is>
          <t>Miljø Logistik A/S,  Roskilde, Denmark</t>
        </is>
      </c>
      <c r="B2323" t="inlineStr">
        <is>
          <t>Collecting Point</t>
        </is>
      </c>
      <c r="C2323" t="inlineStr">
        <is>
          <t>Baltic Control Certification, Albertslund, DK</t>
        </is>
      </c>
      <c r="D2323" t="inlineStr">
        <is>
          <t>20.06.2027</t>
        </is>
      </c>
      <c r="E2323" t="inlineStr">
        <is>
          <t>Denmark</t>
        </is>
      </c>
    </row>
    <row r="2324">
      <c r="A2324" t="inlineStr">
        <is>
          <t>WALTER RAU Neusser Öl und Fett Aktiengesellschaft,  Neuss, Germany</t>
        </is>
      </c>
      <c r="B2324" t="inlineStr">
        <is>
          <t>Trader with Storage, Processing Unit</t>
        </is>
      </c>
      <c r="C2324" t="inlineStr">
        <is>
          <t>SGS Germany GmbH, Emstek, DE</t>
        </is>
      </c>
      <c r="D2324" t="inlineStr">
        <is>
          <t>20.06.2027</t>
        </is>
      </c>
      <c r="E2324" t="inlineStr">
        <is>
          <t>Germany</t>
        </is>
      </c>
    </row>
    <row r="2325">
      <c r="A2325" t="inlineStr">
        <is>
          <t>WALTER RAU Neusser Öl und Fett Aktiengesellschaft,  Neuss, Germany</t>
        </is>
      </c>
      <c r="B2325" t="inlineStr">
        <is>
          <t>Point of Origin, Processing Unit, Trader with Storage</t>
        </is>
      </c>
      <c r="C2325" t="inlineStr">
        <is>
          <t>SGS Germany GmbH, Emstek, DE</t>
        </is>
      </c>
      <c r="D2325" t="inlineStr">
        <is>
          <t>20.06.2027</t>
        </is>
      </c>
      <c r="E2325" t="inlineStr">
        <is>
          <t>Germany</t>
        </is>
      </c>
    </row>
    <row r="2326">
      <c r="A2326" t="inlineStr">
        <is>
          <t>NOX CORPORATION,  Godeok-myeon, Yesan-gun, Chungcheongnam-do, Korea, Republic of</t>
        </is>
      </c>
      <c r="B2326" t="inlineStr">
        <is>
          <t>Processing Unit</t>
        </is>
      </c>
      <c r="C2326" t="inlineStr">
        <is>
          <t>Control Union Certifications Germany GmbH, Berlin, DE</t>
        </is>
      </c>
      <c r="D2326" t="inlineStr">
        <is>
          <t>20.06.2027</t>
        </is>
      </c>
      <c r="E2326" t="inlineStr">
        <is>
          <t>Republic of</t>
        </is>
      </c>
    </row>
    <row r="2327">
      <c r="A2327" t="inlineStr">
        <is>
          <t>DING SHENG DEVELOPMENT GROUP (HK) LIMITED,  Guangzhou, China</t>
        </is>
      </c>
      <c r="B2327" t="inlineStr">
        <is>
          <t>Trader</t>
        </is>
      </c>
      <c r="C2327" t="inlineStr">
        <is>
          <t>SGS Germany GmbH, Emstek, DE</t>
        </is>
      </c>
      <c r="D2327" t="inlineStr">
        <is>
          <t>20.06.2027</t>
        </is>
      </c>
      <c r="E2327" t="inlineStr">
        <is>
          <t>China</t>
        </is>
      </c>
    </row>
    <row r="2328">
      <c r="A2328" t="inlineStr">
        <is>
          <t>Tepsa Netherlands B.V.,  Rotterdam, Netherlands</t>
        </is>
      </c>
      <c r="B2328" t="inlineStr">
        <is>
          <t>Warehouse</t>
        </is>
      </c>
      <c r="C2328" t="inlineStr">
        <is>
          <t>SGS Germany GmbH, Emstek, DE</t>
        </is>
      </c>
      <c r="D2328" t="inlineStr">
        <is>
          <t>20.06.2027</t>
        </is>
      </c>
      <c r="E2328" t="inlineStr">
        <is>
          <t>Netherlands</t>
        </is>
      </c>
    </row>
    <row r="2329">
      <c r="A2329" t="inlineStr">
        <is>
          <t>Tepsa Netherlands B.V.,  Rotterdam, Netherlands</t>
        </is>
      </c>
      <c r="B2329" t="inlineStr">
        <is>
          <t>Warehouse</t>
        </is>
      </c>
      <c r="C2329" t="inlineStr">
        <is>
          <t>SGS Germany GmbH, Emstek, DE</t>
        </is>
      </c>
      <c r="D2329" t="inlineStr">
        <is>
          <t>20.06.2027</t>
        </is>
      </c>
      <c r="E2329" t="inlineStr">
        <is>
          <t>Netherlands</t>
        </is>
      </c>
    </row>
    <row r="2330">
      <c r="A2330" t="inlineStr">
        <is>
          <t>CBC Co., Ltd.,  Chuo-ku, Tokyo, Japan</t>
        </is>
      </c>
      <c r="B2330" t="inlineStr">
        <is>
          <t>Trader</t>
        </is>
      </c>
      <c r="C2330" t="inlineStr">
        <is>
          <t>SGS Germany GmbH, Emstek, DE</t>
        </is>
      </c>
      <c r="D2330" t="inlineStr">
        <is>
          <t>20.06.2027</t>
        </is>
      </c>
      <c r="E2330" t="inlineStr">
        <is>
          <t>Japan</t>
        </is>
      </c>
    </row>
    <row r="2331">
      <c r="A2331" t="inlineStr">
        <is>
          <t>PAPUK NAŠICE d.o.o.,  Našice, Croatia</t>
        </is>
      </c>
      <c r="B2331" t="inlineStr">
        <is>
          <t>Farm / Plantation, First Gathering Point, Trader with Storage</t>
        </is>
      </c>
      <c r="C2331" t="inlineStr">
        <is>
          <t>Bureau Veritas Polska Sp. z o.o., Warsaw, PL</t>
        </is>
      </c>
      <c r="D2331" t="inlineStr">
        <is>
          <t>19.06.2027</t>
        </is>
      </c>
      <c r="E2331" t="inlineStr">
        <is>
          <t>Croatia</t>
        </is>
      </c>
    </row>
    <row r="2332">
      <c r="A2332" t="inlineStr">
        <is>
          <t>PanAdria Agro d.o.o.,  Radenci, Slovenia</t>
        </is>
      </c>
      <c r="B2332" t="inlineStr">
        <is>
          <t>First Gathering Point, Trader</t>
        </is>
      </c>
      <c r="C2332" t="inlineStr">
        <is>
          <t>agroVet GmbH, Enzersfeld, AT</t>
        </is>
      </c>
      <c r="D2332" t="inlineStr">
        <is>
          <t>19.06.2027</t>
        </is>
      </c>
      <c r="E2332" t="inlineStr">
        <is>
          <t>Slovenia</t>
        </is>
      </c>
    </row>
    <row r="2333">
      <c r="A2333" t="inlineStr">
        <is>
          <t>AKSOLUT,  Kotor Varos, Bosnia and Herzegovina</t>
        </is>
      </c>
      <c r="B2333" t="inlineStr">
        <is>
          <t>Processing Unit</t>
        </is>
      </c>
      <c r="C2333" t="inlineStr">
        <is>
          <t>RINA Services S.p.A., Genova, IT</t>
        </is>
      </c>
      <c r="D2333" t="inlineStr">
        <is>
          <t>19.06.2027</t>
        </is>
      </c>
      <c r="E2333" t="inlineStr">
        <is>
          <t>Bosnia and Herzegovina</t>
        </is>
      </c>
    </row>
    <row r="2334">
      <c r="A2334" t="inlineStr">
        <is>
          <t>WELL SURPLUS CORPORATION LIMITED,  12TH FLOOR SAN TOI BUILDING, Hong Kong (SAR)</t>
        </is>
      </c>
      <c r="B2334" t="inlineStr">
        <is>
          <t>Trader</t>
        </is>
      </c>
      <c r="C2334" t="inlineStr">
        <is>
          <t>RINA Services S.p.A., Genova, IT</t>
        </is>
      </c>
      <c r="D2334" t="inlineStr">
        <is>
          <t>19.06.2027</t>
        </is>
      </c>
      <c r="E2334" t="inlineStr">
        <is>
          <t>Hong Kong (SAR)</t>
        </is>
      </c>
    </row>
    <row r="2335">
      <c r="A2335" t="inlineStr">
        <is>
          <t>Weifang Dingliang Energy Technology Co., Ltd,  Weifang, China</t>
        </is>
      </c>
      <c r="B2335" t="inlineStr">
        <is>
          <t>Processing Unit</t>
        </is>
      </c>
      <c r="C2335" t="inlineStr">
        <is>
          <t>NSF International, Ann Arbor, MI, US</t>
        </is>
      </c>
      <c r="D2335" t="inlineStr">
        <is>
          <t>19.06.2027</t>
        </is>
      </c>
      <c r="E2335" t="inlineStr">
        <is>
          <t>China</t>
        </is>
      </c>
    </row>
    <row r="2336">
      <c r="A2336" t="inlineStr">
        <is>
          <t>PXA SP – INOVACÃO E ECONOMIA CIRCULAR S/A,  Santana de Parnaiba, Brazil</t>
        </is>
      </c>
      <c r="B2336" t="inlineStr">
        <is>
          <t>Collecting Point, Processing Unit</t>
        </is>
      </c>
      <c r="C2336" t="inlineStr">
        <is>
          <t>Control Union Poland Sp. z o.o., Zielona Gora, PL</t>
        </is>
      </c>
      <c r="D2336" t="inlineStr">
        <is>
          <t>19.06.2027</t>
        </is>
      </c>
      <c r="E2336" t="inlineStr">
        <is>
          <t>Brazil</t>
        </is>
      </c>
    </row>
    <row r="2337">
      <c r="A2337" t="inlineStr">
        <is>
          <t>Arkema, Inc.,  North Kansas City, United States</t>
        </is>
      </c>
      <c r="B2337" t="inlineStr">
        <is>
          <t>Processing Unit</t>
        </is>
      </c>
      <c r="C2337" t="inlineStr">
        <is>
          <t>DNV Business Assurance Sweden AB, Solna, SE</t>
        </is>
      </c>
      <c r="D2337" t="inlineStr">
        <is>
          <t>19.06.2027</t>
        </is>
      </c>
      <c r="E2337" t="inlineStr">
        <is>
          <t>United States</t>
        </is>
      </c>
    </row>
    <row r="2338">
      <c r="A2338" t="inlineStr">
        <is>
          <t>FGV Palm Industries Sdn Bhd,  Bentong,, Malaysia</t>
        </is>
      </c>
      <c r="B2338" t="inlineStr">
        <is>
          <t>Point of Origin</t>
        </is>
      </c>
      <c r="C2338" t="inlineStr">
        <is>
          <t>Trans Certification and Inspection Sdn Bhd, Kuantan, MY</t>
        </is>
      </c>
      <c r="D2338" t="inlineStr">
        <is>
          <t>19.06.2027</t>
        </is>
      </c>
      <c r="E2338" t="inlineStr">
        <is>
          <t>Malaysia</t>
        </is>
      </c>
    </row>
    <row r="2339">
      <c r="A2339" t="inlineStr">
        <is>
          <t>FGV Palm Industries Sdn Bhd,  Raub, Malaysia</t>
        </is>
      </c>
      <c r="B2339" t="inlineStr">
        <is>
          <t>Point of Origin</t>
        </is>
      </c>
      <c r="C2339" t="inlineStr">
        <is>
          <t>Trans Certification and Inspection Sdn Bhd, Kuantan, MY</t>
        </is>
      </c>
      <c r="D2339" t="inlineStr">
        <is>
          <t>19.06.2027</t>
        </is>
      </c>
      <c r="E2339" t="inlineStr">
        <is>
          <t>Malaysia</t>
        </is>
      </c>
    </row>
    <row r="2340">
      <c r="A2340" t="inlineStr">
        <is>
          <t>Agro Zamfira Cooperativa Agricola,  Calinesti, Romania</t>
        </is>
      </c>
      <c r="B2340" t="inlineStr">
        <is>
          <t>First Gathering Point</t>
        </is>
      </c>
      <c r="C2340" t="inlineStr">
        <is>
          <t>SRAC Cert SRL, Bucharest, RO</t>
        </is>
      </c>
      <c r="D2340" t="inlineStr">
        <is>
          <t>19.06.2027</t>
        </is>
      </c>
      <c r="E2340" t="inlineStr">
        <is>
          <t>Romania</t>
        </is>
      </c>
    </row>
    <row r="2341">
      <c r="A2341" t="inlineStr">
        <is>
          <t>FGV Palm Industries Sdn Bhd,  Jelebu, Malaysia</t>
        </is>
      </c>
      <c r="B2341" t="inlineStr">
        <is>
          <t>Point of Origin</t>
        </is>
      </c>
      <c r="C2341" t="inlineStr">
        <is>
          <t>Trans Certification and Inspection Sdn Bhd, Kuantan, MY</t>
        </is>
      </c>
      <c r="D2341" t="inlineStr">
        <is>
          <t>19.06.2027</t>
        </is>
      </c>
      <c r="E2341" t="inlineStr">
        <is>
          <t>Malaysia</t>
        </is>
      </c>
    </row>
    <row r="2342">
      <c r="A2342" t="inlineStr">
        <is>
          <t>France Mélasses SA,  Arras, France</t>
        </is>
      </c>
      <c r="B2342" t="inlineStr">
        <is>
          <t>Trader</t>
        </is>
      </c>
      <c r="C2342" t="inlineStr">
        <is>
          <t>Control Union Certifications Germany GmbH, Berlin, DE</t>
        </is>
      </c>
      <c r="D2342" t="inlineStr">
        <is>
          <t>19.06.2027</t>
        </is>
      </c>
      <c r="E2342" t="inlineStr">
        <is>
          <t>France</t>
        </is>
      </c>
    </row>
    <row r="2343">
      <c r="A2343" t="inlineStr">
        <is>
          <t>Apical Europe GmbH,  Hamburg, Germany</t>
        </is>
      </c>
      <c r="B2343" t="inlineStr">
        <is>
          <t>Trader</t>
        </is>
      </c>
      <c r="C2343" t="inlineStr">
        <is>
          <t>PT Intertek Utama Services, Jakarta, ID</t>
        </is>
      </c>
      <c r="D2343" t="inlineStr">
        <is>
          <t>19.06.2027</t>
        </is>
      </c>
      <c r="E2343" t="inlineStr">
        <is>
          <t>Germany</t>
        </is>
      </c>
    </row>
    <row r="2344">
      <c r="A2344" t="inlineStr">
        <is>
          <t>VAROPreem Sverige AB,  Gothenburg, Sweden</t>
        </is>
      </c>
      <c r="B2344" t="inlineStr">
        <is>
          <t>Processing Unit</t>
        </is>
      </c>
      <c r="C2344" t="inlineStr">
        <is>
          <t>DNV Business Assurance Sweden AB, Solna, SE</t>
        </is>
      </c>
      <c r="D2344" t="inlineStr">
        <is>
          <t>19.06.2027</t>
        </is>
      </c>
      <c r="E2344" t="inlineStr">
        <is>
          <t>Sweden</t>
        </is>
      </c>
    </row>
    <row r="2345">
      <c r="A2345" t="inlineStr">
        <is>
          <t>ProAmpac Holdings Inc.,  Wrightstown, WI, United States</t>
        </is>
      </c>
      <c r="B2345" t="inlineStr">
        <is>
          <t>Processing Unit</t>
        </is>
      </c>
      <c r="C2345" t="inlineStr">
        <is>
          <t>SCS Global Services, Emeryville, CA, US</t>
        </is>
      </c>
      <c r="D2345" t="inlineStr">
        <is>
          <t>19.06.2027</t>
        </is>
      </c>
      <c r="E2345" t="inlineStr">
        <is>
          <t>United States</t>
        </is>
      </c>
    </row>
    <row r="2346">
      <c r="A2346" t="inlineStr">
        <is>
          <t>VAROPreem Sverige AB,  Gothenburg, Sweden</t>
        </is>
      </c>
      <c r="B2346" t="inlineStr">
        <is>
          <t>Processing Unit</t>
        </is>
      </c>
      <c r="C2346" t="inlineStr">
        <is>
          <t>DNV Business Assurance Sweden AB, Solna, SE</t>
        </is>
      </c>
      <c r="D2346" t="inlineStr">
        <is>
          <t>19.06.2027</t>
        </is>
      </c>
      <c r="E2346" t="inlineStr">
        <is>
          <t>Sweden</t>
        </is>
      </c>
    </row>
    <row r="2347">
      <c r="A2347" t="inlineStr">
        <is>
          <t>FGV PALM INDUSTRIES,  MERSING, Malaysia</t>
        </is>
      </c>
      <c r="B2347" t="inlineStr">
        <is>
          <t>Point of Origin</t>
        </is>
      </c>
      <c r="C2347" t="inlineStr">
        <is>
          <t>Trans Certification and Inspection Sdn Bhd, Kuantan, MY</t>
        </is>
      </c>
      <c r="D2347" t="inlineStr">
        <is>
          <t>19.06.2027</t>
        </is>
      </c>
      <c r="E2347" t="inlineStr">
        <is>
          <t>Malaysia</t>
        </is>
      </c>
    </row>
    <row r="2348">
      <c r="A2348" t="inlineStr">
        <is>
          <t>FGV PALM INDUSTRIES,  PEKAN, Malaysia</t>
        </is>
      </c>
      <c r="B2348" t="inlineStr">
        <is>
          <t>Point of Origin</t>
        </is>
      </c>
      <c r="C2348" t="inlineStr">
        <is>
          <t>Trans Certification and Inspection Sdn Bhd, Kuantan, MY</t>
        </is>
      </c>
      <c r="D2348" t="inlineStr">
        <is>
          <t>19.06.2027</t>
        </is>
      </c>
      <c r="E2348" t="inlineStr">
        <is>
          <t>Malaysia</t>
        </is>
      </c>
    </row>
    <row r="2349">
      <c r="A2349" t="inlineStr">
        <is>
          <t>FGV PALM INDUSTRIES,  CHINI, Malaysia</t>
        </is>
      </c>
      <c r="B2349" t="inlineStr">
        <is>
          <t>Point of Origin</t>
        </is>
      </c>
      <c r="C2349" t="inlineStr">
        <is>
          <t>Trans Certification and Inspection Sdn Bhd, Kuantan, MY</t>
        </is>
      </c>
      <c r="D2349" t="inlineStr">
        <is>
          <t>19.06.2027</t>
        </is>
      </c>
      <c r="E2349" t="inlineStr">
        <is>
          <t>Malaysia</t>
        </is>
      </c>
    </row>
    <row r="2350">
      <c r="A2350" t="inlineStr">
        <is>
          <t>Neo Optical Company Limited,  Bac Ninh Province, Vietnam</t>
        </is>
      </c>
      <c r="B2350" t="inlineStr">
        <is>
          <t>Processing Unit</t>
        </is>
      </c>
      <c r="C2350" t="inlineStr">
        <is>
          <t>China Testing &amp; Certification International Group Co., Ltd., Beijing, CN</t>
        </is>
      </c>
      <c r="D2350" t="inlineStr">
        <is>
          <t>19.06.2027</t>
        </is>
      </c>
      <c r="E2350" t="inlineStr">
        <is>
          <t>Vietnam</t>
        </is>
      </c>
    </row>
    <row r="2351">
      <c r="A2351" t="inlineStr">
        <is>
          <t>INOVYN Europe Limited,  Antwerp (Lillo), Belgium</t>
        </is>
      </c>
      <c r="B2351" t="inlineStr">
        <is>
          <t>Processing Unit</t>
        </is>
      </c>
      <c r="C2351" t="inlineStr">
        <is>
          <t>SCS Global Services, Emeryville, CA, US</t>
        </is>
      </c>
      <c r="D2351" t="inlineStr">
        <is>
          <t>19.06.2027</t>
        </is>
      </c>
      <c r="E2351" t="inlineStr">
        <is>
          <t>Belgium</t>
        </is>
      </c>
    </row>
    <row r="2352">
      <c r="A2352" t="inlineStr">
        <is>
          <t>SC Survcontrol Agro SRL,  Insuratei Locality, Braila County, Romania</t>
        </is>
      </c>
      <c r="B2352" t="inlineStr">
        <is>
          <t>First Gathering Point, Trader with Storage</t>
        </is>
      </c>
      <c r="C2352" t="inlineStr">
        <is>
          <t>Control Union Certifications Germany GmbH, Berlin, DE</t>
        </is>
      </c>
      <c r="D2352" t="inlineStr">
        <is>
          <t>19.06.2027</t>
        </is>
      </c>
      <c r="E2352" t="inlineStr">
        <is>
          <t>Romania</t>
        </is>
      </c>
    </row>
    <row r="2353">
      <c r="A2353" t="inlineStr">
        <is>
          <t>Teijin Aramid,  Farmsum, The Netherlands</t>
        </is>
      </c>
      <c r="B2353" t="inlineStr">
        <is>
          <t>Processing Unit</t>
        </is>
      </c>
      <c r="C2353" t="inlineStr">
        <is>
          <t>Control Union Certifications Germany GmbH, Berlin, DE</t>
        </is>
      </c>
      <c r="D2353" t="inlineStr">
        <is>
          <t>19.06.2027</t>
        </is>
      </c>
      <c r="E2353" t="inlineStr">
        <is>
          <t>The Netherlands</t>
        </is>
      </c>
    </row>
    <row r="2354">
      <c r="A2354" t="inlineStr">
        <is>
          <t>INOVYN Europe Limited,  Antwerp (Zandvliet), Belgium</t>
        </is>
      </c>
      <c r="B2354" t="inlineStr">
        <is>
          <t>Processing Unit</t>
        </is>
      </c>
      <c r="C2354" t="inlineStr">
        <is>
          <t>SCS Global Services, Emeryville, CA, US</t>
        </is>
      </c>
      <c r="D2354" t="inlineStr">
        <is>
          <t>19.06.2027</t>
        </is>
      </c>
      <c r="E2354" t="inlineStr">
        <is>
          <t>Belgium</t>
        </is>
      </c>
    </row>
    <row r="2355">
      <c r="A2355" t="inlineStr">
        <is>
          <t>JOOWON VINA CO., LTD.,  DONG NAI, Vietnam</t>
        </is>
      </c>
      <c r="B2355" t="inlineStr">
        <is>
          <t>Processing Unit</t>
        </is>
      </c>
      <c r="C2355" t="inlineStr">
        <is>
          <t>Control Union Certifications Germany GmbH, Berlin, DE</t>
        </is>
      </c>
      <c r="D2355" t="inlineStr">
        <is>
          <t>19.06.2027</t>
        </is>
      </c>
      <c r="E2355" t="inlineStr">
        <is>
          <t>Vietnam</t>
        </is>
      </c>
    </row>
    <row r="2356">
      <c r="A2356" t="inlineStr">
        <is>
          <t>UNERCO PETROL URUNLERI DENIZCILIK VE TICARET A.S ,  ISTANBUL, Türkiye</t>
        </is>
      </c>
      <c r="B2356" t="inlineStr">
        <is>
          <t>Trader with Storage</t>
        </is>
      </c>
      <c r="C2356" t="inlineStr">
        <is>
          <t>ASG Cert GmbH, Munich, DE</t>
        </is>
      </c>
      <c r="D2356" t="inlineStr">
        <is>
          <t>19.06.2027</t>
        </is>
      </c>
      <c r="E2356" t="inlineStr">
        <is>
          <t>Türkiye</t>
        </is>
      </c>
    </row>
    <row r="2357">
      <c r="A2357" t="inlineStr">
        <is>
          <t>DANISH BIOCOMMODITIES A/S,  Kongens Lyngby, Denmark</t>
        </is>
      </c>
      <c r="B2357" t="inlineStr">
        <is>
          <t>Trader</t>
        </is>
      </c>
      <c r="C2357" t="inlineStr">
        <is>
          <t>Baltic Control Certification, Albertslund, DK</t>
        </is>
      </c>
      <c r="D2357" t="inlineStr">
        <is>
          <t>19.06.2027</t>
        </is>
      </c>
      <c r="E2357" t="inlineStr">
        <is>
          <t>Denmark</t>
        </is>
      </c>
    </row>
    <row r="2358">
      <c r="A2358" t="inlineStr">
        <is>
          <t>Albis Benelux B.V.,  Breda, Netherlands</t>
        </is>
      </c>
      <c r="B2358" t="inlineStr">
        <is>
          <t>Trader with Storage</t>
        </is>
      </c>
      <c r="C2358" t="inlineStr">
        <is>
          <t>DQS CFS GmbH - Deutsche Gesellschaft für Nachhaltigkeit, Frankfurt am Main, DE</t>
        </is>
      </c>
      <c r="D2358" t="inlineStr">
        <is>
          <t>19.06.2027</t>
        </is>
      </c>
      <c r="E2358" t="inlineStr">
        <is>
          <t>Netherlands</t>
        </is>
      </c>
    </row>
    <row r="2359">
      <c r="A2359" t="inlineStr">
        <is>
          <t>ALBIS NORDICS &amp; BALTICS AB,  Göteborg, Sweden</t>
        </is>
      </c>
      <c r="B2359" t="inlineStr">
        <is>
          <t>Trader with Storage</t>
        </is>
      </c>
      <c r="C2359" t="inlineStr">
        <is>
          <t>DQS CFS GmbH - Deutsche Gesellschaft für Nachhaltigkeit, Frankfurt am Main, DE</t>
        </is>
      </c>
      <c r="D2359" t="inlineStr">
        <is>
          <t>19.06.2027</t>
        </is>
      </c>
      <c r="E2359" t="inlineStr">
        <is>
          <t>Sweden</t>
        </is>
      </c>
    </row>
    <row r="2360">
      <c r="A2360" t="inlineStr">
        <is>
          <t>Teijin Aramid,  Emmen, The Netherlands</t>
        </is>
      </c>
      <c r="B2360" t="inlineStr">
        <is>
          <t>Processing Unit</t>
        </is>
      </c>
      <c r="C2360" t="inlineStr">
        <is>
          <t>Control Union Certifications Germany GmbH, Berlin, DE</t>
        </is>
      </c>
      <c r="D2360" t="inlineStr">
        <is>
          <t>19.06.2027</t>
        </is>
      </c>
      <c r="E2360" t="inlineStr">
        <is>
          <t>The Netherlands</t>
        </is>
      </c>
    </row>
    <row r="2361">
      <c r="A2361" t="inlineStr">
        <is>
          <t>SAMNAM PETROCHEMICAL CO.,LTD - Yeosu Plant,  Yeosu-si Jeollanam-do, South Korea</t>
        </is>
      </c>
      <c r="B2361" t="inlineStr">
        <is>
          <t>Processing Unit</t>
        </is>
      </c>
      <c r="C2361" t="inlineStr">
        <is>
          <t>Control Union Certifications Germany GmbH, Berlin, DE</t>
        </is>
      </c>
      <c r="D2361" t="inlineStr">
        <is>
          <t>19.06.2027</t>
        </is>
      </c>
      <c r="E2361" t="inlineStr">
        <is>
          <t>South Korea</t>
        </is>
      </c>
    </row>
    <row r="2362">
      <c r="A2362" t="inlineStr">
        <is>
          <t>KUMHO MITSUI CHEMICALS, INC.,  Yeosu-si, Jeollanam-do, South Korea</t>
        </is>
      </c>
      <c r="B2362" t="inlineStr">
        <is>
          <t>Processing Unit</t>
        </is>
      </c>
      <c r="C2362" t="inlineStr">
        <is>
          <t>Control Union Certifications Germany GmbH, Berlin, DE</t>
        </is>
      </c>
      <c r="D2362" t="inlineStr">
        <is>
          <t>19.06.2027</t>
        </is>
      </c>
      <c r="E2362" t="inlineStr">
        <is>
          <t>South Korea</t>
        </is>
      </c>
    </row>
    <row r="2363">
      <c r="A2363" t="inlineStr">
        <is>
          <t>KUMHO MITSUI CHEMICALS, INC.,  Jung-gu, Seoul, South Korea</t>
        </is>
      </c>
      <c r="B2363" t="inlineStr">
        <is>
          <t>Trader</t>
        </is>
      </c>
      <c r="C2363" t="inlineStr">
        <is>
          <t>Control Union Certifications Germany GmbH, Berlin, DE</t>
        </is>
      </c>
      <c r="D2363" t="inlineStr">
        <is>
          <t>19.06.2027</t>
        </is>
      </c>
      <c r="E2363" t="inlineStr">
        <is>
          <t>South Korea</t>
        </is>
      </c>
    </row>
    <row r="2364">
      <c r="A2364" t="inlineStr">
        <is>
          <t>Farmlife Kft.,  Bátaszék, Hungary</t>
        </is>
      </c>
      <c r="B2364" t="inlineStr">
        <is>
          <t>First Gathering Point, Trader</t>
        </is>
      </c>
      <c r="C2364" t="inlineStr">
        <is>
          <t>BM Certification, Riga, LV</t>
        </is>
      </c>
      <c r="D2364" t="inlineStr">
        <is>
          <t>19.06.2027</t>
        </is>
      </c>
      <c r="E2364" t="inlineStr">
        <is>
          <t>Hungary</t>
        </is>
      </c>
    </row>
    <row r="2365">
      <c r="A2365" t="inlineStr">
        <is>
          <t>Wiersma Olie en Techniek B.V.,  Oudehaske, Netherlands</t>
        </is>
      </c>
      <c r="B2365" t="inlineStr">
        <is>
          <t>Trader with Storage</t>
        </is>
      </c>
      <c r="C2365" t="inlineStr">
        <is>
          <t>DEKRA Certification B.V., Arnhem, NL</t>
        </is>
      </c>
      <c r="D2365" t="inlineStr">
        <is>
          <t>19.06.2027</t>
        </is>
      </c>
      <c r="E2365" t="inlineStr">
        <is>
          <t>Netherlands</t>
        </is>
      </c>
    </row>
    <row r="2366">
      <c r="A2366" t="inlineStr">
        <is>
          <t>ALBIS Plastic Vertriebsgesellschaft m.b.H.,  Vienna, Austria</t>
        </is>
      </c>
      <c r="B2366" t="inlineStr">
        <is>
          <t>Trader with Storage</t>
        </is>
      </c>
      <c r="C2366" t="inlineStr">
        <is>
          <t>DQS CFS GmbH - Deutsche Gesellschaft für Nachhaltigkeit, Frankfurt am Main, DE</t>
        </is>
      </c>
      <c r="D2366" t="inlineStr">
        <is>
          <t>19.06.2027</t>
        </is>
      </c>
      <c r="E2366" t="inlineStr">
        <is>
          <t>Austria</t>
        </is>
      </c>
    </row>
    <row r="2367">
      <c r="A2367" t="inlineStr">
        <is>
          <t>Dingyuan County Mingdong Plastic industry Co., LTD,  Dingyuan County, Chuzhou City, China</t>
        </is>
      </c>
      <c r="B2367" t="inlineStr">
        <is>
          <t>Collecting Point, Processing Unit</t>
        </is>
      </c>
      <c r="C2367" t="inlineStr">
        <is>
          <t>SGS Germany GmbH, Emstek, DE</t>
        </is>
      </c>
      <c r="D2367" t="inlineStr">
        <is>
          <t>19.06.2027</t>
        </is>
      </c>
      <c r="E2367" t="inlineStr">
        <is>
          <t>China</t>
        </is>
      </c>
    </row>
    <row r="2368">
      <c r="A2368" t="inlineStr">
        <is>
          <t>Glencore Energy UK,  London, United Kingdom</t>
        </is>
      </c>
      <c r="B2368" t="inlineStr">
        <is>
          <t>Trader with Storage</t>
        </is>
      </c>
      <c r="C2368" t="inlineStr">
        <is>
          <t>SGS Germany GmbH, Emstek, DE</t>
        </is>
      </c>
      <c r="D2368" t="inlineStr">
        <is>
          <t>19.06.2027</t>
        </is>
      </c>
      <c r="E2368" t="inlineStr">
        <is>
          <t>United Kingdom</t>
        </is>
      </c>
    </row>
    <row r="2369">
      <c r="A2369" t="inlineStr">
        <is>
          <t>EnergieDirect,  Oberhaching, Germany</t>
        </is>
      </c>
      <c r="B2369" t="inlineStr">
        <is>
          <t>Trader with Storage</t>
        </is>
      </c>
      <c r="C2369" t="inlineStr">
        <is>
          <t>agroVet GmbH, Enzersfeld, AT</t>
        </is>
      </c>
      <c r="D2369" t="inlineStr">
        <is>
          <t>19.06.2027</t>
        </is>
      </c>
      <c r="E2369" t="inlineStr">
        <is>
          <t>Germany</t>
        </is>
      </c>
    </row>
    <row r="2370">
      <c r="A2370" t="inlineStr">
        <is>
          <t>Omega Proteins Ltd,  Penrith, United Kingdom</t>
        </is>
      </c>
      <c r="B2370" t="inlineStr">
        <is>
          <t>Point of Origin</t>
        </is>
      </c>
      <c r="C2370" t="inlineStr">
        <is>
          <t>SGS Germany GmbH, Emstek, DE</t>
        </is>
      </c>
      <c r="D2370" t="inlineStr">
        <is>
          <t>19.06.2027</t>
        </is>
      </c>
      <c r="E2370" t="inlineStr">
        <is>
          <t>United Kingdom</t>
        </is>
      </c>
    </row>
    <row r="2371">
      <c r="A2371" t="inlineStr">
        <is>
          <t>Omega Proteins Ltd,  Penrith, United Kingdom</t>
        </is>
      </c>
      <c r="B2371" t="inlineStr">
        <is>
          <t>Point of Origin</t>
        </is>
      </c>
      <c r="C2371" t="inlineStr">
        <is>
          <t>SGS Germany GmbH, Emstek, DE</t>
        </is>
      </c>
      <c r="D2371" t="inlineStr">
        <is>
          <t>19.06.2027</t>
        </is>
      </c>
      <c r="E2371" t="inlineStr">
        <is>
          <t>United Kingdom</t>
        </is>
      </c>
    </row>
    <row r="2372">
      <c r="A2372" t="inlineStr">
        <is>
          <t>Indorama Ventures Mobility Bohemia s.r.o.,  Lovosice, Czech Republic</t>
        </is>
      </c>
      <c r="B2372" t="inlineStr">
        <is>
          <t>Processing Unit</t>
        </is>
      </c>
      <c r="C2372" t="inlineStr">
        <is>
          <t>SGS Germany GmbH, Emstek, DE</t>
        </is>
      </c>
      <c r="D2372" t="inlineStr">
        <is>
          <t>19.06.2027</t>
        </is>
      </c>
      <c r="E2372" t="inlineStr">
        <is>
          <t>Czech Republic</t>
        </is>
      </c>
    </row>
    <row r="2373">
      <c r="A2373" t="inlineStr">
        <is>
          <t>Beijing Haineng Environmental Management Co., LTD.,  Beijing, China</t>
        </is>
      </c>
      <c r="B2373" t="inlineStr">
        <is>
          <t>Collecting Point, Processing Unit</t>
        </is>
      </c>
      <c r="C2373" t="inlineStr">
        <is>
          <t>SCS Global Services, Emeryville, CA, US</t>
        </is>
      </c>
      <c r="D2373" t="inlineStr">
        <is>
          <t>19.06.2027</t>
        </is>
      </c>
      <c r="E2373" t="inlineStr">
        <is>
          <t>China</t>
        </is>
      </c>
    </row>
    <row r="2374">
      <c r="A2374" t="inlineStr">
        <is>
          <t>Horeca Services de Coster,  Asse, Belgium</t>
        </is>
      </c>
      <c r="B2374" t="inlineStr">
        <is>
          <t>Collecting Point</t>
        </is>
      </c>
      <c r="C2374" t="inlineStr">
        <is>
          <t>SGS Germany GmbH, Emstek, DE</t>
        </is>
      </c>
      <c r="D2374" t="inlineStr">
        <is>
          <t>19.06.2027</t>
        </is>
      </c>
      <c r="E2374" t="inlineStr">
        <is>
          <t>Belgium</t>
        </is>
      </c>
    </row>
    <row r="2375">
      <c r="A2375" t="inlineStr">
        <is>
          <t>Chiba Butadiene Industry Co.,Ltd.,  Ichihara, Chiba, Japan</t>
        </is>
      </c>
      <c r="B2375" t="inlineStr">
        <is>
          <t>Processing Unit, Trader with Storage</t>
        </is>
      </c>
      <c r="C2375" t="inlineStr">
        <is>
          <t>SGS Germany GmbH, Emstek, DE</t>
        </is>
      </c>
      <c r="D2375" t="inlineStr">
        <is>
          <t>19.06.2027</t>
        </is>
      </c>
      <c r="E2375" t="inlineStr">
        <is>
          <t>Japan</t>
        </is>
      </c>
    </row>
    <row r="2376">
      <c r="A2376" t="inlineStr">
        <is>
          <t>Qingdao HIWIN Solvay Chemicals,  Qingdao, Shandong, China</t>
        </is>
      </c>
      <c r="B2376" t="inlineStr">
        <is>
          <t>Processing Unit</t>
        </is>
      </c>
      <c r="C2376" t="inlineStr">
        <is>
          <t>SGS Germany GmbH, Emstek, DE</t>
        </is>
      </c>
      <c r="D2376" t="inlineStr">
        <is>
          <t>19.06.2027</t>
        </is>
      </c>
      <c r="E2376" t="inlineStr">
        <is>
          <t>China</t>
        </is>
      </c>
    </row>
    <row r="2377">
      <c r="A2377" t="inlineStr">
        <is>
          <t>CHEER BENEFIT TRADING LIMITED,  HONG KONG, Hong Kong, SAR, China</t>
        </is>
      </c>
      <c r="B2377" t="inlineStr">
        <is>
          <t>Trader</t>
        </is>
      </c>
      <c r="C2377" t="inlineStr">
        <is>
          <t>CTI Certification Co. Ltd, Shenzhen, CN</t>
        </is>
      </c>
      <c r="D2377" t="inlineStr">
        <is>
          <t>19.06.2027</t>
        </is>
      </c>
      <c r="E2377" t="inlineStr">
        <is>
          <t>China</t>
        </is>
      </c>
    </row>
    <row r="2378">
      <c r="A2378" t="inlineStr">
        <is>
          <t>Teijin Aramid,  Arnhem, The Netherlands</t>
        </is>
      </c>
      <c r="B2378" t="inlineStr">
        <is>
          <t>Trader with Storage</t>
        </is>
      </c>
      <c r="C2378" t="inlineStr">
        <is>
          <t>Control Union Certifications Germany GmbH, Berlin, DE</t>
        </is>
      </c>
      <c r="D2378" t="inlineStr">
        <is>
          <t>19.06.2027</t>
        </is>
      </c>
      <c r="E2378" t="inlineStr">
        <is>
          <t>The Netherlands</t>
        </is>
      </c>
    </row>
    <row r="2379">
      <c r="A2379" t="inlineStr">
        <is>
          <t>INOVYN Europe Limited,  Antwerp (Lillo), Belgium</t>
        </is>
      </c>
      <c r="B2379" t="inlineStr">
        <is>
          <t>Processing Unit</t>
        </is>
      </c>
      <c r="C2379" t="inlineStr">
        <is>
          <t>SCS Global Services, Emeryville, CA, US</t>
        </is>
      </c>
      <c r="D2379" t="inlineStr">
        <is>
          <t>19.06.2027</t>
        </is>
      </c>
      <c r="E2379" t="inlineStr">
        <is>
          <t>Belgium</t>
        </is>
      </c>
    </row>
    <row r="2380">
      <c r="A2380" t="inlineStr">
        <is>
          <t>SAVOIL ENVIRTECH INDIA PVT LTD,  ROHTAK,, India</t>
        </is>
      </c>
      <c r="B2380" t="inlineStr">
        <is>
          <t>Collecting Point, Processing Unit</t>
        </is>
      </c>
      <c r="C2380" t="inlineStr">
        <is>
          <t>ISOQAR Ltd, Stretford, Manchester, GB</t>
        </is>
      </c>
      <c r="D2380" t="inlineStr">
        <is>
          <t>19.06.2027</t>
        </is>
      </c>
      <c r="E2380" t="inlineStr">
        <is>
          <t>India</t>
        </is>
      </c>
    </row>
    <row r="2381">
      <c r="A2381" t="inlineStr">
        <is>
          <t>Sibo CRO d.o.o.,  Moždenec, Croatia</t>
        </is>
      </c>
      <c r="B2381" t="inlineStr">
        <is>
          <t>Processing Unit</t>
        </is>
      </c>
      <c r="C2381" t="inlineStr">
        <is>
          <t>Bureau Veritas Polska Sp. z o.o., Warsaw, PL</t>
        </is>
      </c>
      <c r="D2381" t="inlineStr">
        <is>
          <t>18.06.2027</t>
        </is>
      </c>
      <c r="E2381" t="inlineStr">
        <is>
          <t>Croatia</t>
        </is>
      </c>
    </row>
    <row r="2382">
      <c r="A2382" t="inlineStr">
        <is>
          <t>Wanhua Chemical Group Co., Ltd.,  YEDA Yantai City, Shandong Province, China</t>
        </is>
      </c>
      <c r="B2382" t="inlineStr">
        <is>
          <t>Processing Unit</t>
        </is>
      </c>
      <c r="C2382" t="inlineStr">
        <is>
          <t>Bureau Veritas Polska Sp. z o.o., Warsaw, PL</t>
        </is>
      </c>
      <c r="D2382" t="inlineStr">
        <is>
          <t>18.06.2027</t>
        </is>
      </c>
      <c r="E2382" t="inlineStr">
        <is>
          <t>China</t>
        </is>
      </c>
    </row>
    <row r="2383">
      <c r="A2383" t="inlineStr">
        <is>
          <t>Cambridge Biopower,  Manea, March, United Kingdom</t>
        </is>
      </c>
      <c r="B2383" t="inlineStr">
        <is>
          <t>Collecting Point, First Gathering Point, Processing Unit</t>
        </is>
      </c>
      <c r="C2383" t="inlineStr">
        <is>
          <t>Double Helix Tracking Technologies Pte Ltd, Singapore, SG</t>
        </is>
      </c>
      <c r="D2383" t="inlineStr">
        <is>
          <t>18.06.2027</t>
        </is>
      </c>
      <c r="E2383" t="inlineStr">
        <is>
          <t>United Kingdom</t>
        </is>
      </c>
    </row>
    <row r="2384">
      <c r="A2384" t="inlineStr">
        <is>
          <t>JIANGSU YING HUI ENERGY TECHNOLOGY CO., LTD,  Zhenjiang City, Jiangsu Province, China</t>
        </is>
      </c>
      <c r="B2384" t="inlineStr">
        <is>
          <t>Trader with Storage</t>
        </is>
      </c>
      <c r="C2384" t="inlineStr">
        <is>
          <t>RINA Services S.p.A., Genova, IT</t>
        </is>
      </c>
      <c r="D2384" t="inlineStr">
        <is>
          <t>18.06.2027</t>
        </is>
      </c>
      <c r="E2384" t="inlineStr">
        <is>
          <t>China</t>
        </is>
      </c>
    </row>
    <row r="2385">
      <c r="A2385" t="inlineStr">
        <is>
          <t>U.B.T. OIL CO.,LTD.,  Bangkok, Thailand</t>
        </is>
      </c>
      <c r="B2385" t="inlineStr">
        <is>
          <t>Collecting Point</t>
        </is>
      </c>
      <c r="C2385" t="inlineStr">
        <is>
          <t>Bureau Veritas Polska Sp. z o.o., Warsaw, PL</t>
        </is>
      </c>
      <c r="D2385" t="inlineStr">
        <is>
          <t>18.06.2027</t>
        </is>
      </c>
      <c r="E2385" t="inlineStr">
        <is>
          <t>Thailand</t>
        </is>
      </c>
    </row>
    <row r="2386">
      <c r="A2386" t="inlineStr">
        <is>
          <t>IKEDA FUKUSUKE CO.,LTD.,  Ikeda-Cho, Miyoshi-City, Tokushima, Japan</t>
        </is>
      </c>
      <c r="B2386" t="inlineStr">
        <is>
          <t>Point of Origin, Processing Unit, Warehouse</t>
        </is>
      </c>
      <c r="C2386" t="inlineStr">
        <is>
          <t>SGS Germany GmbH, Emstek, DE</t>
        </is>
      </c>
      <c r="D2386" t="inlineStr">
        <is>
          <t>18.06.2027</t>
        </is>
      </c>
      <c r="E2386" t="inlineStr">
        <is>
          <t>Japan</t>
        </is>
      </c>
    </row>
    <row r="2387">
      <c r="A2387" t="inlineStr">
        <is>
          <t>Coop. Maiscoltori Basso Ferrarese,  Codigoro, Italy</t>
        </is>
      </c>
      <c r="B2387" t="inlineStr">
        <is>
          <t>First Gathering Point, Warehouse</t>
        </is>
      </c>
      <c r="C2387" t="inlineStr">
        <is>
          <t>DNV Business Assurance Sweden AB, Solna, SE</t>
        </is>
      </c>
      <c r="D2387" t="inlineStr">
        <is>
          <t>18.06.2027</t>
        </is>
      </c>
      <c r="E2387" t="inlineStr">
        <is>
          <t>Italy</t>
        </is>
      </c>
    </row>
    <row r="2388">
      <c r="A2388" t="inlineStr">
        <is>
          <t>VAL'LIMAGNE.coop,  Saint-Pourcain-sur-Sioule, France</t>
        </is>
      </c>
      <c r="B2388" t="inlineStr">
        <is>
          <t>First Gathering Point</t>
        </is>
      </c>
      <c r="C2388" t="inlineStr">
        <is>
          <t>RINA Services S.p.A., Genova, IT</t>
        </is>
      </c>
      <c r="D2388" t="inlineStr">
        <is>
          <t>18.06.2027</t>
        </is>
      </c>
      <c r="E2388" t="inlineStr">
        <is>
          <t>France</t>
        </is>
      </c>
    </row>
    <row r="2389">
      <c r="A2389" t="inlineStr">
        <is>
          <t>ANAKYKLOSI LADION G.P / PRASINI GI PATRON,  PATRA, Greece</t>
        </is>
      </c>
      <c r="B2389" t="inlineStr">
        <is>
          <t>Collecting Point</t>
        </is>
      </c>
      <c r="C2389" t="inlineStr">
        <is>
          <t>Eurocert SA, Metamorfosi, Athens, GR</t>
        </is>
      </c>
      <c r="D2389" t="inlineStr">
        <is>
          <t>18.06.2027</t>
        </is>
      </c>
      <c r="E2389" t="inlineStr">
        <is>
          <t>Greece</t>
        </is>
      </c>
    </row>
    <row r="2390">
      <c r="A2390" t="inlineStr">
        <is>
          <t>CO.VI.COL,  PAINA DI GIUSSANO, Italy</t>
        </is>
      </c>
      <c r="B2390" t="inlineStr">
        <is>
          <t>Processing Unit, Trader with Storage</t>
        </is>
      </c>
      <c r="C2390" t="inlineStr">
        <is>
          <t>Bureau Veritas Polska Sp. z o.o., Warsaw, PL</t>
        </is>
      </c>
      <c r="D2390" t="inlineStr">
        <is>
          <t>18.06.2027</t>
        </is>
      </c>
      <c r="E2390" t="inlineStr">
        <is>
          <t>Italy</t>
        </is>
      </c>
    </row>
    <row r="2391">
      <c r="A2391" t="inlineStr">
        <is>
          <t>Oltenia Cereal Nord Cooperativa Agricola,  Scornicesti, Olt, county, Romania</t>
        </is>
      </c>
      <c r="B2391" t="inlineStr">
        <is>
          <t>First Gathering Point</t>
        </is>
      </c>
      <c r="C2391" t="inlineStr">
        <is>
          <t>SRAC Cert SRL, Bucharest, RO</t>
        </is>
      </c>
      <c r="D2391" t="inlineStr">
        <is>
          <t>18.06.2027</t>
        </is>
      </c>
      <c r="E2391" t="inlineStr">
        <is>
          <t>Romania</t>
        </is>
      </c>
    </row>
    <row r="2392">
      <c r="A2392" t="inlineStr">
        <is>
          <t>GFE Krogenskær P/S,  Brønderslev, Denmark</t>
        </is>
      </c>
      <c r="B2392" t="inlineStr">
        <is>
          <t>Collecting Point, First Gathering Point, Processing Unit</t>
        </is>
      </c>
      <c r="C2392" t="inlineStr">
        <is>
          <t>Baltic Control Certification, Albertslund, DK</t>
        </is>
      </c>
      <c r="D2392" t="inlineStr">
        <is>
          <t>18.06.2027</t>
        </is>
      </c>
      <c r="E2392" t="inlineStr">
        <is>
          <t>Denmark</t>
        </is>
      </c>
    </row>
    <row r="2393">
      <c r="A2393" t="inlineStr">
        <is>
          <t>Energy Absolute Public Company Limited,  Tambon Nongkee, Amphoe Kabinburi, Thailand</t>
        </is>
      </c>
      <c r="B2393" t="inlineStr">
        <is>
          <t>Trader with Storage</t>
        </is>
      </c>
      <c r="C2393" t="inlineStr">
        <is>
          <t>Control Union Poland Sp. z o.o., Zielona Gora, PL</t>
        </is>
      </c>
      <c r="D2393" t="inlineStr">
        <is>
          <t>18.06.2027</t>
        </is>
      </c>
      <c r="E2393" t="inlineStr">
        <is>
          <t>Thailand</t>
        </is>
      </c>
    </row>
    <row r="2394">
      <c r="A2394" t="inlineStr">
        <is>
          <t>Energifabriken Norge AS,  GAMLE FREDRIKSTAD, Norway</t>
        </is>
      </c>
      <c r="B2394" t="inlineStr">
        <is>
          <t>Proof of Compliance Trader, Trader with Storage</t>
        </is>
      </c>
      <c r="C2394" t="inlineStr">
        <is>
          <t>DNV Business Assurance Sweden AB, Solna, SE</t>
        </is>
      </c>
      <c r="D2394" t="inlineStr">
        <is>
          <t>18.06.2027</t>
        </is>
      </c>
      <c r="E2394" t="inlineStr">
        <is>
          <t>Norway</t>
        </is>
      </c>
    </row>
    <row r="2395">
      <c r="A2395" t="inlineStr">
        <is>
          <t>HIF Chile 1 SpA,  Punta Arenas, Chile</t>
        </is>
      </c>
      <c r="B2395" t="inlineStr">
        <is>
          <t>Processing Unit</t>
        </is>
      </c>
      <c r="C2395" t="inlineStr">
        <is>
          <t>TÜV SÜD Industrie Service GmbH, München, DE</t>
        </is>
      </c>
      <c r="D2395" t="inlineStr">
        <is>
          <t>18.06.2027</t>
        </is>
      </c>
      <c r="E2395" t="inlineStr">
        <is>
          <t>Chile</t>
        </is>
      </c>
    </row>
    <row r="2396">
      <c r="A2396" t="inlineStr">
        <is>
          <t>WOOJIN CO.,LTD,  Yangsan-si, South Korea</t>
        </is>
      </c>
      <c r="B2396" t="inlineStr">
        <is>
          <t>Processing Unit</t>
        </is>
      </c>
      <c r="C2396" t="inlineStr">
        <is>
          <t>Control Union Certifications Germany GmbH, Berlin, DE</t>
        </is>
      </c>
      <c r="D2396" t="inlineStr">
        <is>
          <t>18.06.2027</t>
        </is>
      </c>
      <c r="E2396" t="inlineStr">
        <is>
          <t>South Korea</t>
        </is>
      </c>
    </row>
    <row r="2397">
      <c r="A2397" t="inlineStr">
        <is>
          <t>Saje Agri (Pty) Ltd,  Umhlanga Ridge, South Africa</t>
        </is>
      </c>
      <c r="B2397" t="inlineStr">
        <is>
          <t>Trader</t>
        </is>
      </c>
      <c r="C2397" t="inlineStr">
        <is>
          <t>DEKRA Certification B.V., Arnhem, NL</t>
        </is>
      </c>
      <c r="D2397" t="inlineStr">
        <is>
          <t>18.06.2027</t>
        </is>
      </c>
      <c r="E2397" t="inlineStr">
        <is>
          <t>South Africa</t>
        </is>
      </c>
    </row>
    <row r="2398">
      <c r="A2398" t="inlineStr">
        <is>
          <t>Future Fuels Wholesale BV,  Oudehaske, Netherlands</t>
        </is>
      </c>
      <c r="B2398" t="inlineStr">
        <is>
          <t>Trader with Storage</t>
        </is>
      </c>
      <c r="C2398" t="inlineStr">
        <is>
          <t>DEKRA Certification B.V., Arnhem, NL</t>
        </is>
      </c>
      <c r="D2398" t="inlineStr">
        <is>
          <t>18.06.2027</t>
        </is>
      </c>
      <c r="E2398" t="inlineStr">
        <is>
          <t>Netherlands</t>
        </is>
      </c>
    </row>
    <row r="2399">
      <c r="A2399" t="inlineStr">
        <is>
          <t>Vesta Terminals b.v.,  Utrecht, The Netherlands</t>
        </is>
      </c>
      <c r="B2399" t="inlineStr">
        <is>
          <t>Logistics Center</t>
        </is>
      </c>
      <c r="C2399" t="inlineStr">
        <is>
          <t>SGS Germany GmbH, Emstek, DE</t>
        </is>
      </c>
      <c r="D2399" t="inlineStr">
        <is>
          <t>18.06.2027</t>
        </is>
      </c>
      <c r="E2399" t="inlineStr">
        <is>
          <t>The Netherlands</t>
        </is>
      </c>
    </row>
    <row r="2400">
      <c r="A2400" t="inlineStr">
        <is>
          <t>ARDISSON DI ARDISSON MARCO &amp; C. SAS,  Sassari, Italy</t>
        </is>
      </c>
      <c r="B2400" t="inlineStr">
        <is>
          <t>Collecting Point</t>
        </is>
      </c>
      <c r="C2400" t="inlineStr">
        <is>
          <t>SGS Germany GmbH, Emstek, DE</t>
        </is>
      </c>
      <c r="D2400" t="inlineStr">
        <is>
          <t>18.06.2027</t>
        </is>
      </c>
      <c r="E2400" t="inlineStr">
        <is>
          <t>Italy</t>
        </is>
      </c>
    </row>
    <row r="2401">
      <c r="A2401" t="inlineStr">
        <is>
          <t>Airbus Operations GmbH,  Hamburg, Germany</t>
        </is>
      </c>
      <c r="B2401" t="inlineStr">
        <is>
          <t>Trader with Storage</t>
        </is>
      </c>
      <c r="C2401" t="inlineStr">
        <is>
          <t>SGS Germany GmbH, Emstek, DE</t>
        </is>
      </c>
      <c r="D2401" t="inlineStr">
        <is>
          <t>18.06.2027</t>
        </is>
      </c>
      <c r="E2401" t="inlineStr">
        <is>
          <t>Germany</t>
        </is>
      </c>
    </row>
    <row r="2402">
      <c r="A2402" t="inlineStr">
        <is>
          <t>Continental Automotive Product SRL,  Timisoara, Romania</t>
        </is>
      </c>
      <c r="B2402" t="inlineStr">
        <is>
          <t>Processing Unit</t>
        </is>
      </c>
      <c r="C2402" t="inlineStr">
        <is>
          <t>SGS Germany GmbH, Emstek, DE</t>
        </is>
      </c>
      <c r="D2402" t="inlineStr">
        <is>
          <t>18.06.2027</t>
        </is>
      </c>
      <c r="E2402" t="inlineStr">
        <is>
          <t>Romania</t>
        </is>
      </c>
    </row>
    <row r="2403">
      <c r="A2403" t="inlineStr">
        <is>
          <t>Borealis Compounds Inc,  Port Murray, United States</t>
        </is>
      </c>
      <c r="B2403" t="inlineStr">
        <is>
          <t>Trader</t>
        </is>
      </c>
      <c r="C2403" t="inlineStr">
        <is>
          <t>SGS Germany GmbH, Emstek, DE</t>
        </is>
      </c>
      <c r="D2403" t="inlineStr">
        <is>
          <t>18.06.2027</t>
        </is>
      </c>
      <c r="E2403" t="inlineStr">
        <is>
          <t>United States</t>
        </is>
      </c>
    </row>
    <row r="2404">
      <c r="A2404" t="inlineStr">
        <is>
          <t>SHANDONG LINK SCIENCE AND TECHNOLOGY CO., LTD,  QINGZHOU CITY, WEIFANG, SHANDONG PROVINCE, China</t>
        </is>
      </c>
      <c r="B2404" t="inlineStr">
        <is>
          <t>Processing Unit</t>
        </is>
      </c>
      <c r="C2404" t="inlineStr">
        <is>
          <t>SGS Germany GmbH, Emstek, DE</t>
        </is>
      </c>
      <c r="D2404" t="inlineStr">
        <is>
          <t>18.06.2027</t>
        </is>
      </c>
      <c r="E2404" t="inlineStr">
        <is>
          <t>China</t>
        </is>
      </c>
    </row>
    <row r="2405">
      <c r="A2405" t="inlineStr">
        <is>
          <t>TEIJIN LIMITED,  Shizuoka, Japan</t>
        </is>
      </c>
      <c r="B2405" t="inlineStr">
        <is>
          <t>Processing Unit, Warehouse</t>
        </is>
      </c>
      <c r="C2405" t="inlineStr">
        <is>
          <t>SGS Germany GmbH, Emstek, DE</t>
        </is>
      </c>
      <c r="D2405" t="inlineStr">
        <is>
          <t>18.06.2027</t>
        </is>
      </c>
      <c r="E2405" t="inlineStr">
        <is>
          <t>Japan</t>
        </is>
      </c>
    </row>
    <row r="2406">
      <c r="A2406" t="inlineStr">
        <is>
          <t>Verde Veritas Pte. Ltd.,  Singapore, Singapore</t>
        </is>
      </c>
      <c r="B2406" t="inlineStr">
        <is>
          <t>Trader</t>
        </is>
      </c>
      <c r="C2406" t="inlineStr">
        <is>
          <t>PT. Qualitas Sertifikasi Indonesia, Jakarta, ID</t>
        </is>
      </c>
      <c r="D2406" t="inlineStr">
        <is>
          <t>18.06.2027</t>
        </is>
      </c>
      <c r="E2406" t="inlineStr">
        <is>
          <t>Singapore</t>
        </is>
      </c>
    </row>
    <row r="2407">
      <c r="A2407" t="inlineStr">
        <is>
          <t>PT CAHAYA INTIMEDIA ENERGI,  Kabupaten Kampar, Indonesia</t>
        </is>
      </c>
      <c r="B2407" t="inlineStr">
        <is>
          <t>Point of Origin</t>
        </is>
      </c>
      <c r="C2407" t="inlineStr">
        <is>
          <t>PT Intertek Utama Services, Jakarta, ID</t>
        </is>
      </c>
      <c r="D2407" t="inlineStr">
        <is>
          <t>18.06.2027</t>
        </is>
      </c>
      <c r="E2407" t="inlineStr">
        <is>
          <t>Indonesia</t>
        </is>
      </c>
    </row>
    <row r="2408">
      <c r="A2408" t="inlineStr">
        <is>
          <t>INFERNOGEN SDN BHD,  KAW. PERINDUSTRIAN P.INDAH FASA 2, PELABUHAN KLANG, Malaysia</t>
        </is>
      </c>
      <c r="B2408" t="inlineStr">
        <is>
          <t>Processing Unit, Trader with Storage</t>
        </is>
      </c>
      <c r="C2408" t="inlineStr">
        <is>
          <t>SGS Germany GmbH, Emstek, DE</t>
        </is>
      </c>
      <c r="D2408" t="inlineStr">
        <is>
          <t>18.06.2027</t>
        </is>
      </c>
      <c r="E2408" t="inlineStr">
        <is>
          <t>Malaysia</t>
        </is>
      </c>
    </row>
    <row r="2409">
      <c r="A2409" t="inlineStr">
        <is>
          <t>Agrofirma Trypillya LLC,  Pustoivanne village, Ukraine</t>
        </is>
      </c>
      <c r="B2409" t="inlineStr">
        <is>
          <t>Farm / Plantation, Trader</t>
        </is>
      </c>
      <c r="C2409" t="inlineStr">
        <is>
          <t>United Registrar of Systems Polska Sp. z o.o., Wrocław, PL</t>
        </is>
      </c>
      <c r="D2409" t="inlineStr">
        <is>
          <t>18.06.2027</t>
        </is>
      </c>
      <c r="E2409" t="inlineStr">
        <is>
          <t>Ukraine</t>
        </is>
      </c>
    </row>
    <row r="2410">
      <c r="A2410" t="inlineStr">
        <is>
          <t>INFERNOGEN SDN BHD,  KAW. PERINDUSTRIAN P.INDAH FASA 2, PELABUHAN KLANG, Malaysia</t>
        </is>
      </c>
      <c r="B2410" t="inlineStr">
        <is>
          <t>Processing Unit, Trader with Storage</t>
        </is>
      </c>
      <c r="C2410" t="inlineStr">
        <is>
          <t>SGS Germany GmbH, Emstek, DE</t>
        </is>
      </c>
      <c r="D2410" t="inlineStr">
        <is>
          <t>18.06.2027</t>
        </is>
      </c>
      <c r="E2410" t="inlineStr">
        <is>
          <t>Malaysia</t>
        </is>
      </c>
    </row>
    <row r="2411">
      <c r="A2411" t="inlineStr">
        <is>
          <t>PT Pacific Bio Industry,  Mempawah, Indonesia</t>
        </is>
      </c>
      <c r="B2411" t="inlineStr">
        <is>
          <t>Point of Origin, Processing Unit</t>
        </is>
      </c>
      <c r="C2411" t="inlineStr">
        <is>
          <t>PT Intertek Utama Services, Jakarta, ID</t>
        </is>
      </c>
      <c r="D2411" t="inlineStr">
        <is>
          <t>18.06.2027</t>
        </is>
      </c>
      <c r="E2411" t="inlineStr">
        <is>
          <t>Indonesia</t>
        </is>
      </c>
    </row>
    <row r="2412">
      <c r="A2412" t="inlineStr">
        <is>
          <t>RESOPH LAND SRL,  RAMNICU SARAT, Romania</t>
        </is>
      </c>
      <c r="B2412" t="inlineStr">
        <is>
          <t>First Gathering Point</t>
        </is>
      </c>
      <c r="C2412" t="inlineStr">
        <is>
          <t>Bureau Veritas Polska Sp. z o.o., Warsaw, PL</t>
        </is>
      </c>
      <c r="D2412" t="inlineStr">
        <is>
          <t>18.06.2027</t>
        </is>
      </c>
      <c r="E2412" t="inlineStr">
        <is>
          <t>Romania</t>
        </is>
      </c>
    </row>
    <row r="2413">
      <c r="A2413" t="inlineStr">
        <is>
          <t>HORECA LOGISTICS SERVICES SUD,  Liège, Belgium</t>
        </is>
      </c>
      <c r="B2413" t="inlineStr">
        <is>
          <t>Trader with Storage, Collecting Point</t>
        </is>
      </c>
      <c r="C2413" t="inlineStr">
        <is>
          <t>Control Union Certifications Germany GmbH, Berlin, DE</t>
        </is>
      </c>
      <c r="D2413" t="inlineStr">
        <is>
          <t>18.06.2027</t>
        </is>
      </c>
      <c r="E2413" t="inlineStr">
        <is>
          <t>Belgium</t>
        </is>
      </c>
    </row>
    <row r="2414">
      <c r="A2414" t="inlineStr">
        <is>
          <t>Energy Absolute Public Company Limited,  Tambon Nongkee, Amphoe Kabinburi, Thailand</t>
        </is>
      </c>
      <c r="B2414" t="inlineStr">
        <is>
          <t>Trader with Storage, Processing Unit</t>
        </is>
      </c>
      <c r="C2414" t="inlineStr">
        <is>
          <t>Control Union Poland Sp. z o.o., Zielona Gora, PL</t>
        </is>
      </c>
      <c r="D2414" t="inlineStr">
        <is>
          <t>18.06.2027</t>
        </is>
      </c>
      <c r="E2414" t="inlineStr">
        <is>
          <t>Thailand</t>
        </is>
      </c>
    </row>
    <row r="2415">
      <c r="A2415" t="inlineStr">
        <is>
          <t>SICA BB,  Villefranche D’Allier, France</t>
        </is>
      </c>
      <c r="B2415" t="inlineStr">
        <is>
          <t>First Gathering Point</t>
        </is>
      </c>
      <c r="C2415" t="inlineStr">
        <is>
          <t>RINA Services S.p.A., Genova, IT</t>
        </is>
      </c>
      <c r="D2415" t="inlineStr">
        <is>
          <t>18.06.2027</t>
        </is>
      </c>
      <c r="E2415" t="inlineStr">
        <is>
          <t>France</t>
        </is>
      </c>
    </row>
    <row r="2416">
      <c r="A2416" t="inlineStr">
        <is>
          <t>INTERTRADING MCV SRL,  Arad, Romania</t>
        </is>
      </c>
      <c r="B2416" t="inlineStr">
        <is>
          <t>First Gathering Point</t>
        </is>
      </c>
      <c r="C2416" t="inlineStr">
        <is>
          <t>SRAC Cert SRL, Bucharest, RO</t>
        </is>
      </c>
      <c r="D2416" t="inlineStr">
        <is>
          <t>18.06.2027</t>
        </is>
      </c>
      <c r="E2416" t="inlineStr">
        <is>
          <t>Romania</t>
        </is>
      </c>
    </row>
    <row r="2417">
      <c r="A2417" t="inlineStr">
        <is>
          <t>Xustain France SAS,  Lusigny sur Ouche, France</t>
        </is>
      </c>
      <c r="B2417" t="inlineStr">
        <is>
          <t>Trader with Storage</t>
        </is>
      </c>
      <c r="C2417" t="inlineStr">
        <is>
          <t>SGS Germany GmbH, Emstek, DE</t>
        </is>
      </c>
      <c r="D2417" t="inlineStr">
        <is>
          <t>18.06.2027</t>
        </is>
      </c>
      <c r="E2417" t="inlineStr">
        <is>
          <t>France</t>
        </is>
      </c>
    </row>
    <row r="2418">
      <c r="A2418" t="inlineStr">
        <is>
          <t>Energy Absolute Public Company Limited,  Tambon Nongkee, Amphoe Kabinburi, Thailand</t>
        </is>
      </c>
      <c r="B2418" t="inlineStr">
        <is>
          <t>Trader with Storage, Processing Unit</t>
        </is>
      </c>
      <c r="C2418" t="inlineStr">
        <is>
          <t>Control Union Poland Sp. z o.o., Zielona Gora, PL</t>
        </is>
      </c>
      <c r="D2418" t="inlineStr">
        <is>
          <t>18.06.2027</t>
        </is>
      </c>
      <c r="E2418" t="inlineStr">
        <is>
          <t>Thailand</t>
        </is>
      </c>
    </row>
    <row r="2419">
      <c r="A2419" t="inlineStr">
        <is>
          <t>SB GALICIA RESIDUOS SL,  Frades, Spain</t>
        </is>
      </c>
      <c r="B2419" t="inlineStr">
        <is>
          <t>Collecting Point, Trader</t>
        </is>
      </c>
      <c r="C2419" t="inlineStr">
        <is>
          <t>RINA Services S.p.A., Genova, IT</t>
        </is>
      </c>
      <c r="D2419" t="inlineStr">
        <is>
          <t>18.06.2027</t>
        </is>
      </c>
      <c r="E2419" t="inlineStr">
        <is>
          <t>Spain</t>
        </is>
      </c>
    </row>
    <row r="2420">
      <c r="A2420" t="inlineStr">
        <is>
          <t>Scrap Al Zafiree Company,  jahra, Kuwait</t>
        </is>
      </c>
      <c r="B2420" t="inlineStr">
        <is>
          <t>Collecting Point, Trader</t>
        </is>
      </c>
      <c r="C2420" t="inlineStr">
        <is>
          <t>Trans Certification and Inspection Sdn Bhd, Kuantan, MY</t>
        </is>
      </c>
      <c r="D2420" t="inlineStr">
        <is>
          <t>18.06.2027</t>
        </is>
      </c>
      <c r="E2420" t="inlineStr">
        <is>
          <t>Kuwait</t>
        </is>
      </c>
    </row>
    <row r="2421">
      <c r="A2421" t="inlineStr">
        <is>
          <t>e3 Energy Trading SA,  Geneva, Switzerland</t>
        </is>
      </c>
      <c r="B2421" t="inlineStr">
        <is>
          <t>Proof of Compliance Trader, Trader</t>
        </is>
      </c>
      <c r="C2421" t="inlineStr">
        <is>
          <t>SGS Germany GmbH, Emstek, DE</t>
        </is>
      </c>
      <c r="D2421" t="inlineStr">
        <is>
          <t>18.06.2027</t>
        </is>
      </c>
      <c r="E2421" t="inlineStr">
        <is>
          <t>Switzerland</t>
        </is>
      </c>
    </row>
    <row r="2422">
      <c r="A2422" t="inlineStr">
        <is>
          <t>Alsabbagh Office for Foodstuff Trade and Supply,  Sharkia, Egypt</t>
        </is>
      </c>
      <c r="B2422" t="inlineStr">
        <is>
          <t>Collecting Point, Processing Unit</t>
        </is>
      </c>
      <c r="C2422" t="inlineStr">
        <is>
          <t>Eurocert SA, Metamorfosi, Athens, GR</t>
        </is>
      </c>
      <c r="D2422" t="inlineStr">
        <is>
          <t>17.06.2027</t>
        </is>
      </c>
      <c r="E2422" t="inlineStr">
        <is>
          <t>Egypt</t>
        </is>
      </c>
    </row>
    <row r="2423">
      <c r="A2423" t="inlineStr">
        <is>
          <t>Phillips 66 Company,  Old Ocean, United States</t>
        </is>
      </c>
      <c r="B2423" t="inlineStr">
        <is>
          <t>Processing Unit, Trader with Storage</t>
        </is>
      </c>
      <c r="C2423" t="inlineStr">
        <is>
          <t>SGS Germany GmbH, Emstek, DE</t>
        </is>
      </c>
      <c r="D2423" t="inlineStr">
        <is>
          <t>17.06.2027</t>
        </is>
      </c>
      <c r="E2423" t="inlineStr">
        <is>
          <t>United States</t>
        </is>
      </c>
    </row>
    <row r="2424">
      <c r="A2424" t="inlineStr">
        <is>
          <t>Bonorto,  Parma, Italy</t>
        </is>
      </c>
      <c r="B2424" t="inlineStr">
        <is>
          <t>Processing Unit, Warehouse</t>
        </is>
      </c>
      <c r="C2424" t="inlineStr">
        <is>
          <t>PT Intertek Utama Services, Jakarta, ID</t>
        </is>
      </c>
      <c r="D2424" t="inlineStr">
        <is>
          <t>17.06.2027</t>
        </is>
      </c>
      <c r="E2424" t="inlineStr">
        <is>
          <t>Italy</t>
        </is>
      </c>
    </row>
    <row r="2425">
      <c r="A2425" t="inlineStr">
        <is>
          <t>FarmtoFuel B.V.,  Dong Thap Province, Vietnam</t>
        </is>
      </c>
      <c r="B2425" t="inlineStr">
        <is>
          <t>Collecting Point, Processing Unit, Trader</t>
        </is>
      </c>
      <c r="C2425" t="inlineStr">
        <is>
          <t>Control Union Certifications Germany GmbH, Berlin, DE</t>
        </is>
      </c>
      <c r="D2425" t="inlineStr">
        <is>
          <t>17.06.2027</t>
        </is>
      </c>
      <c r="E2425" t="inlineStr">
        <is>
          <t>Vietnam</t>
        </is>
      </c>
    </row>
    <row r="2426">
      <c r="A2426" t="inlineStr">
        <is>
          <t>Pantaleon, S.A.,  Siquinalá, Escuintla, Guatemala</t>
        </is>
      </c>
      <c r="B2426" t="inlineStr">
        <is>
          <t>First Gathering Point, Processing Unit</t>
        </is>
      </c>
      <c r="C2426" t="inlineStr">
        <is>
          <t>Control Union Poland Sp. z o.o., Zielona Gora, PL</t>
        </is>
      </c>
      <c r="D2426" t="inlineStr">
        <is>
          <t>17.06.2027</t>
        </is>
      </c>
      <c r="E2426" t="inlineStr">
        <is>
          <t>Guatemala</t>
        </is>
      </c>
    </row>
    <row r="2427">
      <c r="A2427" t="inlineStr">
        <is>
          <t>PRIME EXPORT,  Odesa, Ukraine</t>
        </is>
      </c>
      <c r="B2427" t="inlineStr">
        <is>
          <t>Trader</t>
        </is>
      </c>
      <c r="C2427" t="inlineStr">
        <is>
          <t>Baltic Control Certification, Albertslund, DK</t>
        </is>
      </c>
      <c r="D2427" t="inlineStr">
        <is>
          <t>17.06.2027</t>
        </is>
      </c>
      <c r="E2427" t="inlineStr">
        <is>
          <t>Ukraine</t>
        </is>
      </c>
    </row>
    <row r="2428">
      <c r="A2428" t="inlineStr">
        <is>
          <t>Huizhou Excellent and Innovation Bioenergy Technology Co., Ltd.,  Huizhou City, China</t>
        </is>
      </c>
      <c r="B2428" t="inlineStr">
        <is>
          <t>Trader with Storage</t>
        </is>
      </c>
      <c r="C2428" t="inlineStr">
        <is>
          <t>RINA Services S.p.A., Genova, IT</t>
        </is>
      </c>
      <c r="D2428" t="inlineStr">
        <is>
          <t>17.06.2027</t>
        </is>
      </c>
      <c r="E2428" t="inlineStr">
        <is>
          <t>China</t>
        </is>
      </c>
    </row>
    <row r="2429">
      <c r="A2429" t="inlineStr">
        <is>
          <t>Nanjing Jinrui Oil and Fat Technology Co., Ltd.,  Nanjing (JS), China</t>
        </is>
      </c>
      <c r="B2429" t="inlineStr">
        <is>
          <t>Trader</t>
        </is>
      </c>
      <c r="C2429" t="inlineStr">
        <is>
          <t>CTI Certification Co. Ltd, Shenzhen, CN</t>
        </is>
      </c>
      <c r="D2429" t="inlineStr">
        <is>
          <t>17.06.2027</t>
        </is>
      </c>
      <c r="E2429" t="inlineStr">
        <is>
          <t>China</t>
        </is>
      </c>
    </row>
    <row r="2430">
      <c r="A2430" t="inlineStr">
        <is>
          <t>JC Chemical Co., Ltd,  Nam-gu, Ulsan, The Republic of Korea</t>
        </is>
      </c>
      <c r="B2430" t="inlineStr">
        <is>
          <t>Biomarine Fuel Operator, Processing Unit, Trader with Storage</t>
        </is>
      </c>
      <c r="C2430" t="inlineStr">
        <is>
          <t>Control Union Certifications Germany GmbH, Berlin, DE</t>
        </is>
      </c>
      <c r="D2430" t="inlineStr">
        <is>
          <t>17.06.2027</t>
        </is>
      </c>
      <c r="E2430" t="inlineStr">
        <is>
          <t>The Republic of Korea</t>
        </is>
      </c>
    </row>
    <row r="2431">
      <c r="A2431" t="inlineStr">
        <is>
          <t>Mitra Andalan Sawit,  Kab. Mamuju Tengah, Indonesia</t>
        </is>
      </c>
      <c r="B2431" t="inlineStr">
        <is>
          <t>Point of Origin</t>
        </is>
      </c>
      <c r="C2431" t="inlineStr">
        <is>
          <t>PT. CBQA GLOBAL INDONESIA, JAKARTA SELATAN, ID</t>
        </is>
      </c>
      <c r="D2431" t="inlineStr">
        <is>
          <t>17.06.2027</t>
        </is>
      </c>
      <c r="E2431" t="inlineStr">
        <is>
          <t>Indonesia</t>
        </is>
      </c>
    </row>
    <row r="2432">
      <c r="A2432" t="inlineStr">
        <is>
          <t>Capital Oil &amp; Fats Sdn Bhd,  Kajang, Selangor, Malaysia</t>
        </is>
      </c>
      <c r="B2432" t="inlineStr">
        <is>
          <t>Collecting Point, Trader with Storage</t>
        </is>
      </c>
      <c r="C2432" t="inlineStr">
        <is>
          <t>PT. CBQA GLOBAL INDONESIA, JAKARTA SELATAN, ID</t>
        </is>
      </c>
      <c r="D2432" t="inlineStr">
        <is>
          <t>17.06.2027</t>
        </is>
      </c>
      <c r="E2432" t="inlineStr">
        <is>
          <t>Malaysia</t>
        </is>
      </c>
    </row>
    <row r="2433">
      <c r="A2433" t="inlineStr">
        <is>
          <t>JORAagro s.r.o.,  Nitra, Slovakia</t>
        </is>
      </c>
      <c r="B2433" t="inlineStr">
        <is>
          <t>First Gathering Point, Trader</t>
        </is>
      </c>
      <c r="C2433" t="inlineStr">
        <is>
          <t>United Registrar of Systems Polska Sp. z o.o., Wrocław, PL</t>
        </is>
      </c>
      <c r="D2433" t="inlineStr">
        <is>
          <t>17.06.2027</t>
        </is>
      </c>
      <c r="E2433" t="inlineStr">
        <is>
          <t>Slovakia</t>
        </is>
      </c>
    </row>
    <row r="2434">
      <c r="A2434" t="inlineStr">
        <is>
          <t>JC Chemical Co., Ltd,  Nam-gu, Ulsan, The Republic of Korea</t>
        </is>
      </c>
      <c r="B2434" t="inlineStr">
        <is>
          <t>Trader with Storage, Processing Unit</t>
        </is>
      </c>
      <c r="C2434" t="inlineStr">
        <is>
          <t>Control Union Certifications Germany GmbH, Berlin, DE</t>
        </is>
      </c>
      <c r="D2434" t="inlineStr">
        <is>
          <t>17.06.2027</t>
        </is>
      </c>
      <c r="E2434" t="inlineStr">
        <is>
          <t>The Republic of Korea</t>
        </is>
      </c>
    </row>
    <row r="2435">
      <c r="A2435" t="inlineStr">
        <is>
          <t>SIGMA SHOJI,  TOYOTA, Japan</t>
        </is>
      </c>
      <c r="B2435" t="inlineStr">
        <is>
          <t>Trader</t>
        </is>
      </c>
      <c r="C2435" t="inlineStr">
        <is>
          <t>Guardian Independent Certification Limited, Singapore, SG</t>
        </is>
      </c>
      <c r="D2435" t="inlineStr">
        <is>
          <t>17.06.2027</t>
        </is>
      </c>
      <c r="E2435" t="inlineStr">
        <is>
          <t>Japan</t>
        </is>
      </c>
    </row>
    <row r="2436">
      <c r="A2436" t="inlineStr">
        <is>
          <t>GS Caltex Corporation,  Seoul, The Republic of Korea</t>
        </is>
      </c>
      <c r="B2436" t="inlineStr">
        <is>
          <t>Trader with Storage</t>
        </is>
      </c>
      <c r="C2436" t="inlineStr">
        <is>
          <t>Control Union Certifications Germany GmbH, Berlin, DE</t>
        </is>
      </c>
      <c r="D2436" t="inlineStr">
        <is>
          <t>17.06.2027</t>
        </is>
      </c>
      <c r="E2436" t="inlineStr">
        <is>
          <t>The Republic of Korea</t>
        </is>
      </c>
    </row>
    <row r="2437">
      <c r="A2437" t="inlineStr">
        <is>
          <t>SD Guthrie Berhad,  Teluk Intan, Perak, Malaysia</t>
        </is>
      </c>
      <c r="B2437" t="inlineStr">
        <is>
          <t>Point of Origin</t>
        </is>
      </c>
      <c r="C2437" t="inlineStr">
        <is>
          <t>Control Union Certifications Germany GmbH, Berlin, DE</t>
        </is>
      </c>
      <c r="D2437" t="inlineStr">
        <is>
          <t>17.06.2027</t>
        </is>
      </c>
      <c r="E2437" t="inlineStr">
        <is>
          <t>Malaysia</t>
        </is>
      </c>
    </row>
    <row r="2438">
      <c r="A2438" t="inlineStr">
        <is>
          <t>GS Caltex Corporation,  Seoul, Korea, Republic of</t>
        </is>
      </c>
      <c r="B2438" t="inlineStr">
        <is>
          <t>Trader with Storage</t>
        </is>
      </c>
      <c r="C2438" t="inlineStr">
        <is>
          <t>Control Union Certifications Germany GmbH, Berlin, DE</t>
        </is>
      </c>
      <c r="D2438" t="inlineStr">
        <is>
          <t>17.06.2027</t>
        </is>
      </c>
      <c r="E2438" t="inlineStr">
        <is>
          <t>Republic of</t>
        </is>
      </c>
    </row>
    <row r="2439">
      <c r="A2439" t="inlineStr">
        <is>
          <t>Follmann Chemie GmbH,  Minden, Germany</t>
        </is>
      </c>
      <c r="B2439" t="inlineStr">
        <is>
          <t>Processing Unit</t>
        </is>
      </c>
      <c r="C2439" t="inlineStr">
        <is>
          <t>SGS Germany GmbH, Emstek, DE</t>
        </is>
      </c>
      <c r="D2439" t="inlineStr">
        <is>
          <t>17.06.2027</t>
        </is>
      </c>
      <c r="E2439" t="inlineStr">
        <is>
          <t>Germany</t>
        </is>
      </c>
    </row>
    <row r="2440">
      <c r="A2440" t="inlineStr">
        <is>
          <t>BorsodChem Zrt.,  Kazincbarcika, Hungary</t>
        </is>
      </c>
      <c r="B2440" t="inlineStr">
        <is>
          <t>Processing Unit</t>
        </is>
      </c>
      <c r="C2440" t="inlineStr">
        <is>
          <t>SGS Germany GmbH, Emstek, DE</t>
        </is>
      </c>
      <c r="D2440" t="inlineStr">
        <is>
          <t>17.06.2027</t>
        </is>
      </c>
      <c r="E2440" t="inlineStr">
        <is>
          <t>Hungary</t>
        </is>
      </c>
    </row>
    <row r="2441">
      <c r="A2441" t="inlineStr">
        <is>
          <t>Yra industrial,  Haram, Gizeh, Egypt</t>
        </is>
      </c>
      <c r="B2441" t="inlineStr">
        <is>
          <t>Collecting Point, Trader</t>
        </is>
      </c>
      <c r="C2441" t="inlineStr">
        <is>
          <t>DEKRA Certification B.V., Arnhem, NL</t>
        </is>
      </c>
      <c r="D2441" t="inlineStr">
        <is>
          <t>17.06.2027</t>
        </is>
      </c>
      <c r="E2441" t="inlineStr">
        <is>
          <t>Egypt</t>
        </is>
      </c>
    </row>
    <row r="2442">
      <c r="A2442" t="inlineStr">
        <is>
          <t>APLIS Corporation,  Maebashi-shi, Gunma, Japan</t>
        </is>
      </c>
      <c r="B2442" t="inlineStr">
        <is>
          <t>Processing Unit</t>
        </is>
      </c>
      <c r="C2442" t="inlineStr">
        <is>
          <t>SGS Germany GmbH, Emstek, DE</t>
        </is>
      </c>
      <c r="D2442" t="inlineStr">
        <is>
          <t>17.06.2027</t>
        </is>
      </c>
      <c r="E2442" t="inlineStr">
        <is>
          <t>Japan</t>
        </is>
      </c>
    </row>
    <row r="2443">
      <c r="A2443" t="inlineStr">
        <is>
          <t>NIPPON A&amp;L INC.,  Niihama, Ehime, Japan</t>
        </is>
      </c>
      <c r="B2443" t="inlineStr">
        <is>
          <t>Processing Unit, Trader with Storage</t>
        </is>
      </c>
      <c r="C2443" t="inlineStr">
        <is>
          <t>SGS Germany GmbH, Emstek, DE</t>
        </is>
      </c>
      <c r="D2443" t="inlineStr">
        <is>
          <t>17.06.2027</t>
        </is>
      </c>
      <c r="E2443" t="inlineStr">
        <is>
          <t>Japan</t>
        </is>
      </c>
    </row>
    <row r="2444">
      <c r="A2444" t="inlineStr">
        <is>
          <t>Guangzhou Xintong Petrochemical Co,.Ltd.,  Tianhe District，Guangzhou City, China</t>
        </is>
      </c>
      <c r="B2444" t="inlineStr">
        <is>
          <t>Trader</t>
        </is>
      </c>
      <c r="C2444" t="inlineStr">
        <is>
          <t>RINA Services S.p.A., Genova, IT</t>
        </is>
      </c>
      <c r="D2444" t="inlineStr">
        <is>
          <t>17.06.2027</t>
        </is>
      </c>
      <c r="E2444" t="inlineStr">
        <is>
          <t>China</t>
        </is>
      </c>
    </row>
    <row r="2445">
      <c r="A2445" t="inlineStr">
        <is>
          <t>Guangxi Chaohang Energy Co., Ltd.,  Jiangnan District, Nanjing City, China</t>
        </is>
      </c>
      <c r="B2445" t="inlineStr">
        <is>
          <t>Trader</t>
        </is>
      </c>
      <c r="C2445" t="inlineStr">
        <is>
          <t>PT Intertek Utama Services, Jakarta, ID</t>
        </is>
      </c>
      <c r="D2445" t="inlineStr">
        <is>
          <t>17.06.2027</t>
        </is>
      </c>
      <c r="E2445" t="inlineStr">
        <is>
          <t>China</t>
        </is>
      </c>
    </row>
    <row r="2446">
      <c r="A2446" t="inlineStr">
        <is>
          <t>PT AWAL BROS MULTILAND,  Desa/Kelurahan Sei Kijang, Kec. Bandar Sei Kijang, Indonesia</t>
        </is>
      </c>
      <c r="B2446" t="inlineStr">
        <is>
          <t>Point of Origin</t>
        </is>
      </c>
      <c r="C2446" t="inlineStr">
        <is>
          <t>PT Intertek Utama Services, Jakarta, ID</t>
        </is>
      </c>
      <c r="D2446" t="inlineStr">
        <is>
          <t>17.06.2027</t>
        </is>
      </c>
      <c r="E2446" t="inlineStr">
        <is>
          <t>Indonesia</t>
        </is>
      </c>
    </row>
    <row r="2447">
      <c r="A2447" t="inlineStr">
        <is>
          <t>PT ARTHA DERMAGA TITIAN MAS,  Kota Pekanbaru, Indonesia</t>
        </is>
      </c>
      <c r="B2447" t="inlineStr">
        <is>
          <t>Point of Origin</t>
        </is>
      </c>
      <c r="C2447" t="inlineStr">
        <is>
          <t>PT Intertek Utama Services, Jakarta, ID</t>
        </is>
      </c>
      <c r="D2447" t="inlineStr">
        <is>
          <t>17.06.2027</t>
        </is>
      </c>
      <c r="E2447" t="inlineStr">
        <is>
          <t>Indonesia</t>
        </is>
      </c>
    </row>
    <row r="2448">
      <c r="A2448" t="inlineStr">
        <is>
          <t>DMC-Korea,  Yeongcheon-si, Korea, Republic of</t>
        </is>
      </c>
      <c r="B2448" t="inlineStr">
        <is>
          <t>Collecting Point, Processing Unit</t>
        </is>
      </c>
      <c r="C2448" t="inlineStr">
        <is>
          <t>Control Union Certifications Germany GmbH, Berlin, DE</t>
        </is>
      </c>
      <c r="D2448" t="inlineStr">
        <is>
          <t>17.06.2027</t>
        </is>
      </c>
      <c r="E2448" t="inlineStr">
        <is>
          <t>Republic of</t>
        </is>
      </c>
    </row>
    <row r="2449">
      <c r="A2449" t="inlineStr">
        <is>
          <t>SKYWIN ENERGY (XIAMEN) CO., LTD.,  Xiamen City, Fujian Province, China</t>
        </is>
      </c>
      <c r="B2449" t="inlineStr">
        <is>
          <t>Trader</t>
        </is>
      </c>
      <c r="C2449" t="inlineStr">
        <is>
          <t>SCS Global Services, Emeryville, CA, US</t>
        </is>
      </c>
      <c r="D2449" t="inlineStr">
        <is>
          <t>17.06.2027</t>
        </is>
      </c>
      <c r="E2449" t="inlineStr">
        <is>
          <t>China</t>
        </is>
      </c>
    </row>
    <row r="2450">
      <c r="A2450" t="inlineStr">
        <is>
          <t>JIXIN INDUSTRIES SUPPLY (HK) CO., LIMITED,  Tsim Sha Tsui, KL, Hong Kong, SAR, China</t>
        </is>
      </c>
      <c r="B2450" t="inlineStr">
        <is>
          <t>Trader</t>
        </is>
      </c>
      <c r="C2450" t="inlineStr">
        <is>
          <t>SCS Global Services, Emeryville, CA, US</t>
        </is>
      </c>
      <c r="D2450" t="inlineStr">
        <is>
          <t>17.06.2027</t>
        </is>
      </c>
      <c r="E2450" t="inlineStr">
        <is>
          <t>China</t>
        </is>
      </c>
    </row>
    <row r="2451">
      <c r="A2451" t="inlineStr">
        <is>
          <t>U.B.T. OIL CO.,LTD.,  Bangkok, Thailand</t>
        </is>
      </c>
      <c r="B2451" t="inlineStr">
        <is>
          <t>Collecting Point</t>
        </is>
      </c>
      <c r="C2451" t="inlineStr">
        <is>
          <t>Bureau Veritas Polska Sp. z o.o., Warsaw, PL</t>
        </is>
      </c>
      <c r="D2451" t="inlineStr">
        <is>
          <t>17.06.2027</t>
        </is>
      </c>
      <c r="E2451" t="inlineStr">
        <is>
          <t>Thailand</t>
        </is>
      </c>
    </row>
    <row r="2452">
      <c r="A2452" t="inlineStr">
        <is>
          <t>ALMO Erzeugnisse Erwin Busch GmbH,  Bad Arolsen, Germany</t>
        </is>
      </c>
      <c r="B2452" t="inlineStr">
        <is>
          <t>Processing Unit</t>
        </is>
      </c>
      <c r="C2452" t="inlineStr">
        <is>
          <t>TÜV SÜD Industrie Service GmbH, München, DE</t>
        </is>
      </c>
      <c r="D2452" t="inlineStr">
        <is>
          <t>17.06.2027</t>
        </is>
      </c>
      <c r="E2452" t="inlineStr">
        <is>
          <t>Germany</t>
        </is>
      </c>
    </row>
    <row r="2453">
      <c r="A2453" t="inlineStr">
        <is>
          <t>Morano Oleo SAS,  Tucurinca, Colombia</t>
        </is>
      </c>
      <c r="B2453" t="inlineStr">
        <is>
          <t>Point of Origin</t>
        </is>
      </c>
      <c r="C2453" t="inlineStr">
        <is>
          <t>Control Union Poland Sp. z o.o., Zielona Gora, PL</t>
        </is>
      </c>
      <c r="D2453" t="inlineStr">
        <is>
          <t>17.06.2027</t>
        </is>
      </c>
      <c r="E2453" t="inlineStr">
        <is>
          <t>Colombia</t>
        </is>
      </c>
    </row>
    <row r="2454">
      <c r="A2454" t="inlineStr">
        <is>
          <t>SARATOK PALM OIL MILL,  BETONG, Malaysia</t>
        </is>
      </c>
      <c r="B2454" t="inlineStr">
        <is>
          <t>Point of Origin</t>
        </is>
      </c>
      <c r="C2454" t="inlineStr">
        <is>
          <t>TÜV NORD CERT GmbH, Essen, DE</t>
        </is>
      </c>
      <c r="D2454" t="inlineStr">
        <is>
          <t>17.06.2027</t>
        </is>
      </c>
      <c r="E2454" t="inlineStr">
        <is>
          <t>Malaysia</t>
        </is>
      </c>
    </row>
    <row r="2455">
      <c r="A2455" t="inlineStr">
        <is>
          <t>Phillips 66 Company,  Linden, New Jersey, United States</t>
        </is>
      </c>
      <c r="B2455" t="inlineStr">
        <is>
          <t>Processing Unit, Trader with Storage</t>
        </is>
      </c>
      <c r="C2455" t="inlineStr">
        <is>
          <t>SGS Germany GmbH, Emstek, DE</t>
        </is>
      </c>
      <c r="D2455" t="inlineStr">
        <is>
          <t>17.06.2027</t>
        </is>
      </c>
      <c r="E2455" t="inlineStr">
        <is>
          <t>United States</t>
        </is>
      </c>
    </row>
    <row r="2456">
      <c r="A2456" t="inlineStr">
        <is>
          <t>POET Biorefining - Emmetsburg, LLC,  Emmetsburg, IA, United States</t>
        </is>
      </c>
      <c r="B2456" t="inlineStr">
        <is>
          <t>Point of Origin, Processing Unit</t>
        </is>
      </c>
      <c r="C2456" t="inlineStr">
        <is>
          <t>SCS Global Services, Emeryville, CA, US</t>
        </is>
      </c>
      <c r="D2456" t="inlineStr">
        <is>
          <t>17.06.2027</t>
        </is>
      </c>
      <c r="E2456" t="inlineStr">
        <is>
          <t>United States</t>
        </is>
      </c>
    </row>
    <row r="2457">
      <c r="A2457" t="inlineStr">
        <is>
          <t>POET Biorefining - Emmetsburg, LLC,  Emmetsburg, IA, United States</t>
        </is>
      </c>
      <c r="B2457" t="inlineStr">
        <is>
          <t>Point of Origin, Processing Unit</t>
        </is>
      </c>
      <c r="C2457" t="inlineStr">
        <is>
          <t>SCS Global Services, Emeryville, CA, US</t>
        </is>
      </c>
      <c r="D2457" t="inlineStr">
        <is>
          <t>17.06.2027</t>
        </is>
      </c>
      <c r="E2457" t="inlineStr">
        <is>
          <t>United States</t>
        </is>
      </c>
    </row>
    <row r="2458">
      <c r="A2458" t="inlineStr">
        <is>
          <t>Dél-Bácskai Gazdák Mezőgazdasági Szövetkezete,  Madaras, Hungary</t>
        </is>
      </c>
      <c r="B2458" t="inlineStr">
        <is>
          <t>First Gathering Point, Trader with Storage</t>
        </is>
      </c>
      <c r="C2458" t="inlineStr">
        <is>
          <t>BM Certification, Riga, LV</t>
        </is>
      </c>
      <c r="D2458" t="inlineStr">
        <is>
          <t>17.06.2027</t>
        </is>
      </c>
      <c r="E2458" t="inlineStr">
        <is>
          <t>Hungary</t>
        </is>
      </c>
    </row>
    <row r="2459">
      <c r="A2459" t="inlineStr">
        <is>
          <t>OMNIA EUROPE SA,  Medgidia / Constanta, Romania</t>
        </is>
      </c>
      <c r="B2459" t="inlineStr">
        <is>
          <t>First Gathering Point, Processing Unit</t>
        </is>
      </c>
      <c r="C2459" t="inlineStr">
        <is>
          <t>BM Certification, Riga, LV</t>
        </is>
      </c>
      <c r="D2459" t="inlineStr">
        <is>
          <t>17.06.2027</t>
        </is>
      </c>
      <c r="E2459" t="inlineStr">
        <is>
          <t>Romania</t>
        </is>
      </c>
    </row>
    <row r="2460">
      <c r="A2460" t="inlineStr">
        <is>
          <t>MORALIS GRAINS,  SENDRENI, Romania</t>
        </is>
      </c>
      <c r="B2460" t="inlineStr">
        <is>
          <t>First Gathering Point</t>
        </is>
      </c>
      <c r="C2460" t="inlineStr">
        <is>
          <t>BM Certification, Riga, LV</t>
        </is>
      </c>
      <c r="D2460" t="inlineStr">
        <is>
          <t>17.06.2027</t>
        </is>
      </c>
      <c r="E2460" t="inlineStr">
        <is>
          <t>Romania</t>
        </is>
      </c>
    </row>
    <row r="2461">
      <c r="A2461" t="inlineStr">
        <is>
          <t>ECE S.A.,  Senador Canedo, Brazil</t>
        </is>
      </c>
      <c r="B2461" t="inlineStr">
        <is>
          <t>Trader</t>
        </is>
      </c>
      <c r="C2461" t="inlineStr">
        <is>
          <t>SGS Germany GmbH, Emstek, DE</t>
        </is>
      </c>
      <c r="D2461" t="inlineStr">
        <is>
          <t>17.06.2027</t>
        </is>
      </c>
      <c r="E2461" t="inlineStr">
        <is>
          <t>Brazil</t>
        </is>
      </c>
    </row>
    <row r="2462">
      <c r="A2462" t="inlineStr">
        <is>
          <t>NEO GROUP,  Rimkų k., Klaipėdos r., Lithuania</t>
        </is>
      </c>
      <c r="B2462" t="inlineStr">
        <is>
          <t>Collecting Point, Point of Origin, Processing Unit</t>
        </is>
      </c>
      <c r="C2462" t="inlineStr">
        <is>
          <t>BM Certification, Riga, LV</t>
        </is>
      </c>
      <c r="D2462" t="inlineStr">
        <is>
          <t>17.06.2027</t>
        </is>
      </c>
      <c r="E2462" t="inlineStr">
        <is>
          <t>Lithuania</t>
        </is>
      </c>
    </row>
    <row r="2463">
      <c r="A2463" t="inlineStr">
        <is>
          <t>Shanghai Yelolife Smart Manufacturing Technology Co., Ltd.,  Shanghai City, China</t>
        </is>
      </c>
      <c r="B2463" t="inlineStr">
        <is>
          <t>Collecting Point, Trader</t>
        </is>
      </c>
      <c r="C2463" t="inlineStr">
        <is>
          <t>China Quality Certification Centre Co., Ltd., Beijing, CN</t>
        </is>
      </c>
      <c r="D2463" t="inlineStr">
        <is>
          <t>17.06.2027</t>
        </is>
      </c>
      <c r="E2463" t="inlineStr">
        <is>
          <t>China</t>
        </is>
      </c>
    </row>
    <row r="2464">
      <c r="A2464" t="inlineStr">
        <is>
          <t>Phillips 66 Company,  Linden, New Jersey, United States</t>
        </is>
      </c>
      <c r="B2464" t="inlineStr">
        <is>
          <t>Processing Unit, Trader with Storage</t>
        </is>
      </c>
      <c r="C2464" t="inlineStr">
        <is>
          <t>SGS Germany GmbH, Emstek, DE</t>
        </is>
      </c>
      <c r="D2464" t="inlineStr">
        <is>
          <t>17.06.2027</t>
        </is>
      </c>
      <c r="E2464" t="inlineStr">
        <is>
          <t>United States</t>
        </is>
      </c>
    </row>
    <row r="2465">
      <c r="A2465" t="inlineStr">
        <is>
          <t>FGV Palm Industries Sdn Bhd,  Jempol, Malaysia</t>
        </is>
      </c>
      <c r="B2465" t="inlineStr">
        <is>
          <t>Point of Origin</t>
        </is>
      </c>
      <c r="C2465" t="inlineStr">
        <is>
          <t>Trans Certification and Inspection Sdn Bhd, Kuantan, MY</t>
        </is>
      </c>
      <c r="D2465" t="inlineStr">
        <is>
          <t>17.06.2027</t>
        </is>
      </c>
      <c r="E2465" t="inlineStr">
        <is>
          <t>Malaysia</t>
        </is>
      </c>
    </row>
    <row r="2466">
      <c r="A2466" t="inlineStr">
        <is>
          <t>POTAS AKDENIZ AKARYAKIT DAGITIM A.S.,  Üsküdar- İstanbul, Türkiye</t>
        </is>
      </c>
      <c r="B2466" t="inlineStr">
        <is>
          <t>Trader with Storage</t>
        </is>
      </c>
      <c r="C2466" t="inlineStr">
        <is>
          <t>Trans Certification and Inspection Sdn Bhd, Kuantan, MY</t>
        </is>
      </c>
      <c r="D2466" t="inlineStr">
        <is>
          <t>17.06.2027</t>
        </is>
      </c>
      <c r="E2466" t="inlineStr">
        <is>
          <t>Türkiye</t>
        </is>
      </c>
    </row>
    <row r="2467">
      <c r="A2467" t="inlineStr">
        <is>
          <t>Praktika Kft.,  Törtel, Hungary</t>
        </is>
      </c>
      <c r="B2467" t="inlineStr">
        <is>
          <t>First Gathering Point, Trader with Storage</t>
        </is>
      </c>
      <c r="C2467" t="inlineStr">
        <is>
          <t>Amspec Iberia SL, Vilagarcia de Arousa-Pontevedra, ES</t>
        </is>
      </c>
      <c r="D2467" t="inlineStr">
        <is>
          <t>17.06.2027</t>
        </is>
      </c>
      <c r="E2467" t="inlineStr">
        <is>
          <t>Hungary</t>
        </is>
      </c>
    </row>
    <row r="2468">
      <c r="A2468" t="inlineStr">
        <is>
          <t>VVGK Kft.,  Baracska, Hungary</t>
        </is>
      </c>
      <c r="B2468" t="inlineStr">
        <is>
          <t>First Gathering Point</t>
        </is>
      </c>
      <c r="C2468" t="inlineStr">
        <is>
          <t>Amspec Iberia SL, Vilagarcia de Arousa-Pontevedra, ES</t>
        </is>
      </c>
      <c r="D2468" t="inlineStr">
        <is>
          <t>17.06.2027</t>
        </is>
      </c>
      <c r="E2468" t="inlineStr">
        <is>
          <t>Hungary</t>
        </is>
      </c>
    </row>
    <row r="2469">
      <c r="A2469" t="inlineStr">
        <is>
          <t>Mezőfalvai Vetőmagtermesztő Kft.,  Mezőfalva, Hungary</t>
        </is>
      </c>
      <c r="B2469" t="inlineStr">
        <is>
          <t>First Gathering Point, Trader with Storage</t>
        </is>
      </c>
      <c r="C2469" t="inlineStr">
        <is>
          <t>SGS Germany GmbH, Emstek, DE</t>
        </is>
      </c>
      <c r="D2469" t="inlineStr">
        <is>
          <t>17.06.2027</t>
        </is>
      </c>
      <c r="E2469" t="inlineStr">
        <is>
          <t>Hungary</t>
        </is>
      </c>
    </row>
    <row r="2470">
      <c r="A2470" t="inlineStr">
        <is>
          <t>AGRISEME,  Senna Lodigiana, Italy</t>
        </is>
      </c>
      <c r="B2470" t="inlineStr">
        <is>
          <t>First Gathering Point</t>
        </is>
      </c>
      <c r="C2470" t="inlineStr">
        <is>
          <t>RINA Services S.p.A., Genova, IT</t>
        </is>
      </c>
      <c r="D2470" t="inlineStr">
        <is>
          <t>17.06.2027</t>
        </is>
      </c>
      <c r="E2470" t="inlineStr">
        <is>
          <t>Italy</t>
        </is>
      </c>
    </row>
    <row r="2471">
      <c r="A2471" t="inlineStr">
        <is>
          <t>Negri SRL,  Salara (RO), Italy</t>
        </is>
      </c>
      <c r="B2471" t="inlineStr">
        <is>
          <t>First Gathering Point, Warehouse</t>
        </is>
      </c>
      <c r="C2471" t="inlineStr">
        <is>
          <t>RINA Services S.p.A., Genova, IT</t>
        </is>
      </c>
      <c r="D2471" t="inlineStr">
        <is>
          <t>17.06.2027</t>
        </is>
      </c>
      <c r="E2471" t="inlineStr">
        <is>
          <t>Italy</t>
        </is>
      </c>
    </row>
    <row r="2472">
      <c r="A2472" t="inlineStr">
        <is>
          <t>Negri SRL,  Salara (RO), Italy</t>
        </is>
      </c>
      <c r="B2472" t="inlineStr">
        <is>
          <t>First Gathering Point, Point of Origin, Warehouse</t>
        </is>
      </c>
      <c r="C2472" t="inlineStr">
        <is>
          <t>RINA Services S.p.A., Genova, IT</t>
        </is>
      </c>
      <c r="D2472" t="inlineStr">
        <is>
          <t>17.06.2027</t>
        </is>
      </c>
      <c r="E2472" t="inlineStr">
        <is>
          <t>Italy</t>
        </is>
      </c>
    </row>
    <row r="2473">
      <c r="A2473" t="inlineStr">
        <is>
          <t>Shanghai Pudong International Airport Aviation Fuel Co., Ltd.,  Shanghai, China</t>
        </is>
      </c>
      <c r="B2473" t="inlineStr">
        <is>
          <t>Trader with Storage</t>
        </is>
      </c>
      <c r="C2473" t="inlineStr">
        <is>
          <t>China Quality Certification Centre Co., Ltd., Beijing, CN</t>
        </is>
      </c>
      <c r="D2473" t="inlineStr">
        <is>
          <t>17.06.2027</t>
        </is>
      </c>
      <c r="E2473" t="inlineStr">
        <is>
          <t>China</t>
        </is>
      </c>
    </row>
    <row r="2474">
      <c r="A2474" t="inlineStr">
        <is>
          <t>FGV Palm Industries Sdn Bhd,  Kuala Lipis, Malaysia</t>
        </is>
      </c>
      <c r="B2474" t="inlineStr">
        <is>
          <t>Point of Origin</t>
        </is>
      </c>
      <c r="C2474" t="inlineStr">
        <is>
          <t>Trans Certification and Inspection Sdn Bhd, Kuantan, MY</t>
        </is>
      </c>
      <c r="D2474" t="inlineStr">
        <is>
          <t>17.06.2027</t>
        </is>
      </c>
      <c r="E2474" t="inlineStr">
        <is>
          <t>Malaysia</t>
        </is>
      </c>
    </row>
    <row r="2475">
      <c r="A2475" t="inlineStr">
        <is>
          <t>Shinil Food Co., Ltd.,  Saengnim-myeon, Gimhae-si, The Republic of Korea</t>
        </is>
      </c>
      <c r="B2475" t="inlineStr">
        <is>
          <t>Collecting Point</t>
        </is>
      </c>
      <c r="C2475" t="inlineStr">
        <is>
          <t>Control Union Certifications Germany GmbH, Berlin, DE</t>
        </is>
      </c>
      <c r="D2475" t="inlineStr">
        <is>
          <t>16.06.2027</t>
        </is>
      </c>
      <c r="E2475" t="inlineStr">
        <is>
          <t>The Republic of Korea</t>
        </is>
      </c>
    </row>
    <row r="2476">
      <c r="A2476" t="inlineStr">
        <is>
          <t>PROWENA s.r.o.,  Středokluky, Czech Republic</t>
        </is>
      </c>
      <c r="B2476" t="inlineStr">
        <is>
          <t>First Gathering Point, Trader with Storage</t>
        </is>
      </c>
      <c r="C2476" t="inlineStr">
        <is>
          <t>TÜV SÜD Czech s.r.o., Praha 4, CZ</t>
        </is>
      </c>
      <c r="D2476" t="inlineStr">
        <is>
          <t>16.06.2027</t>
        </is>
      </c>
      <c r="E2476" t="inlineStr">
        <is>
          <t>Czech Republic</t>
        </is>
      </c>
    </row>
    <row r="2477">
      <c r="A2477" t="inlineStr">
        <is>
          <t>Kuwait Petroleum Espana,  Madrid, Spain</t>
        </is>
      </c>
      <c r="B2477" t="inlineStr">
        <is>
          <t>Trader with Storage</t>
        </is>
      </c>
      <c r="C2477" t="inlineStr">
        <is>
          <t>Bureau Veritas Polska Sp. z o.o., Warsaw, PL</t>
        </is>
      </c>
      <c r="D2477" t="inlineStr">
        <is>
          <t>16.06.2027</t>
        </is>
      </c>
      <c r="E2477" t="inlineStr">
        <is>
          <t>Spain</t>
        </is>
      </c>
    </row>
    <row r="2478">
      <c r="A2478" t="inlineStr">
        <is>
          <t>PT. Shoetown Footwear Industrial Indonesia,  Majalengka - Jawa Barat, Indonesia</t>
        </is>
      </c>
      <c r="B2478" t="inlineStr">
        <is>
          <t>Final Product Refinement, Processing Unit</t>
        </is>
      </c>
      <c r="C2478" t="inlineStr">
        <is>
          <t>PT Intertek Utama Services, Jakarta, ID</t>
        </is>
      </c>
      <c r="D2478" t="inlineStr">
        <is>
          <t>16.06.2027</t>
        </is>
      </c>
      <c r="E2478" t="inlineStr">
        <is>
          <t>Indonesia</t>
        </is>
      </c>
    </row>
    <row r="2479">
      <c r="A2479" t="inlineStr">
        <is>
          <t>Nagase Plastics Co., Ltd,  Chuo-ku, Japan</t>
        </is>
      </c>
      <c r="B2479" t="inlineStr">
        <is>
          <t>Trader with Storage</t>
        </is>
      </c>
      <c r="C2479" t="inlineStr">
        <is>
          <t>Control Union Certifications Germany GmbH, Berlin, DE</t>
        </is>
      </c>
      <c r="D2479" t="inlineStr">
        <is>
          <t>16.06.2027</t>
        </is>
      </c>
      <c r="E2479" t="inlineStr">
        <is>
          <t>Japan</t>
        </is>
      </c>
    </row>
    <row r="2480">
      <c r="A2480" t="inlineStr">
        <is>
          <t>T.S. Glenfort Ltd T/A Tony Sterne Oils and Fats,  Boston Spa Wetherby, United Kingdom</t>
        </is>
      </c>
      <c r="B2480" t="inlineStr">
        <is>
          <t>Trader</t>
        </is>
      </c>
      <c r="C2480" t="inlineStr">
        <is>
          <t>Control Union Certifications Germany GmbH, Berlin, DE</t>
        </is>
      </c>
      <c r="D2480" t="inlineStr">
        <is>
          <t>16.06.2027</t>
        </is>
      </c>
      <c r="E2480" t="inlineStr">
        <is>
          <t>United Kingdom</t>
        </is>
      </c>
    </row>
    <row r="2481">
      <c r="A2481" t="inlineStr">
        <is>
          <t>Jenergija,  Sidabros g. 1c, Satkūnai, Joniškio r., Lithuania</t>
        </is>
      </c>
      <c r="B2481" t="inlineStr">
        <is>
          <t>Collecting Point, Processing Unit</t>
        </is>
      </c>
      <c r="C2481" t="inlineStr">
        <is>
          <t>NCS Estonia OÜ, Tallinn, EE</t>
        </is>
      </c>
      <c r="D2481" t="inlineStr">
        <is>
          <t>16.06.2027</t>
        </is>
      </c>
      <c r="E2481" t="inlineStr">
        <is>
          <t>Lithuania</t>
        </is>
      </c>
    </row>
    <row r="2482">
      <c r="A2482" t="inlineStr">
        <is>
          <t>China Marine Bunker Dalian Co., Ltd.,  Liaoning Province, China</t>
        </is>
      </c>
      <c r="B2482" t="inlineStr">
        <is>
          <t>Trader with Storage</t>
        </is>
      </c>
      <c r="C2482" t="inlineStr">
        <is>
          <t>Guardian Independent Certification Limited, Singapore, SG</t>
        </is>
      </c>
      <c r="D2482" t="inlineStr">
        <is>
          <t>16.06.2027</t>
        </is>
      </c>
      <c r="E2482" t="inlineStr">
        <is>
          <t>China</t>
        </is>
      </c>
    </row>
    <row r="2483">
      <c r="A2483" t="inlineStr">
        <is>
          <t>Shinil Food Co., Ltd.,  Saengnim-myeon, Gimhae-si, Gyeongsangnam-do, South Korea</t>
        </is>
      </c>
      <c r="B2483" t="inlineStr">
        <is>
          <t>Collecting Point</t>
        </is>
      </c>
      <c r="C2483" t="inlineStr">
        <is>
          <t>Control Union Certifications Germany GmbH, Berlin, DE</t>
        </is>
      </c>
      <c r="D2483" t="inlineStr">
        <is>
          <t>16.06.2027</t>
        </is>
      </c>
      <c r="E2483" t="inlineStr">
        <is>
          <t>South Korea</t>
        </is>
      </c>
    </row>
    <row r="2484">
      <c r="A2484" t="inlineStr">
        <is>
          <t>BIOGASTUR GENERACION NAVIA,  ARMENTAL-NAVIA, Spain</t>
        </is>
      </c>
      <c r="B2484" t="inlineStr">
        <is>
          <t>Collecting Point, Processing Unit</t>
        </is>
      </c>
      <c r="C2484" t="inlineStr">
        <is>
          <t>Amspec Iberia SL, Vilagarcia de Arousa-Pontevedra, ES</t>
        </is>
      </c>
      <c r="D2484" t="inlineStr">
        <is>
          <t>16.06.2027</t>
        </is>
      </c>
      <c r="E2484" t="inlineStr">
        <is>
          <t>Spain</t>
        </is>
      </c>
    </row>
    <row r="2485">
      <c r="A2485" t="inlineStr">
        <is>
          <t>HU BEI LONG-ZHI SHOES INDUSTRIAL CO., LTD.,  Huang Shi City (Hubei Province), China</t>
        </is>
      </c>
      <c r="B2485" t="inlineStr">
        <is>
          <t>Processing Unit, Trader with Storage</t>
        </is>
      </c>
      <c r="C2485" t="inlineStr">
        <is>
          <t>China Quality Certification Centre Co., Ltd., Beijing, CN</t>
        </is>
      </c>
      <c r="D2485" t="inlineStr">
        <is>
          <t>16.06.2027</t>
        </is>
      </c>
      <c r="E2485" t="inlineStr">
        <is>
          <t>China</t>
        </is>
      </c>
    </row>
    <row r="2486">
      <c r="A2486" t="inlineStr">
        <is>
          <t>Louis Dreyfus Company Ukraine,  Kyiv, Ukraine</t>
        </is>
      </c>
      <c r="B2486" t="inlineStr">
        <is>
          <t>First Gathering Point, Trader with Storage</t>
        </is>
      </c>
      <c r="C2486" t="inlineStr">
        <is>
          <t>Control Union Certifications Germany GmbH, Berlin, DE</t>
        </is>
      </c>
      <c r="D2486" t="inlineStr">
        <is>
          <t>16.06.2027</t>
        </is>
      </c>
      <c r="E2486" t="inlineStr">
        <is>
          <t>Ukraine</t>
        </is>
      </c>
    </row>
    <row r="2487">
      <c r="A2487" t="inlineStr">
        <is>
          <t>Daekyung Oil &amp; Transportation co., ltd.,  Samseong-myeon, Eumseong-gun, Chungcheongbuk-do, The Republic of Korea</t>
        </is>
      </c>
      <c r="B2487" t="inlineStr">
        <is>
          <t>Collecting Point, Point of Origin</t>
        </is>
      </c>
      <c r="C2487" t="inlineStr">
        <is>
          <t>Control Union Certifications Germany GmbH, Berlin, DE</t>
        </is>
      </c>
      <c r="D2487" t="inlineStr">
        <is>
          <t>16.06.2027</t>
        </is>
      </c>
      <c r="E2487" t="inlineStr">
        <is>
          <t>The Republic of Korea</t>
        </is>
      </c>
    </row>
    <row r="2488">
      <c r="A2488" t="inlineStr">
        <is>
          <t>Amcor Flexibles (New Zealand) Limited,  Airport Oaks, New Zealand</t>
        </is>
      </c>
      <c r="B2488" t="inlineStr">
        <is>
          <t>Processing Unit, Trader with Storage</t>
        </is>
      </c>
      <c r="C2488" t="inlineStr">
        <is>
          <t>SGS Germany GmbH, Emstek, DE</t>
        </is>
      </c>
      <c r="D2488" t="inlineStr">
        <is>
          <t>16.06.2027</t>
        </is>
      </c>
      <c r="E2488" t="inlineStr">
        <is>
          <t>New Zealand</t>
        </is>
      </c>
    </row>
    <row r="2489">
      <c r="A2489" t="inlineStr">
        <is>
          <t>DONGSHIN POLYMER,  Guhang-myeon, Hongseong-gun, Korea, Republic of</t>
        </is>
      </c>
      <c r="B2489" t="inlineStr">
        <is>
          <t>Processing Unit</t>
        </is>
      </c>
      <c r="C2489" t="inlineStr">
        <is>
          <t>Control Union Certifications Germany GmbH, Berlin, DE</t>
        </is>
      </c>
      <c r="D2489" t="inlineStr">
        <is>
          <t>16.06.2027</t>
        </is>
      </c>
      <c r="E2489" t="inlineStr">
        <is>
          <t>Republic of</t>
        </is>
      </c>
    </row>
    <row r="2490">
      <c r="A2490" t="inlineStr">
        <is>
          <t>3Degrees Group, Inc.,  San Francisco, United States</t>
        </is>
      </c>
      <c r="B2490" t="inlineStr">
        <is>
          <t>Trader</t>
        </is>
      </c>
      <c r="C2490" t="inlineStr">
        <is>
          <t>DEKRA Certification B.V., Arnhem, NL</t>
        </is>
      </c>
      <c r="D2490" t="inlineStr">
        <is>
          <t>16.06.2027</t>
        </is>
      </c>
      <c r="E2490" t="inlineStr">
        <is>
          <t>United States</t>
        </is>
      </c>
    </row>
    <row r="2491">
      <c r="A2491" t="inlineStr">
        <is>
          <t>Ercros, S.A.,  Vila-seca (Tarragona), Spain</t>
        </is>
      </c>
      <c r="B2491" t="inlineStr">
        <is>
          <t>Processing Unit</t>
        </is>
      </c>
      <c r="C2491" t="inlineStr">
        <is>
          <t>SGS Germany GmbH, Emstek, DE</t>
        </is>
      </c>
      <c r="D2491" t="inlineStr">
        <is>
          <t>16.06.2027</t>
        </is>
      </c>
      <c r="E2491" t="inlineStr">
        <is>
          <t>Spain</t>
        </is>
      </c>
    </row>
    <row r="2492">
      <c r="A2492" t="inlineStr">
        <is>
          <t>SHELL Slovakia, s.r.o.,  Bratislava, Slovakia</t>
        </is>
      </c>
      <c r="B2492" t="inlineStr">
        <is>
          <t>Proof of Compliance Trader, Trader with Storage</t>
        </is>
      </c>
      <c r="C2492" t="inlineStr">
        <is>
          <t>SGS Germany GmbH, Emstek, DE</t>
        </is>
      </c>
      <c r="D2492" t="inlineStr">
        <is>
          <t>16.06.2027</t>
        </is>
      </c>
      <c r="E2492" t="inlineStr">
        <is>
          <t>Slovakia</t>
        </is>
      </c>
    </row>
    <row r="2493">
      <c r="A2493" t="inlineStr">
        <is>
          <t>TotalEnergies Petrochemicals &amp; Refining SA/NV,  Brussel, Belgium</t>
        </is>
      </c>
      <c r="B2493" t="inlineStr">
        <is>
          <t>Trader with Storage</t>
        </is>
      </c>
      <c r="C2493" t="inlineStr">
        <is>
          <t>SGS Germany GmbH, Emstek, DE</t>
        </is>
      </c>
      <c r="D2493" t="inlineStr">
        <is>
          <t>16.06.2027</t>
        </is>
      </c>
      <c r="E2493" t="inlineStr">
        <is>
          <t>Belgium</t>
        </is>
      </c>
    </row>
    <row r="2494">
      <c r="A2494" t="inlineStr">
        <is>
          <t>Prest Geo-Dan Srl,  Tulcea, Romania</t>
        </is>
      </c>
      <c r="B2494" t="inlineStr">
        <is>
          <t>First Gathering Point</t>
        </is>
      </c>
      <c r="C2494" t="inlineStr">
        <is>
          <t>SGS Germany GmbH, Emstek, DE</t>
        </is>
      </c>
      <c r="D2494" t="inlineStr">
        <is>
          <t>16.06.2027</t>
        </is>
      </c>
      <c r="E2494" t="inlineStr">
        <is>
          <t>Romania</t>
        </is>
      </c>
    </row>
    <row r="2495">
      <c r="A2495" t="inlineStr">
        <is>
          <t>Eastman Mazzucchelli Plastics (Shenzhen) Co., Ltd.,  Shen Zhen, China</t>
        </is>
      </c>
      <c r="B2495" t="inlineStr">
        <is>
          <t>Processing Unit</t>
        </is>
      </c>
      <c r="C2495" t="inlineStr">
        <is>
          <t>SCS Global Services, Emeryville, CA, US</t>
        </is>
      </c>
      <c r="D2495" t="inlineStr">
        <is>
          <t>16.06.2027</t>
        </is>
      </c>
      <c r="E2495" t="inlineStr">
        <is>
          <t>China</t>
        </is>
      </c>
    </row>
    <row r="2496">
      <c r="A2496" t="inlineStr">
        <is>
          <t>"AGROPA" Szövetkezet,  Mezőlak, Hungary</t>
        </is>
      </c>
      <c r="B2496" t="inlineStr">
        <is>
          <t>First Gathering Point, Trader with Storage</t>
        </is>
      </c>
      <c r="C2496" t="inlineStr">
        <is>
          <t>Amspec Iberia SL, Vilagarcia de Arousa-Pontevedra, ES</t>
        </is>
      </c>
      <c r="D2496" t="inlineStr">
        <is>
          <t>16.06.2027</t>
        </is>
      </c>
      <c r="E2496" t="inlineStr">
        <is>
          <t>Hungary</t>
        </is>
      </c>
    </row>
    <row r="2497">
      <c r="A2497" t="inlineStr">
        <is>
          <t>TIANJIN INTERNATIONAL PETROLEUM STORAGE &amp; TRANSPORTATION.,LTD,  Tianjin City, China</t>
        </is>
      </c>
      <c r="B2497" t="inlineStr">
        <is>
          <t>Trader with Storage, Warehouse</t>
        </is>
      </c>
      <c r="C2497" t="inlineStr">
        <is>
          <t>SCS Global Services, Emeryville, CA, US</t>
        </is>
      </c>
      <c r="D2497" t="inlineStr">
        <is>
          <t>16.06.2027</t>
        </is>
      </c>
      <c r="E2497" t="inlineStr">
        <is>
          <t>China</t>
        </is>
      </c>
    </row>
    <row r="2498">
      <c r="A2498" t="inlineStr">
        <is>
          <t>QINGDAO SDJ INTERNATIONAL TRADING CO., LTD,  Qingdao, Shandong, China</t>
        </is>
      </c>
      <c r="B2498" t="inlineStr">
        <is>
          <t>Trader</t>
        </is>
      </c>
      <c r="C2498" t="inlineStr">
        <is>
          <t>China Standard Conformity Assessment Co. Ltd, Beijing, CN</t>
        </is>
      </c>
      <c r="D2498" t="inlineStr">
        <is>
          <t>16.06.2027</t>
        </is>
      </c>
      <c r="E2498" t="inlineStr">
        <is>
          <t>China</t>
        </is>
      </c>
    </row>
    <row r="2499">
      <c r="A2499" t="inlineStr">
        <is>
          <t>SC Unitrade Crops srl,  Timisoara, Romania</t>
        </is>
      </c>
      <c r="B2499" t="inlineStr">
        <is>
          <t>First Gathering Point</t>
        </is>
      </c>
      <c r="C2499" t="inlineStr">
        <is>
          <t>SRAC Cert SRL, Bucharest, RO</t>
        </is>
      </c>
      <c r="D2499" t="inlineStr">
        <is>
          <t>16.06.2027</t>
        </is>
      </c>
      <c r="E2499" t="inlineStr">
        <is>
          <t>Romania</t>
        </is>
      </c>
    </row>
    <row r="2500">
      <c r="A2500" t="inlineStr">
        <is>
          <t>Next Chemicals IPA,  Palos de la Frontera, Spain</t>
        </is>
      </c>
      <c r="B2500" t="inlineStr">
        <is>
          <t>Processing Unit, Trader with Storage</t>
        </is>
      </c>
      <c r="C2500" t="inlineStr">
        <is>
          <t>Control Union Poland Sp. z o.o., Zielona Gora, PL</t>
        </is>
      </c>
      <c r="D2500" t="inlineStr">
        <is>
          <t>16.06.2027</t>
        </is>
      </c>
      <c r="E2500" t="inlineStr">
        <is>
          <t>Spain</t>
        </is>
      </c>
    </row>
    <row r="2501">
      <c r="A2501" t="inlineStr">
        <is>
          <t>SC ROCARGO GLOBAL SRL,  CONSTANTA, Romania</t>
        </is>
      </c>
      <c r="B2501" t="inlineStr">
        <is>
          <t>Farm / Plantation, First Gathering Point, Trader</t>
        </is>
      </c>
      <c r="C2501" t="inlineStr">
        <is>
          <t>SRAC Cert SRL, Bucharest, RO</t>
        </is>
      </c>
      <c r="D2501" t="inlineStr">
        <is>
          <t>16.06.2027</t>
        </is>
      </c>
      <c r="E2501" t="inlineStr">
        <is>
          <t>Romania</t>
        </is>
      </c>
    </row>
    <row r="2502">
      <c r="A2502" t="inlineStr">
        <is>
          <t>Aetos Trading &amp; Consulting SRL,  Bucuresti, Romania</t>
        </is>
      </c>
      <c r="B2502" t="inlineStr">
        <is>
          <t>First Gathering Point, Trader with Storage</t>
        </is>
      </c>
      <c r="C2502" t="inlineStr">
        <is>
          <t>SRAC Cert SRL, Bucharest, RO</t>
        </is>
      </c>
      <c r="D2502" t="inlineStr">
        <is>
          <t>16.06.2027</t>
        </is>
      </c>
      <c r="E2502" t="inlineStr">
        <is>
          <t>Romania</t>
        </is>
      </c>
    </row>
    <row r="2503">
      <c r="A2503" t="inlineStr">
        <is>
          <t>D+F srl,  Vinci, Italy</t>
        </is>
      </c>
      <c r="B2503" t="inlineStr">
        <is>
          <t>Processing Unit</t>
        </is>
      </c>
      <c r="C2503" t="inlineStr">
        <is>
          <t>RINA Services S.p.A., Genova, IT</t>
        </is>
      </c>
      <c r="D2503" t="inlineStr">
        <is>
          <t>16.06.2027</t>
        </is>
      </c>
      <c r="E2503" t="inlineStr">
        <is>
          <t>Italy</t>
        </is>
      </c>
    </row>
    <row r="2504">
      <c r="A2504" t="inlineStr">
        <is>
          <t>Yasmin 96 RR LTD.,  Stara Zagora, Bulgaria</t>
        </is>
      </c>
      <c r="B2504" t="inlineStr">
        <is>
          <t>First Gathering Point</t>
        </is>
      </c>
      <c r="C2504" t="inlineStr">
        <is>
          <t>Baltic Control Certification, Albertslund, DK</t>
        </is>
      </c>
      <c r="D2504" t="inlineStr">
        <is>
          <t>16.06.2027</t>
        </is>
      </c>
      <c r="E2504" t="inlineStr">
        <is>
          <t>Bulgaria</t>
        </is>
      </c>
    </row>
    <row r="2505">
      <c r="A2505" t="inlineStr">
        <is>
          <t>Third Coast Commodities,  Elkhart, United States</t>
        </is>
      </c>
      <c r="B2505" t="inlineStr">
        <is>
          <t>Trader</t>
        </is>
      </c>
      <c r="C2505" t="inlineStr">
        <is>
          <t>SCS Global Services, Emeryville, CA, US</t>
        </is>
      </c>
      <c r="D2505" t="inlineStr">
        <is>
          <t>16.06.2027</t>
        </is>
      </c>
      <c r="E2505" t="inlineStr">
        <is>
          <t>United States</t>
        </is>
      </c>
    </row>
    <row r="2506">
      <c r="A2506" t="inlineStr">
        <is>
          <t>Evergreen Grease Service, Inc.,  Adrian, United States</t>
        </is>
      </c>
      <c r="B2506" t="inlineStr">
        <is>
          <t>Collecting Point</t>
        </is>
      </c>
      <c r="C2506" t="inlineStr">
        <is>
          <t>SCS Global Services, Emeryville, CA, US</t>
        </is>
      </c>
      <c r="D2506" t="inlineStr">
        <is>
          <t>16.06.2027</t>
        </is>
      </c>
      <c r="E2506" t="inlineStr">
        <is>
          <t>United States</t>
        </is>
      </c>
    </row>
    <row r="2507">
      <c r="A2507" t="inlineStr">
        <is>
          <t>Dongguan City Yuansheng Energy Technology Co., Ltd.,  Dongguan City, Guangdong Province, China</t>
        </is>
      </c>
      <c r="B2507" t="inlineStr">
        <is>
          <t>Trader with Storage</t>
        </is>
      </c>
      <c r="C2507" t="inlineStr">
        <is>
          <t>SCS Global Services, Emeryville, CA, US</t>
        </is>
      </c>
      <c r="D2507" t="inlineStr">
        <is>
          <t>16.06.2027</t>
        </is>
      </c>
      <c r="E2507" t="inlineStr">
        <is>
          <t>China</t>
        </is>
      </c>
    </row>
    <row r="2508">
      <c r="A2508" t="inlineStr">
        <is>
          <t>Guangdong Hancheng Energy Co., Ltd.,  Zhanjiang City, Guangdong Province, China</t>
        </is>
      </c>
      <c r="B2508" t="inlineStr">
        <is>
          <t>Trader</t>
        </is>
      </c>
      <c r="C2508" t="inlineStr">
        <is>
          <t>SCS Global Services, Emeryville, CA, US</t>
        </is>
      </c>
      <c r="D2508" t="inlineStr">
        <is>
          <t>16.06.2027</t>
        </is>
      </c>
      <c r="E2508" t="inlineStr">
        <is>
          <t>China</t>
        </is>
      </c>
    </row>
    <row r="2509">
      <c r="A2509" t="inlineStr">
        <is>
          <t>Hui Feng New Material Technology Sporting Goods Co., Ltd,  Son Tinh District, Quang Ngai, Vietnam</t>
        </is>
      </c>
      <c r="B2509" t="inlineStr">
        <is>
          <t>Processing Unit</t>
        </is>
      </c>
      <c r="C2509" t="inlineStr">
        <is>
          <t>RINA Services S.p.A., Genova, IT</t>
        </is>
      </c>
      <c r="D2509" t="inlineStr">
        <is>
          <t>16.06.2027</t>
        </is>
      </c>
      <c r="E2509" t="inlineStr">
        <is>
          <t>Vietnam</t>
        </is>
      </c>
    </row>
    <row r="2510">
      <c r="A2510" t="inlineStr">
        <is>
          <t>Kingmaker III (Vietnam) Footwear Co., Ltd.,  THO PHONG COMMUNE, Quang Ngai Province, Vietnam</t>
        </is>
      </c>
      <c r="B2510" t="inlineStr">
        <is>
          <t>Final Product Refinement, Processing Unit, Trader with Storage</t>
        </is>
      </c>
      <c r="C2510" t="inlineStr">
        <is>
          <t>RINA Services S.p.A., Genova, IT</t>
        </is>
      </c>
      <c r="D2510" t="inlineStr">
        <is>
          <t>16.06.2027</t>
        </is>
      </c>
      <c r="E2510" t="inlineStr">
        <is>
          <t>Vietnam</t>
        </is>
      </c>
    </row>
    <row r="2511">
      <c r="A2511" t="inlineStr">
        <is>
          <t>FGV Palm Industries Sdn Bhd,  Jerantut, Malaysia</t>
        </is>
      </c>
      <c r="B2511" t="inlineStr">
        <is>
          <t>Point of Origin</t>
        </is>
      </c>
      <c r="C2511" t="inlineStr">
        <is>
          <t>Trans Certification and Inspection Sdn Bhd, Kuantan, MY</t>
        </is>
      </c>
      <c r="D2511" t="inlineStr">
        <is>
          <t>16.06.2027</t>
        </is>
      </c>
      <c r="E2511" t="inlineStr">
        <is>
          <t>Malaysia</t>
        </is>
      </c>
    </row>
    <row r="2512">
      <c r="A2512" t="inlineStr">
        <is>
          <t>FGV Palm Industries Sdn Bhd,  Jerantut, Malaysia</t>
        </is>
      </c>
      <c r="B2512" t="inlineStr">
        <is>
          <t>Point of Origin</t>
        </is>
      </c>
      <c r="C2512" t="inlineStr">
        <is>
          <t>Trans Certification and Inspection Sdn Bhd, Kuantan, MY</t>
        </is>
      </c>
      <c r="D2512" t="inlineStr">
        <is>
          <t>16.06.2027</t>
        </is>
      </c>
      <c r="E2512" t="inlineStr">
        <is>
          <t>Malaysia</t>
        </is>
      </c>
    </row>
    <row r="2513">
      <c r="A2513" t="inlineStr">
        <is>
          <t>MEGAWASTE SLOVAKIA s.r.o.,  Považská Bystrica, Slovakia</t>
        </is>
      </c>
      <c r="B2513" t="inlineStr">
        <is>
          <t>Collecting Point, Trader</t>
        </is>
      </c>
      <c r="C2513" t="inlineStr">
        <is>
          <t>Bureau Veritas Polska Sp. z o.o., Warsaw, PL</t>
        </is>
      </c>
      <c r="D2513" t="inlineStr">
        <is>
          <t>16.06.2027</t>
        </is>
      </c>
      <c r="E2513" t="inlineStr">
        <is>
          <t>Slovakia</t>
        </is>
      </c>
    </row>
    <row r="2514">
      <c r="A2514" t="inlineStr">
        <is>
          <t>PATRUNO GROUP SRL,  MOLA DI BARI, Italy</t>
        </is>
      </c>
      <c r="B2514" t="inlineStr">
        <is>
          <t>Collecting Point, Processing Unit</t>
        </is>
      </c>
      <c r="C2514" t="inlineStr">
        <is>
          <t>RINA Services S.p.A., Genova, IT</t>
        </is>
      </c>
      <c r="D2514" t="inlineStr">
        <is>
          <t>16.06.2027</t>
        </is>
      </c>
      <c r="E2514" t="inlineStr">
        <is>
          <t>Italy</t>
        </is>
      </c>
    </row>
    <row r="2515">
      <c r="A2515" t="inlineStr">
        <is>
          <t>Lacroix Emballages,  Ardon, France</t>
        </is>
      </c>
      <c r="B2515" t="inlineStr">
        <is>
          <t>Processing Unit</t>
        </is>
      </c>
      <c r="C2515" t="inlineStr">
        <is>
          <t>SGS Germany GmbH, Emstek, DE</t>
        </is>
      </c>
      <c r="D2515" t="inlineStr">
        <is>
          <t>16.06.2027</t>
        </is>
      </c>
      <c r="E2515" t="inlineStr">
        <is>
          <t>France</t>
        </is>
      </c>
    </row>
    <row r="2516">
      <c r="A2516" t="inlineStr">
        <is>
          <t>Vitol Trading Malaysia Labuan,  Johor, Malaysia</t>
        </is>
      </c>
      <c r="B2516" t="inlineStr">
        <is>
          <t>Processing Unit</t>
        </is>
      </c>
      <c r="C2516" t="inlineStr">
        <is>
          <t>Control Union Certifications Germany GmbH, Berlin, DE</t>
        </is>
      </c>
      <c r="D2516" t="inlineStr">
        <is>
          <t>16.06.2027</t>
        </is>
      </c>
      <c r="E2516" t="inlineStr">
        <is>
          <t>Malaysia</t>
        </is>
      </c>
    </row>
    <row r="2517">
      <c r="A2517" t="inlineStr">
        <is>
          <t>Macchiavelli,  Bologna, Italy</t>
        </is>
      </c>
      <c r="B2517" t="inlineStr">
        <is>
          <t>Processing Unit</t>
        </is>
      </c>
      <c r="C2517" t="inlineStr">
        <is>
          <t>Certiquality srl, Milano, IT</t>
        </is>
      </c>
      <c r="D2517" t="inlineStr">
        <is>
          <t>16.06.2027</t>
        </is>
      </c>
      <c r="E2517" t="inlineStr">
        <is>
          <t>Italy</t>
        </is>
      </c>
    </row>
    <row r="2518">
      <c r="A2518" t="inlineStr">
        <is>
          <t>Irish Life Sciences,  Athlone, Ireland</t>
        </is>
      </c>
      <c r="B2518" t="inlineStr">
        <is>
          <t>Processing Unit</t>
        </is>
      </c>
      <c r="C2518" t="inlineStr">
        <is>
          <t>Aardvark Certification Ltd, Wiveliscombe, Somerset, GB</t>
        </is>
      </c>
      <c r="D2518" t="inlineStr">
        <is>
          <t>16.06.2027</t>
        </is>
      </c>
      <c r="E2518" t="inlineStr">
        <is>
          <t>Ireland</t>
        </is>
      </c>
    </row>
    <row r="2519">
      <c r="A2519" t="inlineStr">
        <is>
          <t>PANENERGY,  INVERUNO, Italy</t>
        </is>
      </c>
      <c r="B2519" t="inlineStr">
        <is>
          <t>Trader with Storage</t>
        </is>
      </c>
      <c r="C2519" t="inlineStr">
        <is>
          <t>RINA Services S.p.A., Genova, IT</t>
        </is>
      </c>
      <c r="D2519" t="inlineStr">
        <is>
          <t>16.06.2027</t>
        </is>
      </c>
      <c r="E2519" t="inlineStr">
        <is>
          <t>Italy</t>
        </is>
      </c>
    </row>
    <row r="2520">
      <c r="A2520" t="inlineStr">
        <is>
          <t>Puma Energy Supply &amp; Trading Pte. Ltd., Singapore, Branch Office Geneva,  Geneva, Switzerland</t>
        </is>
      </c>
      <c r="B2520" t="inlineStr">
        <is>
          <t>Trader with Storage</t>
        </is>
      </c>
      <c r="C2520" t="inlineStr">
        <is>
          <t>ASG Cert GmbH, Munich, DE</t>
        </is>
      </c>
      <c r="D2520" t="inlineStr">
        <is>
          <t>16.06.2027</t>
        </is>
      </c>
      <c r="E2520" t="inlineStr">
        <is>
          <t>Switzerland</t>
        </is>
      </c>
    </row>
    <row r="2521">
      <c r="A2521" t="inlineStr">
        <is>
          <t>Tornagrain Gas Mill Limited,  Inverness, Scotland, United Kingdom</t>
        </is>
      </c>
      <c r="B2521" t="inlineStr">
        <is>
          <t>First Gathering Point, Processing Unit</t>
        </is>
      </c>
      <c r="C2521" t="inlineStr">
        <is>
          <t>Double Helix Tracking Technologies Pte Ltd, Singapore, SG</t>
        </is>
      </c>
      <c r="D2521" t="inlineStr">
        <is>
          <t>16.06.2027</t>
        </is>
      </c>
      <c r="E2521" t="inlineStr">
        <is>
          <t>United Kingdom</t>
        </is>
      </c>
    </row>
    <row r="2522">
      <c r="A2522" t="inlineStr">
        <is>
          <t>INDUSTRIA ACEROGRAS S.L.U,  Santa Cruz de Tenerife, Spain</t>
        </is>
      </c>
      <c r="B2522" t="inlineStr">
        <is>
          <t>Collecting Point</t>
        </is>
      </c>
      <c r="C2522" t="inlineStr">
        <is>
          <t>Control Union Poland Sp. z o.o., Zielona Gora, PL</t>
        </is>
      </c>
      <c r="D2522" t="inlineStr">
        <is>
          <t>16.06.2027</t>
        </is>
      </c>
      <c r="E2522" t="inlineStr">
        <is>
          <t>Spain</t>
        </is>
      </c>
    </row>
    <row r="2523">
      <c r="A2523" t="inlineStr">
        <is>
          <t>Kilang Sawit FELCRA Berhad Seberang Perak,  Kampung Gajah, Malaysia</t>
        </is>
      </c>
      <c r="B2523" t="inlineStr">
        <is>
          <t>Point of Origin</t>
        </is>
      </c>
      <c r="C2523" t="inlineStr">
        <is>
          <t>Trans Certification and Inspection Sdn Bhd, Kuantan, MY</t>
        </is>
      </c>
      <c r="D2523" t="inlineStr">
        <is>
          <t>16.06.2027</t>
        </is>
      </c>
      <c r="E2523" t="inlineStr">
        <is>
          <t>Malaysia</t>
        </is>
      </c>
    </row>
    <row r="2524">
      <c r="A2524" t="inlineStr">
        <is>
          <t>FarmtoFuel B.V.,  Can Tho City, Vietnam</t>
        </is>
      </c>
      <c r="B2524" t="inlineStr">
        <is>
          <t>Collecting Point, Processing Unit, Trader</t>
        </is>
      </c>
      <c r="C2524" t="inlineStr">
        <is>
          <t>Control Union Certifications Germany GmbH, Berlin, DE</t>
        </is>
      </c>
      <c r="D2524" t="inlineStr">
        <is>
          <t>16.06.2027</t>
        </is>
      </c>
      <c r="E2524" t="inlineStr">
        <is>
          <t>Vietnam</t>
        </is>
      </c>
    </row>
    <row r="2525">
      <c r="A2525" t="inlineStr">
        <is>
          <t>Samurice,  Kisumu, Kenya</t>
        </is>
      </c>
      <c r="B2525" t="inlineStr">
        <is>
          <t>First Gathering Point, Trader with Storage</t>
        </is>
      </c>
      <c r="C2525" t="inlineStr">
        <is>
          <t>RINA Services S.p.A., Genova, IT</t>
        </is>
      </c>
      <c r="D2525" t="inlineStr">
        <is>
          <t>16.06.2027</t>
        </is>
      </c>
      <c r="E2525" t="inlineStr">
        <is>
          <t>Kenya</t>
        </is>
      </c>
    </row>
    <row r="2526">
      <c r="A2526" t="inlineStr">
        <is>
          <t>Mosso Agricoltura,  Pralormo, Italy</t>
        </is>
      </c>
      <c r="B2526" t="inlineStr">
        <is>
          <t>First Gathering Point, Warehouse</t>
        </is>
      </c>
      <c r="C2526" t="inlineStr">
        <is>
          <t>RINA Services S.p.A., Genova, IT</t>
        </is>
      </c>
      <c r="D2526" t="inlineStr">
        <is>
          <t>16.06.2027</t>
        </is>
      </c>
      <c r="E2526" t="inlineStr">
        <is>
          <t>Italy</t>
        </is>
      </c>
    </row>
    <row r="2527">
      <c r="A2527" t="inlineStr">
        <is>
          <t>TotalEnergies Refinery Antwerp,  Antwerpen Haven 447, Belgium</t>
        </is>
      </c>
      <c r="B2527" t="inlineStr">
        <is>
          <t>ETBE plant, MTBE plant, Processing Unit, Warehouse</t>
        </is>
      </c>
      <c r="C2527" t="inlineStr">
        <is>
          <t>SGS Germany GmbH, Emstek, DE</t>
        </is>
      </c>
      <c r="D2527" t="inlineStr">
        <is>
          <t>16.06.2027</t>
        </is>
      </c>
      <c r="E2527" t="inlineStr">
        <is>
          <t>Belgium</t>
        </is>
      </c>
    </row>
    <row r="2528">
      <c r="A2528" t="inlineStr">
        <is>
          <t>Curti,  Valle Lomellina, Italy</t>
        </is>
      </c>
      <c r="B2528" t="inlineStr">
        <is>
          <t>Point of Origin</t>
        </is>
      </c>
      <c r="C2528" t="inlineStr">
        <is>
          <t>SGS Germany GmbH, Emstek, DE</t>
        </is>
      </c>
      <c r="D2528" t="inlineStr">
        <is>
          <t>15.06.2027</t>
        </is>
      </c>
      <c r="E2528" t="inlineStr">
        <is>
          <t>Italy</t>
        </is>
      </c>
    </row>
    <row r="2529">
      <c r="A2529" t="inlineStr">
        <is>
          <t>Curti,  Valle Lomellina, Italy</t>
        </is>
      </c>
      <c r="B2529" t="inlineStr">
        <is>
          <t>Collecting Point, Point of Origin, Processing Unit</t>
        </is>
      </c>
      <c r="C2529" t="inlineStr">
        <is>
          <t>SGS Germany GmbH, Emstek, DE</t>
        </is>
      </c>
      <c r="D2529" t="inlineStr">
        <is>
          <t>15.06.2027</t>
        </is>
      </c>
      <c r="E2529" t="inlineStr">
        <is>
          <t>Italy</t>
        </is>
      </c>
    </row>
    <row r="2530">
      <c r="A2530" t="inlineStr">
        <is>
          <t>SC Cardeg-Dobrinas,  Ovidiu, Romania</t>
        </is>
      </c>
      <c r="B2530" t="inlineStr">
        <is>
          <t>First Gathering Point, Trader with Storage</t>
        </is>
      </c>
      <c r="C2530" t="inlineStr">
        <is>
          <t>Control Union Certifications Germany GmbH, Berlin, DE</t>
        </is>
      </c>
      <c r="D2530" t="inlineStr">
        <is>
          <t>15.06.2027</t>
        </is>
      </c>
      <c r="E2530" t="inlineStr">
        <is>
          <t>Romania</t>
        </is>
      </c>
    </row>
    <row r="2531">
      <c r="A2531" t="inlineStr">
        <is>
          <t>Münzer UCO Recycling,  Wien, Austria</t>
        </is>
      </c>
      <c r="B2531" t="inlineStr">
        <is>
          <t>Collecting Point</t>
        </is>
      </c>
      <c r="C2531" t="inlineStr">
        <is>
          <t>agroVet GmbH, Enzersfeld, AT</t>
        </is>
      </c>
      <c r="D2531" t="inlineStr">
        <is>
          <t>15.06.2027</t>
        </is>
      </c>
      <c r="E2531" t="inlineStr">
        <is>
          <t>Austria</t>
        </is>
      </c>
    </row>
    <row r="2532">
      <c r="A2532" t="inlineStr">
        <is>
          <t>TKG Taekwang Vina Joint Stock Company,  Tran Bien Ward , Dong Nai Province, Vietnam</t>
        </is>
      </c>
      <c r="B2532" t="inlineStr">
        <is>
          <t>Final Product Refinement</t>
        </is>
      </c>
      <c r="C2532" t="inlineStr">
        <is>
          <t>SGS Germany GmbH, Emstek, DE</t>
        </is>
      </c>
      <c r="D2532" t="inlineStr">
        <is>
          <t>15.06.2027</t>
        </is>
      </c>
      <c r="E2532" t="inlineStr">
        <is>
          <t>Vietnam</t>
        </is>
      </c>
    </row>
    <row r="2533">
      <c r="A2533" t="inlineStr">
        <is>
          <t>New Japan Chemical,  Ichihara-shi, Japan</t>
        </is>
      </c>
      <c r="B2533" t="inlineStr">
        <is>
          <t>Processing Unit</t>
        </is>
      </c>
      <c r="C2533" t="inlineStr">
        <is>
          <t>SGS Germany GmbH, Emstek, DE</t>
        </is>
      </c>
      <c r="D2533" t="inlineStr">
        <is>
          <t>15.06.2027</t>
        </is>
      </c>
      <c r="E2533" t="inlineStr">
        <is>
          <t>Japan</t>
        </is>
      </c>
    </row>
    <row r="2534">
      <c r="A2534" t="inlineStr">
        <is>
          <t>Dai Nippon Printing Co., Ltd.,  Kyotanabe-shi, Kyoto-fu, Japan</t>
        </is>
      </c>
      <c r="B2534" t="inlineStr">
        <is>
          <t>Processing Unit</t>
        </is>
      </c>
      <c r="C2534" t="inlineStr">
        <is>
          <t>SGS Germany GmbH, Emstek, DE</t>
        </is>
      </c>
      <c r="D2534" t="inlineStr">
        <is>
          <t>15.06.2027</t>
        </is>
      </c>
      <c r="E2534" t="inlineStr">
        <is>
          <t>Japan</t>
        </is>
      </c>
    </row>
    <row r="2535">
      <c r="A2535" t="inlineStr">
        <is>
          <t>Equinor Marketing &amp; Trading (US) Inc,  Houston, United States</t>
        </is>
      </c>
      <c r="B2535" t="inlineStr">
        <is>
          <t>Trader with Storage</t>
        </is>
      </c>
      <c r="C2535" t="inlineStr">
        <is>
          <t>SGS Germany GmbH, Emstek, DE</t>
        </is>
      </c>
      <c r="D2535" t="inlineStr">
        <is>
          <t>15.06.2027</t>
        </is>
      </c>
      <c r="E2535" t="inlineStr">
        <is>
          <t>United States</t>
        </is>
      </c>
    </row>
    <row r="2536">
      <c r="A2536" t="inlineStr">
        <is>
          <t>Keiyo Ethylene Co.,Ltd.,  Ichihara, Chiba, Japan</t>
        </is>
      </c>
      <c r="B2536" t="inlineStr">
        <is>
          <t>Processing Unit</t>
        </is>
      </c>
      <c r="C2536" t="inlineStr">
        <is>
          <t>SGS Germany GmbH, Emstek, DE</t>
        </is>
      </c>
      <c r="D2536" t="inlineStr">
        <is>
          <t>15.06.2027</t>
        </is>
      </c>
      <c r="E2536" t="inlineStr">
        <is>
          <t>Japan</t>
        </is>
      </c>
    </row>
    <row r="2537">
      <c r="A2537" t="inlineStr">
        <is>
          <t>Equinor Marketing &amp; Trading (US) Inc,  Houston, United States</t>
        </is>
      </c>
      <c r="B2537" t="inlineStr">
        <is>
          <t>Trader with Storage</t>
        </is>
      </c>
      <c r="C2537" t="inlineStr">
        <is>
          <t>SGS Germany GmbH, Emstek, DE</t>
        </is>
      </c>
      <c r="D2537" t="inlineStr">
        <is>
          <t>15.06.2027</t>
        </is>
      </c>
      <c r="E2537" t="inlineStr">
        <is>
          <t>United States</t>
        </is>
      </c>
    </row>
    <row r="2538">
      <c r="A2538" t="inlineStr">
        <is>
          <t>Coreva Technologia,  Vilafant, Spain</t>
        </is>
      </c>
      <c r="B2538" t="inlineStr">
        <is>
          <t>Trader</t>
        </is>
      </c>
      <c r="C2538" t="inlineStr">
        <is>
          <t>RINA Services S.p.A., Genova, IT</t>
        </is>
      </c>
      <c r="D2538" t="inlineStr">
        <is>
          <t>15.06.2027</t>
        </is>
      </c>
      <c r="E2538" t="inlineStr">
        <is>
          <t>Spain</t>
        </is>
      </c>
    </row>
    <row r="2539">
      <c r="A2539" t="inlineStr">
        <is>
          <t>CCT Circular Cleantech B.V.,  Botlek-Rotterdam, Netherlands</t>
        </is>
      </c>
      <c r="B2539" t="inlineStr">
        <is>
          <t>Trader with Storage</t>
        </is>
      </c>
      <c r="C2539" t="inlineStr">
        <is>
          <t>Normec QS BV, Ede, NL</t>
        </is>
      </c>
      <c r="D2539" t="inlineStr">
        <is>
          <t>15.06.2027</t>
        </is>
      </c>
      <c r="E2539" t="inlineStr">
        <is>
          <t>Netherlands</t>
        </is>
      </c>
    </row>
    <row r="2540">
      <c r="A2540" t="inlineStr">
        <is>
          <t>Unue Gas Renovable S.L.,  Poligono de Villalonquejar, Burgos, Spain</t>
        </is>
      </c>
      <c r="B2540" t="inlineStr">
        <is>
          <t>Processing Unit</t>
        </is>
      </c>
      <c r="C2540" t="inlineStr">
        <is>
          <t>Bureau Veritas Polska Sp. z o.o., Warsaw, PL</t>
        </is>
      </c>
      <c r="D2540" t="inlineStr">
        <is>
          <t>15.06.2027</t>
        </is>
      </c>
      <c r="E2540" t="inlineStr">
        <is>
          <t>Spain</t>
        </is>
      </c>
    </row>
    <row r="2541">
      <c r="A2541" t="inlineStr">
        <is>
          <t>Oleo Protein Ltd,  Rousse, Bulgaria</t>
        </is>
      </c>
      <c r="B2541" t="inlineStr">
        <is>
          <t>Point of Origin, Processing Unit</t>
        </is>
      </c>
      <c r="C2541" t="inlineStr">
        <is>
          <t>SGS Germany GmbH, Emstek, DE</t>
        </is>
      </c>
      <c r="D2541" t="inlineStr">
        <is>
          <t>15.06.2027</t>
        </is>
      </c>
      <c r="E2541" t="inlineStr">
        <is>
          <t>Bulgaria</t>
        </is>
      </c>
    </row>
    <row r="2542">
      <c r="A2542" t="inlineStr">
        <is>
          <t>DIUSA RENDERING .S.R.L.,  FOMBIO, Italy</t>
        </is>
      </c>
      <c r="B2542" t="inlineStr">
        <is>
          <t>Point of Origin</t>
        </is>
      </c>
      <c r="C2542" t="inlineStr">
        <is>
          <t>SGS Germany GmbH, Emstek, DE</t>
        </is>
      </c>
      <c r="D2542" t="inlineStr">
        <is>
          <t>15.06.2027</t>
        </is>
      </c>
      <c r="E2542" t="inlineStr">
        <is>
          <t>Italy</t>
        </is>
      </c>
    </row>
    <row r="2543">
      <c r="A2543" t="inlineStr">
        <is>
          <t>NIAGARA GLOBAL COMMERCIAL BROKER LLC,  Deira-DUBAI, The United Arab Emirates</t>
        </is>
      </c>
      <c r="B2543" t="inlineStr">
        <is>
          <t>Trader</t>
        </is>
      </c>
      <c r="C2543" t="inlineStr">
        <is>
          <t>BM Certification, Riga, LV</t>
        </is>
      </c>
      <c r="D2543" t="inlineStr">
        <is>
          <t>15.06.2027</t>
        </is>
      </c>
      <c r="E2543" t="inlineStr">
        <is>
          <t>The United Arab Emirates</t>
        </is>
      </c>
    </row>
    <row r="2544">
      <c r="A2544" t="inlineStr">
        <is>
          <t>METROPOLE HOLDING BV,  Argamasilla de Alba, Spain</t>
        </is>
      </c>
      <c r="B2544" t="inlineStr">
        <is>
          <t>Trader</t>
        </is>
      </c>
      <c r="C2544" t="inlineStr">
        <is>
          <t>Control Union Poland Sp. z o.o., Zielona Gora, PL</t>
        </is>
      </c>
      <c r="D2544" t="inlineStr">
        <is>
          <t>15.06.2027</t>
        </is>
      </c>
      <c r="E2544" t="inlineStr">
        <is>
          <t>Spain</t>
        </is>
      </c>
    </row>
    <row r="2545">
      <c r="A2545" t="inlineStr">
        <is>
          <t>RENOLIT UK Limited,  Cramlington, United Kingdom</t>
        </is>
      </c>
      <c r="B2545" t="inlineStr">
        <is>
          <t>Trader with Storage, Processing Unit</t>
        </is>
      </c>
      <c r="C2545" t="inlineStr">
        <is>
          <t>DEKRA Certification B.V., Arnhem, NL</t>
        </is>
      </c>
      <c r="D2545" t="inlineStr">
        <is>
          <t>15.06.2027</t>
        </is>
      </c>
      <c r="E2545" t="inlineStr">
        <is>
          <t>United Kingdom</t>
        </is>
      </c>
    </row>
    <row r="2546">
      <c r="A2546" t="inlineStr">
        <is>
          <t>MA.GI.CEREALI di Rizzato Matteo &amp; C.,  Arquà Polesine, Italy</t>
        </is>
      </c>
      <c r="B2546" t="inlineStr">
        <is>
          <t>First Gathering Point</t>
        </is>
      </c>
      <c r="C2546" t="inlineStr">
        <is>
          <t>RINA Services S.p.A., Genova, IT</t>
        </is>
      </c>
      <c r="D2546" t="inlineStr">
        <is>
          <t>15.06.2027</t>
        </is>
      </c>
      <c r="E2546" t="inlineStr">
        <is>
          <t>Italy</t>
        </is>
      </c>
    </row>
    <row r="2547">
      <c r="A2547" t="inlineStr">
        <is>
          <t>CDS - WISECAP group,  Piacenza, Italy</t>
        </is>
      </c>
      <c r="B2547" t="inlineStr">
        <is>
          <t>Processing Unit</t>
        </is>
      </c>
      <c r="C2547" t="inlineStr">
        <is>
          <t>SGS Germany GmbH, Emstek, DE</t>
        </is>
      </c>
      <c r="D2547" t="inlineStr">
        <is>
          <t>15.06.2027</t>
        </is>
      </c>
      <c r="E2547" t="inlineStr">
        <is>
          <t>Italy</t>
        </is>
      </c>
    </row>
    <row r="2548">
      <c r="A2548" t="inlineStr">
        <is>
          <t>COREPLA - Consorzio nazionale per la raccolta il riciclo e il recupero degli imballaggi in plastica,  Milano, Italy</t>
        </is>
      </c>
      <c r="B2548" t="inlineStr">
        <is>
          <t>Collecting Point, Trader</t>
        </is>
      </c>
      <c r="C2548" t="inlineStr">
        <is>
          <t>DNV Business Assurance Sweden AB, Solna, SE</t>
        </is>
      </c>
      <c r="D2548" t="inlineStr">
        <is>
          <t>15.06.2027</t>
        </is>
      </c>
      <c r="E2548" t="inlineStr">
        <is>
          <t>Italy</t>
        </is>
      </c>
    </row>
    <row r="2549">
      <c r="A2549" t="inlineStr">
        <is>
          <t>Liuyang Wangbaole Oil Chemical Co. , Ltd.,  Changsha City, China</t>
        </is>
      </c>
      <c r="B2549" t="inlineStr">
        <is>
          <t>Collecting Point, Trader</t>
        </is>
      </c>
      <c r="C2549" t="inlineStr">
        <is>
          <t>RINA Services S.p.A., Genova, IT</t>
        </is>
      </c>
      <c r="D2549" t="inlineStr">
        <is>
          <t>15.06.2027</t>
        </is>
      </c>
      <c r="E2549" t="inlineStr">
        <is>
          <t>China</t>
        </is>
      </c>
    </row>
    <row r="2550">
      <c r="A2550" t="inlineStr">
        <is>
          <t>CM INTERNATIONAL HOLDING LIMITED,  HONG KONG, Hong Kong (SAR)</t>
        </is>
      </c>
      <c r="B2550" t="inlineStr">
        <is>
          <t>Proof of Compliance Trader, Trader</t>
        </is>
      </c>
      <c r="C2550" t="inlineStr">
        <is>
          <t>Bureau Veritas Polska Sp. z o.o., Warsaw, PL</t>
        </is>
      </c>
      <c r="D2550" t="inlineStr">
        <is>
          <t>15.06.2027</t>
        </is>
      </c>
      <c r="E2550" t="inlineStr">
        <is>
          <t>Hong Kong (SAR)</t>
        </is>
      </c>
    </row>
    <row r="2551">
      <c r="A2551" t="inlineStr">
        <is>
          <t>HAWEST-AGRO LLC,  Pidloztsi, Dubno region, Rivne Oblast, Ukraine</t>
        </is>
      </c>
      <c r="B2551" t="inlineStr">
        <is>
          <t>Farm / Plantation</t>
        </is>
      </c>
      <c r="C2551" t="inlineStr">
        <is>
          <t>SGS Germany GmbH, Emstek, DE</t>
        </is>
      </c>
      <c r="D2551" t="inlineStr">
        <is>
          <t>15.06.2027</t>
        </is>
      </c>
      <c r="E2551" t="inlineStr">
        <is>
          <t>Ukraine</t>
        </is>
      </c>
    </row>
    <row r="2552">
      <c r="A2552" t="inlineStr">
        <is>
          <t>barun oil,  DUN-PO MYOUN A-SAN CITY CHUNGCHEONG NAM DO, Korea, Republic of</t>
        </is>
      </c>
      <c r="B2552" t="inlineStr">
        <is>
          <t>Collecting Point, Trader with Storage</t>
        </is>
      </c>
      <c r="C2552" t="inlineStr">
        <is>
          <t>Korean Foundation for Quality, Songpa-gu, Seoul, KR</t>
        </is>
      </c>
      <c r="D2552" t="inlineStr">
        <is>
          <t>15.06.2027</t>
        </is>
      </c>
      <c r="E2552" t="inlineStr">
        <is>
          <t>Republic of</t>
        </is>
      </c>
    </row>
    <row r="2553">
      <c r="A2553" t="inlineStr">
        <is>
          <t>Shijiazhuang airport international logistics co., LTD,  shijiazhuang City, China</t>
        </is>
      </c>
      <c r="B2553" t="inlineStr">
        <is>
          <t>Trader</t>
        </is>
      </c>
      <c r="C2553" t="inlineStr">
        <is>
          <t>RINA Services S.p.A., Genova, IT</t>
        </is>
      </c>
      <c r="D2553" t="inlineStr">
        <is>
          <t>15.06.2027</t>
        </is>
      </c>
      <c r="E2553" t="inlineStr">
        <is>
          <t>China</t>
        </is>
      </c>
    </row>
    <row r="2554">
      <c r="A2554" t="inlineStr">
        <is>
          <t>Bunge Granolis doo,  Novi Sad, Serbia</t>
        </is>
      </c>
      <c r="B2554" t="inlineStr">
        <is>
          <t>Trader with Storage</t>
        </is>
      </c>
      <c r="C2554" t="inlineStr">
        <is>
          <t>Bureau Veritas Polska Sp. z o.o., Warsaw, PL</t>
        </is>
      </c>
      <c r="D2554" t="inlineStr">
        <is>
          <t>15.06.2027</t>
        </is>
      </c>
      <c r="E2554" t="inlineStr">
        <is>
          <t>Serbia</t>
        </is>
      </c>
    </row>
    <row r="2555">
      <c r="A2555" t="inlineStr">
        <is>
          <t>Marius Pedersen, a.s.,  Trenčín, Slovakia</t>
        </is>
      </c>
      <c r="B2555" t="inlineStr">
        <is>
          <t>Collecting Point, Trader with Storage</t>
        </is>
      </c>
      <c r="C2555" t="inlineStr">
        <is>
          <t>Bureau Veritas Polska Sp. z o.o., Warsaw, PL</t>
        </is>
      </c>
      <c r="D2555" t="inlineStr">
        <is>
          <t>15.06.2027</t>
        </is>
      </c>
      <c r="E2555" t="inlineStr">
        <is>
          <t>Slovakia</t>
        </is>
      </c>
    </row>
    <row r="2556">
      <c r="A2556" t="inlineStr">
        <is>
          <t>Shanghai Shangnan Zhixiang Packaging Equipment Technology Co., Ltd.,  Shanghai City, China</t>
        </is>
      </c>
      <c r="B2556" t="inlineStr">
        <is>
          <t>Collecting Point, Processing Unit, Trader with Storage</t>
        </is>
      </c>
      <c r="C2556" t="inlineStr">
        <is>
          <t>China Quality Certification Centre Co., Ltd., Beijing, CN</t>
        </is>
      </c>
      <c r="D2556" t="inlineStr">
        <is>
          <t>15.06.2027</t>
        </is>
      </c>
      <c r="E2556" t="inlineStr">
        <is>
          <t>China</t>
        </is>
      </c>
    </row>
    <row r="2557">
      <c r="A2557" t="inlineStr">
        <is>
          <t>InoMob LTD,  Paphos, Cyprus</t>
        </is>
      </c>
      <c r="B2557" t="inlineStr">
        <is>
          <t>Collecting Point, Processing Unit</t>
        </is>
      </c>
      <c r="C2557" t="inlineStr">
        <is>
          <t>RINA Services S.p.A., Genova, IT</t>
        </is>
      </c>
      <c r="D2557" t="inlineStr">
        <is>
          <t>15.06.2027</t>
        </is>
      </c>
      <c r="E2557" t="inlineStr">
        <is>
          <t>Cyprus</t>
        </is>
      </c>
    </row>
    <row r="2558">
      <c r="A2558" t="inlineStr">
        <is>
          <t>Eko Fotura Jani Bozic s.p.,  Crensovci, Slovenia</t>
        </is>
      </c>
      <c r="B2558" t="inlineStr">
        <is>
          <t>Collecting Point</t>
        </is>
      </c>
      <c r="C2558" t="inlineStr">
        <is>
          <t>Bureau Veritas Polska Sp. z o.o., Warsaw, PL</t>
        </is>
      </c>
      <c r="D2558" t="inlineStr">
        <is>
          <t>15.06.2027</t>
        </is>
      </c>
      <c r="E2558" t="inlineStr">
        <is>
          <t>Slovenia</t>
        </is>
      </c>
    </row>
    <row r="2559">
      <c r="A2559" t="inlineStr">
        <is>
          <t>Trans Oil Refinery,  Ceadir-Lunga, Moldova</t>
        </is>
      </c>
      <c r="B2559" t="inlineStr">
        <is>
          <t>First Gathering Point, Processing Unit, Trader with Storage</t>
        </is>
      </c>
      <c r="C2559" t="inlineStr">
        <is>
          <t>SGS Germany GmbH, Emstek, DE</t>
        </is>
      </c>
      <c r="D2559" t="inlineStr">
        <is>
          <t>15.06.2027</t>
        </is>
      </c>
      <c r="E2559" t="inlineStr">
        <is>
          <t>Moldova</t>
        </is>
      </c>
    </row>
    <row r="2560">
      <c r="A2560" t="inlineStr">
        <is>
          <t>CONSORZIO FORESTALE CAMPANIA - SOCIETA' CONSORTILE A RESPONSABILITA' LIMITATA,  Sicignano delgi Alburni (SA), Italy</t>
        </is>
      </c>
      <c r="B2560" t="inlineStr">
        <is>
          <t>First Gathering Point, Trader</t>
        </is>
      </c>
      <c r="C2560" t="inlineStr">
        <is>
          <t>RINA Services S.p.A., Genova, IT</t>
        </is>
      </c>
      <c r="D2560" t="inlineStr">
        <is>
          <t>15.06.2027</t>
        </is>
      </c>
      <c r="E2560" t="inlineStr">
        <is>
          <t>Italy</t>
        </is>
      </c>
    </row>
    <row r="2561">
      <c r="A2561" t="inlineStr">
        <is>
          <t>Mauer USA,  Hebron, KY, United States</t>
        </is>
      </c>
      <c r="B2561" t="inlineStr">
        <is>
          <t>Processing Unit</t>
        </is>
      </c>
      <c r="C2561" t="inlineStr">
        <is>
          <t>SCS Global Services, Emeryville, CA, US</t>
        </is>
      </c>
      <c r="D2561" t="inlineStr">
        <is>
          <t>15.06.2027</t>
        </is>
      </c>
      <c r="E2561" t="inlineStr">
        <is>
          <t>United States</t>
        </is>
      </c>
    </row>
    <row r="2562">
      <c r="A2562" t="inlineStr">
        <is>
          <t>Bio Etanol S.A.,  Siquinalá, Escuintla, Guatemala</t>
        </is>
      </c>
      <c r="B2562" t="inlineStr">
        <is>
          <t>Processing Unit</t>
        </is>
      </c>
      <c r="C2562" t="inlineStr">
        <is>
          <t>Control Union Poland Sp. z o.o., Zielona Gora, PL</t>
        </is>
      </c>
      <c r="D2562" t="inlineStr">
        <is>
          <t>15.06.2027</t>
        </is>
      </c>
      <c r="E2562" t="inlineStr">
        <is>
          <t>Guatemala</t>
        </is>
      </c>
    </row>
    <row r="2563">
      <c r="A2563" t="inlineStr">
        <is>
          <t>China Aviation Fuel Co., Ltd. Beijing Branch,  Beijing, China</t>
        </is>
      </c>
      <c r="B2563" t="inlineStr">
        <is>
          <t>Trader with Storage</t>
        </is>
      </c>
      <c r="C2563" t="inlineStr">
        <is>
          <t>China Quality Certification Centre Co., Ltd., Beijing, CN</t>
        </is>
      </c>
      <c r="D2563" t="inlineStr">
        <is>
          <t>15.06.2027</t>
        </is>
      </c>
      <c r="E2563" t="inlineStr">
        <is>
          <t>China</t>
        </is>
      </c>
    </row>
    <row r="2564">
      <c r="A2564" t="inlineStr">
        <is>
          <t>Agrimill Kft.,  Szeged, Hungary</t>
        </is>
      </c>
      <c r="B2564" t="inlineStr">
        <is>
          <t>First Gathering Point, Trader with Storage</t>
        </is>
      </c>
      <c r="C2564" t="inlineStr">
        <is>
          <t>Amspec Iberia SL, Vilagarcia de Arousa-Pontevedra, ES</t>
        </is>
      </c>
      <c r="D2564" t="inlineStr">
        <is>
          <t>15.06.2027</t>
        </is>
      </c>
      <c r="E2564" t="inlineStr">
        <is>
          <t>Hungary</t>
        </is>
      </c>
    </row>
    <row r="2565">
      <c r="A2565" t="inlineStr">
        <is>
          <t>Biodanubiana Cooperativa Agricola,  Popesti Leordeni, Romania</t>
        </is>
      </c>
      <c r="B2565" t="inlineStr">
        <is>
          <t>First Gathering Point</t>
        </is>
      </c>
      <c r="C2565" t="inlineStr">
        <is>
          <t>SRAC Cert SRL, Bucharest, RO</t>
        </is>
      </c>
      <c r="D2565" t="inlineStr">
        <is>
          <t>15.06.2027</t>
        </is>
      </c>
      <c r="E2565" t="inlineStr">
        <is>
          <t>Romania</t>
        </is>
      </c>
    </row>
    <row r="2566">
      <c r="A2566" t="inlineStr">
        <is>
          <t>BASF SE,  Ludwigshafen, Germany</t>
        </is>
      </c>
      <c r="B2566" t="inlineStr">
        <is>
          <t>Processing Unit</t>
        </is>
      </c>
      <c r="C2566" t="inlineStr">
        <is>
          <t>TÜV NORD CERT GmbH, Essen, DE</t>
        </is>
      </c>
      <c r="D2566" t="inlineStr">
        <is>
          <t>15.06.2027</t>
        </is>
      </c>
      <c r="E2566" t="inlineStr">
        <is>
          <t>Germany</t>
        </is>
      </c>
    </row>
    <row r="2567">
      <c r="A2567" t="inlineStr">
        <is>
          <t>WPR GLOBAL,  LORQUI, Spain</t>
        </is>
      </c>
      <c r="B2567" t="inlineStr">
        <is>
          <t>Processing Unit, Trader</t>
        </is>
      </c>
      <c r="C2567" t="inlineStr">
        <is>
          <t>Amspec Iberia SL, Vilagarcia de Arousa-Pontevedra, ES</t>
        </is>
      </c>
      <c r="D2567" t="inlineStr">
        <is>
          <t>15.06.2027</t>
        </is>
      </c>
      <c r="E2567" t="inlineStr">
        <is>
          <t>Spain</t>
        </is>
      </c>
    </row>
    <row r="2568">
      <c r="A2568" t="inlineStr">
        <is>
          <t>Tiryaki Grain FZE,  Dubai, The United Arab Emirates</t>
        </is>
      </c>
      <c r="B2568" t="inlineStr">
        <is>
          <t>Trader</t>
        </is>
      </c>
      <c r="C2568" t="inlineStr">
        <is>
          <t>PT Intertek Utama Services, Jakarta, ID</t>
        </is>
      </c>
      <c r="D2568" t="inlineStr">
        <is>
          <t>15.06.2027</t>
        </is>
      </c>
      <c r="E2568" t="inlineStr">
        <is>
          <t>The United Arab Emirates</t>
        </is>
      </c>
    </row>
    <row r="2569">
      <c r="A2569" t="inlineStr">
        <is>
          <t>Tiryaki Grain FZE,  Dubai, The United Arab Emirates</t>
        </is>
      </c>
      <c r="B2569" t="inlineStr">
        <is>
          <t>Trader</t>
        </is>
      </c>
      <c r="C2569" t="inlineStr">
        <is>
          <t>PT Intertek Utama Services, Jakarta, ID</t>
        </is>
      </c>
      <c r="D2569" t="inlineStr">
        <is>
          <t>15.06.2027</t>
        </is>
      </c>
      <c r="E2569" t="inlineStr">
        <is>
          <t>The United Arab Emirates</t>
        </is>
      </c>
    </row>
    <row r="2570">
      <c r="A2570" t="inlineStr">
        <is>
          <t>Mattel Bangkok Ltd.,  Muang Samutprakarn, Thailand</t>
        </is>
      </c>
      <c r="B2570" t="inlineStr">
        <is>
          <t>Processing Unit, Final Product Refinement, Trader with Storage</t>
        </is>
      </c>
      <c r="C2570" t="inlineStr">
        <is>
          <t>SCS Global Services, Emeryville, CA, US</t>
        </is>
      </c>
      <c r="D2570" t="inlineStr">
        <is>
          <t>15.06.2027</t>
        </is>
      </c>
      <c r="E2570" t="inlineStr">
        <is>
          <t>Thailand</t>
        </is>
      </c>
    </row>
    <row r="2571">
      <c r="A2571" t="inlineStr">
        <is>
          <t>Zhangzhou Haiyi Energy Chemical Co., Ltd,  Zhangpu County,Fujian Province, China</t>
        </is>
      </c>
      <c r="B2571" t="inlineStr">
        <is>
          <t>Trader with Storage</t>
        </is>
      </c>
      <c r="C2571" t="inlineStr">
        <is>
          <t>RINA Services S.p.A., Genova, IT</t>
        </is>
      </c>
      <c r="D2571" t="inlineStr">
        <is>
          <t>15.06.2027</t>
        </is>
      </c>
      <c r="E2571" t="inlineStr">
        <is>
          <t>China</t>
        </is>
      </c>
    </row>
    <row r="2572">
      <c r="A2572" t="inlineStr">
        <is>
          <t>Shenzhen Jinyi Rubber Board Co., Ltd.,  Shenzhen City, Guangdong Province, China</t>
        </is>
      </c>
      <c r="B2572" t="inlineStr">
        <is>
          <t>Processing Unit, Trader</t>
        </is>
      </c>
      <c r="C2572" t="inlineStr">
        <is>
          <t>SCS Global Services, Emeryville, CA, US</t>
        </is>
      </c>
      <c r="D2572" t="inlineStr">
        <is>
          <t>15.06.2027</t>
        </is>
      </c>
      <c r="E2572" t="inlineStr">
        <is>
          <t>China</t>
        </is>
      </c>
    </row>
    <row r="2573">
      <c r="A2573" t="inlineStr">
        <is>
          <t>FS Comercializacao de Etanol Ltda - ECE-GO,  Senador Canedo, Brazil</t>
        </is>
      </c>
      <c r="B2573" t="inlineStr">
        <is>
          <t>Trader with Storage</t>
        </is>
      </c>
      <c r="C2573" t="inlineStr">
        <is>
          <t>SCS Global Services, Emeryville, CA, US</t>
        </is>
      </c>
      <c r="D2573" t="inlineStr">
        <is>
          <t>15.06.2027</t>
        </is>
      </c>
      <c r="E2573" t="inlineStr">
        <is>
          <t>Brazil</t>
        </is>
      </c>
    </row>
    <row r="2574">
      <c r="A2574" t="inlineStr">
        <is>
          <t>FS Comercializacao de Etanol Ltda - ECE-GO,  Senador Canedo, Brazil</t>
        </is>
      </c>
      <c r="B2574" t="inlineStr">
        <is>
          <t>Trader with Storage</t>
        </is>
      </c>
      <c r="C2574" t="inlineStr">
        <is>
          <t>SCS Global Services, Emeryville, CA, US</t>
        </is>
      </c>
      <c r="D2574" t="inlineStr">
        <is>
          <t>15.06.2027</t>
        </is>
      </c>
      <c r="E2574" t="inlineStr">
        <is>
          <t>Brazil</t>
        </is>
      </c>
    </row>
    <row r="2575">
      <c r="A2575" t="inlineStr">
        <is>
          <t>GEBI PROIZVODNO-TRGOVSKO DRUSTVO SAOGRANICENOM ODGOVORNOSCU POCANTAVIR,  Čantavir, Serbia</t>
        </is>
      </c>
      <c r="B2575" t="inlineStr">
        <is>
          <t>First Gathering Point, Trader with Storage, Processing Unit</t>
        </is>
      </c>
      <c r="C2575" t="inlineStr">
        <is>
          <t>Control Union Certifications Germany GmbH, Berlin, DE</t>
        </is>
      </c>
      <c r="D2575" t="inlineStr">
        <is>
          <t>15.06.2027</t>
        </is>
      </c>
      <c r="E2575" t="inlineStr">
        <is>
          <t>Serbia</t>
        </is>
      </c>
    </row>
    <row r="2576">
      <c r="A2576" t="inlineStr">
        <is>
          <t>Mockenu,  Ąžuolinės k., Vievio sen., Elektrėnų r., Lithuania</t>
        </is>
      </c>
      <c r="B2576" t="inlineStr">
        <is>
          <t>Processing Unit</t>
        </is>
      </c>
      <c r="C2576" t="inlineStr">
        <is>
          <t>NCS Estonia OÜ, Tallinn, EE</t>
        </is>
      </c>
      <c r="D2576" t="inlineStr">
        <is>
          <t>15.06.2027</t>
        </is>
      </c>
      <c r="E2576" t="inlineStr">
        <is>
          <t>Lithuania</t>
        </is>
      </c>
    </row>
    <row r="2577">
      <c r="A2577" t="inlineStr">
        <is>
          <t>Masol Iberia Biofuel S.L.,  Ferrol, Spain</t>
        </is>
      </c>
      <c r="B2577" t="inlineStr">
        <is>
          <t>Point of Origin, Biomarine Fuel Operator, Processing Unit, Warehouse</t>
        </is>
      </c>
      <c r="C2577" t="inlineStr">
        <is>
          <t>GUT Certifizierungsgesellschaft für Managementsysteme mbH Umweltgutachter, Berlin, DE</t>
        </is>
      </c>
      <c r="D2577" t="inlineStr">
        <is>
          <t>15.06.2027</t>
        </is>
      </c>
      <c r="E2577" t="inlineStr">
        <is>
          <t>Spain</t>
        </is>
      </c>
    </row>
    <row r="2578">
      <c r="A2578" t="inlineStr">
        <is>
          <t>Solució Circular, S.L.,  Alberic, Spain</t>
        </is>
      </c>
      <c r="B2578" t="inlineStr">
        <is>
          <t>Collecting Point, Processing Unit, Trader with Storage, Point of Origin</t>
        </is>
      </c>
      <c r="C2578" t="inlineStr">
        <is>
          <t>Amspec Iberia SL, Vilagarcia de Arousa-Pontevedra, ES</t>
        </is>
      </c>
      <c r="D2578" t="inlineStr">
        <is>
          <t>15.06.2027</t>
        </is>
      </c>
      <c r="E2578" t="inlineStr">
        <is>
          <t>Spain</t>
        </is>
      </c>
    </row>
    <row r="2579">
      <c r="A2579" t="inlineStr">
        <is>
          <t>Beiselen Ges.m.b.H.,  Ennsdorf, Austria</t>
        </is>
      </c>
      <c r="B2579" t="inlineStr">
        <is>
          <t>First Gathering Point, Trader</t>
        </is>
      </c>
      <c r="C2579" t="inlineStr">
        <is>
          <t>agroVet GmbH, Enzersfeld, AT</t>
        </is>
      </c>
      <c r="D2579" t="inlineStr">
        <is>
          <t>15.06.2027</t>
        </is>
      </c>
      <c r="E2579" t="inlineStr">
        <is>
          <t>Austria</t>
        </is>
      </c>
    </row>
    <row r="2580">
      <c r="A2580" t="inlineStr">
        <is>
          <t>CHONGQING HUAFON CHEMICAL CO., LTD.,  Chongqing City, China</t>
        </is>
      </c>
      <c r="B2580" t="inlineStr">
        <is>
          <t>Processing Unit</t>
        </is>
      </c>
      <c r="C2580" t="inlineStr">
        <is>
          <t>DIN CERTCO GmbH, Berlin, DE</t>
        </is>
      </c>
      <c r="D2580" t="inlineStr">
        <is>
          <t>15.06.2027</t>
        </is>
      </c>
      <c r="E2580" t="inlineStr">
        <is>
          <t>China</t>
        </is>
      </c>
    </row>
    <row r="2581">
      <c r="A2581" t="inlineStr">
        <is>
          <t>Agrozóna Elit'24 Kft.,  Magyaralmás, Hungary</t>
        </is>
      </c>
      <c r="B2581" t="inlineStr">
        <is>
          <t>Trader with Storage, First Gathering Point</t>
        </is>
      </c>
      <c r="C2581" t="inlineStr">
        <is>
          <t>BM Certification, Riga, LV</t>
        </is>
      </c>
      <c r="D2581" t="inlineStr">
        <is>
          <t>15.06.2027</t>
        </is>
      </c>
      <c r="E2581" t="inlineStr">
        <is>
          <t>Hungary</t>
        </is>
      </c>
    </row>
    <row r="2582">
      <c r="A2582" t="inlineStr">
        <is>
          <t>Povoas Packaging Limited,  Desborough, United Kingdom</t>
        </is>
      </c>
      <c r="B2582" t="inlineStr">
        <is>
          <t>Processing Unit</t>
        </is>
      </c>
      <c r="C2582" t="inlineStr">
        <is>
          <t>SGS Germany GmbH, Emstek, DE</t>
        </is>
      </c>
      <c r="D2582" t="inlineStr">
        <is>
          <t>15.06.2027</t>
        </is>
      </c>
      <c r="E2582" t="inlineStr">
        <is>
          <t>United Kingdom</t>
        </is>
      </c>
    </row>
    <row r="2583">
      <c r="A2583" t="inlineStr">
        <is>
          <t>CHENG FONG PLASTICS CO., LTD.,  Longtan Dist., Taoyuan City, Taiwan, Province of China</t>
        </is>
      </c>
      <c r="B2583" t="inlineStr">
        <is>
          <t>Processing Unit</t>
        </is>
      </c>
      <c r="C2583" t="inlineStr">
        <is>
          <t>Bureau Veritas Polska Sp. z o.o., Warsaw, PL</t>
        </is>
      </c>
      <c r="D2583" t="inlineStr">
        <is>
          <t>14.06.2027</t>
        </is>
      </c>
      <c r="E2583" t="inlineStr">
        <is>
          <t>Province of China</t>
        </is>
      </c>
    </row>
    <row r="2584">
      <c r="A2584" t="inlineStr">
        <is>
          <t>Stena Oil AB,  Gothenburg, Sweden</t>
        </is>
      </c>
      <c r="B2584" t="inlineStr">
        <is>
          <t>Trader with Storage</t>
        </is>
      </c>
      <c r="C2584" t="inlineStr">
        <is>
          <t>DNV Business Assurance Sweden AB, Solna, SE</t>
        </is>
      </c>
      <c r="D2584" t="inlineStr">
        <is>
          <t>14.06.2027</t>
        </is>
      </c>
      <c r="E2584" t="inlineStr">
        <is>
          <t>Sweden</t>
        </is>
      </c>
    </row>
    <row r="2585">
      <c r="A2585" t="inlineStr">
        <is>
          <t>CHANCE WIN LIMITED,  ZHANGMUTOU DONGGUAN, China</t>
        </is>
      </c>
      <c r="B2585" t="inlineStr">
        <is>
          <t>Trader</t>
        </is>
      </c>
      <c r="C2585" t="inlineStr">
        <is>
          <t>RINA Services S.p.A., Genova, IT</t>
        </is>
      </c>
      <c r="D2585" t="inlineStr">
        <is>
          <t>14.06.2027</t>
        </is>
      </c>
      <c r="E2585" t="inlineStr">
        <is>
          <t>China</t>
        </is>
      </c>
    </row>
    <row r="2586">
      <c r="A2586" t="inlineStr">
        <is>
          <t>INTERTRADE (GARBO) LIMITED,  ZHANGMUTOU DONGGUAN, China</t>
        </is>
      </c>
      <c r="B2586" t="inlineStr">
        <is>
          <t>Trader</t>
        </is>
      </c>
      <c r="C2586" t="inlineStr">
        <is>
          <t>RINA Services S.p.A., Genova, IT</t>
        </is>
      </c>
      <c r="D2586" t="inlineStr">
        <is>
          <t>14.06.2027</t>
        </is>
      </c>
      <c r="E2586" t="inlineStr">
        <is>
          <t>China</t>
        </is>
      </c>
    </row>
    <row r="2587">
      <c r="A2587" t="inlineStr">
        <is>
          <t>Agro Invest Valea Dacilor Srl,  Valea Dacilor, Romania</t>
        </is>
      </c>
      <c r="B2587" t="inlineStr">
        <is>
          <t>First Gathering Point, Trader with Storage</t>
        </is>
      </c>
      <c r="C2587" t="inlineStr">
        <is>
          <t>SGS Germany GmbH, Emstek, DE</t>
        </is>
      </c>
      <c r="D2587" t="inlineStr">
        <is>
          <t>14.06.2027</t>
        </is>
      </c>
      <c r="E2587" t="inlineStr">
        <is>
          <t>Romania</t>
        </is>
      </c>
    </row>
    <row r="2588">
      <c r="A2588" t="inlineStr">
        <is>
          <t>IOI Edible Oils Sdn Bhd,  Sandakan, Malaysia</t>
        </is>
      </c>
      <c r="B2588" t="inlineStr">
        <is>
          <t>Point of Origin, Trader with Storage</t>
        </is>
      </c>
      <c r="C2588" t="inlineStr">
        <is>
          <t>SGS Germany GmbH, Emstek, DE</t>
        </is>
      </c>
      <c r="D2588" t="inlineStr">
        <is>
          <t>14.06.2027</t>
        </is>
      </c>
      <c r="E2588" t="inlineStr">
        <is>
          <t>Malaysia</t>
        </is>
      </c>
    </row>
    <row r="2589">
      <c r="A2589" t="inlineStr">
        <is>
          <t>Vestjyllands Andel,  Herning, Denmark</t>
        </is>
      </c>
      <c r="B2589" t="inlineStr">
        <is>
          <t>Central Office (Group of Point of Origin), First Gathering Point</t>
        </is>
      </c>
      <c r="C2589" t="inlineStr">
        <is>
          <t>Baltic Control Certification, Albertslund, DK</t>
        </is>
      </c>
      <c r="D2589" t="inlineStr">
        <is>
          <t>14.06.2027</t>
        </is>
      </c>
      <c r="E2589" t="inlineStr">
        <is>
          <t>Denmark</t>
        </is>
      </c>
    </row>
    <row r="2590">
      <c r="A2590" t="inlineStr">
        <is>
          <t>SNC Lactel,  Change, France</t>
        </is>
      </c>
      <c r="B2590" t="inlineStr">
        <is>
          <t>Trader</t>
        </is>
      </c>
      <c r="C2590" t="inlineStr">
        <is>
          <t>Control Union Certifications Germany GmbH, Berlin, DE</t>
        </is>
      </c>
      <c r="D2590" t="inlineStr">
        <is>
          <t>14.06.2027</t>
        </is>
      </c>
      <c r="E2590" t="inlineStr">
        <is>
          <t>France</t>
        </is>
      </c>
    </row>
    <row r="2591">
      <c r="A2591" t="inlineStr">
        <is>
          <t>ECOEN,  El Carmen, Nuevo León, Mexico</t>
        </is>
      </c>
      <c r="B2591" t="inlineStr">
        <is>
          <t>Collecting Point</t>
        </is>
      </c>
      <c r="C2591" t="inlineStr">
        <is>
          <t>SCS Global Services, Emeryville, CA, US</t>
        </is>
      </c>
      <c r="D2591" t="inlineStr">
        <is>
          <t>14.06.2027</t>
        </is>
      </c>
      <c r="E2591" t="inlineStr">
        <is>
          <t>Mexico</t>
        </is>
      </c>
    </row>
    <row r="2592">
      <c r="A2592" t="inlineStr">
        <is>
          <t>PETROFORCE TRADING AND SHIPPING SA,  Geneva, Switzerland</t>
        </is>
      </c>
      <c r="B2592" t="inlineStr">
        <is>
          <t>Trader with Storage</t>
        </is>
      </c>
      <c r="C2592" t="inlineStr">
        <is>
          <t>BM Certification, Riga, LV</t>
        </is>
      </c>
      <c r="D2592" t="inlineStr">
        <is>
          <t>14.06.2027</t>
        </is>
      </c>
      <c r="E2592" t="inlineStr">
        <is>
          <t>Switzerland</t>
        </is>
      </c>
    </row>
    <row r="2593">
      <c r="A2593" t="inlineStr">
        <is>
          <t>Aectra Plastics EOOD,  Sofia, Bulgaria</t>
        </is>
      </c>
      <c r="B2593" t="inlineStr">
        <is>
          <t>Trader with Storage</t>
        </is>
      </c>
      <c r="C2593" t="inlineStr">
        <is>
          <t>SGS Germany GmbH, Emstek, DE</t>
        </is>
      </c>
      <c r="D2593" t="inlineStr">
        <is>
          <t>14.06.2027</t>
        </is>
      </c>
      <c r="E2593" t="inlineStr">
        <is>
          <t>Bulgaria</t>
        </is>
      </c>
    </row>
    <row r="2594">
      <c r="A2594" t="inlineStr">
        <is>
          <t>Oxalis Chemicals Ltd.,  Chiyoda-ku, Tokyo, Japan</t>
        </is>
      </c>
      <c r="B2594" t="inlineStr">
        <is>
          <t>Trader with Storage</t>
        </is>
      </c>
      <c r="C2594" t="inlineStr">
        <is>
          <t>SGS Germany GmbH, Emstek, DE</t>
        </is>
      </c>
      <c r="D2594" t="inlineStr">
        <is>
          <t>14.06.2027</t>
        </is>
      </c>
      <c r="E2594" t="inlineStr">
        <is>
          <t>Japan</t>
        </is>
      </c>
    </row>
    <row r="2595">
      <c r="A2595" t="inlineStr">
        <is>
          <t>SUSTAINABLE FUELS TECHNOLOGY LIMITED,  Shanghai, China</t>
        </is>
      </c>
      <c r="B2595" t="inlineStr">
        <is>
          <t>Trader</t>
        </is>
      </c>
      <c r="C2595" t="inlineStr">
        <is>
          <t>CTI Certification Co. Ltd, Shenzhen, CN</t>
        </is>
      </c>
      <c r="D2595" t="inlineStr">
        <is>
          <t>14.06.2027</t>
        </is>
      </c>
      <c r="E2595" t="inlineStr">
        <is>
          <t>China</t>
        </is>
      </c>
    </row>
    <row r="2596">
      <c r="A2596" t="inlineStr">
        <is>
          <t>Moririn Co., Ltd. Nagoya Branch,  Nagoya-shi, Aichi, Japan</t>
        </is>
      </c>
      <c r="B2596" t="inlineStr">
        <is>
          <t>Trader</t>
        </is>
      </c>
      <c r="C2596" t="inlineStr">
        <is>
          <t>PT Intertek Utama Services, Jakarta, ID</t>
        </is>
      </c>
      <c r="D2596" t="inlineStr">
        <is>
          <t>14.06.2027</t>
        </is>
      </c>
      <c r="E2596" t="inlineStr">
        <is>
          <t>Japan</t>
        </is>
      </c>
    </row>
    <row r="2597">
      <c r="A2597" t="inlineStr">
        <is>
          <t>Guizhou Ju'an Energy Co., Ltd,  Guizhou, China</t>
        </is>
      </c>
      <c r="B2597" t="inlineStr">
        <is>
          <t>Trader</t>
        </is>
      </c>
      <c r="C2597" t="inlineStr">
        <is>
          <t>PT Intertek Utama Services, Jakarta, ID</t>
        </is>
      </c>
      <c r="D2597" t="inlineStr">
        <is>
          <t>14.06.2027</t>
        </is>
      </c>
      <c r="E2597" t="inlineStr">
        <is>
          <t>China</t>
        </is>
      </c>
    </row>
    <row r="2598">
      <c r="A2598" t="inlineStr">
        <is>
          <t>Zhangjiagang Coolist Life Technology Co.,Ltd.,  Suzhou City, China</t>
        </is>
      </c>
      <c r="B2598" t="inlineStr">
        <is>
          <t>Processing Unit</t>
        </is>
      </c>
      <c r="C2598" t="inlineStr">
        <is>
          <t>PT Intertek Utama Services, Jakarta, ID</t>
        </is>
      </c>
      <c r="D2598" t="inlineStr">
        <is>
          <t>14.06.2027</t>
        </is>
      </c>
      <c r="E2598" t="inlineStr">
        <is>
          <t>China</t>
        </is>
      </c>
    </row>
    <row r="2599">
      <c r="A2599" t="inlineStr">
        <is>
          <t>Partner R.B. spol. s r.o.,  Bratislava, Slovakia</t>
        </is>
      </c>
      <c r="B2599" t="inlineStr">
        <is>
          <t>First Gathering Point, Trader with Storage</t>
        </is>
      </c>
      <c r="C2599" t="inlineStr">
        <is>
          <t>United Registrar of Systems Polska Sp. z o.o., Wrocław, PL</t>
        </is>
      </c>
      <c r="D2599" t="inlineStr">
        <is>
          <t>14.06.2027</t>
        </is>
      </c>
      <c r="E2599" t="inlineStr">
        <is>
          <t>Slovakia</t>
        </is>
      </c>
    </row>
    <row r="2600">
      <c r="A2600" t="inlineStr">
        <is>
          <t>Partner R.B. spol. s r.o.,  Bratislava, Slovakia</t>
        </is>
      </c>
      <c r="B2600" t="inlineStr">
        <is>
          <t>First Gathering Point, Trader with Storage</t>
        </is>
      </c>
      <c r="C2600" t="inlineStr">
        <is>
          <t>United Registrar of Systems Polska Sp. z o.o., Wrocław, PL</t>
        </is>
      </c>
      <c r="D2600" t="inlineStr">
        <is>
          <t>14.06.2027</t>
        </is>
      </c>
      <c r="E2600" t="inlineStr">
        <is>
          <t>Slovakia</t>
        </is>
      </c>
    </row>
    <row r="2601">
      <c r="A2601" t="inlineStr">
        <is>
          <t>Migasa Aceites S.L.U.,  La Roda de Andalucia (Sevilla), Spain</t>
        </is>
      </c>
      <c r="B2601" t="inlineStr">
        <is>
          <t>First Gathering Point, Point of Origin, Trader with Storage, Processing Unit, Warehouse</t>
        </is>
      </c>
      <c r="C2601" t="inlineStr">
        <is>
          <t>PT Intertek Utama Services, Jakarta, ID</t>
        </is>
      </c>
      <c r="D2601" t="inlineStr">
        <is>
          <t>14.06.2027</t>
        </is>
      </c>
      <c r="E2601" t="inlineStr">
        <is>
          <t>Spain</t>
        </is>
      </c>
    </row>
    <row r="2602">
      <c r="A2602" t="inlineStr">
        <is>
          <t>Voulgarakis Georgios PC,  Edessa, Greece</t>
        </is>
      </c>
      <c r="B2602" t="inlineStr">
        <is>
          <t>Point of Origin</t>
        </is>
      </c>
      <c r="C2602" t="inlineStr">
        <is>
          <t>QMSCERT S.A., Pylaia, Thessaloniki, GR</t>
        </is>
      </c>
      <c r="D2602" t="inlineStr">
        <is>
          <t>14.06.2027</t>
        </is>
      </c>
      <c r="E2602" t="inlineStr">
        <is>
          <t>Greece</t>
        </is>
      </c>
    </row>
    <row r="2603">
      <c r="A2603" t="inlineStr">
        <is>
          <t>SUNOLTA PROTEIN LTD,  Zolotonosha, Cherkasy region, Ukraine</t>
        </is>
      </c>
      <c r="B2603" t="inlineStr">
        <is>
          <t>First Gathering Point, Processing Unit, Trader with Storage</t>
        </is>
      </c>
      <c r="C2603" t="inlineStr">
        <is>
          <t>Apex Genelab LLC, Odessa, UA</t>
        </is>
      </c>
      <c r="D2603" t="inlineStr">
        <is>
          <t>14.06.2027</t>
        </is>
      </c>
      <c r="E2603" t="inlineStr">
        <is>
          <t>Ukraine</t>
        </is>
      </c>
    </row>
    <row r="2604">
      <c r="A2604" t="inlineStr">
        <is>
          <t>Energi Resources Terpadu,  Kota Bandar Lampung, Indonesia</t>
        </is>
      </c>
      <c r="B2604" t="inlineStr">
        <is>
          <t>Point of Origin, Processing Unit, Trader with Storage</t>
        </is>
      </c>
      <c r="C2604" t="inlineStr">
        <is>
          <t>PT. Qualitas Sertifikasi Indonesia, Jakarta, ID</t>
        </is>
      </c>
      <c r="D2604" t="inlineStr">
        <is>
          <t>14.06.2027</t>
        </is>
      </c>
      <c r="E2604" t="inlineStr">
        <is>
          <t>Indonesia</t>
        </is>
      </c>
    </row>
    <row r="2605">
      <c r="A2605" t="inlineStr">
        <is>
          <t>Saviolife,  Radicofani, Italy</t>
        </is>
      </c>
      <c r="B2605" t="inlineStr">
        <is>
          <t>Point of Origin</t>
        </is>
      </c>
      <c r="C2605" t="inlineStr">
        <is>
          <t>PT Intertek Utama Services, Jakarta, ID</t>
        </is>
      </c>
      <c r="D2605" t="inlineStr">
        <is>
          <t>14.06.2027</t>
        </is>
      </c>
      <c r="E2605" t="inlineStr">
        <is>
          <t>Italy</t>
        </is>
      </c>
    </row>
    <row r="2606">
      <c r="A2606" t="inlineStr">
        <is>
          <t>Sinar Randu Indah,  Tulang Bawang Barat, Indonesia</t>
        </is>
      </c>
      <c r="B2606" t="inlineStr">
        <is>
          <t>Point of Origin</t>
        </is>
      </c>
      <c r="C2606" t="inlineStr">
        <is>
          <t>PT TSI Sertifikasi Internasional, Jakarta Selatang, ID</t>
        </is>
      </c>
      <c r="D2606" t="inlineStr">
        <is>
          <t>14.06.2027</t>
        </is>
      </c>
      <c r="E2606" t="inlineStr">
        <is>
          <t>Indonesia</t>
        </is>
      </c>
    </row>
    <row r="2607">
      <c r="A2607" t="inlineStr">
        <is>
          <t>Villacher Saubermacher GmbH &amp; Co KG,  Villach, Austria</t>
        </is>
      </c>
      <c r="B2607" t="inlineStr">
        <is>
          <t>Collecting Point, Point of Origin</t>
        </is>
      </c>
      <c r="C2607" t="inlineStr">
        <is>
          <t>agroVet GmbH, Enzersfeld, AT</t>
        </is>
      </c>
      <c r="D2607" t="inlineStr">
        <is>
          <t>14.06.2027</t>
        </is>
      </c>
      <c r="E2607" t="inlineStr">
        <is>
          <t>Austria</t>
        </is>
      </c>
    </row>
    <row r="2608">
      <c r="A2608" t="inlineStr">
        <is>
          <t>Piquiri Ambiental LTDA,  Pinhais, Brazil</t>
        </is>
      </c>
      <c r="B2608" t="inlineStr">
        <is>
          <t>Collecting Point, Point of Origin, Processing Unit</t>
        </is>
      </c>
      <c r="C2608" t="inlineStr">
        <is>
          <t>QIMA, Centro, Botucatu - SP, CEP, BR</t>
        </is>
      </c>
      <c r="D2608" t="inlineStr">
        <is>
          <t>14.06.2027</t>
        </is>
      </c>
      <c r="E2608" t="inlineStr">
        <is>
          <t>Brazil</t>
        </is>
      </c>
    </row>
    <row r="2609">
      <c r="A2609" t="inlineStr">
        <is>
          <t>Zhongfu Shenying Carbon Fiber Xining Co., Ltd,  Xining City, China</t>
        </is>
      </c>
      <c r="B2609" t="inlineStr">
        <is>
          <t>Processing Unit</t>
        </is>
      </c>
      <c r="C2609" t="inlineStr">
        <is>
          <t>Bureau Veritas Polska Sp. z o.o., Warsaw, PL</t>
        </is>
      </c>
      <c r="D2609" t="inlineStr">
        <is>
          <t>14.06.2027</t>
        </is>
      </c>
      <c r="E2609" t="inlineStr">
        <is>
          <t>China</t>
        </is>
      </c>
    </row>
    <row r="2610">
      <c r="A2610" t="inlineStr">
        <is>
          <t>Tagaddod for Programming new Energy and Renewable Energy,  Giza, Egypt</t>
        </is>
      </c>
      <c r="B2610" t="inlineStr">
        <is>
          <t>Collecting Point, Trader with Storage, Warehouse</t>
        </is>
      </c>
      <c r="C2610" t="inlineStr">
        <is>
          <t>PT Intertek Utama Services, Jakarta, ID</t>
        </is>
      </c>
      <c r="D2610" t="inlineStr">
        <is>
          <t>14.06.2027</t>
        </is>
      </c>
      <c r="E2610" t="inlineStr">
        <is>
          <t>Egypt</t>
        </is>
      </c>
    </row>
    <row r="2611">
      <c r="A2611" t="inlineStr">
        <is>
          <t>Top Five for Trading,  Al Fath District, Egypt</t>
        </is>
      </c>
      <c r="B2611" t="inlineStr">
        <is>
          <t>Collecting Point, Trader with Storage, Warehouse</t>
        </is>
      </c>
      <c r="C2611" t="inlineStr">
        <is>
          <t>PT Intertek Utama Services, Jakarta, ID</t>
        </is>
      </c>
      <c r="D2611" t="inlineStr">
        <is>
          <t>14.06.2027</t>
        </is>
      </c>
      <c r="E2611" t="inlineStr">
        <is>
          <t>Egypt</t>
        </is>
      </c>
    </row>
    <row r="2612">
      <c r="A2612" t="inlineStr">
        <is>
          <t>Piquiri Ambiental LTDA,  Pinhais, Brazil</t>
        </is>
      </c>
      <c r="B2612" t="inlineStr">
        <is>
          <t>Collecting Point, Point of Origin, Processing Unit</t>
        </is>
      </c>
      <c r="C2612" t="inlineStr">
        <is>
          <t>QIMA, Centro, Botucatu - SP, CEP, BR</t>
        </is>
      </c>
      <c r="D2612" t="inlineStr">
        <is>
          <t>14.06.2027</t>
        </is>
      </c>
      <c r="E2612" t="inlineStr">
        <is>
          <t>Brazil</t>
        </is>
      </c>
    </row>
    <row r="2613">
      <c r="A2613" t="inlineStr">
        <is>
          <t>SAMPAX SRL,  SATU MARE, Romania</t>
        </is>
      </c>
      <c r="B2613" t="inlineStr">
        <is>
          <t>Farm / Plantation, First Gathering Point</t>
        </is>
      </c>
      <c r="C2613" t="inlineStr">
        <is>
          <t>SRAC Cert SRL, Bucharest, RO</t>
        </is>
      </c>
      <c r="D2613" t="inlineStr">
        <is>
          <t>14.06.2027</t>
        </is>
      </c>
      <c r="E2613" t="inlineStr">
        <is>
          <t>Romania</t>
        </is>
      </c>
    </row>
    <row r="2614">
      <c r="A2614" t="inlineStr">
        <is>
          <t>Piquiri Ambiental LTDA,  Pinhais, Brazil</t>
        </is>
      </c>
      <c r="B2614" t="inlineStr">
        <is>
          <t>Collecting Point, Point of Origin, Processing Unit</t>
        </is>
      </c>
      <c r="C2614" t="inlineStr">
        <is>
          <t>QIMA, Centro, Botucatu - SP, CEP, BR</t>
        </is>
      </c>
      <c r="D2614" t="inlineStr">
        <is>
          <t>14.06.2027</t>
        </is>
      </c>
      <c r="E2614" t="inlineStr">
        <is>
          <t>Brazil</t>
        </is>
      </c>
    </row>
    <row r="2615">
      <c r="A2615" t="inlineStr">
        <is>
          <t>Piquiri Ambiental LTDA,  Pinhais, Brazil</t>
        </is>
      </c>
      <c r="B2615" t="inlineStr">
        <is>
          <t>Collecting Point, Point of Origin, Processing Unit</t>
        </is>
      </c>
      <c r="C2615" t="inlineStr">
        <is>
          <t>QIMA, Centro, Botucatu - SP, CEP, BR</t>
        </is>
      </c>
      <c r="D2615" t="inlineStr">
        <is>
          <t>14.06.2027</t>
        </is>
      </c>
      <c r="E2615" t="inlineStr">
        <is>
          <t>Brazil</t>
        </is>
      </c>
    </row>
    <row r="2616">
      <c r="A2616" t="inlineStr">
        <is>
          <t>ML Traiding,  Riga, Latvia</t>
        </is>
      </c>
      <c r="B2616" t="inlineStr">
        <is>
          <t>Trader</t>
        </is>
      </c>
      <c r="C2616" t="inlineStr">
        <is>
          <t>BM Certification, Riga, LV</t>
        </is>
      </c>
      <c r="D2616" t="inlineStr">
        <is>
          <t>14.06.2027</t>
        </is>
      </c>
      <c r="E2616" t="inlineStr">
        <is>
          <t>Latvia</t>
        </is>
      </c>
    </row>
    <row r="2617">
      <c r="A2617" t="inlineStr">
        <is>
          <t>Wacker Chemie AG,  Burghausen, Germany</t>
        </is>
      </c>
      <c r="B2617" t="inlineStr">
        <is>
          <t>Processing Unit</t>
        </is>
      </c>
      <c r="C2617" t="inlineStr">
        <is>
          <t>TÜV NORD CERT GmbH, Essen, DE</t>
        </is>
      </c>
      <c r="D2617" t="inlineStr">
        <is>
          <t>14.06.2027</t>
        </is>
      </c>
      <c r="E2617" t="inlineStr">
        <is>
          <t>Germany</t>
        </is>
      </c>
    </row>
    <row r="2618">
      <c r="A2618" t="inlineStr">
        <is>
          <t>CDSR sp. z o.o.,  Mszczonów, Poland</t>
        </is>
      </c>
      <c r="B2618" t="inlineStr">
        <is>
          <t>Collecting Point, Point of Origin, Trader with Storage</t>
        </is>
      </c>
      <c r="C2618" t="inlineStr">
        <is>
          <t>BM Certification, Riga, LV</t>
        </is>
      </c>
      <c r="D2618" t="inlineStr">
        <is>
          <t>14.06.2027</t>
        </is>
      </c>
      <c r="E2618" t="inlineStr">
        <is>
          <t>Poland</t>
        </is>
      </c>
    </row>
    <row r="2619">
      <c r="A2619" t="inlineStr">
        <is>
          <t>Asociatia Consortiu de Extensie Si Dezvoltare Rurala,  Valcelele, Judetul Calarasi, Romania</t>
        </is>
      </c>
      <c r="B2619" t="inlineStr">
        <is>
          <t>First Gathering Point</t>
        </is>
      </c>
      <c r="C2619" t="inlineStr">
        <is>
          <t>SRAC Cert SRL, Bucharest, RO</t>
        </is>
      </c>
      <c r="D2619" t="inlineStr">
        <is>
          <t>14.06.2027</t>
        </is>
      </c>
      <c r="E2619" t="inlineStr">
        <is>
          <t>Romania</t>
        </is>
      </c>
    </row>
    <row r="2620">
      <c r="A2620" t="inlineStr">
        <is>
          <t>BRUNO GIOVANNI,  MARTINA FRANCA, Italy</t>
        </is>
      </c>
      <c r="B2620" t="inlineStr">
        <is>
          <t>First Gathering Point, Processing Unit</t>
        </is>
      </c>
      <c r="C2620" t="inlineStr">
        <is>
          <t>RINA Services S.p.A., Genova, IT</t>
        </is>
      </c>
      <c r="D2620" t="inlineStr">
        <is>
          <t>14.06.2027</t>
        </is>
      </c>
      <c r="E2620" t="inlineStr">
        <is>
          <t>Italy</t>
        </is>
      </c>
    </row>
    <row r="2621">
      <c r="A2621" t="inlineStr">
        <is>
          <t>A.D. COMPOUND,  Galliate, Novara, Italy</t>
        </is>
      </c>
      <c r="B2621" t="inlineStr">
        <is>
          <t>Collecting Point, Processing Unit</t>
        </is>
      </c>
      <c r="C2621" t="inlineStr">
        <is>
          <t>ICIM SpA, sesto san giovanni, IT</t>
        </is>
      </c>
      <c r="D2621" t="inlineStr">
        <is>
          <t>13.06.2027</t>
        </is>
      </c>
      <c r="E2621" t="inlineStr">
        <is>
          <t>Italy</t>
        </is>
      </c>
    </row>
    <row r="2622">
      <c r="A2622" t="inlineStr">
        <is>
          <t>Hefei Feifan Biotechnology Co., Ltd.,  Hefei City, Anhui Province, China</t>
        </is>
      </c>
      <c r="B2622" t="inlineStr">
        <is>
          <t>Collecting Point, Processing Unit</t>
        </is>
      </c>
      <c r="C2622" t="inlineStr">
        <is>
          <t>RINA Services S.p.A., Genova, IT</t>
        </is>
      </c>
      <c r="D2622" t="inlineStr">
        <is>
          <t>13.06.2027</t>
        </is>
      </c>
      <c r="E2622" t="inlineStr">
        <is>
          <t>China</t>
        </is>
      </c>
    </row>
    <row r="2623">
      <c r="A2623" t="inlineStr">
        <is>
          <t>Nouryon Chemicals,  Cologne, Germany</t>
        </is>
      </c>
      <c r="B2623" t="inlineStr">
        <is>
          <t>Processing Unit</t>
        </is>
      </c>
      <c r="C2623" t="inlineStr">
        <is>
          <t>DNV Business Assurance Sweden AB, Solna, SE</t>
        </is>
      </c>
      <c r="D2623" t="inlineStr">
        <is>
          <t>13.06.2027</t>
        </is>
      </c>
      <c r="E2623" t="inlineStr">
        <is>
          <t>Germany</t>
        </is>
      </c>
    </row>
    <row r="2624">
      <c r="A2624" t="inlineStr">
        <is>
          <t>Cabot Japan,  Ichihara-shi, Chiba, Japan</t>
        </is>
      </c>
      <c r="B2624" t="inlineStr">
        <is>
          <t>Processing Unit, Warehouse</t>
        </is>
      </c>
      <c r="C2624" t="inlineStr">
        <is>
          <t>Bureau Veritas Polska Sp. z o.o., Warsaw, PL</t>
        </is>
      </c>
      <c r="D2624" t="inlineStr">
        <is>
          <t>13.06.2027</t>
        </is>
      </c>
      <c r="E2624" t="inlineStr">
        <is>
          <t>Japan</t>
        </is>
      </c>
    </row>
    <row r="2625">
      <c r="A2625" t="inlineStr">
        <is>
          <t>SC FIDOLO COM SRL,  Sat Cirligi, Comuna Filipesti, Romania</t>
        </is>
      </c>
      <c r="B2625" t="inlineStr">
        <is>
          <t>First Gathering Point</t>
        </is>
      </c>
      <c r="C2625" t="inlineStr">
        <is>
          <t>SGS Germany GmbH, Emstek, DE</t>
        </is>
      </c>
      <c r="D2625" t="inlineStr">
        <is>
          <t>13.06.2027</t>
        </is>
      </c>
      <c r="E2625" t="inlineStr">
        <is>
          <t>Romania</t>
        </is>
      </c>
    </row>
    <row r="2626">
      <c r="A2626" t="inlineStr">
        <is>
          <t>VAROPreem Sverige AB,  Lysekil, Sweden</t>
        </is>
      </c>
      <c r="B2626" t="inlineStr">
        <is>
          <t>Processing Unit</t>
        </is>
      </c>
      <c r="C2626" t="inlineStr">
        <is>
          <t>DNV Business Assurance Sweden AB, Solna, SE</t>
        </is>
      </c>
      <c r="D2626" t="inlineStr">
        <is>
          <t>13.06.2027</t>
        </is>
      </c>
      <c r="E2626" t="inlineStr">
        <is>
          <t>Sweden</t>
        </is>
      </c>
    </row>
    <row r="2627">
      <c r="A2627" t="inlineStr">
        <is>
          <t>VAROPreem Sverige AB,  Lysekil, Sweden</t>
        </is>
      </c>
      <c r="B2627" t="inlineStr">
        <is>
          <t>Processing Unit</t>
        </is>
      </c>
      <c r="C2627" t="inlineStr">
        <is>
          <t>DNV Business Assurance Sweden AB, Solna, SE</t>
        </is>
      </c>
      <c r="D2627" t="inlineStr">
        <is>
          <t>13.06.2027</t>
        </is>
      </c>
      <c r="E2627" t="inlineStr">
        <is>
          <t>Sweden</t>
        </is>
      </c>
    </row>
    <row r="2628">
      <c r="A2628" t="inlineStr">
        <is>
          <t>Equistar Chemicals, LP,  Channelview, TX, The United States of America</t>
        </is>
      </c>
      <c r="B2628" t="inlineStr">
        <is>
          <t>Processing Unit, Trader with Storage</t>
        </is>
      </c>
      <c r="C2628" t="inlineStr">
        <is>
          <t>SCS Global Services, Emeryville, CA, US</t>
        </is>
      </c>
      <c r="D2628" t="inlineStr">
        <is>
          <t>13.06.2027</t>
        </is>
      </c>
      <c r="E2628" t="inlineStr">
        <is>
          <t>The United States of America</t>
        </is>
      </c>
    </row>
    <row r="2629">
      <c r="A2629" t="inlineStr">
        <is>
          <t>LDC Argentina S.A.,  Timbues Santa Fe, Argentina</t>
        </is>
      </c>
      <c r="B2629" t="inlineStr">
        <is>
          <t>Point of Origin, Processing Unit</t>
        </is>
      </c>
      <c r="C2629" t="inlineStr">
        <is>
          <t>Control Union Poland Sp. z o.o., Zielona Gora, PL</t>
        </is>
      </c>
      <c r="D2629" t="inlineStr">
        <is>
          <t>13.06.2027</t>
        </is>
      </c>
      <c r="E2629" t="inlineStr">
        <is>
          <t>Argentina</t>
        </is>
      </c>
    </row>
    <row r="2630">
      <c r="A2630" t="inlineStr">
        <is>
          <t>Equistar Chemicals, LP,  Pasadena, Texas, United States</t>
        </is>
      </c>
      <c r="B2630" t="inlineStr">
        <is>
          <t>Processing Unit</t>
        </is>
      </c>
      <c r="C2630" t="inlineStr">
        <is>
          <t>SCS Global Services, Emeryville, CA, US</t>
        </is>
      </c>
      <c r="D2630" t="inlineStr">
        <is>
          <t>13.06.2027</t>
        </is>
      </c>
      <c r="E2630" t="inlineStr">
        <is>
          <t>United States</t>
        </is>
      </c>
    </row>
    <row r="2631">
      <c r="A2631" t="inlineStr">
        <is>
          <t>Equistar Chemicals, LP,  Corpus Christi, Texas, United States</t>
        </is>
      </c>
      <c r="B2631" t="inlineStr">
        <is>
          <t>Processing Unit</t>
        </is>
      </c>
      <c r="C2631" t="inlineStr">
        <is>
          <t>SCS Global Services, Emeryville, CA, US</t>
        </is>
      </c>
      <c r="D2631" t="inlineStr">
        <is>
          <t>13.06.2027</t>
        </is>
      </c>
      <c r="E2631" t="inlineStr">
        <is>
          <t>United States</t>
        </is>
      </c>
    </row>
    <row r="2632">
      <c r="A2632" t="inlineStr">
        <is>
          <t>LDC Argentina S.A.,  General Lagos, Santa Fe, Argentina</t>
        </is>
      </c>
      <c r="B2632" t="inlineStr">
        <is>
          <t>Point of Origin, Processing Unit, Trader with Storage</t>
        </is>
      </c>
      <c r="C2632" t="inlineStr">
        <is>
          <t>Control Union Poland Sp. z o.o., Zielona Gora, PL</t>
        </is>
      </c>
      <c r="D2632" t="inlineStr">
        <is>
          <t>13.06.2027</t>
        </is>
      </c>
      <c r="E2632" t="inlineStr">
        <is>
          <t>Argentina</t>
        </is>
      </c>
    </row>
    <row r="2633">
      <c r="A2633" t="inlineStr">
        <is>
          <t>Bunge Ibérica S.A.,  Zierbena Vizcaya, Spain</t>
        </is>
      </c>
      <c r="B2633" t="inlineStr">
        <is>
          <t>Point of Origin, Processing Unit, Trader with Storage, Warehouse</t>
        </is>
      </c>
      <c r="C2633" t="inlineStr">
        <is>
          <t>Control Union Poland Sp. z o.o., Zielona Gora, PL</t>
        </is>
      </c>
      <c r="D2633" t="inlineStr">
        <is>
          <t>13.06.2027</t>
        </is>
      </c>
      <c r="E2633" t="inlineStr">
        <is>
          <t>Spain</t>
        </is>
      </c>
    </row>
    <row r="2634">
      <c r="A2634" t="inlineStr">
        <is>
          <t>Wenzhou Jinda IMP &amp; EXP Co., Ltd.,  WENZHOU, ZHEJIANG, China</t>
        </is>
      </c>
      <c r="B2634" t="inlineStr">
        <is>
          <t>Trader</t>
        </is>
      </c>
      <c r="C2634" t="inlineStr">
        <is>
          <t>SCS Global Services, Emeryville, CA, US</t>
        </is>
      </c>
      <c r="D2634" t="inlineStr">
        <is>
          <t>13.06.2027</t>
        </is>
      </c>
      <c r="E2634" t="inlineStr">
        <is>
          <t>China</t>
        </is>
      </c>
    </row>
    <row r="2635">
      <c r="A2635" t="inlineStr">
        <is>
          <t>Extractora Ecológica de Mora,  Mora, Spain</t>
        </is>
      </c>
      <c r="B2635" t="inlineStr">
        <is>
          <t>Collecting Point, Point of Origin, Processing Unit</t>
        </is>
      </c>
      <c r="C2635" t="inlineStr">
        <is>
          <t>Control Union Poland Sp. z o.o., Zielona Gora, PL</t>
        </is>
      </c>
      <c r="D2635" t="inlineStr">
        <is>
          <t>13.06.2027</t>
        </is>
      </c>
      <c r="E2635" t="inlineStr">
        <is>
          <t>Spain</t>
        </is>
      </c>
    </row>
    <row r="2636">
      <c r="A2636" t="inlineStr">
        <is>
          <t>swisspor Romandie SA,  Châtel-St-Denis, Switzerland</t>
        </is>
      </c>
      <c r="B2636" t="inlineStr">
        <is>
          <t>Processing Unit, Trader</t>
        </is>
      </c>
      <c r="C2636" t="inlineStr">
        <is>
          <t>DQS CFS GmbH - Deutsche Gesellschaft für Nachhaltigkeit, Frankfurt am Main, DE</t>
        </is>
      </c>
      <c r="D2636" t="inlineStr">
        <is>
          <t>13.06.2027</t>
        </is>
      </c>
      <c r="E2636" t="inlineStr">
        <is>
          <t>Switzerland</t>
        </is>
      </c>
    </row>
    <row r="2637">
      <c r="A2637" t="inlineStr">
        <is>
          <t>Biodiesel Bilbao S.L.,  Zierbena (Vizcaya), Spain</t>
        </is>
      </c>
      <c r="B2637" t="inlineStr">
        <is>
          <t>Point of Origin, Processing Unit, Trader with Storage</t>
        </is>
      </c>
      <c r="C2637" t="inlineStr">
        <is>
          <t>Control Union Poland Sp. z o.o., Zielona Gora, PL</t>
        </is>
      </c>
      <c r="D2637" t="inlineStr">
        <is>
          <t>13.06.2027</t>
        </is>
      </c>
      <c r="E2637" t="inlineStr">
        <is>
          <t>Spain</t>
        </is>
      </c>
    </row>
    <row r="2638">
      <c r="A2638" t="inlineStr">
        <is>
          <t>MIRAVAL TRADE,  STARA ZAGORA, Bulgaria</t>
        </is>
      </c>
      <c r="B2638" t="inlineStr">
        <is>
          <t>First Gathering Point</t>
        </is>
      </c>
      <c r="C2638" t="inlineStr">
        <is>
          <t>Control Union Certifications Germany GmbH, Berlin, DE</t>
        </is>
      </c>
      <c r="D2638" t="inlineStr">
        <is>
          <t>13.06.2027</t>
        </is>
      </c>
      <c r="E2638" t="inlineStr">
        <is>
          <t>Bulgaria</t>
        </is>
      </c>
    </row>
    <row r="2639">
      <c r="A2639" t="inlineStr">
        <is>
          <t>Kuwait Petroleum Naftna Družba,  Ljubljana, Slovenia</t>
        </is>
      </c>
      <c r="B2639" t="inlineStr">
        <is>
          <t>Trader with Storage, Proof of Compliance Trader</t>
        </is>
      </c>
      <c r="C2639" t="inlineStr">
        <is>
          <t>Double Helix Tracking Technologies Pte Ltd, Singapore, SG</t>
        </is>
      </c>
      <c r="D2639" t="inlineStr">
        <is>
          <t>13.06.2027</t>
        </is>
      </c>
      <c r="E2639" t="inlineStr">
        <is>
          <t>Slovenia</t>
        </is>
      </c>
    </row>
    <row r="2640">
      <c r="A2640" t="inlineStr">
        <is>
          <t>MITSUI &amp; CO.(MALAYSIA) Sdn. Bhd.,  Jalan P Ramlee, Kuala Lumpur, Malaysia</t>
        </is>
      </c>
      <c r="B2640" t="inlineStr">
        <is>
          <t>Trader</t>
        </is>
      </c>
      <c r="C2640" t="inlineStr">
        <is>
          <t>Control Union Certifications Germany GmbH, Berlin, DE</t>
        </is>
      </c>
      <c r="D2640" t="inlineStr">
        <is>
          <t>13.06.2027</t>
        </is>
      </c>
      <c r="E2640" t="inlineStr">
        <is>
          <t>Malaysia</t>
        </is>
      </c>
    </row>
    <row r="2641">
      <c r="A2641" t="inlineStr">
        <is>
          <t>AgroVita s.r.o.,  Havířov, Czech Republic</t>
        </is>
      </c>
      <c r="B2641" t="inlineStr">
        <is>
          <t>First Gathering Point, Trader</t>
        </is>
      </c>
      <c r="C2641" t="inlineStr">
        <is>
          <t>United Registrar of Systems Polska Sp. z o.o., Wrocław, PL</t>
        </is>
      </c>
      <c r="D2641" t="inlineStr">
        <is>
          <t>13.06.2027</t>
        </is>
      </c>
      <c r="E2641" t="inlineStr">
        <is>
          <t>Czech Republic</t>
        </is>
      </c>
    </row>
    <row r="2642">
      <c r="A2642" t="inlineStr">
        <is>
          <t>COFCO International Brasil,  Rondonópolis, Brazil</t>
        </is>
      </c>
      <c r="B2642" t="inlineStr">
        <is>
          <t>Collecting Point, Point of Origin, Processing Unit, Trader with Storage</t>
        </is>
      </c>
      <c r="C2642" t="inlineStr">
        <is>
          <t>Control Union Poland Sp. z o.o., Zielona Gora, PL</t>
        </is>
      </c>
      <c r="D2642" t="inlineStr">
        <is>
          <t>13.06.2027</t>
        </is>
      </c>
      <c r="E2642" t="inlineStr">
        <is>
          <t>Brazil</t>
        </is>
      </c>
    </row>
    <row r="2643">
      <c r="A2643" t="inlineStr">
        <is>
          <t>DRUMUL BELSUGULUI COOPERATIVA AGRICOLA,  Tecuci jud Galati, Romania</t>
        </is>
      </c>
      <c r="B2643" t="inlineStr">
        <is>
          <t>First Gathering Point</t>
        </is>
      </c>
      <c r="C2643" t="inlineStr">
        <is>
          <t>BM Certification, Riga, LV</t>
        </is>
      </c>
      <c r="D2643" t="inlineStr">
        <is>
          <t>13.06.2027</t>
        </is>
      </c>
      <c r="E2643" t="inlineStr">
        <is>
          <t>Romania</t>
        </is>
      </c>
    </row>
    <row r="2644">
      <c r="A2644" t="inlineStr">
        <is>
          <t>TKG TAEKWANG VINA,  Dong Nai Province, Vietnam</t>
        </is>
      </c>
      <c r="B2644" t="inlineStr">
        <is>
          <t>Final Product Refinement</t>
        </is>
      </c>
      <c r="C2644" t="inlineStr">
        <is>
          <t>SGS Germany GmbH, Emstek, DE</t>
        </is>
      </c>
      <c r="D2644" t="inlineStr">
        <is>
          <t>13.06.2027</t>
        </is>
      </c>
      <c r="E2644" t="inlineStr">
        <is>
          <t>Vietnam</t>
        </is>
      </c>
    </row>
    <row r="2645">
      <c r="A2645" t="inlineStr">
        <is>
          <t>Nagase Vietnam Co., Ltd,  No.16 Phan Chu Trinh, Cua Nam Ward,, Vietnam</t>
        </is>
      </c>
      <c r="B2645" t="inlineStr">
        <is>
          <t>Trader with Storage</t>
        </is>
      </c>
      <c r="C2645" t="inlineStr">
        <is>
          <t>BM Certification, Riga, LV</t>
        </is>
      </c>
      <c r="D2645" t="inlineStr">
        <is>
          <t>13.06.2027</t>
        </is>
      </c>
      <c r="E2645" t="inlineStr">
        <is>
          <t>Vietnam</t>
        </is>
      </c>
    </row>
    <row r="2646">
      <c r="A2646" t="inlineStr">
        <is>
          <t>Cooperativa agricola CEREALTOP FARMERS,  Sat Cotesti,Comuna COTESTI,Jud VRANCEA, Romania</t>
        </is>
      </c>
      <c r="B2646" t="inlineStr">
        <is>
          <t>First Gathering Point</t>
        </is>
      </c>
      <c r="C2646" t="inlineStr">
        <is>
          <t>BM Certification, Riga, LV</t>
        </is>
      </c>
      <c r="D2646" t="inlineStr">
        <is>
          <t>13.06.2027</t>
        </is>
      </c>
      <c r="E2646" t="inlineStr">
        <is>
          <t>Romania</t>
        </is>
      </c>
    </row>
    <row r="2647">
      <c r="A2647" t="inlineStr">
        <is>
          <t>Dobrogea Sud Cooperativa Agricola,  sat Topraisar, com. Topraisar ,Jud Constanta, Romania</t>
        </is>
      </c>
      <c r="B2647" t="inlineStr">
        <is>
          <t>First Gathering Point</t>
        </is>
      </c>
      <c r="C2647" t="inlineStr">
        <is>
          <t>BM Certification, Riga, LV</t>
        </is>
      </c>
      <c r="D2647" t="inlineStr">
        <is>
          <t>13.06.2027</t>
        </is>
      </c>
      <c r="E2647" t="inlineStr">
        <is>
          <t>Romania</t>
        </is>
      </c>
    </row>
    <row r="2648">
      <c r="A2648" t="inlineStr">
        <is>
          <t>MULTI SAWIT SDN BHD,  PELABUHAN KLANG, Malaysia</t>
        </is>
      </c>
      <c r="B2648" t="inlineStr">
        <is>
          <t>Trader with Storage</t>
        </is>
      </c>
      <c r="C2648" t="inlineStr">
        <is>
          <t>SGS Germany GmbH, Emstek, DE</t>
        </is>
      </c>
      <c r="D2648" t="inlineStr">
        <is>
          <t>13.06.2027</t>
        </is>
      </c>
      <c r="E2648" t="inlineStr">
        <is>
          <t>Malaysia</t>
        </is>
      </c>
    </row>
    <row r="2649">
      <c r="A2649" t="inlineStr">
        <is>
          <t>Sociedad General Rendering Chile,  Santiago, Chile</t>
        </is>
      </c>
      <c r="B2649" t="inlineStr">
        <is>
          <t>Collecting Point</t>
        </is>
      </c>
      <c r="C2649" t="inlineStr">
        <is>
          <t>Amspec Iberia SL, Vilagarcia de Arousa-Pontevedra, ES</t>
        </is>
      </c>
      <c r="D2649" t="inlineStr">
        <is>
          <t>13.06.2027</t>
        </is>
      </c>
      <c r="E2649" t="inlineStr">
        <is>
          <t>Chile</t>
        </is>
      </c>
    </row>
    <row r="2650">
      <c r="A2650" t="inlineStr">
        <is>
          <t>Shanghai C.S. Energy Group Co. , Ltd.,  Shanghai, China</t>
        </is>
      </c>
      <c r="B2650" t="inlineStr">
        <is>
          <t>Trader with Storage</t>
        </is>
      </c>
      <c r="C2650" t="inlineStr">
        <is>
          <t>RINA Services S.p.A., Genova, IT</t>
        </is>
      </c>
      <c r="D2650" t="inlineStr">
        <is>
          <t>13.06.2027</t>
        </is>
      </c>
      <c r="E2650" t="inlineStr">
        <is>
          <t>China</t>
        </is>
      </c>
    </row>
    <row r="2651">
      <c r="A2651" t="inlineStr">
        <is>
          <t>Aceites Y Energia Santamaria SL,  Lucena, Córdoba, Spain</t>
        </is>
      </c>
      <c r="B2651" t="inlineStr">
        <is>
          <t>Point of Origin</t>
        </is>
      </c>
      <c r="C2651" t="inlineStr">
        <is>
          <t>RINA Services S.p.A., Genova, IT</t>
        </is>
      </c>
      <c r="D2651" t="inlineStr">
        <is>
          <t>13.06.2027</t>
        </is>
      </c>
      <c r="E2651" t="inlineStr">
        <is>
          <t>Spain</t>
        </is>
      </c>
    </row>
    <row r="2652">
      <c r="A2652" t="inlineStr">
        <is>
          <t>Golden Triangle Energy LLC,  Craig, United States</t>
        </is>
      </c>
      <c r="B2652" t="inlineStr">
        <is>
          <t>Processing Unit, Point of Origin</t>
        </is>
      </c>
      <c r="C2652" t="inlineStr">
        <is>
          <t>TÜV NORD CERT GmbH, Essen, DE</t>
        </is>
      </c>
      <c r="D2652" t="inlineStr">
        <is>
          <t>13.06.2027</t>
        </is>
      </c>
      <c r="E2652" t="inlineStr">
        <is>
          <t>United States</t>
        </is>
      </c>
    </row>
    <row r="2653">
      <c r="A2653" t="inlineStr">
        <is>
          <t>Cabot Japan,  Minato-ku, Tokyo, Japan</t>
        </is>
      </c>
      <c r="B2653" t="inlineStr">
        <is>
          <t>Trader with Storage</t>
        </is>
      </c>
      <c r="C2653" t="inlineStr">
        <is>
          <t>Bureau Veritas Polska Sp. z o.o., Warsaw, PL</t>
        </is>
      </c>
      <c r="D2653" t="inlineStr">
        <is>
          <t>13.06.2027</t>
        </is>
      </c>
      <c r="E2653" t="inlineStr">
        <is>
          <t>Japan</t>
        </is>
      </c>
    </row>
    <row r="2654">
      <c r="A2654" t="inlineStr">
        <is>
          <t>Seventeen Comerce,  Mataro, Spain</t>
        </is>
      </c>
      <c r="B2654" t="inlineStr">
        <is>
          <t>Trader</t>
        </is>
      </c>
      <c r="C2654" t="inlineStr">
        <is>
          <t>RINA Services S.p.A., Genova, IT</t>
        </is>
      </c>
      <c r="D2654" t="inlineStr">
        <is>
          <t>12.06.2027</t>
        </is>
      </c>
      <c r="E2654" t="inlineStr">
        <is>
          <t>Spain</t>
        </is>
      </c>
    </row>
    <row r="2655">
      <c r="A2655" t="inlineStr">
        <is>
          <t>MCC KARYDAKIS SSA,  Kalivia Attica, Greece</t>
        </is>
      </c>
      <c r="B2655" t="inlineStr">
        <is>
          <t>Final Product Refinement</t>
        </is>
      </c>
      <c r="C2655" t="inlineStr">
        <is>
          <t>Eurocert SA, Metamorfosi, Athens, GR</t>
        </is>
      </c>
      <c r="D2655" t="inlineStr">
        <is>
          <t>12.06.2027</t>
        </is>
      </c>
      <c r="E2655" t="inlineStr">
        <is>
          <t>Greece</t>
        </is>
      </c>
    </row>
    <row r="2656">
      <c r="A2656" t="inlineStr">
        <is>
          <t>Ecologica Italiana S.r.l.,  Carini (Palermo), Italy</t>
        </is>
      </c>
      <c r="B2656" t="inlineStr">
        <is>
          <t>Collecting Point, Processing Unit</t>
        </is>
      </c>
      <c r="C2656" t="inlineStr">
        <is>
          <t>SGS Germany GmbH, Emstek, DE</t>
        </is>
      </c>
      <c r="D2656" t="inlineStr">
        <is>
          <t>12.06.2027</t>
        </is>
      </c>
      <c r="E2656" t="inlineStr">
        <is>
          <t>Italy</t>
        </is>
      </c>
    </row>
    <row r="2657">
      <c r="A2657" t="inlineStr">
        <is>
          <t>Pastorino S.R.L.,  Bormida (SV), Italy</t>
        </is>
      </c>
      <c r="B2657" t="inlineStr">
        <is>
          <t>Collecting Point</t>
        </is>
      </c>
      <c r="C2657" t="inlineStr">
        <is>
          <t>RINA Services S.p.A., Genova, IT</t>
        </is>
      </c>
      <c r="D2657" t="inlineStr">
        <is>
          <t>12.06.2027</t>
        </is>
      </c>
      <c r="E2657" t="inlineStr">
        <is>
          <t>Italy</t>
        </is>
      </c>
    </row>
    <row r="2658">
      <c r="A2658" t="inlineStr">
        <is>
          <t>Olenex Edible Oils GmbH,  Brake, Germany</t>
        </is>
      </c>
      <c r="B2658" t="inlineStr">
        <is>
          <t>Point of Origin</t>
        </is>
      </c>
      <c r="C2658" t="inlineStr">
        <is>
          <t>ASG Cert GmbH, Munich, DE</t>
        </is>
      </c>
      <c r="D2658" t="inlineStr">
        <is>
          <t>12.06.2027</t>
        </is>
      </c>
      <c r="E2658" t="inlineStr">
        <is>
          <t>Germany</t>
        </is>
      </c>
    </row>
    <row r="2659">
      <c r="A2659" t="inlineStr">
        <is>
          <t>Guangxi Lvjia Biotechnology Co., Ltd,  Nanning City, Guangxi Zhuang Autonomous Region, China</t>
        </is>
      </c>
      <c r="B2659" t="inlineStr">
        <is>
          <t>Collecting Point, Trader with Storage</t>
        </is>
      </c>
      <c r="C2659" t="inlineStr">
        <is>
          <t>SCS Global Services, Emeryville, CA, US</t>
        </is>
      </c>
      <c r="D2659" t="inlineStr">
        <is>
          <t>12.06.2027</t>
        </is>
      </c>
      <c r="E2659" t="inlineStr">
        <is>
          <t>China</t>
        </is>
      </c>
    </row>
    <row r="2660">
      <c r="A2660" t="inlineStr">
        <is>
          <t>Tvari Energija, UAB,  Ąžuolinės k., Vievio sen., Elektrėnų r. sav., Lithuania</t>
        </is>
      </c>
      <c r="B2660" t="inlineStr">
        <is>
          <t>Processing Unit</t>
        </is>
      </c>
      <c r="C2660" t="inlineStr">
        <is>
          <t>NCS Estonia OÜ, Tallinn, EE</t>
        </is>
      </c>
      <c r="D2660" t="inlineStr">
        <is>
          <t>12.06.2027</t>
        </is>
      </c>
      <c r="E2660" t="inlineStr">
        <is>
          <t>Lithuania</t>
        </is>
      </c>
    </row>
    <row r="2661">
      <c r="A2661" t="inlineStr">
        <is>
          <t>MPK ACTIV SRL,  CONSTANTA, Romania</t>
        </is>
      </c>
      <c r="B2661" t="inlineStr">
        <is>
          <t>First Gathering Point</t>
        </is>
      </c>
      <c r="C2661" t="inlineStr">
        <is>
          <t>SRAC Cert SRL, Bucharest, RO</t>
        </is>
      </c>
      <c r="D2661" t="inlineStr">
        <is>
          <t>12.06.2027</t>
        </is>
      </c>
      <c r="E2661" t="inlineStr">
        <is>
          <t>Romania</t>
        </is>
      </c>
    </row>
    <row r="2662">
      <c r="A2662" t="inlineStr">
        <is>
          <t>IOI Pan-Century Edible Oils Sdn. Bhd.,  Pasir Gudang, Malaysia</t>
        </is>
      </c>
      <c r="B2662" t="inlineStr">
        <is>
          <t>Point of Origin</t>
        </is>
      </c>
      <c r="C2662" t="inlineStr">
        <is>
          <t>Trans Certification and Inspection Sdn Bhd, Kuantan, MY</t>
        </is>
      </c>
      <c r="D2662" t="inlineStr">
        <is>
          <t>12.06.2027</t>
        </is>
      </c>
      <c r="E2662" t="inlineStr">
        <is>
          <t>Malaysia</t>
        </is>
      </c>
    </row>
    <row r="2663">
      <c r="A2663" t="inlineStr">
        <is>
          <t>Asahimas Chemical,  Cilegon, Indonesia</t>
        </is>
      </c>
      <c r="B2663" t="inlineStr">
        <is>
          <t>Processing Unit</t>
        </is>
      </c>
      <c r="C2663" t="inlineStr">
        <is>
          <t>PT Intertek Utama Services, Jakarta, ID</t>
        </is>
      </c>
      <c r="D2663" t="inlineStr">
        <is>
          <t>12.06.2027</t>
        </is>
      </c>
      <c r="E2663" t="inlineStr">
        <is>
          <t>Indonesia</t>
        </is>
      </c>
    </row>
    <row r="2664">
      <c r="A2664" t="inlineStr">
        <is>
          <t>Birla Carbon Spain, S.L.U.,  Gajano, Cantabria, Spain</t>
        </is>
      </c>
      <c r="B2664" t="inlineStr">
        <is>
          <t>Processing Unit, Trader with Storage</t>
        </is>
      </c>
      <c r="C2664" t="inlineStr">
        <is>
          <t>PT Intertek Utama Services, Jakarta, ID</t>
        </is>
      </c>
      <c r="D2664" t="inlineStr">
        <is>
          <t>12.06.2027</t>
        </is>
      </c>
      <c r="E2664" t="inlineStr">
        <is>
          <t>Spain</t>
        </is>
      </c>
    </row>
    <row r="2665">
      <c r="A2665" t="inlineStr">
        <is>
          <t>BGN INT US LLC,  Houston, United States</t>
        </is>
      </c>
      <c r="B2665" t="inlineStr">
        <is>
          <t>Trader</t>
        </is>
      </c>
      <c r="C2665" t="inlineStr">
        <is>
          <t>Amspec Iberia SL, Vilagarcia de Arousa-Pontevedra, ES</t>
        </is>
      </c>
      <c r="D2665" t="inlineStr">
        <is>
          <t>12.06.2027</t>
        </is>
      </c>
      <c r="E2665" t="inlineStr">
        <is>
          <t>United States</t>
        </is>
      </c>
    </row>
    <row r="2666">
      <c r="A2666" t="inlineStr">
        <is>
          <t>BGN INT US LLC,  Houston, United States</t>
        </is>
      </c>
      <c r="B2666" t="inlineStr">
        <is>
          <t>Trader</t>
        </is>
      </c>
      <c r="C2666" t="inlineStr">
        <is>
          <t>Amspec Iberia SL, Vilagarcia de Arousa-Pontevedra, ES</t>
        </is>
      </c>
      <c r="D2666" t="inlineStr">
        <is>
          <t>12.06.2027</t>
        </is>
      </c>
      <c r="E2666" t="inlineStr">
        <is>
          <t>United States</t>
        </is>
      </c>
    </row>
    <row r="2667">
      <c r="A2667" t="inlineStr">
        <is>
          <t>GPI Halmstad AB,  Halmstad, Sweden</t>
        </is>
      </c>
      <c r="B2667" t="inlineStr">
        <is>
          <t>Processing Unit</t>
        </is>
      </c>
      <c r="C2667" t="inlineStr">
        <is>
          <t>Bureau Veritas Polska Sp. z o.o., Warsaw, PL</t>
        </is>
      </c>
      <c r="D2667" t="inlineStr">
        <is>
          <t>12.06.2027</t>
        </is>
      </c>
      <c r="E2667" t="inlineStr">
        <is>
          <t>Sweden</t>
        </is>
      </c>
    </row>
    <row r="2668">
      <c r="A2668" t="inlineStr">
        <is>
          <t>Albis (U.K.) Ltd,  Knutsford, The United Kingdom</t>
        </is>
      </c>
      <c r="B2668" t="inlineStr">
        <is>
          <t>Trader with Storage</t>
        </is>
      </c>
      <c r="C2668" t="inlineStr">
        <is>
          <t>DQS CFS GmbH - Deutsche Gesellschaft für Nachhaltigkeit, Frankfurt am Main, DE</t>
        </is>
      </c>
      <c r="D2668" t="inlineStr">
        <is>
          <t>12.06.2027</t>
        </is>
      </c>
      <c r="E2668" t="inlineStr">
        <is>
          <t>The United Kingdom</t>
        </is>
      </c>
    </row>
    <row r="2669">
      <c r="A2669" t="inlineStr">
        <is>
          <t>Renewables for Used Vegetable Oil,  Uohod area, Amman 850869, Jordan</t>
        </is>
      </c>
      <c r="B2669" t="inlineStr">
        <is>
          <t>Collecting Point</t>
        </is>
      </c>
      <c r="C2669" t="inlineStr">
        <is>
          <t>ICIM SpA, sesto san giovanni, IT</t>
        </is>
      </c>
      <c r="D2669" t="inlineStr">
        <is>
          <t>12.06.2027</t>
        </is>
      </c>
      <c r="E2669" t="inlineStr">
        <is>
          <t>Jordan</t>
        </is>
      </c>
    </row>
    <row r="2670">
      <c r="A2670" t="inlineStr">
        <is>
          <t>Ing. Jaroslav Vaněk, s.r.o.,  Sulejovice, Czech Republic</t>
        </is>
      </c>
      <c r="B2670" t="inlineStr">
        <is>
          <t>First Gathering Point, Trader with Storage, Warehouse</t>
        </is>
      </c>
      <c r="C2670" t="inlineStr">
        <is>
          <t>Bureau Veritas Polska Sp. z o.o., Warsaw, PL</t>
        </is>
      </c>
      <c r="D2670" t="inlineStr">
        <is>
          <t>12.06.2027</t>
        </is>
      </c>
      <c r="E2670" t="inlineStr">
        <is>
          <t>Czech Republic</t>
        </is>
      </c>
    </row>
    <row r="2671">
      <c r="A2671" t="inlineStr">
        <is>
          <t>Syarimo Sdn Bhd, Syarimo Palm Oil Mill,  Lahad Datu, Sabah, Malaysia</t>
        </is>
      </c>
      <c r="B2671" t="inlineStr">
        <is>
          <t>Point of Origin</t>
        </is>
      </c>
      <c r="C2671" t="inlineStr">
        <is>
          <t>PT Intertek Utama Services, Jakarta, ID</t>
        </is>
      </c>
      <c r="D2671" t="inlineStr">
        <is>
          <t>12.06.2027</t>
        </is>
      </c>
      <c r="E2671" t="inlineStr">
        <is>
          <t>Malaysia</t>
        </is>
      </c>
    </row>
    <row r="2672">
      <c r="A2672" t="inlineStr">
        <is>
          <t>Dongguan Meizhuang Plastic &amp; Hardware Company Limited,  Dongguan City, China</t>
        </is>
      </c>
      <c r="B2672" t="inlineStr">
        <is>
          <t>Processing Unit</t>
        </is>
      </c>
      <c r="C2672" t="inlineStr">
        <is>
          <t>PT Intertek Utama Services, Jakarta, ID</t>
        </is>
      </c>
      <c r="D2672" t="inlineStr">
        <is>
          <t>12.06.2027</t>
        </is>
      </c>
      <c r="E2672" t="inlineStr">
        <is>
          <t>China</t>
        </is>
      </c>
    </row>
    <row r="2673">
      <c r="A2673" t="inlineStr">
        <is>
          <t>CEFETRA IBERICA S.L.,  Madrid, Pozuelo de Alarcon, Spain</t>
        </is>
      </c>
      <c r="B2673" t="inlineStr">
        <is>
          <t>Trader with Storage</t>
        </is>
      </c>
      <c r="C2673" t="inlineStr">
        <is>
          <t>Control Union Poland Sp. z o.o., Zielona Gora, PL</t>
        </is>
      </c>
      <c r="D2673" t="inlineStr">
        <is>
          <t>12.06.2027</t>
        </is>
      </c>
      <c r="E2673" t="inlineStr">
        <is>
          <t>Spain</t>
        </is>
      </c>
    </row>
    <row r="2674">
      <c r="A2674" t="inlineStr">
        <is>
          <t>Morisem Palm Oil Mill Sdn Bhd,  Lahad Datu, Malaysia</t>
        </is>
      </c>
      <c r="B2674" t="inlineStr">
        <is>
          <t>Point of Origin</t>
        </is>
      </c>
      <c r="C2674" t="inlineStr">
        <is>
          <t>PT Intertek Utama Services, Jakarta, ID</t>
        </is>
      </c>
      <c r="D2674" t="inlineStr">
        <is>
          <t>12.06.2027</t>
        </is>
      </c>
      <c r="E2674" t="inlineStr">
        <is>
          <t>Malaysia</t>
        </is>
      </c>
    </row>
    <row r="2675">
      <c r="A2675" t="inlineStr">
        <is>
          <t>SODEM - SOCIETE DES ETABLISSEMENTS MARCHAIS,  BROUE, France</t>
        </is>
      </c>
      <c r="B2675" t="inlineStr">
        <is>
          <t>Collecting Point, Point of Origin, Processing Unit, Warehouse</t>
        </is>
      </c>
      <c r="C2675" t="inlineStr">
        <is>
          <t>Control Union Certifications Germany GmbH, Berlin, DE</t>
        </is>
      </c>
      <c r="D2675" t="inlineStr">
        <is>
          <t>12.06.2027</t>
        </is>
      </c>
      <c r="E2675" t="inlineStr">
        <is>
          <t>France</t>
        </is>
      </c>
    </row>
    <row r="2676">
      <c r="A2676" t="inlineStr">
        <is>
          <t>Beijing TRM international trade Co., Ltd.,  Beijing, China</t>
        </is>
      </c>
      <c r="B2676" t="inlineStr">
        <is>
          <t>Trader with Storage</t>
        </is>
      </c>
      <c r="C2676" t="inlineStr">
        <is>
          <t>DIN CERTCO GmbH, Berlin, DE</t>
        </is>
      </c>
      <c r="D2676" t="inlineStr">
        <is>
          <t>12.06.2027</t>
        </is>
      </c>
      <c r="E2676" t="inlineStr">
        <is>
          <t>China</t>
        </is>
      </c>
    </row>
    <row r="2677">
      <c r="A2677" t="inlineStr">
        <is>
          <t>BGN INT US LLC,  Houston, United States</t>
        </is>
      </c>
      <c r="B2677" t="inlineStr">
        <is>
          <t>Trader</t>
        </is>
      </c>
      <c r="C2677" t="inlineStr">
        <is>
          <t>Amspec Iberia SL, Vilagarcia de Arousa-Pontevedra, ES</t>
        </is>
      </c>
      <c r="D2677" t="inlineStr">
        <is>
          <t>12.06.2027</t>
        </is>
      </c>
      <c r="E2677" t="inlineStr">
        <is>
          <t>United States</t>
        </is>
      </c>
    </row>
    <row r="2678">
      <c r="A2678" t="inlineStr">
        <is>
          <t>Molgas Norway AS,  Avaldsnes, Norway</t>
        </is>
      </c>
      <c r="B2678" t="inlineStr">
        <is>
          <t>Trader with Storage</t>
        </is>
      </c>
      <c r="C2678" t="inlineStr">
        <is>
          <t>DEKRA Certification B.V., Arnhem, NL</t>
        </is>
      </c>
      <c r="D2678" t="inlineStr">
        <is>
          <t>12.06.2027</t>
        </is>
      </c>
      <c r="E2678" t="inlineStr">
        <is>
          <t>Norway</t>
        </is>
      </c>
    </row>
    <row r="2679">
      <c r="A2679" t="inlineStr">
        <is>
          <t>Molgas Norway AS,  Håvik, Norway</t>
        </is>
      </c>
      <c r="B2679" t="inlineStr">
        <is>
          <t>Processing Unit</t>
        </is>
      </c>
      <c r="C2679" t="inlineStr">
        <is>
          <t>DEKRA Certification B.V., Arnhem, NL</t>
        </is>
      </c>
      <c r="D2679" t="inlineStr">
        <is>
          <t>12.06.2027</t>
        </is>
      </c>
      <c r="E2679" t="inlineStr">
        <is>
          <t>Norway</t>
        </is>
      </c>
    </row>
    <row r="2680">
      <c r="A2680" t="inlineStr">
        <is>
          <t>Molgas Norway AS,  Rong, Norway</t>
        </is>
      </c>
      <c r="B2680" t="inlineStr">
        <is>
          <t>Processing Unit</t>
        </is>
      </c>
      <c r="C2680" t="inlineStr">
        <is>
          <t>DEKRA Certification B.V., Arnhem, NL</t>
        </is>
      </c>
      <c r="D2680" t="inlineStr">
        <is>
          <t>12.06.2027</t>
        </is>
      </c>
      <c r="E2680" t="inlineStr">
        <is>
          <t>Norway</t>
        </is>
      </c>
    </row>
    <row r="2681">
      <c r="A2681" t="inlineStr">
        <is>
          <t>TKG TAEKWANG CANTHO COMPANY LIMITED,  Can Tho, Vietnam</t>
        </is>
      </c>
      <c r="B2681" t="inlineStr">
        <is>
          <t>Processing Unit, Final Product Refinement</t>
        </is>
      </c>
      <c r="C2681" t="inlineStr">
        <is>
          <t>SGS Germany GmbH, Emstek, DE</t>
        </is>
      </c>
      <c r="D2681" t="inlineStr">
        <is>
          <t>12.06.2027</t>
        </is>
      </c>
      <c r="E2681" t="inlineStr">
        <is>
          <t>Vietnam</t>
        </is>
      </c>
    </row>
    <row r="2682">
      <c r="A2682" t="inlineStr">
        <is>
          <t>Ameropa Grains S.A.,  Constanta, Romania</t>
        </is>
      </c>
      <c r="B2682" t="inlineStr">
        <is>
          <t>First Gathering Point, Trader with Storage</t>
        </is>
      </c>
      <c r="C2682" t="inlineStr">
        <is>
          <t>Control Union Certifications Germany GmbH, Berlin, DE</t>
        </is>
      </c>
      <c r="D2682" t="inlineStr">
        <is>
          <t>12.06.2027</t>
        </is>
      </c>
      <c r="E2682" t="inlineStr">
        <is>
          <t>Romania</t>
        </is>
      </c>
    </row>
    <row r="2683">
      <c r="A2683" t="inlineStr">
        <is>
          <t>PETRONAS Dagangan Berhad,  Kuala Lumpur, Malaysia</t>
        </is>
      </c>
      <c r="B2683" t="inlineStr">
        <is>
          <t>Trader</t>
        </is>
      </c>
      <c r="C2683" t="inlineStr">
        <is>
          <t>SGS Germany GmbH, Emstek, DE</t>
        </is>
      </c>
      <c r="D2683" t="inlineStr">
        <is>
          <t>12.06.2027</t>
        </is>
      </c>
      <c r="E2683" t="inlineStr">
        <is>
          <t>Malaysia</t>
        </is>
      </c>
    </row>
    <row r="2684">
      <c r="A2684" t="inlineStr">
        <is>
          <t>PETRONAS Dagangan Berhad,  Kuala Lumpur, Malaysia</t>
        </is>
      </c>
      <c r="B2684" t="inlineStr">
        <is>
          <t>Trader</t>
        </is>
      </c>
      <c r="C2684" t="inlineStr">
        <is>
          <t>SGS Germany GmbH, Emstek, DE</t>
        </is>
      </c>
      <c r="D2684" t="inlineStr">
        <is>
          <t>12.06.2027</t>
        </is>
      </c>
      <c r="E2684" t="inlineStr">
        <is>
          <t>Malaysia</t>
        </is>
      </c>
    </row>
    <row r="2685">
      <c r="A2685" t="inlineStr">
        <is>
          <t>Kedong Yuwang Soy Protein Food Co.,Ltd.,  Kedong Town, Kedong County,Qiqihar City, China</t>
        </is>
      </c>
      <c r="B2685" t="inlineStr">
        <is>
          <t>First Gathering Point, Processing Unit</t>
        </is>
      </c>
      <c r="C2685" t="inlineStr">
        <is>
          <t>SGS Germany GmbH, Emstek, DE</t>
        </is>
      </c>
      <c r="D2685" t="inlineStr">
        <is>
          <t>12.06.2027</t>
        </is>
      </c>
      <c r="E2685" t="inlineStr">
        <is>
          <t>China</t>
        </is>
      </c>
    </row>
    <row r="2686">
      <c r="A2686" t="inlineStr">
        <is>
          <t>Röchling Medical Solutions,  Brensbach, Germany</t>
        </is>
      </c>
      <c r="B2686" t="inlineStr">
        <is>
          <t>Processing Unit</t>
        </is>
      </c>
      <c r="C2686" t="inlineStr">
        <is>
          <t>SGS Germany GmbH, Emstek, DE</t>
        </is>
      </c>
      <c r="D2686" t="inlineStr">
        <is>
          <t>12.06.2027</t>
        </is>
      </c>
      <c r="E2686" t="inlineStr">
        <is>
          <t>Germany</t>
        </is>
      </c>
    </row>
    <row r="2687">
      <c r="A2687" t="inlineStr">
        <is>
          <t>Neste Australia Pty Ltd,  Melbourne, Australia</t>
        </is>
      </c>
      <c r="B2687" t="inlineStr">
        <is>
          <t>Trader with Storage</t>
        </is>
      </c>
      <c r="C2687" t="inlineStr">
        <is>
          <t>SGS Germany GmbH, Emstek, DE</t>
        </is>
      </c>
      <c r="D2687" t="inlineStr">
        <is>
          <t>12.06.2027</t>
        </is>
      </c>
      <c r="E2687" t="inlineStr">
        <is>
          <t>Australia</t>
        </is>
      </c>
    </row>
    <row r="2688">
      <c r="A2688" t="inlineStr">
        <is>
          <t>Neste Australia Pty Ltd,  Melbourne, Australia</t>
        </is>
      </c>
      <c r="B2688" t="inlineStr">
        <is>
          <t>Trader with Storage</t>
        </is>
      </c>
      <c r="C2688" t="inlineStr">
        <is>
          <t>SGS Germany GmbH, Emstek, DE</t>
        </is>
      </c>
      <c r="D2688" t="inlineStr">
        <is>
          <t>12.06.2027</t>
        </is>
      </c>
      <c r="E2688" t="inlineStr">
        <is>
          <t>Australia</t>
        </is>
      </c>
    </row>
    <row r="2689">
      <c r="A2689" t="inlineStr">
        <is>
          <t>Neste Australia Pty Ltd,  Melbourne, Australia</t>
        </is>
      </c>
      <c r="B2689" t="inlineStr">
        <is>
          <t>Collecting Point, Trader with Storage</t>
        </is>
      </c>
      <c r="C2689" t="inlineStr">
        <is>
          <t>SGS Germany GmbH, Emstek, DE</t>
        </is>
      </c>
      <c r="D2689" t="inlineStr">
        <is>
          <t>12.06.2027</t>
        </is>
      </c>
      <c r="E2689" t="inlineStr">
        <is>
          <t>Australia</t>
        </is>
      </c>
    </row>
    <row r="2690">
      <c r="A2690" t="inlineStr">
        <is>
          <t>SHINSEI PULP &amp; PAPER COMPANY LIMITED,  Tokyo, Japan</t>
        </is>
      </c>
      <c r="B2690" t="inlineStr">
        <is>
          <t>Trader</t>
        </is>
      </c>
      <c r="C2690" t="inlineStr">
        <is>
          <t>SGS Germany GmbH, Emstek, DE</t>
        </is>
      </c>
      <c r="D2690" t="inlineStr">
        <is>
          <t>12.06.2027</t>
        </is>
      </c>
      <c r="E2690" t="inlineStr">
        <is>
          <t>Japan</t>
        </is>
      </c>
    </row>
    <row r="2691">
      <c r="A2691" t="inlineStr">
        <is>
          <t>New Energy Kft.,  Dunaharaszti, Hungary</t>
        </is>
      </c>
      <c r="B2691" t="inlineStr">
        <is>
          <t>Collecting Point, Point of Origin, Processing Unit</t>
        </is>
      </c>
      <c r="C2691" t="inlineStr">
        <is>
          <t>BM Certification, Riga, LV</t>
        </is>
      </c>
      <c r="D2691" t="inlineStr">
        <is>
          <t>12.06.2027</t>
        </is>
      </c>
      <c r="E2691" t="inlineStr">
        <is>
          <t>Hungary</t>
        </is>
      </c>
    </row>
    <row r="2692">
      <c r="A2692" t="inlineStr">
        <is>
          <t>SOCIETA' AGRICOLA LA CARTIERA TENUTA DI GUSSOLA S.S.,  GUSSOLA, Italy</t>
        </is>
      </c>
      <c r="B2692" t="inlineStr">
        <is>
          <t>Farm / Plantation</t>
        </is>
      </c>
      <c r="C2692" t="inlineStr">
        <is>
          <t>RINA Services S.p.A., Genova, IT</t>
        </is>
      </c>
      <c r="D2692" t="inlineStr">
        <is>
          <t>12.06.2027</t>
        </is>
      </c>
      <c r="E2692" t="inlineStr">
        <is>
          <t>Italy</t>
        </is>
      </c>
    </row>
    <row r="2693">
      <c r="A2693" t="inlineStr">
        <is>
          <t>Interion Pte Ltd,  Singapore, Singapore</t>
        </is>
      </c>
      <c r="B2693" t="inlineStr">
        <is>
          <t>Trader with Storage</t>
        </is>
      </c>
      <c r="C2693" t="inlineStr">
        <is>
          <t>PT Mutuagung Lestari, Depok, ID</t>
        </is>
      </c>
      <c r="D2693" t="inlineStr">
        <is>
          <t>12.06.2027</t>
        </is>
      </c>
      <c r="E2693" t="inlineStr">
        <is>
          <t>Singapore</t>
        </is>
      </c>
    </row>
    <row r="2694">
      <c r="A2694" t="inlineStr">
        <is>
          <t>Phibro RenewOil LLC,  Bridgeport, United States</t>
        </is>
      </c>
      <c r="B2694" t="inlineStr">
        <is>
          <t>Collecting Point, Trader with Storage</t>
        </is>
      </c>
      <c r="C2694" t="inlineStr">
        <is>
          <t>SCS Global Services, Emeryville, CA, US</t>
        </is>
      </c>
      <c r="D2694" t="inlineStr">
        <is>
          <t>12.06.2027</t>
        </is>
      </c>
      <c r="E2694" t="inlineStr">
        <is>
          <t>United States</t>
        </is>
      </c>
    </row>
    <row r="2695">
      <c r="A2695" t="inlineStr">
        <is>
          <t>Progeo Societa’ Cooperativa Agricola,  Granarolo Emilia, Italy</t>
        </is>
      </c>
      <c r="B2695" t="inlineStr">
        <is>
          <t>First Gathering Point</t>
        </is>
      </c>
      <c r="C2695" t="inlineStr">
        <is>
          <t>RINA Services S.p.A., Genova, IT</t>
        </is>
      </c>
      <c r="D2695" t="inlineStr">
        <is>
          <t>12.06.2027</t>
        </is>
      </c>
      <c r="E2695" t="inlineStr">
        <is>
          <t>Italy</t>
        </is>
      </c>
    </row>
    <row r="2696">
      <c r="A2696" t="inlineStr">
        <is>
          <t>Tech Weave International,  Tal - Kadi, Mahesana, India</t>
        </is>
      </c>
      <c r="B2696" t="inlineStr">
        <is>
          <t>Processing Unit, Trader</t>
        </is>
      </c>
      <c r="C2696" t="inlineStr">
        <is>
          <t>SCS Global Services, Emeryville, CA, US</t>
        </is>
      </c>
      <c r="D2696" t="inlineStr">
        <is>
          <t>12.06.2027</t>
        </is>
      </c>
      <c r="E2696" t="inlineStr">
        <is>
          <t>India</t>
        </is>
      </c>
    </row>
    <row r="2697">
      <c r="A2697" t="inlineStr">
        <is>
          <t>Recycled Garbage System 2,  Alcázar de San Juan, Spain</t>
        </is>
      </c>
      <c r="B2697" t="inlineStr">
        <is>
          <t>Collecting Point, Processing Unit</t>
        </is>
      </c>
      <c r="C2697" t="inlineStr">
        <is>
          <t>Control Union Poland Sp. z o.o., Zielona Gora, PL</t>
        </is>
      </c>
      <c r="D2697" t="inlineStr">
        <is>
          <t>11.06.2027</t>
        </is>
      </c>
      <c r="E2697" t="inlineStr">
        <is>
          <t>Spain</t>
        </is>
      </c>
    </row>
    <row r="2698">
      <c r="A2698" t="inlineStr">
        <is>
          <t>Recycled Garbage System 2,  Alcázar de San Juan, Spain</t>
        </is>
      </c>
      <c r="B2698" t="inlineStr">
        <is>
          <t>Collecting Point, Processing Unit</t>
        </is>
      </c>
      <c r="C2698" t="inlineStr">
        <is>
          <t>Control Union Poland Sp. z o.o., Zielona Gora, PL</t>
        </is>
      </c>
      <c r="D2698" t="inlineStr">
        <is>
          <t>11.06.2027</t>
        </is>
      </c>
      <c r="E2698" t="inlineStr">
        <is>
          <t>Spain</t>
        </is>
      </c>
    </row>
    <row r="2699">
      <c r="A2699" t="inlineStr">
        <is>
          <t>UAB “Linerga”,  Klaipėda, Lithuania</t>
        </is>
      </c>
      <c r="B2699" t="inlineStr">
        <is>
          <t>Trader</t>
        </is>
      </c>
      <c r="C2699" t="inlineStr">
        <is>
          <t>Bureau Veritas Polska Sp. z o.o., Warsaw, PL</t>
        </is>
      </c>
      <c r="D2699" t="inlineStr">
        <is>
          <t>11.06.2027</t>
        </is>
      </c>
      <c r="E2699" t="inlineStr">
        <is>
          <t>Lithuania</t>
        </is>
      </c>
    </row>
    <row r="2700">
      <c r="A2700" t="inlineStr">
        <is>
          <t>Les Dérivés Résiniques et Terpéniques (DRT),  Vielle Saint Girons, France</t>
        </is>
      </c>
      <c r="B2700" t="inlineStr">
        <is>
          <t>Collecting Point, Point of Origin, Processing Unit</t>
        </is>
      </c>
      <c r="C2700" t="inlineStr">
        <is>
          <t>Control Union Certifications Germany GmbH, Berlin, DE</t>
        </is>
      </c>
      <c r="D2700" t="inlineStr">
        <is>
          <t>11.06.2027</t>
        </is>
      </c>
      <c r="E2700" t="inlineStr">
        <is>
          <t>France</t>
        </is>
      </c>
    </row>
    <row r="2701">
      <c r="A2701" t="inlineStr">
        <is>
          <t>Cangzhou Baolai Jinkang Biotechnology Co., Ltd.,  Cangzhou City, Hebei Province, China</t>
        </is>
      </c>
      <c r="B2701" t="inlineStr">
        <is>
          <t>Collecting Point, Trader with Storage</t>
        </is>
      </c>
      <c r="C2701" t="inlineStr">
        <is>
          <t>SCS Global Services, Emeryville, CA, US</t>
        </is>
      </c>
      <c r="D2701" t="inlineStr">
        <is>
          <t>11.06.2027</t>
        </is>
      </c>
      <c r="E2701" t="inlineStr">
        <is>
          <t>China</t>
        </is>
      </c>
    </row>
    <row r="2702">
      <c r="A2702" t="inlineStr">
        <is>
          <t>Guangdong Hongzhuo Plastic Products Co., Ltd.,  Yunfu City, Guangdong Province, China</t>
        </is>
      </c>
      <c r="B2702" t="inlineStr">
        <is>
          <t>Collecting Point, Processing Unit, Trader with Storage</t>
        </is>
      </c>
      <c r="C2702" t="inlineStr">
        <is>
          <t>SCS Global Services, Emeryville, CA, US</t>
        </is>
      </c>
      <c r="D2702" t="inlineStr">
        <is>
          <t>11.06.2027</t>
        </is>
      </c>
      <c r="E2702" t="inlineStr">
        <is>
          <t>China</t>
        </is>
      </c>
    </row>
    <row r="2703">
      <c r="A2703" t="inlineStr">
        <is>
          <t>DAISAN CORPORATION CO.,LTD,  Toyohashi, Japan</t>
        </is>
      </c>
      <c r="B2703" t="inlineStr">
        <is>
          <t>Trader</t>
        </is>
      </c>
      <c r="C2703" t="inlineStr">
        <is>
          <t>Control Union Certifications Germany GmbH, Berlin, DE</t>
        </is>
      </c>
      <c r="D2703" t="inlineStr">
        <is>
          <t>11.06.2027</t>
        </is>
      </c>
      <c r="E2703" t="inlineStr">
        <is>
          <t>Japan</t>
        </is>
      </c>
    </row>
    <row r="2704">
      <c r="A2704" t="inlineStr">
        <is>
          <t>ORLEN S.A.,  Płock, Poland</t>
        </is>
      </c>
      <c r="B2704" t="inlineStr">
        <is>
          <t>Logistics Center, ETBE plant, Proof of Compliance Trader, Trader with Storage</t>
        </is>
      </c>
      <c r="C2704" t="inlineStr">
        <is>
          <t>Bureau Veritas Polska Sp. z o.o., Warsaw, PL</t>
        </is>
      </c>
      <c r="D2704" t="inlineStr">
        <is>
          <t>11.06.2027</t>
        </is>
      </c>
      <c r="E2704" t="inlineStr">
        <is>
          <t>Poland</t>
        </is>
      </c>
    </row>
    <row r="2705">
      <c r="A2705" t="inlineStr">
        <is>
          <t>Taizhou Hongchang Glasses Co., Ltd.,  Linhai City, Zhejiang Province, China</t>
        </is>
      </c>
      <c r="B2705" t="inlineStr">
        <is>
          <t>Processing Unit</t>
        </is>
      </c>
      <c r="C2705" t="inlineStr">
        <is>
          <t>Extensive Standard Technical Services Co., Ltd., Hong Kong, CN</t>
        </is>
      </c>
      <c r="D2705" t="inlineStr">
        <is>
          <t>11.06.2027</t>
        </is>
      </c>
      <c r="E2705" t="inlineStr">
        <is>
          <t>China</t>
        </is>
      </c>
    </row>
    <row r="2706">
      <c r="A2706" t="inlineStr">
        <is>
          <t>Davines S.p.A.,  Parma, Italy</t>
        </is>
      </c>
      <c r="B2706" t="inlineStr">
        <is>
          <t>Final Product Refinement, Trader with Storage</t>
        </is>
      </c>
      <c r="C2706" t="inlineStr">
        <is>
          <t>PT Intertek Utama Services, Jakarta, ID</t>
        </is>
      </c>
      <c r="D2706" t="inlineStr">
        <is>
          <t>11.06.2027</t>
        </is>
      </c>
      <c r="E2706" t="inlineStr">
        <is>
          <t>Italy</t>
        </is>
      </c>
    </row>
    <row r="2707">
      <c r="A2707" t="inlineStr">
        <is>
          <t>Arioil Reciclajes S.L.U.,  Arteixo, Spain</t>
        </is>
      </c>
      <c r="B2707" t="inlineStr">
        <is>
          <t>Collecting Point</t>
        </is>
      </c>
      <c r="C2707" t="inlineStr">
        <is>
          <t>Amspec Iberia SL, Vilagarcia de Arousa-Pontevedra, ES</t>
        </is>
      </c>
      <c r="D2707" t="inlineStr">
        <is>
          <t>11.06.2027</t>
        </is>
      </c>
      <c r="E2707" t="inlineStr">
        <is>
          <t>Spain</t>
        </is>
      </c>
    </row>
    <row r="2708">
      <c r="A2708" t="inlineStr">
        <is>
          <t>Sungei Kahang (SEP) Sdn Bhd,  KLUANG, JOHOR, Malaysia</t>
        </is>
      </c>
      <c r="B2708" t="inlineStr">
        <is>
          <t>Point of Origin</t>
        </is>
      </c>
      <c r="C2708" t="inlineStr">
        <is>
          <t>PT. Qualitas Sertifikasi Indonesia, Jakarta, ID</t>
        </is>
      </c>
      <c r="D2708" t="inlineStr">
        <is>
          <t>11.06.2027</t>
        </is>
      </c>
      <c r="E2708" t="inlineStr">
        <is>
          <t>Malaysia</t>
        </is>
      </c>
    </row>
    <row r="2709">
      <c r="A2709" t="inlineStr">
        <is>
          <t>MITSUI &amp; CO. (U.S.A.),  Houston, Texas, United States</t>
        </is>
      </c>
      <c r="B2709" t="inlineStr">
        <is>
          <t>Trader with Storage</t>
        </is>
      </c>
      <c r="C2709" t="inlineStr">
        <is>
          <t>SGS Germany GmbH, Emstek, DE</t>
        </is>
      </c>
      <c r="D2709" t="inlineStr">
        <is>
          <t>11.06.2027</t>
        </is>
      </c>
      <c r="E2709" t="inlineStr">
        <is>
          <t>United States</t>
        </is>
      </c>
    </row>
    <row r="2710">
      <c r="A2710" t="inlineStr">
        <is>
          <t>REVO International Inc.,  Tahara-Shi, Japan</t>
        </is>
      </c>
      <c r="B2710" t="inlineStr">
        <is>
          <t>Trader with Storage, Processing Unit</t>
        </is>
      </c>
      <c r="C2710" t="inlineStr">
        <is>
          <t>Control Union Certifications Germany GmbH, Berlin, DE</t>
        </is>
      </c>
      <c r="D2710" t="inlineStr">
        <is>
          <t>11.06.2027</t>
        </is>
      </c>
      <c r="E2710" t="inlineStr">
        <is>
          <t>Japan</t>
        </is>
      </c>
    </row>
    <row r="2711">
      <c r="A2711" t="inlineStr">
        <is>
          <t>REVO International Inc.,  Tahara-Shi, Japan</t>
        </is>
      </c>
      <c r="B2711" t="inlineStr">
        <is>
          <t>Processing Unit, Trader with Storage</t>
        </is>
      </c>
      <c r="C2711" t="inlineStr">
        <is>
          <t>Control Union Certifications Germany GmbH, Berlin, DE</t>
        </is>
      </c>
      <c r="D2711" t="inlineStr">
        <is>
          <t>11.06.2027</t>
        </is>
      </c>
      <c r="E2711" t="inlineStr">
        <is>
          <t>Japan</t>
        </is>
      </c>
    </row>
    <row r="2712">
      <c r="A2712" t="inlineStr">
        <is>
          <t>Aptar Czech Republic s.r.o.,  Čkyně, Czech Republic</t>
        </is>
      </c>
      <c r="B2712" t="inlineStr">
        <is>
          <t>Processing Unit, Warehouse</t>
        </is>
      </c>
      <c r="C2712" t="inlineStr">
        <is>
          <t>PT Intertek Utama Services, Jakarta, ID</t>
        </is>
      </c>
      <c r="D2712" t="inlineStr">
        <is>
          <t>11.06.2027</t>
        </is>
      </c>
      <c r="E2712" t="inlineStr">
        <is>
          <t>Czech Republic</t>
        </is>
      </c>
    </row>
    <row r="2713">
      <c r="A2713" t="inlineStr">
        <is>
          <t>Repsol Butano,  Cartagena , Murcia, Spain</t>
        </is>
      </c>
      <c r="B2713" t="inlineStr">
        <is>
          <t>Trader with Storage</t>
        </is>
      </c>
      <c r="C2713" t="inlineStr">
        <is>
          <t>Control Union Poland Sp. z o.o., Zielona Gora, PL</t>
        </is>
      </c>
      <c r="D2713" t="inlineStr">
        <is>
          <t>11.06.2027</t>
        </is>
      </c>
      <c r="E2713" t="inlineStr">
        <is>
          <t>Spain</t>
        </is>
      </c>
    </row>
    <row r="2714">
      <c r="A2714" t="inlineStr">
        <is>
          <t>Ecogestión del Norte,S.L.,  Oviedo, Asturias, Spain</t>
        </is>
      </c>
      <c r="B2714" t="inlineStr">
        <is>
          <t>Collecting Point</t>
        </is>
      </c>
      <c r="C2714" t="inlineStr">
        <is>
          <t>RINA Services S.p.A., Genova, IT</t>
        </is>
      </c>
      <c r="D2714" t="inlineStr">
        <is>
          <t>11.06.2027</t>
        </is>
      </c>
      <c r="E2714" t="inlineStr">
        <is>
          <t>Spain</t>
        </is>
      </c>
    </row>
    <row r="2715">
      <c r="A2715" t="inlineStr">
        <is>
          <t>Bergé Marítima, S.L.,  Santander, Spain</t>
        </is>
      </c>
      <c r="B2715" t="inlineStr">
        <is>
          <t>Logistics Center</t>
        </is>
      </c>
      <c r="C2715" t="inlineStr">
        <is>
          <t>Control Union Poland Sp. z o.o., Zielona Gora, PL</t>
        </is>
      </c>
      <c r="D2715" t="inlineStr">
        <is>
          <t>11.06.2027</t>
        </is>
      </c>
      <c r="E2715" t="inlineStr">
        <is>
          <t>Spain</t>
        </is>
      </c>
    </row>
    <row r="2716">
      <c r="A2716" t="inlineStr">
        <is>
          <t>Toppan Speciality Films Private Limited,  Tehsil Balachaur, Distt. SBS Nagar (Nawanshahr), India</t>
        </is>
      </c>
      <c r="B2716" t="inlineStr">
        <is>
          <t>Processing Unit</t>
        </is>
      </c>
      <c r="C2716" t="inlineStr">
        <is>
          <t>Cotecna India Inspection Pvt Ltd, Kolkata, IN</t>
        </is>
      </c>
      <c r="D2716" t="inlineStr">
        <is>
          <t>11.06.2027</t>
        </is>
      </c>
      <c r="E2716" t="inlineStr">
        <is>
          <t>India</t>
        </is>
      </c>
    </row>
    <row r="2717">
      <c r="A2717" t="inlineStr">
        <is>
          <t>FERMIER IN TARA MEA COOPERATIVA AGRICOLA,  Bucuresti, Romania</t>
        </is>
      </c>
      <c r="B2717" t="inlineStr">
        <is>
          <t>First Gathering Point, Trader</t>
        </is>
      </c>
      <c r="C2717" t="inlineStr">
        <is>
          <t>Control Union Certifications Germany GmbH, Berlin, DE</t>
        </is>
      </c>
      <c r="D2717" t="inlineStr">
        <is>
          <t>11.06.2027</t>
        </is>
      </c>
      <c r="E2717" t="inlineStr">
        <is>
          <t>Romania</t>
        </is>
      </c>
    </row>
    <row r="2718">
      <c r="A2718" t="inlineStr">
        <is>
          <t>Pannon-Csát Kft.,  Baja, Hungary</t>
        </is>
      </c>
      <c r="B2718" t="inlineStr">
        <is>
          <t>First Gathering Point, Trader with Storage</t>
        </is>
      </c>
      <c r="C2718" t="inlineStr">
        <is>
          <t>Amspec Iberia SL, Vilagarcia de Arousa-Pontevedra, ES</t>
        </is>
      </c>
      <c r="D2718" t="inlineStr">
        <is>
          <t>11.06.2027</t>
        </is>
      </c>
      <c r="E2718" t="inlineStr">
        <is>
          <t>Hungary</t>
        </is>
      </c>
    </row>
    <row r="2719">
      <c r="A2719" t="inlineStr">
        <is>
          <t>Donau farm Kalná, s.r.o.,  Kalná nad Hronom, Slovakia</t>
        </is>
      </c>
      <c r="B2719" t="inlineStr">
        <is>
          <t>First Gathering Point, Trader with Storage</t>
        </is>
      </c>
      <c r="C2719" t="inlineStr">
        <is>
          <t>United Registrar of Systems Polska Sp. z o.o., Wrocław, PL</t>
        </is>
      </c>
      <c r="D2719" t="inlineStr">
        <is>
          <t>11.06.2027</t>
        </is>
      </c>
      <c r="E2719" t="inlineStr">
        <is>
          <t>Slovakia</t>
        </is>
      </c>
    </row>
    <row r="2720">
      <c r="A2720" t="inlineStr">
        <is>
          <t>Donau farm Blahová s.r.o.,  Blahová, Slovakia</t>
        </is>
      </c>
      <c r="B2720" t="inlineStr">
        <is>
          <t>First Gathering Point, Trader with Storage</t>
        </is>
      </c>
      <c r="C2720" t="inlineStr">
        <is>
          <t>United Registrar of Systems Polska Sp. z o.o., Wrocław, PL</t>
        </is>
      </c>
      <c r="D2720" t="inlineStr">
        <is>
          <t>11.06.2027</t>
        </is>
      </c>
      <c r="E2720" t="inlineStr">
        <is>
          <t>Slovakia</t>
        </is>
      </c>
    </row>
    <row r="2721">
      <c r="A2721" t="inlineStr">
        <is>
          <t>Linyi Fuxiang Feed Co., Ltd.,  Linyi City, Shandong Province,, China</t>
        </is>
      </c>
      <c r="B2721" t="inlineStr">
        <is>
          <t>Collecting Point, Trader with Storage</t>
        </is>
      </c>
      <c r="C2721" t="inlineStr">
        <is>
          <t>SCS Global Services, Emeryville, CA, US</t>
        </is>
      </c>
      <c r="D2721" t="inlineStr">
        <is>
          <t>11.06.2027</t>
        </is>
      </c>
      <c r="E2721" t="inlineStr">
        <is>
          <t>China</t>
        </is>
      </c>
    </row>
    <row r="2722">
      <c r="A2722" t="inlineStr">
        <is>
          <t>DRT America,  Rincon, United States</t>
        </is>
      </c>
      <c r="B2722" t="inlineStr">
        <is>
          <t>Point of Origin</t>
        </is>
      </c>
      <c r="C2722" t="inlineStr">
        <is>
          <t>Control Union Certifications Germany GmbH, Berlin, DE</t>
        </is>
      </c>
      <c r="D2722" t="inlineStr">
        <is>
          <t>11.06.2027</t>
        </is>
      </c>
      <c r="E2722" t="inlineStr">
        <is>
          <t>United States</t>
        </is>
      </c>
    </row>
    <row r="2723">
      <c r="A2723" t="inlineStr">
        <is>
          <t>CHEE WAH (VIETNAM) TOYS LTD,  Hanoi, Vietnam</t>
        </is>
      </c>
      <c r="B2723" t="inlineStr">
        <is>
          <t>Processing Unit, Final Product Refinement</t>
        </is>
      </c>
      <c r="C2723" t="inlineStr">
        <is>
          <t>PT TUV Rheinland Indonesia, Jakarta, ID</t>
        </is>
      </c>
      <c r="D2723" t="inlineStr">
        <is>
          <t>11.06.2027</t>
        </is>
      </c>
      <c r="E2723" t="inlineStr">
        <is>
          <t>Vietnam</t>
        </is>
      </c>
    </row>
    <row r="2724">
      <c r="A2724" t="inlineStr">
        <is>
          <t>Graham Packaging Company L.P.,  Jefferson, LA, United States</t>
        </is>
      </c>
      <c r="B2724" t="inlineStr">
        <is>
          <t>Processing Unit</t>
        </is>
      </c>
      <c r="C2724" t="inlineStr">
        <is>
          <t>SCS Global Services, Emeryville, CA, US</t>
        </is>
      </c>
      <c r="D2724" t="inlineStr">
        <is>
          <t>11.06.2027</t>
        </is>
      </c>
      <c r="E2724" t="inlineStr">
        <is>
          <t>United States</t>
        </is>
      </c>
    </row>
    <row r="2725">
      <c r="A2725" t="inlineStr">
        <is>
          <t>Air Liquide Advanced Business &amp; Technologies UK,  Chipping Campden, United Kingdom</t>
        </is>
      </c>
      <c r="B2725" t="inlineStr">
        <is>
          <t>Collecting Point, Processing Unit</t>
        </is>
      </c>
      <c r="C2725" t="inlineStr">
        <is>
          <t>DEKRA Certification B.V., Arnhem, NL</t>
        </is>
      </c>
      <c r="D2725" t="inlineStr">
        <is>
          <t>11.06.2027</t>
        </is>
      </c>
      <c r="E2725" t="inlineStr">
        <is>
          <t>United Kingdom</t>
        </is>
      </c>
    </row>
    <row r="2726">
      <c r="A2726" t="inlineStr">
        <is>
          <t>Agritech,  Bondeno, Italy</t>
        </is>
      </c>
      <c r="B2726" t="inlineStr">
        <is>
          <t>First Gathering Point</t>
        </is>
      </c>
      <c r="C2726" t="inlineStr">
        <is>
          <t>DNV Business Assurance Sweden AB, Solna, SE</t>
        </is>
      </c>
      <c r="D2726" t="inlineStr">
        <is>
          <t>11.06.2027</t>
        </is>
      </c>
      <c r="E2726" t="inlineStr">
        <is>
          <t>Italy</t>
        </is>
      </c>
    </row>
    <row r="2727">
      <c r="A2727" t="inlineStr">
        <is>
          <t>Vertexynblue (Jiangsu) New Materials Co., Ltd.,  Xuzhou City, Jiangsu Province, China</t>
        </is>
      </c>
      <c r="B2727" t="inlineStr">
        <is>
          <t>Processing Unit</t>
        </is>
      </c>
      <c r="C2727" t="inlineStr">
        <is>
          <t>DIN CERTCO GmbH, Berlin, DE</t>
        </is>
      </c>
      <c r="D2727" t="inlineStr">
        <is>
          <t>11.06.2027</t>
        </is>
      </c>
      <c r="E2727" t="inlineStr">
        <is>
          <t>China</t>
        </is>
      </c>
    </row>
    <row r="2728">
      <c r="A2728" t="inlineStr">
        <is>
          <t>Trinseo Netherlands BV,  Hoek, Netherlands</t>
        </is>
      </c>
      <c r="B2728" t="inlineStr">
        <is>
          <t>Processing Unit</t>
        </is>
      </c>
      <c r="C2728" t="inlineStr">
        <is>
          <t>SGS Germany GmbH, Emstek, DE</t>
        </is>
      </c>
      <c r="D2728" t="inlineStr">
        <is>
          <t>11.06.2027</t>
        </is>
      </c>
      <c r="E2728" t="inlineStr">
        <is>
          <t>Netherlands</t>
        </is>
      </c>
    </row>
    <row r="2729">
      <c r="A2729" t="inlineStr">
        <is>
          <t>Veolia Huafei Polymer Technology (Zhejiang) Co., Ltd.,  Huzhou City, Zhejiang Province, China</t>
        </is>
      </c>
      <c r="B2729" t="inlineStr">
        <is>
          <t>Collecting Point, Processing Unit</t>
        </is>
      </c>
      <c r="C2729" t="inlineStr">
        <is>
          <t>SGS Germany GmbH, Emstek, DE</t>
        </is>
      </c>
      <c r="D2729" t="inlineStr">
        <is>
          <t>11.06.2027</t>
        </is>
      </c>
      <c r="E2729" t="inlineStr">
        <is>
          <t>China</t>
        </is>
      </c>
    </row>
    <row r="2730">
      <c r="A2730" t="inlineStr">
        <is>
          <t>MITSUI &amp; CO. (U.S.A.),  Houston, Texas, United States</t>
        </is>
      </c>
      <c r="B2730" t="inlineStr">
        <is>
          <t>Trader with Storage</t>
        </is>
      </c>
      <c r="C2730" t="inlineStr">
        <is>
          <t>SGS Germany GmbH, Emstek, DE</t>
        </is>
      </c>
      <c r="D2730" t="inlineStr">
        <is>
          <t>11.06.2027</t>
        </is>
      </c>
      <c r="E2730" t="inlineStr">
        <is>
          <t>United States</t>
        </is>
      </c>
    </row>
    <row r="2731">
      <c r="A2731" t="inlineStr">
        <is>
          <t>MITSUI &amp; CO. (U.S.A.),  Houston, Texas, United States</t>
        </is>
      </c>
      <c r="B2731" t="inlineStr">
        <is>
          <t>Trader with Storage</t>
        </is>
      </c>
      <c r="C2731" t="inlineStr">
        <is>
          <t>SGS Germany GmbH, Emstek, DE</t>
        </is>
      </c>
      <c r="D2731" t="inlineStr">
        <is>
          <t>11.06.2027</t>
        </is>
      </c>
      <c r="E2731" t="inlineStr">
        <is>
          <t>United States</t>
        </is>
      </c>
    </row>
    <row r="2732">
      <c r="A2732" t="inlineStr">
        <is>
          <t>Les Dérivés Résiniques et Terpéniques (DRT),  Castets, France</t>
        </is>
      </c>
      <c r="B2732" t="inlineStr">
        <is>
          <t>Point of Origin, Trader with Storage</t>
        </is>
      </c>
      <c r="C2732" t="inlineStr">
        <is>
          <t>Control Union Certifications Germany GmbH, Berlin, DE</t>
        </is>
      </c>
      <c r="D2732" t="inlineStr">
        <is>
          <t>11.06.2027</t>
        </is>
      </c>
      <c r="E2732" t="inlineStr">
        <is>
          <t>France</t>
        </is>
      </c>
    </row>
    <row r="2733">
      <c r="A2733" t="inlineStr">
        <is>
          <t>Les Dérivés Résiniques et Terpéniques (DRT),  Lesperon, France</t>
        </is>
      </c>
      <c r="B2733" t="inlineStr">
        <is>
          <t>Point of Origin, Trader with Storage</t>
        </is>
      </c>
      <c r="C2733" t="inlineStr">
        <is>
          <t>Control Union Certifications Germany GmbH, Berlin, DE</t>
        </is>
      </c>
      <c r="D2733" t="inlineStr">
        <is>
          <t>11.06.2027</t>
        </is>
      </c>
      <c r="E2733" t="inlineStr">
        <is>
          <t>France</t>
        </is>
      </c>
    </row>
    <row r="2734">
      <c r="A2734" t="inlineStr">
        <is>
          <t>Serres Oy,  Saarijärvi, Finland</t>
        </is>
      </c>
      <c r="B2734" t="inlineStr">
        <is>
          <t>Processing Unit</t>
        </is>
      </c>
      <c r="C2734" t="inlineStr">
        <is>
          <t>BM Certification, Riga, LV</t>
        </is>
      </c>
      <c r="D2734" t="inlineStr">
        <is>
          <t>11.06.2027</t>
        </is>
      </c>
      <c r="E2734" t="inlineStr">
        <is>
          <t>Finland</t>
        </is>
      </c>
    </row>
    <row r="2735">
      <c r="A2735" t="inlineStr">
        <is>
          <t>CRISTDAR SRL,  TIMISOARA, Romania</t>
        </is>
      </c>
      <c r="B2735" t="inlineStr">
        <is>
          <t>First Gathering Point, Trader</t>
        </is>
      </c>
      <c r="C2735" t="inlineStr">
        <is>
          <t>SGS Germany GmbH, Emstek, DE</t>
        </is>
      </c>
      <c r="D2735" t="inlineStr">
        <is>
          <t>11.06.2027</t>
        </is>
      </c>
      <c r="E2735" t="inlineStr">
        <is>
          <t>Romania</t>
        </is>
      </c>
    </row>
    <row r="2736">
      <c r="A2736" t="inlineStr">
        <is>
          <t>Jincheon Platech Co., Ltd.,  Jincheon-gun, Chungcheongbuk-do,, South Korea</t>
        </is>
      </c>
      <c r="B2736" t="inlineStr">
        <is>
          <t>Processing Unit</t>
        </is>
      </c>
      <c r="C2736" t="inlineStr">
        <is>
          <t>Korean Foundation for Quality, Songpa-gu, Seoul, KR</t>
        </is>
      </c>
      <c r="D2736" t="inlineStr">
        <is>
          <t>11.06.2027</t>
        </is>
      </c>
      <c r="E2736" t="inlineStr">
        <is>
          <t>South Korea</t>
        </is>
      </c>
    </row>
    <row r="2737">
      <c r="A2737" t="inlineStr">
        <is>
          <t>Hyundai Oilbank (Shanghai) Co.,Ltd.,  Shanghai, Pudong New district, China</t>
        </is>
      </c>
      <c r="B2737" t="inlineStr">
        <is>
          <t>Trader with Storage</t>
        </is>
      </c>
      <c r="C2737" t="inlineStr">
        <is>
          <t>RINA Services S.p.A., Genova, IT</t>
        </is>
      </c>
      <c r="D2737" t="inlineStr">
        <is>
          <t>11.06.2027</t>
        </is>
      </c>
      <c r="E2737" t="inlineStr">
        <is>
          <t>China</t>
        </is>
      </c>
    </row>
    <row r="2738">
      <c r="A2738" t="inlineStr">
        <is>
          <t>Wanhua Chemical(Guangdong)Co.,Ltd.,  ZHUHAI, China</t>
        </is>
      </c>
      <c r="B2738" t="inlineStr">
        <is>
          <t>Processing Unit</t>
        </is>
      </c>
      <c r="C2738" t="inlineStr">
        <is>
          <t>PT Intertek Utama Services, Jakarta, ID</t>
        </is>
      </c>
      <c r="D2738" t="inlineStr">
        <is>
          <t>11.06.2027</t>
        </is>
      </c>
      <c r="E2738" t="inlineStr">
        <is>
          <t>China</t>
        </is>
      </c>
    </row>
    <row r="2739">
      <c r="A2739" t="inlineStr">
        <is>
          <t>Aeravon Energy PTE. LTD.,  Singapore, Singapore</t>
        </is>
      </c>
      <c r="B2739" t="inlineStr">
        <is>
          <t>Trader</t>
        </is>
      </c>
      <c r="C2739" t="inlineStr">
        <is>
          <t>China Testing &amp; Certification International Group Co., Ltd., Beijing, CN</t>
        </is>
      </c>
      <c r="D2739" t="inlineStr">
        <is>
          <t>11.06.2027</t>
        </is>
      </c>
      <c r="E2739" t="inlineStr">
        <is>
          <t>Singapore</t>
        </is>
      </c>
    </row>
    <row r="2740">
      <c r="A2740" t="inlineStr">
        <is>
          <t>ekolio biohondakinen kudeaketa SL,  zarautz, Spain</t>
        </is>
      </c>
      <c r="B2740" t="inlineStr">
        <is>
          <t>Collecting Point</t>
        </is>
      </c>
      <c r="C2740" t="inlineStr">
        <is>
          <t>RINA Services S.p.A., Genova, IT</t>
        </is>
      </c>
      <c r="D2740" t="inlineStr">
        <is>
          <t>11.06.2027</t>
        </is>
      </c>
      <c r="E2740" t="inlineStr">
        <is>
          <t>Spain</t>
        </is>
      </c>
    </row>
    <row r="2741">
      <c r="A2741" t="inlineStr">
        <is>
          <t>ZHUCHENG FUBER TEXTILE TECHNOLOGY CO.,LTD.,  ZHUCHENG CITY,WEIFANG CITY,SHANDONG PROVINCE, China</t>
        </is>
      </c>
      <c r="B2741" t="inlineStr">
        <is>
          <t>Processing Unit</t>
        </is>
      </c>
      <c r="C2741" t="inlineStr">
        <is>
          <t>Control Union Certifications Germany GmbH, Berlin, DE</t>
        </is>
      </c>
      <c r="D2741" t="inlineStr">
        <is>
          <t>11.06.2027</t>
        </is>
      </c>
      <c r="E2741" t="inlineStr">
        <is>
          <t>China</t>
        </is>
      </c>
    </row>
    <row r="2742">
      <c r="A2742" t="inlineStr">
        <is>
          <t>Thames Water Utilities Limited,  London, United Kingdom</t>
        </is>
      </c>
      <c r="B2742" t="inlineStr">
        <is>
          <t>Collecting Point, Processing Unit</t>
        </is>
      </c>
      <c r="C2742" t="inlineStr">
        <is>
          <t>Aardvark Certification Ltd, Wiveliscombe, Somerset, GB</t>
        </is>
      </c>
      <c r="D2742" t="inlineStr">
        <is>
          <t>11.06.2027</t>
        </is>
      </c>
      <c r="E2742" t="inlineStr">
        <is>
          <t>United Kingdom</t>
        </is>
      </c>
    </row>
    <row r="2743">
      <c r="A2743" t="inlineStr">
        <is>
          <t>Thames Water Utilities Limited,  London, United Kingdom</t>
        </is>
      </c>
      <c r="B2743" t="inlineStr">
        <is>
          <t>Collecting Point, Processing Unit</t>
        </is>
      </c>
      <c r="C2743" t="inlineStr">
        <is>
          <t>Aardvark Certification Ltd, Wiveliscombe, Somerset, GB</t>
        </is>
      </c>
      <c r="D2743" t="inlineStr">
        <is>
          <t>11.06.2027</t>
        </is>
      </c>
      <c r="E2743" t="inlineStr">
        <is>
          <t>United Kingdom</t>
        </is>
      </c>
    </row>
    <row r="2744">
      <c r="A2744" t="inlineStr">
        <is>
          <t>Spolek pro chemickou a hutní výrobu, akciová společnost,  Ústí nad Labem, Czech Republic</t>
        </is>
      </c>
      <c r="B2744" t="inlineStr">
        <is>
          <t>Trader</t>
        </is>
      </c>
      <c r="C2744" t="inlineStr">
        <is>
          <t>TÜV NORD CERT GmbH, Essen, DE</t>
        </is>
      </c>
      <c r="D2744" t="inlineStr">
        <is>
          <t>11.06.2027</t>
        </is>
      </c>
      <c r="E2744" t="inlineStr">
        <is>
          <t>Czech Republic</t>
        </is>
      </c>
    </row>
    <row r="2745">
      <c r="A2745" t="inlineStr">
        <is>
          <t>Spolek pro chemickou a hutní výrobu, akciová společnost,  Schwarzheide, Germany</t>
        </is>
      </c>
      <c r="B2745" t="inlineStr">
        <is>
          <t>Processing Unit</t>
        </is>
      </c>
      <c r="C2745" t="inlineStr">
        <is>
          <t>TÜV NORD CERT GmbH, Essen, DE</t>
        </is>
      </c>
      <c r="D2745" t="inlineStr">
        <is>
          <t>11.06.2027</t>
        </is>
      </c>
      <c r="E2745" t="inlineStr">
        <is>
          <t>Germany</t>
        </is>
      </c>
    </row>
    <row r="2746">
      <c r="A2746" t="inlineStr">
        <is>
          <t>Spolek pro chemickou a hutní výrobu, akciová společnost,  Ústí nad Labem, Czech Republic</t>
        </is>
      </c>
      <c r="B2746" t="inlineStr">
        <is>
          <t>Processing Unit</t>
        </is>
      </c>
      <c r="C2746" t="inlineStr">
        <is>
          <t>TÜV NORD CERT GmbH, Essen, DE</t>
        </is>
      </c>
      <c r="D2746" t="inlineStr">
        <is>
          <t>11.06.2027</t>
        </is>
      </c>
      <c r="E2746" t="inlineStr">
        <is>
          <t>Czech Republic</t>
        </is>
      </c>
    </row>
    <row r="2747">
      <c r="A2747" t="inlineStr">
        <is>
          <t>S-CLUB,  BIRUINTA, Moldova</t>
        </is>
      </c>
      <c r="B2747" t="inlineStr">
        <is>
          <t>Collecting Point, Trader with Storage</t>
        </is>
      </c>
      <c r="C2747" t="inlineStr">
        <is>
          <t>PT Intertek Utama Services, Jakarta, ID</t>
        </is>
      </c>
      <c r="D2747" t="inlineStr">
        <is>
          <t>11.06.2027</t>
        </is>
      </c>
      <c r="E2747" t="inlineStr">
        <is>
          <t>Moldova</t>
        </is>
      </c>
    </row>
    <row r="2748">
      <c r="A2748" t="inlineStr">
        <is>
          <t>Spolek pro chemickou a hutní výrobu, akciová společnost,  Ústí nad Labem, Czech Republic</t>
        </is>
      </c>
      <c r="B2748" t="inlineStr">
        <is>
          <t>Processing Unit</t>
        </is>
      </c>
      <c r="C2748" t="inlineStr">
        <is>
          <t>TÜV NORD CERT GmbH, Essen, DE</t>
        </is>
      </c>
      <c r="D2748" t="inlineStr">
        <is>
          <t>11.06.2027</t>
        </is>
      </c>
      <c r="E2748" t="inlineStr">
        <is>
          <t>Czech Republic</t>
        </is>
      </c>
    </row>
    <row r="2749">
      <c r="A2749" t="inlineStr">
        <is>
          <t>DAREMA GRAIN SRL,  OVIDIU, Romania</t>
        </is>
      </c>
      <c r="B2749" t="inlineStr">
        <is>
          <t>Trader</t>
        </is>
      </c>
      <c r="C2749" t="inlineStr">
        <is>
          <t>Control Union Certifications Germany GmbH, Berlin, DE</t>
        </is>
      </c>
      <c r="D2749" t="inlineStr">
        <is>
          <t>11.06.2027</t>
        </is>
      </c>
      <c r="E2749" t="inlineStr">
        <is>
          <t>Romania</t>
        </is>
      </c>
    </row>
    <row r="2750">
      <c r="A2750" t="inlineStr">
        <is>
          <t>Sino-Carbon (Tianjin) Renewable Energy Co., Ltd.,  Tianjin City, China</t>
        </is>
      </c>
      <c r="B2750" t="inlineStr">
        <is>
          <t>Trader</t>
        </is>
      </c>
      <c r="C2750" t="inlineStr">
        <is>
          <t>SCS Global Services, Emeryville, CA, US</t>
        </is>
      </c>
      <c r="D2750" t="inlineStr">
        <is>
          <t>11.06.2027</t>
        </is>
      </c>
      <c r="E2750" t="inlineStr">
        <is>
          <t>China</t>
        </is>
      </c>
    </row>
    <row r="2751">
      <c r="A2751" t="inlineStr">
        <is>
          <t>Yunnan Ruisource Oil Industry Co., Ltd.,  Kunming City, Yunnan Province,, China</t>
        </is>
      </c>
      <c r="B2751" t="inlineStr">
        <is>
          <t>Collecting Point, Trader</t>
        </is>
      </c>
      <c r="C2751" t="inlineStr">
        <is>
          <t>SCS Global Services, Emeryville, CA, US</t>
        </is>
      </c>
      <c r="D2751" t="inlineStr">
        <is>
          <t>11.06.2027</t>
        </is>
      </c>
      <c r="E2751" t="inlineStr">
        <is>
          <t>China</t>
        </is>
      </c>
    </row>
    <row r="2752">
      <c r="A2752" t="inlineStr">
        <is>
          <t>Shanhai (Hongkong) International Trading Limited,  Lianyungang City, Jiangsu Province, China</t>
        </is>
      </c>
      <c r="B2752" t="inlineStr">
        <is>
          <t>Trader with Storage</t>
        </is>
      </c>
      <c r="C2752" t="inlineStr">
        <is>
          <t>SCS Global Services, Emeryville, CA, US</t>
        </is>
      </c>
      <c r="D2752" t="inlineStr">
        <is>
          <t>11.06.2027</t>
        </is>
      </c>
      <c r="E2752" t="inlineStr">
        <is>
          <t>China</t>
        </is>
      </c>
    </row>
    <row r="2753">
      <c r="A2753" t="inlineStr">
        <is>
          <t>Shanhai (Hongkong) International Trading Limited,  Lianyungang City, Jiangsu Province, China</t>
        </is>
      </c>
      <c r="B2753" t="inlineStr">
        <is>
          <t>Trader with Storage</t>
        </is>
      </c>
      <c r="C2753" t="inlineStr">
        <is>
          <t>SCS Global Services, Emeryville, CA, US</t>
        </is>
      </c>
      <c r="D2753" t="inlineStr">
        <is>
          <t>11.06.2027</t>
        </is>
      </c>
      <c r="E2753" t="inlineStr">
        <is>
          <t>China</t>
        </is>
      </c>
    </row>
    <row r="2754">
      <c r="A2754" t="inlineStr">
        <is>
          <t>NANTONG JINLI OIL INDUSTRIAL CO., LTD.,  Nantong, Jiangsu, China</t>
        </is>
      </c>
      <c r="B2754" t="inlineStr">
        <is>
          <t>Processing Unit, Trader</t>
        </is>
      </c>
      <c r="C2754" t="inlineStr">
        <is>
          <t>SCS Global Services, Emeryville, CA, US</t>
        </is>
      </c>
      <c r="D2754" t="inlineStr">
        <is>
          <t>11.06.2027</t>
        </is>
      </c>
      <c r="E2754" t="inlineStr">
        <is>
          <t>China</t>
        </is>
      </c>
    </row>
    <row r="2755">
      <c r="A2755" t="inlineStr">
        <is>
          <t>Shanhai (Hongkong) International Trading Limited,  Lianyungang City, Jiangsu Province, China</t>
        </is>
      </c>
      <c r="B2755" t="inlineStr">
        <is>
          <t>Trader with Storage</t>
        </is>
      </c>
      <c r="C2755" t="inlineStr">
        <is>
          <t>SCS Global Services, Emeryville, CA, US</t>
        </is>
      </c>
      <c r="D2755" t="inlineStr">
        <is>
          <t>11.06.2027</t>
        </is>
      </c>
      <c r="E2755" t="inlineStr">
        <is>
          <t>China</t>
        </is>
      </c>
    </row>
    <row r="2756">
      <c r="A2756" t="inlineStr">
        <is>
          <t>ZHAOQING YU TAI BIOTECHNOLOGY CO., LTD.,  Zhaoqing, Guangdong, China</t>
        </is>
      </c>
      <c r="B2756" t="inlineStr">
        <is>
          <t>Trader</t>
        </is>
      </c>
      <c r="C2756" t="inlineStr">
        <is>
          <t>SCS Global Services, Emeryville, CA, US</t>
        </is>
      </c>
      <c r="D2756" t="inlineStr">
        <is>
          <t>11.06.2027</t>
        </is>
      </c>
      <c r="E2756" t="inlineStr">
        <is>
          <t>China</t>
        </is>
      </c>
    </row>
    <row r="2757">
      <c r="A2757" t="inlineStr">
        <is>
          <t>DVA Cereal Impex,  Oltenita, Romania</t>
        </is>
      </c>
      <c r="B2757" t="inlineStr">
        <is>
          <t>First Gathering Point</t>
        </is>
      </c>
      <c r="C2757" t="inlineStr">
        <is>
          <t>BM Certification, Riga, LV</t>
        </is>
      </c>
      <c r="D2757" t="inlineStr">
        <is>
          <t>11.06.2027</t>
        </is>
      </c>
      <c r="E2757" t="inlineStr">
        <is>
          <t>Romania</t>
        </is>
      </c>
    </row>
    <row r="2758">
      <c r="A2758" t="inlineStr">
        <is>
          <t>URBAN SHINE CO., LIMITED,  Tien Lang Commune, Hai Phong City, Vietnam</t>
        </is>
      </c>
      <c r="B2758" t="inlineStr">
        <is>
          <t>Processing Unit</t>
        </is>
      </c>
      <c r="C2758" t="inlineStr">
        <is>
          <t>SGS Germany GmbH, Emstek, DE</t>
        </is>
      </c>
      <c r="D2758" t="inlineStr">
        <is>
          <t>11.06.2027</t>
        </is>
      </c>
      <c r="E2758" t="inlineStr">
        <is>
          <t>Vietnam</t>
        </is>
      </c>
    </row>
    <row r="2759">
      <c r="A2759" t="inlineStr">
        <is>
          <t>GRAND PACIFIC PERTOCHEMICAL CORPORATION,  Dashe Dist., Kaohsiung, Taiwan (Province of China)</t>
        </is>
      </c>
      <c r="B2759" t="inlineStr">
        <is>
          <t>Processing Unit</t>
        </is>
      </c>
      <c r="C2759" t="inlineStr">
        <is>
          <t>Bureau Veritas Polska Sp. z o.o., Warsaw, PL</t>
        </is>
      </c>
      <c r="D2759" t="inlineStr">
        <is>
          <t>11.06.2027</t>
        </is>
      </c>
      <c r="E2759" t="inlineStr">
        <is>
          <t>Taiwan (Province of China)</t>
        </is>
      </c>
    </row>
    <row r="2760">
      <c r="A2760" t="inlineStr">
        <is>
          <t>Pyroplus Company Limited,  Chachoengsao, Thailand</t>
        </is>
      </c>
      <c r="B2760" t="inlineStr">
        <is>
          <t>Collecting Point, Processing Unit, Trader with Storage</t>
        </is>
      </c>
      <c r="C2760" t="inlineStr">
        <is>
          <t>Bureau Veritas Polska Sp. z o.o., Warsaw, PL</t>
        </is>
      </c>
      <c r="D2760" t="inlineStr">
        <is>
          <t>11.06.2027</t>
        </is>
      </c>
      <c r="E2760" t="inlineStr">
        <is>
          <t>Thailand</t>
        </is>
      </c>
    </row>
    <row r="2761">
      <c r="A2761" t="inlineStr">
        <is>
          <t>GRANNEX LTD,  Nicosia, Cyprus</t>
        </is>
      </c>
      <c r="B2761" t="inlineStr">
        <is>
          <t>Trader</t>
        </is>
      </c>
      <c r="C2761" t="inlineStr">
        <is>
          <t>Bureau Veritas Polska Sp. z o.o., Warsaw, PL</t>
        </is>
      </c>
      <c r="D2761" t="inlineStr">
        <is>
          <t>11.06.2027</t>
        </is>
      </c>
      <c r="E2761" t="inlineStr">
        <is>
          <t>Cyprus</t>
        </is>
      </c>
    </row>
    <row r="2762">
      <c r="A2762" t="inlineStr">
        <is>
          <t>Anhui Jiarui Environmental Protection Technology Co., Ltd,  Wuhu City, Anhui Province, China</t>
        </is>
      </c>
      <c r="B2762" t="inlineStr">
        <is>
          <t>Collecting Point, Trader with Storage, Processing Unit</t>
        </is>
      </c>
      <c r="C2762" t="inlineStr">
        <is>
          <t>RINA Services S.p.A., Genova, IT</t>
        </is>
      </c>
      <c r="D2762" t="inlineStr">
        <is>
          <t>11.06.2027</t>
        </is>
      </c>
      <c r="E2762" t="inlineStr">
        <is>
          <t>China</t>
        </is>
      </c>
    </row>
    <row r="2763">
      <c r="A2763" t="inlineStr">
        <is>
          <t>Etablissements Abdelmoula,  Tunis, Den Den, Tunisia</t>
        </is>
      </c>
      <c r="B2763" t="inlineStr">
        <is>
          <t>Point of Origin</t>
        </is>
      </c>
      <c r="C2763" t="inlineStr">
        <is>
          <t>RINA Services S.p.A., Genova, IT</t>
        </is>
      </c>
      <c r="D2763" t="inlineStr">
        <is>
          <t>11.06.2027</t>
        </is>
      </c>
      <c r="E2763" t="inlineStr">
        <is>
          <t>Tunisia</t>
        </is>
      </c>
    </row>
    <row r="2764">
      <c r="A2764" t="inlineStr">
        <is>
          <t>Laborplast,  Busto Arsizio, Italy</t>
        </is>
      </c>
      <c r="B2764" t="inlineStr">
        <is>
          <t>Processing Unit</t>
        </is>
      </c>
      <c r="C2764" t="inlineStr">
        <is>
          <t>IIP S.r.l., Monza, IT</t>
        </is>
      </c>
      <c r="D2764" t="inlineStr">
        <is>
          <t>10.06.2027</t>
        </is>
      </c>
      <c r="E2764" t="inlineStr">
        <is>
          <t>Italy</t>
        </is>
      </c>
    </row>
    <row r="2765">
      <c r="A2765" t="inlineStr">
        <is>
          <t>SD Guthrie Berhad,  Sungai Siput, Perak, Malaysia</t>
        </is>
      </c>
      <c r="B2765" t="inlineStr">
        <is>
          <t>Point of Origin</t>
        </is>
      </c>
      <c r="C2765" t="inlineStr">
        <is>
          <t>Control Union Certifications Germany GmbH, Berlin, DE</t>
        </is>
      </c>
      <c r="D2765" t="inlineStr">
        <is>
          <t>10.06.2027</t>
        </is>
      </c>
      <c r="E2765" t="inlineStr">
        <is>
          <t>Malaysia</t>
        </is>
      </c>
    </row>
    <row r="2766">
      <c r="A2766" t="inlineStr">
        <is>
          <t>SD Guthrie Berhad,  Batu Pahat, Johor, Malaysia</t>
        </is>
      </c>
      <c r="B2766" t="inlineStr">
        <is>
          <t>Point of Origin</t>
        </is>
      </c>
      <c r="C2766" t="inlineStr">
        <is>
          <t>Control Union Certifications Germany GmbH, Berlin, DE</t>
        </is>
      </c>
      <c r="D2766" t="inlineStr">
        <is>
          <t>10.06.2027</t>
        </is>
      </c>
      <c r="E2766" t="inlineStr">
        <is>
          <t>Malaysia</t>
        </is>
      </c>
    </row>
    <row r="2767">
      <c r="A2767" t="inlineStr">
        <is>
          <t>Ve-ge Hassas Kağıt ve Yapıştırıcı Bant San.ve Tic. A.Ş.,  Kemalpaşa, Izmir, Türkiye</t>
        </is>
      </c>
      <c r="B2767" t="inlineStr">
        <is>
          <t>Processing Unit</t>
        </is>
      </c>
      <c r="C2767" t="inlineStr">
        <is>
          <t>PT Intertek Utama Services, Jakarta, ID</t>
        </is>
      </c>
      <c r="D2767" t="inlineStr">
        <is>
          <t>10.06.2027</t>
        </is>
      </c>
      <c r="E2767" t="inlineStr">
        <is>
          <t>Türkiye</t>
        </is>
      </c>
    </row>
    <row r="2768">
      <c r="A2768" t="inlineStr">
        <is>
          <t>JP Agro Trade s.r.o.,  Neratovice, Czech Republic, Czech Republic</t>
        </is>
      </c>
      <c r="B2768" t="inlineStr">
        <is>
          <t>First Gathering Point, Trader</t>
        </is>
      </c>
      <c r="C2768" t="inlineStr">
        <is>
          <t>United Registrar of Systems Polska Sp. z o.o., Wrocław, PL</t>
        </is>
      </c>
      <c r="D2768" t="inlineStr">
        <is>
          <t>10.06.2027</t>
        </is>
      </c>
      <c r="E2768" t="inlineStr">
        <is>
          <t>Czech Republic</t>
        </is>
      </c>
    </row>
    <row r="2769">
      <c r="A2769" t="inlineStr">
        <is>
          <t>SC ALPINA GRAINS SRL,  CONSTANTA, Romania</t>
        </is>
      </c>
      <c r="B2769" t="inlineStr">
        <is>
          <t>First Gathering Point</t>
        </is>
      </c>
      <c r="C2769" t="inlineStr">
        <is>
          <t>BM Certification, Riga, LV</t>
        </is>
      </c>
      <c r="D2769" t="inlineStr">
        <is>
          <t>10.06.2027</t>
        </is>
      </c>
      <c r="E2769" t="inlineStr">
        <is>
          <t>Romania</t>
        </is>
      </c>
    </row>
    <row r="2770">
      <c r="A2770" t="inlineStr">
        <is>
          <t>GRAVITA EUROPE SRL,  Izvoare, com. Dumbrava Rosie, jud. Neamț, Romania</t>
        </is>
      </c>
      <c r="B2770" t="inlineStr">
        <is>
          <t>Collecting Point, Processing Unit, Trader with Storage</t>
        </is>
      </c>
      <c r="C2770" t="inlineStr">
        <is>
          <t>BM Certification, Riga, LV</t>
        </is>
      </c>
      <c r="D2770" t="inlineStr">
        <is>
          <t>10.06.2027</t>
        </is>
      </c>
      <c r="E2770" t="inlineStr">
        <is>
          <t>Romania</t>
        </is>
      </c>
    </row>
    <row r="2771">
      <c r="A2771" t="inlineStr">
        <is>
          <t>GRAVITA EUROPE SRL,  Izvoare, com. Dumbrava Rosie, jud. Neamț, Romania</t>
        </is>
      </c>
      <c r="B2771" t="inlineStr">
        <is>
          <t>Collecting Point, Processing Unit, Trader with Storage</t>
        </is>
      </c>
      <c r="C2771" t="inlineStr">
        <is>
          <t>BM Certification, Riga, LV</t>
        </is>
      </c>
      <c r="D2771" t="inlineStr">
        <is>
          <t>10.06.2027</t>
        </is>
      </c>
      <c r="E2771" t="inlineStr">
        <is>
          <t>Romania</t>
        </is>
      </c>
    </row>
    <row r="2772">
      <c r="A2772" t="inlineStr">
        <is>
          <t>CAPITAL CONCORD ENTERPRISES LIMITED,  Hung Yen Province, Vietnam</t>
        </is>
      </c>
      <c r="B2772" t="inlineStr">
        <is>
          <t>Final Product Refinement</t>
        </is>
      </c>
      <c r="C2772" t="inlineStr">
        <is>
          <t>SGS Germany GmbH, Emstek, DE</t>
        </is>
      </c>
      <c r="D2772" t="inlineStr">
        <is>
          <t>10.06.2027</t>
        </is>
      </c>
      <c r="E2772" t="inlineStr">
        <is>
          <t>Vietnam</t>
        </is>
      </c>
    </row>
    <row r="2773">
      <c r="A2773" t="inlineStr">
        <is>
          <t>H.B. Fuller(Yantai) Advanced Materials Co., Ltd.,  Shandong Province, China</t>
        </is>
      </c>
      <c r="B2773" t="inlineStr">
        <is>
          <t>Processing Unit</t>
        </is>
      </c>
      <c r="C2773" t="inlineStr">
        <is>
          <t>SGS Germany GmbH, Emstek, DE</t>
        </is>
      </c>
      <c r="D2773" t="inlineStr">
        <is>
          <t>10.06.2027</t>
        </is>
      </c>
      <c r="E2773" t="inlineStr">
        <is>
          <t>China</t>
        </is>
      </c>
    </row>
    <row r="2774">
      <c r="A2774" t="inlineStr">
        <is>
          <t>EJ BioEnergy Liquid BV,  Oploo, The Netherlands</t>
        </is>
      </c>
      <c r="B2774" t="inlineStr">
        <is>
          <t>Trader</t>
        </is>
      </c>
      <c r="C2774" t="inlineStr">
        <is>
          <t>DEKRA Certification B.V., Arnhem, NL</t>
        </is>
      </c>
      <c r="D2774" t="inlineStr">
        <is>
          <t>10.06.2027</t>
        </is>
      </c>
      <c r="E2774" t="inlineStr">
        <is>
          <t>The Netherlands</t>
        </is>
      </c>
    </row>
    <row r="2775">
      <c r="A2775" t="inlineStr">
        <is>
          <t>ROYAL SINO-ENERGY AVIATION SERVICE HONG KONG COMPANY LIMITED,  Beijing City,, China</t>
        </is>
      </c>
      <c r="B2775" t="inlineStr">
        <is>
          <t>Trader</t>
        </is>
      </c>
      <c r="C2775" t="inlineStr">
        <is>
          <t>RINA Services S.p.A., Genova, IT</t>
        </is>
      </c>
      <c r="D2775" t="inlineStr">
        <is>
          <t>10.06.2027</t>
        </is>
      </c>
      <c r="E2775" t="inlineStr">
        <is>
          <t>China</t>
        </is>
      </c>
    </row>
    <row r="2776">
      <c r="A2776" t="inlineStr">
        <is>
          <t>EJ BioEnergy Solid BV,  Oploo, The Netherlands</t>
        </is>
      </c>
      <c r="B2776" t="inlineStr">
        <is>
          <t>Trader</t>
        </is>
      </c>
      <c r="C2776" t="inlineStr">
        <is>
          <t>DEKRA Certification B.V., Arnhem, NL</t>
        </is>
      </c>
      <c r="D2776" t="inlineStr">
        <is>
          <t>10.06.2027</t>
        </is>
      </c>
      <c r="E2776" t="inlineStr">
        <is>
          <t>The Netherlands</t>
        </is>
      </c>
    </row>
    <row r="2777">
      <c r="A2777" t="inlineStr">
        <is>
          <t>BST ENEOS Elastomer Co., Ltd.,  Rayong, Thailand</t>
        </is>
      </c>
      <c r="B2777" t="inlineStr">
        <is>
          <t>Processing Unit</t>
        </is>
      </c>
      <c r="C2777" t="inlineStr">
        <is>
          <t>SGS Germany GmbH, Emstek, DE</t>
        </is>
      </c>
      <c r="D2777" t="inlineStr">
        <is>
          <t>10.06.2027</t>
        </is>
      </c>
      <c r="E2777" t="inlineStr">
        <is>
          <t>Thailand</t>
        </is>
      </c>
    </row>
    <row r="2778">
      <c r="A2778" t="inlineStr">
        <is>
          <t>Synthomer Deutschland GmbH,  Langelsheim, Germany</t>
        </is>
      </c>
      <c r="B2778" t="inlineStr">
        <is>
          <t>Processing Unit</t>
        </is>
      </c>
      <c r="C2778" t="inlineStr">
        <is>
          <t>SGS Germany GmbH, Emstek, DE</t>
        </is>
      </c>
      <c r="D2778" t="inlineStr">
        <is>
          <t>10.06.2027</t>
        </is>
      </c>
      <c r="E2778" t="inlineStr">
        <is>
          <t>Germany</t>
        </is>
      </c>
    </row>
    <row r="2779">
      <c r="A2779" t="inlineStr">
        <is>
          <t>Pannon-Mag-Agrár Kft.,  Mosonmagyaróvár, Hungary</t>
        </is>
      </c>
      <c r="B2779" t="inlineStr">
        <is>
          <t>First Gathering Point</t>
        </is>
      </c>
      <c r="C2779" t="inlineStr">
        <is>
          <t>SGS Germany GmbH, Emstek, DE</t>
        </is>
      </c>
      <c r="D2779" t="inlineStr">
        <is>
          <t>10.06.2027</t>
        </is>
      </c>
      <c r="E2779" t="inlineStr">
        <is>
          <t>Hungary</t>
        </is>
      </c>
    </row>
    <row r="2780">
      <c r="A2780" t="inlineStr">
        <is>
          <t>İNTERKAP AMBALAJ SANAYİ VE TİCARET A.Ş.,  Çerkezköy /Tekirdağ, Türkiye</t>
        </is>
      </c>
      <c r="B2780" t="inlineStr">
        <is>
          <t>Processing Unit</t>
        </is>
      </c>
      <c r="C2780" t="inlineStr">
        <is>
          <t>PT Intertek Utama Services, Jakarta, ID</t>
        </is>
      </c>
      <c r="D2780" t="inlineStr">
        <is>
          <t>10.06.2027</t>
        </is>
      </c>
      <c r="E2780" t="inlineStr">
        <is>
          <t>Türkiye</t>
        </is>
      </c>
    </row>
    <row r="2781">
      <c r="A2781" t="inlineStr">
        <is>
          <t>Polyplex Europa Polyester Film San. ve Tic. A.Ş.,  Ergene/Tekirdağ, Türkiye</t>
        </is>
      </c>
      <c r="B2781" t="inlineStr">
        <is>
          <t>Processing Unit</t>
        </is>
      </c>
      <c r="C2781" t="inlineStr">
        <is>
          <t>PT Intertek Utama Services, Jakarta, ID</t>
        </is>
      </c>
      <c r="D2781" t="inlineStr">
        <is>
          <t>10.06.2027</t>
        </is>
      </c>
      <c r="E2781" t="inlineStr">
        <is>
          <t>Türkiye</t>
        </is>
      </c>
    </row>
    <row r="2782">
      <c r="A2782" t="inlineStr">
        <is>
          <t>KAM YUEN PETROCHEMICAL (H.K.) LIMITED,  HONG KONG, China</t>
        </is>
      </c>
      <c r="B2782" t="inlineStr">
        <is>
          <t>Trader</t>
        </is>
      </c>
      <c r="C2782" t="inlineStr">
        <is>
          <t>PT Intertek Utama Services, Jakarta, ID</t>
        </is>
      </c>
      <c r="D2782" t="inlineStr">
        <is>
          <t>10.06.2027</t>
        </is>
      </c>
      <c r="E2782" t="inlineStr">
        <is>
          <t>China</t>
        </is>
      </c>
    </row>
    <row r="2783">
      <c r="A2783" t="inlineStr">
        <is>
          <t>Longchuan Simona Footwear Co.,Ltd,  Long Chung County,Heyuan City, China</t>
        </is>
      </c>
      <c r="B2783" t="inlineStr">
        <is>
          <t>Processing Unit, Final Product Refinement</t>
        </is>
      </c>
      <c r="C2783" t="inlineStr">
        <is>
          <t>CTI Certification Co. Ltd, Shenzhen, CN</t>
        </is>
      </c>
      <c r="D2783" t="inlineStr">
        <is>
          <t>10.06.2027</t>
        </is>
      </c>
      <c r="E2783" t="inlineStr">
        <is>
          <t>China</t>
        </is>
      </c>
    </row>
    <row r="2784">
      <c r="A2784" t="inlineStr">
        <is>
          <t>Szárító és Szolgáltató Kft,  Miske, Hungary</t>
        </is>
      </c>
      <c r="B2784" t="inlineStr">
        <is>
          <t>Farm / Plantation, First Gathering Point</t>
        </is>
      </c>
      <c r="C2784" t="inlineStr">
        <is>
          <t>Bureau Veritas Polska Sp. z o.o., Warsaw, PL</t>
        </is>
      </c>
      <c r="D2784" t="inlineStr">
        <is>
          <t>10.06.2027</t>
        </is>
      </c>
      <c r="E2784" t="inlineStr">
        <is>
          <t>Hungary</t>
        </is>
      </c>
    </row>
    <row r="2785">
      <c r="A2785" t="inlineStr">
        <is>
          <t>North Emerald (M) Sdn. Bhd.,  Telok Gong, Port Klang, Malaysia</t>
        </is>
      </c>
      <c r="B2785" t="inlineStr">
        <is>
          <t>Processing Unit</t>
        </is>
      </c>
      <c r="C2785" t="inlineStr">
        <is>
          <t>PT SBC Asia Sertifikasi, Kebumen, ID</t>
        </is>
      </c>
      <c r="D2785" t="inlineStr">
        <is>
          <t>10.06.2027</t>
        </is>
      </c>
      <c r="E2785" t="inlineStr">
        <is>
          <t>Malaysia</t>
        </is>
      </c>
    </row>
    <row r="2786">
      <c r="A2786" t="inlineStr">
        <is>
          <t>Evonik Oil Additives SAS,  Lauterbourg, France</t>
        </is>
      </c>
      <c r="B2786" t="inlineStr">
        <is>
          <t>Processing Unit</t>
        </is>
      </c>
      <c r="C2786" t="inlineStr">
        <is>
          <t>GUT Certifizierungsgesellschaft für Managementsysteme mbH Umweltgutachter, Berlin, DE</t>
        </is>
      </c>
      <c r="D2786" t="inlineStr">
        <is>
          <t>10.06.2027</t>
        </is>
      </c>
      <c r="E2786" t="inlineStr">
        <is>
          <t>France</t>
        </is>
      </c>
    </row>
    <row r="2787">
      <c r="A2787" t="inlineStr">
        <is>
          <t>Shandong Kunji Textile Technology Co., Ltd. -Shanghe Branch,  Jinan, China</t>
        </is>
      </c>
      <c r="B2787" t="inlineStr">
        <is>
          <t>Processing Unit</t>
        </is>
      </c>
      <c r="C2787" t="inlineStr">
        <is>
          <t>Control Union Certifications Germany GmbH, Berlin, DE</t>
        </is>
      </c>
      <c r="D2787" t="inlineStr">
        <is>
          <t>10.06.2027</t>
        </is>
      </c>
      <c r="E2787" t="inlineStr">
        <is>
          <t>China</t>
        </is>
      </c>
    </row>
    <row r="2788">
      <c r="A2788" t="inlineStr">
        <is>
          <t>Pumariega Gestion S.L ,  Gijón, Asturias, Spain</t>
        </is>
      </c>
      <c r="B2788" t="inlineStr">
        <is>
          <t>Collecting Point</t>
        </is>
      </c>
      <c r="C2788" t="inlineStr">
        <is>
          <t>RINA Services S.p.A., Genova, IT</t>
        </is>
      </c>
      <c r="D2788" t="inlineStr">
        <is>
          <t>10.06.2027</t>
        </is>
      </c>
      <c r="E2788" t="inlineStr">
        <is>
          <t>Spain</t>
        </is>
      </c>
    </row>
    <row r="2789">
      <c r="A2789" t="inlineStr">
        <is>
          <t>ROTOR PRINT SL,  OLOST, Spain</t>
        </is>
      </c>
      <c r="B2789" t="inlineStr">
        <is>
          <t>Final Product Refinement</t>
        </is>
      </c>
      <c r="C2789" t="inlineStr">
        <is>
          <t>PT Intertek Utama Services, Jakarta, ID</t>
        </is>
      </c>
      <c r="D2789" t="inlineStr">
        <is>
          <t>10.06.2027</t>
        </is>
      </c>
      <c r="E2789" t="inlineStr">
        <is>
          <t>Spain</t>
        </is>
      </c>
    </row>
    <row r="2790">
      <c r="A2790" t="inlineStr">
        <is>
          <t>EverFuel Energy (Lianyungang) Co. Ltd.,  Shanghai, China</t>
        </is>
      </c>
      <c r="B2790" t="inlineStr">
        <is>
          <t>Trader</t>
        </is>
      </c>
      <c r="C2790" t="inlineStr">
        <is>
          <t>CTI Certification Co. Ltd, Shenzhen, CN</t>
        </is>
      </c>
      <c r="D2790" t="inlineStr">
        <is>
          <t>10.06.2027</t>
        </is>
      </c>
      <c r="E2790" t="inlineStr">
        <is>
          <t>China</t>
        </is>
      </c>
    </row>
    <row r="2791">
      <c r="A2791" t="inlineStr">
        <is>
          <t>G Energy (Lianyungang) Trading Co., Ltd,  Shanghai, China</t>
        </is>
      </c>
      <c r="B2791" t="inlineStr">
        <is>
          <t>Trader</t>
        </is>
      </c>
      <c r="C2791" t="inlineStr">
        <is>
          <t>CTI Certification Co. Ltd, Shenzhen, CN</t>
        </is>
      </c>
      <c r="D2791" t="inlineStr">
        <is>
          <t>10.06.2027</t>
        </is>
      </c>
      <c r="E2791" t="inlineStr">
        <is>
          <t>China</t>
        </is>
      </c>
    </row>
    <row r="2792">
      <c r="A2792" t="inlineStr">
        <is>
          <t>Shandong Dingtaiyao Environmental Technology Development Co.,Ltd.,  Shandong, China</t>
        </is>
      </c>
      <c r="B2792" t="inlineStr">
        <is>
          <t>Collecting Point, Trader with Storage</t>
        </is>
      </c>
      <c r="C2792" t="inlineStr">
        <is>
          <t>PT Intertek Utama Services, Jakarta, ID</t>
        </is>
      </c>
      <c r="D2792" t="inlineStr">
        <is>
          <t>10.06.2027</t>
        </is>
      </c>
      <c r="E2792" t="inlineStr">
        <is>
          <t>China</t>
        </is>
      </c>
    </row>
    <row r="2793">
      <c r="A2793" t="inlineStr">
        <is>
          <t>Constantia Pirk GmbH &amp; Co. KG,  Pirk, Germany</t>
        </is>
      </c>
      <c r="B2793" t="inlineStr">
        <is>
          <t>Final Product Refinement, Processing Unit</t>
        </is>
      </c>
      <c r="C2793" t="inlineStr">
        <is>
          <t>TÜV SÜD Industrie Service GmbH, München, DE</t>
        </is>
      </c>
      <c r="D2793" t="inlineStr">
        <is>
          <t>10.06.2027</t>
        </is>
      </c>
      <c r="E2793" t="inlineStr">
        <is>
          <t>Germany</t>
        </is>
      </c>
    </row>
    <row r="2794">
      <c r="A2794" t="inlineStr">
        <is>
          <t>LLC ASTON AGRO,  Vinnytsa, Ukraine</t>
        </is>
      </c>
      <c r="B2794" t="inlineStr">
        <is>
          <t>First Gathering Point</t>
        </is>
      </c>
      <c r="C2794" t="inlineStr">
        <is>
          <t>Apex Genelab LLC, Odessa, UA</t>
        </is>
      </c>
      <c r="D2794" t="inlineStr">
        <is>
          <t>10.06.2027</t>
        </is>
      </c>
      <c r="E2794" t="inlineStr">
        <is>
          <t>Ukraine</t>
        </is>
      </c>
    </row>
    <row r="2795">
      <c r="A2795" t="inlineStr">
        <is>
          <t>ICOF Europe GmbH,  Hamburg, Germany</t>
        </is>
      </c>
      <c r="B2795" t="inlineStr">
        <is>
          <t>Trader</t>
        </is>
      </c>
      <c r="C2795" t="inlineStr">
        <is>
          <t>Control Union Certifications Germany GmbH, Berlin, DE</t>
        </is>
      </c>
      <c r="D2795" t="inlineStr">
        <is>
          <t>10.06.2027</t>
        </is>
      </c>
      <c r="E2795" t="inlineStr">
        <is>
          <t>Germany</t>
        </is>
      </c>
    </row>
    <row r="2796">
      <c r="A2796" t="inlineStr">
        <is>
          <t>ICOF Europe GmbH,  Hamburg, Germany</t>
        </is>
      </c>
      <c r="B2796" t="inlineStr">
        <is>
          <t>Trader</t>
        </is>
      </c>
      <c r="C2796" t="inlineStr">
        <is>
          <t>Control Union Certifications Germany GmbH, Berlin, DE</t>
        </is>
      </c>
      <c r="D2796" t="inlineStr">
        <is>
          <t>10.06.2027</t>
        </is>
      </c>
      <c r="E2796" t="inlineStr">
        <is>
          <t>Germany</t>
        </is>
      </c>
    </row>
    <row r="2797">
      <c r="A2797" t="inlineStr">
        <is>
          <t>SC CLAUCRISEDCEREAL SRL,  Sat Dobridor, Comuna Moțăței, Romania</t>
        </is>
      </c>
      <c r="B2797" t="inlineStr">
        <is>
          <t>First Gathering Point</t>
        </is>
      </c>
      <c r="C2797" t="inlineStr">
        <is>
          <t>Control Union Certifications Germany GmbH, Berlin, DE</t>
        </is>
      </c>
      <c r="D2797" t="inlineStr">
        <is>
          <t>10.06.2027</t>
        </is>
      </c>
      <c r="E2797" t="inlineStr">
        <is>
          <t>Romania</t>
        </is>
      </c>
    </row>
    <row r="2798">
      <c r="A2798" t="inlineStr">
        <is>
          <t>ACEITES LONG,  MARRATXI, Spain</t>
        </is>
      </c>
      <c r="B2798" t="inlineStr">
        <is>
          <t>Collecting Point</t>
        </is>
      </c>
      <c r="C2798" t="inlineStr">
        <is>
          <t>RINA Services S.p.A., Genova, IT</t>
        </is>
      </c>
      <c r="D2798" t="inlineStr">
        <is>
          <t>10.06.2027</t>
        </is>
      </c>
      <c r="E2798" t="inlineStr">
        <is>
          <t>Spain</t>
        </is>
      </c>
    </row>
    <row r="2799">
      <c r="A2799" t="inlineStr">
        <is>
          <t>PT Honfoong Plastic Industries,  Batam, Kepulauan Riau, Indonesia</t>
        </is>
      </c>
      <c r="B2799" t="inlineStr">
        <is>
          <t>Processing Unit</t>
        </is>
      </c>
      <c r="C2799" t="inlineStr">
        <is>
          <t>PT Mutuagung Lestari, Depok, ID</t>
        </is>
      </c>
      <c r="D2799" t="inlineStr">
        <is>
          <t>10.06.2027</t>
        </is>
      </c>
      <c r="E2799" t="inlineStr">
        <is>
          <t>Indonesia</t>
        </is>
      </c>
    </row>
    <row r="2800">
      <c r="A2800" t="inlineStr">
        <is>
          <t>FONDELIR S.A.,  Montevideo, Uruguay</t>
        </is>
      </c>
      <c r="B2800" t="inlineStr">
        <is>
          <t>Trader</t>
        </is>
      </c>
      <c r="C2800" t="inlineStr">
        <is>
          <t>Control Union Poland Sp. z o.o., Zielona Gora, PL</t>
        </is>
      </c>
      <c r="D2800" t="inlineStr">
        <is>
          <t>10.06.2027</t>
        </is>
      </c>
      <c r="E2800" t="inlineStr">
        <is>
          <t>Uruguay</t>
        </is>
      </c>
    </row>
    <row r="2801">
      <c r="A2801" t="inlineStr">
        <is>
          <t>Bio Oil FZ-LLC,  Ras Al Khaimah, The United Arab Emirates</t>
        </is>
      </c>
      <c r="B2801" t="inlineStr">
        <is>
          <t>Collecting Point</t>
        </is>
      </c>
      <c r="C2801" t="inlineStr">
        <is>
          <t>ICIM SpA, sesto san giovanni, IT</t>
        </is>
      </c>
      <c r="D2801" t="inlineStr">
        <is>
          <t>10.06.2027</t>
        </is>
      </c>
      <c r="E2801" t="inlineStr">
        <is>
          <t>The United Arab Emirates</t>
        </is>
      </c>
    </row>
    <row r="2802">
      <c r="A2802" t="inlineStr">
        <is>
          <t>EPL Limited,  Nalagarh, India</t>
        </is>
      </c>
      <c r="B2802" t="inlineStr">
        <is>
          <t>Final Product Refinement</t>
        </is>
      </c>
      <c r="C2802" t="inlineStr">
        <is>
          <t>ISOQAR Ltd, Stretford, Manchester, GB</t>
        </is>
      </c>
      <c r="D2802" t="inlineStr">
        <is>
          <t>10.06.2027</t>
        </is>
      </c>
      <c r="E2802" t="inlineStr">
        <is>
          <t>India</t>
        </is>
      </c>
    </row>
    <row r="2803">
      <c r="A2803" t="inlineStr">
        <is>
          <t>KANAL M.P.S. s.r.o.,  Senec, Slovakia</t>
        </is>
      </c>
      <c r="B2803" t="inlineStr">
        <is>
          <t>Collecting Point, Trader with Storage</t>
        </is>
      </c>
      <c r="C2803" t="inlineStr">
        <is>
          <t>Bureau Veritas Polska Sp. z o.o., Warsaw, PL</t>
        </is>
      </c>
      <c r="D2803" t="inlineStr">
        <is>
          <t>10.06.2027</t>
        </is>
      </c>
      <c r="E2803" t="inlineStr">
        <is>
          <t>Slovakia</t>
        </is>
      </c>
    </row>
    <row r="2804">
      <c r="A2804" t="inlineStr">
        <is>
          <t>Nicator Films Spółka z ograniczoną odpowiedzialnością,  Karczew, Poland</t>
        </is>
      </c>
      <c r="B2804" t="inlineStr">
        <is>
          <t>Processing Unit</t>
        </is>
      </c>
      <c r="C2804" t="inlineStr">
        <is>
          <t>Bureau Veritas Polska Sp. z o.o., Warsaw, PL</t>
        </is>
      </c>
      <c r="D2804" t="inlineStr">
        <is>
          <t>10.06.2027</t>
        </is>
      </c>
      <c r="E2804" t="inlineStr">
        <is>
          <t>Poland</t>
        </is>
      </c>
    </row>
    <row r="2805">
      <c r="A2805" t="inlineStr">
        <is>
          <t>Investments Stability Ltd sp. z o.o.,  Balice, Poland</t>
        </is>
      </c>
      <c r="B2805" t="inlineStr">
        <is>
          <t>Collecting Point, Processing Unit</t>
        </is>
      </c>
      <c r="C2805" t="inlineStr">
        <is>
          <t>Control Union Poland Sp. z o.o., Zielona Gora, PL</t>
        </is>
      </c>
      <c r="D2805" t="inlineStr">
        <is>
          <t>10.06.2027</t>
        </is>
      </c>
      <c r="E2805" t="inlineStr">
        <is>
          <t>Poland</t>
        </is>
      </c>
    </row>
    <row r="2806">
      <c r="A2806" t="inlineStr">
        <is>
          <t>Pyrogen Tech,  Balice, Poland</t>
        </is>
      </c>
      <c r="B2806" t="inlineStr">
        <is>
          <t>Processing Unit</t>
        </is>
      </c>
      <c r="C2806" t="inlineStr">
        <is>
          <t>Control Union Poland Sp. z o.o., Zielona Gora, PL</t>
        </is>
      </c>
      <c r="D2806" t="inlineStr">
        <is>
          <t>10.06.2027</t>
        </is>
      </c>
      <c r="E2806" t="inlineStr">
        <is>
          <t>Poland</t>
        </is>
      </c>
    </row>
    <row r="2807">
      <c r="A2807" t="inlineStr">
        <is>
          <t>Villányi Szársomlyó Kft.,  Villány, Hungary</t>
        </is>
      </c>
      <c r="B2807" t="inlineStr">
        <is>
          <t>First Gathering Point, Trader</t>
        </is>
      </c>
      <c r="C2807" t="inlineStr">
        <is>
          <t>Amspec Iberia SL, Vilagarcia de Arousa-Pontevedra, ES</t>
        </is>
      </c>
      <c r="D2807" t="inlineStr">
        <is>
          <t>10.06.2027</t>
        </is>
      </c>
      <c r="E2807" t="inlineStr">
        <is>
          <t>Hungary</t>
        </is>
      </c>
    </row>
    <row r="2808">
      <c r="A2808" t="inlineStr">
        <is>
          <t>NIS AD Novi Sad,  Pančevo, Serbia</t>
        </is>
      </c>
      <c r="B2808" t="inlineStr">
        <is>
          <t>Trader with Storage</t>
        </is>
      </c>
      <c r="C2808" t="inlineStr">
        <is>
          <t>Bureau Veritas Polska Sp. z o.o., Warsaw, PL</t>
        </is>
      </c>
      <c r="D2808" t="inlineStr">
        <is>
          <t>10.06.2027</t>
        </is>
      </c>
      <c r="E2808" t="inlineStr">
        <is>
          <t>Serbia</t>
        </is>
      </c>
    </row>
    <row r="2809">
      <c r="A2809" t="inlineStr">
        <is>
          <t>Nouryon Functional Chemials,  Herkenbosch, Netherlands</t>
        </is>
      </c>
      <c r="B2809" t="inlineStr">
        <is>
          <t>Processing Unit</t>
        </is>
      </c>
      <c r="C2809" t="inlineStr">
        <is>
          <t>DNV Business Assurance Sweden AB, Solna, SE</t>
        </is>
      </c>
      <c r="D2809" t="inlineStr">
        <is>
          <t>10.06.2027</t>
        </is>
      </c>
      <c r="E2809" t="inlineStr">
        <is>
          <t>Netherlands</t>
        </is>
      </c>
    </row>
    <row r="2810">
      <c r="A2810" t="inlineStr">
        <is>
          <t>Eurocol Tape AB,  Åstorp, Sweden</t>
        </is>
      </c>
      <c r="B2810" t="inlineStr">
        <is>
          <t>Trader with Storage</t>
        </is>
      </c>
      <c r="C2810" t="inlineStr">
        <is>
          <t>DNV Business Assurance Sweden AB, Solna, SE</t>
        </is>
      </c>
      <c r="D2810" t="inlineStr">
        <is>
          <t>10.06.2027</t>
        </is>
      </c>
      <c r="E2810" t="inlineStr">
        <is>
          <t>Sweden</t>
        </is>
      </c>
    </row>
    <row r="2811">
      <c r="A2811" t="inlineStr">
        <is>
          <t>UNIQUE ENERGY SINGAPORE PTE. LTD.,  Beijing, China</t>
        </is>
      </c>
      <c r="B2811" t="inlineStr">
        <is>
          <t>Trader</t>
        </is>
      </c>
      <c r="C2811" t="inlineStr">
        <is>
          <t>SCS Global Services, Emeryville, CA, US</t>
        </is>
      </c>
      <c r="D2811" t="inlineStr">
        <is>
          <t>10.06.2027</t>
        </is>
      </c>
      <c r="E2811" t="inlineStr">
        <is>
          <t>China</t>
        </is>
      </c>
    </row>
    <row r="2812">
      <c r="A2812" t="inlineStr">
        <is>
          <t>Ecologia Ibérica y Mediterránea S.A.,  Barcelona, Spain</t>
        </is>
      </c>
      <c r="B2812" t="inlineStr">
        <is>
          <t>Collecting Point, Processing Unit</t>
        </is>
      </c>
      <c r="C2812" t="inlineStr">
        <is>
          <t>Control Union Poland Sp. z o.o., Zielona Gora, PL</t>
        </is>
      </c>
      <c r="D2812" t="inlineStr">
        <is>
          <t>10.06.2027</t>
        </is>
      </c>
      <c r="E2812" t="inlineStr">
        <is>
          <t>Spain</t>
        </is>
      </c>
    </row>
    <row r="2813">
      <c r="A2813" t="inlineStr">
        <is>
          <t>SD Guthrie Berhad,  Kluang, Johor, Malaysia</t>
        </is>
      </c>
      <c r="B2813" t="inlineStr">
        <is>
          <t>Point of Origin</t>
        </is>
      </c>
      <c r="C2813" t="inlineStr">
        <is>
          <t>Control Union Certifications Germany GmbH, Berlin, DE</t>
        </is>
      </c>
      <c r="D2813" t="inlineStr">
        <is>
          <t>10.06.2027</t>
        </is>
      </c>
      <c r="E2813" t="inlineStr">
        <is>
          <t>Malaysia</t>
        </is>
      </c>
    </row>
    <row r="2814">
      <c r="A2814" t="inlineStr">
        <is>
          <t>Gia Hung HD Company Ltd,  Hai Phong City, Vietnam</t>
        </is>
      </c>
      <c r="B2814" t="inlineStr">
        <is>
          <t>Collecting Point</t>
        </is>
      </c>
      <c r="C2814" t="inlineStr">
        <is>
          <t>PT Intertek Utama Services, Jakarta, ID</t>
        </is>
      </c>
      <c r="D2814" t="inlineStr">
        <is>
          <t>10.06.2027</t>
        </is>
      </c>
      <c r="E2814" t="inlineStr">
        <is>
          <t>Vietnam</t>
        </is>
      </c>
    </row>
    <row r="2815">
      <c r="A2815" t="inlineStr">
        <is>
          <t>SD Guthrie Berhad,  Karangan, Malaysia</t>
        </is>
      </c>
      <c r="B2815" t="inlineStr">
        <is>
          <t>Point of Origin</t>
        </is>
      </c>
      <c r="C2815" t="inlineStr">
        <is>
          <t>Control Union Certifications Germany GmbH, Berlin, DE</t>
        </is>
      </c>
      <c r="D2815" t="inlineStr">
        <is>
          <t>10.06.2027</t>
        </is>
      </c>
      <c r="E2815" t="inlineStr">
        <is>
          <t>Malaysia</t>
        </is>
      </c>
    </row>
    <row r="2816">
      <c r="A2816" t="inlineStr">
        <is>
          <t>FARGECO HELLAS,  Athinaio, Greece</t>
        </is>
      </c>
      <c r="B2816" t="inlineStr">
        <is>
          <t>Point of Origin, Processing Unit</t>
        </is>
      </c>
      <c r="C2816" t="inlineStr">
        <is>
          <t>Eurocert SA, Metamorfosi, Athens, GR</t>
        </is>
      </c>
      <c r="D2816" t="inlineStr">
        <is>
          <t>09.06.2027</t>
        </is>
      </c>
      <c r="E2816" t="inlineStr">
        <is>
          <t>Greece</t>
        </is>
      </c>
    </row>
    <row r="2817">
      <c r="A2817" t="inlineStr">
        <is>
          <t>TotalEnergies Petrochemicals France,  Saint Avold, France</t>
        </is>
      </c>
      <c r="B2817" t="inlineStr">
        <is>
          <t>Processing Unit, Warehouse</t>
        </is>
      </c>
      <c r="C2817" t="inlineStr">
        <is>
          <t>Bureau Veritas Polska Sp. z o.o., Warsaw, PL</t>
        </is>
      </c>
      <c r="D2817" t="inlineStr">
        <is>
          <t>09.06.2027</t>
        </is>
      </c>
      <c r="E2817" t="inlineStr">
        <is>
          <t>France</t>
        </is>
      </c>
    </row>
    <row r="2818">
      <c r="A2818" t="inlineStr">
        <is>
          <t>MHP Food Trading L.L.C.,  Yerky Urban Village, Zvenyhorodskyi District, Ukraine</t>
        </is>
      </c>
      <c r="B2818" t="inlineStr">
        <is>
          <t>First Gathering Point, Trader</t>
        </is>
      </c>
      <c r="C2818" t="inlineStr">
        <is>
          <t>Apex Genelab LLC, Odessa, UA</t>
        </is>
      </c>
      <c r="D2818" t="inlineStr">
        <is>
          <t>09.06.2027</t>
        </is>
      </c>
      <c r="E2818" t="inlineStr">
        <is>
          <t>Ukraine</t>
        </is>
      </c>
    </row>
    <row r="2819">
      <c r="A2819" t="inlineStr">
        <is>
          <t>MHP Food Trading L.L.C.,  Yerky Urban Village, Zvenyhorodskyi District, Ukraine</t>
        </is>
      </c>
      <c r="B2819" t="inlineStr">
        <is>
          <t>First Gathering Point, Trader</t>
        </is>
      </c>
      <c r="C2819" t="inlineStr">
        <is>
          <t>Apex Genelab LLC, Odessa, UA</t>
        </is>
      </c>
      <c r="D2819" t="inlineStr">
        <is>
          <t>09.06.2027</t>
        </is>
      </c>
      <c r="E2819" t="inlineStr">
        <is>
          <t>Ukraine</t>
        </is>
      </c>
    </row>
    <row r="2820">
      <c r="A2820" t="inlineStr">
        <is>
          <t>Supreme Eco Limited,  Samut Prakan, Thailand</t>
        </is>
      </c>
      <c r="B2820" t="inlineStr">
        <is>
          <t>Collecting Point, Trader with Storage</t>
        </is>
      </c>
      <c r="C2820" t="inlineStr">
        <is>
          <t>Trans Certification and Inspection Sdn Bhd, Kuantan, MY</t>
        </is>
      </c>
      <c r="D2820" t="inlineStr">
        <is>
          <t>09.06.2027</t>
        </is>
      </c>
      <c r="E2820" t="inlineStr">
        <is>
          <t>Thailand</t>
        </is>
      </c>
    </row>
    <row r="2821">
      <c r="A2821" t="inlineStr">
        <is>
          <t>Inpasa Agroindustrial S/A - Dourados,  Dourados, Brazil</t>
        </is>
      </c>
      <c r="B2821" t="inlineStr">
        <is>
          <t>Collecting Point, First Gathering Point, Point of Origin, Trader with Storage, Processing Unit</t>
        </is>
      </c>
      <c r="C2821" t="inlineStr">
        <is>
          <t>Control Union Poland Sp. z o.o., Zielona Gora, PL</t>
        </is>
      </c>
      <c r="D2821" t="inlineStr">
        <is>
          <t>09.06.2027</t>
        </is>
      </c>
      <c r="E2821" t="inlineStr">
        <is>
          <t>Brazil</t>
        </is>
      </c>
    </row>
    <row r="2822">
      <c r="A2822" t="inlineStr">
        <is>
          <t>Ennovi Polymer Engineering Services Batam,  Batam, Indonesia</t>
        </is>
      </c>
      <c r="B2822" t="inlineStr">
        <is>
          <t>Processing Unit</t>
        </is>
      </c>
      <c r="C2822" t="inlineStr">
        <is>
          <t>PT Intertek Utama Services, Jakarta, ID</t>
        </is>
      </c>
      <c r="D2822" t="inlineStr">
        <is>
          <t>09.06.2027</t>
        </is>
      </c>
      <c r="E2822" t="inlineStr">
        <is>
          <t>Indonesia</t>
        </is>
      </c>
    </row>
    <row r="2823">
      <c r="A2823" t="inlineStr">
        <is>
          <t>BIOKLEST, S.R.O.,  Cheb, Czech Republic</t>
        </is>
      </c>
      <c r="B2823" t="inlineStr">
        <is>
          <t>First Gathering Point, Collecting Point, Processing Unit</t>
        </is>
      </c>
      <c r="C2823" t="inlineStr">
        <is>
          <t>TÜV SÜD Czech s.r.o., Praha 4, CZ</t>
        </is>
      </c>
      <c r="D2823" t="inlineStr">
        <is>
          <t>09.06.2027</t>
        </is>
      </c>
      <c r="E2823" t="inlineStr">
        <is>
          <t>Czech Republic</t>
        </is>
      </c>
    </row>
    <row r="2824">
      <c r="A2824" t="inlineStr">
        <is>
          <t>Bunge Deutschland GmbH,  Mannheim, Germany</t>
        </is>
      </c>
      <c r="B2824" t="inlineStr">
        <is>
          <t>Point of Origin, Processing Unit, Trader with Storage</t>
        </is>
      </c>
      <c r="C2824" t="inlineStr">
        <is>
          <t>SGS Germany GmbH, Emstek, DE</t>
        </is>
      </c>
      <c r="D2824" t="inlineStr">
        <is>
          <t>09.06.2027</t>
        </is>
      </c>
      <c r="E2824" t="inlineStr">
        <is>
          <t>Germany</t>
        </is>
      </c>
    </row>
    <row r="2825">
      <c r="A2825" t="inlineStr">
        <is>
          <t>Louis Dreyfus Company Polska Trading sp. z o.o.,  Gdańsk, Poland</t>
        </is>
      </c>
      <c r="B2825" t="inlineStr">
        <is>
          <t>First Gathering Point, Trader with Storage</t>
        </is>
      </c>
      <c r="C2825" t="inlineStr">
        <is>
          <t>Bureau Veritas Polska Sp. z o.o., Warsaw, PL</t>
        </is>
      </c>
      <c r="D2825" t="inlineStr">
        <is>
          <t>09.06.2027</t>
        </is>
      </c>
      <c r="E2825" t="inlineStr">
        <is>
          <t>Poland</t>
        </is>
      </c>
    </row>
    <row r="2826">
      <c r="A2826" t="inlineStr">
        <is>
          <t>Louis Dreyfus Company Polska Trading sp. z o.o.,  Gdańsk, Poland</t>
        </is>
      </c>
      <c r="B2826" t="inlineStr">
        <is>
          <t>First Gathering Point, Trader with Storage</t>
        </is>
      </c>
      <c r="C2826" t="inlineStr">
        <is>
          <t>Bureau Veritas Polska Sp. z o.o., Warsaw, PL</t>
        </is>
      </c>
      <c r="D2826" t="inlineStr">
        <is>
          <t>09.06.2027</t>
        </is>
      </c>
      <c r="E2826" t="inlineStr">
        <is>
          <t>Poland</t>
        </is>
      </c>
    </row>
    <row r="2827">
      <c r="A2827" t="inlineStr">
        <is>
          <t>Zhongfu Shenying Carbon Fiber Co.,Ltd,  Lianyungang City, China</t>
        </is>
      </c>
      <c r="B2827" t="inlineStr">
        <is>
          <t>Processing Unit</t>
        </is>
      </c>
      <c r="C2827" t="inlineStr">
        <is>
          <t>Bureau Veritas Polska Sp. z o.o., Warsaw, PL</t>
        </is>
      </c>
      <c r="D2827" t="inlineStr">
        <is>
          <t>09.06.2027</t>
        </is>
      </c>
      <c r="E2827" t="inlineStr">
        <is>
          <t>China</t>
        </is>
      </c>
    </row>
    <row r="2828">
      <c r="A2828" t="inlineStr">
        <is>
          <t>Pro Energy Fuel Limited,  Strandhill, Co. Sligo, Ireland</t>
        </is>
      </c>
      <c r="B2828" t="inlineStr">
        <is>
          <t>Trader with Storage</t>
        </is>
      </c>
      <c r="C2828" t="inlineStr">
        <is>
          <t>Bureau Veritas Polska Sp. z o.o., Warsaw, PL</t>
        </is>
      </c>
      <c r="D2828" t="inlineStr">
        <is>
          <t>09.06.2027</t>
        </is>
      </c>
      <c r="E2828" t="inlineStr">
        <is>
          <t>Ireland</t>
        </is>
      </c>
    </row>
    <row r="2829">
      <c r="A2829" t="inlineStr">
        <is>
          <t>Pro Energy Fuel Limited,  Strandhill, Co. Sligo, Ireland</t>
        </is>
      </c>
      <c r="B2829" t="inlineStr">
        <is>
          <t>Trader with Storage</t>
        </is>
      </c>
      <c r="C2829" t="inlineStr">
        <is>
          <t>Bureau Veritas Polska Sp. z o.o., Warsaw, PL</t>
        </is>
      </c>
      <c r="D2829" t="inlineStr">
        <is>
          <t>09.06.2027</t>
        </is>
      </c>
      <c r="E2829" t="inlineStr">
        <is>
          <t>Ireland</t>
        </is>
      </c>
    </row>
    <row r="2830">
      <c r="A2830" t="inlineStr">
        <is>
          <t>Energen Biogas Limited,  Cumbernauld, United Kingdom</t>
        </is>
      </c>
      <c r="B2830" t="inlineStr">
        <is>
          <t>Collecting Point, Processing Unit</t>
        </is>
      </c>
      <c r="C2830" t="inlineStr">
        <is>
          <t>Double Helix Tracking Technologies Pte Ltd, Singapore, SG</t>
        </is>
      </c>
      <c r="D2830" t="inlineStr">
        <is>
          <t>09.06.2027</t>
        </is>
      </c>
      <c r="E2830" t="inlineStr">
        <is>
          <t>United Kingdom</t>
        </is>
      </c>
    </row>
    <row r="2831">
      <c r="A2831" t="inlineStr">
        <is>
          <t>Shandong Humei Biotechnology Co., Ltd,  Jining City, Shandong Province, China</t>
        </is>
      </c>
      <c r="B2831" t="inlineStr">
        <is>
          <t>Collecting Point, Trader with Storage</t>
        </is>
      </c>
      <c r="C2831" t="inlineStr">
        <is>
          <t>SCS Global Services, Emeryville, CA, US</t>
        </is>
      </c>
      <c r="D2831" t="inlineStr">
        <is>
          <t>09.06.2027</t>
        </is>
      </c>
      <c r="E2831" t="inlineStr">
        <is>
          <t>China</t>
        </is>
      </c>
    </row>
    <row r="2832">
      <c r="A2832" t="inlineStr">
        <is>
          <t>UAB Darius Agro,  Pasvalio r., Lithuania</t>
        </is>
      </c>
      <c r="B2832" t="inlineStr">
        <is>
          <t>Collecting Point, First Gathering Point, Point of Origin, Trader with Storage</t>
        </is>
      </c>
      <c r="C2832" t="inlineStr">
        <is>
          <t>Bureau Veritas Polska Sp. z o.o., Warsaw, PL</t>
        </is>
      </c>
      <c r="D2832" t="inlineStr">
        <is>
          <t>09.06.2027</t>
        </is>
      </c>
      <c r="E2832" t="inlineStr">
        <is>
          <t>Lithuania</t>
        </is>
      </c>
    </row>
    <row r="2833">
      <c r="A2833" t="inlineStr">
        <is>
          <t>Agrimomo,  Vaprio d'agogna, Italy</t>
        </is>
      </c>
      <c r="B2833" t="inlineStr">
        <is>
          <t>First Gathering Point</t>
        </is>
      </c>
      <c r="C2833" t="inlineStr">
        <is>
          <t>RINA Services S.p.A., Genova, IT</t>
        </is>
      </c>
      <c r="D2833" t="inlineStr">
        <is>
          <t>09.06.2027</t>
        </is>
      </c>
      <c r="E2833" t="inlineStr">
        <is>
          <t>Italy</t>
        </is>
      </c>
    </row>
    <row r="2834">
      <c r="A2834" t="inlineStr">
        <is>
          <t>Continental Farmers Romania SRL,  Bucharest, Romania</t>
        </is>
      </c>
      <c r="B2834" t="inlineStr">
        <is>
          <t>First Gathering Point, Trader</t>
        </is>
      </c>
      <c r="C2834" t="inlineStr">
        <is>
          <t>Control Union Certifications Germany GmbH, Berlin, DE</t>
        </is>
      </c>
      <c r="D2834" t="inlineStr">
        <is>
          <t>09.06.2027</t>
        </is>
      </c>
      <c r="E2834" t="inlineStr">
        <is>
          <t>Romania</t>
        </is>
      </c>
    </row>
    <row r="2835">
      <c r="A2835" t="inlineStr">
        <is>
          <t>ADM Erith,  Erith, The United Kingdom</t>
        </is>
      </c>
      <c r="B2835" t="inlineStr">
        <is>
          <t>Trader, Processing Unit</t>
        </is>
      </c>
      <c r="C2835" t="inlineStr">
        <is>
          <t>ASG Cert GmbH, Munich, DE</t>
        </is>
      </c>
      <c r="D2835" t="inlineStr">
        <is>
          <t>09.06.2027</t>
        </is>
      </c>
      <c r="E2835" t="inlineStr">
        <is>
          <t>The United Kingdom</t>
        </is>
      </c>
    </row>
    <row r="2836">
      <c r="A2836" t="inlineStr">
        <is>
          <t>ADM Erith,  Erith, The United Kingdom</t>
        </is>
      </c>
      <c r="B2836" t="inlineStr">
        <is>
          <t>Point of Origin, Processing Unit, Trader</t>
        </is>
      </c>
      <c r="C2836" t="inlineStr">
        <is>
          <t>ASG Cert GmbH, Munich, DE</t>
        </is>
      </c>
      <c r="D2836" t="inlineStr">
        <is>
          <t>09.06.2027</t>
        </is>
      </c>
      <c r="E2836" t="inlineStr">
        <is>
          <t>The United Kingdom</t>
        </is>
      </c>
    </row>
    <row r="2837">
      <c r="A2837" t="inlineStr">
        <is>
          <t>FS Industria de Biocombustiveis Ltda,  Lucas do Rio Verde, Mato Grosso, Brazil</t>
        </is>
      </c>
      <c r="B2837" t="inlineStr">
        <is>
          <t>First Gathering Point, Point of Origin, Processing Unit</t>
        </is>
      </c>
      <c r="C2837" t="inlineStr">
        <is>
          <t>SCS Global Services, Emeryville, CA, US</t>
        </is>
      </c>
      <c r="D2837" t="inlineStr">
        <is>
          <t>09.06.2027</t>
        </is>
      </c>
      <c r="E2837" t="inlineStr">
        <is>
          <t>Brazil</t>
        </is>
      </c>
    </row>
    <row r="2838">
      <c r="A2838" t="inlineStr">
        <is>
          <t>TotalEnergies Petrochemicals Iberica,  Estivella, Spain</t>
        </is>
      </c>
      <c r="B2838" t="inlineStr">
        <is>
          <t>Trader</t>
        </is>
      </c>
      <c r="C2838" t="inlineStr">
        <is>
          <t>Bureau Veritas Polska Sp. z o.o., Warsaw, PL</t>
        </is>
      </c>
      <c r="D2838" t="inlineStr">
        <is>
          <t>09.06.2027</t>
        </is>
      </c>
      <c r="E2838" t="inlineStr">
        <is>
          <t>Spain</t>
        </is>
      </c>
    </row>
    <row r="2839">
      <c r="A2839" t="inlineStr">
        <is>
          <t>GPI Flexibles AB,  Lund, Sweden</t>
        </is>
      </c>
      <c r="B2839" t="inlineStr">
        <is>
          <t>Processing Unit</t>
        </is>
      </c>
      <c r="C2839" t="inlineStr">
        <is>
          <t>Bureau Veritas Polska Sp. z o.o., Warsaw, PL</t>
        </is>
      </c>
      <c r="D2839" t="inlineStr">
        <is>
          <t>09.06.2027</t>
        </is>
      </c>
      <c r="E2839" t="inlineStr">
        <is>
          <t>Sweden</t>
        </is>
      </c>
    </row>
    <row r="2840">
      <c r="A2840" t="inlineStr">
        <is>
          <t>Esso Petroleum Co. Ltd.,  SOUTHAMPTON, United Kingdom</t>
        </is>
      </c>
      <c r="B2840" t="inlineStr">
        <is>
          <t>Proof of Compliance Trader, Trader with Storage</t>
        </is>
      </c>
      <c r="C2840" t="inlineStr">
        <is>
          <t>Bureau Veritas Polska Sp. z o.o., Warsaw, PL</t>
        </is>
      </c>
      <c r="D2840" t="inlineStr">
        <is>
          <t>09.06.2027</t>
        </is>
      </c>
      <c r="E2840" t="inlineStr">
        <is>
          <t>United Kingdom</t>
        </is>
      </c>
    </row>
    <row r="2841">
      <c r="A2841" t="inlineStr">
        <is>
          <t>Molini Fagioli Srl,  Magione - Perugia, Italy</t>
        </is>
      </c>
      <c r="B2841" t="inlineStr">
        <is>
          <t>Processing Unit</t>
        </is>
      </c>
      <c r="C2841" t="inlineStr">
        <is>
          <t>DNV Business Assurance Sweden AB, Solna, SE</t>
        </is>
      </c>
      <c r="D2841" t="inlineStr">
        <is>
          <t>09.06.2027</t>
        </is>
      </c>
      <c r="E2841" t="inlineStr">
        <is>
          <t>Italy</t>
        </is>
      </c>
    </row>
    <row r="2842">
      <c r="A2842" t="inlineStr">
        <is>
          <t>EBD Irradiation Services,  Däniken, Switzerland</t>
        </is>
      </c>
      <c r="B2842" t="inlineStr">
        <is>
          <t>Final Product Refinement</t>
        </is>
      </c>
      <c r="C2842" t="inlineStr">
        <is>
          <t>IIP S.r.l., Monza, IT</t>
        </is>
      </c>
      <c r="D2842" t="inlineStr">
        <is>
          <t>09.06.2027</t>
        </is>
      </c>
      <c r="E2842" t="inlineStr">
        <is>
          <t>Switzerland</t>
        </is>
      </c>
    </row>
    <row r="2843">
      <c r="A2843" t="inlineStr">
        <is>
          <t>Epetek Oy,  Kemi, Finland</t>
        </is>
      </c>
      <c r="B2843" t="inlineStr">
        <is>
          <t>Collecting Point, Processing Unit, Trader with Storage</t>
        </is>
      </c>
      <c r="C2843" t="inlineStr">
        <is>
          <t>NCS Estonia OÜ, Tallinn, EE</t>
        </is>
      </c>
      <c r="D2843" t="inlineStr">
        <is>
          <t>09.06.2027</t>
        </is>
      </c>
      <c r="E2843" t="inlineStr">
        <is>
          <t>Finland</t>
        </is>
      </c>
    </row>
    <row r="2844">
      <c r="A2844" t="inlineStr">
        <is>
          <t>Guangdong Xiesheng Optical Technology Co., LTD,  Huizhou, China</t>
        </is>
      </c>
      <c r="B2844" t="inlineStr">
        <is>
          <t>Processing Unit</t>
        </is>
      </c>
      <c r="C2844" t="inlineStr">
        <is>
          <t>RINA Services S.p.A., Genova, IT</t>
        </is>
      </c>
      <c r="D2844" t="inlineStr">
        <is>
          <t>09.06.2027</t>
        </is>
      </c>
      <c r="E2844" t="inlineStr">
        <is>
          <t>China</t>
        </is>
      </c>
    </row>
    <row r="2845">
      <c r="A2845" t="inlineStr">
        <is>
          <t>Baltic Energy Partners OÜ,  Tallinn, Estonia</t>
        </is>
      </c>
      <c r="B2845" t="inlineStr">
        <is>
          <t>Trader</t>
        </is>
      </c>
      <c r="C2845" t="inlineStr">
        <is>
          <t>Baltic Control Certification, Albertslund, DK</t>
        </is>
      </c>
      <c r="D2845" t="inlineStr">
        <is>
          <t>09.06.2027</t>
        </is>
      </c>
      <c r="E2845" t="inlineStr">
        <is>
          <t>Estonia</t>
        </is>
      </c>
    </row>
    <row r="2846">
      <c r="A2846" t="inlineStr">
        <is>
          <t>Anthera Kft.,  Városföld, Hungary</t>
        </is>
      </c>
      <c r="B2846" t="inlineStr">
        <is>
          <t>First Gathering Point, Trader with Storage</t>
        </is>
      </c>
      <c r="C2846" t="inlineStr">
        <is>
          <t>Amspec Iberia SL, Vilagarcia de Arousa-Pontevedra, ES</t>
        </is>
      </c>
      <c r="D2846" t="inlineStr">
        <is>
          <t>09.06.2027</t>
        </is>
      </c>
      <c r="E2846" t="inlineStr">
        <is>
          <t>Hungary</t>
        </is>
      </c>
    </row>
    <row r="2847">
      <c r="A2847" t="inlineStr">
        <is>
          <t>Fibertex Personal Care A/S,  Aalborg, Denmark</t>
        </is>
      </c>
      <c r="B2847" t="inlineStr">
        <is>
          <t>Processing Unit</t>
        </is>
      </c>
      <c r="C2847" t="inlineStr">
        <is>
          <t>DNV Business Assurance Sweden AB, Solna, SE</t>
        </is>
      </c>
      <c r="D2847" t="inlineStr">
        <is>
          <t>09.06.2027</t>
        </is>
      </c>
      <c r="E2847" t="inlineStr">
        <is>
          <t>Denmark</t>
        </is>
      </c>
    </row>
    <row r="2848">
      <c r="A2848" t="inlineStr">
        <is>
          <t>Shanghai Hegongwang Industrial Co., Ltd,  Shanghai, China</t>
        </is>
      </c>
      <c r="B2848" t="inlineStr">
        <is>
          <t>Trader</t>
        </is>
      </c>
      <c r="C2848" t="inlineStr">
        <is>
          <t>RINA Services S.p.A., Genova, IT</t>
        </is>
      </c>
      <c r="D2848" t="inlineStr">
        <is>
          <t>09.06.2027</t>
        </is>
      </c>
      <c r="E2848" t="inlineStr">
        <is>
          <t>China</t>
        </is>
      </c>
    </row>
    <row r="2849">
      <c r="A2849" t="inlineStr">
        <is>
          <t>Singapore Sustainable Aviation Fuel Company Ltd.,  Singapore, Singapore</t>
        </is>
      </c>
      <c r="B2849" t="inlineStr">
        <is>
          <t>Trader</t>
        </is>
      </c>
      <c r="C2849" t="inlineStr">
        <is>
          <t>Control Union Certifications Germany GmbH, Berlin, DE</t>
        </is>
      </c>
      <c r="D2849" t="inlineStr">
        <is>
          <t>09.06.2027</t>
        </is>
      </c>
      <c r="E2849" t="inlineStr">
        <is>
          <t>Singapore</t>
        </is>
      </c>
    </row>
    <row r="2850">
      <c r="A2850" t="inlineStr">
        <is>
          <t>Bunge Ibérica Portugal S.A.,  Almada, Portugal</t>
        </is>
      </c>
      <c r="B2850" t="inlineStr">
        <is>
          <t>Trader with Storage</t>
        </is>
      </c>
      <c r="C2850" t="inlineStr">
        <is>
          <t>Control Union Poland Sp. z o.o., Zielona Gora, PL</t>
        </is>
      </c>
      <c r="D2850" t="inlineStr">
        <is>
          <t>09.06.2027</t>
        </is>
      </c>
      <c r="E2850" t="inlineStr">
        <is>
          <t>Portugal</t>
        </is>
      </c>
    </row>
    <row r="2851">
      <c r="A2851" t="inlineStr">
        <is>
          <t>TOPPAN Packaging Americas,  Chillicothe, United States</t>
        </is>
      </c>
      <c r="B2851" t="inlineStr">
        <is>
          <t>Processing Unit</t>
        </is>
      </c>
      <c r="C2851" t="inlineStr">
        <is>
          <t>SCS Global Services, Emeryville, CA, US</t>
        </is>
      </c>
      <c r="D2851" t="inlineStr">
        <is>
          <t>09.06.2027</t>
        </is>
      </c>
      <c r="E2851" t="inlineStr">
        <is>
          <t>United States</t>
        </is>
      </c>
    </row>
    <row r="2852">
      <c r="A2852" t="inlineStr">
        <is>
          <t>Avient Taiwan Co., Ltd.,  Taoyuan, Taiwan, Province of China</t>
        </is>
      </c>
      <c r="B2852" t="inlineStr">
        <is>
          <t>Processing Unit</t>
        </is>
      </c>
      <c r="C2852" t="inlineStr">
        <is>
          <t>Control Union Certifications Germany GmbH, Berlin, DE</t>
        </is>
      </c>
      <c r="D2852" t="inlineStr">
        <is>
          <t>09.06.2027</t>
        </is>
      </c>
      <c r="E2852" t="inlineStr">
        <is>
          <t>Province of China</t>
        </is>
      </c>
    </row>
    <row r="2853">
      <c r="A2853" t="inlineStr">
        <is>
          <t>CINTAS ADHESIVAS UBIS,  Hernani, Spain</t>
        </is>
      </c>
      <c r="B2853" t="inlineStr">
        <is>
          <t>Processing Unit</t>
        </is>
      </c>
      <c r="C2853" t="inlineStr">
        <is>
          <t>PT Intertek Utama Services, Jakarta, ID</t>
        </is>
      </c>
      <c r="D2853" t="inlineStr">
        <is>
          <t>09.06.2027</t>
        </is>
      </c>
      <c r="E2853" t="inlineStr">
        <is>
          <t>Spain</t>
        </is>
      </c>
    </row>
    <row r="2854">
      <c r="A2854" t="inlineStr">
        <is>
          <t>Mitra Utama Bintang,  Kabupaten Sambas Provinsi Kalimantan Barat, Indonesia</t>
        </is>
      </c>
      <c r="B2854" t="inlineStr">
        <is>
          <t>Point of Origin</t>
        </is>
      </c>
      <c r="C2854" t="inlineStr">
        <is>
          <t>PT. Qualitas Sertifikasi Indonesia, Jakarta, ID</t>
        </is>
      </c>
      <c r="D2854" t="inlineStr">
        <is>
          <t>09.06.2027</t>
        </is>
      </c>
      <c r="E2854" t="inlineStr">
        <is>
          <t>Indonesia</t>
        </is>
      </c>
    </row>
    <row r="2855">
      <c r="A2855" t="inlineStr">
        <is>
          <t>Mitra Utama Bintang,  Kabupaten Sambas Provinsi Kalimantan Barat, Indonesia</t>
        </is>
      </c>
      <c r="B2855" t="inlineStr">
        <is>
          <t>Point of Origin</t>
        </is>
      </c>
      <c r="C2855" t="inlineStr">
        <is>
          <t>PT. Qualitas Sertifikasi Indonesia, Jakarta, ID</t>
        </is>
      </c>
      <c r="D2855" t="inlineStr">
        <is>
          <t>09.06.2027</t>
        </is>
      </c>
      <c r="E2855" t="inlineStr">
        <is>
          <t>Indonesia</t>
        </is>
      </c>
    </row>
    <row r="2856">
      <c r="A2856" t="inlineStr">
        <is>
          <t>Shin-Etsu Silicone International Trading (Shanghai) Co., Ltd.,  Shanghai, China</t>
        </is>
      </c>
      <c r="B2856" t="inlineStr">
        <is>
          <t>Trader with Storage</t>
        </is>
      </c>
      <c r="C2856" t="inlineStr">
        <is>
          <t>DIN CERTCO GmbH, Berlin, DE</t>
        </is>
      </c>
      <c r="D2856" t="inlineStr">
        <is>
          <t>09.06.2027</t>
        </is>
      </c>
      <c r="E2856" t="inlineStr">
        <is>
          <t>China</t>
        </is>
      </c>
    </row>
    <row r="2857">
      <c r="A2857" t="inlineStr">
        <is>
          <t>Sojitz SOLVADIS GmbH,  Düsseldorf, Germany</t>
        </is>
      </c>
      <c r="B2857" t="inlineStr">
        <is>
          <t>Trader with Storage</t>
        </is>
      </c>
      <c r="C2857" t="inlineStr">
        <is>
          <t>Control Union Certifications Germany GmbH, Berlin, DE</t>
        </is>
      </c>
      <c r="D2857" t="inlineStr">
        <is>
          <t>09.06.2027</t>
        </is>
      </c>
      <c r="E2857" t="inlineStr">
        <is>
          <t>Germany</t>
        </is>
      </c>
    </row>
    <row r="2858">
      <c r="A2858" t="inlineStr">
        <is>
          <t>Gabona Gazdák Szövetkezete,  Bókaháza, Hungary</t>
        </is>
      </c>
      <c r="B2858" t="inlineStr">
        <is>
          <t>First Gathering Point, Trader with Storage</t>
        </is>
      </c>
      <c r="C2858" t="inlineStr">
        <is>
          <t>Bureau Veritas Polska Sp. z o.o., Warsaw, PL</t>
        </is>
      </c>
      <c r="D2858" t="inlineStr">
        <is>
          <t>09.06.2027</t>
        </is>
      </c>
      <c r="E2858" t="inlineStr">
        <is>
          <t>Hungary</t>
        </is>
      </c>
    </row>
    <row r="2859">
      <c r="A2859" t="inlineStr">
        <is>
          <t>Inteplast Bags &amp; Films,  Lanoraie, Québec, Canada</t>
        </is>
      </c>
      <c r="B2859" t="inlineStr">
        <is>
          <t>Processing Unit</t>
        </is>
      </c>
      <c r="C2859" t="inlineStr">
        <is>
          <t>SCS Global Services, Emeryville, CA, US</t>
        </is>
      </c>
      <c r="D2859" t="inlineStr">
        <is>
          <t>09.06.2027</t>
        </is>
      </c>
      <c r="E2859" t="inlineStr">
        <is>
          <t>Canada</t>
        </is>
      </c>
    </row>
    <row r="2860">
      <c r="A2860" t="inlineStr">
        <is>
          <t>FS Industria de Biocombustiveis Ltda,  Lucas do Rio Verde, Mato Grosso, Brazil</t>
        </is>
      </c>
      <c r="B2860" t="inlineStr">
        <is>
          <t>First Gathering Point</t>
        </is>
      </c>
      <c r="C2860" t="inlineStr">
        <is>
          <t>SCS Global Services, Emeryville, CA, US</t>
        </is>
      </c>
      <c r="D2860" t="inlineStr">
        <is>
          <t>09.06.2027</t>
        </is>
      </c>
      <c r="E2860" t="inlineStr">
        <is>
          <t>Brazil</t>
        </is>
      </c>
    </row>
    <row r="2861">
      <c r="A2861" t="inlineStr">
        <is>
          <t>E Plus Chemical Co., Ltd.,  Pinghu City, Jiaxing City, Zhejiang Province, China</t>
        </is>
      </c>
      <c r="B2861" t="inlineStr">
        <is>
          <t>Processing Unit</t>
        </is>
      </c>
      <c r="C2861" t="inlineStr">
        <is>
          <t>DIN CERTCO GmbH, Berlin, DE</t>
        </is>
      </c>
      <c r="D2861" t="inlineStr">
        <is>
          <t>09.06.2027</t>
        </is>
      </c>
      <c r="E2861" t="inlineStr">
        <is>
          <t>China</t>
        </is>
      </c>
    </row>
    <row r="2862">
      <c r="A2862" t="inlineStr">
        <is>
          <t>Hoogheemraadschap Hollands Noorderkwartier (HHNK),  Beverwijk, Netherlands</t>
        </is>
      </c>
      <c r="B2862" t="inlineStr">
        <is>
          <t>Collecting Point, Processing Unit</t>
        </is>
      </c>
      <c r="C2862" t="inlineStr">
        <is>
          <t>Normec QS BV, Ede, NL</t>
        </is>
      </c>
      <c r="D2862" t="inlineStr">
        <is>
          <t>09.06.2027</t>
        </is>
      </c>
      <c r="E2862" t="inlineStr">
        <is>
          <t>Netherlands</t>
        </is>
      </c>
    </row>
    <row r="2863">
      <c r="A2863" t="inlineStr">
        <is>
          <t>Cars Mario Group,  Curtici, Romania</t>
        </is>
      </c>
      <c r="B2863" t="inlineStr">
        <is>
          <t>First Gathering Point, Trader</t>
        </is>
      </c>
      <c r="C2863" t="inlineStr">
        <is>
          <t>BM Certification, Riga, LV</t>
        </is>
      </c>
      <c r="D2863" t="inlineStr">
        <is>
          <t>09.06.2027</t>
        </is>
      </c>
      <c r="E2863" t="inlineStr">
        <is>
          <t>Romania</t>
        </is>
      </c>
    </row>
    <row r="2864">
      <c r="A2864" t="inlineStr">
        <is>
          <t>Agroplant Bio Grup de Producatori Cooperativa Agricola,  Paulesti, Romania</t>
        </is>
      </c>
      <c r="B2864" t="inlineStr">
        <is>
          <t>First Gathering Point, Warehouse</t>
        </is>
      </c>
      <c r="C2864" t="inlineStr">
        <is>
          <t>BM Certification, Riga, LV</t>
        </is>
      </c>
      <c r="D2864" t="inlineStr">
        <is>
          <t>09.06.2027</t>
        </is>
      </c>
      <c r="E2864" t="inlineStr">
        <is>
          <t>Romania</t>
        </is>
      </c>
    </row>
    <row r="2865">
      <c r="A2865" t="inlineStr">
        <is>
          <t>OpenSwm,  SAN GWANN, Malta</t>
        </is>
      </c>
      <c r="B2865" t="inlineStr">
        <is>
          <t>Trader</t>
        </is>
      </c>
      <c r="C2865" t="inlineStr">
        <is>
          <t>SGS Germany GmbH, Emstek, DE</t>
        </is>
      </c>
      <c r="D2865" t="inlineStr">
        <is>
          <t>09.06.2027</t>
        </is>
      </c>
      <c r="E2865" t="inlineStr">
        <is>
          <t>Malta</t>
        </is>
      </c>
    </row>
    <row r="2866">
      <c r="A2866" t="inlineStr">
        <is>
          <t>BlueAlp Oostende Recycling,  Oostende, Belgium</t>
        </is>
      </c>
      <c r="B2866" t="inlineStr">
        <is>
          <t>Processing Unit</t>
        </is>
      </c>
      <c r="C2866" t="inlineStr">
        <is>
          <t>SGS Germany GmbH, Emstek, DE</t>
        </is>
      </c>
      <c r="D2866" t="inlineStr">
        <is>
          <t>09.06.2027</t>
        </is>
      </c>
      <c r="E2866" t="inlineStr">
        <is>
          <t>Belgium</t>
        </is>
      </c>
    </row>
    <row r="2867">
      <c r="A2867" t="inlineStr">
        <is>
          <t>Tu Phuong BOPP Film Factory - Branch of Plastic Chemicals Group Joint Stock Company,  Khanh Hau Ward, Tay Ninh Province, Vietnam, Vietnam</t>
        </is>
      </c>
      <c r="B2867" t="inlineStr">
        <is>
          <t>Processing Unit</t>
        </is>
      </c>
      <c r="C2867" t="inlineStr">
        <is>
          <t>Bureau Veritas Polska Sp. z o.o., Warsaw, PL</t>
        </is>
      </c>
      <c r="D2867" t="inlineStr">
        <is>
          <t>09.06.2027</t>
        </is>
      </c>
      <c r="E2867" t="inlineStr">
        <is>
          <t>Vietnam</t>
        </is>
      </c>
    </row>
    <row r="2868">
      <c r="A2868" t="inlineStr">
        <is>
          <t>OpenSwm,  SAN GWANN, Malta</t>
        </is>
      </c>
      <c r="B2868" t="inlineStr">
        <is>
          <t>Trader</t>
        </is>
      </c>
      <c r="C2868" t="inlineStr">
        <is>
          <t>SGS Germany GmbH, Emstek, DE</t>
        </is>
      </c>
      <c r="D2868" t="inlineStr">
        <is>
          <t>09.06.2027</t>
        </is>
      </c>
      <c r="E2868" t="inlineStr">
        <is>
          <t>Malta</t>
        </is>
      </c>
    </row>
    <row r="2869">
      <c r="A2869" t="inlineStr">
        <is>
          <t>Solvay Fine Chemical Additives (Qingdao) Co., Ltd.,  Qingdao, Shandong, China</t>
        </is>
      </c>
      <c r="B2869" t="inlineStr">
        <is>
          <t>Processing Unit</t>
        </is>
      </c>
      <c r="C2869" t="inlineStr">
        <is>
          <t>SGS Germany GmbH, Emstek, DE</t>
        </is>
      </c>
      <c r="D2869" t="inlineStr">
        <is>
          <t>09.06.2027</t>
        </is>
      </c>
      <c r="E2869" t="inlineStr">
        <is>
          <t>China</t>
        </is>
      </c>
    </row>
    <row r="2870">
      <c r="A2870" t="inlineStr">
        <is>
          <t>Pibiplast spA,  Correggio, Italy</t>
        </is>
      </c>
      <c r="B2870" t="inlineStr">
        <is>
          <t>Processing Unit, Final Product Refinement</t>
        </is>
      </c>
      <c r="C2870" t="inlineStr">
        <is>
          <t>ICIM SpA, sesto san giovanni, IT</t>
        </is>
      </c>
      <c r="D2870" t="inlineStr">
        <is>
          <t>09.06.2027</t>
        </is>
      </c>
      <c r="E2870" t="inlineStr">
        <is>
          <t>Italy</t>
        </is>
      </c>
    </row>
    <row r="2871">
      <c r="A2871" t="inlineStr">
        <is>
          <t>UNIGRAINS TRADING SRL,  Constanta, Romania</t>
        </is>
      </c>
      <c r="B2871" t="inlineStr">
        <is>
          <t>First Gathering Point</t>
        </is>
      </c>
      <c r="C2871" t="inlineStr">
        <is>
          <t>SGS Germany GmbH, Emstek, DE</t>
        </is>
      </c>
      <c r="D2871" t="inlineStr">
        <is>
          <t>09.06.2027</t>
        </is>
      </c>
      <c r="E2871" t="inlineStr">
        <is>
          <t>Romania</t>
        </is>
      </c>
    </row>
    <row r="2872">
      <c r="A2872" t="inlineStr">
        <is>
          <t>Permata Timur Lestari,  Kab. Kotawaringin Timur, Indonesia</t>
        </is>
      </c>
      <c r="B2872" t="inlineStr">
        <is>
          <t>Point of Origin</t>
        </is>
      </c>
      <c r="C2872" t="inlineStr">
        <is>
          <t>PT. CBQA GLOBAL INDONESIA, JAKARTA SELATAN, ID</t>
        </is>
      </c>
      <c r="D2872" t="inlineStr">
        <is>
          <t>09.06.2027</t>
        </is>
      </c>
      <c r="E2872" t="inlineStr">
        <is>
          <t>Indonesia</t>
        </is>
      </c>
    </row>
    <row r="2873">
      <c r="A2873" t="inlineStr">
        <is>
          <t>ENNOVI PLASTIC INDUSTRIES PTE.,  Central Plaza, Singapore</t>
        </is>
      </c>
      <c r="B2873" t="inlineStr">
        <is>
          <t>Trader</t>
        </is>
      </c>
      <c r="C2873" t="inlineStr">
        <is>
          <t>PT Intertek Utama Services, Jakarta, ID</t>
        </is>
      </c>
      <c r="D2873" t="inlineStr">
        <is>
          <t>09.06.2027</t>
        </is>
      </c>
      <c r="E2873" t="inlineStr">
        <is>
          <t>Singapore</t>
        </is>
      </c>
    </row>
    <row r="2874">
      <c r="A2874" t="inlineStr">
        <is>
          <t>Ennovi Polymer Engineering Services Batam,  Batam, Indonesia</t>
        </is>
      </c>
      <c r="B2874" t="inlineStr">
        <is>
          <t>Processing Unit</t>
        </is>
      </c>
      <c r="C2874" t="inlineStr">
        <is>
          <t>PT Intertek Utama Services, Jakarta, ID</t>
        </is>
      </c>
      <c r="D2874" t="inlineStr">
        <is>
          <t>09.06.2027</t>
        </is>
      </c>
      <c r="E2874" t="inlineStr">
        <is>
          <t>Indonesia</t>
        </is>
      </c>
    </row>
    <row r="2875">
      <c r="A2875" t="inlineStr">
        <is>
          <t>UniPearls B.V.,  Meijel, Netherlands</t>
        </is>
      </c>
      <c r="B2875" t="inlineStr">
        <is>
          <t>Processing Unit</t>
        </is>
      </c>
      <c r="C2875" t="inlineStr">
        <is>
          <t>DEKRA Certification B.V., Arnhem, NL</t>
        </is>
      </c>
      <c r="D2875" t="inlineStr">
        <is>
          <t>09.06.2027</t>
        </is>
      </c>
      <c r="E2875" t="inlineStr">
        <is>
          <t>Netherlands</t>
        </is>
      </c>
    </row>
    <row r="2876">
      <c r="A2876" t="inlineStr">
        <is>
          <t>Throne Biofuel Company Limited,  Ho Chi Minh, Vietnam</t>
        </is>
      </c>
      <c r="B2876" t="inlineStr">
        <is>
          <t>Collecting Point, Trader with Storage</t>
        </is>
      </c>
      <c r="C2876" t="inlineStr">
        <is>
          <t>Trans Certification and Inspection Sdn Bhd, Kuantan, MY</t>
        </is>
      </c>
      <c r="D2876" t="inlineStr">
        <is>
          <t>09.06.2027</t>
        </is>
      </c>
      <c r="E2876" t="inlineStr">
        <is>
          <t>Vietnam</t>
        </is>
      </c>
    </row>
    <row r="2877">
      <c r="A2877" t="inlineStr">
        <is>
          <t>RYK Mills Limited,  Rahim Yar Khan, Pakistan</t>
        </is>
      </c>
      <c r="B2877" t="inlineStr">
        <is>
          <t>First Gathering Point, Processing Unit</t>
        </is>
      </c>
      <c r="C2877" t="inlineStr">
        <is>
          <t>PT Intertek Utama Services, Jakarta, ID</t>
        </is>
      </c>
      <c r="D2877" t="inlineStr">
        <is>
          <t>09.06.2027</t>
        </is>
      </c>
      <c r="E2877" t="inlineStr">
        <is>
          <t>Pakistan</t>
        </is>
      </c>
    </row>
    <row r="2878">
      <c r="A2878" t="inlineStr">
        <is>
          <t>Inpasa Agroindustrial S/A - Dourados,  Dourados, Brazil</t>
        </is>
      </c>
      <c r="B2878" t="inlineStr">
        <is>
          <t>Collecting Point, First Gathering Point, Point of Origin, Processing Unit, Trader with Storage</t>
        </is>
      </c>
      <c r="C2878" t="inlineStr">
        <is>
          <t>Control Union Poland Sp. z o.o., Zielona Gora, PL</t>
        </is>
      </c>
      <c r="D2878" t="inlineStr">
        <is>
          <t>09.06.2027</t>
        </is>
      </c>
      <c r="E2878" t="inlineStr">
        <is>
          <t>Brazil</t>
        </is>
      </c>
    </row>
    <row r="2879">
      <c r="A2879" t="inlineStr">
        <is>
          <t>Bunge Deutschland GmbH,  Mannheim, Germany</t>
        </is>
      </c>
      <c r="B2879" t="inlineStr">
        <is>
          <t>Point of Origin, Processing Unit, Trader with Storage</t>
        </is>
      </c>
      <c r="C2879" t="inlineStr">
        <is>
          <t>SGS Germany GmbH, Emstek, DE</t>
        </is>
      </c>
      <c r="D2879" t="inlineStr">
        <is>
          <t>09.06.2027</t>
        </is>
      </c>
      <c r="E2879" t="inlineStr">
        <is>
          <t>Germany</t>
        </is>
      </c>
    </row>
    <row r="2880">
      <c r="A2880" t="inlineStr">
        <is>
          <t>CORDENKA GmbH &amp; Co. KG,  Obernburg, Germany</t>
        </is>
      </c>
      <c r="B2880" t="inlineStr">
        <is>
          <t>Processing Unit</t>
        </is>
      </c>
      <c r="C2880" t="inlineStr">
        <is>
          <t>TÜV NORD CERT GmbH, Essen, DE</t>
        </is>
      </c>
      <c r="D2880" t="inlineStr">
        <is>
          <t>09.06.2027</t>
        </is>
      </c>
      <c r="E2880" t="inlineStr">
        <is>
          <t>Germany</t>
        </is>
      </c>
    </row>
    <row r="2881">
      <c r="A2881" t="inlineStr">
        <is>
          <t>TANIGRAIN SRL,  CONSTANTA, Romania</t>
        </is>
      </c>
      <c r="B2881" t="inlineStr">
        <is>
          <t>First Gathering Point, Trader with Storage</t>
        </is>
      </c>
      <c r="C2881" t="inlineStr">
        <is>
          <t>Control Union Certifications Germany GmbH, Berlin, DE</t>
        </is>
      </c>
      <c r="D2881" t="inlineStr">
        <is>
          <t>09.06.2027</t>
        </is>
      </c>
      <c r="E2881" t="inlineStr">
        <is>
          <t>Romania</t>
        </is>
      </c>
    </row>
    <row r="2882">
      <c r="A2882" t="inlineStr">
        <is>
          <t>Kilang Sawit FELCRA Berhad Nasarudin,  Bota, Malaysia</t>
        </is>
      </c>
      <c r="B2882" t="inlineStr">
        <is>
          <t>Point of Origin</t>
        </is>
      </c>
      <c r="C2882" t="inlineStr">
        <is>
          <t>Trans Certification and Inspection Sdn Bhd, Kuantan, MY</t>
        </is>
      </c>
      <c r="D2882" t="inlineStr">
        <is>
          <t>08.06.2027</t>
        </is>
      </c>
      <c r="E2882" t="inlineStr">
        <is>
          <t>Malaysia</t>
        </is>
      </c>
    </row>
    <row r="2883">
      <c r="A2883" t="inlineStr">
        <is>
          <t>Kilang Sawit FELCRA Berhad Nasarudin,  Bota, Malaysia</t>
        </is>
      </c>
      <c r="B2883" t="inlineStr">
        <is>
          <t>Point of Origin</t>
        </is>
      </c>
      <c r="C2883" t="inlineStr">
        <is>
          <t>Trans Certification and Inspection Sdn Bhd, Kuantan, MY</t>
        </is>
      </c>
      <c r="D2883" t="inlineStr">
        <is>
          <t>08.06.2027</t>
        </is>
      </c>
      <c r="E2883" t="inlineStr">
        <is>
          <t>Malaysia</t>
        </is>
      </c>
    </row>
    <row r="2884">
      <c r="A2884" t="inlineStr">
        <is>
          <t>ENER TECH CO., LTD,  Ulsan, Korea, Republic of</t>
        </is>
      </c>
      <c r="B2884" t="inlineStr">
        <is>
          <t>Trader with Storage</t>
        </is>
      </c>
      <c r="C2884" t="inlineStr">
        <is>
          <t>Bureau Veritas Polska Sp. z o.o., Warsaw, PL</t>
        </is>
      </c>
      <c r="D2884" t="inlineStr">
        <is>
          <t>08.06.2027</t>
        </is>
      </c>
      <c r="E2884" t="inlineStr">
        <is>
          <t>Republic of</t>
        </is>
      </c>
    </row>
    <row r="2885">
      <c r="A2885" t="inlineStr">
        <is>
          <t>Kolon Industries Binh Duong Co., Ltd,  Ho Chi Minh City,, Vietnam</t>
        </is>
      </c>
      <c r="B2885" t="inlineStr">
        <is>
          <t>Processing Unit</t>
        </is>
      </c>
      <c r="C2885" t="inlineStr">
        <is>
          <t>Bureau Veritas Polska Sp. z o.o., Warsaw, PL</t>
        </is>
      </c>
      <c r="D2885" t="inlineStr">
        <is>
          <t>08.06.2027</t>
        </is>
      </c>
      <c r="E2885" t="inlineStr">
        <is>
          <t>Vietnam</t>
        </is>
      </c>
    </row>
    <row r="2886">
      <c r="A2886" t="inlineStr">
        <is>
          <t>ENER TECH CO., LTD,  Ulsan, Korea, Republic of</t>
        </is>
      </c>
      <c r="B2886" t="inlineStr">
        <is>
          <t>Trader with Storage</t>
        </is>
      </c>
      <c r="C2886" t="inlineStr">
        <is>
          <t>Bureau Veritas Polska Sp. z o.o., Warsaw, PL</t>
        </is>
      </c>
      <c r="D2886" t="inlineStr">
        <is>
          <t>08.06.2027</t>
        </is>
      </c>
      <c r="E2886" t="inlineStr">
        <is>
          <t>Republic of</t>
        </is>
      </c>
    </row>
    <row r="2887">
      <c r="A2887" t="inlineStr">
        <is>
          <t>Dasi Co., Ltd.,  Wansan-gu, Jeonju-si, Jeollabuk-do, Korea, Republic of</t>
        </is>
      </c>
      <c r="B2887" t="inlineStr">
        <is>
          <t>Collecting Point, Trader with Storage</t>
        </is>
      </c>
      <c r="C2887" t="inlineStr">
        <is>
          <t>Control Union Certifications Germany GmbH, Berlin, DE</t>
        </is>
      </c>
      <c r="D2887" t="inlineStr">
        <is>
          <t>08.06.2027</t>
        </is>
      </c>
      <c r="E2887" t="inlineStr">
        <is>
          <t>Republic of</t>
        </is>
      </c>
    </row>
    <row r="2888">
      <c r="A2888" t="inlineStr">
        <is>
          <t>Iwatani Corporation,  Tokyo, Japan</t>
        </is>
      </c>
      <c r="B2888" t="inlineStr">
        <is>
          <t>Trader with Storage</t>
        </is>
      </c>
      <c r="C2888" t="inlineStr">
        <is>
          <t>Control Union Certifications Germany GmbH, Berlin, DE</t>
        </is>
      </c>
      <c r="D2888" t="inlineStr">
        <is>
          <t>08.06.2027</t>
        </is>
      </c>
      <c r="E2888" t="inlineStr">
        <is>
          <t>Japan</t>
        </is>
      </c>
    </row>
    <row r="2889">
      <c r="A2889" t="inlineStr">
        <is>
          <t>MADINA SUGAR MILLS LIMITED,  Chiniot, Pakistan</t>
        </is>
      </c>
      <c r="B2889" t="inlineStr">
        <is>
          <t>Processing Unit</t>
        </is>
      </c>
      <c r="C2889" t="inlineStr">
        <is>
          <t>PT Intertek Utama Services, Jakarta, ID</t>
        </is>
      </c>
      <c r="D2889" t="inlineStr">
        <is>
          <t>08.06.2027</t>
        </is>
      </c>
      <c r="E2889" t="inlineStr">
        <is>
          <t>Pakistan</t>
        </is>
      </c>
    </row>
    <row r="2890">
      <c r="A2890" t="inlineStr">
        <is>
          <t>Iwatani Corporation,  Osaka, Japan</t>
        </is>
      </c>
      <c r="B2890" t="inlineStr">
        <is>
          <t>Trader with Storage</t>
        </is>
      </c>
      <c r="C2890" t="inlineStr">
        <is>
          <t>Control Union Certifications Germany GmbH, Berlin, DE</t>
        </is>
      </c>
      <c r="D2890" t="inlineStr">
        <is>
          <t>08.06.2027</t>
        </is>
      </c>
      <c r="E2890" t="inlineStr">
        <is>
          <t>Japan</t>
        </is>
      </c>
    </row>
    <row r="2891">
      <c r="A2891" t="inlineStr">
        <is>
          <t>Kontech Smart Display (Guangdong) Co., Ltd.,  Huizhou, China</t>
        </is>
      </c>
      <c r="B2891" t="inlineStr">
        <is>
          <t>Final Product Refinement</t>
        </is>
      </c>
      <c r="C2891" t="inlineStr">
        <is>
          <t>Extensive Standard Technical Services Co., Ltd., Hong Kong, CN</t>
        </is>
      </c>
      <c r="D2891" t="inlineStr">
        <is>
          <t>08.06.2027</t>
        </is>
      </c>
      <c r="E2891" t="inlineStr">
        <is>
          <t>China</t>
        </is>
      </c>
    </row>
    <row r="2892">
      <c r="A2892" t="inlineStr">
        <is>
          <t>Chashma Sugar Mills Limited,  Ramak, Pakistan</t>
        </is>
      </c>
      <c r="B2892" t="inlineStr">
        <is>
          <t>Processing Unit</t>
        </is>
      </c>
      <c r="C2892" t="inlineStr">
        <is>
          <t>PT Intertek Utama Services, Jakarta, ID</t>
        </is>
      </c>
      <c r="D2892" t="inlineStr">
        <is>
          <t>08.06.2027</t>
        </is>
      </c>
      <c r="E2892" t="inlineStr">
        <is>
          <t>Pakistan</t>
        </is>
      </c>
    </row>
    <row r="2893">
      <c r="A2893" t="inlineStr">
        <is>
          <t>REG Marketing &amp; Logistics Group LLC,  Ames, The United States of America</t>
        </is>
      </c>
      <c r="B2893" t="inlineStr">
        <is>
          <t>Collecting Point, Trader with Storage</t>
        </is>
      </c>
      <c r="C2893" t="inlineStr">
        <is>
          <t>SCS Global Services, Emeryville, CA, US</t>
        </is>
      </c>
      <c r="D2893" t="inlineStr">
        <is>
          <t>08.06.2027</t>
        </is>
      </c>
      <c r="E2893" t="inlineStr">
        <is>
          <t>The United States of America</t>
        </is>
      </c>
    </row>
    <row r="2894">
      <c r="A2894" t="inlineStr">
        <is>
          <t>REG Marketing &amp; Logistics Group LLC,  Ames, United States</t>
        </is>
      </c>
      <c r="B2894" t="inlineStr">
        <is>
          <t>Collecting Point, Trader with Storage</t>
        </is>
      </c>
      <c r="C2894" t="inlineStr">
        <is>
          <t>SCS Global Services, Emeryville, CA, US</t>
        </is>
      </c>
      <c r="D2894" t="inlineStr">
        <is>
          <t>08.06.2027</t>
        </is>
      </c>
      <c r="E2894" t="inlineStr">
        <is>
          <t>United States</t>
        </is>
      </c>
    </row>
    <row r="2895">
      <c r="A2895" t="inlineStr">
        <is>
          <t>PB Leiner,  Vilvoorde, Belgium</t>
        </is>
      </c>
      <c r="B2895" t="inlineStr">
        <is>
          <t>Point of Origin</t>
        </is>
      </c>
      <c r="C2895" t="inlineStr">
        <is>
          <t>Control Union Certifications Germany GmbH, Berlin, DE</t>
        </is>
      </c>
      <c r="D2895" t="inlineStr">
        <is>
          <t>08.06.2027</t>
        </is>
      </c>
      <c r="E2895" t="inlineStr">
        <is>
          <t>Belgium</t>
        </is>
      </c>
    </row>
    <row r="2896">
      <c r="A2896" t="inlineStr">
        <is>
          <t>Albea Plastics Metallizing Technology (ShanghaiI) Co., Ltd,  Jinhui Town, Fenxian District, Shanghai City, China</t>
        </is>
      </c>
      <c r="B2896" t="inlineStr">
        <is>
          <t>Processing Unit</t>
        </is>
      </c>
      <c r="C2896" t="inlineStr">
        <is>
          <t>PT Intertek Utama Services, Jakarta, ID</t>
        </is>
      </c>
      <c r="D2896" t="inlineStr">
        <is>
          <t>08.06.2027</t>
        </is>
      </c>
      <c r="E2896" t="inlineStr">
        <is>
          <t>China</t>
        </is>
      </c>
    </row>
    <row r="2897">
      <c r="A2897" t="inlineStr">
        <is>
          <t>Aligvári Mezőgazdasági Szövetkezet,  Kisdobsza, Hungary</t>
        </is>
      </c>
      <c r="B2897" t="inlineStr">
        <is>
          <t>First Gathering Point</t>
        </is>
      </c>
      <c r="C2897" t="inlineStr">
        <is>
          <t>SGS Germany GmbH, Emstek, DE</t>
        </is>
      </c>
      <c r="D2897" t="inlineStr">
        <is>
          <t>08.06.2027</t>
        </is>
      </c>
      <c r="E2897" t="inlineStr">
        <is>
          <t>Hungary</t>
        </is>
      </c>
    </row>
    <row r="2898">
      <c r="A2898" t="inlineStr">
        <is>
          <t>Sanimax EEI INC.,  Levis, Canada</t>
        </is>
      </c>
      <c r="B2898" t="inlineStr">
        <is>
          <t>Collecting Point</t>
        </is>
      </c>
      <c r="C2898" t="inlineStr">
        <is>
          <t>Amspec Iberia SL, Vilagarcia de Arousa-Pontevedra, ES</t>
        </is>
      </c>
      <c r="D2898" t="inlineStr">
        <is>
          <t>08.06.2027</t>
        </is>
      </c>
      <c r="E2898" t="inlineStr">
        <is>
          <t>Canada</t>
        </is>
      </c>
    </row>
    <row r="2899">
      <c r="A2899" t="inlineStr">
        <is>
          <t>Sanimax EEI INC.,  Levis, Canada</t>
        </is>
      </c>
      <c r="B2899" t="inlineStr">
        <is>
          <t>Collecting Point</t>
        </is>
      </c>
      <c r="C2899" t="inlineStr">
        <is>
          <t>Amspec Iberia SL, Vilagarcia de Arousa-Pontevedra, ES</t>
        </is>
      </c>
      <c r="D2899" t="inlineStr">
        <is>
          <t>08.06.2027</t>
        </is>
      </c>
      <c r="E2899" t="inlineStr">
        <is>
          <t>Canada</t>
        </is>
      </c>
    </row>
    <row r="2900">
      <c r="A2900" t="inlineStr">
        <is>
          <t>PT Mitrasari Prima,  Desa Segati, Kecamatan Langgam, Pelalawan, Riau, Indonesia</t>
        </is>
      </c>
      <c r="B2900" t="inlineStr">
        <is>
          <t>Point of Origin, Trader with Storage</t>
        </is>
      </c>
      <c r="C2900" t="inlineStr">
        <is>
          <t>PT SBC Asia Sertifikasi, Kebumen, ID</t>
        </is>
      </c>
      <c r="D2900" t="inlineStr">
        <is>
          <t>08.06.2027</t>
        </is>
      </c>
      <c r="E2900" t="inlineStr">
        <is>
          <t>Indonesia</t>
        </is>
      </c>
    </row>
    <row r="2901">
      <c r="A2901" t="inlineStr">
        <is>
          <t>INEOS Europe AG - Phenol Division,  Marl, Germany</t>
        </is>
      </c>
      <c r="B2901" t="inlineStr">
        <is>
          <t>Processing Unit</t>
        </is>
      </c>
      <c r="C2901" t="inlineStr">
        <is>
          <t>SCS Global Services, Emeryville, CA, US</t>
        </is>
      </c>
      <c r="D2901" t="inlineStr">
        <is>
          <t>08.06.2027</t>
        </is>
      </c>
      <c r="E2901" t="inlineStr">
        <is>
          <t>Germany</t>
        </is>
      </c>
    </row>
    <row r="2902">
      <c r="A2902" t="inlineStr">
        <is>
          <t>Gamota JR s.r.o.,  Malé Straciny, Slovakia</t>
        </is>
      </c>
      <c r="B2902" t="inlineStr">
        <is>
          <t>First Gathering Point, Processing Unit, Trader with Storage</t>
        </is>
      </c>
      <c r="C2902" t="inlineStr">
        <is>
          <t>United Registrar of Systems Polska Sp. z o.o., Wrocław, PL</t>
        </is>
      </c>
      <c r="D2902" t="inlineStr">
        <is>
          <t>08.06.2027</t>
        </is>
      </c>
      <c r="E2902" t="inlineStr">
        <is>
          <t>Slovakia</t>
        </is>
      </c>
    </row>
    <row r="2903">
      <c r="A2903" t="inlineStr">
        <is>
          <t>Anugerah Energitama,  Kab. Kutai Timur Prov. Provinsi Kalimantan Timur, Indonesia</t>
        </is>
      </c>
      <c r="B2903" t="inlineStr">
        <is>
          <t>Point of Origin</t>
        </is>
      </c>
      <c r="C2903" t="inlineStr">
        <is>
          <t>PT. Qualitas Sertifikasi Indonesia, Jakarta, ID</t>
        </is>
      </c>
      <c r="D2903" t="inlineStr">
        <is>
          <t>08.06.2027</t>
        </is>
      </c>
      <c r="E2903" t="inlineStr">
        <is>
          <t>Indonesia</t>
        </is>
      </c>
    </row>
    <row r="2904">
      <c r="A2904" t="inlineStr">
        <is>
          <t>XINUAN INDUSTRIAL CO., LTD,  Kaohsiung City. Gangshan Dist.,, Taiwan</t>
        </is>
      </c>
      <c r="B2904" t="inlineStr">
        <is>
          <t>Collecting Point, Trader with Storage</t>
        </is>
      </c>
      <c r="C2904" t="inlineStr">
        <is>
          <t>Bureau Veritas Polska Sp. z o.o., Warsaw, PL</t>
        </is>
      </c>
      <c r="D2904" t="inlineStr">
        <is>
          <t>08.06.2027</t>
        </is>
      </c>
      <c r="E2904" t="inlineStr">
        <is>
          <t>Taiwan</t>
        </is>
      </c>
    </row>
    <row r="2905">
      <c r="A2905" t="inlineStr">
        <is>
          <t>China Aviation Oil (Beijing) Airport Aviation Fuel Limited Liability Company,  beijing, China</t>
        </is>
      </c>
      <c r="B2905" t="inlineStr">
        <is>
          <t>Trader with Storage</t>
        </is>
      </c>
      <c r="C2905" t="inlineStr">
        <is>
          <t>China Quality Certification Centre Co., Ltd., Beijing, CN</t>
        </is>
      </c>
      <c r="D2905" t="inlineStr">
        <is>
          <t>08.06.2027</t>
        </is>
      </c>
      <c r="E2905" t="inlineStr">
        <is>
          <t>China</t>
        </is>
      </c>
    </row>
    <row r="2906">
      <c r="A2906" t="inlineStr">
        <is>
          <t>PT COMBINE WILL INDUSTRIAL INDONESIA,  KAB. SRAGEN, PROVINSI JAWA TENGAH, Indonesia</t>
        </is>
      </c>
      <c r="B2906" t="inlineStr">
        <is>
          <t>Processing Unit, Final Product Refinement</t>
        </is>
      </c>
      <c r="C2906" t="inlineStr">
        <is>
          <t>DIN CERTCO GmbH, Berlin, DE</t>
        </is>
      </c>
      <c r="D2906" t="inlineStr">
        <is>
          <t>08.06.2027</t>
        </is>
      </c>
      <c r="E2906" t="inlineStr">
        <is>
          <t>Indonesia</t>
        </is>
      </c>
    </row>
    <row r="2907">
      <c r="A2907" t="inlineStr">
        <is>
          <t>Pact Group Holdings,  Mulgrave, Australia</t>
        </is>
      </c>
      <c r="B2907" t="inlineStr">
        <is>
          <t>Processing Unit</t>
        </is>
      </c>
      <c r="C2907" t="inlineStr">
        <is>
          <t>BM Certification, Riga, LV</t>
        </is>
      </c>
      <c r="D2907" t="inlineStr">
        <is>
          <t>08.06.2027</t>
        </is>
      </c>
      <c r="E2907" t="inlineStr">
        <is>
          <t>Australia</t>
        </is>
      </c>
    </row>
    <row r="2908">
      <c r="A2908" t="inlineStr">
        <is>
          <t>Targray Europe BV,  Rotterdam, Netherlands</t>
        </is>
      </c>
      <c r="B2908" t="inlineStr">
        <is>
          <t>Trader</t>
        </is>
      </c>
      <c r="C2908" t="inlineStr">
        <is>
          <t>SGS Germany GmbH, Emstek, DE</t>
        </is>
      </c>
      <c r="D2908" t="inlineStr">
        <is>
          <t>08.06.2027</t>
        </is>
      </c>
      <c r="E2908" t="inlineStr">
        <is>
          <t>Netherlands</t>
        </is>
      </c>
    </row>
    <row r="2909">
      <c r="A2909" t="inlineStr">
        <is>
          <t>JANCO RENEWABLES PTE. LTD,  Singapore, Singapore</t>
        </is>
      </c>
      <c r="B2909" t="inlineStr">
        <is>
          <t>Trader</t>
        </is>
      </c>
      <c r="C2909" t="inlineStr">
        <is>
          <t>Control Union Certifications Germany GmbH, Berlin, DE</t>
        </is>
      </c>
      <c r="D2909" t="inlineStr">
        <is>
          <t>08.06.2027</t>
        </is>
      </c>
      <c r="E2909" t="inlineStr">
        <is>
          <t>Singapore</t>
        </is>
      </c>
    </row>
    <row r="2910">
      <c r="A2910" t="inlineStr">
        <is>
          <t>PT. HAMPARAN KEMILAU INDAH,  Kabupaten Dharmasraya, Provinsi Sumatera Barat, Indonesia</t>
        </is>
      </c>
      <c r="B2910" t="inlineStr">
        <is>
          <t>Point of Origin</t>
        </is>
      </c>
      <c r="C2910" t="inlineStr">
        <is>
          <t>PT. Qualitas Sertifikasi Indonesia, Jakarta, ID</t>
        </is>
      </c>
      <c r="D2910" t="inlineStr">
        <is>
          <t>08.06.2027</t>
        </is>
      </c>
      <c r="E2910" t="inlineStr">
        <is>
          <t>Indonesia</t>
        </is>
      </c>
    </row>
    <row r="2911">
      <c r="A2911" t="inlineStr">
        <is>
          <t>ODEMO,  Vinnytsia district, Demydivka village, Ukraine</t>
        </is>
      </c>
      <c r="B2911" t="inlineStr">
        <is>
          <t>Farm / Plantation</t>
        </is>
      </c>
      <c r="C2911" t="inlineStr">
        <is>
          <t>BM Certification, Riga, LV</t>
        </is>
      </c>
      <c r="D2911" t="inlineStr">
        <is>
          <t>08.06.2027</t>
        </is>
      </c>
      <c r="E2911" t="inlineStr">
        <is>
          <t>Ukraine</t>
        </is>
      </c>
    </row>
    <row r="2912">
      <c r="A2912" t="inlineStr">
        <is>
          <t>HENWING (HONG KONG) INTERNATIONAL ENERGY LIMITED,  WAN CHAI, HONG KONG, Hong Kong, SAR, China</t>
        </is>
      </c>
      <c r="B2912" t="inlineStr">
        <is>
          <t>Trader</t>
        </is>
      </c>
      <c r="C2912" t="inlineStr">
        <is>
          <t>China Standard Conformity Assessment Co. Ltd, Beijing, CN</t>
        </is>
      </c>
      <c r="D2912" t="inlineStr">
        <is>
          <t>08.06.2027</t>
        </is>
      </c>
      <c r="E2912" t="inlineStr">
        <is>
          <t>China</t>
        </is>
      </c>
    </row>
    <row r="2913">
      <c r="A2913" t="inlineStr">
        <is>
          <t>Alcander,  Montevideo, Uruguay</t>
        </is>
      </c>
      <c r="B2913" t="inlineStr">
        <is>
          <t>Trader</t>
        </is>
      </c>
      <c r="C2913" t="inlineStr">
        <is>
          <t>SGS Germany GmbH, Emstek, DE</t>
        </is>
      </c>
      <c r="D2913" t="inlineStr">
        <is>
          <t>08.06.2027</t>
        </is>
      </c>
      <c r="E2913" t="inlineStr">
        <is>
          <t>Uruguay</t>
        </is>
      </c>
    </row>
    <row r="2914">
      <c r="A2914" t="inlineStr">
        <is>
          <t>Alcander,  Montevideo, Uruguay</t>
        </is>
      </c>
      <c r="B2914" t="inlineStr">
        <is>
          <t>Trader</t>
        </is>
      </c>
      <c r="C2914" t="inlineStr">
        <is>
          <t>SGS Germany GmbH, Emstek, DE</t>
        </is>
      </c>
      <c r="D2914" t="inlineStr">
        <is>
          <t>08.06.2027</t>
        </is>
      </c>
      <c r="E2914" t="inlineStr">
        <is>
          <t>Uruguay</t>
        </is>
      </c>
    </row>
    <row r="2915">
      <c r="A2915" t="inlineStr">
        <is>
          <t>Carbon Nexus LLC,  Linn Creek, United States</t>
        </is>
      </c>
      <c r="B2915" t="inlineStr">
        <is>
          <t>Collecting Point, Processing Unit</t>
        </is>
      </c>
      <c r="C2915" t="inlineStr">
        <is>
          <t>SGS Germany GmbH, Emstek, DE</t>
        </is>
      </c>
      <c r="D2915" t="inlineStr">
        <is>
          <t>08.06.2027</t>
        </is>
      </c>
      <c r="E2915" t="inlineStr">
        <is>
          <t>United States</t>
        </is>
      </c>
    </row>
    <row r="2916">
      <c r="A2916" t="inlineStr">
        <is>
          <t>Wanhua Chemical （Ｎingbo） Co., Ltd.,  Ningbo, China</t>
        </is>
      </c>
      <c r="B2916" t="inlineStr">
        <is>
          <t>Processing Unit</t>
        </is>
      </c>
      <c r="C2916" t="inlineStr">
        <is>
          <t>PT Intertek Utama Services, Jakarta, ID</t>
        </is>
      </c>
      <c r="D2916" t="inlineStr">
        <is>
          <t>08.06.2027</t>
        </is>
      </c>
      <c r="E2916" t="inlineStr">
        <is>
          <t>China</t>
        </is>
      </c>
    </row>
    <row r="2917">
      <c r="A2917" t="inlineStr">
        <is>
          <t>AGRO KMR,  Troitske, Ukraine</t>
        </is>
      </c>
      <c r="B2917" t="inlineStr">
        <is>
          <t>Farm / Plantation</t>
        </is>
      </c>
      <c r="C2917" t="inlineStr">
        <is>
          <t>Organic Standard Ltd, Kyiv, UA</t>
        </is>
      </c>
      <c r="D2917" t="inlineStr">
        <is>
          <t>08.06.2027</t>
        </is>
      </c>
      <c r="E2917" t="inlineStr">
        <is>
          <t>Ukraine</t>
        </is>
      </c>
    </row>
    <row r="2918">
      <c r="A2918" t="inlineStr">
        <is>
          <t>LCC BH AGRO,  Pavlograd district, village Bohdanivka, Ukraine</t>
        </is>
      </c>
      <c r="B2918" t="inlineStr">
        <is>
          <t>Farm / Plantation</t>
        </is>
      </c>
      <c r="C2918" t="inlineStr">
        <is>
          <t>Organic Standard Ltd, Kyiv, UA</t>
        </is>
      </c>
      <c r="D2918" t="inlineStr">
        <is>
          <t>08.06.2027</t>
        </is>
      </c>
      <c r="E2918" t="inlineStr">
        <is>
          <t>Ukraine</t>
        </is>
      </c>
    </row>
    <row r="2919">
      <c r="A2919" t="inlineStr">
        <is>
          <t>Wanhua Chemical Group (Yantai) Olefins Co., Ltd.,  Yantai, China</t>
        </is>
      </c>
      <c r="B2919" t="inlineStr">
        <is>
          <t>Processing Unit</t>
        </is>
      </c>
      <c r="C2919" t="inlineStr">
        <is>
          <t>PT Intertek Utama Services, Jakarta, ID</t>
        </is>
      </c>
      <c r="D2919" t="inlineStr">
        <is>
          <t>08.06.2027</t>
        </is>
      </c>
      <c r="E2919" t="inlineStr">
        <is>
          <t>China</t>
        </is>
      </c>
    </row>
    <row r="2920">
      <c r="A2920" t="inlineStr">
        <is>
          <t>G.T. Polifilm S.r.l.,  Arzano (Na), Italy</t>
        </is>
      </c>
      <c r="B2920" t="inlineStr">
        <is>
          <t>Processing Unit</t>
        </is>
      </c>
      <c r="C2920" t="inlineStr">
        <is>
          <t>Bureau Veritas Polska Sp. z o.o., Warsaw, PL</t>
        </is>
      </c>
      <c r="D2920" t="inlineStr">
        <is>
          <t>08.06.2027</t>
        </is>
      </c>
      <c r="E2920" t="inlineStr">
        <is>
          <t>Italy</t>
        </is>
      </c>
    </row>
    <row r="2921">
      <c r="A2921" t="inlineStr">
        <is>
          <t>Kristera JSC,  Popovo, Bulgaria</t>
        </is>
      </c>
      <c r="B2921" t="inlineStr">
        <is>
          <t>First Gathering Point</t>
        </is>
      </c>
      <c r="C2921" t="inlineStr">
        <is>
          <t>Bureau Veritas Polska Sp. z o.o., Warsaw, PL</t>
        </is>
      </c>
      <c r="D2921" t="inlineStr">
        <is>
          <t>08.06.2027</t>
        </is>
      </c>
      <c r="E2921" t="inlineStr">
        <is>
          <t>Bulgaria</t>
        </is>
      </c>
    </row>
    <row r="2922">
      <c r="A2922" t="inlineStr">
        <is>
          <t>MHP,  Kyiv, Ukraine</t>
        </is>
      </c>
      <c r="B2922" t="inlineStr">
        <is>
          <t>First Gathering Point, Trader with Storage</t>
        </is>
      </c>
      <c r="C2922" t="inlineStr">
        <is>
          <t>Apex Genelab LLC, Odessa, UA</t>
        </is>
      </c>
      <c r="D2922" t="inlineStr">
        <is>
          <t>08.06.2027</t>
        </is>
      </c>
      <c r="E2922" t="inlineStr">
        <is>
          <t>Ukraine</t>
        </is>
      </c>
    </row>
    <row r="2923">
      <c r="A2923" t="inlineStr">
        <is>
          <t>Verbio SE,  Zörbig, Germany</t>
        </is>
      </c>
      <c r="B2923" t="inlineStr">
        <is>
          <t>Trader</t>
        </is>
      </c>
      <c r="C2923" t="inlineStr">
        <is>
          <t>Control Union Certifications Germany GmbH, Berlin, DE</t>
        </is>
      </c>
      <c r="D2923" t="inlineStr">
        <is>
          <t>08.06.2027</t>
        </is>
      </c>
      <c r="E2923" t="inlineStr">
        <is>
          <t>Germany</t>
        </is>
      </c>
    </row>
    <row r="2924">
      <c r="A2924" t="inlineStr">
        <is>
          <t>LA CAMPAGNA,  Caba, Argentina</t>
        </is>
      </c>
      <c r="B2924" t="inlineStr">
        <is>
          <t>Trader</t>
        </is>
      </c>
      <c r="C2924" t="inlineStr">
        <is>
          <t>Amspec Iberia SL, Vilagarcia de Arousa-Pontevedra, ES</t>
        </is>
      </c>
      <c r="D2924" t="inlineStr">
        <is>
          <t>08.06.2027</t>
        </is>
      </c>
      <c r="E2924" t="inlineStr">
        <is>
          <t>Argentina</t>
        </is>
      </c>
    </row>
    <row r="2925">
      <c r="A2925" t="inlineStr">
        <is>
          <t>Becour AS,  Fredrikstad, Norway</t>
        </is>
      </c>
      <c r="B2925" t="inlineStr">
        <is>
          <t>Trader</t>
        </is>
      </c>
      <c r="C2925" t="inlineStr">
        <is>
          <t>Double Helix Tracking Technologies Pte Ltd, Singapore, SG</t>
        </is>
      </c>
      <c r="D2925" t="inlineStr">
        <is>
          <t>08.06.2027</t>
        </is>
      </c>
      <c r="E2925" t="inlineStr">
        <is>
          <t>Norway</t>
        </is>
      </c>
    </row>
    <row r="2926">
      <c r="A2926" t="inlineStr">
        <is>
          <t>Cereal Docks East Europe S.A.,  Ortisoara, Romania</t>
        </is>
      </c>
      <c r="B2926" t="inlineStr">
        <is>
          <t>First Gathering Point, Trader with Storage</t>
        </is>
      </c>
      <c r="C2926" t="inlineStr">
        <is>
          <t>SRAC Cert SRL, Bucharest, RO</t>
        </is>
      </c>
      <c r="D2926" t="inlineStr">
        <is>
          <t>08.06.2027</t>
        </is>
      </c>
      <c r="E2926" t="inlineStr">
        <is>
          <t>Romania</t>
        </is>
      </c>
    </row>
    <row r="2927">
      <c r="A2927" t="inlineStr">
        <is>
          <t>Cereal Docks East Europe S.A.,  Ortisoara, Romania</t>
        </is>
      </c>
      <c r="B2927" t="inlineStr">
        <is>
          <t>First Gathering Point, Trader with Storage</t>
        </is>
      </c>
      <c r="C2927" t="inlineStr">
        <is>
          <t>SRAC Cert SRL, Bucharest, RO</t>
        </is>
      </c>
      <c r="D2927" t="inlineStr">
        <is>
          <t>08.06.2027</t>
        </is>
      </c>
      <c r="E2927" t="inlineStr">
        <is>
          <t>Romania</t>
        </is>
      </c>
    </row>
    <row r="2928">
      <c r="A2928" t="inlineStr">
        <is>
          <t>Chuangfa Energy Development (Guangdong) Co., Ltd.,  Guangzhou, China</t>
        </is>
      </c>
      <c r="B2928" t="inlineStr">
        <is>
          <t>Trader with Storage</t>
        </is>
      </c>
      <c r="C2928" t="inlineStr">
        <is>
          <t>RINA Services S.p.A., Genova, IT</t>
        </is>
      </c>
      <c r="D2928" t="inlineStr">
        <is>
          <t>08.06.2027</t>
        </is>
      </c>
      <c r="E2928" t="inlineStr">
        <is>
          <t>China</t>
        </is>
      </c>
    </row>
    <row r="2929">
      <c r="A2929" t="inlineStr">
        <is>
          <t>ALTO NIASSA,  Muembe, Mozambique</t>
        </is>
      </c>
      <c r="B2929" t="inlineStr">
        <is>
          <t>Farm / Plantation</t>
        </is>
      </c>
      <c r="C2929" t="inlineStr">
        <is>
          <t>RINA Services S.p.A., Genova, IT</t>
        </is>
      </c>
      <c r="D2929" t="inlineStr">
        <is>
          <t>08.06.2027</t>
        </is>
      </c>
      <c r="E2929" t="inlineStr">
        <is>
          <t>Mozambique</t>
        </is>
      </c>
    </row>
    <row r="2930">
      <c r="A2930" t="inlineStr">
        <is>
          <t>Butan plin, d.d.,  Ljubljana, Slovenia</t>
        </is>
      </c>
      <c r="B2930" t="inlineStr">
        <is>
          <t>Trader with Storage</t>
        </is>
      </c>
      <c r="C2930" t="inlineStr">
        <is>
          <t>Bureau Veritas Polska Sp. z o.o., Warsaw, PL</t>
        </is>
      </c>
      <c r="D2930" t="inlineStr">
        <is>
          <t>08.06.2027</t>
        </is>
      </c>
      <c r="E2930" t="inlineStr">
        <is>
          <t>Slovenia</t>
        </is>
      </c>
    </row>
    <row r="2931">
      <c r="A2931" t="inlineStr">
        <is>
          <t>Butan plin, d.d.,  Ljubljana, Slovenia</t>
        </is>
      </c>
      <c r="B2931" t="inlineStr">
        <is>
          <t>Trader with Storage</t>
        </is>
      </c>
      <c r="C2931" t="inlineStr">
        <is>
          <t>Bureau Veritas Polska Sp. z o.o., Warsaw, PL</t>
        </is>
      </c>
      <c r="D2931" t="inlineStr">
        <is>
          <t>08.06.2027</t>
        </is>
      </c>
      <c r="E2931" t="inlineStr">
        <is>
          <t>Slovenia</t>
        </is>
      </c>
    </row>
    <row r="2932">
      <c r="A2932" t="inlineStr">
        <is>
          <t>MINERVA BUNKERING (USA) LLC,  NEW YORK, United States</t>
        </is>
      </c>
      <c r="B2932" t="inlineStr">
        <is>
          <t>Trader with Storage</t>
        </is>
      </c>
      <c r="C2932" t="inlineStr">
        <is>
          <t>SCS Global Services, Emeryville, CA, US</t>
        </is>
      </c>
      <c r="D2932" t="inlineStr">
        <is>
          <t>08.06.2027</t>
        </is>
      </c>
      <c r="E2932" t="inlineStr">
        <is>
          <t>United States</t>
        </is>
      </c>
    </row>
    <row r="2933">
      <c r="A2933" t="inlineStr">
        <is>
          <t>MINERVA BUNKERING (USA) LLC,  NEW YORK, United States</t>
        </is>
      </c>
      <c r="B2933" t="inlineStr">
        <is>
          <t>Trader with Storage</t>
        </is>
      </c>
      <c r="C2933" t="inlineStr">
        <is>
          <t>SCS Global Services, Emeryville, CA, US</t>
        </is>
      </c>
      <c r="D2933" t="inlineStr">
        <is>
          <t>08.06.2027</t>
        </is>
      </c>
      <c r="E2933" t="inlineStr">
        <is>
          <t>United States</t>
        </is>
      </c>
    </row>
    <row r="2934">
      <c r="A2934" t="inlineStr">
        <is>
          <t>Chengde Technology Co., Ltd.,  Longgang City, Zhejiang Province, China</t>
        </is>
      </c>
      <c r="B2934" t="inlineStr">
        <is>
          <t>Processing Unit</t>
        </is>
      </c>
      <c r="C2934" t="inlineStr">
        <is>
          <t>SCS Global Services, Emeryville, CA, US</t>
        </is>
      </c>
      <c r="D2934" t="inlineStr">
        <is>
          <t>08.06.2027</t>
        </is>
      </c>
      <c r="E2934" t="inlineStr">
        <is>
          <t>China</t>
        </is>
      </c>
    </row>
    <row r="2935">
      <c r="A2935" t="inlineStr">
        <is>
          <t>ZHEJIANG SUNLIKY NEW MATERIAL TECHNOLOGY CO., LTD.,  Jiaxing City, Zhejiang Province, China</t>
        </is>
      </c>
      <c r="B2935" t="inlineStr">
        <is>
          <t>Processing Unit</t>
        </is>
      </c>
      <c r="C2935" t="inlineStr">
        <is>
          <t>SCS Global Services, Emeryville, CA, US</t>
        </is>
      </c>
      <c r="D2935" t="inlineStr">
        <is>
          <t>08.06.2027</t>
        </is>
      </c>
      <c r="E2935" t="inlineStr">
        <is>
          <t>China</t>
        </is>
      </c>
    </row>
    <row r="2936">
      <c r="A2936" t="inlineStr">
        <is>
          <t>FIRSTUNION ANIMATION TECHNOLOGY VIET NAM CO., LTD,  Hung Yen Province, Vietnam, Vietnam</t>
        </is>
      </c>
      <c r="B2936" t="inlineStr">
        <is>
          <t>Processing Unit</t>
        </is>
      </c>
      <c r="C2936" t="inlineStr">
        <is>
          <t>SCS Global Services, Emeryville, CA, US</t>
        </is>
      </c>
      <c r="D2936" t="inlineStr">
        <is>
          <t>08.06.2027</t>
        </is>
      </c>
      <c r="E2936" t="inlineStr">
        <is>
          <t>Vietnam</t>
        </is>
      </c>
    </row>
    <row r="2937">
      <c r="A2937" t="inlineStr">
        <is>
          <t>LIMITED LIABILITY COMPANY "SAEC-SOUTH",  Novopetrivka vill, Bashtanskyi dist, Mykolaiv reg., Ukraine</t>
        </is>
      </c>
      <c r="B2937" t="inlineStr">
        <is>
          <t>Farm / Plantation</t>
        </is>
      </c>
      <c r="C2937" t="inlineStr">
        <is>
          <t>Baltic Control Certification, Albertslund, DK</t>
        </is>
      </c>
      <c r="D2937" t="inlineStr">
        <is>
          <t>08.06.2027</t>
        </is>
      </c>
      <c r="E2937" t="inlineStr">
        <is>
          <t>Ukraine</t>
        </is>
      </c>
    </row>
    <row r="2938">
      <c r="A2938" t="inlineStr">
        <is>
          <t>Neste Demeter B.V.,  Alblasserdam, The Netherlands</t>
        </is>
      </c>
      <c r="B2938" t="inlineStr">
        <is>
          <t>Collecting Point, Trader with Storage</t>
        </is>
      </c>
      <c r="C2938" t="inlineStr">
        <is>
          <t>DEKRA Certification B.V., Arnhem, NL</t>
        </is>
      </c>
      <c r="D2938" t="inlineStr">
        <is>
          <t>08.06.2027</t>
        </is>
      </c>
      <c r="E2938" t="inlineStr">
        <is>
          <t>The Netherlands</t>
        </is>
      </c>
    </row>
    <row r="2939">
      <c r="A2939" t="inlineStr">
        <is>
          <t>Alfa Wood Group,  Larissa, Greece</t>
        </is>
      </c>
      <c r="B2939" t="inlineStr">
        <is>
          <t>Trader with Storage, Collecting Point, Processing Unit</t>
        </is>
      </c>
      <c r="C2939" t="inlineStr">
        <is>
          <t>Eurocert SA, Metamorfosi, Athens, GR</t>
        </is>
      </c>
      <c r="D2939" t="inlineStr">
        <is>
          <t>08.06.2027</t>
        </is>
      </c>
      <c r="E2939" t="inlineStr">
        <is>
          <t>Greece</t>
        </is>
      </c>
    </row>
    <row r="2940">
      <c r="A2940" t="inlineStr">
        <is>
          <t>GUNZE LIMITED,  Moriyama,Shiga, Japan</t>
        </is>
      </c>
      <c r="B2940" t="inlineStr">
        <is>
          <t>Processing Unit, Final Product Refinement, Collecting Point</t>
        </is>
      </c>
      <c r="C2940" t="inlineStr">
        <is>
          <t>Control Union Certifications Germany GmbH, Berlin, DE</t>
        </is>
      </c>
      <c r="D2940" t="inlineStr">
        <is>
          <t>07.06.2027</t>
        </is>
      </c>
      <c r="E2940" t="inlineStr">
        <is>
          <t>Japan</t>
        </is>
      </c>
    </row>
    <row r="2941">
      <c r="A2941" t="inlineStr">
        <is>
          <t>Heinrich Nagel KG (GmbH &amp; Co.),  Hamburg, Germany</t>
        </is>
      </c>
      <c r="B2941" t="inlineStr">
        <is>
          <t>Collecting Point, Trader</t>
        </is>
      </c>
      <c r="C2941" t="inlineStr">
        <is>
          <t>Control Union Certifications Germany GmbH, Berlin, DE</t>
        </is>
      </c>
      <c r="D2941" t="inlineStr">
        <is>
          <t>07.06.2027</t>
        </is>
      </c>
      <c r="E2941" t="inlineStr">
        <is>
          <t>Germany</t>
        </is>
      </c>
    </row>
    <row r="2942">
      <c r="A2942" t="inlineStr">
        <is>
          <t>Neutral Fuels,  Mussafah, Abu Dhabi, UAE, The United Arab Emirates</t>
        </is>
      </c>
      <c r="B2942" t="inlineStr">
        <is>
          <t>Collecting Point, Processing Unit</t>
        </is>
      </c>
      <c r="C2942" t="inlineStr">
        <is>
          <t>ASG Cert GmbH, Munich, DE</t>
        </is>
      </c>
      <c r="D2942" t="inlineStr">
        <is>
          <t>07.06.2027</t>
        </is>
      </c>
      <c r="E2942" t="inlineStr">
        <is>
          <t>The United Arab Emirates</t>
        </is>
      </c>
    </row>
    <row r="2943">
      <c r="A2943" t="inlineStr">
        <is>
          <t>Ocean Energy Pte Ltd,  Suntec Tower 4, Singapore</t>
        </is>
      </c>
      <c r="B2943" t="inlineStr">
        <is>
          <t>Trader</t>
        </is>
      </c>
      <c r="C2943" t="inlineStr">
        <is>
          <t>Double Helix Tracking Technologies Pte Ltd, Singapore, SG</t>
        </is>
      </c>
      <c r="D2943" t="inlineStr">
        <is>
          <t>07.06.2027</t>
        </is>
      </c>
      <c r="E2943" t="inlineStr">
        <is>
          <t>Singapore</t>
        </is>
      </c>
    </row>
    <row r="2944">
      <c r="A2944" t="inlineStr">
        <is>
          <t>Gate Terminal BV,  Maasvlakte Rotterdam, Netherlands</t>
        </is>
      </c>
      <c r="B2944" t="inlineStr">
        <is>
          <t>Processing Unit, Warehouse</t>
        </is>
      </c>
      <c r="C2944" t="inlineStr">
        <is>
          <t>Normec QS BV, Ede, NL</t>
        </is>
      </c>
      <c r="D2944" t="inlineStr">
        <is>
          <t>07.06.2027</t>
        </is>
      </c>
      <c r="E2944" t="inlineStr">
        <is>
          <t>Netherlands</t>
        </is>
      </c>
    </row>
    <row r="2945">
      <c r="A2945" t="inlineStr">
        <is>
          <t>BIOFUEL Réunion,  Saint-Denis, ZAC foucherolles, Réunion</t>
        </is>
      </c>
      <c r="B2945" t="inlineStr">
        <is>
          <t>Collecting Point</t>
        </is>
      </c>
      <c r="C2945" t="inlineStr">
        <is>
          <t>Control Union Certifications Germany GmbH, Berlin, DE</t>
        </is>
      </c>
      <c r="D2945" t="inlineStr">
        <is>
          <t>07.06.2027</t>
        </is>
      </c>
      <c r="E2945" t="inlineStr">
        <is>
          <t>Réunion</t>
        </is>
      </c>
    </row>
    <row r="2946">
      <c r="A2946" t="inlineStr">
        <is>
          <t>Ocean Energy Pte Ltd,  Suntec Tower 4, Singapore</t>
        </is>
      </c>
      <c r="B2946" t="inlineStr">
        <is>
          <t>Trader</t>
        </is>
      </c>
      <c r="C2946" t="inlineStr">
        <is>
          <t>Double Helix Tracking Technologies Pte Ltd, Singapore, SG</t>
        </is>
      </c>
      <c r="D2946" t="inlineStr">
        <is>
          <t>07.06.2027</t>
        </is>
      </c>
      <c r="E2946" t="inlineStr">
        <is>
          <t>Singapore</t>
        </is>
      </c>
    </row>
    <row r="2947">
      <c r="A2947" t="inlineStr">
        <is>
          <t>ROYAL NUTS PTE LTD,  SINGAPORE, Singapore</t>
        </is>
      </c>
      <c r="B2947" t="inlineStr">
        <is>
          <t>Trader</t>
        </is>
      </c>
      <c r="C2947" t="inlineStr">
        <is>
          <t>BM Certification, Riga, LV</t>
        </is>
      </c>
      <c r="D2947" t="inlineStr">
        <is>
          <t>07.06.2027</t>
        </is>
      </c>
      <c r="E2947" t="inlineStr">
        <is>
          <t>Singapore</t>
        </is>
      </c>
    </row>
    <row r="2948">
      <c r="A2948" t="inlineStr">
        <is>
          <t>INEOS Europe AG - Phenol Division,  Gladbeck, Germany</t>
        </is>
      </c>
      <c r="B2948" t="inlineStr">
        <is>
          <t>Processing Unit</t>
        </is>
      </c>
      <c r="C2948" t="inlineStr">
        <is>
          <t>SCS Global Services, Emeryville, CA, US</t>
        </is>
      </c>
      <c r="D2948" t="inlineStr">
        <is>
          <t>07.06.2027</t>
        </is>
      </c>
      <c r="E2948" t="inlineStr">
        <is>
          <t>Germany</t>
        </is>
      </c>
    </row>
    <row r="2949">
      <c r="A2949" t="inlineStr">
        <is>
          <t>Million Era Limited,  Hong Kong, China</t>
        </is>
      </c>
      <c r="B2949" t="inlineStr">
        <is>
          <t>Trader</t>
        </is>
      </c>
      <c r="C2949" t="inlineStr">
        <is>
          <t>China Quality Certification Centre Co., Ltd., Beijing, CN</t>
        </is>
      </c>
      <c r="D2949" t="inlineStr">
        <is>
          <t>07.06.2027</t>
        </is>
      </c>
      <c r="E2949" t="inlineStr">
        <is>
          <t>China</t>
        </is>
      </c>
    </row>
    <row r="2950">
      <c r="A2950" t="inlineStr">
        <is>
          <t>AGRO BOY Kft.,  Bóly, Hungary</t>
        </is>
      </c>
      <c r="B2950" t="inlineStr">
        <is>
          <t>First Gathering Point, Trader with Storage</t>
        </is>
      </c>
      <c r="C2950" t="inlineStr">
        <is>
          <t>Amspec Iberia SL, Vilagarcia de Arousa-Pontevedra, ES</t>
        </is>
      </c>
      <c r="D2950" t="inlineStr">
        <is>
          <t>07.06.2027</t>
        </is>
      </c>
      <c r="E2950" t="inlineStr">
        <is>
          <t>Hungary</t>
        </is>
      </c>
    </row>
    <row r="2951">
      <c r="A2951" t="inlineStr">
        <is>
          <t>Macquarie Commodities Trading (Singapore) Pte. Limited,  Singapore, Singapore</t>
        </is>
      </c>
      <c r="B2951" t="inlineStr">
        <is>
          <t>Trader</t>
        </is>
      </c>
      <c r="C2951" t="inlineStr">
        <is>
          <t>Double Helix Tracking Technologies Pte Ltd, Singapore, SG</t>
        </is>
      </c>
      <c r="D2951" t="inlineStr">
        <is>
          <t>07.06.2027</t>
        </is>
      </c>
      <c r="E2951" t="inlineStr">
        <is>
          <t>Singapore</t>
        </is>
      </c>
    </row>
    <row r="2952">
      <c r="A2952" t="inlineStr">
        <is>
          <t>Macquarie Commodities Trading (Singapore) Pte. Limited,  Singapore, Singapore</t>
        </is>
      </c>
      <c r="B2952" t="inlineStr">
        <is>
          <t>Trader</t>
        </is>
      </c>
      <c r="C2952" t="inlineStr">
        <is>
          <t>Double Helix Tracking Technologies Pte Ltd, Singapore, SG</t>
        </is>
      </c>
      <c r="D2952" t="inlineStr">
        <is>
          <t>07.06.2027</t>
        </is>
      </c>
      <c r="E2952" t="inlineStr">
        <is>
          <t>Singapore</t>
        </is>
      </c>
    </row>
    <row r="2953">
      <c r="A2953" t="inlineStr">
        <is>
          <t>JAYA TROPICAL PTE. LTD.,  SINGAPORE, Singapore</t>
        </is>
      </c>
      <c r="B2953" t="inlineStr">
        <is>
          <t>Trader</t>
        </is>
      </c>
      <c r="C2953" t="inlineStr">
        <is>
          <t>Double Helix Tracking Technologies Pte Ltd, Singapore, SG</t>
        </is>
      </c>
      <c r="D2953" t="inlineStr">
        <is>
          <t>07.06.2027</t>
        </is>
      </c>
      <c r="E2953" t="inlineStr">
        <is>
          <t>Singapore</t>
        </is>
      </c>
    </row>
    <row r="2954">
      <c r="A2954" t="inlineStr">
        <is>
          <t>JAYA TROPICAL PTE. LTD.,  SINGAPORE, Singapore</t>
        </is>
      </c>
      <c r="B2954" t="inlineStr">
        <is>
          <t>Collecting Point, Trader</t>
        </is>
      </c>
      <c r="C2954" t="inlineStr">
        <is>
          <t>Double Helix Tracking Technologies Pte Ltd, Singapore, SG</t>
        </is>
      </c>
      <c r="D2954" t="inlineStr">
        <is>
          <t>07.06.2027</t>
        </is>
      </c>
      <c r="E2954" t="inlineStr">
        <is>
          <t>Singapore</t>
        </is>
      </c>
    </row>
    <row r="2955">
      <c r="A2955" t="inlineStr">
        <is>
          <t>SC Andisol srl,  Munteni-Buzau Jud Ialomita, Romania</t>
        </is>
      </c>
      <c r="B2955" t="inlineStr">
        <is>
          <t>First Gathering Point, Trader with Storage</t>
        </is>
      </c>
      <c r="C2955" t="inlineStr">
        <is>
          <t>SGS Germany GmbH, Emstek, DE</t>
        </is>
      </c>
      <c r="D2955" t="inlineStr">
        <is>
          <t>07.06.2027</t>
        </is>
      </c>
      <c r="E2955" t="inlineStr">
        <is>
          <t>Romania</t>
        </is>
      </c>
    </row>
    <row r="2956">
      <c r="A2956" t="inlineStr">
        <is>
          <t>QINGYUAN CO-PROSPER PLASTIC PRODUCTS CO,LTD,  Qingyuan, China</t>
        </is>
      </c>
      <c r="B2956" t="inlineStr">
        <is>
          <t>Processing Unit</t>
        </is>
      </c>
      <c r="C2956" t="inlineStr">
        <is>
          <t>CTI Certification Co. Ltd, Shenzhen, CN</t>
        </is>
      </c>
      <c r="D2956" t="inlineStr">
        <is>
          <t>07.06.2027</t>
        </is>
      </c>
      <c r="E2956" t="inlineStr">
        <is>
          <t>China</t>
        </is>
      </c>
    </row>
    <row r="2957">
      <c r="A2957" t="inlineStr">
        <is>
          <t>Bumi Khatulistiwa Mandiri,  Kab. Ogan Komering Ilir, Indonesia</t>
        </is>
      </c>
      <c r="B2957" t="inlineStr">
        <is>
          <t>Point of Origin</t>
        </is>
      </c>
      <c r="C2957" t="inlineStr">
        <is>
          <t>PT. Qualitas Sertifikasi Indonesia, Jakarta, ID</t>
        </is>
      </c>
      <c r="D2957" t="inlineStr">
        <is>
          <t>07.06.2027</t>
        </is>
      </c>
      <c r="E2957" t="inlineStr">
        <is>
          <t>Indonesia</t>
        </is>
      </c>
    </row>
    <row r="2958">
      <c r="A2958" t="inlineStr">
        <is>
          <t>Kumpulan Antarasuri Sdn Bhd,  Kuala Lumpur, Malaysia</t>
        </is>
      </c>
      <c r="B2958" t="inlineStr">
        <is>
          <t>Trader with Storage</t>
        </is>
      </c>
      <c r="C2958" t="inlineStr">
        <is>
          <t>Trans Certification and Inspection Sdn Bhd, Kuantan, MY</t>
        </is>
      </c>
      <c r="D2958" t="inlineStr">
        <is>
          <t>07.06.2027</t>
        </is>
      </c>
      <c r="E2958" t="inlineStr">
        <is>
          <t>Malaysia</t>
        </is>
      </c>
    </row>
    <row r="2959">
      <c r="A2959" t="inlineStr">
        <is>
          <t>Green Biofuels Ireland Ltd,  New Ross, Ireland</t>
        </is>
      </c>
      <c r="B2959" t="inlineStr">
        <is>
          <t>Point of Origin, Processing Unit, Trader with Storage</t>
        </is>
      </c>
      <c r="C2959" t="inlineStr">
        <is>
          <t>ASG Cert GmbH, Munich, DE</t>
        </is>
      </c>
      <c r="D2959" t="inlineStr">
        <is>
          <t>07.06.2027</t>
        </is>
      </c>
      <c r="E2959" t="inlineStr">
        <is>
          <t>Ireland</t>
        </is>
      </c>
    </row>
    <row r="2960">
      <c r="A2960" t="inlineStr">
        <is>
          <t>COOPERATIVA AGRICOLA DE GRADUL II GRUP AGRICOLA,  Razboieni, Romania</t>
        </is>
      </c>
      <c r="B2960" t="inlineStr">
        <is>
          <t>First Gathering Point</t>
        </is>
      </c>
      <c r="C2960" t="inlineStr">
        <is>
          <t>BM Certification, Riga, LV</t>
        </is>
      </c>
      <c r="D2960" t="inlineStr">
        <is>
          <t>07.06.2027</t>
        </is>
      </c>
      <c r="E2960" t="inlineStr">
        <is>
          <t>Romania</t>
        </is>
      </c>
    </row>
    <row r="2961">
      <c r="A2961" t="inlineStr">
        <is>
          <t>PROAGRO GRADISTEA COOPERATIVA AGRICOLA,  GRADISTEA, Romania</t>
        </is>
      </c>
      <c r="B2961" t="inlineStr">
        <is>
          <t>First Gathering Point, Trader</t>
        </is>
      </c>
      <c r="C2961" t="inlineStr">
        <is>
          <t>BM Certification, Riga, LV</t>
        </is>
      </c>
      <c r="D2961" t="inlineStr">
        <is>
          <t>07.06.2027</t>
        </is>
      </c>
      <c r="E2961" t="inlineStr">
        <is>
          <t>Romania</t>
        </is>
      </c>
    </row>
    <row r="2962">
      <c r="A2962" t="inlineStr">
        <is>
          <t>Produttori Sementi Polesani,  Corbola, Italy</t>
        </is>
      </c>
      <c r="B2962" t="inlineStr">
        <is>
          <t>First Gathering Point, Trader</t>
        </is>
      </c>
      <c r="C2962" t="inlineStr">
        <is>
          <t>RINA Services S.p.A., Genova, IT</t>
        </is>
      </c>
      <c r="D2962" t="inlineStr">
        <is>
          <t>07.06.2027</t>
        </is>
      </c>
      <c r="E2962" t="inlineStr">
        <is>
          <t>Italy</t>
        </is>
      </c>
    </row>
    <row r="2963">
      <c r="A2963" t="inlineStr">
        <is>
          <t>GBA Green Energy Private Limited,  Kosi Kalan, India</t>
        </is>
      </c>
      <c r="B2963" t="inlineStr">
        <is>
          <t>Collecting Point, Processing Unit</t>
        </is>
      </c>
      <c r="C2963" t="inlineStr">
        <is>
          <t>ISOQAR Ltd, Stretford, Manchester, GB</t>
        </is>
      </c>
      <c r="D2963" t="inlineStr">
        <is>
          <t>07.06.2027</t>
        </is>
      </c>
      <c r="E2963" t="inlineStr">
        <is>
          <t>India</t>
        </is>
      </c>
    </row>
    <row r="2964">
      <c r="A2964" t="inlineStr">
        <is>
          <t>GBA Green Energy Private Limited,  Kosi Kalan, India</t>
        </is>
      </c>
      <c r="B2964" t="inlineStr">
        <is>
          <t>Collecting Point, Processing Unit</t>
        </is>
      </c>
      <c r="C2964" t="inlineStr">
        <is>
          <t>ISOQAR Ltd, Stretford, Manchester, GB</t>
        </is>
      </c>
      <c r="D2964" t="inlineStr">
        <is>
          <t>07.06.2027</t>
        </is>
      </c>
      <c r="E2964" t="inlineStr">
        <is>
          <t>India</t>
        </is>
      </c>
    </row>
    <row r="2965">
      <c r="A2965" t="inlineStr">
        <is>
          <t>JB rPET Industries Private Limited,  Dist- Surat, India</t>
        </is>
      </c>
      <c r="B2965" t="inlineStr">
        <is>
          <t>Collecting Point, Processing Unit</t>
        </is>
      </c>
      <c r="C2965" t="inlineStr">
        <is>
          <t>Cotecna India Inspection Pvt Ltd, Kolkata, IN</t>
        </is>
      </c>
      <c r="D2965" t="inlineStr">
        <is>
          <t>07.06.2027</t>
        </is>
      </c>
      <c r="E2965" t="inlineStr">
        <is>
          <t>India</t>
        </is>
      </c>
    </row>
    <row r="2966">
      <c r="A2966" t="inlineStr">
        <is>
          <t>Nxgen Enfuel LLC,  Dubai, The United Arab Emirates</t>
        </is>
      </c>
      <c r="B2966" t="inlineStr">
        <is>
          <t>Collecting Point, Trader with Storage</t>
        </is>
      </c>
      <c r="C2966" t="inlineStr">
        <is>
          <t>PT. CBQA GLOBAL INDONESIA, JAKARTA SELATAN, ID</t>
        </is>
      </c>
      <c r="D2966" t="inlineStr">
        <is>
          <t>07.06.2027</t>
        </is>
      </c>
      <c r="E2966" t="inlineStr">
        <is>
          <t>The United Arab Emirates</t>
        </is>
      </c>
    </row>
    <row r="2967">
      <c r="A2967" t="inlineStr">
        <is>
          <t>Chemfidence Services,  Frankfurt am Main, Germany</t>
        </is>
      </c>
      <c r="B2967" t="inlineStr">
        <is>
          <t>Trader with Storage</t>
        </is>
      </c>
      <c r="C2967" t="inlineStr">
        <is>
          <t>Control Union Certifications Germany GmbH, Berlin, DE</t>
        </is>
      </c>
      <c r="D2967" t="inlineStr">
        <is>
          <t>07.06.2027</t>
        </is>
      </c>
      <c r="E2967" t="inlineStr">
        <is>
          <t>Germany</t>
        </is>
      </c>
    </row>
    <row r="2968">
      <c r="A2968" t="inlineStr">
        <is>
          <t>Daicel (Asia) Pte. Ltd.,  Singapore, Singapore</t>
        </is>
      </c>
      <c r="B2968" t="inlineStr">
        <is>
          <t>Trader</t>
        </is>
      </c>
      <c r="C2968" t="inlineStr">
        <is>
          <t>SGS Germany GmbH, Emstek, DE</t>
        </is>
      </c>
      <c r="D2968" t="inlineStr">
        <is>
          <t>07.06.2027</t>
        </is>
      </c>
      <c r="E2968" t="inlineStr">
        <is>
          <t>Singapore</t>
        </is>
      </c>
    </row>
    <row r="2969">
      <c r="A2969" t="inlineStr">
        <is>
          <t>PT. ECOVERA GLOBAL MANDIRI,  KABUPATEN DELISERDANG, Indonesia</t>
        </is>
      </c>
      <c r="B2969" t="inlineStr">
        <is>
          <t>Trader</t>
        </is>
      </c>
      <c r="C2969" t="inlineStr">
        <is>
          <t>RINA Services S.p.A., Genova, IT</t>
        </is>
      </c>
      <c r="D2969" t="inlineStr">
        <is>
          <t>07.06.2027</t>
        </is>
      </c>
      <c r="E2969" t="inlineStr">
        <is>
          <t>Indonesia</t>
        </is>
      </c>
    </row>
    <row r="2970">
      <c r="A2970" t="inlineStr">
        <is>
          <t>Koziol &gt;&gt; ideas for friends,  Erbach, Germany</t>
        </is>
      </c>
      <c r="B2970" t="inlineStr">
        <is>
          <t>Processing Unit</t>
        </is>
      </c>
      <c r="C2970" t="inlineStr">
        <is>
          <t>Bureau Veritas Polska Sp. z o.o., Warsaw, PL</t>
        </is>
      </c>
      <c r="D2970" t="inlineStr">
        <is>
          <t>07.06.2027</t>
        </is>
      </c>
      <c r="E2970" t="inlineStr">
        <is>
          <t>Germany</t>
        </is>
      </c>
    </row>
    <row r="2971">
      <c r="A2971" t="inlineStr">
        <is>
          <t>Biodiesel Süd GmbH,  Bleiburg, Austria</t>
        </is>
      </c>
      <c r="B2971" t="inlineStr">
        <is>
          <t>Point of Origin, Processing Unit, Trader with Storage, Warehouse</t>
        </is>
      </c>
      <c r="C2971" t="inlineStr">
        <is>
          <t>Bureau Veritas Polska Sp. z o.o., Warsaw, PL</t>
        </is>
      </c>
      <c r="D2971" t="inlineStr">
        <is>
          <t>07.06.2027</t>
        </is>
      </c>
      <c r="E2971" t="inlineStr">
        <is>
          <t>Austria</t>
        </is>
      </c>
    </row>
    <row r="2972">
      <c r="A2972" t="inlineStr">
        <is>
          <t>CARGILL NOVOS HORIZONTES LTDA,  Anápolis, Brazil</t>
        </is>
      </c>
      <c r="B2972" t="inlineStr">
        <is>
          <t>Collecting Point, Processing Unit, Point of Origin</t>
        </is>
      </c>
      <c r="C2972" t="inlineStr">
        <is>
          <t>SGS Germany GmbH, Emstek, DE</t>
        </is>
      </c>
      <c r="D2972" t="inlineStr">
        <is>
          <t>07.06.2027</t>
        </is>
      </c>
      <c r="E2972" t="inlineStr">
        <is>
          <t>Brazil</t>
        </is>
      </c>
    </row>
    <row r="2973">
      <c r="A2973" t="inlineStr">
        <is>
          <t>Vaste Technologies,  Edinburgh, The United Kingdom</t>
        </is>
      </c>
      <c r="B2973" t="inlineStr">
        <is>
          <t>Collecting Point, Trader</t>
        </is>
      </c>
      <c r="C2973" t="inlineStr">
        <is>
          <t>Aardvark Certification Ltd, Wiveliscombe, Somerset, GB</t>
        </is>
      </c>
      <c r="D2973" t="inlineStr">
        <is>
          <t>07.06.2027</t>
        </is>
      </c>
      <c r="E2973" t="inlineStr">
        <is>
          <t>The United Kingdom</t>
        </is>
      </c>
    </row>
    <row r="2974">
      <c r="A2974" t="inlineStr">
        <is>
          <t>Green Lighthouse Trading Est.,  Riyadh, Saudi Arabia</t>
        </is>
      </c>
      <c r="B2974" t="inlineStr">
        <is>
          <t>Collecting Point</t>
        </is>
      </c>
      <c r="C2974" t="inlineStr">
        <is>
          <t>RINA Services S.p.A., Genova, IT</t>
        </is>
      </c>
      <c r="D2974" t="inlineStr">
        <is>
          <t>07.06.2027</t>
        </is>
      </c>
      <c r="E2974" t="inlineStr">
        <is>
          <t>Saudi Arabia</t>
        </is>
      </c>
    </row>
    <row r="2975">
      <c r="A2975" t="inlineStr">
        <is>
          <t>MG Lavorazione Materie Plastiche,  Lanze’ Di Quinto Vic.No (VI), Italy</t>
        </is>
      </c>
      <c r="B2975" t="inlineStr">
        <is>
          <t>Processing Unit</t>
        </is>
      </c>
      <c r="C2975" t="inlineStr">
        <is>
          <t>RINA Services S.p.A., Genova, IT</t>
        </is>
      </c>
      <c r="D2975" t="inlineStr">
        <is>
          <t>06.06.2027</t>
        </is>
      </c>
      <c r="E2975" t="inlineStr">
        <is>
          <t>Italy</t>
        </is>
      </c>
    </row>
    <row r="2976">
      <c r="A2976" t="inlineStr">
        <is>
          <t>Gunze Packaging Systems,  Moriyama-shi, Shiga, Japan</t>
        </is>
      </c>
      <c r="B2976" t="inlineStr">
        <is>
          <t>Final Product Refinement</t>
        </is>
      </c>
      <c r="C2976" t="inlineStr">
        <is>
          <t>Control Union Certifications Germany GmbH, Berlin, DE</t>
        </is>
      </c>
      <c r="D2976" t="inlineStr">
        <is>
          <t>06.06.2027</t>
        </is>
      </c>
      <c r="E2976" t="inlineStr">
        <is>
          <t>Japan</t>
        </is>
      </c>
    </row>
    <row r="2977">
      <c r="A2977" t="inlineStr">
        <is>
          <t>ITS-INDUSTRIA TRANSFORMADORA DE SUBPRODUCTOS S.A.,  Coruche, Portugal</t>
        </is>
      </c>
      <c r="B2977" t="inlineStr">
        <is>
          <t>Point of Origin</t>
        </is>
      </c>
      <c r="C2977" t="inlineStr">
        <is>
          <t>Amspec Iberia SL, Vilagarcia de Arousa-Pontevedra, ES</t>
        </is>
      </c>
      <c r="D2977" t="inlineStr">
        <is>
          <t>06.06.2027</t>
        </is>
      </c>
      <c r="E2977" t="inlineStr">
        <is>
          <t>Portugal</t>
        </is>
      </c>
    </row>
    <row r="2978">
      <c r="A2978" t="inlineStr">
        <is>
          <t>SEBOL-COMÉRCIO E INDUSTRIA DE SEBO, S.A.,  Santo Antao do Tojal, Portugal</t>
        </is>
      </c>
      <c r="B2978" t="inlineStr">
        <is>
          <t>Point of Origin</t>
        </is>
      </c>
      <c r="C2978" t="inlineStr">
        <is>
          <t>Amspec Iberia SL, Vilagarcia de Arousa-Pontevedra, ES</t>
        </is>
      </c>
      <c r="D2978" t="inlineStr">
        <is>
          <t>06.06.2027</t>
        </is>
      </c>
      <c r="E2978" t="inlineStr">
        <is>
          <t>Portugal</t>
        </is>
      </c>
    </row>
    <row r="2979">
      <c r="A2979" t="inlineStr">
        <is>
          <t>MITSUI &amp; CO., LTD.,  Chiyoda-ku, Tokyo, Japan</t>
        </is>
      </c>
      <c r="B2979" t="inlineStr">
        <is>
          <t>Collecting Point, Trader with Storage</t>
        </is>
      </c>
      <c r="C2979" t="inlineStr">
        <is>
          <t>Control Union Certifications Germany GmbH, Berlin, DE</t>
        </is>
      </c>
      <c r="D2979" t="inlineStr">
        <is>
          <t>06.06.2027</t>
        </is>
      </c>
      <c r="E2979" t="inlineStr">
        <is>
          <t>Japan</t>
        </is>
      </c>
    </row>
    <row r="2980">
      <c r="A2980" t="inlineStr">
        <is>
          <t>Monteiro, Ribas - Embalagens Flexíveis, S.A. (Monteiro Packaging),  Porto, Portugal</t>
        </is>
      </c>
      <c r="B2980" t="inlineStr">
        <is>
          <t>Processing Unit</t>
        </is>
      </c>
      <c r="C2980" t="inlineStr">
        <is>
          <t>Control Union Poland Sp. z o.o., Zielona Gora, PL</t>
        </is>
      </c>
      <c r="D2980" t="inlineStr">
        <is>
          <t>06.06.2027</t>
        </is>
      </c>
      <c r="E2980" t="inlineStr">
        <is>
          <t>Portugal</t>
        </is>
      </c>
    </row>
    <row r="2981">
      <c r="A2981" t="inlineStr">
        <is>
          <t>WENZHOU JINDA GLASSES CO, LTD.,  WENZHOU, ZHEJIANG, China</t>
        </is>
      </c>
      <c r="B2981" t="inlineStr">
        <is>
          <t>Processing Unit</t>
        </is>
      </c>
      <c r="C2981" t="inlineStr">
        <is>
          <t>SCS Global Services, Emeryville, CA, US</t>
        </is>
      </c>
      <c r="D2981" t="inlineStr">
        <is>
          <t>06.06.2027</t>
        </is>
      </c>
      <c r="E2981" t="inlineStr">
        <is>
          <t>China</t>
        </is>
      </c>
    </row>
    <row r="2982">
      <c r="A2982" t="inlineStr">
        <is>
          <t>JK TYRE INDUSTRIES LTD,  KOLATHUR VILLAGE, SRIPERUMBUDUR, India</t>
        </is>
      </c>
      <c r="B2982" t="inlineStr">
        <is>
          <t>Processing Unit</t>
        </is>
      </c>
      <c r="C2982" t="inlineStr">
        <is>
          <t>Cotecna India Inspection Pvt Ltd, Kolkata, IN</t>
        </is>
      </c>
      <c r="D2982" t="inlineStr">
        <is>
          <t>06.06.2027</t>
        </is>
      </c>
      <c r="E2982" t="inlineStr">
        <is>
          <t>India</t>
        </is>
      </c>
    </row>
    <row r="2983">
      <c r="A2983" t="inlineStr">
        <is>
          <t>Agropodnik a.s., Velké Meziříčí,  Velké Meziříčí, Czech Republic</t>
        </is>
      </c>
      <c r="B2983" t="inlineStr">
        <is>
          <t>First Gathering Point, Logistics Center, Trader</t>
        </is>
      </c>
      <c r="C2983" t="inlineStr">
        <is>
          <t>Bureau Veritas Polska Sp. z o.o., Warsaw, PL</t>
        </is>
      </c>
      <c r="D2983" t="inlineStr">
        <is>
          <t>06.06.2027</t>
        </is>
      </c>
      <c r="E2983" t="inlineStr">
        <is>
          <t>Czech Republic</t>
        </is>
      </c>
    </row>
    <row r="2984">
      <c r="A2984" t="inlineStr">
        <is>
          <t>TCL Hunt Limited,  Auckland, New Zealand</t>
        </is>
      </c>
      <c r="B2984" t="inlineStr">
        <is>
          <t>Trader with Storage</t>
        </is>
      </c>
      <c r="C2984" t="inlineStr">
        <is>
          <t>SGS Germany GmbH, Emstek, DE</t>
        </is>
      </c>
      <c r="D2984" t="inlineStr">
        <is>
          <t>06.06.2027</t>
        </is>
      </c>
      <c r="E2984" t="inlineStr">
        <is>
          <t>New Zealand</t>
        </is>
      </c>
    </row>
    <row r="2985">
      <c r="A2985" t="inlineStr">
        <is>
          <t>Nusaraya Agro Sawit,  Provinsi Kalimantan Timur, Indonesia</t>
        </is>
      </c>
      <c r="B2985" t="inlineStr">
        <is>
          <t>Point of Origin</t>
        </is>
      </c>
      <c r="C2985" t="inlineStr">
        <is>
          <t>PT. Qualitas Sertifikasi Indonesia, Jakarta, ID</t>
        </is>
      </c>
      <c r="D2985" t="inlineStr">
        <is>
          <t>06.06.2027</t>
        </is>
      </c>
      <c r="E2985" t="inlineStr">
        <is>
          <t>Indonesia</t>
        </is>
      </c>
    </row>
    <row r="2986">
      <c r="A2986" t="inlineStr">
        <is>
          <t>Biocolza, Óleos e Farinhas de Colza, SA,  Almada, Palença de Baixo, Portugal</t>
        </is>
      </c>
      <c r="B2986" t="inlineStr">
        <is>
          <t>Trader with Storage</t>
        </is>
      </c>
      <c r="C2986" t="inlineStr">
        <is>
          <t>Control Union Poland Sp. z o.o., Zielona Gora, PL</t>
        </is>
      </c>
      <c r="D2986" t="inlineStr">
        <is>
          <t>06.06.2027</t>
        </is>
      </c>
      <c r="E2986" t="inlineStr">
        <is>
          <t>Portugal</t>
        </is>
      </c>
    </row>
    <row r="2987">
      <c r="A2987" t="inlineStr">
        <is>
          <t>AGROKOP CZ, a.s.,  Střítež, Czech Republic, Czech Republic</t>
        </is>
      </c>
      <c r="B2987" t="inlineStr">
        <is>
          <t>First Gathering Point, Trader</t>
        </is>
      </c>
      <c r="C2987" t="inlineStr">
        <is>
          <t>United Registrar of Systems Polska Sp. z o.o., Wrocław, PL</t>
        </is>
      </c>
      <c r="D2987" t="inlineStr">
        <is>
          <t>06.06.2027</t>
        </is>
      </c>
      <c r="E2987" t="inlineStr">
        <is>
          <t>Czech Republic</t>
        </is>
      </c>
    </row>
    <row r="2988">
      <c r="A2988" t="inlineStr">
        <is>
          <t>SEDA ITALY,  Frattamaggiore NA, Italy</t>
        </is>
      </c>
      <c r="B2988" t="inlineStr">
        <is>
          <t>Processing Unit</t>
        </is>
      </c>
      <c r="C2988" t="inlineStr">
        <is>
          <t>SGS Germany GmbH, Emstek, DE</t>
        </is>
      </c>
      <c r="D2988" t="inlineStr">
        <is>
          <t>06.06.2027</t>
        </is>
      </c>
      <c r="E2988" t="inlineStr">
        <is>
          <t>Italy</t>
        </is>
      </c>
    </row>
    <row r="2989">
      <c r="A2989" t="inlineStr">
        <is>
          <t>Maruzen Petrochemical Co., Ltd.,  Ichihara, Chiba, Japan</t>
        </is>
      </c>
      <c r="B2989" t="inlineStr">
        <is>
          <t>Processing Unit, Trader with Storage</t>
        </is>
      </c>
      <c r="C2989" t="inlineStr">
        <is>
          <t>SGS Germany GmbH, Emstek, DE</t>
        </is>
      </c>
      <c r="D2989" t="inlineStr">
        <is>
          <t>06.06.2027</t>
        </is>
      </c>
      <c r="E2989" t="inlineStr">
        <is>
          <t>Japan</t>
        </is>
      </c>
    </row>
    <row r="2990">
      <c r="A2990" t="inlineStr">
        <is>
          <t>Sanko co.,ltd,  Nihonbashi, Muromachi,Chuo-ku, Japan</t>
        </is>
      </c>
      <c r="B2990" t="inlineStr">
        <is>
          <t>Trader</t>
        </is>
      </c>
      <c r="C2990" t="inlineStr">
        <is>
          <t>SGS Germany GmbH, Emstek, DE</t>
        </is>
      </c>
      <c r="D2990" t="inlineStr">
        <is>
          <t>06.06.2027</t>
        </is>
      </c>
      <c r="E2990" t="inlineStr">
        <is>
          <t>Japan</t>
        </is>
      </c>
    </row>
    <row r="2991">
      <c r="A2991" t="inlineStr">
        <is>
          <t>Colloid Energy Pte Ltd.,  Singapore, Singapore</t>
        </is>
      </c>
      <c r="B2991" t="inlineStr">
        <is>
          <t>Trader</t>
        </is>
      </c>
      <c r="C2991" t="inlineStr">
        <is>
          <t>SGS Germany GmbH, Emstek, DE</t>
        </is>
      </c>
      <c r="D2991" t="inlineStr">
        <is>
          <t>06.06.2027</t>
        </is>
      </c>
      <c r="E2991" t="inlineStr">
        <is>
          <t>Singapore</t>
        </is>
      </c>
    </row>
    <row r="2992">
      <c r="A2992" t="inlineStr">
        <is>
          <t>Colloid Energy Pte Ltd.,  Singapore, Singapore</t>
        </is>
      </c>
      <c r="B2992" t="inlineStr">
        <is>
          <t>Trader</t>
        </is>
      </c>
      <c r="C2992" t="inlineStr">
        <is>
          <t>SGS Germany GmbH, Emstek, DE</t>
        </is>
      </c>
      <c r="D2992" t="inlineStr">
        <is>
          <t>06.06.2027</t>
        </is>
      </c>
      <c r="E2992" t="inlineStr">
        <is>
          <t>Singapore</t>
        </is>
      </c>
    </row>
    <row r="2993">
      <c r="A2993" t="inlineStr">
        <is>
          <t>SHIDA SHIKO CO.,LTD.,  FUJI-SHI,SHIZUOKA-KEN, Japan</t>
        </is>
      </c>
      <c r="B2993" t="inlineStr">
        <is>
          <t>Point of Origin, Processing Unit, Warehouse</t>
        </is>
      </c>
      <c r="C2993" t="inlineStr">
        <is>
          <t>SGS Germany GmbH, Emstek, DE</t>
        </is>
      </c>
      <c r="D2993" t="inlineStr">
        <is>
          <t>06.06.2027</t>
        </is>
      </c>
      <c r="E2993" t="inlineStr">
        <is>
          <t>Japan</t>
        </is>
      </c>
    </row>
    <row r="2994">
      <c r="A2994" t="inlineStr">
        <is>
          <t>Kemira Ibérica,  Villatuerta (Navarra), Spain</t>
        </is>
      </c>
      <c r="B2994" t="inlineStr">
        <is>
          <t>Processing Unit</t>
        </is>
      </c>
      <c r="C2994" t="inlineStr">
        <is>
          <t>PT Intertek Utama Services, Jakarta, ID</t>
        </is>
      </c>
      <c r="D2994" t="inlineStr">
        <is>
          <t>06.06.2027</t>
        </is>
      </c>
      <c r="E2994" t="inlineStr">
        <is>
          <t>Spain</t>
        </is>
      </c>
    </row>
    <row r="2995">
      <c r="A2995" t="inlineStr">
        <is>
          <t>Gold Plast,  Milan, Italy</t>
        </is>
      </c>
      <c r="B2995" t="inlineStr">
        <is>
          <t>Trader</t>
        </is>
      </c>
      <c r="C2995" t="inlineStr">
        <is>
          <t>RINA Services S.p.A., Genova, IT</t>
        </is>
      </c>
      <c r="D2995" t="inlineStr">
        <is>
          <t>06.06.2027</t>
        </is>
      </c>
      <c r="E2995" t="inlineStr">
        <is>
          <t>Italy</t>
        </is>
      </c>
    </row>
    <row r="2996">
      <c r="A2996" t="inlineStr">
        <is>
          <t>Zhengzhou Huanrui Oil Recycling Co., Ltd.,  Xinzheng City, Zhengzhou City, Henan Province, China</t>
        </is>
      </c>
      <c r="B2996" t="inlineStr">
        <is>
          <t>Collecting Point</t>
        </is>
      </c>
      <c r="C2996" t="inlineStr">
        <is>
          <t>RINA Services S.p.A., Genova, IT</t>
        </is>
      </c>
      <c r="D2996" t="inlineStr">
        <is>
          <t>06.06.2027</t>
        </is>
      </c>
      <c r="E2996" t="inlineStr">
        <is>
          <t>China</t>
        </is>
      </c>
    </row>
    <row r="2997">
      <c r="A2997" t="inlineStr">
        <is>
          <t>Shandong Huidong New Energy Co., Ltd.,  Dongying City, Shandong Province, China</t>
        </is>
      </c>
      <c r="B2997" t="inlineStr">
        <is>
          <t>Processing Unit, Trader with Storage</t>
        </is>
      </c>
      <c r="C2997" t="inlineStr">
        <is>
          <t>RINA Services S.p.A., Genova, IT</t>
        </is>
      </c>
      <c r="D2997" t="inlineStr">
        <is>
          <t>06.06.2027</t>
        </is>
      </c>
      <c r="E2997" t="inlineStr">
        <is>
          <t>China</t>
        </is>
      </c>
    </row>
    <row r="2998">
      <c r="A2998" t="inlineStr">
        <is>
          <t>A. Schulman Belgium,  Oudsbergen, Belgium</t>
        </is>
      </c>
      <c r="B2998" t="inlineStr">
        <is>
          <t>Processing Unit</t>
        </is>
      </c>
      <c r="C2998" t="inlineStr">
        <is>
          <t>SGS Germany GmbH, Emstek, DE</t>
        </is>
      </c>
      <c r="D2998" t="inlineStr">
        <is>
          <t>06.06.2027</t>
        </is>
      </c>
      <c r="E2998" t="inlineStr">
        <is>
          <t>Belgium</t>
        </is>
      </c>
    </row>
    <row r="2999">
      <c r="A2999" t="inlineStr">
        <is>
          <t>Duynie Feed Slovensko s.r.o.,  Dunajská Streda, Slovakia</t>
        </is>
      </c>
      <c r="B2999" t="inlineStr">
        <is>
          <t>Collecting Point, First Gathering Point, Trader</t>
        </is>
      </c>
      <c r="C2999" t="inlineStr">
        <is>
          <t>TÜV SÜD Czech s.r.o., Praha 4, CZ</t>
        </is>
      </c>
      <c r="D2999" t="inlineStr">
        <is>
          <t>06.06.2027</t>
        </is>
      </c>
      <c r="E2999" t="inlineStr">
        <is>
          <t>Slovakia</t>
        </is>
      </c>
    </row>
    <row r="3000">
      <c r="A3000" t="inlineStr">
        <is>
          <t>Repsol Fuels S.A.U.,  Cartagena (Murcia), Spain</t>
        </is>
      </c>
      <c r="B3000" t="inlineStr">
        <is>
          <t>Trader with Storage, Processing Unit</t>
        </is>
      </c>
      <c r="C3000" t="inlineStr">
        <is>
          <t>Control Union Poland Sp. z o.o., Zielona Gora, PL</t>
        </is>
      </c>
      <c r="D3000" t="inlineStr">
        <is>
          <t>06.06.2027</t>
        </is>
      </c>
      <c r="E3000" t="inlineStr">
        <is>
          <t>Spain</t>
        </is>
      </c>
    </row>
    <row r="3001">
      <c r="A3001" t="inlineStr">
        <is>
          <t>Gasum AB,  Lidköping, Sweden</t>
        </is>
      </c>
      <c r="B3001" t="inlineStr">
        <is>
          <t>Collecting Point, Processing Unit</t>
        </is>
      </c>
      <c r="C3001" t="inlineStr">
        <is>
          <t>DEKRA Certification B.V., Arnhem, NL</t>
        </is>
      </c>
      <c r="D3001" t="inlineStr">
        <is>
          <t>06.06.2027</t>
        </is>
      </c>
      <c r="E3001" t="inlineStr">
        <is>
          <t>Sweden</t>
        </is>
      </c>
    </row>
    <row r="3002">
      <c r="A3002" t="inlineStr">
        <is>
          <t>Lima Energy Sdn Bhd,  Port Klang, Selangor, Malaysia</t>
        </is>
      </c>
      <c r="B3002" t="inlineStr">
        <is>
          <t>Collecting Point, Trader with Storage</t>
        </is>
      </c>
      <c r="C3002" t="inlineStr">
        <is>
          <t>RINA Services S.p.A., Genova, IT</t>
        </is>
      </c>
      <c r="D3002" t="inlineStr">
        <is>
          <t>06.06.2027</t>
        </is>
      </c>
      <c r="E3002" t="inlineStr">
        <is>
          <t>Malaysia</t>
        </is>
      </c>
    </row>
    <row r="3003">
      <c r="A3003" t="inlineStr">
        <is>
          <t>Redo Biosolutions AB,  Lidköping, Sweden</t>
        </is>
      </c>
      <c r="B3003" t="inlineStr">
        <is>
          <t>Processing Unit, Trader</t>
        </is>
      </c>
      <c r="C3003" t="inlineStr">
        <is>
          <t>DEKRA Certification B.V., Arnhem, NL</t>
        </is>
      </c>
      <c r="D3003" t="inlineStr">
        <is>
          <t>06.06.2027</t>
        </is>
      </c>
      <c r="E3003" t="inlineStr">
        <is>
          <t>Sweden</t>
        </is>
      </c>
    </row>
    <row r="3004">
      <c r="A3004" t="inlineStr">
        <is>
          <t>TUNA GLOBAL OILS DIŞ TİCARET ANONİM ŞİRKETİ,  ISTANBUL, Türkiye</t>
        </is>
      </c>
      <c r="B3004" t="inlineStr">
        <is>
          <t>Trader</t>
        </is>
      </c>
      <c r="C3004" t="inlineStr">
        <is>
          <t>Business Quality Verification Testing and Certification Services P.C. (BQV), Marousi, Athens, GR</t>
        </is>
      </c>
      <c r="D3004" t="inlineStr">
        <is>
          <t>05.06.2027</t>
        </is>
      </c>
      <c r="E3004" t="inlineStr">
        <is>
          <t>Türkiye</t>
        </is>
      </c>
    </row>
    <row r="3005">
      <c r="A3005" t="inlineStr">
        <is>
          <t>Best,  Alba, Italy</t>
        </is>
      </c>
      <c r="B3005" t="inlineStr">
        <is>
          <t>Final Product Refinement</t>
        </is>
      </c>
      <c r="C3005" t="inlineStr">
        <is>
          <t>PT Intertek Utama Services, Jakarta, ID</t>
        </is>
      </c>
      <c r="D3005" t="inlineStr">
        <is>
          <t>05.06.2027</t>
        </is>
      </c>
      <c r="E3005" t="inlineStr">
        <is>
          <t>Italy</t>
        </is>
      </c>
    </row>
    <row r="3006">
      <c r="A3006" t="inlineStr">
        <is>
          <t>BHJ A/S,  Løkken, Denmark</t>
        </is>
      </c>
      <c r="B3006" t="inlineStr">
        <is>
          <t>Collecting Point, Trader</t>
        </is>
      </c>
      <c r="C3006" t="inlineStr">
        <is>
          <t>Baltic Control Certification, Albertslund, DK</t>
        </is>
      </c>
      <c r="D3006" t="inlineStr">
        <is>
          <t>05.06.2027</t>
        </is>
      </c>
      <c r="E3006" t="inlineStr">
        <is>
          <t>Denmark</t>
        </is>
      </c>
    </row>
    <row r="3007">
      <c r="A3007" t="inlineStr">
        <is>
          <t>Thai Oil,  Tungsukla, Sriracha, Cholburi, Thailand</t>
        </is>
      </c>
      <c r="B3007" t="inlineStr">
        <is>
          <t>Trader with Storage</t>
        </is>
      </c>
      <c r="C3007" t="inlineStr">
        <is>
          <t>Control Union Poland Sp. z o.o., Zielona Gora, PL</t>
        </is>
      </c>
      <c r="D3007" t="inlineStr">
        <is>
          <t>05.06.2027</t>
        </is>
      </c>
      <c r="E3007" t="inlineStr">
        <is>
          <t>Thailand</t>
        </is>
      </c>
    </row>
    <row r="3008">
      <c r="A3008" t="inlineStr">
        <is>
          <t>Grandi Colture Italiane,  Ferrara, Italy</t>
        </is>
      </c>
      <c r="B3008" t="inlineStr">
        <is>
          <t>Trader</t>
        </is>
      </c>
      <c r="C3008" t="inlineStr">
        <is>
          <t>DNV Business Assurance Sweden AB, Solna, SE</t>
        </is>
      </c>
      <c r="D3008" t="inlineStr">
        <is>
          <t>05.06.2027</t>
        </is>
      </c>
      <c r="E3008" t="inlineStr">
        <is>
          <t>Italy</t>
        </is>
      </c>
    </row>
    <row r="3009">
      <c r="A3009" t="inlineStr">
        <is>
          <t>MOL &amp; INA d.o.o.,  Koper, Slovenia</t>
        </is>
      </c>
      <c r="B3009" t="inlineStr">
        <is>
          <t>Trader with Storage</t>
        </is>
      </c>
      <c r="C3009" t="inlineStr">
        <is>
          <t>Bureau Veritas Polska Sp. z o.o., Warsaw, PL</t>
        </is>
      </c>
      <c r="D3009" t="inlineStr">
        <is>
          <t>05.06.2027</t>
        </is>
      </c>
      <c r="E3009" t="inlineStr">
        <is>
          <t>Slovenia</t>
        </is>
      </c>
    </row>
    <row r="3010">
      <c r="A3010" t="inlineStr">
        <is>
          <t>STAROKOSTIANTYNIVSKYI OLIINOEKSTRAKTSIINYI ZAVOD,  Starokostiantyniv, Ukraine</t>
        </is>
      </c>
      <c r="B3010" t="inlineStr">
        <is>
          <t>Processing Unit</t>
        </is>
      </c>
      <c r="C3010" t="inlineStr">
        <is>
          <t>Bureau Veritas Polska Sp. z o.o., Warsaw, PL</t>
        </is>
      </c>
      <c r="D3010" t="inlineStr">
        <is>
          <t>05.06.2027</t>
        </is>
      </c>
      <c r="E3010" t="inlineStr">
        <is>
          <t>Ukraine</t>
        </is>
      </c>
    </row>
    <row r="3011">
      <c r="A3011" t="inlineStr">
        <is>
          <t>ZTS Zweckverband für Tierkörper- und Schlachtabfallbeseitigung Plattling,  Plattling, Germany</t>
        </is>
      </c>
      <c r="B3011" t="inlineStr">
        <is>
          <t>Collecting Point, Point of Origin</t>
        </is>
      </c>
      <c r="C3011" t="inlineStr">
        <is>
          <t>DEKRA Certification GmbH, Stuttgart, DE</t>
        </is>
      </c>
      <c r="D3011" t="inlineStr">
        <is>
          <t>05.06.2027</t>
        </is>
      </c>
      <c r="E3011" t="inlineStr">
        <is>
          <t>Germany</t>
        </is>
      </c>
    </row>
    <row r="3012">
      <c r="A3012" t="inlineStr">
        <is>
          <t>Solutia Europe BV, a subsidiary of Eastman Chemical Company,  Ghent, Belgium</t>
        </is>
      </c>
      <c r="B3012" t="inlineStr">
        <is>
          <t>Processing Unit, Warehouse</t>
        </is>
      </c>
      <c r="C3012" t="inlineStr">
        <is>
          <t>SCS Global Services, Emeryville, CA, US</t>
        </is>
      </c>
      <c r="D3012" t="inlineStr">
        <is>
          <t>05.06.2027</t>
        </is>
      </c>
      <c r="E3012" t="inlineStr">
        <is>
          <t>Belgium</t>
        </is>
      </c>
    </row>
    <row r="3013">
      <c r="A3013" t="inlineStr">
        <is>
          <t>Socaplast,  Houthulst, Belgium</t>
        </is>
      </c>
      <c r="B3013" t="inlineStr">
        <is>
          <t>Collecting Point, Point of Origin, Processing Unit</t>
        </is>
      </c>
      <c r="C3013" t="inlineStr">
        <is>
          <t>SCS Global Services, Emeryville, CA, US</t>
        </is>
      </c>
      <c r="D3013" t="inlineStr">
        <is>
          <t>05.06.2027</t>
        </is>
      </c>
      <c r="E3013" t="inlineStr">
        <is>
          <t>Belgium</t>
        </is>
      </c>
    </row>
    <row r="3014">
      <c r="A3014" t="inlineStr">
        <is>
          <t>HCP Packaging (Shanghai) Co., Ltd,  Shanghai City, China</t>
        </is>
      </c>
      <c r="B3014" t="inlineStr">
        <is>
          <t>Processing Unit, Trader with Storage</t>
        </is>
      </c>
      <c r="C3014" t="inlineStr">
        <is>
          <t>China Quality Certification Centre Co., Ltd., Beijing, CN</t>
        </is>
      </c>
      <c r="D3014" t="inlineStr">
        <is>
          <t>05.06.2027</t>
        </is>
      </c>
      <c r="E3014" t="inlineStr">
        <is>
          <t>China</t>
        </is>
      </c>
    </row>
    <row r="3015">
      <c r="A3015" t="inlineStr">
        <is>
          <t>Taminco BV a subsidiary of Eastman Chemical Company,  Ghent, Belgium</t>
        </is>
      </c>
      <c r="B3015" t="inlineStr">
        <is>
          <t>Processing Unit</t>
        </is>
      </c>
      <c r="C3015" t="inlineStr">
        <is>
          <t>SCS Global Services, Emeryville, CA, US</t>
        </is>
      </c>
      <c r="D3015" t="inlineStr">
        <is>
          <t>05.06.2027</t>
        </is>
      </c>
      <c r="E3015" t="inlineStr">
        <is>
          <t>Belgium</t>
        </is>
      </c>
    </row>
    <row r="3016">
      <c r="A3016" t="inlineStr">
        <is>
          <t>Veenema Chemicals,  Sneek, The Netherlands</t>
        </is>
      </c>
      <c r="B3016" t="inlineStr">
        <is>
          <t>Trader with Storage</t>
        </is>
      </c>
      <c r="C3016" t="inlineStr">
        <is>
          <t>DEKRA Certification B.V., Arnhem, NL</t>
        </is>
      </c>
      <c r="D3016" t="inlineStr">
        <is>
          <t>05.06.2027</t>
        </is>
      </c>
      <c r="E3016" t="inlineStr">
        <is>
          <t>The Netherlands</t>
        </is>
      </c>
    </row>
    <row r="3017">
      <c r="A3017" t="inlineStr">
        <is>
          <t>Dettendorfer Spedition Austria GmbH,  Kufstein, Austria</t>
        </is>
      </c>
      <c r="B3017" t="inlineStr">
        <is>
          <t>Trader</t>
        </is>
      </c>
      <c r="C3017" t="inlineStr">
        <is>
          <t>BM Certification, Riga, LV</t>
        </is>
      </c>
      <c r="D3017" t="inlineStr">
        <is>
          <t>05.06.2027</t>
        </is>
      </c>
      <c r="E3017" t="inlineStr">
        <is>
          <t>Austria</t>
        </is>
      </c>
    </row>
    <row r="3018">
      <c r="A3018" t="inlineStr">
        <is>
          <t>Peerless Holdings Pty Ltd,  Melbourne, Australia</t>
        </is>
      </c>
      <c r="B3018" t="inlineStr">
        <is>
          <t>Processing Unit, Point of Origin</t>
        </is>
      </c>
      <c r="C3018" t="inlineStr">
        <is>
          <t>BM Certification, Riga, LV</t>
        </is>
      </c>
      <c r="D3018" t="inlineStr">
        <is>
          <t>05.06.2027</t>
        </is>
      </c>
      <c r="E3018" t="inlineStr">
        <is>
          <t>Australia</t>
        </is>
      </c>
    </row>
    <row r="3019">
      <c r="A3019" t="inlineStr">
        <is>
          <t>Liaoning Zhongrun Agricultural and Animal Husbandry Technology Co., Ltd.,  Xinmin City, Shenyang City, China</t>
        </is>
      </c>
      <c r="B3019" t="inlineStr">
        <is>
          <t>Collecting Point</t>
        </is>
      </c>
      <c r="C3019" t="inlineStr">
        <is>
          <t>SGS Germany GmbH, Emstek, DE</t>
        </is>
      </c>
      <c r="D3019" t="inlineStr">
        <is>
          <t>05.06.2027</t>
        </is>
      </c>
      <c r="E3019" t="inlineStr">
        <is>
          <t>China</t>
        </is>
      </c>
    </row>
    <row r="3020">
      <c r="A3020" t="inlineStr">
        <is>
          <t>Huzhou Shengtao Biotech LLC,  Huzhou City, Zhejiang Province, China</t>
        </is>
      </c>
      <c r="B3020" t="inlineStr">
        <is>
          <t>Processing Unit</t>
        </is>
      </c>
      <c r="C3020" t="inlineStr">
        <is>
          <t>SGS Germany GmbH, Emstek, DE</t>
        </is>
      </c>
      <c r="D3020" t="inlineStr">
        <is>
          <t>05.06.2027</t>
        </is>
      </c>
      <c r="E3020" t="inlineStr">
        <is>
          <t>China</t>
        </is>
      </c>
    </row>
    <row r="3021">
      <c r="A3021" t="inlineStr">
        <is>
          <t>GLOBAL RUNNING COMPANY LIMITED,  Go Cong Dong District, Tien Giang Province, Vietnam</t>
        </is>
      </c>
      <c r="B3021" t="inlineStr">
        <is>
          <t>Final Product Refinement</t>
        </is>
      </c>
      <c r="C3021" t="inlineStr">
        <is>
          <t>SGS Germany GmbH, Emstek, DE</t>
        </is>
      </c>
      <c r="D3021" t="inlineStr">
        <is>
          <t>05.06.2027</t>
        </is>
      </c>
      <c r="E3021" t="inlineStr">
        <is>
          <t>Vietnam</t>
        </is>
      </c>
    </row>
    <row r="3022">
      <c r="A3022" t="inlineStr">
        <is>
          <t>Monument Chemical Port Arthur,  Port Arthur, United States</t>
        </is>
      </c>
      <c r="B3022" t="inlineStr">
        <is>
          <t>Processing Unit</t>
        </is>
      </c>
      <c r="C3022" t="inlineStr">
        <is>
          <t>SGS Germany GmbH, Emstek, DE</t>
        </is>
      </c>
      <c r="D3022" t="inlineStr">
        <is>
          <t>05.06.2027</t>
        </is>
      </c>
      <c r="E3022" t="inlineStr">
        <is>
          <t>United States</t>
        </is>
      </c>
    </row>
    <row r="3023">
      <c r="A3023" t="inlineStr">
        <is>
          <t>Helmdon Blackpits Power Limited,  Helmdon, United Kingdom</t>
        </is>
      </c>
      <c r="B3023" t="inlineStr">
        <is>
          <t>First Gathering Point, Processing Unit</t>
        </is>
      </c>
      <c r="C3023" t="inlineStr">
        <is>
          <t>Aardvark Certification Ltd, Wiveliscombe, Somerset, GB</t>
        </is>
      </c>
      <c r="D3023" t="inlineStr">
        <is>
          <t>05.06.2027</t>
        </is>
      </c>
      <c r="E3023" t="inlineStr">
        <is>
          <t>United Kingdom</t>
        </is>
      </c>
    </row>
    <row r="3024">
      <c r="A3024" t="inlineStr">
        <is>
          <t>Green Farming Impex,  Bucharest, Romania</t>
        </is>
      </c>
      <c r="B3024" t="inlineStr">
        <is>
          <t>Trader, First Gathering Point</t>
        </is>
      </c>
      <c r="C3024" t="inlineStr">
        <is>
          <t>SGS Germany GmbH, Emstek, DE</t>
        </is>
      </c>
      <c r="D3024" t="inlineStr">
        <is>
          <t>05.06.2027</t>
        </is>
      </c>
      <c r="E3024" t="inlineStr">
        <is>
          <t>Romania</t>
        </is>
      </c>
    </row>
    <row r="3025">
      <c r="A3025" t="inlineStr">
        <is>
          <t>SALBIA OILS AND FAT SDN BHD,  MASAI, PLENTONG, Malaysia</t>
        </is>
      </c>
      <c r="B3025" t="inlineStr">
        <is>
          <t>Trader with Storage</t>
        </is>
      </c>
      <c r="C3025" t="inlineStr">
        <is>
          <t>RINA Services S.p.A., Genova, IT</t>
        </is>
      </c>
      <c r="D3025" t="inlineStr">
        <is>
          <t>05.06.2027</t>
        </is>
      </c>
      <c r="E3025" t="inlineStr">
        <is>
          <t>Malaysia</t>
        </is>
      </c>
    </row>
    <row r="3026">
      <c r="A3026" t="inlineStr">
        <is>
          <t>Hydrogen Carbon Era (Shandong) Technology Co., Ltd.,  Zibo City, Shandong Province,, China</t>
        </is>
      </c>
      <c r="B3026" t="inlineStr">
        <is>
          <t>Trader</t>
        </is>
      </c>
      <c r="C3026" t="inlineStr">
        <is>
          <t>RINA Services S.p.A., Genova, IT</t>
        </is>
      </c>
      <c r="D3026" t="inlineStr">
        <is>
          <t>05.06.2027</t>
        </is>
      </c>
      <c r="E3026" t="inlineStr">
        <is>
          <t>China</t>
        </is>
      </c>
    </row>
    <row r="3027">
      <c r="A3027" t="inlineStr">
        <is>
          <t>Hydrogen Carbon Era (Shandong) Technology Co., Ltd.,  Zibo City, Shandong Province,, China</t>
        </is>
      </c>
      <c r="B3027" t="inlineStr">
        <is>
          <t>Trader</t>
        </is>
      </c>
      <c r="C3027" t="inlineStr">
        <is>
          <t>RINA Services S.p.A., Genova, IT</t>
        </is>
      </c>
      <c r="D3027" t="inlineStr">
        <is>
          <t>05.06.2027</t>
        </is>
      </c>
      <c r="E3027" t="inlineStr">
        <is>
          <t>China</t>
        </is>
      </c>
    </row>
    <row r="3028">
      <c r="A3028" t="inlineStr">
        <is>
          <t>Hong Kong WARRIFON Trade&amp;Inv. Co., Limited,  Wuhan City, Hubei Province, China</t>
        </is>
      </c>
      <c r="B3028" t="inlineStr">
        <is>
          <t>Trader</t>
        </is>
      </c>
      <c r="C3028" t="inlineStr">
        <is>
          <t>RINA Services S.p.A., Genova, IT</t>
        </is>
      </c>
      <c r="D3028" t="inlineStr">
        <is>
          <t>05.06.2027</t>
        </is>
      </c>
      <c r="E3028" t="inlineStr">
        <is>
          <t>China</t>
        </is>
      </c>
    </row>
    <row r="3029">
      <c r="A3029" t="inlineStr">
        <is>
          <t>A.L.S.O. S.R.L.,  Campomorone (GE), Italy</t>
        </is>
      </c>
      <c r="B3029" t="inlineStr">
        <is>
          <t>Collecting Point, Point of Origin, Processing Unit, Trader with Storage, Warehouse</t>
        </is>
      </c>
      <c r="C3029" t="inlineStr">
        <is>
          <t>Bureau Veritas Polska Sp. z o.o., Warsaw, PL</t>
        </is>
      </c>
      <c r="D3029" t="inlineStr">
        <is>
          <t>05.06.2027</t>
        </is>
      </c>
      <c r="E3029" t="inlineStr">
        <is>
          <t>Italy</t>
        </is>
      </c>
    </row>
    <row r="3030">
      <c r="A3030" t="inlineStr">
        <is>
          <t>Tg Renovation ApS,  Glostrup, Denmark</t>
        </is>
      </c>
      <c r="B3030" t="inlineStr">
        <is>
          <t>Collecting Point</t>
        </is>
      </c>
      <c r="C3030" t="inlineStr">
        <is>
          <t>DEKRA Certification B.V., Arnhem, NL</t>
        </is>
      </c>
      <c r="D3030" t="inlineStr">
        <is>
          <t>05.06.2027</t>
        </is>
      </c>
      <c r="E3030" t="inlineStr">
        <is>
          <t>Denmark</t>
        </is>
      </c>
    </row>
    <row r="3031">
      <c r="A3031" t="inlineStr">
        <is>
          <t>Anhui Heshenghui Biomass Energy Co., Ltd,  Hefei City,, China</t>
        </is>
      </c>
      <c r="B3031" t="inlineStr">
        <is>
          <t>Trader with Storage</t>
        </is>
      </c>
      <c r="C3031" t="inlineStr">
        <is>
          <t>SCS Global Services, Emeryville, CA, US</t>
        </is>
      </c>
      <c r="D3031" t="inlineStr">
        <is>
          <t>04.06.2027</t>
        </is>
      </c>
      <c r="E3031" t="inlineStr">
        <is>
          <t>China</t>
        </is>
      </c>
    </row>
    <row r="3032">
      <c r="A3032" t="inlineStr">
        <is>
          <t>YIU FAI OPTICAL(SHEN ZHEN)LTD.,  ShenZhen City, China</t>
        </is>
      </c>
      <c r="B3032" t="inlineStr">
        <is>
          <t>Processing Unit</t>
        </is>
      </c>
      <c r="C3032" t="inlineStr">
        <is>
          <t>Bureau Veritas Consumer Products Services, Inc., Buffalo, NY, US</t>
        </is>
      </c>
      <c r="D3032" t="inlineStr">
        <is>
          <t>04.06.2027</t>
        </is>
      </c>
      <c r="E3032" t="inlineStr">
        <is>
          <t>China</t>
        </is>
      </c>
    </row>
    <row r="3033">
      <c r="A3033" t="inlineStr">
        <is>
          <t>LLC Katerynopilsky Elevator,  Yerky Urban Village, Ukraine</t>
        </is>
      </c>
      <c r="B3033" t="inlineStr">
        <is>
          <t>First Gathering Point, Processing Unit, Trader with Storage</t>
        </is>
      </c>
      <c r="C3033" t="inlineStr">
        <is>
          <t>Apex Genelab LLC, Odessa, UA</t>
        </is>
      </c>
      <c r="D3033" t="inlineStr">
        <is>
          <t>04.06.2027</t>
        </is>
      </c>
      <c r="E3033" t="inlineStr">
        <is>
          <t>Ukraine</t>
        </is>
      </c>
    </row>
    <row r="3034">
      <c r="A3034" t="inlineStr">
        <is>
          <t>MET ENERGIA ESPAÑA,  Madrid, Spain</t>
        </is>
      </c>
      <c r="B3034" t="inlineStr">
        <is>
          <t>Trader</t>
        </is>
      </c>
      <c r="C3034" t="inlineStr">
        <is>
          <t>Amspec Iberia SL, Vilagarcia de Arousa-Pontevedra, ES</t>
        </is>
      </c>
      <c r="D3034" t="inlineStr">
        <is>
          <t>04.06.2027</t>
        </is>
      </c>
      <c r="E3034" t="inlineStr">
        <is>
          <t>Spain</t>
        </is>
      </c>
    </row>
    <row r="3035">
      <c r="A3035" t="inlineStr">
        <is>
          <t>United Aviation Fuels Corporation,  Sycamore, United States</t>
        </is>
      </c>
      <c r="B3035" t="inlineStr">
        <is>
          <t>Proof of Compliance Trader, Trader</t>
        </is>
      </c>
      <c r="C3035" t="inlineStr">
        <is>
          <t>Normec QS BV, Ede, NL</t>
        </is>
      </c>
      <c r="D3035" t="inlineStr">
        <is>
          <t>04.06.2027</t>
        </is>
      </c>
      <c r="E3035" t="inlineStr">
        <is>
          <t>United States</t>
        </is>
      </c>
    </row>
    <row r="3036">
      <c r="A3036" t="inlineStr">
        <is>
          <t>United Aviation Fuels Corporation,  Sycamore, United States</t>
        </is>
      </c>
      <c r="B3036" t="inlineStr">
        <is>
          <t>Trader</t>
        </is>
      </c>
      <c r="C3036" t="inlineStr">
        <is>
          <t>Normec QS BV, Ede, NL</t>
        </is>
      </c>
      <c r="D3036" t="inlineStr">
        <is>
          <t>04.06.2027</t>
        </is>
      </c>
      <c r="E3036" t="inlineStr">
        <is>
          <t>United States</t>
        </is>
      </c>
    </row>
    <row r="3037">
      <c r="A3037" t="inlineStr">
        <is>
          <t>INTERTRANS LOGISTICS,  CONSTANTA, Romania</t>
        </is>
      </c>
      <c r="B3037" t="inlineStr">
        <is>
          <t>First Gathering Point</t>
        </is>
      </c>
      <c r="C3037" t="inlineStr">
        <is>
          <t>BM Certification, Riga, LV</t>
        </is>
      </c>
      <c r="D3037" t="inlineStr">
        <is>
          <t>04.06.2027</t>
        </is>
      </c>
      <c r="E3037" t="inlineStr">
        <is>
          <t>Romania</t>
        </is>
      </c>
    </row>
    <row r="3038">
      <c r="A3038" t="inlineStr">
        <is>
          <t>HENWING (HONG KONG) INTERNATIONAL ENERGY LIMITED,  WAN CHAI, HONG KONG, Hong Kong, SAR, China</t>
        </is>
      </c>
      <c r="B3038" t="inlineStr">
        <is>
          <t>Trader</t>
        </is>
      </c>
      <c r="C3038" t="inlineStr">
        <is>
          <t>China Standard Conformity Assessment Co. Ltd, Beijing, CN</t>
        </is>
      </c>
      <c r="D3038" t="inlineStr">
        <is>
          <t>04.06.2027</t>
        </is>
      </c>
      <c r="E3038" t="inlineStr">
        <is>
          <t>China</t>
        </is>
      </c>
    </row>
    <row r="3039">
      <c r="A3039" t="inlineStr">
        <is>
          <t>Plantagro Com SRL,  Vaslui, Romania</t>
        </is>
      </c>
      <c r="B3039" t="inlineStr">
        <is>
          <t>First Gathering Point</t>
        </is>
      </c>
      <c r="C3039" t="inlineStr">
        <is>
          <t>SRAC Cert SRL, Bucharest, RO</t>
        </is>
      </c>
      <c r="D3039" t="inlineStr">
        <is>
          <t>04.06.2027</t>
        </is>
      </c>
      <c r="E3039" t="inlineStr">
        <is>
          <t>Romania</t>
        </is>
      </c>
    </row>
    <row r="3040">
      <c r="A3040" t="inlineStr">
        <is>
          <t>Fuel Trade BV,  Dendermonde, Belgium</t>
        </is>
      </c>
      <c r="B3040" t="inlineStr">
        <is>
          <t>Collecting Point, Trader with Storage</t>
        </is>
      </c>
      <c r="C3040" t="inlineStr">
        <is>
          <t>SGS Germany GmbH, Emstek, DE</t>
        </is>
      </c>
      <c r="D3040" t="inlineStr">
        <is>
          <t>04.06.2027</t>
        </is>
      </c>
      <c r="E3040" t="inlineStr">
        <is>
          <t>Belgium</t>
        </is>
      </c>
    </row>
    <row r="3041">
      <c r="A3041" t="inlineStr">
        <is>
          <t>Maersk Oil Trading and Investments A/S,  København K, Denmark</t>
        </is>
      </c>
      <c r="B3041" t="inlineStr">
        <is>
          <t>Trader</t>
        </is>
      </c>
      <c r="C3041" t="inlineStr">
        <is>
          <t>Control Union Certifications Germany GmbH, Berlin, DE</t>
        </is>
      </c>
      <c r="D3041" t="inlineStr">
        <is>
          <t>04.06.2027</t>
        </is>
      </c>
      <c r="E3041" t="inlineStr">
        <is>
          <t>Denmark</t>
        </is>
      </c>
    </row>
    <row r="3042">
      <c r="A3042" t="inlineStr">
        <is>
          <t>Maersk Oil Trading and Investments A/S,  København K, Denmark</t>
        </is>
      </c>
      <c r="B3042" t="inlineStr">
        <is>
          <t>Trader</t>
        </is>
      </c>
      <c r="C3042" t="inlineStr">
        <is>
          <t>Control Union Certifications Germany GmbH, Berlin, DE</t>
        </is>
      </c>
      <c r="D3042" t="inlineStr">
        <is>
          <t>04.06.2027</t>
        </is>
      </c>
      <c r="E3042" t="inlineStr">
        <is>
          <t>Denmark</t>
        </is>
      </c>
    </row>
    <row r="3043">
      <c r="A3043" t="inlineStr">
        <is>
          <t>PT Aqua Farm Nusantara,  Serdang Bedagai, Indonesia</t>
        </is>
      </c>
      <c r="B3043" t="inlineStr">
        <is>
          <t>Point of Origin</t>
        </is>
      </c>
      <c r="C3043" t="inlineStr">
        <is>
          <t>Control Union Certifications Germany GmbH, Berlin, DE</t>
        </is>
      </c>
      <c r="D3043" t="inlineStr">
        <is>
          <t>04.06.2027</t>
        </is>
      </c>
      <c r="E3043" t="inlineStr">
        <is>
          <t>Indonesia</t>
        </is>
      </c>
    </row>
    <row r="3044">
      <c r="A3044" t="inlineStr">
        <is>
          <t>Flogas Enterprise Solutions Limited,  Dublin, Ireland</t>
        </is>
      </c>
      <c r="B3044" t="inlineStr">
        <is>
          <t>Trader</t>
        </is>
      </c>
      <c r="C3044" t="inlineStr">
        <is>
          <t>Double Helix Tracking Technologies Pte Ltd, Singapore, SG</t>
        </is>
      </c>
      <c r="D3044" t="inlineStr">
        <is>
          <t>04.06.2027</t>
        </is>
      </c>
      <c r="E3044" t="inlineStr">
        <is>
          <t>Ireland</t>
        </is>
      </c>
    </row>
    <row r="3045">
      <c r="A3045" t="inlineStr">
        <is>
          <t>Heygaz Ireland,  Killowen, Ireland</t>
        </is>
      </c>
      <c r="B3045" t="inlineStr">
        <is>
          <t>Trader</t>
        </is>
      </c>
      <c r="C3045" t="inlineStr">
        <is>
          <t>Double Helix Tracking Technologies Pte Ltd, Singapore, SG</t>
        </is>
      </c>
      <c r="D3045" t="inlineStr">
        <is>
          <t>04.06.2027</t>
        </is>
      </c>
      <c r="E3045" t="inlineStr">
        <is>
          <t>Ireland</t>
        </is>
      </c>
    </row>
    <row r="3046">
      <c r="A3046" t="inlineStr">
        <is>
          <t>Rosti Poland,  Białystok, Poland</t>
        </is>
      </c>
      <c r="B3046" t="inlineStr">
        <is>
          <t>Final Product Refinement, Processing Unit</t>
        </is>
      </c>
      <c r="C3046" t="inlineStr">
        <is>
          <t>SGS Germany GmbH, Emstek, DE</t>
        </is>
      </c>
      <c r="D3046" t="inlineStr">
        <is>
          <t>04.06.2027</t>
        </is>
      </c>
      <c r="E3046" t="inlineStr">
        <is>
          <t>Poland</t>
        </is>
      </c>
    </row>
    <row r="3047">
      <c r="A3047" t="inlineStr">
        <is>
          <t>Ormonde Upgrading,  Killowen, Ireland</t>
        </is>
      </c>
      <c r="B3047" t="inlineStr">
        <is>
          <t>Processing Unit</t>
        </is>
      </c>
      <c r="C3047" t="inlineStr">
        <is>
          <t>Double Helix Tracking Technologies Pte Ltd, Singapore, SG</t>
        </is>
      </c>
      <c r="D3047" t="inlineStr">
        <is>
          <t>04.06.2027</t>
        </is>
      </c>
      <c r="E3047" t="inlineStr">
        <is>
          <t>Ireland</t>
        </is>
      </c>
    </row>
    <row r="3048">
      <c r="A3048" t="inlineStr">
        <is>
          <t>Ormonde Organics,  Killowen, Ireland</t>
        </is>
      </c>
      <c r="B3048" t="inlineStr">
        <is>
          <t>Collecting Point, Processing Unit</t>
        </is>
      </c>
      <c r="C3048" t="inlineStr">
        <is>
          <t>Double Helix Tracking Technologies Pte Ltd, Singapore, SG</t>
        </is>
      </c>
      <c r="D3048" t="inlineStr">
        <is>
          <t>04.06.2027</t>
        </is>
      </c>
      <c r="E3048" t="inlineStr">
        <is>
          <t>Ireland</t>
        </is>
      </c>
    </row>
    <row r="3049">
      <c r="A3049" t="inlineStr">
        <is>
          <t>Dorado Ivory SA,  Toumodi, Ivory Coast</t>
        </is>
      </c>
      <c r="B3049" t="inlineStr">
        <is>
          <t>Point of Origin, Processing Unit</t>
        </is>
      </c>
      <c r="C3049" t="inlineStr">
        <is>
          <t>BM Certification, Riga, LV</t>
        </is>
      </c>
      <c r="D3049" t="inlineStr">
        <is>
          <t>04.06.2027</t>
        </is>
      </c>
      <c r="E3049" t="inlineStr">
        <is>
          <t>Ivory Coast</t>
        </is>
      </c>
    </row>
    <row r="3050">
      <c r="A3050" t="inlineStr">
        <is>
          <t>GESTIÓN INTEGRAL DE GRASAS Y ACEITES VEGETALES, S.L.,  Malaga, Spain</t>
        </is>
      </c>
      <c r="B3050" t="inlineStr">
        <is>
          <t>Collecting Point, Trader</t>
        </is>
      </c>
      <c r="C3050" t="inlineStr">
        <is>
          <t>Control Union Poland Sp. z o.o., Zielona Gora, PL</t>
        </is>
      </c>
      <c r="D3050" t="inlineStr">
        <is>
          <t>04.06.2027</t>
        </is>
      </c>
      <c r="E3050" t="inlineStr">
        <is>
          <t>Spain</t>
        </is>
      </c>
    </row>
    <row r="3051">
      <c r="A3051" t="inlineStr">
        <is>
          <t>WM Renewable Energy,  Arlington, United States</t>
        </is>
      </c>
      <c r="B3051" t="inlineStr">
        <is>
          <t>Collecting Point, Processing Unit</t>
        </is>
      </c>
      <c r="C3051" t="inlineStr">
        <is>
          <t>SCS Global Services, Emeryville, CA, US</t>
        </is>
      </c>
      <c r="D3051" t="inlineStr">
        <is>
          <t>04.06.2027</t>
        </is>
      </c>
      <c r="E3051" t="inlineStr">
        <is>
          <t>United States</t>
        </is>
      </c>
    </row>
    <row r="3052">
      <c r="A3052" t="inlineStr">
        <is>
          <t>WM Renewable Energy,  Arlington, United States</t>
        </is>
      </c>
      <c r="B3052" t="inlineStr">
        <is>
          <t>Collecting Point, Processing Unit</t>
        </is>
      </c>
      <c r="C3052" t="inlineStr">
        <is>
          <t>SCS Global Services, Emeryville, CA, US</t>
        </is>
      </c>
      <c r="D3052" t="inlineStr">
        <is>
          <t>04.06.2027</t>
        </is>
      </c>
      <c r="E3052" t="inlineStr">
        <is>
          <t>United States</t>
        </is>
      </c>
    </row>
    <row r="3053">
      <c r="A3053" t="inlineStr">
        <is>
          <t>WM Renewable Energy,  Okeechobee, United States</t>
        </is>
      </c>
      <c r="B3053" t="inlineStr">
        <is>
          <t>Collecting Point, Processing Unit</t>
        </is>
      </c>
      <c r="C3053" t="inlineStr">
        <is>
          <t>SCS Global Services, Emeryville, CA, US</t>
        </is>
      </c>
      <c r="D3053" t="inlineStr">
        <is>
          <t>04.06.2027</t>
        </is>
      </c>
      <c r="E3053" t="inlineStr">
        <is>
          <t>United States</t>
        </is>
      </c>
    </row>
    <row r="3054">
      <c r="A3054" t="inlineStr">
        <is>
          <t>WM Renewable Energy,  Okeechobee, United States</t>
        </is>
      </c>
      <c r="B3054" t="inlineStr">
        <is>
          <t>Collecting Point, Processing Unit</t>
        </is>
      </c>
      <c r="C3054" t="inlineStr">
        <is>
          <t>SCS Global Services, Emeryville, CA, US</t>
        </is>
      </c>
      <c r="D3054" t="inlineStr">
        <is>
          <t>04.06.2027</t>
        </is>
      </c>
      <c r="E3054" t="inlineStr">
        <is>
          <t>United States</t>
        </is>
      </c>
    </row>
    <row r="3055">
      <c r="A3055" t="inlineStr">
        <is>
          <t>La Doria,  Chiusanico, Italy</t>
        </is>
      </c>
      <c r="B3055" t="inlineStr">
        <is>
          <t>Processing Unit</t>
        </is>
      </c>
      <c r="C3055" t="inlineStr">
        <is>
          <t>RINA Services S.p.A., Genova, IT</t>
        </is>
      </c>
      <c r="D3055" t="inlineStr">
        <is>
          <t>04.06.2027</t>
        </is>
      </c>
      <c r="E3055" t="inlineStr">
        <is>
          <t>Italy</t>
        </is>
      </c>
    </row>
    <row r="3056">
      <c r="A3056" t="inlineStr">
        <is>
          <t>Lisheen Renewable Energy,  Derryville, Ireland</t>
        </is>
      </c>
      <c r="B3056" t="inlineStr">
        <is>
          <t>Collecting Point, Processing Unit</t>
        </is>
      </c>
      <c r="C3056" t="inlineStr">
        <is>
          <t>Double Helix Tracking Technologies Pte Ltd, Singapore, SG</t>
        </is>
      </c>
      <c r="D3056" t="inlineStr">
        <is>
          <t>04.06.2027</t>
        </is>
      </c>
      <c r="E3056" t="inlineStr">
        <is>
          <t>Ireland</t>
        </is>
      </c>
    </row>
    <row r="3057">
      <c r="A3057" t="inlineStr">
        <is>
          <t>Beijing Zhongtian Shiyuan New Energy Co.,Ltd.,  Beijing, China</t>
        </is>
      </c>
      <c r="B3057" t="inlineStr">
        <is>
          <t>Collecting Point, Trader with Storage</t>
        </is>
      </c>
      <c r="C3057" t="inlineStr">
        <is>
          <t>RINA Services S.p.A., Genova, IT</t>
        </is>
      </c>
      <c r="D3057" t="inlineStr">
        <is>
          <t>04.06.2027</t>
        </is>
      </c>
      <c r="E3057" t="inlineStr">
        <is>
          <t>China</t>
        </is>
      </c>
    </row>
    <row r="3058">
      <c r="A3058" t="inlineStr">
        <is>
          <t>Tricobiotos,  Vaiano, Italy</t>
        </is>
      </c>
      <c r="B3058" t="inlineStr">
        <is>
          <t>Final Product Refinement</t>
        </is>
      </c>
      <c r="C3058" t="inlineStr">
        <is>
          <t>Certiquality srl, Milano, IT</t>
        </is>
      </c>
      <c r="D3058" t="inlineStr">
        <is>
          <t>04.06.2027</t>
        </is>
      </c>
      <c r="E3058" t="inlineStr">
        <is>
          <t>Italy</t>
        </is>
      </c>
    </row>
    <row r="3059">
      <c r="A3059" t="inlineStr">
        <is>
          <t>Cixian Xinsheng Coal Chemical Co., Ltd.,  Handan, Hebei, China</t>
        </is>
      </c>
      <c r="B3059" t="inlineStr">
        <is>
          <t>Processing Unit</t>
        </is>
      </c>
      <c r="C3059" t="inlineStr">
        <is>
          <t>RINA Services S.p.A., Genova, IT</t>
        </is>
      </c>
      <c r="D3059" t="inlineStr">
        <is>
          <t>04.06.2027</t>
        </is>
      </c>
      <c r="E3059" t="inlineStr">
        <is>
          <t>China</t>
        </is>
      </c>
    </row>
    <row r="3060">
      <c r="A3060" t="inlineStr">
        <is>
          <t>Cixian Xinsheng Coal Chemical Co., Ltd.,  Handan, Hebei, China</t>
        </is>
      </c>
      <c r="B3060" t="inlineStr">
        <is>
          <t>Processing Unit</t>
        </is>
      </c>
      <c r="C3060" t="inlineStr">
        <is>
          <t>RINA Services S.p.A., Genova, IT</t>
        </is>
      </c>
      <c r="D3060" t="inlineStr">
        <is>
          <t>04.06.2027</t>
        </is>
      </c>
      <c r="E3060" t="inlineStr">
        <is>
          <t>China</t>
        </is>
      </c>
    </row>
    <row r="3061">
      <c r="A3061" t="inlineStr">
        <is>
          <t>Stanton Energy,  Ilkeston, United Kingdom</t>
        </is>
      </c>
      <c r="B3061" t="inlineStr">
        <is>
          <t>Collecting Point, First Gathering Point, Processing Unit</t>
        </is>
      </c>
      <c r="C3061" t="inlineStr">
        <is>
          <t>Double Helix Tracking Technologies Pte Ltd, Singapore, SG</t>
        </is>
      </c>
      <c r="D3061" t="inlineStr">
        <is>
          <t>04.06.2027</t>
        </is>
      </c>
      <c r="E3061" t="inlineStr">
        <is>
          <t>United Kingdom</t>
        </is>
      </c>
    </row>
    <row r="3062">
      <c r="A3062" t="inlineStr">
        <is>
          <t>Honoroad Vietnam Aquatic Feed Ingredient Processing co.,Ltd,  Can Tho City, Vietnam</t>
        </is>
      </c>
      <c r="B3062" t="inlineStr">
        <is>
          <t>Point of Origin, Trader with Storage</t>
        </is>
      </c>
      <c r="C3062" t="inlineStr">
        <is>
          <t>Bureau Veritas Polska Sp. z o.o., Warsaw, PL</t>
        </is>
      </c>
      <c r="D3062" t="inlineStr">
        <is>
          <t>04.06.2027</t>
        </is>
      </c>
      <c r="E3062" t="inlineStr">
        <is>
          <t>Vietnam</t>
        </is>
      </c>
    </row>
    <row r="3063">
      <c r="A3063" t="inlineStr">
        <is>
          <t>Orion Engineered Carbons s.r.l.,  Ravenna, Italy</t>
        </is>
      </c>
      <c r="B3063" t="inlineStr">
        <is>
          <t>Processing Unit, Trader with Storage</t>
        </is>
      </c>
      <c r="C3063" t="inlineStr">
        <is>
          <t>Certiquality srl, Milano, IT</t>
        </is>
      </c>
      <c r="D3063" t="inlineStr">
        <is>
          <t>04.06.2027</t>
        </is>
      </c>
      <c r="E3063" t="inlineStr">
        <is>
          <t>Italy</t>
        </is>
      </c>
    </row>
    <row r="3064">
      <c r="A3064" t="inlineStr">
        <is>
          <t>DRAGOPAINT S.A,  Frameries, Belgium</t>
        </is>
      </c>
      <c r="B3064" t="inlineStr">
        <is>
          <t>Processing Unit</t>
        </is>
      </c>
      <c r="C3064" t="inlineStr">
        <is>
          <t>SGS Germany GmbH, Emstek, DE</t>
        </is>
      </c>
      <c r="D3064" t="inlineStr">
        <is>
          <t>04.06.2027</t>
        </is>
      </c>
      <c r="E3064" t="inlineStr">
        <is>
          <t>Belgium</t>
        </is>
      </c>
    </row>
    <row r="3065">
      <c r="A3065" t="inlineStr">
        <is>
          <t>TotalEnergies Petrochemicals France,  Courbevoie, France</t>
        </is>
      </c>
      <c r="B3065" t="inlineStr">
        <is>
          <t>Trader with Storage</t>
        </is>
      </c>
      <c r="C3065" t="inlineStr">
        <is>
          <t>Bureau Veritas Polska Sp. z o.o., Warsaw, PL</t>
        </is>
      </c>
      <c r="D3065" t="inlineStr">
        <is>
          <t>04.06.2027</t>
        </is>
      </c>
      <c r="E3065" t="inlineStr">
        <is>
          <t>France</t>
        </is>
      </c>
    </row>
    <row r="3066">
      <c r="A3066" t="inlineStr">
        <is>
          <t>TotalEnergies Petrochemicals France,  Courbevoie, France</t>
        </is>
      </c>
      <c r="B3066" t="inlineStr">
        <is>
          <t>Trader with Storage</t>
        </is>
      </c>
      <c r="C3066" t="inlineStr">
        <is>
          <t>Bureau Veritas Polska Sp. z o.o., Warsaw, PL</t>
        </is>
      </c>
      <c r="D3066" t="inlineStr">
        <is>
          <t>04.06.2027</t>
        </is>
      </c>
      <c r="E3066" t="inlineStr">
        <is>
          <t>France</t>
        </is>
      </c>
    </row>
    <row r="3067">
      <c r="A3067" t="inlineStr">
        <is>
          <t>Kaifeng Zhongxing Oil and Fat Co., Ltd.,  Kaifeng City, Henan Province, China</t>
        </is>
      </c>
      <c r="B3067" t="inlineStr">
        <is>
          <t>Collecting Point, Trader with Storage</t>
        </is>
      </c>
      <c r="C3067" t="inlineStr">
        <is>
          <t>SCS Global Services, Emeryville, CA, US</t>
        </is>
      </c>
      <c r="D3067" t="inlineStr">
        <is>
          <t>04.06.2027</t>
        </is>
      </c>
      <c r="E3067" t="inlineStr">
        <is>
          <t>China</t>
        </is>
      </c>
    </row>
    <row r="3068">
      <c r="A3068" t="inlineStr">
        <is>
          <t>Moeve Gas and Power, S.A.U.,  MADRID, Spain</t>
        </is>
      </c>
      <c r="B3068" t="inlineStr">
        <is>
          <t>Trader</t>
        </is>
      </c>
      <c r="C3068" t="inlineStr">
        <is>
          <t>Control Union Poland Sp. z o.o., Zielona Gora, PL</t>
        </is>
      </c>
      <c r="D3068" t="inlineStr">
        <is>
          <t>04.06.2027</t>
        </is>
      </c>
      <c r="E3068" t="inlineStr">
        <is>
          <t>Spain</t>
        </is>
      </c>
    </row>
    <row r="3069">
      <c r="A3069" t="inlineStr">
        <is>
          <t>Nordic Polymers ApS,  Hillerød, Denmark</t>
        </is>
      </c>
      <c r="B3069" t="inlineStr">
        <is>
          <t>Trader with Storage</t>
        </is>
      </c>
      <c r="C3069" t="inlineStr">
        <is>
          <t>Baltic Control Certification, Albertslund, DK</t>
        </is>
      </c>
      <c r="D3069" t="inlineStr">
        <is>
          <t>04.06.2027</t>
        </is>
      </c>
      <c r="E3069" t="inlineStr">
        <is>
          <t>Denmark</t>
        </is>
      </c>
    </row>
    <row r="3070">
      <c r="A3070" t="inlineStr">
        <is>
          <t>Moeve Chimie Becancour,  Becancour (Quebec), Canada</t>
        </is>
      </c>
      <c r="B3070" t="inlineStr">
        <is>
          <t>Processing Unit, Trader with Storage</t>
        </is>
      </c>
      <c r="C3070" t="inlineStr">
        <is>
          <t>Control Union Poland Sp. z o.o., Zielona Gora, PL</t>
        </is>
      </c>
      <c r="D3070" t="inlineStr">
        <is>
          <t>04.06.2027</t>
        </is>
      </c>
      <c r="E3070" t="inlineStr">
        <is>
          <t>Canada</t>
        </is>
      </c>
    </row>
    <row r="3071">
      <c r="A3071" t="inlineStr">
        <is>
          <t>MOEVE QUÍMICA BRASIL,  CAMAÇARI, Brazil</t>
        </is>
      </c>
      <c r="B3071" t="inlineStr">
        <is>
          <t>Processing Unit, Trader with Storage</t>
        </is>
      </c>
      <c r="C3071" t="inlineStr">
        <is>
          <t>Control Union Poland Sp. z o.o., Zielona Gora, PL</t>
        </is>
      </c>
      <c r="D3071" t="inlineStr">
        <is>
          <t>04.06.2027</t>
        </is>
      </c>
      <c r="E3071" t="inlineStr">
        <is>
          <t>Brazil</t>
        </is>
      </c>
    </row>
    <row r="3072">
      <c r="A3072" t="inlineStr">
        <is>
          <t>Mestdistributie Albers,  Zeeland, Netherlands</t>
        </is>
      </c>
      <c r="B3072" t="inlineStr">
        <is>
          <t>Collecting Point</t>
        </is>
      </c>
      <c r="C3072" t="inlineStr">
        <is>
          <t>SGS Germany GmbH, Emstek, DE</t>
        </is>
      </c>
      <c r="D3072" t="inlineStr">
        <is>
          <t>04.06.2027</t>
        </is>
      </c>
      <c r="E3072" t="inlineStr">
        <is>
          <t>Netherlands</t>
        </is>
      </c>
    </row>
    <row r="3073">
      <c r="A3073" t="inlineStr">
        <is>
          <t>Univar Solutions SAS,  Montreuil, France</t>
        </is>
      </c>
      <c r="B3073" t="inlineStr">
        <is>
          <t>Trader</t>
        </is>
      </c>
      <c r="C3073" t="inlineStr">
        <is>
          <t>Eurocert SA, Metamorfosi, Athens, GR</t>
        </is>
      </c>
      <c r="D3073" t="inlineStr">
        <is>
          <t>04.06.2027</t>
        </is>
      </c>
      <c r="E3073" t="inlineStr">
        <is>
          <t>France</t>
        </is>
      </c>
    </row>
    <row r="3074">
      <c r="A3074" t="inlineStr">
        <is>
          <t>Petrol Ofisi,  İstanbul, Türkiye</t>
        </is>
      </c>
      <c r="B3074" t="inlineStr">
        <is>
          <t>Trader with Storage</t>
        </is>
      </c>
      <c r="C3074" t="inlineStr">
        <is>
          <t>Trans Certification and Inspection Sdn Bhd, Kuantan, MY</t>
        </is>
      </c>
      <c r="D3074" t="inlineStr">
        <is>
          <t>04.06.2027</t>
        </is>
      </c>
      <c r="E3074" t="inlineStr">
        <is>
          <t>Türkiye</t>
        </is>
      </c>
    </row>
    <row r="3075">
      <c r="A3075" t="inlineStr">
        <is>
          <t>IMCD UK Ltd,  Sutton, United Kingdom</t>
        </is>
      </c>
      <c r="B3075" t="inlineStr">
        <is>
          <t>Trader with Storage</t>
        </is>
      </c>
      <c r="C3075" t="inlineStr">
        <is>
          <t>TÜV NORD CERT GmbH, Essen, DE</t>
        </is>
      </c>
      <c r="D3075" t="inlineStr">
        <is>
          <t>04.06.2027</t>
        </is>
      </c>
      <c r="E3075" t="inlineStr">
        <is>
          <t>United Kingdom</t>
        </is>
      </c>
    </row>
    <row r="3076">
      <c r="A3076" t="inlineStr">
        <is>
          <t>Industrias Químicas Masquelack, S.A.,  Masquefa, Spain</t>
        </is>
      </c>
      <c r="B3076" t="inlineStr">
        <is>
          <t>Processing Unit</t>
        </is>
      </c>
      <c r="C3076" t="inlineStr">
        <is>
          <t>Control Union Poland Sp. z o.o., Zielona Gora, PL</t>
        </is>
      </c>
      <c r="D3076" t="inlineStr">
        <is>
          <t>04.06.2027</t>
        </is>
      </c>
      <c r="E3076" t="inlineStr">
        <is>
          <t>Spain</t>
        </is>
      </c>
    </row>
    <row r="3077">
      <c r="A3077" t="inlineStr">
        <is>
          <t>BioCirc Iglsø Biogas,  Stoholm, Denmark</t>
        </is>
      </c>
      <c r="B3077" t="inlineStr">
        <is>
          <t>Collecting Point, Processing Unit</t>
        </is>
      </c>
      <c r="C3077" t="inlineStr">
        <is>
          <t>Baltic Control Certification, Albertslund, DK</t>
        </is>
      </c>
      <c r="D3077" t="inlineStr">
        <is>
          <t>04.06.2027</t>
        </is>
      </c>
      <c r="E3077" t="inlineStr">
        <is>
          <t>Denmark</t>
        </is>
      </c>
    </row>
    <row r="3078">
      <c r="A3078" t="inlineStr">
        <is>
          <t>Kemira Chemicals,  Joutseno, Finland</t>
        </is>
      </c>
      <c r="B3078" t="inlineStr">
        <is>
          <t>Processing Unit</t>
        </is>
      </c>
      <c r="C3078" t="inlineStr">
        <is>
          <t>PT Intertek Utama Services, Jakarta, ID</t>
        </is>
      </c>
      <c r="D3078" t="inlineStr">
        <is>
          <t>04.06.2027</t>
        </is>
      </c>
      <c r="E3078" t="inlineStr">
        <is>
          <t>Finland</t>
        </is>
      </c>
    </row>
    <row r="3079">
      <c r="A3079" t="inlineStr">
        <is>
          <t>Maschem,  Hoek, Netherlands</t>
        </is>
      </c>
      <c r="B3079" t="inlineStr">
        <is>
          <t>Processing Unit</t>
        </is>
      </c>
      <c r="C3079" t="inlineStr">
        <is>
          <t>Control Union Certifications Germany GmbH, Berlin, DE</t>
        </is>
      </c>
      <c r="D3079" t="inlineStr">
        <is>
          <t>04.06.2027</t>
        </is>
      </c>
      <c r="E3079" t="inlineStr">
        <is>
          <t>Netherlands</t>
        </is>
      </c>
    </row>
    <row r="3080">
      <c r="A3080" t="inlineStr">
        <is>
          <t>PT SMART Tbk,  Kabupaten Bekasi, Indonesia</t>
        </is>
      </c>
      <c r="B3080" t="inlineStr">
        <is>
          <t>Point of Origin, Processing Unit, Warehouse</t>
        </is>
      </c>
      <c r="C3080" t="inlineStr">
        <is>
          <t>PT Intertek Utama Services, Jakarta, ID</t>
        </is>
      </c>
      <c r="D3080" t="inlineStr">
        <is>
          <t>04.06.2027</t>
        </is>
      </c>
      <c r="E3080" t="inlineStr">
        <is>
          <t>Indonesia</t>
        </is>
      </c>
    </row>
    <row r="3081">
      <c r="A3081" t="inlineStr">
        <is>
          <t>SAMYANG EP VIETNAM LIMITED LIABILITY COMPANY,  Song Hanh 1 Street, Nhon Trach 6 Industrial Park, Vietnam</t>
        </is>
      </c>
      <c r="B3081" t="inlineStr">
        <is>
          <t>Processing Unit</t>
        </is>
      </c>
      <c r="C3081" t="inlineStr">
        <is>
          <t>Control Union Certifications Germany GmbH, Berlin, DE</t>
        </is>
      </c>
      <c r="D3081" t="inlineStr">
        <is>
          <t>04.06.2027</t>
        </is>
      </c>
      <c r="E3081" t="inlineStr">
        <is>
          <t>Vietnam</t>
        </is>
      </c>
    </row>
    <row r="3082">
      <c r="A3082" t="inlineStr">
        <is>
          <t>PT Sinarmas Bio Energy,  Kabupaten Bekasi, Indonesia</t>
        </is>
      </c>
      <c r="B3082" t="inlineStr">
        <is>
          <t>Point of Origin, Processing Unit</t>
        </is>
      </c>
      <c r="C3082" t="inlineStr">
        <is>
          <t>PT Intertek Utama Services, Jakarta, ID</t>
        </is>
      </c>
      <c r="D3082" t="inlineStr">
        <is>
          <t>04.06.2027</t>
        </is>
      </c>
      <c r="E3082" t="inlineStr">
        <is>
          <t>Indonesia</t>
        </is>
      </c>
    </row>
    <row r="3083">
      <c r="A3083" t="inlineStr">
        <is>
          <t>Audia New Materials (Changshu) Co Ltd,  Changshu City, China</t>
        </is>
      </c>
      <c r="B3083" t="inlineStr">
        <is>
          <t>Processing Unit</t>
        </is>
      </c>
      <c r="C3083" t="inlineStr">
        <is>
          <t>PT Intertek Utama Services, Jakarta, ID</t>
        </is>
      </c>
      <c r="D3083" t="inlineStr">
        <is>
          <t>04.06.2027</t>
        </is>
      </c>
      <c r="E3083" t="inlineStr">
        <is>
          <t>China</t>
        </is>
      </c>
    </row>
    <row r="3084">
      <c r="A3084" t="inlineStr">
        <is>
          <t>Lunox Oils Corporation,  Bulacan, The Philippines</t>
        </is>
      </c>
      <c r="B3084" t="inlineStr">
        <is>
          <t>Collecting Point, Trader with Storage</t>
        </is>
      </c>
      <c r="C3084" t="inlineStr">
        <is>
          <t>Trans Certification and Inspection Sdn Bhd, Kuantan, MY</t>
        </is>
      </c>
      <c r="D3084" t="inlineStr">
        <is>
          <t>04.06.2027</t>
        </is>
      </c>
      <c r="E3084" t="inlineStr">
        <is>
          <t>The Philippines</t>
        </is>
      </c>
    </row>
    <row r="3085">
      <c r="A3085" t="inlineStr">
        <is>
          <t>FORMOSA ASAHI SPANDEX CO., LTD.,  Mai-Liao Township,Yunlin County, Taiwan</t>
        </is>
      </c>
      <c r="B3085" t="inlineStr">
        <is>
          <t>Processing Unit</t>
        </is>
      </c>
      <c r="C3085" t="inlineStr">
        <is>
          <t>Bureau Veritas Polska Sp. z o.o., Warsaw, PL</t>
        </is>
      </c>
      <c r="D3085" t="inlineStr">
        <is>
          <t>04.06.2027</t>
        </is>
      </c>
      <c r="E3085" t="inlineStr">
        <is>
          <t>Taiwan</t>
        </is>
      </c>
    </row>
    <row r="3086">
      <c r="A3086" t="inlineStr">
        <is>
          <t>MORIMURA BROS., INC.,  Minato-ku, Tokyo 105-8451, Japan</t>
        </is>
      </c>
      <c r="B3086" t="inlineStr">
        <is>
          <t>Trader</t>
        </is>
      </c>
      <c r="C3086" t="inlineStr">
        <is>
          <t>TÜV SÜD Industrie Service GmbH, München, DE</t>
        </is>
      </c>
      <c r="D3086" t="inlineStr">
        <is>
          <t>04.06.2027</t>
        </is>
      </c>
      <c r="E3086" t="inlineStr">
        <is>
          <t>Japan</t>
        </is>
      </c>
    </row>
    <row r="3087">
      <c r="A3087" t="inlineStr">
        <is>
          <t>Società Cooperativa Ecotorre,  Torremaggiore, Italy</t>
        </is>
      </c>
      <c r="B3087" t="inlineStr">
        <is>
          <t>First Gathering Point</t>
        </is>
      </c>
      <c r="C3087" t="inlineStr">
        <is>
          <t>DNV Business Assurance Sweden AB, Solna, SE</t>
        </is>
      </c>
      <c r="D3087" t="inlineStr">
        <is>
          <t>04.06.2027</t>
        </is>
      </c>
      <c r="E3087" t="inlineStr">
        <is>
          <t>Italy</t>
        </is>
      </c>
    </row>
    <row r="3088">
      <c r="A3088" t="inlineStr">
        <is>
          <t>Soya-Biotech,  v. Diadkovychi Rivne district Rivne region, Ukraine</t>
        </is>
      </c>
      <c r="B3088" t="inlineStr">
        <is>
          <t>First Gathering Point, Processing Unit, Trader with Storage</t>
        </is>
      </c>
      <c r="C3088" t="inlineStr">
        <is>
          <t>SGS Germany GmbH, Emstek, DE</t>
        </is>
      </c>
      <c r="D3088" t="inlineStr">
        <is>
          <t>04.06.2027</t>
        </is>
      </c>
      <c r="E3088" t="inlineStr">
        <is>
          <t>Ukraine</t>
        </is>
      </c>
    </row>
    <row r="3089">
      <c r="A3089" t="inlineStr">
        <is>
          <t>Soya-Biotech,  v. Diadkovychi Rivne district Rivne region, Ukraine</t>
        </is>
      </c>
      <c r="B3089" t="inlineStr">
        <is>
          <t>First Gathering Point, Point of Origin, Processing Unit, Trader with Storage</t>
        </is>
      </c>
      <c r="C3089" t="inlineStr">
        <is>
          <t>SGS Germany GmbH, Emstek, DE</t>
        </is>
      </c>
      <c r="D3089" t="inlineStr">
        <is>
          <t>04.06.2027</t>
        </is>
      </c>
      <c r="E3089" t="inlineStr">
        <is>
          <t>Ukraine</t>
        </is>
      </c>
    </row>
    <row r="3090">
      <c r="A3090" t="inlineStr">
        <is>
          <t>Perlen Packaging GmbH, Müllheim,  Müllheim, Germany</t>
        </is>
      </c>
      <c r="B3090" t="inlineStr">
        <is>
          <t>Processing Unit</t>
        </is>
      </c>
      <c r="C3090" t="inlineStr">
        <is>
          <t>DIN CERTCO GmbH, Berlin, DE</t>
        </is>
      </c>
      <c r="D3090" t="inlineStr">
        <is>
          <t>04.06.2027</t>
        </is>
      </c>
      <c r="E3090" t="inlineStr">
        <is>
          <t>Germany</t>
        </is>
      </c>
    </row>
    <row r="3091">
      <c r="A3091" t="inlineStr">
        <is>
          <t>ARKEMA QUÍMICA S.A.U.,  MOLLET DEL VALLÈS, Spain</t>
        </is>
      </c>
      <c r="B3091" t="inlineStr">
        <is>
          <t>Processing Unit</t>
        </is>
      </c>
      <c r="C3091" t="inlineStr">
        <is>
          <t>SGS Germany GmbH, Emstek, DE</t>
        </is>
      </c>
      <c r="D3091" t="inlineStr">
        <is>
          <t>04.06.2027</t>
        </is>
      </c>
      <c r="E3091" t="inlineStr">
        <is>
          <t>Spain</t>
        </is>
      </c>
    </row>
    <row r="3092">
      <c r="A3092" t="inlineStr">
        <is>
          <t>Orbit Biotechnology Limited,  To Kwa Wan, Kowloon, Hong Kong</t>
        </is>
      </c>
      <c r="B3092" t="inlineStr">
        <is>
          <t>Trader</t>
        </is>
      </c>
      <c r="C3092" t="inlineStr">
        <is>
          <t>DQS CFS GmbH - Deutsche Gesellschaft für Nachhaltigkeit, Frankfurt am Main, DE</t>
        </is>
      </c>
      <c r="D3092" t="inlineStr">
        <is>
          <t>04.06.2027</t>
        </is>
      </c>
      <c r="E3092" t="inlineStr">
        <is>
          <t>Hong Kong</t>
        </is>
      </c>
    </row>
    <row r="3093">
      <c r="A3093" t="inlineStr">
        <is>
          <t>Agrocrop Kft.,  Miskolc, Hungary</t>
        </is>
      </c>
      <c r="B3093" t="inlineStr">
        <is>
          <t>First Gathering Point, Trader with Storage</t>
        </is>
      </c>
      <c r="C3093" t="inlineStr">
        <is>
          <t>SGS Germany GmbH, Emstek, DE</t>
        </is>
      </c>
      <c r="D3093" t="inlineStr">
        <is>
          <t>04.06.2027</t>
        </is>
      </c>
      <c r="E3093" t="inlineStr">
        <is>
          <t>Hungary</t>
        </is>
      </c>
    </row>
    <row r="3094">
      <c r="A3094" t="inlineStr">
        <is>
          <t>Taizhou Golden Yangtze Technology Co., Ltd.,  Taizhou City, China</t>
        </is>
      </c>
      <c r="B3094" t="inlineStr">
        <is>
          <t>Collecting Point, Trader with Storage</t>
        </is>
      </c>
      <c r="C3094" t="inlineStr">
        <is>
          <t>RINA Services S.p.A., Genova, IT</t>
        </is>
      </c>
      <c r="D3094" t="inlineStr">
        <is>
          <t>04.06.2027</t>
        </is>
      </c>
      <c r="E3094" t="inlineStr">
        <is>
          <t>China</t>
        </is>
      </c>
    </row>
    <row r="3095">
      <c r="A3095" t="inlineStr">
        <is>
          <t>Henghe Materials &amp; Science Technology Co., Ltd.,  Ningbo, China</t>
        </is>
      </c>
      <c r="B3095" t="inlineStr">
        <is>
          <t>Processing Unit</t>
        </is>
      </c>
      <c r="C3095" t="inlineStr">
        <is>
          <t>SGS Germany GmbH, Emstek, DE</t>
        </is>
      </c>
      <c r="D3095" t="inlineStr">
        <is>
          <t>04.06.2027</t>
        </is>
      </c>
      <c r="E3095" t="inlineStr">
        <is>
          <t>China</t>
        </is>
      </c>
    </row>
    <row r="3096">
      <c r="A3096" t="inlineStr">
        <is>
          <t>GOODWAY INTERNATIONAL HOLDINGS LIMITED,  Ninh Binh province, Vietnam</t>
        </is>
      </c>
      <c r="B3096" t="inlineStr">
        <is>
          <t>Final Product Refinement</t>
        </is>
      </c>
      <c r="C3096" t="inlineStr">
        <is>
          <t>SGS Germany GmbH, Emstek, DE</t>
        </is>
      </c>
      <c r="D3096" t="inlineStr">
        <is>
          <t>04.06.2027</t>
        </is>
      </c>
      <c r="E3096" t="inlineStr">
        <is>
          <t>Vietnam</t>
        </is>
      </c>
    </row>
    <row r="3097">
      <c r="A3097" t="inlineStr">
        <is>
          <t>Ludger Wehry GmbH,  Dinklage, Germany</t>
        </is>
      </c>
      <c r="B3097" t="inlineStr">
        <is>
          <t>Collecting Point, Trader</t>
        </is>
      </c>
      <c r="C3097" t="inlineStr">
        <is>
          <t>SGS Germany GmbH, Emstek, DE</t>
        </is>
      </c>
      <c r="D3097" t="inlineStr">
        <is>
          <t>04.06.2027</t>
        </is>
      </c>
      <c r="E3097" t="inlineStr">
        <is>
          <t>Germany</t>
        </is>
      </c>
    </row>
    <row r="3098">
      <c r="A3098" t="inlineStr">
        <is>
          <t>Targray Europe BV,  Rotterdam, Netherlands</t>
        </is>
      </c>
      <c r="B3098" t="inlineStr">
        <is>
          <t>Trader</t>
        </is>
      </c>
      <c r="C3098" t="inlineStr">
        <is>
          <t>SGS Germany GmbH, Emstek, DE</t>
        </is>
      </c>
      <c r="D3098" t="inlineStr">
        <is>
          <t>04.06.2027</t>
        </is>
      </c>
      <c r="E3098" t="inlineStr">
        <is>
          <t>Netherlands</t>
        </is>
      </c>
    </row>
    <row r="3099">
      <c r="A3099" t="inlineStr">
        <is>
          <t>Jinhua Zinc Oxide Factory of Hanshan County Anhui Province,  Hanshan County, Maanshan City, Anhui, China</t>
        </is>
      </c>
      <c r="B3099" t="inlineStr">
        <is>
          <t>Processing Unit</t>
        </is>
      </c>
      <c r="C3099" t="inlineStr">
        <is>
          <t>CTI Certification Co. Ltd, Shenzhen, CN</t>
        </is>
      </c>
      <c r="D3099" t="inlineStr">
        <is>
          <t>04.06.2027</t>
        </is>
      </c>
      <c r="E3099" t="inlineStr">
        <is>
          <t>China</t>
        </is>
      </c>
    </row>
    <row r="3100">
      <c r="A3100" t="inlineStr">
        <is>
          <t>Rizhao Zhichao Biotechnology Co., Ltd.,  Rizhao City, Shandong Province, China</t>
        </is>
      </c>
      <c r="B3100" t="inlineStr">
        <is>
          <t>Trader</t>
        </is>
      </c>
      <c r="C3100" t="inlineStr">
        <is>
          <t>SCS Global Services, Emeryville, CA, US</t>
        </is>
      </c>
      <c r="D3100" t="inlineStr">
        <is>
          <t>04.06.2027</t>
        </is>
      </c>
      <c r="E3100" t="inlineStr">
        <is>
          <t>China</t>
        </is>
      </c>
    </row>
    <row r="3101">
      <c r="A3101" t="inlineStr">
        <is>
          <t>GESTIÓN INTEGRAL DE GRASAS Y ACEITES VEGETALES, S.L.,  Toledo, Torrijos, Spain</t>
        </is>
      </c>
      <c r="B3101" t="inlineStr">
        <is>
          <t>Collecting Point, Trader</t>
        </is>
      </c>
      <c r="C3101" t="inlineStr">
        <is>
          <t>Control Union Poland Sp. z o.o., Zielona Gora, PL</t>
        </is>
      </c>
      <c r="D3101" t="inlineStr">
        <is>
          <t>03.06.2027</t>
        </is>
      </c>
      <c r="E3101" t="inlineStr">
        <is>
          <t>Spain</t>
        </is>
      </c>
    </row>
    <row r="3102">
      <c r="A3102" t="inlineStr">
        <is>
          <t>Verde Marine Energy B.V.,  Rotterdam, Netherlands</t>
        </is>
      </c>
      <c r="B3102" t="inlineStr">
        <is>
          <t>Proof of Compliance Trader, Trader with Storage</t>
        </is>
      </c>
      <c r="C3102" t="inlineStr">
        <is>
          <t>DEKRA Certification B.V., Arnhem, NL</t>
        </is>
      </c>
      <c r="D3102" t="inlineStr">
        <is>
          <t>03.06.2027</t>
        </is>
      </c>
      <c r="E3102" t="inlineStr">
        <is>
          <t>Netherlands</t>
        </is>
      </c>
    </row>
    <row r="3103">
      <c r="A3103" t="inlineStr">
        <is>
          <t>ECO Infinic co., ltd.,  Chonburi, Thailand</t>
        </is>
      </c>
      <c r="B3103" t="inlineStr">
        <is>
          <t>Collecting Point, Processing Unit</t>
        </is>
      </c>
      <c r="C3103" t="inlineStr">
        <is>
          <t>Control Union Poland Sp. z o.o., Zielona Gora, PL</t>
        </is>
      </c>
      <c r="D3103" t="inlineStr">
        <is>
          <t>03.06.2027</t>
        </is>
      </c>
      <c r="E3103" t="inlineStr">
        <is>
          <t>Thailand</t>
        </is>
      </c>
    </row>
    <row r="3104">
      <c r="A3104" t="inlineStr">
        <is>
          <t>INTOP INTERNATIONAL (SINGAPORE) PTE. LTD,  Hangzhou City, Zhejiang Province, China</t>
        </is>
      </c>
      <c r="B3104" t="inlineStr">
        <is>
          <t>Trader with Storage</t>
        </is>
      </c>
      <c r="C3104" t="inlineStr">
        <is>
          <t>RINA Services S.p.A., Genova, IT</t>
        </is>
      </c>
      <c r="D3104" t="inlineStr">
        <is>
          <t>03.06.2027</t>
        </is>
      </c>
      <c r="E3104" t="inlineStr">
        <is>
          <t>China</t>
        </is>
      </c>
    </row>
    <row r="3105">
      <c r="A3105" t="inlineStr">
        <is>
          <t>EJ Bioenergy BV,  Oploo, The Netherlands</t>
        </is>
      </c>
      <c r="B3105" t="inlineStr">
        <is>
          <t>Collecting Point, Trader</t>
        </is>
      </c>
      <c r="C3105" t="inlineStr">
        <is>
          <t>DEKRA Certification B.V., Arnhem, NL</t>
        </is>
      </c>
      <c r="D3105" t="inlineStr">
        <is>
          <t>03.06.2027</t>
        </is>
      </c>
      <c r="E3105" t="inlineStr">
        <is>
          <t>The Netherlands</t>
        </is>
      </c>
    </row>
    <row r="3106">
      <c r="A3106" t="inlineStr">
        <is>
          <t>Kenergyfarm co., Ltd.,  Cheongyang-gun, South Korea</t>
        </is>
      </c>
      <c r="B3106" t="inlineStr">
        <is>
          <t>Collecting Point, Processing Unit</t>
        </is>
      </c>
      <c r="C3106" t="inlineStr">
        <is>
          <t>Korean Foundation for Quality, Songpa-gu, Seoul, KR</t>
        </is>
      </c>
      <c r="D3106" t="inlineStr">
        <is>
          <t>03.06.2027</t>
        </is>
      </c>
      <c r="E3106" t="inlineStr">
        <is>
          <t>South Korea</t>
        </is>
      </c>
    </row>
    <row r="3107">
      <c r="A3107" t="inlineStr">
        <is>
          <t>Etea Grain Italia s.r.l.,  Saluzzo, Italy</t>
        </is>
      </c>
      <c r="B3107" t="inlineStr">
        <is>
          <t>Trader</t>
        </is>
      </c>
      <c r="C3107" t="inlineStr">
        <is>
          <t>Control Union Certifications Germany GmbH, Berlin, DE</t>
        </is>
      </c>
      <c r="D3107" t="inlineStr">
        <is>
          <t>03.06.2027</t>
        </is>
      </c>
      <c r="E3107" t="inlineStr">
        <is>
          <t>Italy</t>
        </is>
      </c>
    </row>
    <row r="3108">
      <c r="A3108" t="inlineStr">
        <is>
          <t>AVIFOOD S.L.U.,  Santa Bàrbara, Spain</t>
        </is>
      </c>
      <c r="B3108" t="inlineStr">
        <is>
          <t>Point of Origin</t>
        </is>
      </c>
      <c r="C3108" t="inlineStr">
        <is>
          <t>Control Union Poland Sp. z o.o., Zielona Gora, PL</t>
        </is>
      </c>
      <c r="D3108" t="inlineStr">
        <is>
          <t>03.06.2027</t>
        </is>
      </c>
      <c r="E3108" t="inlineStr">
        <is>
          <t>Spain</t>
        </is>
      </c>
    </row>
    <row r="3109">
      <c r="A3109" t="inlineStr">
        <is>
          <t>Roquette Italia,  Cassano Spinola AL, Italy</t>
        </is>
      </c>
      <c r="B3109" t="inlineStr">
        <is>
          <t>Processing Unit</t>
        </is>
      </c>
      <c r="C3109" t="inlineStr">
        <is>
          <t>Control Union Certifications Germany GmbH, Berlin, DE</t>
        </is>
      </c>
      <c r="D3109" t="inlineStr">
        <is>
          <t>03.06.2027</t>
        </is>
      </c>
      <c r="E3109" t="inlineStr">
        <is>
          <t>Italy</t>
        </is>
      </c>
    </row>
    <row r="3110">
      <c r="A3110" t="inlineStr">
        <is>
          <t>AVIFOOD S.L.U.,  Santa Bàrbara, Spain</t>
        </is>
      </c>
      <c r="B3110" t="inlineStr">
        <is>
          <t>Point of Origin</t>
        </is>
      </c>
      <c r="C3110" t="inlineStr">
        <is>
          <t>Control Union Poland Sp. z o.o., Zielona Gora, PL</t>
        </is>
      </c>
      <c r="D3110" t="inlineStr">
        <is>
          <t>03.06.2027</t>
        </is>
      </c>
      <c r="E3110" t="inlineStr">
        <is>
          <t>Spain</t>
        </is>
      </c>
    </row>
    <row r="3111">
      <c r="A3111" t="inlineStr">
        <is>
          <t>Terviva India Private Limited,  Uran Islampur, Sangli,, India</t>
        </is>
      </c>
      <c r="B3111" t="inlineStr">
        <is>
          <t>First Gathering Point, Processing Unit</t>
        </is>
      </c>
      <c r="C3111" t="inlineStr">
        <is>
          <t>Control Union Certifications Germany GmbH, Berlin, DE</t>
        </is>
      </c>
      <c r="D3111" t="inlineStr">
        <is>
          <t>03.06.2027</t>
        </is>
      </c>
      <c r="E3111" t="inlineStr">
        <is>
          <t>India</t>
        </is>
      </c>
    </row>
    <row r="3112">
      <c r="A3112" t="inlineStr">
        <is>
          <t>Bunge Ibérica SA,  Barcelona, Spain</t>
        </is>
      </c>
      <c r="B3112" t="inlineStr">
        <is>
          <t>Point of Origin, Processing Unit, Warehouse</t>
        </is>
      </c>
      <c r="C3112" t="inlineStr">
        <is>
          <t>Control Union Poland Sp. z o.o., Zielona Gora, PL</t>
        </is>
      </c>
      <c r="D3112" t="inlineStr">
        <is>
          <t>03.06.2027</t>
        </is>
      </c>
      <c r="E3112" t="inlineStr">
        <is>
          <t>Spain</t>
        </is>
      </c>
    </row>
    <row r="3113">
      <c r="A3113" t="inlineStr">
        <is>
          <t>ECO Infinic co., ltd.,  Chonburi, Thailand</t>
        </is>
      </c>
      <c r="B3113" t="inlineStr">
        <is>
          <t>Collecting Point, Processing Unit</t>
        </is>
      </c>
      <c r="C3113" t="inlineStr">
        <is>
          <t>Control Union Poland Sp. z o.o., Zielona Gora, PL</t>
        </is>
      </c>
      <c r="D3113" t="inlineStr">
        <is>
          <t>03.06.2027</t>
        </is>
      </c>
      <c r="E3113" t="inlineStr">
        <is>
          <t>Thailand</t>
        </is>
      </c>
    </row>
    <row r="3114">
      <c r="A3114" t="inlineStr">
        <is>
          <t>Terviva India Private Limited,  Uran Islampur, Sangli,, India</t>
        </is>
      </c>
      <c r="B3114" t="inlineStr">
        <is>
          <t>First Gathering Point, Processing Unit</t>
        </is>
      </c>
      <c r="C3114" t="inlineStr">
        <is>
          <t>Control Union Certifications Germany GmbH, Berlin, DE</t>
        </is>
      </c>
      <c r="D3114" t="inlineStr">
        <is>
          <t>03.06.2027</t>
        </is>
      </c>
      <c r="E3114" t="inlineStr">
        <is>
          <t>India</t>
        </is>
      </c>
    </row>
    <row r="3115">
      <c r="A3115" t="inlineStr">
        <is>
          <t>Medan Bioenergy Nusantara,  Jakarta, Indonesia</t>
        </is>
      </c>
      <c r="B3115" t="inlineStr">
        <is>
          <t>Collecting Point, Trader with Storage</t>
        </is>
      </c>
      <c r="C3115" t="inlineStr">
        <is>
          <t>PT Intertek Utama Services, Jakarta, ID</t>
        </is>
      </c>
      <c r="D3115" t="inlineStr">
        <is>
          <t>03.06.2027</t>
        </is>
      </c>
      <c r="E3115" t="inlineStr">
        <is>
          <t>Indonesia</t>
        </is>
      </c>
    </row>
    <row r="3116">
      <c r="A3116" t="inlineStr">
        <is>
          <t>Zhejiang Hongfeng Precision Co.,Ltd.,  Yongkang, China</t>
        </is>
      </c>
      <c r="B3116" t="inlineStr">
        <is>
          <t>Processing Unit, Trader with Storage</t>
        </is>
      </c>
      <c r="C3116" t="inlineStr">
        <is>
          <t>RINA Services S.p.A., Genova, IT</t>
        </is>
      </c>
      <c r="D3116" t="inlineStr">
        <is>
          <t>03.06.2027</t>
        </is>
      </c>
      <c r="E3116" t="inlineStr">
        <is>
          <t>China</t>
        </is>
      </c>
    </row>
    <row r="3117">
      <c r="A3117" t="inlineStr">
        <is>
          <t>Julius Hoesch GmbH &amp; Co. KG,  Düren, Germany</t>
        </is>
      </c>
      <c r="B3117" t="inlineStr">
        <is>
          <t>Trader with Storage</t>
        </is>
      </c>
      <c r="C3117" t="inlineStr">
        <is>
          <t>DQS CFS GmbH - Deutsche Gesellschaft für Nachhaltigkeit, Frankfurt am Main, DE</t>
        </is>
      </c>
      <c r="D3117" t="inlineStr">
        <is>
          <t>03.06.2027</t>
        </is>
      </c>
      <c r="E3117" t="inlineStr">
        <is>
          <t>Germany</t>
        </is>
      </c>
    </row>
    <row r="3118">
      <c r="A3118" t="inlineStr">
        <is>
          <t>Senergita,  Kiškonių k. 12, Kelmės r. sav., Lithuania</t>
        </is>
      </c>
      <c r="B3118" t="inlineStr">
        <is>
          <t>Collecting Point, Processing Unit</t>
        </is>
      </c>
      <c r="C3118" t="inlineStr">
        <is>
          <t>NCS Estonia OÜ, Tallinn, EE</t>
        </is>
      </c>
      <c r="D3118" t="inlineStr">
        <is>
          <t>03.06.2027</t>
        </is>
      </c>
      <c r="E3118" t="inlineStr">
        <is>
          <t>Lithuania</t>
        </is>
      </c>
    </row>
    <row r="3119">
      <c r="A3119" t="inlineStr">
        <is>
          <t>Nixal Commodities,  Sevilla, Spain</t>
        </is>
      </c>
      <c r="B3119" t="inlineStr">
        <is>
          <t>Trader</t>
        </is>
      </c>
      <c r="C3119" t="inlineStr">
        <is>
          <t>Control Union Poland Sp. z o.o., Zielona Gora, PL</t>
        </is>
      </c>
      <c r="D3119" t="inlineStr">
        <is>
          <t>03.06.2027</t>
        </is>
      </c>
      <c r="E3119" t="inlineStr">
        <is>
          <t>Spain</t>
        </is>
      </c>
    </row>
    <row r="3120">
      <c r="A3120" t="inlineStr">
        <is>
          <t>Verdant Specialty Solutions,  Genthin, Germany</t>
        </is>
      </c>
      <c r="B3120" t="inlineStr">
        <is>
          <t>Processing Unit</t>
        </is>
      </c>
      <c r="C3120" t="inlineStr">
        <is>
          <t>GUT Certifizierungsgesellschaft für Managementsysteme mbH Umweltgutachter, Berlin, DE</t>
        </is>
      </c>
      <c r="D3120" t="inlineStr">
        <is>
          <t>03.06.2027</t>
        </is>
      </c>
      <c r="E3120" t="inlineStr">
        <is>
          <t>Germany</t>
        </is>
      </c>
    </row>
    <row r="3121">
      <c r="A3121" t="inlineStr">
        <is>
          <t>ProAmpac Packaging Inc - Spartanburg,  Spartanburg, United States</t>
        </is>
      </c>
      <c r="B3121" t="inlineStr">
        <is>
          <t>Processing Unit</t>
        </is>
      </c>
      <c r="C3121" t="inlineStr">
        <is>
          <t>SCS Global Services, Emeryville, CA, US</t>
        </is>
      </c>
      <c r="D3121" t="inlineStr">
        <is>
          <t>03.06.2027</t>
        </is>
      </c>
      <c r="E3121" t="inlineStr">
        <is>
          <t>United States</t>
        </is>
      </c>
    </row>
    <row r="3122">
      <c r="A3122" t="inlineStr">
        <is>
          <t>Ningbo Huanyang New Material Co., Ltd.,  Ningbo City, China</t>
        </is>
      </c>
      <c r="B3122" t="inlineStr">
        <is>
          <t>Processing Unit</t>
        </is>
      </c>
      <c r="C3122" t="inlineStr">
        <is>
          <t>SGS Germany GmbH, Emstek, DE</t>
        </is>
      </c>
      <c r="D3122" t="inlineStr">
        <is>
          <t>03.06.2027</t>
        </is>
      </c>
      <c r="E3122" t="inlineStr">
        <is>
          <t>China</t>
        </is>
      </c>
    </row>
    <row r="3123">
      <c r="A3123" t="inlineStr">
        <is>
          <t>Forte-mind Industrial (Beihai) Company Limited,  Beihai City, Guangxi Zhuang Autonomous Region, China</t>
        </is>
      </c>
      <c r="B3123" t="inlineStr">
        <is>
          <t>Processing Unit</t>
        </is>
      </c>
      <c r="C3123" t="inlineStr">
        <is>
          <t>DIN CERTCO GmbH, Berlin, DE</t>
        </is>
      </c>
      <c r="D3123" t="inlineStr">
        <is>
          <t>03.06.2027</t>
        </is>
      </c>
      <c r="E3123" t="inlineStr">
        <is>
          <t>China</t>
        </is>
      </c>
    </row>
    <row r="3124">
      <c r="A3124" t="inlineStr">
        <is>
          <t>OTC FLOW,  Amsterdam, Netherlands</t>
        </is>
      </c>
      <c r="B3124" t="inlineStr">
        <is>
          <t>Trader with Storage</t>
        </is>
      </c>
      <c r="C3124" t="inlineStr">
        <is>
          <t>DEKRA Certification B.V., Arnhem, NL</t>
        </is>
      </c>
      <c r="D3124" t="inlineStr">
        <is>
          <t>03.06.2027</t>
        </is>
      </c>
      <c r="E3124" t="inlineStr">
        <is>
          <t>Netherlands</t>
        </is>
      </c>
    </row>
    <row r="3125">
      <c r="A3125" t="inlineStr">
        <is>
          <t>Schwan-STABILO Schwanhäußer GmbH &amp; Co. KG,  Weißenburg, Germany</t>
        </is>
      </c>
      <c r="B3125" t="inlineStr">
        <is>
          <t>Final Product Refinement, Processing Unit, Trader with Storage</t>
        </is>
      </c>
      <c r="C3125" t="inlineStr">
        <is>
          <t>SGS Germany GmbH, Emstek, DE</t>
        </is>
      </c>
      <c r="D3125" t="inlineStr">
        <is>
          <t>03.06.2027</t>
        </is>
      </c>
      <c r="E3125" t="inlineStr">
        <is>
          <t>Germany</t>
        </is>
      </c>
    </row>
    <row r="3126">
      <c r="A3126" t="inlineStr">
        <is>
          <t>MILLION PLAN INTERNATIONAL LIMITED,  Nghe An, Vietnam</t>
        </is>
      </c>
      <c r="B3126" t="inlineStr">
        <is>
          <t>Final Product Refinement</t>
        </is>
      </c>
      <c r="C3126" t="inlineStr">
        <is>
          <t>SGS Germany GmbH, Emstek, DE</t>
        </is>
      </c>
      <c r="D3126" t="inlineStr">
        <is>
          <t>03.06.2027</t>
        </is>
      </c>
      <c r="E3126" t="inlineStr">
        <is>
          <t>Vietnam</t>
        </is>
      </c>
    </row>
    <row r="3127">
      <c r="A3127" t="inlineStr">
        <is>
          <t>Holt Global Group International AG,  Geneva, Switzerland</t>
        </is>
      </c>
      <c r="B3127" t="inlineStr">
        <is>
          <t>Trader</t>
        </is>
      </c>
      <c r="C3127" t="inlineStr">
        <is>
          <t>RINA Services S.p.A., Genova, IT</t>
        </is>
      </c>
      <c r="D3127" t="inlineStr">
        <is>
          <t>03.06.2027</t>
        </is>
      </c>
      <c r="E3127" t="inlineStr">
        <is>
          <t>Switzerland</t>
        </is>
      </c>
    </row>
    <row r="3128">
      <c r="A3128" t="inlineStr">
        <is>
          <t>LONG YUE SHOES INDUSTRIAL (HUIZHOU) CO., LTD.,  Huizhou city, China</t>
        </is>
      </c>
      <c r="B3128" t="inlineStr">
        <is>
          <t>Processing Unit</t>
        </is>
      </c>
      <c r="C3128" t="inlineStr">
        <is>
          <t>SGS Germany GmbH, Emstek, DE</t>
        </is>
      </c>
      <c r="D3128" t="inlineStr">
        <is>
          <t>03.06.2027</t>
        </is>
      </c>
      <c r="E3128" t="inlineStr">
        <is>
          <t>China</t>
        </is>
      </c>
    </row>
    <row r="3129">
      <c r="A3129" t="inlineStr">
        <is>
          <t>Holt Global Group International AG,  Geneva, Switzerland</t>
        </is>
      </c>
      <c r="B3129" t="inlineStr">
        <is>
          <t>Trader</t>
        </is>
      </c>
      <c r="C3129" t="inlineStr">
        <is>
          <t>RINA Services S.p.A., Genova, IT</t>
        </is>
      </c>
      <c r="D3129" t="inlineStr">
        <is>
          <t>03.06.2027</t>
        </is>
      </c>
      <c r="E3129" t="inlineStr">
        <is>
          <t>Switzerland</t>
        </is>
      </c>
    </row>
    <row r="3130">
      <c r="A3130" t="inlineStr">
        <is>
          <t>TOYO STYRENE CO.,LTD. Kimitsu Plant,  Kisarazu-shi Chiba, Japan</t>
        </is>
      </c>
      <c r="B3130" t="inlineStr">
        <is>
          <t>Point of Origin, Processing Unit</t>
        </is>
      </c>
      <c r="C3130" t="inlineStr">
        <is>
          <t>SGS Germany GmbH, Emstek, DE</t>
        </is>
      </c>
      <c r="D3130" t="inlineStr">
        <is>
          <t>03.06.2027</t>
        </is>
      </c>
      <c r="E3130" t="inlineStr">
        <is>
          <t>Japan</t>
        </is>
      </c>
    </row>
    <row r="3131">
      <c r="A3131" t="inlineStr">
        <is>
          <t>Fortune Oil Holdings Limited,  Beijing, China</t>
        </is>
      </c>
      <c r="B3131" t="inlineStr">
        <is>
          <t>Trader</t>
        </is>
      </c>
      <c r="C3131" t="inlineStr">
        <is>
          <t>SCS Global Services, Emeryville, CA, US</t>
        </is>
      </c>
      <c r="D3131" t="inlineStr">
        <is>
          <t>03.06.2027</t>
        </is>
      </c>
      <c r="E3131" t="inlineStr">
        <is>
          <t>China</t>
        </is>
      </c>
    </row>
    <row r="3132">
      <c r="A3132" t="inlineStr">
        <is>
          <t>Shenzhen Sailvan Network Technology Co., Ltd.,  Shenzhen, China</t>
        </is>
      </c>
      <c r="B3132" t="inlineStr">
        <is>
          <t>Trader</t>
        </is>
      </c>
      <c r="C3132" t="inlineStr">
        <is>
          <t>Bureau Veritas Consumer Products Services, Inc., Buffalo, NY, US</t>
        </is>
      </c>
      <c r="D3132" t="inlineStr">
        <is>
          <t>03.06.2027</t>
        </is>
      </c>
      <c r="E3132" t="inlineStr">
        <is>
          <t>China</t>
        </is>
      </c>
    </row>
    <row r="3133">
      <c r="A3133" t="inlineStr">
        <is>
          <t>PRIMAGAS ENERGÍA,  Barcelona, Spain</t>
        </is>
      </c>
      <c r="B3133" t="inlineStr">
        <is>
          <t>Trader with Storage, Proof of Compliance Trader</t>
        </is>
      </c>
      <c r="C3133" t="inlineStr">
        <is>
          <t>Amspec Iberia SL, Vilagarcia de Arousa-Pontevedra, ES</t>
        </is>
      </c>
      <c r="D3133" t="inlineStr">
        <is>
          <t>03.06.2027</t>
        </is>
      </c>
      <c r="E3133" t="inlineStr">
        <is>
          <t>Spain</t>
        </is>
      </c>
    </row>
    <row r="3134">
      <c r="A3134" t="inlineStr">
        <is>
          <t>PRIMAGAS ENERGÍA,  Barcelona, Spain</t>
        </is>
      </c>
      <c r="B3134" t="inlineStr">
        <is>
          <t>Trader with Storage</t>
        </is>
      </c>
      <c r="C3134" t="inlineStr">
        <is>
          <t>Amspec Iberia SL, Vilagarcia de Arousa-Pontevedra, ES</t>
        </is>
      </c>
      <c r="D3134" t="inlineStr">
        <is>
          <t>03.06.2027</t>
        </is>
      </c>
      <c r="E3134" t="inlineStr">
        <is>
          <t>Spain</t>
        </is>
      </c>
    </row>
    <row r="3135">
      <c r="A3135" t="inlineStr">
        <is>
          <t>BEST TREND TRADING LIMITED,  HONG KONG, China</t>
        </is>
      </c>
      <c r="B3135" t="inlineStr">
        <is>
          <t>Trader</t>
        </is>
      </c>
      <c r="C3135" t="inlineStr">
        <is>
          <t>CTI Certification Co. Ltd, Shenzhen, CN</t>
        </is>
      </c>
      <c r="D3135" t="inlineStr">
        <is>
          <t>03.06.2027</t>
        </is>
      </c>
      <c r="E3135" t="inlineStr">
        <is>
          <t>China</t>
        </is>
      </c>
    </row>
    <row r="3136">
      <c r="A3136" t="inlineStr">
        <is>
          <t>Unicol Limited,  Mirpukhas, Pakistan</t>
        </is>
      </c>
      <c r="B3136" t="inlineStr">
        <is>
          <t>Processing Unit</t>
        </is>
      </c>
      <c r="C3136" t="inlineStr">
        <is>
          <t>PT Intertek Utama Services, Jakarta, ID</t>
        </is>
      </c>
      <c r="D3136" t="inlineStr">
        <is>
          <t>03.06.2027</t>
        </is>
      </c>
      <c r="E3136" t="inlineStr">
        <is>
          <t>Pakistan</t>
        </is>
      </c>
    </row>
    <row r="3137">
      <c r="A3137" t="inlineStr">
        <is>
          <t>Kemira Chemicals,  Sastamala, Finland</t>
        </is>
      </c>
      <c r="B3137" t="inlineStr">
        <is>
          <t>Processing Unit</t>
        </is>
      </c>
      <c r="C3137" t="inlineStr">
        <is>
          <t>PT Intertek Utama Services, Jakarta, ID</t>
        </is>
      </c>
      <c r="D3137" t="inlineStr">
        <is>
          <t>03.06.2027</t>
        </is>
      </c>
      <c r="E3137" t="inlineStr">
        <is>
          <t>Finland</t>
        </is>
      </c>
    </row>
    <row r="3138">
      <c r="A3138" t="inlineStr">
        <is>
          <t>LANXESS India Private Limited,  Nagda, India</t>
        </is>
      </c>
      <c r="B3138" t="inlineStr">
        <is>
          <t>Processing Unit</t>
        </is>
      </c>
      <c r="C3138" t="inlineStr">
        <is>
          <t>Control Union Certifications Germany GmbH, Berlin, DE</t>
        </is>
      </c>
      <c r="D3138" t="inlineStr">
        <is>
          <t>03.06.2027</t>
        </is>
      </c>
      <c r="E3138" t="inlineStr">
        <is>
          <t>India</t>
        </is>
      </c>
    </row>
    <row r="3139">
      <c r="A3139" t="inlineStr">
        <is>
          <t>Maatschap Rameijer,  Lelystad, Netherlands</t>
        </is>
      </c>
      <c r="B3139" t="inlineStr">
        <is>
          <t>Collecting Point, Processing Unit</t>
        </is>
      </c>
      <c r="C3139" t="inlineStr">
        <is>
          <t>DEKRA Certification B.V., Arnhem, NL</t>
        </is>
      </c>
      <c r="D3139" t="inlineStr">
        <is>
          <t>03.06.2027</t>
        </is>
      </c>
      <c r="E3139" t="inlineStr">
        <is>
          <t>Netherlands</t>
        </is>
      </c>
    </row>
    <row r="3140">
      <c r="A3140" t="inlineStr">
        <is>
          <t>Sekavin FZCO,  Dubai, The United Arab Emirates</t>
        </is>
      </c>
      <c r="B3140" t="inlineStr">
        <is>
          <t>Proof of Compliance Trader, Trader</t>
        </is>
      </c>
      <c r="C3140" t="inlineStr">
        <is>
          <t>Eurocert SA, Metamorfosi, Athens, GR</t>
        </is>
      </c>
      <c r="D3140" t="inlineStr">
        <is>
          <t>02.06.2027</t>
        </is>
      </c>
      <c r="E3140" t="inlineStr">
        <is>
          <t>The United Arab Emirates</t>
        </is>
      </c>
    </row>
    <row r="3141">
      <c r="A3141" t="inlineStr">
        <is>
          <t>Capa Cologna,  Riva del Po (FE), Italy</t>
        </is>
      </c>
      <c r="B3141" t="inlineStr">
        <is>
          <t>First Gathering Point</t>
        </is>
      </c>
      <c r="C3141" t="inlineStr">
        <is>
          <t>DNV Business Assurance Sweden AB, Solna, SE</t>
        </is>
      </c>
      <c r="D3141" t="inlineStr">
        <is>
          <t>02.06.2027</t>
        </is>
      </c>
      <c r="E3141" t="inlineStr">
        <is>
          <t>Italy</t>
        </is>
      </c>
    </row>
    <row r="3142">
      <c r="A3142" t="inlineStr">
        <is>
          <t>Anhui Senmao Zhiqi New Energy Co., Ltd,  Bengbu, China</t>
        </is>
      </c>
      <c r="B3142" t="inlineStr">
        <is>
          <t>Collecting Point, Processing Unit, Trader with Storage</t>
        </is>
      </c>
      <c r="C3142" t="inlineStr">
        <is>
          <t>RINA Services S.p.A., Genova, IT</t>
        </is>
      </c>
      <c r="D3142" t="inlineStr">
        <is>
          <t>02.06.2027</t>
        </is>
      </c>
      <c r="E3142" t="inlineStr">
        <is>
          <t>China</t>
        </is>
      </c>
    </row>
    <row r="3143">
      <c r="A3143" t="inlineStr">
        <is>
          <t>Liuyang Hexin Renewable Resources Co., Ltd,  Liuyang City, Hunan Province, China</t>
        </is>
      </c>
      <c r="B3143" t="inlineStr">
        <is>
          <t>Collecting Point</t>
        </is>
      </c>
      <c r="C3143" t="inlineStr">
        <is>
          <t>RINA Services S.p.A., Genova, IT</t>
        </is>
      </c>
      <c r="D3143" t="inlineStr">
        <is>
          <t>02.06.2027</t>
        </is>
      </c>
      <c r="E3143" t="inlineStr">
        <is>
          <t>China</t>
        </is>
      </c>
    </row>
    <row r="3144">
      <c r="A3144" t="inlineStr">
        <is>
          <t>WM Renewable Energy,  Opelika, AL, United States</t>
        </is>
      </c>
      <c r="B3144" t="inlineStr">
        <is>
          <t>Collecting Point, Processing Unit</t>
        </is>
      </c>
      <c r="C3144" t="inlineStr">
        <is>
          <t>SCS Global Services, Emeryville, CA, US</t>
        </is>
      </c>
      <c r="D3144" t="inlineStr">
        <is>
          <t>02.06.2027</t>
        </is>
      </c>
      <c r="E3144" t="inlineStr">
        <is>
          <t>United States</t>
        </is>
      </c>
    </row>
    <row r="3145">
      <c r="A3145" t="inlineStr">
        <is>
          <t>WM Renewable Energy,  Opelika, AL, United States</t>
        </is>
      </c>
      <c r="B3145" t="inlineStr">
        <is>
          <t>Collecting Point, Processing Unit</t>
        </is>
      </c>
      <c r="C3145" t="inlineStr">
        <is>
          <t>SCS Global Services, Emeryville, CA, US</t>
        </is>
      </c>
      <c r="D3145" t="inlineStr">
        <is>
          <t>02.06.2027</t>
        </is>
      </c>
      <c r="E3145" t="inlineStr">
        <is>
          <t>United States</t>
        </is>
      </c>
    </row>
    <row r="3146">
      <c r="A3146" t="inlineStr">
        <is>
          <t>Pirelli Tire LLC,  ROME, United States</t>
        </is>
      </c>
      <c r="B3146" t="inlineStr">
        <is>
          <t>Point of Origin, Processing Unit, Trader with Storage</t>
        </is>
      </c>
      <c r="C3146" t="inlineStr">
        <is>
          <t>RINA Services S.p.A., Genova, IT</t>
        </is>
      </c>
      <c r="D3146" t="inlineStr">
        <is>
          <t>02.06.2027</t>
        </is>
      </c>
      <c r="E3146" t="inlineStr">
        <is>
          <t>United States</t>
        </is>
      </c>
    </row>
    <row r="3147">
      <c r="A3147" t="inlineStr">
        <is>
          <t>STEPAN POLSKA Sp. z o.o.,  Brzeg Dolny, Poland</t>
        </is>
      </c>
      <c r="B3147" t="inlineStr">
        <is>
          <t>Processing Unit, Trader with Storage</t>
        </is>
      </c>
      <c r="C3147" t="inlineStr">
        <is>
          <t>Control Union Certifications Germany GmbH, Berlin, DE</t>
        </is>
      </c>
      <c r="D3147" t="inlineStr">
        <is>
          <t>02.06.2027</t>
        </is>
      </c>
      <c r="E3147" t="inlineStr">
        <is>
          <t>Poland</t>
        </is>
      </c>
    </row>
    <row r="3148">
      <c r="A3148" t="inlineStr">
        <is>
          <t>Zhongshan Vburg Infant Products Co., Ltd.,  Zhongshan City, China</t>
        </is>
      </c>
      <c r="B3148" t="inlineStr">
        <is>
          <t>Processing Unit</t>
        </is>
      </c>
      <c r="C3148" t="inlineStr">
        <is>
          <t>Extensive Standard Technical Services Co., Ltd., Hong Kong, CN</t>
        </is>
      </c>
      <c r="D3148" t="inlineStr">
        <is>
          <t>02.06.2027</t>
        </is>
      </c>
      <c r="E3148" t="inlineStr">
        <is>
          <t>China</t>
        </is>
      </c>
    </row>
    <row r="3149">
      <c r="A3149" t="inlineStr">
        <is>
          <t>NAGASE＆Co.Ltd.,  Tokyo, Japan</t>
        </is>
      </c>
      <c r="B3149" t="inlineStr">
        <is>
          <t>Trader with Storage</t>
        </is>
      </c>
      <c r="C3149" t="inlineStr">
        <is>
          <t>Control Union Certifications Germany GmbH, Berlin, DE</t>
        </is>
      </c>
      <c r="D3149" t="inlineStr">
        <is>
          <t>02.06.2027</t>
        </is>
      </c>
      <c r="E3149" t="inlineStr">
        <is>
          <t>Japan</t>
        </is>
      </c>
    </row>
    <row r="3150">
      <c r="A3150" t="inlineStr">
        <is>
          <t>OCTAL SAOC (FZC),  SALALAH, Oman</t>
        </is>
      </c>
      <c r="B3150" t="inlineStr">
        <is>
          <t>Processing Unit</t>
        </is>
      </c>
      <c r="C3150" t="inlineStr">
        <is>
          <t>SCS Global Services, Emeryville, CA, US</t>
        </is>
      </c>
      <c r="D3150" t="inlineStr">
        <is>
          <t>02.06.2027</t>
        </is>
      </c>
      <c r="E3150" t="inlineStr">
        <is>
          <t>Oman</t>
        </is>
      </c>
    </row>
    <row r="3151">
      <c r="A3151" t="inlineStr">
        <is>
          <t>Agromulti Kereskedőház Kft.,  Dunavarsány, Hungary</t>
        </is>
      </c>
      <c r="B3151" t="inlineStr">
        <is>
          <t>First Gathering Point, Trader</t>
        </is>
      </c>
      <c r="C3151" t="inlineStr">
        <is>
          <t>Bureau Veritas Polska Sp. z o.o., Warsaw, PL</t>
        </is>
      </c>
      <c r="D3151" t="inlineStr">
        <is>
          <t>02.06.2027</t>
        </is>
      </c>
      <c r="E3151" t="inlineStr">
        <is>
          <t>Hungary</t>
        </is>
      </c>
    </row>
    <row r="3152">
      <c r="A3152" t="inlineStr">
        <is>
          <t>TotalEnergies Petrochemicals &amp; Refining,  Antwerp, Belgium</t>
        </is>
      </c>
      <c r="B3152" t="inlineStr">
        <is>
          <t>Processing Unit</t>
        </is>
      </c>
      <c r="C3152" t="inlineStr">
        <is>
          <t>Bureau Veritas Polska Sp. z o.o., Warsaw, PL</t>
        </is>
      </c>
      <c r="D3152" t="inlineStr">
        <is>
          <t>02.06.2027</t>
        </is>
      </c>
      <c r="E3152" t="inlineStr">
        <is>
          <t>Belgium</t>
        </is>
      </c>
    </row>
    <row r="3153">
      <c r="A3153" t="inlineStr">
        <is>
          <t>UAB Groward Group,  Kaunas, Lithuania</t>
        </is>
      </c>
      <c r="B3153" t="inlineStr">
        <is>
          <t>Trader with Storage, First Gathering Point</t>
        </is>
      </c>
      <c r="C3153" t="inlineStr">
        <is>
          <t>Bureau Veritas Polska Sp. z o.o., Warsaw, PL</t>
        </is>
      </c>
      <c r="D3153" t="inlineStr">
        <is>
          <t>02.06.2027</t>
        </is>
      </c>
      <c r="E3153" t="inlineStr">
        <is>
          <t>Lithuania</t>
        </is>
      </c>
    </row>
    <row r="3154">
      <c r="A3154" t="inlineStr">
        <is>
          <t>Taeyoung OEMD,  Sangbuk-myeon, Yangsan-si, Gyeongsangnam-do, South Korea</t>
        </is>
      </c>
      <c r="B3154" t="inlineStr">
        <is>
          <t>Collecting Point</t>
        </is>
      </c>
      <c r="C3154" t="inlineStr">
        <is>
          <t>Korean Foundation for Quality, Songpa-gu, Seoul, KR</t>
        </is>
      </c>
      <c r="D3154" t="inlineStr">
        <is>
          <t>02.06.2027</t>
        </is>
      </c>
      <c r="E3154" t="inlineStr">
        <is>
          <t>South Korea</t>
        </is>
      </c>
    </row>
    <row r="3155">
      <c r="A3155" t="inlineStr">
        <is>
          <t>Ticona Polymers, Inc,  Florence, United States</t>
        </is>
      </c>
      <c r="B3155" t="inlineStr">
        <is>
          <t>Processing Unit</t>
        </is>
      </c>
      <c r="C3155" t="inlineStr">
        <is>
          <t>DIN CERTCO GmbH, Berlin, DE</t>
        </is>
      </c>
      <c r="D3155" t="inlineStr">
        <is>
          <t>02.06.2027</t>
        </is>
      </c>
      <c r="E3155" t="inlineStr">
        <is>
          <t>United States</t>
        </is>
      </c>
    </row>
    <row r="3156">
      <c r="A3156" t="inlineStr">
        <is>
          <t>Ticona Polymers, Inc,  Bishop, United States</t>
        </is>
      </c>
      <c r="B3156" t="inlineStr">
        <is>
          <t>Processing Unit</t>
        </is>
      </c>
      <c r="C3156" t="inlineStr">
        <is>
          <t>DIN CERTCO GmbH, Berlin, DE</t>
        </is>
      </c>
      <c r="D3156" t="inlineStr">
        <is>
          <t>02.06.2027</t>
        </is>
      </c>
      <c r="E3156" t="inlineStr">
        <is>
          <t>United States</t>
        </is>
      </c>
    </row>
    <row r="3157">
      <c r="A3157" t="inlineStr">
        <is>
          <t>ADM Hungary Kft,  Komárom, Hungary</t>
        </is>
      </c>
      <c r="B3157" t="inlineStr">
        <is>
          <t>Point of Origin, Processing Unit</t>
        </is>
      </c>
      <c r="C3157" t="inlineStr">
        <is>
          <t>ASG Cert GmbH, Munich, DE</t>
        </is>
      </c>
      <c r="D3157" t="inlineStr">
        <is>
          <t>02.06.2027</t>
        </is>
      </c>
      <c r="E3157" t="inlineStr">
        <is>
          <t>Hungary</t>
        </is>
      </c>
    </row>
    <row r="3158">
      <c r="A3158" t="inlineStr">
        <is>
          <t>ADM Hungary Kft,  Komárom, Hungary</t>
        </is>
      </c>
      <c r="B3158" t="inlineStr">
        <is>
          <t>Point of Origin, Processing Unit</t>
        </is>
      </c>
      <c r="C3158" t="inlineStr">
        <is>
          <t>ASG Cert GmbH, Munich, DE</t>
        </is>
      </c>
      <c r="D3158" t="inlineStr">
        <is>
          <t>02.06.2027</t>
        </is>
      </c>
      <c r="E3158" t="inlineStr">
        <is>
          <t>Hungary</t>
        </is>
      </c>
    </row>
    <row r="3159">
      <c r="A3159" t="inlineStr">
        <is>
          <t>Linhartová Ivana s.r.o.,  Melnicke Vtelno, Czech Republic</t>
        </is>
      </c>
      <c r="B3159" t="inlineStr">
        <is>
          <t>First Gathering Point</t>
        </is>
      </c>
      <c r="C3159" t="inlineStr">
        <is>
          <t>PT Intertek Utama Services, Jakarta, ID</t>
        </is>
      </c>
      <c r="D3159" t="inlineStr">
        <is>
          <t>02.06.2027</t>
        </is>
      </c>
      <c r="E3159" t="inlineStr">
        <is>
          <t>Czech Republic</t>
        </is>
      </c>
    </row>
    <row r="3160">
      <c r="A3160" t="inlineStr">
        <is>
          <t>Gamex Trading s.r.o.,  Komárno, Slovakia</t>
        </is>
      </c>
      <c r="B3160" t="inlineStr">
        <is>
          <t>First Gathering Point, Trader with Storage</t>
        </is>
      </c>
      <c r="C3160" t="inlineStr">
        <is>
          <t>United Registrar of Systems Polska Sp. z o.o., Wrocław, PL</t>
        </is>
      </c>
      <c r="D3160" t="inlineStr">
        <is>
          <t>02.06.2027</t>
        </is>
      </c>
      <c r="E3160" t="inlineStr">
        <is>
          <t>Slovakia</t>
        </is>
      </c>
    </row>
    <row r="3161">
      <c r="A3161" t="inlineStr">
        <is>
          <t>Gamex Trading s.r.o.,  Komárno, Slovakia</t>
        </is>
      </c>
      <c r="B3161" t="inlineStr">
        <is>
          <t>First Gathering Point, Trader with Storage</t>
        </is>
      </c>
      <c r="C3161" t="inlineStr">
        <is>
          <t>United Registrar of Systems Polska Sp. z o.o., Wrocław, PL</t>
        </is>
      </c>
      <c r="D3161" t="inlineStr">
        <is>
          <t>02.06.2027</t>
        </is>
      </c>
      <c r="E3161" t="inlineStr">
        <is>
          <t>Slovakia</t>
        </is>
      </c>
    </row>
    <row r="3162">
      <c r="A3162" t="inlineStr">
        <is>
          <t>PROIZVODNO TRGOVINSKO PREDUZEĆE DOO ALBATROS MM, ŠID,  ŠID, Serbia</t>
        </is>
      </c>
      <c r="B3162" t="inlineStr">
        <is>
          <t>First Gathering Point, Trader with Storage</t>
        </is>
      </c>
      <c r="C3162" t="inlineStr">
        <is>
          <t>Control Union Certifications Germany GmbH, Berlin, DE</t>
        </is>
      </c>
      <c r="D3162" t="inlineStr">
        <is>
          <t>02.06.2027</t>
        </is>
      </c>
      <c r="E3162" t="inlineStr">
        <is>
          <t>Serbia</t>
        </is>
      </c>
    </row>
    <row r="3163">
      <c r="A3163" t="inlineStr">
        <is>
          <t>Advanced Organic Materials Valencia S.A.,  Lliria, Spain</t>
        </is>
      </c>
      <c r="B3163" t="inlineStr">
        <is>
          <t>Point of Origin</t>
        </is>
      </c>
      <c r="C3163" t="inlineStr">
        <is>
          <t>Amspec Iberia SL, Vilagarcia de Arousa-Pontevedra, ES</t>
        </is>
      </c>
      <c r="D3163" t="inlineStr">
        <is>
          <t>02.06.2027</t>
        </is>
      </c>
      <c r="E3163" t="inlineStr">
        <is>
          <t>Spain</t>
        </is>
      </c>
    </row>
    <row r="3164">
      <c r="A3164" t="inlineStr">
        <is>
          <t>Neste Asia Pacific Pte Ltd,  Singapore, Singapore</t>
        </is>
      </c>
      <c r="B3164" t="inlineStr">
        <is>
          <t>Trader with Storage</t>
        </is>
      </c>
      <c r="C3164" t="inlineStr">
        <is>
          <t>SGS Germany GmbH, Emstek, DE</t>
        </is>
      </c>
      <c r="D3164" t="inlineStr">
        <is>
          <t>02.06.2027</t>
        </is>
      </c>
      <c r="E3164" t="inlineStr">
        <is>
          <t>Singapore</t>
        </is>
      </c>
    </row>
    <row r="3165">
      <c r="A3165" t="inlineStr">
        <is>
          <t>SIA "ZEMKOPĪBA",  Tārgales distr., Ventspils municipality, Latvia</t>
        </is>
      </c>
      <c r="B3165" t="inlineStr">
        <is>
          <t>Farm / Plantation</t>
        </is>
      </c>
      <c r="C3165" t="inlineStr">
        <is>
          <t>BM Certification, Riga, LV</t>
        </is>
      </c>
      <c r="D3165" t="inlineStr">
        <is>
          <t>02.06.2027</t>
        </is>
      </c>
      <c r="E3165" t="inlineStr">
        <is>
          <t>Latvia</t>
        </is>
      </c>
    </row>
    <row r="3166">
      <c r="A3166" t="inlineStr">
        <is>
          <t>Neste Asia Pacific Pte Ltd,  Singapore, Singapore</t>
        </is>
      </c>
      <c r="B3166" t="inlineStr">
        <is>
          <t>Trader with Storage</t>
        </is>
      </c>
      <c r="C3166" t="inlineStr">
        <is>
          <t>SGS Germany GmbH, Emstek, DE</t>
        </is>
      </c>
      <c r="D3166" t="inlineStr">
        <is>
          <t>02.06.2027</t>
        </is>
      </c>
      <c r="E3166" t="inlineStr">
        <is>
          <t>Singapore</t>
        </is>
      </c>
    </row>
    <row r="3167">
      <c r="A3167" t="inlineStr">
        <is>
          <t>Bericap Polska,  Stanisławów Pierwszy, Poland</t>
        </is>
      </c>
      <c r="B3167" t="inlineStr">
        <is>
          <t>Processing Unit</t>
        </is>
      </c>
      <c r="C3167" t="inlineStr">
        <is>
          <t>SGS Germany GmbH, Emstek, DE</t>
        </is>
      </c>
      <c r="D3167" t="inlineStr">
        <is>
          <t>02.06.2027</t>
        </is>
      </c>
      <c r="E3167" t="inlineStr">
        <is>
          <t>Poland</t>
        </is>
      </c>
    </row>
    <row r="3168">
      <c r="A3168" t="inlineStr">
        <is>
          <t>Neste Asia Pacific Pte Ltd,  Singapore, Singapore</t>
        </is>
      </c>
      <c r="B3168" t="inlineStr">
        <is>
          <t>Trader with Storage</t>
        </is>
      </c>
      <c r="C3168" t="inlineStr">
        <is>
          <t>SGS Germany GmbH, Emstek, DE</t>
        </is>
      </c>
      <c r="D3168" t="inlineStr">
        <is>
          <t>02.06.2027</t>
        </is>
      </c>
      <c r="E3168" t="inlineStr">
        <is>
          <t>Singapore</t>
        </is>
      </c>
    </row>
    <row r="3169">
      <c r="A3169" t="inlineStr">
        <is>
          <t>Agugiaro &amp; Figna Molini S.p.A. società benefit,  Collecchio (PR), Italy</t>
        </is>
      </c>
      <c r="B3169" t="inlineStr">
        <is>
          <t>First Gathering Point, Processing Unit, Trader</t>
        </is>
      </c>
      <c r="C3169" t="inlineStr">
        <is>
          <t>DNV Business Assurance Sweden AB, Solna, SE</t>
        </is>
      </c>
      <c r="D3169" t="inlineStr">
        <is>
          <t>02.06.2027</t>
        </is>
      </c>
      <c r="E3169" t="inlineStr">
        <is>
          <t>Italy</t>
        </is>
      </c>
    </row>
    <row r="3170">
      <c r="A3170" t="inlineStr">
        <is>
          <t>Cornstef consulting SRL,  Focsani, Romania</t>
        </is>
      </c>
      <c r="B3170" t="inlineStr">
        <is>
          <t>First Gathering Point, Trader</t>
        </is>
      </c>
      <c r="C3170" t="inlineStr">
        <is>
          <t>BM Certification, Riga, LV</t>
        </is>
      </c>
      <c r="D3170" t="inlineStr">
        <is>
          <t>02.06.2027</t>
        </is>
      </c>
      <c r="E3170" t="inlineStr">
        <is>
          <t>Romania</t>
        </is>
      </c>
    </row>
    <row r="3171">
      <c r="A3171" t="inlineStr">
        <is>
          <t>DERIVADOS VINICOS,  Palmira, San Martin, Argentina</t>
        </is>
      </c>
      <c r="B3171" t="inlineStr">
        <is>
          <t>Collecting Point, Processing Unit</t>
        </is>
      </c>
      <c r="C3171" t="inlineStr">
        <is>
          <t>Control Union Poland Sp. z o.o., Zielona Gora, PL</t>
        </is>
      </c>
      <c r="D3171" t="inlineStr">
        <is>
          <t>02.06.2027</t>
        </is>
      </c>
      <c r="E3171" t="inlineStr">
        <is>
          <t>Argentina</t>
        </is>
      </c>
    </row>
    <row r="3172">
      <c r="A3172" t="inlineStr">
        <is>
          <t>TIRYAKI PERAKENDE GIDA URUNLERI SANAYI VE TICARET ANONIM SIRKETI,  AYVALIK / BALIKESİR, Türkiye</t>
        </is>
      </c>
      <c r="B3172" t="inlineStr">
        <is>
          <t>Point of Origin, Processing Unit, Trader with Storage</t>
        </is>
      </c>
      <c r="C3172" t="inlineStr">
        <is>
          <t>PT Intertek Utama Services, Jakarta, ID</t>
        </is>
      </c>
      <c r="D3172" t="inlineStr">
        <is>
          <t>02.06.2027</t>
        </is>
      </c>
      <c r="E3172" t="inlineStr">
        <is>
          <t>Türkiye</t>
        </is>
      </c>
    </row>
    <row r="3173">
      <c r="A3173" t="inlineStr">
        <is>
          <t>KHANH NHU TRADING, MANUFACTURING AND TRANSPORTATION COMPANY LIMITED,  Quarter 3, Dong Xoai Ward, Dong Nai City, Vietnam</t>
        </is>
      </c>
      <c r="B3173" t="inlineStr">
        <is>
          <t>Collecting Point, Processing Unit, Trader with Storage</t>
        </is>
      </c>
      <c r="C3173" t="inlineStr">
        <is>
          <t>BM Certification, Riga, LV</t>
        </is>
      </c>
      <c r="D3173" t="inlineStr">
        <is>
          <t>02.06.2027</t>
        </is>
      </c>
      <c r="E3173" t="inlineStr">
        <is>
          <t>Vietnam</t>
        </is>
      </c>
    </row>
    <row r="3174">
      <c r="A3174" t="inlineStr">
        <is>
          <t>PT Biomass Soil Industry,  Kel. Pelintung, Kec. Medang Kampai, Dumai, Riau, Indonesia</t>
        </is>
      </c>
      <c r="B3174" t="inlineStr">
        <is>
          <t>Processing Unit, Trader with Storage</t>
        </is>
      </c>
      <c r="C3174" t="inlineStr">
        <is>
          <t>Trans Certification and Inspection Sdn Bhd, Kuantan, MY</t>
        </is>
      </c>
      <c r="D3174" t="inlineStr">
        <is>
          <t>02.06.2027</t>
        </is>
      </c>
      <c r="E3174" t="inlineStr">
        <is>
          <t>Indonesia</t>
        </is>
      </c>
    </row>
    <row r="3175">
      <c r="A3175" t="inlineStr">
        <is>
          <t>Sekisui Alveo Bad Sobernheim,  Bad Soberheim, Germany</t>
        </is>
      </c>
      <c r="B3175" t="inlineStr">
        <is>
          <t>Processing Unit</t>
        </is>
      </c>
      <c r="C3175" t="inlineStr">
        <is>
          <t>TÜV NORD CERT GmbH, Essen, DE</t>
        </is>
      </c>
      <c r="D3175" t="inlineStr">
        <is>
          <t>02.06.2027</t>
        </is>
      </c>
      <c r="E3175" t="inlineStr">
        <is>
          <t>Germany</t>
        </is>
      </c>
    </row>
    <row r="3176">
      <c r="A3176" t="inlineStr">
        <is>
          <t>South Energy Partners Sp. z o.o.,  Wodzisław Śląski, Poland</t>
        </is>
      </c>
      <c r="B3176" t="inlineStr">
        <is>
          <t>Trader</t>
        </is>
      </c>
      <c r="C3176" t="inlineStr">
        <is>
          <t>United Registrar of Systems Polska Sp. z o.o., Wrocław, PL</t>
        </is>
      </c>
      <c r="D3176" t="inlineStr">
        <is>
          <t>02.06.2027</t>
        </is>
      </c>
      <c r="E3176" t="inlineStr">
        <is>
          <t>Poland</t>
        </is>
      </c>
    </row>
    <row r="3177">
      <c r="A3177" t="inlineStr">
        <is>
          <t>Cooperativas Ourensanas, Sociedad Coooperativa Galega,  Ourense, Spain</t>
        </is>
      </c>
      <c r="B3177" t="inlineStr">
        <is>
          <t>Point of Origin, Processing Unit</t>
        </is>
      </c>
      <c r="C3177" t="inlineStr">
        <is>
          <t>Amspec Iberia SL, Vilagarcia de Arousa-Pontevedra, ES</t>
        </is>
      </c>
      <c r="D3177" t="inlineStr">
        <is>
          <t>02.06.2027</t>
        </is>
      </c>
      <c r="E3177" t="inlineStr">
        <is>
          <t>Spain</t>
        </is>
      </c>
    </row>
    <row r="3178">
      <c r="A3178" t="inlineStr">
        <is>
          <t>MP ENERGY,  MEGALI PANAGIA, CHALKIDIKI, Greece</t>
        </is>
      </c>
      <c r="B3178" t="inlineStr">
        <is>
          <t>First Gathering Point, Processing Unit</t>
        </is>
      </c>
      <c r="C3178" t="inlineStr">
        <is>
          <t>QMSCERT S.A., Pylaia, Thessaloniki, GR</t>
        </is>
      </c>
      <c r="D3178" t="inlineStr">
        <is>
          <t>02.06.2027</t>
        </is>
      </c>
      <c r="E3178" t="inlineStr">
        <is>
          <t>Greece</t>
        </is>
      </c>
    </row>
    <row r="3179">
      <c r="A3179" t="inlineStr">
        <is>
          <t>Pacific Freight Forwarders Private Limited,  Kolkata, India</t>
        </is>
      </c>
      <c r="B3179" t="inlineStr">
        <is>
          <t>Collecting Point, Trader with Storage</t>
        </is>
      </c>
      <c r="C3179" t="inlineStr">
        <is>
          <t>Cotecna India Inspection Pvt Ltd, Kolkata, IN</t>
        </is>
      </c>
      <c r="D3179" t="inlineStr">
        <is>
          <t>02.06.2027</t>
        </is>
      </c>
      <c r="E3179" t="inlineStr">
        <is>
          <t>India</t>
        </is>
      </c>
    </row>
    <row r="3180">
      <c r="A3180" t="inlineStr">
        <is>
          <t>Wenzhou Sunwear Glasses Co., Ltd,  Wenzhou, China</t>
        </is>
      </c>
      <c r="B3180" t="inlineStr">
        <is>
          <t>Trader with Storage</t>
        </is>
      </c>
      <c r="C3180" t="inlineStr">
        <is>
          <t>PT Intertek Utama Services, Jakarta, ID</t>
        </is>
      </c>
      <c r="D3180" t="inlineStr">
        <is>
          <t>02.06.2027</t>
        </is>
      </c>
      <c r="E3180" t="inlineStr">
        <is>
          <t>China</t>
        </is>
      </c>
    </row>
    <row r="3181">
      <c r="A3181" t="inlineStr">
        <is>
          <t>TCS GREEN MATERIALS COMPANY LIMITED,  Ho Chi Minh City, Vietnam, Vietnam</t>
        </is>
      </c>
      <c r="B3181" t="inlineStr">
        <is>
          <t>Trader</t>
        </is>
      </c>
      <c r="C3181" t="inlineStr">
        <is>
          <t>Control Union Certifications Germany GmbH, Berlin, DE</t>
        </is>
      </c>
      <c r="D3181" t="inlineStr">
        <is>
          <t>02.06.2027</t>
        </is>
      </c>
      <c r="E3181" t="inlineStr">
        <is>
          <t>Vietnam</t>
        </is>
      </c>
    </row>
    <row r="3182">
      <c r="A3182" t="inlineStr">
        <is>
          <t>Shanghai WuShun electromechanical equipment co.LTD,  SHANGHAI, China</t>
        </is>
      </c>
      <c r="B3182" t="inlineStr">
        <is>
          <t>Trader</t>
        </is>
      </c>
      <c r="C3182" t="inlineStr">
        <is>
          <t>PT Intertek Utama Services, Jakarta, ID</t>
        </is>
      </c>
      <c r="D3182" t="inlineStr">
        <is>
          <t>02.06.2027</t>
        </is>
      </c>
      <c r="E3182" t="inlineStr">
        <is>
          <t>China</t>
        </is>
      </c>
    </row>
    <row r="3183">
      <c r="A3183" t="inlineStr">
        <is>
          <t>Neste Singapore Pte Ltd,  Singapore, Singapore</t>
        </is>
      </c>
      <c r="B3183" t="inlineStr">
        <is>
          <t>Processing Unit, Trader with Storage</t>
        </is>
      </c>
      <c r="C3183" t="inlineStr">
        <is>
          <t>SGS Germany GmbH, Emstek, DE</t>
        </is>
      </c>
      <c r="D3183" t="inlineStr">
        <is>
          <t>02.06.2027</t>
        </is>
      </c>
      <c r="E3183" t="inlineStr">
        <is>
          <t>Singapore</t>
        </is>
      </c>
    </row>
    <row r="3184">
      <c r="A3184" t="inlineStr">
        <is>
          <t>Neste Singapore Pte Ltd,  Singapore, Singapore</t>
        </is>
      </c>
      <c r="B3184" t="inlineStr">
        <is>
          <t>Processing Unit, Trader with Storage</t>
        </is>
      </c>
      <c r="C3184" t="inlineStr">
        <is>
          <t>SGS Germany GmbH, Emstek, DE</t>
        </is>
      </c>
      <c r="D3184" t="inlineStr">
        <is>
          <t>02.06.2027</t>
        </is>
      </c>
      <c r="E3184" t="inlineStr">
        <is>
          <t>Singapore</t>
        </is>
      </c>
    </row>
    <row r="3185">
      <c r="A3185" t="inlineStr">
        <is>
          <t>Neste Singapore Pte Ltd,  Singapore, Singapore</t>
        </is>
      </c>
      <c r="B3185" t="inlineStr">
        <is>
          <t>Processing Unit, Trader with Storage</t>
        </is>
      </c>
      <c r="C3185" t="inlineStr">
        <is>
          <t>SGS Germany GmbH, Emstek, DE</t>
        </is>
      </c>
      <c r="D3185" t="inlineStr">
        <is>
          <t>02.06.2027</t>
        </is>
      </c>
      <c r="E3185" t="inlineStr">
        <is>
          <t>Singapore</t>
        </is>
      </c>
    </row>
    <row r="3186">
      <c r="A3186" t="inlineStr">
        <is>
          <t>UTB Fuels &amp; Chemicals bv,  Dordrecht, Netherlands</t>
        </is>
      </c>
      <c r="B3186" t="inlineStr">
        <is>
          <t>Trader with Storage</t>
        </is>
      </c>
      <c r="C3186" t="inlineStr">
        <is>
          <t>DEKRA Certification B.V., Arnhem, NL</t>
        </is>
      </c>
      <c r="D3186" t="inlineStr">
        <is>
          <t>02.06.2027</t>
        </is>
      </c>
      <c r="E3186" t="inlineStr">
        <is>
          <t>Netherlands</t>
        </is>
      </c>
    </row>
    <row r="3187">
      <c r="A3187" t="inlineStr">
        <is>
          <t>Evonik Wellink Silica (Nanping) Co., Ltd,  Yanping District, Nanping City, Fujian Province, China</t>
        </is>
      </c>
      <c r="B3187" t="inlineStr">
        <is>
          <t>Processing Unit</t>
        </is>
      </c>
      <c r="C3187" t="inlineStr">
        <is>
          <t>SGS Germany GmbH, Emstek, DE</t>
        </is>
      </c>
      <c r="D3187" t="inlineStr">
        <is>
          <t>02.06.2027</t>
        </is>
      </c>
      <c r="E3187" t="inlineStr">
        <is>
          <t>China</t>
        </is>
      </c>
    </row>
    <row r="3188">
      <c r="A3188" t="inlineStr">
        <is>
          <t>Lwart Soluções Ambientais,  LENCOIS PAULISTA, Brazil</t>
        </is>
      </c>
      <c r="B3188" t="inlineStr">
        <is>
          <t>Collecting Point, Processing Unit</t>
        </is>
      </c>
      <c r="C3188" t="inlineStr">
        <is>
          <t>SCS Global Services, Emeryville, CA, US</t>
        </is>
      </c>
      <c r="D3188" t="inlineStr">
        <is>
          <t>02.06.2027</t>
        </is>
      </c>
      <c r="E3188" t="inlineStr">
        <is>
          <t>Brazil</t>
        </is>
      </c>
    </row>
    <row r="3189">
      <c r="A3189" t="inlineStr">
        <is>
          <t>ADM Olomouc,  Olomouc, Czech Republic</t>
        </is>
      </c>
      <c r="B3189" t="inlineStr">
        <is>
          <t>First Gathering Point, Point of Origin, Processing Unit</t>
        </is>
      </c>
      <c r="C3189" t="inlineStr">
        <is>
          <t>ASG Cert GmbH, Munich, DE</t>
        </is>
      </c>
      <c r="D3189" t="inlineStr">
        <is>
          <t>02.06.2027</t>
        </is>
      </c>
      <c r="E3189" t="inlineStr">
        <is>
          <t>Czech Republic</t>
        </is>
      </c>
    </row>
    <row r="3190">
      <c r="A3190" t="inlineStr">
        <is>
          <t>ADM Olomouc,  Olomouc, Czech Republic</t>
        </is>
      </c>
      <c r="B3190" t="inlineStr">
        <is>
          <t>First Gathering Point, Processing Unit</t>
        </is>
      </c>
      <c r="C3190" t="inlineStr">
        <is>
          <t>ASG Cert GmbH, Munich, DE</t>
        </is>
      </c>
      <c r="D3190" t="inlineStr">
        <is>
          <t>02.06.2027</t>
        </is>
      </c>
      <c r="E3190" t="inlineStr">
        <is>
          <t>Czech Republic</t>
        </is>
      </c>
    </row>
    <row r="3191">
      <c r="A3191" t="inlineStr">
        <is>
          <t>Comagro Vest,  Arad, Romania</t>
        </is>
      </c>
      <c r="B3191" t="inlineStr">
        <is>
          <t>First Gathering Point, Trader</t>
        </is>
      </c>
      <c r="C3191" t="inlineStr">
        <is>
          <t>SRAC Cert SRL, Bucharest, RO</t>
        </is>
      </c>
      <c r="D3191" t="inlineStr">
        <is>
          <t>02.06.2027</t>
        </is>
      </c>
      <c r="E3191" t="inlineStr">
        <is>
          <t>Romania</t>
        </is>
      </c>
    </row>
    <row r="3192">
      <c r="A3192" t="inlineStr">
        <is>
          <t>Nexeo Plastics Canada Corp.,  Guelph, Canada</t>
        </is>
      </c>
      <c r="B3192" t="inlineStr">
        <is>
          <t>Trader with Storage</t>
        </is>
      </c>
      <c r="C3192" t="inlineStr">
        <is>
          <t>SCS Global Services, Emeryville, CA, US</t>
        </is>
      </c>
      <c r="D3192" t="inlineStr">
        <is>
          <t>02.06.2027</t>
        </is>
      </c>
      <c r="E3192" t="inlineStr">
        <is>
          <t>Canada</t>
        </is>
      </c>
    </row>
    <row r="3193">
      <c r="A3193" t="inlineStr">
        <is>
          <t>OCTAL DMCC,  Dubai, The United Arab Emirates</t>
        </is>
      </c>
      <c r="B3193" t="inlineStr">
        <is>
          <t>Trader</t>
        </is>
      </c>
      <c r="C3193" t="inlineStr">
        <is>
          <t>SCS Global Services, Emeryville, CA, US</t>
        </is>
      </c>
      <c r="D3193" t="inlineStr">
        <is>
          <t>02.06.2027</t>
        </is>
      </c>
      <c r="E3193" t="inlineStr">
        <is>
          <t>The United Arab Emirates</t>
        </is>
      </c>
    </row>
    <row r="3194">
      <c r="A3194" t="inlineStr">
        <is>
          <t>Edison Green Gas,  Zinasco, Italy</t>
        </is>
      </c>
      <c r="B3194" t="inlineStr">
        <is>
          <t>Collecting Point, Processing Unit</t>
        </is>
      </c>
      <c r="C3194" t="inlineStr">
        <is>
          <t>SI Cert Italy S.R.L., Parma, IT</t>
        </is>
      </c>
      <c r="D3194" t="inlineStr">
        <is>
          <t>02.06.2027</t>
        </is>
      </c>
      <c r="E3194" t="inlineStr">
        <is>
          <t>Italy</t>
        </is>
      </c>
    </row>
    <row r="3195">
      <c r="A3195" t="inlineStr">
        <is>
          <t>Goldwind Green Energy Hydrogen Technology (Xing'an League) Co., Ltd.,  Xing'an League, Inner Mongolia, China</t>
        </is>
      </c>
      <c r="B3195" t="inlineStr">
        <is>
          <t>Processing Unit</t>
        </is>
      </c>
      <c r="C3195" t="inlineStr">
        <is>
          <t>SCS Global Services, Emeryville, CA, US</t>
        </is>
      </c>
      <c r="D3195" t="inlineStr">
        <is>
          <t>02.06.2027</t>
        </is>
      </c>
      <c r="E3195" t="inlineStr">
        <is>
          <t>China</t>
        </is>
      </c>
    </row>
    <row r="3196">
      <c r="A3196" t="inlineStr">
        <is>
          <t>Sinar Bengkulu Selatan,  Kab. Bengkulu Selatan, Provinsi Bengkulu, Indonesia</t>
        </is>
      </c>
      <c r="B3196" t="inlineStr">
        <is>
          <t>Point of Origin</t>
        </is>
      </c>
      <c r="C3196" t="inlineStr">
        <is>
          <t>PT. Qualitas Sertifikasi Indonesia, Jakarta, ID</t>
        </is>
      </c>
      <c r="D3196" t="inlineStr">
        <is>
          <t>02.06.2027</t>
        </is>
      </c>
      <c r="E3196" t="inlineStr">
        <is>
          <t>Indonesia</t>
        </is>
      </c>
    </row>
    <row r="3197">
      <c r="A3197" t="inlineStr">
        <is>
          <t>DE LUCA LUIGI,  LAINO CASTELLO, Italy</t>
        </is>
      </c>
      <c r="B3197" t="inlineStr">
        <is>
          <t>First Gathering Point, Processing Unit</t>
        </is>
      </c>
      <c r="C3197" t="inlineStr">
        <is>
          <t>RINA Services S.p.A., Genova, IT</t>
        </is>
      </c>
      <c r="D3197" t="inlineStr">
        <is>
          <t>02.06.2027</t>
        </is>
      </c>
      <c r="E3197" t="inlineStr">
        <is>
          <t>Italy</t>
        </is>
      </c>
    </row>
    <row r="3198">
      <c r="A3198" t="inlineStr">
        <is>
          <t>ADM International Sàrl,  Rolle, Switzerland</t>
        </is>
      </c>
      <c r="B3198" t="inlineStr">
        <is>
          <t>Collecting Point, Trader with Storage</t>
        </is>
      </c>
      <c r="C3198" t="inlineStr">
        <is>
          <t>ASG Cert GmbH, Munich, DE</t>
        </is>
      </c>
      <c r="D3198" t="inlineStr">
        <is>
          <t>02.06.2027</t>
        </is>
      </c>
      <c r="E3198" t="inlineStr">
        <is>
          <t>Switzerland</t>
        </is>
      </c>
    </row>
    <row r="3199">
      <c r="A3199" t="inlineStr">
        <is>
          <t>ADM International Sàrl,  Rolle, Switzerland</t>
        </is>
      </c>
      <c r="B3199" t="inlineStr">
        <is>
          <t>Trader with Storage</t>
        </is>
      </c>
      <c r="C3199" t="inlineStr">
        <is>
          <t>ASG Cert GmbH, Munich, DE</t>
        </is>
      </c>
      <c r="D3199" t="inlineStr">
        <is>
          <t>02.06.2027</t>
        </is>
      </c>
      <c r="E3199" t="inlineStr">
        <is>
          <t>Switzerland</t>
        </is>
      </c>
    </row>
    <row r="3200">
      <c r="A3200" t="inlineStr">
        <is>
          <t>Thevinyl AB,  Munka-ljungby, Sweden</t>
        </is>
      </c>
      <c r="B3200" t="inlineStr">
        <is>
          <t>Processing Unit</t>
        </is>
      </c>
      <c r="C3200" t="inlineStr">
        <is>
          <t>DNV Business Assurance Sweden AB, Solna, SE</t>
        </is>
      </c>
      <c r="D3200" t="inlineStr">
        <is>
          <t>01.06.2027</t>
        </is>
      </c>
      <c r="E3200" t="inlineStr">
        <is>
          <t>Sweden</t>
        </is>
      </c>
    </row>
    <row r="3201">
      <c r="A3201" t="inlineStr">
        <is>
          <t>Longyan Zhuoyue New Energy Co., Ltd,  Longyan, FUJIAN Province, China</t>
        </is>
      </c>
      <c r="B3201" t="inlineStr">
        <is>
          <t>Collecting Point, Processing Unit, Trader with Storage</t>
        </is>
      </c>
      <c r="C3201" t="inlineStr">
        <is>
          <t>TÜV NORD CERT GmbH, Essen, DE</t>
        </is>
      </c>
      <c r="D3201" t="inlineStr">
        <is>
          <t>01.06.2027</t>
        </is>
      </c>
      <c r="E3201" t="inlineStr">
        <is>
          <t>China</t>
        </is>
      </c>
    </row>
    <row r="3202">
      <c r="A3202" t="inlineStr">
        <is>
          <t>Sedamyl SpA,  Busca, Italy</t>
        </is>
      </c>
      <c r="B3202" t="inlineStr">
        <is>
          <t>Processing Unit</t>
        </is>
      </c>
      <c r="C3202" t="inlineStr">
        <is>
          <t>Control Union Certifications Germany GmbH, Berlin, DE</t>
        </is>
      </c>
      <c r="D3202" t="inlineStr">
        <is>
          <t>01.06.2027</t>
        </is>
      </c>
      <c r="E3202" t="inlineStr">
        <is>
          <t>Italy</t>
        </is>
      </c>
    </row>
    <row r="3203">
      <c r="A3203" t="inlineStr">
        <is>
          <t>JAPAN VAM &amp; POVAL CO.,LTD.,  Sakai, Osaka, Japan</t>
        </is>
      </c>
      <c r="B3203" t="inlineStr">
        <is>
          <t>Processing Unit</t>
        </is>
      </c>
      <c r="C3203" t="inlineStr">
        <is>
          <t>Control Union Certifications Germany GmbH, Berlin, DE</t>
        </is>
      </c>
      <c r="D3203" t="inlineStr">
        <is>
          <t>01.06.2027</t>
        </is>
      </c>
      <c r="E3203" t="inlineStr">
        <is>
          <t>Japan</t>
        </is>
      </c>
    </row>
    <row r="3204">
      <c r="A3204" t="inlineStr">
        <is>
          <t>Reyenvas,  Alcalá de Guadaíra, Sevilla, Spain</t>
        </is>
      </c>
      <c r="B3204" t="inlineStr">
        <is>
          <t>Processing Unit</t>
        </is>
      </c>
      <c r="C3204" t="inlineStr">
        <is>
          <t>Amspec Iberia SL, Vilagarcia de Arousa-Pontevedra, ES</t>
        </is>
      </c>
      <c r="D3204" t="inlineStr">
        <is>
          <t>01.06.2027</t>
        </is>
      </c>
      <c r="E3204" t="inlineStr">
        <is>
          <t>Spain</t>
        </is>
      </c>
    </row>
    <row r="3205">
      <c r="A3205" t="inlineStr">
        <is>
          <t>Gemidan A/S,  Viborg, Denmark</t>
        </is>
      </c>
      <c r="B3205" t="inlineStr">
        <is>
          <t>Collecting Point, Processing Unit</t>
        </is>
      </c>
      <c r="C3205" t="inlineStr">
        <is>
          <t>DNV Business Assurance Sweden AB, Solna, SE</t>
        </is>
      </c>
      <c r="D3205" t="inlineStr">
        <is>
          <t>01.06.2027</t>
        </is>
      </c>
      <c r="E3205" t="inlineStr">
        <is>
          <t>Denmark</t>
        </is>
      </c>
    </row>
    <row r="3206">
      <c r="A3206" t="inlineStr">
        <is>
          <t>Continental Mabor - Ind. Pneus S.A.,  Lousado, V.N. Famalicão, Portugal</t>
        </is>
      </c>
      <c r="B3206" t="inlineStr">
        <is>
          <t>Processing Unit, Warehouse</t>
        </is>
      </c>
      <c r="C3206" t="inlineStr">
        <is>
          <t>DQS CFS GmbH - Deutsche Gesellschaft für Nachhaltigkeit, Frankfurt am Main, DE</t>
        </is>
      </c>
      <c r="D3206" t="inlineStr">
        <is>
          <t>01.06.2027</t>
        </is>
      </c>
      <c r="E3206" t="inlineStr">
        <is>
          <t>Portugal</t>
        </is>
      </c>
    </row>
    <row r="3207">
      <c r="A3207" t="inlineStr">
        <is>
          <t>Molnlycke Health Care (Thailand) Co., Ltd.,  Samutprakarn, Thailand</t>
        </is>
      </c>
      <c r="B3207" t="inlineStr">
        <is>
          <t>Processing Unit</t>
        </is>
      </c>
      <c r="C3207" t="inlineStr">
        <is>
          <t>Bureau Veritas Polska Sp. z o.o., Warsaw, PL</t>
        </is>
      </c>
      <c r="D3207" t="inlineStr">
        <is>
          <t>01.06.2027</t>
        </is>
      </c>
      <c r="E3207" t="inlineStr">
        <is>
          <t>Thailand</t>
        </is>
      </c>
    </row>
    <row r="3208">
      <c r="A3208" t="inlineStr">
        <is>
          <t>ACTIVIDADES OLEÍCOLAS, .SA.,  Dos Hermanas (Sevilla), Spain</t>
        </is>
      </c>
      <c r="B3208" t="inlineStr">
        <is>
          <t>Point of Origin</t>
        </is>
      </c>
      <c r="C3208" t="inlineStr">
        <is>
          <t>Amspec Iberia SL, Vilagarcia de Arousa-Pontevedra, ES</t>
        </is>
      </c>
      <c r="D3208" t="inlineStr">
        <is>
          <t>01.06.2027</t>
        </is>
      </c>
      <c r="E3208" t="inlineStr">
        <is>
          <t>Spain</t>
        </is>
      </c>
    </row>
    <row r="3209">
      <c r="A3209" t="inlineStr">
        <is>
          <t>Zarneni Hrani Silistra Jsc.,  Silistra, Bulgaria</t>
        </is>
      </c>
      <c r="B3209" t="inlineStr">
        <is>
          <t>First Gathering Point</t>
        </is>
      </c>
      <c r="C3209" t="inlineStr">
        <is>
          <t>Baltic Control Certification, Albertslund, DK</t>
        </is>
      </c>
      <c r="D3209" t="inlineStr">
        <is>
          <t>01.06.2027</t>
        </is>
      </c>
      <c r="E3209" t="inlineStr">
        <is>
          <t>Bulgaria</t>
        </is>
      </c>
    </row>
    <row r="3210">
      <c r="A3210" t="inlineStr">
        <is>
          <t>C.I. ACEPALMA S.A.,  Bogota, Colombia</t>
        </is>
      </c>
      <c r="B3210" t="inlineStr">
        <is>
          <t>Trader with Storage</t>
        </is>
      </c>
      <c r="C3210" t="inlineStr">
        <is>
          <t>Control Union Poland Sp. z o.o., Zielona Gora, PL</t>
        </is>
      </c>
      <c r="D3210" t="inlineStr">
        <is>
          <t>01.06.2027</t>
        </is>
      </c>
      <c r="E3210" t="inlineStr">
        <is>
          <t>Colombia</t>
        </is>
      </c>
    </row>
    <row r="3211">
      <c r="A3211" t="inlineStr">
        <is>
          <t>Brenntag Austria,  Guntramsdorf, Austria</t>
        </is>
      </c>
      <c r="B3211" t="inlineStr">
        <is>
          <t>Trader with Storage</t>
        </is>
      </c>
      <c r="C3211" t="inlineStr">
        <is>
          <t>agroVet GmbH, Enzersfeld, AT</t>
        </is>
      </c>
      <c r="D3211" t="inlineStr">
        <is>
          <t>01.06.2027</t>
        </is>
      </c>
      <c r="E3211" t="inlineStr">
        <is>
          <t>Austria</t>
        </is>
      </c>
    </row>
    <row r="3212">
      <c r="A3212" t="inlineStr">
        <is>
          <t>C.I. ACEPALMA S.A.,  Bogota, Colombia</t>
        </is>
      </c>
      <c r="B3212" t="inlineStr">
        <is>
          <t>Trader with Storage</t>
        </is>
      </c>
      <c r="C3212" t="inlineStr">
        <is>
          <t>Control Union Poland Sp. z o.o., Zielona Gora, PL</t>
        </is>
      </c>
      <c r="D3212" t="inlineStr">
        <is>
          <t>01.06.2027</t>
        </is>
      </c>
      <c r="E3212" t="inlineStr">
        <is>
          <t>Colombia</t>
        </is>
      </c>
    </row>
    <row r="3213">
      <c r="A3213" t="inlineStr">
        <is>
          <t>Bord Gais Energy Limited,  Cork (Airport Business Park), Ireland</t>
        </is>
      </c>
      <c r="B3213" t="inlineStr">
        <is>
          <t>Trader</t>
        </is>
      </c>
      <c r="C3213" t="inlineStr">
        <is>
          <t>TÜV SÜD Industrie Service GmbH, München, DE</t>
        </is>
      </c>
      <c r="D3213" t="inlineStr">
        <is>
          <t>01.06.2027</t>
        </is>
      </c>
      <c r="E3213" t="inlineStr">
        <is>
          <t>Ireland</t>
        </is>
      </c>
    </row>
    <row r="3214">
      <c r="A3214" t="inlineStr">
        <is>
          <t>ZHERM,  the village of Ocheretianka, Ukraine</t>
        </is>
      </c>
      <c r="B3214" t="inlineStr">
        <is>
          <t>Farm / Plantation</t>
        </is>
      </c>
      <c r="C3214" t="inlineStr">
        <is>
          <t>Organic Standard Ltd, Kyiv, UA</t>
        </is>
      </c>
      <c r="D3214" t="inlineStr">
        <is>
          <t>01.06.2027</t>
        </is>
      </c>
      <c r="E3214" t="inlineStr">
        <is>
          <t>Ukraine</t>
        </is>
      </c>
    </row>
    <row r="3215">
      <c r="A3215" t="inlineStr">
        <is>
          <t>Sealed Air BV,  Nijmegen, Netherlands</t>
        </is>
      </c>
      <c r="B3215" t="inlineStr">
        <is>
          <t>Processing Unit, Trader with Storage</t>
        </is>
      </c>
      <c r="C3215" t="inlineStr">
        <is>
          <t>SCS Global Services, Emeryville, CA, US</t>
        </is>
      </c>
      <c r="D3215" t="inlineStr">
        <is>
          <t>01.06.2027</t>
        </is>
      </c>
      <c r="E3215" t="inlineStr">
        <is>
          <t>Netherlands</t>
        </is>
      </c>
    </row>
    <row r="3216">
      <c r="A3216" t="inlineStr">
        <is>
          <t>CRETAN KYTHNIA LP,  Moschato, Greece</t>
        </is>
      </c>
      <c r="B3216" t="inlineStr">
        <is>
          <t>Collecting Point, Trader with Storage</t>
        </is>
      </c>
      <c r="C3216" t="inlineStr">
        <is>
          <t>Eurocert SA, Metamorfosi, Athens, GR</t>
        </is>
      </c>
      <c r="D3216" t="inlineStr">
        <is>
          <t>01.06.2027</t>
        </is>
      </c>
      <c r="E3216" t="inlineStr">
        <is>
          <t>Greece</t>
        </is>
      </c>
    </row>
    <row r="3217">
      <c r="A3217" t="inlineStr">
        <is>
          <t>Neste Oyj,  KA Maasvlakte, Rotterdam, Netherlands</t>
        </is>
      </c>
      <c r="B3217" t="inlineStr">
        <is>
          <t>Processing Unit</t>
        </is>
      </c>
      <c r="C3217" t="inlineStr">
        <is>
          <t>SGS Germany GmbH, Emstek, DE</t>
        </is>
      </c>
      <c r="D3217" t="inlineStr">
        <is>
          <t>01.06.2027</t>
        </is>
      </c>
      <c r="E3217" t="inlineStr">
        <is>
          <t>Netherlands</t>
        </is>
      </c>
    </row>
    <row r="3218">
      <c r="A3218" t="inlineStr">
        <is>
          <t>ECE S.A.,  Betim, Brazil</t>
        </is>
      </c>
      <c r="B3218" t="inlineStr">
        <is>
          <t>Trader</t>
        </is>
      </c>
      <c r="C3218" t="inlineStr">
        <is>
          <t>SGS Germany GmbH, Emstek, DE</t>
        </is>
      </c>
      <c r="D3218" t="inlineStr">
        <is>
          <t>01.06.2027</t>
        </is>
      </c>
      <c r="E3218" t="inlineStr">
        <is>
          <t>Brazil</t>
        </is>
      </c>
    </row>
    <row r="3219">
      <c r="A3219" t="inlineStr">
        <is>
          <t>Dourogás Comercial,  Vila Real, Portugal</t>
        </is>
      </c>
      <c r="B3219" t="inlineStr">
        <is>
          <t>Trader</t>
        </is>
      </c>
      <c r="C3219" t="inlineStr">
        <is>
          <t>SGS Germany GmbH, Emstek, DE</t>
        </is>
      </c>
      <c r="D3219" t="inlineStr">
        <is>
          <t>01.06.2027</t>
        </is>
      </c>
      <c r="E3219" t="inlineStr">
        <is>
          <t>Portugal</t>
        </is>
      </c>
    </row>
    <row r="3220">
      <c r="A3220" t="inlineStr">
        <is>
          <t>Neste Oyj,  KA Maasvlakte, Rotterdam, Netherlands</t>
        </is>
      </c>
      <c r="B3220" t="inlineStr">
        <is>
          <t>Processing Unit</t>
        </is>
      </c>
      <c r="C3220" t="inlineStr">
        <is>
          <t>SGS Germany GmbH, Emstek, DE</t>
        </is>
      </c>
      <c r="D3220" t="inlineStr">
        <is>
          <t>01.06.2027</t>
        </is>
      </c>
      <c r="E3220" t="inlineStr">
        <is>
          <t>Netherlands</t>
        </is>
      </c>
    </row>
    <row r="3221">
      <c r="A3221" t="inlineStr">
        <is>
          <t>Neste Oyj,  KA Maasvlakte, Rotterdam, Netherlands</t>
        </is>
      </c>
      <c r="B3221" t="inlineStr">
        <is>
          <t>Processing Unit</t>
        </is>
      </c>
      <c r="C3221" t="inlineStr">
        <is>
          <t>SGS Germany GmbH, Emstek, DE</t>
        </is>
      </c>
      <c r="D3221" t="inlineStr">
        <is>
          <t>01.06.2027</t>
        </is>
      </c>
      <c r="E3221" t="inlineStr">
        <is>
          <t>Netherlands</t>
        </is>
      </c>
    </row>
    <row r="3222">
      <c r="A3222" t="inlineStr">
        <is>
          <t>Guangxi Lanco Resources Recycling Co., Ltd.,  Yulin City, Guangxi Zhuang Autonomous Region, China</t>
        </is>
      </c>
      <c r="B3222" t="inlineStr">
        <is>
          <t>Collecting Point</t>
        </is>
      </c>
      <c r="C3222" t="inlineStr">
        <is>
          <t>SGS Germany GmbH, Emstek, DE</t>
        </is>
      </c>
      <c r="D3222" t="inlineStr">
        <is>
          <t>01.06.2027</t>
        </is>
      </c>
      <c r="E3222" t="inlineStr">
        <is>
          <t>China</t>
        </is>
      </c>
    </row>
    <row r="3223">
      <c r="A3223" t="inlineStr">
        <is>
          <t>Continental Barum s.r.o.,  Otrokovice, Czech Republic</t>
        </is>
      </c>
      <c r="B3223" t="inlineStr">
        <is>
          <t>Processing Unit</t>
        </is>
      </c>
      <c r="C3223" t="inlineStr">
        <is>
          <t>SGS Germany GmbH, Emstek, DE</t>
        </is>
      </c>
      <c r="D3223" t="inlineStr">
        <is>
          <t>01.06.2027</t>
        </is>
      </c>
      <c r="E3223" t="inlineStr">
        <is>
          <t>Czech Republic</t>
        </is>
      </c>
    </row>
    <row r="3224">
      <c r="A3224" t="inlineStr">
        <is>
          <t>Hunan Renhe Environmental Technology Co.,Ltd.,  Kaifu District Changsha City,Hunan Province, China</t>
        </is>
      </c>
      <c r="B3224" t="inlineStr">
        <is>
          <t>Collecting Point, Processing Unit</t>
        </is>
      </c>
      <c r="C3224" t="inlineStr">
        <is>
          <t>SCS Global Services, Emeryville, CA, US</t>
        </is>
      </c>
      <c r="D3224" t="inlineStr">
        <is>
          <t>01.06.2027</t>
        </is>
      </c>
      <c r="E3224" t="inlineStr">
        <is>
          <t>China</t>
        </is>
      </c>
    </row>
    <row r="3225">
      <c r="A3225" t="inlineStr">
        <is>
          <t>Tianjin Binhai New Area Senleap Food Trade Co., Ltd.,  TIANJIN, China</t>
        </is>
      </c>
      <c r="B3225" t="inlineStr">
        <is>
          <t>Trader</t>
        </is>
      </c>
      <c r="C3225" t="inlineStr">
        <is>
          <t>SCS Global Services, Emeryville, CA, US</t>
        </is>
      </c>
      <c r="D3225" t="inlineStr">
        <is>
          <t>01.06.2027</t>
        </is>
      </c>
      <c r="E3225" t="inlineStr">
        <is>
          <t>China</t>
        </is>
      </c>
    </row>
    <row r="3226">
      <c r="A3226" t="inlineStr">
        <is>
          <t>DIC,  Chuo-ku, Japan</t>
        </is>
      </c>
      <c r="B3226" t="inlineStr">
        <is>
          <t>Trader with Storage</t>
        </is>
      </c>
      <c r="C3226" t="inlineStr">
        <is>
          <t>PT Intertek Utama Services, Jakarta, ID</t>
        </is>
      </c>
      <c r="D3226" t="inlineStr">
        <is>
          <t>01.06.2027</t>
        </is>
      </c>
      <c r="E3226" t="inlineStr">
        <is>
          <t>Japan</t>
        </is>
      </c>
    </row>
    <row r="3227">
      <c r="A3227" t="inlineStr">
        <is>
          <t>NEW BEGINNINGS (SINGAPORE) PTE. LTD.,  Tatu City Industrial Park Phase Two, Kenya</t>
        </is>
      </c>
      <c r="B3227" t="inlineStr">
        <is>
          <t>Trader, Processing Unit</t>
        </is>
      </c>
      <c r="C3227" t="inlineStr">
        <is>
          <t>Bureau Veritas Consumer Products Services, Inc., Buffalo, NY, US</t>
        </is>
      </c>
      <c r="D3227" t="inlineStr">
        <is>
          <t>01.06.2027</t>
        </is>
      </c>
      <c r="E3227" t="inlineStr">
        <is>
          <t>Kenya</t>
        </is>
      </c>
    </row>
    <row r="3228">
      <c r="A3228" t="inlineStr">
        <is>
          <t>LLC ACCESS TRADE AND LOGISTICS,  Baku, Sabunchi District, Balakhany Settlement, Azerbaijan</t>
        </is>
      </c>
      <c r="B3228" t="inlineStr">
        <is>
          <t>Collecting Point</t>
        </is>
      </c>
      <c r="C3228" t="inlineStr">
        <is>
          <t>Apex Genelab LLC, Odessa, UA</t>
        </is>
      </c>
      <c r="D3228" t="inlineStr">
        <is>
          <t>01.06.2027</t>
        </is>
      </c>
      <c r="E3228" t="inlineStr">
        <is>
          <t>Azerbaijan</t>
        </is>
      </c>
    </row>
    <row r="3229">
      <c r="A3229" t="inlineStr">
        <is>
          <t>Pristine Agro Pte Ltd,  Vertex, Singapore</t>
        </is>
      </c>
      <c r="B3229" t="inlineStr">
        <is>
          <t>Trader</t>
        </is>
      </c>
      <c r="C3229" t="inlineStr">
        <is>
          <t>Trans Certification and Inspection Sdn Bhd, Kuantan, MY</t>
        </is>
      </c>
      <c r="D3229" t="inlineStr">
        <is>
          <t>01.06.2027</t>
        </is>
      </c>
      <c r="E3229" t="inlineStr">
        <is>
          <t>Singapore</t>
        </is>
      </c>
    </row>
    <row r="3230">
      <c r="A3230" t="inlineStr">
        <is>
          <t>EB Greentech Renewable Material (Huangshi) Limited,  Huangshi, China</t>
        </is>
      </c>
      <c r="B3230" t="inlineStr">
        <is>
          <t>Collecting Point, Processing Unit, Trader</t>
        </is>
      </c>
      <c r="C3230" t="inlineStr">
        <is>
          <t>NSF International, Ann Arbor, MI, US</t>
        </is>
      </c>
      <c r="D3230" t="inlineStr">
        <is>
          <t>01.06.2027</t>
        </is>
      </c>
      <c r="E3230" t="inlineStr">
        <is>
          <t>China</t>
        </is>
      </c>
    </row>
    <row r="3231">
      <c r="A3231" t="inlineStr">
        <is>
          <t>INERATEC Frankfurt GmbH &amp; Co. KG,  Frankfurt Höchst, Germany</t>
        </is>
      </c>
      <c r="B3231" t="inlineStr">
        <is>
          <t>Processing Unit</t>
        </is>
      </c>
      <c r="C3231" t="inlineStr">
        <is>
          <t>TÜV SÜD Industrie Service GmbH, München, DE</t>
        </is>
      </c>
      <c r="D3231" t="inlineStr">
        <is>
          <t>01.06.2027</t>
        </is>
      </c>
      <c r="E3231" t="inlineStr">
        <is>
          <t>Germany</t>
        </is>
      </c>
    </row>
    <row r="3232">
      <c r="A3232" t="inlineStr">
        <is>
          <t>Aptar Charleval,  Charleval, France</t>
        </is>
      </c>
      <c r="B3232" t="inlineStr">
        <is>
          <t>Final Product Refinement, Processing Unit, Trader with Storage</t>
        </is>
      </c>
      <c r="C3232" t="inlineStr">
        <is>
          <t>SGS Germany GmbH, Emstek, DE</t>
        </is>
      </c>
      <c r="D3232" t="inlineStr">
        <is>
          <t>01.06.2027</t>
        </is>
      </c>
      <c r="E3232" t="inlineStr">
        <is>
          <t>France</t>
        </is>
      </c>
    </row>
    <row r="3233">
      <c r="A3233" t="inlineStr">
        <is>
          <t>UNIMOT PALIWA,  Zawadzkie, Poland</t>
        </is>
      </c>
      <c r="B3233" t="inlineStr">
        <is>
          <t>Trader, Proof of Compliance Trader</t>
        </is>
      </c>
      <c r="C3233" t="inlineStr">
        <is>
          <t>Control Union Poland Sp. z o.o., Zielona Gora, PL</t>
        </is>
      </c>
      <c r="D3233" t="inlineStr">
        <is>
          <t>01.06.2027</t>
        </is>
      </c>
      <c r="E3233" t="inlineStr">
        <is>
          <t>Poland</t>
        </is>
      </c>
    </row>
    <row r="3234">
      <c r="A3234" t="inlineStr">
        <is>
          <t>Jiangmen Xinhui District Jianuo Hechang Oil Co., Ltd,  Jiangmen City, China</t>
        </is>
      </c>
      <c r="B3234" t="inlineStr">
        <is>
          <t>Collecting Point</t>
        </is>
      </c>
      <c r="C3234" t="inlineStr">
        <is>
          <t>RINA Services S.p.A., Genova, IT</t>
        </is>
      </c>
      <c r="D3234" t="inlineStr">
        <is>
          <t>01.06.2027</t>
        </is>
      </c>
      <c r="E3234" t="inlineStr">
        <is>
          <t>China</t>
        </is>
      </c>
    </row>
    <row r="3235">
      <c r="A3235" t="inlineStr">
        <is>
          <t>Granuband B.V.,  Amsterdam, Netherlands</t>
        </is>
      </c>
      <c r="B3235" t="inlineStr">
        <is>
          <t>Processing Unit, Point of Origin, Collecting Point</t>
        </is>
      </c>
      <c r="C3235" t="inlineStr">
        <is>
          <t>DEKRA Certification B.V., Arnhem, NL</t>
        </is>
      </c>
      <c r="D3235" t="inlineStr">
        <is>
          <t>01.06.2027</t>
        </is>
      </c>
      <c r="E3235" t="inlineStr">
        <is>
          <t>Netherlands</t>
        </is>
      </c>
    </row>
    <row r="3236">
      <c r="A3236" t="inlineStr">
        <is>
          <t>Cooperativa- Filial Nova Londrina,  Nova Londrina, Brazil</t>
        </is>
      </c>
      <c r="B3236" t="inlineStr">
        <is>
          <t>Trader with Storage</t>
        </is>
      </c>
      <c r="C3236" t="inlineStr">
        <is>
          <t>SGS Germany GmbH, Emstek, DE</t>
        </is>
      </c>
      <c r="D3236" t="inlineStr">
        <is>
          <t>01.06.2027</t>
        </is>
      </c>
      <c r="E3236" t="inlineStr">
        <is>
          <t>Brazil</t>
        </is>
      </c>
    </row>
    <row r="3237">
      <c r="A3237" t="inlineStr">
        <is>
          <t>Dorada SA,  Lavallol, Argentina</t>
        </is>
      </c>
      <c r="B3237" t="inlineStr">
        <is>
          <t>Trader</t>
        </is>
      </c>
      <c r="C3237" t="inlineStr">
        <is>
          <t>Amspec Iberia SL, Vilagarcia de Arousa-Pontevedra, ES</t>
        </is>
      </c>
      <c r="D3237" t="inlineStr">
        <is>
          <t>01.06.2027</t>
        </is>
      </c>
      <c r="E3237" t="inlineStr">
        <is>
          <t>Argentina</t>
        </is>
      </c>
    </row>
    <row r="3238">
      <c r="A3238" t="inlineStr">
        <is>
          <t>UNION AGRO TRADING SRL,  CALARASI, Romania</t>
        </is>
      </c>
      <c r="B3238" t="inlineStr">
        <is>
          <t>First Gathering Point, Trader</t>
        </is>
      </c>
      <c r="C3238" t="inlineStr">
        <is>
          <t>SRAC Cert SRL, Bucharest, RO</t>
        </is>
      </c>
      <c r="D3238" t="inlineStr">
        <is>
          <t>01.06.2027</t>
        </is>
      </c>
      <c r="E3238" t="inlineStr">
        <is>
          <t>Romania</t>
        </is>
      </c>
    </row>
    <row r="3239">
      <c r="A3239" t="inlineStr">
        <is>
          <t>WM Renewable Energy,  Dekalb, United States</t>
        </is>
      </c>
      <c r="B3239" t="inlineStr">
        <is>
          <t>Collecting Point, Processing Unit</t>
        </is>
      </c>
      <c r="C3239" t="inlineStr">
        <is>
          <t>SCS Global Services, Emeryville, CA, US</t>
        </is>
      </c>
      <c r="D3239" t="inlineStr">
        <is>
          <t>01.06.2027</t>
        </is>
      </c>
      <c r="E3239" t="inlineStr">
        <is>
          <t>United States</t>
        </is>
      </c>
    </row>
    <row r="3240">
      <c r="A3240" t="inlineStr">
        <is>
          <t>WM Renewable Energy,  Dekalb, United States</t>
        </is>
      </c>
      <c r="B3240" t="inlineStr">
        <is>
          <t>Collecting Point, Processing Unit</t>
        </is>
      </c>
      <c r="C3240" t="inlineStr">
        <is>
          <t>SCS Global Services, Emeryville, CA, US</t>
        </is>
      </c>
      <c r="D3240" t="inlineStr">
        <is>
          <t>01.06.2027</t>
        </is>
      </c>
      <c r="E3240" t="inlineStr">
        <is>
          <t>United States</t>
        </is>
      </c>
    </row>
    <row r="3241">
      <c r="A3241" t="inlineStr">
        <is>
          <t>Oliefabriek Vandamme,  Deinze, Belgium</t>
        </is>
      </c>
      <c r="B3241" t="inlineStr">
        <is>
          <t>Processing Unit</t>
        </is>
      </c>
      <c r="C3241" t="inlineStr">
        <is>
          <t>SGS Germany GmbH, Emstek, DE</t>
        </is>
      </c>
      <c r="D3241" t="inlineStr">
        <is>
          <t>01.06.2027</t>
        </is>
      </c>
      <c r="E3241" t="inlineStr">
        <is>
          <t>Belgium</t>
        </is>
      </c>
    </row>
    <row r="3242">
      <c r="A3242" t="inlineStr">
        <is>
          <t>Oliefabriek Vandamme,  Deinze, Belgium</t>
        </is>
      </c>
      <c r="B3242" t="inlineStr">
        <is>
          <t>Processing Unit</t>
        </is>
      </c>
      <c r="C3242" t="inlineStr">
        <is>
          <t>SGS Germany GmbH, Emstek, DE</t>
        </is>
      </c>
      <c r="D3242" t="inlineStr">
        <is>
          <t>01.06.2027</t>
        </is>
      </c>
      <c r="E3242" t="inlineStr">
        <is>
          <t>Belgium</t>
        </is>
      </c>
    </row>
    <row r="3243">
      <c r="A3243" t="inlineStr">
        <is>
          <t>Molini Industriali,  Modena, Italy</t>
        </is>
      </c>
      <c r="B3243" t="inlineStr">
        <is>
          <t>First Gathering Point, Processing Unit, Trader with Storage</t>
        </is>
      </c>
      <c r="C3243" t="inlineStr">
        <is>
          <t>DNV Business Assurance Sweden AB, Solna, SE</t>
        </is>
      </c>
      <c r="D3243" t="inlineStr">
        <is>
          <t>01.06.2027</t>
        </is>
      </c>
      <c r="E3243" t="inlineStr">
        <is>
          <t>Italy</t>
        </is>
      </c>
    </row>
    <row r="3244">
      <c r="A3244" t="inlineStr">
        <is>
          <t>KOREA SHIPPING ASSOCIATION,  SEOUL, South Korea</t>
        </is>
      </c>
      <c r="B3244" t="inlineStr">
        <is>
          <t>Trader</t>
        </is>
      </c>
      <c r="C3244" t="inlineStr">
        <is>
          <t>Korean Foundation for Quality, Songpa-gu, Seoul, KR</t>
        </is>
      </c>
      <c r="D3244" t="inlineStr">
        <is>
          <t>31.05.2027</t>
        </is>
      </c>
      <c r="E3244" t="inlineStr">
        <is>
          <t>South Korea</t>
        </is>
      </c>
    </row>
    <row r="3245">
      <c r="A3245" t="inlineStr">
        <is>
          <t>EXPLORA S.A.,  Puerto General San Martín - Santa Fe, Argentina</t>
        </is>
      </c>
      <c r="B3245" t="inlineStr">
        <is>
          <t>Collecting Point, Point of Origin, Processing Unit, Trader with Storage</t>
        </is>
      </c>
      <c r="C3245" t="inlineStr">
        <is>
          <t>Control Union Poland Sp. z o.o., Zielona Gora, PL</t>
        </is>
      </c>
      <c r="D3245" t="inlineStr">
        <is>
          <t>31.05.2027</t>
        </is>
      </c>
      <c r="E3245" t="inlineStr">
        <is>
          <t>Argentina</t>
        </is>
      </c>
    </row>
    <row r="3246">
      <c r="A3246" t="inlineStr">
        <is>
          <t>Poil Group - Fzco,  Dubai, The United Arab Emirates</t>
        </is>
      </c>
      <c r="B3246" t="inlineStr">
        <is>
          <t>Collecting Point, Trader</t>
        </is>
      </c>
      <c r="C3246" t="inlineStr">
        <is>
          <t>SCS Global Services, Emeryville, CA, US</t>
        </is>
      </c>
      <c r="D3246" t="inlineStr">
        <is>
          <t>31.05.2027</t>
        </is>
      </c>
      <c r="E3246" t="inlineStr">
        <is>
          <t>The United Arab Emirates</t>
        </is>
      </c>
    </row>
    <row r="3247">
      <c r="A3247" t="inlineStr">
        <is>
          <t>Borneo Samudera Sdn Bhd (Langkon Mill),  Kota Marudu, Malaysia</t>
        </is>
      </c>
      <c r="B3247" t="inlineStr">
        <is>
          <t>Point of Origin</t>
        </is>
      </c>
      <c r="C3247" t="inlineStr">
        <is>
          <t>Global Gateway Certifications Sdn Bhd, Ampang, MY</t>
        </is>
      </c>
      <c r="D3247" t="inlineStr">
        <is>
          <t>31.05.2027</t>
        </is>
      </c>
      <c r="E3247" t="inlineStr">
        <is>
          <t>Malaysia</t>
        </is>
      </c>
    </row>
    <row r="3248">
      <c r="A3248" t="inlineStr">
        <is>
          <t>Lotus Footwear Enterprises Private Limited (India Branch) Unit - 1,  Tiruvannamalai, India</t>
        </is>
      </c>
      <c r="B3248" t="inlineStr">
        <is>
          <t>Final Product Refinement, Processing Unit, Trader</t>
        </is>
      </c>
      <c r="C3248" t="inlineStr">
        <is>
          <t>ISOQAR Ltd, Stretford, Manchester, GB</t>
        </is>
      </c>
      <c r="D3248" t="inlineStr">
        <is>
          <t>31.05.2027</t>
        </is>
      </c>
      <c r="E3248" t="inlineStr">
        <is>
          <t>India</t>
        </is>
      </c>
    </row>
    <row r="3249">
      <c r="A3249" t="inlineStr">
        <is>
          <t>Borneo Samudera Sdn Bhd (Lumadan Mill),  Beaufort, Malaysia</t>
        </is>
      </c>
      <c r="B3249" t="inlineStr">
        <is>
          <t>Point of Origin</t>
        </is>
      </c>
      <c r="C3249" t="inlineStr">
        <is>
          <t>Global Gateway Certifications Sdn Bhd, Ampang, MY</t>
        </is>
      </c>
      <c r="D3249" t="inlineStr">
        <is>
          <t>31.05.2027</t>
        </is>
      </c>
      <c r="E3249" t="inlineStr">
        <is>
          <t>Malaysia</t>
        </is>
      </c>
    </row>
    <row r="3250">
      <c r="A3250" t="inlineStr">
        <is>
          <t>Maxhouse Rise Limited,  HongKong, Hong Kong, SAR, China</t>
        </is>
      </c>
      <c r="B3250" t="inlineStr">
        <is>
          <t>Trader</t>
        </is>
      </c>
      <c r="C3250" t="inlineStr">
        <is>
          <t>SCS Global Services, Emeryville, CA, US</t>
        </is>
      </c>
      <c r="D3250" t="inlineStr">
        <is>
          <t>31.05.2027</t>
        </is>
      </c>
      <c r="E3250" t="inlineStr">
        <is>
          <t>China</t>
        </is>
      </c>
    </row>
    <row r="3251">
      <c r="A3251" t="inlineStr">
        <is>
          <t>Sinopec Susco,  Bangpakok, Ratburana, Bangkok, Thailand</t>
        </is>
      </c>
      <c r="B3251" t="inlineStr">
        <is>
          <t>Trader with Storage</t>
        </is>
      </c>
      <c r="C3251" t="inlineStr">
        <is>
          <t>Control Union Poland Sp. z o.o., Zielona Gora, PL</t>
        </is>
      </c>
      <c r="D3251" t="inlineStr">
        <is>
          <t>31.05.2027</t>
        </is>
      </c>
      <c r="E3251" t="inlineStr">
        <is>
          <t>Thailand</t>
        </is>
      </c>
    </row>
    <row r="3252">
      <c r="A3252" t="inlineStr">
        <is>
          <t>Borneo Samudera Sdn Bhd (Sepagaya Mill),  Sandakan, Malaysia</t>
        </is>
      </c>
      <c r="B3252" t="inlineStr">
        <is>
          <t>Point of Origin</t>
        </is>
      </c>
      <c r="C3252" t="inlineStr">
        <is>
          <t>Global Gateway Certifications Sdn Bhd, Ampang, MY</t>
        </is>
      </c>
      <c r="D3252" t="inlineStr">
        <is>
          <t>31.05.2027</t>
        </is>
      </c>
      <c r="E3252" t="inlineStr">
        <is>
          <t>Malaysia</t>
        </is>
      </c>
    </row>
    <row r="3253">
      <c r="A3253" t="inlineStr">
        <is>
          <t>TOP EKOS spol. s r.o.,  Žatec, Czech Republic</t>
        </is>
      </c>
      <c r="B3253" t="inlineStr">
        <is>
          <t>First Gathering Point, Trader</t>
        </is>
      </c>
      <c r="C3253" t="inlineStr">
        <is>
          <t>PT Intertek Utama Services, Jakarta, ID</t>
        </is>
      </c>
      <c r="D3253" t="inlineStr">
        <is>
          <t>31.05.2027</t>
        </is>
      </c>
      <c r="E3253" t="inlineStr">
        <is>
          <t>Czech Republic</t>
        </is>
      </c>
    </row>
    <row r="3254">
      <c r="A3254" t="inlineStr">
        <is>
          <t>Save Energy Co., Ltd.,  Nongong-eup, Dalseong-gun, Daegu Metropolitan City, Korea, Republic of</t>
        </is>
      </c>
      <c r="B3254" t="inlineStr">
        <is>
          <t>Collecting Point</t>
        </is>
      </c>
      <c r="C3254" t="inlineStr">
        <is>
          <t>Control Union Certifications Germany GmbH, Berlin, DE</t>
        </is>
      </c>
      <c r="D3254" t="inlineStr">
        <is>
          <t>31.05.2027</t>
        </is>
      </c>
      <c r="E3254" t="inlineStr">
        <is>
          <t>Republic of</t>
        </is>
      </c>
    </row>
    <row r="3255">
      <c r="A3255" t="inlineStr">
        <is>
          <t>Vance Renewables Sdn. Bhd.,  Johor Bahru, Malaysia</t>
        </is>
      </c>
      <c r="B3255" t="inlineStr">
        <is>
          <t>Trader with Storage</t>
        </is>
      </c>
      <c r="C3255" t="inlineStr">
        <is>
          <t>Trans Certification and Inspection Sdn Bhd, Kuantan, MY</t>
        </is>
      </c>
      <c r="D3255" t="inlineStr">
        <is>
          <t>31.05.2027</t>
        </is>
      </c>
      <c r="E3255" t="inlineStr">
        <is>
          <t>Malaysia</t>
        </is>
      </c>
    </row>
    <row r="3256">
      <c r="A3256" t="inlineStr">
        <is>
          <t>Peerless Holdings Pty Ltd,  Melbourne, Australia</t>
        </is>
      </c>
      <c r="B3256" t="inlineStr">
        <is>
          <t>Point of Origin</t>
        </is>
      </c>
      <c r="C3256" t="inlineStr">
        <is>
          <t>BM Certification, Riga, LV</t>
        </is>
      </c>
      <c r="D3256" t="inlineStr">
        <is>
          <t>31.05.2027</t>
        </is>
      </c>
      <c r="E3256" t="inlineStr">
        <is>
          <t>Australia</t>
        </is>
      </c>
    </row>
    <row r="3257">
      <c r="A3257" t="inlineStr">
        <is>
          <t>Mitsubishi Corporation Packaging Ltd.,  Tokyo, Japan</t>
        </is>
      </c>
      <c r="B3257" t="inlineStr">
        <is>
          <t>Trader with Storage</t>
        </is>
      </c>
      <c r="C3257" t="inlineStr">
        <is>
          <t>SGS Germany GmbH, Emstek, DE</t>
        </is>
      </c>
      <c r="D3257" t="inlineStr">
        <is>
          <t>31.05.2027</t>
        </is>
      </c>
      <c r="E3257" t="inlineStr">
        <is>
          <t>Japan</t>
        </is>
      </c>
    </row>
    <row r="3258">
      <c r="A3258" t="inlineStr">
        <is>
          <t>Save Energy Co., Ltd.,  Nongong-eup, Dalseong-gun, Daegu Metropolitan City, Korea, Republic of</t>
        </is>
      </c>
      <c r="B3258" t="inlineStr">
        <is>
          <t>Collecting Point</t>
        </is>
      </c>
      <c r="C3258" t="inlineStr">
        <is>
          <t>Control Union Certifications Germany GmbH, Berlin, DE</t>
        </is>
      </c>
      <c r="D3258" t="inlineStr">
        <is>
          <t>31.05.2027</t>
        </is>
      </c>
      <c r="E3258" t="inlineStr">
        <is>
          <t>Republic of</t>
        </is>
      </c>
    </row>
    <row r="3259">
      <c r="A3259" t="inlineStr">
        <is>
          <t>YIHONG DEVELOPMENT (HONGKONG) LIMITED,  Shanghai City, China</t>
        </is>
      </c>
      <c r="B3259" t="inlineStr">
        <is>
          <t>Trader</t>
        </is>
      </c>
      <c r="C3259" t="inlineStr">
        <is>
          <t>SCS Global Services, Emeryville, CA, US</t>
        </is>
      </c>
      <c r="D3259" t="inlineStr">
        <is>
          <t>31.05.2027</t>
        </is>
      </c>
      <c r="E3259" t="inlineStr">
        <is>
          <t>China</t>
        </is>
      </c>
    </row>
    <row r="3260">
      <c r="A3260" t="inlineStr">
        <is>
          <t>Dongguan Xyneco Material Technology Limited,  Dongguan City, Guangdong Province, China</t>
        </is>
      </c>
      <c r="B3260" t="inlineStr">
        <is>
          <t>Processing Unit</t>
        </is>
      </c>
      <c r="C3260" t="inlineStr">
        <is>
          <t>SCS Global Services, Emeryville, CA, US</t>
        </is>
      </c>
      <c r="D3260" t="inlineStr">
        <is>
          <t>31.05.2027</t>
        </is>
      </c>
      <c r="E3260" t="inlineStr">
        <is>
          <t>China</t>
        </is>
      </c>
    </row>
    <row r="3261">
      <c r="A3261" t="inlineStr">
        <is>
          <t>Inner Mongolia Yun Mu Grass Ecological Technology Development Co., LTD,  Xing'an League, Inner Mongolia, China</t>
        </is>
      </c>
      <c r="B3261" t="inlineStr">
        <is>
          <t>First Gathering Point</t>
        </is>
      </c>
      <c r="C3261" t="inlineStr">
        <is>
          <t>SCS Global Services, Emeryville, CA, US</t>
        </is>
      </c>
      <c r="D3261" t="inlineStr">
        <is>
          <t>31.05.2027</t>
        </is>
      </c>
      <c r="E3261" t="inlineStr">
        <is>
          <t>China</t>
        </is>
      </c>
    </row>
    <row r="3262">
      <c r="A3262" t="inlineStr">
        <is>
          <t>Signify Poland Sp. z o.o.,  Pila, Poland</t>
        </is>
      </c>
      <c r="B3262" t="inlineStr">
        <is>
          <t>Processing Unit</t>
        </is>
      </c>
      <c r="C3262" t="inlineStr">
        <is>
          <t>SGS Germany GmbH, Emstek, DE</t>
        </is>
      </c>
      <c r="D3262" t="inlineStr">
        <is>
          <t>31.05.2027</t>
        </is>
      </c>
      <c r="E3262" t="inlineStr">
        <is>
          <t>Poland</t>
        </is>
      </c>
    </row>
    <row r="3263">
      <c r="A3263" t="inlineStr">
        <is>
          <t>LEGEND FORD LIMITED,  Hong Kong, Hong Kong, SAR, China</t>
        </is>
      </c>
      <c r="B3263" t="inlineStr">
        <is>
          <t>Trader</t>
        </is>
      </c>
      <c r="C3263" t="inlineStr">
        <is>
          <t>CTI Certification Co. Ltd, Shenzhen, CN</t>
        </is>
      </c>
      <c r="D3263" t="inlineStr">
        <is>
          <t>31.05.2027</t>
        </is>
      </c>
      <c r="E3263" t="inlineStr">
        <is>
          <t>China</t>
        </is>
      </c>
    </row>
    <row r="3264">
      <c r="A3264" t="inlineStr">
        <is>
          <t>Martin-Brower UK Ltd,  Heywood, Lancashire, United Kingdom</t>
        </is>
      </c>
      <c r="B3264" t="inlineStr">
        <is>
          <t>Collecting Point</t>
        </is>
      </c>
      <c r="C3264" t="inlineStr">
        <is>
          <t>Control Union Certifications Germany GmbH, Berlin, DE</t>
        </is>
      </c>
      <c r="D3264" t="inlineStr">
        <is>
          <t>31.05.2027</t>
        </is>
      </c>
      <c r="E3264" t="inlineStr">
        <is>
          <t>United Kingdom</t>
        </is>
      </c>
    </row>
    <row r="3265">
      <c r="A3265" t="inlineStr">
        <is>
          <t>Treffert GmbH &amp; Co. KG,  Bingen, Germany</t>
        </is>
      </c>
      <c r="B3265" t="inlineStr">
        <is>
          <t>Processing Unit</t>
        </is>
      </c>
      <c r="C3265" t="inlineStr">
        <is>
          <t>SGS Germany GmbH, Emstek, DE</t>
        </is>
      </c>
      <c r="D3265" t="inlineStr">
        <is>
          <t>31.05.2027</t>
        </is>
      </c>
      <c r="E3265" t="inlineStr">
        <is>
          <t>Germany</t>
        </is>
      </c>
    </row>
    <row r="3266">
      <c r="A3266" t="inlineStr">
        <is>
          <t>Kordsa Brazil,  Camaçari, Polo Petroquimico, Brazil</t>
        </is>
      </c>
      <c r="B3266" t="inlineStr">
        <is>
          <t>Processing Unit, Trader</t>
        </is>
      </c>
      <c r="C3266" t="inlineStr">
        <is>
          <t>QIMA, Centro, Botucatu - SP, CEP, BR</t>
        </is>
      </c>
      <c r="D3266" t="inlineStr">
        <is>
          <t>31.05.2027</t>
        </is>
      </c>
      <c r="E3266" t="inlineStr">
        <is>
          <t>Brazil</t>
        </is>
      </c>
    </row>
    <row r="3267">
      <c r="A3267" t="inlineStr">
        <is>
          <t>BCM Energy, LLC,  St Louis, United States</t>
        </is>
      </c>
      <c r="B3267" t="inlineStr">
        <is>
          <t>Trader</t>
        </is>
      </c>
      <c r="C3267" t="inlineStr">
        <is>
          <t>SCS Global Services, Emeryville, CA, US</t>
        </is>
      </c>
      <c r="D3267" t="inlineStr">
        <is>
          <t>31.05.2027</t>
        </is>
      </c>
      <c r="E3267" t="inlineStr">
        <is>
          <t>United States</t>
        </is>
      </c>
    </row>
    <row r="3268">
      <c r="A3268" t="inlineStr">
        <is>
          <t>BCM Energy, LLC,  St Louis, United States</t>
        </is>
      </c>
      <c r="B3268" t="inlineStr">
        <is>
          <t>Trader</t>
        </is>
      </c>
      <c r="C3268" t="inlineStr">
        <is>
          <t>SCS Global Services, Emeryville, CA, US</t>
        </is>
      </c>
      <c r="D3268" t="inlineStr">
        <is>
          <t>31.05.2027</t>
        </is>
      </c>
      <c r="E3268" t="inlineStr">
        <is>
          <t>United States</t>
        </is>
      </c>
    </row>
    <row r="3269">
      <c r="A3269" t="inlineStr">
        <is>
          <t>Shumei Industrial (Hebei) Co., Ltd.,  Cangzhou City, China</t>
        </is>
      </c>
      <c r="B3269" t="inlineStr">
        <is>
          <t>Processing Unit</t>
        </is>
      </c>
      <c r="C3269" t="inlineStr">
        <is>
          <t>Bureau Veritas Polska Sp. z o.o., Warsaw, PL</t>
        </is>
      </c>
      <c r="D3269" t="inlineStr">
        <is>
          <t>31.05.2027</t>
        </is>
      </c>
      <c r="E3269" t="inlineStr">
        <is>
          <t>China</t>
        </is>
      </c>
    </row>
    <row r="3270">
      <c r="A3270" t="inlineStr">
        <is>
          <t>Puma El Salvador, S.A. de C.V.,  Santa Tecla, La Libertad, El Salvador</t>
        </is>
      </c>
      <c r="B3270" t="inlineStr">
        <is>
          <t>Collecting Point</t>
        </is>
      </c>
      <c r="C3270" t="inlineStr">
        <is>
          <t>ASG Cert GmbH, Munich, DE</t>
        </is>
      </c>
      <c r="D3270" t="inlineStr">
        <is>
          <t>31.05.2027</t>
        </is>
      </c>
      <c r="E3270" t="inlineStr">
        <is>
          <t>El Salvador</t>
        </is>
      </c>
    </row>
    <row r="3271">
      <c r="A3271" t="inlineStr">
        <is>
          <t>Puma Energy Guatemala, S.A.,  Guatemala City, Guatemala</t>
        </is>
      </c>
      <c r="B3271" t="inlineStr">
        <is>
          <t>Collecting Point, Trader with Storage</t>
        </is>
      </c>
      <c r="C3271" t="inlineStr">
        <is>
          <t>ASG Cert GmbH, Munich, DE</t>
        </is>
      </c>
      <c r="D3271" t="inlineStr">
        <is>
          <t>31.05.2027</t>
        </is>
      </c>
      <c r="E3271" t="inlineStr">
        <is>
          <t>Guatemala</t>
        </is>
      </c>
    </row>
    <row r="3272">
      <c r="A3272" t="inlineStr">
        <is>
          <t>Zhejiang Fuze New Energy Technology Co., Ltd.,  Huajie Town, Yongkang City, Jinhua City, China</t>
        </is>
      </c>
      <c r="B3272" t="inlineStr">
        <is>
          <t>Collecting Point, Trader with Storage</t>
        </is>
      </c>
      <c r="C3272" t="inlineStr">
        <is>
          <t>SCS Global Services, Emeryville, CA, US</t>
        </is>
      </c>
      <c r="D3272" t="inlineStr">
        <is>
          <t>31.05.2027</t>
        </is>
      </c>
      <c r="E3272" t="inlineStr">
        <is>
          <t>China</t>
        </is>
      </c>
    </row>
    <row r="3273">
      <c r="A3273" t="inlineStr">
        <is>
          <t>Exeter and Devon Airport Limited,  Exeter, United Kingdom</t>
        </is>
      </c>
      <c r="B3273" t="inlineStr">
        <is>
          <t>Proof of Compliance Trader</t>
        </is>
      </c>
      <c r="C3273" t="inlineStr">
        <is>
          <t>Aardvark Certification Ltd, Wiveliscombe, Somerset, GB</t>
        </is>
      </c>
      <c r="D3273" t="inlineStr">
        <is>
          <t>31.05.2027</t>
        </is>
      </c>
      <c r="E3273" t="inlineStr">
        <is>
          <t>United Kingdom</t>
        </is>
      </c>
    </row>
    <row r="3274">
      <c r="A3274" t="inlineStr">
        <is>
          <t>Bournemouth International Airport Limited,  Bournemouth, United Kingdom</t>
        </is>
      </c>
      <c r="B3274" t="inlineStr">
        <is>
          <t>Proof of Compliance Trader</t>
        </is>
      </c>
      <c r="C3274" t="inlineStr">
        <is>
          <t>Aardvark Certification Ltd, Wiveliscombe, Somerset, GB</t>
        </is>
      </c>
      <c r="D3274" t="inlineStr">
        <is>
          <t>31.05.2027</t>
        </is>
      </c>
      <c r="E3274" t="inlineStr">
        <is>
          <t>United Kingdom</t>
        </is>
      </c>
    </row>
    <row r="3275">
      <c r="A3275" t="inlineStr">
        <is>
          <t>BASF SE,  Ludwigshafen, Germany</t>
        </is>
      </c>
      <c r="B3275" t="inlineStr">
        <is>
          <t>Trader with Storage</t>
        </is>
      </c>
      <c r="C3275" t="inlineStr">
        <is>
          <t>TÜV NORD CERT GmbH, Essen, DE</t>
        </is>
      </c>
      <c r="D3275" t="inlineStr">
        <is>
          <t>31.05.2027</t>
        </is>
      </c>
      <c r="E3275" t="inlineStr">
        <is>
          <t>Germany</t>
        </is>
      </c>
    </row>
    <row r="3276">
      <c r="A3276" t="inlineStr">
        <is>
          <t>K. Mantalovas &amp; Sia E.E.,  Paros, Greece</t>
        </is>
      </c>
      <c r="B3276" t="inlineStr">
        <is>
          <t>Collecting Point</t>
        </is>
      </c>
      <c r="C3276" t="inlineStr">
        <is>
          <t>Eurocert SA, Metamorfosi, Athens, GR</t>
        </is>
      </c>
      <c r="D3276" t="inlineStr">
        <is>
          <t>31.05.2027</t>
        </is>
      </c>
      <c r="E3276" t="inlineStr">
        <is>
          <t>Greece</t>
        </is>
      </c>
    </row>
    <row r="3277">
      <c r="A3277" t="inlineStr">
        <is>
          <t>St. Bernard Renewables LLC,  Chalmette, United States</t>
        </is>
      </c>
      <c r="B3277" t="inlineStr">
        <is>
          <t>Trader with Storage, Processing Unit</t>
        </is>
      </c>
      <c r="C3277" t="inlineStr">
        <is>
          <t>SCS Global Services, Emeryville, CA, US</t>
        </is>
      </c>
      <c r="D3277" t="inlineStr">
        <is>
          <t>31.05.2027</t>
        </is>
      </c>
      <c r="E3277" t="inlineStr">
        <is>
          <t>United States</t>
        </is>
      </c>
    </row>
    <row r="3278">
      <c r="A3278" t="inlineStr">
        <is>
          <t>St. Bernard Renewables LLC,  Chalmette, United States</t>
        </is>
      </c>
      <c r="B3278" t="inlineStr">
        <is>
          <t>Trader with Storage, Processing Unit</t>
        </is>
      </c>
      <c r="C3278" t="inlineStr">
        <is>
          <t>SCS Global Services, Emeryville, CA, US</t>
        </is>
      </c>
      <c r="D3278" t="inlineStr">
        <is>
          <t>31.05.2027</t>
        </is>
      </c>
      <c r="E3278" t="inlineStr">
        <is>
          <t>United States</t>
        </is>
      </c>
    </row>
    <row r="3279">
      <c r="A3279" t="inlineStr">
        <is>
          <t>Poil Group - Fzco,  Dubai, The United Arab Emirates</t>
        </is>
      </c>
      <c r="B3279" t="inlineStr">
        <is>
          <t>Collecting Point, Trader</t>
        </is>
      </c>
      <c r="C3279" t="inlineStr">
        <is>
          <t>SCS Global Services, Emeryville, CA, US</t>
        </is>
      </c>
      <c r="D3279" t="inlineStr">
        <is>
          <t>31.05.2027</t>
        </is>
      </c>
      <c r="E3279" t="inlineStr">
        <is>
          <t>The United Arab Emirates</t>
        </is>
      </c>
    </row>
    <row r="3280">
      <c r="A3280" t="inlineStr">
        <is>
          <t>Performance Polyamides GmbH,  Freiburg, Germany</t>
        </is>
      </c>
      <c r="B3280" t="inlineStr">
        <is>
          <t>Processing Unit</t>
        </is>
      </c>
      <c r="C3280" t="inlineStr">
        <is>
          <t>TÜV NORD CERT GmbH, Essen, DE</t>
        </is>
      </c>
      <c r="D3280" t="inlineStr">
        <is>
          <t>31.05.2027</t>
        </is>
      </c>
      <c r="E3280" t="inlineStr">
        <is>
          <t>Germany</t>
        </is>
      </c>
    </row>
    <row r="3281">
      <c r="A3281" t="inlineStr">
        <is>
          <t>World Fuel Services (Singapore) Pte Ltd,  Novena Square Tower B, Singapore</t>
        </is>
      </c>
      <c r="B3281" t="inlineStr">
        <is>
          <t>Trader</t>
        </is>
      </c>
      <c r="C3281" t="inlineStr">
        <is>
          <t>Double Helix Tracking Technologies Pte Ltd, Singapore, SG</t>
        </is>
      </c>
      <c r="D3281" t="inlineStr">
        <is>
          <t>31.05.2027</t>
        </is>
      </c>
      <c r="E3281" t="inlineStr">
        <is>
          <t>Singapore</t>
        </is>
      </c>
    </row>
    <row r="3282">
      <c r="A3282" t="inlineStr">
        <is>
          <t>BASF Corporation,  Freeport, United States</t>
        </is>
      </c>
      <c r="B3282" t="inlineStr">
        <is>
          <t>Processing Unit</t>
        </is>
      </c>
      <c r="C3282" t="inlineStr">
        <is>
          <t>TÜV NORD CERT GmbH, Essen, DE</t>
        </is>
      </c>
      <c r="D3282" t="inlineStr">
        <is>
          <t>31.05.2027</t>
        </is>
      </c>
      <c r="E3282" t="inlineStr">
        <is>
          <t>United States</t>
        </is>
      </c>
    </row>
    <row r="3283">
      <c r="A3283" t="inlineStr">
        <is>
          <t>BASF SE,  Ludwigshafen, Germany</t>
        </is>
      </c>
      <c r="B3283" t="inlineStr">
        <is>
          <t>Processing Unit</t>
        </is>
      </c>
      <c r="C3283" t="inlineStr">
        <is>
          <t>TÜV NORD CERT GmbH, Essen, DE</t>
        </is>
      </c>
      <c r="D3283" t="inlineStr">
        <is>
          <t>31.05.2027</t>
        </is>
      </c>
      <c r="E3283" t="inlineStr">
        <is>
          <t>Germany</t>
        </is>
      </c>
    </row>
    <row r="3284">
      <c r="A3284" t="inlineStr">
        <is>
          <t>O.P. Frutthera Growers,  Scanzano Jonico (MT), Italy</t>
        </is>
      </c>
      <c r="B3284" t="inlineStr">
        <is>
          <t>First Gathering Point</t>
        </is>
      </c>
      <c r="C3284" t="inlineStr">
        <is>
          <t>DNV Business Assurance Sweden AB, Solna, SE</t>
        </is>
      </c>
      <c r="D3284" t="inlineStr">
        <is>
          <t>30.05.2027</t>
        </is>
      </c>
      <c r="E3284" t="inlineStr">
        <is>
          <t>Italy</t>
        </is>
      </c>
    </row>
    <row r="3285">
      <c r="A3285" t="inlineStr">
        <is>
          <t>GREASE BEAST, LLC,  Indiantown, United States</t>
        </is>
      </c>
      <c r="B3285" t="inlineStr">
        <is>
          <t>Collecting Point, Trader</t>
        </is>
      </c>
      <c r="C3285" t="inlineStr">
        <is>
          <t>SCS Global Services, Emeryville, CA, US</t>
        </is>
      </c>
      <c r="D3285" t="inlineStr">
        <is>
          <t>30.05.2027</t>
        </is>
      </c>
      <c r="E3285" t="inlineStr">
        <is>
          <t>United States</t>
        </is>
      </c>
    </row>
    <row r="3286">
      <c r="A3286" t="inlineStr">
        <is>
          <t>GREASE BEAST, LLC,  Indiantown, The United States of America</t>
        </is>
      </c>
      <c r="B3286" t="inlineStr">
        <is>
          <t>Collecting Point, Trader</t>
        </is>
      </c>
      <c r="C3286" t="inlineStr">
        <is>
          <t>SCS Global Services, Emeryville, CA, US</t>
        </is>
      </c>
      <c r="D3286" t="inlineStr">
        <is>
          <t>30.05.2027</t>
        </is>
      </c>
      <c r="E3286" t="inlineStr">
        <is>
          <t>The United States of America</t>
        </is>
      </c>
    </row>
    <row r="3287">
      <c r="A3287" t="inlineStr">
        <is>
          <t>SC Agro VI-PD Italia srl,  Peciu Nou, Romania</t>
        </is>
      </c>
      <c r="B3287" t="inlineStr">
        <is>
          <t>First Gathering Point, Trader with Storage</t>
        </is>
      </c>
      <c r="C3287" t="inlineStr">
        <is>
          <t>SGS Germany GmbH, Emstek, DE</t>
        </is>
      </c>
      <c r="D3287" t="inlineStr">
        <is>
          <t>30.05.2027</t>
        </is>
      </c>
      <c r="E3287" t="inlineStr">
        <is>
          <t>Romania</t>
        </is>
      </c>
    </row>
    <row r="3288">
      <c r="A3288" t="inlineStr">
        <is>
          <t>Agrolog-Hungária Kft.,  Keszthely, Hungary</t>
        </is>
      </c>
      <c r="B3288" t="inlineStr">
        <is>
          <t>First Gathering Point, Trader with Storage</t>
        </is>
      </c>
      <c r="C3288" t="inlineStr">
        <is>
          <t>Amspec Iberia SL, Vilagarcia de Arousa-Pontevedra, ES</t>
        </is>
      </c>
      <c r="D3288" t="inlineStr">
        <is>
          <t>30.05.2027</t>
        </is>
      </c>
      <c r="E3288" t="inlineStr">
        <is>
          <t>Hungary</t>
        </is>
      </c>
    </row>
    <row r="3289">
      <c r="A3289" t="inlineStr">
        <is>
          <t>Suichang Tiansheng Technology Co. Ltd.,  Lishui City, Zhejiang Province, China</t>
        </is>
      </c>
      <c r="B3289" t="inlineStr">
        <is>
          <t>Collecting Point, Trader with Storage</t>
        </is>
      </c>
      <c r="C3289" t="inlineStr">
        <is>
          <t>RINA Services S.p.A., Genova, IT</t>
        </is>
      </c>
      <c r="D3289" t="inlineStr">
        <is>
          <t>30.05.2027</t>
        </is>
      </c>
      <c r="E3289" t="inlineStr">
        <is>
          <t>China</t>
        </is>
      </c>
    </row>
    <row r="3290">
      <c r="A3290" t="inlineStr">
        <is>
          <t>Bunge Ibérica SA,  Sant Just Desvern, Spain</t>
        </is>
      </c>
      <c r="B3290" t="inlineStr">
        <is>
          <t>Trader with Storage</t>
        </is>
      </c>
      <c r="C3290" t="inlineStr">
        <is>
          <t>Control Union Poland Sp. z o.o., Zielona Gora, PL</t>
        </is>
      </c>
      <c r="D3290" t="inlineStr">
        <is>
          <t>30.05.2027</t>
        </is>
      </c>
      <c r="E3290" t="inlineStr">
        <is>
          <t>Spain</t>
        </is>
      </c>
    </row>
    <row r="3291">
      <c r="A3291" t="inlineStr">
        <is>
          <t>Agrokorn Ood,  Burgas, Bulgaria</t>
        </is>
      </c>
      <c r="B3291" t="inlineStr">
        <is>
          <t>First Gathering Point, Trader with Storage</t>
        </is>
      </c>
      <c r="C3291" t="inlineStr">
        <is>
          <t>SGS Germany GmbH, Emstek, DE</t>
        </is>
      </c>
      <c r="D3291" t="inlineStr">
        <is>
          <t>30.05.2027</t>
        </is>
      </c>
      <c r="E3291" t="inlineStr">
        <is>
          <t>Bulgaria</t>
        </is>
      </c>
    </row>
    <row r="3292">
      <c r="A3292" t="inlineStr">
        <is>
          <t>JOC International Technical Engineering Co.,Ltd.,  NanJing City, Jiangsu Province, China</t>
        </is>
      </c>
      <c r="B3292" t="inlineStr">
        <is>
          <t>Trader with Storage</t>
        </is>
      </c>
      <c r="C3292" t="inlineStr">
        <is>
          <t>RINA Services S.p.A., Genova, IT</t>
        </is>
      </c>
      <c r="D3292" t="inlineStr">
        <is>
          <t>30.05.2027</t>
        </is>
      </c>
      <c r="E3292" t="inlineStr">
        <is>
          <t>China</t>
        </is>
      </c>
    </row>
    <row r="3293">
      <c r="A3293" t="inlineStr">
        <is>
          <t>Plastics K. Kotronis SA,  Efpalio, Fokida, Greece</t>
        </is>
      </c>
      <c r="B3293" t="inlineStr">
        <is>
          <t>Processing Unit</t>
        </is>
      </c>
      <c r="C3293" t="inlineStr">
        <is>
          <t>Eurocert SA, Metamorfosi, Athens, GR</t>
        </is>
      </c>
      <c r="D3293" t="inlineStr">
        <is>
          <t>30.05.2027</t>
        </is>
      </c>
      <c r="E3293" t="inlineStr">
        <is>
          <t>Greece</t>
        </is>
      </c>
    </row>
    <row r="3294">
      <c r="A3294" t="inlineStr">
        <is>
          <t>Cofco International Bulgaria ,  Sofia, Bulgaria</t>
        </is>
      </c>
      <c r="B3294" t="inlineStr">
        <is>
          <t>First Gathering Point, Trader with Storage</t>
        </is>
      </c>
      <c r="C3294" t="inlineStr">
        <is>
          <t>Control Union Poland Sp. z o.o., Zielona Gora, PL</t>
        </is>
      </c>
      <c r="D3294" t="inlineStr">
        <is>
          <t>30.05.2027</t>
        </is>
      </c>
      <c r="E3294" t="inlineStr">
        <is>
          <t>Bulgaria</t>
        </is>
      </c>
    </row>
    <row r="3295">
      <c r="A3295" t="inlineStr">
        <is>
          <t>SC Copeland Crop SRL,  Pecica, Romania</t>
        </is>
      </c>
      <c r="B3295" t="inlineStr">
        <is>
          <t>First Gathering Point, Trader with Storage</t>
        </is>
      </c>
      <c r="C3295" t="inlineStr">
        <is>
          <t>SRAC Cert SRL, Bucharest, RO</t>
        </is>
      </c>
      <c r="D3295" t="inlineStr">
        <is>
          <t>30.05.2027</t>
        </is>
      </c>
      <c r="E3295" t="inlineStr">
        <is>
          <t>Romania</t>
        </is>
      </c>
    </row>
    <row r="3296">
      <c r="A3296" t="inlineStr">
        <is>
          <t>Stuart Partners Limited,  Clyst St Mary, Exeter, United Kingdom</t>
        </is>
      </c>
      <c r="B3296" t="inlineStr">
        <is>
          <t>Trader with Storage</t>
        </is>
      </c>
      <c r="C3296" t="inlineStr">
        <is>
          <t>Double Helix Tracking Technologies Pte Ltd, Singapore, SG</t>
        </is>
      </c>
      <c r="D3296" t="inlineStr">
        <is>
          <t>30.05.2027</t>
        </is>
      </c>
      <c r="E3296" t="inlineStr">
        <is>
          <t>United Kingdom</t>
        </is>
      </c>
    </row>
    <row r="3297">
      <c r="A3297" t="inlineStr">
        <is>
          <t>Braicoop Cooperativa Agricola,  Braila, sat Baldovinesti, com. vadeni, Romania</t>
        </is>
      </c>
      <c r="B3297" t="inlineStr">
        <is>
          <t>First Gathering Point</t>
        </is>
      </c>
      <c r="C3297" t="inlineStr">
        <is>
          <t>SRAC Cert SRL, Bucharest, RO</t>
        </is>
      </c>
      <c r="D3297" t="inlineStr">
        <is>
          <t>30.05.2027</t>
        </is>
      </c>
      <c r="E3297" t="inlineStr">
        <is>
          <t>Romania</t>
        </is>
      </c>
    </row>
    <row r="3298">
      <c r="A3298" t="inlineStr">
        <is>
          <t>Tone Valley Services,  Wellington, Somerset, The United Kingdom</t>
        </is>
      </c>
      <c r="B3298" t="inlineStr">
        <is>
          <t>Collecting Point</t>
        </is>
      </c>
      <c r="C3298" t="inlineStr">
        <is>
          <t>Double Helix Tracking Technologies Pte Ltd, Singapore, SG</t>
        </is>
      </c>
      <c r="D3298" t="inlineStr">
        <is>
          <t>30.05.2027</t>
        </is>
      </c>
      <c r="E3298" t="inlineStr">
        <is>
          <t>The United Kingdom</t>
        </is>
      </c>
    </row>
    <row r="3299">
      <c r="A3299" t="inlineStr">
        <is>
          <t>ADM Razgrad EAD,  Razgrad, Bulgaria</t>
        </is>
      </c>
      <c r="B3299" t="inlineStr">
        <is>
          <t>Processing Unit, First Gathering Point, Trader with Storage</t>
        </is>
      </c>
      <c r="C3299" t="inlineStr">
        <is>
          <t>ASG Cert GmbH, Munich, DE</t>
        </is>
      </c>
      <c r="D3299" t="inlineStr">
        <is>
          <t>30.05.2027</t>
        </is>
      </c>
      <c r="E3299" t="inlineStr">
        <is>
          <t>Bulgaria</t>
        </is>
      </c>
    </row>
    <row r="3300">
      <c r="A3300" t="inlineStr">
        <is>
          <t>ADM Razgrad EAD,  Razgrad, Bulgaria</t>
        </is>
      </c>
      <c r="B3300" t="inlineStr">
        <is>
          <t>First Gathering Point, Point of Origin, Processing Unit, Trader with Storage</t>
        </is>
      </c>
      <c r="C3300" t="inlineStr">
        <is>
          <t>ASG Cert GmbH, Munich, DE</t>
        </is>
      </c>
      <c r="D3300" t="inlineStr">
        <is>
          <t>30.05.2027</t>
        </is>
      </c>
      <c r="E3300" t="inlineStr">
        <is>
          <t>Bulgaria</t>
        </is>
      </c>
    </row>
    <row r="3301">
      <c r="A3301" t="inlineStr">
        <is>
          <t>CHUGOKU MARINE PAINTS,LTD.,  Kanzaki-gun, Japan</t>
        </is>
      </c>
      <c r="B3301" t="inlineStr">
        <is>
          <t>Processing Unit</t>
        </is>
      </c>
      <c r="C3301" t="inlineStr">
        <is>
          <t>Control Union Certifications Germany GmbH, Berlin, DE</t>
        </is>
      </c>
      <c r="D3301" t="inlineStr">
        <is>
          <t>30.05.2027</t>
        </is>
      </c>
      <c r="E3301" t="inlineStr">
        <is>
          <t>Japan</t>
        </is>
      </c>
    </row>
    <row r="3302">
      <c r="A3302" t="inlineStr">
        <is>
          <t>OHTAKE-MEISHIN CHEMICAL CO., LTD.,  Hiroshima, Japan</t>
        </is>
      </c>
      <c r="B3302" t="inlineStr">
        <is>
          <t>Processing Unit</t>
        </is>
      </c>
      <c r="C3302" t="inlineStr">
        <is>
          <t>Control Union Certifications Germany GmbH, Berlin, DE</t>
        </is>
      </c>
      <c r="D3302" t="inlineStr">
        <is>
          <t>30.05.2027</t>
        </is>
      </c>
      <c r="E3302" t="inlineStr">
        <is>
          <t>Japan</t>
        </is>
      </c>
    </row>
    <row r="3303">
      <c r="A3303" t="inlineStr">
        <is>
          <t>Elif Plastik Ambalaj San. Ve Tic. A.Ş.,  İstanbul, Turkey</t>
        </is>
      </c>
      <c r="B3303" t="inlineStr">
        <is>
          <t>Processing Unit</t>
        </is>
      </c>
      <c r="C3303" t="inlineStr">
        <is>
          <t>PT Intertek Utama Services, Jakarta, ID</t>
        </is>
      </c>
      <c r="D3303" t="inlineStr">
        <is>
          <t>30.05.2027</t>
        </is>
      </c>
      <c r="E3303" t="inlineStr">
        <is>
          <t>Turkey</t>
        </is>
      </c>
    </row>
    <row r="3304">
      <c r="A3304" t="inlineStr">
        <is>
          <t>WASTE PLASTIC UPCYCLING - TRADING ApS,  Fårevejle, Denmark</t>
        </is>
      </c>
      <c r="B3304" t="inlineStr">
        <is>
          <t>Collecting Point, Trader</t>
        </is>
      </c>
      <c r="C3304" t="inlineStr">
        <is>
          <t>Baltic Control Certification, Albertslund, DK</t>
        </is>
      </c>
      <c r="D3304" t="inlineStr">
        <is>
          <t>30.05.2027</t>
        </is>
      </c>
      <c r="E3304" t="inlineStr">
        <is>
          <t>Denmark</t>
        </is>
      </c>
    </row>
    <row r="3305">
      <c r="A3305" t="inlineStr">
        <is>
          <t>BD8 Ecoplastics Limited,  Hong Kong, Hong Kong, SAR, China</t>
        </is>
      </c>
      <c r="B3305" t="inlineStr">
        <is>
          <t>Trader with Storage</t>
        </is>
      </c>
      <c r="C3305" t="inlineStr">
        <is>
          <t>SCS Global Services, Emeryville, CA, US</t>
        </is>
      </c>
      <c r="D3305" t="inlineStr">
        <is>
          <t>30.05.2027</t>
        </is>
      </c>
      <c r="E3305" t="inlineStr">
        <is>
          <t>China</t>
        </is>
      </c>
    </row>
    <row r="3306">
      <c r="A3306" t="inlineStr">
        <is>
          <t>Bunge Ibérica SA,  Puerto de Escombreras, Cartagena (Murcia), Spain</t>
        </is>
      </c>
      <c r="B3306" t="inlineStr">
        <is>
          <t>Processing Unit, Warehouse, Point of Origin</t>
        </is>
      </c>
      <c r="C3306" t="inlineStr">
        <is>
          <t>Control Union Poland Sp. z o.o., Zielona Gora, PL</t>
        </is>
      </c>
      <c r="D3306" t="inlineStr">
        <is>
          <t>30.05.2027</t>
        </is>
      </c>
      <c r="E3306" t="inlineStr">
        <is>
          <t>Spain</t>
        </is>
      </c>
    </row>
    <row r="3307">
      <c r="A3307" t="inlineStr">
        <is>
          <t>Frogmary Green,  South Petherton, United Kingdom</t>
        </is>
      </c>
      <c r="B3307" t="inlineStr">
        <is>
          <t>Collecting Point</t>
        </is>
      </c>
      <c r="C3307" t="inlineStr">
        <is>
          <t>Double Helix Tracking Technologies Pte Ltd, Singapore, SG</t>
        </is>
      </c>
      <c r="D3307" t="inlineStr">
        <is>
          <t>30.05.2027</t>
        </is>
      </c>
      <c r="E3307" t="inlineStr">
        <is>
          <t>United Kingdom</t>
        </is>
      </c>
    </row>
    <row r="3308">
      <c r="A3308" t="inlineStr">
        <is>
          <t>Condate Biogas,  South Molton, United Kingdom</t>
        </is>
      </c>
      <c r="B3308" t="inlineStr">
        <is>
          <t>Collecting Point, First Gathering Point, Processing Unit</t>
        </is>
      </c>
      <c r="C3308" t="inlineStr">
        <is>
          <t>Double Helix Tracking Technologies Pte Ltd, Singapore, SG</t>
        </is>
      </c>
      <c r="D3308" t="inlineStr">
        <is>
          <t>30.05.2027</t>
        </is>
      </c>
      <c r="E3308" t="inlineStr">
        <is>
          <t>United Kingdom</t>
        </is>
      </c>
    </row>
    <row r="3309">
      <c r="A3309" t="inlineStr">
        <is>
          <t>Gorst Energy,  Exeter, United Kingdom</t>
        </is>
      </c>
      <c r="B3309" t="inlineStr">
        <is>
          <t>Collecting Point, First Gathering Point, Processing Unit</t>
        </is>
      </c>
      <c r="C3309" t="inlineStr">
        <is>
          <t>Double Helix Tracking Technologies Pte Ltd, Singapore, SG</t>
        </is>
      </c>
      <c r="D3309" t="inlineStr">
        <is>
          <t>30.05.2027</t>
        </is>
      </c>
      <c r="E3309" t="inlineStr">
        <is>
          <t>United Kingdom</t>
        </is>
      </c>
    </row>
    <row r="3310">
      <c r="A3310" t="inlineStr">
        <is>
          <t>Sustainable Energy Generation (SEG),  South Petherton, United Kingdom</t>
        </is>
      </c>
      <c r="B3310" t="inlineStr">
        <is>
          <t>Collecting Point, First Gathering Point, Processing Unit</t>
        </is>
      </c>
      <c r="C3310" t="inlineStr">
        <is>
          <t>Double Helix Tracking Technologies Pte Ltd, Singapore, SG</t>
        </is>
      </c>
      <c r="D3310" t="inlineStr">
        <is>
          <t>30.05.2027</t>
        </is>
      </c>
      <c r="E3310" t="inlineStr">
        <is>
          <t>United Kingdom</t>
        </is>
      </c>
    </row>
    <row r="3311">
      <c r="A3311" t="inlineStr">
        <is>
          <t>REPSOL TRADING PERU S.A.C,  San Isidro. Lima., Peru</t>
        </is>
      </c>
      <c r="B3311" t="inlineStr">
        <is>
          <t>Trader with Storage</t>
        </is>
      </c>
      <c r="C3311" t="inlineStr">
        <is>
          <t>Control Union Poland Sp. z o.o., Zielona Gora, PL</t>
        </is>
      </c>
      <c r="D3311" t="inlineStr">
        <is>
          <t>30.05.2027</t>
        </is>
      </c>
      <c r="E3311" t="inlineStr">
        <is>
          <t>Peru</t>
        </is>
      </c>
    </row>
    <row r="3312">
      <c r="A3312" t="inlineStr">
        <is>
          <t>Weener Plastik,  Weener, Germany</t>
        </is>
      </c>
      <c r="B3312" t="inlineStr">
        <is>
          <t>Processing Unit</t>
        </is>
      </c>
      <c r="C3312" t="inlineStr">
        <is>
          <t>DEKRA Certification B.V., Arnhem, NL</t>
        </is>
      </c>
      <c r="D3312" t="inlineStr">
        <is>
          <t>30.05.2027</t>
        </is>
      </c>
      <c r="E3312" t="inlineStr">
        <is>
          <t>Germany</t>
        </is>
      </c>
    </row>
    <row r="3313">
      <c r="A3313" t="inlineStr">
        <is>
          <t>UAB SARIA,  Kaunas, Lithuania</t>
        </is>
      </c>
      <c r="B3313" t="inlineStr">
        <is>
          <t>Collecting Point</t>
        </is>
      </c>
      <c r="C3313" t="inlineStr">
        <is>
          <t>ASG Cert GmbH, Munich, DE</t>
        </is>
      </c>
      <c r="D3313" t="inlineStr">
        <is>
          <t>30.05.2027</t>
        </is>
      </c>
      <c r="E3313" t="inlineStr">
        <is>
          <t>Lithuania</t>
        </is>
      </c>
    </row>
    <row r="3314">
      <c r="A3314" t="inlineStr">
        <is>
          <t>Caldic Benelux,  Hemiksem, Belgium</t>
        </is>
      </c>
      <c r="B3314" t="inlineStr">
        <is>
          <t>Trader with Storage</t>
        </is>
      </c>
      <c r="C3314" t="inlineStr">
        <is>
          <t>DEKRA Certification B.V., Arnhem, NL</t>
        </is>
      </c>
      <c r="D3314" t="inlineStr">
        <is>
          <t>30.05.2027</t>
        </is>
      </c>
      <c r="E3314" t="inlineStr">
        <is>
          <t>Belgium</t>
        </is>
      </c>
    </row>
    <row r="3315">
      <c r="A3315" t="inlineStr">
        <is>
          <t>INEOS Styrolution Korea Ltd.,  Nam-gu, Ulsan, Korea, Korea, Republic of</t>
        </is>
      </c>
      <c r="B3315" t="inlineStr">
        <is>
          <t>Processing Unit, Trader</t>
        </is>
      </c>
      <c r="C3315" t="inlineStr">
        <is>
          <t>Control Union Certifications Germany GmbH, Berlin, DE</t>
        </is>
      </c>
      <c r="D3315" t="inlineStr">
        <is>
          <t>30.05.2027</t>
        </is>
      </c>
      <c r="E3315" t="inlineStr">
        <is>
          <t>Republic of</t>
        </is>
      </c>
    </row>
    <row r="3316">
      <c r="A3316" t="inlineStr">
        <is>
          <t>SC Cereale Colect Distribution Srl,  Mihail Kogalniceanu, Judetul Tulcea, Romania</t>
        </is>
      </c>
      <c r="B3316" t="inlineStr">
        <is>
          <t>First Gathering Point, Trader with Storage</t>
        </is>
      </c>
      <c r="C3316" t="inlineStr">
        <is>
          <t>SGS Germany GmbH, Emstek, DE</t>
        </is>
      </c>
      <c r="D3316" t="inlineStr">
        <is>
          <t>30.05.2027</t>
        </is>
      </c>
      <c r="E3316" t="inlineStr">
        <is>
          <t>Romania</t>
        </is>
      </c>
    </row>
    <row r="3317">
      <c r="A3317" t="inlineStr">
        <is>
          <t>Refinería La Pampilla SAA,  Callao - Lima, Peru</t>
        </is>
      </c>
      <c r="B3317" t="inlineStr">
        <is>
          <t>Trader with Storage</t>
        </is>
      </c>
      <c r="C3317" t="inlineStr">
        <is>
          <t>Control Union Poland Sp. z o.o., Zielona Gora, PL</t>
        </is>
      </c>
      <c r="D3317" t="inlineStr">
        <is>
          <t>29.05.2027</t>
        </is>
      </c>
      <c r="E3317" t="inlineStr">
        <is>
          <t>Peru</t>
        </is>
      </c>
    </row>
    <row r="3318">
      <c r="A3318" t="inlineStr">
        <is>
          <t>SAIPOL,  Lezoux, France</t>
        </is>
      </c>
      <c r="B3318" t="inlineStr">
        <is>
          <t>Processing Unit</t>
        </is>
      </c>
      <c r="C3318" t="inlineStr">
        <is>
          <t>Bureau Veritas Polska Sp. z o.o., Warsaw, PL</t>
        </is>
      </c>
      <c r="D3318" t="inlineStr">
        <is>
          <t>29.05.2027</t>
        </is>
      </c>
      <c r="E3318" t="inlineStr">
        <is>
          <t>France</t>
        </is>
      </c>
    </row>
    <row r="3319">
      <c r="A3319" t="inlineStr">
        <is>
          <t>SHUMMI ENTERPRISE CO.,LTD.,  Taipei, Taiwan, Province of China</t>
        </is>
      </c>
      <c r="B3319" t="inlineStr">
        <is>
          <t>Trader</t>
        </is>
      </c>
      <c r="C3319" t="inlineStr">
        <is>
          <t>Bureau Veritas Polska Sp. z o.o., Warsaw, PL</t>
        </is>
      </c>
      <c r="D3319" t="inlineStr">
        <is>
          <t>29.05.2027</t>
        </is>
      </c>
      <c r="E3319" t="inlineStr">
        <is>
          <t>Province of China</t>
        </is>
      </c>
    </row>
    <row r="3320">
      <c r="A3320" t="inlineStr">
        <is>
          <t>ASTEO,  TOULOUSE, France</t>
        </is>
      </c>
      <c r="B3320" t="inlineStr">
        <is>
          <t>Point of Origin, Processing Unit</t>
        </is>
      </c>
      <c r="C3320" t="inlineStr">
        <is>
          <t>Bureau Veritas Polska Sp. z o.o., Warsaw, PL</t>
        </is>
      </c>
      <c r="D3320" t="inlineStr">
        <is>
          <t>29.05.2027</t>
        </is>
      </c>
      <c r="E3320" t="inlineStr">
        <is>
          <t>France</t>
        </is>
      </c>
    </row>
    <row r="3321">
      <c r="A3321" t="inlineStr">
        <is>
          <t>GS Global Corp.,  Gangnam-gu, Seoul, Korea, Republic of</t>
        </is>
      </c>
      <c r="B3321" t="inlineStr">
        <is>
          <t>Trader</t>
        </is>
      </c>
      <c r="C3321" t="inlineStr">
        <is>
          <t>Control Union Certifications Germany GmbH, Berlin, DE</t>
        </is>
      </c>
      <c r="D3321" t="inlineStr">
        <is>
          <t>29.05.2027</t>
        </is>
      </c>
      <c r="E3321" t="inlineStr">
        <is>
          <t>Republic of</t>
        </is>
      </c>
    </row>
    <row r="3322">
      <c r="A3322" t="inlineStr">
        <is>
          <t>FOX PETROLI,  Pesaro, Italy</t>
        </is>
      </c>
      <c r="B3322" t="inlineStr">
        <is>
          <t>Proof of Compliance Trader, Trader with Storage</t>
        </is>
      </c>
      <c r="C3322" t="inlineStr">
        <is>
          <t>SGS Germany GmbH, Emstek, DE</t>
        </is>
      </c>
      <c r="D3322" t="inlineStr">
        <is>
          <t>29.05.2027</t>
        </is>
      </c>
      <c r="E3322" t="inlineStr">
        <is>
          <t>Italy</t>
        </is>
      </c>
    </row>
    <row r="3323">
      <c r="A3323" t="inlineStr">
        <is>
          <t>TotalEnergies Petrochemicals &amp; Refining,  Antwerp, Belgium</t>
        </is>
      </c>
      <c r="B3323" t="inlineStr">
        <is>
          <t>Processing Unit, Warehouse</t>
        </is>
      </c>
      <c r="C3323" t="inlineStr">
        <is>
          <t>Bureau Veritas Polska Sp. z o.o., Warsaw, PL</t>
        </is>
      </c>
      <c r="D3323" t="inlineStr">
        <is>
          <t>29.05.2027</t>
        </is>
      </c>
      <c r="E3323" t="inlineStr">
        <is>
          <t>Belgium</t>
        </is>
      </c>
    </row>
    <row r="3324">
      <c r="A3324" t="inlineStr">
        <is>
          <t>Sanimax LTD,  Montreal, Canada</t>
        </is>
      </c>
      <c r="B3324" t="inlineStr">
        <is>
          <t>Trader with Storage</t>
        </is>
      </c>
      <c r="C3324" t="inlineStr">
        <is>
          <t>Amspec Iberia SL, Vilagarcia de Arousa-Pontevedra, ES</t>
        </is>
      </c>
      <c r="D3324" t="inlineStr">
        <is>
          <t>29.05.2027</t>
        </is>
      </c>
      <c r="E3324" t="inlineStr">
        <is>
          <t>Canada</t>
        </is>
      </c>
    </row>
    <row r="3325">
      <c r="A3325" t="inlineStr">
        <is>
          <t>GAC Bunker Fuels,  Dubai, The United Arab Emirates</t>
        </is>
      </c>
      <c r="B3325" t="inlineStr">
        <is>
          <t>Trader, Proof of Compliance Trader</t>
        </is>
      </c>
      <c r="C3325" t="inlineStr">
        <is>
          <t>Double Helix Tracking Technologies Pte Ltd, Singapore, SG</t>
        </is>
      </c>
      <c r="D3325" t="inlineStr">
        <is>
          <t>29.05.2027</t>
        </is>
      </c>
      <c r="E3325" t="inlineStr">
        <is>
          <t>The United Arab Emirates</t>
        </is>
      </c>
    </row>
    <row r="3326">
      <c r="A3326" t="inlineStr">
        <is>
          <t>Taizhou Daotian Bio-energy Co.,Ltd.,  Taizhou City,Jiangsu Province, China</t>
        </is>
      </c>
      <c r="B3326" t="inlineStr">
        <is>
          <t>Collecting Point, Trader with Storage</t>
        </is>
      </c>
      <c r="C3326" t="inlineStr">
        <is>
          <t>RINA Services S.p.A., Genova, IT</t>
        </is>
      </c>
      <c r="D3326" t="inlineStr">
        <is>
          <t>29.05.2027</t>
        </is>
      </c>
      <c r="E3326" t="inlineStr">
        <is>
          <t>China</t>
        </is>
      </c>
    </row>
    <row r="3327">
      <c r="A3327" t="inlineStr">
        <is>
          <t>Dalian Tianfu Grease Co., Ltd,  Wafangdian City, Dalian City, China</t>
        </is>
      </c>
      <c r="B3327" t="inlineStr">
        <is>
          <t>Collecting Point, Trader</t>
        </is>
      </c>
      <c r="C3327" t="inlineStr">
        <is>
          <t>RINA Services S.p.A., Genova, IT</t>
        </is>
      </c>
      <c r="D3327" t="inlineStr">
        <is>
          <t>29.05.2027</t>
        </is>
      </c>
      <c r="E3327" t="inlineStr">
        <is>
          <t>China</t>
        </is>
      </c>
    </row>
    <row r="3328">
      <c r="A3328" t="inlineStr">
        <is>
          <t>Shandong Hesheng Environmental Protection Technology Co., Ltd.,  Zouping City, Binzhou City, Shandong Province, China</t>
        </is>
      </c>
      <c r="B3328" t="inlineStr">
        <is>
          <t>Processing Unit</t>
        </is>
      </c>
      <c r="C3328" t="inlineStr">
        <is>
          <t>RINA Services S.p.A., Genova, IT</t>
        </is>
      </c>
      <c r="D3328" t="inlineStr">
        <is>
          <t>29.05.2027</t>
        </is>
      </c>
      <c r="E3328" t="inlineStr">
        <is>
          <t>China</t>
        </is>
      </c>
    </row>
    <row r="3329">
      <c r="A3329" t="inlineStr">
        <is>
          <t>Biooil Egypt,  Alexandria - Abis 1st Village, Egypt</t>
        </is>
      </c>
      <c r="B3329" t="inlineStr">
        <is>
          <t>Collecting Point, Warehouse</t>
        </is>
      </c>
      <c r="C3329" t="inlineStr">
        <is>
          <t>Eurocert SA, Metamorfosi, Athens, GR</t>
        </is>
      </c>
      <c r="D3329" t="inlineStr">
        <is>
          <t>29.05.2027</t>
        </is>
      </c>
      <c r="E3329" t="inlineStr">
        <is>
          <t>Egypt</t>
        </is>
      </c>
    </row>
    <row r="3330">
      <c r="A3330" t="inlineStr">
        <is>
          <t>KW Energi,  Gråsten, Denmark</t>
        </is>
      </c>
      <c r="B3330" t="inlineStr">
        <is>
          <t>Collecting Point, First Gathering Point, Processing Unit</t>
        </is>
      </c>
      <c r="C3330" t="inlineStr">
        <is>
          <t>Baltic Control Certification, Albertslund, DK</t>
        </is>
      </c>
      <c r="D3330" t="inlineStr">
        <is>
          <t>29.05.2027</t>
        </is>
      </c>
      <c r="E3330" t="inlineStr">
        <is>
          <t>Denmark</t>
        </is>
      </c>
    </row>
    <row r="3331">
      <c r="A3331" t="inlineStr">
        <is>
          <t>SAIPOL,  Paris, France</t>
        </is>
      </c>
      <c r="B3331" t="inlineStr">
        <is>
          <t>Logistics Center, Trader with Storage, Central Office (Group of Point of Origin)</t>
        </is>
      </c>
      <c r="C3331" t="inlineStr">
        <is>
          <t>Bureau Veritas Polska Sp. z o.o., Warsaw, PL</t>
        </is>
      </c>
      <c r="D3331" t="inlineStr">
        <is>
          <t>29.05.2027</t>
        </is>
      </c>
      <c r="E3331" t="inlineStr">
        <is>
          <t>France</t>
        </is>
      </c>
    </row>
    <row r="3332">
      <c r="A3332" t="inlineStr">
        <is>
          <t>SAIPOL,  Grand-Couronne, France</t>
        </is>
      </c>
      <c r="B3332" t="inlineStr">
        <is>
          <t>Processing Unit, Warehouse</t>
        </is>
      </c>
      <c r="C3332" t="inlineStr">
        <is>
          <t>Bureau Veritas Polska Sp. z o.o., Warsaw, PL</t>
        </is>
      </c>
      <c r="D3332" t="inlineStr">
        <is>
          <t>29.05.2027</t>
        </is>
      </c>
      <c r="E3332" t="inlineStr">
        <is>
          <t>France</t>
        </is>
      </c>
    </row>
    <row r="3333">
      <c r="A3333" t="inlineStr">
        <is>
          <t>SAIPOL,  Bassens, France</t>
        </is>
      </c>
      <c r="B3333" t="inlineStr">
        <is>
          <t>Processing Unit, Warehouse</t>
        </is>
      </c>
      <c r="C3333" t="inlineStr">
        <is>
          <t>Bureau Veritas Polska Sp. z o.o., Warsaw, PL</t>
        </is>
      </c>
      <c r="D3333" t="inlineStr">
        <is>
          <t>29.05.2027</t>
        </is>
      </c>
      <c r="E3333" t="inlineStr">
        <is>
          <t>France</t>
        </is>
      </c>
    </row>
    <row r="3334">
      <c r="A3334" t="inlineStr">
        <is>
          <t>De Lotto s.r.l.,  San Vito di Cadore, Italy</t>
        </is>
      </c>
      <c r="B3334" t="inlineStr">
        <is>
          <t>Processing Unit</t>
        </is>
      </c>
      <c r="C3334" t="inlineStr">
        <is>
          <t>RINA Services S.p.A., Genova, IT</t>
        </is>
      </c>
      <c r="D3334" t="inlineStr">
        <is>
          <t>29.05.2027</t>
        </is>
      </c>
      <c r="E3334" t="inlineStr">
        <is>
          <t>Italy</t>
        </is>
      </c>
    </row>
    <row r="3335">
      <c r="A3335" t="inlineStr">
        <is>
          <t>Apeiron Bioenergy (Viet Nam) Company Limited,  Ho Chi Minh, Vietnam</t>
        </is>
      </c>
      <c r="B3335" t="inlineStr">
        <is>
          <t>Collecting Point, Trader with Storage</t>
        </is>
      </c>
      <c r="C3335" t="inlineStr">
        <is>
          <t>SCS Global Services, Emeryville, CA, US</t>
        </is>
      </c>
      <c r="D3335" t="inlineStr">
        <is>
          <t>29.05.2027</t>
        </is>
      </c>
      <c r="E3335" t="inlineStr">
        <is>
          <t>Vietnam</t>
        </is>
      </c>
    </row>
    <row r="3336">
      <c r="A3336" t="inlineStr">
        <is>
          <t>Neste AB,  Stockholm, Sweden</t>
        </is>
      </c>
      <c r="B3336" t="inlineStr">
        <is>
          <t>Trader with Storage</t>
        </is>
      </c>
      <c r="C3336" t="inlineStr">
        <is>
          <t>SGS Germany GmbH, Emstek, DE</t>
        </is>
      </c>
      <c r="D3336" t="inlineStr">
        <is>
          <t>29.05.2027</t>
        </is>
      </c>
      <c r="E3336" t="inlineStr">
        <is>
          <t>Sweden</t>
        </is>
      </c>
    </row>
    <row r="3337">
      <c r="A3337" t="inlineStr">
        <is>
          <t>Neste AB,  Stockholm, Sweden</t>
        </is>
      </c>
      <c r="B3337" t="inlineStr">
        <is>
          <t>Trader with Storage</t>
        </is>
      </c>
      <c r="C3337" t="inlineStr">
        <is>
          <t>SGS Germany GmbH, Emstek, DE</t>
        </is>
      </c>
      <c r="D3337" t="inlineStr">
        <is>
          <t>29.05.2027</t>
        </is>
      </c>
      <c r="E3337" t="inlineStr">
        <is>
          <t>Sweden</t>
        </is>
      </c>
    </row>
    <row r="3338">
      <c r="A3338" t="inlineStr">
        <is>
          <t>NIKOLAOU N &amp; SIA OE,  Evoia, Greece</t>
        </is>
      </c>
      <c r="B3338" t="inlineStr">
        <is>
          <t>Collecting Point</t>
        </is>
      </c>
      <c r="C3338" t="inlineStr">
        <is>
          <t>Eurocert SA, Metamorfosi, Athens, GR</t>
        </is>
      </c>
      <c r="D3338" t="inlineStr">
        <is>
          <t>29.05.2027</t>
        </is>
      </c>
      <c r="E3338" t="inlineStr">
        <is>
          <t>Greece</t>
        </is>
      </c>
    </row>
    <row r="3339">
      <c r="A3339" t="inlineStr">
        <is>
          <t>Pedersen Contracting Services Limited,  Woodhall Spa, United Kingdom</t>
        </is>
      </c>
      <c r="B3339" t="inlineStr">
        <is>
          <t>Collecting Point</t>
        </is>
      </c>
      <c r="C3339" t="inlineStr">
        <is>
          <t>Aardvark Certification Ltd, Wiveliscombe, Somerset, GB</t>
        </is>
      </c>
      <c r="D3339" t="inlineStr">
        <is>
          <t>29.05.2027</t>
        </is>
      </c>
      <c r="E3339" t="inlineStr">
        <is>
          <t>United Kingdom</t>
        </is>
      </c>
    </row>
    <row r="3340">
      <c r="A3340" t="inlineStr">
        <is>
          <t>RWA Raiffeisen Ware Austria AG,  Korneuburg, Austria</t>
        </is>
      </c>
      <c r="B3340" t="inlineStr">
        <is>
          <t>Trader with Storage</t>
        </is>
      </c>
      <c r="C3340" t="inlineStr">
        <is>
          <t>RINA Services S.p.A., Genova, IT</t>
        </is>
      </c>
      <c r="D3340" t="inlineStr">
        <is>
          <t>29.05.2027</t>
        </is>
      </c>
      <c r="E3340" t="inlineStr">
        <is>
          <t>Austria</t>
        </is>
      </c>
    </row>
    <row r="3341">
      <c r="A3341" t="inlineStr">
        <is>
          <t>RWA Raiffeisen Ware Austria AG,  Korneuburg, Austria</t>
        </is>
      </c>
      <c r="B3341" t="inlineStr">
        <is>
          <t>Trader with Storage</t>
        </is>
      </c>
      <c r="C3341" t="inlineStr">
        <is>
          <t>RINA Services S.p.A., Genova, IT</t>
        </is>
      </c>
      <c r="D3341" t="inlineStr">
        <is>
          <t>29.05.2027</t>
        </is>
      </c>
      <c r="E3341" t="inlineStr">
        <is>
          <t>Austria</t>
        </is>
      </c>
    </row>
    <row r="3342">
      <c r="A3342" t="inlineStr">
        <is>
          <t>GREEN AMBIENTAL, S.L.,  Lalin-Pontevedra, Spain</t>
        </is>
      </c>
      <c r="B3342" t="inlineStr">
        <is>
          <t>Collecting Point</t>
        </is>
      </c>
      <c r="C3342" t="inlineStr">
        <is>
          <t>RINA Services S.p.A., Genova, IT</t>
        </is>
      </c>
      <c r="D3342" t="inlineStr">
        <is>
          <t>29.05.2027</t>
        </is>
      </c>
      <c r="E3342" t="inlineStr">
        <is>
          <t>Spain</t>
        </is>
      </c>
    </row>
    <row r="3343">
      <c r="A3343" t="inlineStr">
        <is>
          <t>Abadi Timur Mandiri,  DKI Jakarta, Indonesia</t>
        </is>
      </c>
      <c r="B3343" t="inlineStr">
        <is>
          <t>Collecting Point, Trader with Storage</t>
        </is>
      </c>
      <c r="C3343" t="inlineStr">
        <is>
          <t>PT. Qualitas Sertifikasi Indonesia, Jakarta, ID</t>
        </is>
      </c>
      <c r="D3343" t="inlineStr">
        <is>
          <t>29.05.2027</t>
        </is>
      </c>
      <c r="E3343" t="inlineStr">
        <is>
          <t>Indonesia</t>
        </is>
      </c>
    </row>
    <row r="3344">
      <c r="A3344" t="inlineStr">
        <is>
          <t>PT Wilmar Nabati Indonesia,  Kabupaten Gresik, Indonesia</t>
        </is>
      </c>
      <c r="B3344" t="inlineStr">
        <is>
          <t>Point of Origin, Processing Unit, Trader with Storage</t>
        </is>
      </c>
      <c r="C3344" t="inlineStr">
        <is>
          <t>SCS Global Services, Emeryville, CA, US</t>
        </is>
      </c>
      <c r="D3344" t="inlineStr">
        <is>
          <t>29.05.2027</t>
        </is>
      </c>
      <c r="E3344" t="inlineStr">
        <is>
          <t>Indonesia</t>
        </is>
      </c>
    </row>
    <row r="3345">
      <c r="A3345" t="inlineStr">
        <is>
          <t>Psenergija,  Pasodėlės k. 3, Panevežio raj., Lithuania</t>
        </is>
      </c>
      <c r="B3345" t="inlineStr">
        <is>
          <t>Collecting Point, Processing Unit</t>
        </is>
      </c>
      <c r="C3345" t="inlineStr">
        <is>
          <t>Bureau Veritas Polska Sp. z o.o., Warsaw, PL</t>
        </is>
      </c>
      <c r="D3345" t="inlineStr">
        <is>
          <t>29.05.2027</t>
        </is>
      </c>
      <c r="E3345" t="inlineStr">
        <is>
          <t>Lithuania</t>
        </is>
      </c>
    </row>
    <row r="3346">
      <c r="A3346" t="inlineStr">
        <is>
          <t>SAIPOL,  LE MERIOT, France</t>
        </is>
      </c>
      <c r="B3346" t="inlineStr">
        <is>
          <t>Processing Unit, Warehouse</t>
        </is>
      </c>
      <c r="C3346" t="inlineStr">
        <is>
          <t>Bureau Veritas Polska Sp. z o.o., Warsaw, PL</t>
        </is>
      </c>
      <c r="D3346" t="inlineStr">
        <is>
          <t>29.05.2027</t>
        </is>
      </c>
      <c r="E3346" t="inlineStr">
        <is>
          <t>France</t>
        </is>
      </c>
    </row>
    <row r="3347">
      <c r="A3347" t="inlineStr">
        <is>
          <t>Mitsubishi Chemical Europe,  Kerkrade, The Netherlands</t>
        </is>
      </c>
      <c r="B3347" t="inlineStr">
        <is>
          <t>Processing Unit</t>
        </is>
      </c>
      <c r="C3347" t="inlineStr">
        <is>
          <t>TÜV NORD CERT GmbH, Essen, DE</t>
        </is>
      </c>
      <c r="D3347" t="inlineStr">
        <is>
          <t>29.05.2027</t>
        </is>
      </c>
      <c r="E3347" t="inlineStr">
        <is>
          <t>The Netherlands</t>
        </is>
      </c>
    </row>
    <row r="3348">
      <c r="A3348" t="inlineStr">
        <is>
          <t>Mitsubishi Chemical Europe,  Genk, Belgium</t>
        </is>
      </c>
      <c r="B3348" t="inlineStr">
        <is>
          <t>Processing Unit</t>
        </is>
      </c>
      <c r="C3348" t="inlineStr">
        <is>
          <t>TÜV NORD CERT GmbH, Essen, DE</t>
        </is>
      </c>
      <c r="D3348" t="inlineStr">
        <is>
          <t>29.05.2027</t>
        </is>
      </c>
      <c r="E3348" t="inlineStr">
        <is>
          <t>Belgium</t>
        </is>
      </c>
    </row>
    <row r="3349">
      <c r="A3349" t="inlineStr">
        <is>
          <t>Mitsubishi Chemical Europe,  Düsseldorf, Germany</t>
        </is>
      </c>
      <c r="B3349" t="inlineStr">
        <is>
          <t>Trader with Storage</t>
        </is>
      </c>
      <c r="C3349" t="inlineStr">
        <is>
          <t>TÜV NORD CERT GmbH, Essen, DE</t>
        </is>
      </c>
      <c r="D3349" t="inlineStr">
        <is>
          <t>29.05.2027</t>
        </is>
      </c>
      <c r="E3349" t="inlineStr">
        <is>
          <t>Germany</t>
        </is>
      </c>
    </row>
    <row r="3350">
      <c r="A3350" t="inlineStr">
        <is>
          <t>MAYA RECYCLAGE,  CHITTOOR, India</t>
        </is>
      </c>
      <c r="B3350" t="inlineStr">
        <is>
          <t>Point of Origin, Collecting Point, Processing Unit</t>
        </is>
      </c>
      <c r="C3350" t="inlineStr">
        <is>
          <t>SCS Global Services, Emeryville, CA, US</t>
        </is>
      </c>
      <c r="D3350" t="inlineStr">
        <is>
          <t>29.05.2027</t>
        </is>
      </c>
      <c r="E3350" t="inlineStr">
        <is>
          <t>India</t>
        </is>
      </c>
    </row>
    <row r="3351">
      <c r="A3351" t="inlineStr">
        <is>
          <t>MALSA CORPORATION SDN BHD,  JALAN LABUK SUGUT, SANDAKAN, Malaysia</t>
        </is>
      </c>
      <c r="B3351" t="inlineStr">
        <is>
          <t>Point of Origin</t>
        </is>
      </c>
      <c r="C3351" t="inlineStr">
        <is>
          <t>Global Gateway Certifications Sdn Bhd, Ampang, MY</t>
        </is>
      </c>
      <c r="D3351" t="inlineStr">
        <is>
          <t>29.05.2027</t>
        </is>
      </c>
      <c r="E3351" t="inlineStr">
        <is>
          <t>Malaysia</t>
        </is>
      </c>
    </row>
    <row r="3352">
      <c r="A3352" t="inlineStr">
        <is>
          <t>ONE MARINE &amp; OFFSHORE SERVICES PTE. LTD.,  SINGAPORE, Singapore</t>
        </is>
      </c>
      <c r="B3352" t="inlineStr">
        <is>
          <t>Trader</t>
        </is>
      </c>
      <c r="C3352" t="inlineStr">
        <is>
          <t>SCS Global Services, Emeryville, CA, US</t>
        </is>
      </c>
      <c r="D3352" t="inlineStr">
        <is>
          <t>29.05.2027</t>
        </is>
      </c>
      <c r="E3352" t="inlineStr">
        <is>
          <t>Singapore</t>
        </is>
      </c>
    </row>
    <row r="3353">
      <c r="A3353" t="inlineStr">
        <is>
          <t>BERMAN NON EDIBLE OIL TRADING CO. L.L.C,  Bussines Bay, The United Arab Emirates</t>
        </is>
      </c>
      <c r="B3353" t="inlineStr">
        <is>
          <t>Trader</t>
        </is>
      </c>
      <c r="C3353" t="inlineStr">
        <is>
          <t>China Testing &amp; Certification International Group Co., Ltd., Beijing, CN</t>
        </is>
      </c>
      <c r="D3353" t="inlineStr">
        <is>
          <t>29.05.2027</t>
        </is>
      </c>
      <c r="E3353" t="inlineStr">
        <is>
          <t>The United Arab Emirates</t>
        </is>
      </c>
    </row>
    <row r="3354">
      <c r="A3354" t="inlineStr">
        <is>
          <t>INV Nylon Chemicals Americas, LLC,  Victoria, United States</t>
        </is>
      </c>
      <c r="B3354" t="inlineStr">
        <is>
          <t>Processing Unit</t>
        </is>
      </c>
      <c r="C3354" t="inlineStr">
        <is>
          <t>SCS Global Services, Emeryville, CA, US</t>
        </is>
      </c>
      <c r="D3354" t="inlineStr">
        <is>
          <t>29.05.2027</t>
        </is>
      </c>
      <c r="E3354" t="inlineStr">
        <is>
          <t>United States</t>
        </is>
      </c>
    </row>
    <row r="3355">
      <c r="A3355" t="inlineStr">
        <is>
          <t>SK Geo Centric Singapore Pte Ltd,  Singapore, Singapore</t>
        </is>
      </c>
      <c r="B3355" t="inlineStr">
        <is>
          <t>Trader</t>
        </is>
      </c>
      <c r="C3355" t="inlineStr">
        <is>
          <t>Control Union Certifications Germany GmbH, Berlin, DE</t>
        </is>
      </c>
      <c r="D3355" t="inlineStr">
        <is>
          <t>29.05.2027</t>
        </is>
      </c>
      <c r="E3355" t="inlineStr">
        <is>
          <t>Singapore</t>
        </is>
      </c>
    </row>
    <row r="3356">
      <c r="A3356" t="inlineStr">
        <is>
          <t>Provalt Jura,  Saint Amour, France</t>
        </is>
      </c>
      <c r="B3356" t="inlineStr">
        <is>
          <t>Point of Origin</t>
        </is>
      </c>
      <c r="C3356" t="inlineStr">
        <is>
          <t>Control Union Certifications Germany GmbH, Berlin, DE</t>
        </is>
      </c>
      <c r="D3356" t="inlineStr">
        <is>
          <t>29.05.2027</t>
        </is>
      </c>
      <c r="E3356" t="inlineStr">
        <is>
          <t>France</t>
        </is>
      </c>
    </row>
    <row r="3357">
      <c r="A3357" t="inlineStr">
        <is>
          <t>Bunker One (Germany) GmbH,  Rostock, Germany</t>
        </is>
      </c>
      <c r="B3357" t="inlineStr">
        <is>
          <t>Trader with Storage, Proof of Compliance Trader</t>
        </is>
      </c>
      <c r="C3357" t="inlineStr">
        <is>
          <t>Baltic Control Certification, Albertslund, DK</t>
        </is>
      </c>
      <c r="D3357" t="inlineStr">
        <is>
          <t>29.05.2027</t>
        </is>
      </c>
      <c r="E3357" t="inlineStr">
        <is>
          <t>Germany</t>
        </is>
      </c>
    </row>
    <row r="3358">
      <c r="A3358" t="inlineStr">
        <is>
          <t>TotalEnergies Petrochemicals &amp; Refining,  Feluy, Belgium</t>
        </is>
      </c>
      <c r="B3358" t="inlineStr">
        <is>
          <t>Processing Unit, Trader with Storage, Warehouse</t>
        </is>
      </c>
      <c r="C3358" t="inlineStr">
        <is>
          <t>Bureau Veritas Polska Sp. z o.o., Warsaw, PL</t>
        </is>
      </c>
      <c r="D3358" t="inlineStr">
        <is>
          <t>29.05.2027</t>
        </is>
      </c>
      <c r="E3358" t="inlineStr">
        <is>
          <t>Belgium</t>
        </is>
      </c>
    </row>
    <row r="3359">
      <c r="A3359" t="inlineStr">
        <is>
          <t>Haian Tianlan Biotechnology Co., Ltd,  Haian City, China</t>
        </is>
      </c>
      <c r="B3359" t="inlineStr">
        <is>
          <t>Collecting Point, Trader with Storage</t>
        </is>
      </c>
      <c r="C3359" t="inlineStr">
        <is>
          <t>SCS Global Services, Emeryville, CA, US</t>
        </is>
      </c>
      <c r="D3359" t="inlineStr">
        <is>
          <t>29.05.2027</t>
        </is>
      </c>
      <c r="E3359" t="inlineStr">
        <is>
          <t>China</t>
        </is>
      </c>
    </row>
    <row r="3360">
      <c r="A3360" t="inlineStr">
        <is>
          <t>QUATRA OIL IBERIA SL,  Etxarri Aranatz, Spain</t>
        </is>
      </c>
      <c r="B3360" t="inlineStr">
        <is>
          <t>Collecting Point, Trader with Storage</t>
        </is>
      </c>
      <c r="C3360" t="inlineStr">
        <is>
          <t>Control Union Poland Sp. z o.o., Zielona Gora, PL</t>
        </is>
      </c>
      <c r="D3360" t="inlineStr">
        <is>
          <t>29.05.2027</t>
        </is>
      </c>
      <c r="E3360" t="inlineStr">
        <is>
          <t>Spain</t>
        </is>
      </c>
    </row>
    <row r="3361">
      <c r="A3361" t="inlineStr">
        <is>
          <t>INV Nylon Chemicals Americas, LLC.,  Orange, United States</t>
        </is>
      </c>
      <c r="B3361" t="inlineStr">
        <is>
          <t>Processing Unit</t>
        </is>
      </c>
      <c r="C3361" t="inlineStr">
        <is>
          <t>SCS Global Services, Emeryville, CA, US</t>
        </is>
      </c>
      <c r="D3361" t="inlineStr">
        <is>
          <t>29.05.2027</t>
        </is>
      </c>
      <c r="E3361" t="inlineStr">
        <is>
          <t>United States</t>
        </is>
      </c>
    </row>
    <row r="3362">
      <c r="A3362" t="inlineStr">
        <is>
          <t>GS Bio,  Jeollanam-do Yeosu-si, South Korea</t>
        </is>
      </c>
      <c r="B3362" t="inlineStr">
        <is>
          <t>Processing Unit, Trader with Storage</t>
        </is>
      </c>
      <c r="C3362" t="inlineStr">
        <is>
          <t>Control Union Certifications Germany GmbH, Berlin, DE</t>
        </is>
      </c>
      <c r="D3362" t="inlineStr">
        <is>
          <t>29.05.2027</t>
        </is>
      </c>
      <c r="E3362" t="inlineStr">
        <is>
          <t>South Korea</t>
        </is>
      </c>
    </row>
    <row r="3363">
      <c r="A3363" t="inlineStr">
        <is>
          <t>ECO OLEUM S.L,  Alovera (Guadalajara), Spain</t>
        </is>
      </c>
      <c r="B3363" t="inlineStr">
        <is>
          <t>Collecting Point, Trader with Storage, Warehouse</t>
        </is>
      </c>
      <c r="C3363" t="inlineStr">
        <is>
          <t>RINA Services S.p.A., Genova, IT</t>
        </is>
      </c>
      <c r="D3363" t="inlineStr">
        <is>
          <t>29.05.2027</t>
        </is>
      </c>
      <c r="E3363" t="inlineStr">
        <is>
          <t>Spain</t>
        </is>
      </c>
    </row>
    <row r="3364">
      <c r="A3364" t="inlineStr">
        <is>
          <t>RKW SE,  Wasserburg am Inn, Germany</t>
        </is>
      </c>
      <c r="B3364" t="inlineStr">
        <is>
          <t>Final Product Refinement, Processing Unit</t>
        </is>
      </c>
      <c r="C3364" t="inlineStr">
        <is>
          <t>PT Intertek Utama Services, Jakarta, ID</t>
        </is>
      </c>
      <c r="D3364" t="inlineStr">
        <is>
          <t>29.05.2027</t>
        </is>
      </c>
      <c r="E3364" t="inlineStr">
        <is>
          <t>Germany</t>
        </is>
      </c>
    </row>
    <row r="3365">
      <c r="A3365" t="inlineStr">
        <is>
          <t>KENINGAU PALM OIL MILL SDN BHD,  KENINGAU, Malaysia</t>
        </is>
      </c>
      <c r="B3365" t="inlineStr">
        <is>
          <t>Point of Origin</t>
        </is>
      </c>
      <c r="C3365" t="inlineStr">
        <is>
          <t>Global Gateway Certifications Sdn Bhd, Ampang, MY</t>
        </is>
      </c>
      <c r="D3365" t="inlineStr">
        <is>
          <t>29.05.2027</t>
        </is>
      </c>
      <c r="E3365" t="inlineStr">
        <is>
          <t>Malaysia</t>
        </is>
      </c>
    </row>
    <row r="3366">
      <c r="A3366" t="inlineStr">
        <is>
          <t>Birla Carbon Egypt SAE,  Amreya, Alexandria, Egypt</t>
        </is>
      </c>
      <c r="B3366" t="inlineStr">
        <is>
          <t>Processing Unit, Trader with Storage</t>
        </is>
      </c>
      <c r="C3366" t="inlineStr">
        <is>
          <t>PT Intertek Utama Services, Jakarta, ID</t>
        </is>
      </c>
      <c r="D3366" t="inlineStr">
        <is>
          <t>29.05.2027</t>
        </is>
      </c>
      <c r="E3366" t="inlineStr">
        <is>
          <t>Egypt</t>
        </is>
      </c>
    </row>
    <row r="3367">
      <c r="A3367" t="inlineStr">
        <is>
          <t>AGRO, s.r.o.,  Prievidza, Slovakia</t>
        </is>
      </c>
      <c r="B3367" t="inlineStr">
        <is>
          <t>First Gathering Point, Trader</t>
        </is>
      </c>
      <c r="C3367" t="inlineStr">
        <is>
          <t>United Registrar of Systems Polska Sp. z o.o., Wrocław, PL</t>
        </is>
      </c>
      <c r="D3367" t="inlineStr">
        <is>
          <t>29.05.2027</t>
        </is>
      </c>
      <c r="E3367" t="inlineStr">
        <is>
          <t>Slovakia</t>
        </is>
      </c>
    </row>
    <row r="3368">
      <c r="A3368" t="inlineStr">
        <is>
          <t>Ogreen - Advanced Waste Technologies, Unipessoal, Lda.,  Alfena, Portugal</t>
        </is>
      </c>
      <c r="B3368" t="inlineStr">
        <is>
          <t>Collecting Point, Trader with Storage</t>
        </is>
      </c>
      <c r="C3368" t="inlineStr">
        <is>
          <t>Control Union Poland Sp. z o.o., Zielona Gora, PL</t>
        </is>
      </c>
      <c r="D3368" t="inlineStr">
        <is>
          <t>29.05.2027</t>
        </is>
      </c>
      <c r="E3368" t="inlineStr">
        <is>
          <t>Portugal</t>
        </is>
      </c>
    </row>
    <row r="3369">
      <c r="A3369" t="inlineStr">
        <is>
          <t>Jiangsu Tianlan Oil Co., Ltd,  Nantong City, Jiangsu Province, China</t>
        </is>
      </c>
      <c r="B3369" t="inlineStr">
        <is>
          <t>Collecting Point, Trader with Storage</t>
        </is>
      </c>
      <c r="C3369" t="inlineStr">
        <is>
          <t>SCS Global Services, Emeryville, CA, US</t>
        </is>
      </c>
      <c r="D3369" t="inlineStr">
        <is>
          <t>29.05.2027</t>
        </is>
      </c>
      <c r="E3369" t="inlineStr">
        <is>
          <t>China</t>
        </is>
      </c>
    </row>
    <row r="3370">
      <c r="A3370" t="inlineStr">
        <is>
          <t>Sanimax LTD,  Montreal, Canada</t>
        </is>
      </c>
      <c r="B3370" t="inlineStr">
        <is>
          <t>Trader with Storage</t>
        </is>
      </c>
      <c r="C3370" t="inlineStr">
        <is>
          <t>Amspec Iberia SL, Vilagarcia de Arousa-Pontevedra, ES</t>
        </is>
      </c>
      <c r="D3370" t="inlineStr">
        <is>
          <t>29.05.2027</t>
        </is>
      </c>
      <c r="E3370" t="inlineStr">
        <is>
          <t>Canada</t>
        </is>
      </c>
    </row>
    <row r="3371">
      <c r="A3371" t="inlineStr">
        <is>
          <t>PT. Teguh Wira Pratama,  Kabupaten Luwu Timur, Indonesia</t>
        </is>
      </c>
      <c r="B3371" t="inlineStr">
        <is>
          <t>Point of Origin</t>
        </is>
      </c>
      <c r="C3371" t="inlineStr">
        <is>
          <t>PT. Qualitas Sertifikasi Indonesia, Jakarta, ID</t>
        </is>
      </c>
      <c r="D3371" t="inlineStr">
        <is>
          <t>29.05.2027</t>
        </is>
      </c>
      <c r="E3371" t="inlineStr">
        <is>
          <t>Indonesia</t>
        </is>
      </c>
    </row>
    <row r="3372">
      <c r="A3372" t="inlineStr">
        <is>
          <t>PT. Teguh Wira Pratama,  Kabupaten Luwu Timur, Indonesia</t>
        </is>
      </c>
      <c r="B3372" t="inlineStr">
        <is>
          <t>Point of Origin</t>
        </is>
      </c>
      <c r="C3372" t="inlineStr">
        <is>
          <t>PT. Qualitas Sertifikasi Indonesia, Jakarta, ID</t>
        </is>
      </c>
      <c r="D3372" t="inlineStr">
        <is>
          <t>29.05.2027</t>
        </is>
      </c>
      <c r="E3372" t="inlineStr">
        <is>
          <t>Indonesia</t>
        </is>
      </c>
    </row>
    <row r="3373">
      <c r="A3373" t="inlineStr">
        <is>
          <t>DOOSAN ENT Corp.,  Hoengseong-eup, Hoengseong-gun, Gangwon-do, Korea, Republic of</t>
        </is>
      </c>
      <c r="B3373" t="inlineStr">
        <is>
          <t>Collecting Point, Processing Unit</t>
        </is>
      </c>
      <c r="C3373" t="inlineStr">
        <is>
          <t>Control Union Certifications Germany GmbH, Berlin, DE</t>
        </is>
      </c>
      <c r="D3373" t="inlineStr">
        <is>
          <t>29.05.2027</t>
        </is>
      </c>
      <c r="E3373" t="inlineStr">
        <is>
          <t>Republic of</t>
        </is>
      </c>
    </row>
    <row r="3374">
      <c r="A3374" t="inlineStr">
        <is>
          <t>SK chemicals (Yantai) Co., Ltd,  Yantai, China</t>
        </is>
      </c>
      <c r="B3374" t="inlineStr">
        <is>
          <t>Processing Unit</t>
        </is>
      </c>
      <c r="C3374" t="inlineStr">
        <is>
          <t>SGS Germany GmbH, Emstek, DE</t>
        </is>
      </c>
      <c r="D3374" t="inlineStr">
        <is>
          <t>29.05.2027</t>
        </is>
      </c>
      <c r="E3374" t="inlineStr">
        <is>
          <t>China</t>
        </is>
      </c>
    </row>
    <row r="3375">
      <c r="A3375" t="inlineStr">
        <is>
          <t>Prodia SNC,  Saint Amour, France</t>
        </is>
      </c>
      <c r="B3375" t="inlineStr">
        <is>
          <t>Point of Origin</t>
        </is>
      </c>
      <c r="C3375" t="inlineStr">
        <is>
          <t>Control Union Certifications Germany GmbH, Berlin, DE</t>
        </is>
      </c>
      <c r="D3375" t="inlineStr">
        <is>
          <t>29.05.2027</t>
        </is>
      </c>
      <c r="E3375" t="inlineStr">
        <is>
          <t>France</t>
        </is>
      </c>
    </row>
    <row r="3376">
      <c r="A3376" t="inlineStr">
        <is>
          <t>Mitsui Chemicals Europe,  Bad Sobernheim, Germany</t>
        </is>
      </c>
      <c r="B3376" t="inlineStr">
        <is>
          <t>Processing Unit, Trader with Storage</t>
        </is>
      </c>
      <c r="C3376" t="inlineStr">
        <is>
          <t>SGS Germany GmbH, Emstek, DE</t>
        </is>
      </c>
      <c r="D3376" t="inlineStr">
        <is>
          <t>29.05.2027</t>
        </is>
      </c>
      <c r="E3376" t="inlineStr">
        <is>
          <t>Germany</t>
        </is>
      </c>
    </row>
    <row r="3377">
      <c r="A3377" t="inlineStr">
        <is>
          <t>COCEDA,  El Puig de Sta. Maria, Spain</t>
        </is>
      </c>
      <c r="B3377" t="inlineStr">
        <is>
          <t>Point of Origin, Processing Unit</t>
        </is>
      </c>
      <c r="C3377" t="inlineStr">
        <is>
          <t>Bureau Veritas Polska Sp. z o.o., Warsaw, PL</t>
        </is>
      </c>
      <c r="D3377" t="inlineStr">
        <is>
          <t>28.05.2027</t>
        </is>
      </c>
      <c r="E3377" t="inlineStr">
        <is>
          <t>Spain</t>
        </is>
      </c>
    </row>
    <row r="3378">
      <c r="A3378" t="inlineStr">
        <is>
          <t>Covestro Polymers (China) Co., Ltd.,  Shanghai Chemical Industry Park, Shanghai, China</t>
        </is>
      </c>
      <c r="B3378" t="inlineStr">
        <is>
          <t>Processing Unit, Trader with Storage</t>
        </is>
      </c>
      <c r="C3378" t="inlineStr">
        <is>
          <t>DIN CERTCO GmbH, Berlin, DE</t>
        </is>
      </c>
      <c r="D3378" t="inlineStr">
        <is>
          <t>28.05.2027</t>
        </is>
      </c>
      <c r="E3378" t="inlineStr">
        <is>
          <t>China</t>
        </is>
      </c>
    </row>
    <row r="3379">
      <c r="A3379" t="inlineStr">
        <is>
          <t>EXOLUM AVIATION IRELAND,  DUBLIN, Ireland</t>
        </is>
      </c>
      <c r="B3379" t="inlineStr">
        <is>
          <t>Logistics Center</t>
        </is>
      </c>
      <c r="C3379" t="inlineStr">
        <is>
          <t>Control Union Poland Sp. z o.o., Zielona Gora, PL</t>
        </is>
      </c>
      <c r="D3379" t="inlineStr">
        <is>
          <t>28.05.2027</t>
        </is>
      </c>
      <c r="E3379" t="inlineStr">
        <is>
          <t>Ireland</t>
        </is>
      </c>
    </row>
    <row r="3380">
      <c r="A3380" t="inlineStr">
        <is>
          <t>LIMITED LIABILITY COMPANY "SAEC-AGRO",  Mykolaiv region, Voznesenskyi dist, Kalynivka vill, Ukraine</t>
        </is>
      </c>
      <c r="B3380" t="inlineStr">
        <is>
          <t>Farm / Plantation</t>
        </is>
      </c>
      <c r="C3380" t="inlineStr">
        <is>
          <t>Baltic Control Certification, Albertslund, DK</t>
        </is>
      </c>
      <c r="D3380" t="inlineStr">
        <is>
          <t>28.05.2027</t>
        </is>
      </c>
      <c r="E3380" t="inlineStr">
        <is>
          <t>Ukraine</t>
        </is>
      </c>
    </row>
    <row r="3381">
      <c r="A3381" t="inlineStr">
        <is>
          <t>Hefei Debo Bioenergy science&amp;Technology Co.,Ltd,  He County, Ma'anshan City, China</t>
        </is>
      </c>
      <c r="B3381" t="inlineStr">
        <is>
          <t>Trader with Storage, Collecting Point, Processing Unit</t>
        </is>
      </c>
      <c r="C3381" t="inlineStr">
        <is>
          <t>Trans Certification and Inspection Sdn Bhd, Kuantan, MY</t>
        </is>
      </c>
      <c r="D3381" t="inlineStr">
        <is>
          <t>28.05.2027</t>
        </is>
      </c>
      <c r="E3381" t="inlineStr">
        <is>
          <t>China</t>
        </is>
      </c>
    </row>
    <row r="3382">
      <c r="A3382" t="inlineStr">
        <is>
          <t>MARINOIL SERVICE SOCIEDAD ANONIMA,  Meñaka, Spain</t>
        </is>
      </c>
      <c r="B3382" t="inlineStr">
        <is>
          <t>Trader</t>
        </is>
      </c>
      <c r="C3382" t="inlineStr">
        <is>
          <t>DNV Business Assurance Sweden AB, Solna, SE</t>
        </is>
      </c>
      <c r="D3382" t="inlineStr">
        <is>
          <t>28.05.2027</t>
        </is>
      </c>
      <c r="E3382" t="inlineStr">
        <is>
          <t>Spain</t>
        </is>
      </c>
    </row>
    <row r="3383">
      <c r="A3383" t="inlineStr">
        <is>
          <t>OK!OLJE, Roberth Kumprej S.P.,  RAVNE NA KOROŠKEM, Slovenia</t>
        </is>
      </c>
      <c r="B3383" t="inlineStr">
        <is>
          <t>Collecting Point</t>
        </is>
      </c>
      <c r="C3383" t="inlineStr">
        <is>
          <t>Bureau Veritas Polska Sp. z o.o., Warsaw, PL</t>
        </is>
      </c>
      <c r="D3383" t="inlineStr">
        <is>
          <t>28.05.2027</t>
        </is>
      </c>
      <c r="E3383" t="inlineStr">
        <is>
          <t>Slovenia</t>
        </is>
      </c>
    </row>
    <row r="3384">
      <c r="A3384" t="inlineStr">
        <is>
          <t>SAIPOL,  Sète, France</t>
        </is>
      </c>
      <c r="B3384" t="inlineStr">
        <is>
          <t>Processing Unit, Warehouse</t>
        </is>
      </c>
      <c r="C3384" t="inlineStr">
        <is>
          <t>Bureau Veritas Polska Sp. z o.o., Warsaw, PL</t>
        </is>
      </c>
      <c r="D3384" t="inlineStr">
        <is>
          <t>28.05.2027</t>
        </is>
      </c>
      <c r="E3384" t="inlineStr">
        <is>
          <t>France</t>
        </is>
      </c>
    </row>
    <row r="3385">
      <c r="A3385" t="inlineStr">
        <is>
          <t>Cargill BV,  Zaandam, Netherlands</t>
        </is>
      </c>
      <c r="B3385" t="inlineStr">
        <is>
          <t>Point of Origin</t>
        </is>
      </c>
      <c r="C3385" t="inlineStr">
        <is>
          <t>DEKRA Certification B.V., Arnhem, NL</t>
        </is>
      </c>
      <c r="D3385" t="inlineStr">
        <is>
          <t>28.05.2027</t>
        </is>
      </c>
      <c r="E3385" t="inlineStr">
        <is>
          <t>Netherlands</t>
        </is>
      </c>
    </row>
    <row r="3386">
      <c r="A3386" t="inlineStr">
        <is>
          <t>Cargill BV,  Zaandam, Netherlands</t>
        </is>
      </c>
      <c r="B3386" t="inlineStr">
        <is>
          <t>Point of Origin</t>
        </is>
      </c>
      <c r="C3386" t="inlineStr">
        <is>
          <t>DEKRA Certification B.V., Arnhem, NL</t>
        </is>
      </c>
      <c r="D3386" t="inlineStr">
        <is>
          <t>28.05.2027</t>
        </is>
      </c>
      <c r="E3386" t="inlineStr">
        <is>
          <t>Netherlands</t>
        </is>
      </c>
    </row>
    <row r="3387">
      <c r="A3387" t="inlineStr">
        <is>
          <t>BEBEKA U.A.,  Groningen, Netherlands</t>
        </is>
      </c>
      <c r="B3387" t="inlineStr">
        <is>
          <t>Proof of Compliance Trader, Trader</t>
        </is>
      </c>
      <c r="C3387" t="inlineStr">
        <is>
          <t>DEKRA Certification B.V., Arnhem, NL</t>
        </is>
      </c>
      <c r="D3387" t="inlineStr">
        <is>
          <t>28.05.2027</t>
        </is>
      </c>
      <c r="E3387" t="inlineStr">
        <is>
          <t>Netherlands</t>
        </is>
      </c>
    </row>
    <row r="3388">
      <c r="A3388" t="inlineStr">
        <is>
          <t>Cargill BV,  Schiphol, Netherlands</t>
        </is>
      </c>
      <c r="B3388" t="inlineStr">
        <is>
          <t>Trader</t>
        </is>
      </c>
      <c r="C3388" t="inlineStr">
        <is>
          <t>DEKRA Certification B.V., Arnhem, NL</t>
        </is>
      </c>
      <c r="D3388" t="inlineStr">
        <is>
          <t>28.05.2027</t>
        </is>
      </c>
      <c r="E3388" t="inlineStr">
        <is>
          <t>Netherlands</t>
        </is>
      </c>
    </row>
    <row r="3389">
      <c r="A3389" t="inlineStr">
        <is>
          <t>St. Mickalos Company,  London, The United Kingdom</t>
        </is>
      </c>
      <c r="B3389" t="inlineStr">
        <is>
          <t>Collecting Point</t>
        </is>
      </c>
      <c r="C3389" t="inlineStr">
        <is>
          <t>Control Union Certifications Germany GmbH, Berlin, DE</t>
        </is>
      </c>
      <c r="D3389" t="inlineStr">
        <is>
          <t>28.05.2027</t>
        </is>
      </c>
      <c r="E3389" t="inlineStr">
        <is>
          <t>The United Kingdom</t>
        </is>
      </c>
    </row>
    <row r="3390">
      <c r="A3390" t="inlineStr">
        <is>
          <t>Sun Hing Optical Manufactory Limited,  Chang'an Town,,Dongguan City, China</t>
        </is>
      </c>
      <c r="B3390" t="inlineStr">
        <is>
          <t>Trader</t>
        </is>
      </c>
      <c r="C3390" t="inlineStr">
        <is>
          <t>SGS Germany GmbH, Emstek, DE</t>
        </is>
      </c>
      <c r="D3390" t="inlineStr">
        <is>
          <t>28.05.2027</t>
        </is>
      </c>
      <c r="E3390" t="inlineStr">
        <is>
          <t>China</t>
        </is>
      </c>
    </row>
    <row r="3391">
      <c r="A3391" t="inlineStr">
        <is>
          <t>PATTO POMODORO PIEMONTE SCARL,  Alessandria, Italy</t>
        </is>
      </c>
      <c r="B3391" t="inlineStr">
        <is>
          <t>First Gathering Point, Trader</t>
        </is>
      </c>
      <c r="C3391" t="inlineStr">
        <is>
          <t>RINA Services S.p.A., Genova, IT</t>
        </is>
      </c>
      <c r="D3391" t="inlineStr">
        <is>
          <t>28.05.2027</t>
        </is>
      </c>
      <c r="E3391" t="inlineStr">
        <is>
          <t>Italy</t>
        </is>
      </c>
    </row>
    <row r="3392">
      <c r="A3392" t="inlineStr">
        <is>
          <t>TotalEnergies Raffinage France,  Chateauneuf les Martigues,Plateforme de la Mède,, France</t>
        </is>
      </c>
      <c r="B3392" t="inlineStr">
        <is>
          <t>Trader with Storage, Processing Unit</t>
        </is>
      </c>
      <c r="C3392" t="inlineStr">
        <is>
          <t>Bureau Veritas Polska Sp. z o.o., Warsaw, PL</t>
        </is>
      </c>
      <c r="D3392" t="inlineStr">
        <is>
          <t>28.05.2027</t>
        </is>
      </c>
      <c r="E3392" t="inlineStr">
        <is>
          <t>France</t>
        </is>
      </c>
    </row>
    <row r="3393">
      <c r="A3393" t="inlineStr">
        <is>
          <t>EXOLUM AVIATION,  MADRID, Spain</t>
        </is>
      </c>
      <c r="B3393" t="inlineStr">
        <is>
          <t>Logistics Center</t>
        </is>
      </c>
      <c r="C3393" t="inlineStr">
        <is>
          <t>Control Union Poland Sp. z o.o., Zielona Gora, PL</t>
        </is>
      </c>
      <c r="D3393" t="inlineStr">
        <is>
          <t>28.05.2027</t>
        </is>
      </c>
      <c r="E3393" t="inlineStr">
        <is>
          <t>Spain</t>
        </is>
      </c>
    </row>
    <row r="3394">
      <c r="A3394" t="inlineStr">
        <is>
          <t>Ten Kate Vetten BV,  Ter Apelkanaal, Netherlands</t>
        </is>
      </c>
      <c r="B3394" t="inlineStr">
        <is>
          <t>Point of Origin</t>
        </is>
      </c>
      <c r="C3394" t="inlineStr">
        <is>
          <t>GUT Certifizierungsgesellschaft für Managementsysteme mbH Umweltgutachter, Berlin, DE</t>
        </is>
      </c>
      <c r="D3394" t="inlineStr">
        <is>
          <t>28.05.2027</t>
        </is>
      </c>
      <c r="E3394" t="inlineStr">
        <is>
          <t>Netherlands</t>
        </is>
      </c>
    </row>
    <row r="3395">
      <c r="A3395" t="inlineStr">
        <is>
          <t>BioCirc Carbon &amp; Renewables,  Middelfart, Denmark</t>
        </is>
      </c>
      <c r="B3395" t="inlineStr">
        <is>
          <t>Trader</t>
        </is>
      </c>
      <c r="C3395" t="inlineStr">
        <is>
          <t>Baltic Control Certification, Albertslund, DK</t>
        </is>
      </c>
      <c r="D3395" t="inlineStr">
        <is>
          <t>28.05.2027</t>
        </is>
      </c>
      <c r="E3395" t="inlineStr">
        <is>
          <t>Denmark</t>
        </is>
      </c>
    </row>
    <row r="3396">
      <c r="A3396" t="inlineStr">
        <is>
          <t>Lykkeslund Bioenergi ApS,  Otterup, Denmark</t>
        </is>
      </c>
      <c r="B3396" t="inlineStr">
        <is>
          <t>Collecting Point, First Gathering Point, Processing Unit</t>
        </is>
      </c>
      <c r="C3396" t="inlineStr">
        <is>
          <t>Baltic Control Certification, Albertslund, DK</t>
        </is>
      </c>
      <c r="D3396" t="inlineStr">
        <is>
          <t>28.05.2027</t>
        </is>
      </c>
      <c r="E3396" t="inlineStr">
        <is>
          <t>Denmark</t>
        </is>
      </c>
    </row>
    <row r="3397">
      <c r="A3397" t="inlineStr">
        <is>
          <t>Olivketts Global Energy,  Poli Chrysochou, Cyprus</t>
        </is>
      </c>
      <c r="B3397" t="inlineStr">
        <is>
          <t>Trader</t>
        </is>
      </c>
      <c r="C3397" t="inlineStr">
        <is>
          <t>CertRom SRL, Bucuresti, RO</t>
        </is>
      </c>
      <c r="D3397" t="inlineStr">
        <is>
          <t>28.05.2027</t>
        </is>
      </c>
      <c r="E3397" t="inlineStr">
        <is>
          <t>Cyprus</t>
        </is>
      </c>
    </row>
    <row r="3398">
      <c r="A3398" t="inlineStr">
        <is>
          <t>Biovisma Sdn Bhd,  Lahat, Malaysia</t>
        </is>
      </c>
      <c r="B3398" t="inlineStr">
        <is>
          <t>Collecting Point, Trader</t>
        </is>
      </c>
      <c r="C3398" t="inlineStr">
        <is>
          <t>PT Mutuagung Lestari, Depok, ID</t>
        </is>
      </c>
      <c r="D3398" t="inlineStr">
        <is>
          <t>28.05.2027</t>
        </is>
      </c>
      <c r="E3398" t="inlineStr">
        <is>
          <t>Malaysia</t>
        </is>
      </c>
    </row>
    <row r="3399">
      <c r="A3399" t="inlineStr">
        <is>
          <t>TotalEnergies Raffinage France,  Chateauneuf les Martigues,Plateforme de la Mède,, France</t>
        </is>
      </c>
      <c r="B3399" t="inlineStr">
        <is>
          <t>Trader with Storage, Processing Unit</t>
        </is>
      </c>
      <c r="C3399" t="inlineStr">
        <is>
          <t>Bureau Veritas Polska Sp. z o.o., Warsaw, PL</t>
        </is>
      </c>
      <c r="D3399" t="inlineStr">
        <is>
          <t>28.05.2027</t>
        </is>
      </c>
      <c r="E3399" t="inlineStr">
        <is>
          <t>France</t>
        </is>
      </c>
    </row>
    <row r="3400">
      <c r="A3400" t="inlineStr">
        <is>
          <t>Rizhao Fuwen Ying Trading Co., Ltd,  Rizhao City, Shandong Province, China</t>
        </is>
      </c>
      <c r="B3400" t="inlineStr">
        <is>
          <t>Trader</t>
        </is>
      </c>
      <c r="C3400" t="inlineStr">
        <is>
          <t>RINA Services S.p.A., Genova, IT</t>
        </is>
      </c>
      <c r="D3400" t="inlineStr">
        <is>
          <t>28.05.2027</t>
        </is>
      </c>
      <c r="E3400" t="inlineStr">
        <is>
          <t>China</t>
        </is>
      </c>
    </row>
    <row r="3401">
      <c r="A3401" t="inlineStr">
        <is>
          <t>Reciclado de Residuos Grasos S.L. (Resigras),  Torrejón de Velasco, Spain</t>
        </is>
      </c>
      <c r="B3401" t="inlineStr">
        <is>
          <t>Collecting Point, Trader</t>
        </is>
      </c>
      <c r="C3401" t="inlineStr">
        <is>
          <t>Control Union Poland Sp. z o.o., Zielona Gora, PL</t>
        </is>
      </c>
      <c r="D3401" t="inlineStr">
        <is>
          <t>28.05.2027</t>
        </is>
      </c>
      <c r="E3401" t="inlineStr">
        <is>
          <t>Spain</t>
        </is>
      </c>
    </row>
    <row r="3402">
      <c r="A3402" t="inlineStr">
        <is>
          <t>Tratos Cavi Spa,  Pieve Santo Stefano, Italy</t>
        </is>
      </c>
      <c r="B3402" t="inlineStr">
        <is>
          <t>Processing Unit</t>
        </is>
      </c>
      <c r="C3402" t="inlineStr">
        <is>
          <t>Bureau Veritas Polska Sp. z o.o., Warsaw, PL</t>
        </is>
      </c>
      <c r="D3402" t="inlineStr">
        <is>
          <t>28.05.2027</t>
        </is>
      </c>
      <c r="E3402" t="inlineStr">
        <is>
          <t>Italy</t>
        </is>
      </c>
    </row>
    <row r="3403">
      <c r="A3403" t="inlineStr">
        <is>
          <t>Gamalux Oils Sdn Bhd,  Shah Alam,, Malaysia</t>
        </is>
      </c>
      <c r="B3403" t="inlineStr">
        <is>
          <t>Collecting Point, Trader with Storage</t>
        </is>
      </c>
      <c r="C3403" t="inlineStr">
        <is>
          <t>PT Intertek Utama Services, Jakarta, ID</t>
        </is>
      </c>
      <c r="D3403" t="inlineStr">
        <is>
          <t>28.05.2027</t>
        </is>
      </c>
      <c r="E3403" t="inlineStr">
        <is>
          <t>Malaysia</t>
        </is>
      </c>
    </row>
    <row r="3404">
      <c r="A3404" t="inlineStr">
        <is>
          <t>Chung King Enterprise Co., Ltd.,  Guishan Dist., Taoyuan City, Taiwan, Province of China</t>
        </is>
      </c>
      <c r="B3404" t="inlineStr">
        <is>
          <t>Processing Unit</t>
        </is>
      </c>
      <c r="C3404" t="inlineStr">
        <is>
          <t>Bureau Veritas Polska Sp. z o.o., Warsaw, PL</t>
        </is>
      </c>
      <c r="D3404" t="inlineStr">
        <is>
          <t>28.05.2027</t>
        </is>
      </c>
      <c r="E3404" t="inlineStr">
        <is>
          <t>Province of China</t>
        </is>
      </c>
    </row>
    <row r="3405">
      <c r="A3405" t="inlineStr">
        <is>
          <t>Zempron s.r.o.,  Třebíč, Czech Republic</t>
        </is>
      </c>
      <c r="B3405" t="inlineStr">
        <is>
          <t>First Gathering Point, Trader</t>
        </is>
      </c>
      <c r="C3405" t="inlineStr">
        <is>
          <t>United Registrar of Systems Polska Sp. z o.o., Wrocław, PL</t>
        </is>
      </c>
      <c r="D3405" t="inlineStr">
        <is>
          <t>28.05.2027</t>
        </is>
      </c>
      <c r="E3405" t="inlineStr">
        <is>
          <t>Czech Republic</t>
        </is>
      </c>
    </row>
    <row r="3406">
      <c r="A3406" t="inlineStr">
        <is>
          <t>Titan Aviation Fuels Sarl,  Meyrin, Switzerland</t>
        </is>
      </c>
      <c r="B3406" t="inlineStr">
        <is>
          <t>Trader</t>
        </is>
      </c>
      <c r="C3406" t="inlineStr">
        <is>
          <t>Control Union Certifications Germany GmbH, Berlin, DE</t>
        </is>
      </c>
      <c r="D3406" t="inlineStr">
        <is>
          <t>28.05.2027</t>
        </is>
      </c>
      <c r="E3406" t="inlineStr">
        <is>
          <t>Switzerland</t>
        </is>
      </c>
    </row>
    <row r="3407">
      <c r="A3407" t="inlineStr">
        <is>
          <t>Titan Aviation Fuels Sarl,  Meyrin, Switzerland</t>
        </is>
      </c>
      <c r="B3407" t="inlineStr">
        <is>
          <t>Trader</t>
        </is>
      </c>
      <c r="C3407" t="inlineStr">
        <is>
          <t>Control Union Certifications Germany GmbH, Berlin, DE</t>
        </is>
      </c>
      <c r="D3407" t="inlineStr">
        <is>
          <t>28.05.2027</t>
        </is>
      </c>
      <c r="E3407" t="inlineStr">
        <is>
          <t>Switzerland</t>
        </is>
      </c>
    </row>
    <row r="3408">
      <c r="A3408" t="inlineStr">
        <is>
          <t>Wai Hing Industrial (Hong Kong) Co. Limited,  Chai Wan, Hong Kong, China</t>
        </is>
      </c>
      <c r="B3408" t="inlineStr">
        <is>
          <t>Trader</t>
        </is>
      </c>
      <c r="C3408" t="inlineStr">
        <is>
          <t>DIN CERTCO GmbH, Berlin, DE</t>
        </is>
      </c>
      <c r="D3408" t="inlineStr">
        <is>
          <t>28.05.2027</t>
        </is>
      </c>
      <c r="E3408" t="inlineStr">
        <is>
          <t>China</t>
        </is>
      </c>
    </row>
    <row r="3409">
      <c r="A3409" t="inlineStr">
        <is>
          <t>Guaicaramo SAS,  Barranca de Upia, Colombia</t>
        </is>
      </c>
      <c r="B3409" t="inlineStr">
        <is>
          <t>First Gathering Point, Processing Unit</t>
        </is>
      </c>
      <c r="C3409" t="inlineStr">
        <is>
          <t>Control Union Poland Sp. z o.o., Zielona Gora, PL</t>
        </is>
      </c>
      <c r="D3409" t="inlineStr">
        <is>
          <t>28.05.2027</t>
        </is>
      </c>
      <c r="E3409" t="inlineStr">
        <is>
          <t>Colombia</t>
        </is>
      </c>
    </row>
    <row r="3410">
      <c r="A3410" t="inlineStr">
        <is>
          <t>SUPERGASBRAS,  Canoas, Brazil</t>
        </is>
      </c>
      <c r="B3410" t="inlineStr">
        <is>
          <t>Trader with Storage</t>
        </is>
      </c>
      <c r="C3410" t="inlineStr">
        <is>
          <t>QIMA, Centro, Botucatu - SP, CEP, BR</t>
        </is>
      </c>
      <c r="D3410" t="inlineStr">
        <is>
          <t>28.05.2027</t>
        </is>
      </c>
      <c r="E3410" t="inlineStr">
        <is>
          <t>Brazil</t>
        </is>
      </c>
    </row>
    <row r="3411">
      <c r="A3411" t="inlineStr">
        <is>
          <t>PT. Persada Karya Sawit,  Kab. Kutai Kartanegara, Indonesia</t>
        </is>
      </c>
      <c r="B3411" t="inlineStr">
        <is>
          <t>Point of Origin</t>
        </is>
      </c>
      <c r="C3411" t="inlineStr">
        <is>
          <t>PT. Qualitas Sertifikasi Indonesia, Jakarta, ID</t>
        </is>
      </c>
      <c r="D3411" t="inlineStr">
        <is>
          <t>28.05.2027</t>
        </is>
      </c>
      <c r="E3411" t="inlineStr">
        <is>
          <t>Indonesia</t>
        </is>
      </c>
    </row>
    <row r="3412">
      <c r="A3412" t="inlineStr">
        <is>
          <t>Leopold Dangl GmbH,  Hürm, Austria</t>
        </is>
      </c>
      <c r="B3412" t="inlineStr">
        <is>
          <t>Collecting Point</t>
        </is>
      </c>
      <c r="C3412" t="inlineStr">
        <is>
          <t>agroVet GmbH, Enzersfeld, AT</t>
        </is>
      </c>
      <c r="D3412" t="inlineStr">
        <is>
          <t>28.05.2027</t>
        </is>
      </c>
      <c r="E3412" t="inlineStr">
        <is>
          <t>Austria</t>
        </is>
      </c>
    </row>
    <row r="3413">
      <c r="A3413" t="inlineStr">
        <is>
          <t>PT. Persada Karya Sawit,  Kab. Kutai Kartanegara, Indonesia</t>
        </is>
      </c>
      <c r="B3413" t="inlineStr">
        <is>
          <t>Point of Origin</t>
        </is>
      </c>
      <c r="C3413" t="inlineStr">
        <is>
          <t>PT. Qualitas Sertifikasi Indonesia, Jakarta, ID</t>
        </is>
      </c>
      <c r="D3413" t="inlineStr">
        <is>
          <t>28.05.2027</t>
        </is>
      </c>
      <c r="E3413" t="inlineStr">
        <is>
          <t>Indonesia</t>
        </is>
      </c>
    </row>
    <row r="3414">
      <c r="A3414" t="inlineStr">
        <is>
          <t>H&amp;R China (Daxie) Co., Ltd.,  Ningbo, China</t>
        </is>
      </c>
      <c r="B3414" t="inlineStr">
        <is>
          <t>Processing Unit</t>
        </is>
      </c>
      <c r="C3414" t="inlineStr">
        <is>
          <t>SCS Global Services, Emeryville, CA, US</t>
        </is>
      </c>
      <c r="D3414" t="inlineStr">
        <is>
          <t>28.05.2027</t>
        </is>
      </c>
      <c r="E3414" t="inlineStr">
        <is>
          <t>China</t>
        </is>
      </c>
    </row>
    <row r="3415">
      <c r="A3415" t="inlineStr">
        <is>
          <t>Zhangjiagang City Yangshe Town Nie Youshuang Recycled Resources Recycling Station,  Zhangjiagang City,Suzhou City,Jiangsu Province, China</t>
        </is>
      </c>
      <c r="B3415" t="inlineStr">
        <is>
          <t>Collecting Point</t>
        </is>
      </c>
      <c r="C3415" t="inlineStr">
        <is>
          <t>CTI Certification Co. Ltd, Shenzhen, CN</t>
        </is>
      </c>
      <c r="D3415" t="inlineStr">
        <is>
          <t>28.05.2027</t>
        </is>
      </c>
      <c r="E3415" t="inlineStr">
        <is>
          <t>China</t>
        </is>
      </c>
    </row>
    <row r="3416">
      <c r="A3416" t="inlineStr">
        <is>
          <t>Ma'anshan Jixian Renewable Resources Co., Ltd.,  Ma'anshan City, Anhui Province, China</t>
        </is>
      </c>
      <c r="B3416" t="inlineStr">
        <is>
          <t>Collecting Point</t>
        </is>
      </c>
      <c r="C3416" t="inlineStr">
        <is>
          <t>CTI Certification Co. Ltd, Shenzhen, CN</t>
        </is>
      </c>
      <c r="D3416" t="inlineStr">
        <is>
          <t>28.05.2027</t>
        </is>
      </c>
      <c r="E3416" t="inlineStr">
        <is>
          <t>China</t>
        </is>
      </c>
    </row>
    <row r="3417">
      <c r="A3417" t="inlineStr">
        <is>
          <t>Vitol SA,  Europoort Rotterdam, Netherlands</t>
        </is>
      </c>
      <c r="B3417" t="inlineStr">
        <is>
          <t>Processing Unit</t>
        </is>
      </c>
      <c r="C3417" t="inlineStr">
        <is>
          <t>DEKRA Certification B.V., Arnhem, NL</t>
        </is>
      </c>
      <c r="D3417" t="inlineStr">
        <is>
          <t>28.05.2027</t>
        </is>
      </c>
      <c r="E3417" t="inlineStr">
        <is>
          <t>Netherlands</t>
        </is>
      </c>
    </row>
    <row r="3418">
      <c r="A3418" t="inlineStr">
        <is>
          <t>Allnex Advanced Materials (Jiaxing) Co.,  Pinghu Dushan Port Town, Zhejiang, China</t>
        </is>
      </c>
      <c r="B3418" t="inlineStr">
        <is>
          <t>Processing Unit</t>
        </is>
      </c>
      <c r="C3418" t="inlineStr">
        <is>
          <t>SGS Germany GmbH, Emstek, DE</t>
        </is>
      </c>
      <c r="D3418" t="inlineStr">
        <is>
          <t>28.05.2027</t>
        </is>
      </c>
      <c r="E3418" t="inlineStr">
        <is>
          <t>China</t>
        </is>
      </c>
    </row>
    <row r="3419">
      <c r="A3419" t="inlineStr">
        <is>
          <t>EC3R - Rede Nacional de Recolha, LDA,  Gilmonde, Portugal</t>
        </is>
      </c>
      <c r="B3419" t="inlineStr">
        <is>
          <t>Collecting Point, Trader with Storage</t>
        </is>
      </c>
      <c r="C3419" t="inlineStr">
        <is>
          <t>Amspec Iberia SL, Vilagarcia de Arousa-Pontevedra, ES</t>
        </is>
      </c>
      <c r="D3419" t="inlineStr">
        <is>
          <t>28.05.2027</t>
        </is>
      </c>
      <c r="E3419" t="inlineStr">
        <is>
          <t>Portugal</t>
        </is>
      </c>
    </row>
    <row r="3420">
      <c r="A3420" t="inlineStr">
        <is>
          <t>CODISOIL S.A.,  Marin. Pontevedra, Spain</t>
        </is>
      </c>
      <c r="B3420" t="inlineStr">
        <is>
          <t>Collecting Point, Point of Origin</t>
        </is>
      </c>
      <c r="C3420" t="inlineStr">
        <is>
          <t>Amspec Iberia SL, Vilagarcia de Arousa-Pontevedra, ES</t>
        </is>
      </c>
      <c r="D3420" t="inlineStr">
        <is>
          <t>28.05.2027</t>
        </is>
      </c>
      <c r="E3420" t="inlineStr">
        <is>
          <t>Spain</t>
        </is>
      </c>
    </row>
    <row r="3421">
      <c r="A3421" t="inlineStr">
        <is>
          <t>Agricola Bernardi Societa' Agricola,  Parma, Collecchio, Italy</t>
        </is>
      </c>
      <c r="B3421" t="inlineStr">
        <is>
          <t>Farm / Plantation</t>
        </is>
      </c>
      <c r="C3421" t="inlineStr">
        <is>
          <t>RINA Services S.p.A., Genova, IT</t>
        </is>
      </c>
      <c r="D3421" t="inlineStr">
        <is>
          <t>28.05.2027</t>
        </is>
      </c>
      <c r="E3421" t="inlineStr">
        <is>
          <t>Italy</t>
        </is>
      </c>
    </row>
    <row r="3422">
      <c r="A3422" t="inlineStr">
        <is>
          <t>Exolum Corporation, S.A.,  Madrid, Spain</t>
        </is>
      </c>
      <c r="B3422" t="inlineStr">
        <is>
          <t>Logistics Center</t>
        </is>
      </c>
      <c r="C3422" t="inlineStr">
        <is>
          <t>Bureau Veritas Polska Sp. z o.o., Warsaw, PL</t>
        </is>
      </c>
      <c r="D3422" t="inlineStr">
        <is>
          <t>28.05.2027</t>
        </is>
      </c>
      <c r="E3422" t="inlineStr">
        <is>
          <t>Spain</t>
        </is>
      </c>
    </row>
    <row r="3423">
      <c r="A3423" t="inlineStr">
        <is>
          <t>MINERA TRADING FZCO,  JUMEIRAH LAKES TOWER, DUBAI, United Arab Emirates</t>
        </is>
      </c>
      <c r="B3423" t="inlineStr">
        <is>
          <t>Trader</t>
        </is>
      </c>
      <c r="C3423" t="inlineStr">
        <is>
          <t>Control Union Certifications Germany GmbH, Berlin, DE</t>
        </is>
      </c>
      <c r="D3423" t="inlineStr">
        <is>
          <t>28.05.2027</t>
        </is>
      </c>
      <c r="E3423" t="inlineStr">
        <is>
          <t>United Arab Emirates</t>
        </is>
      </c>
    </row>
    <row r="3424">
      <c r="A3424" t="inlineStr">
        <is>
          <t>SIAMP-CEDAP,  Nivelles, Belgium</t>
        </is>
      </c>
      <c r="B3424" t="inlineStr">
        <is>
          <t>Processing Unit</t>
        </is>
      </c>
      <c r="C3424" t="inlineStr">
        <is>
          <t>Bureau Veritas Polska Sp. z o.o., Warsaw, PL</t>
        </is>
      </c>
      <c r="D3424" t="inlineStr">
        <is>
          <t>28.05.2027</t>
        </is>
      </c>
      <c r="E3424" t="inlineStr">
        <is>
          <t>Belgium</t>
        </is>
      </c>
    </row>
    <row r="3425">
      <c r="A3425" t="inlineStr">
        <is>
          <t>Ahrocomerts 2012,  Petropavlivska Borshchahivka village, Kyiv region, Ukraine</t>
        </is>
      </c>
      <c r="B3425" t="inlineStr">
        <is>
          <t>First Gathering Point, Trader</t>
        </is>
      </c>
      <c r="C3425" t="inlineStr">
        <is>
          <t>Apex Genelab LLC, Odessa, UA</t>
        </is>
      </c>
      <c r="D3425" t="inlineStr">
        <is>
          <t>28.05.2027</t>
        </is>
      </c>
      <c r="E3425" t="inlineStr">
        <is>
          <t>Ukraine</t>
        </is>
      </c>
    </row>
    <row r="3426">
      <c r="A3426" t="inlineStr">
        <is>
          <t>Equilex Chemicals BV,  Schiedam, Netherlands</t>
        </is>
      </c>
      <c r="B3426" t="inlineStr">
        <is>
          <t>Trader</t>
        </is>
      </c>
      <c r="C3426" t="inlineStr">
        <is>
          <t>SGS Germany GmbH, Emstek, DE</t>
        </is>
      </c>
      <c r="D3426" t="inlineStr">
        <is>
          <t>28.05.2027</t>
        </is>
      </c>
      <c r="E3426" t="inlineStr">
        <is>
          <t>Netherlands</t>
        </is>
      </c>
    </row>
    <row r="3427">
      <c r="A3427" t="inlineStr">
        <is>
          <t>FS Industria de Biocombustiveis Ltda,  Lucas do Rio Verde, Mato Grosso, Brazil</t>
        </is>
      </c>
      <c r="B3427" t="inlineStr">
        <is>
          <t>First Gathering Point, Point of Origin, Processing Unit</t>
        </is>
      </c>
      <c r="C3427" t="inlineStr">
        <is>
          <t>SCS Global Services, Emeryville, CA, US</t>
        </is>
      </c>
      <c r="D3427" t="inlineStr">
        <is>
          <t>28.05.2027</t>
        </is>
      </c>
      <c r="E3427" t="inlineStr">
        <is>
          <t>Brazil</t>
        </is>
      </c>
    </row>
    <row r="3428">
      <c r="A3428" t="inlineStr">
        <is>
          <t>UAB Lanoka,  Vilnius, Lithuania</t>
        </is>
      </c>
      <c r="B3428" t="inlineStr">
        <is>
          <t>Trader</t>
        </is>
      </c>
      <c r="C3428" t="inlineStr">
        <is>
          <t>RINA Services S.p.A., Genova, IT</t>
        </is>
      </c>
      <c r="D3428" t="inlineStr">
        <is>
          <t>28.05.2027</t>
        </is>
      </c>
      <c r="E3428" t="inlineStr">
        <is>
          <t>Lithuania</t>
        </is>
      </c>
    </row>
    <row r="3429">
      <c r="A3429" t="inlineStr">
        <is>
          <t>STE BEKA ENERGIES,  BEKALTA, Tunisia</t>
        </is>
      </c>
      <c r="B3429" t="inlineStr">
        <is>
          <t>Collecting Point, Trader</t>
        </is>
      </c>
      <c r="C3429" t="inlineStr">
        <is>
          <t>RINA Services S.p.A., Genova, IT</t>
        </is>
      </c>
      <c r="D3429" t="inlineStr">
        <is>
          <t>28.05.2027</t>
        </is>
      </c>
      <c r="E3429" t="inlineStr">
        <is>
          <t>Tunisia</t>
        </is>
      </c>
    </row>
    <row r="3430">
      <c r="A3430" t="inlineStr">
        <is>
          <t>FS Industria de Biocombustiveis Ltda,  Lucas do Rio Verde, Mato Grosso, Brazil</t>
        </is>
      </c>
      <c r="B3430" t="inlineStr">
        <is>
          <t>First Gathering Point, Processing Unit, Point of Origin</t>
        </is>
      </c>
      <c r="C3430" t="inlineStr">
        <is>
          <t>SCS Global Services, Emeryville, CA, US</t>
        </is>
      </c>
      <c r="D3430" t="inlineStr">
        <is>
          <t>28.05.2027</t>
        </is>
      </c>
      <c r="E3430" t="inlineStr">
        <is>
          <t>Brazil</t>
        </is>
      </c>
    </row>
    <row r="3431">
      <c r="A3431" t="inlineStr">
        <is>
          <t>AZIENDA AGRICOLA BONATI ELIO RINO E GIUSEPPE,  PARMA, Italy</t>
        </is>
      </c>
      <c r="B3431" t="inlineStr">
        <is>
          <t>Farm / Plantation, Trader</t>
        </is>
      </c>
      <c r="C3431" t="inlineStr">
        <is>
          <t>RINA Services S.p.A., Genova, IT</t>
        </is>
      </c>
      <c r="D3431" t="inlineStr">
        <is>
          <t>28.05.2027</t>
        </is>
      </c>
      <c r="E3431" t="inlineStr">
        <is>
          <t>Italy</t>
        </is>
      </c>
    </row>
    <row r="3432">
      <c r="A3432" t="inlineStr">
        <is>
          <t>SA Europe Maritime Ltd,  singapore, Singapore</t>
        </is>
      </c>
      <c r="B3432" t="inlineStr">
        <is>
          <t>Logistics Center</t>
        </is>
      </c>
      <c r="C3432" t="inlineStr">
        <is>
          <t>CTI Certification Co. Ltd, Shenzhen, CN</t>
        </is>
      </c>
      <c r="D3432" t="inlineStr">
        <is>
          <t>28.05.2027</t>
        </is>
      </c>
      <c r="E3432" t="inlineStr">
        <is>
          <t>Singapore</t>
        </is>
      </c>
    </row>
    <row r="3433">
      <c r="A3433" t="inlineStr">
        <is>
          <t>Azienda Agricola La Felina,  Parma, Italy</t>
        </is>
      </c>
      <c r="B3433" t="inlineStr">
        <is>
          <t>Farm / Plantation, Trader</t>
        </is>
      </c>
      <c r="C3433" t="inlineStr">
        <is>
          <t>RINA Services S.p.A., Genova, IT</t>
        </is>
      </c>
      <c r="D3433" t="inlineStr">
        <is>
          <t>28.05.2027</t>
        </is>
      </c>
      <c r="E3433" t="inlineStr">
        <is>
          <t>Italy</t>
        </is>
      </c>
    </row>
    <row r="3434">
      <c r="A3434" t="inlineStr">
        <is>
          <t>Sealed Air,  Kettering, United Kingdom</t>
        </is>
      </c>
      <c r="B3434" t="inlineStr">
        <is>
          <t>Trader with Storage</t>
        </is>
      </c>
      <c r="C3434" t="inlineStr">
        <is>
          <t>Control Union Certifications Germany GmbH, Berlin, DE</t>
        </is>
      </c>
      <c r="D3434" t="inlineStr">
        <is>
          <t>27.05.2027</t>
        </is>
      </c>
      <c r="E3434" t="inlineStr">
        <is>
          <t>United Kingdom</t>
        </is>
      </c>
    </row>
    <row r="3435">
      <c r="A3435" t="inlineStr">
        <is>
          <t>UNITEC BIO SA,  Puerto General San Martin, Argentina</t>
        </is>
      </c>
      <c r="B3435" t="inlineStr">
        <is>
          <t>Processing Unit, Point of Origin</t>
        </is>
      </c>
      <c r="C3435" t="inlineStr">
        <is>
          <t>Amspec Iberia SL, Vilagarcia de Arousa-Pontevedra, ES</t>
        </is>
      </c>
      <c r="D3435" t="inlineStr">
        <is>
          <t>27.05.2027</t>
        </is>
      </c>
      <c r="E3435" t="inlineStr">
        <is>
          <t>Argentina</t>
        </is>
      </c>
    </row>
    <row r="3436">
      <c r="A3436" t="inlineStr">
        <is>
          <t>KPX Chemical (Nanjing) Co., Ltd.,  Nanjing City, Jiangsu Province, China</t>
        </is>
      </c>
      <c r="B3436" t="inlineStr">
        <is>
          <t>Processing Unit</t>
        </is>
      </c>
      <c r="C3436" t="inlineStr">
        <is>
          <t>DIN CERTCO GmbH, Berlin, DE</t>
        </is>
      </c>
      <c r="D3436" t="inlineStr">
        <is>
          <t>27.05.2027</t>
        </is>
      </c>
      <c r="E3436" t="inlineStr">
        <is>
          <t>China</t>
        </is>
      </c>
    </row>
    <row r="3437">
      <c r="A3437" t="inlineStr">
        <is>
          <t>SERAMM,  Marseille, France</t>
        </is>
      </c>
      <c r="B3437" t="inlineStr">
        <is>
          <t>Point of Origin, Processing Unit</t>
        </is>
      </c>
      <c r="C3437" t="inlineStr">
        <is>
          <t>Bureau Veritas Polska Sp. z o.o., Warsaw, PL</t>
        </is>
      </c>
      <c r="D3437" t="inlineStr">
        <is>
          <t>27.05.2027</t>
        </is>
      </c>
      <c r="E3437" t="inlineStr">
        <is>
          <t>France</t>
        </is>
      </c>
    </row>
    <row r="3438">
      <c r="A3438" t="inlineStr">
        <is>
          <t>CORSAIR BANGKOK TWO COMPANY LIMITED,  Nonthaburi, Thailand</t>
        </is>
      </c>
      <c r="B3438" t="inlineStr">
        <is>
          <t>Trader, Collecting Point, Processing Unit</t>
        </is>
      </c>
      <c r="C3438" t="inlineStr">
        <is>
          <t>Trans Certification and Inspection Sdn Bhd, Kuantan, MY</t>
        </is>
      </c>
      <c r="D3438" t="inlineStr">
        <is>
          <t>27.05.2027</t>
        </is>
      </c>
      <c r="E3438" t="inlineStr">
        <is>
          <t>Thailand</t>
        </is>
      </c>
    </row>
    <row r="3439">
      <c r="A3439" t="inlineStr">
        <is>
          <t>Hebei Longhai Bioenergy Co.,Ltd,  Handan, Hebei, China</t>
        </is>
      </c>
      <c r="B3439" t="inlineStr">
        <is>
          <t>Processing Unit, Trader with Storage</t>
        </is>
      </c>
      <c r="C3439" t="inlineStr">
        <is>
          <t>RINA Services S.p.A., Genova, IT</t>
        </is>
      </c>
      <c r="D3439" t="inlineStr">
        <is>
          <t>27.05.2027</t>
        </is>
      </c>
      <c r="E3439" t="inlineStr">
        <is>
          <t>China</t>
        </is>
      </c>
    </row>
    <row r="3440">
      <c r="A3440" t="inlineStr">
        <is>
          <t>Shanxi Yongdong Chemical Industry Co., Ltd.,  Yuncheng City, Shanxi Province, China</t>
        </is>
      </c>
      <c r="B3440" t="inlineStr">
        <is>
          <t>Processing Unit</t>
        </is>
      </c>
      <c r="C3440" t="inlineStr">
        <is>
          <t>CTI Certification Co. Ltd, Shenzhen, CN</t>
        </is>
      </c>
      <c r="D3440" t="inlineStr">
        <is>
          <t>27.05.2027</t>
        </is>
      </c>
      <c r="E3440" t="inlineStr">
        <is>
          <t>China</t>
        </is>
      </c>
    </row>
    <row r="3441">
      <c r="A3441" t="inlineStr">
        <is>
          <t>Shanxi Shenglai Renewable Resources Technology Co., Ltd.,  Yuncheng City, Shanxi Province, China</t>
        </is>
      </c>
      <c r="B3441" t="inlineStr">
        <is>
          <t>Collecting Point, Processing Unit</t>
        </is>
      </c>
      <c r="C3441" t="inlineStr">
        <is>
          <t>CTI Certification Co. Ltd, Shenzhen, CN</t>
        </is>
      </c>
      <c r="D3441" t="inlineStr">
        <is>
          <t>27.05.2027</t>
        </is>
      </c>
      <c r="E3441" t="inlineStr">
        <is>
          <t>China</t>
        </is>
      </c>
    </row>
    <row r="3442">
      <c r="A3442" t="inlineStr">
        <is>
          <t>SHPP Japan LLC,  Moka, Japan</t>
        </is>
      </c>
      <c r="B3442" t="inlineStr">
        <is>
          <t>Processing Unit, Warehouse</t>
        </is>
      </c>
      <c r="C3442" t="inlineStr">
        <is>
          <t>TÜV NORD CERT GmbH, Essen, DE</t>
        </is>
      </c>
      <c r="D3442" t="inlineStr">
        <is>
          <t>27.05.2027</t>
        </is>
      </c>
      <c r="E3442" t="inlineStr">
        <is>
          <t>Japan</t>
        </is>
      </c>
    </row>
    <row r="3443">
      <c r="A3443" t="inlineStr">
        <is>
          <t>BINATURAL BAHIA Ltda.,  Simões Filho, Brazil</t>
        </is>
      </c>
      <c r="B3443" t="inlineStr">
        <is>
          <t>Point of Origin, Processing Unit</t>
        </is>
      </c>
      <c r="C3443" t="inlineStr">
        <is>
          <t>Control Union Poland Sp. z o.o., Zielona Gora, PL</t>
        </is>
      </c>
      <c r="D3443" t="inlineStr">
        <is>
          <t>27.05.2027</t>
        </is>
      </c>
      <c r="E3443" t="inlineStr">
        <is>
          <t>Brazil</t>
        </is>
      </c>
    </row>
    <row r="3444">
      <c r="A3444" t="inlineStr">
        <is>
          <t>AICELLO CORPORATION,  Toyohashi, Japan</t>
        </is>
      </c>
      <c r="B3444" t="inlineStr">
        <is>
          <t>Processing Unit</t>
        </is>
      </c>
      <c r="C3444" t="inlineStr">
        <is>
          <t>Control Union Certifications Germany GmbH, Berlin, DE</t>
        </is>
      </c>
      <c r="D3444" t="inlineStr">
        <is>
          <t>27.05.2027</t>
        </is>
      </c>
      <c r="E3444" t="inlineStr">
        <is>
          <t>Japan</t>
        </is>
      </c>
    </row>
    <row r="3445">
      <c r="A3445" t="inlineStr">
        <is>
          <t>AICELLO CORPORATION,  Aichi, Japan</t>
        </is>
      </c>
      <c r="B3445" t="inlineStr">
        <is>
          <t>Processing Unit</t>
        </is>
      </c>
      <c r="C3445" t="inlineStr">
        <is>
          <t>Control Union Certifications Germany GmbH, Berlin, DE</t>
        </is>
      </c>
      <c r="D3445" t="inlineStr">
        <is>
          <t>27.05.2027</t>
        </is>
      </c>
      <c r="E3445" t="inlineStr">
        <is>
          <t>Japan</t>
        </is>
      </c>
    </row>
    <row r="3446">
      <c r="A3446" t="inlineStr">
        <is>
          <t>Moeve Chemicals Products (Shanghai) Co.,  Shanghai Chemical Industry Park, China</t>
        </is>
      </c>
      <c r="B3446" t="inlineStr">
        <is>
          <t>Trader</t>
        </is>
      </c>
      <c r="C3446" t="inlineStr">
        <is>
          <t>Control Union Poland Sp. z o.o., Zielona Gora, PL</t>
        </is>
      </c>
      <c r="D3446" t="inlineStr">
        <is>
          <t>27.05.2027</t>
        </is>
      </c>
      <c r="E3446" t="inlineStr">
        <is>
          <t>China</t>
        </is>
      </c>
    </row>
    <row r="3447">
      <c r="A3447" t="inlineStr">
        <is>
          <t>Moeve Chemicals (Shanghai) Co.,  Shanghai Chemical Industry Park, China</t>
        </is>
      </c>
      <c r="B3447" t="inlineStr">
        <is>
          <t>Processing Unit, Trader with Storage</t>
        </is>
      </c>
      <c r="C3447" t="inlineStr">
        <is>
          <t>Control Union Poland Sp. z o.o., Zielona Gora, PL</t>
        </is>
      </c>
      <c r="D3447" t="inlineStr">
        <is>
          <t>27.05.2027</t>
        </is>
      </c>
      <c r="E3447" t="inlineStr">
        <is>
          <t>China</t>
        </is>
      </c>
    </row>
    <row r="3448">
      <c r="A3448" t="inlineStr">
        <is>
          <t>GSD Agrár Kft.,  Sopronhorpács, Hungary</t>
        </is>
      </c>
      <c r="B3448" t="inlineStr">
        <is>
          <t>First Gathering Point, Trader with Storage</t>
        </is>
      </c>
      <c r="C3448" t="inlineStr">
        <is>
          <t>Amspec Iberia SL, Vilagarcia de Arousa-Pontevedra, ES</t>
        </is>
      </c>
      <c r="D3448" t="inlineStr">
        <is>
          <t>27.05.2027</t>
        </is>
      </c>
      <c r="E3448" t="inlineStr">
        <is>
          <t>Hungary</t>
        </is>
      </c>
    </row>
    <row r="3449">
      <c r="A3449" t="inlineStr">
        <is>
          <t>World Fuel Services Canada,  Vancouver, Canada</t>
        </is>
      </c>
      <c r="B3449" t="inlineStr">
        <is>
          <t>Trader</t>
        </is>
      </c>
      <c r="C3449" t="inlineStr">
        <is>
          <t>SCS Global Services, Emeryville, CA, US</t>
        </is>
      </c>
      <c r="D3449" t="inlineStr">
        <is>
          <t>27.05.2027</t>
        </is>
      </c>
      <c r="E3449" t="inlineStr">
        <is>
          <t>Canada</t>
        </is>
      </c>
    </row>
    <row r="3450">
      <c r="A3450" t="inlineStr">
        <is>
          <t>World Fuel Services,  Miami, FL, United States</t>
        </is>
      </c>
      <c r="B3450" t="inlineStr">
        <is>
          <t>Trader with Storage</t>
        </is>
      </c>
      <c r="C3450" t="inlineStr">
        <is>
          <t>SCS Global Services, Emeryville, CA, US</t>
        </is>
      </c>
      <c r="D3450" t="inlineStr">
        <is>
          <t>27.05.2027</t>
        </is>
      </c>
      <c r="E3450" t="inlineStr">
        <is>
          <t>United States</t>
        </is>
      </c>
    </row>
    <row r="3451">
      <c r="A3451" t="inlineStr">
        <is>
          <t>World Fuel Services,  Miami, FL, United States</t>
        </is>
      </c>
      <c r="B3451" t="inlineStr">
        <is>
          <t>Trader with Storage</t>
        </is>
      </c>
      <c r="C3451" t="inlineStr">
        <is>
          <t>SCS Global Services, Emeryville, CA, US</t>
        </is>
      </c>
      <c r="D3451" t="inlineStr">
        <is>
          <t>27.05.2027</t>
        </is>
      </c>
      <c r="E3451" t="inlineStr">
        <is>
          <t>United States</t>
        </is>
      </c>
    </row>
    <row r="3452">
      <c r="A3452" t="inlineStr">
        <is>
          <t>World Fuel Services,  Miami, FL, United States</t>
        </is>
      </c>
      <c r="B3452" t="inlineStr">
        <is>
          <t>Trader with Storage, Proof of Compliance Trader</t>
        </is>
      </c>
      <c r="C3452" t="inlineStr">
        <is>
          <t>SCS Global Services, Emeryville, CA, US</t>
        </is>
      </c>
      <c r="D3452" t="inlineStr">
        <is>
          <t>27.05.2027</t>
        </is>
      </c>
      <c r="E3452" t="inlineStr">
        <is>
          <t>United States</t>
        </is>
      </c>
    </row>
    <row r="3453">
      <c r="A3453" t="inlineStr">
        <is>
          <t>Biotera, d.o.o,  Komenda, Slovenia</t>
        </is>
      </c>
      <c r="B3453" t="inlineStr">
        <is>
          <t>Collecting Point, Trader</t>
        </is>
      </c>
      <c r="C3453" t="inlineStr">
        <is>
          <t>Bureau Veritas Polska Sp. z o.o., Warsaw, PL</t>
        </is>
      </c>
      <c r="D3453" t="inlineStr">
        <is>
          <t>27.05.2027</t>
        </is>
      </c>
      <c r="E3453" t="inlineStr">
        <is>
          <t>Slovenia</t>
        </is>
      </c>
    </row>
    <row r="3454">
      <c r="A3454" t="inlineStr">
        <is>
          <t>Olenex Sàrl,  Rolle, Switzerland</t>
        </is>
      </c>
      <c r="B3454" t="inlineStr">
        <is>
          <t>Trader with Storage</t>
        </is>
      </c>
      <c r="C3454" t="inlineStr">
        <is>
          <t>ASG Cert GmbH, Munich, DE</t>
        </is>
      </c>
      <c r="D3454" t="inlineStr">
        <is>
          <t>27.05.2027</t>
        </is>
      </c>
      <c r="E3454" t="inlineStr">
        <is>
          <t>Switzerland</t>
        </is>
      </c>
    </row>
    <row r="3455">
      <c r="A3455" t="inlineStr">
        <is>
          <t>Olenex Sàrl,  Rolle, Switzerland</t>
        </is>
      </c>
      <c r="B3455" t="inlineStr">
        <is>
          <t>Trader with Storage</t>
        </is>
      </c>
      <c r="C3455" t="inlineStr">
        <is>
          <t>ASG Cert GmbH, Munich, DE</t>
        </is>
      </c>
      <c r="D3455" t="inlineStr">
        <is>
          <t>27.05.2027</t>
        </is>
      </c>
      <c r="E3455" t="inlineStr">
        <is>
          <t>Switzerland</t>
        </is>
      </c>
    </row>
    <row r="3456">
      <c r="A3456" t="inlineStr">
        <is>
          <t>ProAmpac Holdings, Inc.,  Cincinnati, United States</t>
        </is>
      </c>
      <c r="B3456" t="inlineStr">
        <is>
          <t>Processing Unit, Trader with Storage</t>
        </is>
      </c>
      <c r="C3456" t="inlineStr">
        <is>
          <t>SCS Global Services, Emeryville, CA, US</t>
        </is>
      </c>
      <c r="D3456" t="inlineStr">
        <is>
          <t>27.05.2027</t>
        </is>
      </c>
      <c r="E3456" t="inlineStr">
        <is>
          <t>United States</t>
        </is>
      </c>
    </row>
    <row r="3457">
      <c r="A3457" t="inlineStr">
        <is>
          <t>Filthaus GmbH,  Meinerzhagen, Germany</t>
        </is>
      </c>
      <c r="B3457" t="inlineStr">
        <is>
          <t>Processing Unit</t>
        </is>
      </c>
      <c r="C3457" t="inlineStr">
        <is>
          <t>GUT Certifizierungsgesellschaft für Managementsysteme mbH Umweltgutachter, Berlin, DE</t>
        </is>
      </c>
      <c r="D3457" t="inlineStr">
        <is>
          <t>27.05.2027</t>
        </is>
      </c>
      <c r="E3457" t="inlineStr">
        <is>
          <t>Germany</t>
        </is>
      </c>
    </row>
    <row r="3458">
      <c r="A3458" t="inlineStr">
        <is>
          <t>Pelagia Bressay Ltd,  Bressay, Shetland, United Kingdom</t>
        </is>
      </c>
      <c r="B3458" t="inlineStr">
        <is>
          <t>Collecting Point, Processing Unit</t>
        </is>
      </c>
      <c r="C3458" t="inlineStr">
        <is>
          <t>BM Certification, Riga, LV</t>
        </is>
      </c>
      <c r="D3458" t="inlineStr">
        <is>
          <t>27.05.2027</t>
        </is>
      </c>
      <c r="E3458" t="inlineStr">
        <is>
          <t>United Kingdom</t>
        </is>
      </c>
    </row>
    <row r="3459">
      <c r="A3459" t="inlineStr">
        <is>
          <t>Standard Partners Limited,  KWUN TONG, Hong Kong (SAR)</t>
        </is>
      </c>
      <c r="B3459" t="inlineStr">
        <is>
          <t>Trader</t>
        </is>
      </c>
      <c r="C3459" t="inlineStr">
        <is>
          <t>DIN CERTCO GmbH, Berlin, DE</t>
        </is>
      </c>
      <c r="D3459" t="inlineStr">
        <is>
          <t>27.05.2027</t>
        </is>
      </c>
      <c r="E3459" t="inlineStr">
        <is>
          <t>Hong Kong (SAR)</t>
        </is>
      </c>
    </row>
    <row r="3460">
      <c r="A3460" t="inlineStr">
        <is>
          <t>PAARANG CO.,LTD,  Seocho-Gu, Seoul, South Korea</t>
        </is>
      </c>
      <c r="B3460" t="inlineStr">
        <is>
          <t>Trader</t>
        </is>
      </c>
      <c r="C3460" t="inlineStr">
        <is>
          <t>Control Union Certifications Germany GmbH, Berlin, DE</t>
        </is>
      </c>
      <c r="D3460" t="inlineStr">
        <is>
          <t>27.05.2027</t>
        </is>
      </c>
      <c r="E3460" t="inlineStr">
        <is>
          <t>South Korea</t>
        </is>
      </c>
    </row>
    <row r="3461">
      <c r="A3461" t="inlineStr">
        <is>
          <t>Air Products Nederland B.V.,  Rotterdam, Netherlands</t>
        </is>
      </c>
      <c r="B3461" t="inlineStr">
        <is>
          <t>Processing Unit, Trader</t>
        </is>
      </c>
      <c r="C3461" t="inlineStr">
        <is>
          <t>Normec QS BV, Ede, NL</t>
        </is>
      </c>
      <c r="D3461" t="inlineStr">
        <is>
          <t>27.05.2027</t>
        </is>
      </c>
      <c r="E3461" t="inlineStr">
        <is>
          <t>Netherlands</t>
        </is>
      </c>
    </row>
    <row r="3462">
      <c r="A3462" t="inlineStr">
        <is>
          <t>Air Products Nederland B.V.,  Rotterdam, Netherlands</t>
        </is>
      </c>
      <c r="B3462" t="inlineStr">
        <is>
          <t>Processing Unit, Trader with Storage</t>
        </is>
      </c>
      <c r="C3462" t="inlineStr">
        <is>
          <t>Normec QS BV, Ede, NL</t>
        </is>
      </c>
      <c r="D3462" t="inlineStr">
        <is>
          <t>27.05.2027</t>
        </is>
      </c>
      <c r="E3462" t="inlineStr">
        <is>
          <t>Netherlands</t>
        </is>
      </c>
    </row>
    <row r="3463">
      <c r="A3463" t="inlineStr">
        <is>
          <t>Anchor Packaging, LLC,  Paragould, United States</t>
        </is>
      </c>
      <c r="B3463" t="inlineStr">
        <is>
          <t>Processing Unit</t>
        </is>
      </c>
      <c r="C3463" t="inlineStr">
        <is>
          <t>SCS Global Services, Emeryville, CA, US</t>
        </is>
      </c>
      <c r="D3463" t="inlineStr">
        <is>
          <t>27.05.2027</t>
        </is>
      </c>
      <c r="E3463" t="inlineStr">
        <is>
          <t>United States</t>
        </is>
      </c>
    </row>
    <row r="3464">
      <c r="A3464" t="inlineStr">
        <is>
          <t>Anchor Packaging, LLC,  Jonesboro, United States</t>
        </is>
      </c>
      <c r="B3464" t="inlineStr">
        <is>
          <t>Processing Unit</t>
        </is>
      </c>
      <c r="C3464" t="inlineStr">
        <is>
          <t>SCS Global Services, Emeryville, CA, US</t>
        </is>
      </c>
      <c r="D3464" t="inlineStr">
        <is>
          <t>27.05.2027</t>
        </is>
      </c>
      <c r="E3464" t="inlineStr">
        <is>
          <t>United States</t>
        </is>
      </c>
    </row>
    <row r="3465">
      <c r="A3465" t="inlineStr">
        <is>
          <t>Fusão Enigmática,  Arrifana, Portugal</t>
        </is>
      </c>
      <c r="B3465" t="inlineStr">
        <is>
          <t>Collecting Point, Processing Unit</t>
        </is>
      </c>
      <c r="C3465" t="inlineStr">
        <is>
          <t>SGS Germany GmbH, Emstek, DE</t>
        </is>
      </c>
      <c r="D3465" t="inlineStr">
        <is>
          <t>27.05.2027</t>
        </is>
      </c>
      <c r="E3465" t="inlineStr">
        <is>
          <t>Portugal</t>
        </is>
      </c>
    </row>
    <row r="3466">
      <c r="A3466" t="inlineStr">
        <is>
          <t>FARMER HOUSE COOPERATIVA AGRICOLA,  COMUNA BELCIUGATELE JUDETUL CALARASI, Romania</t>
        </is>
      </c>
      <c r="B3466" t="inlineStr">
        <is>
          <t>First Gathering Point</t>
        </is>
      </c>
      <c r="C3466" t="inlineStr">
        <is>
          <t>BM Certification, Riga, LV</t>
        </is>
      </c>
      <c r="D3466" t="inlineStr">
        <is>
          <t>27.05.2027</t>
        </is>
      </c>
      <c r="E3466" t="inlineStr">
        <is>
          <t>Romania</t>
        </is>
      </c>
    </row>
    <row r="3467">
      <c r="A3467" t="inlineStr">
        <is>
          <t>JIA INTERNATIONAL CO., LTD.,  Huizhou city, China</t>
        </is>
      </c>
      <c r="B3467" t="inlineStr">
        <is>
          <t>Trader</t>
        </is>
      </c>
      <c r="C3467" t="inlineStr">
        <is>
          <t>SGS Germany GmbH, Emstek, DE</t>
        </is>
      </c>
      <c r="D3467" t="inlineStr">
        <is>
          <t>27.05.2027</t>
        </is>
      </c>
      <c r="E3467" t="inlineStr">
        <is>
          <t>China</t>
        </is>
      </c>
    </row>
    <row r="3468">
      <c r="A3468" t="inlineStr">
        <is>
          <t>L'Equipe Ambientale di Mariani Alberto,  Desio (MB), Italy</t>
        </is>
      </c>
      <c r="B3468" t="inlineStr">
        <is>
          <t>Collecting Point, Trader</t>
        </is>
      </c>
      <c r="C3468" t="inlineStr">
        <is>
          <t>SGS Germany GmbH, Emstek, DE</t>
        </is>
      </c>
      <c r="D3468" t="inlineStr">
        <is>
          <t>27.05.2027</t>
        </is>
      </c>
      <c r="E3468" t="inlineStr">
        <is>
          <t>Italy</t>
        </is>
      </c>
    </row>
    <row r="3469">
      <c r="A3469" t="inlineStr">
        <is>
          <t>R H SELANGAU PALM OIL MILL SDN. BHD.,  SIBU, Malaysia</t>
        </is>
      </c>
      <c r="B3469" t="inlineStr">
        <is>
          <t>Point of Origin</t>
        </is>
      </c>
      <c r="C3469" t="inlineStr">
        <is>
          <t>NIOSH Certification Sdn. Bhd., Selangor Darul Ehsan, MY</t>
        </is>
      </c>
      <c r="D3469" t="inlineStr">
        <is>
          <t>27.05.2027</t>
        </is>
      </c>
      <c r="E3469" t="inlineStr">
        <is>
          <t>Malaysia</t>
        </is>
      </c>
    </row>
    <row r="3470">
      <c r="A3470" t="inlineStr">
        <is>
          <t>Shandong Aohua Renewable Resources Technology Co., Ltd.,  Heze City, Shandong Province, China</t>
        </is>
      </c>
      <c r="B3470" t="inlineStr">
        <is>
          <t>Collecting Point, Processing Unit, Trader with Storage</t>
        </is>
      </c>
      <c r="C3470" t="inlineStr">
        <is>
          <t>SCS Global Services, Emeryville, CA, US</t>
        </is>
      </c>
      <c r="D3470" t="inlineStr">
        <is>
          <t>27.05.2027</t>
        </is>
      </c>
      <c r="E3470" t="inlineStr">
        <is>
          <t>China</t>
        </is>
      </c>
    </row>
    <row r="3471">
      <c r="A3471" t="inlineStr">
        <is>
          <t>Shandong Aohua Renewable Resources Technology Co., Ltd.,  Heze City, Shandong Province, China</t>
        </is>
      </c>
      <c r="B3471" t="inlineStr">
        <is>
          <t>Collecting Point, Processing Unit, Trader with Storage</t>
        </is>
      </c>
      <c r="C3471" t="inlineStr">
        <is>
          <t>SCS Global Services, Emeryville, CA, US</t>
        </is>
      </c>
      <c r="D3471" t="inlineStr">
        <is>
          <t>27.05.2027</t>
        </is>
      </c>
      <c r="E3471" t="inlineStr">
        <is>
          <t>China</t>
        </is>
      </c>
    </row>
    <row r="3472">
      <c r="A3472" t="inlineStr">
        <is>
          <t>Xing'an League Agricultural Technology Service Co., Ltd.,  Ulan Hot City, Xing'an League, Inner Mongolia, China</t>
        </is>
      </c>
      <c r="B3472" t="inlineStr">
        <is>
          <t>First Gathering Point, Processing Unit</t>
        </is>
      </c>
      <c r="C3472" t="inlineStr">
        <is>
          <t>CTI Certification Co. Ltd, Shenzhen, CN</t>
        </is>
      </c>
      <c r="D3472" t="inlineStr">
        <is>
          <t>27.05.2027</t>
        </is>
      </c>
      <c r="E3472" t="inlineStr">
        <is>
          <t>China</t>
        </is>
      </c>
    </row>
    <row r="3473">
      <c r="A3473" t="inlineStr">
        <is>
          <t>Felcra Jayaputra Sdn Bhd,  Mukim Ulu Cheka, Jerantut, Malaysia</t>
        </is>
      </c>
      <c r="B3473" t="inlineStr">
        <is>
          <t>Point of Origin</t>
        </is>
      </c>
      <c r="C3473" t="inlineStr">
        <is>
          <t>PT. Qualitas Sertifikasi Indonesia, Jakarta, ID</t>
        </is>
      </c>
      <c r="D3473" t="inlineStr">
        <is>
          <t>27.05.2027</t>
        </is>
      </c>
      <c r="E3473" t="inlineStr">
        <is>
          <t>Malaysia</t>
        </is>
      </c>
    </row>
    <row r="3474">
      <c r="A3474" t="inlineStr">
        <is>
          <t>Shell Hong Kong Limited,  KWUN TONG, Hong Kong, SAR, China</t>
        </is>
      </c>
      <c r="B3474" t="inlineStr">
        <is>
          <t>Trader with Storage</t>
        </is>
      </c>
      <c r="C3474" t="inlineStr">
        <is>
          <t>Control Union Certifications Germany GmbH, Berlin, DE</t>
        </is>
      </c>
      <c r="D3474" t="inlineStr">
        <is>
          <t>27.05.2027</t>
        </is>
      </c>
      <c r="E3474" t="inlineStr">
        <is>
          <t>China</t>
        </is>
      </c>
    </row>
    <row r="3475">
      <c r="A3475" t="inlineStr">
        <is>
          <t>Lingga Tiga Sawit,  Kec. Labuhanbatu, Kab. Labuhanbatu, Indonesia</t>
        </is>
      </c>
      <c r="B3475" t="inlineStr">
        <is>
          <t>Point of Origin, Processing Unit, Trader with Storage</t>
        </is>
      </c>
      <c r="C3475" t="inlineStr">
        <is>
          <t>PT. Qualitas Sertifikasi Indonesia, Jakarta, ID</t>
        </is>
      </c>
      <c r="D3475" t="inlineStr">
        <is>
          <t>27.05.2027</t>
        </is>
      </c>
      <c r="E3475" t="inlineStr">
        <is>
          <t>Indonesia</t>
        </is>
      </c>
    </row>
    <row r="3476">
      <c r="A3476" t="inlineStr">
        <is>
          <t>BiofuelsCo,  Bornem, Belgium</t>
        </is>
      </c>
      <c r="B3476" t="inlineStr">
        <is>
          <t>Collecting Point, Trader</t>
        </is>
      </c>
      <c r="C3476" t="inlineStr">
        <is>
          <t>PT Intertek Utama Services, Jakarta, ID</t>
        </is>
      </c>
      <c r="D3476" t="inlineStr">
        <is>
          <t>27.05.2027</t>
        </is>
      </c>
      <c r="E3476" t="inlineStr">
        <is>
          <t>Belgium</t>
        </is>
      </c>
    </row>
    <row r="3477">
      <c r="A3477" t="inlineStr">
        <is>
          <t>Demetra Vest Cooperativa Agricola,  Sacalaz, Judetul Timis, Romania</t>
        </is>
      </c>
      <c r="B3477" t="inlineStr">
        <is>
          <t>First Gathering Point</t>
        </is>
      </c>
      <c r="C3477" t="inlineStr">
        <is>
          <t>SRAC Cert SRL, Bucharest, RO</t>
        </is>
      </c>
      <c r="D3477" t="inlineStr">
        <is>
          <t>27.05.2027</t>
        </is>
      </c>
      <c r="E3477" t="inlineStr">
        <is>
          <t>Romania</t>
        </is>
      </c>
    </row>
    <row r="3478">
      <c r="A3478" t="inlineStr">
        <is>
          <t>JFE Shoji Corporation,  Tokyo, Japan</t>
        </is>
      </c>
      <c r="B3478" t="inlineStr">
        <is>
          <t>Trader</t>
        </is>
      </c>
      <c r="C3478" t="inlineStr">
        <is>
          <t>Control Union Certifications Germany GmbH, Berlin, DE</t>
        </is>
      </c>
      <c r="D3478" t="inlineStr">
        <is>
          <t>27.05.2027</t>
        </is>
      </c>
      <c r="E3478" t="inlineStr">
        <is>
          <t>Japan</t>
        </is>
      </c>
    </row>
    <row r="3479">
      <c r="A3479" t="inlineStr">
        <is>
          <t>Kolb Distribution Ltd.,  Hedingen, Switzerland</t>
        </is>
      </c>
      <c r="B3479" t="inlineStr">
        <is>
          <t>Processing Unit, Warehouse</t>
        </is>
      </c>
      <c r="C3479" t="inlineStr">
        <is>
          <t>SGS Germany GmbH, Emstek, DE</t>
        </is>
      </c>
      <c r="D3479" t="inlineStr">
        <is>
          <t>27.05.2027</t>
        </is>
      </c>
      <c r="E3479" t="inlineStr">
        <is>
          <t>Switzerland</t>
        </is>
      </c>
    </row>
    <row r="3480">
      <c r="A3480" t="inlineStr">
        <is>
          <t>Hunza Sugar Mills (Pvt.) Ltd.,  District Faisalabad, Pakistan</t>
        </is>
      </c>
      <c r="B3480" t="inlineStr">
        <is>
          <t>First Gathering Point, Processing Unit, Trader with Storage</t>
        </is>
      </c>
      <c r="C3480" t="inlineStr">
        <is>
          <t>SGS Germany GmbH, Emstek, DE</t>
        </is>
      </c>
      <c r="D3480" t="inlineStr">
        <is>
          <t>27.05.2027</t>
        </is>
      </c>
      <c r="E3480" t="inlineStr">
        <is>
          <t>Pakistan</t>
        </is>
      </c>
    </row>
    <row r="3481">
      <c r="A3481" t="inlineStr">
        <is>
          <t>TCM Resources,  Puchong, Selangor, Malaysia</t>
        </is>
      </c>
      <c r="B3481" t="inlineStr">
        <is>
          <t>Collecting Point, Warehouse</t>
        </is>
      </c>
      <c r="C3481" t="inlineStr">
        <is>
          <t>PT. CBQA GLOBAL INDONESIA, JAKARTA SELATAN, ID</t>
        </is>
      </c>
      <c r="D3481" t="inlineStr">
        <is>
          <t>27.05.2027</t>
        </is>
      </c>
      <c r="E3481" t="inlineStr">
        <is>
          <t>Malaysia</t>
        </is>
      </c>
    </row>
    <row r="3482">
      <c r="A3482" t="inlineStr">
        <is>
          <t>AGRO GHEORDUNESCU SRL,  Mereni, com. Mereni, jud. Constanța, Romania</t>
        </is>
      </c>
      <c r="B3482" t="inlineStr">
        <is>
          <t>First Gathering Point, Trader with Storage</t>
        </is>
      </c>
      <c r="C3482" t="inlineStr">
        <is>
          <t>BM Certification, Riga, LV</t>
        </is>
      </c>
      <c r="D3482" t="inlineStr">
        <is>
          <t>27.05.2027</t>
        </is>
      </c>
      <c r="E3482" t="inlineStr">
        <is>
          <t>Romania</t>
        </is>
      </c>
    </row>
    <row r="3483">
      <c r="A3483" t="inlineStr">
        <is>
          <t>BERKAT SETIA SDN. BHD.,  SANDAKAN, Malaysia</t>
        </is>
      </c>
      <c r="B3483" t="inlineStr">
        <is>
          <t>Point of Origin</t>
        </is>
      </c>
      <c r="C3483" t="inlineStr">
        <is>
          <t>Global Gateway Certifications Sdn Bhd, Ampang, MY</t>
        </is>
      </c>
      <c r="D3483" t="inlineStr">
        <is>
          <t>27.05.2027</t>
        </is>
      </c>
      <c r="E3483" t="inlineStr">
        <is>
          <t>Malaysia</t>
        </is>
      </c>
    </row>
    <row r="3484">
      <c r="A3484" t="inlineStr">
        <is>
          <t>CAHAYA PALM OIL MILL SDN BHD,  TELUPID, Malaysia</t>
        </is>
      </c>
      <c r="B3484" t="inlineStr">
        <is>
          <t>Point of Origin</t>
        </is>
      </c>
      <c r="C3484" t="inlineStr">
        <is>
          <t>Global Gateway Certifications Sdn Bhd, Ampang, MY</t>
        </is>
      </c>
      <c r="D3484" t="inlineStr">
        <is>
          <t>27.05.2027</t>
        </is>
      </c>
      <c r="E3484" t="inlineStr">
        <is>
          <t>Malaysia</t>
        </is>
      </c>
    </row>
    <row r="3485">
      <c r="A3485" t="inlineStr">
        <is>
          <t>PITAS PALM OIL MILL SDN BHD,  Pitas, Malaysia</t>
        </is>
      </c>
      <c r="B3485" t="inlineStr">
        <is>
          <t>Point of Origin</t>
        </is>
      </c>
      <c r="C3485" t="inlineStr">
        <is>
          <t>Global Gateway Certifications Sdn Bhd, Ampang, MY</t>
        </is>
      </c>
      <c r="D3485" t="inlineStr">
        <is>
          <t>27.05.2027</t>
        </is>
      </c>
      <c r="E3485" t="inlineStr">
        <is>
          <t>Malaysia</t>
        </is>
      </c>
    </row>
    <row r="3486">
      <c r="A3486" t="inlineStr">
        <is>
          <t>Vplast,  Piazzola sul Brenta, Italy</t>
        </is>
      </c>
      <c r="B3486" t="inlineStr">
        <is>
          <t>Processing Unit</t>
        </is>
      </c>
      <c r="C3486" t="inlineStr">
        <is>
          <t>ICIM SpA, sesto san giovanni, IT</t>
        </is>
      </c>
      <c r="D3486" t="inlineStr">
        <is>
          <t>27.05.2027</t>
        </is>
      </c>
      <c r="E3486" t="inlineStr">
        <is>
          <t>Italy</t>
        </is>
      </c>
    </row>
    <row r="3487">
      <c r="A3487" t="inlineStr">
        <is>
          <t>H&amp;R China (Ningbo) Co., Ltd.,  Ningbo, China</t>
        </is>
      </c>
      <c r="B3487" t="inlineStr">
        <is>
          <t>Processing Unit</t>
        </is>
      </c>
      <c r="C3487" t="inlineStr">
        <is>
          <t>SCS Global Services, Emeryville, CA, US</t>
        </is>
      </c>
      <c r="D3487" t="inlineStr">
        <is>
          <t>27.05.2027</t>
        </is>
      </c>
      <c r="E3487" t="inlineStr">
        <is>
          <t>China</t>
        </is>
      </c>
    </row>
    <row r="3488">
      <c r="A3488" t="inlineStr">
        <is>
          <t>Linas Agro AB,  Panevėžys, Lithuania</t>
        </is>
      </c>
      <c r="B3488" t="inlineStr">
        <is>
          <t>First Gathering Point, Trader with Storage</t>
        </is>
      </c>
      <c r="C3488" t="inlineStr">
        <is>
          <t>Bureau Veritas Polska Sp. z o.o., Warsaw, PL</t>
        </is>
      </c>
      <c r="D3488" t="inlineStr">
        <is>
          <t>27.05.2027</t>
        </is>
      </c>
      <c r="E3488" t="inlineStr">
        <is>
          <t>Lithuania</t>
        </is>
      </c>
    </row>
    <row r="3489">
      <c r="A3489" t="inlineStr">
        <is>
          <t>Energo-Zelena doo,  Indjija, Serbia</t>
        </is>
      </c>
      <c r="B3489" t="inlineStr">
        <is>
          <t>Point of Origin</t>
        </is>
      </c>
      <c r="C3489" t="inlineStr">
        <is>
          <t>Bureau Veritas Polska Sp. z o.o., Warsaw, PL</t>
        </is>
      </c>
      <c r="D3489" t="inlineStr">
        <is>
          <t>27.05.2027</t>
        </is>
      </c>
      <c r="E3489" t="inlineStr">
        <is>
          <t>Serbia</t>
        </is>
      </c>
    </row>
    <row r="3490">
      <c r="A3490" t="inlineStr">
        <is>
          <t>PT ENI NATURAL ENERGIES INDONESIA,  Jakarta, Indonesia</t>
        </is>
      </c>
      <c r="B3490" t="inlineStr">
        <is>
          <t>Trader with Storage</t>
        </is>
      </c>
      <c r="C3490" t="inlineStr">
        <is>
          <t>RINA Services S.p.A., Genova, IT</t>
        </is>
      </c>
      <c r="D3490" t="inlineStr">
        <is>
          <t>27.05.2027</t>
        </is>
      </c>
      <c r="E3490" t="inlineStr">
        <is>
          <t>Indonesia</t>
        </is>
      </c>
    </row>
    <row r="3491">
      <c r="A3491" t="inlineStr">
        <is>
          <t>CAM.ECO.,  Tortona, Italy</t>
        </is>
      </c>
      <c r="B3491" t="inlineStr">
        <is>
          <t>Collecting Point</t>
        </is>
      </c>
      <c r="C3491" t="inlineStr">
        <is>
          <t>ICIM SpA, sesto san giovanni, IT</t>
        </is>
      </c>
      <c r="D3491" t="inlineStr">
        <is>
          <t>26.05.2027</t>
        </is>
      </c>
      <c r="E3491" t="inlineStr">
        <is>
          <t>Italy</t>
        </is>
      </c>
    </row>
    <row r="3492">
      <c r="A3492" t="inlineStr">
        <is>
          <t>Gruppo Meccaniche Luciani,  Corridonia, Italy</t>
        </is>
      </c>
      <c r="B3492" t="inlineStr">
        <is>
          <t>Processing Unit</t>
        </is>
      </c>
      <c r="C3492" t="inlineStr">
        <is>
          <t>IIP S.r.l., Monza, IT</t>
        </is>
      </c>
      <c r="D3492" t="inlineStr">
        <is>
          <t>26.05.2027</t>
        </is>
      </c>
      <c r="E3492" t="inlineStr">
        <is>
          <t>Italy</t>
        </is>
      </c>
    </row>
    <row r="3493">
      <c r="A3493" t="inlineStr">
        <is>
          <t>Amcor Flexibles Venturina,  Campiglia Marittima LI, Italy</t>
        </is>
      </c>
      <c r="B3493" t="inlineStr">
        <is>
          <t>Processing Unit</t>
        </is>
      </c>
      <c r="C3493" t="inlineStr">
        <is>
          <t>Bureau Veritas Polska Sp. z o.o., Warsaw, PL</t>
        </is>
      </c>
      <c r="D3493" t="inlineStr">
        <is>
          <t>26.05.2027</t>
        </is>
      </c>
      <c r="E3493" t="inlineStr">
        <is>
          <t>Italy</t>
        </is>
      </c>
    </row>
    <row r="3494">
      <c r="A3494" t="inlineStr">
        <is>
          <t>Shell Energy (China) Limited,  Shanghai, China</t>
        </is>
      </c>
      <c r="B3494" t="inlineStr">
        <is>
          <t>Trader with Storage</t>
        </is>
      </c>
      <c r="C3494" t="inlineStr">
        <is>
          <t>Control Union Certifications Germany GmbH, Berlin, DE</t>
        </is>
      </c>
      <c r="D3494" t="inlineStr">
        <is>
          <t>26.05.2027</t>
        </is>
      </c>
      <c r="E3494" t="inlineStr">
        <is>
          <t>China</t>
        </is>
      </c>
    </row>
    <row r="3495">
      <c r="A3495" t="inlineStr">
        <is>
          <t>Standard Commodities Australia Pty Ltd,  Darlinghurst nsw, Australia</t>
        </is>
      </c>
      <c r="B3495" t="inlineStr">
        <is>
          <t>Trader</t>
        </is>
      </c>
      <c r="C3495" t="inlineStr">
        <is>
          <t>SCS Global Services, Emeryville, CA, US</t>
        </is>
      </c>
      <c r="D3495" t="inlineStr">
        <is>
          <t>26.05.2027</t>
        </is>
      </c>
      <c r="E3495" t="inlineStr">
        <is>
          <t>Australia</t>
        </is>
      </c>
    </row>
    <row r="3496">
      <c r="A3496" t="inlineStr">
        <is>
          <t>Oiles Corporation,  Kanagawa, Japan</t>
        </is>
      </c>
      <c r="B3496" t="inlineStr">
        <is>
          <t>Processing Unit</t>
        </is>
      </c>
      <c r="C3496" t="inlineStr">
        <is>
          <t>Control Union Certifications Germany GmbH, Berlin, DE</t>
        </is>
      </c>
      <c r="D3496" t="inlineStr">
        <is>
          <t>26.05.2027</t>
        </is>
      </c>
      <c r="E3496" t="inlineStr">
        <is>
          <t>Japan</t>
        </is>
      </c>
    </row>
    <row r="3497">
      <c r="A3497" t="inlineStr">
        <is>
          <t>Shell Energy (China) Limited,  Shanghai, China</t>
        </is>
      </c>
      <c r="B3497" t="inlineStr">
        <is>
          <t>Trader with Storage</t>
        </is>
      </c>
      <c r="C3497" t="inlineStr">
        <is>
          <t>Control Union Certifications Germany GmbH, Berlin, DE</t>
        </is>
      </c>
      <c r="D3497" t="inlineStr">
        <is>
          <t>26.05.2027</t>
        </is>
      </c>
      <c r="E3497" t="inlineStr">
        <is>
          <t>China</t>
        </is>
      </c>
    </row>
    <row r="3498">
      <c r="A3498" t="inlineStr">
        <is>
          <t>Shell Energy (China) Limited,  Shanghai, China</t>
        </is>
      </c>
      <c r="B3498" t="inlineStr">
        <is>
          <t>Trader with Storage</t>
        </is>
      </c>
      <c r="C3498" t="inlineStr">
        <is>
          <t>Control Union Certifications Germany GmbH, Berlin, DE</t>
        </is>
      </c>
      <c r="D3498" t="inlineStr">
        <is>
          <t>26.05.2027</t>
        </is>
      </c>
      <c r="E3498" t="inlineStr">
        <is>
          <t>China</t>
        </is>
      </c>
    </row>
    <row r="3499">
      <c r="A3499" t="inlineStr">
        <is>
          <t>Ngo Chew Hong Oils &amp; Fats (M) Sdn Bhd,  Semenyih, Malaysia</t>
        </is>
      </c>
      <c r="B3499" t="inlineStr">
        <is>
          <t>Point of Origin</t>
        </is>
      </c>
      <c r="C3499" t="inlineStr">
        <is>
          <t>Trans Certification and Inspection Sdn Bhd, Kuantan, MY</t>
        </is>
      </c>
      <c r="D3499" t="inlineStr">
        <is>
          <t>26.05.2027</t>
        </is>
      </c>
      <c r="E3499" t="inlineStr">
        <is>
          <t>Malaysia</t>
        </is>
      </c>
    </row>
    <row r="3500">
      <c r="A3500" t="inlineStr">
        <is>
          <t>Emballator Mellerud AB,  Mellerud, Sweden</t>
        </is>
      </c>
      <c r="B3500" t="inlineStr">
        <is>
          <t>Processing Unit</t>
        </is>
      </c>
      <c r="C3500" t="inlineStr">
        <is>
          <t>Bureau Veritas Polska Sp. z o.o., Warsaw, PL</t>
        </is>
      </c>
      <c r="D3500" t="inlineStr">
        <is>
          <t>26.05.2027</t>
        </is>
      </c>
      <c r="E3500" t="inlineStr">
        <is>
          <t>Sweden</t>
        </is>
      </c>
    </row>
    <row r="3501">
      <c r="A3501" t="inlineStr">
        <is>
          <t>Taishan Fiberglass Inc.,  Tai'an City, China</t>
        </is>
      </c>
      <c r="B3501" t="inlineStr">
        <is>
          <t>Collecting Point, Point of Origin, Processing Unit</t>
        </is>
      </c>
      <c r="C3501" t="inlineStr">
        <is>
          <t>China Testing &amp; Certification International Group Co., Ltd., Beijing, CN</t>
        </is>
      </c>
      <c r="D3501" t="inlineStr">
        <is>
          <t>26.05.2027</t>
        </is>
      </c>
      <c r="E3501" t="inlineStr">
        <is>
          <t>China</t>
        </is>
      </c>
    </row>
    <row r="3502">
      <c r="A3502" t="inlineStr">
        <is>
          <t>BUNGE AGRIBUSINESS IBERICA, S.L.,  Sant Just Desvern (Barcelona), Spain</t>
        </is>
      </c>
      <c r="B3502" t="inlineStr">
        <is>
          <t>Trader with Storage</t>
        </is>
      </c>
      <c r="C3502" t="inlineStr">
        <is>
          <t>Control Union Poland Sp. z o.o., Zielona Gora, PL</t>
        </is>
      </c>
      <c r="D3502" t="inlineStr">
        <is>
          <t>26.05.2027</t>
        </is>
      </c>
      <c r="E3502" t="inlineStr">
        <is>
          <t>Spain</t>
        </is>
      </c>
    </row>
    <row r="3503">
      <c r="A3503" t="inlineStr">
        <is>
          <t>BUNGE AGRIBUSINESS IBERICA, S.L.,  Sant Just Desvern (Barcelona), Spain</t>
        </is>
      </c>
      <c r="B3503" t="inlineStr">
        <is>
          <t>Trader with Storage</t>
        </is>
      </c>
      <c r="C3503" t="inlineStr">
        <is>
          <t>Control Union Poland Sp. z o.o., Zielona Gora, PL</t>
        </is>
      </c>
      <c r="D3503" t="inlineStr">
        <is>
          <t>26.05.2027</t>
        </is>
      </c>
      <c r="E3503" t="inlineStr">
        <is>
          <t>Spain</t>
        </is>
      </c>
    </row>
    <row r="3504">
      <c r="A3504" t="inlineStr">
        <is>
          <t>Várfalvi Kft.,  Kaba, Hungary</t>
        </is>
      </c>
      <c r="B3504" t="inlineStr">
        <is>
          <t>First Gathering Point, Trader with Storage</t>
        </is>
      </c>
      <c r="C3504" t="inlineStr">
        <is>
          <t>Amspec Iberia SL, Vilagarcia de Arousa-Pontevedra, ES</t>
        </is>
      </c>
      <c r="D3504" t="inlineStr">
        <is>
          <t>26.05.2027</t>
        </is>
      </c>
      <c r="E3504" t="inlineStr">
        <is>
          <t>Hungary</t>
        </is>
      </c>
    </row>
    <row r="3505">
      <c r="A3505" t="inlineStr">
        <is>
          <t>Prio Supply, S.A.,  Gafanha da Nazaré, Portugal</t>
        </is>
      </c>
      <c r="B3505" t="inlineStr">
        <is>
          <t>Proof of Compliance Trader, Trader with Storage</t>
        </is>
      </c>
      <c r="C3505" t="inlineStr">
        <is>
          <t>SGS Germany GmbH, Emstek, DE</t>
        </is>
      </c>
      <c r="D3505" t="inlineStr">
        <is>
          <t>26.05.2027</t>
        </is>
      </c>
      <c r="E3505" t="inlineStr">
        <is>
          <t>Portugal</t>
        </is>
      </c>
    </row>
    <row r="3506">
      <c r="A3506" t="inlineStr">
        <is>
          <t>Prio Supply, S.A.,  Gafanha da Nazaré, Portugal</t>
        </is>
      </c>
      <c r="B3506" t="inlineStr">
        <is>
          <t>Trader</t>
        </is>
      </c>
      <c r="C3506" t="inlineStr">
        <is>
          <t>SGS Germany GmbH, Emstek, DE</t>
        </is>
      </c>
      <c r="D3506" t="inlineStr">
        <is>
          <t>26.05.2027</t>
        </is>
      </c>
      <c r="E3506" t="inlineStr">
        <is>
          <t>Portugal</t>
        </is>
      </c>
    </row>
    <row r="3507">
      <c r="A3507" t="inlineStr">
        <is>
          <t>China-Base Resource Singapore Pte. Ltd.,  Singapore, Singapore</t>
        </is>
      </c>
      <c r="B3507" t="inlineStr">
        <is>
          <t>Trader</t>
        </is>
      </c>
      <c r="C3507" t="inlineStr">
        <is>
          <t>SGS Germany GmbH, Emstek, DE</t>
        </is>
      </c>
      <c r="D3507" t="inlineStr">
        <is>
          <t>26.05.2027</t>
        </is>
      </c>
      <c r="E3507" t="inlineStr">
        <is>
          <t>Singapore</t>
        </is>
      </c>
    </row>
    <row r="3508">
      <c r="A3508" t="inlineStr">
        <is>
          <t>Grupo AMIAB Medio Ambiente, S.L.,  Albacete, Spain</t>
        </is>
      </c>
      <c r="B3508" t="inlineStr">
        <is>
          <t>Collecting Point</t>
        </is>
      </c>
      <c r="C3508" t="inlineStr">
        <is>
          <t>SGS Germany GmbH, Emstek, DE</t>
        </is>
      </c>
      <c r="D3508" t="inlineStr">
        <is>
          <t>26.05.2027</t>
        </is>
      </c>
      <c r="E3508" t="inlineStr">
        <is>
          <t>Spain</t>
        </is>
      </c>
    </row>
    <row r="3509">
      <c r="A3509" t="inlineStr">
        <is>
          <t>PETROLTRANS, a.s.,  Poprad, Slovakia</t>
        </is>
      </c>
      <c r="B3509" t="inlineStr">
        <is>
          <t>Trader with Storage</t>
        </is>
      </c>
      <c r="C3509" t="inlineStr">
        <is>
          <t>SGS Germany GmbH, Emstek, DE</t>
        </is>
      </c>
      <c r="D3509" t="inlineStr">
        <is>
          <t>26.05.2027</t>
        </is>
      </c>
      <c r="E3509" t="inlineStr">
        <is>
          <t>Slovakia</t>
        </is>
      </c>
    </row>
    <row r="3510">
      <c r="A3510" t="inlineStr">
        <is>
          <t>XinJi Optical and Metal Parts Manufacturing Ltd.,  ZiJin County, HeYuan City, GuangDong Province, China</t>
        </is>
      </c>
      <c r="B3510" t="inlineStr">
        <is>
          <t>Final Product Refinement, Processing Unit, Trader</t>
        </is>
      </c>
      <c r="C3510" t="inlineStr">
        <is>
          <t>SGS Germany GmbH, Emstek, DE</t>
        </is>
      </c>
      <c r="D3510" t="inlineStr">
        <is>
          <t>26.05.2027</t>
        </is>
      </c>
      <c r="E3510" t="inlineStr">
        <is>
          <t>China</t>
        </is>
      </c>
    </row>
    <row r="3511">
      <c r="A3511" t="inlineStr">
        <is>
          <t>Fumei Lipid Chemicals (Henan) Co., Ltd.,  Changge, China</t>
        </is>
      </c>
      <c r="B3511" t="inlineStr">
        <is>
          <t>Processing Unit</t>
        </is>
      </c>
      <c r="C3511" t="inlineStr">
        <is>
          <t>SGS Germany GmbH, Emstek, DE</t>
        </is>
      </c>
      <c r="D3511" t="inlineStr">
        <is>
          <t>26.05.2027</t>
        </is>
      </c>
      <c r="E3511" t="inlineStr">
        <is>
          <t>China</t>
        </is>
      </c>
    </row>
    <row r="3512">
      <c r="A3512" t="inlineStr">
        <is>
          <t>Chongqing Aoxuan Clothing Co., Ltd.,  Chongqing, China</t>
        </is>
      </c>
      <c r="B3512" t="inlineStr">
        <is>
          <t>Processing Unit</t>
        </is>
      </c>
      <c r="C3512" t="inlineStr">
        <is>
          <t>Extensive Standard Technical Services Co., Ltd., Hong Kong, CN</t>
        </is>
      </c>
      <c r="D3512" t="inlineStr">
        <is>
          <t>26.05.2027</t>
        </is>
      </c>
      <c r="E3512" t="inlineStr">
        <is>
          <t>China</t>
        </is>
      </c>
    </row>
    <row r="3513">
      <c r="A3513" t="inlineStr">
        <is>
          <t>JOC GREAT WALL CORP.,  Nanjing, Jiangsu, China</t>
        </is>
      </c>
      <c r="B3513" t="inlineStr">
        <is>
          <t>Trader</t>
        </is>
      </c>
      <c r="C3513" t="inlineStr">
        <is>
          <t>SCS Global Services, Emeryville, CA, US</t>
        </is>
      </c>
      <c r="D3513" t="inlineStr">
        <is>
          <t>26.05.2027</t>
        </is>
      </c>
      <c r="E3513" t="inlineStr">
        <is>
          <t>China</t>
        </is>
      </c>
    </row>
    <row r="3514">
      <c r="A3514" t="inlineStr">
        <is>
          <t>CARMEUSE HOLDING,  Chiscadaga, Romania</t>
        </is>
      </c>
      <c r="B3514" t="inlineStr">
        <is>
          <t>Collecting Point, Processing Unit</t>
        </is>
      </c>
      <c r="C3514" t="inlineStr">
        <is>
          <t>CertRom SRL, Bucuresti, RO</t>
        </is>
      </c>
      <c r="D3514" t="inlineStr">
        <is>
          <t>26.05.2027</t>
        </is>
      </c>
      <c r="E3514" t="inlineStr">
        <is>
          <t>Romania</t>
        </is>
      </c>
    </row>
    <row r="3515">
      <c r="A3515" t="inlineStr">
        <is>
          <t>Bakels Edible Oils NZ,  Mount Maunganui, New Zealand</t>
        </is>
      </c>
      <c r="B3515" t="inlineStr">
        <is>
          <t>Point of Origin</t>
        </is>
      </c>
      <c r="C3515" t="inlineStr">
        <is>
          <t>Control Union Certifications Germany GmbH, Berlin, DE</t>
        </is>
      </c>
      <c r="D3515" t="inlineStr">
        <is>
          <t>26.05.2027</t>
        </is>
      </c>
      <c r="E3515" t="inlineStr">
        <is>
          <t>New Zealand</t>
        </is>
      </c>
    </row>
    <row r="3516">
      <c r="A3516" t="inlineStr">
        <is>
          <t>Bakels Edible Oils NZ,  Mount Maunganui, New Zealand</t>
        </is>
      </c>
      <c r="B3516" t="inlineStr">
        <is>
          <t>Processing Unit</t>
        </is>
      </c>
      <c r="C3516" t="inlineStr">
        <is>
          <t>Control Union Certifications Germany GmbH, Berlin, DE</t>
        </is>
      </c>
      <c r="D3516" t="inlineStr">
        <is>
          <t>26.05.2027</t>
        </is>
      </c>
      <c r="E3516" t="inlineStr">
        <is>
          <t>New Zealand</t>
        </is>
      </c>
    </row>
    <row r="3517">
      <c r="A3517" t="inlineStr">
        <is>
          <t>EcoCeres Renewable Fuels Sdn. Bhd.,  Pasir Gudang, Johor, Malaysia</t>
        </is>
      </c>
      <c r="B3517" t="inlineStr">
        <is>
          <t>Point of Origin, Processing Unit, Trader with Storage</t>
        </is>
      </c>
      <c r="C3517" t="inlineStr">
        <is>
          <t>SGS Germany GmbH, Emstek, DE</t>
        </is>
      </c>
      <c r="D3517" t="inlineStr">
        <is>
          <t>26.05.2027</t>
        </is>
      </c>
      <c r="E3517" t="inlineStr">
        <is>
          <t>Malaysia</t>
        </is>
      </c>
    </row>
    <row r="3518">
      <c r="A3518" t="inlineStr">
        <is>
          <t>EcoCeres Renewable Fuels Sdn. Bhd.,  Pasir Gudang, Johor, Malaysia</t>
        </is>
      </c>
      <c r="B3518" t="inlineStr">
        <is>
          <t>Processing Unit, Trader with Storage</t>
        </is>
      </c>
      <c r="C3518" t="inlineStr">
        <is>
          <t>SGS Germany GmbH, Emstek, DE</t>
        </is>
      </c>
      <c r="D3518" t="inlineStr">
        <is>
          <t>26.05.2027</t>
        </is>
      </c>
      <c r="E3518" t="inlineStr">
        <is>
          <t>Malaysia</t>
        </is>
      </c>
    </row>
    <row r="3519">
      <c r="A3519" t="inlineStr">
        <is>
          <t>EcoCeres Renewable Fuels Sdn. Bhd.,  Pasir Gudang, Johor, Malaysia</t>
        </is>
      </c>
      <c r="B3519" t="inlineStr">
        <is>
          <t>Point of Origin, Processing Unit, Trader with Storage</t>
        </is>
      </c>
      <c r="C3519" t="inlineStr">
        <is>
          <t>SGS Germany GmbH, Emstek, DE</t>
        </is>
      </c>
      <c r="D3519" t="inlineStr">
        <is>
          <t>26.05.2027</t>
        </is>
      </c>
      <c r="E3519" t="inlineStr">
        <is>
          <t>Malaysia</t>
        </is>
      </c>
    </row>
    <row r="3520">
      <c r="A3520" t="inlineStr">
        <is>
          <t>Biz Solutions,  craiova, Romania</t>
        </is>
      </c>
      <c r="B3520" t="inlineStr">
        <is>
          <t>First Gathering Point, Trader with Storage</t>
        </is>
      </c>
      <c r="C3520" t="inlineStr">
        <is>
          <t>Control Union Certifications Germany GmbH, Berlin, DE</t>
        </is>
      </c>
      <c r="D3520" t="inlineStr">
        <is>
          <t>26.05.2027</t>
        </is>
      </c>
      <c r="E3520" t="inlineStr">
        <is>
          <t>Romania</t>
        </is>
      </c>
    </row>
    <row r="3521">
      <c r="A3521" t="inlineStr">
        <is>
          <t>Dongfang Shengrong (Chongqing) New Energy Co., Ltd.,  Chongqing, China</t>
        </is>
      </c>
      <c r="B3521" t="inlineStr">
        <is>
          <t>Collecting Point, Trader with Storage</t>
        </is>
      </c>
      <c r="C3521" t="inlineStr">
        <is>
          <t>RINA Services S.p.A., Genova, IT</t>
        </is>
      </c>
      <c r="D3521" t="inlineStr">
        <is>
          <t>26.05.2027</t>
        </is>
      </c>
      <c r="E3521" t="inlineStr">
        <is>
          <t>China</t>
        </is>
      </c>
    </row>
    <row r="3522">
      <c r="A3522" t="inlineStr">
        <is>
          <t>Elysee Irrigation Ltd,  Ergates, Nicosia, Cyprus</t>
        </is>
      </c>
      <c r="B3522" t="inlineStr">
        <is>
          <t>Processing Unit</t>
        </is>
      </c>
      <c r="C3522" t="inlineStr">
        <is>
          <t>QMSCERT S.A., Pylaia, Thessaloniki, GR</t>
        </is>
      </c>
      <c r="D3522" t="inlineStr">
        <is>
          <t>26.05.2027</t>
        </is>
      </c>
      <c r="E3522" t="inlineStr">
        <is>
          <t>Cyprus</t>
        </is>
      </c>
    </row>
    <row r="3523">
      <c r="A3523" t="inlineStr">
        <is>
          <t>BNENERGY,  Jeongeup-si, South Korea</t>
        </is>
      </c>
      <c r="B3523" t="inlineStr">
        <is>
          <t>Collecting Point, Trader with Storage</t>
        </is>
      </c>
      <c r="C3523" t="inlineStr">
        <is>
          <t>Korean Foundation for Quality, Songpa-gu, Seoul, KR</t>
        </is>
      </c>
      <c r="D3523" t="inlineStr">
        <is>
          <t>26.05.2027</t>
        </is>
      </c>
      <c r="E3523" t="inlineStr">
        <is>
          <t>South Korea</t>
        </is>
      </c>
    </row>
    <row r="3524">
      <c r="A3524" t="inlineStr">
        <is>
          <t>BPREX PHARMA PACKAGING INDIA PRIVATE LIMITED,  Bangalore, India</t>
        </is>
      </c>
      <c r="B3524" t="inlineStr">
        <is>
          <t>Processing Unit</t>
        </is>
      </c>
      <c r="C3524" t="inlineStr">
        <is>
          <t>RINA Services S.p.A., Genova, IT</t>
        </is>
      </c>
      <c r="D3524" t="inlineStr">
        <is>
          <t>26.05.2027</t>
        </is>
      </c>
      <c r="E3524" t="inlineStr">
        <is>
          <t>India</t>
        </is>
      </c>
    </row>
    <row r="3525">
      <c r="A3525" t="inlineStr">
        <is>
          <t>Mawarid Makkah Trading Co,  Al Safa District, Riyadh, Saudi Arabia</t>
        </is>
      </c>
      <c r="B3525" t="inlineStr">
        <is>
          <t>Collecting Point, Trader with Storage</t>
        </is>
      </c>
      <c r="C3525" t="inlineStr">
        <is>
          <t>ICIM SpA, sesto san giovanni, IT</t>
        </is>
      </c>
      <c r="D3525" t="inlineStr">
        <is>
          <t>26.05.2027</t>
        </is>
      </c>
      <c r="E3525" t="inlineStr">
        <is>
          <t>Saudi Arabia</t>
        </is>
      </c>
    </row>
    <row r="3526">
      <c r="A3526" t="inlineStr">
        <is>
          <t>Hubei Changyang Jianhua environmental protection technology co., Ltd.,  Yichang City, China</t>
        </is>
      </c>
      <c r="B3526" t="inlineStr">
        <is>
          <t>Collecting Point, Processing Unit</t>
        </is>
      </c>
      <c r="C3526" t="inlineStr">
        <is>
          <t>RINA Services S.p.A., Genova, IT</t>
        </is>
      </c>
      <c r="D3526" t="inlineStr">
        <is>
          <t>26.05.2027</t>
        </is>
      </c>
      <c r="E3526" t="inlineStr">
        <is>
          <t>China</t>
        </is>
      </c>
    </row>
    <row r="3527">
      <c r="A3527" t="inlineStr">
        <is>
          <t>Hongya Bioenergy (Jiangsu) Co., Ltd.,  Nantong, Jiangsu, China</t>
        </is>
      </c>
      <c r="B3527" t="inlineStr">
        <is>
          <t>Trader with Storage</t>
        </is>
      </c>
      <c r="C3527" t="inlineStr">
        <is>
          <t>RINA Services S.p.A., Genova, IT</t>
        </is>
      </c>
      <c r="D3527" t="inlineStr">
        <is>
          <t>26.05.2027</t>
        </is>
      </c>
      <c r="E3527" t="inlineStr">
        <is>
          <t>China</t>
        </is>
      </c>
    </row>
    <row r="3528">
      <c r="A3528" t="inlineStr">
        <is>
          <t>Ecowell (Tangshan) Enviromental Protection Technology Co.,Ltd.,  Tangshan,Hebei Province, China</t>
        </is>
      </c>
      <c r="B3528" t="inlineStr">
        <is>
          <t>Collecting Point, Processing Unit</t>
        </is>
      </c>
      <c r="C3528" t="inlineStr">
        <is>
          <t>RINA Services S.p.A., Genova, IT</t>
        </is>
      </c>
      <c r="D3528" t="inlineStr">
        <is>
          <t>26.05.2027</t>
        </is>
      </c>
      <c r="E3528" t="inlineStr">
        <is>
          <t>China</t>
        </is>
      </c>
    </row>
    <row r="3529">
      <c r="A3529" t="inlineStr">
        <is>
          <t>POLY RAFIA SA DE CV,  PARQUE INDUSTRIAL SANTA BARBARA, ATLACOMULCO, Mexico</t>
        </is>
      </c>
      <c r="B3529" t="inlineStr">
        <is>
          <t>Processing Unit</t>
        </is>
      </c>
      <c r="C3529" t="inlineStr">
        <is>
          <t>SCS Global Services, Emeryville, CA, US</t>
        </is>
      </c>
      <c r="D3529" t="inlineStr">
        <is>
          <t>26.05.2027</t>
        </is>
      </c>
      <c r="E3529" t="inlineStr">
        <is>
          <t>Mexico</t>
        </is>
      </c>
    </row>
    <row r="3530">
      <c r="A3530" t="inlineStr">
        <is>
          <t>Videolar-Innova S/A,  Polo Petroquímico do Sul - Triunfo, Brazil</t>
        </is>
      </c>
      <c r="B3530" t="inlineStr">
        <is>
          <t>Processing Unit</t>
        </is>
      </c>
      <c r="C3530" t="inlineStr">
        <is>
          <t>QIMA, Centro, Botucatu - SP, CEP, BR</t>
        </is>
      </c>
      <c r="D3530" t="inlineStr">
        <is>
          <t>26.05.2027</t>
        </is>
      </c>
      <c r="E3530" t="inlineStr">
        <is>
          <t>Brazil</t>
        </is>
      </c>
    </row>
    <row r="3531">
      <c r="A3531" t="inlineStr">
        <is>
          <t>MOLDO AGROSERV COOPERATIVA AGRICOLA,  ARAD, Romania</t>
        </is>
      </c>
      <c r="B3531" t="inlineStr">
        <is>
          <t>First Gathering Point, Trader with Storage</t>
        </is>
      </c>
      <c r="C3531" t="inlineStr">
        <is>
          <t>BM Certification, Riga, LV</t>
        </is>
      </c>
      <c r="D3531" t="inlineStr">
        <is>
          <t>26.05.2027</t>
        </is>
      </c>
      <c r="E3531" t="inlineStr">
        <is>
          <t>Romania</t>
        </is>
      </c>
    </row>
    <row r="3532">
      <c r="A3532" t="inlineStr">
        <is>
          <t>SKYWIN ENERGY PTE. LTD.,  SINGAPORE, Singapore</t>
        </is>
      </c>
      <c r="B3532" t="inlineStr">
        <is>
          <t>Trader</t>
        </is>
      </c>
      <c r="C3532" t="inlineStr">
        <is>
          <t>SCS Global Services, Emeryville, CA, US</t>
        </is>
      </c>
      <c r="D3532" t="inlineStr">
        <is>
          <t>26.05.2027</t>
        </is>
      </c>
      <c r="E3532" t="inlineStr">
        <is>
          <t>Singapore</t>
        </is>
      </c>
    </row>
    <row r="3533">
      <c r="A3533" t="inlineStr">
        <is>
          <t>Oleofat Trader SL,  Tudela, Navarra, Spain</t>
        </is>
      </c>
      <c r="B3533" t="inlineStr">
        <is>
          <t>Collecting Point, Point of Origin, Processing Unit, Trader with Storage</t>
        </is>
      </c>
      <c r="C3533" t="inlineStr">
        <is>
          <t>Amspec Iberia SL, Vilagarcia de Arousa-Pontevedra, ES</t>
        </is>
      </c>
      <c r="D3533" t="inlineStr">
        <is>
          <t>26.05.2027</t>
        </is>
      </c>
      <c r="E3533" t="inlineStr">
        <is>
          <t>Spain</t>
        </is>
      </c>
    </row>
    <row r="3534">
      <c r="A3534" t="inlineStr">
        <is>
          <t>Tech Natural Oleo S.L.,  Caparroso, Navarra, Spain</t>
        </is>
      </c>
      <c r="B3534" t="inlineStr">
        <is>
          <t>Collecting Point, Point of Origin, Processing Unit, Trader with Storage</t>
        </is>
      </c>
      <c r="C3534" t="inlineStr">
        <is>
          <t>Amspec Iberia SL, Vilagarcia de Arousa-Pontevedra, ES</t>
        </is>
      </c>
      <c r="D3534" t="inlineStr">
        <is>
          <t>26.05.2027</t>
        </is>
      </c>
      <c r="E3534" t="inlineStr">
        <is>
          <t>Spain</t>
        </is>
      </c>
    </row>
    <row r="3535">
      <c r="A3535" t="inlineStr">
        <is>
          <t>Synthos Dwory 7 Spółka z ograniczoną odpowiedzialnością,  Sochaczew, Poland</t>
        </is>
      </c>
      <c r="B3535" t="inlineStr">
        <is>
          <t>Processing Unit</t>
        </is>
      </c>
      <c r="C3535" t="inlineStr">
        <is>
          <t>Bureau Veritas Polska Sp. z o.o., Warsaw, PL</t>
        </is>
      </c>
      <c r="D3535" t="inlineStr">
        <is>
          <t>26.05.2027</t>
        </is>
      </c>
      <c r="E3535" t="inlineStr">
        <is>
          <t>Poland</t>
        </is>
      </c>
    </row>
    <row r="3536">
      <c r="A3536" t="inlineStr">
        <is>
          <t>Jiangsu Ceville New Materials Technology Co., Ltd,  Dantu District, Zhenjiang, Jiangsu, China</t>
        </is>
      </c>
      <c r="B3536" t="inlineStr">
        <is>
          <t>Processing Unit</t>
        </is>
      </c>
      <c r="C3536" t="inlineStr">
        <is>
          <t>PT Intertek Utama Services, Jakarta, ID</t>
        </is>
      </c>
      <c r="D3536" t="inlineStr">
        <is>
          <t>25.05.2027</t>
        </is>
      </c>
      <c r="E3536" t="inlineStr">
        <is>
          <t>China</t>
        </is>
      </c>
    </row>
    <row r="3537">
      <c r="A3537" t="inlineStr">
        <is>
          <t>Wenzhou Hisight Eyewear Co.,Ltd,  Wenzhou, China</t>
        </is>
      </c>
      <c r="B3537" t="inlineStr">
        <is>
          <t>Processing Unit</t>
        </is>
      </c>
      <c r="C3537" t="inlineStr">
        <is>
          <t>PT Intertek Utama Services, Jakarta, ID</t>
        </is>
      </c>
      <c r="D3537" t="inlineStr">
        <is>
          <t>25.05.2027</t>
        </is>
      </c>
      <c r="E3537" t="inlineStr">
        <is>
          <t>China</t>
        </is>
      </c>
    </row>
    <row r="3538">
      <c r="A3538" t="inlineStr">
        <is>
          <t>JUNLAN ENERGY TECHNOILOGY (SHANDONG) CO LTD,  Zaozhuang City, Shandong Province, China</t>
        </is>
      </c>
      <c r="B3538" t="inlineStr">
        <is>
          <t>Collecting Point, Trader with Storage</t>
        </is>
      </c>
      <c r="C3538" t="inlineStr">
        <is>
          <t>SCS Global Services, Emeryville, CA, US</t>
        </is>
      </c>
      <c r="D3538" t="inlineStr">
        <is>
          <t>25.05.2027</t>
        </is>
      </c>
      <c r="E3538" t="inlineStr">
        <is>
          <t>China</t>
        </is>
      </c>
    </row>
    <row r="3539">
      <c r="A3539" t="inlineStr">
        <is>
          <t>ALBEA POLAND Sp. z o.o.,  Łubna, Poland</t>
        </is>
      </c>
      <c r="B3539" t="inlineStr">
        <is>
          <t>Final Product Refinement, Trader with Storage</t>
        </is>
      </c>
      <c r="C3539" t="inlineStr">
        <is>
          <t>DNV Business Assurance Sweden AB, Solna, SE</t>
        </is>
      </c>
      <c r="D3539" t="inlineStr">
        <is>
          <t>25.05.2027</t>
        </is>
      </c>
      <c r="E3539" t="inlineStr">
        <is>
          <t>Poland</t>
        </is>
      </c>
    </row>
    <row r="3540">
      <c r="A3540" t="inlineStr">
        <is>
          <t>PE "Agrarna Kompaniya 2004",  Volochysk, Ukraine</t>
        </is>
      </c>
      <c r="B3540" t="inlineStr">
        <is>
          <t>Farm / Plantation, Processing Unit</t>
        </is>
      </c>
      <c r="C3540" t="inlineStr">
        <is>
          <t>United Registrar of Systems Polska Sp. z o.o., Wrocław, PL</t>
        </is>
      </c>
      <c r="D3540" t="inlineStr">
        <is>
          <t>25.05.2027</t>
        </is>
      </c>
      <c r="E3540" t="inlineStr">
        <is>
          <t>Ukraine</t>
        </is>
      </c>
    </row>
    <row r="3541">
      <c r="A3541" t="inlineStr">
        <is>
          <t>deSter Company Limited,  Prachinburi, Thailand</t>
        </is>
      </c>
      <c r="B3541" t="inlineStr">
        <is>
          <t>Processing Unit</t>
        </is>
      </c>
      <c r="C3541" t="inlineStr">
        <is>
          <t>Bureau Veritas Polska Sp. z o.o., Warsaw, PL</t>
        </is>
      </c>
      <c r="D3541" t="inlineStr">
        <is>
          <t>25.05.2027</t>
        </is>
      </c>
      <c r="E3541" t="inlineStr">
        <is>
          <t>Thailand</t>
        </is>
      </c>
    </row>
    <row r="3542">
      <c r="A3542" t="inlineStr">
        <is>
          <t>Alpine Renewables Pte Ltd,  Singapore, Singapore</t>
        </is>
      </c>
      <c r="B3542" t="inlineStr">
        <is>
          <t>Trader</t>
        </is>
      </c>
      <c r="C3542" t="inlineStr">
        <is>
          <t>BM Certification, Riga, LV</t>
        </is>
      </c>
      <c r="D3542" t="inlineStr">
        <is>
          <t>25.05.2027</t>
        </is>
      </c>
      <c r="E3542" t="inlineStr">
        <is>
          <t>Singapore</t>
        </is>
      </c>
    </row>
    <row r="3543">
      <c r="A3543" t="inlineStr">
        <is>
          <t>Alpine Renewables Pte Ltd,  Singapore, Singapore</t>
        </is>
      </c>
      <c r="B3543" t="inlineStr">
        <is>
          <t>Trader</t>
        </is>
      </c>
      <c r="C3543" t="inlineStr">
        <is>
          <t>BM Certification, Riga, LV</t>
        </is>
      </c>
      <c r="D3543" t="inlineStr">
        <is>
          <t>25.05.2027</t>
        </is>
      </c>
      <c r="E3543" t="inlineStr">
        <is>
          <t>Singapore</t>
        </is>
      </c>
    </row>
    <row r="3544">
      <c r="A3544" t="inlineStr">
        <is>
          <t>Alpine Renewables Pte Ltd,  Singapore, Singapore</t>
        </is>
      </c>
      <c r="B3544" t="inlineStr">
        <is>
          <t>Trader</t>
        </is>
      </c>
      <c r="C3544" t="inlineStr">
        <is>
          <t>BM Certification, Riga, LV</t>
        </is>
      </c>
      <c r="D3544" t="inlineStr">
        <is>
          <t>25.05.2027</t>
        </is>
      </c>
      <c r="E3544" t="inlineStr">
        <is>
          <t>Singapore</t>
        </is>
      </c>
    </row>
    <row r="3545">
      <c r="A3545" t="inlineStr">
        <is>
          <t>Serres Oy,  Kauhajoki As., Finland</t>
        </is>
      </c>
      <c r="B3545" t="inlineStr">
        <is>
          <t>Processing Unit</t>
        </is>
      </c>
      <c r="C3545" t="inlineStr">
        <is>
          <t>BM Certification, Riga, LV</t>
        </is>
      </c>
      <c r="D3545" t="inlineStr">
        <is>
          <t>25.05.2027</t>
        </is>
      </c>
      <c r="E3545" t="inlineStr">
        <is>
          <t>Finland</t>
        </is>
      </c>
    </row>
    <row r="3546">
      <c r="A3546" t="inlineStr">
        <is>
          <t>Apollo Tyres,  Gyöngyöshalász, Hungary</t>
        </is>
      </c>
      <c r="B3546" t="inlineStr">
        <is>
          <t>Processing Unit</t>
        </is>
      </c>
      <c r="C3546" t="inlineStr">
        <is>
          <t>Control Union Certifications Germany GmbH, Berlin, DE</t>
        </is>
      </c>
      <c r="D3546" t="inlineStr">
        <is>
          <t>25.05.2027</t>
        </is>
      </c>
      <c r="E3546" t="inlineStr">
        <is>
          <t>Hungary</t>
        </is>
      </c>
    </row>
    <row r="3547">
      <c r="A3547" t="inlineStr">
        <is>
          <t>ITAL BIO ENERGY SOC.COOP.AGR.,  TORRE SANTA SUSANNA, Italy</t>
        </is>
      </c>
      <c r="B3547" t="inlineStr">
        <is>
          <t>First Gathering Point</t>
        </is>
      </c>
      <c r="C3547" t="inlineStr">
        <is>
          <t>SGS Germany GmbH, Emstek, DE</t>
        </is>
      </c>
      <c r="D3547" t="inlineStr">
        <is>
          <t>25.05.2027</t>
        </is>
      </c>
      <c r="E3547" t="inlineStr">
        <is>
          <t>Italy</t>
        </is>
      </c>
    </row>
    <row r="3548">
      <c r="A3548" t="inlineStr">
        <is>
          <t>Shell Trading (US) Company,  Houston, Texas, United States</t>
        </is>
      </c>
      <c r="B3548" t="inlineStr">
        <is>
          <t>Trader with Storage</t>
        </is>
      </c>
      <c r="C3548" t="inlineStr">
        <is>
          <t>SGS Germany GmbH, Emstek, DE</t>
        </is>
      </c>
      <c r="D3548" t="inlineStr">
        <is>
          <t>25.05.2027</t>
        </is>
      </c>
      <c r="E3548" t="inlineStr">
        <is>
          <t>United States</t>
        </is>
      </c>
    </row>
    <row r="3549">
      <c r="A3549" t="inlineStr">
        <is>
          <t>SC AGRIAND IMPORT EXPORT SRL,  SANPAUL, Romania</t>
        </is>
      </c>
      <c r="B3549" t="inlineStr">
        <is>
          <t>First Gathering Point, Trader with Storage</t>
        </is>
      </c>
      <c r="C3549" t="inlineStr">
        <is>
          <t>BM Certification, Riga, LV</t>
        </is>
      </c>
      <c r="D3549" t="inlineStr">
        <is>
          <t>25.05.2027</t>
        </is>
      </c>
      <c r="E3549" t="inlineStr">
        <is>
          <t>Romania</t>
        </is>
      </c>
    </row>
    <row r="3550">
      <c r="A3550" t="inlineStr">
        <is>
          <t>Shell Trading (US) Company,  Houston, Texas, The United States of America</t>
        </is>
      </c>
      <c r="B3550" t="inlineStr">
        <is>
          <t>Trader with Storage</t>
        </is>
      </c>
      <c r="C3550" t="inlineStr">
        <is>
          <t>SGS Germany GmbH, Emstek, DE</t>
        </is>
      </c>
      <c r="D3550" t="inlineStr">
        <is>
          <t>25.05.2027</t>
        </is>
      </c>
      <c r="E3550" t="inlineStr">
        <is>
          <t>The United States of America</t>
        </is>
      </c>
    </row>
    <row r="3551">
      <c r="A3551" t="inlineStr">
        <is>
          <t>Vork Technologies (Malaysia) SDN BHD,  Senai Johor, Malaysia</t>
        </is>
      </c>
      <c r="B3551" t="inlineStr">
        <is>
          <t>Processing Unit</t>
        </is>
      </c>
      <c r="C3551" t="inlineStr">
        <is>
          <t>SGS Germany GmbH, Emstek, DE</t>
        </is>
      </c>
      <c r="D3551" t="inlineStr">
        <is>
          <t>25.05.2027</t>
        </is>
      </c>
      <c r="E3551" t="inlineStr">
        <is>
          <t>Malaysia</t>
        </is>
      </c>
    </row>
    <row r="3552">
      <c r="A3552" t="inlineStr">
        <is>
          <t>AMS-PRODUCT d.o.o.,  Darda, Croatia</t>
        </is>
      </c>
      <c r="B3552" t="inlineStr">
        <is>
          <t>Trader</t>
        </is>
      </c>
      <c r="C3552" t="inlineStr">
        <is>
          <t>DNV Business Assurance Sweden AB, Solna, SE</t>
        </is>
      </c>
      <c r="D3552" t="inlineStr">
        <is>
          <t>25.05.2027</t>
        </is>
      </c>
      <c r="E3552" t="inlineStr">
        <is>
          <t>Croatia</t>
        </is>
      </c>
    </row>
    <row r="3553">
      <c r="A3553" t="inlineStr">
        <is>
          <t>DIACONEASA&amp;CO,  Amarastii de Jos, Romania</t>
        </is>
      </c>
      <c r="B3553" t="inlineStr">
        <is>
          <t>First Gathering Point, Trader with Storage</t>
        </is>
      </c>
      <c r="C3553" t="inlineStr">
        <is>
          <t>BM Certification, Riga, LV</t>
        </is>
      </c>
      <c r="D3553" t="inlineStr">
        <is>
          <t>25.05.2027</t>
        </is>
      </c>
      <c r="E3553" t="inlineStr">
        <is>
          <t>Romania</t>
        </is>
      </c>
    </row>
    <row r="3554">
      <c r="A3554" t="inlineStr">
        <is>
          <t>Shell Trading (US) Company,  Houston, Texas, United States</t>
        </is>
      </c>
      <c r="B3554" t="inlineStr">
        <is>
          <t>Trader with Storage</t>
        </is>
      </c>
      <c r="C3554" t="inlineStr">
        <is>
          <t>SGS Germany GmbH, Emstek, DE</t>
        </is>
      </c>
      <c r="D3554" t="inlineStr">
        <is>
          <t>25.05.2027</t>
        </is>
      </c>
      <c r="E3554" t="inlineStr">
        <is>
          <t>United States</t>
        </is>
      </c>
    </row>
    <row r="3555">
      <c r="A3555" t="inlineStr">
        <is>
          <t>PETROVIETNAM CHEMICAL AND SERVICES CORPORATION,  Ha Noi, Vietnam</t>
        </is>
      </c>
      <c r="B3555" t="inlineStr">
        <is>
          <t>Trader</t>
        </is>
      </c>
      <c r="C3555" t="inlineStr">
        <is>
          <t>SGS Germany GmbH, Emstek, DE</t>
        </is>
      </c>
      <c r="D3555" t="inlineStr">
        <is>
          <t>25.05.2027</t>
        </is>
      </c>
      <c r="E3555" t="inlineStr">
        <is>
          <t>Vietnam</t>
        </is>
      </c>
    </row>
    <row r="3556">
      <c r="A3556" t="inlineStr">
        <is>
          <t>BASF-YPC Company Ltd.,  Luhe District, China</t>
        </is>
      </c>
      <c r="B3556" t="inlineStr">
        <is>
          <t>Processing Unit</t>
        </is>
      </c>
      <c r="C3556" t="inlineStr">
        <is>
          <t>TÜV NORD CERT GmbH, Essen, DE</t>
        </is>
      </c>
      <c r="D3556" t="inlineStr">
        <is>
          <t>25.05.2027</t>
        </is>
      </c>
      <c r="E3556" t="inlineStr">
        <is>
          <t>China</t>
        </is>
      </c>
    </row>
    <row r="3557">
      <c r="A3557" t="inlineStr">
        <is>
          <t>Art Plast,  Nicorvo, Italy</t>
        </is>
      </c>
      <c r="B3557" t="inlineStr">
        <is>
          <t>Processing Unit</t>
        </is>
      </c>
      <c r="C3557" t="inlineStr">
        <is>
          <t>Bureau Veritas Polska Sp. z o.o., Warsaw, PL</t>
        </is>
      </c>
      <c r="D3557" t="inlineStr">
        <is>
          <t>25.05.2027</t>
        </is>
      </c>
      <c r="E3557" t="inlineStr">
        <is>
          <t>Italy</t>
        </is>
      </c>
    </row>
    <row r="3558">
      <c r="A3558" t="inlineStr">
        <is>
          <t>Victoria Acre Sdn. Bhd.,  Petaling Jaya, Malaysia</t>
        </is>
      </c>
      <c r="B3558" t="inlineStr">
        <is>
          <t>Trader with Storage</t>
        </is>
      </c>
      <c r="C3558" t="inlineStr">
        <is>
          <t>Control Union Certifications Germany GmbH, Berlin, DE</t>
        </is>
      </c>
      <c r="D3558" t="inlineStr">
        <is>
          <t>25.05.2027</t>
        </is>
      </c>
      <c r="E3558" t="inlineStr">
        <is>
          <t>Malaysia</t>
        </is>
      </c>
    </row>
    <row r="3559">
      <c r="A3559" t="inlineStr">
        <is>
          <t>Hi-P (Xiamen) Precision Plastic Manufacturing Co.,Ltd,  Xiamen, Fujian Province, China</t>
        </is>
      </c>
      <c r="B3559" t="inlineStr">
        <is>
          <t>Processing Unit</t>
        </is>
      </c>
      <c r="C3559" t="inlineStr">
        <is>
          <t>RINA Services S.p.A., Genova, IT</t>
        </is>
      </c>
      <c r="D3559" t="inlineStr">
        <is>
          <t>25.05.2027</t>
        </is>
      </c>
      <c r="E3559" t="inlineStr">
        <is>
          <t>China</t>
        </is>
      </c>
    </row>
    <row r="3560">
      <c r="A3560" t="inlineStr">
        <is>
          <t>Louis Dreyfus Company Hungary Kft.,  Budapest, Hungary</t>
        </is>
      </c>
      <c r="B3560" t="inlineStr">
        <is>
          <t>Trader with Storage</t>
        </is>
      </c>
      <c r="C3560" t="inlineStr">
        <is>
          <t>SGS Germany GmbH, Emstek, DE</t>
        </is>
      </c>
      <c r="D3560" t="inlineStr">
        <is>
          <t>25.05.2027</t>
        </is>
      </c>
      <c r="E3560" t="inlineStr">
        <is>
          <t>Hungary</t>
        </is>
      </c>
    </row>
    <row r="3561">
      <c r="A3561" t="inlineStr">
        <is>
          <t>Louis Dreyfus Company Hungary Kft.,  Budapest, Hungary</t>
        </is>
      </c>
      <c r="B3561" t="inlineStr">
        <is>
          <t>First Gathering Point, Trader with Storage</t>
        </is>
      </c>
      <c r="C3561" t="inlineStr">
        <is>
          <t>SGS Germany GmbH, Emstek, DE</t>
        </is>
      </c>
      <c r="D3561" t="inlineStr">
        <is>
          <t>25.05.2027</t>
        </is>
      </c>
      <c r="E3561" t="inlineStr">
        <is>
          <t>Hungary</t>
        </is>
      </c>
    </row>
    <row r="3562">
      <c r="A3562" t="inlineStr">
        <is>
          <t>Rita E. Aspasia,  Giannouli, Larisa, Greece</t>
        </is>
      </c>
      <c r="B3562" t="inlineStr">
        <is>
          <t>Collecting Point</t>
        </is>
      </c>
      <c r="C3562" t="inlineStr">
        <is>
          <t>Eurocert SA, Metamorfosi, Athens, GR</t>
        </is>
      </c>
      <c r="D3562" t="inlineStr">
        <is>
          <t>25.05.2027</t>
        </is>
      </c>
      <c r="E3562" t="inlineStr">
        <is>
          <t>Greece</t>
        </is>
      </c>
    </row>
    <row r="3563">
      <c r="A3563" t="inlineStr">
        <is>
          <t>Casini Elio SRL,  Loc. Castelnuovo, Subbiano, Italy</t>
        </is>
      </c>
      <c r="B3563" t="inlineStr">
        <is>
          <t>Collecting Point</t>
        </is>
      </c>
      <c r="C3563" t="inlineStr">
        <is>
          <t>SGS Germany GmbH, Emstek, DE</t>
        </is>
      </c>
      <c r="D3563" t="inlineStr">
        <is>
          <t>25.05.2027</t>
        </is>
      </c>
      <c r="E3563" t="inlineStr">
        <is>
          <t>Italy</t>
        </is>
      </c>
    </row>
    <row r="3564">
      <c r="A3564" t="inlineStr">
        <is>
          <t>IMI Co.,LTD.,  Chiyoda-ku, Tokyo, Japan</t>
        </is>
      </c>
      <c r="B3564" t="inlineStr">
        <is>
          <t>Trader</t>
        </is>
      </c>
      <c r="C3564" t="inlineStr">
        <is>
          <t>SGS Germany GmbH, Emstek, DE</t>
        </is>
      </c>
      <c r="D3564" t="inlineStr">
        <is>
          <t>25.05.2027</t>
        </is>
      </c>
      <c r="E3564" t="inlineStr">
        <is>
          <t>Japan</t>
        </is>
      </c>
    </row>
    <row r="3565">
      <c r="A3565" t="inlineStr">
        <is>
          <t>Jiadehe (Hebei) Energy Technology Co., Ltd.,  Shijiazhuang City,, China</t>
        </is>
      </c>
      <c r="B3565" t="inlineStr">
        <is>
          <t>Collecting Point, Trader with Storage</t>
        </is>
      </c>
      <c r="C3565" t="inlineStr">
        <is>
          <t>RINA Services S.p.A., Genova, IT</t>
        </is>
      </c>
      <c r="D3565" t="inlineStr">
        <is>
          <t>25.05.2027</t>
        </is>
      </c>
      <c r="E3565" t="inlineStr">
        <is>
          <t>China</t>
        </is>
      </c>
    </row>
    <row r="3566">
      <c r="A3566" t="inlineStr">
        <is>
          <t>Unser Lagerhaus Kft,  Nagycenk, Hungary</t>
        </is>
      </c>
      <c r="B3566" t="inlineStr">
        <is>
          <t>First Gathering Point, Trader with Storage</t>
        </is>
      </c>
      <c r="C3566" t="inlineStr">
        <is>
          <t>Amspec Iberia SL, Vilagarcia de Arousa-Pontevedra, ES</t>
        </is>
      </c>
      <c r="D3566" t="inlineStr">
        <is>
          <t>25.05.2027</t>
        </is>
      </c>
      <c r="E3566" t="inlineStr">
        <is>
          <t>Hungary</t>
        </is>
      </c>
    </row>
    <row r="3567">
      <c r="A3567" t="inlineStr">
        <is>
          <t>Mátra Grain Kft.,  Jászapáti, Hungary</t>
        </is>
      </c>
      <c r="B3567" t="inlineStr">
        <is>
          <t>First Gathering Point, Trader</t>
        </is>
      </c>
      <c r="C3567" t="inlineStr">
        <is>
          <t>Amspec Iberia SL, Vilagarcia de Arousa-Pontevedra, ES</t>
        </is>
      </c>
      <c r="D3567" t="inlineStr">
        <is>
          <t>25.05.2027</t>
        </is>
      </c>
      <c r="E3567" t="inlineStr">
        <is>
          <t>Hungary</t>
        </is>
      </c>
    </row>
    <row r="3568">
      <c r="A3568" t="inlineStr">
        <is>
          <t>Johor Plantations Group Berhad,  Kluang, Malaysia</t>
        </is>
      </c>
      <c r="B3568" t="inlineStr">
        <is>
          <t>Point of Origin</t>
        </is>
      </c>
      <c r="C3568" t="inlineStr">
        <is>
          <t>ASG Cert GmbH, Munich, DE</t>
        </is>
      </c>
      <c r="D3568" t="inlineStr">
        <is>
          <t>25.05.2027</t>
        </is>
      </c>
      <c r="E3568" t="inlineStr">
        <is>
          <t>Malaysia</t>
        </is>
      </c>
    </row>
    <row r="3569">
      <c r="A3569" t="inlineStr">
        <is>
          <t>Johor Plantations Group Berhad,  Kluang, Malaysia</t>
        </is>
      </c>
      <c r="B3569" t="inlineStr">
        <is>
          <t>Point of Origin</t>
        </is>
      </c>
      <c r="C3569" t="inlineStr">
        <is>
          <t>ASG Cert GmbH, Munich, DE</t>
        </is>
      </c>
      <c r="D3569" t="inlineStr">
        <is>
          <t>25.05.2027</t>
        </is>
      </c>
      <c r="E3569" t="inlineStr">
        <is>
          <t>Malaysia</t>
        </is>
      </c>
    </row>
    <row r="3570">
      <c r="A3570" t="inlineStr">
        <is>
          <t>PREMIUM GLOBAL ENVIRONMENTAL AND SERVICES,  SOHAR, Oman</t>
        </is>
      </c>
      <c r="B3570" t="inlineStr">
        <is>
          <t>Processing Unit, Collecting Point, Trader with Storage</t>
        </is>
      </c>
      <c r="C3570" t="inlineStr">
        <is>
          <t>PT Mutuagung Lestari, Depok, ID</t>
        </is>
      </c>
      <c r="D3570" t="inlineStr">
        <is>
          <t>25.05.2027</t>
        </is>
      </c>
      <c r="E3570" t="inlineStr">
        <is>
          <t>Oman</t>
        </is>
      </c>
    </row>
    <row r="3571">
      <c r="A3571" t="inlineStr">
        <is>
          <t>HELLENiQ PETROLEUM S.A.,  Maroussi, Athens, Greece</t>
        </is>
      </c>
      <c r="B3571" t="inlineStr">
        <is>
          <t>Trader with Storage</t>
        </is>
      </c>
      <c r="C3571" t="inlineStr">
        <is>
          <t>Bureau Veritas Polska Sp. z o.o., Warsaw, PL</t>
        </is>
      </c>
      <c r="D3571" t="inlineStr">
        <is>
          <t>25.05.2027</t>
        </is>
      </c>
      <c r="E3571" t="inlineStr">
        <is>
          <t>Greece</t>
        </is>
      </c>
    </row>
    <row r="3572">
      <c r="A3572" t="inlineStr">
        <is>
          <t>Mewaholeo Industries Sdn Bhd,  Pasir Gudang, Malaysia</t>
        </is>
      </c>
      <c r="B3572" t="inlineStr">
        <is>
          <t>Point of Origin</t>
        </is>
      </c>
      <c r="C3572" t="inlineStr">
        <is>
          <t>Trans Certification and Inspection Sdn Bhd, Kuantan, MY</t>
        </is>
      </c>
      <c r="D3572" t="inlineStr">
        <is>
          <t>25.05.2027</t>
        </is>
      </c>
      <c r="E3572" t="inlineStr">
        <is>
          <t>Malaysia</t>
        </is>
      </c>
    </row>
    <row r="3573">
      <c r="A3573" t="inlineStr">
        <is>
          <t>ČEZ, a.s.,  Prague, Czech Republic</t>
        </is>
      </c>
      <c r="B3573" t="inlineStr">
        <is>
          <t>Trader</t>
        </is>
      </c>
      <c r="C3573" t="inlineStr">
        <is>
          <t>TÜV SÜD Czech s.r.o., Praha 4, CZ</t>
        </is>
      </c>
      <c r="D3573" t="inlineStr">
        <is>
          <t>25.05.2027</t>
        </is>
      </c>
      <c r="E3573" t="inlineStr">
        <is>
          <t>Czech Republic</t>
        </is>
      </c>
    </row>
    <row r="3574">
      <c r="A3574" t="inlineStr">
        <is>
          <t>Wirotec Henze,  Troisdorf, Germany</t>
        </is>
      </c>
      <c r="B3574" t="inlineStr">
        <is>
          <t>Processing Unit</t>
        </is>
      </c>
      <c r="C3574" t="inlineStr">
        <is>
          <t>Normec QS BV, Ede, NL</t>
        </is>
      </c>
      <c r="D3574" t="inlineStr">
        <is>
          <t>25.05.2027</t>
        </is>
      </c>
      <c r="E3574" t="inlineStr">
        <is>
          <t>Germany</t>
        </is>
      </c>
    </row>
    <row r="3575">
      <c r="A3575" t="inlineStr">
        <is>
          <t>Arts Optical Company Limited,  Hong Kong, China</t>
        </is>
      </c>
      <c r="B3575" t="inlineStr">
        <is>
          <t>Trader with Storage</t>
        </is>
      </c>
      <c r="C3575" t="inlineStr">
        <is>
          <t>China Quality Certification Centre Co., Ltd., Beijing, CN</t>
        </is>
      </c>
      <c r="D3575" t="inlineStr">
        <is>
          <t>25.05.2027</t>
        </is>
      </c>
      <c r="E3575" t="inlineStr">
        <is>
          <t>China</t>
        </is>
      </c>
    </row>
    <row r="3576">
      <c r="A3576" t="inlineStr">
        <is>
          <t>GOAT VISION(VIETNAM) COMPANY LIMITED,  Yen Mo District，Ninh Binh Province, Vietnam</t>
        </is>
      </c>
      <c r="B3576" t="inlineStr">
        <is>
          <t>Processing Unit</t>
        </is>
      </c>
      <c r="C3576" t="inlineStr">
        <is>
          <t>SCS Global Services, Emeryville, CA, US</t>
        </is>
      </c>
      <c r="D3576" t="inlineStr">
        <is>
          <t>25.05.2027</t>
        </is>
      </c>
      <c r="E3576" t="inlineStr">
        <is>
          <t>Vietnam</t>
        </is>
      </c>
    </row>
    <row r="3577">
      <c r="A3577" t="inlineStr">
        <is>
          <t>Agro-Wirt 2003 Kft.,  Jánossomorja, Hungary</t>
        </is>
      </c>
      <c r="B3577" t="inlineStr">
        <is>
          <t>First Gathering Point, Trader with Storage</t>
        </is>
      </c>
      <c r="C3577" t="inlineStr">
        <is>
          <t>Amspec Iberia SL, Vilagarcia de Arousa-Pontevedra, ES</t>
        </is>
      </c>
      <c r="D3577" t="inlineStr">
        <is>
          <t>25.05.2027</t>
        </is>
      </c>
      <c r="E3577" t="inlineStr">
        <is>
          <t>Hungary</t>
        </is>
      </c>
    </row>
    <row r="3578">
      <c r="A3578" t="inlineStr">
        <is>
          <t>Oil X Oil,  Bishop's Stortford, United Kingdom</t>
        </is>
      </c>
      <c r="B3578" t="inlineStr">
        <is>
          <t>Collecting Point</t>
        </is>
      </c>
      <c r="C3578" t="inlineStr">
        <is>
          <t>Control Union Certifications Germany GmbH, Berlin, DE</t>
        </is>
      </c>
      <c r="D3578" t="inlineStr">
        <is>
          <t>25.05.2027</t>
        </is>
      </c>
      <c r="E3578" t="inlineStr">
        <is>
          <t>United Kingdom</t>
        </is>
      </c>
    </row>
    <row r="3579">
      <c r="A3579" t="inlineStr">
        <is>
          <t>Douglas Pellets,  Pearson, United States</t>
        </is>
      </c>
      <c r="B3579" t="inlineStr">
        <is>
          <t>Collecting Point, Processing Unit</t>
        </is>
      </c>
      <c r="C3579" t="inlineStr">
        <is>
          <t>Control Union Poland Sp. z o.o., Zielona Gora, PL</t>
        </is>
      </c>
      <c r="D3579" t="inlineStr">
        <is>
          <t>25.05.2027</t>
        </is>
      </c>
      <c r="E3579" t="inlineStr">
        <is>
          <t>United States</t>
        </is>
      </c>
    </row>
    <row r="3580">
      <c r="A3580" t="inlineStr">
        <is>
          <t>Arts Opti Lab (Shenzhen) Company Limited,  Shenzhen, China</t>
        </is>
      </c>
      <c r="B3580" t="inlineStr">
        <is>
          <t>Processing Unit, Trader with Storage</t>
        </is>
      </c>
      <c r="C3580" t="inlineStr">
        <is>
          <t>China Quality Certification Centre Co., Ltd., Beijing, CN</t>
        </is>
      </c>
      <c r="D3580" t="inlineStr">
        <is>
          <t>25.05.2027</t>
        </is>
      </c>
      <c r="E3580" t="inlineStr">
        <is>
          <t>China</t>
        </is>
      </c>
    </row>
    <row r="3581">
      <c r="A3581" t="inlineStr">
        <is>
          <t>Receptora de Líquidos S.A. (RELISA),  Barcelona, Spain</t>
        </is>
      </c>
      <c r="B3581" t="inlineStr">
        <is>
          <t>Point of Origin, Warehouse</t>
        </is>
      </c>
      <c r="C3581" t="inlineStr">
        <is>
          <t>SGS Germany GmbH, Emstek, DE</t>
        </is>
      </c>
      <c r="D3581" t="inlineStr">
        <is>
          <t>25.05.2027</t>
        </is>
      </c>
      <c r="E3581" t="inlineStr">
        <is>
          <t>Spain</t>
        </is>
      </c>
    </row>
    <row r="3582">
      <c r="A3582" t="inlineStr">
        <is>
          <t>Kooperatyvas Derliaus centras,  Kena, Vilniaus raj., Lithuania</t>
        </is>
      </c>
      <c r="B3582" t="inlineStr">
        <is>
          <t>First Gathering Point</t>
        </is>
      </c>
      <c r="C3582" t="inlineStr">
        <is>
          <t>BM Certification, Riga, LV</t>
        </is>
      </c>
      <c r="D3582" t="inlineStr">
        <is>
          <t>25.05.2027</t>
        </is>
      </c>
      <c r="E3582" t="inlineStr">
        <is>
          <t>Lithuania</t>
        </is>
      </c>
    </row>
    <row r="3583">
      <c r="A3583" t="inlineStr">
        <is>
          <t>Receptora de Líquidos S.A. (RELISA),  Barcelona, Spain</t>
        </is>
      </c>
      <c r="B3583" t="inlineStr">
        <is>
          <t>Point of Origin, Warehouse</t>
        </is>
      </c>
      <c r="C3583" t="inlineStr">
        <is>
          <t>SGS Germany GmbH, Emstek, DE</t>
        </is>
      </c>
      <c r="D3583" t="inlineStr">
        <is>
          <t>25.05.2027</t>
        </is>
      </c>
      <c r="E3583" t="inlineStr">
        <is>
          <t>Spain</t>
        </is>
      </c>
    </row>
    <row r="3584">
      <c r="A3584" t="inlineStr">
        <is>
          <t>Akros Trading Co. Ltd.,  Minato-ku, Tokyo, Japan</t>
        </is>
      </c>
      <c r="B3584" t="inlineStr">
        <is>
          <t>Trader</t>
        </is>
      </c>
      <c r="C3584" t="inlineStr">
        <is>
          <t>SGS Germany GmbH, Emstek, DE</t>
        </is>
      </c>
      <c r="D3584" t="inlineStr">
        <is>
          <t>25.05.2027</t>
        </is>
      </c>
      <c r="E3584" t="inlineStr">
        <is>
          <t>Japan</t>
        </is>
      </c>
    </row>
    <row r="3585">
      <c r="A3585" t="inlineStr">
        <is>
          <t>Yoshino Kogyosho Co.,LTD.,  nakagawa-machi, nasu-gun, tochigi-ken, Japan</t>
        </is>
      </c>
      <c r="B3585" t="inlineStr">
        <is>
          <t>Processing Unit</t>
        </is>
      </c>
      <c r="C3585" t="inlineStr">
        <is>
          <t>SGS Germany GmbH, Emstek, DE</t>
        </is>
      </c>
      <c r="D3585" t="inlineStr">
        <is>
          <t>25.05.2027</t>
        </is>
      </c>
      <c r="E3585" t="inlineStr">
        <is>
          <t>Japan</t>
        </is>
      </c>
    </row>
    <row r="3586">
      <c r="A3586" t="inlineStr">
        <is>
          <t>KOWON CORPORATION,  SEOCHO-GU, SEOUL,, South Korea</t>
        </is>
      </c>
      <c r="B3586" t="inlineStr">
        <is>
          <t>Trader</t>
        </is>
      </c>
      <c r="C3586" t="inlineStr">
        <is>
          <t>Control Union Certifications Germany GmbH, Berlin, DE</t>
        </is>
      </c>
      <c r="D3586" t="inlineStr">
        <is>
          <t>25.05.2027</t>
        </is>
      </c>
      <c r="E3586" t="inlineStr">
        <is>
          <t>South Korea</t>
        </is>
      </c>
    </row>
    <row r="3587">
      <c r="A3587" t="inlineStr">
        <is>
          <t>Msh Resources (M) sdn bhd,  Kulai, Malaysia</t>
        </is>
      </c>
      <c r="B3587" t="inlineStr">
        <is>
          <t>Trader</t>
        </is>
      </c>
      <c r="C3587" t="inlineStr">
        <is>
          <t>Trans Certification and Inspection Sdn Bhd, Kuantan, MY</t>
        </is>
      </c>
      <c r="D3587" t="inlineStr">
        <is>
          <t>24.05.2027</t>
        </is>
      </c>
      <c r="E3587" t="inlineStr">
        <is>
          <t>Malaysia</t>
        </is>
      </c>
    </row>
    <row r="3588">
      <c r="A3588" t="inlineStr">
        <is>
          <t>Shantou Tianhuijian Bio-Tech Co.,Ltd,  Shantou, China</t>
        </is>
      </c>
      <c r="B3588" t="inlineStr">
        <is>
          <t>Collecting Point</t>
        </is>
      </c>
      <c r="C3588" t="inlineStr">
        <is>
          <t>SCS Global Services, Emeryville, CA, US</t>
        </is>
      </c>
      <c r="D3588" t="inlineStr">
        <is>
          <t>24.05.2027</t>
        </is>
      </c>
      <c r="E3588" t="inlineStr">
        <is>
          <t>China</t>
        </is>
      </c>
    </row>
    <row r="3589">
      <c r="A3589" t="inlineStr">
        <is>
          <t>CM Green Energy Technology (SHENZHEN) Co., Ltd.,  Shenzhen, Guangdong, China</t>
        </is>
      </c>
      <c r="B3589" t="inlineStr">
        <is>
          <t>Trader</t>
        </is>
      </c>
      <c r="C3589" t="inlineStr">
        <is>
          <t>Bureau Veritas Polska Sp. z o.o., Warsaw, PL</t>
        </is>
      </c>
      <c r="D3589" t="inlineStr">
        <is>
          <t>24.05.2027</t>
        </is>
      </c>
      <c r="E3589" t="inlineStr">
        <is>
          <t>China</t>
        </is>
      </c>
    </row>
    <row r="3590">
      <c r="A3590" t="inlineStr">
        <is>
          <t>Norman Process Oils Malaysia Plant Sdn Bhd,  Pasir Gudang, Malaysia</t>
        </is>
      </c>
      <c r="B3590" t="inlineStr">
        <is>
          <t>Processing Unit</t>
        </is>
      </c>
      <c r="C3590" t="inlineStr">
        <is>
          <t>PT. CBQA GLOBAL INDONESIA, JAKARTA SELATAN, ID</t>
        </is>
      </c>
      <c r="D3590" t="inlineStr">
        <is>
          <t>24.05.2027</t>
        </is>
      </c>
      <c r="E3590" t="inlineStr">
        <is>
          <t>Malaysia</t>
        </is>
      </c>
    </row>
    <row r="3591">
      <c r="A3591" t="inlineStr">
        <is>
          <t>Hubei zhongrunfeng environmental protection technology co., ltd,  Jingzhou City, China</t>
        </is>
      </c>
      <c r="B3591" t="inlineStr">
        <is>
          <t>Collecting Point, Processing Unit</t>
        </is>
      </c>
      <c r="C3591" t="inlineStr">
        <is>
          <t>RINA Services S.p.A., Genova, IT</t>
        </is>
      </c>
      <c r="D3591" t="inlineStr">
        <is>
          <t>24.05.2027</t>
        </is>
      </c>
      <c r="E3591" t="inlineStr">
        <is>
          <t>China</t>
        </is>
      </c>
    </row>
    <row r="3592">
      <c r="A3592" t="inlineStr">
        <is>
          <t>Shijiazhuang Safu New Energy Technology Co., Ltd.,  Shijiazhuang City, Hebei Province, China</t>
        </is>
      </c>
      <c r="B3592" t="inlineStr">
        <is>
          <t>Collecting Point, Trader with Storage</t>
        </is>
      </c>
      <c r="C3592" t="inlineStr">
        <is>
          <t>RINA Services S.p.A., Genova, IT</t>
        </is>
      </c>
      <c r="D3592" t="inlineStr">
        <is>
          <t>24.05.2027</t>
        </is>
      </c>
      <c r="E3592" t="inlineStr">
        <is>
          <t>China</t>
        </is>
      </c>
    </row>
    <row r="3593">
      <c r="A3593" t="inlineStr">
        <is>
          <t>Orti dei Berici,  Vicenza, Poiana Maggiore, Italy</t>
        </is>
      </c>
      <c r="B3593" t="inlineStr">
        <is>
          <t>First Gathering Point</t>
        </is>
      </c>
      <c r="C3593" t="inlineStr">
        <is>
          <t>RINA Services S.p.A., Genova, IT</t>
        </is>
      </c>
      <c r="D3593" t="inlineStr">
        <is>
          <t>24.05.2027</t>
        </is>
      </c>
      <c r="E3593" t="inlineStr">
        <is>
          <t>Italy</t>
        </is>
      </c>
    </row>
    <row r="3594">
      <c r="A3594" t="inlineStr">
        <is>
          <t>Blue Ridge Renewables,  Fresno, TX, United States</t>
        </is>
      </c>
      <c r="B3594" t="inlineStr">
        <is>
          <t>Collecting Point, Processing Unit</t>
        </is>
      </c>
      <c r="C3594" t="inlineStr">
        <is>
          <t>SCS Global Services, Emeryville, CA, US</t>
        </is>
      </c>
      <c r="D3594" t="inlineStr">
        <is>
          <t>24.05.2027</t>
        </is>
      </c>
      <c r="E3594" t="inlineStr">
        <is>
          <t>United States</t>
        </is>
      </c>
    </row>
    <row r="3595">
      <c r="A3595" t="inlineStr">
        <is>
          <t>Blue Ridge Renewables,  Fresno, TX, United States</t>
        </is>
      </c>
      <c r="B3595" t="inlineStr">
        <is>
          <t>Collecting Point, Processing Unit</t>
        </is>
      </c>
      <c r="C3595" t="inlineStr">
        <is>
          <t>SCS Global Services, Emeryville, CA, US</t>
        </is>
      </c>
      <c r="D3595" t="inlineStr">
        <is>
          <t>24.05.2027</t>
        </is>
      </c>
      <c r="E3595" t="inlineStr">
        <is>
          <t>United States</t>
        </is>
      </c>
    </row>
    <row r="3596">
      <c r="A3596" t="inlineStr">
        <is>
          <t>Glander International Bunkering (Geneva) Sarl,  Geneva, Switzerland</t>
        </is>
      </c>
      <c r="B3596" t="inlineStr">
        <is>
          <t>Proof of Compliance Trader, Trader</t>
        </is>
      </c>
      <c r="C3596" t="inlineStr">
        <is>
          <t>Control Union Certifications Germany GmbH, Berlin, DE</t>
        </is>
      </c>
      <c r="D3596" t="inlineStr">
        <is>
          <t>24.05.2027</t>
        </is>
      </c>
      <c r="E3596" t="inlineStr">
        <is>
          <t>Switzerland</t>
        </is>
      </c>
    </row>
    <row r="3597">
      <c r="A3597" t="inlineStr">
        <is>
          <t>SOCIETE CARMAUSINE DE RECUPERATION,  Carmaux, France</t>
        </is>
      </c>
      <c r="B3597" t="inlineStr">
        <is>
          <t>Collecting Point</t>
        </is>
      </c>
      <c r="C3597" t="inlineStr">
        <is>
          <t>Control Union Certifications Germany GmbH, Berlin, DE</t>
        </is>
      </c>
      <c r="D3597" t="inlineStr">
        <is>
          <t>24.05.2027</t>
        </is>
      </c>
      <c r="E3597" t="inlineStr">
        <is>
          <t>France</t>
        </is>
      </c>
    </row>
    <row r="3598">
      <c r="A3598" t="inlineStr">
        <is>
          <t>OMV PETROM,  Brazi, Romania</t>
        </is>
      </c>
      <c r="B3598" t="inlineStr">
        <is>
          <t>Processing Unit</t>
        </is>
      </c>
      <c r="C3598" t="inlineStr">
        <is>
          <t>CertRom SRL, Bucuresti, RO</t>
        </is>
      </c>
      <c r="D3598" t="inlineStr">
        <is>
          <t>24.05.2027</t>
        </is>
      </c>
      <c r="E3598" t="inlineStr">
        <is>
          <t>Romania</t>
        </is>
      </c>
    </row>
    <row r="3599">
      <c r="A3599" t="inlineStr">
        <is>
          <t>Kullaplast AB,  Höganäs, Sweden</t>
        </is>
      </c>
      <c r="B3599" t="inlineStr">
        <is>
          <t>Processing Unit</t>
        </is>
      </c>
      <c r="C3599" t="inlineStr">
        <is>
          <t>DNV Business Assurance Sweden AB, Solna, SE</t>
        </is>
      </c>
      <c r="D3599" t="inlineStr">
        <is>
          <t>24.05.2027</t>
        </is>
      </c>
      <c r="E3599" t="inlineStr">
        <is>
          <t>Sweden</t>
        </is>
      </c>
    </row>
    <row r="3600">
      <c r="A3600" t="inlineStr">
        <is>
          <t>Targray Industries Inc.,  Massena, United States</t>
        </is>
      </c>
      <c r="B3600" t="inlineStr">
        <is>
          <t>Trader</t>
        </is>
      </c>
      <c r="C3600" t="inlineStr">
        <is>
          <t>SCS Global Services, Emeryville, CA, US</t>
        </is>
      </c>
      <c r="D3600" t="inlineStr">
        <is>
          <t>24.05.2027</t>
        </is>
      </c>
      <c r="E3600" t="inlineStr">
        <is>
          <t>United States</t>
        </is>
      </c>
    </row>
    <row r="3601">
      <c r="A3601" t="inlineStr">
        <is>
          <t>Targray Industries Inc.,  Massena, United States</t>
        </is>
      </c>
      <c r="B3601" t="inlineStr">
        <is>
          <t>Trader</t>
        </is>
      </c>
      <c r="C3601" t="inlineStr">
        <is>
          <t>SCS Global Services, Emeryville, CA, US</t>
        </is>
      </c>
      <c r="D3601" t="inlineStr">
        <is>
          <t>24.05.2027</t>
        </is>
      </c>
      <c r="E3601" t="inlineStr">
        <is>
          <t>United States</t>
        </is>
      </c>
    </row>
    <row r="3602">
      <c r="A3602" t="inlineStr">
        <is>
          <t>Sunpor Kunststoff GmbH,  St. Pölten, Austria</t>
        </is>
      </c>
      <c r="B3602" t="inlineStr">
        <is>
          <t>Point of Origin, Processing Unit</t>
        </is>
      </c>
      <c r="C3602" t="inlineStr">
        <is>
          <t>DIN CERTCO GmbH, Berlin, DE</t>
        </is>
      </c>
      <c r="D3602" t="inlineStr">
        <is>
          <t>24.05.2027</t>
        </is>
      </c>
      <c r="E3602" t="inlineStr">
        <is>
          <t>Austria</t>
        </is>
      </c>
    </row>
    <row r="3603">
      <c r="A3603" t="inlineStr">
        <is>
          <t>Biesterfeld Polybass S.p.A.,  Milan, Italy</t>
        </is>
      </c>
      <c r="B3603" t="inlineStr">
        <is>
          <t>Trader with Storage</t>
        </is>
      </c>
      <c r="C3603" t="inlineStr">
        <is>
          <t>GUT Certifizierungsgesellschaft für Managementsysteme mbH Umweltgutachter, Berlin, DE</t>
        </is>
      </c>
      <c r="D3603" t="inlineStr">
        <is>
          <t>24.05.2027</t>
        </is>
      </c>
      <c r="E3603" t="inlineStr">
        <is>
          <t>Italy</t>
        </is>
      </c>
    </row>
    <row r="3604">
      <c r="A3604" t="inlineStr">
        <is>
          <t>Henkel AG &amp; Co. KGaA,  Bopfingen, Germany</t>
        </is>
      </c>
      <c r="B3604" t="inlineStr">
        <is>
          <t>Processing Unit</t>
        </is>
      </c>
      <c r="C3604" t="inlineStr">
        <is>
          <t>DQS CFS GmbH - Deutsche Gesellschaft für Nachhaltigkeit, Frankfurt am Main, DE</t>
        </is>
      </c>
      <c r="D3604" t="inlineStr">
        <is>
          <t>24.05.2027</t>
        </is>
      </c>
      <c r="E3604" t="inlineStr">
        <is>
          <t>Germany</t>
        </is>
      </c>
    </row>
    <row r="3605">
      <c r="A3605" t="inlineStr">
        <is>
          <t>AGRO Life SK, s.r.o.,  Levice, Slovakia</t>
        </is>
      </c>
      <c r="B3605" t="inlineStr">
        <is>
          <t>First Gathering Point, Trader</t>
        </is>
      </c>
      <c r="C3605" t="inlineStr">
        <is>
          <t>United Registrar of Systems Polska Sp. z o.o., Wrocław, PL</t>
        </is>
      </c>
      <c r="D3605" t="inlineStr">
        <is>
          <t>24.05.2027</t>
        </is>
      </c>
      <c r="E3605" t="inlineStr">
        <is>
          <t>Slovakia</t>
        </is>
      </c>
    </row>
    <row r="3606">
      <c r="A3606" t="inlineStr">
        <is>
          <t>Odbytové a hospodářské družstvo Pardubice,  Pardubice, Czech Republic</t>
        </is>
      </c>
      <c r="B3606" t="inlineStr">
        <is>
          <t>First Gathering Point, Trader with Storage</t>
        </is>
      </c>
      <c r="C3606" t="inlineStr">
        <is>
          <t>Bureau Veritas Polska Sp. z o.o., Warsaw, PL</t>
        </is>
      </c>
      <c r="D3606" t="inlineStr">
        <is>
          <t>24.05.2027</t>
        </is>
      </c>
      <c r="E3606" t="inlineStr">
        <is>
          <t>Czech Republic</t>
        </is>
      </c>
    </row>
    <row r="3607">
      <c r="A3607" t="inlineStr">
        <is>
          <t>HMLP CO., LTD.,  Tokyo, Japan</t>
        </is>
      </c>
      <c r="B3607" t="inlineStr">
        <is>
          <t>Trader</t>
        </is>
      </c>
      <c r="C3607" t="inlineStr">
        <is>
          <t>PT. Qualitas Sertifikasi Indonesia, Jakarta, ID</t>
        </is>
      </c>
      <c r="D3607" t="inlineStr">
        <is>
          <t>24.05.2027</t>
        </is>
      </c>
      <c r="E3607" t="inlineStr">
        <is>
          <t>Japan</t>
        </is>
      </c>
    </row>
    <row r="3608">
      <c r="A3608" t="inlineStr">
        <is>
          <t>HMLP CO., LTD.,  Tokyo, Japan</t>
        </is>
      </c>
      <c r="B3608" t="inlineStr">
        <is>
          <t>Trader</t>
        </is>
      </c>
      <c r="C3608" t="inlineStr">
        <is>
          <t>PT. Qualitas Sertifikasi Indonesia, Jakarta, ID</t>
        </is>
      </c>
      <c r="D3608" t="inlineStr">
        <is>
          <t>24.05.2027</t>
        </is>
      </c>
      <c r="E3608" t="inlineStr">
        <is>
          <t>Japan</t>
        </is>
      </c>
    </row>
    <row r="3609">
      <c r="A3609" t="inlineStr">
        <is>
          <t>SAMBEKU GmbH,  Krems an der Donau, Austria</t>
        </is>
      </c>
      <c r="B3609" t="inlineStr">
        <is>
          <t>Collecting Point</t>
        </is>
      </c>
      <c r="C3609" t="inlineStr">
        <is>
          <t>DIN CERTCO GmbH, Berlin, DE</t>
        </is>
      </c>
      <c r="D3609" t="inlineStr">
        <is>
          <t>24.05.2027</t>
        </is>
      </c>
      <c r="E3609" t="inlineStr">
        <is>
          <t>Austria</t>
        </is>
      </c>
    </row>
    <row r="3610">
      <c r="A3610" t="inlineStr">
        <is>
          <t>Oilco,  The Fifth Settlement, District Five, Cairo, Egypt</t>
        </is>
      </c>
      <c r="B3610" t="inlineStr">
        <is>
          <t>Trader</t>
        </is>
      </c>
      <c r="C3610" t="inlineStr">
        <is>
          <t>SGS Germany GmbH, Emstek, DE</t>
        </is>
      </c>
      <c r="D3610" t="inlineStr">
        <is>
          <t>24.05.2027</t>
        </is>
      </c>
      <c r="E3610" t="inlineStr">
        <is>
          <t>Egypt</t>
        </is>
      </c>
    </row>
    <row r="3611">
      <c r="A3611" t="inlineStr">
        <is>
          <t>POLYMERWERKSTATT GmbH,  Krems an der Donau, Austria</t>
        </is>
      </c>
      <c r="B3611" t="inlineStr">
        <is>
          <t>Processing Unit</t>
        </is>
      </c>
      <c r="C3611" t="inlineStr">
        <is>
          <t>DIN CERTCO GmbH, Berlin, DE</t>
        </is>
      </c>
      <c r="D3611" t="inlineStr">
        <is>
          <t>24.05.2027</t>
        </is>
      </c>
      <c r="E3611" t="inlineStr">
        <is>
          <t>Austria</t>
        </is>
      </c>
    </row>
    <row r="3612">
      <c r="A3612" t="inlineStr">
        <is>
          <t>Wenzhou Everfly Optical Co.,Ltd,  Wenzhou, China</t>
        </is>
      </c>
      <c r="B3612" t="inlineStr">
        <is>
          <t>Trader</t>
        </is>
      </c>
      <c r="C3612" t="inlineStr">
        <is>
          <t>PT Intertek Utama Services, Jakarta, ID</t>
        </is>
      </c>
      <c r="D3612" t="inlineStr">
        <is>
          <t>24.05.2027</t>
        </is>
      </c>
      <c r="E3612" t="inlineStr">
        <is>
          <t>China</t>
        </is>
      </c>
    </row>
    <row r="3613">
      <c r="A3613" t="inlineStr">
        <is>
          <t>Renera Trading,  Basel, Switzerland</t>
        </is>
      </c>
      <c r="B3613" t="inlineStr">
        <is>
          <t>Trader</t>
        </is>
      </c>
      <c r="C3613" t="inlineStr">
        <is>
          <t>Control Union Certifications Germany GmbH, Berlin, DE</t>
        </is>
      </c>
      <c r="D3613" t="inlineStr">
        <is>
          <t>24.05.2027</t>
        </is>
      </c>
      <c r="E3613" t="inlineStr">
        <is>
          <t>Switzerland</t>
        </is>
      </c>
    </row>
    <row r="3614">
      <c r="A3614" t="inlineStr">
        <is>
          <t>PETCHEM INTERNATIONAL TRADING AND SHIPPING PTE. LTD.,  Singapore, Singapore</t>
        </is>
      </c>
      <c r="B3614" t="inlineStr">
        <is>
          <t>Trader</t>
        </is>
      </c>
      <c r="C3614" t="inlineStr">
        <is>
          <t>SGS Germany GmbH, Emstek, DE</t>
        </is>
      </c>
      <c r="D3614" t="inlineStr">
        <is>
          <t>24.05.2027</t>
        </is>
      </c>
      <c r="E3614" t="inlineStr">
        <is>
          <t>Singapore</t>
        </is>
      </c>
    </row>
    <row r="3615">
      <c r="A3615" t="inlineStr">
        <is>
          <t>Nobian Industrial Chemicals B.V.,  Frankfurt am Main, Germany</t>
        </is>
      </c>
      <c r="B3615" t="inlineStr">
        <is>
          <t>Processing Unit</t>
        </is>
      </c>
      <c r="C3615" t="inlineStr">
        <is>
          <t>SGS Germany GmbH, Emstek, DE</t>
        </is>
      </c>
      <c r="D3615" t="inlineStr">
        <is>
          <t>24.05.2027</t>
        </is>
      </c>
      <c r="E3615" t="inlineStr">
        <is>
          <t>Germany</t>
        </is>
      </c>
    </row>
    <row r="3616">
      <c r="A3616" t="inlineStr">
        <is>
          <t>PETCHEM INTERNATIONAL TRADING AND SHIPPING PTE. LTD.,  Singapore, Singapore</t>
        </is>
      </c>
      <c r="B3616" t="inlineStr">
        <is>
          <t>Trader</t>
        </is>
      </c>
      <c r="C3616" t="inlineStr">
        <is>
          <t>SGS Germany GmbH, Emstek, DE</t>
        </is>
      </c>
      <c r="D3616" t="inlineStr">
        <is>
          <t>24.05.2027</t>
        </is>
      </c>
      <c r="E3616" t="inlineStr">
        <is>
          <t>Singapore</t>
        </is>
      </c>
    </row>
    <row r="3617">
      <c r="A3617" t="inlineStr">
        <is>
          <t>Palma Mas Sejati,  Bengkulu Tengah, Indonesia</t>
        </is>
      </c>
      <c r="B3617" t="inlineStr">
        <is>
          <t>Point of Origin</t>
        </is>
      </c>
      <c r="C3617" t="inlineStr">
        <is>
          <t>PT TSI Sertifikasi Internasional, Jakarta Selatang, ID</t>
        </is>
      </c>
      <c r="D3617" t="inlineStr">
        <is>
          <t>24.05.2027</t>
        </is>
      </c>
      <c r="E3617" t="inlineStr">
        <is>
          <t>Indonesia</t>
        </is>
      </c>
    </row>
    <row r="3618">
      <c r="A3618" t="inlineStr">
        <is>
          <t>EASCHEM CO.,LTD,  TAIPEI City, Songshan Dist, Taiwan</t>
        </is>
      </c>
      <c r="B3618" t="inlineStr">
        <is>
          <t>Trader with Storage</t>
        </is>
      </c>
      <c r="C3618" t="inlineStr">
        <is>
          <t>Bureau Veritas Polska Sp. z o.o., Warsaw, PL</t>
        </is>
      </c>
      <c r="D3618" t="inlineStr">
        <is>
          <t>24.05.2027</t>
        </is>
      </c>
      <c r="E3618" t="inlineStr">
        <is>
          <t>Taiwan</t>
        </is>
      </c>
    </row>
    <row r="3619">
      <c r="A3619" t="inlineStr">
        <is>
          <t>Shinkong Synthetic Fibers Corporation,  Guanyin Dist., Taoyuan City, Taiwan, Province of China</t>
        </is>
      </c>
      <c r="B3619" t="inlineStr">
        <is>
          <t>Processing Unit</t>
        </is>
      </c>
      <c r="C3619" t="inlineStr">
        <is>
          <t>Bureau Veritas Polska Sp. z o.o., Warsaw, PL</t>
        </is>
      </c>
      <c r="D3619" t="inlineStr">
        <is>
          <t>24.05.2027</t>
        </is>
      </c>
      <c r="E3619" t="inlineStr">
        <is>
          <t>Province of China</t>
        </is>
      </c>
    </row>
    <row r="3620">
      <c r="A3620" t="inlineStr">
        <is>
          <t>YEJIFNM,  Gwangju-si, Gyeonggi-do, South Korea</t>
        </is>
      </c>
      <c r="B3620" t="inlineStr">
        <is>
          <t>Trader</t>
        </is>
      </c>
      <c r="C3620" t="inlineStr">
        <is>
          <t>Korean Foundation for Quality, Songpa-gu, Seoul, KR</t>
        </is>
      </c>
      <c r="D3620" t="inlineStr">
        <is>
          <t>24.05.2027</t>
        </is>
      </c>
      <c r="E3620" t="inlineStr">
        <is>
          <t>South Korea</t>
        </is>
      </c>
    </row>
    <row r="3621">
      <c r="A3621" t="inlineStr">
        <is>
          <t>Dezhou Biwode Biological Technology Co.,Ltd,  Dezhou city Shandong Province, China</t>
        </is>
      </c>
      <c r="B3621" t="inlineStr">
        <is>
          <t>Collecting Point, Trader with Storage</t>
        </is>
      </c>
      <c r="C3621" t="inlineStr">
        <is>
          <t>RINA Services S.p.A., Genova, IT</t>
        </is>
      </c>
      <c r="D3621" t="inlineStr">
        <is>
          <t>23.05.2027</t>
        </is>
      </c>
      <c r="E3621" t="inlineStr">
        <is>
          <t>China</t>
        </is>
      </c>
    </row>
    <row r="3622">
      <c r="A3622" t="inlineStr">
        <is>
          <t>DUTCH WASTE Collectors &amp; Cleaning B.V.,  Dordrecht, Netherlands</t>
        </is>
      </c>
      <c r="B3622" t="inlineStr">
        <is>
          <t>Collecting Point, Trader with Storage</t>
        </is>
      </c>
      <c r="C3622" t="inlineStr">
        <is>
          <t>Control Union Certifications Germany GmbH, Berlin, DE</t>
        </is>
      </c>
      <c r="D3622" t="inlineStr">
        <is>
          <t>23.05.2027</t>
        </is>
      </c>
      <c r="E3622" t="inlineStr">
        <is>
          <t>Netherlands</t>
        </is>
      </c>
    </row>
    <row r="3623">
      <c r="A3623" t="inlineStr">
        <is>
          <t>Amerplast Ltd,  Tampere, Finland</t>
        </is>
      </c>
      <c r="B3623" t="inlineStr">
        <is>
          <t>Processing Unit, Final Product Refinement</t>
        </is>
      </c>
      <c r="C3623" t="inlineStr">
        <is>
          <t>DNV Business Assurance Sweden AB, Solna, SE</t>
        </is>
      </c>
      <c r="D3623" t="inlineStr">
        <is>
          <t>23.05.2027</t>
        </is>
      </c>
      <c r="E3623" t="inlineStr">
        <is>
          <t>Finland</t>
        </is>
      </c>
    </row>
    <row r="3624">
      <c r="A3624" t="inlineStr">
        <is>
          <t>HELM AG,  Hamburg, Germany</t>
        </is>
      </c>
      <c r="B3624" t="inlineStr">
        <is>
          <t>Trader with Storage</t>
        </is>
      </c>
      <c r="C3624" t="inlineStr">
        <is>
          <t>TÜV NORD CERT GmbH, Essen, DE</t>
        </is>
      </c>
      <c r="D3624" t="inlineStr">
        <is>
          <t>23.05.2027</t>
        </is>
      </c>
      <c r="E3624" t="inlineStr">
        <is>
          <t>Germany</t>
        </is>
      </c>
    </row>
    <row r="3625">
      <c r="A3625" t="inlineStr">
        <is>
          <t>HELM AG,  Hamburg, Germany</t>
        </is>
      </c>
      <c r="B3625" t="inlineStr">
        <is>
          <t>Trader with Storage</t>
        </is>
      </c>
      <c r="C3625" t="inlineStr">
        <is>
          <t>TÜV NORD CERT GmbH, Essen, DE</t>
        </is>
      </c>
      <c r="D3625" t="inlineStr">
        <is>
          <t>23.05.2027</t>
        </is>
      </c>
      <c r="E3625" t="inlineStr">
        <is>
          <t>Germany</t>
        </is>
      </c>
    </row>
    <row r="3626">
      <c r="A3626" t="inlineStr">
        <is>
          <t>CEREAL INTERMED COMPANY SRL,  CONSTANTA, Romania</t>
        </is>
      </c>
      <c r="B3626" t="inlineStr">
        <is>
          <t>First Gathering Point</t>
        </is>
      </c>
      <c r="C3626" t="inlineStr">
        <is>
          <t>SRAC Cert SRL, Bucharest, RO</t>
        </is>
      </c>
      <c r="D3626" t="inlineStr">
        <is>
          <t>23.05.2027</t>
        </is>
      </c>
      <c r="E3626" t="inlineStr">
        <is>
          <t>Romania</t>
        </is>
      </c>
    </row>
    <row r="3627">
      <c r="A3627" t="inlineStr">
        <is>
          <t>HELM SKANDINAVIEN A/S,  Copenhagen, Denmark</t>
        </is>
      </c>
      <c r="B3627" t="inlineStr">
        <is>
          <t>Trader with Storage</t>
        </is>
      </c>
      <c r="C3627" t="inlineStr">
        <is>
          <t>TÜV NORD CERT GmbH, Essen, DE</t>
        </is>
      </c>
      <c r="D3627" t="inlineStr">
        <is>
          <t>23.05.2027</t>
        </is>
      </c>
      <c r="E3627" t="inlineStr">
        <is>
          <t>Denmark</t>
        </is>
      </c>
    </row>
    <row r="3628">
      <c r="A3628" t="inlineStr">
        <is>
          <t>Ducksanchemical Co.,Ltd,  Yongin-si, Gyeonggi, Korea, Republic of</t>
        </is>
      </c>
      <c r="B3628" t="inlineStr">
        <is>
          <t>Trader with Storage</t>
        </is>
      </c>
      <c r="C3628" t="inlineStr">
        <is>
          <t>Control Union Certifications Germany GmbH, Berlin, DE</t>
        </is>
      </c>
      <c r="D3628" t="inlineStr">
        <is>
          <t>23.05.2027</t>
        </is>
      </c>
      <c r="E3628" t="inlineStr">
        <is>
          <t>Republic of</t>
        </is>
      </c>
    </row>
    <row r="3629">
      <c r="A3629" t="inlineStr">
        <is>
          <t>Amcor Flexibles Reflex Sp. zo.o.,  Lodz, Poland</t>
        </is>
      </c>
      <c r="B3629" t="inlineStr">
        <is>
          <t>Final Product Refinement, Processing Unit</t>
        </is>
      </c>
      <c r="C3629" t="inlineStr">
        <is>
          <t>Bureau Veritas Polska Sp. z o.o., Warsaw, PL</t>
        </is>
      </c>
      <c r="D3629" t="inlineStr">
        <is>
          <t>23.05.2027</t>
        </is>
      </c>
      <c r="E3629" t="inlineStr">
        <is>
          <t>Poland</t>
        </is>
      </c>
    </row>
    <row r="3630">
      <c r="A3630" t="inlineStr">
        <is>
          <t>Mahkota Oils &amp; Fats Pte Ltd,  Singapore, Singapore</t>
        </is>
      </c>
      <c r="B3630" t="inlineStr">
        <is>
          <t>Trader</t>
        </is>
      </c>
      <c r="C3630" t="inlineStr">
        <is>
          <t>PT. Qualitas Sertifikasi Indonesia, Jakarta, ID</t>
        </is>
      </c>
      <c r="D3630" t="inlineStr">
        <is>
          <t>23.05.2027</t>
        </is>
      </c>
      <c r="E3630" t="inlineStr">
        <is>
          <t>Singapore</t>
        </is>
      </c>
    </row>
    <row r="3631">
      <c r="A3631" t="inlineStr">
        <is>
          <t>Elaeis,  Rīga, Latvia</t>
        </is>
      </c>
      <c r="B3631" t="inlineStr">
        <is>
          <t>Trader, Collecting Point</t>
        </is>
      </c>
      <c r="C3631" t="inlineStr">
        <is>
          <t>BM Certification, Riga, LV</t>
        </is>
      </c>
      <c r="D3631" t="inlineStr">
        <is>
          <t>23.05.2027</t>
        </is>
      </c>
      <c r="E3631" t="inlineStr">
        <is>
          <t>Latvia</t>
        </is>
      </c>
    </row>
    <row r="3632">
      <c r="A3632" t="inlineStr">
        <is>
          <t>Thammasorn,  Moo 11 T. Klongmadue A. Krathumban , Samutsakhon, Thailand</t>
        </is>
      </c>
      <c r="B3632" t="inlineStr">
        <is>
          <t>Collecting Point, Processing Unit</t>
        </is>
      </c>
      <c r="C3632" t="inlineStr">
        <is>
          <t>SGS Germany GmbH, Emstek, DE</t>
        </is>
      </c>
      <c r="D3632" t="inlineStr">
        <is>
          <t>23.05.2027</t>
        </is>
      </c>
      <c r="E3632" t="inlineStr">
        <is>
          <t>Thailand</t>
        </is>
      </c>
    </row>
    <row r="3633">
      <c r="A3633" t="inlineStr">
        <is>
          <t>Arkema Quimica SAU,  Sant Celoni, Spain, Spain</t>
        </is>
      </c>
      <c r="B3633" t="inlineStr">
        <is>
          <t>Processing Unit</t>
        </is>
      </c>
      <c r="C3633" t="inlineStr">
        <is>
          <t>SGS Germany GmbH, Emstek, DE</t>
        </is>
      </c>
      <c r="D3633" t="inlineStr">
        <is>
          <t>23.05.2027</t>
        </is>
      </c>
      <c r="E3633" t="inlineStr">
        <is>
          <t>Spain</t>
        </is>
      </c>
    </row>
    <row r="3634">
      <c r="A3634" t="inlineStr">
        <is>
          <t>SC Etea Grain Srl,  Timisoara City, Timis County, Romania</t>
        </is>
      </c>
      <c r="B3634" t="inlineStr">
        <is>
          <t>First Gathering Point, Trader with Storage</t>
        </is>
      </c>
      <c r="C3634" t="inlineStr">
        <is>
          <t>SGS Germany GmbH, Emstek, DE</t>
        </is>
      </c>
      <c r="D3634" t="inlineStr">
        <is>
          <t>23.05.2027</t>
        </is>
      </c>
      <c r="E3634" t="inlineStr">
        <is>
          <t>Romania</t>
        </is>
      </c>
    </row>
    <row r="3635">
      <c r="A3635" t="inlineStr">
        <is>
          <t>Truplay International Trading Shanghai Limited,  Shanghai, China</t>
        </is>
      </c>
      <c r="B3635" t="inlineStr">
        <is>
          <t>Trader</t>
        </is>
      </c>
      <c r="C3635" t="inlineStr">
        <is>
          <t>SGS Germany GmbH, Emstek, DE</t>
        </is>
      </c>
      <c r="D3635" t="inlineStr">
        <is>
          <t>23.05.2027</t>
        </is>
      </c>
      <c r="E3635" t="inlineStr">
        <is>
          <t>China</t>
        </is>
      </c>
    </row>
    <row r="3636">
      <c r="A3636" t="inlineStr">
        <is>
          <t>Lotte GS Chemical Corporation,  Yeosu-si, Jeollanam-do, South Korea</t>
        </is>
      </c>
      <c r="B3636" t="inlineStr">
        <is>
          <t>Processing Unit</t>
        </is>
      </c>
      <c r="C3636" t="inlineStr">
        <is>
          <t>Control Union Certifications Germany GmbH, Berlin, DE</t>
        </is>
      </c>
      <c r="D3636" t="inlineStr">
        <is>
          <t>23.05.2027</t>
        </is>
      </c>
      <c r="E3636" t="inlineStr">
        <is>
          <t>South Korea</t>
        </is>
      </c>
    </row>
    <row r="3637">
      <c r="A3637" t="inlineStr">
        <is>
          <t>C. Thai Chemicals,  Omnoi, Thailand</t>
        </is>
      </c>
      <c r="B3637" t="inlineStr">
        <is>
          <t>Collecting Point, Processing Unit</t>
        </is>
      </c>
      <c r="C3637" t="inlineStr">
        <is>
          <t>SGS Germany GmbH, Emstek, DE</t>
        </is>
      </c>
      <c r="D3637" t="inlineStr">
        <is>
          <t>23.05.2027</t>
        </is>
      </c>
      <c r="E3637" t="inlineStr">
        <is>
          <t>Thailand</t>
        </is>
      </c>
    </row>
    <row r="3638">
      <c r="A3638" t="inlineStr">
        <is>
          <t>ACTA Co.,Ltd,,  Koga-shi,, Japan</t>
        </is>
      </c>
      <c r="B3638" t="inlineStr">
        <is>
          <t>Processing Unit</t>
        </is>
      </c>
      <c r="C3638" t="inlineStr">
        <is>
          <t>SGS Germany GmbH, Emstek, DE</t>
        </is>
      </c>
      <c r="D3638" t="inlineStr">
        <is>
          <t>23.05.2027</t>
        </is>
      </c>
      <c r="E3638" t="inlineStr">
        <is>
          <t>Japan</t>
        </is>
      </c>
    </row>
    <row r="3639">
      <c r="A3639" t="inlineStr">
        <is>
          <t>PT. MUTIARA SAWIT PERKASA,  KAB. BENGKALIS, PROVINSI RIAU, Indonesia</t>
        </is>
      </c>
      <c r="B3639" t="inlineStr">
        <is>
          <t>Point of Origin, Trader</t>
        </is>
      </c>
      <c r="C3639" t="inlineStr">
        <is>
          <t>Trans Certification and Inspection Sdn Bhd, Kuantan, MY</t>
        </is>
      </c>
      <c r="D3639" t="inlineStr">
        <is>
          <t>23.05.2027</t>
        </is>
      </c>
      <c r="E3639" t="inlineStr">
        <is>
          <t>Indonesia</t>
        </is>
      </c>
    </row>
    <row r="3640">
      <c r="A3640" t="inlineStr">
        <is>
          <t>Sinochem International Corporation,  Pudong New Area, Shanghai, China</t>
        </is>
      </c>
      <c r="B3640" t="inlineStr">
        <is>
          <t>Trader</t>
        </is>
      </c>
      <c r="C3640" t="inlineStr">
        <is>
          <t>Bureau Veritas Polska Sp. z o.o., Warsaw, PL</t>
        </is>
      </c>
      <c r="D3640" t="inlineStr">
        <is>
          <t>23.05.2027</t>
        </is>
      </c>
      <c r="E3640" t="inlineStr">
        <is>
          <t>China</t>
        </is>
      </c>
    </row>
    <row r="3641">
      <c r="A3641" t="inlineStr">
        <is>
          <t>ECODEP S.R.L.,  Modica (Ragusa), Italy</t>
        </is>
      </c>
      <c r="B3641" t="inlineStr">
        <is>
          <t>Collecting Point</t>
        </is>
      </c>
      <c r="C3641" t="inlineStr">
        <is>
          <t>RINA Services S.p.A., Genova, IT</t>
        </is>
      </c>
      <c r="D3641" t="inlineStr">
        <is>
          <t>22.05.2027</t>
        </is>
      </c>
      <c r="E3641" t="inlineStr">
        <is>
          <t>Italy</t>
        </is>
      </c>
    </row>
    <row r="3642">
      <c r="A3642" t="inlineStr">
        <is>
          <t>Artis BIO100,  Maubeuge, France</t>
        </is>
      </c>
      <c r="B3642" t="inlineStr">
        <is>
          <t>Trader with Storage</t>
        </is>
      </c>
      <c r="C3642" t="inlineStr">
        <is>
          <t>Control Union Certifications Germany GmbH, Berlin, DE</t>
        </is>
      </c>
      <c r="D3642" t="inlineStr">
        <is>
          <t>22.05.2027</t>
        </is>
      </c>
      <c r="E3642" t="inlineStr">
        <is>
          <t>France</t>
        </is>
      </c>
    </row>
    <row r="3643">
      <c r="A3643" t="inlineStr">
        <is>
          <t>Mobil Oil New Zealand Limited,  Grafton, New Zealand</t>
        </is>
      </c>
      <c r="B3643" t="inlineStr">
        <is>
          <t>Trader with Storage</t>
        </is>
      </c>
      <c r="C3643" t="inlineStr">
        <is>
          <t>Control Union Certifications Germany GmbH, Berlin, DE</t>
        </is>
      </c>
      <c r="D3643" t="inlineStr">
        <is>
          <t>22.05.2027</t>
        </is>
      </c>
      <c r="E3643" t="inlineStr">
        <is>
          <t>New Zealand</t>
        </is>
      </c>
    </row>
    <row r="3644">
      <c r="A3644" t="inlineStr">
        <is>
          <t>LOUIS DREYFUS COMPANY BRASIL - ALTO ARAGUAIA,  Alto Araguaia, Brazil</t>
        </is>
      </c>
      <c r="B3644" t="inlineStr">
        <is>
          <t>Point of Origin, Processing Unit</t>
        </is>
      </c>
      <c r="C3644" t="inlineStr">
        <is>
          <t>Control Union Poland Sp. z o.o., Zielona Gora, PL</t>
        </is>
      </c>
      <c r="D3644" t="inlineStr">
        <is>
          <t>22.05.2027</t>
        </is>
      </c>
      <c r="E3644" t="inlineStr">
        <is>
          <t>Brazil</t>
        </is>
      </c>
    </row>
    <row r="3645">
      <c r="A3645" t="inlineStr">
        <is>
          <t>Sanimax LLC,  South Saint Paul, United States</t>
        </is>
      </c>
      <c r="B3645" t="inlineStr">
        <is>
          <t>Collecting Point, Point of Origin, Trader with Storage</t>
        </is>
      </c>
      <c r="C3645" t="inlineStr">
        <is>
          <t>Amspec Iberia SL, Vilagarcia de Arousa-Pontevedra, ES</t>
        </is>
      </c>
      <c r="D3645" t="inlineStr">
        <is>
          <t>22.05.2027</t>
        </is>
      </c>
      <c r="E3645" t="inlineStr">
        <is>
          <t>United States</t>
        </is>
      </c>
    </row>
    <row r="3646">
      <c r="A3646" t="inlineStr">
        <is>
          <t>Limonta Sport (Huizhou) Limited,  Huizhou Guangdong, China</t>
        </is>
      </c>
      <c r="B3646" t="inlineStr">
        <is>
          <t>Processing Unit</t>
        </is>
      </c>
      <c r="C3646" t="inlineStr">
        <is>
          <t>SGS Germany GmbH, Emstek, DE</t>
        </is>
      </c>
      <c r="D3646" t="inlineStr">
        <is>
          <t>22.05.2027</t>
        </is>
      </c>
      <c r="E3646" t="inlineStr">
        <is>
          <t>China</t>
        </is>
      </c>
    </row>
    <row r="3647">
      <c r="A3647" t="inlineStr">
        <is>
          <t>TSIGDINOS K. &amp; SIA E.E.,  Chania, Greece</t>
        </is>
      </c>
      <c r="B3647" t="inlineStr">
        <is>
          <t>Collecting Point</t>
        </is>
      </c>
      <c r="C3647" t="inlineStr">
        <is>
          <t>Eurocert SA, Metamorfosi, Athens, GR</t>
        </is>
      </c>
      <c r="D3647" t="inlineStr">
        <is>
          <t>22.05.2027</t>
        </is>
      </c>
      <c r="E3647" t="inlineStr">
        <is>
          <t>Greece</t>
        </is>
      </c>
    </row>
    <row r="3648">
      <c r="A3648" t="inlineStr">
        <is>
          <t>Yokohama City,  Tsurumi Ward,Yokohama City, Japan</t>
        </is>
      </c>
      <c r="B3648" t="inlineStr">
        <is>
          <t>Point of Origin, Processing Unit</t>
        </is>
      </c>
      <c r="C3648" t="inlineStr">
        <is>
          <t>Control Union Certifications Germany GmbH, Berlin, DE</t>
        </is>
      </c>
      <c r="D3648" t="inlineStr">
        <is>
          <t>22.05.2027</t>
        </is>
      </c>
      <c r="E3648" t="inlineStr">
        <is>
          <t>Japan</t>
        </is>
      </c>
    </row>
    <row r="3649">
      <c r="A3649" t="inlineStr">
        <is>
          <t>S.A.P.I. S.p.A.,  San Martino in Rio (RE), Italy</t>
        </is>
      </c>
      <c r="B3649" t="inlineStr">
        <is>
          <t>Collecting Point, Point of Origin, Processing Unit, Trader with Storage</t>
        </is>
      </c>
      <c r="C3649" t="inlineStr">
        <is>
          <t>SGS Germany GmbH, Emstek, DE</t>
        </is>
      </c>
      <c r="D3649" t="inlineStr">
        <is>
          <t>22.05.2027</t>
        </is>
      </c>
      <c r="E3649" t="inlineStr">
        <is>
          <t>Italy</t>
        </is>
      </c>
    </row>
    <row r="3650">
      <c r="A3650" t="inlineStr">
        <is>
          <t>Szakmári Mezőgazdasági Szolgáltató Kft.,  Szakmár, Hungary</t>
        </is>
      </c>
      <c r="B3650" t="inlineStr">
        <is>
          <t>First Gathering Point</t>
        </is>
      </c>
      <c r="C3650" t="inlineStr">
        <is>
          <t>Amspec Iberia SL, Vilagarcia de Arousa-Pontevedra, ES</t>
        </is>
      </c>
      <c r="D3650" t="inlineStr">
        <is>
          <t>22.05.2027</t>
        </is>
      </c>
      <c r="E3650" t="inlineStr">
        <is>
          <t>Hungary</t>
        </is>
      </c>
    </row>
    <row r="3651">
      <c r="A3651" t="inlineStr">
        <is>
          <t>Niigata Prefecture (Niigougawa Waste Water Treatment Plant),  Kita-ku,Niigata-city, Japan</t>
        </is>
      </c>
      <c r="B3651" t="inlineStr">
        <is>
          <t>Point of Origin, Processing Unit</t>
        </is>
      </c>
      <c r="C3651" t="inlineStr">
        <is>
          <t>Control Union Certifications Germany GmbH, Berlin, DE</t>
        </is>
      </c>
      <c r="D3651" t="inlineStr">
        <is>
          <t>22.05.2027</t>
        </is>
      </c>
      <c r="E3651" t="inlineStr">
        <is>
          <t>Japan</t>
        </is>
      </c>
    </row>
    <row r="3652">
      <c r="A3652" t="inlineStr">
        <is>
          <t>RP TOPLA,  Ota-shi,Gunma, Japan</t>
        </is>
      </c>
      <c r="B3652" t="inlineStr">
        <is>
          <t>Processing Unit</t>
        </is>
      </c>
      <c r="C3652" t="inlineStr">
        <is>
          <t>Control Union Certifications Germany GmbH, Berlin, DE</t>
        </is>
      </c>
      <c r="D3652" t="inlineStr">
        <is>
          <t>22.05.2027</t>
        </is>
      </c>
      <c r="E3652" t="inlineStr">
        <is>
          <t>Japan</t>
        </is>
      </c>
    </row>
    <row r="3653">
      <c r="A3653" t="inlineStr">
        <is>
          <t>Agroblok EOOD,  Gorna Oryahovitsa, Bulgaria</t>
        </is>
      </c>
      <c r="B3653" t="inlineStr">
        <is>
          <t>First Gathering Point, Trader</t>
        </is>
      </c>
      <c r="C3653" t="inlineStr">
        <is>
          <t>Baltic Control Certification, Albertslund, DK</t>
        </is>
      </c>
      <c r="D3653" t="inlineStr">
        <is>
          <t>22.05.2027</t>
        </is>
      </c>
      <c r="E3653" t="inlineStr">
        <is>
          <t>Bulgaria</t>
        </is>
      </c>
    </row>
    <row r="3654">
      <c r="A3654" t="inlineStr">
        <is>
          <t>URZICENI CEREALS COOPERATIVA AGRICOLA,  Ciocarlia, Romania</t>
        </is>
      </c>
      <c r="B3654" t="inlineStr">
        <is>
          <t>First Gathering Point</t>
        </is>
      </c>
      <c r="C3654" t="inlineStr">
        <is>
          <t>Control Union Certifications Germany GmbH, Berlin, DE</t>
        </is>
      </c>
      <c r="D3654" t="inlineStr">
        <is>
          <t>22.05.2027</t>
        </is>
      </c>
      <c r="E3654" t="inlineStr">
        <is>
          <t>Romania</t>
        </is>
      </c>
    </row>
    <row r="3655">
      <c r="A3655" t="inlineStr">
        <is>
          <t>Zemědělské zásobování Plzeň a.s.,  Kaznějov, Czech Republic</t>
        </is>
      </c>
      <c r="B3655" t="inlineStr">
        <is>
          <t>First Gathering Point, Logistics Center, Trader</t>
        </is>
      </c>
      <c r="C3655" t="inlineStr">
        <is>
          <t>Bureau Veritas Polska Sp. z o.o., Warsaw, PL</t>
        </is>
      </c>
      <c r="D3655" t="inlineStr">
        <is>
          <t>22.05.2027</t>
        </is>
      </c>
      <c r="E3655" t="inlineStr">
        <is>
          <t>Czech Republic</t>
        </is>
      </c>
    </row>
    <row r="3656">
      <c r="A3656" t="inlineStr">
        <is>
          <t>Sanimax LLC,  South Saint Paul, United States</t>
        </is>
      </c>
      <c r="B3656" t="inlineStr">
        <is>
          <t>Collecting Point, Point of Origin, Trader with Storage</t>
        </is>
      </c>
      <c r="C3656" t="inlineStr">
        <is>
          <t>Amspec Iberia SL, Vilagarcia de Arousa-Pontevedra, ES</t>
        </is>
      </c>
      <c r="D3656" t="inlineStr">
        <is>
          <t>22.05.2027</t>
        </is>
      </c>
      <c r="E3656" t="inlineStr">
        <is>
          <t>United States</t>
        </is>
      </c>
    </row>
    <row r="3657">
      <c r="A3657" t="inlineStr">
        <is>
          <t>ENILIVE France,  Lyon, France</t>
        </is>
      </c>
      <c r="B3657" t="inlineStr">
        <is>
          <t>Trader with Storage</t>
        </is>
      </c>
      <c r="C3657" t="inlineStr">
        <is>
          <t>Control Union Certifications Germany GmbH, Berlin, DE</t>
        </is>
      </c>
      <c r="D3657" t="inlineStr">
        <is>
          <t>22.05.2027</t>
        </is>
      </c>
      <c r="E3657" t="inlineStr">
        <is>
          <t>France</t>
        </is>
      </c>
    </row>
    <row r="3658">
      <c r="A3658" t="inlineStr">
        <is>
          <t>Printpack,  Williamsburg, VA, United States</t>
        </is>
      </c>
      <c r="B3658" t="inlineStr">
        <is>
          <t>Processing Unit</t>
        </is>
      </c>
      <c r="C3658" t="inlineStr">
        <is>
          <t>SCS Global Services, Emeryville, CA, US</t>
        </is>
      </c>
      <c r="D3658" t="inlineStr">
        <is>
          <t>22.05.2027</t>
        </is>
      </c>
      <c r="E3658" t="inlineStr">
        <is>
          <t>United States</t>
        </is>
      </c>
    </row>
    <row r="3659">
      <c r="A3659" t="inlineStr">
        <is>
          <t>Biobroker SL,  Carreño (Asturias), Spain</t>
        </is>
      </c>
      <c r="B3659" t="inlineStr">
        <is>
          <t>Collecting Point, Processing Unit, Trader</t>
        </is>
      </c>
      <c r="C3659" t="inlineStr">
        <is>
          <t>Amspec Iberia SL, Vilagarcia de Arousa-Pontevedra, ES</t>
        </is>
      </c>
      <c r="D3659" t="inlineStr">
        <is>
          <t>22.05.2027</t>
        </is>
      </c>
      <c r="E3659" t="inlineStr">
        <is>
          <t>Spain</t>
        </is>
      </c>
    </row>
    <row r="3660">
      <c r="A3660" t="inlineStr">
        <is>
          <t>DAISAN FILMS CONVERTING CO.,LTD,  Toyohashi, Japan</t>
        </is>
      </c>
      <c r="B3660" t="inlineStr">
        <is>
          <t>Final Product Refinement</t>
        </is>
      </c>
      <c r="C3660" t="inlineStr">
        <is>
          <t>Control Union Certifications Germany GmbH, Berlin, DE</t>
        </is>
      </c>
      <c r="D3660" t="inlineStr">
        <is>
          <t>22.05.2027</t>
        </is>
      </c>
      <c r="E3660" t="inlineStr">
        <is>
          <t>Japan</t>
        </is>
      </c>
    </row>
    <row r="3661">
      <c r="A3661" t="inlineStr">
        <is>
          <t>Samwon CO., LTD.,  Damyang-gun, The Republic of Korea</t>
        </is>
      </c>
      <c r="B3661" t="inlineStr">
        <is>
          <t>Point of Origin</t>
        </is>
      </c>
      <c r="C3661" t="inlineStr">
        <is>
          <t>BM Certification, Riga, LV</t>
        </is>
      </c>
      <c r="D3661" t="inlineStr">
        <is>
          <t>22.05.2027</t>
        </is>
      </c>
      <c r="E3661" t="inlineStr">
        <is>
          <t>The Republic of Korea</t>
        </is>
      </c>
    </row>
    <row r="3662">
      <c r="A3662" t="inlineStr">
        <is>
          <t>Samkwang FnC. CO., LTD,  Gunsan-si, The Republic of Korea</t>
        </is>
      </c>
      <c r="B3662" t="inlineStr">
        <is>
          <t>Point of Origin</t>
        </is>
      </c>
      <c r="C3662" t="inlineStr">
        <is>
          <t>BM Certification, Riga, LV</t>
        </is>
      </c>
      <c r="D3662" t="inlineStr">
        <is>
          <t>22.05.2027</t>
        </is>
      </c>
      <c r="E3662" t="inlineStr">
        <is>
          <t>The Republic of Korea</t>
        </is>
      </c>
    </row>
    <row r="3663">
      <c r="A3663" t="inlineStr">
        <is>
          <t>BASF Polyurethane Specialties (China) Co., Ltd.,  Shanghai, China</t>
        </is>
      </c>
      <c r="B3663" t="inlineStr">
        <is>
          <t>Processing Unit</t>
        </is>
      </c>
      <c r="C3663" t="inlineStr">
        <is>
          <t>TÜV NORD CERT GmbH, Essen, DE</t>
        </is>
      </c>
      <c r="D3663" t="inlineStr">
        <is>
          <t>22.05.2027</t>
        </is>
      </c>
      <c r="E3663" t="inlineStr">
        <is>
          <t>China</t>
        </is>
      </c>
    </row>
    <row r="3664">
      <c r="A3664" t="inlineStr">
        <is>
          <t>BASF Taiwan,  Lukang Town Changhua County, Taiwan (Province of China)</t>
        </is>
      </c>
      <c r="B3664" t="inlineStr">
        <is>
          <t>Processing Unit</t>
        </is>
      </c>
      <c r="C3664" t="inlineStr">
        <is>
          <t>TÜV NORD CERT GmbH, Essen, DE</t>
        </is>
      </c>
      <c r="D3664" t="inlineStr">
        <is>
          <t>22.05.2027</t>
        </is>
      </c>
      <c r="E3664" t="inlineStr">
        <is>
          <t>Taiwan (Province of China)</t>
        </is>
      </c>
    </row>
    <row r="3665">
      <c r="A3665" t="inlineStr">
        <is>
          <t>MSK Trade a.s.,  Olomouc, Czech Republic, Czech Republic</t>
        </is>
      </c>
      <c r="B3665" t="inlineStr">
        <is>
          <t>First Gathering Point, Logistics Center, Trader</t>
        </is>
      </c>
      <c r="C3665" t="inlineStr">
        <is>
          <t>Bureau Veritas Polska Sp. z o.o., Warsaw, PL</t>
        </is>
      </c>
      <c r="D3665" t="inlineStr">
        <is>
          <t>22.05.2027</t>
        </is>
      </c>
      <c r="E3665" t="inlineStr">
        <is>
          <t>Czech Republic</t>
        </is>
      </c>
    </row>
    <row r="3666">
      <c r="A3666" t="inlineStr">
        <is>
          <t>ÖKOIL Alapanyag Előállító és Kereskedelmi Kft.,  Sajóbábony, Hungary</t>
        </is>
      </c>
      <c r="B3666" t="inlineStr">
        <is>
          <t>Processing Unit</t>
        </is>
      </c>
      <c r="C3666" t="inlineStr">
        <is>
          <t>BM Certification, Riga, LV</t>
        </is>
      </c>
      <c r="D3666" t="inlineStr">
        <is>
          <t>22.05.2027</t>
        </is>
      </c>
      <c r="E3666" t="inlineStr">
        <is>
          <t>Hungary</t>
        </is>
      </c>
    </row>
    <row r="3667">
      <c r="A3667" t="inlineStr">
        <is>
          <t>GN Green GmbH,  Bad Vilbel, Germany</t>
        </is>
      </c>
      <c r="B3667" t="inlineStr">
        <is>
          <t>Trader</t>
        </is>
      </c>
      <c r="C3667" t="inlineStr">
        <is>
          <t>BM Certification, Riga, LV</t>
        </is>
      </c>
      <c r="D3667" t="inlineStr">
        <is>
          <t>22.05.2027</t>
        </is>
      </c>
      <c r="E3667" t="inlineStr">
        <is>
          <t>Germany</t>
        </is>
      </c>
    </row>
    <row r="3668">
      <c r="A3668" t="inlineStr">
        <is>
          <t>Gerodur MPM Kunststoffverarbeitung GmbH &amp; Co. KG,  Neustadt in Sachsen, Germany</t>
        </is>
      </c>
      <c r="B3668" t="inlineStr">
        <is>
          <t>Point of Origin, Processing Unit</t>
        </is>
      </c>
      <c r="C3668" t="inlineStr">
        <is>
          <t>SGS Germany GmbH, Emstek, DE</t>
        </is>
      </c>
      <c r="D3668" t="inlineStr">
        <is>
          <t>22.05.2027</t>
        </is>
      </c>
      <c r="E3668" t="inlineStr">
        <is>
          <t>Germany</t>
        </is>
      </c>
    </row>
    <row r="3669">
      <c r="A3669" t="inlineStr">
        <is>
          <t>Sumatera Palma Andalan,  Kabupaten Musi Rawas, Provinsi Sumatera Selatan, Indonesia</t>
        </is>
      </c>
      <c r="B3669" t="inlineStr">
        <is>
          <t>Point of Origin</t>
        </is>
      </c>
      <c r="C3669" t="inlineStr">
        <is>
          <t>PT. Qualitas Sertifikasi Indonesia, Jakarta, ID</t>
        </is>
      </c>
      <c r="D3669" t="inlineStr">
        <is>
          <t>22.05.2027</t>
        </is>
      </c>
      <c r="E3669" t="inlineStr">
        <is>
          <t>Indonesia</t>
        </is>
      </c>
    </row>
    <row r="3670">
      <c r="A3670" t="inlineStr">
        <is>
          <t>Sumatera Palma Andalan,  Kabupaten Musi Rawas, Provinsi Sumatera Selatan, Indonesia</t>
        </is>
      </c>
      <c r="B3670" t="inlineStr">
        <is>
          <t>Point of Origin</t>
        </is>
      </c>
      <c r="C3670" t="inlineStr">
        <is>
          <t>PT. Qualitas Sertifikasi Indonesia, Jakarta, ID</t>
        </is>
      </c>
      <c r="D3670" t="inlineStr">
        <is>
          <t>22.05.2027</t>
        </is>
      </c>
      <c r="E3670" t="inlineStr">
        <is>
          <t>Indonesia</t>
        </is>
      </c>
    </row>
    <row r="3671">
      <c r="A3671" t="inlineStr">
        <is>
          <t>Continental Tires Slovakia,  Púchov, Slovakia</t>
        </is>
      </c>
      <c r="B3671" t="inlineStr">
        <is>
          <t>Processing Unit</t>
        </is>
      </c>
      <c r="C3671" t="inlineStr">
        <is>
          <t>SGS Germany GmbH, Emstek, DE</t>
        </is>
      </c>
      <c r="D3671" t="inlineStr">
        <is>
          <t>22.05.2027</t>
        </is>
      </c>
      <c r="E3671" t="inlineStr">
        <is>
          <t>Slovakia</t>
        </is>
      </c>
    </row>
    <row r="3672">
      <c r="A3672" t="inlineStr">
        <is>
          <t>Yuanli Toys (Heyuan) Limited,  Yuancheng, Heyuan, China</t>
        </is>
      </c>
      <c r="B3672" t="inlineStr">
        <is>
          <t>Processing Unit</t>
        </is>
      </c>
      <c r="C3672" t="inlineStr">
        <is>
          <t>DIN CERTCO GmbH, Berlin, DE</t>
        </is>
      </c>
      <c r="D3672" t="inlineStr">
        <is>
          <t>22.05.2027</t>
        </is>
      </c>
      <c r="E3672" t="inlineStr">
        <is>
          <t>China</t>
        </is>
      </c>
    </row>
    <row r="3673">
      <c r="A3673" t="inlineStr">
        <is>
          <t>S.C. AGROUNION,  sat Nicolae Balcescu, com Alexandru Odobescu, Romania</t>
        </is>
      </c>
      <c r="B3673" t="inlineStr">
        <is>
          <t>First Gathering Point, Warehouse</t>
        </is>
      </c>
      <c r="C3673" t="inlineStr">
        <is>
          <t>BM Certification, Riga, LV</t>
        </is>
      </c>
      <c r="D3673" t="inlineStr">
        <is>
          <t>22.05.2027</t>
        </is>
      </c>
      <c r="E3673" t="inlineStr">
        <is>
          <t>Romania</t>
        </is>
      </c>
    </row>
    <row r="3674">
      <c r="A3674" t="inlineStr">
        <is>
          <t>Bayan Auyl Sde,  Astana, Kazakhstan</t>
        </is>
      </c>
      <c r="B3674" t="inlineStr">
        <is>
          <t>Collecting Point</t>
        </is>
      </c>
      <c r="C3674" t="inlineStr">
        <is>
          <t>BM Certification, Riga, LV</t>
        </is>
      </c>
      <c r="D3674" t="inlineStr">
        <is>
          <t>22.05.2027</t>
        </is>
      </c>
      <c r="E3674" t="inlineStr">
        <is>
          <t>Kazakhstan</t>
        </is>
      </c>
    </row>
    <row r="3675">
      <c r="A3675" t="inlineStr">
        <is>
          <t>VIRSI-A,  Aizkraukle, Latvia</t>
        </is>
      </c>
      <c r="B3675" t="inlineStr">
        <is>
          <t>Trader with Storage</t>
        </is>
      </c>
      <c r="C3675" t="inlineStr">
        <is>
          <t>BM Certification, Riga, LV</t>
        </is>
      </c>
      <c r="D3675" t="inlineStr">
        <is>
          <t>22.05.2027</t>
        </is>
      </c>
      <c r="E3675" t="inlineStr">
        <is>
          <t>Latvia</t>
        </is>
      </c>
    </row>
    <row r="3676">
      <c r="A3676" t="inlineStr">
        <is>
          <t>Mitsubishi Corporation,  Tokyo, Japan</t>
        </is>
      </c>
      <c r="B3676" t="inlineStr">
        <is>
          <t>Trader with Storage</t>
        </is>
      </c>
      <c r="C3676" t="inlineStr">
        <is>
          <t>SGS Germany GmbH, Emstek, DE</t>
        </is>
      </c>
      <c r="D3676" t="inlineStr">
        <is>
          <t>22.05.2027</t>
        </is>
      </c>
      <c r="E3676" t="inlineStr">
        <is>
          <t>Japan</t>
        </is>
      </c>
    </row>
    <row r="3677">
      <c r="A3677" t="inlineStr">
        <is>
          <t>Yoshino Kogyosho Co.,LTD.,,  Haga-Machi, Haga-Gun, Tochigi-Ken, Japan</t>
        </is>
      </c>
      <c r="B3677" t="inlineStr">
        <is>
          <t>Final Product Refinement, Processing Unit</t>
        </is>
      </c>
      <c r="C3677" t="inlineStr">
        <is>
          <t>SGS Germany GmbH, Emstek, DE</t>
        </is>
      </c>
      <c r="D3677" t="inlineStr">
        <is>
          <t>22.05.2027</t>
        </is>
      </c>
      <c r="E3677" t="inlineStr">
        <is>
          <t>Japan</t>
        </is>
      </c>
    </row>
    <row r="3678">
      <c r="A3678" t="inlineStr">
        <is>
          <t>SC Mercali Srl,  Comuna Valcele, Romania</t>
        </is>
      </c>
      <c r="B3678" t="inlineStr">
        <is>
          <t>First Gathering Point, Trader with Storage</t>
        </is>
      </c>
      <c r="C3678" t="inlineStr">
        <is>
          <t>SGS Germany GmbH, Emstek, DE</t>
        </is>
      </c>
      <c r="D3678" t="inlineStr">
        <is>
          <t>22.05.2027</t>
        </is>
      </c>
      <c r="E3678" t="inlineStr">
        <is>
          <t>Romania</t>
        </is>
      </c>
    </row>
    <row r="3679">
      <c r="A3679" t="inlineStr">
        <is>
          <t>Frutas Mozambique, Lda,  Inharrime, Mozambique</t>
        </is>
      </c>
      <c r="B3679" t="inlineStr">
        <is>
          <t>Farm / Plantation</t>
        </is>
      </c>
      <c r="C3679" t="inlineStr">
        <is>
          <t>RINA Services S.p.A., Genova, IT</t>
        </is>
      </c>
      <c r="D3679" t="inlineStr">
        <is>
          <t>22.05.2027</t>
        </is>
      </c>
      <c r="E3679" t="inlineStr">
        <is>
          <t>Mozambique</t>
        </is>
      </c>
    </row>
    <row r="3680">
      <c r="A3680" t="inlineStr">
        <is>
          <t>Able Perfect Sdn Bhd,  Telok Panglima Garang, Malaysia</t>
        </is>
      </c>
      <c r="B3680" t="inlineStr">
        <is>
          <t>Trader with Storage</t>
        </is>
      </c>
      <c r="C3680" t="inlineStr">
        <is>
          <t>Trans Certification and Inspection Sdn Bhd, Kuantan, MY</t>
        </is>
      </c>
      <c r="D3680" t="inlineStr">
        <is>
          <t>22.05.2027</t>
        </is>
      </c>
      <c r="E3680" t="inlineStr">
        <is>
          <t>Malaysia</t>
        </is>
      </c>
    </row>
    <row r="3681">
      <c r="A3681" t="inlineStr">
        <is>
          <t>Agroforte Grain Kft.,  Kecskemét, Hungary</t>
        </is>
      </c>
      <c r="B3681" t="inlineStr">
        <is>
          <t>First Gathering Point, Trader with Storage</t>
        </is>
      </c>
      <c r="C3681" t="inlineStr">
        <is>
          <t>Amspec Iberia SL, Vilagarcia de Arousa-Pontevedra, ES</t>
        </is>
      </c>
      <c r="D3681" t="inlineStr">
        <is>
          <t>22.05.2027</t>
        </is>
      </c>
      <c r="E3681" t="inlineStr">
        <is>
          <t>Hungary</t>
        </is>
      </c>
    </row>
    <row r="3682">
      <c r="A3682" t="inlineStr">
        <is>
          <t>Jiangxi Hongsong Environmental Protection Technology Co., Ltd.,  Shangrao City, Jiangxi Province, China</t>
        </is>
      </c>
      <c r="B3682" t="inlineStr">
        <is>
          <t>Collecting Point, Trader with Storage</t>
        </is>
      </c>
      <c r="C3682" t="inlineStr">
        <is>
          <t>RINA Services S.p.A., Genova, IT</t>
        </is>
      </c>
      <c r="D3682" t="inlineStr">
        <is>
          <t>21.05.2027</t>
        </is>
      </c>
      <c r="E3682" t="inlineStr">
        <is>
          <t>China</t>
        </is>
      </c>
    </row>
    <row r="3683">
      <c r="A3683" t="inlineStr">
        <is>
          <t>JIANGYIN MATERIAL INTERNATIONAL TRADE CO., LTD,  Jiangyin City, Wuxi City, Jiangsu Province, China</t>
        </is>
      </c>
      <c r="B3683" t="inlineStr">
        <is>
          <t>Trader</t>
        </is>
      </c>
      <c r="C3683" t="inlineStr">
        <is>
          <t>RINA Services S.p.A., Genova, IT</t>
        </is>
      </c>
      <c r="D3683" t="inlineStr">
        <is>
          <t>21.05.2027</t>
        </is>
      </c>
      <c r="E3683" t="inlineStr">
        <is>
          <t>China</t>
        </is>
      </c>
    </row>
    <row r="3684">
      <c r="A3684" t="inlineStr">
        <is>
          <t>CBH Grain Pty. Ltd.,  Perth, WA, Australia</t>
        </is>
      </c>
      <c r="B3684" t="inlineStr">
        <is>
          <t>First Gathering Point, Trader with Storage</t>
        </is>
      </c>
      <c r="C3684" t="inlineStr">
        <is>
          <t>SGS Germany GmbH, Emstek, DE</t>
        </is>
      </c>
      <c r="D3684" t="inlineStr">
        <is>
          <t>21.05.2027</t>
        </is>
      </c>
      <c r="E3684" t="inlineStr">
        <is>
          <t>Australia</t>
        </is>
      </c>
    </row>
    <row r="3685">
      <c r="A3685" t="inlineStr">
        <is>
          <t>Money Trade Kft.,  Martonvásár, Hungary</t>
        </is>
      </c>
      <c r="B3685" t="inlineStr">
        <is>
          <t>Collecting Point</t>
        </is>
      </c>
      <c r="C3685" t="inlineStr">
        <is>
          <t>SGS Germany GmbH, Emstek, DE</t>
        </is>
      </c>
      <c r="D3685" t="inlineStr">
        <is>
          <t>21.05.2027</t>
        </is>
      </c>
      <c r="E3685" t="inlineStr">
        <is>
          <t>Hungary</t>
        </is>
      </c>
    </row>
    <row r="3686">
      <c r="A3686" t="inlineStr">
        <is>
          <t>PADASIL SRL,  LUNCA BANULUI, Romania</t>
        </is>
      </c>
      <c r="B3686" t="inlineStr">
        <is>
          <t>First Gathering Point, Trader with Storage</t>
        </is>
      </c>
      <c r="C3686" t="inlineStr">
        <is>
          <t>Control Union Certifications Germany GmbH, Berlin, DE</t>
        </is>
      </c>
      <c r="D3686" t="inlineStr">
        <is>
          <t>21.05.2027</t>
        </is>
      </c>
      <c r="E3686" t="inlineStr">
        <is>
          <t>Romania</t>
        </is>
      </c>
    </row>
    <row r="3687">
      <c r="A3687" t="inlineStr">
        <is>
          <t>adapa Greece Komotini S.M.S.A.,  Komotini, Greece</t>
        </is>
      </c>
      <c r="B3687" t="inlineStr">
        <is>
          <t>Processing Unit</t>
        </is>
      </c>
      <c r="C3687" t="inlineStr">
        <is>
          <t>Eurocert SA, Metamorfosi, Athens, GR</t>
        </is>
      </c>
      <c r="D3687" t="inlineStr">
        <is>
          <t>21.05.2027</t>
        </is>
      </c>
      <c r="E3687" t="inlineStr">
        <is>
          <t>Greece</t>
        </is>
      </c>
    </row>
    <row r="3688">
      <c r="A3688" t="inlineStr">
        <is>
          <t>SUNOLTA,  Golovanevsk, Ukraine</t>
        </is>
      </c>
      <c r="B3688" t="inlineStr">
        <is>
          <t>Trader</t>
        </is>
      </c>
      <c r="C3688" t="inlineStr">
        <is>
          <t>SGS Germany GmbH, Emstek, DE</t>
        </is>
      </c>
      <c r="D3688" t="inlineStr">
        <is>
          <t>21.05.2027</t>
        </is>
      </c>
      <c r="E3688" t="inlineStr">
        <is>
          <t>Ukraine</t>
        </is>
      </c>
    </row>
    <row r="3689">
      <c r="A3689" t="inlineStr">
        <is>
          <t>LOUIS DREYFUS COMPANY BRASIL - JATAÍ,  Jataí, Brazil</t>
        </is>
      </c>
      <c r="B3689" t="inlineStr">
        <is>
          <t>Point of Origin, Processing Unit</t>
        </is>
      </c>
      <c r="C3689" t="inlineStr">
        <is>
          <t>Control Union Poland Sp. z o.o., Zielona Gora, PL</t>
        </is>
      </c>
      <c r="D3689" t="inlineStr">
        <is>
          <t>21.05.2027</t>
        </is>
      </c>
      <c r="E3689" t="inlineStr">
        <is>
          <t>Brazil</t>
        </is>
      </c>
    </row>
    <row r="3690">
      <c r="A3690" t="inlineStr">
        <is>
          <t>Reoil Sp. z o.o.,  Bukowno, Poland</t>
        </is>
      </c>
      <c r="B3690" t="inlineStr">
        <is>
          <t>Collecting Point, Trader with Storage, Processing Unit</t>
        </is>
      </c>
      <c r="C3690" t="inlineStr">
        <is>
          <t>Control Union Poland Sp. z o.o., Zielona Gora, PL</t>
        </is>
      </c>
      <c r="D3690" t="inlineStr">
        <is>
          <t>21.05.2027</t>
        </is>
      </c>
      <c r="E3690" t="inlineStr">
        <is>
          <t>Poland</t>
        </is>
      </c>
    </row>
    <row r="3691">
      <c r="A3691" t="inlineStr">
        <is>
          <t>F-TKO OU,  Tallinn, Estonia</t>
        </is>
      </c>
      <c r="B3691" t="inlineStr">
        <is>
          <t>Trader</t>
        </is>
      </c>
      <c r="C3691" t="inlineStr">
        <is>
          <t>NCS Estonia OÜ, Tallinn, EE</t>
        </is>
      </c>
      <c r="D3691" t="inlineStr">
        <is>
          <t>21.05.2027</t>
        </is>
      </c>
      <c r="E3691" t="inlineStr">
        <is>
          <t>Estonia</t>
        </is>
      </c>
    </row>
    <row r="3692">
      <c r="A3692" t="inlineStr">
        <is>
          <t>Sedamyl SpA,  Saluzzo, Italy</t>
        </is>
      </c>
      <c r="B3692" t="inlineStr">
        <is>
          <t>Point of Origin, Processing Unit</t>
        </is>
      </c>
      <c r="C3692" t="inlineStr">
        <is>
          <t>Control Union Certifications Germany GmbH, Berlin, DE</t>
        </is>
      </c>
      <c r="D3692" t="inlineStr">
        <is>
          <t>21.05.2027</t>
        </is>
      </c>
      <c r="E3692" t="inlineStr">
        <is>
          <t>Italy</t>
        </is>
      </c>
    </row>
    <row r="3693">
      <c r="A3693" t="inlineStr">
        <is>
          <t>Marquis Energy Global Pte. Ltd.,  Singapore, Singapore</t>
        </is>
      </c>
      <c r="B3693" t="inlineStr">
        <is>
          <t>Trader with Storage</t>
        </is>
      </c>
      <c r="C3693" t="inlineStr">
        <is>
          <t>Control Union Certifications Germany GmbH, Berlin, DE</t>
        </is>
      </c>
      <c r="D3693" t="inlineStr">
        <is>
          <t>21.05.2027</t>
        </is>
      </c>
      <c r="E3693" t="inlineStr">
        <is>
          <t>Singapore</t>
        </is>
      </c>
    </row>
    <row r="3694">
      <c r="A3694" t="inlineStr">
        <is>
          <t>Marquis Energy Global Pte. Ltd.,  Singapore, Singapore</t>
        </is>
      </c>
      <c r="B3694" t="inlineStr">
        <is>
          <t>Trader with Storage</t>
        </is>
      </c>
      <c r="C3694" t="inlineStr">
        <is>
          <t>Control Union Certifications Germany GmbH, Berlin, DE</t>
        </is>
      </c>
      <c r="D3694" t="inlineStr">
        <is>
          <t>21.05.2027</t>
        </is>
      </c>
      <c r="E3694" t="inlineStr">
        <is>
          <t>Singapore</t>
        </is>
      </c>
    </row>
    <row r="3695">
      <c r="A3695" t="inlineStr">
        <is>
          <t>Kim Loong Sabah Mills SDN BHD,  Telupid, Sabah, Malaysia</t>
        </is>
      </c>
      <c r="B3695" t="inlineStr">
        <is>
          <t>Point of Origin</t>
        </is>
      </c>
      <c r="C3695" t="inlineStr">
        <is>
          <t>TÜV NORD CERT GmbH, Essen, DE</t>
        </is>
      </c>
      <c r="D3695" t="inlineStr">
        <is>
          <t>21.05.2027</t>
        </is>
      </c>
      <c r="E3695" t="inlineStr">
        <is>
          <t>Malaysia</t>
        </is>
      </c>
    </row>
    <row r="3696">
      <c r="A3696" t="inlineStr">
        <is>
          <t>SAS HUB-Ardoix,  Frangy, France</t>
        </is>
      </c>
      <c r="B3696" t="inlineStr">
        <is>
          <t>Processing Unit</t>
        </is>
      </c>
      <c r="C3696" t="inlineStr">
        <is>
          <t>Control Union Certifications Germany GmbH, Berlin, DE</t>
        </is>
      </c>
      <c r="D3696" t="inlineStr">
        <is>
          <t>21.05.2027</t>
        </is>
      </c>
      <c r="E3696" t="inlineStr">
        <is>
          <t>France</t>
        </is>
      </c>
    </row>
    <row r="3697">
      <c r="A3697" t="inlineStr">
        <is>
          <t>Marquis Energy Global Pte. Ltd.,  Singapore, Singapore</t>
        </is>
      </c>
      <c r="B3697" t="inlineStr">
        <is>
          <t>Trader with Storage</t>
        </is>
      </c>
      <c r="C3697" t="inlineStr">
        <is>
          <t>Control Union Certifications Germany GmbH, Berlin, DE</t>
        </is>
      </c>
      <c r="D3697" t="inlineStr">
        <is>
          <t>21.05.2027</t>
        </is>
      </c>
      <c r="E3697" t="inlineStr">
        <is>
          <t>Singapore</t>
        </is>
      </c>
    </row>
    <row r="3698">
      <c r="A3698" t="inlineStr">
        <is>
          <t>CM Green Energy Technology (SHENZHEN) Co., Ltd.,  Shenzhen, Guangdong, China</t>
        </is>
      </c>
      <c r="B3698" t="inlineStr">
        <is>
          <t>Proof of Compliance Trader, Trader</t>
        </is>
      </c>
      <c r="C3698" t="inlineStr">
        <is>
          <t>Bureau Veritas Polska Sp. z o.o., Warsaw, PL</t>
        </is>
      </c>
      <c r="D3698" t="inlineStr">
        <is>
          <t>21.05.2027</t>
        </is>
      </c>
      <c r="E3698" t="inlineStr">
        <is>
          <t>China</t>
        </is>
      </c>
    </row>
    <row r="3699">
      <c r="A3699" t="inlineStr">
        <is>
          <t>Advance Nonwoven Vietnam,  Danang, Vietnam</t>
        </is>
      </c>
      <c r="B3699" t="inlineStr">
        <is>
          <t>Processing Unit</t>
        </is>
      </c>
      <c r="C3699" t="inlineStr">
        <is>
          <t>Control Union Certifications Germany GmbH, Berlin, DE</t>
        </is>
      </c>
      <c r="D3699" t="inlineStr">
        <is>
          <t>21.05.2027</t>
        </is>
      </c>
      <c r="E3699" t="inlineStr">
        <is>
          <t>Vietnam</t>
        </is>
      </c>
    </row>
    <row r="3700">
      <c r="A3700" t="inlineStr">
        <is>
          <t>PETROCHINA INTERNATIONAL (ZHEJIANG) CO., LTD.,  ZHOUSHAN CITY, ZHEJIANG PROVINCE, China</t>
        </is>
      </c>
      <c r="B3700" t="inlineStr">
        <is>
          <t>Trader with Storage</t>
        </is>
      </c>
      <c r="C3700" t="inlineStr">
        <is>
          <t>RINA Services S.p.A., Genova, IT</t>
        </is>
      </c>
      <c r="D3700" t="inlineStr">
        <is>
          <t>21.05.2027</t>
        </is>
      </c>
      <c r="E3700" t="inlineStr">
        <is>
          <t>China</t>
        </is>
      </c>
    </row>
    <row r="3701">
      <c r="A3701" t="inlineStr">
        <is>
          <t>ENERGY PETROL,  ISTANBUL, Türkiye</t>
        </is>
      </c>
      <c r="B3701" t="inlineStr">
        <is>
          <t>Trader with Storage</t>
        </is>
      </c>
      <c r="C3701" t="inlineStr">
        <is>
          <t>Control Union Certifications Germany GmbH, Berlin, DE</t>
        </is>
      </c>
      <c r="D3701" t="inlineStr">
        <is>
          <t>21.05.2027</t>
        </is>
      </c>
      <c r="E3701" t="inlineStr">
        <is>
          <t>Türkiye</t>
        </is>
      </c>
    </row>
    <row r="3702">
      <c r="A3702" t="inlineStr">
        <is>
          <t>SC SILOTRANS SRL,  Constanta, Romania</t>
        </is>
      </c>
      <c r="B3702" t="inlineStr">
        <is>
          <t>First Gathering Point, Trader with Storage</t>
        </is>
      </c>
      <c r="C3702" t="inlineStr">
        <is>
          <t>Control Union Certifications Germany GmbH, Berlin, DE</t>
        </is>
      </c>
      <c r="D3702" t="inlineStr">
        <is>
          <t>21.05.2027</t>
        </is>
      </c>
      <c r="E3702" t="inlineStr">
        <is>
          <t>Romania</t>
        </is>
      </c>
    </row>
    <row r="3703">
      <c r="A3703" t="inlineStr">
        <is>
          <t>Pinnacle Polymers, LLC,  Garyville, United States</t>
        </is>
      </c>
      <c r="B3703" t="inlineStr">
        <is>
          <t>Processing Unit</t>
        </is>
      </c>
      <c r="C3703" t="inlineStr">
        <is>
          <t>SCS Global Services, Emeryville, CA, US</t>
        </is>
      </c>
      <c r="D3703" t="inlineStr">
        <is>
          <t>21.05.2027</t>
        </is>
      </c>
      <c r="E3703" t="inlineStr">
        <is>
          <t>United States</t>
        </is>
      </c>
    </row>
    <row r="3704">
      <c r="A3704" t="inlineStr">
        <is>
          <t>Molino di S.Giovanni,  San Giovanni in Persiceto - Bologna, Italy</t>
        </is>
      </c>
      <c r="B3704" t="inlineStr">
        <is>
          <t>Processing Unit, Trader with Storage</t>
        </is>
      </c>
      <c r="C3704" t="inlineStr">
        <is>
          <t>RINA Services S.p.A., Genova, IT</t>
        </is>
      </c>
      <c r="D3704" t="inlineStr">
        <is>
          <t>21.05.2027</t>
        </is>
      </c>
      <c r="E3704" t="inlineStr">
        <is>
          <t>Italy</t>
        </is>
      </c>
    </row>
    <row r="3705">
      <c r="A3705" t="inlineStr">
        <is>
          <t>Dynapac Co.,Ltd.,  Kanie-cho, Ama-gun, Japan</t>
        </is>
      </c>
      <c r="B3705" t="inlineStr">
        <is>
          <t>Final Product Refinement, Processing Unit</t>
        </is>
      </c>
      <c r="C3705" t="inlineStr">
        <is>
          <t>Control Union Certifications Germany GmbH, Berlin, DE</t>
        </is>
      </c>
      <c r="D3705" t="inlineStr">
        <is>
          <t>21.05.2027</t>
        </is>
      </c>
      <c r="E3705" t="inlineStr">
        <is>
          <t>Japan</t>
        </is>
      </c>
    </row>
    <row r="3706">
      <c r="A3706" t="inlineStr">
        <is>
          <t>OCEAN ENERGY SUPPLY SINGAPORE PTE LTD,  SINGAPORE, Singapore</t>
        </is>
      </c>
      <c r="B3706" t="inlineStr">
        <is>
          <t>Trader</t>
        </is>
      </c>
      <c r="C3706" t="inlineStr">
        <is>
          <t>Control Union Certifications Germany GmbH, Berlin, DE</t>
        </is>
      </c>
      <c r="D3706" t="inlineStr">
        <is>
          <t>21.05.2027</t>
        </is>
      </c>
      <c r="E3706" t="inlineStr">
        <is>
          <t>Singapore</t>
        </is>
      </c>
    </row>
    <row r="3707">
      <c r="A3707" t="inlineStr">
        <is>
          <t>Sedamyl SpA,  Saluzzo, Italy</t>
        </is>
      </c>
      <c r="B3707" t="inlineStr">
        <is>
          <t>Processing Unit</t>
        </is>
      </c>
      <c r="C3707" t="inlineStr">
        <is>
          <t>Control Union Certifications Germany GmbH, Berlin, DE</t>
        </is>
      </c>
      <c r="D3707" t="inlineStr">
        <is>
          <t>21.05.2027</t>
        </is>
      </c>
      <c r="E3707" t="inlineStr">
        <is>
          <t>Italy</t>
        </is>
      </c>
    </row>
    <row r="3708">
      <c r="A3708" t="inlineStr">
        <is>
          <t>Diyaval Treid LTD,  Yambol, Bulgaria</t>
        </is>
      </c>
      <c r="B3708" t="inlineStr">
        <is>
          <t>First Gathering Point, Trader</t>
        </is>
      </c>
      <c r="C3708" t="inlineStr">
        <is>
          <t>Control Union Certifications Germany GmbH, Berlin, DE</t>
        </is>
      </c>
      <c r="D3708" t="inlineStr">
        <is>
          <t>21.05.2027</t>
        </is>
      </c>
      <c r="E3708" t="inlineStr">
        <is>
          <t>Bulgaria</t>
        </is>
      </c>
    </row>
    <row r="3709">
      <c r="A3709" t="inlineStr">
        <is>
          <t>Alcantarilla s.r.o.,  Komárno, Slovakia</t>
        </is>
      </c>
      <c r="B3709" t="inlineStr">
        <is>
          <t>First Gathering Point, Trader</t>
        </is>
      </c>
      <c r="C3709" t="inlineStr">
        <is>
          <t>Bureau Veritas Polska Sp. z o.o., Warsaw, PL</t>
        </is>
      </c>
      <c r="D3709" t="inlineStr">
        <is>
          <t>21.05.2027</t>
        </is>
      </c>
      <c r="E3709" t="inlineStr">
        <is>
          <t>Slovakia</t>
        </is>
      </c>
    </row>
    <row r="3710">
      <c r="A3710" t="inlineStr">
        <is>
          <t>Alcantarilla s.r.o.,  Komárno, Slovakia</t>
        </is>
      </c>
      <c r="B3710" t="inlineStr">
        <is>
          <t>First Gathering Point, Trader</t>
        </is>
      </c>
      <c r="C3710" t="inlineStr">
        <is>
          <t>Bureau Veritas Polska Sp. z o.o., Warsaw, PL</t>
        </is>
      </c>
      <c r="D3710" t="inlineStr">
        <is>
          <t>21.05.2027</t>
        </is>
      </c>
      <c r="E3710" t="inlineStr">
        <is>
          <t>Slovakia</t>
        </is>
      </c>
    </row>
    <row r="3711">
      <c r="A3711" t="inlineStr">
        <is>
          <t>SEA OIL PETROLEUM PTE. LTD,  SUNTEC TOWER FOUR ,038986, Singapore</t>
        </is>
      </c>
      <c r="B3711" t="inlineStr">
        <is>
          <t>Trader</t>
        </is>
      </c>
      <c r="C3711" t="inlineStr">
        <is>
          <t>Control Union Poland Sp. z o.o., Zielona Gora, PL</t>
        </is>
      </c>
      <c r="D3711" t="inlineStr">
        <is>
          <t>21.05.2027</t>
        </is>
      </c>
      <c r="E3711" t="inlineStr">
        <is>
          <t>Singapore</t>
        </is>
      </c>
    </row>
    <row r="3712">
      <c r="A3712" t="inlineStr">
        <is>
          <t>Tanex Vladislav s.r.o.,  Vladislav, Czech Republic</t>
        </is>
      </c>
      <c r="B3712" t="inlineStr">
        <is>
          <t>Collecting Point</t>
        </is>
      </c>
      <c r="C3712" t="inlineStr">
        <is>
          <t>United Registrar of Systems Polska Sp. z o.o., Wrocław, PL</t>
        </is>
      </c>
      <c r="D3712" t="inlineStr">
        <is>
          <t>21.05.2027</t>
        </is>
      </c>
      <c r="E3712" t="inlineStr">
        <is>
          <t>Czech Republic</t>
        </is>
      </c>
    </row>
    <row r="3713">
      <c r="A3713" t="inlineStr">
        <is>
          <t>Bolloré Energy,  Puteaux, France</t>
        </is>
      </c>
      <c r="B3713" t="inlineStr">
        <is>
          <t>Trader with Storage</t>
        </is>
      </c>
      <c r="C3713" t="inlineStr">
        <is>
          <t>Control Union Certifications Germany GmbH, Berlin, DE</t>
        </is>
      </c>
      <c r="D3713" t="inlineStr">
        <is>
          <t>21.05.2027</t>
        </is>
      </c>
      <c r="E3713" t="inlineStr">
        <is>
          <t>France</t>
        </is>
      </c>
    </row>
    <row r="3714">
      <c r="A3714" t="inlineStr">
        <is>
          <t>Ineos Compounds Sweden AB,  Helsingborg, Sweden</t>
        </is>
      </c>
      <c r="B3714" t="inlineStr">
        <is>
          <t>Processing Unit</t>
        </is>
      </c>
      <c r="C3714" t="inlineStr">
        <is>
          <t>SCS Global Services, Emeryville, CA, US</t>
        </is>
      </c>
      <c r="D3714" t="inlineStr">
        <is>
          <t>21.05.2027</t>
        </is>
      </c>
      <c r="E3714" t="inlineStr">
        <is>
          <t>Sweden</t>
        </is>
      </c>
    </row>
    <row r="3715">
      <c r="A3715" t="inlineStr">
        <is>
          <t>Evergreen Intermerge SDN BHD,  Tawau, Sabah, Malaysia</t>
        </is>
      </c>
      <c r="B3715" t="inlineStr">
        <is>
          <t>Trader with Storage</t>
        </is>
      </c>
      <c r="C3715" t="inlineStr">
        <is>
          <t>Control Union Certifications Germany GmbH, Berlin, DE</t>
        </is>
      </c>
      <c r="D3715" t="inlineStr">
        <is>
          <t>21.05.2027</t>
        </is>
      </c>
      <c r="E3715" t="inlineStr">
        <is>
          <t>Malaysia</t>
        </is>
      </c>
    </row>
    <row r="3716">
      <c r="A3716" t="inlineStr">
        <is>
          <t>WAGA ENERGY,  Els Hostalets de Pierola, Barcelona, Spain</t>
        </is>
      </c>
      <c r="B3716" t="inlineStr">
        <is>
          <t>Point of Origin, Processing Unit</t>
        </is>
      </c>
      <c r="C3716" t="inlineStr">
        <is>
          <t>DEKRA Certification B.V., Arnhem, NL</t>
        </is>
      </c>
      <c r="D3716" t="inlineStr">
        <is>
          <t>21.05.2027</t>
        </is>
      </c>
      <c r="E3716" t="inlineStr">
        <is>
          <t>Spain</t>
        </is>
      </c>
    </row>
    <row r="3717">
      <c r="A3717" t="inlineStr">
        <is>
          <t>DAICEL CORPORATION,  Minato-Ku, Tokyo, Japan</t>
        </is>
      </c>
      <c r="B3717" t="inlineStr">
        <is>
          <t>Trader with Storage</t>
        </is>
      </c>
      <c r="C3717" t="inlineStr">
        <is>
          <t>SGS Germany GmbH, Emstek, DE</t>
        </is>
      </c>
      <c r="D3717" t="inlineStr">
        <is>
          <t>21.05.2027</t>
        </is>
      </c>
      <c r="E3717" t="inlineStr">
        <is>
          <t>Japan</t>
        </is>
      </c>
    </row>
    <row r="3718">
      <c r="A3718" t="inlineStr">
        <is>
          <t>Ampol Australia Petroleum Pty Ltd,  Alexandria, New South Wales, Australia</t>
        </is>
      </c>
      <c r="B3718" t="inlineStr">
        <is>
          <t>Logistics Center, Trader with Storage</t>
        </is>
      </c>
      <c r="C3718" t="inlineStr">
        <is>
          <t>SGS Germany GmbH, Emstek, DE</t>
        </is>
      </c>
      <c r="D3718" t="inlineStr">
        <is>
          <t>21.05.2027</t>
        </is>
      </c>
      <c r="E3718" t="inlineStr">
        <is>
          <t>Australia</t>
        </is>
      </c>
    </row>
    <row r="3719">
      <c r="A3719" t="inlineStr">
        <is>
          <t>K.I.P. Kft.,  Sárosd, Hungary</t>
        </is>
      </c>
      <c r="B3719" t="inlineStr">
        <is>
          <t>Farm / Plantation, First Gathering Point, Trader with Storage</t>
        </is>
      </c>
      <c r="C3719" t="inlineStr">
        <is>
          <t>BM Certification, Riga, LV</t>
        </is>
      </c>
      <c r="D3719" t="inlineStr">
        <is>
          <t>21.05.2027</t>
        </is>
      </c>
      <c r="E3719" t="inlineStr">
        <is>
          <t>Hungary</t>
        </is>
      </c>
    </row>
    <row r="3720">
      <c r="A3720" t="inlineStr">
        <is>
          <t>Robert Thoma,  Würenlingen, Switzerland</t>
        </is>
      </c>
      <c r="B3720" t="inlineStr">
        <is>
          <t>Processing Unit</t>
        </is>
      </c>
      <c r="C3720" t="inlineStr">
        <is>
          <t>SGS Germany GmbH, Emstek, DE</t>
        </is>
      </c>
      <c r="D3720" t="inlineStr">
        <is>
          <t>21.05.2027</t>
        </is>
      </c>
      <c r="E3720" t="inlineStr">
        <is>
          <t>Switzerland</t>
        </is>
      </c>
    </row>
    <row r="3721">
      <c r="A3721" t="inlineStr">
        <is>
          <t>Borneo Samudera Sdn Bhd (Apas Balung Palm Oil Mill),  Tawau, Malaysia</t>
        </is>
      </c>
      <c r="B3721" t="inlineStr">
        <is>
          <t>Point of Origin</t>
        </is>
      </c>
      <c r="C3721" t="inlineStr">
        <is>
          <t>Global Gateway Certifications Sdn Bhd, Ampang, MY</t>
        </is>
      </c>
      <c r="D3721" t="inlineStr">
        <is>
          <t>21.05.2027</t>
        </is>
      </c>
      <c r="E3721" t="inlineStr">
        <is>
          <t>Malaysia</t>
        </is>
      </c>
    </row>
    <row r="3722">
      <c r="A3722" t="inlineStr">
        <is>
          <t>PT Lami Packaging Indonesia,  Kec Cikande, Kab Serang, Indonesia</t>
        </is>
      </c>
      <c r="B3722" t="inlineStr">
        <is>
          <t>Processing Unit</t>
        </is>
      </c>
      <c r="C3722" t="inlineStr">
        <is>
          <t>PT Intertek Utama Services, Jakarta, ID</t>
        </is>
      </c>
      <c r="D3722" t="inlineStr">
        <is>
          <t>21.05.2027</t>
        </is>
      </c>
      <c r="E3722" t="inlineStr">
        <is>
          <t>Indonesia</t>
        </is>
      </c>
    </row>
    <row r="3723">
      <c r="A3723" t="inlineStr">
        <is>
          <t>Tongling Longzhong environmental protection Co.,Ltd,  Tongling City, Anhui Province, China</t>
        </is>
      </c>
      <c r="B3723" t="inlineStr">
        <is>
          <t>Collecting Point, Processing Unit, Trader with Storage</t>
        </is>
      </c>
      <c r="C3723" t="inlineStr">
        <is>
          <t>SCS Global Services, Emeryville, CA, US</t>
        </is>
      </c>
      <c r="D3723" t="inlineStr">
        <is>
          <t>21.05.2027</t>
        </is>
      </c>
      <c r="E3723" t="inlineStr">
        <is>
          <t>China</t>
        </is>
      </c>
    </row>
    <row r="3724">
      <c r="A3724" t="inlineStr">
        <is>
          <t>Fujian Nanping Yuanhe Chemical Co., Ltd.,  Xiadao Town, Yanping District, Nanping City, China</t>
        </is>
      </c>
      <c r="B3724" t="inlineStr">
        <is>
          <t>Collecting Point, Processing Unit</t>
        </is>
      </c>
      <c r="C3724" t="inlineStr">
        <is>
          <t>SGS Germany GmbH, Emstek, DE</t>
        </is>
      </c>
      <c r="D3724" t="inlineStr">
        <is>
          <t>21.05.2027</t>
        </is>
      </c>
      <c r="E3724" t="inlineStr">
        <is>
          <t>China</t>
        </is>
      </c>
    </row>
    <row r="3725">
      <c r="A3725" t="inlineStr">
        <is>
          <t>PETROLIMEX AVIATION FUEL JOINT STOCK COMPANY,  KIM LIEN WARD, HANOI, Vietnam</t>
        </is>
      </c>
      <c r="B3725" t="inlineStr">
        <is>
          <t>Logistics Center, Trader with Storage</t>
        </is>
      </c>
      <c r="C3725" t="inlineStr">
        <is>
          <t>SGS Germany GmbH, Emstek, DE</t>
        </is>
      </c>
      <c r="D3725" t="inlineStr">
        <is>
          <t>21.05.2027</t>
        </is>
      </c>
      <c r="E3725" t="inlineStr">
        <is>
          <t>Vietnam</t>
        </is>
      </c>
    </row>
    <row r="3726">
      <c r="A3726" t="inlineStr">
        <is>
          <t>Kunak Mill Sdn Bhd (Kunak Mill),  Tawau, Malaysia</t>
        </is>
      </c>
      <c r="B3726" t="inlineStr">
        <is>
          <t>Point of Origin</t>
        </is>
      </c>
      <c r="C3726" t="inlineStr">
        <is>
          <t>Global Gateway Certifications Sdn Bhd, Ampang, MY</t>
        </is>
      </c>
      <c r="D3726" t="inlineStr">
        <is>
          <t>21.05.2027</t>
        </is>
      </c>
      <c r="E3726" t="inlineStr">
        <is>
          <t>Malaysia</t>
        </is>
      </c>
    </row>
    <row r="3727">
      <c r="A3727" t="inlineStr">
        <is>
          <t>PETROLIMEX AVIATION FUEL JOINT STOCK COMPANY,  KIM LIEN WARD, HANOI, Vietnam</t>
        </is>
      </c>
      <c r="B3727" t="inlineStr">
        <is>
          <t>Logistics Center, Trader with Storage</t>
        </is>
      </c>
      <c r="C3727" t="inlineStr">
        <is>
          <t>SGS Germany GmbH, Emstek, DE</t>
        </is>
      </c>
      <c r="D3727" t="inlineStr">
        <is>
          <t>21.05.2027</t>
        </is>
      </c>
      <c r="E3727" t="inlineStr">
        <is>
          <t>Vietnam</t>
        </is>
      </c>
    </row>
    <row r="3728">
      <c r="A3728" t="inlineStr">
        <is>
          <t>M2X Marketing LLC,  Rockledge, United States</t>
        </is>
      </c>
      <c r="B3728" t="inlineStr">
        <is>
          <t>Trader with Storage</t>
        </is>
      </c>
      <c r="C3728" t="inlineStr">
        <is>
          <t>SCS Global Services, Emeryville, CA, US</t>
        </is>
      </c>
      <c r="D3728" t="inlineStr">
        <is>
          <t>21.05.2027</t>
        </is>
      </c>
      <c r="E3728" t="inlineStr">
        <is>
          <t>United States</t>
        </is>
      </c>
    </row>
    <row r="3729">
      <c r="A3729" t="inlineStr">
        <is>
          <t>Inter Palm Sdn Bhd,  Kulai,, Malaysia</t>
        </is>
      </c>
      <c r="B3729" t="inlineStr">
        <is>
          <t>Trader with Storage</t>
        </is>
      </c>
      <c r="C3729" t="inlineStr">
        <is>
          <t>TÜV NORD CERT GmbH, Essen, DE</t>
        </is>
      </c>
      <c r="D3729" t="inlineStr">
        <is>
          <t>21.05.2027</t>
        </is>
      </c>
      <c r="E3729" t="inlineStr">
        <is>
          <t>Malaysia</t>
        </is>
      </c>
    </row>
    <row r="3730">
      <c r="A3730" t="inlineStr">
        <is>
          <t>Exolum Corporation, S.A.,  Madrid, Spain</t>
        </is>
      </c>
      <c r="B3730" t="inlineStr">
        <is>
          <t>Logistics Center</t>
        </is>
      </c>
      <c r="C3730" t="inlineStr">
        <is>
          <t>Bureau Veritas Polska Sp. z o.o., Warsaw, PL</t>
        </is>
      </c>
      <c r="D3730" t="inlineStr">
        <is>
          <t>21.05.2027</t>
        </is>
      </c>
      <c r="E3730" t="inlineStr">
        <is>
          <t>Spain</t>
        </is>
      </c>
    </row>
    <row r="3731">
      <c r="A3731" t="inlineStr">
        <is>
          <t>LM SERVICE,  VENEZIA, Italy</t>
        </is>
      </c>
      <c r="B3731" t="inlineStr">
        <is>
          <t>Trader</t>
        </is>
      </c>
      <c r="C3731" t="inlineStr">
        <is>
          <t>RINA Services S.p.A., Genova, IT</t>
        </is>
      </c>
      <c r="D3731" t="inlineStr">
        <is>
          <t>21.05.2027</t>
        </is>
      </c>
      <c r="E3731" t="inlineStr">
        <is>
          <t>Italy</t>
        </is>
      </c>
    </row>
    <row r="3732">
      <c r="A3732" t="inlineStr">
        <is>
          <t>CBH Grain Pty. Ltd.,  Perth, WA, Australia</t>
        </is>
      </c>
      <c r="B3732" t="inlineStr">
        <is>
          <t>First Gathering Point, Trader with Storage</t>
        </is>
      </c>
      <c r="C3732" t="inlineStr">
        <is>
          <t>SGS Germany GmbH, Emstek, DE</t>
        </is>
      </c>
      <c r="D3732" t="inlineStr">
        <is>
          <t>21.05.2027</t>
        </is>
      </c>
      <c r="E3732" t="inlineStr">
        <is>
          <t>Australia</t>
        </is>
      </c>
    </row>
    <row r="3733">
      <c r="A3733" t="inlineStr">
        <is>
          <t>CBH Grain Pty. Ltd.,  Perth, WA, Australia</t>
        </is>
      </c>
      <c r="B3733" t="inlineStr">
        <is>
          <t>First Gathering Point, Trader with Storage</t>
        </is>
      </c>
      <c r="C3733" t="inlineStr">
        <is>
          <t>SGS Germany GmbH, Emstek, DE</t>
        </is>
      </c>
      <c r="D3733" t="inlineStr">
        <is>
          <t>21.05.2027</t>
        </is>
      </c>
      <c r="E3733" t="inlineStr">
        <is>
          <t>Australia</t>
        </is>
      </c>
    </row>
    <row r="3734">
      <c r="A3734" t="inlineStr">
        <is>
          <t>Reoil Sp. z o.o.,  Bukowno, Poland</t>
        </is>
      </c>
      <c r="B3734" t="inlineStr">
        <is>
          <t>Collecting Point, Trader with Storage, Processing Unit</t>
        </is>
      </c>
      <c r="C3734" t="inlineStr">
        <is>
          <t>Control Union Poland Sp. z o.o., Zielona Gora, PL</t>
        </is>
      </c>
      <c r="D3734" t="inlineStr">
        <is>
          <t>21.05.2027</t>
        </is>
      </c>
      <c r="E3734" t="inlineStr">
        <is>
          <t>Poland</t>
        </is>
      </c>
    </row>
    <row r="3735">
      <c r="A3735" t="inlineStr">
        <is>
          <t>ENI NATURAL ENERGIES MOZAMBICO SRL,  Metocheria, Monapo, Mozambique</t>
        </is>
      </c>
      <c r="B3735" t="inlineStr">
        <is>
          <t>First Gathering Point, Trader with Storage</t>
        </is>
      </c>
      <c r="C3735" t="inlineStr">
        <is>
          <t>RINA Services S.p.A., Genova, IT</t>
        </is>
      </c>
      <c r="D3735" t="inlineStr">
        <is>
          <t>20.05.2027</t>
        </is>
      </c>
      <c r="E3735" t="inlineStr">
        <is>
          <t>Mozambique</t>
        </is>
      </c>
    </row>
    <row r="3736">
      <c r="A3736" t="inlineStr">
        <is>
          <t>Naturello,  Vicenza, Poiana Maggiore, Italy</t>
        </is>
      </c>
      <c r="B3736" t="inlineStr">
        <is>
          <t>Processing Unit</t>
        </is>
      </c>
      <c r="C3736" t="inlineStr">
        <is>
          <t>RINA Services S.p.A., Genova, IT</t>
        </is>
      </c>
      <c r="D3736" t="inlineStr">
        <is>
          <t>20.05.2027</t>
        </is>
      </c>
      <c r="E3736" t="inlineStr">
        <is>
          <t>Italy</t>
        </is>
      </c>
    </row>
    <row r="3737">
      <c r="A3737" t="inlineStr">
        <is>
          <t>Guangzhou Dongzhanshun Environmental Protection Technology Co., Ltd.,  Guangzhou City, China</t>
        </is>
      </c>
      <c r="B3737" t="inlineStr">
        <is>
          <t>Collecting Point</t>
        </is>
      </c>
      <c r="C3737" t="inlineStr">
        <is>
          <t>RINA Services S.p.A., Genova, IT</t>
        </is>
      </c>
      <c r="D3737" t="inlineStr">
        <is>
          <t>20.05.2027</t>
        </is>
      </c>
      <c r="E3737" t="inlineStr">
        <is>
          <t>China</t>
        </is>
      </c>
    </row>
    <row r="3738">
      <c r="A3738" t="inlineStr">
        <is>
          <t>Delca Energy,  Vicopisano (PI), Italy</t>
        </is>
      </c>
      <c r="B3738" t="inlineStr">
        <is>
          <t>Processing Unit</t>
        </is>
      </c>
      <c r="C3738" t="inlineStr">
        <is>
          <t>DNV Business Assurance Sweden AB, Solna, SE</t>
        </is>
      </c>
      <c r="D3738" t="inlineStr">
        <is>
          <t>20.05.2027</t>
        </is>
      </c>
      <c r="E3738" t="inlineStr">
        <is>
          <t>Italy</t>
        </is>
      </c>
    </row>
    <row r="3739">
      <c r="A3739" t="inlineStr">
        <is>
          <t>Petrotel-Lukoil,  Ploiesti, Romania</t>
        </is>
      </c>
      <c r="B3739" t="inlineStr">
        <is>
          <t>Trader with Storage, Warehouse</t>
        </is>
      </c>
      <c r="C3739" t="inlineStr">
        <is>
          <t>CertRom SRL, Bucuresti, RO</t>
        </is>
      </c>
      <c r="D3739" t="inlineStr">
        <is>
          <t>20.05.2027</t>
        </is>
      </c>
      <c r="E3739" t="inlineStr">
        <is>
          <t>Romania</t>
        </is>
      </c>
    </row>
    <row r="3740">
      <c r="A3740" t="inlineStr">
        <is>
          <t>LANXESS Corporation,  Baytown, United States</t>
        </is>
      </c>
      <c r="B3740" t="inlineStr">
        <is>
          <t>Processing Unit</t>
        </is>
      </c>
      <c r="C3740" t="inlineStr">
        <is>
          <t>TÜV NORD CERT GmbH, Essen, DE</t>
        </is>
      </c>
      <c r="D3740" t="inlineStr">
        <is>
          <t>20.05.2027</t>
        </is>
      </c>
      <c r="E3740" t="inlineStr">
        <is>
          <t>United States</t>
        </is>
      </c>
    </row>
    <row r="3741">
      <c r="A3741" t="inlineStr">
        <is>
          <t>STRAITS BUNKERING,  Singapore, Singapore</t>
        </is>
      </c>
      <c r="B3741" t="inlineStr">
        <is>
          <t>Trader</t>
        </is>
      </c>
      <c r="C3741" t="inlineStr">
        <is>
          <t>TÜV NORD CERT GmbH, Essen, DE</t>
        </is>
      </c>
      <c r="D3741" t="inlineStr">
        <is>
          <t>20.05.2027</t>
        </is>
      </c>
      <c r="E3741" t="inlineStr">
        <is>
          <t>Singapore</t>
        </is>
      </c>
    </row>
    <row r="3742">
      <c r="A3742" t="inlineStr">
        <is>
          <t>Chevron Trading (Beijing) Co., LTD.,  Beijing, Chaoyang District, China</t>
        </is>
      </c>
      <c r="B3742" t="inlineStr">
        <is>
          <t>Trader with Storage</t>
        </is>
      </c>
      <c r="C3742" t="inlineStr">
        <is>
          <t>SCS Global Services, Emeryville, CA, US</t>
        </is>
      </c>
      <c r="D3742" t="inlineStr">
        <is>
          <t>20.05.2027</t>
        </is>
      </c>
      <c r="E3742" t="inlineStr">
        <is>
          <t>China</t>
        </is>
      </c>
    </row>
    <row r="3743">
      <c r="A3743" t="inlineStr">
        <is>
          <t>Serendipity Aceites y Limpiezas S.L.,  Torredembarra, Tarragona, Spain</t>
        </is>
      </c>
      <c r="B3743" t="inlineStr">
        <is>
          <t>Collecting Point, Trader</t>
        </is>
      </c>
      <c r="C3743" t="inlineStr">
        <is>
          <t>Control Union Poland Sp. z o.o., Zielona Gora, PL</t>
        </is>
      </c>
      <c r="D3743" t="inlineStr">
        <is>
          <t>20.05.2027</t>
        </is>
      </c>
      <c r="E3743" t="inlineStr">
        <is>
          <t>Spain</t>
        </is>
      </c>
    </row>
    <row r="3744">
      <c r="A3744" t="inlineStr">
        <is>
          <t>Woosh,  Brugge, Belgium</t>
        </is>
      </c>
      <c r="B3744" t="inlineStr">
        <is>
          <t>Point of Origin</t>
        </is>
      </c>
      <c r="C3744" t="inlineStr">
        <is>
          <t>Control Union Certifications Germany GmbH, Berlin, DE</t>
        </is>
      </c>
      <c r="D3744" t="inlineStr">
        <is>
          <t>20.05.2027</t>
        </is>
      </c>
      <c r="E3744" t="inlineStr">
        <is>
          <t>Belgium</t>
        </is>
      </c>
    </row>
    <row r="3745">
      <c r="A3745" t="inlineStr">
        <is>
          <t>Inpasa Agroindustrial S/A - Dourados,  Dourados, Brazil</t>
        </is>
      </c>
      <c r="B3745" t="inlineStr">
        <is>
          <t>Processing Unit, Trader with Storage</t>
        </is>
      </c>
      <c r="C3745" t="inlineStr">
        <is>
          <t>Control Union Poland Sp. z o.o., Zielona Gora, PL</t>
        </is>
      </c>
      <c r="D3745" t="inlineStr">
        <is>
          <t>20.05.2027</t>
        </is>
      </c>
      <c r="E3745" t="inlineStr">
        <is>
          <t>Brazil</t>
        </is>
      </c>
    </row>
    <row r="3746">
      <c r="A3746" t="inlineStr">
        <is>
          <t>Sharikat Keratong Sdn. Bhd. - Lahad Datu Palm Oil Mill,  Kinabatangan,, Malaysia</t>
        </is>
      </c>
      <c r="B3746" t="inlineStr">
        <is>
          <t>Point of Origin</t>
        </is>
      </c>
      <c r="C3746" t="inlineStr">
        <is>
          <t>Global Gateway Certifications Sdn Bhd, Ampang, MY</t>
        </is>
      </c>
      <c r="D3746" t="inlineStr">
        <is>
          <t>20.05.2027</t>
        </is>
      </c>
      <c r="E3746" t="inlineStr">
        <is>
          <t>Malaysia</t>
        </is>
      </c>
    </row>
    <row r="3747">
      <c r="A3747" t="inlineStr">
        <is>
          <t>PT. Sung Shin Best Indonesia,  Kab. Tangerang, Indonesia</t>
        </is>
      </c>
      <c r="B3747" t="inlineStr">
        <is>
          <t>Processing Unit</t>
        </is>
      </c>
      <c r="C3747" t="inlineStr">
        <is>
          <t>Control Union Certifications Germany GmbH, Berlin, DE</t>
        </is>
      </c>
      <c r="D3747" t="inlineStr">
        <is>
          <t>20.05.2027</t>
        </is>
      </c>
      <c r="E3747" t="inlineStr">
        <is>
          <t>Indonesia</t>
        </is>
      </c>
    </row>
    <row r="3748">
      <c r="A3748" t="inlineStr">
        <is>
          <t>WISCOM CO., LTD.,  Ansan-si, South Korea</t>
        </is>
      </c>
      <c r="B3748" t="inlineStr">
        <is>
          <t>Processing Unit</t>
        </is>
      </c>
      <c r="C3748" t="inlineStr">
        <is>
          <t>Control Union Certifications Germany GmbH, Berlin, DE</t>
        </is>
      </c>
      <c r="D3748" t="inlineStr">
        <is>
          <t>20.05.2027</t>
        </is>
      </c>
      <c r="E3748" t="inlineStr">
        <is>
          <t>South Korea</t>
        </is>
      </c>
    </row>
    <row r="3749">
      <c r="A3749" t="inlineStr">
        <is>
          <t>Dunare Brate Prut Cooperativa Agricola,  Loc Foltesti, Jud Galati, Romania</t>
        </is>
      </c>
      <c r="B3749" t="inlineStr">
        <is>
          <t>First Gathering Point</t>
        </is>
      </c>
      <c r="C3749" t="inlineStr">
        <is>
          <t>BM Certification, Riga, LV</t>
        </is>
      </c>
      <c r="D3749" t="inlineStr">
        <is>
          <t>20.05.2027</t>
        </is>
      </c>
      <c r="E3749" t="inlineStr">
        <is>
          <t>Romania</t>
        </is>
      </c>
    </row>
    <row r="3750">
      <c r="A3750" t="inlineStr">
        <is>
          <t>Glades (Suzhou) Co., Ltd.,  Suzhou City, China</t>
        </is>
      </c>
      <c r="B3750" t="inlineStr">
        <is>
          <t>Processing Unit</t>
        </is>
      </c>
      <c r="C3750" t="inlineStr">
        <is>
          <t>SGS Germany GmbH, Emstek, DE</t>
        </is>
      </c>
      <c r="D3750" t="inlineStr">
        <is>
          <t>20.05.2027</t>
        </is>
      </c>
      <c r="E3750" t="inlineStr">
        <is>
          <t>China</t>
        </is>
      </c>
    </row>
    <row r="3751">
      <c r="A3751" t="inlineStr">
        <is>
          <t>Synthomer Deutschland GmbH,  Worms, Germany</t>
        </is>
      </c>
      <c r="B3751" t="inlineStr">
        <is>
          <t>Processing Unit</t>
        </is>
      </c>
      <c r="C3751" t="inlineStr">
        <is>
          <t>SGS Germany GmbH, Emstek, DE</t>
        </is>
      </c>
      <c r="D3751" t="inlineStr">
        <is>
          <t>20.05.2027</t>
        </is>
      </c>
      <c r="E3751" t="inlineStr">
        <is>
          <t>Germany</t>
        </is>
      </c>
    </row>
    <row r="3752">
      <c r="A3752" t="inlineStr">
        <is>
          <t>Verdins 91,  Aizkraukles District, Latvia</t>
        </is>
      </c>
      <c r="B3752" t="inlineStr">
        <is>
          <t>Collecting Point</t>
        </is>
      </c>
      <c r="C3752" t="inlineStr">
        <is>
          <t>BM Certification, Riga, LV</t>
        </is>
      </c>
      <c r="D3752" t="inlineStr">
        <is>
          <t>20.05.2027</t>
        </is>
      </c>
      <c r="E3752" t="inlineStr">
        <is>
          <t>Latvia</t>
        </is>
      </c>
    </row>
    <row r="3753">
      <c r="A3753" t="inlineStr">
        <is>
          <t>PT TOPPAN PLASINDO LESTARI,  Bekasi, Indonesia</t>
        </is>
      </c>
      <c r="B3753" t="inlineStr">
        <is>
          <t>Processing Unit</t>
        </is>
      </c>
      <c r="C3753" t="inlineStr">
        <is>
          <t>SGS Germany GmbH, Emstek, DE</t>
        </is>
      </c>
      <c r="D3753" t="inlineStr">
        <is>
          <t>20.05.2027</t>
        </is>
      </c>
      <c r="E3753" t="inlineStr">
        <is>
          <t>Indonesia</t>
        </is>
      </c>
    </row>
    <row r="3754">
      <c r="A3754" t="inlineStr">
        <is>
          <t>ZHEJIANG EAST OPTICAL TECHNOLOGY CO.,LTD,  Jiaxing, China</t>
        </is>
      </c>
      <c r="B3754" t="inlineStr">
        <is>
          <t>Processing Unit</t>
        </is>
      </c>
      <c r="C3754" t="inlineStr">
        <is>
          <t>SGS Germany GmbH, Emstek, DE</t>
        </is>
      </c>
      <c r="D3754" t="inlineStr">
        <is>
          <t>20.05.2027</t>
        </is>
      </c>
      <c r="E3754" t="inlineStr">
        <is>
          <t>China</t>
        </is>
      </c>
    </row>
    <row r="3755">
      <c r="A3755" t="inlineStr">
        <is>
          <t>BIOPLASTICA ENERGY PVT. LTD.,  DISTRICT - PALGHAR, India</t>
        </is>
      </c>
      <c r="B3755" t="inlineStr">
        <is>
          <t>Collecting Point, Processing Unit</t>
        </is>
      </c>
      <c r="C3755" t="inlineStr">
        <is>
          <t>ISOQAR Ltd, Stretford, Manchester, GB</t>
        </is>
      </c>
      <c r="D3755" t="inlineStr">
        <is>
          <t>20.05.2027</t>
        </is>
      </c>
      <c r="E3755" t="inlineStr">
        <is>
          <t>India</t>
        </is>
      </c>
    </row>
    <row r="3756">
      <c r="A3756" t="inlineStr">
        <is>
          <t>ENERGÍAS RENOVABLES CUMBRES DEL MONCAYO, S.L.,  ALBETA ( ZARAGOZA), Spain</t>
        </is>
      </c>
      <c r="B3756" t="inlineStr">
        <is>
          <t>Collecting Point</t>
        </is>
      </c>
      <c r="C3756" t="inlineStr">
        <is>
          <t>Control Union Poland Sp. z o.o., Zielona Gora, PL</t>
        </is>
      </c>
      <c r="D3756" t="inlineStr">
        <is>
          <t>20.05.2027</t>
        </is>
      </c>
      <c r="E3756" t="inlineStr">
        <is>
          <t>Spain</t>
        </is>
      </c>
    </row>
    <row r="3757">
      <c r="A3757" t="inlineStr">
        <is>
          <t>UNION CARBIDE CORPORATION,  HAHNVILLE, United States</t>
        </is>
      </c>
      <c r="B3757" t="inlineStr">
        <is>
          <t>Processing Unit</t>
        </is>
      </c>
      <c r="C3757" t="inlineStr">
        <is>
          <t>SGS Germany GmbH, Emstek, DE</t>
        </is>
      </c>
      <c r="D3757" t="inlineStr">
        <is>
          <t>20.05.2027</t>
        </is>
      </c>
      <c r="E3757" t="inlineStr">
        <is>
          <t>United States</t>
        </is>
      </c>
    </row>
    <row r="3758">
      <c r="A3758" t="inlineStr">
        <is>
          <t>Fujian Nanping Yuanhe Water Glass Co., Ltd.,  Yanping District, Nanping City, Fujian Province, China</t>
        </is>
      </c>
      <c r="B3758" t="inlineStr">
        <is>
          <t>Collecting Point, Processing Unit</t>
        </is>
      </c>
      <c r="C3758" t="inlineStr">
        <is>
          <t>SGS Germany GmbH, Emstek, DE</t>
        </is>
      </c>
      <c r="D3758" t="inlineStr">
        <is>
          <t>20.05.2027</t>
        </is>
      </c>
      <c r="E3758" t="inlineStr">
        <is>
          <t>China</t>
        </is>
      </c>
    </row>
    <row r="3759">
      <c r="A3759" t="inlineStr">
        <is>
          <t>Peninsula Petroleum Panama Inc.,  GMT Building, Costa del Este, Panama City, Panama</t>
        </is>
      </c>
      <c r="B3759" t="inlineStr">
        <is>
          <t>Trader with Storage</t>
        </is>
      </c>
      <c r="C3759" t="inlineStr">
        <is>
          <t>Control Union Poland Sp. z o.o., Zielona Gora, PL</t>
        </is>
      </c>
      <c r="D3759" t="inlineStr">
        <is>
          <t>20.05.2027</t>
        </is>
      </c>
      <c r="E3759" t="inlineStr">
        <is>
          <t>Panama</t>
        </is>
      </c>
    </row>
    <row r="3760">
      <c r="A3760" t="inlineStr">
        <is>
          <t>Astrup AS,  Oslo, Norway</t>
        </is>
      </c>
      <c r="B3760" t="inlineStr">
        <is>
          <t>Trader</t>
        </is>
      </c>
      <c r="C3760" t="inlineStr">
        <is>
          <t>DNV Business Assurance Sweden AB, Solna, SE</t>
        </is>
      </c>
      <c r="D3760" t="inlineStr">
        <is>
          <t>20.05.2027</t>
        </is>
      </c>
      <c r="E3760" t="inlineStr">
        <is>
          <t>Norway</t>
        </is>
      </c>
    </row>
    <row r="3761">
      <c r="A3761" t="inlineStr">
        <is>
          <t>The S Joeun Corporation,  Ulsan, The Republic of Korea</t>
        </is>
      </c>
      <c r="B3761" t="inlineStr">
        <is>
          <t>Trader</t>
        </is>
      </c>
      <c r="C3761" t="inlineStr">
        <is>
          <t>SGS Germany GmbH, Emstek, DE</t>
        </is>
      </c>
      <c r="D3761" t="inlineStr">
        <is>
          <t>20.05.2027</t>
        </is>
      </c>
      <c r="E3761" t="inlineStr">
        <is>
          <t>The Republic of Korea</t>
        </is>
      </c>
    </row>
    <row r="3762">
      <c r="A3762" t="inlineStr">
        <is>
          <t>PELICULAS PLASTICAS SA DE CV,  ATLACOMULCO, Mexico</t>
        </is>
      </c>
      <c r="B3762" t="inlineStr">
        <is>
          <t>Processing Unit</t>
        </is>
      </c>
      <c r="C3762" t="inlineStr">
        <is>
          <t>Control Union Poland Sp. z o.o., Zielona Gora, PL</t>
        </is>
      </c>
      <c r="D3762" t="inlineStr">
        <is>
          <t>20.05.2027</t>
        </is>
      </c>
      <c r="E3762" t="inlineStr">
        <is>
          <t>Mexico</t>
        </is>
      </c>
    </row>
    <row r="3763">
      <c r="A3763" t="inlineStr">
        <is>
          <t>Severn Trent Green Power (Andigestion) Limited,  Bishops Cleeve, Gloucestershire, United Kingdom</t>
        </is>
      </c>
      <c r="B3763" t="inlineStr">
        <is>
          <t>Collecting Point, Processing Unit</t>
        </is>
      </c>
      <c r="C3763" t="inlineStr">
        <is>
          <t>Double Helix Tracking Technologies Pte Ltd, Singapore, SG</t>
        </is>
      </c>
      <c r="D3763" t="inlineStr">
        <is>
          <t>20.05.2027</t>
        </is>
      </c>
      <c r="E3763" t="inlineStr">
        <is>
          <t>United Kingdom</t>
        </is>
      </c>
    </row>
    <row r="3764">
      <c r="A3764" t="inlineStr">
        <is>
          <t>Sanming Rongyuan Renewable Resources Co., Ltd.,  Sanming, China</t>
        </is>
      </c>
      <c r="B3764" t="inlineStr">
        <is>
          <t>Collecting Point, Processing Unit</t>
        </is>
      </c>
      <c r="C3764" t="inlineStr">
        <is>
          <t>Bureau Veritas Consumer Products Services, Inc., Buffalo, NY, US</t>
        </is>
      </c>
      <c r="D3764" t="inlineStr">
        <is>
          <t>20.05.2027</t>
        </is>
      </c>
      <c r="E3764" t="inlineStr">
        <is>
          <t>China</t>
        </is>
      </c>
    </row>
    <row r="3765">
      <c r="A3765" t="inlineStr">
        <is>
          <t>Kedia Organic Chemicals Pvt. Ltd.,  Ambernath (East), District Thane, India</t>
        </is>
      </c>
      <c r="B3765" t="inlineStr">
        <is>
          <t>Processing Unit</t>
        </is>
      </c>
      <c r="C3765" t="inlineStr">
        <is>
          <t>ISOQAR Ltd, Stretford, Manchester, GB</t>
        </is>
      </c>
      <c r="D3765" t="inlineStr">
        <is>
          <t>20.05.2027</t>
        </is>
      </c>
      <c r="E3765" t="inlineStr">
        <is>
          <t>India</t>
        </is>
      </c>
    </row>
    <row r="3766">
      <c r="A3766" t="inlineStr">
        <is>
          <t>Sasol Italy Spa,  Terranova dei Passerini, Italy</t>
        </is>
      </c>
      <c r="B3766" t="inlineStr">
        <is>
          <t>Processing Unit</t>
        </is>
      </c>
      <c r="C3766" t="inlineStr">
        <is>
          <t>RINA Services S.p.A., Genova, IT</t>
        </is>
      </c>
      <c r="D3766" t="inlineStr">
        <is>
          <t>20.05.2027</t>
        </is>
      </c>
      <c r="E3766" t="inlineStr">
        <is>
          <t>Italy</t>
        </is>
      </c>
    </row>
    <row r="3767">
      <c r="A3767" t="inlineStr">
        <is>
          <t>WUYI PENGSHENG INDUSTRIAL™ CO., LTD,  Jinhua, China</t>
        </is>
      </c>
      <c r="B3767" t="inlineStr">
        <is>
          <t>Processing Unit</t>
        </is>
      </c>
      <c r="C3767" t="inlineStr">
        <is>
          <t>SGS Germany GmbH, Emstek, DE</t>
        </is>
      </c>
      <c r="D3767" t="inlineStr">
        <is>
          <t>20.05.2027</t>
        </is>
      </c>
      <c r="E3767" t="inlineStr">
        <is>
          <t>China</t>
        </is>
      </c>
    </row>
    <row r="3768">
      <c r="A3768" t="inlineStr">
        <is>
          <t>Verde Di Covo Societa’ Agricola,  Covo, Italy</t>
        </is>
      </c>
      <c r="B3768" t="inlineStr">
        <is>
          <t>Collecting Point, Processing Unit</t>
        </is>
      </c>
      <c r="C3768" t="inlineStr">
        <is>
          <t>ICIM SpA, sesto san giovanni, IT</t>
        </is>
      </c>
      <c r="D3768" t="inlineStr">
        <is>
          <t>19.05.2027</t>
        </is>
      </c>
      <c r="E3768" t="inlineStr">
        <is>
          <t>Italy</t>
        </is>
      </c>
    </row>
    <row r="3769">
      <c r="A3769" t="inlineStr">
        <is>
          <t>FS INDUSTRIA DE BIOCOMBUSTIVEIS LTDA - Sorriso,  Sorriso, Brazil</t>
        </is>
      </c>
      <c r="B3769" t="inlineStr">
        <is>
          <t>First Gathering Point</t>
        </is>
      </c>
      <c r="C3769" t="inlineStr">
        <is>
          <t>SCS Global Services, Emeryville, CA, US</t>
        </is>
      </c>
      <c r="D3769" t="inlineStr">
        <is>
          <t>19.05.2027</t>
        </is>
      </c>
      <c r="E3769" t="inlineStr">
        <is>
          <t>Brazil</t>
        </is>
      </c>
    </row>
    <row r="3770">
      <c r="A3770" t="inlineStr">
        <is>
          <t>FS INDUSTRIA DE BIOCOMBUSTIVEIS LTDA - Sorriso,  Sorriso, Brazil</t>
        </is>
      </c>
      <c r="B3770" t="inlineStr">
        <is>
          <t>First Gathering Point, Point of Origin, Processing Unit</t>
        </is>
      </c>
      <c r="C3770" t="inlineStr">
        <is>
          <t>SCS Global Services, Emeryville, CA, US</t>
        </is>
      </c>
      <c r="D3770" t="inlineStr">
        <is>
          <t>19.05.2027</t>
        </is>
      </c>
      <c r="E3770" t="inlineStr">
        <is>
          <t>Brazil</t>
        </is>
      </c>
    </row>
    <row r="3771">
      <c r="A3771" t="inlineStr">
        <is>
          <t>FS INDUSTRIA DE BIOCOMBUSTIVEIS LTDA - Sorriso,  Sorriso, Brazil</t>
        </is>
      </c>
      <c r="B3771" t="inlineStr">
        <is>
          <t>Point of Origin, Processing Unit, First Gathering Point</t>
        </is>
      </c>
      <c r="C3771" t="inlineStr">
        <is>
          <t>SCS Global Services, Emeryville, CA, US</t>
        </is>
      </c>
      <c r="D3771" t="inlineStr">
        <is>
          <t>19.05.2027</t>
        </is>
      </c>
      <c r="E3771" t="inlineStr">
        <is>
          <t>Brazil</t>
        </is>
      </c>
    </row>
    <row r="3772">
      <c r="A3772" t="inlineStr">
        <is>
          <t>Hanwha Impact Corporation (Ulsan),  Ulsan, South Korea</t>
        </is>
      </c>
      <c r="B3772" t="inlineStr">
        <is>
          <t>Processing Unit, Trader</t>
        </is>
      </c>
      <c r="C3772" t="inlineStr">
        <is>
          <t>Korean Foundation for Quality, Songpa-gu, Seoul, KR</t>
        </is>
      </c>
      <c r="D3772" t="inlineStr">
        <is>
          <t>19.05.2027</t>
        </is>
      </c>
      <c r="E3772" t="inlineStr">
        <is>
          <t>South Korea</t>
        </is>
      </c>
    </row>
    <row r="3773">
      <c r="A3773" t="inlineStr">
        <is>
          <t>FS INDUSTRIA DE BIOCOMBUSTIVEIS LTDA - Sorriso,  Sorriso, Brazil</t>
        </is>
      </c>
      <c r="B3773" t="inlineStr">
        <is>
          <t>First Gathering Point, Point of Origin, Processing Unit</t>
        </is>
      </c>
      <c r="C3773" t="inlineStr">
        <is>
          <t>SCS Global Services, Emeryville, CA, US</t>
        </is>
      </c>
      <c r="D3773" t="inlineStr">
        <is>
          <t>19.05.2027</t>
        </is>
      </c>
      <c r="E3773" t="inlineStr">
        <is>
          <t>Brazil</t>
        </is>
      </c>
    </row>
    <row r="3774">
      <c r="A3774" t="inlineStr">
        <is>
          <t>GUZTEC POLYMERS S.L.U.,  Valencia, Spain</t>
        </is>
      </c>
      <c r="B3774" t="inlineStr">
        <is>
          <t>Trader with Storage</t>
        </is>
      </c>
      <c r="C3774" t="inlineStr">
        <is>
          <t>Bureau Veritas Polska Sp. z o.o., Warsaw, PL</t>
        </is>
      </c>
      <c r="D3774" t="inlineStr">
        <is>
          <t>19.05.2027</t>
        </is>
      </c>
      <c r="E3774" t="inlineStr">
        <is>
          <t>Spain</t>
        </is>
      </c>
    </row>
    <row r="3775">
      <c r="A3775" t="inlineStr">
        <is>
          <t>Hanwha Impact Corporation (Daesan),  Chungcheongnamdo, South Korea</t>
        </is>
      </c>
      <c r="B3775" t="inlineStr">
        <is>
          <t>Processing Unit</t>
        </is>
      </c>
      <c r="C3775" t="inlineStr">
        <is>
          <t>Korean Foundation for Quality, Songpa-gu, Seoul, KR</t>
        </is>
      </c>
      <c r="D3775" t="inlineStr">
        <is>
          <t>19.05.2027</t>
        </is>
      </c>
      <c r="E3775" t="inlineStr">
        <is>
          <t>South Korea</t>
        </is>
      </c>
    </row>
    <row r="3776">
      <c r="A3776" t="inlineStr">
        <is>
          <t>Kamei Corporation,  Miyagi, Japan</t>
        </is>
      </c>
      <c r="B3776" t="inlineStr">
        <is>
          <t>Trader with Storage</t>
        </is>
      </c>
      <c r="C3776" t="inlineStr">
        <is>
          <t>Control Union Certifications Germany GmbH, Berlin, DE</t>
        </is>
      </c>
      <c r="D3776" t="inlineStr">
        <is>
          <t>19.05.2027</t>
        </is>
      </c>
      <c r="E3776" t="inlineStr">
        <is>
          <t>Japan</t>
        </is>
      </c>
    </row>
    <row r="3777">
      <c r="A3777" t="inlineStr">
        <is>
          <t>ScanOcean AB,  Stockholm, Sweden</t>
        </is>
      </c>
      <c r="B3777" t="inlineStr">
        <is>
          <t>Trader</t>
        </is>
      </c>
      <c r="C3777" t="inlineStr">
        <is>
          <t>DNV Business Assurance Sweden AB, Solna, SE</t>
        </is>
      </c>
      <c r="D3777" t="inlineStr">
        <is>
          <t>19.05.2027</t>
        </is>
      </c>
      <c r="E3777" t="inlineStr">
        <is>
          <t>Sweden</t>
        </is>
      </c>
    </row>
    <row r="3778">
      <c r="A3778" t="inlineStr">
        <is>
          <t>SC Euxin,  Galati, Romania</t>
        </is>
      </c>
      <c r="B3778" t="inlineStr">
        <is>
          <t>First Gathering Point, Trader with Storage</t>
        </is>
      </c>
      <c r="C3778" t="inlineStr">
        <is>
          <t>Control Union Certifications Germany GmbH, Berlin, DE</t>
        </is>
      </c>
      <c r="D3778" t="inlineStr">
        <is>
          <t>19.05.2027</t>
        </is>
      </c>
      <c r="E3778" t="inlineStr">
        <is>
          <t>Romania</t>
        </is>
      </c>
    </row>
    <row r="3779">
      <c r="A3779" t="inlineStr">
        <is>
          <t>Ace Plastics (Shenzhen) Co., Ltd.,  Shenzhen City, Guangdong Province, China</t>
        </is>
      </c>
      <c r="B3779" t="inlineStr">
        <is>
          <t>Processing Unit, Warehouse</t>
        </is>
      </c>
      <c r="C3779" t="inlineStr">
        <is>
          <t>China Quality Certification Centre Co., Ltd., Beijing, CN</t>
        </is>
      </c>
      <c r="D3779" t="inlineStr">
        <is>
          <t>19.05.2027</t>
        </is>
      </c>
      <c r="E3779" t="inlineStr">
        <is>
          <t>China</t>
        </is>
      </c>
    </row>
    <row r="3780">
      <c r="A3780" t="inlineStr">
        <is>
          <t>Cahaya Gemilang Sawit,  Kab. Kutai Kartanegara, Indonesia</t>
        </is>
      </c>
      <c r="B3780" t="inlineStr">
        <is>
          <t>Point of Origin</t>
        </is>
      </c>
      <c r="C3780" t="inlineStr">
        <is>
          <t>PT. Qualitas Sertifikasi Indonesia, Jakarta, ID</t>
        </is>
      </c>
      <c r="D3780" t="inlineStr">
        <is>
          <t>19.05.2027</t>
        </is>
      </c>
      <c r="E3780" t="inlineStr">
        <is>
          <t>Indonesia</t>
        </is>
      </c>
    </row>
    <row r="3781">
      <c r="A3781" t="inlineStr">
        <is>
          <t>Cahaya Gemilang Sawit,  Kab. Kutai Kartanegara, Indonesia</t>
        </is>
      </c>
      <c r="B3781" t="inlineStr">
        <is>
          <t>Point of Origin</t>
        </is>
      </c>
      <c r="C3781" t="inlineStr">
        <is>
          <t>PT. Qualitas Sertifikasi Indonesia, Jakarta, ID</t>
        </is>
      </c>
      <c r="D3781" t="inlineStr">
        <is>
          <t>19.05.2027</t>
        </is>
      </c>
      <c r="E3781" t="inlineStr">
        <is>
          <t>Indonesia</t>
        </is>
      </c>
    </row>
    <row r="3782">
      <c r="A3782" t="inlineStr">
        <is>
          <t>VINA BUHMWOO CO., LTD,  Nhon Trach District, Vietnam</t>
        </is>
      </c>
      <c r="B3782" t="inlineStr">
        <is>
          <t>Processing Unit</t>
        </is>
      </c>
      <c r="C3782" t="inlineStr">
        <is>
          <t>Control Union Certifications Germany GmbH, Berlin, DE</t>
        </is>
      </c>
      <c r="D3782" t="inlineStr">
        <is>
          <t>19.05.2027</t>
        </is>
      </c>
      <c r="E3782" t="inlineStr">
        <is>
          <t>Vietnam</t>
        </is>
      </c>
    </row>
    <row r="3783">
      <c r="A3783" t="inlineStr">
        <is>
          <t>Lenser Filtration GmbH,  Senden, Germany</t>
        </is>
      </c>
      <c r="B3783" t="inlineStr">
        <is>
          <t>Processing Unit</t>
        </is>
      </c>
      <c r="C3783" t="inlineStr">
        <is>
          <t>DEKRA Certification GmbH, Stuttgart, DE</t>
        </is>
      </c>
      <c r="D3783" t="inlineStr">
        <is>
          <t>19.05.2027</t>
        </is>
      </c>
      <c r="E3783" t="inlineStr">
        <is>
          <t>Germany</t>
        </is>
      </c>
    </row>
    <row r="3784">
      <c r="A3784" t="inlineStr">
        <is>
          <t>ZZN Jihlava a.s.,  Jihlava, Czech Republic</t>
        </is>
      </c>
      <c r="B3784" t="inlineStr">
        <is>
          <t>First Gathering Point, Logistics Center, Trader</t>
        </is>
      </c>
      <c r="C3784" t="inlineStr">
        <is>
          <t>Bureau Veritas Polska Sp. z o.o., Warsaw, PL</t>
        </is>
      </c>
      <c r="D3784" t="inlineStr">
        <is>
          <t>19.05.2027</t>
        </is>
      </c>
      <c r="E3784" t="inlineStr">
        <is>
          <t>Czech Republic</t>
        </is>
      </c>
    </row>
    <row r="3785">
      <c r="A3785" t="inlineStr">
        <is>
          <t>Dong Myung O&amp;F,  Incheon, Korea, Republic of</t>
        </is>
      </c>
      <c r="B3785" t="inlineStr">
        <is>
          <t>Collecting Point, Trader with Storage</t>
        </is>
      </c>
      <c r="C3785" t="inlineStr">
        <is>
          <t>Control Union Certifications Germany GmbH, Berlin, DE</t>
        </is>
      </c>
      <c r="D3785" t="inlineStr">
        <is>
          <t>19.05.2027</t>
        </is>
      </c>
      <c r="E3785" t="inlineStr">
        <is>
          <t>Republic of</t>
        </is>
      </c>
    </row>
    <row r="3786">
      <c r="A3786" t="inlineStr">
        <is>
          <t>Idemitsu International (Asia) Pte Ltd,  Singapore, Singapore</t>
        </is>
      </c>
      <c r="B3786" t="inlineStr">
        <is>
          <t>Trader</t>
        </is>
      </c>
      <c r="C3786" t="inlineStr">
        <is>
          <t>Control Union Certifications Germany GmbH, Berlin, DE</t>
        </is>
      </c>
      <c r="D3786" t="inlineStr">
        <is>
          <t>19.05.2027</t>
        </is>
      </c>
      <c r="E3786" t="inlineStr">
        <is>
          <t>Singapore</t>
        </is>
      </c>
    </row>
    <row r="3787">
      <c r="A3787" t="inlineStr">
        <is>
          <t>Fitesa Germany GmbH,  Peine, Germany</t>
        </is>
      </c>
      <c r="B3787" t="inlineStr">
        <is>
          <t>Processing Unit</t>
        </is>
      </c>
      <c r="C3787" t="inlineStr">
        <is>
          <t>DNV Business Assurance Sweden AB, Solna, SE</t>
        </is>
      </c>
      <c r="D3787" t="inlineStr">
        <is>
          <t>19.05.2027</t>
        </is>
      </c>
      <c r="E3787" t="inlineStr">
        <is>
          <t>Germany</t>
        </is>
      </c>
    </row>
    <row r="3788">
      <c r="A3788" t="inlineStr">
        <is>
          <t>PHOENIX GREENOIL,  Uman, Ukraine</t>
        </is>
      </c>
      <c r="B3788" t="inlineStr">
        <is>
          <t>First Gathering Point, Trader</t>
        </is>
      </c>
      <c r="C3788" t="inlineStr">
        <is>
          <t>BM Certification, Riga, LV</t>
        </is>
      </c>
      <c r="D3788" t="inlineStr">
        <is>
          <t>19.05.2027</t>
        </is>
      </c>
      <c r="E3788" t="inlineStr">
        <is>
          <t>Ukraine</t>
        </is>
      </c>
    </row>
    <row r="3789">
      <c r="A3789" t="inlineStr">
        <is>
          <t>Idemitsu International (Asia) Pte Ltd,  Singapore, Singapore</t>
        </is>
      </c>
      <c r="B3789" t="inlineStr">
        <is>
          <t>Trader</t>
        </is>
      </c>
      <c r="C3789" t="inlineStr">
        <is>
          <t>Control Union Certifications Germany GmbH, Berlin, DE</t>
        </is>
      </c>
      <c r="D3789" t="inlineStr">
        <is>
          <t>19.05.2027</t>
        </is>
      </c>
      <c r="E3789" t="inlineStr">
        <is>
          <t>Singapore</t>
        </is>
      </c>
    </row>
    <row r="3790">
      <c r="A3790" t="inlineStr">
        <is>
          <t>Société Laitière de Montauban,  Montauban, France</t>
        </is>
      </c>
      <c r="B3790" t="inlineStr">
        <is>
          <t>Processing Unit</t>
        </is>
      </c>
      <c r="C3790" t="inlineStr">
        <is>
          <t>Control Union Certifications Germany GmbH, Berlin, DE</t>
        </is>
      </c>
      <c r="D3790" t="inlineStr">
        <is>
          <t>19.05.2027</t>
        </is>
      </c>
      <c r="E3790" t="inlineStr">
        <is>
          <t>France</t>
        </is>
      </c>
    </row>
    <row r="3791">
      <c r="A3791" t="inlineStr">
        <is>
          <t>Qingdao Xinhesheng Environmental Protection Engineering Co., Ltd.,  Qingdao City, China</t>
        </is>
      </c>
      <c r="B3791" t="inlineStr">
        <is>
          <t>Processing Unit</t>
        </is>
      </c>
      <c r="C3791" t="inlineStr">
        <is>
          <t>NSF International, Ann Arbor, MI, US</t>
        </is>
      </c>
      <c r="D3791" t="inlineStr">
        <is>
          <t>19.05.2027</t>
        </is>
      </c>
      <c r="E3791" t="inlineStr">
        <is>
          <t>China</t>
        </is>
      </c>
    </row>
    <row r="3792">
      <c r="A3792" t="inlineStr">
        <is>
          <t>PT. Harkat Sejahtera,  Kec. Bosar Maligas, Kab. Simalungun, Indonesia</t>
        </is>
      </c>
      <c r="B3792" t="inlineStr">
        <is>
          <t>Point of Origin</t>
        </is>
      </c>
      <c r="C3792" t="inlineStr">
        <is>
          <t>BM Certification, Riga, LV</t>
        </is>
      </c>
      <c r="D3792" t="inlineStr">
        <is>
          <t>19.05.2027</t>
        </is>
      </c>
      <c r="E3792" t="inlineStr">
        <is>
          <t>Indonesia</t>
        </is>
      </c>
    </row>
    <row r="3793">
      <c r="A3793" t="inlineStr">
        <is>
          <t>Cabot Carbone SAS,  Lillebonne, France</t>
        </is>
      </c>
      <c r="B3793" t="inlineStr">
        <is>
          <t>Final Product Refinement, Processing Unit, Warehouse</t>
        </is>
      </c>
      <c r="C3793" t="inlineStr">
        <is>
          <t>SGS Germany GmbH, Emstek, DE</t>
        </is>
      </c>
      <c r="D3793" t="inlineStr">
        <is>
          <t>19.05.2027</t>
        </is>
      </c>
      <c r="E3793" t="inlineStr">
        <is>
          <t>France</t>
        </is>
      </c>
    </row>
    <row r="3794">
      <c r="A3794" t="inlineStr">
        <is>
          <t>Oxea GmbH,  Oberhausen, Germany</t>
        </is>
      </c>
      <c r="B3794" t="inlineStr">
        <is>
          <t>Processing Unit</t>
        </is>
      </c>
      <c r="C3794" t="inlineStr">
        <is>
          <t>SGS Germany GmbH, Emstek, DE</t>
        </is>
      </c>
      <c r="D3794" t="inlineStr">
        <is>
          <t>19.05.2027</t>
        </is>
      </c>
      <c r="E3794" t="inlineStr">
        <is>
          <t>Germany</t>
        </is>
      </c>
    </row>
    <row r="3795">
      <c r="A3795" t="inlineStr">
        <is>
          <t>Oxea GmbH,  Marl, Germany</t>
        </is>
      </c>
      <c r="B3795" t="inlineStr">
        <is>
          <t>Processing Unit</t>
        </is>
      </c>
      <c r="C3795" t="inlineStr">
        <is>
          <t>SGS Germany GmbH, Emstek, DE</t>
        </is>
      </c>
      <c r="D3795" t="inlineStr">
        <is>
          <t>19.05.2027</t>
        </is>
      </c>
      <c r="E3795" t="inlineStr">
        <is>
          <t>Germany</t>
        </is>
      </c>
    </row>
    <row r="3796">
      <c r="A3796" t="inlineStr">
        <is>
          <t>Toray Composite Materials America, Inc.,  Moore, United States</t>
        </is>
      </c>
      <c r="B3796" t="inlineStr">
        <is>
          <t>Processing Unit</t>
        </is>
      </c>
      <c r="C3796" t="inlineStr">
        <is>
          <t>SGS Germany GmbH, Emstek, DE</t>
        </is>
      </c>
      <c r="D3796" t="inlineStr">
        <is>
          <t>19.05.2027</t>
        </is>
      </c>
      <c r="E3796" t="inlineStr">
        <is>
          <t>United States</t>
        </is>
      </c>
    </row>
    <row r="3797">
      <c r="A3797" t="inlineStr">
        <is>
          <t>Cergas Energy Limited,  Kuala Lumpur, Malaysia</t>
        </is>
      </c>
      <c r="B3797" t="inlineStr">
        <is>
          <t>Trader</t>
        </is>
      </c>
      <c r="C3797" t="inlineStr">
        <is>
          <t>SGS Germany GmbH, Emstek, DE</t>
        </is>
      </c>
      <c r="D3797" t="inlineStr">
        <is>
          <t>19.05.2027</t>
        </is>
      </c>
      <c r="E3797" t="inlineStr">
        <is>
          <t>Malaysia</t>
        </is>
      </c>
    </row>
    <row r="3798">
      <c r="A3798" t="inlineStr">
        <is>
          <t>JIANG SU PROVINCE CNPC&amp;TAFO PETROLEUM GROUP CO.,LTD,  Suzhou City，Jiangsu, China</t>
        </is>
      </c>
      <c r="B3798" t="inlineStr">
        <is>
          <t>Warehouse</t>
        </is>
      </c>
      <c r="C3798" t="inlineStr">
        <is>
          <t>SCS Global Services, Emeryville, CA, US</t>
        </is>
      </c>
      <c r="D3798" t="inlineStr">
        <is>
          <t>19.05.2027</t>
        </is>
      </c>
      <c r="E3798" t="inlineStr">
        <is>
          <t>China</t>
        </is>
      </c>
    </row>
    <row r="3799">
      <c r="A3799" t="inlineStr">
        <is>
          <t>JIANG SU PROVINCE CNPC&amp;TAFO PETROLEUM GROUP CO.,LTD,  Suzhou City，Jiangsu, China</t>
        </is>
      </c>
      <c r="B3799" t="inlineStr">
        <is>
          <t>Warehouse</t>
        </is>
      </c>
      <c r="C3799" t="inlineStr">
        <is>
          <t>SCS Global Services, Emeryville, CA, US</t>
        </is>
      </c>
      <c r="D3799" t="inlineStr">
        <is>
          <t>19.05.2027</t>
        </is>
      </c>
      <c r="E3799" t="inlineStr">
        <is>
          <t>China</t>
        </is>
      </c>
    </row>
    <row r="3800">
      <c r="A3800" t="inlineStr">
        <is>
          <t>Repsol Butano,  Gijón, Spain</t>
        </is>
      </c>
      <c r="B3800" t="inlineStr">
        <is>
          <t>Trader with Storage</t>
        </is>
      </c>
      <c r="C3800" t="inlineStr">
        <is>
          <t>Control Union Poland Sp. z o.o., Zielona Gora, PL</t>
        </is>
      </c>
      <c r="D3800" t="inlineStr">
        <is>
          <t>19.05.2027</t>
        </is>
      </c>
      <c r="E3800" t="inlineStr">
        <is>
          <t>Spain</t>
        </is>
      </c>
    </row>
    <row r="3801">
      <c r="A3801" t="inlineStr">
        <is>
          <t>FGV Refineries Sdn. Bhd.,  Kuantan, Malaysia</t>
        </is>
      </c>
      <c r="B3801" t="inlineStr">
        <is>
          <t>Point of Origin, Processing Unit</t>
        </is>
      </c>
      <c r="C3801" t="inlineStr">
        <is>
          <t>Trans Certification and Inspection Sdn Bhd, Kuantan, MY</t>
        </is>
      </c>
      <c r="D3801" t="inlineStr">
        <is>
          <t>19.05.2027</t>
        </is>
      </c>
      <c r="E3801" t="inlineStr">
        <is>
          <t>Malaysia</t>
        </is>
      </c>
    </row>
    <row r="3802">
      <c r="A3802" t="inlineStr">
        <is>
          <t>Shenzhen Ping Shan New District Biao Jie Optical Factory,  SHENZHEN, China</t>
        </is>
      </c>
      <c r="B3802" t="inlineStr">
        <is>
          <t>Final Product Refinement</t>
        </is>
      </c>
      <c r="C3802" t="inlineStr">
        <is>
          <t>Bureau Veritas Polska Sp. z o.o., Warsaw, PL</t>
        </is>
      </c>
      <c r="D3802" t="inlineStr">
        <is>
          <t>19.05.2027</t>
        </is>
      </c>
      <c r="E3802" t="inlineStr">
        <is>
          <t>China</t>
        </is>
      </c>
    </row>
    <row r="3803">
      <c r="A3803" t="inlineStr">
        <is>
          <t>BioTrace Solutions Co., Ltd.,  Mueang Samutsakhon District, Thailand</t>
        </is>
      </c>
      <c r="B3803" t="inlineStr">
        <is>
          <t>Collecting Point, Trader with Storage</t>
        </is>
      </c>
      <c r="C3803" t="inlineStr">
        <is>
          <t>Trans Certification and Inspection Sdn Bhd, Kuantan, MY</t>
        </is>
      </c>
      <c r="D3803" t="inlineStr">
        <is>
          <t>19.05.2027</t>
        </is>
      </c>
      <c r="E3803" t="inlineStr">
        <is>
          <t>Thailand</t>
        </is>
      </c>
    </row>
    <row r="3804">
      <c r="A3804" t="inlineStr">
        <is>
          <t>TFS Akaryakıt Hizmetleri Anonim Şirketi,  Arnavutköy / İstanbul, Türkiye</t>
        </is>
      </c>
      <c r="B3804" t="inlineStr">
        <is>
          <t>Trader with Storage</t>
        </is>
      </c>
      <c r="C3804" t="inlineStr">
        <is>
          <t>PT Intertek Utama Services, Jakarta, ID</t>
        </is>
      </c>
      <c r="D3804" t="inlineStr">
        <is>
          <t>19.05.2027</t>
        </is>
      </c>
      <c r="E3804" t="inlineStr">
        <is>
          <t>Türkiye</t>
        </is>
      </c>
    </row>
    <row r="3805">
      <c r="A3805" t="inlineStr">
        <is>
          <t>Global VE Trading Pte Ltd,  Singapore, Singapore</t>
        </is>
      </c>
      <c r="B3805" t="inlineStr">
        <is>
          <t>Logistics Center</t>
        </is>
      </c>
      <c r="C3805" t="inlineStr">
        <is>
          <t>CTI Certification Co. Ltd, Shenzhen, CN</t>
        </is>
      </c>
      <c r="D3805" t="inlineStr">
        <is>
          <t>19.05.2027</t>
        </is>
      </c>
      <c r="E3805" t="inlineStr">
        <is>
          <t>Singapore</t>
        </is>
      </c>
    </row>
    <row r="3806">
      <c r="A3806" t="inlineStr">
        <is>
          <t>Hongchang M&amp;T,  Jincheon-gun, South Korea</t>
        </is>
      </c>
      <c r="B3806" t="inlineStr">
        <is>
          <t>Point of Origin</t>
        </is>
      </c>
      <c r="C3806" t="inlineStr">
        <is>
          <t>BM Certification, Riga, LV</t>
        </is>
      </c>
      <c r="D3806" t="inlineStr">
        <is>
          <t>19.05.2027</t>
        </is>
      </c>
      <c r="E3806" t="inlineStr">
        <is>
          <t>South Korea</t>
        </is>
      </c>
    </row>
    <row r="3807">
      <c r="A3807" t="inlineStr">
        <is>
          <t>KELAG-Kärntner Elektrizitäts-Aktiengesellschaft,  Arnoldstein, Austria</t>
        </is>
      </c>
      <c r="B3807" t="inlineStr">
        <is>
          <t>Processing Unit, Trader</t>
        </is>
      </c>
      <c r="C3807" t="inlineStr">
        <is>
          <t>TÜV SÜD Industrie Service GmbH, München, DE</t>
        </is>
      </c>
      <c r="D3807" t="inlineStr">
        <is>
          <t>19.05.2027</t>
        </is>
      </c>
      <c r="E3807" t="inlineStr">
        <is>
          <t>Austria</t>
        </is>
      </c>
    </row>
    <row r="3808">
      <c r="A3808" t="inlineStr">
        <is>
          <t>Petróleo Brasileiro SA PETROBRAS,  Canoas, Brazil</t>
        </is>
      </c>
      <c r="B3808" t="inlineStr">
        <is>
          <t>Trader</t>
        </is>
      </c>
      <c r="C3808" t="inlineStr">
        <is>
          <t>QIMA, Centro, Botucatu - SP, CEP, BR</t>
        </is>
      </c>
      <c r="D3808" t="inlineStr">
        <is>
          <t>19.05.2027</t>
        </is>
      </c>
      <c r="E3808" t="inlineStr">
        <is>
          <t>Brazil</t>
        </is>
      </c>
    </row>
    <row r="3809">
      <c r="A3809" t="inlineStr">
        <is>
          <t>Wodan, s.r.o.,  Šaľa, Slovakia</t>
        </is>
      </c>
      <c r="B3809" t="inlineStr">
        <is>
          <t>First Gathering Point, Trader</t>
        </is>
      </c>
      <c r="C3809" t="inlineStr">
        <is>
          <t>Bureau Veritas Polska Sp. z o.o., Warsaw, PL</t>
        </is>
      </c>
      <c r="D3809" t="inlineStr">
        <is>
          <t>19.05.2027</t>
        </is>
      </c>
      <c r="E3809" t="inlineStr">
        <is>
          <t>Slovakia</t>
        </is>
      </c>
    </row>
    <row r="3810">
      <c r="A3810" t="inlineStr">
        <is>
          <t>Wodan, s.r.o.,  Šaľa, Slovakia</t>
        </is>
      </c>
      <c r="B3810" t="inlineStr">
        <is>
          <t>Trader, First Gathering Point</t>
        </is>
      </c>
      <c r="C3810" t="inlineStr">
        <is>
          <t>Bureau Veritas Polska Sp. z o.o., Warsaw, PL</t>
        </is>
      </c>
      <c r="D3810" t="inlineStr">
        <is>
          <t>19.05.2027</t>
        </is>
      </c>
      <c r="E3810" t="inlineStr">
        <is>
          <t>Slovakia</t>
        </is>
      </c>
    </row>
    <row r="3811">
      <c r="A3811" t="inlineStr">
        <is>
          <t>Henan Kaiming Oil &amp; Fat Industry Co., Ltd.,  Puyang City, China</t>
        </is>
      </c>
      <c r="B3811" t="inlineStr">
        <is>
          <t>Collecting Point, Trader with Storage</t>
        </is>
      </c>
      <c r="C3811" t="inlineStr">
        <is>
          <t>RINA Services S.p.A., Genova, IT</t>
        </is>
      </c>
      <c r="D3811" t="inlineStr">
        <is>
          <t>19.05.2027</t>
        </is>
      </c>
      <c r="E3811" t="inlineStr">
        <is>
          <t>China</t>
        </is>
      </c>
    </row>
    <row r="3812">
      <c r="A3812" t="inlineStr">
        <is>
          <t>Thai Pigeon,  T. Bangsaothong A.Bangsaothong Samutprakarn, Thailand</t>
        </is>
      </c>
      <c r="B3812" t="inlineStr">
        <is>
          <t>Processing Unit</t>
        </is>
      </c>
      <c r="C3812" t="inlineStr">
        <is>
          <t>SGS Germany GmbH, Emstek, DE</t>
        </is>
      </c>
      <c r="D3812" t="inlineStr">
        <is>
          <t>19.05.2027</t>
        </is>
      </c>
      <c r="E3812" t="inlineStr">
        <is>
          <t>Thailand</t>
        </is>
      </c>
    </row>
    <row r="3813">
      <c r="A3813" t="inlineStr">
        <is>
          <t>Carrington Atlantic (M) Sdn Bhd,  JOHOR BAHRU, Malaysia</t>
        </is>
      </c>
      <c r="B3813" t="inlineStr">
        <is>
          <t>Collecting Point, Trader with Storage</t>
        </is>
      </c>
      <c r="C3813" t="inlineStr">
        <is>
          <t>ASG Cert GmbH, Munich, DE</t>
        </is>
      </c>
      <c r="D3813" t="inlineStr">
        <is>
          <t>19.05.2027</t>
        </is>
      </c>
      <c r="E3813" t="inlineStr">
        <is>
          <t>Malaysia</t>
        </is>
      </c>
    </row>
    <row r="3814">
      <c r="A3814" t="inlineStr">
        <is>
          <t>Ace Grease Service,  Millstadt, United States</t>
        </is>
      </c>
      <c r="B3814" t="inlineStr">
        <is>
          <t>Collecting Point</t>
        </is>
      </c>
      <c r="C3814" t="inlineStr">
        <is>
          <t>SCS Global Services, Emeryville, CA, US</t>
        </is>
      </c>
      <c r="D3814" t="inlineStr">
        <is>
          <t>19.05.2027</t>
        </is>
      </c>
      <c r="E3814" t="inlineStr">
        <is>
          <t>United States</t>
        </is>
      </c>
    </row>
    <row r="3815">
      <c r="A3815" t="inlineStr">
        <is>
          <t>Ace Grease Service,  Millstadt, United States</t>
        </is>
      </c>
      <c r="B3815" t="inlineStr">
        <is>
          <t>Collecting Point</t>
        </is>
      </c>
      <c r="C3815" t="inlineStr">
        <is>
          <t>SCS Global Services, Emeryville, CA, US</t>
        </is>
      </c>
      <c r="D3815" t="inlineStr">
        <is>
          <t>19.05.2027</t>
        </is>
      </c>
      <c r="E3815" t="inlineStr">
        <is>
          <t>United States</t>
        </is>
      </c>
    </row>
    <row r="3816">
      <c r="A3816" t="inlineStr">
        <is>
          <t>AAK CAMEROON,  Garoua, Cameroon</t>
        </is>
      </c>
      <c r="B3816" t="inlineStr">
        <is>
          <t>First Gathering Point, Warehouse</t>
        </is>
      </c>
      <c r="C3816" t="inlineStr">
        <is>
          <t>SGS Germany GmbH, Emstek, DE</t>
        </is>
      </c>
      <c r="D3816" t="inlineStr">
        <is>
          <t>19.05.2027</t>
        </is>
      </c>
      <c r="E3816" t="inlineStr">
        <is>
          <t>Cameroon</t>
        </is>
      </c>
    </row>
    <row r="3817">
      <c r="A3817" t="inlineStr">
        <is>
          <t>Joinbio Co., Ltd,  Seoul, South Korea</t>
        </is>
      </c>
      <c r="B3817" t="inlineStr">
        <is>
          <t>Trader</t>
        </is>
      </c>
      <c r="C3817" t="inlineStr">
        <is>
          <t>SGS Germany GmbH, Emstek, DE</t>
        </is>
      </c>
      <c r="D3817" t="inlineStr">
        <is>
          <t>19.05.2027</t>
        </is>
      </c>
      <c r="E3817" t="inlineStr">
        <is>
          <t>South Korea</t>
        </is>
      </c>
    </row>
    <row r="3818">
      <c r="A3818" t="inlineStr">
        <is>
          <t>Joinbio Co., Ltd,  Seoul, South Korea</t>
        </is>
      </c>
      <c r="B3818" t="inlineStr">
        <is>
          <t>Trader</t>
        </is>
      </c>
      <c r="C3818" t="inlineStr">
        <is>
          <t>SGS Germany GmbH, Emstek, DE</t>
        </is>
      </c>
      <c r="D3818" t="inlineStr">
        <is>
          <t>19.05.2027</t>
        </is>
      </c>
      <c r="E3818" t="inlineStr">
        <is>
          <t>South Korea</t>
        </is>
      </c>
    </row>
    <row r="3819">
      <c r="A3819" t="inlineStr">
        <is>
          <t>The Bryce Company, LLC,  Searcy, United States</t>
        </is>
      </c>
      <c r="B3819" t="inlineStr">
        <is>
          <t>Processing Unit</t>
        </is>
      </c>
      <c r="C3819" t="inlineStr">
        <is>
          <t>SCS Global Services, Emeryville, CA, US</t>
        </is>
      </c>
      <c r="D3819" t="inlineStr">
        <is>
          <t>18.05.2027</t>
        </is>
      </c>
      <c r="E3819" t="inlineStr">
        <is>
          <t>United States</t>
        </is>
      </c>
    </row>
    <row r="3820">
      <c r="A3820" t="inlineStr">
        <is>
          <t>SEP - SOSTENIBILITA' ECOLOGIA PRODUZIONE SRL,  LONGARONE, Italy</t>
        </is>
      </c>
      <c r="B3820" t="inlineStr">
        <is>
          <t>Collecting Point, First Gathering Point, Trader</t>
        </is>
      </c>
      <c r="C3820" t="inlineStr">
        <is>
          <t>SGS Germany GmbH, Emstek, DE</t>
        </is>
      </c>
      <c r="D3820" t="inlineStr">
        <is>
          <t>18.05.2027</t>
        </is>
      </c>
      <c r="E3820" t="inlineStr">
        <is>
          <t>Italy</t>
        </is>
      </c>
    </row>
    <row r="3821">
      <c r="A3821" t="inlineStr">
        <is>
          <t>TRANSPORTE STEINER GMBH,  VALDAORA, Italy</t>
        </is>
      </c>
      <c r="B3821" t="inlineStr">
        <is>
          <t>Collecting Point, First Gathering Point, Processing Unit, Trader with Storage</t>
        </is>
      </c>
      <c r="C3821" t="inlineStr">
        <is>
          <t>SGS Germany GmbH, Emstek, DE</t>
        </is>
      </c>
      <c r="D3821" t="inlineStr">
        <is>
          <t>18.05.2027</t>
        </is>
      </c>
      <c r="E3821" t="inlineStr">
        <is>
          <t>Italy</t>
        </is>
      </c>
    </row>
    <row r="3822">
      <c r="A3822" t="inlineStr">
        <is>
          <t>Neste Oyj,  Kulloo, Finland</t>
        </is>
      </c>
      <c r="B3822" t="inlineStr">
        <is>
          <t>Processing Unit</t>
        </is>
      </c>
      <c r="C3822" t="inlineStr">
        <is>
          <t>SGS Germany GmbH, Emstek, DE</t>
        </is>
      </c>
      <c r="D3822" t="inlineStr">
        <is>
          <t>18.05.2027</t>
        </is>
      </c>
      <c r="E3822" t="inlineStr">
        <is>
          <t>Finland</t>
        </is>
      </c>
    </row>
    <row r="3823">
      <c r="A3823" t="inlineStr">
        <is>
          <t>Fluxel SAS,  Lavéra, France</t>
        </is>
      </c>
      <c r="B3823" t="inlineStr">
        <is>
          <t>Point of Origin</t>
        </is>
      </c>
      <c r="C3823" t="inlineStr">
        <is>
          <t>Control Union Certifications Germany GmbH, Berlin, DE</t>
        </is>
      </c>
      <c r="D3823" t="inlineStr">
        <is>
          <t>18.05.2027</t>
        </is>
      </c>
      <c r="E3823" t="inlineStr">
        <is>
          <t>France</t>
        </is>
      </c>
    </row>
    <row r="3824">
      <c r="A3824" t="inlineStr">
        <is>
          <t>Terremerse Soc. Coop.,  Bagnacavallo, Italy</t>
        </is>
      </c>
      <c r="B3824" t="inlineStr">
        <is>
          <t>First Gathering Point</t>
        </is>
      </c>
      <c r="C3824" t="inlineStr">
        <is>
          <t>RINA Services S.p.A., Genova, IT</t>
        </is>
      </c>
      <c r="D3824" t="inlineStr">
        <is>
          <t>18.05.2027</t>
        </is>
      </c>
      <c r="E3824" t="inlineStr">
        <is>
          <t>Italy</t>
        </is>
      </c>
    </row>
    <row r="3825">
      <c r="A3825" t="inlineStr">
        <is>
          <t>Gammaplast S.r.l.,  Brugnera, Italy</t>
        </is>
      </c>
      <c r="B3825" t="inlineStr">
        <is>
          <t>Processing Unit</t>
        </is>
      </c>
      <c r="C3825" t="inlineStr">
        <is>
          <t>ICIM SpA, sesto san giovanni, IT</t>
        </is>
      </c>
      <c r="D3825" t="inlineStr">
        <is>
          <t>18.05.2027</t>
        </is>
      </c>
      <c r="E3825" t="inlineStr">
        <is>
          <t>Italy</t>
        </is>
      </c>
    </row>
    <row r="3826">
      <c r="A3826" t="inlineStr">
        <is>
          <t>Shandong Shengquan New Materials Co., LTD,  Jinan City, China</t>
        </is>
      </c>
      <c r="B3826" t="inlineStr">
        <is>
          <t>Processing Unit</t>
        </is>
      </c>
      <c r="C3826" t="inlineStr">
        <is>
          <t>Bureau Veritas Polska Sp. z o.o., Warsaw, PL</t>
        </is>
      </c>
      <c r="D3826" t="inlineStr">
        <is>
          <t>18.05.2027</t>
        </is>
      </c>
      <c r="E3826" t="inlineStr">
        <is>
          <t>China</t>
        </is>
      </c>
    </row>
    <row r="3827">
      <c r="A3827" t="inlineStr">
        <is>
          <t>Neste Oyj,  Kulloo, Finland</t>
        </is>
      </c>
      <c r="B3827" t="inlineStr">
        <is>
          <t>Processing Unit</t>
        </is>
      </c>
      <c r="C3827" t="inlineStr">
        <is>
          <t>SGS Germany GmbH, Emstek, DE</t>
        </is>
      </c>
      <c r="D3827" t="inlineStr">
        <is>
          <t>18.05.2027</t>
        </is>
      </c>
      <c r="E3827" t="inlineStr">
        <is>
          <t>Finland</t>
        </is>
      </c>
    </row>
    <row r="3828">
      <c r="A3828" t="inlineStr">
        <is>
          <t>MOLTECH GLOBAL (INDIA) PRIVATE LIMITED,  Chennai, India</t>
        </is>
      </c>
      <c r="B3828" t="inlineStr">
        <is>
          <t>Collecting Point, Trader with Storage</t>
        </is>
      </c>
      <c r="C3828" t="inlineStr">
        <is>
          <t>PT Mutuagung Lestari, Depok, ID</t>
        </is>
      </c>
      <c r="D3828" t="inlineStr">
        <is>
          <t>18.05.2027</t>
        </is>
      </c>
      <c r="E3828" t="inlineStr">
        <is>
          <t>India</t>
        </is>
      </c>
    </row>
    <row r="3829">
      <c r="A3829" t="inlineStr">
        <is>
          <t>Duranta energy services ltd,  Hartlepool, United Kingdom</t>
        </is>
      </c>
      <c r="B3829" t="inlineStr">
        <is>
          <t>Collecting Point, Processing Unit</t>
        </is>
      </c>
      <c r="C3829" t="inlineStr">
        <is>
          <t>Aardvark Certification Ltd, Wiveliscombe, Somerset, GB</t>
        </is>
      </c>
      <c r="D3829" t="inlineStr">
        <is>
          <t>18.05.2027</t>
        </is>
      </c>
      <c r="E3829" t="inlineStr">
        <is>
          <t>United Kingdom</t>
        </is>
      </c>
    </row>
    <row r="3830">
      <c r="A3830" t="inlineStr">
        <is>
          <t>Roberts Mart &amp; Co Ltd,  Leeds, United Kingdom</t>
        </is>
      </c>
      <c r="B3830" t="inlineStr">
        <is>
          <t>Processing Unit</t>
        </is>
      </c>
      <c r="C3830" t="inlineStr">
        <is>
          <t>Aardvark Certification Ltd, Wiveliscombe, Somerset, GB</t>
        </is>
      </c>
      <c r="D3830" t="inlineStr">
        <is>
          <t>18.05.2027</t>
        </is>
      </c>
      <c r="E3830" t="inlineStr">
        <is>
          <t>United Kingdom</t>
        </is>
      </c>
    </row>
    <row r="3831">
      <c r="A3831" t="inlineStr">
        <is>
          <t>Inpasa del Paraguay S.A.,  Guayaibi / Dpto. San Pedro, PY, Paraguay</t>
        </is>
      </c>
      <c r="B3831" t="inlineStr">
        <is>
          <t>Collecting Point, Point of Origin, Processing Unit, Trader with Storage</t>
        </is>
      </c>
      <c r="C3831" t="inlineStr">
        <is>
          <t>Control Union Poland Sp. z o.o., Zielona Gora, PL</t>
        </is>
      </c>
      <c r="D3831" t="inlineStr">
        <is>
          <t>18.05.2027</t>
        </is>
      </c>
      <c r="E3831" t="inlineStr">
        <is>
          <t>Paraguay</t>
        </is>
      </c>
    </row>
    <row r="3832">
      <c r="A3832" t="inlineStr">
        <is>
          <t>Sovena Oilseeds Portugal, S.A.,  Almada, Palença de Baixo, Portugal</t>
        </is>
      </c>
      <c r="B3832" t="inlineStr">
        <is>
          <t>Processing Unit</t>
        </is>
      </c>
      <c r="C3832" t="inlineStr">
        <is>
          <t>Control Union Poland Sp. z o.o., Zielona Gora, PL</t>
        </is>
      </c>
      <c r="D3832" t="inlineStr">
        <is>
          <t>18.05.2027</t>
        </is>
      </c>
      <c r="E3832" t="inlineStr">
        <is>
          <t>Portugal</t>
        </is>
      </c>
    </row>
    <row r="3833">
      <c r="A3833" t="inlineStr">
        <is>
          <t>Superform Chemistries Limited,  Ta.: Jhagadia, Dist.: Bharuch, India</t>
        </is>
      </c>
      <c r="B3833" t="inlineStr">
        <is>
          <t>Processing Unit</t>
        </is>
      </c>
      <c r="C3833" t="inlineStr">
        <is>
          <t>Cotecna India Inspection Pvt Ltd, Kolkata, IN</t>
        </is>
      </c>
      <c r="D3833" t="inlineStr">
        <is>
          <t>18.05.2027</t>
        </is>
      </c>
      <c r="E3833" t="inlineStr">
        <is>
          <t>India</t>
        </is>
      </c>
    </row>
    <row r="3834">
      <c r="A3834" t="inlineStr">
        <is>
          <t>Superform Chemistries Limited,  Ta.: Vagra, Dist.: Bharuch, India</t>
        </is>
      </c>
      <c r="B3834" t="inlineStr">
        <is>
          <t>Processing Unit</t>
        </is>
      </c>
      <c r="C3834" t="inlineStr">
        <is>
          <t>Cotecna India Inspection Pvt Ltd, Kolkata, IN</t>
        </is>
      </c>
      <c r="D3834" t="inlineStr">
        <is>
          <t>18.05.2027</t>
        </is>
      </c>
      <c r="E3834" t="inlineStr">
        <is>
          <t>India</t>
        </is>
      </c>
    </row>
    <row r="3835">
      <c r="A3835" t="inlineStr">
        <is>
          <t>Jiangxi Zunchuang New Energy Co.,Ltd,  Shangrao City, Jiangxi Province, China</t>
        </is>
      </c>
      <c r="B3835" t="inlineStr">
        <is>
          <t>Processing Unit, Trader with Storage</t>
        </is>
      </c>
      <c r="C3835" t="inlineStr">
        <is>
          <t>RINA Services S.p.A., Genova, IT</t>
        </is>
      </c>
      <c r="D3835" t="inlineStr">
        <is>
          <t>18.05.2027</t>
        </is>
      </c>
      <c r="E3835" t="inlineStr">
        <is>
          <t>China</t>
        </is>
      </c>
    </row>
    <row r="3836">
      <c r="A3836" t="inlineStr">
        <is>
          <t>Qi County Luoouwang Oil Co.,Ltd,  Kaifeng City, Henan Province, China</t>
        </is>
      </c>
      <c r="B3836" t="inlineStr">
        <is>
          <t>Collecting Point, Trader, Processing Unit</t>
        </is>
      </c>
      <c r="C3836" t="inlineStr">
        <is>
          <t>SCS Global Services, Emeryville, CA, US</t>
        </is>
      </c>
      <c r="D3836" t="inlineStr">
        <is>
          <t>18.05.2027</t>
        </is>
      </c>
      <c r="E3836" t="inlineStr">
        <is>
          <t>China</t>
        </is>
      </c>
    </row>
    <row r="3837">
      <c r="A3837" t="inlineStr">
        <is>
          <t>Fatty Chem By-Products,  Los Fresnos, United States</t>
        </is>
      </c>
      <c r="B3837" t="inlineStr">
        <is>
          <t>Collecting Point</t>
        </is>
      </c>
      <c r="C3837" t="inlineStr">
        <is>
          <t>SCS Global Services, Emeryville, CA, US</t>
        </is>
      </c>
      <c r="D3837" t="inlineStr">
        <is>
          <t>18.05.2027</t>
        </is>
      </c>
      <c r="E3837" t="inlineStr">
        <is>
          <t>United States</t>
        </is>
      </c>
    </row>
    <row r="3838">
      <c r="A3838" t="inlineStr">
        <is>
          <t>Sovena Oilseeds Portugal, S.A.,  Almada, Palença de Baixo, Portugal</t>
        </is>
      </c>
      <c r="B3838" t="inlineStr">
        <is>
          <t>Processing Unit, Trader with Storage, Warehouse</t>
        </is>
      </c>
      <c r="C3838" t="inlineStr">
        <is>
          <t>Control Union Poland Sp. z o.o., Zielona Gora, PL</t>
        </is>
      </c>
      <c r="D3838" t="inlineStr">
        <is>
          <t>18.05.2027</t>
        </is>
      </c>
      <c r="E3838" t="inlineStr">
        <is>
          <t>Portugal</t>
        </is>
      </c>
    </row>
    <row r="3839">
      <c r="A3839" t="inlineStr">
        <is>
          <t>G&amp;F Service LLC,  Misato-shi, Saitama Ken, Japan</t>
        </is>
      </c>
      <c r="B3839" t="inlineStr">
        <is>
          <t>Collecting Point</t>
        </is>
      </c>
      <c r="C3839" t="inlineStr">
        <is>
          <t>Control Union Certifications Germany GmbH, Berlin, DE</t>
        </is>
      </c>
      <c r="D3839" t="inlineStr">
        <is>
          <t>18.05.2027</t>
        </is>
      </c>
      <c r="E3839" t="inlineStr">
        <is>
          <t>Japan</t>
        </is>
      </c>
    </row>
    <row r="3840">
      <c r="A3840" t="inlineStr">
        <is>
          <t>Printpack,  Newport News, VA, United States</t>
        </is>
      </c>
      <c r="B3840" t="inlineStr">
        <is>
          <t>Processing Unit</t>
        </is>
      </c>
      <c r="C3840" t="inlineStr">
        <is>
          <t>SCS Global Services, Emeryville, CA, US</t>
        </is>
      </c>
      <c r="D3840" t="inlineStr">
        <is>
          <t>18.05.2027</t>
        </is>
      </c>
      <c r="E3840" t="inlineStr">
        <is>
          <t>United States</t>
        </is>
      </c>
    </row>
    <row r="3841">
      <c r="A3841" t="inlineStr">
        <is>
          <t>deSter bv,  Hoogstraten, Belgium</t>
        </is>
      </c>
      <c r="B3841" t="inlineStr">
        <is>
          <t>Processing Unit, Final Product Refinement</t>
        </is>
      </c>
      <c r="C3841" t="inlineStr">
        <is>
          <t>Normec QS BV, Ede, NL</t>
        </is>
      </c>
      <c r="D3841" t="inlineStr">
        <is>
          <t>18.05.2027</t>
        </is>
      </c>
      <c r="E3841" t="inlineStr">
        <is>
          <t>Belgium</t>
        </is>
      </c>
    </row>
    <row r="3842">
      <c r="A3842" t="inlineStr">
        <is>
          <t>COEXPAN FRANCE,  Beaucouzé, France</t>
        </is>
      </c>
      <c r="B3842" t="inlineStr">
        <is>
          <t>Processing Unit</t>
        </is>
      </c>
      <c r="C3842" t="inlineStr">
        <is>
          <t>SGS Germany GmbH, Emstek, DE</t>
        </is>
      </c>
      <c r="D3842" t="inlineStr">
        <is>
          <t>18.05.2027</t>
        </is>
      </c>
      <c r="E3842" t="inlineStr">
        <is>
          <t>France</t>
        </is>
      </c>
    </row>
    <row r="3843">
      <c r="A3843" t="inlineStr">
        <is>
          <t>Sasmita Bumi Wijaya,  Desa Binjai Kedakas, Kec Tayan Hulu, Kab Sanggau, Indonesia</t>
        </is>
      </c>
      <c r="B3843" t="inlineStr">
        <is>
          <t>Point of Origin</t>
        </is>
      </c>
      <c r="C3843" t="inlineStr">
        <is>
          <t>PT. Qualitas Sertifikasi Indonesia, Jakarta, ID</t>
        </is>
      </c>
      <c r="D3843" t="inlineStr">
        <is>
          <t>18.05.2027</t>
        </is>
      </c>
      <c r="E3843" t="inlineStr">
        <is>
          <t>Indonesia</t>
        </is>
      </c>
    </row>
    <row r="3844">
      <c r="A3844" t="inlineStr">
        <is>
          <t>Sasmita Bumi Wijaya,  Desa Kredakas, Kec Tayan Hulu, Kab Sanggau, Indonesia</t>
        </is>
      </c>
      <c r="B3844" t="inlineStr">
        <is>
          <t>Point of Origin</t>
        </is>
      </c>
      <c r="C3844" t="inlineStr">
        <is>
          <t>PT. Qualitas Sertifikasi Indonesia, Jakarta, ID</t>
        </is>
      </c>
      <c r="D3844" t="inlineStr">
        <is>
          <t>18.05.2027</t>
        </is>
      </c>
      <c r="E3844" t="inlineStr">
        <is>
          <t>Indonesia</t>
        </is>
      </c>
    </row>
    <row r="3845">
      <c r="A3845" t="inlineStr">
        <is>
          <t>SOYA MILLS SA,  KORINTHOS, Greece</t>
        </is>
      </c>
      <c r="B3845" t="inlineStr">
        <is>
          <t>Processing Unit, Trader with Storage</t>
        </is>
      </c>
      <c r="C3845" t="inlineStr">
        <is>
          <t>Business Quality Verification Testing and Certification Services P.C. (BQV), Marousi, Athens, GR</t>
        </is>
      </c>
      <c r="D3845" t="inlineStr">
        <is>
          <t>18.05.2027</t>
        </is>
      </c>
      <c r="E3845" t="inlineStr">
        <is>
          <t>Greece</t>
        </is>
      </c>
    </row>
    <row r="3846">
      <c r="A3846" t="inlineStr">
        <is>
          <t>GREENKASHI BIO ENERGY PRIVATE LIMITED,  Mirzapur, India</t>
        </is>
      </c>
      <c r="B3846" t="inlineStr">
        <is>
          <t>Collecting Point, Processing Unit</t>
        </is>
      </c>
      <c r="C3846" t="inlineStr">
        <is>
          <t>SGS Germany GmbH, Emstek, DE</t>
        </is>
      </c>
      <c r="D3846" t="inlineStr">
        <is>
          <t>18.05.2027</t>
        </is>
      </c>
      <c r="E3846" t="inlineStr">
        <is>
          <t>India</t>
        </is>
      </c>
    </row>
    <row r="3847">
      <c r="A3847" t="inlineStr">
        <is>
          <t>SOYA MILLS SA,  Chrysoxori, Kavala, Greece</t>
        </is>
      </c>
      <c r="B3847" t="inlineStr">
        <is>
          <t>First Gathering Point</t>
        </is>
      </c>
      <c r="C3847" t="inlineStr">
        <is>
          <t>Business Quality Verification Testing and Certification Services P.C. (BQV), Marousi, Athens, GR</t>
        </is>
      </c>
      <c r="D3847" t="inlineStr">
        <is>
          <t>18.05.2027</t>
        </is>
      </c>
      <c r="E3847" t="inlineStr">
        <is>
          <t>Greece</t>
        </is>
      </c>
    </row>
    <row r="3848">
      <c r="A3848" t="inlineStr">
        <is>
          <t>El Mazraa,  Nabeul, Tunisia</t>
        </is>
      </c>
      <c r="B3848" t="inlineStr">
        <is>
          <t>Point of Origin</t>
        </is>
      </c>
      <c r="C3848" t="inlineStr">
        <is>
          <t>Amspec Iberia SL, Vilagarcia de Arousa-Pontevedra, ES</t>
        </is>
      </c>
      <c r="D3848" t="inlineStr">
        <is>
          <t>18.05.2027</t>
        </is>
      </c>
      <c r="E3848" t="inlineStr">
        <is>
          <t>Tunisia</t>
        </is>
      </c>
    </row>
    <row r="3849">
      <c r="A3849" t="inlineStr">
        <is>
          <t>Neste Oyj,  Espoo, Finland</t>
        </is>
      </c>
      <c r="B3849" t="inlineStr">
        <is>
          <t>Proof of Compliance Trader, Trader with Storage</t>
        </is>
      </c>
      <c r="C3849" t="inlineStr">
        <is>
          <t>SGS Germany GmbH, Emstek, DE</t>
        </is>
      </c>
      <c r="D3849" t="inlineStr">
        <is>
          <t>18.05.2027</t>
        </is>
      </c>
      <c r="E3849" t="inlineStr">
        <is>
          <t>Finland</t>
        </is>
      </c>
    </row>
    <row r="3850">
      <c r="A3850" t="inlineStr">
        <is>
          <t>PRINX CHENGSHAN(SHANDONG)TIRE CO., LTD.,  Rongcheng City, China</t>
        </is>
      </c>
      <c r="B3850" t="inlineStr">
        <is>
          <t>Processing Unit</t>
        </is>
      </c>
      <c r="C3850" t="inlineStr">
        <is>
          <t>SGS Germany GmbH, Emstek, DE</t>
        </is>
      </c>
      <c r="D3850" t="inlineStr">
        <is>
          <t>18.05.2027</t>
        </is>
      </c>
      <c r="E3850" t="inlineStr">
        <is>
          <t>China</t>
        </is>
      </c>
    </row>
    <row r="3851">
      <c r="A3851" t="inlineStr">
        <is>
          <t>Neste Oyj,  Espoo, Finland</t>
        </is>
      </c>
      <c r="B3851" t="inlineStr">
        <is>
          <t>Trader with Storage</t>
        </is>
      </c>
      <c r="C3851" t="inlineStr">
        <is>
          <t>SGS Germany GmbH, Emstek, DE</t>
        </is>
      </c>
      <c r="D3851" t="inlineStr">
        <is>
          <t>18.05.2027</t>
        </is>
      </c>
      <c r="E3851" t="inlineStr">
        <is>
          <t>Finland</t>
        </is>
      </c>
    </row>
    <row r="3852">
      <c r="A3852" t="inlineStr">
        <is>
          <t>BIOTEC,  Emmerich, Germany</t>
        </is>
      </c>
      <c r="B3852" t="inlineStr">
        <is>
          <t>Processing Unit</t>
        </is>
      </c>
      <c r="C3852" t="inlineStr">
        <is>
          <t>SGS Germany GmbH, Emstek, DE</t>
        </is>
      </c>
      <c r="D3852" t="inlineStr">
        <is>
          <t>18.05.2027</t>
        </is>
      </c>
      <c r="E3852" t="inlineStr">
        <is>
          <t>Germany</t>
        </is>
      </c>
    </row>
    <row r="3853">
      <c r="A3853" t="inlineStr">
        <is>
          <t>Verpa Folie Weidhausen,  Gunzenhausen, Germany</t>
        </is>
      </c>
      <c r="B3853" t="inlineStr">
        <is>
          <t>Processing Unit, Warehouse</t>
        </is>
      </c>
      <c r="C3853" t="inlineStr">
        <is>
          <t>GUT Certifizierungsgesellschaft für Managementsysteme mbH Umweltgutachter, Berlin, DE</t>
        </is>
      </c>
      <c r="D3853" t="inlineStr">
        <is>
          <t>18.05.2027</t>
        </is>
      </c>
      <c r="E3853" t="inlineStr">
        <is>
          <t>Germany</t>
        </is>
      </c>
    </row>
    <row r="3854">
      <c r="A3854" t="inlineStr">
        <is>
          <t>Verpa Folie Weidhausen,  Weidhausen, Germany</t>
        </is>
      </c>
      <c r="B3854" t="inlineStr">
        <is>
          <t>Trader with Storage</t>
        </is>
      </c>
      <c r="C3854" t="inlineStr">
        <is>
          <t>GUT Certifizierungsgesellschaft für Managementsysteme mbH Umweltgutachter, Berlin, DE</t>
        </is>
      </c>
      <c r="D3854" t="inlineStr">
        <is>
          <t>18.05.2027</t>
        </is>
      </c>
      <c r="E3854" t="inlineStr">
        <is>
          <t>Germany</t>
        </is>
      </c>
    </row>
    <row r="3855">
      <c r="A3855" t="inlineStr">
        <is>
          <t>Vallois Energy Limited,  Kwun Tong,, Hong Kong, SAR, China</t>
        </is>
      </c>
      <c r="B3855" t="inlineStr">
        <is>
          <t>Trader</t>
        </is>
      </c>
      <c r="C3855" t="inlineStr">
        <is>
          <t>China Standard Conformity Assessment Co. Ltd, Beijing, CN</t>
        </is>
      </c>
      <c r="D3855" t="inlineStr">
        <is>
          <t>18.05.2027</t>
        </is>
      </c>
      <c r="E3855" t="inlineStr">
        <is>
          <t>China</t>
        </is>
      </c>
    </row>
    <row r="3856">
      <c r="A3856" t="inlineStr">
        <is>
          <t>Antonovskiy Meatplant LLC,  Kyiv reg., Ukraine</t>
        </is>
      </c>
      <c r="B3856" t="inlineStr">
        <is>
          <t>Point of Origin</t>
        </is>
      </c>
      <c r="C3856" t="inlineStr">
        <is>
          <t>Organic Standard Ltd, Kyiv, UA</t>
        </is>
      </c>
      <c r="D3856" t="inlineStr">
        <is>
          <t>18.05.2027</t>
        </is>
      </c>
      <c r="E3856" t="inlineStr">
        <is>
          <t>Ukraine</t>
        </is>
      </c>
    </row>
    <row r="3857">
      <c r="A3857" t="inlineStr">
        <is>
          <t>KEYHINGE TOYS VIETNAM JOINT STOCK COMPANY,  Da Nang, Vietnam</t>
        </is>
      </c>
      <c r="B3857" t="inlineStr">
        <is>
          <t>Final Product Refinement, Processing Unit</t>
        </is>
      </c>
      <c r="C3857" t="inlineStr">
        <is>
          <t>Bureau Veritas Consumer Products Services, Inc., Buffalo, NY, US</t>
        </is>
      </c>
      <c r="D3857" t="inlineStr">
        <is>
          <t>18.05.2027</t>
        </is>
      </c>
      <c r="E3857" t="inlineStr">
        <is>
          <t>Vietnam</t>
        </is>
      </c>
    </row>
    <row r="3858">
      <c r="A3858" t="inlineStr">
        <is>
          <t>"NIBULON AGRO" LLC,  Mykolaiv Region, Mykolaiv, Ukraine</t>
        </is>
      </c>
      <c r="B3858" t="inlineStr">
        <is>
          <t>Farm / Plantation</t>
        </is>
      </c>
      <c r="C3858" t="inlineStr">
        <is>
          <t>Aciter Genelab LLC, Odessa, UA</t>
        </is>
      </c>
      <c r="D3858" t="inlineStr">
        <is>
          <t>18.05.2027</t>
        </is>
      </c>
      <c r="E3858" t="inlineStr">
        <is>
          <t>Ukraine</t>
        </is>
      </c>
    </row>
    <row r="3859">
      <c r="A3859" t="inlineStr">
        <is>
          <t>LLC "Vinnytska Ptakhofabryka",  Ladyzhyn, Ukraine</t>
        </is>
      </c>
      <c r="B3859" t="inlineStr">
        <is>
          <t>First Gathering Point, Point of Origin, Processing Unit, Trader with Storage</t>
        </is>
      </c>
      <c r="C3859" t="inlineStr">
        <is>
          <t>Aciter Genelab LLC, Odessa, UA</t>
        </is>
      </c>
      <c r="D3859" t="inlineStr">
        <is>
          <t>18.05.2027</t>
        </is>
      </c>
      <c r="E3859" t="inlineStr">
        <is>
          <t>Ukraine</t>
        </is>
      </c>
    </row>
    <row r="3860">
      <c r="A3860" t="inlineStr">
        <is>
          <t>LLC "Vinnytska Ptakhofabryka",  Ladyzhyn, Ukraine</t>
        </is>
      </c>
      <c r="B3860" t="inlineStr">
        <is>
          <t>First Gathering Point, Point of Origin, Processing Unit, Trader with Storage</t>
        </is>
      </c>
      <c r="C3860" t="inlineStr">
        <is>
          <t>Apex Genelab LLC, Odessa, UA</t>
        </is>
      </c>
      <c r="D3860" t="inlineStr">
        <is>
          <t>18.05.2027</t>
        </is>
      </c>
      <c r="E3860" t="inlineStr">
        <is>
          <t>Ukraine</t>
        </is>
      </c>
    </row>
    <row r="3861">
      <c r="A3861" t="inlineStr">
        <is>
          <t>Auco Energy Ltd,  Ingatestone, Essex, United Kingdom</t>
        </is>
      </c>
      <c r="B3861" t="inlineStr">
        <is>
          <t>Collecting Point, Trader</t>
        </is>
      </c>
      <c r="C3861" t="inlineStr">
        <is>
          <t>SGS Germany GmbH, Emstek, DE</t>
        </is>
      </c>
      <c r="D3861" t="inlineStr">
        <is>
          <t>18.05.2027</t>
        </is>
      </c>
      <c r="E3861" t="inlineStr">
        <is>
          <t>United Kingdom</t>
        </is>
      </c>
    </row>
    <row r="3862">
      <c r="A3862" t="inlineStr">
        <is>
          <t>ROB CONSTRUCT SRL,  Valea Larga, Romania</t>
        </is>
      </c>
      <c r="B3862" t="inlineStr">
        <is>
          <t>First Gathering Point</t>
        </is>
      </c>
      <c r="C3862" t="inlineStr">
        <is>
          <t>SRAC Cert SRL, Bucharest, RO</t>
        </is>
      </c>
      <c r="D3862" t="inlineStr">
        <is>
          <t>18.05.2027</t>
        </is>
      </c>
      <c r="E3862" t="inlineStr">
        <is>
          <t>Romania</t>
        </is>
      </c>
    </row>
    <row r="3863">
      <c r="A3863" t="inlineStr">
        <is>
          <t>NELANC MASTER CEREAL SRL,  Arad, Romania</t>
        </is>
      </c>
      <c r="B3863" t="inlineStr">
        <is>
          <t>First Gathering Point</t>
        </is>
      </c>
      <c r="C3863" t="inlineStr">
        <is>
          <t>SRAC Cert SRL, Bucharest, RO</t>
        </is>
      </c>
      <c r="D3863" t="inlineStr">
        <is>
          <t>18.05.2027</t>
        </is>
      </c>
      <c r="E3863" t="inlineStr">
        <is>
          <t>Romania</t>
        </is>
      </c>
    </row>
    <row r="3864">
      <c r="A3864" t="inlineStr">
        <is>
          <t>Blue Ocean Hub,  Lardprao DIstrict, Thailand</t>
        </is>
      </c>
      <c r="B3864" t="inlineStr">
        <is>
          <t>Trader with Storage</t>
        </is>
      </c>
      <c r="C3864" t="inlineStr">
        <is>
          <t>Control Union Poland Sp. z o.o., Zielona Gora, PL</t>
        </is>
      </c>
      <c r="D3864" t="inlineStr">
        <is>
          <t>17.05.2027</t>
        </is>
      </c>
      <c r="E3864" t="inlineStr">
        <is>
          <t>Thailand</t>
        </is>
      </c>
    </row>
    <row r="3865">
      <c r="A3865" t="inlineStr">
        <is>
          <t>CHANG CHUN PLASTICS CO., LTD.,  Hsinchu County , Hukou Township, Taiwan</t>
        </is>
      </c>
      <c r="B3865" t="inlineStr">
        <is>
          <t>Processing Unit</t>
        </is>
      </c>
      <c r="C3865" t="inlineStr">
        <is>
          <t>Bureau Veritas Polska Sp. z o.o., Warsaw, PL</t>
        </is>
      </c>
      <c r="D3865" t="inlineStr">
        <is>
          <t>17.05.2027</t>
        </is>
      </c>
      <c r="E3865" t="inlineStr">
        <is>
          <t>Taiwan</t>
        </is>
      </c>
    </row>
    <row r="3866">
      <c r="A3866" t="inlineStr">
        <is>
          <t>Manufacturas Inplast, S.A.,  Aspe, Spain</t>
        </is>
      </c>
      <c r="B3866" t="inlineStr">
        <is>
          <t>Processing Unit</t>
        </is>
      </c>
      <c r="C3866" t="inlineStr">
        <is>
          <t>DNV Business Assurance Sweden AB, Solna, SE</t>
        </is>
      </c>
      <c r="D3866" t="inlineStr">
        <is>
          <t>17.05.2027</t>
        </is>
      </c>
      <c r="E3866" t="inlineStr">
        <is>
          <t>Spain</t>
        </is>
      </c>
    </row>
    <row r="3867">
      <c r="A3867" t="inlineStr">
        <is>
          <t>Johor Plantations Group Berhad,  Segamat, Malaysia</t>
        </is>
      </c>
      <c r="B3867" t="inlineStr">
        <is>
          <t>Point of Origin</t>
        </is>
      </c>
      <c r="C3867" t="inlineStr">
        <is>
          <t>ASG Cert GmbH, Munich, DE</t>
        </is>
      </c>
      <c r="D3867" t="inlineStr">
        <is>
          <t>17.05.2027</t>
        </is>
      </c>
      <c r="E3867" t="inlineStr">
        <is>
          <t>Malaysia</t>
        </is>
      </c>
    </row>
    <row r="3868">
      <c r="A3868" t="inlineStr">
        <is>
          <t>Johor Plantations Group Berhad,  Segamat, Malaysia</t>
        </is>
      </c>
      <c r="B3868" t="inlineStr">
        <is>
          <t>Point of Origin</t>
        </is>
      </c>
      <c r="C3868" t="inlineStr">
        <is>
          <t>ASG Cert GmbH, Munich, DE</t>
        </is>
      </c>
      <c r="D3868" t="inlineStr">
        <is>
          <t>17.05.2027</t>
        </is>
      </c>
      <c r="E3868" t="inlineStr">
        <is>
          <t>Malaysia</t>
        </is>
      </c>
    </row>
    <row r="3869">
      <c r="A3869" t="inlineStr">
        <is>
          <t>Hirsch France,  Guipry, France</t>
        </is>
      </c>
      <c r="B3869" t="inlineStr">
        <is>
          <t>Processing Unit</t>
        </is>
      </c>
      <c r="C3869" t="inlineStr">
        <is>
          <t>Bureau Veritas Polska Sp. z o.o., Warsaw, PL</t>
        </is>
      </c>
      <c r="D3869" t="inlineStr">
        <is>
          <t>17.05.2027</t>
        </is>
      </c>
      <c r="E3869" t="inlineStr">
        <is>
          <t>France</t>
        </is>
      </c>
    </row>
    <row r="3870">
      <c r="A3870" t="inlineStr">
        <is>
          <t>Bridgestone Americas,  Wilson, NC, United States</t>
        </is>
      </c>
      <c r="B3870" t="inlineStr">
        <is>
          <t>Processing Unit</t>
        </is>
      </c>
      <c r="C3870" t="inlineStr">
        <is>
          <t>SCS Global Services, Emeryville, CA, US</t>
        </is>
      </c>
      <c r="D3870" t="inlineStr">
        <is>
          <t>17.05.2027</t>
        </is>
      </c>
      <c r="E3870" t="inlineStr">
        <is>
          <t>United States</t>
        </is>
      </c>
    </row>
    <row r="3871">
      <c r="A3871" t="inlineStr">
        <is>
          <t>Kal Tire Recycling Chile SpA,  Barrio industrial La Negra, Antofagasta, Chile</t>
        </is>
      </c>
      <c r="B3871" t="inlineStr">
        <is>
          <t>Collecting Point, Processing Unit</t>
        </is>
      </c>
      <c r="C3871" t="inlineStr">
        <is>
          <t>SCS Global Services, Emeryville, CA, US</t>
        </is>
      </c>
      <c r="D3871" t="inlineStr">
        <is>
          <t>17.05.2027</t>
        </is>
      </c>
      <c r="E3871" t="inlineStr">
        <is>
          <t>Chile</t>
        </is>
      </c>
    </row>
    <row r="3872">
      <c r="A3872" t="inlineStr">
        <is>
          <t>Kal Tire Recycling Chile SpA,  Barrio industrial La Negra, Antofagasta, Chile</t>
        </is>
      </c>
      <c r="B3872" t="inlineStr">
        <is>
          <t>Collecting Point, Processing Unit</t>
        </is>
      </c>
      <c r="C3872" t="inlineStr">
        <is>
          <t>SCS Global Services, Emeryville, CA, US</t>
        </is>
      </c>
      <c r="D3872" t="inlineStr">
        <is>
          <t>17.05.2027</t>
        </is>
      </c>
      <c r="E3872" t="inlineStr">
        <is>
          <t>Chile</t>
        </is>
      </c>
    </row>
    <row r="3873">
      <c r="A3873" t="inlineStr">
        <is>
          <t>LOSUR BV,  Montevideo, Uruguay</t>
        </is>
      </c>
      <c r="B3873" t="inlineStr">
        <is>
          <t>Trader</t>
        </is>
      </c>
      <c r="C3873" t="inlineStr">
        <is>
          <t>Control Union Poland Sp. z o.o., Zielona Gora, PL</t>
        </is>
      </c>
      <c r="D3873" t="inlineStr">
        <is>
          <t>17.05.2027</t>
        </is>
      </c>
      <c r="E3873" t="inlineStr">
        <is>
          <t>Uruguay</t>
        </is>
      </c>
    </row>
    <row r="3874">
      <c r="A3874" t="inlineStr">
        <is>
          <t>Depósitos Portuarios,  Santurtzi, Spain</t>
        </is>
      </c>
      <c r="B3874" t="inlineStr">
        <is>
          <t>Point of Origin, Warehouse</t>
        </is>
      </c>
      <c r="C3874" t="inlineStr">
        <is>
          <t>Control Union Poland Sp. z o.o., Zielona Gora, PL</t>
        </is>
      </c>
      <c r="D3874" t="inlineStr">
        <is>
          <t>17.05.2027</t>
        </is>
      </c>
      <c r="E3874" t="inlineStr">
        <is>
          <t>Spain</t>
        </is>
      </c>
    </row>
    <row r="3875">
      <c r="A3875" t="inlineStr">
        <is>
          <t>IVICT Europe,  Dusseldorf, Germany</t>
        </is>
      </c>
      <c r="B3875" t="inlineStr">
        <is>
          <t>Trader with Storage</t>
        </is>
      </c>
      <c r="C3875" t="inlineStr">
        <is>
          <t>SCS Global Services, Emeryville, CA, US</t>
        </is>
      </c>
      <c r="D3875" t="inlineStr">
        <is>
          <t>17.05.2027</t>
        </is>
      </c>
      <c r="E3875" t="inlineStr">
        <is>
          <t>Germany</t>
        </is>
      </c>
    </row>
    <row r="3876">
      <c r="A3876" t="inlineStr">
        <is>
          <t>IVICT Europe,  Dusseldorf, Germany</t>
        </is>
      </c>
      <c r="B3876" t="inlineStr">
        <is>
          <t>Trader</t>
        </is>
      </c>
      <c r="C3876" t="inlineStr">
        <is>
          <t>SCS Global Services, Emeryville, CA, US</t>
        </is>
      </c>
      <c r="D3876" t="inlineStr">
        <is>
          <t>17.05.2027</t>
        </is>
      </c>
      <c r="E3876" t="inlineStr">
        <is>
          <t>Germany</t>
        </is>
      </c>
    </row>
    <row r="3877">
      <c r="A3877" t="inlineStr">
        <is>
          <t>Elopak ASA,  Terneuzen, Netherlands</t>
        </is>
      </c>
      <c r="B3877" t="inlineStr">
        <is>
          <t>Processing Unit</t>
        </is>
      </c>
      <c r="C3877" t="inlineStr">
        <is>
          <t>Control Union Certifications Germany GmbH, Berlin, DE</t>
        </is>
      </c>
      <c r="D3877" t="inlineStr">
        <is>
          <t>17.05.2027</t>
        </is>
      </c>
      <c r="E3877" t="inlineStr">
        <is>
          <t>Netherlands</t>
        </is>
      </c>
    </row>
    <row r="3878">
      <c r="A3878" t="inlineStr">
        <is>
          <t>Daicel HPP Europe GmbH,  Raunheim, Germany</t>
        </is>
      </c>
      <c r="B3878" t="inlineStr">
        <is>
          <t>Trader with Storage</t>
        </is>
      </c>
      <c r="C3878" t="inlineStr">
        <is>
          <t>SGS Germany GmbH, Emstek, DE</t>
        </is>
      </c>
      <c r="D3878" t="inlineStr">
        <is>
          <t>17.05.2027</t>
        </is>
      </c>
      <c r="E3878" t="inlineStr">
        <is>
          <t>Germany</t>
        </is>
      </c>
    </row>
    <row r="3879">
      <c r="A3879" t="inlineStr">
        <is>
          <t>Zemědělské družstvo Čechtice,  Čechtice, Czech Republic</t>
        </is>
      </c>
      <c r="B3879" t="inlineStr">
        <is>
          <t>Farm / Plantation, Point of Origin, Processing Unit</t>
        </is>
      </c>
      <c r="C3879" t="inlineStr">
        <is>
          <t>PT Intertek Utama Services, Jakarta, ID</t>
        </is>
      </c>
      <c r="D3879" t="inlineStr">
        <is>
          <t>17.05.2027</t>
        </is>
      </c>
      <c r="E3879" t="inlineStr">
        <is>
          <t>Czech Republic</t>
        </is>
      </c>
    </row>
    <row r="3880">
      <c r="A3880" t="inlineStr">
        <is>
          <t>Evyap Sabun Malaysia Sdn Bhd,  Pasir Gudang, Malaysia</t>
        </is>
      </c>
      <c r="B3880" t="inlineStr">
        <is>
          <t>Point of Origin</t>
        </is>
      </c>
      <c r="C3880" t="inlineStr">
        <is>
          <t>PT Intertek Utama Services, Jakarta, ID</t>
        </is>
      </c>
      <c r="D3880" t="inlineStr">
        <is>
          <t>17.05.2027</t>
        </is>
      </c>
      <c r="E3880" t="inlineStr">
        <is>
          <t>Malaysia</t>
        </is>
      </c>
    </row>
    <row r="3881">
      <c r="A3881" t="inlineStr">
        <is>
          <t>Shaphargroup Industry (Hainan) Co., Ltd,  Meilan District, Haikou City, Hainan Province, China</t>
        </is>
      </c>
      <c r="B3881" t="inlineStr">
        <is>
          <t>Trader</t>
        </is>
      </c>
      <c r="C3881" t="inlineStr">
        <is>
          <t>PT Intertek Utama Services, Jakarta, ID</t>
        </is>
      </c>
      <c r="D3881" t="inlineStr">
        <is>
          <t>17.05.2027</t>
        </is>
      </c>
      <c r="E3881" t="inlineStr">
        <is>
          <t>China</t>
        </is>
      </c>
    </row>
    <row r="3882">
      <c r="A3882" t="inlineStr">
        <is>
          <t>VINAVIL,  Ravenna, Italy</t>
        </is>
      </c>
      <c r="B3882" t="inlineStr">
        <is>
          <t>Processing Unit</t>
        </is>
      </c>
      <c r="C3882" t="inlineStr">
        <is>
          <t>PT Intertek Utama Services, Jakarta, ID</t>
        </is>
      </c>
      <c r="D3882" t="inlineStr">
        <is>
          <t>17.05.2027</t>
        </is>
      </c>
      <c r="E3882" t="inlineStr">
        <is>
          <t>Italy</t>
        </is>
      </c>
    </row>
    <row r="3883">
      <c r="A3883" t="inlineStr">
        <is>
          <t>BIOGAS DE GUIJUELO SL,  FUENTERROBLE DE SALVATIERRA, Spain</t>
        </is>
      </c>
      <c r="B3883" t="inlineStr">
        <is>
          <t>Collecting Point, Processing Unit</t>
        </is>
      </c>
      <c r="C3883" t="inlineStr">
        <is>
          <t>Amspec Iberia SL, Vilagarcia de Arousa-Pontevedra, ES</t>
        </is>
      </c>
      <c r="D3883" t="inlineStr">
        <is>
          <t>17.05.2027</t>
        </is>
      </c>
      <c r="E3883" t="inlineStr">
        <is>
          <t>Spain</t>
        </is>
      </c>
    </row>
    <row r="3884">
      <c r="A3884" t="inlineStr">
        <is>
          <t>Geomico International Pte. Ltd.,  Singapore, Singapore</t>
        </is>
      </c>
      <c r="B3884" t="inlineStr">
        <is>
          <t>Trader</t>
        </is>
      </c>
      <c r="C3884" t="inlineStr">
        <is>
          <t>China Standard Conformity Assessment Co. Ltd, Beijing, CN</t>
        </is>
      </c>
      <c r="D3884" t="inlineStr">
        <is>
          <t>17.05.2027</t>
        </is>
      </c>
      <c r="E3884" t="inlineStr">
        <is>
          <t>Singapore</t>
        </is>
      </c>
    </row>
    <row r="3885">
      <c r="A3885" t="inlineStr">
        <is>
          <t>Shaoyang Stella Footwear Company Limited,  Shaoyang City, Hunan Province, China</t>
        </is>
      </c>
      <c r="B3885" t="inlineStr">
        <is>
          <t>Processing Unit</t>
        </is>
      </c>
      <c r="C3885" t="inlineStr">
        <is>
          <t>SCS Global Services, Emeryville, CA, US</t>
        </is>
      </c>
      <c r="D3885" t="inlineStr">
        <is>
          <t>17.05.2027</t>
        </is>
      </c>
      <c r="E3885" t="inlineStr">
        <is>
          <t>China</t>
        </is>
      </c>
    </row>
    <row r="3886">
      <c r="A3886" t="inlineStr">
        <is>
          <t>China National Aviation Fuel Group Shaanxi Petroleum Co., Ltd.,  Xi'an City, Shaanxi Province, China</t>
        </is>
      </c>
      <c r="B3886" t="inlineStr">
        <is>
          <t>Trader</t>
        </is>
      </c>
      <c r="C3886" t="inlineStr">
        <is>
          <t>SCS Global Services, Emeryville, CA, US</t>
        </is>
      </c>
      <c r="D3886" t="inlineStr">
        <is>
          <t>17.05.2027</t>
        </is>
      </c>
      <c r="E3886" t="inlineStr">
        <is>
          <t>China</t>
        </is>
      </c>
    </row>
    <row r="3887">
      <c r="A3887" t="inlineStr">
        <is>
          <t>China National Aviation Fuel Group Shaanxi Petroleum Co., Ltd.,  Xi'an City, Shaanxi Province, China</t>
        </is>
      </c>
      <c r="B3887" t="inlineStr">
        <is>
          <t>Trader</t>
        </is>
      </c>
      <c r="C3887" t="inlineStr">
        <is>
          <t>SCS Global Services, Emeryville, CA, US</t>
        </is>
      </c>
      <c r="D3887" t="inlineStr">
        <is>
          <t>17.05.2027</t>
        </is>
      </c>
      <c r="E3887" t="inlineStr">
        <is>
          <t>China</t>
        </is>
      </c>
    </row>
    <row r="3888">
      <c r="A3888" t="inlineStr">
        <is>
          <t>Raffinerie du sud,  SFAX, Tunisia</t>
        </is>
      </c>
      <c r="B3888" t="inlineStr">
        <is>
          <t>Point of Origin</t>
        </is>
      </c>
      <c r="C3888" t="inlineStr">
        <is>
          <t>BM Certification, Riga, LV</t>
        </is>
      </c>
      <c r="D3888" t="inlineStr">
        <is>
          <t>17.05.2027</t>
        </is>
      </c>
      <c r="E3888" t="inlineStr">
        <is>
          <t>Tunisia</t>
        </is>
      </c>
    </row>
    <row r="3889">
      <c r="A3889" t="inlineStr">
        <is>
          <t>EURORESINAS - INDÚSTRIAS QUÍMICAS,  Sines, Portugal</t>
        </is>
      </c>
      <c r="B3889" t="inlineStr">
        <is>
          <t>Processing Unit, Warehouse</t>
        </is>
      </c>
      <c r="C3889" t="inlineStr">
        <is>
          <t>SGS Germany GmbH, Emstek, DE</t>
        </is>
      </c>
      <c r="D3889" t="inlineStr">
        <is>
          <t>17.05.2027</t>
        </is>
      </c>
      <c r="E3889" t="inlineStr">
        <is>
          <t>Portugal</t>
        </is>
      </c>
    </row>
    <row r="3890">
      <c r="A3890" t="inlineStr">
        <is>
          <t>IMPRESA LAZZARIN FABRIZIO SRL,  ROSOLINA, Italy</t>
        </is>
      </c>
      <c r="B3890" t="inlineStr">
        <is>
          <t>Collecting Point, Processing Unit</t>
        </is>
      </c>
      <c r="C3890" t="inlineStr">
        <is>
          <t>RINA Services S.p.A., Genova, IT</t>
        </is>
      </c>
      <c r="D3890" t="inlineStr">
        <is>
          <t>17.05.2027</t>
        </is>
      </c>
      <c r="E3890" t="inlineStr">
        <is>
          <t>Italy</t>
        </is>
      </c>
    </row>
    <row r="3891">
      <c r="A3891" t="inlineStr">
        <is>
          <t>ECB Company S.r.l.,  Treviglio, Italy</t>
        </is>
      </c>
      <c r="B3891" t="inlineStr">
        <is>
          <t>Point of Origin, Trader with Storage</t>
        </is>
      </c>
      <c r="C3891" t="inlineStr">
        <is>
          <t>SGS Germany GmbH, Emstek, DE</t>
        </is>
      </c>
      <c r="D3891" t="inlineStr">
        <is>
          <t>17.05.2027</t>
        </is>
      </c>
      <c r="E3891" t="inlineStr">
        <is>
          <t>Italy</t>
        </is>
      </c>
    </row>
    <row r="3892">
      <c r="A3892" t="inlineStr">
        <is>
          <t>ECB Company S.r.l.,  Treviglio, Italy</t>
        </is>
      </c>
      <c r="B3892" t="inlineStr">
        <is>
          <t>Point of Origin</t>
        </is>
      </c>
      <c r="C3892" t="inlineStr">
        <is>
          <t>SGS Germany GmbH, Emstek, DE</t>
        </is>
      </c>
      <c r="D3892" t="inlineStr">
        <is>
          <t>17.05.2027</t>
        </is>
      </c>
      <c r="E3892" t="inlineStr">
        <is>
          <t>Italy</t>
        </is>
      </c>
    </row>
    <row r="3893">
      <c r="A3893" t="inlineStr">
        <is>
          <t>ALPINE RENEWABLES AND EDIBLE OILS PTE LTD,  SINGAPORE`, Singapore</t>
        </is>
      </c>
      <c r="B3893" t="inlineStr">
        <is>
          <t>Trader</t>
        </is>
      </c>
      <c r="C3893" t="inlineStr">
        <is>
          <t>BM Certification, Riga, LV</t>
        </is>
      </c>
      <c r="D3893" t="inlineStr">
        <is>
          <t>17.05.2027</t>
        </is>
      </c>
      <c r="E3893" t="inlineStr">
        <is>
          <t>Singapore</t>
        </is>
      </c>
    </row>
    <row r="3894">
      <c r="A3894" t="inlineStr">
        <is>
          <t>ALPINE RENEWABLES AND EDIBLE OILS PTE LTD,  SINGAPORE`, Singapore</t>
        </is>
      </c>
      <c r="B3894" t="inlineStr">
        <is>
          <t>Trader</t>
        </is>
      </c>
      <c r="C3894" t="inlineStr">
        <is>
          <t>BM Certification, Riga, LV</t>
        </is>
      </c>
      <c r="D3894" t="inlineStr">
        <is>
          <t>17.05.2027</t>
        </is>
      </c>
      <c r="E3894" t="inlineStr">
        <is>
          <t>Singapore</t>
        </is>
      </c>
    </row>
    <row r="3895">
      <c r="A3895" t="inlineStr">
        <is>
          <t>ALPINE RENEWABLES AND EDIBLE OILS PTE LTD,  SINGAPORE`, Singapore</t>
        </is>
      </c>
      <c r="B3895" t="inlineStr">
        <is>
          <t>Trader</t>
        </is>
      </c>
      <c r="C3895" t="inlineStr">
        <is>
          <t>BM Certification, Riga, LV</t>
        </is>
      </c>
      <c r="D3895" t="inlineStr">
        <is>
          <t>17.05.2027</t>
        </is>
      </c>
      <c r="E3895" t="inlineStr">
        <is>
          <t>Singapore</t>
        </is>
      </c>
    </row>
    <row r="3896">
      <c r="A3896" t="inlineStr">
        <is>
          <t>IVICT Europe,  Dusseldorf, Germany</t>
        </is>
      </c>
      <c r="B3896" t="inlineStr">
        <is>
          <t>Trader</t>
        </is>
      </c>
      <c r="C3896" t="inlineStr">
        <is>
          <t>SCS Global Services, Emeryville, CA, US</t>
        </is>
      </c>
      <c r="D3896" t="inlineStr">
        <is>
          <t>17.05.2027</t>
        </is>
      </c>
      <c r="E3896" t="inlineStr">
        <is>
          <t>Germany</t>
        </is>
      </c>
    </row>
    <row r="3897">
      <c r="A3897" t="inlineStr">
        <is>
          <t>ORVIEN s.r.o.,  Povoda, Slovakia</t>
        </is>
      </c>
      <c r="B3897" t="inlineStr">
        <is>
          <t>First Gathering Point, Trader</t>
        </is>
      </c>
      <c r="C3897" t="inlineStr">
        <is>
          <t>Bureau Veritas Polska Sp. z o.o., Warsaw, PL</t>
        </is>
      </c>
      <c r="D3897" t="inlineStr">
        <is>
          <t>17.05.2027</t>
        </is>
      </c>
      <c r="E3897" t="inlineStr">
        <is>
          <t>Slovakia</t>
        </is>
      </c>
    </row>
    <row r="3898">
      <c r="A3898" t="inlineStr">
        <is>
          <t>eGreen International Limited,  Sutton, United Kingdom</t>
        </is>
      </c>
      <c r="B3898" t="inlineStr">
        <is>
          <t>Trader with Storage</t>
        </is>
      </c>
      <c r="C3898" t="inlineStr">
        <is>
          <t>Bureau Veritas Polska Sp. z o.o., Warsaw, PL</t>
        </is>
      </c>
      <c r="D3898" t="inlineStr">
        <is>
          <t>17.05.2027</t>
        </is>
      </c>
      <c r="E3898" t="inlineStr">
        <is>
          <t>United Kingdom</t>
        </is>
      </c>
    </row>
    <row r="3899">
      <c r="A3899" t="inlineStr">
        <is>
          <t>ARDEN terminal s.r.o.,  Dunajská Streda, Slovakia</t>
        </is>
      </c>
      <c r="B3899" t="inlineStr">
        <is>
          <t>Warehouse</t>
        </is>
      </c>
      <c r="C3899" t="inlineStr">
        <is>
          <t>Bureau Veritas Polska Sp. z o.o., Warsaw, PL</t>
        </is>
      </c>
      <c r="D3899" t="inlineStr">
        <is>
          <t>17.05.2027</t>
        </is>
      </c>
      <c r="E3899" t="inlineStr">
        <is>
          <t>Slovakia</t>
        </is>
      </c>
    </row>
    <row r="3900">
      <c r="A3900" t="inlineStr">
        <is>
          <t>Biosirk Norge AS,  Ingeberg, Norway</t>
        </is>
      </c>
      <c r="B3900" t="inlineStr">
        <is>
          <t>Point of Origin</t>
        </is>
      </c>
      <c r="C3900" t="inlineStr">
        <is>
          <t>DNV Business Assurance Sweden AB, Solna, SE</t>
        </is>
      </c>
      <c r="D3900" t="inlineStr">
        <is>
          <t>16.05.2027</t>
        </is>
      </c>
      <c r="E3900" t="inlineStr">
        <is>
          <t>Norway</t>
        </is>
      </c>
    </row>
    <row r="3901">
      <c r="A3901" t="inlineStr">
        <is>
          <t>IKR Agrár Kft.,  Bábolna, Hungary</t>
        </is>
      </c>
      <c r="B3901" t="inlineStr">
        <is>
          <t>First Gathering Point, Trader with Storage</t>
        </is>
      </c>
      <c r="C3901" t="inlineStr">
        <is>
          <t>Control Union Certifications Germany GmbH, Berlin, DE</t>
        </is>
      </c>
      <c r="D3901" t="inlineStr">
        <is>
          <t>16.05.2027</t>
        </is>
      </c>
      <c r="E3901" t="inlineStr">
        <is>
          <t>Hungary</t>
        </is>
      </c>
    </row>
    <row r="3902">
      <c r="A3902" t="inlineStr">
        <is>
          <t>Marubeni (Shanghai) Co.,Ltd.,  Shanghai, China</t>
        </is>
      </c>
      <c r="B3902" t="inlineStr">
        <is>
          <t>Trader</t>
        </is>
      </c>
      <c r="C3902" t="inlineStr">
        <is>
          <t>SGS Germany GmbH, Emstek, DE</t>
        </is>
      </c>
      <c r="D3902" t="inlineStr">
        <is>
          <t>16.05.2027</t>
        </is>
      </c>
      <c r="E3902" t="inlineStr">
        <is>
          <t>China</t>
        </is>
      </c>
    </row>
    <row r="3903">
      <c r="A3903" t="inlineStr">
        <is>
          <t>LX_International (Singapore) Pte. Ltd.,  Singapore, Singapore</t>
        </is>
      </c>
      <c r="B3903" t="inlineStr">
        <is>
          <t>Trader</t>
        </is>
      </c>
      <c r="C3903" t="inlineStr">
        <is>
          <t>SGS Germany GmbH, Emstek, DE</t>
        </is>
      </c>
      <c r="D3903" t="inlineStr">
        <is>
          <t>16.05.2027</t>
        </is>
      </c>
      <c r="E3903" t="inlineStr">
        <is>
          <t>Singapore</t>
        </is>
      </c>
    </row>
    <row r="3904">
      <c r="A3904" t="inlineStr">
        <is>
          <t>Cannington Enterprises,  Cannington, Somerset, United Kingdom</t>
        </is>
      </c>
      <c r="B3904" t="inlineStr">
        <is>
          <t>Collecting Point, First Gathering Point, Processing Unit</t>
        </is>
      </c>
      <c r="C3904" t="inlineStr">
        <is>
          <t>Aardvark Certification Ltd, Wiveliscombe, Somerset, GB</t>
        </is>
      </c>
      <c r="D3904" t="inlineStr">
        <is>
          <t>16.05.2027</t>
        </is>
      </c>
      <c r="E3904" t="inlineStr">
        <is>
          <t>United Kingdom</t>
        </is>
      </c>
    </row>
    <row r="3905">
      <c r="A3905" t="inlineStr">
        <is>
          <t>SAMTIM TRADE,  Martinesti,Satu Mare County, Romania</t>
        </is>
      </c>
      <c r="B3905" t="inlineStr">
        <is>
          <t>First Gathering Point, Trader</t>
        </is>
      </c>
      <c r="C3905" t="inlineStr">
        <is>
          <t>SRAC Cert SRL, Bucharest, RO</t>
        </is>
      </c>
      <c r="D3905" t="inlineStr">
        <is>
          <t>16.05.2027</t>
        </is>
      </c>
      <c r="E3905" t="inlineStr">
        <is>
          <t>Romania</t>
        </is>
      </c>
    </row>
    <row r="3906">
      <c r="A3906" t="inlineStr">
        <is>
          <t>Synthos Dwory 7 Spółka z ograniczoną odpowiedzialnością,  Oświęcim, Poland</t>
        </is>
      </c>
      <c r="B3906" t="inlineStr">
        <is>
          <t>Processing Unit, Trader</t>
        </is>
      </c>
      <c r="C3906" t="inlineStr">
        <is>
          <t>Bureau Veritas Polska Sp. z o.o., Warsaw, PL</t>
        </is>
      </c>
      <c r="D3906" t="inlineStr">
        <is>
          <t>16.05.2027</t>
        </is>
      </c>
      <c r="E3906" t="inlineStr">
        <is>
          <t>Poland</t>
        </is>
      </c>
    </row>
    <row r="3907">
      <c r="A3907" t="inlineStr">
        <is>
          <t>KIM LOONG TECHNOLOGIES (SABAH) SDN. BHD.,  Keningau, Sabah, Malaysia</t>
        </is>
      </c>
      <c r="B3907" t="inlineStr">
        <is>
          <t>Point of Origin</t>
        </is>
      </c>
      <c r="C3907" t="inlineStr">
        <is>
          <t>TÜV NORD CERT GmbH, Essen, DE</t>
        </is>
      </c>
      <c r="D3907" t="inlineStr">
        <is>
          <t>16.05.2027</t>
        </is>
      </c>
      <c r="E3907" t="inlineStr">
        <is>
          <t>Malaysia</t>
        </is>
      </c>
    </row>
    <row r="3908">
      <c r="A3908" t="inlineStr">
        <is>
          <t>Premix Oy,  Rajamäki, Finland</t>
        </is>
      </c>
      <c r="B3908" t="inlineStr">
        <is>
          <t>Processing Unit</t>
        </is>
      </c>
      <c r="C3908" t="inlineStr">
        <is>
          <t>DNV Business Assurance Sweden AB, Solna, SE</t>
        </is>
      </c>
      <c r="D3908" t="inlineStr">
        <is>
          <t>16.05.2027</t>
        </is>
      </c>
      <c r="E3908" t="inlineStr">
        <is>
          <t>Finland</t>
        </is>
      </c>
    </row>
    <row r="3909">
      <c r="A3909" t="inlineStr">
        <is>
          <t>BJB, LLC,  Hutchinson, MN, United States</t>
        </is>
      </c>
      <c r="B3909" t="inlineStr">
        <is>
          <t>Trader with Storage</t>
        </is>
      </c>
      <c r="C3909" t="inlineStr">
        <is>
          <t>SCS Global Services, Emeryville, CA, US</t>
        </is>
      </c>
      <c r="D3909" t="inlineStr">
        <is>
          <t>16.05.2027</t>
        </is>
      </c>
      <c r="E3909" t="inlineStr">
        <is>
          <t>United States</t>
        </is>
      </c>
    </row>
    <row r="3910">
      <c r="A3910" t="inlineStr">
        <is>
          <t>BJB, LLC,  Hutchinson, MN, United States</t>
        </is>
      </c>
      <c r="B3910" t="inlineStr">
        <is>
          <t>Trader with Storage</t>
        </is>
      </c>
      <c r="C3910" t="inlineStr">
        <is>
          <t>SCS Global Services, Emeryville, CA, US</t>
        </is>
      </c>
      <c r="D3910" t="inlineStr">
        <is>
          <t>16.05.2027</t>
        </is>
      </c>
      <c r="E3910" t="inlineStr">
        <is>
          <t>United States</t>
        </is>
      </c>
    </row>
    <row r="3911">
      <c r="A3911" t="inlineStr">
        <is>
          <t>GPAC America,  Commerce, Michigan, United States</t>
        </is>
      </c>
      <c r="B3911" t="inlineStr">
        <is>
          <t>Trader with Storage</t>
        </is>
      </c>
      <c r="C3911" t="inlineStr">
        <is>
          <t>SCS Global Services, Emeryville, CA, US</t>
        </is>
      </c>
      <c r="D3911" t="inlineStr">
        <is>
          <t>16.05.2027</t>
        </is>
      </c>
      <c r="E3911" t="inlineStr">
        <is>
          <t>United States</t>
        </is>
      </c>
    </row>
    <row r="3912">
      <c r="A3912" t="inlineStr">
        <is>
          <t>Xiamen ITG Chemical CO., LTD.,  xiamen,fujian, China</t>
        </is>
      </c>
      <c r="B3912" t="inlineStr">
        <is>
          <t>Trader with Storage</t>
        </is>
      </c>
      <c r="C3912" t="inlineStr">
        <is>
          <t>SCS Global Services, Emeryville, CA, US</t>
        </is>
      </c>
      <c r="D3912" t="inlineStr">
        <is>
          <t>16.05.2027</t>
        </is>
      </c>
      <c r="E3912" t="inlineStr">
        <is>
          <t>China</t>
        </is>
      </c>
    </row>
    <row r="3913">
      <c r="A3913" t="inlineStr">
        <is>
          <t>MEP America, Inc.,  Commerce, Michigan, United States</t>
        </is>
      </c>
      <c r="B3913" t="inlineStr">
        <is>
          <t>Trader with Storage</t>
        </is>
      </c>
      <c r="C3913" t="inlineStr">
        <is>
          <t>SCS Global Services, Emeryville, CA, US</t>
        </is>
      </c>
      <c r="D3913" t="inlineStr">
        <is>
          <t>16.05.2027</t>
        </is>
      </c>
      <c r="E3913" t="inlineStr">
        <is>
          <t>United States</t>
        </is>
      </c>
    </row>
    <row r="3914">
      <c r="A3914" t="inlineStr">
        <is>
          <t>Zhejiang Green Energy Environmental Services Co., Ltd,  Pinghu City Jiaxing, China</t>
        </is>
      </c>
      <c r="B3914" t="inlineStr">
        <is>
          <t>Collecting Point</t>
        </is>
      </c>
      <c r="C3914" t="inlineStr">
        <is>
          <t>RINA Services S.p.A., Genova, IT</t>
        </is>
      </c>
      <c r="D3914" t="inlineStr">
        <is>
          <t>16.05.2027</t>
        </is>
      </c>
      <c r="E3914" t="inlineStr">
        <is>
          <t>China</t>
        </is>
      </c>
    </row>
    <row r="3915">
      <c r="A3915" t="inlineStr">
        <is>
          <t>Repsol Soluciones Energéticas SA,  Madrid, Spain</t>
        </is>
      </c>
      <c r="B3915" t="inlineStr">
        <is>
          <t>Trader</t>
        </is>
      </c>
      <c r="C3915" t="inlineStr">
        <is>
          <t>Control Union Poland Sp. z o.o., Zielona Gora, PL</t>
        </is>
      </c>
      <c r="D3915" t="inlineStr">
        <is>
          <t>16.05.2027</t>
        </is>
      </c>
      <c r="E3915" t="inlineStr">
        <is>
          <t>Spain</t>
        </is>
      </c>
    </row>
    <row r="3916">
      <c r="A3916" t="inlineStr">
        <is>
          <t>Excellence New Energy B.V.,  Rotterdam, Netherlands</t>
        </is>
      </c>
      <c r="B3916" t="inlineStr">
        <is>
          <t>Trader with Storage</t>
        </is>
      </c>
      <c r="C3916" t="inlineStr">
        <is>
          <t>Normec QS BV, Ede, NL</t>
        </is>
      </c>
      <c r="D3916" t="inlineStr">
        <is>
          <t>16.05.2027</t>
        </is>
      </c>
      <c r="E3916" t="inlineStr">
        <is>
          <t>Netherlands</t>
        </is>
      </c>
    </row>
    <row r="3917">
      <c r="A3917" t="inlineStr">
        <is>
          <t>Chevron Phillips Chemical Company,  Sweeny, TX, United States</t>
        </is>
      </c>
      <c r="B3917" t="inlineStr">
        <is>
          <t>Processing Unit</t>
        </is>
      </c>
      <c r="C3917" t="inlineStr">
        <is>
          <t>SCS Global Services, Emeryville, CA, US</t>
        </is>
      </c>
      <c r="D3917" t="inlineStr">
        <is>
          <t>16.05.2027</t>
        </is>
      </c>
      <c r="E3917" t="inlineStr">
        <is>
          <t>United States</t>
        </is>
      </c>
    </row>
    <row r="3918">
      <c r="A3918" t="inlineStr">
        <is>
          <t>COFCO BRAZIL OVERSEAS,  Montevideo, Uruguay</t>
        </is>
      </c>
      <c r="B3918" t="inlineStr">
        <is>
          <t>Trader</t>
        </is>
      </c>
      <c r="C3918" t="inlineStr">
        <is>
          <t>Control Union Poland Sp. z o.o., Zielona Gora, PL</t>
        </is>
      </c>
      <c r="D3918" t="inlineStr">
        <is>
          <t>16.05.2027</t>
        </is>
      </c>
      <c r="E3918" t="inlineStr">
        <is>
          <t>Uruguay</t>
        </is>
      </c>
    </row>
    <row r="3919">
      <c r="A3919" t="inlineStr">
        <is>
          <t>EDAR BENS,  A Coruña, Spain</t>
        </is>
      </c>
      <c r="B3919" t="inlineStr">
        <is>
          <t>Point of Origin, Processing Unit</t>
        </is>
      </c>
      <c r="C3919" t="inlineStr">
        <is>
          <t>Bureau Veritas Polska Sp. z o.o., Warsaw, PL</t>
        </is>
      </c>
      <c r="D3919" t="inlineStr">
        <is>
          <t>16.05.2027</t>
        </is>
      </c>
      <c r="E3919" t="inlineStr">
        <is>
          <t>Spain</t>
        </is>
      </c>
    </row>
    <row r="3920">
      <c r="A3920" t="inlineStr">
        <is>
          <t>TAKCEL Co., Ltd,  Tochigi, Japan</t>
        </is>
      </c>
      <c r="B3920" t="inlineStr">
        <is>
          <t>Processing Unit</t>
        </is>
      </c>
      <c r="C3920" t="inlineStr">
        <is>
          <t>Control Union Certifications Germany GmbH, Berlin, DE</t>
        </is>
      </c>
      <c r="D3920" t="inlineStr">
        <is>
          <t>16.05.2027</t>
        </is>
      </c>
      <c r="E3920" t="inlineStr">
        <is>
          <t>Japan</t>
        </is>
      </c>
    </row>
    <row r="3921">
      <c r="A3921" t="inlineStr">
        <is>
          <t>TOYOTSU CHEMIPLAS CORPORATION,  Chuo-ku, Hamamatsu-shi, Japan</t>
        </is>
      </c>
      <c r="B3921" t="inlineStr">
        <is>
          <t>Trader with Storage</t>
        </is>
      </c>
      <c r="C3921" t="inlineStr">
        <is>
          <t>Control Union Certifications Germany GmbH, Berlin, DE</t>
        </is>
      </c>
      <c r="D3921" t="inlineStr">
        <is>
          <t>16.05.2027</t>
        </is>
      </c>
      <c r="E3921" t="inlineStr">
        <is>
          <t>Japan</t>
        </is>
      </c>
    </row>
    <row r="3922">
      <c r="A3922" t="inlineStr">
        <is>
          <t>TOYOTSU CHEMIPLAS CORPORATION,  Nakamura-ku, Nagoya, Japan</t>
        </is>
      </c>
      <c r="B3922" t="inlineStr">
        <is>
          <t>Trader with Storage</t>
        </is>
      </c>
      <c r="C3922" t="inlineStr">
        <is>
          <t>Control Union Certifications Germany GmbH, Berlin, DE</t>
        </is>
      </c>
      <c r="D3922" t="inlineStr">
        <is>
          <t>16.05.2027</t>
        </is>
      </c>
      <c r="E3922" t="inlineStr">
        <is>
          <t>Japan</t>
        </is>
      </c>
    </row>
    <row r="3923">
      <c r="A3923" t="inlineStr">
        <is>
          <t>BP Netherlands,  Rotterdam - Europoort, Netherlands</t>
        </is>
      </c>
      <c r="B3923" t="inlineStr">
        <is>
          <t>Trader</t>
        </is>
      </c>
      <c r="C3923" t="inlineStr">
        <is>
          <t>Control Union Certifications Germany GmbH, Berlin, DE</t>
        </is>
      </c>
      <c r="D3923" t="inlineStr">
        <is>
          <t>16.05.2027</t>
        </is>
      </c>
      <c r="E3923" t="inlineStr">
        <is>
          <t>Netherlands</t>
        </is>
      </c>
    </row>
    <row r="3924">
      <c r="A3924" t="inlineStr">
        <is>
          <t>Shinko Trading Co., Ltd.,  Tokyo, Japan</t>
        </is>
      </c>
      <c r="B3924" t="inlineStr">
        <is>
          <t>Trader with Storage</t>
        </is>
      </c>
      <c r="C3924" t="inlineStr">
        <is>
          <t>SGS Germany GmbH, Emstek, DE</t>
        </is>
      </c>
      <c r="D3924" t="inlineStr">
        <is>
          <t>16.05.2027</t>
        </is>
      </c>
      <c r="E3924" t="inlineStr">
        <is>
          <t>Japan</t>
        </is>
      </c>
    </row>
    <row r="3925">
      <c r="A3925" t="inlineStr">
        <is>
          <t>Denkapolymer Company Limited Goi Factory,  Ichihara-shi, Chiba, Japan</t>
        </is>
      </c>
      <c r="B3925" t="inlineStr">
        <is>
          <t>Point of Origin, Processing Unit</t>
        </is>
      </c>
      <c r="C3925" t="inlineStr">
        <is>
          <t>SGS Germany GmbH, Emstek, DE</t>
        </is>
      </c>
      <c r="D3925" t="inlineStr">
        <is>
          <t>16.05.2027</t>
        </is>
      </c>
      <c r="E3925" t="inlineStr">
        <is>
          <t>Japan</t>
        </is>
      </c>
    </row>
    <row r="3926">
      <c r="A3926" t="inlineStr">
        <is>
          <t>LX_International (Singapore) Pte. Ltd.,  Singapore, Singapore</t>
        </is>
      </c>
      <c r="B3926" t="inlineStr">
        <is>
          <t>Trader</t>
        </is>
      </c>
      <c r="C3926" t="inlineStr">
        <is>
          <t>SGS Germany GmbH, Emstek, DE</t>
        </is>
      </c>
      <c r="D3926" t="inlineStr">
        <is>
          <t>16.05.2027</t>
        </is>
      </c>
      <c r="E3926" t="inlineStr">
        <is>
          <t>Singapore</t>
        </is>
      </c>
    </row>
    <row r="3927">
      <c r="A3927" t="inlineStr">
        <is>
          <t>LX_International (Singapore) Pte. Ltd.,  Singapore, Singapore</t>
        </is>
      </c>
      <c r="B3927" t="inlineStr">
        <is>
          <t>Trader</t>
        </is>
      </c>
      <c r="C3927" t="inlineStr">
        <is>
          <t>SGS Germany GmbH, Emstek, DE</t>
        </is>
      </c>
      <c r="D3927" t="inlineStr">
        <is>
          <t>16.05.2027</t>
        </is>
      </c>
      <c r="E3927" t="inlineStr">
        <is>
          <t>Singapore</t>
        </is>
      </c>
    </row>
    <row r="3928">
      <c r="A3928" t="inlineStr">
        <is>
          <t>ECB Company S.r.l.,  Sorgà, Italy</t>
        </is>
      </c>
      <c r="B3928" t="inlineStr">
        <is>
          <t>Point of Origin</t>
        </is>
      </c>
      <c r="C3928" t="inlineStr">
        <is>
          <t>SGS Germany GmbH, Emstek, DE</t>
        </is>
      </c>
      <c r="D3928" t="inlineStr">
        <is>
          <t>16.05.2027</t>
        </is>
      </c>
      <c r="E3928" t="inlineStr">
        <is>
          <t>Italy</t>
        </is>
      </c>
    </row>
    <row r="3929">
      <c r="A3929" t="inlineStr">
        <is>
          <t>ECB Company S.r.l.,  Sorgà, Italy</t>
        </is>
      </c>
      <c r="B3929" t="inlineStr">
        <is>
          <t>Point of Origin</t>
        </is>
      </c>
      <c r="C3929" t="inlineStr">
        <is>
          <t>SGS Germany GmbH, Emstek, DE</t>
        </is>
      </c>
      <c r="D3929" t="inlineStr">
        <is>
          <t>16.05.2027</t>
        </is>
      </c>
      <c r="E3929" t="inlineStr">
        <is>
          <t>Italy</t>
        </is>
      </c>
    </row>
    <row r="3930">
      <c r="A3930" t="inlineStr">
        <is>
          <t>Handen Sp. z o.o.,  Warszawa, Poland</t>
        </is>
      </c>
      <c r="B3930" t="inlineStr">
        <is>
          <t>Trader</t>
        </is>
      </c>
      <c r="C3930" t="inlineStr">
        <is>
          <t>Bureau Veritas Polska Sp. z o.o., Warsaw, PL</t>
        </is>
      </c>
      <c r="D3930" t="inlineStr">
        <is>
          <t>16.05.2027</t>
        </is>
      </c>
      <c r="E3930" t="inlineStr">
        <is>
          <t>Poland</t>
        </is>
      </c>
    </row>
    <row r="3931">
      <c r="A3931" t="inlineStr">
        <is>
          <t>G.EN. GAZ ENERGIA,  Warszawa, Poland</t>
        </is>
      </c>
      <c r="B3931" t="inlineStr">
        <is>
          <t>Trader</t>
        </is>
      </c>
      <c r="C3931" t="inlineStr">
        <is>
          <t>Bureau Veritas Polska Sp. z o.o., Warsaw, PL</t>
        </is>
      </c>
      <c r="D3931" t="inlineStr">
        <is>
          <t>16.05.2027</t>
        </is>
      </c>
      <c r="E3931" t="inlineStr">
        <is>
          <t>Poland</t>
        </is>
      </c>
    </row>
    <row r="3932">
      <c r="A3932" t="inlineStr">
        <is>
          <t>Marubeni (Shanghai) Co.,Ltd.,  Shanghai, China</t>
        </is>
      </c>
      <c r="B3932" t="inlineStr">
        <is>
          <t>Trader with Storage</t>
        </is>
      </c>
      <c r="C3932" t="inlineStr">
        <is>
          <t>SGS Germany GmbH, Emstek, DE</t>
        </is>
      </c>
      <c r="D3932" t="inlineStr">
        <is>
          <t>16.05.2027</t>
        </is>
      </c>
      <c r="E3932" t="inlineStr">
        <is>
          <t>China</t>
        </is>
      </c>
    </row>
    <row r="3933">
      <c r="A3933" t="inlineStr">
        <is>
          <t>Exolum Corporation, S.A.,  Madrid, Spain</t>
        </is>
      </c>
      <c r="B3933" t="inlineStr">
        <is>
          <t>Logistics Center</t>
        </is>
      </c>
      <c r="C3933" t="inlineStr">
        <is>
          <t>Bureau Veritas Polska Sp. z o.o., Warsaw, PL</t>
        </is>
      </c>
      <c r="D3933" t="inlineStr">
        <is>
          <t>16.05.2027</t>
        </is>
      </c>
      <c r="E3933" t="inlineStr">
        <is>
          <t>Spain</t>
        </is>
      </c>
    </row>
    <row r="3934">
      <c r="A3934" t="inlineStr">
        <is>
          <t>Uponor,  Hassfurt, Germany</t>
        </is>
      </c>
      <c r="B3934" t="inlineStr">
        <is>
          <t>Trader with Storage</t>
        </is>
      </c>
      <c r="C3934" t="inlineStr">
        <is>
          <t>DNV Business Assurance Sweden AB, Solna, SE</t>
        </is>
      </c>
      <c r="D3934" t="inlineStr">
        <is>
          <t>15.05.2027</t>
        </is>
      </c>
      <c r="E3934" t="inlineStr">
        <is>
          <t>Germany</t>
        </is>
      </c>
    </row>
    <row r="3935">
      <c r="A3935" t="inlineStr">
        <is>
          <t>TESACOM SNC di Fiammenghi M &amp; C,  BURAGO DI MOLGORA, Italy</t>
        </is>
      </c>
      <c r="B3935" t="inlineStr">
        <is>
          <t>Processing Unit</t>
        </is>
      </c>
      <c r="C3935" t="inlineStr">
        <is>
          <t>Bureau Veritas Polska Sp. z o.o., Warsaw, PL</t>
        </is>
      </c>
      <c r="D3935" t="inlineStr">
        <is>
          <t>15.05.2027</t>
        </is>
      </c>
      <c r="E3935" t="inlineStr">
        <is>
          <t>Italy</t>
        </is>
      </c>
    </row>
    <row r="3936">
      <c r="A3936" t="inlineStr">
        <is>
          <t>Ester Industries Ltd.,  Industrial Park,Sitarganj, Udham Singh Nagar, India</t>
        </is>
      </c>
      <c r="B3936" t="inlineStr">
        <is>
          <t>Collecting Point, Processing Unit</t>
        </is>
      </c>
      <c r="C3936" t="inlineStr">
        <is>
          <t>Cotecna India Inspection Pvt Ltd, Kolkata, IN</t>
        </is>
      </c>
      <c r="D3936" t="inlineStr">
        <is>
          <t>15.05.2027</t>
        </is>
      </c>
      <c r="E3936" t="inlineStr">
        <is>
          <t>India</t>
        </is>
      </c>
    </row>
    <row r="3937">
      <c r="A3937" t="inlineStr">
        <is>
          <t>DESA KIM LOONG PALM OIL SDN. BHD.,  Keningau, Sabah, Malaysia</t>
        </is>
      </c>
      <c r="B3937" t="inlineStr">
        <is>
          <t>Point of Origin</t>
        </is>
      </c>
      <c r="C3937" t="inlineStr">
        <is>
          <t>TÜV NORD CERT GmbH, Essen, DE</t>
        </is>
      </c>
      <c r="D3937" t="inlineStr">
        <is>
          <t>15.05.2027</t>
        </is>
      </c>
      <c r="E3937" t="inlineStr">
        <is>
          <t>Malaysia</t>
        </is>
      </c>
    </row>
    <row r="3938">
      <c r="A3938" t="inlineStr">
        <is>
          <t>VU TAN PHAT ONE MEMBER LIMITED LIABILITY COMPANY,  Tan Nhut Ward, Ho Chi Minh City, Vietnam</t>
        </is>
      </c>
      <c r="B3938" t="inlineStr">
        <is>
          <t>Collecting Point, Trader with Storage</t>
        </is>
      </c>
      <c r="C3938" t="inlineStr">
        <is>
          <t>BM Certification, Riga, LV</t>
        </is>
      </c>
      <c r="D3938" t="inlineStr">
        <is>
          <t>15.05.2027</t>
        </is>
      </c>
      <c r="E3938" t="inlineStr">
        <is>
          <t>Vietnam</t>
        </is>
      </c>
    </row>
    <row r="3939">
      <c r="A3939" t="inlineStr">
        <is>
          <t>Sustainable Feedstocks Group Guangdong Limited,  Dongguan City, Guangdong Province, China</t>
        </is>
      </c>
      <c r="B3939" t="inlineStr">
        <is>
          <t>Trader with Storage</t>
        </is>
      </c>
      <c r="C3939" t="inlineStr">
        <is>
          <t>SCS Global Services, Emeryville, CA, US</t>
        </is>
      </c>
      <c r="D3939" t="inlineStr">
        <is>
          <t>15.05.2027</t>
        </is>
      </c>
      <c r="E3939" t="inlineStr">
        <is>
          <t>China</t>
        </is>
      </c>
    </row>
    <row r="3940">
      <c r="A3940" t="inlineStr">
        <is>
          <t>Uponor Infra Oy,  Vaasa, Finland</t>
        </is>
      </c>
      <c r="B3940" t="inlineStr">
        <is>
          <t>Processing Unit</t>
        </is>
      </c>
      <c r="C3940" t="inlineStr">
        <is>
          <t>DNV Business Assurance Sweden AB, Solna, SE</t>
        </is>
      </c>
      <c r="D3940" t="inlineStr">
        <is>
          <t>15.05.2027</t>
        </is>
      </c>
      <c r="E3940" t="inlineStr">
        <is>
          <t>Finland</t>
        </is>
      </c>
    </row>
    <row r="3941">
      <c r="A3941" t="inlineStr">
        <is>
          <t>Algol Chemicals AB,  Kumla, Sweden</t>
        </is>
      </c>
      <c r="B3941" t="inlineStr">
        <is>
          <t>Trader with Storage</t>
        </is>
      </c>
      <c r="C3941" t="inlineStr">
        <is>
          <t>DNV Business Assurance Sweden AB, Solna, SE</t>
        </is>
      </c>
      <c r="D3941" t="inlineStr">
        <is>
          <t>15.05.2027</t>
        </is>
      </c>
      <c r="E3941" t="inlineStr">
        <is>
          <t>Sweden</t>
        </is>
      </c>
    </row>
    <row r="3942">
      <c r="A3942" t="inlineStr">
        <is>
          <t>Birla Carbon Hungary Ltd.,  Tiszaújváros, Hungary</t>
        </is>
      </c>
      <c r="B3942" t="inlineStr">
        <is>
          <t>Processing Unit, Trader with Storage</t>
        </is>
      </c>
      <c r="C3942" t="inlineStr">
        <is>
          <t>PT Intertek Utama Services, Jakarta, ID</t>
        </is>
      </c>
      <c r="D3942" t="inlineStr">
        <is>
          <t>15.05.2027</t>
        </is>
      </c>
      <c r="E3942" t="inlineStr">
        <is>
          <t>Hungary</t>
        </is>
      </c>
    </row>
    <row r="3943">
      <c r="A3943" t="inlineStr">
        <is>
          <t>Zhejiang Outlook Optical Manufactory Co., Ltd,  Wenzhou, Zhejiang Province, China</t>
        </is>
      </c>
      <c r="B3943" t="inlineStr">
        <is>
          <t>Processing Unit, Final Product Refinement</t>
        </is>
      </c>
      <c r="C3943" t="inlineStr">
        <is>
          <t>SCS Global Services, Emeryville, CA, US</t>
        </is>
      </c>
      <c r="D3943" t="inlineStr">
        <is>
          <t>15.05.2027</t>
        </is>
      </c>
      <c r="E3943" t="inlineStr">
        <is>
          <t>China</t>
        </is>
      </c>
    </row>
    <row r="3944">
      <c r="A3944" t="inlineStr">
        <is>
          <t>Norwegian Energy Trading AS,  Nøtterøy, Norway</t>
        </is>
      </c>
      <c r="B3944" t="inlineStr">
        <is>
          <t>Trader</t>
        </is>
      </c>
      <c r="C3944" t="inlineStr">
        <is>
          <t>PT Intertek Utama Services, Jakarta, ID</t>
        </is>
      </c>
      <c r="D3944" t="inlineStr">
        <is>
          <t>15.05.2027</t>
        </is>
      </c>
      <c r="E3944" t="inlineStr">
        <is>
          <t>Norway</t>
        </is>
      </c>
    </row>
    <row r="3945">
      <c r="A3945" t="inlineStr">
        <is>
          <t>Roquette Freres,  Beinheim, France</t>
        </is>
      </c>
      <c r="B3945" t="inlineStr">
        <is>
          <t>Point of Origin, Processing Unit</t>
        </is>
      </c>
      <c r="C3945" t="inlineStr">
        <is>
          <t>Control Union Certifications Germany GmbH, Berlin, DE</t>
        </is>
      </c>
      <c r="D3945" t="inlineStr">
        <is>
          <t>15.05.2027</t>
        </is>
      </c>
      <c r="E3945" t="inlineStr">
        <is>
          <t>France</t>
        </is>
      </c>
    </row>
    <row r="3946">
      <c r="A3946" t="inlineStr">
        <is>
          <t>UNIMOT AVIATION,  Warszawa, Poland</t>
        </is>
      </c>
      <c r="B3946" t="inlineStr">
        <is>
          <t>Trader with Storage, Proof of Compliance Trader</t>
        </is>
      </c>
      <c r="C3946" t="inlineStr">
        <is>
          <t>Control Union Poland Sp. z o.o., Zielona Gora, PL</t>
        </is>
      </c>
      <c r="D3946" t="inlineStr">
        <is>
          <t>15.05.2027</t>
        </is>
      </c>
      <c r="E3946" t="inlineStr">
        <is>
          <t>Poland</t>
        </is>
      </c>
    </row>
    <row r="3947">
      <c r="A3947" t="inlineStr">
        <is>
          <t>Air Liquide Deutschland GmbH,  Mannheim, Germany</t>
        </is>
      </c>
      <c r="B3947" t="inlineStr">
        <is>
          <t>Processing Unit</t>
        </is>
      </c>
      <c r="C3947" t="inlineStr">
        <is>
          <t>TÜV SÜD Industrie Service GmbH, München, DE</t>
        </is>
      </c>
      <c r="D3947" t="inlineStr">
        <is>
          <t>15.05.2027</t>
        </is>
      </c>
      <c r="E3947" t="inlineStr">
        <is>
          <t>Germany</t>
        </is>
      </c>
    </row>
    <row r="3948">
      <c r="A3948" t="inlineStr">
        <is>
          <t>Baltic Ground Services EE, OÜ,  Tallinn, Estonia</t>
        </is>
      </c>
      <c r="B3948" t="inlineStr">
        <is>
          <t>Trader with Storage, Proof of Compliance Trader</t>
        </is>
      </c>
      <c r="C3948" t="inlineStr">
        <is>
          <t>Bureau Veritas Polska Sp. z o.o., Warsaw, PL</t>
        </is>
      </c>
      <c r="D3948" t="inlineStr">
        <is>
          <t>15.05.2027</t>
        </is>
      </c>
      <c r="E3948" t="inlineStr">
        <is>
          <t>Estonia</t>
        </is>
      </c>
    </row>
    <row r="3949">
      <c r="A3949" t="inlineStr">
        <is>
          <t>Beijing Zhongcheng Jiaye Chemical Trading Co.,Ltd.,  Beijing, China</t>
        </is>
      </c>
      <c r="B3949" t="inlineStr">
        <is>
          <t>Trader</t>
        </is>
      </c>
      <c r="C3949" t="inlineStr">
        <is>
          <t>SCS Global Services, Emeryville, CA, US</t>
        </is>
      </c>
      <c r="D3949" t="inlineStr">
        <is>
          <t>15.05.2027</t>
        </is>
      </c>
      <c r="E3949" t="inlineStr">
        <is>
          <t>China</t>
        </is>
      </c>
    </row>
    <row r="3950">
      <c r="A3950" t="inlineStr">
        <is>
          <t>PT. GUNUNG SELAMAT LESTARI,  Kab. Labuhanbatu Selatan, Provinsi Sumatera Utara, Indonesia</t>
        </is>
      </c>
      <c r="B3950" t="inlineStr">
        <is>
          <t>Point of Origin</t>
        </is>
      </c>
      <c r="C3950" t="inlineStr">
        <is>
          <t>PT. Qualitas Sertifikasi Indonesia, Jakarta, ID</t>
        </is>
      </c>
      <c r="D3950" t="inlineStr">
        <is>
          <t>15.05.2027</t>
        </is>
      </c>
      <c r="E3950" t="inlineStr">
        <is>
          <t>Indonesia</t>
        </is>
      </c>
    </row>
    <row r="3951">
      <c r="A3951" t="inlineStr">
        <is>
          <t>PT. GUNUNG SELAMAT LESTARI,  Kab. Labuhanbatu Selatan, Provinsi Sumatera Utara, Indonesia</t>
        </is>
      </c>
      <c r="B3951" t="inlineStr">
        <is>
          <t>Point of Origin</t>
        </is>
      </c>
      <c r="C3951" t="inlineStr">
        <is>
          <t>PT. Qualitas Sertifikasi Indonesia, Jakarta, ID</t>
        </is>
      </c>
      <c r="D3951" t="inlineStr">
        <is>
          <t>15.05.2027</t>
        </is>
      </c>
      <c r="E3951" t="inlineStr">
        <is>
          <t>Indonesia</t>
        </is>
      </c>
    </row>
    <row r="3952">
      <c r="A3952" t="inlineStr">
        <is>
          <t>Borneo Sawit Persada,  Kab. Kotabaru, Prov. Kalimantan Selatan, Indonesia</t>
        </is>
      </c>
      <c r="B3952" t="inlineStr">
        <is>
          <t>Point of Origin</t>
        </is>
      </c>
      <c r="C3952" t="inlineStr">
        <is>
          <t>PT. Qualitas Sertifikasi Indonesia, Jakarta, ID</t>
        </is>
      </c>
      <c r="D3952" t="inlineStr">
        <is>
          <t>15.05.2027</t>
        </is>
      </c>
      <c r="E3952" t="inlineStr">
        <is>
          <t>Indonesia</t>
        </is>
      </c>
    </row>
    <row r="3953">
      <c r="A3953" t="inlineStr">
        <is>
          <t>Borneo Sawit Persada,  Kab. Kotabaru, Indonesia</t>
        </is>
      </c>
      <c r="B3953" t="inlineStr">
        <is>
          <t>Point of Origin</t>
        </is>
      </c>
      <c r="C3953" t="inlineStr">
        <is>
          <t>PT. Qualitas Sertifikasi Indonesia, Jakarta, ID</t>
        </is>
      </c>
      <c r="D3953" t="inlineStr">
        <is>
          <t>15.05.2027</t>
        </is>
      </c>
      <c r="E3953" t="inlineStr">
        <is>
          <t>Indonesia</t>
        </is>
      </c>
    </row>
    <row r="3954">
      <c r="A3954" t="inlineStr">
        <is>
          <t>Birla Carbon Brazil Ltda.,  Camacari, Bahia, Brazil</t>
        </is>
      </c>
      <c r="B3954" t="inlineStr">
        <is>
          <t>Processing Unit, Trader with Storage</t>
        </is>
      </c>
      <c r="C3954" t="inlineStr">
        <is>
          <t>PT Intertek Utama Services, Jakarta, ID</t>
        </is>
      </c>
      <c r="D3954" t="inlineStr">
        <is>
          <t>15.05.2027</t>
        </is>
      </c>
      <c r="E3954" t="inlineStr">
        <is>
          <t>Brazil</t>
        </is>
      </c>
    </row>
    <row r="3955">
      <c r="A3955" t="inlineStr">
        <is>
          <t>Birla Carbon Brazil Ltda,  Cubatão, Brazil</t>
        </is>
      </c>
      <c r="B3955" t="inlineStr">
        <is>
          <t>Processing Unit, Trader with Storage</t>
        </is>
      </c>
      <c r="C3955" t="inlineStr">
        <is>
          <t>PT Intertek Utama Services, Jakarta, ID</t>
        </is>
      </c>
      <c r="D3955" t="inlineStr">
        <is>
          <t>15.05.2027</t>
        </is>
      </c>
      <c r="E3955" t="inlineStr">
        <is>
          <t>Brazil</t>
        </is>
      </c>
    </row>
    <row r="3956">
      <c r="A3956" t="inlineStr">
        <is>
          <t>Joontjes B.V.,  Meppel, The Netherlands</t>
        </is>
      </c>
      <c r="B3956" t="inlineStr">
        <is>
          <t>Trader with Storage</t>
        </is>
      </c>
      <c r="C3956" t="inlineStr">
        <is>
          <t>SGS Germany GmbH, Emstek, DE</t>
        </is>
      </c>
      <c r="D3956" t="inlineStr">
        <is>
          <t>15.05.2027</t>
        </is>
      </c>
      <c r="E3956" t="inlineStr">
        <is>
          <t>The Netherlands</t>
        </is>
      </c>
    </row>
    <row r="3957">
      <c r="A3957" t="inlineStr">
        <is>
          <t>BO – TI Zrt.,  Hunya, Hungary</t>
        </is>
      </c>
      <c r="B3957" t="inlineStr">
        <is>
          <t>First Gathering Point, Trader with Storage</t>
        </is>
      </c>
      <c r="C3957" t="inlineStr">
        <is>
          <t>BM Certification, Riga, LV</t>
        </is>
      </c>
      <c r="D3957" t="inlineStr">
        <is>
          <t>15.05.2027</t>
        </is>
      </c>
      <c r="E3957" t="inlineStr">
        <is>
          <t>Hungary</t>
        </is>
      </c>
    </row>
    <row r="3958">
      <c r="A3958" t="inlineStr">
        <is>
          <t>Belgomine,  Temse, Belgium</t>
        </is>
      </c>
      <c r="B3958" t="inlineStr">
        <is>
          <t>Trader with Storage</t>
        </is>
      </c>
      <c r="C3958" t="inlineStr">
        <is>
          <t>Control Union Certifications Germany GmbH, Berlin, DE</t>
        </is>
      </c>
      <c r="D3958" t="inlineStr">
        <is>
          <t>15.05.2027</t>
        </is>
      </c>
      <c r="E3958" t="inlineStr">
        <is>
          <t>Belgium</t>
        </is>
      </c>
    </row>
    <row r="3959">
      <c r="A3959" t="inlineStr">
        <is>
          <t>Jowat Klebstoffe,  Elsteraue/ OT Göbitz, Germany</t>
        </is>
      </c>
      <c r="B3959" t="inlineStr">
        <is>
          <t>Processing Unit, Trader with Storage</t>
        </is>
      </c>
      <c r="C3959" t="inlineStr">
        <is>
          <t>GUT Certifizierungsgesellschaft für Managementsysteme mbH Umweltgutachter, Berlin, DE</t>
        </is>
      </c>
      <c r="D3959" t="inlineStr">
        <is>
          <t>15.05.2027</t>
        </is>
      </c>
      <c r="E3959" t="inlineStr">
        <is>
          <t>Germany</t>
        </is>
      </c>
    </row>
    <row r="3960">
      <c r="A3960" t="inlineStr">
        <is>
          <t>Jowat SE,  Detmold, Germany</t>
        </is>
      </c>
      <c r="B3960" t="inlineStr">
        <is>
          <t>Processing Unit, Trader with Storage</t>
        </is>
      </c>
      <c r="C3960" t="inlineStr">
        <is>
          <t>GUT Certifizierungsgesellschaft für Managementsysteme mbH Umweltgutachter, Berlin, DE</t>
        </is>
      </c>
      <c r="D3960" t="inlineStr">
        <is>
          <t>15.05.2027</t>
        </is>
      </c>
      <c r="E3960" t="inlineStr">
        <is>
          <t>Germany</t>
        </is>
      </c>
    </row>
    <row r="3961">
      <c r="A3961" t="inlineStr">
        <is>
          <t>Allnex Norway AS,  Lillestrøm, Norway</t>
        </is>
      </c>
      <c r="B3961" t="inlineStr">
        <is>
          <t>Processing Unit</t>
        </is>
      </c>
      <c r="C3961" t="inlineStr">
        <is>
          <t>SGS Germany GmbH, Emstek, DE</t>
        </is>
      </c>
      <c r="D3961" t="inlineStr">
        <is>
          <t>15.05.2027</t>
        </is>
      </c>
      <c r="E3961" t="inlineStr">
        <is>
          <t>Norway</t>
        </is>
      </c>
    </row>
    <row r="3962">
      <c r="A3962" t="inlineStr">
        <is>
          <t>FeedValid BV,  Zaltbommel, Netherlands</t>
        </is>
      </c>
      <c r="B3962" t="inlineStr">
        <is>
          <t>Collecting Point, Trader</t>
        </is>
      </c>
      <c r="C3962" t="inlineStr">
        <is>
          <t>DEKRA Certification B.V., Arnhem, NL</t>
        </is>
      </c>
      <c r="D3962" t="inlineStr">
        <is>
          <t>15.05.2027</t>
        </is>
      </c>
      <c r="E3962" t="inlineStr">
        <is>
          <t>Netherlands</t>
        </is>
      </c>
    </row>
    <row r="3963">
      <c r="A3963" t="inlineStr">
        <is>
          <t>EURASIACORP NV,  Destelbergen, Belgium</t>
        </is>
      </c>
      <c r="B3963" t="inlineStr">
        <is>
          <t>Trader with Storage</t>
        </is>
      </c>
      <c r="C3963" t="inlineStr">
        <is>
          <t>DEKRA Certification B.V., Arnhem, NL</t>
        </is>
      </c>
      <c r="D3963" t="inlineStr">
        <is>
          <t>15.05.2027</t>
        </is>
      </c>
      <c r="E3963" t="inlineStr">
        <is>
          <t>Belgium</t>
        </is>
      </c>
    </row>
    <row r="3964">
      <c r="A3964" t="inlineStr">
        <is>
          <t>NOX Corporation (Bongsan),  Bongsan-myeon, Yesan-gun, Chungcheongnam-do, Korea, Republic of</t>
        </is>
      </c>
      <c r="B3964" t="inlineStr">
        <is>
          <t>Processing Unit</t>
        </is>
      </c>
      <c r="C3964" t="inlineStr">
        <is>
          <t>Control Union Certifications Germany GmbH, Berlin, DE</t>
        </is>
      </c>
      <c r="D3964" t="inlineStr">
        <is>
          <t>15.05.2027</t>
        </is>
      </c>
      <c r="E3964" t="inlineStr">
        <is>
          <t>Republic of</t>
        </is>
      </c>
    </row>
    <row r="3965">
      <c r="A3965" t="inlineStr">
        <is>
          <t>TSUBAKURO CHEMICAL INDUSTRY CO.,LTD.,  SODEGAURA, Japan</t>
        </is>
      </c>
      <c r="B3965" t="inlineStr">
        <is>
          <t>Processing Unit</t>
        </is>
      </c>
      <c r="C3965" t="inlineStr">
        <is>
          <t>SGS Germany GmbH, Emstek, DE</t>
        </is>
      </c>
      <c r="D3965" t="inlineStr">
        <is>
          <t>15.05.2027</t>
        </is>
      </c>
      <c r="E3965" t="inlineStr">
        <is>
          <t>Japan</t>
        </is>
      </c>
    </row>
    <row r="3966">
      <c r="A3966" t="inlineStr">
        <is>
          <t>TOYO STYRENE CO.,LTD.,  Ichiharashi-shi Chiba, Japan</t>
        </is>
      </c>
      <c r="B3966" t="inlineStr">
        <is>
          <t>Collecting Point, Point of Origin, Processing Unit</t>
        </is>
      </c>
      <c r="C3966" t="inlineStr">
        <is>
          <t>SGS Germany GmbH, Emstek, DE</t>
        </is>
      </c>
      <c r="D3966" t="inlineStr">
        <is>
          <t>15.05.2027</t>
        </is>
      </c>
      <c r="E3966" t="inlineStr">
        <is>
          <t>Japan</t>
        </is>
      </c>
    </row>
    <row r="3967">
      <c r="A3967" t="inlineStr">
        <is>
          <t>TSUBAKURO CHEMICAL INDUSTRY CO.,LTD.,  KOHOKU-KU YOKOHAMA, Japan</t>
        </is>
      </c>
      <c r="B3967" t="inlineStr">
        <is>
          <t>Processing Unit</t>
        </is>
      </c>
      <c r="C3967" t="inlineStr">
        <is>
          <t>SGS Germany GmbH, Emstek, DE</t>
        </is>
      </c>
      <c r="D3967" t="inlineStr">
        <is>
          <t>15.05.2027</t>
        </is>
      </c>
      <c r="E3967" t="inlineStr">
        <is>
          <t>Japan</t>
        </is>
      </c>
    </row>
    <row r="3968">
      <c r="A3968" t="inlineStr">
        <is>
          <t>OLIO Spezial Speisefett Speiseöl GmbH,  Pennewang, Austria</t>
        </is>
      </c>
      <c r="B3968" t="inlineStr">
        <is>
          <t>Collecting Point</t>
        </is>
      </c>
      <c r="C3968" t="inlineStr">
        <is>
          <t>agroVet GmbH, Enzersfeld, AT</t>
        </is>
      </c>
      <c r="D3968" t="inlineStr">
        <is>
          <t>15.05.2027</t>
        </is>
      </c>
      <c r="E3968" t="inlineStr">
        <is>
          <t>Austria</t>
        </is>
      </c>
    </row>
    <row r="3969">
      <c r="A3969" t="inlineStr">
        <is>
          <t>Dimitrios Trikkas Monoprosopi IKE,  Chalkis, Greece</t>
        </is>
      </c>
      <c r="B3969" t="inlineStr">
        <is>
          <t>Collecting Point</t>
        </is>
      </c>
      <c r="C3969" t="inlineStr">
        <is>
          <t>Eurocert SA, Metamorfosi, Athens, GR</t>
        </is>
      </c>
      <c r="D3969" t="inlineStr">
        <is>
          <t>15.05.2027</t>
        </is>
      </c>
      <c r="E3969" t="inlineStr">
        <is>
          <t>Greece</t>
        </is>
      </c>
    </row>
    <row r="3970">
      <c r="A3970" t="inlineStr">
        <is>
          <t>Xuzhou Guoxing Recycling Resources Utilization Co., Ltd.,  Pei County,Xuzhou City, Jiangsu Province, China</t>
        </is>
      </c>
      <c r="B3970" t="inlineStr">
        <is>
          <t>Trader with Storage</t>
        </is>
      </c>
      <c r="C3970" t="inlineStr">
        <is>
          <t>China Classification Society Certification Co., Ltd, Dong Cheng District, Beijing, CN</t>
        </is>
      </c>
      <c r="D3970" t="inlineStr">
        <is>
          <t>15.05.2027</t>
        </is>
      </c>
      <c r="E3970" t="inlineStr">
        <is>
          <t>China</t>
        </is>
      </c>
    </row>
    <row r="3971">
      <c r="A3971" t="inlineStr">
        <is>
          <t>DYNAMIC FRANK SDN. BHD.,  Perai, Malaysia</t>
        </is>
      </c>
      <c r="B3971" t="inlineStr">
        <is>
          <t>Processing Unit, Trader with Storage</t>
        </is>
      </c>
      <c r="C3971" t="inlineStr">
        <is>
          <t>SGS Germany GmbH, Emstek, DE</t>
        </is>
      </c>
      <c r="D3971" t="inlineStr">
        <is>
          <t>15.05.2027</t>
        </is>
      </c>
      <c r="E3971" t="inlineStr">
        <is>
          <t>Malaysia</t>
        </is>
      </c>
    </row>
    <row r="3972">
      <c r="A3972" t="inlineStr">
        <is>
          <t>PT Maju Aneka Sawit,  Kotawaringin Timur, Kalimantan Tengah, Indonesia</t>
        </is>
      </c>
      <c r="B3972" t="inlineStr">
        <is>
          <t>Farm / Plantation, Point of Origin, Processing Unit</t>
        </is>
      </c>
      <c r="C3972" t="inlineStr">
        <is>
          <t>Control Union Certifications Germany GmbH, Berlin, DE</t>
        </is>
      </c>
      <c r="D3972" t="inlineStr">
        <is>
          <t>15.05.2027</t>
        </is>
      </c>
      <c r="E3972" t="inlineStr">
        <is>
          <t>Indonesia</t>
        </is>
      </c>
    </row>
    <row r="3973">
      <c r="A3973" t="inlineStr">
        <is>
          <t>IBIOMARC EUROPEA DE ACEITES,  ELCHE, Spain</t>
        </is>
      </c>
      <c r="B3973" t="inlineStr">
        <is>
          <t>Trader</t>
        </is>
      </c>
      <c r="C3973" t="inlineStr">
        <is>
          <t>RINA Services S.p.A., Genova, IT</t>
        </is>
      </c>
      <c r="D3973" t="inlineStr">
        <is>
          <t>15.05.2027</t>
        </is>
      </c>
      <c r="E3973" t="inlineStr">
        <is>
          <t>Spain</t>
        </is>
      </c>
    </row>
    <row r="3974">
      <c r="A3974" t="inlineStr">
        <is>
          <t>Agri Energy Vrå P/S,  Vrå, Denmark</t>
        </is>
      </c>
      <c r="B3974" t="inlineStr">
        <is>
          <t>Collecting Point, First Gathering Point, Processing Unit</t>
        </is>
      </c>
      <c r="C3974" t="inlineStr">
        <is>
          <t>Baltic Control Certification, Albertslund, DK</t>
        </is>
      </c>
      <c r="D3974" t="inlineStr">
        <is>
          <t>15.05.2027</t>
        </is>
      </c>
      <c r="E3974" t="inlineStr">
        <is>
          <t>Denmark</t>
        </is>
      </c>
    </row>
    <row r="3975">
      <c r="A3975" t="inlineStr">
        <is>
          <t>Eko-Robak Andrzej Robaczewski,  Szubin, Poland</t>
        </is>
      </c>
      <c r="B3975" t="inlineStr">
        <is>
          <t>Collecting Point, Trader with Storage</t>
        </is>
      </c>
      <c r="C3975" t="inlineStr">
        <is>
          <t>Bureau Veritas Polska Sp. z o.o., Warsaw, PL</t>
        </is>
      </c>
      <c r="D3975" t="inlineStr">
        <is>
          <t>15.05.2027</t>
        </is>
      </c>
      <c r="E3975" t="inlineStr">
        <is>
          <t>Poland</t>
        </is>
      </c>
    </row>
    <row r="3976">
      <c r="A3976" t="inlineStr">
        <is>
          <t>Esseterre Bulgaria LTD,  Dobrich, Bulgaria</t>
        </is>
      </c>
      <c r="B3976" t="inlineStr">
        <is>
          <t>Point of Origin</t>
        </is>
      </c>
      <c r="C3976" t="inlineStr">
        <is>
          <t>SGS Germany GmbH, Emstek, DE</t>
        </is>
      </c>
      <c r="D3976" t="inlineStr">
        <is>
          <t>14.05.2027</t>
        </is>
      </c>
      <c r="E3976" t="inlineStr">
        <is>
          <t>Bulgaria</t>
        </is>
      </c>
    </row>
    <row r="3977">
      <c r="A3977" t="inlineStr">
        <is>
          <t>SOP Edible Oils Sdn. Bhd.,  Bintulu, Sarawak, Malaysia</t>
        </is>
      </c>
      <c r="B3977" t="inlineStr">
        <is>
          <t>Point of Origin</t>
        </is>
      </c>
      <c r="C3977" t="inlineStr">
        <is>
          <t>ASG Cert GmbH, Munich, DE</t>
        </is>
      </c>
      <c r="D3977" t="inlineStr">
        <is>
          <t>14.05.2027</t>
        </is>
      </c>
      <c r="E3977" t="inlineStr">
        <is>
          <t>Malaysia</t>
        </is>
      </c>
    </row>
    <row r="3978">
      <c r="A3978" t="inlineStr">
        <is>
          <t>SOP Green Energy Sdn Bhd,  Bintulu, Sarawak, Malaysia</t>
        </is>
      </c>
      <c r="B3978" t="inlineStr">
        <is>
          <t>Trader with Storage</t>
        </is>
      </c>
      <c r="C3978" t="inlineStr">
        <is>
          <t>ASG Cert GmbH, Munich, DE</t>
        </is>
      </c>
      <c r="D3978" t="inlineStr">
        <is>
          <t>14.05.2027</t>
        </is>
      </c>
      <c r="E3978" t="inlineStr">
        <is>
          <t>Malaysia</t>
        </is>
      </c>
    </row>
    <row r="3979">
      <c r="A3979" t="inlineStr">
        <is>
          <t>Moeve, S.A,  Santa Cruz de Tenerife, Spain</t>
        </is>
      </c>
      <c r="B3979" t="inlineStr">
        <is>
          <t>Trader with Storage</t>
        </is>
      </c>
      <c r="C3979" t="inlineStr">
        <is>
          <t>Control Union Poland Sp. z o.o., Zielona Gora, PL</t>
        </is>
      </c>
      <c r="D3979" t="inlineStr">
        <is>
          <t>14.05.2027</t>
        </is>
      </c>
      <c r="E3979" t="inlineStr">
        <is>
          <t>Spain</t>
        </is>
      </c>
    </row>
    <row r="3980">
      <c r="A3980" t="inlineStr">
        <is>
          <t>ACEITES ABRIL, S.L.,  SAN CIBRAO DAS VIÑAS - OURENSE, Spain</t>
        </is>
      </c>
      <c r="B3980" t="inlineStr">
        <is>
          <t>Point of Origin</t>
        </is>
      </c>
      <c r="C3980" t="inlineStr">
        <is>
          <t>Amspec Iberia SL, Vilagarcia de Arousa-Pontevedra, ES</t>
        </is>
      </c>
      <c r="D3980" t="inlineStr">
        <is>
          <t>14.05.2027</t>
        </is>
      </c>
      <c r="E3980" t="inlineStr">
        <is>
          <t>Spain</t>
        </is>
      </c>
    </row>
    <row r="3981">
      <c r="A3981" t="inlineStr">
        <is>
          <t>Anew Gas Marketing,  Houston, United States</t>
        </is>
      </c>
      <c r="B3981" t="inlineStr">
        <is>
          <t>Trader</t>
        </is>
      </c>
      <c r="C3981" t="inlineStr">
        <is>
          <t>SCS Global Services, Emeryville, CA, US</t>
        </is>
      </c>
      <c r="D3981" t="inlineStr">
        <is>
          <t>14.05.2027</t>
        </is>
      </c>
      <c r="E3981" t="inlineStr">
        <is>
          <t>United States</t>
        </is>
      </c>
    </row>
    <row r="3982">
      <c r="A3982" t="inlineStr">
        <is>
          <t>Anew Gas Marketing,  Houston, United States</t>
        </is>
      </c>
      <c r="B3982" t="inlineStr">
        <is>
          <t>Trader</t>
        </is>
      </c>
      <c r="C3982" t="inlineStr">
        <is>
          <t>SCS Global Services, Emeryville, CA, US</t>
        </is>
      </c>
      <c r="D3982" t="inlineStr">
        <is>
          <t>14.05.2027</t>
        </is>
      </c>
      <c r="E3982" t="inlineStr">
        <is>
          <t>United States</t>
        </is>
      </c>
    </row>
    <row r="3983">
      <c r="A3983" t="inlineStr">
        <is>
          <t>FVR Renewables Supplies Sdn Bhd,  Pasir Gudang, Malaysia</t>
        </is>
      </c>
      <c r="B3983" t="inlineStr">
        <is>
          <t>Trader with Storage</t>
        </is>
      </c>
      <c r="C3983" t="inlineStr">
        <is>
          <t>PT. CBQA GLOBAL INDONESIA, JAKARTA SELATAN, ID</t>
        </is>
      </c>
      <c r="D3983" t="inlineStr">
        <is>
          <t>14.05.2027</t>
        </is>
      </c>
      <c r="E3983" t="inlineStr">
        <is>
          <t>Malaysia</t>
        </is>
      </c>
    </row>
    <row r="3984">
      <c r="A3984" t="inlineStr">
        <is>
          <t>Wenzhou Outlook Optical Co., Ltd,  Wenzhou, Zhejiang Province, China</t>
        </is>
      </c>
      <c r="B3984" t="inlineStr">
        <is>
          <t>Trader</t>
        </is>
      </c>
      <c r="C3984" t="inlineStr">
        <is>
          <t>SCS Global Services, Emeryville, CA, US</t>
        </is>
      </c>
      <c r="D3984" t="inlineStr">
        <is>
          <t>14.05.2027</t>
        </is>
      </c>
      <c r="E3984" t="inlineStr">
        <is>
          <t>China</t>
        </is>
      </c>
    </row>
    <row r="3985">
      <c r="A3985" t="inlineStr">
        <is>
          <t>KB GIŽAI,  Senkiskiu K., Vilkaviskio R., Lithuania</t>
        </is>
      </c>
      <c r="B3985" t="inlineStr">
        <is>
          <t>First Gathering Point, Trader with Storage</t>
        </is>
      </c>
      <c r="C3985" t="inlineStr">
        <is>
          <t>Bureau Veritas Polska Sp. z o.o., Warsaw, PL</t>
        </is>
      </c>
      <c r="D3985" t="inlineStr">
        <is>
          <t>14.05.2027</t>
        </is>
      </c>
      <c r="E3985" t="inlineStr">
        <is>
          <t>Lithuania</t>
        </is>
      </c>
    </row>
    <row r="3986">
      <c r="A3986" t="inlineStr">
        <is>
          <t>ORIENTAL PETROCHEMICAL (TAIWAN) CO., LTD.,  Guanyin Dist.,Taoyuan City, Taiwan</t>
        </is>
      </c>
      <c r="B3986" t="inlineStr">
        <is>
          <t>Processing Unit</t>
        </is>
      </c>
      <c r="C3986" t="inlineStr">
        <is>
          <t>Bureau Veritas Polska Sp. z o.o., Warsaw, PL</t>
        </is>
      </c>
      <c r="D3986" t="inlineStr">
        <is>
          <t>14.05.2027</t>
        </is>
      </c>
      <c r="E3986" t="inlineStr">
        <is>
          <t>Taiwan</t>
        </is>
      </c>
    </row>
    <row r="3987">
      <c r="A3987" t="inlineStr">
        <is>
          <t>Envalior (Emmen) B.V.,  Emmen, Netherlands</t>
        </is>
      </c>
      <c r="B3987" t="inlineStr">
        <is>
          <t>Processing Unit</t>
        </is>
      </c>
      <c r="C3987" t="inlineStr">
        <is>
          <t>TÜV NORD CERT GmbH, Essen, DE</t>
        </is>
      </c>
      <c r="D3987" t="inlineStr">
        <is>
          <t>14.05.2027</t>
        </is>
      </c>
      <c r="E3987" t="inlineStr">
        <is>
          <t>Netherlands</t>
        </is>
      </c>
    </row>
    <row r="3988">
      <c r="A3988" t="inlineStr">
        <is>
          <t>Oliva AD,  Knezha, Bulgaria</t>
        </is>
      </c>
      <c r="B3988" t="inlineStr">
        <is>
          <t>First Gathering Point, Trader with Storage, Point of Origin, Processing Unit</t>
        </is>
      </c>
      <c r="C3988" t="inlineStr">
        <is>
          <t>Bureau Veritas Polska Sp. z o.o., Warsaw, PL</t>
        </is>
      </c>
      <c r="D3988" t="inlineStr">
        <is>
          <t>14.05.2027</t>
        </is>
      </c>
      <c r="E3988" t="inlineStr">
        <is>
          <t>Bulgaria</t>
        </is>
      </c>
    </row>
    <row r="3989">
      <c r="A3989" t="inlineStr">
        <is>
          <t>Covestro,  South Charleston, United States</t>
        </is>
      </c>
      <c r="B3989" t="inlineStr">
        <is>
          <t>Processing Unit, Trader with Storage</t>
        </is>
      </c>
      <c r="C3989" t="inlineStr">
        <is>
          <t>DQS CFS GmbH - Deutsche Gesellschaft für Nachhaltigkeit, Frankfurt am Main, DE</t>
        </is>
      </c>
      <c r="D3989" t="inlineStr">
        <is>
          <t>14.05.2027</t>
        </is>
      </c>
      <c r="E3989" t="inlineStr">
        <is>
          <t>United States</t>
        </is>
      </c>
    </row>
    <row r="3990">
      <c r="A3990" t="inlineStr">
        <is>
          <t>Enimoov Austria GmbH,  Wien, Austria</t>
        </is>
      </c>
      <c r="B3990" t="inlineStr">
        <is>
          <t>Trader with Storage, Proof of Compliance Trader</t>
        </is>
      </c>
      <c r="C3990" t="inlineStr">
        <is>
          <t>agroVet GmbH, Enzersfeld, AT</t>
        </is>
      </c>
      <c r="D3990" t="inlineStr">
        <is>
          <t>14.05.2027</t>
        </is>
      </c>
      <c r="E3990" t="inlineStr">
        <is>
          <t>Austria</t>
        </is>
      </c>
    </row>
    <row r="3991">
      <c r="A3991" t="inlineStr">
        <is>
          <t>Weebo Corporation Limited,  Kwai Chung, Hong Kong, Hong Kong</t>
        </is>
      </c>
      <c r="B3991" t="inlineStr">
        <is>
          <t>Trader</t>
        </is>
      </c>
      <c r="C3991" t="inlineStr">
        <is>
          <t>DIN CERTCO GmbH, Berlin, DE</t>
        </is>
      </c>
      <c r="D3991" t="inlineStr">
        <is>
          <t>14.05.2027</t>
        </is>
      </c>
      <c r="E3991" t="inlineStr">
        <is>
          <t>Hong Kong</t>
        </is>
      </c>
    </row>
    <row r="3992">
      <c r="A3992" t="inlineStr">
        <is>
          <t>EVA OVERSEAS INTERNATIONAL LIMITED,  Hong Kong, Hong Kong, SAR, China</t>
        </is>
      </c>
      <c r="B3992" t="inlineStr">
        <is>
          <t>Trader</t>
        </is>
      </c>
      <c r="C3992" t="inlineStr">
        <is>
          <t>CTI Certification Co. Ltd, Shenzhen, CN</t>
        </is>
      </c>
      <c r="D3992" t="inlineStr">
        <is>
          <t>14.05.2027</t>
        </is>
      </c>
      <c r="E3992" t="inlineStr">
        <is>
          <t>China</t>
        </is>
      </c>
    </row>
    <row r="3993">
      <c r="A3993" t="inlineStr">
        <is>
          <t>HONEST EU Sp. z.o.o.,  Cieszyn, Poland</t>
        </is>
      </c>
      <c r="B3993" t="inlineStr">
        <is>
          <t>Collecting Point, Trader with Storage</t>
        </is>
      </c>
      <c r="C3993" t="inlineStr">
        <is>
          <t>DNV Business Assurance Sweden AB, Solna, SE</t>
        </is>
      </c>
      <c r="D3993" t="inlineStr">
        <is>
          <t>14.05.2027</t>
        </is>
      </c>
      <c r="E3993" t="inlineStr">
        <is>
          <t>Poland</t>
        </is>
      </c>
    </row>
    <row r="3994">
      <c r="A3994" t="inlineStr">
        <is>
          <t>GNG Group Limited,  Normanton, United Kingdom</t>
        </is>
      </c>
      <c r="B3994" t="inlineStr">
        <is>
          <t>Final Product Refinement</t>
        </is>
      </c>
      <c r="C3994" t="inlineStr">
        <is>
          <t>ISOQAR Ltd, Stretford, Manchester, GB</t>
        </is>
      </c>
      <c r="D3994" t="inlineStr">
        <is>
          <t>14.05.2027</t>
        </is>
      </c>
      <c r="E3994" t="inlineStr">
        <is>
          <t>United Kingdom</t>
        </is>
      </c>
    </row>
    <row r="3995">
      <c r="A3995" t="inlineStr">
        <is>
          <t>CEB - COMPAGNIA ENERGETICA BELLUNESE SRL,  LONGARONE, Italy</t>
        </is>
      </c>
      <c r="B3995" t="inlineStr">
        <is>
          <t>Processing Unit, Trader with Storage</t>
        </is>
      </c>
      <c r="C3995" t="inlineStr">
        <is>
          <t>SGS Germany GmbH, Emstek, DE</t>
        </is>
      </c>
      <c r="D3995" t="inlineStr">
        <is>
          <t>14.05.2027</t>
        </is>
      </c>
      <c r="E3995" t="inlineStr">
        <is>
          <t>Italy</t>
        </is>
      </c>
    </row>
    <row r="3996">
      <c r="A3996" t="inlineStr">
        <is>
          <t>Mencast Offshore &amp; Marine Pte Ltd,  Singapore, Singapore</t>
        </is>
      </c>
      <c r="B3996" t="inlineStr">
        <is>
          <t>Collecting Point, Processing Unit</t>
        </is>
      </c>
      <c r="C3996" t="inlineStr">
        <is>
          <t>TÜV NORD CERT GmbH, Essen, DE</t>
        </is>
      </c>
      <c r="D3996" t="inlineStr">
        <is>
          <t>14.05.2027</t>
        </is>
      </c>
      <c r="E3996" t="inlineStr">
        <is>
          <t>Singapore</t>
        </is>
      </c>
    </row>
    <row r="3997">
      <c r="A3997" t="inlineStr">
        <is>
          <t>Europack,  Popovo, Bulgaria</t>
        </is>
      </c>
      <c r="B3997" t="inlineStr">
        <is>
          <t>Point of Origin, Processing Unit, Warehouse</t>
        </is>
      </c>
      <c r="C3997" t="inlineStr">
        <is>
          <t>Bureau Veritas Polska Sp. z o.o., Warsaw, PL</t>
        </is>
      </c>
      <c r="D3997" t="inlineStr">
        <is>
          <t>14.05.2027</t>
        </is>
      </c>
      <c r="E3997" t="inlineStr">
        <is>
          <t>Bulgaria</t>
        </is>
      </c>
    </row>
    <row r="3998">
      <c r="A3998" t="inlineStr">
        <is>
          <t>JERNIH KEMBOJA (SEGAMAT),  SEGAMAT, Malaysia</t>
        </is>
      </c>
      <c r="B3998" t="inlineStr">
        <is>
          <t>Point of Origin</t>
        </is>
      </c>
      <c r="C3998" t="inlineStr">
        <is>
          <t>Trans Certification and Inspection Sdn Bhd, Kuantan, MY</t>
        </is>
      </c>
      <c r="D3998" t="inlineStr">
        <is>
          <t>14.05.2027</t>
        </is>
      </c>
      <c r="E3998" t="inlineStr">
        <is>
          <t>Malaysia</t>
        </is>
      </c>
    </row>
    <row r="3999">
      <c r="A3999" t="inlineStr">
        <is>
          <t>Weifang Xinnongwang Biotechnology Co., Ltd.,  Weifang City, Shandong Province, China</t>
        </is>
      </c>
      <c r="B3999" t="inlineStr">
        <is>
          <t>Collecting Point, Trader with Storage</t>
        </is>
      </c>
      <c r="C3999" t="inlineStr">
        <is>
          <t>SCS Global Services, Emeryville, CA, US</t>
        </is>
      </c>
      <c r="D3999" t="inlineStr">
        <is>
          <t>14.05.2027</t>
        </is>
      </c>
      <c r="E3999" t="inlineStr">
        <is>
          <t>China</t>
        </is>
      </c>
    </row>
    <row r="4000">
      <c r="A4000" t="inlineStr">
        <is>
          <t>TOV «KATERYNOPILSKIY TORHOVYI DIM»,  city-type village of Yerky, Ukraine</t>
        </is>
      </c>
      <c r="B4000" t="inlineStr">
        <is>
          <t>First Gathering Point, Trader</t>
        </is>
      </c>
      <c r="C4000" t="inlineStr">
        <is>
          <t>Baltic Control Certification, Albertslund, DK</t>
        </is>
      </c>
      <c r="D4000" t="inlineStr">
        <is>
          <t>14.05.2027</t>
        </is>
      </c>
      <c r="E4000" t="inlineStr">
        <is>
          <t>Ukraine</t>
        </is>
      </c>
    </row>
    <row r="4001">
      <c r="A4001" t="inlineStr">
        <is>
          <t>JiangSu Jin Zhida New Materials CO., Ltd.,  Zhang Jiagang, China</t>
        </is>
      </c>
      <c r="B4001" t="inlineStr">
        <is>
          <t>Processing Unit</t>
        </is>
      </c>
      <c r="C4001" t="inlineStr">
        <is>
          <t>DQS CFS GmbH - Deutsche Gesellschaft für Nachhaltigkeit, Frankfurt am Main, DE</t>
        </is>
      </c>
      <c r="D4001" t="inlineStr">
        <is>
          <t>14.05.2027</t>
        </is>
      </c>
      <c r="E4001" t="inlineStr">
        <is>
          <t>China</t>
        </is>
      </c>
    </row>
    <row r="4002">
      <c r="A4002" t="inlineStr">
        <is>
          <t>Europack,  Popovo, Bulgaria</t>
        </is>
      </c>
      <c r="B4002" t="inlineStr">
        <is>
          <t>Warehouse, Processing Unit</t>
        </is>
      </c>
      <c r="C4002" t="inlineStr">
        <is>
          <t>Bureau Veritas Polska Sp. z o.o., Warsaw, PL</t>
        </is>
      </c>
      <c r="D4002" t="inlineStr">
        <is>
          <t>14.05.2027</t>
        </is>
      </c>
      <c r="E4002" t="inlineStr">
        <is>
          <t>Bulgaria</t>
        </is>
      </c>
    </row>
    <row r="4003">
      <c r="A4003" t="inlineStr">
        <is>
          <t>SICET - Società Italiana Centrali Elettrotermiche Srl,  OSPITALE DI CADORE, Italy</t>
        </is>
      </c>
      <c r="B4003" t="inlineStr">
        <is>
          <t>Processing Unit, Trader with Storage</t>
        </is>
      </c>
      <c r="C4003" t="inlineStr">
        <is>
          <t>SGS Germany GmbH, Emstek, DE</t>
        </is>
      </c>
      <c r="D4003" t="inlineStr">
        <is>
          <t>14.05.2027</t>
        </is>
      </c>
      <c r="E4003" t="inlineStr">
        <is>
          <t>Italy</t>
        </is>
      </c>
    </row>
    <row r="4004">
      <c r="A4004" t="inlineStr">
        <is>
          <t>Hebi Zhonghao New Materials Technology Co., Ltd.,  Hebi City, China</t>
        </is>
      </c>
      <c r="B4004" t="inlineStr">
        <is>
          <t>Processing Unit</t>
        </is>
      </c>
      <c r="C4004" t="inlineStr">
        <is>
          <t>SGS Germany GmbH, Emstek, DE</t>
        </is>
      </c>
      <c r="D4004" t="inlineStr">
        <is>
          <t>14.05.2027</t>
        </is>
      </c>
      <c r="E4004" t="inlineStr">
        <is>
          <t>China</t>
        </is>
      </c>
    </row>
    <row r="4005">
      <c r="A4005" t="inlineStr">
        <is>
          <t>Hilditch Pty. Ltd.,  East Melbourne, Australia</t>
        </is>
      </c>
      <c r="B4005" t="inlineStr">
        <is>
          <t>Logistics Center, Collecting Point, Trader with Storage</t>
        </is>
      </c>
      <c r="C4005" t="inlineStr">
        <is>
          <t>BM Certification, Riga, LV</t>
        </is>
      </c>
      <c r="D4005" t="inlineStr">
        <is>
          <t>14.05.2027</t>
        </is>
      </c>
      <c r="E4005" t="inlineStr">
        <is>
          <t>Australia</t>
        </is>
      </c>
    </row>
    <row r="4006">
      <c r="A4006" t="inlineStr">
        <is>
          <t>TIRYAKI TAHIL VE YEM TICARET ANONIM SIRKETI,  ÜSKÜDAR/ ISTANBUL, Türkiye</t>
        </is>
      </c>
      <c r="B4006" t="inlineStr">
        <is>
          <t>First Gathering Point</t>
        </is>
      </c>
      <c r="C4006" t="inlineStr">
        <is>
          <t>Trans Certification and Inspection Sdn Bhd, Kuantan, MY</t>
        </is>
      </c>
      <c r="D4006" t="inlineStr">
        <is>
          <t>14.05.2027</t>
        </is>
      </c>
      <c r="E4006" t="inlineStr">
        <is>
          <t>Türkiye</t>
        </is>
      </c>
    </row>
    <row r="4007">
      <c r="A4007" t="inlineStr">
        <is>
          <t>Euroconsult,  Sofia, Bulgaria</t>
        </is>
      </c>
      <c r="B4007" t="inlineStr">
        <is>
          <t>Trader</t>
        </is>
      </c>
      <c r="C4007" t="inlineStr">
        <is>
          <t>Bureau Veritas Polska Sp. z o.o., Warsaw, PL</t>
        </is>
      </c>
      <c r="D4007" t="inlineStr">
        <is>
          <t>14.05.2027</t>
        </is>
      </c>
      <c r="E4007" t="inlineStr">
        <is>
          <t>Bulgaria</t>
        </is>
      </c>
    </row>
    <row r="4008">
      <c r="A4008" t="inlineStr">
        <is>
          <t>Euroconsult,  Sofia, Bulgaria</t>
        </is>
      </c>
      <c r="B4008" t="inlineStr">
        <is>
          <t>Trader</t>
        </is>
      </c>
      <c r="C4008" t="inlineStr">
        <is>
          <t>Bureau Veritas Polska Sp. z o.o., Warsaw, PL</t>
        </is>
      </c>
      <c r="D4008" t="inlineStr">
        <is>
          <t>14.05.2027</t>
        </is>
      </c>
      <c r="E4008" t="inlineStr">
        <is>
          <t>Bulgaria</t>
        </is>
      </c>
    </row>
    <row r="4009">
      <c r="A4009" t="inlineStr">
        <is>
          <t>SHAOXING JINSHENG PLASTIC CO.,LTD,  Shaoxing City, Zhejiang Province, China</t>
        </is>
      </c>
      <c r="B4009" t="inlineStr">
        <is>
          <t>Processing Unit</t>
        </is>
      </c>
      <c r="C4009" t="inlineStr">
        <is>
          <t>Bureau Veritas Polska Sp. z o.o., Warsaw, PL</t>
        </is>
      </c>
      <c r="D4009" t="inlineStr">
        <is>
          <t>14.05.2027</t>
        </is>
      </c>
      <c r="E4009" t="inlineStr">
        <is>
          <t>China</t>
        </is>
      </c>
    </row>
    <row r="4010">
      <c r="A4010" t="inlineStr">
        <is>
          <t>Conestoga Energy Partners, LLC,  Liberal, United States</t>
        </is>
      </c>
      <c r="B4010" t="inlineStr">
        <is>
          <t>First Gathering Point, Processing Unit, Point of Origin</t>
        </is>
      </c>
      <c r="C4010" t="inlineStr">
        <is>
          <t>SCS Global Services, Emeryville, CA, US</t>
        </is>
      </c>
      <c r="D4010" t="inlineStr">
        <is>
          <t>14.05.2027</t>
        </is>
      </c>
      <c r="E4010" t="inlineStr">
        <is>
          <t>United States</t>
        </is>
      </c>
    </row>
    <row r="4011">
      <c r="A4011" t="inlineStr">
        <is>
          <t>Mipeoils - Oils 4 The Future, Lda,  VENDAS NOVAS, Portugal</t>
        </is>
      </c>
      <c r="B4011" t="inlineStr">
        <is>
          <t>Collecting Point, Point of Origin, Processing Unit, Trader with Storage</t>
        </is>
      </c>
      <c r="C4011" t="inlineStr">
        <is>
          <t>DNV Business Assurance Sweden AB, Solna, SE</t>
        </is>
      </c>
      <c r="D4011" t="inlineStr">
        <is>
          <t>14.05.2027</t>
        </is>
      </c>
      <c r="E4011" t="inlineStr">
        <is>
          <t>Portugal</t>
        </is>
      </c>
    </row>
    <row r="4012">
      <c r="A4012" t="inlineStr">
        <is>
          <t>Amcor Flexibles UK LTD,  Ilkeston, United Kingdom</t>
        </is>
      </c>
      <c r="B4012" t="inlineStr">
        <is>
          <t>Processing Unit</t>
        </is>
      </c>
      <c r="C4012" t="inlineStr">
        <is>
          <t>Aardvark Certification Ltd, Wiveliscombe, Somerset, GB</t>
        </is>
      </c>
      <c r="D4012" t="inlineStr">
        <is>
          <t>14.05.2027</t>
        </is>
      </c>
      <c r="E4012" t="inlineStr">
        <is>
          <t>United Kingdom</t>
        </is>
      </c>
    </row>
    <row r="4013">
      <c r="A4013" t="inlineStr">
        <is>
          <t>Allanasons Private Limited,  Zaheerabad, Sangareddy, India</t>
        </is>
      </c>
      <c r="B4013" t="inlineStr">
        <is>
          <t>Point of Origin</t>
        </is>
      </c>
      <c r="C4013" t="inlineStr">
        <is>
          <t>SGS Germany GmbH, Emstek, DE</t>
        </is>
      </c>
      <c r="D4013" t="inlineStr">
        <is>
          <t>14.05.2027</t>
        </is>
      </c>
      <c r="E4013" t="inlineStr">
        <is>
          <t>India</t>
        </is>
      </c>
    </row>
    <row r="4014">
      <c r="A4014" t="inlineStr">
        <is>
          <t>LIANYUNGANG HERUN CHEMICAL CO.,LTD.,  LIANYUNGANG, JIANGSU, China</t>
        </is>
      </c>
      <c r="B4014" t="inlineStr">
        <is>
          <t>Processing Unit, Trader with Storage</t>
        </is>
      </c>
      <c r="C4014" t="inlineStr">
        <is>
          <t>RINA Services S.p.A., Genova, IT</t>
        </is>
      </c>
      <c r="D4014" t="inlineStr">
        <is>
          <t>14.05.2027</t>
        </is>
      </c>
      <c r="E4014" t="inlineStr">
        <is>
          <t>China</t>
        </is>
      </c>
    </row>
    <row r="4015">
      <c r="A4015" t="inlineStr">
        <is>
          <t>Brantner Österreich GmbH,  Krems, Austria</t>
        </is>
      </c>
      <c r="B4015" t="inlineStr">
        <is>
          <t>Logistics Center</t>
        </is>
      </c>
      <c r="C4015" t="inlineStr">
        <is>
          <t>agroVet GmbH, Enzersfeld, AT</t>
        </is>
      </c>
      <c r="D4015" t="inlineStr">
        <is>
          <t>14.05.2027</t>
        </is>
      </c>
      <c r="E4015" t="inlineStr">
        <is>
          <t>Austria</t>
        </is>
      </c>
    </row>
    <row r="4016">
      <c r="A4016" t="inlineStr">
        <is>
          <t>Conestoga Energy Partners, LLC,  Liberal, United States</t>
        </is>
      </c>
      <c r="B4016" t="inlineStr">
        <is>
          <t>First Gathering Point, Point of Origin, Processing Unit</t>
        </is>
      </c>
      <c r="C4016" t="inlineStr">
        <is>
          <t>SCS Global Services, Emeryville, CA, US</t>
        </is>
      </c>
      <c r="D4016" t="inlineStr">
        <is>
          <t>14.05.2027</t>
        </is>
      </c>
      <c r="E4016" t="inlineStr">
        <is>
          <t>United States</t>
        </is>
      </c>
    </row>
    <row r="4017">
      <c r="A4017" t="inlineStr">
        <is>
          <t>Bonanza Bioenergy, LLC,  Garden City, United States</t>
        </is>
      </c>
      <c r="B4017" t="inlineStr">
        <is>
          <t>Processing Unit, Point of Origin</t>
        </is>
      </c>
      <c r="C4017" t="inlineStr">
        <is>
          <t>SCS Global Services, Emeryville, CA, US</t>
        </is>
      </c>
      <c r="D4017" t="inlineStr">
        <is>
          <t>14.05.2027</t>
        </is>
      </c>
      <c r="E4017" t="inlineStr">
        <is>
          <t>United States</t>
        </is>
      </c>
    </row>
    <row r="4018">
      <c r="A4018" t="inlineStr">
        <is>
          <t>Bonanza Bioenergy, LLC,  Garden City, United States</t>
        </is>
      </c>
      <c r="B4018" t="inlineStr">
        <is>
          <t>Processing Unit, Point of Origin</t>
        </is>
      </c>
      <c r="C4018" t="inlineStr">
        <is>
          <t>SCS Global Services, Emeryville, CA, US</t>
        </is>
      </c>
      <c r="D4018" t="inlineStr">
        <is>
          <t>14.05.2027</t>
        </is>
      </c>
      <c r="E4018" t="inlineStr">
        <is>
          <t>United States</t>
        </is>
      </c>
    </row>
    <row r="4019">
      <c r="A4019" t="inlineStr">
        <is>
          <t>Wind River Grain, LLC,  Garden City, United States</t>
        </is>
      </c>
      <c r="B4019" t="inlineStr">
        <is>
          <t>First Gathering Point</t>
        </is>
      </c>
      <c r="C4019" t="inlineStr">
        <is>
          <t>SCS Global Services, Emeryville, CA, US</t>
        </is>
      </c>
      <c r="D4019" t="inlineStr">
        <is>
          <t>14.05.2027</t>
        </is>
      </c>
      <c r="E4019" t="inlineStr">
        <is>
          <t>United States</t>
        </is>
      </c>
    </row>
    <row r="4020">
      <c r="A4020" t="inlineStr">
        <is>
          <t>KOSPOL,  Seoul, South Korea</t>
        </is>
      </c>
      <c r="B4020" t="inlineStr">
        <is>
          <t>Trader</t>
        </is>
      </c>
      <c r="C4020" t="inlineStr">
        <is>
          <t>Korean Foundation for Quality, Songpa-gu, Seoul, KR</t>
        </is>
      </c>
      <c r="D4020" t="inlineStr">
        <is>
          <t>14.05.2027</t>
        </is>
      </c>
      <c r="E4020" t="inlineStr">
        <is>
          <t>South Korea</t>
        </is>
      </c>
    </row>
    <row r="4021">
      <c r="A4021" t="inlineStr">
        <is>
          <t>KATAMA s.r.o.,  Kalná nad Hronom, Slovakia</t>
        </is>
      </c>
      <c r="B4021" t="inlineStr">
        <is>
          <t>First Gathering Point</t>
        </is>
      </c>
      <c r="C4021" t="inlineStr">
        <is>
          <t>RINA Services S.p.A., Genova, IT</t>
        </is>
      </c>
      <c r="D4021" t="inlineStr">
        <is>
          <t>14.05.2027</t>
        </is>
      </c>
      <c r="E4021" t="inlineStr">
        <is>
          <t>Slovakia</t>
        </is>
      </c>
    </row>
    <row r="4022">
      <c r="A4022" t="inlineStr">
        <is>
          <t>EVERVAN PU PRODUCTS LIMITED,  Hong Kong, Hong Kong, SAR, China</t>
        </is>
      </c>
      <c r="B4022" t="inlineStr">
        <is>
          <t>Trader</t>
        </is>
      </c>
      <c r="C4022" t="inlineStr">
        <is>
          <t>CTI Certification Co. Ltd, Shenzhen, CN</t>
        </is>
      </c>
      <c r="D4022" t="inlineStr">
        <is>
          <t>14.05.2027</t>
        </is>
      </c>
      <c r="E4022" t="inlineStr">
        <is>
          <t>China</t>
        </is>
      </c>
    </row>
    <row r="4023">
      <c r="A4023" t="inlineStr">
        <is>
          <t>TAEGOK OIL,  Buk-myeon, Jeongeup-si, Jeonbuk-do, South Korea</t>
        </is>
      </c>
      <c r="B4023" t="inlineStr">
        <is>
          <t>Point of Origin</t>
        </is>
      </c>
      <c r="C4023" t="inlineStr">
        <is>
          <t>Control Union Certifications Germany GmbH, Berlin, DE</t>
        </is>
      </c>
      <c r="D4023" t="inlineStr">
        <is>
          <t>14.05.2027</t>
        </is>
      </c>
      <c r="E4023" t="inlineStr">
        <is>
          <t>South Korea</t>
        </is>
      </c>
    </row>
    <row r="4024">
      <c r="A4024" t="inlineStr">
        <is>
          <t>Furmix Waknor Sp. z o.o.,  Koźmin Wielkopolski, Poland</t>
        </is>
      </c>
      <c r="B4024" t="inlineStr">
        <is>
          <t>Point of Origin</t>
        </is>
      </c>
      <c r="C4024" t="inlineStr">
        <is>
          <t>Bureau Veritas Polska Sp. z o.o., Warsaw, PL</t>
        </is>
      </c>
      <c r="D4024" t="inlineStr">
        <is>
          <t>14.05.2027</t>
        </is>
      </c>
      <c r="E4024" t="inlineStr">
        <is>
          <t>Poland</t>
        </is>
      </c>
    </row>
    <row r="4025">
      <c r="A4025" t="inlineStr">
        <is>
          <t>SUNOLTA,  Golovanivsk, Ukraine</t>
        </is>
      </c>
      <c r="B4025" t="inlineStr">
        <is>
          <t>Trader</t>
        </is>
      </c>
      <c r="C4025" t="inlineStr">
        <is>
          <t>SGS Germany GmbH, Emstek, DE</t>
        </is>
      </c>
      <c r="D4025" t="inlineStr">
        <is>
          <t>14.05.2027</t>
        </is>
      </c>
      <c r="E4025" t="inlineStr">
        <is>
          <t>Ukraine</t>
        </is>
      </c>
    </row>
    <row r="4026">
      <c r="A4026" t="inlineStr">
        <is>
          <t>Bonanza Industria de Óleo Vegetal Eireli,  Apucarana, Brazil</t>
        </is>
      </c>
      <c r="B4026" t="inlineStr">
        <is>
          <t>Collecting Point, Point of Origin, Processing Unit</t>
        </is>
      </c>
      <c r="C4026" t="inlineStr">
        <is>
          <t>Control Union Poland Sp. z o.o., Zielona Gora, PL</t>
        </is>
      </c>
      <c r="D4026" t="inlineStr">
        <is>
          <t>14.05.2027</t>
        </is>
      </c>
      <c r="E4026" t="inlineStr">
        <is>
          <t>Brazil</t>
        </is>
      </c>
    </row>
    <row r="4027">
      <c r="A4027" t="inlineStr">
        <is>
          <t>Xuzhou Guoxin Biomass Energy Technology Co., Ltd.,  Pei County, Xuzhou City, Jiangsu Province, China</t>
        </is>
      </c>
      <c r="B4027" t="inlineStr">
        <is>
          <t>Collecting Point, Processing Unit</t>
        </is>
      </c>
      <c r="C4027" t="inlineStr">
        <is>
          <t>China Classification Society Certification Co., Ltd, Dong Cheng District, Beijing, CN</t>
        </is>
      </c>
      <c r="D4027" t="inlineStr">
        <is>
          <t>14.05.2027</t>
        </is>
      </c>
      <c r="E4027" t="inlineStr">
        <is>
          <t>China</t>
        </is>
      </c>
    </row>
    <row r="4028">
      <c r="A4028" t="inlineStr">
        <is>
          <t>Sunolta (Suisse),  Golovanivsk, Ukraine</t>
        </is>
      </c>
      <c r="B4028" t="inlineStr">
        <is>
          <t>Trader</t>
        </is>
      </c>
      <c r="C4028" t="inlineStr">
        <is>
          <t>SGS Germany GmbH, Emstek, DE</t>
        </is>
      </c>
      <c r="D4028" t="inlineStr">
        <is>
          <t>14.05.2027</t>
        </is>
      </c>
      <c r="E4028" t="inlineStr">
        <is>
          <t>Ukraine</t>
        </is>
      </c>
    </row>
    <row r="4029">
      <c r="A4029" t="inlineStr">
        <is>
          <t>Gamalux Oils Sdn Bhd,  Lahad Datu, Malaysia</t>
        </is>
      </c>
      <c r="B4029" t="inlineStr">
        <is>
          <t>Collecting Point, Processing Unit, Trader with Storage</t>
        </is>
      </c>
      <c r="C4029" t="inlineStr">
        <is>
          <t>Control Union Poland Sp. z o.o., Zielona Gora, PL</t>
        </is>
      </c>
      <c r="D4029" t="inlineStr">
        <is>
          <t>14.05.2027</t>
        </is>
      </c>
      <c r="E4029" t="inlineStr">
        <is>
          <t>Malaysia</t>
        </is>
      </c>
    </row>
    <row r="4030">
      <c r="A4030" t="inlineStr">
        <is>
          <t>Bright LyondellBasell Petrochemical Co., Ltd.,  Petrochemical Industrial Park, Liaobin, Panjin, China</t>
        </is>
      </c>
      <c r="B4030" t="inlineStr">
        <is>
          <t>Processing Unit, MTBE plant</t>
        </is>
      </c>
      <c r="C4030" t="inlineStr">
        <is>
          <t>TÜV SÜD Industrie Service GmbH, München, DE</t>
        </is>
      </c>
      <c r="D4030" t="inlineStr">
        <is>
          <t>13.05.2027</t>
        </is>
      </c>
      <c r="E4030" t="inlineStr">
        <is>
          <t>China</t>
        </is>
      </c>
    </row>
    <row r="4031">
      <c r="A4031" t="inlineStr">
        <is>
          <t>GREEN-DA,  Doan-myeon, Jeungpyeong-gun, Chungcheongbuk-do, South Korea</t>
        </is>
      </c>
      <c r="B4031" t="inlineStr">
        <is>
          <t>Collecting Point, Trader with Storage</t>
        </is>
      </c>
      <c r="C4031" t="inlineStr">
        <is>
          <t>SGS Germany GmbH, Emstek, DE</t>
        </is>
      </c>
      <c r="D4031" t="inlineStr">
        <is>
          <t>13.05.2027</t>
        </is>
      </c>
      <c r="E4031" t="inlineStr">
        <is>
          <t>South Korea</t>
        </is>
      </c>
    </row>
    <row r="4032">
      <c r="A4032" t="inlineStr">
        <is>
          <t>44 Fuels Ltd,  Doncaster, South Yorkshire, The United Kingdom</t>
        </is>
      </c>
      <c r="B4032" t="inlineStr">
        <is>
          <t>Collecting Point, Trader</t>
        </is>
      </c>
      <c r="C4032" t="inlineStr">
        <is>
          <t>BM Certification, Riga, LV</t>
        </is>
      </c>
      <c r="D4032" t="inlineStr">
        <is>
          <t>13.05.2027</t>
        </is>
      </c>
      <c r="E4032" t="inlineStr">
        <is>
          <t>The United Kingdom</t>
        </is>
      </c>
    </row>
    <row r="4033">
      <c r="A4033" t="inlineStr">
        <is>
          <t>TOYO STYRENE CO.,LTD Meinan,  Ichihara-shi chiba, Japan</t>
        </is>
      </c>
      <c r="B4033" t="inlineStr">
        <is>
          <t>Processing Unit, Trader with Storage</t>
        </is>
      </c>
      <c r="C4033" t="inlineStr">
        <is>
          <t>SGS Germany GmbH, Emstek, DE</t>
        </is>
      </c>
      <c r="D4033" t="inlineStr">
        <is>
          <t>13.05.2027</t>
        </is>
      </c>
      <c r="E4033" t="inlineStr">
        <is>
          <t>Japan</t>
        </is>
      </c>
    </row>
    <row r="4034">
      <c r="A4034" t="inlineStr">
        <is>
          <t>Cargill NV,  Antwerp, Belgium</t>
        </is>
      </c>
      <c r="B4034" t="inlineStr">
        <is>
          <t>Point of Origin, Processing Unit, Trader with Storage</t>
        </is>
      </c>
      <c r="C4034" t="inlineStr">
        <is>
          <t>SGS Germany GmbH, Emstek, DE</t>
        </is>
      </c>
      <c r="D4034" t="inlineStr">
        <is>
          <t>13.05.2027</t>
        </is>
      </c>
      <c r="E4034" t="inlineStr">
        <is>
          <t>Belgium</t>
        </is>
      </c>
    </row>
    <row r="4035">
      <c r="A4035" t="inlineStr">
        <is>
          <t>Everwelle OÜ,  Tallinn, Estonia</t>
        </is>
      </c>
      <c r="B4035" t="inlineStr">
        <is>
          <t>First Gathering Point, Trader</t>
        </is>
      </c>
      <c r="C4035" t="inlineStr">
        <is>
          <t>SGS Germany GmbH, Emstek, DE</t>
        </is>
      </c>
      <c r="D4035" t="inlineStr">
        <is>
          <t>13.05.2027</t>
        </is>
      </c>
      <c r="E4035" t="inlineStr">
        <is>
          <t>Estonia</t>
        </is>
      </c>
    </row>
    <row r="4036">
      <c r="A4036" t="inlineStr">
        <is>
          <t>Enviropro Kenya,  Nairobi, Kenya</t>
        </is>
      </c>
      <c r="B4036" t="inlineStr">
        <is>
          <t>Collecting Point, Trader</t>
        </is>
      </c>
      <c r="C4036" t="inlineStr">
        <is>
          <t>RINA Services S.p.A., Genova, IT</t>
        </is>
      </c>
      <c r="D4036" t="inlineStr">
        <is>
          <t>13.05.2027</t>
        </is>
      </c>
      <c r="E4036" t="inlineStr">
        <is>
          <t>Kenya</t>
        </is>
      </c>
    </row>
    <row r="4037">
      <c r="A4037" t="inlineStr">
        <is>
          <t>Nippon Shokubai Europe N.V.,  Zwijndrecht, Belgium</t>
        </is>
      </c>
      <c r="B4037" t="inlineStr">
        <is>
          <t>Processing Unit, Trader with Storage</t>
        </is>
      </c>
      <c r="C4037" t="inlineStr">
        <is>
          <t>SGS Germany GmbH, Emstek, DE</t>
        </is>
      </c>
      <c r="D4037" t="inlineStr">
        <is>
          <t>13.05.2027</t>
        </is>
      </c>
      <c r="E4037" t="inlineStr">
        <is>
          <t>Belgium</t>
        </is>
      </c>
    </row>
    <row r="4038">
      <c r="A4038" t="inlineStr">
        <is>
          <t>Integra Petrochemicals Europe AG,  Zug, Switzerland</t>
        </is>
      </c>
      <c r="B4038" t="inlineStr">
        <is>
          <t>Trader</t>
        </is>
      </c>
      <c r="C4038" t="inlineStr">
        <is>
          <t>ASG Cert GmbH, Munich, DE</t>
        </is>
      </c>
      <c r="D4038" t="inlineStr">
        <is>
          <t>13.05.2027</t>
        </is>
      </c>
      <c r="E4038" t="inlineStr">
        <is>
          <t>Switzerland</t>
        </is>
      </c>
    </row>
    <row r="4039">
      <c r="A4039" t="inlineStr">
        <is>
          <t>Integra Petrochemicals Europe AG,  Zug, Switzerland</t>
        </is>
      </c>
      <c r="B4039" t="inlineStr">
        <is>
          <t>Trader</t>
        </is>
      </c>
      <c r="C4039" t="inlineStr">
        <is>
          <t>ASG Cert GmbH, Munich, DE</t>
        </is>
      </c>
      <c r="D4039" t="inlineStr">
        <is>
          <t>13.05.2027</t>
        </is>
      </c>
      <c r="E4039" t="inlineStr">
        <is>
          <t>Switzerland</t>
        </is>
      </c>
    </row>
    <row r="4040">
      <c r="A4040" t="inlineStr">
        <is>
          <t>7 Seas Perú SAC,  Lima, villa El Salvador, Peru</t>
        </is>
      </c>
      <c r="B4040" t="inlineStr">
        <is>
          <t>Collecting Point, Trader with Storage</t>
        </is>
      </c>
      <c r="C4040" t="inlineStr">
        <is>
          <t>Amspec Iberia SL, Vilagarcia de Arousa-Pontevedra, ES</t>
        </is>
      </c>
      <c r="D4040" t="inlineStr">
        <is>
          <t>13.05.2027</t>
        </is>
      </c>
      <c r="E4040" t="inlineStr">
        <is>
          <t>Peru</t>
        </is>
      </c>
    </row>
    <row r="4041">
      <c r="A4041" t="inlineStr">
        <is>
          <t>Fuelport Ltd,  London, United Kingdom</t>
        </is>
      </c>
      <c r="B4041" t="inlineStr">
        <is>
          <t>Collecting Point, Trader</t>
        </is>
      </c>
      <c r="C4041" t="inlineStr">
        <is>
          <t>BM Certification, Riga, LV</t>
        </is>
      </c>
      <c r="D4041" t="inlineStr">
        <is>
          <t>13.05.2027</t>
        </is>
      </c>
      <c r="E4041" t="inlineStr">
        <is>
          <t>United Kingdom</t>
        </is>
      </c>
    </row>
    <row r="4042">
      <c r="A4042" t="inlineStr">
        <is>
          <t>OLEOS FRA,  PRIEGO DE CORDOBA, Spain</t>
        </is>
      </c>
      <c r="B4042" t="inlineStr">
        <is>
          <t>Trader</t>
        </is>
      </c>
      <c r="C4042" t="inlineStr">
        <is>
          <t>RINA Services S.p.A., Genova, IT</t>
        </is>
      </c>
      <c r="D4042" t="inlineStr">
        <is>
          <t>13.05.2027</t>
        </is>
      </c>
      <c r="E4042" t="inlineStr">
        <is>
          <t>Spain</t>
        </is>
      </c>
    </row>
    <row r="4043">
      <c r="A4043" t="inlineStr">
        <is>
          <t>Biometano Montes de Toledo,  Noez, Spain</t>
        </is>
      </c>
      <c r="B4043" t="inlineStr">
        <is>
          <t>Collecting Point, Processing Unit</t>
        </is>
      </c>
      <c r="C4043" t="inlineStr">
        <is>
          <t>Bureau Veritas Polska Sp. z o.o., Warsaw, PL</t>
        </is>
      </c>
      <c r="D4043" t="inlineStr">
        <is>
          <t>13.05.2027</t>
        </is>
      </c>
      <c r="E4043" t="inlineStr">
        <is>
          <t>Spain</t>
        </is>
      </c>
    </row>
    <row r="4044">
      <c r="A4044" t="inlineStr">
        <is>
          <t>Viron s.r.o.,  Gabcikovo, Slovakia</t>
        </is>
      </c>
      <c r="B4044" t="inlineStr">
        <is>
          <t>Trader, First Gathering Point</t>
        </is>
      </c>
      <c r="C4044" t="inlineStr">
        <is>
          <t>Bureau Veritas Polska Sp. z o.o., Warsaw, PL</t>
        </is>
      </c>
      <c r="D4044" t="inlineStr">
        <is>
          <t>13.05.2027</t>
        </is>
      </c>
      <c r="E4044" t="inlineStr">
        <is>
          <t>Slovakia</t>
        </is>
      </c>
    </row>
    <row r="4045">
      <c r="A4045" t="inlineStr">
        <is>
          <t>Lenergija, UAB,  Sirvydų k. 3, Šakių r., Lithuania</t>
        </is>
      </c>
      <c r="B4045" t="inlineStr">
        <is>
          <t>Collecting Point, Processing Unit</t>
        </is>
      </c>
      <c r="C4045" t="inlineStr">
        <is>
          <t>Bureau Veritas Polska Sp. z o.o., Warsaw, PL</t>
        </is>
      </c>
      <c r="D4045" t="inlineStr">
        <is>
          <t>13.05.2027</t>
        </is>
      </c>
      <c r="E4045" t="inlineStr">
        <is>
          <t>Lithuania</t>
        </is>
      </c>
    </row>
    <row r="4046">
      <c r="A4046" t="inlineStr">
        <is>
          <t>ECO EURO OIL SRL,  Giurgiu, Romania</t>
        </is>
      </c>
      <c r="B4046" t="inlineStr">
        <is>
          <t>Trader with Storage</t>
        </is>
      </c>
      <c r="C4046" t="inlineStr">
        <is>
          <t>SRAC Cert SRL, Bucharest, RO</t>
        </is>
      </c>
      <c r="D4046" t="inlineStr">
        <is>
          <t>13.05.2027</t>
        </is>
      </c>
      <c r="E4046" t="inlineStr">
        <is>
          <t>Romania</t>
        </is>
      </c>
    </row>
    <row r="4047">
      <c r="A4047" t="inlineStr">
        <is>
          <t>Den Magiske Fabrikken AS,  Sem, Norway</t>
        </is>
      </c>
      <c r="B4047" t="inlineStr">
        <is>
          <t>Collecting Point, Processing Unit</t>
        </is>
      </c>
      <c r="C4047" t="inlineStr">
        <is>
          <t>ASG Cert GmbH, Munich, DE</t>
        </is>
      </c>
      <c r="D4047" t="inlineStr">
        <is>
          <t>13.05.2027</t>
        </is>
      </c>
      <c r="E4047" t="inlineStr">
        <is>
          <t>Norway</t>
        </is>
      </c>
    </row>
    <row r="4048">
      <c r="A4048" t="inlineStr">
        <is>
          <t>Aceites Cimarrones S.A.S ZFPEA,  Vereda Candilejas, Puerto Rico, Meta, Colombia</t>
        </is>
      </c>
      <c r="B4048" t="inlineStr">
        <is>
          <t>Point of Origin, Processing Unit</t>
        </is>
      </c>
      <c r="C4048" t="inlineStr">
        <is>
          <t>SCS Global Services, Emeryville, CA, US</t>
        </is>
      </c>
      <c r="D4048" t="inlineStr">
        <is>
          <t>13.05.2027</t>
        </is>
      </c>
      <c r="E4048" t="inlineStr">
        <is>
          <t>Colombia</t>
        </is>
      </c>
    </row>
    <row r="4049">
      <c r="A4049" t="inlineStr">
        <is>
          <t>Extractora El Estero,  Maní Casanare, Colombia</t>
        </is>
      </c>
      <c r="B4049" t="inlineStr">
        <is>
          <t>Point of Origin, Processing Unit</t>
        </is>
      </c>
      <c r="C4049" t="inlineStr">
        <is>
          <t>SCS Global Services, Emeryville, CA, US</t>
        </is>
      </c>
      <c r="D4049" t="inlineStr">
        <is>
          <t>13.05.2027</t>
        </is>
      </c>
      <c r="E4049" t="inlineStr">
        <is>
          <t>Colombia</t>
        </is>
      </c>
    </row>
    <row r="4050">
      <c r="A4050" t="inlineStr">
        <is>
          <t>Marine Brokers,  Hellerup, Denmark</t>
        </is>
      </c>
      <c r="B4050" t="inlineStr">
        <is>
          <t>Proof of Compliance Trader, Trader</t>
        </is>
      </c>
      <c r="C4050" t="inlineStr">
        <is>
          <t>SGS Germany GmbH, Emstek, DE</t>
        </is>
      </c>
      <c r="D4050" t="inlineStr">
        <is>
          <t>13.05.2027</t>
        </is>
      </c>
      <c r="E4050" t="inlineStr">
        <is>
          <t>Denmark</t>
        </is>
      </c>
    </row>
    <row r="4051">
      <c r="A4051" t="inlineStr">
        <is>
          <t>SOILS SDN. BHD,  Serkam, Merlimau, Melaka, Malaysia</t>
        </is>
      </c>
      <c r="B4051" t="inlineStr">
        <is>
          <t>Collecting Point, Trader with Storage</t>
        </is>
      </c>
      <c r="C4051" t="inlineStr">
        <is>
          <t>Trans Certification and Inspection Sdn Bhd, Kuantan, MY</t>
        </is>
      </c>
      <c r="D4051" t="inlineStr">
        <is>
          <t>13.05.2027</t>
        </is>
      </c>
      <c r="E4051" t="inlineStr">
        <is>
          <t>Malaysia</t>
        </is>
      </c>
    </row>
    <row r="4052">
      <c r="A4052" t="inlineStr">
        <is>
          <t>CLASSIC ECO,  Gemas, Malaysia</t>
        </is>
      </c>
      <c r="B4052" t="inlineStr">
        <is>
          <t>Trader</t>
        </is>
      </c>
      <c r="C4052" t="inlineStr">
        <is>
          <t>Trans Certification and Inspection Sdn Bhd, Kuantan, MY</t>
        </is>
      </c>
      <c r="D4052" t="inlineStr">
        <is>
          <t>13.05.2027</t>
        </is>
      </c>
      <c r="E4052" t="inlineStr">
        <is>
          <t>Malaysia</t>
        </is>
      </c>
    </row>
    <row r="4053">
      <c r="A4053" t="inlineStr">
        <is>
          <t>JERNIH KEMBOJA (SEGAMAT),  SEGAMAT, Malaysia</t>
        </is>
      </c>
      <c r="B4053" t="inlineStr">
        <is>
          <t>Point of Origin</t>
        </is>
      </c>
      <c r="C4053" t="inlineStr">
        <is>
          <t>Trans Certification and Inspection Sdn Bhd, Kuantan, MY</t>
        </is>
      </c>
      <c r="D4053" t="inlineStr">
        <is>
          <t>13.05.2027</t>
        </is>
      </c>
      <c r="E4053" t="inlineStr">
        <is>
          <t>Malaysia</t>
        </is>
      </c>
    </row>
    <row r="4054">
      <c r="A4054" t="inlineStr">
        <is>
          <t>Jernih Kemboja (Kulai Palm Oil Mill),  Kulai, Malaysia</t>
        </is>
      </c>
      <c r="B4054" t="inlineStr">
        <is>
          <t>Point of Origin</t>
        </is>
      </c>
      <c r="C4054" t="inlineStr">
        <is>
          <t>Trans Certification and Inspection Sdn Bhd, Kuantan, MY</t>
        </is>
      </c>
      <c r="D4054" t="inlineStr">
        <is>
          <t>13.05.2027</t>
        </is>
      </c>
      <c r="E4054" t="inlineStr">
        <is>
          <t>Malaysia</t>
        </is>
      </c>
    </row>
    <row r="4055">
      <c r="A4055" t="inlineStr">
        <is>
          <t>Jernih Kemboja Sdn Bhd (Kluang HQ),  Kluang, Malaysia</t>
        </is>
      </c>
      <c r="B4055" t="inlineStr">
        <is>
          <t>Trader</t>
        </is>
      </c>
      <c r="C4055" t="inlineStr">
        <is>
          <t>Trans Certification and Inspection Sdn Bhd, Kuantan, MY</t>
        </is>
      </c>
      <c r="D4055" t="inlineStr">
        <is>
          <t>13.05.2027</t>
        </is>
      </c>
      <c r="E4055" t="inlineStr">
        <is>
          <t>Malaysia</t>
        </is>
      </c>
    </row>
    <row r="4056">
      <c r="A4056" t="inlineStr">
        <is>
          <t>Jernih Kemboja Sdn Bhd (Kluang HQ),  Kluang, Malaysia</t>
        </is>
      </c>
      <c r="B4056" t="inlineStr">
        <is>
          <t>Trader</t>
        </is>
      </c>
      <c r="C4056" t="inlineStr">
        <is>
          <t>Trans Certification and Inspection Sdn Bhd, Kuantan, MY</t>
        </is>
      </c>
      <c r="D4056" t="inlineStr">
        <is>
          <t>13.05.2027</t>
        </is>
      </c>
      <c r="E4056" t="inlineStr">
        <is>
          <t>Malaysia</t>
        </is>
      </c>
    </row>
    <row r="4057">
      <c r="A4057" t="inlineStr">
        <is>
          <t>Jernih Kemboja (Kulai Palm Oil Mill),  Kulai, Malaysia</t>
        </is>
      </c>
      <c r="B4057" t="inlineStr">
        <is>
          <t>Point of Origin</t>
        </is>
      </c>
      <c r="C4057" t="inlineStr">
        <is>
          <t>Trans Certification and Inspection Sdn Bhd, Kuantan, MY</t>
        </is>
      </c>
      <c r="D4057" t="inlineStr">
        <is>
          <t>13.05.2027</t>
        </is>
      </c>
      <c r="E4057" t="inlineStr">
        <is>
          <t>Malaysia</t>
        </is>
      </c>
    </row>
    <row r="4058">
      <c r="A4058" t="inlineStr">
        <is>
          <t>Silgan Dispensing Systems Lacrost,  Lacrost, France</t>
        </is>
      </c>
      <c r="B4058" t="inlineStr">
        <is>
          <t>Final Product Refinement, Processing Unit</t>
        </is>
      </c>
      <c r="C4058" t="inlineStr">
        <is>
          <t>Bureau Veritas Polska Sp. z o.o., Warsaw, PL</t>
        </is>
      </c>
      <c r="D4058" t="inlineStr">
        <is>
          <t>13.05.2027</t>
        </is>
      </c>
      <c r="E4058" t="inlineStr">
        <is>
          <t>France</t>
        </is>
      </c>
    </row>
    <row r="4059">
      <c r="A4059" t="inlineStr">
        <is>
          <t>"UNICOL POLSKA" SPÓŁKA Z OGRANICZONĄ ODPOWIEDZIALNOŚCIĄ,  Moszna Wies, Poland</t>
        </is>
      </c>
      <c r="B4059" t="inlineStr">
        <is>
          <t>Trader with Storage, Processing Unit</t>
        </is>
      </c>
      <c r="C4059" t="inlineStr">
        <is>
          <t>Bureau Veritas Polska Sp. z o.o., Warsaw, PL</t>
        </is>
      </c>
      <c r="D4059" t="inlineStr">
        <is>
          <t>13.05.2027</t>
        </is>
      </c>
      <c r="E4059" t="inlineStr">
        <is>
          <t>Poland</t>
        </is>
      </c>
    </row>
    <row r="4060">
      <c r="A4060" t="inlineStr">
        <is>
          <t>RAW AGRO TRADE,  Kyiv, Ukraine</t>
        </is>
      </c>
      <c r="B4060" t="inlineStr">
        <is>
          <t>First Gathering Point, Trader with Storage</t>
        </is>
      </c>
      <c r="C4060" t="inlineStr">
        <is>
          <t>Bureau Veritas Polska Sp. z o.o., Warsaw, PL</t>
        </is>
      </c>
      <c r="D4060" t="inlineStr">
        <is>
          <t>13.05.2027</t>
        </is>
      </c>
      <c r="E4060" t="inlineStr">
        <is>
          <t>Ukraine</t>
        </is>
      </c>
    </row>
    <row r="4061">
      <c r="A4061" t="inlineStr">
        <is>
          <t>RAW AGRO TRADE,  Kyiv, Ukraine</t>
        </is>
      </c>
      <c r="B4061" t="inlineStr">
        <is>
          <t>First Gathering Point, Trader with Storage</t>
        </is>
      </c>
      <c r="C4061" t="inlineStr">
        <is>
          <t>Bureau Veritas Polska Sp. z o.o., Warsaw, PL</t>
        </is>
      </c>
      <c r="D4061" t="inlineStr">
        <is>
          <t>13.05.2027</t>
        </is>
      </c>
      <c r="E4061" t="inlineStr">
        <is>
          <t>Ukraine</t>
        </is>
      </c>
    </row>
    <row r="4062">
      <c r="A4062" t="inlineStr">
        <is>
          <t>Schaap Biogas Tirns BV,  TIrns, Netherlands</t>
        </is>
      </c>
      <c r="B4062" t="inlineStr">
        <is>
          <t>Collecting Point, Processing Unit</t>
        </is>
      </c>
      <c r="C4062" t="inlineStr">
        <is>
          <t>DEKRA Certification B.V., Arnhem, NL</t>
        </is>
      </c>
      <c r="D4062" t="inlineStr">
        <is>
          <t>13.05.2027</t>
        </is>
      </c>
      <c r="E4062" t="inlineStr">
        <is>
          <t>Netherlands</t>
        </is>
      </c>
    </row>
    <row r="4063">
      <c r="A4063" t="inlineStr">
        <is>
          <t>INEON OLSZOWIAK SP.K.,  OSTROW WIELKOPOLSKI, Poland</t>
        </is>
      </c>
      <c r="B4063" t="inlineStr">
        <is>
          <t>Trader</t>
        </is>
      </c>
      <c r="C4063" t="inlineStr">
        <is>
          <t>Control Union Poland Sp. z o.o., Zielona Gora, PL</t>
        </is>
      </c>
      <c r="D4063" t="inlineStr">
        <is>
          <t>13.05.2027</t>
        </is>
      </c>
      <c r="E4063" t="inlineStr">
        <is>
          <t>Poland</t>
        </is>
      </c>
    </row>
    <row r="4064">
      <c r="A4064" t="inlineStr">
        <is>
          <t>GREEN-DA,  Doan-myeon, Jeungpyeong-gun, Chungcheongbuk-do, South Korea</t>
        </is>
      </c>
      <c r="B4064" t="inlineStr">
        <is>
          <t>Collecting Point, Trader with Storage</t>
        </is>
      </c>
      <c r="C4064" t="inlineStr">
        <is>
          <t>SGS Germany GmbH, Emstek, DE</t>
        </is>
      </c>
      <c r="D4064" t="inlineStr">
        <is>
          <t>13.05.2027</t>
        </is>
      </c>
      <c r="E4064" t="inlineStr">
        <is>
          <t>South Korea</t>
        </is>
      </c>
    </row>
    <row r="4065">
      <c r="A4065" t="inlineStr">
        <is>
          <t>Diamond Oil &amp; Fats Products Sdn Bhd,  Pasir Gudang, Malaysia</t>
        </is>
      </c>
      <c r="B4065" t="inlineStr">
        <is>
          <t>Processing Unit, Trader with Storage</t>
        </is>
      </c>
      <c r="C4065" t="inlineStr">
        <is>
          <t>ASG Cert GmbH, Munich, DE</t>
        </is>
      </c>
      <c r="D4065" t="inlineStr">
        <is>
          <t>13.05.2027</t>
        </is>
      </c>
      <c r="E4065" t="inlineStr">
        <is>
          <t>Malaysia</t>
        </is>
      </c>
    </row>
    <row r="4066">
      <c r="A4066" t="inlineStr">
        <is>
          <t>Harris Tobias Ltd,  Stansted Mountfitchet, United Kingdom</t>
        </is>
      </c>
      <c r="B4066" t="inlineStr">
        <is>
          <t>Collecting Point, Trader with Storage</t>
        </is>
      </c>
      <c r="C4066" t="inlineStr">
        <is>
          <t>SGS Germany GmbH, Emstek, DE</t>
        </is>
      </c>
      <c r="D4066" t="inlineStr">
        <is>
          <t>13.05.2027</t>
        </is>
      </c>
      <c r="E4066" t="inlineStr">
        <is>
          <t>United Kingdom</t>
        </is>
      </c>
    </row>
    <row r="4067">
      <c r="A4067" t="inlineStr">
        <is>
          <t>Continental Indústria Têxtil do Ave, S.A.,  Lousado, Portugal</t>
        </is>
      </c>
      <c r="B4067" t="inlineStr">
        <is>
          <t>Processing Unit</t>
        </is>
      </c>
      <c r="C4067" t="inlineStr">
        <is>
          <t>DQS CFS GmbH - Deutsche Gesellschaft für Nachhaltigkeit, Frankfurt am Main, DE</t>
        </is>
      </c>
      <c r="D4067" t="inlineStr">
        <is>
          <t>13.05.2027</t>
        </is>
      </c>
      <c r="E4067" t="inlineStr">
        <is>
          <t>Portugal</t>
        </is>
      </c>
    </row>
    <row r="4068">
      <c r="A4068" t="inlineStr">
        <is>
          <t>GXO logistics FST,  Manchester, United Kingdom</t>
        </is>
      </c>
      <c r="B4068" t="inlineStr">
        <is>
          <t>Collecting Point</t>
        </is>
      </c>
      <c r="C4068" t="inlineStr">
        <is>
          <t>SGS Germany GmbH, Emstek, DE</t>
        </is>
      </c>
      <c r="D4068" t="inlineStr">
        <is>
          <t>13.05.2027</t>
        </is>
      </c>
      <c r="E4068" t="inlineStr">
        <is>
          <t>United Kingdom</t>
        </is>
      </c>
    </row>
    <row r="4069">
      <c r="A4069" t="inlineStr">
        <is>
          <t>Glencore Singapore PTE LTD,  Singapore, Singapore</t>
        </is>
      </c>
      <c r="B4069" t="inlineStr">
        <is>
          <t>Trader with Storage</t>
        </is>
      </c>
      <c r="C4069" t="inlineStr">
        <is>
          <t>PT. Qualitas Sertifikasi Indonesia, Jakarta, ID</t>
        </is>
      </c>
      <c r="D4069" t="inlineStr">
        <is>
          <t>13.05.2027</t>
        </is>
      </c>
      <c r="E4069" t="inlineStr">
        <is>
          <t>Singapore</t>
        </is>
      </c>
    </row>
    <row r="4070">
      <c r="A4070" t="inlineStr">
        <is>
          <t>BP Singapore Pte. Limited,  Singapore, Singapore</t>
        </is>
      </c>
      <c r="B4070" t="inlineStr">
        <is>
          <t>Trader with Storage</t>
        </is>
      </c>
      <c r="C4070" t="inlineStr">
        <is>
          <t>Control Union Certifications Germany GmbH, Berlin, DE</t>
        </is>
      </c>
      <c r="D4070" t="inlineStr">
        <is>
          <t>13.05.2027</t>
        </is>
      </c>
      <c r="E4070" t="inlineStr">
        <is>
          <t>Singapore</t>
        </is>
      </c>
    </row>
    <row r="4071">
      <c r="A4071" t="inlineStr">
        <is>
          <t>BP Singapore Pte. Limited,  Singapore, Singapore</t>
        </is>
      </c>
      <c r="B4071" t="inlineStr">
        <is>
          <t>Trader with Storage</t>
        </is>
      </c>
      <c r="C4071" t="inlineStr">
        <is>
          <t>Control Union Certifications Germany GmbH, Berlin, DE</t>
        </is>
      </c>
      <c r="D4071" t="inlineStr">
        <is>
          <t>13.05.2027</t>
        </is>
      </c>
      <c r="E4071" t="inlineStr">
        <is>
          <t>Singapore</t>
        </is>
      </c>
    </row>
    <row r="4072">
      <c r="A4072" t="inlineStr">
        <is>
          <t>BP Singapore Pte. Limited,  Singapore, Singapore</t>
        </is>
      </c>
      <c r="B4072" t="inlineStr">
        <is>
          <t>Trader with Storage, Biomarine Fuel Operator</t>
        </is>
      </c>
      <c r="C4072" t="inlineStr">
        <is>
          <t>Control Union Certifications Germany GmbH, Berlin, DE</t>
        </is>
      </c>
      <c r="D4072" t="inlineStr">
        <is>
          <t>13.05.2027</t>
        </is>
      </c>
      <c r="E4072" t="inlineStr">
        <is>
          <t>Singapore</t>
        </is>
      </c>
    </row>
    <row r="4073">
      <c r="A4073" t="inlineStr">
        <is>
          <t>BASF SE,  Ludwigshafen, Germany</t>
        </is>
      </c>
      <c r="B4073" t="inlineStr">
        <is>
          <t>Processing Unit, Trader</t>
        </is>
      </c>
      <c r="C4073" t="inlineStr">
        <is>
          <t>TÜV SÜD Industrie Service GmbH, München, DE</t>
        </is>
      </c>
      <c r="D4073" t="inlineStr">
        <is>
          <t>13.05.2027</t>
        </is>
      </c>
      <c r="E4073" t="inlineStr">
        <is>
          <t>Germany</t>
        </is>
      </c>
    </row>
    <row r="4074">
      <c r="A4074" t="inlineStr">
        <is>
          <t>ETG Commodities BV,  Pozuelo de Alarcon, Madrid, Spain</t>
        </is>
      </c>
      <c r="B4074" t="inlineStr">
        <is>
          <t>Trader with Storage</t>
        </is>
      </c>
      <c r="C4074" t="inlineStr">
        <is>
          <t>Control Union Poland Sp. z o.o., Zielona Gora, PL</t>
        </is>
      </c>
      <c r="D4074" t="inlineStr">
        <is>
          <t>13.05.2027</t>
        </is>
      </c>
      <c r="E4074" t="inlineStr">
        <is>
          <t>Spain</t>
        </is>
      </c>
    </row>
    <row r="4075">
      <c r="A4075" t="inlineStr">
        <is>
          <t>AFS Energy,  Amsterdam, Netherlands</t>
        </is>
      </c>
      <c r="B4075" t="inlineStr">
        <is>
          <t>Trader</t>
        </is>
      </c>
      <c r="C4075" t="inlineStr">
        <is>
          <t>Normec QS BV, Ede, NL</t>
        </is>
      </c>
      <c r="D4075" t="inlineStr">
        <is>
          <t>13.05.2027</t>
        </is>
      </c>
      <c r="E4075" t="inlineStr">
        <is>
          <t>Netherlands</t>
        </is>
      </c>
    </row>
    <row r="4076">
      <c r="A4076" t="inlineStr">
        <is>
          <t>Artis Energies,  Maubeuge, France</t>
        </is>
      </c>
      <c r="B4076" t="inlineStr">
        <is>
          <t>Trader with Storage</t>
        </is>
      </c>
      <c r="C4076" t="inlineStr">
        <is>
          <t>Control Union Certifications Germany GmbH, Berlin, DE</t>
        </is>
      </c>
      <c r="D4076" t="inlineStr">
        <is>
          <t>13.05.2027</t>
        </is>
      </c>
      <c r="E4076" t="inlineStr">
        <is>
          <t>France</t>
        </is>
      </c>
    </row>
    <row r="4077">
      <c r="A4077" t="inlineStr">
        <is>
          <t>GINPOPACK Co., Ltd.,  Tochigi, Japan</t>
        </is>
      </c>
      <c r="B4077" t="inlineStr">
        <is>
          <t>Processing Unit</t>
        </is>
      </c>
      <c r="C4077" t="inlineStr">
        <is>
          <t>Control Union Certifications Germany GmbH, Berlin, DE</t>
        </is>
      </c>
      <c r="D4077" t="inlineStr">
        <is>
          <t>13.05.2027</t>
        </is>
      </c>
      <c r="E4077" t="inlineStr">
        <is>
          <t>Japan</t>
        </is>
      </c>
    </row>
    <row r="4078">
      <c r="A4078" t="inlineStr">
        <is>
          <t>GINPOPACK Co., Ltd.,  Ibaraki, Japan</t>
        </is>
      </c>
      <c r="B4078" t="inlineStr">
        <is>
          <t>Processing Unit</t>
        </is>
      </c>
      <c r="C4078" t="inlineStr">
        <is>
          <t>Control Union Certifications Germany GmbH, Berlin, DE</t>
        </is>
      </c>
      <c r="D4078" t="inlineStr">
        <is>
          <t>13.05.2027</t>
        </is>
      </c>
      <c r="E4078" t="inlineStr">
        <is>
          <t>Japan</t>
        </is>
      </c>
    </row>
    <row r="4079">
      <c r="A4079" t="inlineStr">
        <is>
          <t>PT. SAMUDERA NABATI MAS,  KAB. BUNGO, Indonesia</t>
        </is>
      </c>
      <c r="B4079" t="inlineStr">
        <is>
          <t>Point of Origin</t>
        </is>
      </c>
      <c r="C4079" t="inlineStr">
        <is>
          <t>PT. Qualitas Sertifikasi Indonesia, Jakarta, ID</t>
        </is>
      </c>
      <c r="D4079" t="inlineStr">
        <is>
          <t>13.05.2027</t>
        </is>
      </c>
      <c r="E4079" t="inlineStr">
        <is>
          <t>Indonesia</t>
        </is>
      </c>
    </row>
    <row r="4080">
      <c r="A4080" t="inlineStr">
        <is>
          <t>Continental,  Sarreguemines, France</t>
        </is>
      </c>
      <c r="B4080" t="inlineStr">
        <is>
          <t>Processing Unit</t>
        </is>
      </c>
      <c r="C4080" t="inlineStr">
        <is>
          <t>DQS CFS GmbH - Deutsche Gesellschaft für Nachhaltigkeit, Frankfurt am Main, DE</t>
        </is>
      </c>
      <c r="D4080" t="inlineStr">
        <is>
          <t>13.05.2027</t>
        </is>
      </c>
      <c r="E4080" t="inlineStr">
        <is>
          <t>France</t>
        </is>
      </c>
    </row>
    <row r="4081">
      <c r="A4081" t="inlineStr">
        <is>
          <t>HOVTVA,  Reshetylivka, Ukraine</t>
        </is>
      </c>
      <c r="B4081" t="inlineStr">
        <is>
          <t>Farm / Plantation, Trader with Storage</t>
        </is>
      </c>
      <c r="C4081" t="inlineStr">
        <is>
          <t>Bureau Veritas Polska Sp. z o.o., Warsaw, PL</t>
        </is>
      </c>
      <c r="D4081" t="inlineStr">
        <is>
          <t>12.05.2027</t>
        </is>
      </c>
      <c r="E4081" t="inlineStr">
        <is>
          <t>Ukraine</t>
        </is>
      </c>
    </row>
    <row r="4082">
      <c r="A4082" t="inlineStr">
        <is>
          <t>Ningbo ZRCC Lyondell Chemical Co., Ltd.,  Ningbo, China</t>
        </is>
      </c>
      <c r="B4082" t="inlineStr">
        <is>
          <t>Processing Unit</t>
        </is>
      </c>
      <c r="C4082" t="inlineStr">
        <is>
          <t>Bureau Veritas Polska Sp. z o.o., Warsaw, PL</t>
        </is>
      </c>
      <c r="D4082" t="inlineStr">
        <is>
          <t>12.05.2027</t>
        </is>
      </c>
      <c r="E4082" t="inlineStr">
        <is>
          <t>China</t>
        </is>
      </c>
    </row>
    <row r="4083">
      <c r="A4083" t="inlineStr">
        <is>
          <t>Compozen B.V.,  ‘s‑Gravenhage, Netherlands</t>
        </is>
      </c>
      <c r="B4083" t="inlineStr">
        <is>
          <t>Trader</t>
        </is>
      </c>
      <c r="C4083" t="inlineStr">
        <is>
          <t>Bureau Veritas Polska Sp. z o.o., Warsaw, PL</t>
        </is>
      </c>
      <c r="D4083" t="inlineStr">
        <is>
          <t>12.05.2027</t>
        </is>
      </c>
      <c r="E4083" t="inlineStr">
        <is>
          <t>Netherlands</t>
        </is>
      </c>
    </row>
    <row r="4084">
      <c r="A4084" t="inlineStr">
        <is>
          <t>Bio Book Limited,  Wan Chai, Hong Kong, Hong Kong, SAR, China</t>
        </is>
      </c>
      <c r="B4084" t="inlineStr">
        <is>
          <t>Trader</t>
        </is>
      </c>
      <c r="C4084" t="inlineStr">
        <is>
          <t>RINA Services S.p.A., Genova, IT</t>
        </is>
      </c>
      <c r="D4084" t="inlineStr">
        <is>
          <t>12.05.2027</t>
        </is>
      </c>
      <c r="E4084" t="inlineStr">
        <is>
          <t>China</t>
        </is>
      </c>
    </row>
    <row r="4085">
      <c r="A4085" t="inlineStr">
        <is>
          <t>Corel Aebe,  Corfu, Greece</t>
        </is>
      </c>
      <c r="B4085" t="inlineStr">
        <is>
          <t>Collecting Point</t>
        </is>
      </c>
      <c r="C4085" t="inlineStr">
        <is>
          <t>Eurocert SA, Metamorfosi, Athens, GR</t>
        </is>
      </c>
      <c r="D4085" t="inlineStr">
        <is>
          <t>12.05.2027</t>
        </is>
      </c>
      <c r="E4085" t="inlineStr">
        <is>
          <t>Greece</t>
        </is>
      </c>
    </row>
    <row r="4086">
      <c r="A4086" t="inlineStr">
        <is>
          <t>Aben Recycling BV,  Wanroij, Netherlands</t>
        </is>
      </c>
      <c r="B4086" t="inlineStr">
        <is>
          <t>Collecting Point, Trader with Storage, Processing Unit</t>
        </is>
      </c>
      <c r="C4086" t="inlineStr">
        <is>
          <t>DEKRA Certification B.V., Arnhem, NL</t>
        </is>
      </c>
      <c r="D4086" t="inlineStr">
        <is>
          <t>12.05.2027</t>
        </is>
      </c>
      <c r="E4086" t="inlineStr">
        <is>
          <t>Netherlands</t>
        </is>
      </c>
    </row>
    <row r="4087">
      <c r="A4087" t="inlineStr">
        <is>
          <t>ECOPOLY GLOBAL (SHANGHAI) CO.,LTD.,  Jingan District, Shanghai, China</t>
        </is>
      </c>
      <c r="B4087" t="inlineStr">
        <is>
          <t>Trader</t>
        </is>
      </c>
      <c r="C4087" t="inlineStr">
        <is>
          <t>China Classification Society Certification Co., Ltd, Dong Cheng District, Beijing, CN</t>
        </is>
      </c>
      <c r="D4087" t="inlineStr">
        <is>
          <t>12.05.2027</t>
        </is>
      </c>
      <c r="E4087" t="inlineStr">
        <is>
          <t>China</t>
        </is>
      </c>
    </row>
    <row r="4088">
      <c r="A4088" t="inlineStr">
        <is>
          <t>Revolution Bio Fuels LLC,  Seven Valleys, United States</t>
        </is>
      </c>
      <c r="B4088" t="inlineStr">
        <is>
          <t>Collecting Point</t>
        </is>
      </c>
      <c r="C4088" t="inlineStr">
        <is>
          <t>Amspec Iberia SL, Vilagarcia de Arousa-Pontevedra, ES</t>
        </is>
      </c>
      <c r="D4088" t="inlineStr">
        <is>
          <t>12.05.2027</t>
        </is>
      </c>
      <c r="E4088" t="inlineStr">
        <is>
          <t>United States</t>
        </is>
      </c>
    </row>
    <row r="4089">
      <c r="A4089" t="inlineStr">
        <is>
          <t>BUMI INDAWA NIAGA,  JAKARTA SELATAN, Indonesia</t>
        </is>
      </c>
      <c r="B4089" t="inlineStr">
        <is>
          <t>Trader</t>
        </is>
      </c>
      <c r="C4089" t="inlineStr">
        <is>
          <t>Control Union Certifications Germany GmbH, Berlin, DE</t>
        </is>
      </c>
      <c r="D4089" t="inlineStr">
        <is>
          <t>12.05.2027</t>
        </is>
      </c>
      <c r="E4089" t="inlineStr">
        <is>
          <t>Indonesia</t>
        </is>
      </c>
    </row>
    <row r="4090">
      <c r="A4090" t="inlineStr">
        <is>
          <t>ExxonMobil Product Solutions Company,  Beaumont, United States</t>
        </is>
      </c>
      <c r="B4090" t="inlineStr">
        <is>
          <t>Processing Unit, Trader with Storage</t>
        </is>
      </c>
      <c r="C4090" t="inlineStr">
        <is>
          <t>SCS Global Services, Emeryville, CA, US</t>
        </is>
      </c>
      <c r="D4090" t="inlineStr">
        <is>
          <t>12.05.2027</t>
        </is>
      </c>
      <c r="E4090" t="inlineStr">
        <is>
          <t>United States</t>
        </is>
      </c>
    </row>
    <row r="4091">
      <c r="A4091" t="inlineStr">
        <is>
          <t>Revolution Bio Fuels LLC,  Seven Valleys, United States</t>
        </is>
      </c>
      <c r="B4091" t="inlineStr">
        <is>
          <t>Collecting Point</t>
        </is>
      </c>
      <c r="C4091" t="inlineStr">
        <is>
          <t>Amspec Iberia SL, Vilagarcia de Arousa-Pontevedra, ES</t>
        </is>
      </c>
      <c r="D4091" t="inlineStr">
        <is>
          <t>12.05.2027</t>
        </is>
      </c>
      <c r="E4091" t="inlineStr">
        <is>
          <t>United States</t>
        </is>
      </c>
    </row>
    <row r="4092">
      <c r="A4092" t="inlineStr">
        <is>
          <t>RESEAWORLD SRL,  TORRE DEL GRECO (NA), Italy</t>
        </is>
      </c>
      <c r="B4092" t="inlineStr">
        <is>
          <t>Proof of Compliance Trader, Trader</t>
        </is>
      </c>
      <c r="C4092" t="inlineStr">
        <is>
          <t>RINA Services S.p.A., Genova, IT</t>
        </is>
      </c>
      <c r="D4092" t="inlineStr">
        <is>
          <t>12.05.2027</t>
        </is>
      </c>
      <c r="E4092" t="inlineStr">
        <is>
          <t>Italy</t>
        </is>
      </c>
    </row>
    <row r="4093">
      <c r="A4093" t="inlineStr">
        <is>
          <t>Seaboard Foods RNG, LLC,  Leoti, KS, United States</t>
        </is>
      </c>
      <c r="B4093" t="inlineStr">
        <is>
          <t>Collecting Point, Processing Unit</t>
        </is>
      </c>
      <c r="C4093" t="inlineStr">
        <is>
          <t>SCS Global Services, Emeryville, CA, US</t>
        </is>
      </c>
      <c r="D4093" t="inlineStr">
        <is>
          <t>12.05.2027</t>
        </is>
      </c>
      <c r="E4093" t="inlineStr">
        <is>
          <t>United States</t>
        </is>
      </c>
    </row>
    <row r="4094">
      <c r="A4094" t="inlineStr">
        <is>
          <t>Seaboard Foods RNG, LLC,  Leoti, KS, United States</t>
        </is>
      </c>
      <c r="B4094" t="inlineStr">
        <is>
          <t>Collecting Point, Processing Unit</t>
        </is>
      </c>
      <c r="C4094" t="inlineStr">
        <is>
          <t>SCS Global Services, Emeryville, CA, US</t>
        </is>
      </c>
      <c r="D4094" t="inlineStr">
        <is>
          <t>12.05.2027</t>
        </is>
      </c>
      <c r="E4094" t="inlineStr">
        <is>
          <t>United States</t>
        </is>
      </c>
    </row>
    <row r="4095">
      <c r="A4095" t="inlineStr">
        <is>
          <t>ExxonMobil Product Solutions Company,  Baton Rouge, United States</t>
        </is>
      </c>
      <c r="B4095" t="inlineStr">
        <is>
          <t>Processing Unit, Trader with Storage</t>
        </is>
      </c>
      <c r="C4095" t="inlineStr">
        <is>
          <t>SCS Global Services, Emeryville, CA, US</t>
        </is>
      </c>
      <c r="D4095" t="inlineStr">
        <is>
          <t>12.05.2027</t>
        </is>
      </c>
      <c r="E4095" t="inlineStr">
        <is>
          <t>United States</t>
        </is>
      </c>
    </row>
    <row r="4096">
      <c r="A4096" t="inlineStr">
        <is>
          <t>Vattenfall Energy Trading Netherlands N.V.,  Amsterdam, Netherlands</t>
        </is>
      </c>
      <c r="B4096" t="inlineStr">
        <is>
          <t>Trader with Storage</t>
        </is>
      </c>
      <c r="C4096" t="inlineStr">
        <is>
          <t>Normec QS BV, Ede, NL</t>
        </is>
      </c>
      <c r="D4096" t="inlineStr">
        <is>
          <t>12.05.2027</t>
        </is>
      </c>
      <c r="E4096" t="inlineStr">
        <is>
          <t>Netherlands</t>
        </is>
      </c>
    </row>
    <row r="4097">
      <c r="A4097" t="inlineStr">
        <is>
          <t>Vattenfall Energy Trading GmbH,  Hamburg, Germany</t>
        </is>
      </c>
      <c r="B4097" t="inlineStr">
        <is>
          <t>Trader</t>
        </is>
      </c>
      <c r="C4097" t="inlineStr">
        <is>
          <t>Normec QS BV, Ede, NL</t>
        </is>
      </c>
      <c r="D4097" t="inlineStr">
        <is>
          <t>12.05.2027</t>
        </is>
      </c>
      <c r="E4097" t="inlineStr">
        <is>
          <t>Germany</t>
        </is>
      </c>
    </row>
    <row r="4098">
      <c r="A4098" t="inlineStr">
        <is>
          <t>Seaboard Foods RNG, LLC,  Guymon, OK, United States</t>
        </is>
      </c>
      <c r="B4098" t="inlineStr">
        <is>
          <t>Collecting Point, Processing Unit</t>
        </is>
      </c>
      <c r="C4098" t="inlineStr">
        <is>
          <t>SCS Global Services, Emeryville, CA, US</t>
        </is>
      </c>
      <c r="D4098" t="inlineStr">
        <is>
          <t>12.05.2027</t>
        </is>
      </c>
      <c r="E4098" t="inlineStr">
        <is>
          <t>United States</t>
        </is>
      </c>
    </row>
    <row r="4099">
      <c r="A4099" t="inlineStr">
        <is>
          <t>Seaboard Foods RNG, LLC,  Guymon, OK, United States</t>
        </is>
      </c>
      <c r="B4099" t="inlineStr">
        <is>
          <t>Collecting Point, Processing Unit</t>
        </is>
      </c>
      <c r="C4099" t="inlineStr">
        <is>
          <t>SCS Global Services, Emeryville, CA, US</t>
        </is>
      </c>
      <c r="D4099" t="inlineStr">
        <is>
          <t>12.05.2027</t>
        </is>
      </c>
      <c r="E4099" t="inlineStr">
        <is>
          <t>United States</t>
        </is>
      </c>
    </row>
    <row r="4100">
      <c r="A4100" t="inlineStr">
        <is>
          <t>Vibra Energia S/A - AICAR,  Araucária, Brazil</t>
        </is>
      </c>
      <c r="B4100" t="inlineStr">
        <is>
          <t>Trader with Storage</t>
        </is>
      </c>
      <c r="C4100" t="inlineStr">
        <is>
          <t>SCS Global Services, Emeryville, CA, US</t>
        </is>
      </c>
      <c r="D4100" t="inlineStr">
        <is>
          <t>12.05.2027</t>
        </is>
      </c>
      <c r="E4100" t="inlineStr">
        <is>
          <t>Brazil</t>
        </is>
      </c>
    </row>
    <row r="4101">
      <c r="A4101" t="inlineStr">
        <is>
          <t>Vibra Energia S/A - ARRIG,  Rio Grande, Brazil</t>
        </is>
      </c>
      <c r="B4101" t="inlineStr">
        <is>
          <t>Trader with Storage</t>
        </is>
      </c>
      <c r="C4101" t="inlineStr">
        <is>
          <t>SCS Global Services, Emeryville, CA, US</t>
        </is>
      </c>
      <c r="D4101" t="inlineStr">
        <is>
          <t>12.05.2027</t>
        </is>
      </c>
      <c r="E4101" t="inlineStr">
        <is>
          <t>Brazil</t>
        </is>
      </c>
    </row>
    <row r="4102">
      <c r="A4102" t="inlineStr">
        <is>
          <t>K-Pro GmbH,  Pullach, Germany</t>
        </is>
      </c>
      <c r="B4102" t="inlineStr">
        <is>
          <t>Trader, Collecting Point</t>
        </is>
      </c>
      <c r="C4102" t="inlineStr">
        <is>
          <t>Bureau Veritas Polska Sp. z o.o., Warsaw, PL</t>
        </is>
      </c>
      <c r="D4102" t="inlineStr">
        <is>
          <t>12.05.2027</t>
        </is>
      </c>
      <c r="E4102" t="inlineStr">
        <is>
          <t>Germany</t>
        </is>
      </c>
    </row>
    <row r="4103">
      <c r="A4103" t="inlineStr">
        <is>
          <t>TAI FUNG TRADING CO., LTD.,  TAIPEI, Taiwan, Province of China</t>
        </is>
      </c>
      <c r="B4103" t="inlineStr">
        <is>
          <t>Trader</t>
        </is>
      </c>
      <c r="C4103" t="inlineStr">
        <is>
          <t>Bureau Veritas Polska Sp. z o.o., Warsaw, PL</t>
        </is>
      </c>
      <c r="D4103" t="inlineStr">
        <is>
          <t>12.05.2027</t>
        </is>
      </c>
      <c r="E4103" t="inlineStr">
        <is>
          <t>Province of China</t>
        </is>
      </c>
    </row>
    <row r="4104">
      <c r="A4104" t="inlineStr">
        <is>
          <t>HCP Packaging Hong Kong Limited,  Hong Kong, China</t>
        </is>
      </c>
      <c r="B4104" t="inlineStr">
        <is>
          <t>Trader</t>
        </is>
      </c>
      <c r="C4104" t="inlineStr">
        <is>
          <t>China Quality Certification Centre Co., Ltd., Beijing, CN</t>
        </is>
      </c>
      <c r="D4104" t="inlineStr">
        <is>
          <t>12.05.2027</t>
        </is>
      </c>
      <c r="E4104" t="inlineStr">
        <is>
          <t>China</t>
        </is>
      </c>
    </row>
    <row r="4105">
      <c r="A4105" t="inlineStr">
        <is>
          <t>KOPERASI PEMBANGUNAN PEKEBUN KECIL HILIR PERAK,  Hilir Perak, Malaysia</t>
        </is>
      </c>
      <c r="B4105" t="inlineStr">
        <is>
          <t>Point of Origin</t>
        </is>
      </c>
      <c r="C4105" t="inlineStr">
        <is>
          <t>PT. CBQA GLOBAL INDONESIA, JAKARTA SELATAN, ID</t>
        </is>
      </c>
      <c r="D4105" t="inlineStr">
        <is>
          <t>12.05.2027</t>
        </is>
      </c>
      <c r="E4105" t="inlineStr">
        <is>
          <t>Malaysia</t>
        </is>
      </c>
    </row>
    <row r="4106">
      <c r="A4106" t="inlineStr">
        <is>
          <t>ExxonMobil Oil Corporation,  Baton Rouge, United States</t>
        </is>
      </c>
      <c r="B4106" t="inlineStr">
        <is>
          <t>Processing Unit, Trader with Storage</t>
        </is>
      </c>
      <c r="C4106" t="inlineStr">
        <is>
          <t>SCS Global Services, Emeryville, CA, US</t>
        </is>
      </c>
      <c r="D4106" t="inlineStr">
        <is>
          <t>12.05.2027</t>
        </is>
      </c>
      <c r="E4106" t="inlineStr">
        <is>
          <t>United States</t>
        </is>
      </c>
    </row>
    <row r="4107">
      <c r="A4107" t="inlineStr">
        <is>
          <t>ExxonMobil Product Solutions Company,  Baton Rouge, United States</t>
        </is>
      </c>
      <c r="B4107" t="inlineStr">
        <is>
          <t>Processing Unit, Trader with Storage</t>
        </is>
      </c>
      <c r="C4107" t="inlineStr">
        <is>
          <t>SCS Global Services, Emeryville, CA, US</t>
        </is>
      </c>
      <c r="D4107" t="inlineStr">
        <is>
          <t>12.05.2027</t>
        </is>
      </c>
      <c r="E4107" t="inlineStr">
        <is>
          <t>United States</t>
        </is>
      </c>
    </row>
    <row r="4108">
      <c r="A4108" t="inlineStr">
        <is>
          <t>ExxonMobil Product Solutions Company,  Baton Rouge, United States</t>
        </is>
      </c>
      <c r="B4108" t="inlineStr">
        <is>
          <t>Processing Unit, Trader with Storage</t>
        </is>
      </c>
      <c r="C4108" t="inlineStr">
        <is>
          <t>SCS Global Services, Emeryville, CA, US</t>
        </is>
      </c>
      <c r="D4108" t="inlineStr">
        <is>
          <t>12.05.2027</t>
        </is>
      </c>
      <c r="E4108" t="inlineStr">
        <is>
          <t>United States</t>
        </is>
      </c>
    </row>
    <row r="4109">
      <c r="A4109" t="inlineStr">
        <is>
          <t>DooYoung Chem and Recycling,  Gimhae-si, Gyeongsangnam-do, The Republic of Korea</t>
        </is>
      </c>
      <c r="B4109" t="inlineStr">
        <is>
          <t>Collecting Point, Point of Origin, Processing Unit, Trader with Storage</t>
        </is>
      </c>
      <c r="C4109" t="inlineStr">
        <is>
          <t>Control Union Certifications Germany GmbH, Berlin, DE</t>
        </is>
      </c>
      <c r="D4109" t="inlineStr">
        <is>
          <t>12.05.2027</t>
        </is>
      </c>
      <c r="E4109" t="inlineStr">
        <is>
          <t>The Republic of Korea</t>
        </is>
      </c>
    </row>
    <row r="4110">
      <c r="A4110" t="inlineStr">
        <is>
          <t>Naturgy Nuevas Energías S.L.U.,  A Coruña, Spain</t>
        </is>
      </c>
      <c r="B4110" t="inlineStr">
        <is>
          <t>Processing Unit, Trader</t>
        </is>
      </c>
      <c r="C4110" t="inlineStr">
        <is>
          <t>Bureau Veritas Polska Sp. z o.o., Warsaw, PL</t>
        </is>
      </c>
      <c r="D4110" t="inlineStr">
        <is>
          <t>12.05.2027</t>
        </is>
      </c>
      <c r="E4110" t="inlineStr">
        <is>
          <t>Spain</t>
        </is>
      </c>
    </row>
    <row r="4111">
      <c r="A4111" t="inlineStr">
        <is>
          <t>Fangchenggang Jinruida Bio-technology Co., Ltd,  Fangchenggang, Guangxi, China</t>
        </is>
      </c>
      <c r="B4111" t="inlineStr">
        <is>
          <t>Processing Unit, Trader with Storage, Collecting Point</t>
        </is>
      </c>
      <c r="C4111" t="inlineStr">
        <is>
          <t>RINA Services S.p.A., Genova, IT</t>
        </is>
      </c>
      <c r="D4111" t="inlineStr">
        <is>
          <t>12.05.2027</t>
        </is>
      </c>
      <c r="E4111" t="inlineStr">
        <is>
          <t>China</t>
        </is>
      </c>
    </row>
    <row r="4112">
      <c r="A4112" t="inlineStr">
        <is>
          <t>PETROCHINA INTERNATIONAL (JAPAN) CO., LTD.,  TOKYO, Japan</t>
        </is>
      </c>
      <c r="B4112" t="inlineStr">
        <is>
          <t>Trader</t>
        </is>
      </c>
      <c r="C4112" t="inlineStr">
        <is>
          <t>SCS Global Services, Emeryville, CA, US</t>
        </is>
      </c>
      <c r="D4112" t="inlineStr">
        <is>
          <t>12.05.2027</t>
        </is>
      </c>
      <c r="E4112" t="inlineStr">
        <is>
          <t>Japan</t>
        </is>
      </c>
    </row>
    <row r="4113">
      <c r="A4113" t="inlineStr">
        <is>
          <t>PETROCHINA INTERNATIONAL (JAPAN) CO., LTD.,  TOKYO, Japan</t>
        </is>
      </c>
      <c r="B4113" t="inlineStr">
        <is>
          <t>Trader</t>
        </is>
      </c>
      <c r="C4113" t="inlineStr">
        <is>
          <t>SCS Global Services, Emeryville, CA, US</t>
        </is>
      </c>
      <c r="D4113" t="inlineStr">
        <is>
          <t>12.05.2027</t>
        </is>
      </c>
      <c r="E4113" t="inlineStr">
        <is>
          <t>Japan</t>
        </is>
      </c>
    </row>
    <row r="4114">
      <c r="A4114" t="inlineStr">
        <is>
          <t>PETROCHINA INTERNATIONAL (JAPAN) CO., LTD.,  TOKYO, Japan</t>
        </is>
      </c>
      <c r="B4114" t="inlineStr">
        <is>
          <t>Trader</t>
        </is>
      </c>
      <c r="C4114" t="inlineStr">
        <is>
          <t>SCS Global Services, Emeryville, CA, US</t>
        </is>
      </c>
      <c r="D4114" t="inlineStr">
        <is>
          <t>12.05.2027</t>
        </is>
      </c>
      <c r="E4114" t="inlineStr">
        <is>
          <t>Japan</t>
        </is>
      </c>
    </row>
    <row r="4115">
      <c r="A4115" t="inlineStr">
        <is>
          <t>Orkey,  Akureyri, Iceland</t>
        </is>
      </c>
      <c r="B4115" t="inlineStr">
        <is>
          <t>Collecting Point, Processing Unit, Trader with Storage</t>
        </is>
      </c>
      <c r="C4115" t="inlineStr">
        <is>
          <t>ASG Cert GmbH, Munich, DE</t>
        </is>
      </c>
      <c r="D4115" t="inlineStr">
        <is>
          <t>12.05.2027</t>
        </is>
      </c>
      <c r="E4115" t="inlineStr">
        <is>
          <t>Iceland</t>
        </is>
      </c>
    </row>
    <row r="4116">
      <c r="A4116" t="inlineStr">
        <is>
          <t>ProAmpac Holdings Inc.,  Auburn, WA, United States</t>
        </is>
      </c>
      <c r="B4116" t="inlineStr">
        <is>
          <t>Processing Unit</t>
        </is>
      </c>
      <c r="C4116" t="inlineStr">
        <is>
          <t>SCS Global Services, Emeryville, CA, US</t>
        </is>
      </c>
      <c r="D4116" t="inlineStr">
        <is>
          <t>12.05.2027</t>
        </is>
      </c>
      <c r="E4116" t="inlineStr">
        <is>
          <t>United States</t>
        </is>
      </c>
    </row>
    <row r="4117">
      <c r="A4117" t="inlineStr">
        <is>
          <t>Performance Solutions Luxembourg S.à.r.l.,  Contern, Luxembourg</t>
        </is>
      </c>
      <c r="B4117" t="inlineStr">
        <is>
          <t>Processing Unit</t>
        </is>
      </c>
      <c r="C4117" t="inlineStr">
        <is>
          <t>Control Union Certifications Germany GmbH, Berlin, DE</t>
        </is>
      </c>
      <c r="D4117" t="inlineStr">
        <is>
          <t>12.05.2027</t>
        </is>
      </c>
      <c r="E4117" t="inlineStr">
        <is>
          <t>Luxembourg</t>
        </is>
      </c>
    </row>
    <row r="4118">
      <c r="A4118" t="inlineStr">
        <is>
          <t>Celanese Ltd,  Enoree, SC, United States</t>
        </is>
      </c>
      <c r="B4118" t="inlineStr">
        <is>
          <t>Processing Unit, Trader with Storage</t>
        </is>
      </c>
      <c r="C4118" t="inlineStr">
        <is>
          <t>DIN CERTCO GmbH, Berlin, DE</t>
        </is>
      </c>
      <c r="D4118" t="inlineStr">
        <is>
          <t>12.05.2027</t>
        </is>
      </c>
      <c r="E4118" t="inlineStr">
        <is>
          <t>United States</t>
        </is>
      </c>
    </row>
    <row r="4119">
      <c r="A4119" t="inlineStr">
        <is>
          <t>FINE PLATECH,  Eumseong-gun, South Korea</t>
        </is>
      </c>
      <c r="B4119" t="inlineStr">
        <is>
          <t>Processing Unit</t>
        </is>
      </c>
      <c r="C4119" t="inlineStr">
        <is>
          <t>Control Union Certifications Germany GmbH, Berlin, DE</t>
        </is>
      </c>
      <c r="D4119" t="inlineStr">
        <is>
          <t>12.05.2027</t>
        </is>
      </c>
      <c r="E4119" t="inlineStr">
        <is>
          <t>South Korea</t>
        </is>
      </c>
    </row>
    <row r="4120">
      <c r="A4120" t="inlineStr">
        <is>
          <t>Vitol Gas and Power B.V.,  Rotterdam, Netherlands</t>
        </is>
      </c>
      <c r="B4120" t="inlineStr">
        <is>
          <t>Trader</t>
        </is>
      </c>
      <c r="C4120" t="inlineStr">
        <is>
          <t>DEKRA Certification B.V., Arnhem, NL</t>
        </is>
      </c>
      <c r="D4120" t="inlineStr">
        <is>
          <t>12.05.2027</t>
        </is>
      </c>
      <c r="E4120" t="inlineStr">
        <is>
          <t>Netherlands</t>
        </is>
      </c>
    </row>
    <row r="4121">
      <c r="A4121" t="inlineStr">
        <is>
          <t>Oberösterreichische Biodiesel - Bulgarien GmbH,  Rousse, Bulgaria</t>
        </is>
      </c>
      <c r="B4121" t="inlineStr">
        <is>
          <t>First Gathering Point, Point of Origin, Processing Unit, Trader with Storage</t>
        </is>
      </c>
      <c r="C4121" t="inlineStr">
        <is>
          <t>SGS Germany GmbH, Emstek, DE</t>
        </is>
      </c>
      <c r="D4121" t="inlineStr">
        <is>
          <t>12.05.2027</t>
        </is>
      </c>
      <c r="E4121" t="inlineStr">
        <is>
          <t>Bulgaria</t>
        </is>
      </c>
    </row>
    <row r="4122">
      <c r="A4122" t="inlineStr">
        <is>
          <t>Nobian Industrial Chemicals B.V.,  Rotterdam, Netherlands</t>
        </is>
      </c>
      <c r="B4122" t="inlineStr">
        <is>
          <t>Processing Unit</t>
        </is>
      </c>
      <c r="C4122" t="inlineStr">
        <is>
          <t>SGS Germany GmbH, Emstek, DE</t>
        </is>
      </c>
      <c r="D4122" t="inlineStr">
        <is>
          <t>12.05.2027</t>
        </is>
      </c>
      <c r="E4122" t="inlineStr">
        <is>
          <t>Netherlands</t>
        </is>
      </c>
    </row>
    <row r="4123">
      <c r="A4123" t="inlineStr">
        <is>
          <t>Synthite (Mold) Limited,  Mold, United Kingdom</t>
        </is>
      </c>
      <c r="B4123" t="inlineStr">
        <is>
          <t>Processing Unit</t>
        </is>
      </c>
      <c r="C4123" t="inlineStr">
        <is>
          <t>SGS Germany GmbH, Emstek, DE</t>
        </is>
      </c>
      <c r="D4123" t="inlineStr">
        <is>
          <t>12.05.2027</t>
        </is>
      </c>
      <c r="E4123" t="inlineStr">
        <is>
          <t>United Kingdom</t>
        </is>
      </c>
    </row>
    <row r="4124">
      <c r="A4124" t="inlineStr">
        <is>
          <t>HaMinGi(Ningbo)Automotive LTD,  Ningbo City,Zhejiang Province, China</t>
        </is>
      </c>
      <c r="B4124" t="inlineStr">
        <is>
          <t>Processing Unit</t>
        </is>
      </c>
      <c r="C4124" t="inlineStr">
        <is>
          <t>PT Intertek Utama Services, Jakarta, ID</t>
        </is>
      </c>
      <c r="D4124" t="inlineStr">
        <is>
          <t>12.05.2027</t>
        </is>
      </c>
      <c r="E4124" t="inlineStr">
        <is>
          <t>China</t>
        </is>
      </c>
    </row>
    <row r="4125">
      <c r="A4125" t="inlineStr">
        <is>
          <t>GIDROSAND,  Vlasivka,Svitlovodsk,Kirovograd region, Ukraine</t>
        </is>
      </c>
      <c r="B4125" t="inlineStr">
        <is>
          <t>Trader with Storage</t>
        </is>
      </c>
      <c r="C4125" t="inlineStr">
        <is>
          <t>Apex Genelab LLC, Odessa, UA</t>
        </is>
      </c>
      <c r="D4125" t="inlineStr">
        <is>
          <t>12.05.2027</t>
        </is>
      </c>
      <c r="E4125" t="inlineStr">
        <is>
          <t>Ukraine</t>
        </is>
      </c>
    </row>
    <row r="4126">
      <c r="A4126" t="inlineStr">
        <is>
          <t>Synthos Schkopau,  Schkopau, Germany</t>
        </is>
      </c>
      <c r="B4126" t="inlineStr">
        <is>
          <t>Processing Unit</t>
        </is>
      </c>
      <c r="C4126" t="inlineStr">
        <is>
          <t>Bureau Veritas Polska Sp. z o.o., Warsaw, PL</t>
        </is>
      </c>
      <c r="D4126" t="inlineStr">
        <is>
          <t>12.05.2027</t>
        </is>
      </c>
      <c r="E4126" t="inlineStr">
        <is>
          <t>Germany</t>
        </is>
      </c>
    </row>
    <row r="4127">
      <c r="A4127" t="inlineStr">
        <is>
          <t>ASP GREENTECH,  KOTA TINGGI, Malaysia</t>
        </is>
      </c>
      <c r="B4127" t="inlineStr">
        <is>
          <t>Point of Origin</t>
        </is>
      </c>
      <c r="C4127" t="inlineStr">
        <is>
          <t>PT. CBQA GLOBAL INDONESIA, JAKARTA SELATAN, ID</t>
        </is>
      </c>
      <c r="D4127" t="inlineStr">
        <is>
          <t>12.05.2027</t>
        </is>
      </c>
      <c r="E4127" t="inlineStr">
        <is>
          <t>Malaysia</t>
        </is>
      </c>
    </row>
    <row r="4128">
      <c r="A4128" t="inlineStr">
        <is>
          <t>Mestverwerking de Kempen B.V.,  Wintelre, Netherlands</t>
        </is>
      </c>
      <c r="B4128" t="inlineStr">
        <is>
          <t>Processing Unit</t>
        </is>
      </c>
      <c r="C4128" t="inlineStr">
        <is>
          <t>Normec QS BV, Ede, NL</t>
        </is>
      </c>
      <c r="D4128" t="inlineStr">
        <is>
          <t>12.05.2027</t>
        </is>
      </c>
      <c r="E4128" t="inlineStr">
        <is>
          <t>Netherlands</t>
        </is>
      </c>
    </row>
    <row r="4129">
      <c r="A4129" t="inlineStr">
        <is>
          <t>Amcor Flexibles, Ledbury,  Ledbury, Herefordshire, United Kingdom</t>
        </is>
      </c>
      <c r="B4129" t="inlineStr">
        <is>
          <t>Final Product Refinement, Processing Unit</t>
        </is>
      </c>
      <c r="C4129" t="inlineStr">
        <is>
          <t>SGS Germany GmbH, Emstek, DE</t>
        </is>
      </c>
      <c r="D4129" t="inlineStr">
        <is>
          <t>12.05.2027</t>
        </is>
      </c>
      <c r="E4129" t="inlineStr">
        <is>
          <t>United Kingdom</t>
        </is>
      </c>
    </row>
    <row r="4130">
      <c r="A4130" t="inlineStr">
        <is>
          <t>Vakutrans B.V.,  Helvoirt, Netherlands</t>
        </is>
      </c>
      <c r="B4130" t="inlineStr">
        <is>
          <t>Collecting Point, Trader with Storage</t>
        </is>
      </c>
      <c r="C4130" t="inlineStr">
        <is>
          <t>Normec QS BV, Ede, NL</t>
        </is>
      </c>
      <c r="D4130" t="inlineStr">
        <is>
          <t>12.05.2027</t>
        </is>
      </c>
      <c r="E4130" t="inlineStr">
        <is>
          <t>Netherlands</t>
        </is>
      </c>
    </row>
    <row r="4131">
      <c r="A4131" t="inlineStr">
        <is>
          <t>Agerona SIA,  Jelgava, Latvia</t>
        </is>
      </c>
      <c r="B4131" t="inlineStr">
        <is>
          <t>First Gathering Point, Point of Origin, Trader with Storage</t>
        </is>
      </c>
      <c r="C4131" t="inlineStr">
        <is>
          <t>SGS Germany GmbH, Emstek, DE</t>
        </is>
      </c>
      <c r="D4131" t="inlineStr">
        <is>
          <t>12.05.2027</t>
        </is>
      </c>
      <c r="E4131" t="inlineStr">
        <is>
          <t>Latvia</t>
        </is>
      </c>
    </row>
    <row r="4132">
      <c r="A4132" t="inlineStr">
        <is>
          <t>BLÓKER Zrt.,  Bogyiszló, Hungary</t>
        </is>
      </c>
      <c r="B4132" t="inlineStr">
        <is>
          <t>First Gathering Point, Trader with Storage</t>
        </is>
      </c>
      <c r="C4132" t="inlineStr">
        <is>
          <t>Amspec Iberia SL, Vilagarcia de Arousa-Pontevedra, ES</t>
        </is>
      </c>
      <c r="D4132" t="inlineStr">
        <is>
          <t>12.05.2027</t>
        </is>
      </c>
      <c r="E4132" t="inlineStr">
        <is>
          <t>Hungary</t>
        </is>
      </c>
    </row>
    <row r="4133">
      <c r="A4133" t="inlineStr">
        <is>
          <t>Southern Oil Pty Ltd,  Blackheath, Capetown, South Africa</t>
        </is>
      </c>
      <c r="B4133" t="inlineStr">
        <is>
          <t>Collecting Point, Trader with Storage</t>
        </is>
      </c>
      <c r="C4133" t="inlineStr">
        <is>
          <t>PT Intertek Utama Services, Jakarta, ID</t>
        </is>
      </c>
      <c r="D4133" t="inlineStr">
        <is>
          <t>12.05.2027</t>
        </is>
      </c>
      <c r="E4133" t="inlineStr">
        <is>
          <t>South Africa</t>
        </is>
      </c>
    </row>
    <row r="4134">
      <c r="A4134" t="inlineStr">
        <is>
          <t>Vamas,  San Miniato (Pisa), Italy</t>
        </is>
      </c>
      <c r="B4134" t="inlineStr">
        <is>
          <t>Point of Origin, Trader, Processing Unit</t>
        </is>
      </c>
      <c r="C4134" t="inlineStr">
        <is>
          <t>RINA Services S.p.A., Genova, IT</t>
        </is>
      </c>
      <c r="D4134" t="inlineStr">
        <is>
          <t>12.05.2027</t>
        </is>
      </c>
      <c r="E4134" t="inlineStr">
        <is>
          <t>Italy</t>
        </is>
      </c>
    </row>
    <row r="4135">
      <c r="A4135" t="inlineStr">
        <is>
          <t>Southern Oil Pty Ltd,  Brakpan, Johannesburg, South Africa</t>
        </is>
      </c>
      <c r="B4135" t="inlineStr">
        <is>
          <t>Collecting Point, Trader with Storage</t>
        </is>
      </c>
      <c r="C4135" t="inlineStr">
        <is>
          <t>PT Intertek Utama Services, Jakarta, ID</t>
        </is>
      </c>
      <c r="D4135" t="inlineStr">
        <is>
          <t>12.05.2027</t>
        </is>
      </c>
      <c r="E4135" t="inlineStr">
        <is>
          <t>South Africa</t>
        </is>
      </c>
    </row>
    <row r="4136">
      <c r="A4136" t="inlineStr">
        <is>
          <t>FS I INDUSTRIA DE ETANOL,  Primavera do Leste, Brazil</t>
        </is>
      </c>
      <c r="B4136" t="inlineStr">
        <is>
          <t>First Gathering Point, Point of Origin, Processing Unit</t>
        </is>
      </c>
      <c r="C4136" t="inlineStr">
        <is>
          <t>SCS Global Services, Emeryville, CA, US</t>
        </is>
      </c>
      <c r="D4136" t="inlineStr">
        <is>
          <t>12.05.2027</t>
        </is>
      </c>
      <c r="E4136" t="inlineStr">
        <is>
          <t>Brazil</t>
        </is>
      </c>
    </row>
    <row r="4137">
      <c r="A4137" t="inlineStr">
        <is>
          <t>FS I INDUSTRIA DE ETANOL,  Primavera do Leste, Brazil</t>
        </is>
      </c>
      <c r="B4137" t="inlineStr">
        <is>
          <t>First Gathering Point, Point of Origin, Processing Unit</t>
        </is>
      </c>
      <c r="C4137" t="inlineStr">
        <is>
          <t>SCS Global Services, Emeryville, CA, US</t>
        </is>
      </c>
      <c r="D4137" t="inlineStr">
        <is>
          <t>12.05.2027</t>
        </is>
      </c>
      <c r="E4137" t="inlineStr">
        <is>
          <t>Brazil</t>
        </is>
      </c>
    </row>
    <row r="4138">
      <c r="A4138" t="inlineStr">
        <is>
          <t>Imperial Oil,  Sarnia, Ontario, Canada</t>
        </is>
      </c>
      <c r="B4138" t="inlineStr">
        <is>
          <t>Processing Unit, Trader with Storage</t>
        </is>
      </c>
      <c r="C4138" t="inlineStr">
        <is>
          <t>SCS Global Services, Emeryville, CA, US</t>
        </is>
      </c>
      <c r="D4138" t="inlineStr">
        <is>
          <t>12.05.2027</t>
        </is>
      </c>
      <c r="E4138" t="inlineStr">
        <is>
          <t>Canada</t>
        </is>
      </c>
    </row>
    <row r="4139">
      <c r="A4139" t="inlineStr">
        <is>
          <t>FS I INDUSTRIA DE ETANOL,  Primavera do Leste, Brazil</t>
        </is>
      </c>
      <c r="B4139" t="inlineStr">
        <is>
          <t>First Gathering Point, Point of Origin, Processing Unit</t>
        </is>
      </c>
      <c r="C4139" t="inlineStr">
        <is>
          <t>SCS Global Services, Emeryville, CA, US</t>
        </is>
      </c>
      <c r="D4139" t="inlineStr">
        <is>
          <t>12.05.2027</t>
        </is>
      </c>
      <c r="E4139" t="inlineStr">
        <is>
          <t>Brazil</t>
        </is>
      </c>
    </row>
    <row r="4140">
      <c r="A4140" t="inlineStr">
        <is>
          <t>FS I INDUSTRIA DE ETANOL,  Primavera do Leste, Brazil</t>
        </is>
      </c>
      <c r="B4140" t="inlineStr">
        <is>
          <t>First Gathering Point</t>
        </is>
      </c>
      <c r="C4140" t="inlineStr">
        <is>
          <t>SCS Global Services, Emeryville, CA, US</t>
        </is>
      </c>
      <c r="D4140" t="inlineStr">
        <is>
          <t>12.05.2027</t>
        </is>
      </c>
      <c r="E4140" t="inlineStr">
        <is>
          <t>Brazil</t>
        </is>
      </c>
    </row>
    <row r="4141">
      <c r="A4141" t="inlineStr">
        <is>
          <t>Voxen Sociedad Anonima,  Villa Paranacito, Argentina</t>
        </is>
      </c>
      <c r="B4141" t="inlineStr">
        <is>
          <t>Logistics Center</t>
        </is>
      </c>
      <c r="C4141" t="inlineStr">
        <is>
          <t>SGS Germany GmbH, Emstek, DE</t>
        </is>
      </c>
      <c r="D4141" t="inlineStr">
        <is>
          <t>12.05.2027</t>
        </is>
      </c>
      <c r="E4141" t="inlineStr">
        <is>
          <t>Argentina</t>
        </is>
      </c>
    </row>
    <row r="4142">
      <c r="A4142" t="inlineStr">
        <is>
          <t>Obchodné družstvo ODVP,  Topoľčany, Slovakia</t>
        </is>
      </c>
      <c r="B4142" t="inlineStr">
        <is>
          <t>First Gathering Point, Trader</t>
        </is>
      </c>
      <c r="C4142" t="inlineStr">
        <is>
          <t>Bureau Veritas Polska Sp. z o.o., Warsaw, PL</t>
        </is>
      </c>
      <c r="D4142" t="inlineStr">
        <is>
          <t>11.05.2027</t>
        </is>
      </c>
      <c r="E4142" t="inlineStr">
        <is>
          <t>Slovakia</t>
        </is>
      </c>
    </row>
    <row r="4143">
      <c r="A4143" t="inlineStr">
        <is>
          <t>Obchodné družstvo ODVP,  Topoľčany, Slovakia</t>
        </is>
      </c>
      <c r="B4143" t="inlineStr">
        <is>
          <t>First Gathering Point, Trader</t>
        </is>
      </c>
      <c r="C4143" t="inlineStr">
        <is>
          <t>Bureau Veritas Polska Sp. z o.o., Warsaw, PL</t>
        </is>
      </c>
      <c r="D4143" t="inlineStr">
        <is>
          <t>11.05.2027</t>
        </is>
      </c>
      <c r="E4143" t="inlineStr">
        <is>
          <t>Slovakia</t>
        </is>
      </c>
    </row>
    <row r="4144">
      <c r="A4144" t="inlineStr">
        <is>
          <t>Owens Corning Fiberglas France SAS,  L'Ardoise, France</t>
        </is>
      </c>
      <c r="B4144" t="inlineStr">
        <is>
          <t>Collecting Point, Point of Origin, Processing Unit</t>
        </is>
      </c>
      <c r="C4144" t="inlineStr">
        <is>
          <t>SGS Germany GmbH, Emstek, DE</t>
        </is>
      </c>
      <c r="D4144" t="inlineStr">
        <is>
          <t>11.05.2027</t>
        </is>
      </c>
      <c r="E4144" t="inlineStr">
        <is>
          <t>France</t>
        </is>
      </c>
    </row>
    <row r="4145">
      <c r="A4145" t="inlineStr">
        <is>
          <t>FINOLIVA GLOBAL SERVICE,  Bitonto, Italy</t>
        </is>
      </c>
      <c r="B4145" t="inlineStr">
        <is>
          <t>Final Product Refinement, Trader with Storage</t>
        </is>
      </c>
      <c r="C4145" t="inlineStr">
        <is>
          <t>DNV Business Assurance Sweden AB, Solna, SE</t>
        </is>
      </c>
      <c r="D4145" t="inlineStr">
        <is>
          <t>11.05.2027</t>
        </is>
      </c>
      <c r="E4145" t="inlineStr">
        <is>
          <t>Italy</t>
        </is>
      </c>
    </row>
    <row r="4146">
      <c r="A4146" t="inlineStr">
        <is>
          <t>Sinochem International Oil (Singapore) Pte Ltd,  Singapore, Singapore</t>
        </is>
      </c>
      <c r="B4146" t="inlineStr">
        <is>
          <t>Trader</t>
        </is>
      </c>
      <c r="C4146" t="inlineStr">
        <is>
          <t>Control Union Certifications Germany GmbH, Berlin, DE</t>
        </is>
      </c>
      <c r="D4146" t="inlineStr">
        <is>
          <t>11.05.2027</t>
        </is>
      </c>
      <c r="E4146" t="inlineStr">
        <is>
          <t>Singapore</t>
        </is>
      </c>
    </row>
    <row r="4147">
      <c r="A4147" t="inlineStr">
        <is>
          <t>Wenzhou Huake Biological Energy Co., Ltd.,  Wenzhou City Zhejiang Province, China</t>
        </is>
      </c>
      <c r="B4147" t="inlineStr">
        <is>
          <t>Trader</t>
        </is>
      </c>
      <c r="C4147" t="inlineStr">
        <is>
          <t>RINA Services S.p.A., Genova, IT</t>
        </is>
      </c>
      <c r="D4147" t="inlineStr">
        <is>
          <t>11.05.2027</t>
        </is>
      </c>
      <c r="E4147" t="inlineStr">
        <is>
          <t>China</t>
        </is>
      </c>
    </row>
    <row r="4148">
      <c r="A4148" t="inlineStr">
        <is>
          <t>Caselle società agricola,  Pontecagnano, Italy</t>
        </is>
      </c>
      <c r="B4148" t="inlineStr">
        <is>
          <t>First Gathering Point</t>
        </is>
      </c>
      <c r="C4148" t="inlineStr">
        <is>
          <t>RINA Services S.p.A., Genova, IT</t>
        </is>
      </c>
      <c r="D4148" t="inlineStr">
        <is>
          <t>11.05.2027</t>
        </is>
      </c>
      <c r="E4148" t="inlineStr">
        <is>
          <t>Italy</t>
        </is>
      </c>
    </row>
    <row r="4149">
      <c r="A4149" t="inlineStr">
        <is>
          <t>Elian Barcelona SLU,  Barcelona, Spain</t>
        </is>
      </c>
      <c r="B4149" t="inlineStr">
        <is>
          <t>Trader</t>
        </is>
      </c>
      <c r="C4149" t="inlineStr">
        <is>
          <t>Control Union Poland Sp. z o.o., Zielona Gora, PL</t>
        </is>
      </c>
      <c r="D4149" t="inlineStr">
        <is>
          <t>11.05.2027</t>
        </is>
      </c>
      <c r="E4149" t="inlineStr">
        <is>
          <t>Spain</t>
        </is>
      </c>
    </row>
    <row r="4150">
      <c r="A4150" t="inlineStr">
        <is>
          <t>CASPIT LIMITED,  Nicosia, Cyprus</t>
        </is>
      </c>
      <c r="B4150" t="inlineStr">
        <is>
          <t>Trader</t>
        </is>
      </c>
      <c r="C4150" t="inlineStr">
        <is>
          <t>BM Certification, Riga, LV</t>
        </is>
      </c>
      <c r="D4150" t="inlineStr">
        <is>
          <t>11.05.2027</t>
        </is>
      </c>
      <c r="E4150" t="inlineStr">
        <is>
          <t>Cyprus</t>
        </is>
      </c>
    </row>
    <row r="4151">
      <c r="A4151" t="inlineStr">
        <is>
          <t>Stryker Fuels LLC,  Alvin, TX, United States</t>
        </is>
      </c>
      <c r="B4151" t="inlineStr">
        <is>
          <t>Processing Unit, Trader with Storage</t>
        </is>
      </c>
      <c r="C4151" t="inlineStr">
        <is>
          <t>SCS Global Services, Emeryville, CA, US</t>
        </is>
      </c>
      <c r="D4151" t="inlineStr">
        <is>
          <t>11.05.2027</t>
        </is>
      </c>
      <c r="E4151" t="inlineStr">
        <is>
          <t>United States</t>
        </is>
      </c>
    </row>
    <row r="4152">
      <c r="A4152" t="inlineStr">
        <is>
          <t>ABID Biotreibstoffe GmbH,  Hohenau an der March, Austria</t>
        </is>
      </c>
      <c r="B4152" t="inlineStr">
        <is>
          <t>Point of Origin, Processing Unit, Trader with Storage</t>
        </is>
      </c>
      <c r="C4152" t="inlineStr">
        <is>
          <t>United Registrar of Systems Polska Sp. z o.o., Wrocław, PL</t>
        </is>
      </c>
      <c r="D4152" t="inlineStr">
        <is>
          <t>11.05.2027</t>
        </is>
      </c>
      <c r="E4152" t="inlineStr">
        <is>
          <t>Austria</t>
        </is>
      </c>
    </row>
    <row r="4153">
      <c r="A4153" t="inlineStr">
        <is>
          <t>NPK Co.,Ltd,  Gumi-si, Gyeongsangbuk-do, Korea, Republic of</t>
        </is>
      </c>
      <c r="B4153" t="inlineStr">
        <is>
          <t>Processing Unit</t>
        </is>
      </c>
      <c r="C4153" t="inlineStr">
        <is>
          <t>Control Union Certifications Germany GmbH, Berlin, DE</t>
        </is>
      </c>
      <c r="D4153" t="inlineStr">
        <is>
          <t>11.05.2027</t>
        </is>
      </c>
      <c r="E4153" t="inlineStr">
        <is>
          <t>Republic of</t>
        </is>
      </c>
    </row>
    <row r="4154">
      <c r="A4154" t="inlineStr">
        <is>
          <t>Búzaszem-agro Kft.,  Mezőszentgyörgy, Hungary</t>
        </is>
      </c>
      <c r="B4154" t="inlineStr">
        <is>
          <t>First Gathering Point, Trader with Storage</t>
        </is>
      </c>
      <c r="C4154" t="inlineStr">
        <is>
          <t>BM Certification, Riga, LV</t>
        </is>
      </c>
      <c r="D4154" t="inlineStr">
        <is>
          <t>11.05.2027</t>
        </is>
      </c>
      <c r="E4154" t="inlineStr">
        <is>
          <t>Hungary</t>
        </is>
      </c>
    </row>
    <row r="4155">
      <c r="A4155" t="inlineStr">
        <is>
          <t>GR Belgium SRL,  Watermael-Boitsfort, Belgium</t>
        </is>
      </c>
      <c r="B4155" t="inlineStr">
        <is>
          <t>Trader</t>
        </is>
      </c>
      <c r="C4155" t="inlineStr">
        <is>
          <t>SGS Germany GmbH, Emstek, DE</t>
        </is>
      </c>
      <c r="D4155" t="inlineStr">
        <is>
          <t>11.05.2027</t>
        </is>
      </c>
      <c r="E4155" t="inlineStr">
        <is>
          <t>Belgium</t>
        </is>
      </c>
    </row>
    <row r="4156">
      <c r="A4156" t="inlineStr">
        <is>
          <t>TRADE GROUP NATURE LLC,  San lorenzo, Argentina</t>
        </is>
      </c>
      <c r="B4156" t="inlineStr">
        <is>
          <t>Trader</t>
        </is>
      </c>
      <c r="C4156" t="inlineStr">
        <is>
          <t>SGS Germany GmbH, Emstek, DE</t>
        </is>
      </c>
      <c r="D4156" t="inlineStr">
        <is>
          <t>11.05.2027</t>
        </is>
      </c>
      <c r="E4156" t="inlineStr">
        <is>
          <t>Argentina</t>
        </is>
      </c>
    </row>
    <row r="4157">
      <c r="A4157" t="inlineStr">
        <is>
          <t>SC CERAX AG SOLAR SRL,  Buzau, Romania</t>
        </is>
      </c>
      <c r="B4157" t="inlineStr">
        <is>
          <t>First Gathering Point</t>
        </is>
      </c>
      <c r="C4157" t="inlineStr">
        <is>
          <t>SGS Germany GmbH, Emstek, DE</t>
        </is>
      </c>
      <c r="D4157" t="inlineStr">
        <is>
          <t>11.05.2027</t>
        </is>
      </c>
      <c r="E4157" t="inlineStr">
        <is>
          <t>Romania</t>
        </is>
      </c>
    </row>
    <row r="4158">
      <c r="A4158" t="inlineStr">
        <is>
          <t>IVICT (Shanghai) Co., Ltd.,  Shanghai, China</t>
        </is>
      </c>
      <c r="B4158" t="inlineStr">
        <is>
          <t>Trader</t>
        </is>
      </c>
      <c r="C4158" t="inlineStr">
        <is>
          <t>SGS Germany GmbH, Emstek, DE</t>
        </is>
      </c>
      <c r="D4158" t="inlineStr">
        <is>
          <t>11.05.2027</t>
        </is>
      </c>
      <c r="E4158" t="inlineStr">
        <is>
          <t>China</t>
        </is>
      </c>
    </row>
    <row r="4159">
      <c r="A4159" t="inlineStr">
        <is>
          <t>NISSIN YORK,  Nishiwaki‐Shi, Japan</t>
        </is>
      </c>
      <c r="B4159" t="inlineStr">
        <is>
          <t>Processing Unit</t>
        </is>
      </c>
      <c r="C4159" t="inlineStr">
        <is>
          <t>SGS Germany GmbH, Emstek, DE</t>
        </is>
      </c>
      <c r="D4159" t="inlineStr">
        <is>
          <t>11.05.2027</t>
        </is>
      </c>
      <c r="E4159" t="inlineStr">
        <is>
          <t>Japan</t>
        </is>
      </c>
    </row>
    <row r="4160">
      <c r="A4160" t="inlineStr">
        <is>
          <t>Mega International Trading Limited,  Macau, China</t>
        </is>
      </c>
      <c r="B4160" t="inlineStr">
        <is>
          <t>Trader</t>
        </is>
      </c>
      <c r="C4160" t="inlineStr">
        <is>
          <t>CTI Certification Co. Ltd, Shenzhen, CN</t>
        </is>
      </c>
      <c r="D4160" t="inlineStr">
        <is>
          <t>11.05.2027</t>
        </is>
      </c>
      <c r="E4160" t="inlineStr">
        <is>
          <t>China</t>
        </is>
      </c>
    </row>
    <row r="4161">
      <c r="A4161" t="inlineStr">
        <is>
          <t>FREMIS, a.s.,  Čechtice, Czech Republic</t>
        </is>
      </c>
      <c r="B4161" t="inlineStr">
        <is>
          <t>First Gathering Point, Trader with Storage</t>
        </is>
      </c>
      <c r="C4161" t="inlineStr">
        <is>
          <t>TÜV SÜD Czech s.r.o., Praha 4, CZ</t>
        </is>
      </c>
      <c r="D4161" t="inlineStr">
        <is>
          <t>11.05.2027</t>
        </is>
      </c>
      <c r="E4161" t="inlineStr">
        <is>
          <t>Czech Republic</t>
        </is>
      </c>
    </row>
    <row r="4162">
      <c r="A4162" t="inlineStr">
        <is>
          <t>V&amp;A Japan Corporation,  Nishi-ku, Osaka, Japan</t>
        </is>
      </c>
      <c r="B4162" t="inlineStr">
        <is>
          <t>Trader with Storage</t>
        </is>
      </c>
      <c r="C4162" t="inlineStr">
        <is>
          <t>SGS Germany GmbH, Emstek, DE</t>
        </is>
      </c>
      <c r="D4162" t="inlineStr">
        <is>
          <t>11.05.2027</t>
        </is>
      </c>
      <c r="E4162" t="inlineStr">
        <is>
          <t>Japan</t>
        </is>
      </c>
    </row>
    <row r="4163">
      <c r="A4163" t="inlineStr">
        <is>
          <t>PT BERLIAN NUSANTARA PERKASA,  KALIMANTAN TIMUR, Indonesia</t>
        </is>
      </c>
      <c r="B4163" t="inlineStr">
        <is>
          <t>Point of Origin, Trader</t>
        </is>
      </c>
      <c r="C4163" t="inlineStr">
        <is>
          <t>PT TSI Sertifikasi Internasional, Jakarta Selatang, ID</t>
        </is>
      </c>
      <c r="D4163" t="inlineStr">
        <is>
          <t>11.05.2027</t>
        </is>
      </c>
      <c r="E4163" t="inlineStr">
        <is>
          <t>Indonesia</t>
        </is>
      </c>
    </row>
    <row r="4164">
      <c r="A4164" t="inlineStr">
        <is>
          <t>JANCO KOREA CO. LTD,  Jung-gu, South Korea</t>
        </is>
      </c>
      <c r="B4164" t="inlineStr">
        <is>
          <t>Trader</t>
        </is>
      </c>
      <c r="C4164" t="inlineStr">
        <is>
          <t>Control Union Certifications Germany GmbH, Berlin, DE</t>
        </is>
      </c>
      <c r="D4164" t="inlineStr">
        <is>
          <t>11.05.2027</t>
        </is>
      </c>
      <c r="E4164" t="inlineStr">
        <is>
          <t>South Korea</t>
        </is>
      </c>
    </row>
    <row r="4165">
      <c r="A4165" t="inlineStr">
        <is>
          <t>Agro Recycling AB,  Kotka, Finland</t>
        </is>
      </c>
      <c r="B4165" t="inlineStr">
        <is>
          <t>Collecting Point, Processing Unit, Warehouse</t>
        </is>
      </c>
      <c r="C4165" t="inlineStr">
        <is>
          <t>PT Intertek Utama Services, Jakarta, ID</t>
        </is>
      </c>
      <c r="D4165" t="inlineStr">
        <is>
          <t>11.05.2027</t>
        </is>
      </c>
      <c r="E4165" t="inlineStr">
        <is>
          <t>Finland</t>
        </is>
      </c>
    </row>
    <row r="4166">
      <c r="A4166" t="inlineStr">
        <is>
          <t>NISSIN YORK,  Hanyu‐Shi, Saitama-ken, Japan</t>
        </is>
      </c>
      <c r="B4166" t="inlineStr">
        <is>
          <t>Processing Unit</t>
        </is>
      </c>
      <c r="C4166" t="inlineStr">
        <is>
          <t>SGS Germany GmbH, Emstek, DE</t>
        </is>
      </c>
      <c r="D4166" t="inlineStr">
        <is>
          <t>11.05.2027</t>
        </is>
      </c>
      <c r="E4166" t="inlineStr">
        <is>
          <t>Japan</t>
        </is>
      </c>
    </row>
    <row r="4167">
      <c r="A4167" t="inlineStr">
        <is>
          <t>Star Industriale S.R.L.,  Agrate Brianza, Italy</t>
        </is>
      </c>
      <c r="B4167" t="inlineStr">
        <is>
          <t>Processing Unit</t>
        </is>
      </c>
      <c r="C4167" t="inlineStr">
        <is>
          <t>PT Intertek Utama Services, Jakarta, ID</t>
        </is>
      </c>
      <c r="D4167" t="inlineStr">
        <is>
          <t>11.05.2027</t>
        </is>
      </c>
      <c r="E4167" t="inlineStr">
        <is>
          <t>Italy</t>
        </is>
      </c>
    </row>
    <row r="4168">
      <c r="A4168" t="inlineStr">
        <is>
          <t>Goldwind Green Energy Chemicals (Xing'an League) Co., Ltd.,  Xing'an League, Inner Mongolia, China</t>
        </is>
      </c>
      <c r="B4168" t="inlineStr">
        <is>
          <t>Processing Unit</t>
        </is>
      </c>
      <c r="C4168" t="inlineStr">
        <is>
          <t>DQS CFS GmbH - Deutsche Gesellschaft für Nachhaltigkeit, Frankfurt am Main, DE</t>
        </is>
      </c>
      <c r="D4168" t="inlineStr">
        <is>
          <t>11.05.2027</t>
        </is>
      </c>
      <c r="E4168" t="inlineStr">
        <is>
          <t>China</t>
        </is>
      </c>
    </row>
    <row r="4169">
      <c r="A4169" t="inlineStr">
        <is>
          <t>Foshan Shunde Shihuanli Environmental Protection Material Technology Co., Ltd.,  Foshan, Guangdong, China</t>
        </is>
      </c>
      <c r="B4169" t="inlineStr">
        <is>
          <t>Collecting Point, Processing Unit</t>
        </is>
      </c>
      <c r="C4169" t="inlineStr">
        <is>
          <t>DIN CERTCO GmbH, Berlin, DE</t>
        </is>
      </c>
      <c r="D4169" t="inlineStr">
        <is>
          <t>11.05.2027</t>
        </is>
      </c>
      <c r="E4169" t="inlineStr">
        <is>
          <t>China</t>
        </is>
      </c>
    </row>
    <row r="4170">
      <c r="A4170" t="inlineStr">
        <is>
          <t>EWILL TECHNOLOGY SDN. BHD.,  Senai Johor, Malaysia</t>
        </is>
      </c>
      <c r="B4170" t="inlineStr">
        <is>
          <t>Processing Unit</t>
        </is>
      </c>
      <c r="C4170" t="inlineStr">
        <is>
          <t>SGS Germany GmbH, Emstek, DE</t>
        </is>
      </c>
      <c r="D4170" t="inlineStr">
        <is>
          <t>11.05.2027</t>
        </is>
      </c>
      <c r="E4170" t="inlineStr">
        <is>
          <t>Malaysia</t>
        </is>
      </c>
    </row>
    <row r="4171">
      <c r="A4171" t="inlineStr">
        <is>
          <t>ICS PLASTIC TECHNOLOGY SRL,  Falesti, Moldova</t>
        </is>
      </c>
      <c r="B4171" t="inlineStr">
        <is>
          <t>Processing Unit</t>
        </is>
      </c>
      <c r="C4171" t="inlineStr">
        <is>
          <t>SRAC Cert SRL, Bucharest, RO</t>
        </is>
      </c>
      <c r="D4171" t="inlineStr">
        <is>
          <t>11.05.2027</t>
        </is>
      </c>
      <c r="E4171" t="inlineStr">
        <is>
          <t>Moldova</t>
        </is>
      </c>
    </row>
    <row r="4172">
      <c r="A4172" t="inlineStr">
        <is>
          <t>BioUrja Renewables, LLC,  Peoria, Illinois, United States</t>
        </is>
      </c>
      <c r="B4172" t="inlineStr">
        <is>
          <t>Processing Unit</t>
        </is>
      </c>
      <c r="C4172" t="inlineStr">
        <is>
          <t>TÜV NORD CERT GmbH, Essen, DE</t>
        </is>
      </c>
      <c r="D4172" t="inlineStr">
        <is>
          <t>11.05.2027</t>
        </is>
      </c>
      <c r="E4172" t="inlineStr">
        <is>
          <t>United States</t>
        </is>
      </c>
    </row>
    <row r="4173">
      <c r="A4173" t="inlineStr">
        <is>
          <t>GreenGasUSA,  Lewiston, United States</t>
        </is>
      </c>
      <c r="B4173" t="inlineStr">
        <is>
          <t>Collecting Point, Processing Unit</t>
        </is>
      </c>
      <c r="C4173" t="inlineStr">
        <is>
          <t>SCS Global Services, Emeryville, CA, US</t>
        </is>
      </c>
      <c r="D4173" t="inlineStr">
        <is>
          <t>11.05.2027</t>
        </is>
      </c>
      <c r="E4173" t="inlineStr">
        <is>
          <t>United States</t>
        </is>
      </c>
    </row>
    <row r="4174">
      <c r="A4174" t="inlineStr">
        <is>
          <t>GreenGasUSA,  Lewiston, United States</t>
        </is>
      </c>
      <c r="B4174" t="inlineStr">
        <is>
          <t>Collecting Point, Processing Unit</t>
        </is>
      </c>
      <c r="C4174" t="inlineStr">
        <is>
          <t>SCS Global Services, Emeryville, CA, US</t>
        </is>
      </c>
      <c r="D4174" t="inlineStr">
        <is>
          <t>11.05.2027</t>
        </is>
      </c>
      <c r="E4174" t="inlineStr">
        <is>
          <t>United States</t>
        </is>
      </c>
    </row>
    <row r="4175">
      <c r="A4175" t="inlineStr">
        <is>
          <t>Citigate, S.L.,  Madrid, Spain</t>
        </is>
      </c>
      <c r="B4175" t="inlineStr">
        <is>
          <t>Trader</t>
        </is>
      </c>
      <c r="C4175" t="inlineStr">
        <is>
          <t>RINA Services S.p.A., Genova, IT</t>
        </is>
      </c>
      <c r="D4175" t="inlineStr">
        <is>
          <t>11.05.2027</t>
        </is>
      </c>
      <c r="E4175" t="inlineStr">
        <is>
          <t>Spain</t>
        </is>
      </c>
    </row>
    <row r="4176">
      <c r="A4176" t="inlineStr">
        <is>
          <t>Paladin Paints And Chemicals Pvt Ltd,  Khalapur, India</t>
        </is>
      </c>
      <c r="B4176" t="inlineStr">
        <is>
          <t>Processing Unit</t>
        </is>
      </c>
      <c r="C4176" t="inlineStr">
        <is>
          <t>Cotecna India Inspection Pvt Ltd, Kolkata, IN</t>
        </is>
      </c>
      <c r="D4176" t="inlineStr">
        <is>
          <t>11.05.2027</t>
        </is>
      </c>
      <c r="E4176" t="inlineStr">
        <is>
          <t>India</t>
        </is>
      </c>
    </row>
    <row r="4177">
      <c r="A4177" t="inlineStr">
        <is>
          <t>POLARIS BIO COMPANY LIMITED,  Ho Chi Minh City, Vietnam</t>
        </is>
      </c>
      <c r="B4177" t="inlineStr">
        <is>
          <t>Collecting Point, Trader with Storage</t>
        </is>
      </c>
      <c r="C4177" t="inlineStr">
        <is>
          <t>Trans Certification and Inspection Sdn Bhd, Kuantan, MY</t>
        </is>
      </c>
      <c r="D4177" t="inlineStr">
        <is>
          <t>11.05.2027</t>
        </is>
      </c>
      <c r="E4177" t="inlineStr">
        <is>
          <t>Vietnam</t>
        </is>
      </c>
    </row>
    <row r="4178">
      <c r="A4178" t="inlineStr">
        <is>
          <t>Bestdot Marketing Sdn. Bhd.,  Pasir Gudang, Johor, Malaysia</t>
        </is>
      </c>
      <c r="B4178" t="inlineStr">
        <is>
          <t>Trader with Storage</t>
        </is>
      </c>
      <c r="C4178" t="inlineStr">
        <is>
          <t>PT. CBQA GLOBAL INDONESIA, JAKARTA SELATAN, ID</t>
        </is>
      </c>
      <c r="D4178" t="inlineStr">
        <is>
          <t>11.05.2027</t>
        </is>
      </c>
      <c r="E4178" t="inlineStr">
        <is>
          <t>Malaysia</t>
        </is>
      </c>
    </row>
    <row r="4179">
      <c r="A4179" t="inlineStr">
        <is>
          <t>Italcol Spa Italiana Alcool e Olii,  Castelfiorentino, Italy</t>
        </is>
      </c>
      <c r="B4179" t="inlineStr">
        <is>
          <t>Point of Origin, Processing Unit</t>
        </is>
      </c>
      <c r="C4179" t="inlineStr">
        <is>
          <t>RINA Services S.p.A., Genova, IT</t>
        </is>
      </c>
      <c r="D4179" t="inlineStr">
        <is>
          <t>11.05.2027</t>
        </is>
      </c>
      <c r="E4179" t="inlineStr">
        <is>
          <t>Italy</t>
        </is>
      </c>
    </row>
    <row r="4180">
      <c r="A4180" t="inlineStr">
        <is>
          <t>The Dow Chemical Company,  Orange, TX, United States</t>
        </is>
      </c>
      <c r="B4180" t="inlineStr">
        <is>
          <t>Processing Unit</t>
        </is>
      </c>
      <c r="C4180" t="inlineStr">
        <is>
          <t>SGS Germany GmbH, Emstek, DE</t>
        </is>
      </c>
      <c r="D4180" t="inlineStr">
        <is>
          <t>11.05.2027</t>
        </is>
      </c>
      <c r="E4180" t="inlineStr">
        <is>
          <t>United States</t>
        </is>
      </c>
    </row>
    <row r="4181">
      <c r="A4181" t="inlineStr">
        <is>
          <t>Ecowell (Tangshan) Renewable Resources Co.,Ltd.,  Tangshan,Hebei Province, China</t>
        </is>
      </c>
      <c r="B4181" t="inlineStr">
        <is>
          <t>Trader</t>
        </is>
      </c>
      <c r="C4181" t="inlineStr">
        <is>
          <t>RINA Services S.p.A., Genova, IT</t>
        </is>
      </c>
      <c r="D4181" t="inlineStr">
        <is>
          <t>11.05.2027</t>
        </is>
      </c>
      <c r="E4181" t="inlineStr">
        <is>
          <t>China</t>
        </is>
      </c>
    </row>
    <row r="4182">
      <c r="A4182" t="inlineStr">
        <is>
          <t>Toray International UK,  London, United Kingdom</t>
        </is>
      </c>
      <c r="B4182" t="inlineStr">
        <is>
          <t>Trader</t>
        </is>
      </c>
      <c r="C4182" t="inlineStr">
        <is>
          <t>Aardvark Certification Ltd, Wiveliscombe, Somerset, GB</t>
        </is>
      </c>
      <c r="D4182" t="inlineStr">
        <is>
          <t>11.05.2027</t>
        </is>
      </c>
      <c r="E4182" t="inlineStr">
        <is>
          <t>United Kingdom</t>
        </is>
      </c>
    </row>
    <row r="4183">
      <c r="A4183" t="inlineStr">
        <is>
          <t>LUCAGRO TRANSPORT,  ZANOAGA, Romania</t>
        </is>
      </c>
      <c r="B4183" t="inlineStr">
        <is>
          <t>First Gathering Point, Trader with Storage</t>
        </is>
      </c>
      <c r="C4183" t="inlineStr">
        <is>
          <t>RINA Services S.p.A., Genova, IT</t>
        </is>
      </c>
      <c r="D4183" t="inlineStr">
        <is>
          <t>10.05.2027</t>
        </is>
      </c>
      <c r="E4183" t="inlineStr">
        <is>
          <t>Romania</t>
        </is>
      </c>
    </row>
    <row r="4184">
      <c r="A4184" t="inlineStr">
        <is>
          <t>Repsol Fuels S.A.U.,  Cartagena (Murcia), Spain</t>
        </is>
      </c>
      <c r="B4184" t="inlineStr">
        <is>
          <t>Processing Unit, Trader with Storage, Warehouse</t>
        </is>
      </c>
      <c r="C4184" t="inlineStr">
        <is>
          <t>Control Union Poland Sp. z o.o., Zielona Gora, PL</t>
        </is>
      </c>
      <c r="D4184" t="inlineStr">
        <is>
          <t>10.05.2027</t>
        </is>
      </c>
      <c r="E4184" t="inlineStr">
        <is>
          <t>Spain</t>
        </is>
      </c>
    </row>
    <row r="4185">
      <c r="A4185" t="inlineStr">
        <is>
          <t>Terminal Puerto Rosario,  Rosario, Santa Fe, Argentina</t>
        </is>
      </c>
      <c r="B4185" t="inlineStr">
        <is>
          <t>Warehouse</t>
        </is>
      </c>
      <c r="C4185" t="inlineStr">
        <is>
          <t>Amspec Iberia SL, Vilagarcia de Arousa-Pontevedra, ES</t>
        </is>
      </c>
      <c r="D4185" t="inlineStr">
        <is>
          <t>10.05.2027</t>
        </is>
      </c>
      <c r="E4185" t="inlineStr">
        <is>
          <t>Argentina</t>
        </is>
      </c>
    </row>
    <row r="4186">
      <c r="A4186" t="inlineStr">
        <is>
          <t>Neopac Hungary,  Debrecen, Hungary</t>
        </is>
      </c>
      <c r="B4186" t="inlineStr">
        <is>
          <t>Processing Unit</t>
        </is>
      </c>
      <c r="C4186" t="inlineStr">
        <is>
          <t>Control Union Certifications Germany GmbH, Berlin, DE</t>
        </is>
      </c>
      <c r="D4186" t="inlineStr">
        <is>
          <t>10.05.2027</t>
        </is>
      </c>
      <c r="E4186" t="inlineStr">
        <is>
          <t>Hungary</t>
        </is>
      </c>
    </row>
    <row r="4187">
      <c r="A4187" t="inlineStr">
        <is>
          <t>Americas Styrenics,  St. James, United States</t>
        </is>
      </c>
      <c r="B4187" t="inlineStr">
        <is>
          <t>Collecting Point, Processing Unit</t>
        </is>
      </c>
      <c r="C4187" t="inlineStr">
        <is>
          <t>DQS CFS GmbH - Deutsche Gesellschaft für Nachhaltigkeit, Frankfurt am Main, DE</t>
        </is>
      </c>
      <c r="D4187" t="inlineStr">
        <is>
          <t>10.05.2027</t>
        </is>
      </c>
      <c r="E4187" t="inlineStr">
        <is>
          <t>United States</t>
        </is>
      </c>
    </row>
    <row r="4188">
      <c r="A4188" t="inlineStr">
        <is>
          <t>Americas Styrenics (AmSty),  Ironton, United States</t>
        </is>
      </c>
      <c r="B4188" t="inlineStr">
        <is>
          <t>Point of Origin, Processing Unit</t>
        </is>
      </c>
      <c r="C4188" t="inlineStr">
        <is>
          <t>DQS CFS GmbH - Deutsche Gesellschaft für Nachhaltigkeit, Frankfurt am Main, DE</t>
        </is>
      </c>
      <c r="D4188" t="inlineStr">
        <is>
          <t>10.05.2027</t>
        </is>
      </c>
      <c r="E4188" t="inlineStr">
        <is>
          <t>United States</t>
        </is>
      </c>
    </row>
    <row r="4189">
      <c r="A4189" t="inlineStr">
        <is>
          <t>SNF,  Saint Avold, France</t>
        </is>
      </c>
      <c r="B4189" t="inlineStr">
        <is>
          <t>Processing Unit, Warehouse</t>
        </is>
      </c>
      <c r="C4189" t="inlineStr">
        <is>
          <t>Bureau Veritas Polska Sp. z o.o., Warsaw, PL</t>
        </is>
      </c>
      <c r="D4189" t="inlineStr">
        <is>
          <t>10.05.2027</t>
        </is>
      </c>
      <c r="E4189" t="inlineStr">
        <is>
          <t>France</t>
        </is>
      </c>
    </row>
    <row r="4190">
      <c r="A4190" t="inlineStr">
        <is>
          <t>A.E BIOECOLOGY,  EIN HAMIFRATZ, Israel</t>
        </is>
      </c>
      <c r="B4190" t="inlineStr">
        <is>
          <t>Point of Origin</t>
        </is>
      </c>
      <c r="C4190" t="inlineStr">
        <is>
          <t>Control Union Certifications Germany GmbH, Berlin, DE</t>
        </is>
      </c>
      <c r="D4190" t="inlineStr">
        <is>
          <t>10.05.2027</t>
        </is>
      </c>
      <c r="E4190" t="inlineStr">
        <is>
          <t>Israel</t>
        </is>
      </c>
    </row>
    <row r="4191">
      <c r="A4191" t="inlineStr">
        <is>
          <t>LS One Corporation,  Barangay San Francisco, General Trias, Philippines</t>
        </is>
      </c>
      <c r="B4191" t="inlineStr">
        <is>
          <t>Collecting Point, Trader with Storage</t>
        </is>
      </c>
      <c r="C4191" t="inlineStr">
        <is>
          <t>Control Union Certifications Germany GmbH, Berlin, DE</t>
        </is>
      </c>
      <c r="D4191" t="inlineStr">
        <is>
          <t>10.05.2027</t>
        </is>
      </c>
      <c r="E4191" t="inlineStr">
        <is>
          <t>Philippines</t>
        </is>
      </c>
    </row>
    <row r="4192">
      <c r="A4192" t="inlineStr">
        <is>
          <t>Cast Packaging Films (Pvt.) LTD,  Lahore, Punjab, Pakistan</t>
        </is>
      </c>
      <c r="B4192" t="inlineStr">
        <is>
          <t>Processing Unit</t>
        </is>
      </c>
      <c r="C4192" t="inlineStr">
        <is>
          <t>PT Intertek Utama Services, Jakarta, ID</t>
        </is>
      </c>
      <c r="D4192" t="inlineStr">
        <is>
          <t>10.05.2027</t>
        </is>
      </c>
      <c r="E4192" t="inlineStr">
        <is>
          <t>Pakistan</t>
        </is>
      </c>
    </row>
    <row r="4193">
      <c r="A4193" t="inlineStr">
        <is>
          <t>International Packaging Films Limited,  Lahore, Punjab, Pakistan</t>
        </is>
      </c>
      <c r="B4193" t="inlineStr">
        <is>
          <t>Processing Unit</t>
        </is>
      </c>
      <c r="C4193" t="inlineStr">
        <is>
          <t>PT Intertek Utama Services, Jakarta, ID</t>
        </is>
      </c>
      <c r="D4193" t="inlineStr">
        <is>
          <t>10.05.2027</t>
        </is>
      </c>
      <c r="E4193" t="inlineStr">
        <is>
          <t>Pakistan</t>
        </is>
      </c>
    </row>
    <row r="4194">
      <c r="A4194" t="inlineStr">
        <is>
          <t>RUBIS ENERGIE,  Puteaux, France</t>
        </is>
      </c>
      <c r="B4194" t="inlineStr">
        <is>
          <t>Trader with Storage</t>
        </is>
      </c>
      <c r="C4194" t="inlineStr">
        <is>
          <t>PT Intertek Utama Services, Jakarta, ID</t>
        </is>
      </c>
      <c r="D4194" t="inlineStr">
        <is>
          <t>10.05.2027</t>
        </is>
      </c>
      <c r="E4194" t="inlineStr">
        <is>
          <t>France</t>
        </is>
      </c>
    </row>
    <row r="4195">
      <c r="A4195" t="inlineStr">
        <is>
          <t>LG Chem Ohio Petrochemical, Inc.,  Ravenna, United States</t>
        </is>
      </c>
      <c r="B4195" t="inlineStr">
        <is>
          <t>Processing Unit</t>
        </is>
      </c>
      <c r="C4195" t="inlineStr">
        <is>
          <t>PT Intertek Utama Services, Jakarta, ID</t>
        </is>
      </c>
      <c r="D4195" t="inlineStr">
        <is>
          <t>10.05.2027</t>
        </is>
      </c>
      <c r="E4195" t="inlineStr">
        <is>
          <t>United States</t>
        </is>
      </c>
    </row>
    <row r="4196">
      <c r="A4196" t="inlineStr">
        <is>
          <t>Honkajoki Oy,  Honkajoki, Finland</t>
        </is>
      </c>
      <c r="B4196" t="inlineStr">
        <is>
          <t>Processing Unit, Collecting Point, Point of Origin, Trader</t>
        </is>
      </c>
      <c r="C4196" t="inlineStr">
        <is>
          <t>DNV Business Assurance Sweden AB, Solna, SE</t>
        </is>
      </c>
      <c r="D4196" t="inlineStr">
        <is>
          <t>10.05.2027</t>
        </is>
      </c>
      <c r="E4196" t="inlineStr">
        <is>
          <t>Finland</t>
        </is>
      </c>
    </row>
    <row r="4197">
      <c r="A4197" t="inlineStr">
        <is>
          <t>Molini Industriali,  Modena, Italy</t>
        </is>
      </c>
      <c r="B4197" t="inlineStr">
        <is>
          <t>Point of Origin</t>
        </is>
      </c>
      <c r="C4197" t="inlineStr">
        <is>
          <t>DNV Business Assurance Sweden AB, Solna, SE</t>
        </is>
      </c>
      <c r="D4197" t="inlineStr">
        <is>
          <t>10.05.2027</t>
        </is>
      </c>
      <c r="E4197" t="inlineStr">
        <is>
          <t>Italy</t>
        </is>
      </c>
    </row>
    <row r="4198">
      <c r="A4198" t="inlineStr">
        <is>
          <t>HK HEYU RUBBER TRADING LIMITED,  MONGKOK , KOWLOON, HONGKONG, China</t>
        </is>
      </c>
      <c r="B4198" t="inlineStr">
        <is>
          <t>Trader</t>
        </is>
      </c>
      <c r="C4198" t="inlineStr">
        <is>
          <t>PT Intertek Utama Services, Jakarta, ID</t>
        </is>
      </c>
      <c r="D4198" t="inlineStr">
        <is>
          <t>10.05.2027</t>
        </is>
      </c>
      <c r="E4198" t="inlineStr">
        <is>
          <t>China</t>
        </is>
      </c>
    </row>
    <row r="4199">
      <c r="A4199" t="inlineStr">
        <is>
          <t>Birla Carbon India Private Limited,  Renukoot, India</t>
        </is>
      </c>
      <c r="B4199" t="inlineStr">
        <is>
          <t>Processing Unit, Trader with Storage</t>
        </is>
      </c>
      <c r="C4199" t="inlineStr">
        <is>
          <t>PT Intertek Utama Services, Jakarta, ID</t>
        </is>
      </c>
      <c r="D4199" t="inlineStr">
        <is>
          <t>10.05.2027</t>
        </is>
      </c>
      <c r="E4199" t="inlineStr">
        <is>
          <t>India</t>
        </is>
      </c>
    </row>
    <row r="4200">
      <c r="A4200" t="inlineStr">
        <is>
          <t>ECOLINK ELITE VIETNAM COMPANY LIMITED,  Dau Giay Commune, Dong Nai Province, Vietnam</t>
        </is>
      </c>
      <c r="B4200" t="inlineStr">
        <is>
          <t>Collecting Point</t>
        </is>
      </c>
      <c r="C4200" t="inlineStr">
        <is>
          <t>PT. CBQA GLOBAL INDONESIA, JAKARTA SELATAN, ID</t>
        </is>
      </c>
      <c r="D4200" t="inlineStr">
        <is>
          <t>10.05.2027</t>
        </is>
      </c>
      <c r="E4200" t="inlineStr">
        <is>
          <t>Vietnam</t>
        </is>
      </c>
    </row>
    <row r="4201">
      <c r="A4201" t="inlineStr">
        <is>
          <t>BIOTIM,  Timisoara, Romania</t>
        </is>
      </c>
      <c r="B4201" t="inlineStr">
        <is>
          <t>Trader with Storage</t>
        </is>
      </c>
      <c r="C4201" t="inlineStr">
        <is>
          <t>CertRom SRL, Bucuresti, RO</t>
        </is>
      </c>
      <c r="D4201" t="inlineStr">
        <is>
          <t>10.05.2027</t>
        </is>
      </c>
      <c r="E4201" t="inlineStr">
        <is>
          <t>Romania</t>
        </is>
      </c>
    </row>
    <row r="4202">
      <c r="A4202" t="inlineStr">
        <is>
          <t>Bharat Petroleum Corporation Limited,  Mumbai, India</t>
        </is>
      </c>
      <c r="B4202" t="inlineStr">
        <is>
          <t>Processing Unit</t>
        </is>
      </c>
      <c r="C4202" t="inlineStr">
        <is>
          <t>Cotecna India Inspection Pvt Ltd, Kolkata, IN</t>
        </is>
      </c>
      <c r="D4202" t="inlineStr">
        <is>
          <t>10.05.2027</t>
        </is>
      </c>
      <c r="E4202" t="inlineStr">
        <is>
          <t>India</t>
        </is>
      </c>
    </row>
    <row r="4203">
      <c r="A4203" t="inlineStr">
        <is>
          <t>MAG 2010,  Veliko Tarnovo, Bulgaria</t>
        </is>
      </c>
      <c r="B4203" t="inlineStr">
        <is>
          <t>Trader with Storage</t>
        </is>
      </c>
      <c r="C4203" t="inlineStr">
        <is>
          <t>Bureau Veritas Polska Sp. z o.o., Warsaw, PL</t>
        </is>
      </c>
      <c r="D4203" t="inlineStr">
        <is>
          <t>10.05.2027</t>
        </is>
      </c>
      <c r="E4203" t="inlineStr">
        <is>
          <t>Bulgaria</t>
        </is>
      </c>
    </row>
    <row r="4204">
      <c r="A4204" t="inlineStr">
        <is>
          <t>Gestora Catalana de Residuos S.L.U,  La Bisbal del Penedès, Spain</t>
        </is>
      </c>
      <c r="B4204" t="inlineStr">
        <is>
          <t>Processing Unit, Trader with Storage</t>
        </is>
      </c>
      <c r="C4204" t="inlineStr">
        <is>
          <t>SGS Germany GmbH, Emstek, DE</t>
        </is>
      </c>
      <c r="D4204" t="inlineStr">
        <is>
          <t>10.05.2027</t>
        </is>
      </c>
      <c r="E4204" t="inlineStr">
        <is>
          <t>Spain</t>
        </is>
      </c>
    </row>
    <row r="4205">
      <c r="A4205" t="inlineStr">
        <is>
          <t>Songyue Bioenergy (Henan) Co., Ltd.,  Shangqiu City, Henan Province, China</t>
        </is>
      </c>
      <c r="B4205" t="inlineStr">
        <is>
          <t>Processing Unit, Trader</t>
        </is>
      </c>
      <c r="C4205" t="inlineStr">
        <is>
          <t>DQS CFS GmbH - Deutsche Gesellschaft für Nachhaltigkeit, Frankfurt am Main, DE</t>
        </is>
      </c>
      <c r="D4205" t="inlineStr">
        <is>
          <t>10.05.2027</t>
        </is>
      </c>
      <c r="E4205" t="inlineStr">
        <is>
          <t>China</t>
        </is>
      </c>
    </row>
    <row r="4206">
      <c r="A4206" t="inlineStr">
        <is>
          <t>ARTILUX NMF,  SIAULIAI, Lithuania</t>
        </is>
      </c>
      <c r="B4206" t="inlineStr">
        <is>
          <t>Final Product Refinement, Processing Unit</t>
        </is>
      </c>
      <c r="C4206" t="inlineStr">
        <is>
          <t>SGS Germany GmbH, Emstek, DE</t>
        </is>
      </c>
      <c r="D4206" t="inlineStr">
        <is>
          <t>10.05.2027</t>
        </is>
      </c>
      <c r="E4206" t="inlineStr">
        <is>
          <t>Lithuania</t>
        </is>
      </c>
    </row>
    <row r="4207">
      <c r="A4207" t="inlineStr">
        <is>
          <t>BIOMOTORS,  GENEVA, Switzerland</t>
        </is>
      </c>
      <c r="B4207" t="inlineStr">
        <is>
          <t>Trader</t>
        </is>
      </c>
      <c r="C4207" t="inlineStr">
        <is>
          <t>Bureau Veritas Polska Sp. z o.o., Warsaw, PL</t>
        </is>
      </c>
      <c r="D4207" t="inlineStr">
        <is>
          <t>10.05.2027</t>
        </is>
      </c>
      <c r="E4207" t="inlineStr">
        <is>
          <t>Switzerland</t>
        </is>
      </c>
    </row>
    <row r="4208">
      <c r="A4208" t="inlineStr">
        <is>
          <t>BIOMOTORS,  GENEVA, Switzerland</t>
        </is>
      </c>
      <c r="B4208" t="inlineStr">
        <is>
          <t>Trader</t>
        </is>
      </c>
      <c r="C4208" t="inlineStr">
        <is>
          <t>Bureau Veritas Polska Sp. z o.o., Warsaw, PL</t>
        </is>
      </c>
      <c r="D4208" t="inlineStr">
        <is>
          <t>10.05.2027</t>
        </is>
      </c>
      <c r="E4208" t="inlineStr">
        <is>
          <t>Switzerland</t>
        </is>
      </c>
    </row>
    <row r="4209">
      <c r="A4209" t="inlineStr">
        <is>
          <t>Findest Protein Oy,  Kaustinen, Finland</t>
        </is>
      </c>
      <c r="B4209" t="inlineStr">
        <is>
          <t>Point of Origin</t>
        </is>
      </c>
      <c r="C4209" t="inlineStr">
        <is>
          <t>DNV Business Assurance Sweden AB, Solna, SE</t>
        </is>
      </c>
      <c r="D4209" t="inlineStr">
        <is>
          <t>10.05.2027</t>
        </is>
      </c>
      <c r="E4209" t="inlineStr">
        <is>
          <t>Finland</t>
        </is>
      </c>
    </row>
    <row r="4210">
      <c r="A4210" t="inlineStr">
        <is>
          <t>BIOMOTORS,  GENEVA, Switzerland</t>
        </is>
      </c>
      <c r="B4210" t="inlineStr">
        <is>
          <t>Trader</t>
        </is>
      </c>
      <c r="C4210" t="inlineStr">
        <is>
          <t>Bureau Veritas Polska Sp. z o.o., Warsaw, PL</t>
        </is>
      </c>
      <c r="D4210" t="inlineStr">
        <is>
          <t>10.05.2027</t>
        </is>
      </c>
      <c r="E4210" t="inlineStr">
        <is>
          <t>Switzerland</t>
        </is>
      </c>
    </row>
    <row r="4211">
      <c r="A4211" t="inlineStr">
        <is>
          <t>Repsol Fuels S.A.U.,  Cartagena (Murcia), Spain</t>
        </is>
      </c>
      <c r="B4211" t="inlineStr">
        <is>
          <t>Processing Unit, Trader with Storage, Warehouse</t>
        </is>
      </c>
      <c r="C4211" t="inlineStr">
        <is>
          <t>Control Union Poland Sp. z o.o., Zielona Gora, PL</t>
        </is>
      </c>
      <c r="D4211" t="inlineStr">
        <is>
          <t>10.05.2027</t>
        </is>
      </c>
      <c r="E4211" t="inlineStr">
        <is>
          <t>Spain</t>
        </is>
      </c>
    </row>
    <row r="4212">
      <c r="A4212" t="inlineStr">
        <is>
          <t>Green Flash Co., Ltd.,  Zhubei City, Hsinchu County, Taiwan, Province of China</t>
        </is>
      </c>
      <c r="B4212" t="inlineStr">
        <is>
          <t>Trader with Storage</t>
        </is>
      </c>
      <c r="C4212" t="inlineStr">
        <is>
          <t>Control Union Certifications Germany GmbH, Berlin, DE</t>
        </is>
      </c>
      <c r="D4212" t="inlineStr">
        <is>
          <t>10.05.2027</t>
        </is>
      </c>
      <c r="E4212" t="inlineStr">
        <is>
          <t>Province of China</t>
        </is>
      </c>
    </row>
    <row r="4213">
      <c r="A4213" t="inlineStr">
        <is>
          <t>Findest Protein Oy,  Kaustinen, Finland</t>
        </is>
      </c>
      <c r="B4213" t="inlineStr">
        <is>
          <t>Point of Origin</t>
        </is>
      </c>
      <c r="C4213" t="inlineStr">
        <is>
          <t>DNV Business Assurance Sweden AB, Solna, SE</t>
        </is>
      </c>
      <c r="D4213" t="inlineStr">
        <is>
          <t>10.05.2027</t>
        </is>
      </c>
      <c r="E4213" t="inlineStr">
        <is>
          <t>Finland</t>
        </is>
      </c>
    </row>
    <row r="4214">
      <c r="A4214" t="inlineStr">
        <is>
          <t>Honkajoki Oy,  Honkajoki, Finland</t>
        </is>
      </c>
      <c r="B4214" t="inlineStr">
        <is>
          <t>Point of Origin</t>
        </is>
      </c>
      <c r="C4214" t="inlineStr">
        <is>
          <t>DNV Business Assurance Sweden AB, Solna, SE</t>
        </is>
      </c>
      <c r="D4214" t="inlineStr">
        <is>
          <t>10.05.2027</t>
        </is>
      </c>
      <c r="E4214" t="inlineStr">
        <is>
          <t>Finland</t>
        </is>
      </c>
    </row>
    <row r="4215">
      <c r="A4215" t="inlineStr">
        <is>
          <t>Fueling Maritime (Europe),  Middelfart, Denmark</t>
        </is>
      </c>
      <c r="B4215" t="inlineStr">
        <is>
          <t>Trader, Proof of Compliance Trader</t>
        </is>
      </c>
      <c r="C4215" t="inlineStr">
        <is>
          <t>Baltic Control Certification, Albertslund, DK</t>
        </is>
      </c>
      <c r="D4215" t="inlineStr">
        <is>
          <t>10.05.2027</t>
        </is>
      </c>
      <c r="E4215" t="inlineStr">
        <is>
          <t>Denmark</t>
        </is>
      </c>
    </row>
    <row r="4216">
      <c r="A4216" t="inlineStr">
        <is>
          <t>Ferreira Gomes &amp; Filhos LDA,  Sao Pedro De Tomar, Portugal</t>
        </is>
      </c>
      <c r="B4216" t="inlineStr">
        <is>
          <t>Collecting Point, Processing Unit</t>
        </is>
      </c>
      <c r="C4216" t="inlineStr">
        <is>
          <t>United Registrar of Systems Polska Sp. z o.o., Wrocław, PL</t>
        </is>
      </c>
      <c r="D4216" t="inlineStr">
        <is>
          <t>10.05.2027</t>
        </is>
      </c>
      <c r="E4216" t="inlineStr">
        <is>
          <t>Portugal</t>
        </is>
      </c>
    </row>
    <row r="4217">
      <c r="A4217" t="inlineStr">
        <is>
          <t>CIP Adriatica,  Controguerra, Italy</t>
        </is>
      </c>
      <c r="B4217" t="inlineStr">
        <is>
          <t>Collecting Point, Processing Unit</t>
        </is>
      </c>
      <c r="C4217" t="inlineStr">
        <is>
          <t>RINA Services S.p.A., Genova, IT</t>
        </is>
      </c>
      <c r="D4217" t="inlineStr">
        <is>
          <t>10.05.2027</t>
        </is>
      </c>
      <c r="E4217" t="inlineStr">
        <is>
          <t>Italy</t>
        </is>
      </c>
    </row>
    <row r="4218">
      <c r="A4218" t="inlineStr">
        <is>
          <t>Phibro rCB,  Natchez, Mississippi, United States</t>
        </is>
      </c>
      <c r="B4218" t="inlineStr">
        <is>
          <t>Collecting Point, Processing Unit</t>
        </is>
      </c>
      <c r="C4218" t="inlineStr">
        <is>
          <t>SCS Global Services, Emeryville, CA, US</t>
        </is>
      </c>
      <c r="D4218" t="inlineStr">
        <is>
          <t>09.05.2027</t>
        </is>
      </c>
      <c r="E4218" t="inlineStr">
        <is>
          <t>United States</t>
        </is>
      </c>
    </row>
    <row r="4219">
      <c r="A4219" t="inlineStr">
        <is>
          <t>Fagerhults Belysning AB,  Habo, Sweden</t>
        </is>
      </c>
      <c r="B4219" t="inlineStr">
        <is>
          <t>Final Product Refinement</t>
        </is>
      </c>
      <c r="C4219" t="inlineStr">
        <is>
          <t>DNV Business Assurance Sweden AB, Solna, SE</t>
        </is>
      </c>
      <c r="D4219" t="inlineStr">
        <is>
          <t>09.05.2027</t>
        </is>
      </c>
      <c r="E4219" t="inlineStr">
        <is>
          <t>Sweden</t>
        </is>
      </c>
    </row>
    <row r="4220">
      <c r="A4220" t="inlineStr">
        <is>
          <t>Arla Plast,  Borensberg, Sweden</t>
        </is>
      </c>
      <c r="B4220" t="inlineStr">
        <is>
          <t>Processing Unit</t>
        </is>
      </c>
      <c r="C4220" t="inlineStr">
        <is>
          <t>DNV Business Assurance Sweden AB, Solna, SE</t>
        </is>
      </c>
      <c r="D4220" t="inlineStr">
        <is>
          <t>09.05.2027</t>
        </is>
      </c>
      <c r="E4220" t="inlineStr">
        <is>
          <t>Sweden</t>
        </is>
      </c>
    </row>
    <row r="4221">
      <c r="A4221" t="inlineStr">
        <is>
          <t>TFG Marine Inc,  Texas Tower, United States</t>
        </is>
      </c>
      <c r="B4221" t="inlineStr">
        <is>
          <t>Trader with Storage</t>
        </is>
      </c>
      <c r="C4221" t="inlineStr">
        <is>
          <t>ASG Cert GmbH, Munich, DE</t>
        </is>
      </c>
      <c r="D4221" t="inlineStr">
        <is>
          <t>09.05.2027</t>
        </is>
      </c>
      <c r="E4221" t="inlineStr">
        <is>
          <t>United States</t>
        </is>
      </c>
    </row>
    <row r="4222">
      <c r="A4222" t="inlineStr">
        <is>
          <t>Glander International Bunkering (Norway) AS,  Tønsberg, Norway</t>
        </is>
      </c>
      <c r="B4222" t="inlineStr">
        <is>
          <t>Trader</t>
        </is>
      </c>
      <c r="C4222" t="inlineStr">
        <is>
          <t>Baltic Control Certification, Albertslund, DK</t>
        </is>
      </c>
      <c r="D4222" t="inlineStr">
        <is>
          <t>09.05.2027</t>
        </is>
      </c>
      <c r="E4222" t="inlineStr">
        <is>
          <t>Norway</t>
        </is>
      </c>
    </row>
    <row r="4223">
      <c r="A4223" t="inlineStr">
        <is>
          <t>INEOS Styrolution Europe GmbH,  Schwarzheide, Germany</t>
        </is>
      </c>
      <c r="B4223" t="inlineStr">
        <is>
          <t>Processing Unit</t>
        </is>
      </c>
      <c r="C4223" t="inlineStr">
        <is>
          <t>TÜV NORD CERT GmbH, Essen, DE</t>
        </is>
      </c>
      <c r="D4223" t="inlineStr">
        <is>
          <t>09.05.2027</t>
        </is>
      </c>
      <c r="E4223" t="inlineStr">
        <is>
          <t>Germany</t>
        </is>
      </c>
    </row>
    <row r="4224">
      <c r="A4224" t="inlineStr">
        <is>
          <t>Oliva AD,  Polski Trambesh, Bulgaria</t>
        </is>
      </c>
      <c r="B4224" t="inlineStr">
        <is>
          <t>Point of Origin, Processing Unit</t>
        </is>
      </c>
      <c r="C4224" t="inlineStr">
        <is>
          <t>Bureau Veritas Polska Sp. z o.o., Warsaw, PL</t>
        </is>
      </c>
      <c r="D4224" t="inlineStr">
        <is>
          <t>09.05.2027</t>
        </is>
      </c>
      <c r="E4224" t="inlineStr">
        <is>
          <t>Bulgaria</t>
        </is>
      </c>
    </row>
    <row r="4225">
      <c r="A4225" t="inlineStr">
        <is>
          <t>Sports and Leisure group Nv,  St-Niklaas, Belgium</t>
        </is>
      </c>
      <c r="B4225" t="inlineStr">
        <is>
          <t>Processing Unit</t>
        </is>
      </c>
      <c r="C4225" t="inlineStr">
        <is>
          <t>Control Union Certifications Germany GmbH, Berlin, DE</t>
        </is>
      </c>
      <c r="D4225" t="inlineStr">
        <is>
          <t>09.05.2027</t>
        </is>
      </c>
      <c r="E4225" t="inlineStr">
        <is>
          <t>Belgium</t>
        </is>
      </c>
    </row>
    <row r="4226">
      <c r="A4226" t="inlineStr">
        <is>
          <t>Schwan-STABILO ČR, s.r.o.,  Český Krumlov, Czech Republic</t>
        </is>
      </c>
      <c r="B4226" t="inlineStr">
        <is>
          <t>Processing Unit, Final Product Refinement, Trader with Storage</t>
        </is>
      </c>
      <c r="C4226" t="inlineStr">
        <is>
          <t>TÜV SÜD Czech s.r.o., Praha 4, CZ</t>
        </is>
      </c>
      <c r="D4226" t="inlineStr">
        <is>
          <t>09.05.2027</t>
        </is>
      </c>
      <c r="E4226" t="inlineStr">
        <is>
          <t>Czech Republic</t>
        </is>
      </c>
    </row>
    <row r="4227">
      <c r="A4227" t="inlineStr">
        <is>
          <t>Fytoz Czech s.r.o.,  Mratín, Czech Republic</t>
        </is>
      </c>
      <c r="B4227" t="inlineStr">
        <is>
          <t>First Gathering Point, Trader</t>
        </is>
      </c>
      <c r="C4227" t="inlineStr">
        <is>
          <t>Bureau Veritas Polska Sp. z o.o., Warsaw, PL</t>
        </is>
      </c>
      <c r="D4227" t="inlineStr">
        <is>
          <t>09.05.2027</t>
        </is>
      </c>
      <c r="E4227" t="inlineStr">
        <is>
          <t>Czech Republic</t>
        </is>
      </c>
    </row>
    <row r="4228">
      <c r="A4228" t="inlineStr">
        <is>
          <t>INEOS Styrolution Europe GmbH,  Cologne, Germany</t>
        </is>
      </c>
      <c r="B4228" t="inlineStr">
        <is>
          <t>Processing Unit</t>
        </is>
      </c>
      <c r="C4228" t="inlineStr">
        <is>
          <t>TÜV NORD CERT GmbH, Essen, DE</t>
        </is>
      </c>
      <c r="D4228" t="inlineStr">
        <is>
          <t>09.05.2027</t>
        </is>
      </c>
      <c r="E4228" t="inlineStr">
        <is>
          <t>Germany</t>
        </is>
      </c>
    </row>
    <row r="4229">
      <c r="A4229" t="inlineStr">
        <is>
          <t>Muil Chemical Co., Ltd.,  Yeosu-si, Jeollanamdo, Korea, Republic of</t>
        </is>
      </c>
      <c r="B4229" t="inlineStr">
        <is>
          <t>Processing Unit</t>
        </is>
      </c>
      <c r="C4229" t="inlineStr">
        <is>
          <t>Control Union Certifications Germany GmbH, Berlin, DE</t>
        </is>
      </c>
      <c r="D4229" t="inlineStr">
        <is>
          <t>09.05.2027</t>
        </is>
      </c>
      <c r="E4229" t="inlineStr">
        <is>
          <t>Republic of</t>
        </is>
      </c>
    </row>
    <row r="4230">
      <c r="A4230" t="inlineStr">
        <is>
          <t>CKT Imoinvest SRL,  Timisoara, Romania</t>
        </is>
      </c>
      <c r="B4230" t="inlineStr">
        <is>
          <t>First Gathering Point, Processing Unit</t>
        </is>
      </c>
      <c r="C4230" t="inlineStr">
        <is>
          <t>BM Certification, Riga, LV</t>
        </is>
      </c>
      <c r="D4230" t="inlineStr">
        <is>
          <t>09.05.2027</t>
        </is>
      </c>
      <c r="E4230" t="inlineStr">
        <is>
          <t>Romania</t>
        </is>
      </c>
    </row>
    <row r="4231">
      <c r="A4231" t="inlineStr">
        <is>
          <t>Tokai Carbon CB LTD,  Big Spring, Texas, United States</t>
        </is>
      </c>
      <c r="B4231" t="inlineStr">
        <is>
          <t>Processing Unit</t>
        </is>
      </c>
      <c r="C4231" t="inlineStr">
        <is>
          <t>SCS Global Services, Emeryville, CA, US</t>
        </is>
      </c>
      <c r="D4231" t="inlineStr">
        <is>
          <t>09.05.2027</t>
        </is>
      </c>
      <c r="E4231" t="inlineStr">
        <is>
          <t>United States</t>
        </is>
      </c>
    </row>
    <row r="4232">
      <c r="A4232" t="inlineStr">
        <is>
          <t>Business Oil Platform,  London, United Kingdom</t>
        </is>
      </c>
      <c r="B4232" t="inlineStr">
        <is>
          <t>Proof of Compliance Trader, Trader with Storage</t>
        </is>
      </c>
      <c r="C4232" t="inlineStr">
        <is>
          <t>SGS Germany GmbH, Emstek, DE</t>
        </is>
      </c>
      <c r="D4232" t="inlineStr">
        <is>
          <t>09.05.2027</t>
        </is>
      </c>
      <c r="E4232" t="inlineStr">
        <is>
          <t>United Kingdom</t>
        </is>
      </c>
    </row>
    <row r="4233">
      <c r="A4233" t="inlineStr">
        <is>
          <t>Aozora Co., Ltd.,  Tsukuba-shi,Ibaraki-ken, Japan</t>
        </is>
      </c>
      <c r="B4233" t="inlineStr">
        <is>
          <t>Processing Unit</t>
        </is>
      </c>
      <c r="C4233" t="inlineStr">
        <is>
          <t>SGS Germany GmbH, Emstek, DE</t>
        </is>
      </c>
      <c r="D4233" t="inlineStr">
        <is>
          <t>09.05.2027</t>
        </is>
      </c>
      <c r="E4233" t="inlineStr">
        <is>
          <t>Japan</t>
        </is>
      </c>
    </row>
    <row r="4234">
      <c r="A4234" t="inlineStr">
        <is>
          <t>DOW-MITSUI POLYCHEMICALS CO.,LTD. Chiba Plant,  Ichihara, Japan</t>
        </is>
      </c>
      <c r="B4234" t="inlineStr">
        <is>
          <t>Processing Unit</t>
        </is>
      </c>
      <c r="C4234" t="inlineStr">
        <is>
          <t>SGS Germany GmbH, Emstek, DE</t>
        </is>
      </c>
      <c r="D4234" t="inlineStr">
        <is>
          <t>09.05.2027</t>
        </is>
      </c>
      <c r="E4234" t="inlineStr">
        <is>
          <t>Japan</t>
        </is>
      </c>
    </row>
    <row r="4235">
      <c r="A4235" t="inlineStr">
        <is>
          <t>Bio-goriva d.o.o.,  Pula, Croatia</t>
        </is>
      </c>
      <c r="B4235" t="inlineStr">
        <is>
          <t>Collecting Point</t>
        </is>
      </c>
      <c r="C4235" t="inlineStr">
        <is>
          <t>agroVet GmbH, Enzersfeld, AT</t>
        </is>
      </c>
      <c r="D4235" t="inlineStr">
        <is>
          <t>09.05.2027</t>
        </is>
      </c>
      <c r="E4235" t="inlineStr">
        <is>
          <t>Croatia</t>
        </is>
      </c>
    </row>
    <row r="4236">
      <c r="A4236" t="inlineStr">
        <is>
          <t>CBTE,  Estaires, France</t>
        </is>
      </c>
      <c r="B4236" t="inlineStr">
        <is>
          <t>Collecting Point</t>
        </is>
      </c>
      <c r="C4236" t="inlineStr">
        <is>
          <t>Control Union Certifications Germany GmbH, Berlin, DE</t>
        </is>
      </c>
      <c r="D4236" t="inlineStr">
        <is>
          <t>09.05.2027</t>
        </is>
      </c>
      <c r="E4236" t="inlineStr">
        <is>
          <t>France</t>
        </is>
      </c>
    </row>
    <row r="4237">
      <c r="A4237" t="inlineStr">
        <is>
          <t>Fondoir Buchez,  Estaires, France</t>
        </is>
      </c>
      <c r="B4237" t="inlineStr">
        <is>
          <t>Point of Origin</t>
        </is>
      </c>
      <c r="C4237" t="inlineStr">
        <is>
          <t>Control Union Certifications Germany GmbH, Berlin, DE</t>
        </is>
      </c>
      <c r="D4237" t="inlineStr">
        <is>
          <t>09.05.2027</t>
        </is>
      </c>
      <c r="E4237" t="inlineStr">
        <is>
          <t>France</t>
        </is>
      </c>
    </row>
    <row r="4238">
      <c r="A4238" t="inlineStr">
        <is>
          <t>Zhejiang Commerce and Industry Co.,Ltd,  Hangzhou City, Zhejiang Province, China</t>
        </is>
      </c>
      <c r="B4238" t="inlineStr">
        <is>
          <t>Trader</t>
        </is>
      </c>
      <c r="C4238" t="inlineStr">
        <is>
          <t>RINA Services S.p.A., Genova, IT</t>
        </is>
      </c>
      <c r="D4238" t="inlineStr">
        <is>
          <t>09.05.2027</t>
        </is>
      </c>
      <c r="E4238" t="inlineStr">
        <is>
          <t>China</t>
        </is>
      </c>
    </row>
    <row r="4239">
      <c r="A4239" t="inlineStr">
        <is>
          <t>ZHESHANG FOOD GROUP CORP,  Hangzhou City, Zhejiang Province, China</t>
        </is>
      </c>
      <c r="B4239" t="inlineStr">
        <is>
          <t>Trader</t>
        </is>
      </c>
      <c r="C4239" t="inlineStr">
        <is>
          <t>RINA Services S.p.A., Genova, IT</t>
        </is>
      </c>
      <c r="D4239" t="inlineStr">
        <is>
          <t>09.05.2027</t>
        </is>
      </c>
      <c r="E4239" t="inlineStr">
        <is>
          <t>China</t>
        </is>
      </c>
    </row>
    <row r="4240">
      <c r="A4240" t="inlineStr">
        <is>
          <t>GESTORA DE SUBPRODUCTOS DE GALICIA, S. L.,  Queixas-Cerceda (A Coruna), Spain</t>
        </is>
      </c>
      <c r="B4240" t="inlineStr">
        <is>
          <t>Point of Origin</t>
        </is>
      </c>
      <c r="C4240" t="inlineStr">
        <is>
          <t>RINA Services S.p.A., Genova, IT</t>
        </is>
      </c>
      <c r="D4240" t="inlineStr">
        <is>
          <t>09.05.2027</t>
        </is>
      </c>
      <c r="E4240" t="inlineStr">
        <is>
          <t>Spain</t>
        </is>
      </c>
    </row>
    <row r="4241">
      <c r="A4241" t="inlineStr">
        <is>
          <t>BOP ENERGY,  Geneva, Switzerland</t>
        </is>
      </c>
      <c r="B4241" t="inlineStr">
        <is>
          <t>Trader with Storage, Proof of Compliance Trader</t>
        </is>
      </c>
      <c r="C4241" t="inlineStr">
        <is>
          <t>Bureau Veritas Polska Sp. z o.o., Warsaw, PL</t>
        </is>
      </c>
      <c r="D4241" t="inlineStr">
        <is>
          <t>09.05.2027</t>
        </is>
      </c>
      <c r="E4241" t="inlineStr">
        <is>
          <t>Switzerland</t>
        </is>
      </c>
    </row>
    <row r="4242">
      <c r="A4242" t="inlineStr">
        <is>
          <t>BOP ENERGY,  Geneva, Switzerland</t>
        </is>
      </c>
      <c r="B4242" t="inlineStr">
        <is>
          <t>Trader with Storage</t>
        </is>
      </c>
      <c r="C4242" t="inlineStr">
        <is>
          <t>Bureau Veritas Polska Sp. z o.o., Warsaw, PL</t>
        </is>
      </c>
      <c r="D4242" t="inlineStr">
        <is>
          <t>09.05.2027</t>
        </is>
      </c>
      <c r="E4242" t="inlineStr">
        <is>
          <t>Switzerland</t>
        </is>
      </c>
    </row>
    <row r="4243">
      <c r="A4243" t="inlineStr">
        <is>
          <t>BOP ENERGY,  Geneva, Switzerland</t>
        </is>
      </c>
      <c r="B4243" t="inlineStr">
        <is>
          <t>Trader with Storage</t>
        </is>
      </c>
      <c r="C4243" t="inlineStr">
        <is>
          <t>Bureau Veritas Polska Sp. z o.o., Warsaw, PL</t>
        </is>
      </c>
      <c r="D4243" t="inlineStr">
        <is>
          <t>09.05.2027</t>
        </is>
      </c>
      <c r="E4243" t="inlineStr">
        <is>
          <t>Switzerland</t>
        </is>
      </c>
    </row>
    <row r="4244">
      <c r="A4244" t="inlineStr">
        <is>
          <t>Business Oil Platform,  London, United Kingdom</t>
        </is>
      </c>
      <c r="B4244" t="inlineStr">
        <is>
          <t>Trader with Storage</t>
        </is>
      </c>
      <c r="C4244" t="inlineStr">
        <is>
          <t>SGS Germany GmbH, Emstek, DE</t>
        </is>
      </c>
      <c r="D4244" t="inlineStr">
        <is>
          <t>09.05.2027</t>
        </is>
      </c>
      <c r="E4244" t="inlineStr">
        <is>
          <t>United Kingdom</t>
        </is>
      </c>
    </row>
    <row r="4245">
      <c r="A4245" t="inlineStr">
        <is>
          <t>DORADO FZCO,  DUBAI, United Arab Emirates</t>
        </is>
      </c>
      <c r="B4245" t="inlineStr">
        <is>
          <t>Trader</t>
        </is>
      </c>
      <c r="C4245" t="inlineStr">
        <is>
          <t>BM Certification, Riga, LV</t>
        </is>
      </c>
      <c r="D4245" t="inlineStr">
        <is>
          <t>08.05.2027</t>
        </is>
      </c>
      <c r="E4245" t="inlineStr">
        <is>
          <t>United Arab Emirates</t>
        </is>
      </c>
    </row>
    <row r="4246">
      <c r="A4246" t="inlineStr">
        <is>
          <t>Reciclajes Recial S.L.,  Luque (Córdoba), Spain</t>
        </is>
      </c>
      <c r="B4246" t="inlineStr">
        <is>
          <t>Collecting Point, Trader</t>
        </is>
      </c>
      <c r="C4246" t="inlineStr">
        <is>
          <t>Control Union Poland Sp. z o.o., Zielona Gora, PL</t>
        </is>
      </c>
      <c r="D4246" t="inlineStr">
        <is>
          <t>08.05.2027</t>
        </is>
      </c>
      <c r="E4246" t="inlineStr">
        <is>
          <t>Spain</t>
        </is>
      </c>
    </row>
    <row r="4247">
      <c r="A4247" t="inlineStr">
        <is>
          <t>HENAN JUNHENG Industrial Group biotechnology company.,LTD.,  Puyang, China</t>
        </is>
      </c>
      <c r="B4247" t="inlineStr">
        <is>
          <t>Processing Unit, Trader with Storage</t>
        </is>
      </c>
      <c r="C4247" t="inlineStr">
        <is>
          <t>China Quality Certification Centre Co., Ltd., Beijing, CN</t>
        </is>
      </c>
      <c r="D4247" t="inlineStr">
        <is>
          <t>08.05.2027</t>
        </is>
      </c>
      <c r="E4247" t="inlineStr">
        <is>
          <t>China</t>
        </is>
      </c>
    </row>
    <row r="4248">
      <c r="A4248" t="inlineStr">
        <is>
          <t>Bai Sheng Sports Goods Company Limited,  Phu Tho Province, Vietnam</t>
        </is>
      </c>
      <c r="B4248" t="inlineStr">
        <is>
          <t>Processing Unit</t>
        </is>
      </c>
      <c r="C4248" t="inlineStr">
        <is>
          <t>SCS Global Services, Emeryville, CA, US</t>
        </is>
      </c>
      <c r="D4248" t="inlineStr">
        <is>
          <t>08.05.2027</t>
        </is>
      </c>
      <c r="E4248" t="inlineStr">
        <is>
          <t>Vietnam</t>
        </is>
      </c>
    </row>
    <row r="4249">
      <c r="A4249" t="inlineStr">
        <is>
          <t>SERTEGO SERVICIOS MEDIOAMBIENTALES, S.L.U.,  Algeciras, Spain</t>
        </is>
      </c>
      <c r="B4249" t="inlineStr">
        <is>
          <t>Collecting Point, Processing Unit</t>
        </is>
      </c>
      <c r="C4249" t="inlineStr">
        <is>
          <t>Control Union Poland Sp. z o.o., Zielona Gora, PL</t>
        </is>
      </c>
      <c r="D4249" t="inlineStr">
        <is>
          <t>08.05.2027</t>
        </is>
      </c>
      <c r="E4249" t="inlineStr">
        <is>
          <t>Spain</t>
        </is>
      </c>
    </row>
    <row r="4250">
      <c r="A4250" t="inlineStr">
        <is>
          <t>Deyuan Trading Co. Ltd,  Hsinchu, Taiwan (R.O.C.), Taiwan</t>
        </is>
      </c>
      <c r="B4250" t="inlineStr">
        <is>
          <t>Collecting Point</t>
        </is>
      </c>
      <c r="C4250" t="inlineStr">
        <is>
          <t>PT Intertek Utama Services, Jakarta, ID</t>
        </is>
      </c>
      <c r="D4250" t="inlineStr">
        <is>
          <t>08.05.2027</t>
        </is>
      </c>
      <c r="E4250" t="inlineStr">
        <is>
          <t>Taiwan</t>
        </is>
      </c>
    </row>
    <row r="4251">
      <c r="A4251" t="inlineStr">
        <is>
          <t>Deyuan Trading Co. Ltd,  Hsinchu, Taiwan (R.O.C.), Taiwan (Province of China)</t>
        </is>
      </c>
      <c r="B4251" t="inlineStr">
        <is>
          <t>Collecting Point</t>
        </is>
      </c>
      <c r="C4251" t="inlineStr">
        <is>
          <t>PT Intertek Utama Services, Jakarta, ID</t>
        </is>
      </c>
      <c r="D4251" t="inlineStr">
        <is>
          <t>08.05.2027</t>
        </is>
      </c>
      <c r="E4251" t="inlineStr">
        <is>
          <t>Taiwan (Province of China)</t>
        </is>
      </c>
    </row>
    <row r="4252">
      <c r="A4252" t="inlineStr">
        <is>
          <t>Chemtex Plastics Europa,  Madrid, Spain</t>
        </is>
      </c>
      <c r="B4252" t="inlineStr">
        <is>
          <t>Trader with Storage</t>
        </is>
      </c>
      <c r="C4252" t="inlineStr">
        <is>
          <t>BMC Assurance, S.L, Santander, ES</t>
        </is>
      </c>
      <c r="D4252" t="inlineStr">
        <is>
          <t>08.05.2027</t>
        </is>
      </c>
      <c r="E4252" t="inlineStr">
        <is>
          <t>Spain</t>
        </is>
      </c>
    </row>
    <row r="4253">
      <c r="A4253" t="inlineStr">
        <is>
          <t>Tiryaki Sürdürülebilir Havacılık Yakıtları Tedarik Ve Üretim Anonim Şirketi,  ÜSKÜDAR/ ISTANBUL, Turkey</t>
        </is>
      </c>
      <c r="B4253" t="inlineStr">
        <is>
          <t>Trader with Storage</t>
        </is>
      </c>
      <c r="C4253" t="inlineStr">
        <is>
          <t>PT Intertek Utama Services, Jakarta, ID</t>
        </is>
      </c>
      <c r="D4253" t="inlineStr">
        <is>
          <t>08.05.2027</t>
        </is>
      </c>
      <c r="E4253" t="inlineStr">
        <is>
          <t>Turkey</t>
        </is>
      </c>
    </row>
    <row r="4254">
      <c r="A4254" t="inlineStr">
        <is>
          <t>Tiryaki Sürdürülebilir Havacılık Yakıtları Tedarik Ve Üretim Anonim Şirketi,  ÜSKÜDAR/ ISTANBUL, Turkey</t>
        </is>
      </c>
      <c r="B4254" t="inlineStr">
        <is>
          <t>Trader with Storage</t>
        </is>
      </c>
      <c r="C4254" t="inlineStr">
        <is>
          <t>PT Intertek Utama Services, Jakarta, ID</t>
        </is>
      </c>
      <c r="D4254" t="inlineStr">
        <is>
          <t>08.05.2027</t>
        </is>
      </c>
      <c r="E4254" t="inlineStr">
        <is>
          <t>Turkey</t>
        </is>
      </c>
    </row>
    <row r="4255">
      <c r="A4255" t="inlineStr">
        <is>
          <t>Niucrom Prod Com,  Buftea, Romania</t>
        </is>
      </c>
      <c r="B4255" t="inlineStr">
        <is>
          <t>Collecting Point, Processing Unit</t>
        </is>
      </c>
      <c r="C4255" t="inlineStr">
        <is>
          <t>PT Intertek Utama Services, Jakarta, ID</t>
        </is>
      </c>
      <c r="D4255" t="inlineStr">
        <is>
          <t>08.05.2027</t>
        </is>
      </c>
      <c r="E4255" t="inlineStr">
        <is>
          <t>Romania</t>
        </is>
      </c>
    </row>
    <row r="4256">
      <c r="A4256" t="inlineStr">
        <is>
          <t>Nalge Nunc International Corporation,  Rochester, United States</t>
        </is>
      </c>
      <c r="B4256" t="inlineStr">
        <is>
          <t>Processing Unit</t>
        </is>
      </c>
      <c r="C4256" t="inlineStr">
        <is>
          <t>SCS Global Services, Emeryville, CA, US</t>
        </is>
      </c>
      <c r="D4256" t="inlineStr">
        <is>
          <t>08.05.2027</t>
        </is>
      </c>
      <c r="E4256" t="inlineStr">
        <is>
          <t>United States</t>
        </is>
      </c>
    </row>
    <row r="4257">
      <c r="A4257" t="inlineStr">
        <is>
          <t>Biogas Wipptal,  Pfitsch/Val di Vizze, Italy</t>
        </is>
      </c>
      <c r="B4257" t="inlineStr">
        <is>
          <t>Collecting Point, Processing Unit</t>
        </is>
      </c>
      <c r="C4257" t="inlineStr">
        <is>
          <t>agroVet GmbH, Enzersfeld, AT</t>
        </is>
      </c>
      <c r="D4257" t="inlineStr">
        <is>
          <t>08.05.2027</t>
        </is>
      </c>
      <c r="E4257" t="inlineStr">
        <is>
          <t>Italy</t>
        </is>
      </c>
    </row>
    <row r="4258">
      <c r="A4258" t="inlineStr">
        <is>
          <t>Uniper Global Commodities SE - Coal, Freight &amp; Biomass,  Düsseldorf, Germany</t>
        </is>
      </c>
      <c r="B4258" t="inlineStr">
        <is>
          <t>Trader with Storage</t>
        </is>
      </c>
      <c r="C4258" t="inlineStr">
        <is>
          <t>Control Union Certifications Germany GmbH, Berlin, DE</t>
        </is>
      </c>
      <c r="D4258" t="inlineStr">
        <is>
          <t>08.05.2027</t>
        </is>
      </c>
      <c r="E4258" t="inlineStr">
        <is>
          <t>Germany</t>
        </is>
      </c>
    </row>
    <row r="4259">
      <c r="A4259" t="inlineStr">
        <is>
          <t>Uniper Global Commodities SE - Coal, Freight &amp; Biomass,  Düsseldorf, Germany</t>
        </is>
      </c>
      <c r="B4259" t="inlineStr">
        <is>
          <t>Trader with Storage</t>
        </is>
      </c>
      <c r="C4259" t="inlineStr">
        <is>
          <t>Control Union Certifications Germany GmbH, Berlin, DE</t>
        </is>
      </c>
      <c r="D4259" t="inlineStr">
        <is>
          <t>08.05.2027</t>
        </is>
      </c>
      <c r="E4259" t="inlineStr">
        <is>
          <t>Germany</t>
        </is>
      </c>
    </row>
    <row r="4260">
      <c r="A4260" t="inlineStr">
        <is>
          <t>Estiko - Plastar AS,  Tartu, Estonia</t>
        </is>
      </c>
      <c r="B4260" t="inlineStr">
        <is>
          <t>Processing Unit</t>
        </is>
      </c>
      <c r="C4260" t="inlineStr">
        <is>
          <t>NCS Estonia OÜ, Tallinn, EE</t>
        </is>
      </c>
      <c r="D4260" t="inlineStr">
        <is>
          <t>08.05.2027</t>
        </is>
      </c>
      <c r="E4260" t="inlineStr">
        <is>
          <t>Estonia</t>
        </is>
      </c>
    </row>
    <row r="4261">
      <c r="A4261" t="inlineStr">
        <is>
          <t>Cocamar Maquinas Agrícolas,  Maringá/Paraná, Brazil</t>
        </is>
      </c>
      <c r="B4261" t="inlineStr">
        <is>
          <t>Point of Origin</t>
        </is>
      </c>
      <c r="C4261" t="inlineStr">
        <is>
          <t>SCS Global Services, Emeryville, CA, US</t>
        </is>
      </c>
      <c r="D4261" t="inlineStr">
        <is>
          <t>08.05.2027</t>
        </is>
      </c>
      <c r="E4261" t="inlineStr">
        <is>
          <t>Brazil</t>
        </is>
      </c>
    </row>
    <row r="4262">
      <c r="A4262" t="inlineStr">
        <is>
          <t>Tung Pak Printing (Huizhou) Co.,Ltd,  Huizhou, China</t>
        </is>
      </c>
      <c r="B4262" t="inlineStr">
        <is>
          <t>Final Product Refinement, Trader</t>
        </is>
      </c>
      <c r="C4262" t="inlineStr">
        <is>
          <t>PT Intertek Utama Services, Jakarta, ID</t>
        </is>
      </c>
      <c r="D4262" t="inlineStr">
        <is>
          <t>08.05.2027</t>
        </is>
      </c>
      <c r="E4262" t="inlineStr">
        <is>
          <t>China</t>
        </is>
      </c>
    </row>
    <row r="4263">
      <c r="A4263" t="inlineStr">
        <is>
          <t>PT POU YUEN INDONESIA,  cianjur, Indonesia</t>
        </is>
      </c>
      <c r="B4263" t="inlineStr">
        <is>
          <t>Final Product Refinement, Processing Unit</t>
        </is>
      </c>
      <c r="C4263" t="inlineStr">
        <is>
          <t>PT Intertek Utama Services, Jakarta, ID</t>
        </is>
      </c>
      <c r="D4263" t="inlineStr">
        <is>
          <t>08.05.2027</t>
        </is>
      </c>
      <c r="E4263" t="inlineStr">
        <is>
          <t>Indonesia</t>
        </is>
      </c>
    </row>
    <row r="4264">
      <c r="A4264" t="inlineStr">
        <is>
          <t>Valorem Global SA,  Singapore, Singapore</t>
        </is>
      </c>
      <c r="B4264" t="inlineStr">
        <is>
          <t>Trader</t>
        </is>
      </c>
      <c r="C4264" t="inlineStr">
        <is>
          <t>Control Union Certifications Germany GmbH, Berlin, DE</t>
        </is>
      </c>
      <c r="D4264" t="inlineStr">
        <is>
          <t>08.05.2027</t>
        </is>
      </c>
      <c r="E4264" t="inlineStr">
        <is>
          <t>Singapore</t>
        </is>
      </c>
    </row>
    <row r="4265">
      <c r="A4265" t="inlineStr">
        <is>
          <t>Cargill Australia Limited,  Tottenham, Australia</t>
        </is>
      </c>
      <c r="B4265" t="inlineStr">
        <is>
          <t>Processing Unit</t>
        </is>
      </c>
      <c r="C4265" t="inlineStr">
        <is>
          <t>Control Union Certifications Germany GmbH, Berlin, DE</t>
        </is>
      </c>
      <c r="D4265" t="inlineStr">
        <is>
          <t>08.05.2027</t>
        </is>
      </c>
      <c r="E4265" t="inlineStr">
        <is>
          <t>Australia</t>
        </is>
      </c>
    </row>
    <row r="4266">
      <c r="A4266" t="inlineStr">
        <is>
          <t>Cargill Australia Limited,  Tottenham, Australia</t>
        </is>
      </c>
      <c r="B4266" t="inlineStr">
        <is>
          <t>Processing Unit</t>
        </is>
      </c>
      <c r="C4266" t="inlineStr">
        <is>
          <t>Control Union Certifications Germany GmbH, Berlin, DE</t>
        </is>
      </c>
      <c r="D4266" t="inlineStr">
        <is>
          <t>08.05.2027</t>
        </is>
      </c>
      <c r="E4266" t="inlineStr">
        <is>
          <t>Australia</t>
        </is>
      </c>
    </row>
    <row r="4267">
      <c r="A4267" t="inlineStr">
        <is>
          <t>Caely Biofuels B.V.,  Amsterdam, Netherlands</t>
        </is>
      </c>
      <c r="B4267" t="inlineStr">
        <is>
          <t>Trader with Storage</t>
        </is>
      </c>
      <c r="C4267" t="inlineStr">
        <is>
          <t>SGS Germany GmbH, Emstek, DE</t>
        </is>
      </c>
      <c r="D4267" t="inlineStr">
        <is>
          <t>08.05.2027</t>
        </is>
      </c>
      <c r="E4267" t="inlineStr">
        <is>
          <t>Netherlands</t>
        </is>
      </c>
    </row>
    <row r="4268">
      <c r="A4268" t="inlineStr">
        <is>
          <t>Caely Biofuels B.V.,  Amsterdam, Netherlands</t>
        </is>
      </c>
      <c r="B4268" t="inlineStr">
        <is>
          <t>Collecting Point, Trader with Storage, Biomarine Fuel Operator</t>
        </is>
      </c>
      <c r="C4268" t="inlineStr">
        <is>
          <t>SGS Germany GmbH, Emstek, DE</t>
        </is>
      </c>
      <c r="D4268" t="inlineStr">
        <is>
          <t>08.05.2027</t>
        </is>
      </c>
      <c r="E4268" t="inlineStr">
        <is>
          <t>Netherlands</t>
        </is>
      </c>
    </row>
    <row r="4269">
      <c r="A4269" t="inlineStr">
        <is>
          <t>Huidong Jianxing Animal and Plant Oil Purchase and Sales Department,  Huizhou City, Guangdong, China</t>
        </is>
      </c>
      <c r="B4269" t="inlineStr">
        <is>
          <t>Collecting Point</t>
        </is>
      </c>
      <c r="C4269" t="inlineStr">
        <is>
          <t>RINA Services S.p.A., Genova, IT</t>
        </is>
      </c>
      <c r="D4269" t="inlineStr">
        <is>
          <t>08.05.2027</t>
        </is>
      </c>
      <c r="E4269" t="inlineStr">
        <is>
          <t>China</t>
        </is>
      </c>
    </row>
    <row r="4270">
      <c r="A4270" t="inlineStr">
        <is>
          <t>EG RETAIL (BELGIUM),  Ekeren, Belgium</t>
        </is>
      </c>
      <c r="B4270" t="inlineStr">
        <is>
          <t>Trader with Storage</t>
        </is>
      </c>
      <c r="C4270" t="inlineStr">
        <is>
          <t>SGS Germany GmbH, Emstek, DE</t>
        </is>
      </c>
      <c r="D4270" t="inlineStr">
        <is>
          <t>08.05.2027</t>
        </is>
      </c>
      <c r="E4270" t="inlineStr">
        <is>
          <t>Belgium</t>
        </is>
      </c>
    </row>
    <row r="4271">
      <c r="A4271" t="inlineStr">
        <is>
          <t>Evonik Corporation,  Theodore, Alabama, United States</t>
        </is>
      </c>
      <c r="B4271" t="inlineStr">
        <is>
          <t>Processing Unit</t>
        </is>
      </c>
      <c r="C4271" t="inlineStr">
        <is>
          <t>DIN CERTCO GmbH, Berlin, DE</t>
        </is>
      </c>
      <c r="D4271" t="inlineStr">
        <is>
          <t>08.05.2027</t>
        </is>
      </c>
      <c r="E4271" t="inlineStr">
        <is>
          <t>United States</t>
        </is>
      </c>
    </row>
    <row r="4272">
      <c r="A4272" t="inlineStr">
        <is>
          <t>Emsland-Stärke,  Emlichheim, Germany</t>
        </is>
      </c>
      <c r="B4272" t="inlineStr">
        <is>
          <t>First Gathering Point, Processing Unit</t>
        </is>
      </c>
      <c r="C4272" t="inlineStr">
        <is>
          <t>SGS Germany GmbH, Emstek, DE</t>
        </is>
      </c>
      <c r="D4272" t="inlineStr">
        <is>
          <t>08.05.2027</t>
        </is>
      </c>
      <c r="E4272" t="inlineStr">
        <is>
          <t>Germany</t>
        </is>
      </c>
    </row>
    <row r="4273">
      <c r="A4273" t="inlineStr">
        <is>
          <t>Emsland-Stärke,  Kyritz, Germany</t>
        </is>
      </c>
      <c r="B4273" t="inlineStr">
        <is>
          <t>First Gathering Point, Processing Unit</t>
        </is>
      </c>
      <c r="C4273" t="inlineStr">
        <is>
          <t>SGS Germany GmbH, Emstek, DE</t>
        </is>
      </c>
      <c r="D4273" t="inlineStr">
        <is>
          <t>08.05.2027</t>
        </is>
      </c>
      <c r="E4273" t="inlineStr">
        <is>
          <t>Germany</t>
        </is>
      </c>
    </row>
    <row r="4274">
      <c r="A4274" t="inlineStr">
        <is>
          <t>Shaoyang Shenzhen Expressway Environmental Technology Co., Ltd,  Shaoyang, China</t>
        </is>
      </c>
      <c r="B4274" t="inlineStr">
        <is>
          <t>Collecting Point, Processing Unit</t>
        </is>
      </c>
      <c r="C4274" t="inlineStr">
        <is>
          <t>CTI Certification Co. Ltd, Shenzhen, CN</t>
        </is>
      </c>
      <c r="D4274" t="inlineStr">
        <is>
          <t>08.05.2027</t>
        </is>
      </c>
      <c r="E4274" t="inlineStr">
        <is>
          <t>China</t>
        </is>
      </c>
    </row>
    <row r="4275">
      <c r="A4275" t="inlineStr">
        <is>
          <t>Clariant Oil Services Scandinavia AS,  Gardermoen, Norway</t>
        </is>
      </c>
      <c r="B4275" t="inlineStr">
        <is>
          <t>Processing Unit, Collecting Point</t>
        </is>
      </c>
      <c r="C4275" t="inlineStr">
        <is>
          <t>SCS Global Services, Emeryville, CA, US</t>
        </is>
      </c>
      <c r="D4275" t="inlineStr">
        <is>
          <t>08.05.2027</t>
        </is>
      </c>
      <c r="E4275" t="inlineStr">
        <is>
          <t>Norway</t>
        </is>
      </c>
    </row>
    <row r="4276">
      <c r="A4276" t="inlineStr">
        <is>
          <t>Tinoasa Cooperativa Agricola,  Calinesti, Teleorman county, Romania</t>
        </is>
      </c>
      <c r="B4276" t="inlineStr">
        <is>
          <t>First Gathering Point</t>
        </is>
      </c>
      <c r="C4276" t="inlineStr">
        <is>
          <t>SRAC Cert SRL, Bucharest, RO</t>
        </is>
      </c>
      <c r="D4276" t="inlineStr">
        <is>
          <t>08.05.2027</t>
        </is>
      </c>
      <c r="E4276" t="inlineStr">
        <is>
          <t>Romania</t>
        </is>
      </c>
    </row>
    <row r="4277">
      <c r="A4277" t="inlineStr">
        <is>
          <t>Lyondell Chimie France SAS,  Fos-sur-Mer, France</t>
        </is>
      </c>
      <c r="B4277" t="inlineStr">
        <is>
          <t>Trader with Storage, Processing Unit</t>
        </is>
      </c>
      <c r="C4277" t="inlineStr">
        <is>
          <t>Control Union Certifications Germany GmbH, Berlin, DE</t>
        </is>
      </c>
      <c r="D4277" t="inlineStr">
        <is>
          <t>08.05.2027</t>
        </is>
      </c>
      <c r="E4277" t="inlineStr">
        <is>
          <t>France</t>
        </is>
      </c>
    </row>
    <row r="4278">
      <c r="A4278" t="inlineStr">
        <is>
          <t>Baltic Oil Service OÜ,  Paldiski, Estonia</t>
        </is>
      </c>
      <c r="B4278" t="inlineStr">
        <is>
          <t>Collecting Point, Trader with Storage, Warehouse</t>
        </is>
      </c>
      <c r="C4278" t="inlineStr">
        <is>
          <t>TÜV NORD CERT GmbH, Essen, DE</t>
        </is>
      </c>
      <c r="D4278" t="inlineStr">
        <is>
          <t>08.05.2027</t>
        </is>
      </c>
      <c r="E4278" t="inlineStr">
        <is>
          <t>Estonia</t>
        </is>
      </c>
    </row>
    <row r="4279">
      <c r="A4279" t="inlineStr">
        <is>
          <t>BK ENERGY.,Ltd,  Daegu, South Korea</t>
        </is>
      </c>
      <c r="B4279" t="inlineStr">
        <is>
          <t>Collecting Point, Trader with Storage</t>
        </is>
      </c>
      <c r="C4279" t="inlineStr">
        <is>
          <t>Korean Foundation for Quality, Songpa-gu, Seoul, KR</t>
        </is>
      </c>
      <c r="D4279" t="inlineStr">
        <is>
          <t>08.05.2027</t>
        </is>
      </c>
      <c r="E4279" t="inlineStr">
        <is>
          <t>South Korea</t>
        </is>
      </c>
    </row>
    <row r="4280">
      <c r="A4280" t="inlineStr">
        <is>
          <t>Rui'an Wanshida Grease Factory,  Tangxia Town Rui'an City, Zhejiang Province, China</t>
        </is>
      </c>
      <c r="B4280" t="inlineStr">
        <is>
          <t>Collecting Point, Trader with Storage</t>
        </is>
      </c>
      <c r="C4280" t="inlineStr">
        <is>
          <t>RINA Services S.p.A., Genova, IT</t>
        </is>
      </c>
      <c r="D4280" t="inlineStr">
        <is>
          <t>08.05.2027</t>
        </is>
      </c>
      <c r="E4280" t="inlineStr">
        <is>
          <t>China</t>
        </is>
      </c>
    </row>
    <row r="4281">
      <c r="A4281" t="inlineStr">
        <is>
          <t>Bio Technology Service,  Yongin-si, South Korea</t>
        </is>
      </c>
      <c r="B4281" t="inlineStr">
        <is>
          <t>Collecting Point, Processing Unit</t>
        </is>
      </c>
      <c r="C4281" t="inlineStr">
        <is>
          <t>Korean Foundation for Quality, Songpa-gu, Seoul, KR</t>
        </is>
      </c>
      <c r="D4281" t="inlineStr">
        <is>
          <t>08.05.2027</t>
        </is>
      </c>
      <c r="E4281" t="inlineStr">
        <is>
          <t>South Korea</t>
        </is>
      </c>
    </row>
    <row r="4282">
      <c r="A4282" t="inlineStr">
        <is>
          <t>Meta Service,  Aci Sant'Antonio (CT), Italy</t>
        </is>
      </c>
      <c r="B4282" t="inlineStr">
        <is>
          <t>Collecting Point</t>
        </is>
      </c>
      <c r="C4282" t="inlineStr">
        <is>
          <t>RINA Services S.p.A., Genova, IT</t>
        </is>
      </c>
      <c r="D4282" t="inlineStr">
        <is>
          <t>08.05.2027</t>
        </is>
      </c>
      <c r="E4282" t="inlineStr">
        <is>
          <t>Italy</t>
        </is>
      </c>
    </row>
    <row r="4283">
      <c r="A4283" t="inlineStr">
        <is>
          <t>Bio Technology Service,  Yongin-si, South Korea</t>
        </is>
      </c>
      <c r="B4283" t="inlineStr">
        <is>
          <t>Collecting Point, Processing Unit</t>
        </is>
      </c>
      <c r="C4283" t="inlineStr">
        <is>
          <t>Korean Foundation for Quality, Songpa-gu, Seoul, KR</t>
        </is>
      </c>
      <c r="D4283" t="inlineStr">
        <is>
          <t>08.05.2027</t>
        </is>
      </c>
      <c r="E4283" t="inlineStr">
        <is>
          <t>South Korea</t>
        </is>
      </c>
    </row>
    <row r="4284">
      <c r="A4284" t="inlineStr">
        <is>
          <t>Evonik Operations GmbH Specialty Additives Businessline Crosslinkers,  Herne, Germany</t>
        </is>
      </c>
      <c r="B4284" t="inlineStr">
        <is>
          <t>Processing Unit</t>
        </is>
      </c>
      <c r="C4284" t="inlineStr">
        <is>
          <t>DIN CERTCO GmbH, Berlin, DE</t>
        </is>
      </c>
      <c r="D4284" t="inlineStr">
        <is>
          <t>08.05.2027</t>
        </is>
      </c>
      <c r="E4284" t="inlineStr">
        <is>
          <t>Germany</t>
        </is>
      </c>
    </row>
    <row r="4285">
      <c r="A4285" t="inlineStr">
        <is>
          <t>Biogas Wipptal,  Pfitsch/Val di Vizze, Italy</t>
        </is>
      </c>
      <c r="B4285" t="inlineStr">
        <is>
          <t>Processing Unit</t>
        </is>
      </c>
      <c r="C4285" t="inlineStr">
        <is>
          <t>agroVet GmbH, Enzersfeld, AT</t>
        </is>
      </c>
      <c r="D4285" t="inlineStr">
        <is>
          <t>08.05.2027</t>
        </is>
      </c>
      <c r="E4285" t="inlineStr">
        <is>
          <t>Italy</t>
        </is>
      </c>
    </row>
    <row r="4286">
      <c r="A4286" t="inlineStr">
        <is>
          <t>Recupal-West,  Moen, Belgium</t>
        </is>
      </c>
      <c r="B4286" t="inlineStr">
        <is>
          <t>Collecting Point, Trader with Storage</t>
        </is>
      </c>
      <c r="C4286" t="inlineStr">
        <is>
          <t>Control Union Certifications Germany GmbH, Berlin, DE</t>
        </is>
      </c>
      <c r="D4286" t="inlineStr">
        <is>
          <t>08.05.2027</t>
        </is>
      </c>
      <c r="E4286" t="inlineStr">
        <is>
          <t>Belgium</t>
        </is>
      </c>
    </row>
    <row r="4287">
      <c r="A4287" t="inlineStr">
        <is>
          <t>Hainan Qiyuan Low-Carbon New Materials Co., Ltd.,  Xintai City, Taian City, Shandong Province, China</t>
        </is>
      </c>
      <c r="B4287" t="inlineStr">
        <is>
          <t>Processing Unit, Trader with Storage</t>
        </is>
      </c>
      <c r="C4287" t="inlineStr">
        <is>
          <t>RINA Services S.p.A., Genova, IT</t>
        </is>
      </c>
      <c r="D4287" t="inlineStr">
        <is>
          <t>08.05.2027</t>
        </is>
      </c>
      <c r="E4287" t="inlineStr">
        <is>
          <t>China</t>
        </is>
      </c>
    </row>
    <row r="4288">
      <c r="A4288" t="inlineStr">
        <is>
          <t>Hainan Qiyuan Low-Carbon New Materials Co., Ltd.,  Xintai City, Taian City, Shandong Province, China</t>
        </is>
      </c>
      <c r="B4288" t="inlineStr">
        <is>
          <t>Processing Unit, Trader with Storage</t>
        </is>
      </c>
      <c r="C4288" t="inlineStr">
        <is>
          <t>RINA Services S.p.A., Genova, IT</t>
        </is>
      </c>
      <c r="D4288" t="inlineStr">
        <is>
          <t>08.05.2027</t>
        </is>
      </c>
      <c r="E4288" t="inlineStr">
        <is>
          <t>China</t>
        </is>
      </c>
    </row>
    <row r="4289">
      <c r="A4289" t="inlineStr">
        <is>
          <t>Dunia Pakar Minyak Sawit Sdn Bhd,  Pasir Gudang, Malaysia</t>
        </is>
      </c>
      <c r="B4289" t="inlineStr">
        <is>
          <t>Collecting Point, Trader with Storage</t>
        </is>
      </c>
      <c r="C4289" t="inlineStr">
        <is>
          <t>TÜV NORD CERT GmbH, Essen, DE</t>
        </is>
      </c>
      <c r="D4289" t="inlineStr">
        <is>
          <t>08.05.2027</t>
        </is>
      </c>
      <c r="E4289" t="inlineStr">
        <is>
          <t>Malaysia</t>
        </is>
      </c>
    </row>
    <row r="4290">
      <c r="A4290" t="inlineStr">
        <is>
          <t>Vantage Corn Processors,  Cedar Rapids, United States</t>
        </is>
      </c>
      <c r="B4290" t="inlineStr">
        <is>
          <t>Point of Origin, Processing Unit, Trader with Storage</t>
        </is>
      </c>
      <c r="C4290" t="inlineStr">
        <is>
          <t>ASG Cert GmbH, Munich, DE</t>
        </is>
      </c>
      <c r="D4290" t="inlineStr">
        <is>
          <t>07.05.2027</t>
        </is>
      </c>
      <c r="E4290" t="inlineStr">
        <is>
          <t>United States</t>
        </is>
      </c>
    </row>
    <row r="4291">
      <c r="A4291" t="inlineStr">
        <is>
          <t>Anakyklosi Ladion Prevezas I.K.E.,  Preveza Greece, Greece</t>
        </is>
      </c>
      <c r="B4291" t="inlineStr">
        <is>
          <t>Collecting Point</t>
        </is>
      </c>
      <c r="C4291" t="inlineStr">
        <is>
          <t>Eurocert SA, Metamorfosi, Athens, GR</t>
        </is>
      </c>
      <c r="D4291" t="inlineStr">
        <is>
          <t>07.05.2027</t>
        </is>
      </c>
      <c r="E4291" t="inlineStr">
        <is>
          <t>Greece</t>
        </is>
      </c>
    </row>
    <row r="4292">
      <c r="A4292" t="inlineStr">
        <is>
          <t>Rijeka trans d.o.o.,  Kukuljanovo, Croatia</t>
        </is>
      </c>
      <c r="B4292" t="inlineStr">
        <is>
          <t>Trader with Storage</t>
        </is>
      </c>
      <c r="C4292" t="inlineStr">
        <is>
          <t>Bureau Veritas Polska Sp. z o.o., Warsaw, PL</t>
        </is>
      </c>
      <c r="D4292" t="inlineStr">
        <is>
          <t>07.05.2027</t>
        </is>
      </c>
      <c r="E4292" t="inlineStr">
        <is>
          <t>Croatia</t>
        </is>
      </c>
    </row>
    <row r="4293">
      <c r="A4293" t="inlineStr">
        <is>
          <t>METEE GREEN PLUS CO., LTD.,  Pathum Thani, Thailand</t>
        </is>
      </c>
      <c r="B4293" t="inlineStr">
        <is>
          <t>Collecting Point</t>
        </is>
      </c>
      <c r="C4293" t="inlineStr">
        <is>
          <t>SGS Germany GmbH, Emstek, DE</t>
        </is>
      </c>
      <c r="D4293" t="inlineStr">
        <is>
          <t>07.05.2027</t>
        </is>
      </c>
      <c r="E4293" t="inlineStr">
        <is>
          <t>Thailand</t>
        </is>
      </c>
    </row>
    <row r="4294">
      <c r="A4294" t="inlineStr">
        <is>
          <t>METEE GREEN PLUS CO., LTD.,  Pathum Thani, Thailand</t>
        </is>
      </c>
      <c r="B4294" t="inlineStr">
        <is>
          <t>Collecting Point</t>
        </is>
      </c>
      <c r="C4294" t="inlineStr">
        <is>
          <t>SGS Germany GmbH, Emstek, DE</t>
        </is>
      </c>
      <c r="D4294" t="inlineStr">
        <is>
          <t>07.05.2027</t>
        </is>
      </c>
      <c r="E4294" t="inlineStr">
        <is>
          <t>Thailand</t>
        </is>
      </c>
    </row>
    <row r="4295">
      <c r="A4295" t="inlineStr">
        <is>
          <t>Archer Daniels Midland Company,  Decatur, United States</t>
        </is>
      </c>
      <c r="B4295" t="inlineStr">
        <is>
          <t>Processing Unit, Trader with Storage</t>
        </is>
      </c>
      <c r="C4295" t="inlineStr">
        <is>
          <t>ASG Cert GmbH, Munich, DE</t>
        </is>
      </c>
      <c r="D4295" t="inlineStr">
        <is>
          <t>07.05.2027</t>
        </is>
      </c>
      <c r="E4295" t="inlineStr">
        <is>
          <t>United States</t>
        </is>
      </c>
    </row>
    <row r="4296">
      <c r="A4296" t="inlineStr">
        <is>
          <t>Heygaz Spain,  Madrid, Spain</t>
        </is>
      </c>
      <c r="B4296" t="inlineStr">
        <is>
          <t>Trader</t>
        </is>
      </c>
      <c r="C4296" t="inlineStr">
        <is>
          <t>DNV Business Assurance Sweden AB, Solna, SE</t>
        </is>
      </c>
      <c r="D4296" t="inlineStr">
        <is>
          <t>07.05.2027</t>
        </is>
      </c>
      <c r="E4296" t="inlineStr">
        <is>
          <t>Spain</t>
        </is>
      </c>
    </row>
    <row r="4297">
      <c r="A4297" t="inlineStr">
        <is>
          <t>Heygaz Molina,  Molina de Segura, Spain</t>
        </is>
      </c>
      <c r="B4297" t="inlineStr">
        <is>
          <t>Collecting Point, Processing Unit</t>
        </is>
      </c>
      <c r="C4297" t="inlineStr">
        <is>
          <t>DNV Business Assurance Sweden AB, Solna, SE</t>
        </is>
      </c>
      <c r="D4297" t="inlineStr">
        <is>
          <t>07.05.2027</t>
        </is>
      </c>
      <c r="E4297" t="inlineStr">
        <is>
          <t>Spain</t>
        </is>
      </c>
    </row>
    <row r="4298">
      <c r="A4298" t="inlineStr">
        <is>
          <t>Olearia Sod S.r.l.,  Tarsia (CS), Italy</t>
        </is>
      </c>
      <c r="B4298" t="inlineStr">
        <is>
          <t>Point of Origin</t>
        </is>
      </c>
      <c r="C4298" t="inlineStr">
        <is>
          <t>RINA Services S.p.A., Genova, IT</t>
        </is>
      </c>
      <c r="D4298" t="inlineStr">
        <is>
          <t>07.05.2027</t>
        </is>
      </c>
      <c r="E4298" t="inlineStr">
        <is>
          <t>Italy</t>
        </is>
      </c>
    </row>
    <row r="4299">
      <c r="A4299" t="inlineStr">
        <is>
          <t>Shenzhen Jiashan Optical Co., Ltd,  Shenzhen City,, China</t>
        </is>
      </c>
      <c r="B4299" t="inlineStr">
        <is>
          <t>Final Product Refinement, Processing Unit</t>
        </is>
      </c>
      <c r="C4299" t="inlineStr">
        <is>
          <t>RINA Services S.p.A., Genova, IT</t>
        </is>
      </c>
      <c r="D4299" t="inlineStr">
        <is>
          <t>07.05.2027</t>
        </is>
      </c>
      <c r="E4299" t="inlineStr">
        <is>
          <t>China</t>
        </is>
      </c>
    </row>
    <row r="4300">
      <c r="A4300" t="inlineStr">
        <is>
          <t>Bioprocesos Energeticos Renovables,  z3 del municipio de Sta. Lucía Milpas Altas, Guatemala</t>
        </is>
      </c>
      <c r="B4300" t="inlineStr">
        <is>
          <t>Collecting Point</t>
        </is>
      </c>
      <c r="C4300" t="inlineStr">
        <is>
          <t>Amspec Iberia SL, Vilagarcia de Arousa-Pontevedra, ES</t>
        </is>
      </c>
      <c r="D4300" t="inlineStr">
        <is>
          <t>07.05.2027</t>
        </is>
      </c>
      <c r="E4300" t="inlineStr">
        <is>
          <t>Guatemala</t>
        </is>
      </c>
    </row>
    <row r="4301">
      <c r="A4301" t="inlineStr">
        <is>
          <t>KazakhTransOil,  Poyma village, Kazakhstan</t>
        </is>
      </c>
      <c r="B4301" t="inlineStr">
        <is>
          <t>Collecting Point, Trader with Storage, Processing Unit</t>
        </is>
      </c>
      <c r="C4301" t="inlineStr">
        <is>
          <t>Baltic Control Certification, Albertslund, DK</t>
        </is>
      </c>
      <c r="D4301" t="inlineStr">
        <is>
          <t>07.05.2027</t>
        </is>
      </c>
      <c r="E4301" t="inlineStr">
        <is>
          <t>Kazakhstan</t>
        </is>
      </c>
    </row>
    <row r="4302">
      <c r="A4302" t="inlineStr">
        <is>
          <t>Danube Oil Company SRL,  PIL Giurgiulesti, Moldova</t>
        </is>
      </c>
      <c r="B4302" t="inlineStr">
        <is>
          <t>First Gathering Point, Processing Unit, Trader with Storage, Point of Origin</t>
        </is>
      </c>
      <c r="C4302" t="inlineStr">
        <is>
          <t>SGS Germany GmbH, Emstek, DE</t>
        </is>
      </c>
      <c r="D4302" t="inlineStr">
        <is>
          <t>07.05.2027</t>
        </is>
      </c>
      <c r="E4302" t="inlineStr">
        <is>
          <t>Moldova</t>
        </is>
      </c>
    </row>
    <row r="4303">
      <c r="A4303" t="inlineStr">
        <is>
          <t>Celanese Performance Solutions Switzerland,  Sulzbach (Taunus), Germany</t>
        </is>
      </c>
      <c r="B4303" t="inlineStr">
        <is>
          <t>Trader with Storage</t>
        </is>
      </c>
      <c r="C4303" t="inlineStr">
        <is>
          <t>DIN CERTCO GmbH, Berlin, DE</t>
        </is>
      </c>
      <c r="D4303" t="inlineStr">
        <is>
          <t>07.05.2027</t>
        </is>
      </c>
      <c r="E4303" t="inlineStr">
        <is>
          <t>Germany</t>
        </is>
      </c>
    </row>
    <row r="4304">
      <c r="A4304" t="inlineStr">
        <is>
          <t>Vantage Corn Processors,  Cedar Rapids, United States</t>
        </is>
      </c>
      <c r="B4304" t="inlineStr">
        <is>
          <t>Point of Origin, Processing Unit, Trader with Storage</t>
        </is>
      </c>
      <c r="C4304" t="inlineStr">
        <is>
          <t>ASG Cert GmbH, Munich, DE</t>
        </is>
      </c>
      <c r="D4304" t="inlineStr">
        <is>
          <t>07.05.2027</t>
        </is>
      </c>
      <c r="E4304" t="inlineStr">
        <is>
          <t>United States</t>
        </is>
      </c>
    </row>
    <row r="4305">
      <c r="A4305" t="inlineStr">
        <is>
          <t>ALG Biogas,  Newtonstewart, Co.Tyrone, United Kingdom</t>
        </is>
      </c>
      <c r="B4305" t="inlineStr">
        <is>
          <t>Collecting Point, Processing Unit</t>
        </is>
      </c>
      <c r="C4305" t="inlineStr">
        <is>
          <t>Double Helix Tracking Technologies Pte Ltd, Singapore, SG</t>
        </is>
      </c>
      <c r="D4305" t="inlineStr">
        <is>
          <t>07.05.2027</t>
        </is>
      </c>
      <c r="E4305" t="inlineStr">
        <is>
          <t>United Kingdom</t>
        </is>
      </c>
    </row>
    <row r="4306">
      <c r="A4306" t="inlineStr">
        <is>
          <t>Morris Packaging,  Jefferson City, United States</t>
        </is>
      </c>
      <c r="B4306" t="inlineStr">
        <is>
          <t>Processing Unit</t>
        </is>
      </c>
      <c r="C4306" t="inlineStr">
        <is>
          <t>SCS Global Services, Emeryville, CA, US</t>
        </is>
      </c>
      <c r="D4306" t="inlineStr">
        <is>
          <t>07.05.2027</t>
        </is>
      </c>
      <c r="E4306" t="inlineStr">
        <is>
          <t>United States</t>
        </is>
      </c>
    </row>
    <row r="4307">
      <c r="A4307" t="inlineStr">
        <is>
          <t>Yongkang Senge Industry and Trade Co., Ltd.,  Yongkang City, Jinhua City, China</t>
        </is>
      </c>
      <c r="B4307" t="inlineStr">
        <is>
          <t>Processing Unit</t>
        </is>
      </c>
      <c r="C4307" t="inlineStr">
        <is>
          <t>Extensive Standard Technical Services Co., Ltd., Hong Kong, CN</t>
        </is>
      </c>
      <c r="D4307" t="inlineStr">
        <is>
          <t>07.05.2027</t>
        </is>
      </c>
      <c r="E4307" t="inlineStr">
        <is>
          <t>China</t>
        </is>
      </c>
    </row>
    <row r="4308">
      <c r="A4308" t="inlineStr">
        <is>
          <t>Shandong Haike Chemical Co.,Ltd.,  Dongying City, Shandong Province, China</t>
        </is>
      </c>
      <c r="B4308" t="inlineStr">
        <is>
          <t>Processing Unit, Trader with Storage</t>
        </is>
      </c>
      <c r="C4308" t="inlineStr">
        <is>
          <t>SCS Global Services, Emeryville, CA, US</t>
        </is>
      </c>
      <c r="D4308" t="inlineStr">
        <is>
          <t>07.05.2027</t>
        </is>
      </c>
      <c r="E4308" t="inlineStr">
        <is>
          <t>China</t>
        </is>
      </c>
    </row>
    <row r="4309">
      <c r="A4309" t="inlineStr">
        <is>
          <t>MFT Energy A/S,  Aarhus, Denmark</t>
        </is>
      </c>
      <c r="B4309" t="inlineStr">
        <is>
          <t>Trader</t>
        </is>
      </c>
      <c r="C4309" t="inlineStr">
        <is>
          <t>Baltic Control Certification, Albertslund, DK</t>
        </is>
      </c>
      <c r="D4309" t="inlineStr">
        <is>
          <t>07.05.2027</t>
        </is>
      </c>
      <c r="E4309" t="inlineStr">
        <is>
          <t>Denmark</t>
        </is>
      </c>
    </row>
    <row r="4310">
      <c r="A4310" t="inlineStr">
        <is>
          <t>Foresa Industrias Químicas Del Noroeste,  Vilagarcía de Arousa- Pontevedra, Spain</t>
        </is>
      </c>
      <c r="B4310" t="inlineStr">
        <is>
          <t>Trader with Storage, Warehouse</t>
        </is>
      </c>
      <c r="C4310" t="inlineStr">
        <is>
          <t>Amspec Iberia SL, Vilagarcia de Arousa-Pontevedra, ES</t>
        </is>
      </c>
      <c r="D4310" t="inlineStr">
        <is>
          <t>07.05.2027</t>
        </is>
      </c>
      <c r="E4310" t="inlineStr">
        <is>
          <t>Spain</t>
        </is>
      </c>
    </row>
    <row r="4311">
      <c r="A4311" t="inlineStr">
        <is>
          <t>GETEC ENERGIE GmbH,  Hannover, Germany</t>
        </is>
      </c>
      <c r="B4311" t="inlineStr">
        <is>
          <t>Trader, Proof of Compliance Trader</t>
        </is>
      </c>
      <c r="C4311" t="inlineStr">
        <is>
          <t>DEKRA Certification GmbH, Stuttgart, DE</t>
        </is>
      </c>
      <c r="D4311" t="inlineStr">
        <is>
          <t>07.05.2027</t>
        </is>
      </c>
      <c r="E4311" t="inlineStr">
        <is>
          <t>Germany</t>
        </is>
      </c>
    </row>
    <row r="4312">
      <c r="A4312" t="inlineStr">
        <is>
          <t>Archer Daniels Midland Company,  Marshall, United States</t>
        </is>
      </c>
      <c r="B4312" t="inlineStr">
        <is>
          <t>Processing Unit, Trader with Storage</t>
        </is>
      </c>
      <c r="C4312" t="inlineStr">
        <is>
          <t>ASG Cert GmbH, Munich, DE</t>
        </is>
      </c>
      <c r="D4312" t="inlineStr">
        <is>
          <t>07.05.2027</t>
        </is>
      </c>
      <c r="E4312" t="inlineStr">
        <is>
          <t>United States</t>
        </is>
      </c>
    </row>
    <row r="4313">
      <c r="A4313" t="inlineStr">
        <is>
          <t>ShenZhen YongFeng Eyewear Technology Co.,Ltd.,  Longgang District,Shenzhen City, China</t>
        </is>
      </c>
      <c r="B4313" t="inlineStr">
        <is>
          <t>Processing Unit</t>
        </is>
      </c>
      <c r="C4313" t="inlineStr">
        <is>
          <t>SCS Global Services, Emeryville, CA, US</t>
        </is>
      </c>
      <c r="D4313" t="inlineStr">
        <is>
          <t>07.05.2027</t>
        </is>
      </c>
      <c r="E4313" t="inlineStr">
        <is>
          <t>China</t>
        </is>
      </c>
    </row>
    <row r="4314">
      <c r="A4314" t="inlineStr">
        <is>
          <t>Archer Daniels Midland Company,  Marshall, United States</t>
        </is>
      </c>
      <c r="B4314" t="inlineStr">
        <is>
          <t>Point of Origin, Processing Unit, Trader with Storage</t>
        </is>
      </c>
      <c r="C4314" t="inlineStr">
        <is>
          <t>ASG Cert GmbH, Munich, DE</t>
        </is>
      </c>
      <c r="D4314" t="inlineStr">
        <is>
          <t>07.05.2027</t>
        </is>
      </c>
      <c r="E4314" t="inlineStr">
        <is>
          <t>United States</t>
        </is>
      </c>
    </row>
    <row r="4315">
      <c r="A4315" t="inlineStr">
        <is>
          <t>Lukra Slovakia s.r.o.,  Bratislava, Slovakia</t>
        </is>
      </c>
      <c r="B4315" t="inlineStr">
        <is>
          <t>First Gathering Point, Trader</t>
        </is>
      </c>
      <c r="C4315" t="inlineStr">
        <is>
          <t>United Registrar of Systems Polska Sp. z o.o., Wrocław, PL</t>
        </is>
      </c>
      <c r="D4315" t="inlineStr">
        <is>
          <t>07.05.2027</t>
        </is>
      </c>
      <c r="E4315" t="inlineStr">
        <is>
          <t>Slovakia</t>
        </is>
      </c>
    </row>
    <row r="4316">
      <c r="A4316" t="inlineStr">
        <is>
          <t>Archer Daniels Midland Company,  Decatur, United States</t>
        </is>
      </c>
      <c r="B4316" t="inlineStr">
        <is>
          <t>Point of Origin, Processing Unit, Trader with Storage</t>
        </is>
      </c>
      <c r="C4316" t="inlineStr">
        <is>
          <t>ASG Cert GmbH, Munich, DE</t>
        </is>
      </c>
      <c r="D4316" t="inlineStr">
        <is>
          <t>07.05.2027</t>
        </is>
      </c>
      <c r="E4316" t="inlineStr">
        <is>
          <t>United States</t>
        </is>
      </c>
    </row>
    <row r="4317">
      <c r="A4317" t="inlineStr">
        <is>
          <t>DRUZHBA-NOVA,  VARVA, Ukraine</t>
        </is>
      </c>
      <c r="B4317" t="inlineStr">
        <is>
          <t>Farm / Plantation, Trader with Storage</t>
        </is>
      </c>
      <c r="C4317" t="inlineStr">
        <is>
          <t>Bureau Veritas Polska Sp. z o.o., Warsaw, PL</t>
        </is>
      </c>
      <c r="D4317" t="inlineStr">
        <is>
          <t>07.05.2027</t>
        </is>
      </c>
      <c r="E4317" t="inlineStr">
        <is>
          <t>Ukraine</t>
        </is>
      </c>
    </row>
    <row r="4318">
      <c r="A4318" t="inlineStr">
        <is>
          <t>Bergen Bunkers AS,  Bergen, Norway</t>
        </is>
      </c>
      <c r="B4318" t="inlineStr">
        <is>
          <t>Trader</t>
        </is>
      </c>
      <c r="C4318" t="inlineStr">
        <is>
          <t>PT Intertek Utama Services, Jakarta, ID</t>
        </is>
      </c>
      <c r="D4318" t="inlineStr">
        <is>
          <t>07.05.2027</t>
        </is>
      </c>
      <c r="E4318" t="inlineStr">
        <is>
          <t>Norway</t>
        </is>
      </c>
    </row>
    <row r="4319">
      <c r="A4319" t="inlineStr">
        <is>
          <t>Morris Packaging,  Plymouth, United States</t>
        </is>
      </c>
      <c r="B4319" t="inlineStr">
        <is>
          <t>Processing Unit</t>
        </is>
      </c>
      <c r="C4319" t="inlineStr">
        <is>
          <t>SCS Global Services, Emeryville, CA, US</t>
        </is>
      </c>
      <c r="D4319" t="inlineStr">
        <is>
          <t>07.05.2027</t>
        </is>
      </c>
      <c r="E4319" t="inlineStr">
        <is>
          <t>United States</t>
        </is>
      </c>
    </row>
    <row r="4320">
      <c r="A4320" t="inlineStr">
        <is>
          <t>ENEOS (Shanghai) Corporation,  Shanghai, China</t>
        </is>
      </c>
      <c r="B4320" t="inlineStr">
        <is>
          <t>Trader</t>
        </is>
      </c>
      <c r="C4320" t="inlineStr">
        <is>
          <t>SCS Global Services, Emeryville, CA, US</t>
        </is>
      </c>
      <c r="D4320" t="inlineStr">
        <is>
          <t>07.05.2027</t>
        </is>
      </c>
      <c r="E4320" t="inlineStr">
        <is>
          <t>China</t>
        </is>
      </c>
    </row>
    <row r="4321">
      <c r="A4321" t="inlineStr">
        <is>
          <t>ENEOS (Shanghai) Corporation,  Shanghai, China</t>
        </is>
      </c>
      <c r="B4321" t="inlineStr">
        <is>
          <t>Trader</t>
        </is>
      </c>
      <c r="C4321" t="inlineStr">
        <is>
          <t>SCS Global Services, Emeryville, CA, US</t>
        </is>
      </c>
      <c r="D4321" t="inlineStr">
        <is>
          <t>07.05.2027</t>
        </is>
      </c>
      <c r="E4321" t="inlineStr">
        <is>
          <t>China</t>
        </is>
      </c>
    </row>
    <row r="4322">
      <c r="A4322" t="inlineStr">
        <is>
          <t>Zerza Das Grüne Gas,  Hermagor, Austria</t>
        </is>
      </c>
      <c r="B4322" t="inlineStr">
        <is>
          <t>Trader with Storage</t>
        </is>
      </c>
      <c r="C4322" t="inlineStr">
        <is>
          <t>agroVet GmbH, Enzersfeld, AT</t>
        </is>
      </c>
      <c r="D4322" t="inlineStr">
        <is>
          <t>07.05.2027</t>
        </is>
      </c>
      <c r="E4322" t="inlineStr">
        <is>
          <t>Austria</t>
        </is>
      </c>
    </row>
    <row r="4323">
      <c r="A4323" t="inlineStr">
        <is>
          <t>Excellence New Energy (Singapore) Pte. Ltd.,  Singapore, Singapore</t>
        </is>
      </c>
      <c r="B4323" t="inlineStr">
        <is>
          <t>Trader with Storage</t>
        </is>
      </c>
      <c r="C4323" t="inlineStr">
        <is>
          <t>TÜV NORD CERT GmbH, Essen, DE</t>
        </is>
      </c>
      <c r="D4323" t="inlineStr">
        <is>
          <t>07.05.2027</t>
        </is>
      </c>
      <c r="E4323" t="inlineStr">
        <is>
          <t>Singapore</t>
        </is>
      </c>
    </row>
    <row r="4324">
      <c r="A4324" t="inlineStr">
        <is>
          <t>Cepsa Gas Comercializadora,  MADRID, Spain</t>
        </is>
      </c>
      <c r="B4324" t="inlineStr">
        <is>
          <t>Trader</t>
        </is>
      </c>
      <c r="C4324" t="inlineStr">
        <is>
          <t>Control Union Poland Sp. z o.o., Zielona Gora, PL</t>
        </is>
      </c>
      <c r="D4324" t="inlineStr">
        <is>
          <t>07.05.2027</t>
        </is>
      </c>
      <c r="E4324" t="inlineStr">
        <is>
          <t>Spain</t>
        </is>
      </c>
    </row>
    <row r="4325">
      <c r="A4325" t="inlineStr">
        <is>
          <t>Borregaard AS,  Sarpsborg, Norway</t>
        </is>
      </c>
      <c r="B4325" t="inlineStr">
        <is>
          <t>Collecting Point, Point of Origin, Processing Unit</t>
        </is>
      </c>
      <c r="C4325" t="inlineStr">
        <is>
          <t>DNV Business Assurance Sweden AB, Solna, SE</t>
        </is>
      </c>
      <c r="D4325" t="inlineStr">
        <is>
          <t>07.05.2027</t>
        </is>
      </c>
      <c r="E4325" t="inlineStr">
        <is>
          <t>Norway</t>
        </is>
      </c>
    </row>
    <row r="4326">
      <c r="A4326" t="inlineStr">
        <is>
          <t>Oil Village Singapore Pte. Ltd.,  Singapore, Singapore</t>
        </is>
      </c>
      <c r="B4326" t="inlineStr">
        <is>
          <t>Collecting Point, Trader with Storage</t>
        </is>
      </c>
      <c r="C4326" t="inlineStr">
        <is>
          <t>PT SBC Asia Sertifikasi, Kebumen, ID</t>
        </is>
      </c>
      <c r="D4326" t="inlineStr">
        <is>
          <t>07.05.2027</t>
        </is>
      </c>
      <c r="E4326" t="inlineStr">
        <is>
          <t>Singapore</t>
        </is>
      </c>
    </row>
    <row r="4327">
      <c r="A4327" t="inlineStr">
        <is>
          <t>AASTAR Trading Pte. Ltd,  Singapore, Singapore</t>
        </is>
      </c>
      <c r="B4327" t="inlineStr">
        <is>
          <t>Trader</t>
        </is>
      </c>
      <c r="C4327" t="inlineStr">
        <is>
          <t>PT SBC Asia Sertifikasi, Kebumen, ID</t>
        </is>
      </c>
      <c r="D4327" t="inlineStr">
        <is>
          <t>07.05.2027</t>
        </is>
      </c>
      <c r="E4327" t="inlineStr">
        <is>
          <t>Singapore</t>
        </is>
      </c>
    </row>
    <row r="4328">
      <c r="A4328" t="inlineStr">
        <is>
          <t>Shandong Haike Chemical Co.,Ltd.,  Dongying City, Shandong Province, China</t>
        </is>
      </c>
      <c r="B4328" t="inlineStr">
        <is>
          <t>Processing Unit, Trader with Storage</t>
        </is>
      </c>
      <c r="C4328" t="inlineStr">
        <is>
          <t>SCS Global Services, Emeryville, CA, US</t>
        </is>
      </c>
      <c r="D4328" t="inlineStr">
        <is>
          <t>07.05.2027</t>
        </is>
      </c>
      <c r="E4328" t="inlineStr">
        <is>
          <t>China</t>
        </is>
      </c>
    </row>
    <row r="4329">
      <c r="A4329" t="inlineStr">
        <is>
          <t>Shandong Haike Chemical Co.,Ltd.,  Dongying City, Shandong Province, China</t>
        </is>
      </c>
      <c r="B4329" t="inlineStr">
        <is>
          <t>Processing Unit, Trader with Storage</t>
        </is>
      </c>
      <c r="C4329" t="inlineStr">
        <is>
          <t>SCS Global Services, Emeryville, CA, US</t>
        </is>
      </c>
      <c r="D4329" t="inlineStr">
        <is>
          <t>07.05.2027</t>
        </is>
      </c>
      <c r="E4329" t="inlineStr">
        <is>
          <t>China</t>
        </is>
      </c>
    </row>
    <row r="4330">
      <c r="A4330" t="inlineStr">
        <is>
          <t>Archer Daniels Midland Company,  Cedar Rapids, United States</t>
        </is>
      </c>
      <c r="B4330" t="inlineStr">
        <is>
          <t>Processing Unit, Trader with Storage</t>
        </is>
      </c>
      <c r="C4330" t="inlineStr">
        <is>
          <t>ASG Cert GmbH, Munich, DE</t>
        </is>
      </c>
      <c r="D4330" t="inlineStr">
        <is>
          <t>07.05.2027</t>
        </is>
      </c>
      <c r="E4330" t="inlineStr">
        <is>
          <t>United States</t>
        </is>
      </c>
    </row>
    <row r="4331">
      <c r="A4331" t="inlineStr">
        <is>
          <t>New Dimension Plastic s.r.l.,  NOCERA INFERIORE, Italy</t>
        </is>
      </c>
      <c r="B4331" t="inlineStr">
        <is>
          <t>Processing Unit</t>
        </is>
      </c>
      <c r="C4331" t="inlineStr">
        <is>
          <t>IIP S.r.l., Monza, IT</t>
        </is>
      </c>
      <c r="D4331" t="inlineStr">
        <is>
          <t>07.05.2027</t>
        </is>
      </c>
      <c r="E4331" t="inlineStr">
        <is>
          <t>Italy</t>
        </is>
      </c>
    </row>
    <row r="4332">
      <c r="A4332" t="inlineStr">
        <is>
          <t>Archer Daniels Midland Company,  Cedar Rapids, United States</t>
        </is>
      </c>
      <c r="B4332" t="inlineStr">
        <is>
          <t>Point of Origin, Processing Unit, Trader with Storage</t>
        </is>
      </c>
      <c r="C4332" t="inlineStr">
        <is>
          <t>ASG Cert GmbH, Munich, DE</t>
        </is>
      </c>
      <c r="D4332" t="inlineStr">
        <is>
          <t>07.05.2027</t>
        </is>
      </c>
      <c r="E4332" t="inlineStr">
        <is>
          <t>United States</t>
        </is>
      </c>
    </row>
    <row r="4333">
      <c r="A4333" t="inlineStr">
        <is>
          <t>Zeon Chemicals Limited Partnership,  Louisville, United States</t>
        </is>
      </c>
      <c r="B4333" t="inlineStr">
        <is>
          <t>Trader with Storage</t>
        </is>
      </c>
      <c r="C4333" t="inlineStr">
        <is>
          <t>SCS Global Services, Emeryville, CA, US</t>
        </is>
      </c>
      <c r="D4333" t="inlineStr">
        <is>
          <t>07.05.2027</t>
        </is>
      </c>
      <c r="E4333" t="inlineStr">
        <is>
          <t>United States</t>
        </is>
      </c>
    </row>
    <row r="4334">
      <c r="A4334" t="inlineStr">
        <is>
          <t>MEROIL TANK S.L.,  Barcelona, Spain</t>
        </is>
      </c>
      <c r="B4334" t="inlineStr">
        <is>
          <t>Warehouse</t>
        </is>
      </c>
      <c r="C4334" t="inlineStr">
        <is>
          <t>Bureau Veritas Polska Sp. z o.o., Warsaw, PL</t>
        </is>
      </c>
      <c r="D4334" t="inlineStr">
        <is>
          <t>07.05.2027</t>
        </is>
      </c>
      <c r="E4334" t="inlineStr">
        <is>
          <t>Spain</t>
        </is>
      </c>
    </row>
    <row r="4335">
      <c r="A4335" t="inlineStr">
        <is>
          <t>Bergen Bunkers AS,  Bergen, Norway</t>
        </is>
      </c>
      <c r="B4335" t="inlineStr">
        <is>
          <t>Trader, Proof of Compliance Trader</t>
        </is>
      </c>
      <c r="C4335" t="inlineStr">
        <is>
          <t>PT Intertek Utama Services, Jakarta, ID</t>
        </is>
      </c>
      <c r="D4335" t="inlineStr">
        <is>
          <t>07.05.2027</t>
        </is>
      </c>
      <c r="E4335" t="inlineStr">
        <is>
          <t>Norway</t>
        </is>
      </c>
    </row>
    <row r="4336">
      <c r="A4336" t="inlineStr">
        <is>
          <t>Borregaard AS,  Sarpsborg, Norway</t>
        </is>
      </c>
      <c r="B4336" t="inlineStr">
        <is>
          <t>Collecting Point, Point of Origin, Processing Unit</t>
        </is>
      </c>
      <c r="C4336" t="inlineStr">
        <is>
          <t>DNV Business Assurance Sweden AB, Solna, SE</t>
        </is>
      </c>
      <c r="D4336" t="inlineStr">
        <is>
          <t>07.05.2027</t>
        </is>
      </c>
      <c r="E4336" t="inlineStr">
        <is>
          <t>Norway</t>
        </is>
      </c>
    </row>
    <row r="4337">
      <c r="A4337" t="inlineStr">
        <is>
          <t>NUNCHI MARINE PTE LTD,  Singapore, Singapore</t>
        </is>
      </c>
      <c r="B4337" t="inlineStr">
        <is>
          <t>Trader</t>
        </is>
      </c>
      <c r="C4337" t="inlineStr">
        <is>
          <t>PT Intertek Utama Services, Jakarta, ID</t>
        </is>
      </c>
      <c r="D4337" t="inlineStr">
        <is>
          <t>07.05.2027</t>
        </is>
      </c>
      <c r="E4337" t="inlineStr">
        <is>
          <t>Singapore</t>
        </is>
      </c>
    </row>
    <row r="4338">
      <c r="A4338" t="inlineStr">
        <is>
          <t>NUNCHI MARINE PTE LTD,  Singapore, Singapore</t>
        </is>
      </c>
      <c r="B4338" t="inlineStr">
        <is>
          <t>Trader</t>
        </is>
      </c>
      <c r="C4338" t="inlineStr">
        <is>
          <t>PT Intertek Utama Services, Jakarta, ID</t>
        </is>
      </c>
      <c r="D4338" t="inlineStr">
        <is>
          <t>07.05.2027</t>
        </is>
      </c>
      <c r="E4338" t="inlineStr">
        <is>
          <t>Singapore</t>
        </is>
      </c>
    </row>
    <row r="4339">
      <c r="A4339" t="inlineStr">
        <is>
          <t>Daiki Axis Sustainable Power Co., Ltd,  Matsuyama, Japan</t>
        </is>
      </c>
      <c r="B4339" t="inlineStr">
        <is>
          <t>Collecting Point</t>
        </is>
      </c>
      <c r="C4339" t="inlineStr">
        <is>
          <t>PT TUV Rheinland Indonesia, Jakarta, ID</t>
        </is>
      </c>
      <c r="D4339" t="inlineStr">
        <is>
          <t>07.05.2027</t>
        </is>
      </c>
      <c r="E4339" t="inlineStr">
        <is>
          <t>Japan</t>
        </is>
      </c>
    </row>
    <row r="4340">
      <c r="A4340" t="inlineStr">
        <is>
          <t>Shenzhen Thermal Plastic Composite Technology CO., Ltd,  ShenZhen, China</t>
        </is>
      </c>
      <c r="B4340" t="inlineStr">
        <is>
          <t>Trader with Storage</t>
        </is>
      </c>
      <c r="C4340" t="inlineStr">
        <is>
          <t>DIN CERTCO GmbH, Berlin, DE</t>
        </is>
      </c>
      <c r="D4340" t="inlineStr">
        <is>
          <t>07.05.2027</t>
        </is>
      </c>
      <c r="E4340" t="inlineStr">
        <is>
          <t>China</t>
        </is>
      </c>
    </row>
    <row r="4341">
      <c r="A4341" t="inlineStr">
        <is>
          <t>Oxyde Chemicals Europe bv,  Antwerpen, Belgium</t>
        </is>
      </c>
      <c r="B4341" t="inlineStr">
        <is>
          <t>Trader</t>
        </is>
      </c>
      <c r="C4341" t="inlineStr">
        <is>
          <t>SGS Germany GmbH, Emstek, DE</t>
        </is>
      </c>
      <c r="D4341" t="inlineStr">
        <is>
          <t>07.05.2027</t>
        </is>
      </c>
      <c r="E4341" t="inlineStr">
        <is>
          <t>Belgium</t>
        </is>
      </c>
    </row>
    <row r="4342">
      <c r="A4342" t="inlineStr">
        <is>
          <t>Scientex Great Wall (Klang),  Klang, Malaysia</t>
        </is>
      </c>
      <c r="B4342" t="inlineStr">
        <is>
          <t>Point of Origin, Processing Unit</t>
        </is>
      </c>
      <c r="C4342" t="inlineStr">
        <is>
          <t>SGS Germany GmbH, Emstek, DE</t>
        </is>
      </c>
      <c r="D4342" t="inlineStr">
        <is>
          <t>07.05.2027</t>
        </is>
      </c>
      <c r="E4342" t="inlineStr">
        <is>
          <t>Malaysia</t>
        </is>
      </c>
    </row>
    <row r="4343">
      <c r="A4343" t="inlineStr">
        <is>
          <t>JINNENG CHEMICAL (QINGDAO) CO., LTD,  QINGDAO, China</t>
        </is>
      </c>
      <c r="B4343" t="inlineStr">
        <is>
          <t>Processing Unit</t>
        </is>
      </c>
      <c r="C4343" t="inlineStr">
        <is>
          <t>SGS Germany GmbH, Emstek, DE</t>
        </is>
      </c>
      <c r="D4343" t="inlineStr">
        <is>
          <t>07.05.2027</t>
        </is>
      </c>
      <c r="E4343" t="inlineStr">
        <is>
          <t>China</t>
        </is>
      </c>
    </row>
    <row r="4344">
      <c r="A4344" t="inlineStr">
        <is>
          <t>Toray International (China) Co., Ltd.,  Shanghai, China</t>
        </is>
      </c>
      <c r="B4344" t="inlineStr">
        <is>
          <t>Trader with Storage</t>
        </is>
      </c>
      <c r="C4344" t="inlineStr">
        <is>
          <t>PT Intertek Utama Services, Jakarta, ID</t>
        </is>
      </c>
      <c r="D4344" t="inlineStr">
        <is>
          <t>07.05.2027</t>
        </is>
      </c>
      <c r="E4344" t="inlineStr">
        <is>
          <t>China</t>
        </is>
      </c>
    </row>
    <row r="4345">
      <c r="A4345" t="inlineStr">
        <is>
          <t>PT Intibenua Perkasatama,  Dumai, Indonesia</t>
        </is>
      </c>
      <c r="B4345" t="inlineStr">
        <is>
          <t>Point of Origin, Processing Unit, Trader with Storage, Warehouse</t>
        </is>
      </c>
      <c r="C4345" t="inlineStr">
        <is>
          <t>Control Union Certifications Germany GmbH, Berlin, DE</t>
        </is>
      </c>
      <c r="D4345" t="inlineStr">
        <is>
          <t>07.05.2027</t>
        </is>
      </c>
      <c r="E4345" t="inlineStr">
        <is>
          <t>Indonesia</t>
        </is>
      </c>
    </row>
    <row r="4346">
      <c r="A4346" t="inlineStr">
        <is>
          <t>Plastuni Normandie SAS,  Hautot-sur-Mer, France</t>
        </is>
      </c>
      <c r="B4346" t="inlineStr">
        <is>
          <t>Final Product Refinement, Processing Unit</t>
        </is>
      </c>
      <c r="C4346" t="inlineStr">
        <is>
          <t>SGS Germany GmbH, Emstek, DE</t>
        </is>
      </c>
      <c r="D4346" t="inlineStr">
        <is>
          <t>07.05.2027</t>
        </is>
      </c>
      <c r="E4346" t="inlineStr">
        <is>
          <t>France</t>
        </is>
      </c>
    </row>
    <row r="4347">
      <c r="A4347" t="inlineStr">
        <is>
          <t>Masdar Alttaqa Aljadida Almutamayyiza Company,  Jeddah, Saudi Arabia</t>
        </is>
      </c>
      <c r="B4347" t="inlineStr">
        <is>
          <t>Collecting Point, Trader with Storage</t>
        </is>
      </c>
      <c r="C4347" t="inlineStr">
        <is>
          <t>PT Mutuagung Lestari, Depok, ID</t>
        </is>
      </c>
      <c r="D4347" t="inlineStr">
        <is>
          <t>07.05.2027</t>
        </is>
      </c>
      <c r="E4347" t="inlineStr">
        <is>
          <t>Saudi Arabia</t>
        </is>
      </c>
    </row>
    <row r="4348">
      <c r="A4348" t="inlineStr">
        <is>
          <t>Emsland-Stärke,  Golßen, Germany</t>
        </is>
      </c>
      <c r="B4348" t="inlineStr">
        <is>
          <t>First Gathering Point, Processing Unit</t>
        </is>
      </c>
      <c r="C4348" t="inlineStr">
        <is>
          <t>SGS Germany GmbH, Emstek, DE</t>
        </is>
      </c>
      <c r="D4348" t="inlineStr">
        <is>
          <t>07.05.2027</t>
        </is>
      </c>
      <c r="E4348" t="inlineStr">
        <is>
          <t>Germany</t>
        </is>
      </c>
    </row>
    <row r="4349">
      <c r="A4349" t="inlineStr">
        <is>
          <t>BIG Floorcoverings NV,  Zalec, Slovenia</t>
        </is>
      </c>
      <c r="B4349" t="inlineStr">
        <is>
          <t>Processing Unit</t>
        </is>
      </c>
      <c r="C4349" t="inlineStr">
        <is>
          <t>Control Union Certifications Germany GmbH, Berlin, DE</t>
        </is>
      </c>
      <c r="D4349" t="inlineStr">
        <is>
          <t>07.05.2027</t>
        </is>
      </c>
      <c r="E4349" t="inlineStr">
        <is>
          <t>Slovenia</t>
        </is>
      </c>
    </row>
    <row r="4350">
      <c r="A4350" t="inlineStr">
        <is>
          <t>PT Alpine Resources Commodities - Waste Treatment Plant,  Medan Labuhan, Kota Medan, Indonesia</t>
        </is>
      </c>
      <c r="B4350" t="inlineStr">
        <is>
          <t>Processing Unit</t>
        </is>
      </c>
      <c r="C4350" t="inlineStr">
        <is>
          <t>BM Certification, Riga, LV</t>
        </is>
      </c>
      <c r="D4350" t="inlineStr">
        <is>
          <t>07.05.2027</t>
        </is>
      </c>
      <c r="E4350" t="inlineStr">
        <is>
          <t>Indonesia</t>
        </is>
      </c>
    </row>
    <row r="4351">
      <c r="A4351" t="inlineStr">
        <is>
          <t>DALEGIP MEXICO S de R.L. de C.V.,  Queretaro, San Juan, Mexico</t>
        </is>
      </c>
      <c r="B4351" t="inlineStr">
        <is>
          <t>Processing Unit, Trader with Storage</t>
        </is>
      </c>
      <c r="C4351" t="inlineStr">
        <is>
          <t>Amspec Iberia SL, Vilagarcia de Arousa-Pontevedra, ES</t>
        </is>
      </c>
      <c r="D4351" t="inlineStr">
        <is>
          <t>07.05.2027</t>
        </is>
      </c>
      <c r="E4351" t="inlineStr">
        <is>
          <t>Mexico</t>
        </is>
      </c>
    </row>
    <row r="4352">
      <c r="A4352" t="inlineStr">
        <is>
          <t>Dow Europe GmbH,  Lauterbourg, France</t>
        </is>
      </c>
      <c r="B4352" t="inlineStr">
        <is>
          <t>Processing Unit, Trader with Storage, Warehouse</t>
        </is>
      </c>
      <c r="C4352" t="inlineStr">
        <is>
          <t>SGS Germany GmbH, Emstek, DE</t>
        </is>
      </c>
      <c r="D4352" t="inlineStr">
        <is>
          <t>07.05.2027</t>
        </is>
      </c>
      <c r="E4352" t="inlineStr">
        <is>
          <t>France</t>
        </is>
      </c>
    </row>
    <row r="4353">
      <c r="A4353" t="inlineStr">
        <is>
          <t>KINTAS LIMITED,  Nicosia, Cyprus</t>
        </is>
      </c>
      <c r="B4353" t="inlineStr">
        <is>
          <t>First Gathering Point, Trader</t>
        </is>
      </c>
      <c r="C4353" t="inlineStr">
        <is>
          <t>Bureau Veritas Polska Sp. z o.o., Warsaw, PL</t>
        </is>
      </c>
      <c r="D4353" t="inlineStr">
        <is>
          <t>07.05.2027</t>
        </is>
      </c>
      <c r="E4353" t="inlineStr">
        <is>
          <t>Cyprus</t>
        </is>
      </c>
    </row>
    <row r="4354">
      <c r="A4354" t="inlineStr">
        <is>
          <t>KINTAS LIMITED,  Nicosia, Cyprus</t>
        </is>
      </c>
      <c r="B4354" t="inlineStr">
        <is>
          <t>Trader, First Gathering Point</t>
        </is>
      </c>
      <c r="C4354" t="inlineStr">
        <is>
          <t>Bureau Veritas Polska Sp. z o.o., Warsaw, PL</t>
        </is>
      </c>
      <c r="D4354" t="inlineStr">
        <is>
          <t>07.05.2027</t>
        </is>
      </c>
      <c r="E4354" t="inlineStr">
        <is>
          <t>Cyprus</t>
        </is>
      </c>
    </row>
    <row r="4355">
      <c r="A4355" t="inlineStr">
        <is>
          <t>Warden Agri Ltd,  Partney, The United Kingdom</t>
        </is>
      </c>
      <c r="B4355" t="inlineStr">
        <is>
          <t>Collecting Point, Trader</t>
        </is>
      </c>
      <c r="C4355" t="inlineStr">
        <is>
          <t>SGS Germany GmbH, Emstek, DE</t>
        </is>
      </c>
      <c r="D4355" t="inlineStr">
        <is>
          <t>07.05.2027</t>
        </is>
      </c>
      <c r="E4355" t="inlineStr">
        <is>
          <t>The United Kingdom</t>
        </is>
      </c>
    </row>
    <row r="4356">
      <c r="A4356" t="inlineStr">
        <is>
          <t>GARMA GRUP,  Firladeni, Hincesti District, Moldova</t>
        </is>
      </c>
      <c r="B4356" t="inlineStr">
        <is>
          <t>First Gathering Point, Processing Unit, Trader with Storage</t>
        </is>
      </c>
      <c r="C4356" t="inlineStr">
        <is>
          <t>SGS Germany GmbH, Emstek, DE</t>
        </is>
      </c>
      <c r="D4356" t="inlineStr">
        <is>
          <t>07.05.2027</t>
        </is>
      </c>
      <c r="E4356" t="inlineStr">
        <is>
          <t>Moldova</t>
        </is>
      </c>
    </row>
    <row r="4357">
      <c r="A4357" t="inlineStr">
        <is>
          <t>My Green,  Matino, Italy</t>
        </is>
      </c>
      <c r="B4357" t="inlineStr">
        <is>
          <t>Collecting Point, Trader with Storage</t>
        </is>
      </c>
      <c r="C4357" t="inlineStr">
        <is>
          <t>SGS Germany GmbH, Emstek, DE</t>
        </is>
      </c>
      <c r="D4357" t="inlineStr">
        <is>
          <t>06.05.2027</t>
        </is>
      </c>
      <c r="E4357" t="inlineStr">
        <is>
          <t>Italy</t>
        </is>
      </c>
    </row>
    <row r="4358">
      <c r="A4358" t="inlineStr">
        <is>
          <t>Greenergy USA Inc.,  Houston, United States</t>
        </is>
      </c>
      <c r="B4358" t="inlineStr">
        <is>
          <t>Trader</t>
        </is>
      </c>
      <c r="C4358" t="inlineStr">
        <is>
          <t>Control Union Poland Sp. z o.o., Zielona Gora, PL</t>
        </is>
      </c>
      <c r="D4358" t="inlineStr">
        <is>
          <t>06.05.2027</t>
        </is>
      </c>
      <c r="E4358" t="inlineStr">
        <is>
          <t>United States</t>
        </is>
      </c>
    </row>
    <row r="4359">
      <c r="A4359" t="inlineStr">
        <is>
          <t>Biomethane CE Trading Kft.,  Budapest, Hungary</t>
        </is>
      </c>
      <c r="B4359" t="inlineStr">
        <is>
          <t>Trader</t>
        </is>
      </c>
      <c r="C4359" t="inlineStr">
        <is>
          <t>GUT Certifizierungsgesellschaft für Managementsysteme mbH Umweltgutachter, Berlin, DE</t>
        </is>
      </c>
      <c r="D4359" t="inlineStr">
        <is>
          <t>06.05.2027</t>
        </is>
      </c>
      <c r="E4359" t="inlineStr">
        <is>
          <t>Hungary</t>
        </is>
      </c>
    </row>
    <row r="4360">
      <c r="A4360" t="inlineStr">
        <is>
          <t>PT. Binakarya Eramandiri,  Sumatera Selatan, Indonesia</t>
        </is>
      </c>
      <c r="B4360" t="inlineStr">
        <is>
          <t>Point of Origin</t>
        </is>
      </c>
      <c r="C4360" t="inlineStr">
        <is>
          <t>PT. Qualitas Sertifikasi Indonesia, Jakarta, ID</t>
        </is>
      </c>
      <c r="D4360" t="inlineStr">
        <is>
          <t>06.05.2027</t>
        </is>
      </c>
      <c r="E4360" t="inlineStr">
        <is>
          <t>Indonesia</t>
        </is>
      </c>
    </row>
    <row r="4361">
      <c r="A4361" t="inlineStr">
        <is>
          <t>PT Agrowiratama,  Kabupaten Pasaman Barat, Provinsi Sumatera Barat, Indonesia</t>
        </is>
      </c>
      <c r="B4361" t="inlineStr">
        <is>
          <t>Farm / Plantation</t>
        </is>
      </c>
      <c r="C4361" t="inlineStr">
        <is>
          <t>Control Union Certifications Germany GmbH, Berlin, DE</t>
        </is>
      </c>
      <c r="D4361" t="inlineStr">
        <is>
          <t>06.05.2027</t>
        </is>
      </c>
      <c r="E4361" t="inlineStr">
        <is>
          <t>Indonesia</t>
        </is>
      </c>
    </row>
    <row r="4362">
      <c r="A4362" t="inlineStr">
        <is>
          <t>OQ Value B.V.,  Sas van Gent, Netherlands</t>
        </is>
      </c>
      <c r="B4362" t="inlineStr">
        <is>
          <t>Trader</t>
        </is>
      </c>
      <c r="C4362" t="inlineStr">
        <is>
          <t>Normec QS BV, Ede, NL</t>
        </is>
      </c>
      <c r="D4362" t="inlineStr">
        <is>
          <t>06.05.2027</t>
        </is>
      </c>
      <c r="E4362" t="inlineStr">
        <is>
          <t>Netherlands</t>
        </is>
      </c>
    </row>
    <row r="4363">
      <c r="A4363" t="inlineStr">
        <is>
          <t>Cartaform,  Quinto Vicentino, Italy</t>
        </is>
      </c>
      <c r="B4363" t="inlineStr">
        <is>
          <t>Processing Unit</t>
        </is>
      </c>
      <c r="C4363" t="inlineStr">
        <is>
          <t>DNV Business Assurance Sweden AB, Solna, SE</t>
        </is>
      </c>
      <c r="D4363" t="inlineStr">
        <is>
          <t>06.05.2027</t>
        </is>
      </c>
      <c r="E4363" t="inlineStr">
        <is>
          <t>Italy</t>
        </is>
      </c>
    </row>
    <row r="4364">
      <c r="A4364" t="inlineStr">
        <is>
          <t>EMS-CHEMIE (Produktion),  Domat/Ems, Switzerland</t>
        </is>
      </c>
      <c r="B4364" t="inlineStr">
        <is>
          <t>Processing Unit</t>
        </is>
      </c>
      <c r="C4364" t="inlineStr">
        <is>
          <t>TÜV SÜD Industrie Service GmbH, München, DE</t>
        </is>
      </c>
      <c r="D4364" t="inlineStr">
        <is>
          <t>06.05.2027</t>
        </is>
      </c>
      <c r="E4364" t="inlineStr">
        <is>
          <t>Switzerland</t>
        </is>
      </c>
    </row>
    <row r="4365">
      <c r="A4365" t="inlineStr">
        <is>
          <t>Meroil S.A.,  Barcelona, Spain</t>
        </is>
      </c>
      <c r="B4365" t="inlineStr">
        <is>
          <t>Trader with Storage, Warehouse</t>
        </is>
      </c>
      <c r="C4365" t="inlineStr">
        <is>
          <t>Bureau Veritas Polska Sp. z o.o., Warsaw, PL</t>
        </is>
      </c>
      <c r="D4365" t="inlineStr">
        <is>
          <t>06.05.2027</t>
        </is>
      </c>
      <c r="E4365" t="inlineStr">
        <is>
          <t>Spain</t>
        </is>
      </c>
    </row>
    <row r="4366">
      <c r="A4366" t="inlineStr">
        <is>
          <t>Resource Recovery France,  Dieuze, France</t>
        </is>
      </c>
      <c r="B4366" t="inlineStr">
        <is>
          <t>Collecting Point, Processing Unit</t>
        </is>
      </c>
      <c r="C4366" t="inlineStr">
        <is>
          <t>Control Union Certifications Germany GmbH, Berlin, DE</t>
        </is>
      </c>
      <c r="D4366" t="inlineStr">
        <is>
          <t>06.05.2027</t>
        </is>
      </c>
      <c r="E4366" t="inlineStr">
        <is>
          <t>France</t>
        </is>
      </c>
    </row>
    <row r="4367">
      <c r="A4367" t="inlineStr">
        <is>
          <t>Wega Fuels Oy,  Espoo, Finland</t>
        </is>
      </c>
      <c r="B4367" t="inlineStr">
        <is>
          <t>Trader</t>
        </is>
      </c>
      <c r="C4367" t="inlineStr">
        <is>
          <t>NCS Estonia OÜ, Tallinn, EE</t>
        </is>
      </c>
      <c r="D4367" t="inlineStr">
        <is>
          <t>06.05.2027</t>
        </is>
      </c>
      <c r="E4367" t="inlineStr">
        <is>
          <t>Finland</t>
        </is>
      </c>
    </row>
    <row r="4368">
      <c r="A4368" t="inlineStr">
        <is>
          <t>TROCELLEN ITALIA,  Caponago, Italy</t>
        </is>
      </c>
      <c r="B4368" t="inlineStr">
        <is>
          <t>Processing Unit</t>
        </is>
      </c>
      <c r="C4368" t="inlineStr">
        <is>
          <t>IIP S.r.l., Monza, IT</t>
        </is>
      </c>
      <c r="D4368" t="inlineStr">
        <is>
          <t>06.05.2027</t>
        </is>
      </c>
      <c r="E4368" t="inlineStr">
        <is>
          <t>Italy</t>
        </is>
      </c>
    </row>
    <row r="4369">
      <c r="A4369" t="inlineStr">
        <is>
          <t>Silvermix s.r.o.,  Praha Zbraslav, Czech Republic</t>
        </is>
      </c>
      <c r="B4369" t="inlineStr">
        <is>
          <t>First Gathering Point, Trader with Storage</t>
        </is>
      </c>
      <c r="C4369" t="inlineStr">
        <is>
          <t>United Registrar of Systems Polska Sp. z o.o., Wrocław, PL</t>
        </is>
      </c>
      <c r="D4369" t="inlineStr">
        <is>
          <t>06.05.2027</t>
        </is>
      </c>
      <c r="E4369" t="inlineStr">
        <is>
          <t>Czech Republic</t>
        </is>
      </c>
    </row>
    <row r="4370">
      <c r="A4370" t="inlineStr">
        <is>
          <t>PT. Megah Hijau Lestari,  Kalimantan Timur, Indonesia</t>
        </is>
      </c>
      <c r="B4370" t="inlineStr">
        <is>
          <t>Point of Origin</t>
        </is>
      </c>
      <c r="C4370" t="inlineStr">
        <is>
          <t>PT. Qualitas Sertifikasi Indonesia, Jakarta, ID</t>
        </is>
      </c>
      <c r="D4370" t="inlineStr">
        <is>
          <t>06.05.2027</t>
        </is>
      </c>
      <c r="E4370" t="inlineStr">
        <is>
          <t>Indonesia</t>
        </is>
      </c>
    </row>
    <row r="4371">
      <c r="A4371" t="inlineStr">
        <is>
          <t>LG Chem,  Pyeongtaek-si, South Korea</t>
        </is>
      </c>
      <c r="B4371" t="inlineStr">
        <is>
          <t>Processing Unit</t>
        </is>
      </c>
      <c r="C4371" t="inlineStr">
        <is>
          <t>Control Union Certifications Germany GmbH, Berlin, DE</t>
        </is>
      </c>
      <c r="D4371" t="inlineStr">
        <is>
          <t>06.05.2027</t>
        </is>
      </c>
      <c r="E4371" t="inlineStr">
        <is>
          <t>South Korea</t>
        </is>
      </c>
    </row>
    <row r="4372">
      <c r="A4372" t="inlineStr">
        <is>
          <t>ESERCIZIO ITALIA SRL,  RAVENNA, Italy</t>
        </is>
      </c>
      <c r="B4372" t="inlineStr">
        <is>
          <t>Trader with Storage</t>
        </is>
      </c>
      <c r="C4372" t="inlineStr">
        <is>
          <t>SGS Germany GmbH, Emstek, DE</t>
        </is>
      </c>
      <c r="D4372" t="inlineStr">
        <is>
          <t>06.05.2027</t>
        </is>
      </c>
      <c r="E4372" t="inlineStr">
        <is>
          <t>Italy</t>
        </is>
      </c>
    </row>
    <row r="4373">
      <c r="A4373" t="inlineStr">
        <is>
          <t>New Prosperity Optical Mfy Ltd,  Chang An Town, DongGuan City, GuangDong Province, China</t>
        </is>
      </c>
      <c r="B4373" t="inlineStr">
        <is>
          <t>Final Product Refinement, Processing Unit, Trader with Storage</t>
        </is>
      </c>
      <c r="C4373" t="inlineStr">
        <is>
          <t>SGS Germany GmbH, Emstek, DE</t>
        </is>
      </c>
      <c r="D4373" t="inlineStr">
        <is>
          <t>06.05.2027</t>
        </is>
      </c>
      <c r="E4373" t="inlineStr">
        <is>
          <t>China</t>
        </is>
      </c>
    </row>
    <row r="4374">
      <c r="A4374" t="inlineStr">
        <is>
          <t>Lielmezotne,  Mezotne, Latvia</t>
        </is>
      </c>
      <c r="B4374" t="inlineStr">
        <is>
          <t>Collecting Point, Point of Origin, Processing Unit</t>
        </is>
      </c>
      <c r="C4374" t="inlineStr">
        <is>
          <t>BM Certification, Riga, LV</t>
        </is>
      </c>
      <c r="D4374" t="inlineStr">
        <is>
          <t>06.05.2027</t>
        </is>
      </c>
      <c r="E4374" t="inlineStr">
        <is>
          <t>Latvia</t>
        </is>
      </c>
    </row>
    <row r="4375">
      <c r="A4375" t="inlineStr">
        <is>
          <t>PT Fortius Agro Asia,  Aliantan Village, Kabun District, Rokan Hulu-Riau, Indonesia</t>
        </is>
      </c>
      <c r="B4375" t="inlineStr">
        <is>
          <t>Point of Origin, Processing Unit</t>
        </is>
      </c>
      <c r="C4375" t="inlineStr">
        <is>
          <t>SGS Germany GmbH, Emstek, DE</t>
        </is>
      </c>
      <c r="D4375" t="inlineStr">
        <is>
          <t>06.05.2027</t>
        </is>
      </c>
      <c r="E4375" t="inlineStr">
        <is>
          <t>Indonesia</t>
        </is>
      </c>
    </row>
    <row r="4376">
      <c r="A4376" t="inlineStr">
        <is>
          <t>PT Fortius Agro Asia,  Aliantan Village, Kabun District, Rokan Hulu-Riau, Indonesia</t>
        </is>
      </c>
      <c r="B4376" t="inlineStr">
        <is>
          <t>Point of Origin</t>
        </is>
      </c>
      <c r="C4376" t="inlineStr">
        <is>
          <t>SGS Germany GmbH, Emstek, DE</t>
        </is>
      </c>
      <c r="D4376" t="inlineStr">
        <is>
          <t>06.05.2027</t>
        </is>
      </c>
      <c r="E4376" t="inlineStr">
        <is>
          <t>Indonesia</t>
        </is>
      </c>
    </row>
    <row r="4377">
      <c r="A4377" t="inlineStr">
        <is>
          <t>Huhtamaki AG,  Dubai, United Arab Emirates</t>
        </is>
      </c>
      <c r="B4377" t="inlineStr">
        <is>
          <t>Trader</t>
        </is>
      </c>
      <c r="C4377" t="inlineStr">
        <is>
          <t>Cotecna India Inspection Pvt Ltd, Kolkata, IN</t>
        </is>
      </c>
      <c r="D4377" t="inlineStr">
        <is>
          <t>06.05.2027</t>
        </is>
      </c>
      <c r="E4377" t="inlineStr">
        <is>
          <t>United Arab Emirates</t>
        </is>
      </c>
    </row>
    <row r="4378">
      <c r="A4378" t="inlineStr">
        <is>
          <t>Biogas Lith B.V.,  Lith, Netherlands</t>
        </is>
      </c>
      <c r="B4378" t="inlineStr">
        <is>
          <t>Processing Unit, Collecting Point</t>
        </is>
      </c>
      <c r="C4378" t="inlineStr">
        <is>
          <t>DEKRA Certification B.V., Arnhem, NL</t>
        </is>
      </c>
      <c r="D4378" t="inlineStr">
        <is>
          <t>06.05.2027</t>
        </is>
      </c>
      <c r="E4378" t="inlineStr">
        <is>
          <t>Netherlands</t>
        </is>
      </c>
    </row>
    <row r="4379">
      <c r="A4379" t="inlineStr">
        <is>
          <t>Resource Recovery France,  Dieuze, France</t>
        </is>
      </c>
      <c r="B4379" t="inlineStr">
        <is>
          <t>Collecting Point, Processing Unit</t>
        </is>
      </c>
      <c r="C4379" t="inlineStr">
        <is>
          <t>Control Union Certifications Germany GmbH, Berlin, DE</t>
        </is>
      </c>
      <c r="D4379" t="inlineStr">
        <is>
          <t>06.05.2027</t>
        </is>
      </c>
      <c r="E4379" t="inlineStr">
        <is>
          <t>France</t>
        </is>
      </c>
    </row>
    <row r="4380">
      <c r="A4380" t="inlineStr">
        <is>
          <t>PT. Primanusa global lestari,  Sulawesi barat, Indonesia</t>
        </is>
      </c>
      <c r="B4380" t="inlineStr">
        <is>
          <t>Point of Origin, Trader</t>
        </is>
      </c>
      <c r="C4380" t="inlineStr">
        <is>
          <t>PT. Qualitas Sertifikasi Indonesia, Jakarta, ID</t>
        </is>
      </c>
      <c r="D4380" t="inlineStr">
        <is>
          <t>06.05.2027</t>
        </is>
      </c>
      <c r="E4380" t="inlineStr">
        <is>
          <t>Indonesia</t>
        </is>
      </c>
    </row>
    <row r="4381">
      <c r="A4381" t="inlineStr">
        <is>
          <t>Goglio North Europe B.V.,  ZAANDAM, Netherlands</t>
        </is>
      </c>
      <c r="B4381" t="inlineStr">
        <is>
          <t>Processing Unit</t>
        </is>
      </c>
      <c r="C4381" t="inlineStr">
        <is>
          <t>DNV Business Assurance Sweden AB, Solna, SE</t>
        </is>
      </c>
      <c r="D4381" t="inlineStr">
        <is>
          <t>06.05.2027</t>
        </is>
      </c>
      <c r="E4381" t="inlineStr">
        <is>
          <t>Netherlands</t>
        </is>
      </c>
    </row>
    <row r="4382">
      <c r="A4382" t="inlineStr">
        <is>
          <t>Air Liquide Advanced Business &amp; Technologies UK,  Chipping Campden, United Kingdom</t>
        </is>
      </c>
      <c r="B4382" t="inlineStr">
        <is>
          <t>Processing Unit</t>
        </is>
      </c>
      <c r="C4382" t="inlineStr">
        <is>
          <t>DEKRA Certification B.V., Arnhem, NL</t>
        </is>
      </c>
      <c r="D4382" t="inlineStr">
        <is>
          <t>06.05.2027</t>
        </is>
      </c>
      <c r="E4382" t="inlineStr">
        <is>
          <t>United Kingdom</t>
        </is>
      </c>
    </row>
    <row r="4383">
      <c r="A4383" t="inlineStr">
        <is>
          <t>CNEXT Renewable Energy SA,  Geneva, Switzerland</t>
        </is>
      </c>
      <c r="B4383" t="inlineStr">
        <is>
          <t>Trader</t>
        </is>
      </c>
      <c r="C4383" t="inlineStr">
        <is>
          <t>SGS Germany GmbH, Emstek, DE</t>
        </is>
      </c>
      <c r="D4383" t="inlineStr">
        <is>
          <t>06.05.2027</t>
        </is>
      </c>
      <c r="E4383" t="inlineStr">
        <is>
          <t>Switzerland</t>
        </is>
      </c>
    </row>
    <row r="4384">
      <c r="A4384" t="inlineStr">
        <is>
          <t>Thai Shinkong Industry Corporation,  Muang Rayong, Thailand</t>
        </is>
      </c>
      <c r="B4384" t="inlineStr">
        <is>
          <t>Processing Unit</t>
        </is>
      </c>
      <c r="C4384" t="inlineStr">
        <is>
          <t>Control Union Poland Sp. z o.o., Zielona Gora, PL</t>
        </is>
      </c>
      <c r="D4384" t="inlineStr">
        <is>
          <t>06.05.2027</t>
        </is>
      </c>
      <c r="E4384" t="inlineStr">
        <is>
          <t>Thailand</t>
        </is>
      </c>
    </row>
    <row r="4385">
      <c r="A4385" t="inlineStr">
        <is>
          <t>Kányai Mezőgazdasági Zrt.,  Kánya, Hungary</t>
        </is>
      </c>
      <c r="B4385" t="inlineStr">
        <is>
          <t>First Gathering Point</t>
        </is>
      </c>
      <c r="C4385" t="inlineStr">
        <is>
          <t>SGS Germany GmbH, Emstek, DE</t>
        </is>
      </c>
      <c r="D4385" t="inlineStr">
        <is>
          <t>06.05.2027</t>
        </is>
      </c>
      <c r="E4385" t="inlineStr">
        <is>
          <t>Hungary</t>
        </is>
      </c>
    </row>
    <row r="4386">
      <c r="A4386" t="inlineStr">
        <is>
          <t>Teguhkarsa Wanalestari,  Riau Province, Indonesia</t>
        </is>
      </c>
      <c r="B4386" t="inlineStr">
        <is>
          <t>Point of Origin, Processing Unit</t>
        </is>
      </c>
      <c r="C4386" t="inlineStr">
        <is>
          <t>SGS Germany GmbH, Emstek, DE</t>
        </is>
      </c>
      <c r="D4386" t="inlineStr">
        <is>
          <t>06.05.2027</t>
        </is>
      </c>
      <c r="E4386" t="inlineStr">
        <is>
          <t>Indonesia</t>
        </is>
      </c>
    </row>
    <row r="4387">
      <c r="A4387" t="inlineStr">
        <is>
          <t>Teguhkarsa Wanalestari,  Riau Province, Indonesia</t>
        </is>
      </c>
      <c r="B4387" t="inlineStr">
        <is>
          <t>Point of Origin</t>
        </is>
      </c>
      <c r="C4387" t="inlineStr">
        <is>
          <t>SGS Germany GmbH, Emstek, DE</t>
        </is>
      </c>
      <c r="D4387" t="inlineStr">
        <is>
          <t>06.05.2027</t>
        </is>
      </c>
      <c r="E4387" t="inlineStr">
        <is>
          <t>Indonesia</t>
        </is>
      </c>
    </row>
    <row r="4388">
      <c r="A4388" t="inlineStr">
        <is>
          <t>SEFE Energy GmbH,  Kassel, Germany</t>
        </is>
      </c>
      <c r="B4388" t="inlineStr">
        <is>
          <t>Trader</t>
        </is>
      </c>
      <c r="C4388" t="inlineStr">
        <is>
          <t>Control Union Certifications Germany GmbH, Berlin, DE</t>
        </is>
      </c>
      <c r="D4388" t="inlineStr">
        <is>
          <t>06.05.2027</t>
        </is>
      </c>
      <c r="E4388" t="inlineStr">
        <is>
          <t>Germany</t>
        </is>
      </c>
    </row>
    <row r="4389">
      <c r="A4389" t="inlineStr">
        <is>
          <t>GENESIS BIOTECH,  Cordun, Romania</t>
        </is>
      </c>
      <c r="B4389" t="inlineStr">
        <is>
          <t>Collecting Point, Processing Unit</t>
        </is>
      </c>
      <c r="C4389" t="inlineStr">
        <is>
          <t>SRAC Cert SRL, Bucharest, RO</t>
        </is>
      </c>
      <c r="D4389" t="inlineStr">
        <is>
          <t>06.05.2027</t>
        </is>
      </c>
      <c r="E4389" t="inlineStr">
        <is>
          <t>Romania</t>
        </is>
      </c>
    </row>
    <row r="4390">
      <c r="A4390" t="inlineStr">
        <is>
          <t>GENESIS BIOTECH,  Cordun, Romania</t>
        </is>
      </c>
      <c r="B4390" t="inlineStr">
        <is>
          <t>Collecting Point, Processing Unit</t>
        </is>
      </c>
      <c r="C4390" t="inlineStr">
        <is>
          <t>SRAC Cert SRL, Bucharest, RO</t>
        </is>
      </c>
      <c r="D4390" t="inlineStr">
        <is>
          <t>06.05.2027</t>
        </is>
      </c>
      <c r="E4390" t="inlineStr">
        <is>
          <t>Romania</t>
        </is>
      </c>
    </row>
    <row r="4391">
      <c r="A4391" t="inlineStr">
        <is>
          <t>China National Aviation Fuel Group Xinjiang Petroleum Co., Ltd.,  Urumqi City, Xinjiang Uygur Autonomous Region, China</t>
        </is>
      </c>
      <c r="B4391" t="inlineStr">
        <is>
          <t>Trader with Storage</t>
        </is>
      </c>
      <c r="C4391" t="inlineStr">
        <is>
          <t>SCS Global Services, Emeryville, CA, US</t>
        </is>
      </c>
      <c r="D4391" t="inlineStr">
        <is>
          <t>06.05.2027</t>
        </is>
      </c>
      <c r="E4391" t="inlineStr">
        <is>
          <t>China</t>
        </is>
      </c>
    </row>
    <row r="4392">
      <c r="A4392" t="inlineStr">
        <is>
          <t>China National Aviation Fuel Group Xinjiang Petroleum Co., Ltd.,  Urumqi City, Xinjiang Uygur Autonomous Region, China</t>
        </is>
      </c>
      <c r="B4392" t="inlineStr">
        <is>
          <t>Trader with Storage</t>
        </is>
      </c>
      <c r="C4392" t="inlineStr">
        <is>
          <t>SCS Global Services, Emeryville, CA, US</t>
        </is>
      </c>
      <c r="D4392" t="inlineStr">
        <is>
          <t>06.05.2027</t>
        </is>
      </c>
      <c r="E4392" t="inlineStr">
        <is>
          <t>China</t>
        </is>
      </c>
    </row>
    <row r="4393">
      <c r="A4393" t="inlineStr">
        <is>
          <t>ADM Bazancourt,  Bazancourt, France</t>
        </is>
      </c>
      <c r="B4393" t="inlineStr">
        <is>
          <t>Point of Origin</t>
        </is>
      </c>
      <c r="C4393" t="inlineStr">
        <is>
          <t>ASG Cert GmbH, Munich, DE</t>
        </is>
      </c>
      <c r="D4393" t="inlineStr">
        <is>
          <t>06.05.2027</t>
        </is>
      </c>
      <c r="E4393" t="inlineStr">
        <is>
          <t>France</t>
        </is>
      </c>
    </row>
    <row r="4394">
      <c r="A4394" t="inlineStr">
        <is>
          <t>Maersk Oil Trading and Investments A/S (Dutch Branch),  Rotterdam, Netherlands</t>
        </is>
      </c>
      <c r="B4394" t="inlineStr">
        <is>
          <t>Trader with Storage, Proof of Compliance Trader</t>
        </is>
      </c>
      <c r="C4394" t="inlineStr">
        <is>
          <t>Control Union Certifications Germany GmbH, Berlin, DE</t>
        </is>
      </c>
      <c r="D4394" t="inlineStr">
        <is>
          <t>06.05.2027</t>
        </is>
      </c>
      <c r="E4394" t="inlineStr">
        <is>
          <t>Netherlands</t>
        </is>
      </c>
    </row>
    <row r="4395">
      <c r="A4395" t="inlineStr">
        <is>
          <t>Samsung C&amp;T Corporation,  Jung-gu, Seoul, Korea, Republic of</t>
        </is>
      </c>
      <c r="B4395" t="inlineStr">
        <is>
          <t>Trader with Storage</t>
        </is>
      </c>
      <c r="C4395" t="inlineStr">
        <is>
          <t>Control Union Certifications Germany GmbH, Berlin, DE</t>
        </is>
      </c>
      <c r="D4395" t="inlineStr">
        <is>
          <t>06.05.2027</t>
        </is>
      </c>
      <c r="E4395" t="inlineStr">
        <is>
          <t>Republic of</t>
        </is>
      </c>
    </row>
    <row r="4396">
      <c r="A4396" t="inlineStr">
        <is>
          <t>Hangzhou Lin'an Jianglan Kitchen Waste Treatment Co., Ltd.,  Lin'an District, Hangzhou City，Zhejiang Province, China</t>
        </is>
      </c>
      <c r="B4396" t="inlineStr">
        <is>
          <t>Collecting Point, Trader with Storage</t>
        </is>
      </c>
      <c r="C4396" t="inlineStr">
        <is>
          <t>SCS Global Services, Emeryville, CA, US</t>
        </is>
      </c>
      <c r="D4396" t="inlineStr">
        <is>
          <t>05.05.2027</t>
        </is>
      </c>
      <c r="E4396" t="inlineStr">
        <is>
          <t>China</t>
        </is>
      </c>
    </row>
    <row r="4397">
      <c r="A4397" t="inlineStr">
        <is>
          <t>MORENO TARDIVO TREESTYLE SRL,  FONTANELLE, Italy</t>
        </is>
      </c>
      <c r="B4397" t="inlineStr">
        <is>
          <t>Collecting Point, First Gathering Point, Processing Unit</t>
        </is>
      </c>
      <c r="C4397" t="inlineStr">
        <is>
          <t>RINA Services S.p.A., Genova, IT</t>
        </is>
      </c>
      <c r="D4397" t="inlineStr">
        <is>
          <t>05.05.2027</t>
        </is>
      </c>
      <c r="E4397" t="inlineStr">
        <is>
          <t>Italy</t>
        </is>
      </c>
    </row>
    <row r="4398">
      <c r="A4398" t="inlineStr">
        <is>
          <t>Tricon Energy Ltd,  Houston, Texas, United States</t>
        </is>
      </c>
      <c r="B4398" t="inlineStr">
        <is>
          <t>Trader with Storage</t>
        </is>
      </c>
      <c r="C4398" t="inlineStr">
        <is>
          <t>Control Union Poland Sp. z o.o., Zielona Gora, PL</t>
        </is>
      </c>
      <c r="D4398" t="inlineStr">
        <is>
          <t>05.05.2027</t>
        </is>
      </c>
      <c r="E4398" t="inlineStr">
        <is>
          <t>United States</t>
        </is>
      </c>
    </row>
    <row r="4399">
      <c r="A4399" t="inlineStr">
        <is>
          <t>Formerra Distribution Canada,  Mississauga, Canada</t>
        </is>
      </c>
      <c r="B4399" t="inlineStr">
        <is>
          <t>Trader with Storage</t>
        </is>
      </c>
      <c r="C4399" t="inlineStr">
        <is>
          <t>SCS Global Services, Emeryville, CA, US</t>
        </is>
      </c>
      <c r="D4399" t="inlineStr">
        <is>
          <t>05.05.2027</t>
        </is>
      </c>
      <c r="E4399" t="inlineStr">
        <is>
          <t>Canada</t>
        </is>
      </c>
    </row>
    <row r="4400">
      <c r="A4400" t="inlineStr">
        <is>
          <t>Formerra,  Romeoville, United States</t>
        </is>
      </c>
      <c r="B4400" t="inlineStr">
        <is>
          <t>Trader with Storage</t>
        </is>
      </c>
      <c r="C4400" t="inlineStr">
        <is>
          <t>SCS Global Services, Emeryville, CA, US</t>
        </is>
      </c>
      <c r="D4400" t="inlineStr">
        <is>
          <t>05.05.2027</t>
        </is>
      </c>
      <c r="E4400" t="inlineStr">
        <is>
          <t>United States</t>
        </is>
      </c>
    </row>
    <row r="4401">
      <c r="A4401" t="inlineStr">
        <is>
          <t>Just Oil &amp; Grain Pte Ltd,  Singapore, Singapore</t>
        </is>
      </c>
      <c r="B4401" t="inlineStr">
        <is>
          <t>Trader</t>
        </is>
      </c>
      <c r="C4401" t="inlineStr">
        <is>
          <t>Control Union Certifications Germany GmbH, Berlin, DE</t>
        </is>
      </c>
      <c r="D4401" t="inlineStr">
        <is>
          <t>05.05.2027</t>
        </is>
      </c>
      <c r="E4401" t="inlineStr">
        <is>
          <t>Singapore</t>
        </is>
      </c>
    </row>
    <row r="4402">
      <c r="A4402" t="inlineStr">
        <is>
          <t>ZATE AL ARABI FOR OILS ESTABLISHMENT,  AL Khumra, JEDDAH, Saudi Arabia</t>
        </is>
      </c>
      <c r="B4402" t="inlineStr">
        <is>
          <t>Collecting Point</t>
        </is>
      </c>
      <c r="C4402" t="inlineStr">
        <is>
          <t>PT Mutuagung Lestari, Depok, ID</t>
        </is>
      </c>
      <c r="D4402" t="inlineStr">
        <is>
          <t>05.05.2027</t>
        </is>
      </c>
      <c r="E4402" t="inlineStr">
        <is>
          <t>Saudi Arabia</t>
        </is>
      </c>
    </row>
    <row r="4403">
      <c r="A4403" t="inlineStr">
        <is>
          <t>PT Agrowiratama,  Kabupaten Pasaman Barat, Provinsi Sumatera Barat, Indonesia</t>
        </is>
      </c>
      <c r="B4403" t="inlineStr">
        <is>
          <t>Farm / Plantation</t>
        </is>
      </c>
      <c r="C4403" t="inlineStr">
        <is>
          <t>Control Union Certifications Germany GmbH, Berlin, DE</t>
        </is>
      </c>
      <c r="D4403" t="inlineStr">
        <is>
          <t>05.05.2027</t>
        </is>
      </c>
      <c r="E4403" t="inlineStr">
        <is>
          <t>Indonesia</t>
        </is>
      </c>
    </row>
    <row r="4404">
      <c r="A4404" t="inlineStr">
        <is>
          <t>Akzo Nobel Adhesives,  Kristinehamn, Sweden</t>
        </is>
      </c>
      <c r="B4404" t="inlineStr">
        <is>
          <t>Processing Unit, Trader</t>
        </is>
      </c>
      <c r="C4404" t="inlineStr">
        <is>
          <t>TÜV SÜD Industrie Service GmbH, München, DE</t>
        </is>
      </c>
      <c r="D4404" t="inlineStr">
        <is>
          <t>05.05.2027</t>
        </is>
      </c>
      <c r="E4404" t="inlineStr">
        <is>
          <t>Sweden</t>
        </is>
      </c>
    </row>
    <row r="4405">
      <c r="A4405" t="inlineStr">
        <is>
          <t>Billion Max Vietnam Manufacturing Company Limited,  Hue City, Vietnam</t>
        </is>
      </c>
      <c r="B4405" t="inlineStr">
        <is>
          <t>Processing Unit</t>
        </is>
      </c>
      <c r="C4405" t="inlineStr">
        <is>
          <t>SCS Global Services, Emeryville, CA, US</t>
        </is>
      </c>
      <c r="D4405" t="inlineStr">
        <is>
          <t>05.05.2027</t>
        </is>
      </c>
      <c r="E4405" t="inlineStr">
        <is>
          <t>Vietnam</t>
        </is>
      </c>
    </row>
    <row r="4406">
      <c r="A4406" t="inlineStr">
        <is>
          <t>Murex LLC,  Plano Texas, TX, United States</t>
        </is>
      </c>
      <c r="B4406" t="inlineStr">
        <is>
          <t>Trader with Storage</t>
        </is>
      </c>
      <c r="C4406" t="inlineStr">
        <is>
          <t>SCS Global Services, Emeryville, CA, US</t>
        </is>
      </c>
      <c r="D4406" t="inlineStr">
        <is>
          <t>05.05.2027</t>
        </is>
      </c>
      <c r="E4406" t="inlineStr">
        <is>
          <t>United States</t>
        </is>
      </c>
    </row>
    <row r="4407">
      <c r="A4407" t="inlineStr">
        <is>
          <t>Murex LLC,  Plano Texas, TX, United States</t>
        </is>
      </c>
      <c r="B4407" t="inlineStr">
        <is>
          <t>Trader with Storage</t>
        </is>
      </c>
      <c r="C4407" t="inlineStr">
        <is>
          <t>SCS Global Services, Emeryville, CA, US</t>
        </is>
      </c>
      <c r="D4407" t="inlineStr">
        <is>
          <t>05.05.2027</t>
        </is>
      </c>
      <c r="E4407" t="inlineStr">
        <is>
          <t>United States</t>
        </is>
      </c>
    </row>
    <row r="4408">
      <c r="A4408" t="inlineStr">
        <is>
          <t>Jokey North America Inc.,  Goderich, Canada</t>
        </is>
      </c>
      <c r="B4408" t="inlineStr">
        <is>
          <t>Processing Unit, Trader with Storage</t>
        </is>
      </c>
      <c r="C4408" t="inlineStr">
        <is>
          <t>Control Union Certifications Germany GmbH, Berlin, DE</t>
        </is>
      </c>
      <c r="D4408" t="inlineStr">
        <is>
          <t>05.05.2027</t>
        </is>
      </c>
      <c r="E4408" t="inlineStr">
        <is>
          <t>Canada</t>
        </is>
      </c>
    </row>
    <row r="4409">
      <c r="A4409" t="inlineStr">
        <is>
          <t>Xanthos,  Cernusco sul Naviglio, Italy</t>
        </is>
      </c>
      <c r="B4409" t="inlineStr">
        <is>
          <t>Point of Origin, Processing Unit, Trader with Storage, Warehouse</t>
        </is>
      </c>
      <c r="C4409" t="inlineStr">
        <is>
          <t>SGS Germany GmbH, Emstek, DE</t>
        </is>
      </c>
      <c r="D4409" t="inlineStr">
        <is>
          <t>05.05.2027</t>
        </is>
      </c>
      <c r="E4409" t="inlineStr">
        <is>
          <t>Italy</t>
        </is>
      </c>
    </row>
    <row r="4410">
      <c r="A4410" t="inlineStr">
        <is>
          <t>PT Wai Hing Industrial Indonesia,  Ngawi, Indonesia</t>
        </is>
      </c>
      <c r="B4410" t="inlineStr">
        <is>
          <t>Processing Unit, Final Product Refinement</t>
        </is>
      </c>
      <c r="C4410" t="inlineStr">
        <is>
          <t>PT TUV Rheinland Indonesia, Jakarta, ID</t>
        </is>
      </c>
      <c r="D4410" t="inlineStr">
        <is>
          <t>05.05.2027</t>
        </is>
      </c>
      <c r="E4410" t="inlineStr">
        <is>
          <t>Indonesia</t>
        </is>
      </c>
    </row>
    <row r="4411">
      <c r="A4411" t="inlineStr">
        <is>
          <t>Xanthos,  Cernusco sul Naviglio, Italy</t>
        </is>
      </c>
      <c r="B4411" t="inlineStr">
        <is>
          <t>Processing Unit, Trader with Storage, Warehouse</t>
        </is>
      </c>
      <c r="C4411" t="inlineStr">
        <is>
          <t>SGS Germany GmbH, Emstek, DE</t>
        </is>
      </c>
      <c r="D4411" t="inlineStr">
        <is>
          <t>05.05.2027</t>
        </is>
      </c>
      <c r="E4411" t="inlineStr">
        <is>
          <t>Italy</t>
        </is>
      </c>
    </row>
    <row r="4412">
      <c r="A4412" t="inlineStr">
        <is>
          <t>Kraton Corporation,  Belpre, United States</t>
        </is>
      </c>
      <c r="B4412" t="inlineStr">
        <is>
          <t>Processing Unit, Trader with Storage</t>
        </is>
      </c>
      <c r="C4412" t="inlineStr">
        <is>
          <t>TÜV SÜD Industrie Service GmbH, München, DE</t>
        </is>
      </c>
      <c r="D4412" t="inlineStr">
        <is>
          <t>05.05.2027</t>
        </is>
      </c>
      <c r="E4412" t="inlineStr">
        <is>
          <t>United States</t>
        </is>
      </c>
    </row>
    <row r="4413">
      <c r="A4413" t="inlineStr">
        <is>
          <t>Ibermatech Europa,  Reus (Tarragona), Spain</t>
        </is>
      </c>
      <c r="B4413" t="inlineStr">
        <is>
          <t>Trader</t>
        </is>
      </c>
      <c r="C4413" t="inlineStr">
        <is>
          <t>RINA Services S.p.A., Genova, IT</t>
        </is>
      </c>
      <c r="D4413" t="inlineStr">
        <is>
          <t>05.05.2027</t>
        </is>
      </c>
      <c r="E4413" t="inlineStr">
        <is>
          <t>Spain</t>
        </is>
      </c>
    </row>
    <row r="4414">
      <c r="A4414" t="inlineStr">
        <is>
          <t>Posibi,  Nyborg, Denmark</t>
        </is>
      </c>
      <c r="B4414" t="inlineStr">
        <is>
          <t>Collecting Point</t>
        </is>
      </c>
      <c r="C4414" t="inlineStr">
        <is>
          <t>Baltic Control Certification, Albertslund, DK</t>
        </is>
      </c>
      <c r="D4414" t="inlineStr">
        <is>
          <t>05.05.2027</t>
        </is>
      </c>
      <c r="E4414" t="inlineStr">
        <is>
          <t>Denmark</t>
        </is>
      </c>
    </row>
    <row r="4415">
      <c r="A4415" t="inlineStr">
        <is>
          <t>AGROSPOL Czech spol. s r.o.,  Nepomuk, Czech Republic</t>
        </is>
      </c>
      <c r="B4415" t="inlineStr">
        <is>
          <t>First Gathering Point, Logistics Center</t>
        </is>
      </c>
      <c r="C4415" t="inlineStr">
        <is>
          <t>Bureau Veritas Polska Sp. z o.o., Warsaw, PL</t>
        </is>
      </c>
      <c r="D4415" t="inlineStr">
        <is>
          <t>05.05.2027</t>
        </is>
      </c>
      <c r="E4415" t="inlineStr">
        <is>
          <t>Czech Republic</t>
        </is>
      </c>
    </row>
    <row r="4416">
      <c r="A4416" t="inlineStr">
        <is>
          <t>AHROFIRMA KHLIBOROB,  Nalivayka, Ukraine</t>
        </is>
      </c>
      <c r="B4416" t="inlineStr">
        <is>
          <t>Farm / Plantation, Trader with Storage</t>
        </is>
      </c>
      <c r="C4416" t="inlineStr">
        <is>
          <t>Bureau Veritas Polska Sp. z o.o., Warsaw, PL</t>
        </is>
      </c>
      <c r="D4416" t="inlineStr">
        <is>
          <t>05.05.2027</t>
        </is>
      </c>
      <c r="E4416" t="inlineStr">
        <is>
          <t>Ukraine</t>
        </is>
      </c>
    </row>
    <row r="4417">
      <c r="A4417" t="inlineStr">
        <is>
          <t>BP Refined Products Trading Iberia,  Canary Wharf, London, United Kingdom</t>
        </is>
      </c>
      <c r="B4417" t="inlineStr">
        <is>
          <t>Trader with Storage</t>
        </is>
      </c>
      <c r="C4417" t="inlineStr">
        <is>
          <t>Control Union Certifications Germany GmbH, Berlin, DE</t>
        </is>
      </c>
      <c r="D4417" t="inlineStr">
        <is>
          <t>05.05.2027</t>
        </is>
      </c>
      <c r="E4417" t="inlineStr">
        <is>
          <t>United Kingdom</t>
        </is>
      </c>
    </row>
    <row r="4418">
      <c r="A4418" t="inlineStr">
        <is>
          <t>BP Refined Products Trading Iberia,  Canary Wharf, London, United Kingdom</t>
        </is>
      </c>
      <c r="B4418" t="inlineStr">
        <is>
          <t>Proof of Compliance Trader, Trader with Storage</t>
        </is>
      </c>
      <c r="C4418" t="inlineStr">
        <is>
          <t>Control Union Certifications Germany GmbH, Berlin, DE</t>
        </is>
      </c>
      <c r="D4418" t="inlineStr">
        <is>
          <t>05.05.2027</t>
        </is>
      </c>
      <c r="E4418" t="inlineStr">
        <is>
          <t>United Kingdom</t>
        </is>
      </c>
    </row>
    <row r="4419">
      <c r="A4419" t="inlineStr">
        <is>
          <t>SONOCO Consumer Products Zwenkau GmbH,  Zwenkau, Germany</t>
        </is>
      </c>
      <c r="B4419" t="inlineStr">
        <is>
          <t>Processing Unit</t>
        </is>
      </c>
      <c r="C4419" t="inlineStr">
        <is>
          <t>GUT Certifizierungsgesellschaft für Managementsysteme mbH Umweltgutachter, Berlin, DE</t>
        </is>
      </c>
      <c r="D4419" t="inlineStr">
        <is>
          <t>05.05.2027</t>
        </is>
      </c>
      <c r="E4419" t="inlineStr">
        <is>
          <t>Germany</t>
        </is>
      </c>
    </row>
    <row r="4420">
      <c r="A4420" t="inlineStr">
        <is>
          <t>SONOCO Consumer Products Zwenkau GmbH,  Zwenkau, Germany</t>
        </is>
      </c>
      <c r="B4420" t="inlineStr">
        <is>
          <t>Processing Unit</t>
        </is>
      </c>
      <c r="C4420" t="inlineStr">
        <is>
          <t>GUT Certifizierungsgesellschaft für Managementsysteme mbH Umweltgutachter, Berlin, DE</t>
        </is>
      </c>
      <c r="D4420" t="inlineStr">
        <is>
          <t>05.05.2027</t>
        </is>
      </c>
      <c r="E4420" t="inlineStr">
        <is>
          <t>Germany</t>
        </is>
      </c>
    </row>
    <row r="4421">
      <c r="A4421" t="inlineStr">
        <is>
          <t>PT. Sumatera Karya Agro,  Nagari Kamang, Kecamatan Kamang Baru, Indonesia</t>
        </is>
      </c>
      <c r="B4421" t="inlineStr">
        <is>
          <t>Point of Origin</t>
        </is>
      </c>
      <c r="C4421" t="inlineStr">
        <is>
          <t>PT. Qualitas Sertifikasi Indonesia, Jakarta, ID</t>
        </is>
      </c>
      <c r="D4421" t="inlineStr">
        <is>
          <t>05.05.2027</t>
        </is>
      </c>
      <c r="E4421" t="inlineStr">
        <is>
          <t>Indonesia</t>
        </is>
      </c>
    </row>
    <row r="4422">
      <c r="A4422" t="inlineStr">
        <is>
          <t>PT. HAMPARAN KEMILAU INDAH,  Kabupaten Dharmasraya, Provinsi Sumatera Barat, Indonesia</t>
        </is>
      </c>
      <c r="B4422" t="inlineStr">
        <is>
          <t>Point of Origin</t>
        </is>
      </c>
      <c r="C4422" t="inlineStr">
        <is>
          <t>PT. Qualitas Sertifikasi Indonesia, Jakarta, ID</t>
        </is>
      </c>
      <c r="D4422" t="inlineStr">
        <is>
          <t>05.05.2027</t>
        </is>
      </c>
      <c r="E4422" t="inlineStr">
        <is>
          <t>Indonesia</t>
        </is>
      </c>
    </row>
    <row r="4423">
      <c r="A4423" t="inlineStr">
        <is>
          <t>OLB Commodity s.r.o.,  Olomouc, Czech Republic</t>
        </is>
      </c>
      <c r="B4423" t="inlineStr">
        <is>
          <t>First Gathering Point, Trader</t>
        </is>
      </c>
      <c r="C4423" t="inlineStr">
        <is>
          <t>United Registrar of Systems Polska Sp. z o.o., Wrocław, PL</t>
        </is>
      </c>
      <c r="D4423" t="inlineStr">
        <is>
          <t>05.05.2027</t>
        </is>
      </c>
      <c r="E4423" t="inlineStr">
        <is>
          <t>Czech Republic</t>
        </is>
      </c>
    </row>
    <row r="4424">
      <c r="A4424" t="inlineStr">
        <is>
          <t>Covestro (India) Private Limited,  Greater Noida, India</t>
        </is>
      </c>
      <c r="B4424" t="inlineStr">
        <is>
          <t>Processing Unit, Trader with Storage</t>
        </is>
      </c>
      <c r="C4424" t="inlineStr">
        <is>
          <t>DIN CERTCO GmbH, Berlin, DE</t>
        </is>
      </c>
      <c r="D4424" t="inlineStr">
        <is>
          <t>05.05.2027</t>
        </is>
      </c>
      <c r="E4424" t="inlineStr">
        <is>
          <t>India</t>
        </is>
      </c>
    </row>
    <row r="4425">
      <c r="A4425" t="inlineStr">
        <is>
          <t>Raffinerie Abou Walid,  Sfax, Tunisia</t>
        </is>
      </c>
      <c r="B4425" t="inlineStr">
        <is>
          <t>Point of Origin</t>
        </is>
      </c>
      <c r="C4425" t="inlineStr">
        <is>
          <t>Amspec Iberia SL, Vilagarcia de Arousa-Pontevedra, ES</t>
        </is>
      </c>
      <c r="D4425" t="inlineStr">
        <is>
          <t>05.05.2027</t>
        </is>
      </c>
      <c r="E4425" t="inlineStr">
        <is>
          <t>Tunisia</t>
        </is>
      </c>
    </row>
    <row r="4426">
      <c r="A4426" t="inlineStr">
        <is>
          <t>SOCIETE FITOLINA,  Agerab - Sfax, Tunisia</t>
        </is>
      </c>
      <c r="B4426" t="inlineStr">
        <is>
          <t>Point of Origin</t>
        </is>
      </c>
      <c r="C4426" t="inlineStr">
        <is>
          <t>Amspec Iberia SL, Vilagarcia de Arousa-Pontevedra, ES</t>
        </is>
      </c>
      <c r="D4426" t="inlineStr">
        <is>
          <t>05.05.2027</t>
        </is>
      </c>
      <c r="E4426" t="inlineStr">
        <is>
          <t>Tunisia</t>
        </is>
      </c>
    </row>
    <row r="4427">
      <c r="A4427" t="inlineStr">
        <is>
          <t>Greiner Packaging Ltd,  Dungannon, Northern Ireland, United Kingdom</t>
        </is>
      </c>
      <c r="B4427" t="inlineStr">
        <is>
          <t>Processing Unit</t>
        </is>
      </c>
      <c r="C4427" t="inlineStr">
        <is>
          <t>SGS Germany GmbH, Emstek, DE</t>
        </is>
      </c>
      <c r="D4427" t="inlineStr">
        <is>
          <t>05.05.2027</t>
        </is>
      </c>
      <c r="E4427" t="inlineStr">
        <is>
          <t>United Kingdom</t>
        </is>
      </c>
    </row>
    <row r="4428">
      <c r="A4428" t="inlineStr">
        <is>
          <t>Rendac BV,  Denderleeuw, Belgium</t>
        </is>
      </c>
      <c r="B4428" t="inlineStr">
        <is>
          <t>Point of Origin</t>
        </is>
      </c>
      <c r="C4428" t="inlineStr">
        <is>
          <t>DEKRA Certification B.V., Arnhem, NL</t>
        </is>
      </c>
      <c r="D4428" t="inlineStr">
        <is>
          <t>05.05.2027</t>
        </is>
      </c>
      <c r="E4428" t="inlineStr">
        <is>
          <t>Belgium</t>
        </is>
      </c>
    </row>
    <row r="4429">
      <c r="A4429" t="inlineStr">
        <is>
          <t>Hangzhou Lin'an Jianglan Kitchen Waste Treatment Co., Ltd.,  Lin'an District, Hangzhou City，Zhejiang Province, China</t>
        </is>
      </c>
      <c r="B4429" t="inlineStr">
        <is>
          <t>Collecting Point, Processing Unit, Trader with Storage</t>
        </is>
      </c>
      <c r="C4429" t="inlineStr">
        <is>
          <t>SCS Global Services, Emeryville, CA, US</t>
        </is>
      </c>
      <c r="D4429" t="inlineStr">
        <is>
          <t>05.05.2027</t>
        </is>
      </c>
      <c r="E4429" t="inlineStr">
        <is>
          <t>China</t>
        </is>
      </c>
    </row>
    <row r="4430">
      <c r="A4430" t="inlineStr">
        <is>
          <t>Select New Energies GmbH,  Hamburg, Germany</t>
        </is>
      </c>
      <c r="B4430" t="inlineStr">
        <is>
          <t>Proof of Compliance Trader, Trader</t>
        </is>
      </c>
      <c r="C4430" t="inlineStr">
        <is>
          <t>SGS Germany GmbH, Emstek, DE</t>
        </is>
      </c>
      <c r="D4430" t="inlineStr">
        <is>
          <t>05.05.2027</t>
        </is>
      </c>
      <c r="E4430" t="inlineStr">
        <is>
          <t>Germany</t>
        </is>
      </c>
    </row>
    <row r="4431">
      <c r="A4431" t="inlineStr">
        <is>
          <t>UPM Raflatac Inc.,  Mills River, United States</t>
        </is>
      </c>
      <c r="B4431" t="inlineStr">
        <is>
          <t>Processing Unit, Trader with Storage</t>
        </is>
      </c>
      <c r="C4431" t="inlineStr">
        <is>
          <t>SGS Germany GmbH, Emstek, DE</t>
        </is>
      </c>
      <c r="D4431" t="inlineStr">
        <is>
          <t>05.05.2027</t>
        </is>
      </c>
      <c r="E4431" t="inlineStr">
        <is>
          <t>United States</t>
        </is>
      </c>
    </row>
    <row r="4432">
      <c r="A4432" t="inlineStr">
        <is>
          <t>Sennics Co., Ltd. Shandong,  Heze, China</t>
        </is>
      </c>
      <c r="B4432" t="inlineStr">
        <is>
          <t>Processing Unit</t>
        </is>
      </c>
      <c r="C4432" t="inlineStr">
        <is>
          <t>SGS Germany GmbH, Emstek, DE</t>
        </is>
      </c>
      <c r="D4432" t="inlineStr">
        <is>
          <t>05.05.2027</t>
        </is>
      </c>
      <c r="E4432" t="inlineStr">
        <is>
          <t>China</t>
        </is>
      </c>
    </row>
    <row r="4433">
      <c r="A4433" t="inlineStr">
        <is>
          <t>Biomass Sp.z.o.o.,  Gorzów Wielkopolski, Poland</t>
        </is>
      </c>
      <c r="B4433" t="inlineStr">
        <is>
          <t>First Gathering Point, Trader</t>
        </is>
      </c>
      <c r="C4433" t="inlineStr">
        <is>
          <t>Control Union Poland Sp. z o.o., Zielona Gora, PL</t>
        </is>
      </c>
      <c r="D4433" t="inlineStr">
        <is>
          <t>05.05.2027</t>
        </is>
      </c>
      <c r="E4433" t="inlineStr">
        <is>
          <t>Poland</t>
        </is>
      </c>
    </row>
    <row r="4434">
      <c r="A4434" t="inlineStr">
        <is>
          <t>BULMARKET DM,  Ruse, Bulgaria</t>
        </is>
      </c>
      <c r="B4434" t="inlineStr">
        <is>
          <t>Processing Unit, Trader, Point of Origin</t>
        </is>
      </c>
      <c r="C4434" t="inlineStr">
        <is>
          <t>SGS Germany GmbH, Emstek, DE</t>
        </is>
      </c>
      <c r="D4434" t="inlineStr">
        <is>
          <t>05.05.2027</t>
        </is>
      </c>
      <c r="E4434" t="inlineStr">
        <is>
          <t>Bulgaria</t>
        </is>
      </c>
    </row>
    <row r="4435">
      <c r="A4435" t="inlineStr">
        <is>
          <t>Tricon Energy Ltd,  Houston, Texas, United States</t>
        </is>
      </c>
      <c r="B4435" t="inlineStr">
        <is>
          <t>Trader with Storage</t>
        </is>
      </c>
      <c r="C4435" t="inlineStr">
        <is>
          <t>Control Union Poland Sp. z o.o., Zielona Gora, PL</t>
        </is>
      </c>
      <c r="D4435" t="inlineStr">
        <is>
          <t>05.05.2027</t>
        </is>
      </c>
      <c r="E4435" t="inlineStr">
        <is>
          <t>United States</t>
        </is>
      </c>
    </row>
    <row r="4436">
      <c r="A4436" t="inlineStr">
        <is>
          <t>Birla Carbon India Private Limited,  Gummidipoondi, India</t>
        </is>
      </c>
      <c r="B4436" t="inlineStr">
        <is>
          <t>Processing Unit, Trader with Storage</t>
        </is>
      </c>
      <c r="C4436" t="inlineStr">
        <is>
          <t>PT Intertek Utama Services, Jakarta, ID</t>
        </is>
      </c>
      <c r="D4436" t="inlineStr">
        <is>
          <t>05.05.2027</t>
        </is>
      </c>
      <c r="E4436" t="inlineStr">
        <is>
          <t>India</t>
        </is>
      </c>
    </row>
    <row r="4437">
      <c r="A4437" t="inlineStr">
        <is>
          <t>REIFLOCK Abwassertechnik GmbH,  Baden-Baden, Germany</t>
        </is>
      </c>
      <c r="B4437" t="inlineStr">
        <is>
          <t>Trader</t>
        </is>
      </c>
      <c r="C4437" t="inlineStr">
        <is>
          <t>GUT Certifizierungsgesellschaft für Managementsysteme mbH Umweltgutachter, Berlin, DE</t>
        </is>
      </c>
      <c r="D4437" t="inlineStr">
        <is>
          <t>05.05.2027</t>
        </is>
      </c>
      <c r="E4437" t="inlineStr">
        <is>
          <t>Germany</t>
        </is>
      </c>
    </row>
    <row r="4438">
      <c r="A4438" t="inlineStr">
        <is>
          <t>PT KHATULISTIWA RAYA CAKRAWALA,  Mempawah, Kalimantan Barat, Indonesia</t>
        </is>
      </c>
      <c r="B4438" t="inlineStr">
        <is>
          <t>Trader with Storage, Warehouse</t>
        </is>
      </c>
      <c r="C4438" t="inlineStr">
        <is>
          <t>PT. Qualitas Sertifikasi Indonesia, Jakarta, ID</t>
        </is>
      </c>
      <c r="D4438" t="inlineStr">
        <is>
          <t>05.05.2027</t>
        </is>
      </c>
      <c r="E4438" t="inlineStr">
        <is>
          <t>Indonesia</t>
        </is>
      </c>
    </row>
    <row r="4439">
      <c r="A4439" t="inlineStr">
        <is>
          <t>TRX 2012,  Sofia, Bulgaria</t>
        </is>
      </c>
      <c r="B4439" t="inlineStr">
        <is>
          <t>Trader</t>
        </is>
      </c>
      <c r="C4439" t="inlineStr">
        <is>
          <t>Baltic Control Certification, Albertslund, DK</t>
        </is>
      </c>
      <c r="D4439" t="inlineStr">
        <is>
          <t>05.05.2027</t>
        </is>
      </c>
      <c r="E4439" t="inlineStr">
        <is>
          <t>Bulgaria</t>
        </is>
      </c>
    </row>
    <row r="4440">
      <c r="A4440" t="inlineStr">
        <is>
          <t>Chongqing Kerun Environmental Protection Renewable Resources Development Co., Ltd.,  Banan District, Chongqing, China</t>
        </is>
      </c>
      <c r="B4440" t="inlineStr">
        <is>
          <t>Collecting Point, Trader</t>
        </is>
      </c>
      <c r="C4440" t="inlineStr">
        <is>
          <t>SCS Global Services, Emeryville, CA, US</t>
        </is>
      </c>
      <c r="D4440" t="inlineStr">
        <is>
          <t>05.05.2027</t>
        </is>
      </c>
      <c r="E4440" t="inlineStr">
        <is>
          <t>China</t>
        </is>
      </c>
    </row>
    <row r="4441">
      <c r="A4441" t="inlineStr">
        <is>
          <t>Yishui Wanfu Oil Processing Co., Ltd.,  Linyi City, Shandong Province, China</t>
        </is>
      </c>
      <c r="B4441" t="inlineStr">
        <is>
          <t>Collecting Point, Trader with Storage</t>
        </is>
      </c>
      <c r="C4441" t="inlineStr">
        <is>
          <t>RINA Services S.p.A., Genova, IT</t>
        </is>
      </c>
      <c r="D4441" t="inlineStr">
        <is>
          <t>05.05.2027</t>
        </is>
      </c>
      <c r="E4441" t="inlineStr">
        <is>
          <t>China</t>
        </is>
      </c>
    </row>
    <row r="4442">
      <c r="A4442" t="inlineStr">
        <is>
          <t>Zhejiang Chengpeng Industry &amp; Trade Co., Ltd.,  Jinhua City, Zhejiang Province, China</t>
        </is>
      </c>
      <c r="B4442" t="inlineStr">
        <is>
          <t>Processing Unit</t>
        </is>
      </c>
      <c r="C4442" t="inlineStr">
        <is>
          <t>SCS Global Services, Emeryville, CA, US</t>
        </is>
      </c>
      <c r="D4442" t="inlineStr">
        <is>
          <t>05.05.2027</t>
        </is>
      </c>
      <c r="E4442" t="inlineStr">
        <is>
          <t>China</t>
        </is>
      </c>
    </row>
    <row r="4443">
      <c r="A4443" t="inlineStr">
        <is>
          <t>LLC "Kharkiv experimental plant V",  Kharkiv, Ukraine</t>
        </is>
      </c>
      <c r="B4443" t="inlineStr">
        <is>
          <t>Collecting Point, Processing Unit</t>
        </is>
      </c>
      <c r="C4443" t="inlineStr">
        <is>
          <t>Baltic Control Certification, Albertslund, DK</t>
        </is>
      </c>
      <c r="D4443" t="inlineStr">
        <is>
          <t>05.05.2027</t>
        </is>
      </c>
      <c r="E4443" t="inlineStr">
        <is>
          <t>Ukraine</t>
        </is>
      </c>
    </row>
    <row r="4444">
      <c r="A4444" t="inlineStr">
        <is>
          <t>SC RDF SRL,  Sofronea, Romania</t>
        </is>
      </c>
      <c r="B4444" t="inlineStr">
        <is>
          <t>First Gathering Point</t>
        </is>
      </c>
      <c r="C4444" t="inlineStr">
        <is>
          <t>SGS Germany GmbH, Emstek, DE</t>
        </is>
      </c>
      <c r="D4444" t="inlineStr">
        <is>
          <t>05.05.2027</t>
        </is>
      </c>
      <c r="E4444" t="inlineStr">
        <is>
          <t>Romania</t>
        </is>
      </c>
    </row>
    <row r="4445">
      <c r="A4445" t="inlineStr">
        <is>
          <t>Chopard Energy Limited,  London, United Kingdom</t>
        </is>
      </c>
      <c r="B4445" t="inlineStr">
        <is>
          <t>Trader</t>
        </is>
      </c>
      <c r="C4445" t="inlineStr">
        <is>
          <t>Double Helix Tracking Technologies Pte Ltd, Singapore, SG</t>
        </is>
      </c>
      <c r="D4445" t="inlineStr">
        <is>
          <t>05.05.2027</t>
        </is>
      </c>
      <c r="E4445" t="inlineStr">
        <is>
          <t>United Kingdom</t>
        </is>
      </c>
    </row>
    <row r="4446">
      <c r="A4446" t="inlineStr">
        <is>
          <t>Epiros Energy Limited,  London, United Kingdom</t>
        </is>
      </c>
      <c r="B4446" t="inlineStr">
        <is>
          <t>Trader</t>
        </is>
      </c>
      <c r="C4446" t="inlineStr">
        <is>
          <t>Double Helix Tracking Technologies Pte Ltd, Singapore, SG</t>
        </is>
      </c>
      <c r="D4446" t="inlineStr">
        <is>
          <t>05.05.2027</t>
        </is>
      </c>
      <c r="E4446" t="inlineStr">
        <is>
          <t>United Kingdom</t>
        </is>
      </c>
    </row>
    <row r="4447">
      <c r="A4447" t="inlineStr">
        <is>
          <t>Gomera Energy Limited,  London, United Kingdom</t>
        </is>
      </c>
      <c r="B4447" t="inlineStr">
        <is>
          <t>Trader</t>
        </is>
      </c>
      <c r="C4447" t="inlineStr">
        <is>
          <t>Double Helix Tracking Technologies Pte Ltd, Singapore, SG</t>
        </is>
      </c>
      <c r="D4447" t="inlineStr">
        <is>
          <t>05.05.2027</t>
        </is>
      </c>
      <c r="E4447" t="inlineStr">
        <is>
          <t>United Kingdom</t>
        </is>
      </c>
    </row>
    <row r="4448">
      <c r="A4448" t="inlineStr">
        <is>
          <t>VITOGAZ Switzerland AG,  Cornaux, Switzerland</t>
        </is>
      </c>
      <c r="B4448" t="inlineStr">
        <is>
          <t>Trader with Storage</t>
        </is>
      </c>
      <c r="C4448" t="inlineStr">
        <is>
          <t>TÜV SÜD Industrie Service GmbH, München, DE</t>
        </is>
      </c>
      <c r="D4448" t="inlineStr">
        <is>
          <t>05.05.2027</t>
        </is>
      </c>
      <c r="E4448" t="inlineStr">
        <is>
          <t>Switzerland</t>
        </is>
      </c>
    </row>
    <row r="4449">
      <c r="A4449" t="inlineStr">
        <is>
          <t>DKS Fuels,  Mannheim, Germany</t>
        </is>
      </c>
      <c r="B4449" t="inlineStr">
        <is>
          <t>Trader with Storage</t>
        </is>
      </c>
      <c r="C4449" t="inlineStr">
        <is>
          <t>Bureau Veritas Polska Sp. z o.o., Warsaw, PL</t>
        </is>
      </c>
      <c r="D4449" t="inlineStr">
        <is>
          <t>05.05.2027</t>
        </is>
      </c>
      <c r="E4449" t="inlineStr">
        <is>
          <t>Germany</t>
        </is>
      </c>
    </row>
    <row r="4450">
      <c r="A4450" t="inlineStr">
        <is>
          <t>Total Agro Dobrogea SRL,  CONSTANTA, Romania</t>
        </is>
      </c>
      <c r="B4450" t="inlineStr">
        <is>
          <t>First Gathering Point, Trader with Storage</t>
        </is>
      </c>
      <c r="C4450" t="inlineStr">
        <is>
          <t>Control Union Certifications Germany GmbH, Berlin, DE</t>
        </is>
      </c>
      <c r="D4450" t="inlineStr">
        <is>
          <t>05.05.2027</t>
        </is>
      </c>
      <c r="E4450" t="inlineStr">
        <is>
          <t>Romania</t>
        </is>
      </c>
    </row>
    <row r="4451">
      <c r="A4451" t="inlineStr">
        <is>
          <t>Johor Plantations Group Berhad,  Mukim Sedenak, Kulai, Malaysia</t>
        </is>
      </c>
      <c r="B4451" t="inlineStr">
        <is>
          <t>Point of Origin</t>
        </is>
      </c>
      <c r="C4451" t="inlineStr">
        <is>
          <t>ASG Cert GmbH, Munich, DE</t>
        </is>
      </c>
      <c r="D4451" t="inlineStr">
        <is>
          <t>04.05.2027</t>
        </is>
      </c>
      <c r="E4451" t="inlineStr">
        <is>
          <t>Malaysia</t>
        </is>
      </c>
    </row>
    <row r="4452">
      <c r="A4452" t="inlineStr">
        <is>
          <t>Barilla G. e R. F.lli S.p.A.,  Fraz,Rubbiano, Solignano,, Italy</t>
        </is>
      </c>
      <c r="B4452" t="inlineStr">
        <is>
          <t>Processing Unit</t>
        </is>
      </c>
      <c r="C4452" t="inlineStr">
        <is>
          <t>RINA Services S.p.A., Genova, IT</t>
        </is>
      </c>
      <c r="D4452" t="inlineStr">
        <is>
          <t>04.05.2027</t>
        </is>
      </c>
      <c r="E4452" t="inlineStr">
        <is>
          <t>Italy</t>
        </is>
      </c>
    </row>
    <row r="4453">
      <c r="A4453" t="inlineStr">
        <is>
          <t>VERVIT,  ROVERETO, Italy</t>
        </is>
      </c>
      <c r="B4453" t="inlineStr">
        <is>
          <t>Processing Unit, Trader with Storage</t>
        </is>
      </c>
      <c r="C4453" t="inlineStr">
        <is>
          <t>DNV Business Assurance Sweden AB, Solna, SE</t>
        </is>
      </c>
      <c r="D4453" t="inlineStr">
        <is>
          <t>04.05.2027</t>
        </is>
      </c>
      <c r="E4453" t="inlineStr">
        <is>
          <t>Italy</t>
        </is>
      </c>
    </row>
    <row r="4454">
      <c r="A4454" t="inlineStr">
        <is>
          <t>Evergreen Oil &amp; Feed Sdn Bhd,  Melaka, Malaysia</t>
        </is>
      </c>
      <c r="B4454" t="inlineStr">
        <is>
          <t>Collecting Point, Trader with Storage</t>
        </is>
      </c>
      <c r="C4454" t="inlineStr">
        <is>
          <t>Trans Certification and Inspection Sdn Bhd, Kuantan, MY</t>
        </is>
      </c>
      <c r="D4454" t="inlineStr">
        <is>
          <t>04.05.2027</t>
        </is>
      </c>
      <c r="E4454" t="inlineStr">
        <is>
          <t>Malaysia</t>
        </is>
      </c>
    </row>
    <row r="4455">
      <c r="A4455" t="inlineStr">
        <is>
          <t>TOYOTA TSUSHO (TAIWAN) CO., LTD.,  Taipei, Taiwan, Province of China</t>
        </is>
      </c>
      <c r="B4455" t="inlineStr">
        <is>
          <t>Trader</t>
        </is>
      </c>
      <c r="C4455" t="inlineStr">
        <is>
          <t>Bureau Veritas Polska Sp. z o.o., Warsaw, PL</t>
        </is>
      </c>
      <c r="D4455" t="inlineStr">
        <is>
          <t>04.05.2027</t>
        </is>
      </c>
      <c r="E4455" t="inlineStr">
        <is>
          <t>Province of China</t>
        </is>
      </c>
    </row>
    <row r="4456">
      <c r="A4456" t="inlineStr">
        <is>
          <t>Cangzhou Chonglan Renewable Resources Co. Ltd.,  Cangzhou City, Hebei Province, China</t>
        </is>
      </c>
      <c r="B4456" t="inlineStr">
        <is>
          <t>Collecting Point, Trader with Storage</t>
        </is>
      </c>
      <c r="C4456" t="inlineStr">
        <is>
          <t>SCS Global Services, Emeryville, CA, US</t>
        </is>
      </c>
      <c r="D4456" t="inlineStr">
        <is>
          <t>04.05.2027</t>
        </is>
      </c>
      <c r="E4456" t="inlineStr">
        <is>
          <t>China</t>
        </is>
      </c>
    </row>
    <row r="4457">
      <c r="A4457" t="inlineStr">
        <is>
          <t>PT Jalur Pusaka Sakti Kumala,  Pekanbaru, Indonesia</t>
        </is>
      </c>
      <c r="B4457" t="inlineStr">
        <is>
          <t>Point of Origin</t>
        </is>
      </c>
      <c r="C4457" t="inlineStr">
        <is>
          <t>PT Intertek Utama Services, Jakarta, ID</t>
        </is>
      </c>
      <c r="D4457" t="inlineStr">
        <is>
          <t>04.05.2027</t>
        </is>
      </c>
      <c r="E4457" t="inlineStr">
        <is>
          <t>Indonesia</t>
        </is>
      </c>
    </row>
    <row r="4458">
      <c r="A4458" t="inlineStr">
        <is>
          <t>Indorama Petrochemicals,  Cilegon, Indonesia</t>
        </is>
      </c>
      <c r="B4458" t="inlineStr">
        <is>
          <t>Processing Unit</t>
        </is>
      </c>
      <c r="C4458" t="inlineStr">
        <is>
          <t>PT Intertek Utama Services, Jakarta, ID</t>
        </is>
      </c>
      <c r="D4458" t="inlineStr">
        <is>
          <t>04.05.2027</t>
        </is>
      </c>
      <c r="E4458" t="inlineStr">
        <is>
          <t>Indonesia</t>
        </is>
      </c>
    </row>
    <row r="4459">
      <c r="A4459" t="inlineStr">
        <is>
          <t>Raizen North America,  Houston TX, United States</t>
        </is>
      </c>
      <c r="B4459" t="inlineStr">
        <is>
          <t>Trader</t>
        </is>
      </c>
      <c r="C4459" t="inlineStr">
        <is>
          <t>PT Intertek Utama Services, Jakarta, ID</t>
        </is>
      </c>
      <c r="D4459" t="inlineStr">
        <is>
          <t>04.05.2027</t>
        </is>
      </c>
      <c r="E4459" t="inlineStr">
        <is>
          <t>United States</t>
        </is>
      </c>
    </row>
    <row r="4460">
      <c r="A4460" t="inlineStr">
        <is>
          <t>MOLINO NALDONI SRL,  Faenza (RA), Italy</t>
        </is>
      </c>
      <c r="B4460" t="inlineStr">
        <is>
          <t>Processing Unit</t>
        </is>
      </c>
      <c r="C4460" t="inlineStr">
        <is>
          <t>RINA Services S.p.A., Genova, IT</t>
        </is>
      </c>
      <c r="D4460" t="inlineStr">
        <is>
          <t>04.05.2027</t>
        </is>
      </c>
      <c r="E4460" t="inlineStr">
        <is>
          <t>Italy</t>
        </is>
      </c>
    </row>
    <row r="4461">
      <c r="A4461" t="inlineStr">
        <is>
          <t>Raizen North America,  Houston TX, United States</t>
        </is>
      </c>
      <c r="B4461" t="inlineStr">
        <is>
          <t>Trader with Storage</t>
        </is>
      </c>
      <c r="C4461" t="inlineStr">
        <is>
          <t>PT Intertek Utama Services, Jakarta, ID</t>
        </is>
      </c>
      <c r="D4461" t="inlineStr">
        <is>
          <t>04.05.2027</t>
        </is>
      </c>
      <c r="E4461" t="inlineStr">
        <is>
          <t>United States</t>
        </is>
      </c>
    </row>
    <row r="4462">
      <c r="A4462" t="inlineStr">
        <is>
          <t>Sentosa Bumi Wijaya,  Bengkayang, Indonesia</t>
        </is>
      </c>
      <c r="B4462" t="inlineStr">
        <is>
          <t>Point of Origin</t>
        </is>
      </c>
      <c r="C4462" t="inlineStr">
        <is>
          <t>PT. Qualitas Sertifikasi Indonesia, Jakarta, ID</t>
        </is>
      </c>
      <c r="D4462" t="inlineStr">
        <is>
          <t>04.05.2027</t>
        </is>
      </c>
      <c r="E4462" t="inlineStr">
        <is>
          <t>Indonesia</t>
        </is>
      </c>
    </row>
    <row r="4463">
      <c r="A4463" t="inlineStr">
        <is>
          <t>Sentosa Bumi Wijaya,  Bengkayang, Indonesia</t>
        </is>
      </c>
      <c r="B4463" t="inlineStr">
        <is>
          <t>Point of Origin</t>
        </is>
      </c>
      <c r="C4463" t="inlineStr">
        <is>
          <t>PT. Qualitas Sertifikasi Indonesia, Jakarta, ID</t>
        </is>
      </c>
      <c r="D4463" t="inlineStr">
        <is>
          <t>04.05.2027</t>
        </is>
      </c>
      <c r="E4463" t="inlineStr">
        <is>
          <t>Indonesia</t>
        </is>
      </c>
    </row>
    <row r="4464">
      <c r="A4464" t="inlineStr">
        <is>
          <t>Chevron Products UK Ltd,  London, United Kingdom</t>
        </is>
      </c>
      <c r="B4464" t="inlineStr">
        <is>
          <t>Trader with Storage</t>
        </is>
      </c>
      <c r="C4464" t="inlineStr">
        <is>
          <t>SCS Global Services, Emeryville, CA, US</t>
        </is>
      </c>
      <c r="D4464" t="inlineStr">
        <is>
          <t>04.05.2027</t>
        </is>
      </c>
      <c r="E4464" t="inlineStr">
        <is>
          <t>United Kingdom</t>
        </is>
      </c>
    </row>
    <row r="4465">
      <c r="A4465" t="inlineStr">
        <is>
          <t>Chevron BV,  London, United Kingdom</t>
        </is>
      </c>
      <c r="B4465" t="inlineStr">
        <is>
          <t>Trader with Storage</t>
        </is>
      </c>
      <c r="C4465" t="inlineStr">
        <is>
          <t>SCS Global Services, Emeryville, CA, US</t>
        </is>
      </c>
      <c r="D4465" t="inlineStr">
        <is>
          <t>04.05.2027</t>
        </is>
      </c>
      <c r="E4465" t="inlineStr">
        <is>
          <t>United Kingdom</t>
        </is>
      </c>
    </row>
    <row r="4466">
      <c r="A4466" t="inlineStr">
        <is>
          <t>Chevron Products UK Ltd,  London, United Kingdom</t>
        </is>
      </c>
      <c r="B4466" t="inlineStr">
        <is>
          <t>Trader with Storage</t>
        </is>
      </c>
      <c r="C4466" t="inlineStr">
        <is>
          <t>SCS Global Services, Emeryville, CA, US</t>
        </is>
      </c>
      <c r="D4466" t="inlineStr">
        <is>
          <t>04.05.2027</t>
        </is>
      </c>
      <c r="E4466" t="inlineStr">
        <is>
          <t>United Kingdom</t>
        </is>
      </c>
    </row>
    <row r="4467">
      <c r="A4467" t="inlineStr">
        <is>
          <t>Chevron BV,  London, United Kingdom</t>
        </is>
      </c>
      <c r="B4467" t="inlineStr">
        <is>
          <t>Trader with Storage</t>
        </is>
      </c>
      <c r="C4467" t="inlineStr">
        <is>
          <t>SCS Global Services, Emeryville, CA, US</t>
        </is>
      </c>
      <c r="D4467" t="inlineStr">
        <is>
          <t>04.05.2027</t>
        </is>
      </c>
      <c r="E4467" t="inlineStr">
        <is>
          <t>United Kingdom</t>
        </is>
      </c>
    </row>
    <row r="4468">
      <c r="A4468" t="inlineStr">
        <is>
          <t>EFG Elbe Fetthandel GmbH,  Geesthacht, Germany</t>
        </is>
      </c>
      <c r="B4468" t="inlineStr">
        <is>
          <t>Trader</t>
        </is>
      </c>
      <c r="C4468" t="inlineStr">
        <is>
          <t>DEKRA Certification GmbH, Stuttgart, DE</t>
        </is>
      </c>
      <c r="D4468" t="inlineStr">
        <is>
          <t>04.05.2027</t>
        </is>
      </c>
      <c r="E4468" t="inlineStr">
        <is>
          <t>Germany</t>
        </is>
      </c>
    </row>
    <row r="4469">
      <c r="A4469" t="inlineStr">
        <is>
          <t>Vestolit GmbH,  Marl, Germany</t>
        </is>
      </c>
      <c r="B4469" t="inlineStr">
        <is>
          <t>Processing Unit</t>
        </is>
      </c>
      <c r="C4469" t="inlineStr">
        <is>
          <t>GUT Certifizierungsgesellschaft für Managementsysteme mbH Umweltgutachter, Berlin, DE</t>
        </is>
      </c>
      <c r="D4469" t="inlineStr">
        <is>
          <t>04.05.2027</t>
        </is>
      </c>
      <c r="E4469" t="inlineStr">
        <is>
          <t>Germany</t>
        </is>
      </c>
    </row>
    <row r="4470">
      <c r="A4470" t="inlineStr">
        <is>
          <t>CU TUONG Co., Ltd,  Thu Dau Mot Town, Binh Duong Province, Vietnam</t>
        </is>
      </c>
      <c r="B4470" t="inlineStr">
        <is>
          <t>Processing Unit, Trader with Storage</t>
        </is>
      </c>
      <c r="C4470" t="inlineStr">
        <is>
          <t>China Quality Certification Centre Co., Ltd., Beijing, CN</t>
        </is>
      </c>
      <c r="D4470" t="inlineStr">
        <is>
          <t>04.05.2027</t>
        </is>
      </c>
      <c r="E4470" t="inlineStr">
        <is>
          <t>Vietnam</t>
        </is>
      </c>
    </row>
    <row r="4471">
      <c r="A4471" t="inlineStr">
        <is>
          <t>ATEV Zrt.,  Budapest, Hungary</t>
        </is>
      </c>
      <c r="B4471" t="inlineStr">
        <is>
          <t>Central Office (Group of Point of Origin)</t>
        </is>
      </c>
      <c r="C4471" t="inlineStr">
        <is>
          <t>BM Certification, Riga, LV</t>
        </is>
      </c>
      <c r="D4471" t="inlineStr">
        <is>
          <t>04.05.2027</t>
        </is>
      </c>
      <c r="E4471" t="inlineStr">
        <is>
          <t>Hungary</t>
        </is>
      </c>
    </row>
    <row r="4472">
      <c r="A4472" t="inlineStr">
        <is>
          <t>Ecoson B.V.,  Son en Breugel, Netherlands</t>
        </is>
      </c>
      <c r="B4472" t="inlineStr">
        <is>
          <t>Collecting Point, Trader with Storage, Processing Unit</t>
        </is>
      </c>
      <c r="C4472" t="inlineStr">
        <is>
          <t>DEKRA Certification B.V., Arnhem, NL</t>
        </is>
      </c>
      <c r="D4472" t="inlineStr">
        <is>
          <t>04.05.2027</t>
        </is>
      </c>
      <c r="E4472" t="inlineStr">
        <is>
          <t>Netherlands</t>
        </is>
      </c>
    </row>
    <row r="4473">
      <c r="A4473" t="inlineStr">
        <is>
          <t>Rendac Son B.V.,  Son en Breugel, Netherlands</t>
        </is>
      </c>
      <c r="B4473" t="inlineStr">
        <is>
          <t>Point of Origin, Trader with Storage</t>
        </is>
      </c>
      <c r="C4473" t="inlineStr">
        <is>
          <t>DEKRA Certification B.V., Arnhem, NL</t>
        </is>
      </c>
      <c r="D4473" t="inlineStr">
        <is>
          <t>04.05.2027</t>
        </is>
      </c>
      <c r="E4473" t="inlineStr">
        <is>
          <t>Netherlands</t>
        </is>
      </c>
    </row>
    <row r="4474">
      <c r="A4474" t="inlineStr">
        <is>
          <t>Select New Energies GmbH,  Hamburg, Germany</t>
        </is>
      </c>
      <c r="B4474" t="inlineStr">
        <is>
          <t>Trader</t>
        </is>
      </c>
      <c r="C4474" t="inlineStr">
        <is>
          <t>SGS Germany GmbH, Emstek, DE</t>
        </is>
      </c>
      <c r="D4474" t="inlineStr">
        <is>
          <t>04.05.2027</t>
        </is>
      </c>
      <c r="E4474" t="inlineStr">
        <is>
          <t>Germany</t>
        </is>
      </c>
    </row>
    <row r="4475">
      <c r="A4475" t="inlineStr">
        <is>
          <t>Ik.plast Co., Ltd.,  Mihamacho, Mikatagun, Fukui, Japan</t>
        </is>
      </c>
      <c r="B4475" t="inlineStr">
        <is>
          <t>Final Product Refinement, Processing Unit</t>
        </is>
      </c>
      <c r="C4475" t="inlineStr">
        <is>
          <t>SGS Germany GmbH, Emstek, DE</t>
        </is>
      </c>
      <c r="D4475" t="inlineStr">
        <is>
          <t>04.05.2027</t>
        </is>
      </c>
      <c r="E4475" t="inlineStr">
        <is>
          <t>Japan</t>
        </is>
      </c>
    </row>
    <row r="4476">
      <c r="A4476" t="inlineStr">
        <is>
          <t>Clean Oils Incorporated,  Cebu City, Philippines</t>
        </is>
      </c>
      <c r="B4476" t="inlineStr">
        <is>
          <t>Collecting Point</t>
        </is>
      </c>
      <c r="C4476" t="inlineStr">
        <is>
          <t>PT SBC Asia Sertifikasi, Kebumen, ID</t>
        </is>
      </c>
      <c r="D4476" t="inlineStr">
        <is>
          <t>04.05.2027</t>
        </is>
      </c>
      <c r="E4476" t="inlineStr">
        <is>
          <t>Philippines</t>
        </is>
      </c>
    </row>
    <row r="4477">
      <c r="A4477" t="inlineStr">
        <is>
          <t>Sunoil Bio Fuels B.V.,  Emmen, Netherlands</t>
        </is>
      </c>
      <c r="B4477" t="inlineStr">
        <is>
          <t>Collecting Point, Point of Origin, Processing Unit, Trader with Storage</t>
        </is>
      </c>
      <c r="C4477" t="inlineStr">
        <is>
          <t>Normec QS BV, Ede, NL</t>
        </is>
      </c>
      <c r="D4477" t="inlineStr">
        <is>
          <t>04.05.2027</t>
        </is>
      </c>
      <c r="E4477" t="inlineStr">
        <is>
          <t>Netherlands</t>
        </is>
      </c>
    </row>
    <row r="4478">
      <c r="A4478" t="inlineStr">
        <is>
          <t>STANDARD RE-OIL COMPANY,  Ivano-Frankivsk region, village of Yamnytsia, Ukraine</t>
        </is>
      </c>
      <c r="B4478" t="inlineStr">
        <is>
          <t>Collecting Point, Processing Unit</t>
        </is>
      </c>
      <c r="C4478" t="inlineStr">
        <is>
          <t>BM Certification, Riga, LV</t>
        </is>
      </c>
      <c r="D4478" t="inlineStr">
        <is>
          <t>04.05.2027</t>
        </is>
      </c>
      <c r="E4478" t="inlineStr">
        <is>
          <t>Ukraine</t>
        </is>
      </c>
    </row>
    <row r="4479">
      <c r="A4479" t="inlineStr">
        <is>
          <t>FOX 1000 LTD.,  Topoli village, Bulgaria</t>
        </is>
      </c>
      <c r="B4479" t="inlineStr">
        <is>
          <t>First Gathering Point, Trader with Storage</t>
        </is>
      </c>
      <c r="C4479" t="inlineStr">
        <is>
          <t>Baltic Control Certification, Albertslund, DK</t>
        </is>
      </c>
      <c r="D4479" t="inlineStr">
        <is>
          <t>04.05.2027</t>
        </is>
      </c>
      <c r="E4479" t="inlineStr">
        <is>
          <t>Bulgaria</t>
        </is>
      </c>
    </row>
    <row r="4480">
      <c r="A4480" t="inlineStr">
        <is>
          <t>PT AGRAPANA INDO SEJAHTERA,  TANGRANG BANTEN, Indonesia</t>
        </is>
      </c>
      <c r="B4480" t="inlineStr">
        <is>
          <t>Collecting Point, Trader with Storage</t>
        </is>
      </c>
      <c r="C4480" t="inlineStr">
        <is>
          <t>PT TSI Sertifikasi Internasional, Jakarta Selatang, ID</t>
        </is>
      </c>
      <c r="D4480" t="inlineStr">
        <is>
          <t>04.05.2027</t>
        </is>
      </c>
      <c r="E4480" t="inlineStr">
        <is>
          <t>Indonesia</t>
        </is>
      </c>
    </row>
    <row r="4481">
      <c r="A4481" t="inlineStr">
        <is>
          <t>United Palm Oil Industry Public Company Limited,  Krabi, Thailand</t>
        </is>
      </c>
      <c r="B4481" t="inlineStr">
        <is>
          <t>Point of Origin</t>
        </is>
      </c>
      <c r="C4481" t="inlineStr">
        <is>
          <t>Control Union Poland Sp. z o.o., Zielona Gora, PL</t>
        </is>
      </c>
      <c r="D4481" t="inlineStr">
        <is>
          <t>04.05.2027</t>
        </is>
      </c>
      <c r="E4481" t="inlineStr">
        <is>
          <t>Thailand</t>
        </is>
      </c>
    </row>
    <row r="4482">
      <c r="A4482" t="inlineStr">
        <is>
          <t>Nippon Shokubai America,  Pasadena, United States</t>
        </is>
      </c>
      <c r="B4482" t="inlineStr">
        <is>
          <t>Processing Unit, Trader with Storage</t>
        </is>
      </c>
      <c r="C4482" t="inlineStr">
        <is>
          <t>DNV Business Assurance Sweden AB, Solna, SE</t>
        </is>
      </c>
      <c r="D4482" t="inlineStr">
        <is>
          <t>04.05.2027</t>
        </is>
      </c>
      <c r="E4482" t="inlineStr">
        <is>
          <t>United States</t>
        </is>
      </c>
    </row>
    <row r="4483">
      <c r="A4483" t="inlineStr">
        <is>
          <t>O.F., spol. s. r.o.,  Sládkovičovo, Slovakia</t>
        </is>
      </c>
      <c r="B4483" t="inlineStr">
        <is>
          <t>First Gathering Point, Trader</t>
        </is>
      </c>
      <c r="C4483" t="inlineStr">
        <is>
          <t>Bureau Veritas Polska Sp. z o.o., Warsaw, PL</t>
        </is>
      </c>
      <c r="D4483" t="inlineStr">
        <is>
          <t>04.05.2027</t>
        </is>
      </c>
      <c r="E4483" t="inlineStr">
        <is>
          <t>Slovakia</t>
        </is>
      </c>
    </row>
    <row r="4484">
      <c r="A4484" t="inlineStr">
        <is>
          <t>O.F., spol. s. r.o.,  Sládkovičovo, Slovakia</t>
        </is>
      </c>
      <c r="B4484" t="inlineStr">
        <is>
          <t>First Gathering Point, Trader</t>
        </is>
      </c>
      <c r="C4484" t="inlineStr">
        <is>
          <t>Bureau Veritas Polska Sp. z o.o., Warsaw, PL</t>
        </is>
      </c>
      <c r="D4484" t="inlineStr">
        <is>
          <t>04.05.2027</t>
        </is>
      </c>
      <c r="E4484" t="inlineStr">
        <is>
          <t>Slovakia</t>
        </is>
      </c>
    </row>
    <row r="4485">
      <c r="A4485" t="inlineStr">
        <is>
          <t>LAVYS Industrial and Commercial S.A.,  Larisa, Greece</t>
        </is>
      </c>
      <c r="B4485" t="inlineStr">
        <is>
          <t>Point of Origin</t>
        </is>
      </c>
      <c r="C4485" t="inlineStr">
        <is>
          <t>QMSCERT S.A., Pylaia, Thessaloniki, GR</t>
        </is>
      </c>
      <c r="D4485" t="inlineStr">
        <is>
          <t>04.05.2027</t>
        </is>
      </c>
      <c r="E4485" t="inlineStr">
        <is>
          <t>Greece</t>
        </is>
      </c>
    </row>
    <row r="4486">
      <c r="A4486" t="inlineStr">
        <is>
          <t>Axereal Hungary Kft.,  Budapest, Hungary</t>
        </is>
      </c>
      <c r="B4486" t="inlineStr">
        <is>
          <t>First Gathering Point, Trader with Storage</t>
        </is>
      </c>
      <c r="C4486" t="inlineStr">
        <is>
          <t>Amspec Iberia SL, Vilagarcia de Arousa-Pontevedra, ES</t>
        </is>
      </c>
      <c r="D4486" t="inlineStr">
        <is>
          <t>04.05.2027</t>
        </is>
      </c>
      <c r="E4486" t="inlineStr">
        <is>
          <t>Hungary</t>
        </is>
      </c>
    </row>
    <row r="4487">
      <c r="A4487" t="inlineStr">
        <is>
          <t>Polyplastics USA, Inc.,  Farmington Hills, United States</t>
        </is>
      </c>
      <c r="B4487" t="inlineStr">
        <is>
          <t>Trader with Storage</t>
        </is>
      </c>
      <c r="C4487" t="inlineStr">
        <is>
          <t>SGS Germany GmbH, Emstek, DE</t>
        </is>
      </c>
      <c r="D4487" t="inlineStr">
        <is>
          <t>04.05.2027</t>
        </is>
      </c>
      <c r="E4487" t="inlineStr">
        <is>
          <t>United States</t>
        </is>
      </c>
    </row>
    <row r="4488">
      <c r="A4488" t="inlineStr">
        <is>
          <t>GENESIS BIOTECH,  Filipestii de Padure, Romania</t>
        </is>
      </c>
      <c r="B4488" t="inlineStr">
        <is>
          <t>Collecting Point, Processing Unit</t>
        </is>
      </c>
      <c r="C4488" t="inlineStr">
        <is>
          <t>SRAC Cert SRL, Bucharest, RO</t>
        </is>
      </c>
      <c r="D4488" t="inlineStr">
        <is>
          <t>04.05.2027</t>
        </is>
      </c>
      <c r="E4488" t="inlineStr">
        <is>
          <t>Romania</t>
        </is>
      </c>
    </row>
    <row r="4489">
      <c r="A4489" t="inlineStr">
        <is>
          <t>Yara Brasil Fertilizantes,  Cubatão, Brazil</t>
        </is>
      </c>
      <c r="B4489" t="inlineStr">
        <is>
          <t>Processing Unit, Point of Origin</t>
        </is>
      </c>
      <c r="C4489" t="inlineStr">
        <is>
          <t>SCS Global Services, Emeryville, CA, US</t>
        </is>
      </c>
      <c r="D4489" t="inlineStr">
        <is>
          <t>04.05.2027</t>
        </is>
      </c>
      <c r="E4489" t="inlineStr">
        <is>
          <t>Brazil</t>
        </is>
      </c>
    </row>
    <row r="4490">
      <c r="A4490" t="inlineStr">
        <is>
          <t>Yara Brasil Fertilizantes,  Cubatão, Brazil</t>
        </is>
      </c>
      <c r="B4490" t="inlineStr">
        <is>
          <t>Processing Unit</t>
        </is>
      </c>
      <c r="C4490" t="inlineStr">
        <is>
          <t>SCS Global Services, Emeryville, CA, US</t>
        </is>
      </c>
      <c r="D4490" t="inlineStr">
        <is>
          <t>04.05.2027</t>
        </is>
      </c>
      <c r="E4490" t="inlineStr">
        <is>
          <t>Brazil</t>
        </is>
      </c>
    </row>
    <row r="4491">
      <c r="A4491" t="inlineStr">
        <is>
          <t>GENESIS BIOTECH,  Filipestii de Padure, Romania</t>
        </is>
      </c>
      <c r="B4491" t="inlineStr">
        <is>
          <t>Collecting Point, Processing Unit</t>
        </is>
      </c>
      <c r="C4491" t="inlineStr">
        <is>
          <t>SRAC Cert SRL, Bucharest, RO</t>
        </is>
      </c>
      <c r="D4491" t="inlineStr">
        <is>
          <t>04.05.2027</t>
        </is>
      </c>
      <c r="E4491" t="inlineStr">
        <is>
          <t>Romania</t>
        </is>
      </c>
    </row>
    <row r="4492">
      <c r="A4492" t="inlineStr">
        <is>
          <t>VALORIZZAZIONE BIOMASSE S.R.L.,  ORSAGO, Italy</t>
        </is>
      </c>
      <c r="B4492" t="inlineStr">
        <is>
          <t>Trader, First Gathering Point, Collecting Point</t>
        </is>
      </c>
      <c r="C4492" t="inlineStr">
        <is>
          <t>RINA Services S.p.A., Genova, IT</t>
        </is>
      </c>
      <c r="D4492" t="inlineStr">
        <is>
          <t>04.05.2027</t>
        </is>
      </c>
      <c r="E4492" t="inlineStr">
        <is>
          <t>Italy</t>
        </is>
      </c>
    </row>
    <row r="4493">
      <c r="A4493" t="inlineStr">
        <is>
          <t>Casillo,  Sorbolo (PR), Italy</t>
        </is>
      </c>
      <c r="B4493" t="inlineStr">
        <is>
          <t>Processing Unit</t>
        </is>
      </c>
      <c r="C4493" t="inlineStr">
        <is>
          <t>RINA Services S.p.A., Genova, IT</t>
        </is>
      </c>
      <c r="D4493" t="inlineStr">
        <is>
          <t>04.05.2027</t>
        </is>
      </c>
      <c r="E4493" t="inlineStr">
        <is>
          <t>Italy</t>
        </is>
      </c>
    </row>
    <row r="4494">
      <c r="A4494" t="inlineStr">
        <is>
          <t>Emballator Växjö AB,  Växjö, Sweden</t>
        </is>
      </c>
      <c r="B4494" t="inlineStr">
        <is>
          <t>Processing Unit</t>
        </is>
      </c>
      <c r="C4494" t="inlineStr">
        <is>
          <t>Bureau Veritas Polska Sp. z o.o., Warsaw, PL</t>
        </is>
      </c>
      <c r="D4494" t="inlineStr">
        <is>
          <t>04.05.2027</t>
        </is>
      </c>
      <c r="E4494" t="inlineStr">
        <is>
          <t>Sweden</t>
        </is>
      </c>
    </row>
    <row r="4495">
      <c r="A4495" t="inlineStr">
        <is>
          <t>Johor Plantations Group Berhad,  Mukim Sedenak, Kulai, Malaysia</t>
        </is>
      </c>
      <c r="B4495" t="inlineStr">
        <is>
          <t>Point of Origin</t>
        </is>
      </c>
      <c r="C4495" t="inlineStr">
        <is>
          <t>ASG Cert GmbH, Munich, DE</t>
        </is>
      </c>
      <c r="D4495" t="inlineStr">
        <is>
          <t>04.05.2027</t>
        </is>
      </c>
      <c r="E4495" t="inlineStr">
        <is>
          <t>Malaysia</t>
        </is>
      </c>
    </row>
    <row r="4496">
      <c r="A4496" t="inlineStr">
        <is>
          <t>AGRO FOND LLC,  village Ponykovytsia, Ukraine</t>
        </is>
      </c>
      <c r="B4496" t="inlineStr">
        <is>
          <t>Point of Origin, First Gathering Point, Processing Unit, Trader with Storage</t>
        </is>
      </c>
      <c r="C4496" t="inlineStr">
        <is>
          <t>United Registrar of Systems Polska Sp. z o.o., Wrocław, PL</t>
        </is>
      </c>
      <c r="D4496" t="inlineStr">
        <is>
          <t>04.05.2027</t>
        </is>
      </c>
      <c r="E4496" t="inlineStr">
        <is>
          <t>Ukraine</t>
        </is>
      </c>
    </row>
    <row r="4497">
      <c r="A4497" t="inlineStr">
        <is>
          <t>Recykl Organizacja Odzysku,  Śrem, Poland</t>
        </is>
      </c>
      <c r="B4497" t="inlineStr">
        <is>
          <t>Collecting Point, Processing Unit</t>
        </is>
      </c>
      <c r="C4497" t="inlineStr">
        <is>
          <t>Control Union Poland Sp. z o.o., Zielona Gora, PL</t>
        </is>
      </c>
      <c r="D4497" t="inlineStr">
        <is>
          <t>04.05.2027</t>
        </is>
      </c>
      <c r="E4497" t="inlineStr">
        <is>
          <t>Poland</t>
        </is>
      </c>
    </row>
    <row r="4498">
      <c r="A4498" t="inlineStr">
        <is>
          <t>GG Biogas LTU,  Ozo g. 10A-10, Vilnius, Lithuania</t>
        </is>
      </c>
      <c r="B4498" t="inlineStr">
        <is>
          <t>Trader</t>
        </is>
      </c>
      <c r="C4498" t="inlineStr">
        <is>
          <t>Bureau Veritas Polska Sp. z o.o., Warsaw, PL</t>
        </is>
      </c>
      <c r="D4498" t="inlineStr">
        <is>
          <t>04.05.2027</t>
        </is>
      </c>
      <c r="E4498" t="inlineStr">
        <is>
          <t>Lithuania</t>
        </is>
      </c>
    </row>
    <row r="4499">
      <c r="A4499" t="inlineStr">
        <is>
          <t>Shell &amp; Topaz Aviation Ireland Limited,  Dublin, Ireland</t>
        </is>
      </c>
      <c r="B4499" t="inlineStr">
        <is>
          <t>Trader with Storage, Proof of Compliance Trader</t>
        </is>
      </c>
      <c r="C4499" t="inlineStr">
        <is>
          <t>SGS Germany GmbH, Emstek, DE</t>
        </is>
      </c>
      <c r="D4499" t="inlineStr">
        <is>
          <t>04.05.2027</t>
        </is>
      </c>
      <c r="E4499" t="inlineStr">
        <is>
          <t>Ireland</t>
        </is>
      </c>
    </row>
    <row r="4500">
      <c r="A4500" t="inlineStr">
        <is>
          <t>ILSAP S.r.l.,  Lamezia Terme, Italy</t>
        </is>
      </c>
      <c r="B4500" t="inlineStr">
        <is>
          <t>Point of Origin, Trader with Storage</t>
        </is>
      </c>
      <c r="C4500" t="inlineStr">
        <is>
          <t>SGS Germany GmbH, Emstek, DE</t>
        </is>
      </c>
      <c r="D4500" t="inlineStr">
        <is>
          <t>04.05.2027</t>
        </is>
      </c>
      <c r="E4500" t="inlineStr">
        <is>
          <t>Italy</t>
        </is>
      </c>
    </row>
    <row r="4501">
      <c r="A4501" t="inlineStr">
        <is>
          <t>Korea Bioenergy,  Jeongeup-si, Jeonbuk, South Korea</t>
        </is>
      </c>
      <c r="B4501" t="inlineStr">
        <is>
          <t>Trader with Storage</t>
        </is>
      </c>
      <c r="C4501" t="inlineStr">
        <is>
          <t>Control Union Certifications Germany GmbH, Berlin, DE</t>
        </is>
      </c>
      <c r="D4501" t="inlineStr">
        <is>
          <t>04.05.2027</t>
        </is>
      </c>
      <c r="E4501" t="inlineStr">
        <is>
          <t>South Korea</t>
        </is>
      </c>
    </row>
    <row r="4502">
      <c r="A4502" t="inlineStr">
        <is>
          <t>PT Agrowiratama,  Kabupaten Pasaman Barat, Provinsi Sumatera Barat, Indonesia</t>
        </is>
      </c>
      <c r="B4502" t="inlineStr">
        <is>
          <t>Farm / Plantation</t>
        </is>
      </c>
      <c r="C4502" t="inlineStr">
        <is>
          <t>Control Union Certifications Germany GmbH, Berlin, DE</t>
        </is>
      </c>
      <c r="D4502" t="inlineStr">
        <is>
          <t>03.05.2027</t>
        </is>
      </c>
      <c r="E4502" t="inlineStr">
        <is>
          <t>Indonesia</t>
        </is>
      </c>
    </row>
    <row r="4503">
      <c r="A4503" t="inlineStr">
        <is>
          <t>CNAF Hunan Airport Petroleum Co., Ltd.,  Changsha County, Hunan Province, China</t>
        </is>
      </c>
      <c r="B4503" t="inlineStr">
        <is>
          <t>Trader</t>
        </is>
      </c>
      <c r="C4503" t="inlineStr">
        <is>
          <t>SCS Global Services, Emeryville, CA, US</t>
        </is>
      </c>
      <c r="D4503" t="inlineStr">
        <is>
          <t>03.05.2027</t>
        </is>
      </c>
      <c r="E4503" t="inlineStr">
        <is>
          <t>China</t>
        </is>
      </c>
    </row>
    <row r="4504">
      <c r="A4504" t="inlineStr">
        <is>
          <t>CNAF Hunan Airport Petroleum Co., Ltd.,  Changsha County, Hunan Province, China</t>
        </is>
      </c>
      <c r="B4504" t="inlineStr">
        <is>
          <t>Trader</t>
        </is>
      </c>
      <c r="C4504" t="inlineStr">
        <is>
          <t>SCS Global Services, Emeryville, CA, US</t>
        </is>
      </c>
      <c r="D4504" t="inlineStr">
        <is>
          <t>03.05.2027</t>
        </is>
      </c>
      <c r="E4504" t="inlineStr">
        <is>
          <t>China</t>
        </is>
      </c>
    </row>
    <row r="4505">
      <c r="A4505" t="inlineStr">
        <is>
          <t>Ka Hin Optical Trading (Shenzhen) Company Limited,  Huizhou City, Guangdong Province,, China</t>
        </is>
      </c>
      <c r="B4505" t="inlineStr">
        <is>
          <t>Processing Unit</t>
        </is>
      </c>
      <c r="C4505" t="inlineStr">
        <is>
          <t>SCS Global Services, Emeryville, CA, US</t>
        </is>
      </c>
      <c r="D4505" t="inlineStr">
        <is>
          <t>03.05.2027</t>
        </is>
      </c>
      <c r="E4505" t="inlineStr">
        <is>
          <t>China</t>
        </is>
      </c>
    </row>
    <row r="4506">
      <c r="A4506" t="inlineStr">
        <is>
          <t>BUSINESS LOCATION SENYING ONE MEMBER COMPANY LIMITED - XINGSHENG Ⅱ VIETNAM SHOE MATERIAL FACTORY,  Hung Yen province, Vietnam</t>
        </is>
      </c>
      <c r="B4506" t="inlineStr">
        <is>
          <t>Processing Unit</t>
        </is>
      </c>
      <c r="C4506" t="inlineStr">
        <is>
          <t>SCS Global Services, Emeryville, CA, US</t>
        </is>
      </c>
      <c r="D4506" t="inlineStr">
        <is>
          <t>03.05.2027</t>
        </is>
      </c>
      <c r="E4506" t="inlineStr">
        <is>
          <t>Vietnam</t>
        </is>
      </c>
    </row>
    <row r="4507">
      <c r="A4507" t="inlineStr">
        <is>
          <t>PT Agrowiratama,  Kabupaten Pasaman Barat, Propinsi Sumatera Barat, Indonesia</t>
        </is>
      </c>
      <c r="B4507" t="inlineStr">
        <is>
          <t>Farm / Plantation, Point of Origin, Processing Unit</t>
        </is>
      </c>
      <c r="C4507" t="inlineStr">
        <is>
          <t>Control Union Certifications Germany GmbH, Berlin, DE</t>
        </is>
      </c>
      <c r="D4507" t="inlineStr">
        <is>
          <t>03.05.2027</t>
        </is>
      </c>
      <c r="E4507" t="inlineStr">
        <is>
          <t>Indonesia</t>
        </is>
      </c>
    </row>
    <row r="4508">
      <c r="A4508" t="inlineStr">
        <is>
          <t>OLIVA GRAINS SRL,  CONSTANTA, Romania</t>
        </is>
      </c>
      <c r="B4508" t="inlineStr">
        <is>
          <t>First Gathering Point, Trader with Storage</t>
        </is>
      </c>
      <c r="C4508" t="inlineStr">
        <is>
          <t>Control Union Certifications Germany GmbH, Berlin, DE</t>
        </is>
      </c>
      <c r="D4508" t="inlineStr">
        <is>
          <t>03.05.2027</t>
        </is>
      </c>
      <c r="E4508" t="inlineStr">
        <is>
          <t>Romania</t>
        </is>
      </c>
    </row>
    <row r="4509">
      <c r="A4509" t="inlineStr">
        <is>
          <t>Josef Kalous,  Hradec Králové, Czech Republic</t>
        </is>
      </c>
      <c r="B4509" t="inlineStr">
        <is>
          <t>Collecting Point, Trader with Storage</t>
        </is>
      </c>
      <c r="C4509" t="inlineStr">
        <is>
          <t>TÜV SÜD Czech s.r.o., Praha 4, CZ</t>
        </is>
      </c>
      <c r="D4509" t="inlineStr">
        <is>
          <t>03.05.2027</t>
        </is>
      </c>
      <c r="E4509" t="inlineStr">
        <is>
          <t>Czech Republic</t>
        </is>
      </c>
    </row>
    <row r="4510">
      <c r="A4510" t="inlineStr">
        <is>
          <t>MINERFIN, a.s.,  Bratislava, Slovakia</t>
        </is>
      </c>
      <c r="B4510" t="inlineStr">
        <is>
          <t>Trader</t>
        </is>
      </c>
      <c r="C4510" t="inlineStr">
        <is>
          <t>Bureau Veritas Polska Sp. z o.o., Warsaw, PL</t>
        </is>
      </c>
      <c r="D4510" t="inlineStr">
        <is>
          <t>03.05.2027</t>
        </is>
      </c>
      <c r="E4510" t="inlineStr">
        <is>
          <t>Slovakia</t>
        </is>
      </c>
    </row>
    <row r="4511">
      <c r="A4511" t="inlineStr">
        <is>
          <t>Windermere Oilseeds,  Windermere, Australia</t>
        </is>
      </c>
      <c r="B4511" t="inlineStr">
        <is>
          <t>Processing Unit</t>
        </is>
      </c>
      <c r="C4511" t="inlineStr">
        <is>
          <t>Control Union Certifications Germany GmbH, Berlin, DE</t>
        </is>
      </c>
      <c r="D4511" t="inlineStr">
        <is>
          <t>03.05.2027</t>
        </is>
      </c>
      <c r="E4511" t="inlineStr">
        <is>
          <t>Australia</t>
        </is>
      </c>
    </row>
    <row r="4512">
      <c r="A4512" t="inlineStr">
        <is>
          <t>CARLOS VEIGA FERNANDES &amp; FILHO, LDA.,  LANHELAS, Portugal</t>
        </is>
      </c>
      <c r="B4512" t="inlineStr">
        <is>
          <t>Trader</t>
        </is>
      </c>
      <c r="C4512" t="inlineStr">
        <is>
          <t>Amspec Iberia SL, Vilagarcia de Arousa-Pontevedra, ES</t>
        </is>
      </c>
      <c r="D4512" t="inlineStr">
        <is>
          <t>03.05.2027</t>
        </is>
      </c>
      <c r="E4512" t="inlineStr">
        <is>
          <t>Portugal</t>
        </is>
      </c>
    </row>
    <row r="4513">
      <c r="A4513" t="inlineStr">
        <is>
          <t>ADM Szamotuly,  Szamotuly, Poland</t>
        </is>
      </c>
      <c r="B4513" t="inlineStr">
        <is>
          <t>Processing Unit</t>
        </is>
      </c>
      <c r="C4513" t="inlineStr">
        <is>
          <t>SGS Germany GmbH, Emstek, DE</t>
        </is>
      </c>
      <c r="D4513" t="inlineStr">
        <is>
          <t>03.05.2027</t>
        </is>
      </c>
      <c r="E4513" t="inlineStr">
        <is>
          <t>Poland</t>
        </is>
      </c>
    </row>
    <row r="4514">
      <c r="A4514" t="inlineStr">
        <is>
          <t>ADM Szamotuly,  Szamotuly, Poland</t>
        </is>
      </c>
      <c r="B4514" t="inlineStr">
        <is>
          <t>First Gathering Point, Point of Origin, Processing Unit</t>
        </is>
      </c>
      <c r="C4514" t="inlineStr">
        <is>
          <t>SGS Germany GmbH, Emstek, DE</t>
        </is>
      </c>
      <c r="D4514" t="inlineStr">
        <is>
          <t>03.05.2027</t>
        </is>
      </c>
      <c r="E4514" t="inlineStr">
        <is>
          <t>Poland</t>
        </is>
      </c>
    </row>
    <row r="4515">
      <c r="A4515" t="inlineStr">
        <is>
          <t>Innovia Films México,  Zacapu, Michoacán, Mexico</t>
        </is>
      </c>
      <c r="B4515" t="inlineStr">
        <is>
          <t>Point of Origin, Processing Unit</t>
        </is>
      </c>
      <c r="C4515" t="inlineStr">
        <is>
          <t>SCS Global Services, Emeryville, CA, US</t>
        </is>
      </c>
      <c r="D4515" t="inlineStr">
        <is>
          <t>03.05.2027</t>
        </is>
      </c>
      <c r="E4515" t="inlineStr">
        <is>
          <t>Mexico</t>
        </is>
      </c>
    </row>
    <row r="4516">
      <c r="A4516" t="inlineStr">
        <is>
          <t>IJsselland Bio Fuels,  Kampen, Netherlands</t>
        </is>
      </c>
      <c r="B4516" t="inlineStr">
        <is>
          <t>Point of Origin, Collecting Point, Processing Unit, Trader with Storage</t>
        </is>
      </c>
      <c r="C4516" t="inlineStr">
        <is>
          <t>Normec QS BV, Ede, NL</t>
        </is>
      </c>
      <c r="D4516" t="inlineStr">
        <is>
          <t>03.05.2027</t>
        </is>
      </c>
      <c r="E4516" t="inlineStr">
        <is>
          <t>Netherlands</t>
        </is>
      </c>
    </row>
    <row r="4517">
      <c r="A4517" t="inlineStr">
        <is>
          <t>BIOEXIS,  Kozani, Greece</t>
        </is>
      </c>
      <c r="B4517" t="inlineStr">
        <is>
          <t>Point of Origin</t>
        </is>
      </c>
      <c r="C4517" t="inlineStr">
        <is>
          <t>QMSCERT S.A., Pylaia, Thessaloniki, GR</t>
        </is>
      </c>
      <c r="D4517" t="inlineStr">
        <is>
          <t>03.05.2027</t>
        </is>
      </c>
      <c r="E4517" t="inlineStr">
        <is>
          <t>Greece</t>
        </is>
      </c>
    </row>
    <row r="4518">
      <c r="A4518" t="inlineStr">
        <is>
          <t>Dart Container Corporation,  Leola, Pennsylvania, United States</t>
        </is>
      </c>
      <c r="B4518" t="inlineStr">
        <is>
          <t>Processing Unit</t>
        </is>
      </c>
      <c r="C4518" t="inlineStr">
        <is>
          <t>SCS Global Services, Emeryville, CA, US</t>
        </is>
      </c>
      <c r="D4518" t="inlineStr">
        <is>
          <t>03.05.2027</t>
        </is>
      </c>
      <c r="E4518" t="inlineStr">
        <is>
          <t>United States</t>
        </is>
      </c>
    </row>
    <row r="4519">
      <c r="A4519" t="inlineStr">
        <is>
          <t>Dart Container Corporation,  Thomaston, United States</t>
        </is>
      </c>
      <c r="B4519" t="inlineStr">
        <is>
          <t>Processing Unit</t>
        </is>
      </c>
      <c r="C4519" t="inlineStr">
        <is>
          <t>SCS Global Services, Emeryville, CA, US</t>
        </is>
      </c>
      <c r="D4519" t="inlineStr">
        <is>
          <t>03.05.2027</t>
        </is>
      </c>
      <c r="E4519" t="inlineStr">
        <is>
          <t>United States</t>
        </is>
      </c>
    </row>
    <row r="4520">
      <c r="A4520" t="inlineStr">
        <is>
          <t>Dart Container Corporation,  Horse Cave, KY, United States</t>
        </is>
      </c>
      <c r="B4520" t="inlineStr">
        <is>
          <t>Processing Unit</t>
        </is>
      </c>
      <c r="C4520" t="inlineStr">
        <is>
          <t>SCS Global Services, Emeryville, CA, US</t>
        </is>
      </c>
      <c r="D4520" t="inlineStr">
        <is>
          <t>03.05.2027</t>
        </is>
      </c>
      <c r="E4520" t="inlineStr">
        <is>
          <t>United States</t>
        </is>
      </c>
    </row>
    <row r="4521">
      <c r="A4521" t="inlineStr">
        <is>
          <t>Grand Toys Corporation Limited,  Kwai Chung, Hong Kong, China</t>
        </is>
      </c>
      <c r="B4521" t="inlineStr">
        <is>
          <t>Trader</t>
        </is>
      </c>
      <c r="C4521" t="inlineStr">
        <is>
          <t>DIN CERTCO GmbH, Berlin, DE</t>
        </is>
      </c>
      <c r="D4521" t="inlineStr">
        <is>
          <t>03.05.2027</t>
        </is>
      </c>
      <c r="E4521" t="inlineStr">
        <is>
          <t>China</t>
        </is>
      </c>
    </row>
    <row r="4522">
      <c r="A4522" t="inlineStr">
        <is>
          <t>CosMed GmbH &amp; Co. KG,  Löhne, Germany</t>
        </is>
      </c>
      <c r="B4522" t="inlineStr">
        <is>
          <t>Processing Unit</t>
        </is>
      </c>
      <c r="C4522" t="inlineStr">
        <is>
          <t>SGS Germany GmbH, Emstek, DE</t>
        </is>
      </c>
      <c r="D4522" t="inlineStr">
        <is>
          <t>03.05.2027</t>
        </is>
      </c>
      <c r="E4522" t="inlineStr">
        <is>
          <t>Germany</t>
        </is>
      </c>
    </row>
    <row r="4523">
      <c r="A4523" t="inlineStr">
        <is>
          <t>Cibus Supply &amp; Trading B.V.,  Amsterdam, Netherlands</t>
        </is>
      </c>
      <c r="B4523" t="inlineStr">
        <is>
          <t>Collecting Point, Trader with Storage</t>
        </is>
      </c>
      <c r="C4523" t="inlineStr">
        <is>
          <t>Normec QS BV, Ede, NL</t>
        </is>
      </c>
      <c r="D4523" t="inlineStr">
        <is>
          <t>03.05.2027</t>
        </is>
      </c>
      <c r="E4523" t="inlineStr">
        <is>
          <t>Netherlands</t>
        </is>
      </c>
    </row>
    <row r="4524">
      <c r="A4524" t="inlineStr">
        <is>
          <t>IJsselland Bio Fuels BV,  Emmen, Netherlands</t>
        </is>
      </c>
      <c r="B4524" t="inlineStr">
        <is>
          <t>Point of Origin, Collecting Point, Processing Unit</t>
        </is>
      </c>
      <c r="C4524" t="inlineStr">
        <is>
          <t>Normec QS BV, Ede, NL</t>
        </is>
      </c>
      <c r="D4524" t="inlineStr">
        <is>
          <t>03.05.2027</t>
        </is>
      </c>
      <c r="E4524" t="inlineStr">
        <is>
          <t>Netherlands</t>
        </is>
      </c>
    </row>
    <row r="4525">
      <c r="A4525" t="inlineStr">
        <is>
          <t>FORESIGHT RESOURCE LTD,  LONDON, United Kingdom</t>
        </is>
      </c>
      <c r="B4525" t="inlineStr">
        <is>
          <t>Trader</t>
        </is>
      </c>
      <c r="C4525" t="inlineStr">
        <is>
          <t>Guardian Independent Certification Limited, Singapore, SG</t>
        </is>
      </c>
      <c r="D4525" t="inlineStr">
        <is>
          <t>03.05.2027</t>
        </is>
      </c>
      <c r="E4525" t="inlineStr">
        <is>
          <t>United Kingdom</t>
        </is>
      </c>
    </row>
    <row r="4526">
      <c r="A4526" t="inlineStr">
        <is>
          <t>GREENFELT,  LONDON, United Kingdom</t>
        </is>
      </c>
      <c r="B4526" t="inlineStr">
        <is>
          <t>Trader</t>
        </is>
      </c>
      <c r="C4526" t="inlineStr">
        <is>
          <t>Guardian Independent Certification Limited, Singapore, SG</t>
        </is>
      </c>
      <c r="D4526" t="inlineStr">
        <is>
          <t>03.05.2027</t>
        </is>
      </c>
      <c r="E4526" t="inlineStr">
        <is>
          <t>United Kingdom</t>
        </is>
      </c>
    </row>
    <row r="4527">
      <c r="A4527" t="inlineStr">
        <is>
          <t>PT Indopenta Sejahtera Abadi,  Barito Timur, Indonesia</t>
        </is>
      </c>
      <c r="B4527" t="inlineStr">
        <is>
          <t>Point of Origin</t>
        </is>
      </c>
      <c r="C4527" t="inlineStr">
        <is>
          <t>SGS Germany GmbH, Emstek, DE</t>
        </is>
      </c>
      <c r="D4527" t="inlineStr">
        <is>
          <t>03.05.2027</t>
        </is>
      </c>
      <c r="E4527" t="inlineStr">
        <is>
          <t>Indonesia</t>
        </is>
      </c>
    </row>
    <row r="4528">
      <c r="A4528" t="inlineStr">
        <is>
          <t>SAS HUB-Ardoix,  Cheminas, France</t>
        </is>
      </c>
      <c r="B4528" t="inlineStr">
        <is>
          <t>Processing Unit</t>
        </is>
      </c>
      <c r="C4528" t="inlineStr">
        <is>
          <t>Control Union Certifications Germany GmbH, Berlin, DE</t>
        </is>
      </c>
      <c r="D4528" t="inlineStr">
        <is>
          <t>03.05.2027</t>
        </is>
      </c>
      <c r="E4528" t="inlineStr">
        <is>
          <t>France</t>
        </is>
      </c>
    </row>
    <row r="4529">
      <c r="A4529" t="inlineStr">
        <is>
          <t>St. Nicholas Court Farms,  Ramsgate, United Kingdom</t>
        </is>
      </c>
      <c r="B4529" t="inlineStr">
        <is>
          <t>Processing Unit</t>
        </is>
      </c>
      <c r="C4529" t="inlineStr">
        <is>
          <t>Aardvark Certification Ltd, Wiveliscombe, Somerset, GB</t>
        </is>
      </c>
      <c r="D4529" t="inlineStr">
        <is>
          <t>03.05.2027</t>
        </is>
      </c>
      <c r="E4529" t="inlineStr">
        <is>
          <t>United Kingdom</t>
        </is>
      </c>
    </row>
    <row r="4530">
      <c r="A4530" t="inlineStr">
        <is>
          <t>Recraft Energy A/S,  Randers SØ, Denmark</t>
        </is>
      </c>
      <c r="B4530" t="inlineStr">
        <is>
          <t>Collecting Point, Processing Unit</t>
        </is>
      </c>
      <c r="C4530" t="inlineStr">
        <is>
          <t>Baltic Control Certification, Albertslund, DK</t>
        </is>
      </c>
      <c r="D4530" t="inlineStr">
        <is>
          <t>03.05.2027</t>
        </is>
      </c>
      <c r="E4530" t="inlineStr">
        <is>
          <t>Denmark</t>
        </is>
      </c>
    </row>
    <row r="4531">
      <c r="A4531" t="inlineStr">
        <is>
          <t>PT. HAMPARAN KEMILAU INDAH,  Kabupaten Dharmasraya, Provinsi Sumatera Barat, Indonesia</t>
        </is>
      </c>
      <c r="B4531" t="inlineStr">
        <is>
          <t>Point of Origin</t>
        </is>
      </c>
      <c r="C4531" t="inlineStr">
        <is>
          <t>PT. Qualitas Sertifikasi Indonesia, Jakarta, ID</t>
        </is>
      </c>
      <c r="D4531" t="inlineStr">
        <is>
          <t>03.05.2027</t>
        </is>
      </c>
      <c r="E4531" t="inlineStr">
        <is>
          <t>Indonesia</t>
        </is>
      </c>
    </row>
    <row r="4532">
      <c r="A4532" t="inlineStr">
        <is>
          <t>St. Nicholas Court Farms,  Birchington, United Kingdom</t>
        </is>
      </c>
      <c r="B4532" t="inlineStr">
        <is>
          <t>First Gathering Point, Processing Unit, Collecting Point</t>
        </is>
      </c>
      <c r="C4532" t="inlineStr">
        <is>
          <t>Aardvark Certification Ltd, Wiveliscombe, Somerset, GB</t>
        </is>
      </c>
      <c r="D4532" t="inlineStr">
        <is>
          <t>03.05.2027</t>
        </is>
      </c>
      <c r="E4532" t="inlineStr">
        <is>
          <t>United Kingdom</t>
        </is>
      </c>
    </row>
    <row r="4533">
      <c r="A4533" t="inlineStr">
        <is>
          <t>Atlantic Biofuels LLC,  Baltimore, MD, United States</t>
        </is>
      </c>
      <c r="B4533" t="inlineStr">
        <is>
          <t>Collecting Point</t>
        </is>
      </c>
      <c r="C4533" t="inlineStr">
        <is>
          <t>SCS Global Services, Emeryville, CA, US</t>
        </is>
      </c>
      <c r="D4533" t="inlineStr">
        <is>
          <t>03.05.2027</t>
        </is>
      </c>
      <c r="E4533" t="inlineStr">
        <is>
          <t>United States</t>
        </is>
      </c>
    </row>
    <row r="4534">
      <c r="A4534" t="inlineStr">
        <is>
          <t>Forbo-Giubiasco,  Giubiasco, Switzerland</t>
        </is>
      </c>
      <c r="B4534" t="inlineStr">
        <is>
          <t>Processing Unit</t>
        </is>
      </c>
      <c r="C4534" t="inlineStr">
        <is>
          <t>ICIM SpA, sesto san giovanni, IT</t>
        </is>
      </c>
      <c r="D4534" t="inlineStr">
        <is>
          <t>03.05.2027</t>
        </is>
      </c>
      <c r="E4534" t="inlineStr">
        <is>
          <t>Switzerland</t>
        </is>
      </c>
    </row>
    <row r="4535">
      <c r="A4535" t="inlineStr">
        <is>
          <t>PT. Sumatera Karya Agro,  Nagari Kamang, Kecamatan Kamang Baru, Indonesia</t>
        </is>
      </c>
      <c r="B4535" t="inlineStr">
        <is>
          <t>Point of Origin</t>
        </is>
      </c>
      <c r="C4535" t="inlineStr">
        <is>
          <t>PT. Qualitas Sertifikasi Indonesia, Jakarta, ID</t>
        </is>
      </c>
      <c r="D4535" t="inlineStr">
        <is>
          <t>03.05.2027</t>
        </is>
      </c>
      <c r="E4535" t="inlineStr">
        <is>
          <t>Indonesia</t>
        </is>
      </c>
    </row>
    <row r="4536">
      <c r="A4536" t="inlineStr">
        <is>
          <t>Prime Evolue Singapore PTE. LTD.,  SINGAPORE, Singapore</t>
        </is>
      </c>
      <c r="B4536" t="inlineStr">
        <is>
          <t>Trader</t>
        </is>
      </c>
      <c r="C4536" t="inlineStr">
        <is>
          <t>Control Union Certifications Germany GmbH, Berlin, DE</t>
        </is>
      </c>
      <c r="D4536" t="inlineStr">
        <is>
          <t>02.05.2027</t>
        </is>
      </c>
      <c r="E4536" t="inlineStr">
        <is>
          <t>Singapore</t>
        </is>
      </c>
    </row>
    <row r="4537">
      <c r="A4537" t="inlineStr">
        <is>
          <t>Prime Evolue Singapore Pte. Ltd.,  Jurong Island, Singapore</t>
        </is>
      </c>
      <c r="B4537" t="inlineStr">
        <is>
          <t>Processing Unit</t>
        </is>
      </c>
      <c r="C4537" t="inlineStr">
        <is>
          <t>Control Union Certifications Germany GmbH, Berlin, DE</t>
        </is>
      </c>
      <c r="D4537" t="inlineStr">
        <is>
          <t>02.05.2027</t>
        </is>
      </c>
      <c r="E4537" t="inlineStr">
        <is>
          <t>Singapore</t>
        </is>
      </c>
    </row>
    <row r="4538">
      <c r="A4538" t="inlineStr">
        <is>
          <t>Geo SRL,  Piñero, Argentina</t>
        </is>
      </c>
      <c r="B4538" t="inlineStr">
        <is>
          <t>Collecting Point, Point of Origin, Processing Unit, Trader with Storage</t>
        </is>
      </c>
      <c r="C4538" t="inlineStr">
        <is>
          <t>Amspec Iberia SL, Vilagarcia de Arousa-Pontevedra, ES</t>
        </is>
      </c>
      <c r="D4538" t="inlineStr">
        <is>
          <t>02.05.2027</t>
        </is>
      </c>
      <c r="E4538" t="inlineStr">
        <is>
          <t>Argentina</t>
        </is>
      </c>
    </row>
    <row r="4539">
      <c r="A4539" t="inlineStr">
        <is>
          <t>C.I Transatlantic Greentrade S.A.S.,  Soacha, Cudinamarca, Colombia</t>
        </is>
      </c>
      <c r="B4539" t="inlineStr">
        <is>
          <t>Collecting Point, Trader with Storage</t>
        </is>
      </c>
      <c r="C4539" t="inlineStr">
        <is>
          <t>Amspec Iberia SL, Vilagarcia de Arousa-Pontevedra, ES</t>
        </is>
      </c>
      <c r="D4539" t="inlineStr">
        <is>
          <t>02.05.2027</t>
        </is>
      </c>
      <c r="E4539" t="inlineStr">
        <is>
          <t>Colombia</t>
        </is>
      </c>
    </row>
    <row r="4540">
      <c r="A4540" t="inlineStr">
        <is>
          <t>Melewar Properties,  Kinabatangan, Malaysia</t>
        </is>
      </c>
      <c r="B4540" t="inlineStr">
        <is>
          <t>Point of Origin</t>
        </is>
      </c>
      <c r="C4540" t="inlineStr">
        <is>
          <t>Global Gateway Certifications Sdn Bhd, Ampang, MY</t>
        </is>
      </c>
      <c r="D4540" t="inlineStr">
        <is>
          <t>02.05.2027</t>
        </is>
      </c>
      <c r="E4540" t="inlineStr">
        <is>
          <t>Malaysia</t>
        </is>
      </c>
    </row>
    <row r="4541">
      <c r="A4541" t="inlineStr">
        <is>
          <t>Tan Tien Development Investment Company Limited,  Thuan An City, Vietnam</t>
        </is>
      </c>
      <c r="B4541" t="inlineStr">
        <is>
          <t>Collecting Point, Warehouse</t>
        </is>
      </c>
      <c r="C4541" t="inlineStr">
        <is>
          <t>China Standard Conformity Assessment Co. Ltd, Beijing, CN</t>
        </is>
      </c>
      <c r="D4541" t="inlineStr">
        <is>
          <t>02.05.2027</t>
        </is>
      </c>
      <c r="E4541" t="inlineStr">
        <is>
          <t>Vietnam</t>
        </is>
      </c>
    </row>
    <row r="4542">
      <c r="A4542" t="inlineStr">
        <is>
          <t>Birla Carbon Italy,  San Martino Di Trecate, Italy</t>
        </is>
      </c>
      <c r="B4542" t="inlineStr">
        <is>
          <t>Processing Unit, Trader with Storage</t>
        </is>
      </c>
      <c r="C4542" t="inlineStr">
        <is>
          <t>PT Intertek Utama Services, Jakarta, ID</t>
        </is>
      </c>
      <c r="D4542" t="inlineStr">
        <is>
          <t>02.05.2027</t>
        </is>
      </c>
      <c r="E4542" t="inlineStr">
        <is>
          <t>Italy</t>
        </is>
      </c>
    </row>
    <row r="4543">
      <c r="A4543" t="inlineStr">
        <is>
          <t>ELTEK,  HONE, Italy</t>
        </is>
      </c>
      <c r="B4543" t="inlineStr">
        <is>
          <t>Processing Unit</t>
        </is>
      </c>
      <c r="C4543" t="inlineStr">
        <is>
          <t>IIP S.r.l., Monza, IT</t>
        </is>
      </c>
      <c r="D4543" t="inlineStr">
        <is>
          <t>02.05.2027</t>
        </is>
      </c>
      <c r="E4543" t="inlineStr">
        <is>
          <t>Italy</t>
        </is>
      </c>
    </row>
    <row r="4544">
      <c r="A4544" t="inlineStr">
        <is>
          <t>OMV Deutschland Marketing &amp; Trading GmbH &amp; Co. KG,  Burghausen, Germany</t>
        </is>
      </c>
      <c r="B4544" t="inlineStr">
        <is>
          <t>Processing Unit, Warehouse, Trader with Storage</t>
        </is>
      </c>
      <c r="C4544" t="inlineStr">
        <is>
          <t>TÜV SÜD Industrie Service GmbH, München, DE</t>
        </is>
      </c>
      <c r="D4544" t="inlineStr">
        <is>
          <t>02.05.2027</t>
        </is>
      </c>
      <c r="E4544" t="inlineStr">
        <is>
          <t>Germany</t>
        </is>
      </c>
    </row>
    <row r="4545">
      <c r="A4545" t="inlineStr">
        <is>
          <t>Produktionsselskabet WPU Fårevejle,  Fårevejle, Denmark</t>
        </is>
      </c>
      <c r="B4545" t="inlineStr">
        <is>
          <t>Processing Unit</t>
        </is>
      </c>
      <c r="C4545" t="inlineStr">
        <is>
          <t>Baltic Control Certification, Albertslund, DK</t>
        </is>
      </c>
      <c r="D4545" t="inlineStr">
        <is>
          <t>02.05.2027</t>
        </is>
      </c>
      <c r="E4545" t="inlineStr">
        <is>
          <t>Denmark</t>
        </is>
      </c>
    </row>
    <row r="4546">
      <c r="A4546" t="inlineStr">
        <is>
          <t>INEOS Styrolution America,  Pasadena, United States</t>
        </is>
      </c>
      <c r="B4546" t="inlineStr">
        <is>
          <t>Processing Unit, Trader</t>
        </is>
      </c>
      <c r="C4546" t="inlineStr">
        <is>
          <t>SCS Global Services, Emeryville, CA, US</t>
        </is>
      </c>
      <c r="D4546" t="inlineStr">
        <is>
          <t>02.05.2027</t>
        </is>
      </c>
      <c r="E4546" t="inlineStr">
        <is>
          <t>United States</t>
        </is>
      </c>
    </row>
    <row r="4547">
      <c r="A4547" t="inlineStr">
        <is>
          <t>Tetra Pak Produktions GmbH,  Limburg an der Lahn, Germany</t>
        </is>
      </c>
      <c r="B4547" t="inlineStr">
        <is>
          <t>Processing Unit</t>
        </is>
      </c>
      <c r="C4547" t="inlineStr">
        <is>
          <t>SCS Global Services, Emeryville, CA, US</t>
        </is>
      </c>
      <c r="D4547" t="inlineStr">
        <is>
          <t>02.05.2027</t>
        </is>
      </c>
      <c r="E4547" t="inlineStr">
        <is>
          <t>Germany</t>
        </is>
      </c>
    </row>
    <row r="4548">
      <c r="A4548" t="inlineStr">
        <is>
          <t>REHAU Industries SE &amp; Co. KG,  Erlangen, Germany</t>
        </is>
      </c>
      <c r="B4548" t="inlineStr">
        <is>
          <t>Trader</t>
        </is>
      </c>
      <c r="C4548" t="inlineStr">
        <is>
          <t>DIN CERTCO GmbH, Berlin, DE</t>
        </is>
      </c>
      <c r="D4548" t="inlineStr">
        <is>
          <t>02.05.2027</t>
        </is>
      </c>
      <c r="E4548" t="inlineStr">
        <is>
          <t>Germany</t>
        </is>
      </c>
    </row>
    <row r="4549">
      <c r="A4549" t="inlineStr">
        <is>
          <t>SK Geo Centric Japan Co., Ltd.,  Yurakucho, Chiyoda-ku, Tokyo, Japan</t>
        </is>
      </c>
      <c r="B4549" t="inlineStr">
        <is>
          <t>Trader</t>
        </is>
      </c>
      <c r="C4549" t="inlineStr">
        <is>
          <t>Control Union Certifications Germany GmbH, Berlin, DE</t>
        </is>
      </c>
      <c r="D4549" t="inlineStr">
        <is>
          <t>02.05.2027</t>
        </is>
      </c>
      <c r="E4549" t="inlineStr">
        <is>
          <t>Japan</t>
        </is>
      </c>
    </row>
    <row r="4550">
      <c r="A4550" t="inlineStr">
        <is>
          <t>National Methanol Company (Ibn Sina),  Jubail Industrial City, Saudi Arabia</t>
        </is>
      </c>
      <c r="B4550" t="inlineStr">
        <is>
          <t>Processing Unit</t>
        </is>
      </c>
      <c r="C4550" t="inlineStr">
        <is>
          <t>SGS Germany GmbH, Emstek, DE</t>
        </is>
      </c>
      <c r="D4550" t="inlineStr">
        <is>
          <t>02.05.2027</t>
        </is>
      </c>
      <c r="E4550" t="inlineStr">
        <is>
          <t>Saudi Arabia</t>
        </is>
      </c>
    </row>
    <row r="4551">
      <c r="A4551" t="inlineStr">
        <is>
          <t>Denka Company Limited,  Ichihara-shi, Chiba, Japan</t>
        </is>
      </c>
      <c r="B4551" t="inlineStr">
        <is>
          <t>Point of Origin, Processing Unit, Trader with Storage</t>
        </is>
      </c>
      <c r="C4551" t="inlineStr">
        <is>
          <t>SGS Germany GmbH, Emstek, DE</t>
        </is>
      </c>
      <c r="D4551" t="inlineStr">
        <is>
          <t>02.05.2027</t>
        </is>
      </c>
      <c r="E4551" t="inlineStr">
        <is>
          <t>Japan</t>
        </is>
      </c>
    </row>
    <row r="4552">
      <c r="A4552" t="inlineStr">
        <is>
          <t>Unigreen Chemicals Sdn Bhd,  Telok Panglima Garang, Kuala Langat, Malaysia</t>
        </is>
      </c>
      <c r="B4552" t="inlineStr">
        <is>
          <t>Trader with Storage</t>
        </is>
      </c>
      <c r="C4552" t="inlineStr">
        <is>
          <t>SGS Germany GmbH, Emstek, DE</t>
        </is>
      </c>
      <c r="D4552" t="inlineStr">
        <is>
          <t>02.05.2027</t>
        </is>
      </c>
      <c r="E4552" t="inlineStr">
        <is>
          <t>Malaysia</t>
        </is>
      </c>
    </row>
    <row r="4553">
      <c r="A4553" t="inlineStr">
        <is>
          <t>Oleogest Global,  BARBASTRO, Spain</t>
        </is>
      </c>
      <c r="B4553" t="inlineStr">
        <is>
          <t>Trader</t>
        </is>
      </c>
      <c r="C4553" t="inlineStr">
        <is>
          <t>DNV Business Assurance Sweden AB, Solna, SE</t>
        </is>
      </c>
      <c r="D4553" t="inlineStr">
        <is>
          <t>01.05.2027</t>
        </is>
      </c>
      <c r="E4553" t="inlineStr">
        <is>
          <t>Spain</t>
        </is>
      </c>
    </row>
    <row r="4554">
      <c r="A4554" t="inlineStr">
        <is>
          <t>Petrol Ofisi,  İstanbul, Turkey</t>
        </is>
      </c>
      <c r="B4554" t="inlineStr">
        <is>
          <t>Trader with Storage</t>
        </is>
      </c>
      <c r="C4554" t="inlineStr">
        <is>
          <t>Trans Certification and Inspection Sdn Bhd, Kuantan, MY</t>
        </is>
      </c>
      <c r="D4554" t="inlineStr">
        <is>
          <t>01.05.2027</t>
        </is>
      </c>
      <c r="E4554" t="inlineStr">
        <is>
          <t>Turkey</t>
        </is>
      </c>
    </row>
    <row r="4555">
      <c r="A4555" t="inlineStr">
        <is>
          <t>Casillo SPA,  Ortona (CH), Italy</t>
        </is>
      </c>
      <c r="B4555" t="inlineStr">
        <is>
          <t>Processing Unit</t>
        </is>
      </c>
      <c r="C4555" t="inlineStr">
        <is>
          <t>RINA Services S.p.A., Genova, IT</t>
        </is>
      </c>
      <c r="D4555" t="inlineStr">
        <is>
          <t>01.05.2027</t>
        </is>
      </c>
      <c r="E4555" t="inlineStr">
        <is>
          <t>Italy</t>
        </is>
      </c>
    </row>
    <row r="4556">
      <c r="A4556" t="inlineStr">
        <is>
          <t>Eval Europe NV,  Zwijndrecht, Belgium</t>
        </is>
      </c>
      <c r="B4556" t="inlineStr">
        <is>
          <t>Processing Unit</t>
        </is>
      </c>
      <c r="C4556" t="inlineStr">
        <is>
          <t>Control Union Certifications Germany GmbH, Berlin, DE</t>
        </is>
      </c>
      <c r="D4556" t="inlineStr">
        <is>
          <t>01.05.2027</t>
        </is>
      </c>
      <c r="E4556" t="inlineStr">
        <is>
          <t>Belgium</t>
        </is>
      </c>
    </row>
    <row r="4557">
      <c r="A4557" t="inlineStr">
        <is>
          <t>ECO BHARATVARSHA PRIVATE LIMITED,  Punjab, India</t>
        </is>
      </c>
      <c r="B4557" t="inlineStr">
        <is>
          <t>Collecting Point, Trader with Storage</t>
        </is>
      </c>
      <c r="C4557" t="inlineStr">
        <is>
          <t>RINA Services S.p.A., Genova, IT</t>
        </is>
      </c>
      <c r="D4557" t="inlineStr">
        <is>
          <t>01.05.2027</t>
        </is>
      </c>
      <c r="E4557" t="inlineStr">
        <is>
          <t>India</t>
        </is>
      </c>
    </row>
    <row r="4558">
      <c r="A4558" t="inlineStr">
        <is>
          <t>He County Zhihong Feed Co., Ltd.,  Ma'anshan City, Anhui Province, China</t>
        </is>
      </c>
      <c r="B4558" t="inlineStr">
        <is>
          <t>Collecting Point, Trader</t>
        </is>
      </c>
      <c r="C4558" t="inlineStr">
        <is>
          <t>RINA Services S.p.A., Genova, IT</t>
        </is>
      </c>
      <c r="D4558" t="inlineStr">
        <is>
          <t>01.05.2027</t>
        </is>
      </c>
      <c r="E4558" t="inlineStr">
        <is>
          <t>China</t>
        </is>
      </c>
    </row>
    <row r="4559">
      <c r="A4559" t="inlineStr">
        <is>
          <t>ECO BHARATVARSHA PRIVATE LIMITED,  Maharashtra, India</t>
        </is>
      </c>
      <c r="B4559" t="inlineStr">
        <is>
          <t>Point of Origin, Processing Unit</t>
        </is>
      </c>
      <c r="C4559" t="inlineStr">
        <is>
          <t>RINA Services S.p.A., Genova, IT</t>
        </is>
      </c>
      <c r="D4559" t="inlineStr">
        <is>
          <t>01.05.2027</t>
        </is>
      </c>
      <c r="E4559" t="inlineStr">
        <is>
          <t>India</t>
        </is>
      </c>
    </row>
    <row r="4560">
      <c r="A4560" t="inlineStr">
        <is>
          <t>Marubeni America Corporation,  HOUSTON, United States</t>
        </is>
      </c>
      <c r="B4560" t="inlineStr">
        <is>
          <t>Trader with Storage</t>
        </is>
      </c>
      <c r="C4560" t="inlineStr">
        <is>
          <t>SGS Germany GmbH, Emstek, DE</t>
        </is>
      </c>
      <c r="D4560" t="inlineStr">
        <is>
          <t>01.05.2027</t>
        </is>
      </c>
      <c r="E4560" t="inlineStr">
        <is>
          <t>United States</t>
        </is>
      </c>
    </row>
    <row r="4561">
      <c r="A4561" t="inlineStr">
        <is>
          <t>PT. HAMPARAN KEMILAU INDAH,  Natal, Indonesia</t>
        </is>
      </c>
      <c r="B4561" t="inlineStr">
        <is>
          <t>Point of Origin</t>
        </is>
      </c>
      <c r="C4561" t="inlineStr">
        <is>
          <t>PT. Qualitas Sertifikasi Indonesia, Jakarta, ID</t>
        </is>
      </c>
      <c r="D4561" t="inlineStr">
        <is>
          <t>01.05.2027</t>
        </is>
      </c>
      <c r="E4561" t="inlineStr">
        <is>
          <t>Indonesia</t>
        </is>
      </c>
    </row>
    <row r="4562">
      <c r="A4562" t="inlineStr">
        <is>
          <t>PT. HAMPARAN KEMILAU INDAH,  Natal, Indonesia</t>
        </is>
      </c>
      <c r="B4562" t="inlineStr">
        <is>
          <t>Point of Origin</t>
        </is>
      </c>
      <c r="C4562" t="inlineStr">
        <is>
          <t>PT. Qualitas Sertifikasi Indonesia, Jakarta, ID</t>
        </is>
      </c>
      <c r="D4562" t="inlineStr">
        <is>
          <t>01.05.2027</t>
        </is>
      </c>
      <c r="E4562" t="inlineStr">
        <is>
          <t>Indonesia</t>
        </is>
      </c>
    </row>
    <row r="4563">
      <c r="A4563" t="inlineStr">
        <is>
          <t>PT BERKAT BUMI SAWIT,  Kabupaten Bengkulu Utara, Provinsi Bengkulu, Indonesia</t>
        </is>
      </c>
      <c r="B4563" t="inlineStr">
        <is>
          <t>Point of Origin</t>
        </is>
      </c>
      <c r="C4563" t="inlineStr">
        <is>
          <t>PT. Qualitas Sertifikasi Indonesia, Jakarta, ID</t>
        </is>
      </c>
      <c r="D4563" t="inlineStr">
        <is>
          <t>01.05.2027</t>
        </is>
      </c>
      <c r="E4563" t="inlineStr">
        <is>
          <t>Indonesia</t>
        </is>
      </c>
    </row>
    <row r="4564">
      <c r="A4564" t="inlineStr">
        <is>
          <t>PT. BERKAT BUMI SAWIT,  NORTH BENGKULU REGENCY, Indonesia</t>
        </is>
      </c>
      <c r="B4564" t="inlineStr">
        <is>
          <t>Point of Origin</t>
        </is>
      </c>
      <c r="C4564" t="inlineStr">
        <is>
          <t>PT. Qualitas Sertifikasi Indonesia, Jakarta, ID</t>
        </is>
      </c>
      <c r="D4564" t="inlineStr">
        <is>
          <t>01.05.2027</t>
        </is>
      </c>
      <c r="E4564" t="inlineStr">
        <is>
          <t>Indonesia</t>
        </is>
      </c>
    </row>
    <row r="4565">
      <c r="A4565" t="inlineStr">
        <is>
          <t>SeSo Energy A/S,  Aabenraa, Denmark</t>
        </is>
      </c>
      <c r="B4565" t="inlineStr">
        <is>
          <t>Collecting Point, Trader</t>
        </is>
      </c>
      <c r="C4565" t="inlineStr">
        <is>
          <t>Baltic Control Certification, Albertslund, DK</t>
        </is>
      </c>
      <c r="D4565" t="inlineStr">
        <is>
          <t>01.05.2027</t>
        </is>
      </c>
      <c r="E4565" t="inlineStr">
        <is>
          <t>Denmark</t>
        </is>
      </c>
    </row>
    <row r="4566">
      <c r="A4566" t="inlineStr">
        <is>
          <t>Contagro KFT.,  Szekszárd, Hungary</t>
        </is>
      </c>
      <c r="B4566" t="inlineStr">
        <is>
          <t>First Gathering Point</t>
        </is>
      </c>
      <c r="C4566" t="inlineStr">
        <is>
          <t>Amspec Iberia SL, Vilagarcia de Arousa-Pontevedra, ES</t>
        </is>
      </c>
      <c r="D4566" t="inlineStr">
        <is>
          <t>01.05.2027</t>
        </is>
      </c>
      <c r="E4566" t="inlineStr">
        <is>
          <t>Hungary</t>
        </is>
      </c>
    </row>
    <row r="4567">
      <c r="A4567" t="inlineStr">
        <is>
          <t>CHEMOSVIT FOLIE, s.r.o.,  Svit, Slovakia</t>
        </is>
      </c>
      <c r="B4567" t="inlineStr">
        <is>
          <t>Final Product Refinement, Processing Unit</t>
        </is>
      </c>
      <c r="C4567" t="inlineStr">
        <is>
          <t>Bureau Veritas Polska Sp. z o.o., Warsaw, PL</t>
        </is>
      </c>
      <c r="D4567" t="inlineStr">
        <is>
          <t>01.05.2027</t>
        </is>
      </c>
      <c r="E4567" t="inlineStr">
        <is>
          <t>Slovakia</t>
        </is>
      </c>
    </row>
    <row r="4568">
      <c r="A4568" t="inlineStr">
        <is>
          <t>HONGKONG E-MARINE SUPPLY SERVICE CORPORATION LIMITED,  Shenzhen, China</t>
        </is>
      </c>
      <c r="B4568" t="inlineStr">
        <is>
          <t>Trader</t>
        </is>
      </c>
      <c r="C4568" t="inlineStr">
        <is>
          <t>PT Intertek Utama Services, Jakarta, ID</t>
        </is>
      </c>
      <c r="D4568" t="inlineStr">
        <is>
          <t>01.05.2027</t>
        </is>
      </c>
      <c r="E4568" t="inlineStr">
        <is>
          <t>China</t>
        </is>
      </c>
    </row>
    <row r="4569">
      <c r="A4569" t="inlineStr">
        <is>
          <t>Baltic Ground Services, UAB,  Vilnius, Lithuania</t>
        </is>
      </c>
      <c r="B4569" t="inlineStr">
        <is>
          <t>Proof of Compliance Trader, Trader with Storage</t>
        </is>
      </c>
      <c r="C4569" t="inlineStr">
        <is>
          <t>Bureau Veritas Polska Sp. z o.o., Warsaw, PL</t>
        </is>
      </c>
      <c r="D4569" t="inlineStr">
        <is>
          <t>01.05.2027</t>
        </is>
      </c>
      <c r="E4569" t="inlineStr">
        <is>
          <t>Lithuania</t>
        </is>
      </c>
    </row>
    <row r="4570">
      <c r="A4570" t="inlineStr">
        <is>
          <t>WEENER PLASTIC IBERICA S.L.U,  Maçanet de la Selva, Spain</t>
        </is>
      </c>
      <c r="B4570" t="inlineStr">
        <is>
          <t>Processing Unit</t>
        </is>
      </c>
      <c r="C4570" t="inlineStr">
        <is>
          <t>PT Intertek Utama Services, Jakarta, ID</t>
        </is>
      </c>
      <c r="D4570" t="inlineStr">
        <is>
          <t>01.05.2027</t>
        </is>
      </c>
      <c r="E4570" t="inlineStr">
        <is>
          <t>Spain</t>
        </is>
      </c>
    </row>
    <row r="4571">
      <c r="A4571" t="inlineStr">
        <is>
          <t>Hexon Enterprises Limited,  Chai Wan, Hong Kong</t>
        </is>
      </c>
      <c r="B4571" t="inlineStr">
        <is>
          <t>Trader</t>
        </is>
      </c>
      <c r="C4571" t="inlineStr">
        <is>
          <t>DIN CERTCO GmbH, Berlin, DE</t>
        </is>
      </c>
      <c r="D4571" t="inlineStr">
        <is>
          <t>01.05.2027</t>
        </is>
      </c>
      <c r="E4571" t="inlineStr">
        <is>
          <t>Hong Kong</t>
        </is>
      </c>
    </row>
    <row r="4572">
      <c r="A4572" t="inlineStr">
        <is>
          <t>RWA Raiffeisen Agro Romania SRL,  Timisoara city, Romania</t>
        </is>
      </c>
      <c r="B4572" t="inlineStr">
        <is>
          <t>First Gathering Point, Trader with Storage</t>
        </is>
      </c>
      <c r="C4572" t="inlineStr">
        <is>
          <t>SRAC Cert SRL, Bucharest, RO</t>
        </is>
      </c>
      <c r="D4572" t="inlineStr">
        <is>
          <t>01.05.2027</t>
        </is>
      </c>
      <c r="E4572" t="inlineStr">
        <is>
          <t>Romania</t>
        </is>
      </c>
    </row>
    <row r="4573">
      <c r="A4573" t="inlineStr">
        <is>
          <t>INEOS Styrolution America,  Decatur, United States</t>
        </is>
      </c>
      <c r="B4573" t="inlineStr">
        <is>
          <t>Processing Unit, Trader</t>
        </is>
      </c>
      <c r="C4573" t="inlineStr">
        <is>
          <t>SCS Global Services, Emeryville, CA, US</t>
        </is>
      </c>
      <c r="D4573" t="inlineStr">
        <is>
          <t>01.05.2027</t>
        </is>
      </c>
      <c r="E4573" t="inlineStr">
        <is>
          <t>United States</t>
        </is>
      </c>
    </row>
    <row r="4574">
      <c r="A4574" t="inlineStr">
        <is>
          <t>SABIC Innovative Plastics US LLC,  Mount Vernon, Indiana, United States</t>
        </is>
      </c>
      <c r="B4574" t="inlineStr">
        <is>
          <t>Processing Unit, Trader with Storage</t>
        </is>
      </c>
      <c r="C4574" t="inlineStr">
        <is>
          <t>SCS Global Services, Emeryville, CA, US</t>
        </is>
      </c>
      <c r="D4574" t="inlineStr">
        <is>
          <t>01.05.2027</t>
        </is>
      </c>
      <c r="E4574" t="inlineStr">
        <is>
          <t>United States</t>
        </is>
      </c>
    </row>
    <row r="4575">
      <c r="A4575" t="inlineStr">
        <is>
          <t>Kanadevia Inova Biogas Veendam B.V.,  Veendam, Netherlands</t>
        </is>
      </c>
      <c r="B4575" t="inlineStr">
        <is>
          <t>Collecting Point, Processing Unit</t>
        </is>
      </c>
      <c r="C4575" t="inlineStr">
        <is>
          <t>Normec QS BV, Ede, NL</t>
        </is>
      </c>
      <c r="D4575" t="inlineStr">
        <is>
          <t>01.05.2027</t>
        </is>
      </c>
      <c r="E4575" t="inlineStr">
        <is>
          <t>Netherlands</t>
        </is>
      </c>
    </row>
    <row r="4576">
      <c r="A4576" t="inlineStr">
        <is>
          <t>Multisac - Embalagens Flexíveis S.A.,  Lage - Fataunços, Portugal</t>
        </is>
      </c>
      <c r="B4576" t="inlineStr">
        <is>
          <t>Processing Unit</t>
        </is>
      </c>
      <c r="C4576" t="inlineStr">
        <is>
          <t>Control Union Poland Sp. z o.o., Zielona Gora, PL</t>
        </is>
      </c>
      <c r="D4576" t="inlineStr">
        <is>
          <t>01.05.2027</t>
        </is>
      </c>
      <c r="E4576" t="inlineStr">
        <is>
          <t>Portugal</t>
        </is>
      </c>
    </row>
    <row r="4577">
      <c r="A4577" t="inlineStr">
        <is>
          <t>Inerco Trade S.A.,  Nyon, Switzerland</t>
        </is>
      </c>
      <c r="B4577" t="inlineStr">
        <is>
          <t>Trader with Storage</t>
        </is>
      </c>
      <c r="C4577" t="inlineStr">
        <is>
          <t>Bureau Veritas Polska Sp. z o.o., Warsaw, PL</t>
        </is>
      </c>
      <c r="D4577" t="inlineStr">
        <is>
          <t>01.05.2027</t>
        </is>
      </c>
      <c r="E4577" t="inlineStr">
        <is>
          <t>Switzerland</t>
        </is>
      </c>
    </row>
    <row r="4578">
      <c r="A4578" t="inlineStr">
        <is>
          <t>D. TRADING d.o.o.,  Zagreb, Croatia</t>
        </is>
      </c>
      <c r="B4578" t="inlineStr">
        <is>
          <t>Trader</t>
        </is>
      </c>
      <c r="C4578" t="inlineStr">
        <is>
          <t>Amspec Iberia SL, Vilagarcia de Arousa-Pontevedra, ES</t>
        </is>
      </c>
      <c r="D4578" t="inlineStr">
        <is>
          <t>01.05.2027</t>
        </is>
      </c>
      <c r="E4578" t="inlineStr">
        <is>
          <t>Croatia</t>
        </is>
      </c>
    </row>
    <row r="4579">
      <c r="A4579" t="inlineStr">
        <is>
          <t>Technimark Ireland Limited,  Longford, Ireland</t>
        </is>
      </c>
      <c r="B4579" t="inlineStr">
        <is>
          <t>Processing Unit</t>
        </is>
      </c>
      <c r="C4579" t="inlineStr">
        <is>
          <t>Aardvark Certification Ltd, Wiveliscombe, Somerset, GB</t>
        </is>
      </c>
      <c r="D4579" t="inlineStr">
        <is>
          <t>30.04.2027</t>
        </is>
      </c>
      <c r="E4579" t="inlineStr">
        <is>
          <t>Ireland</t>
        </is>
      </c>
    </row>
    <row r="4580">
      <c r="A4580" t="inlineStr">
        <is>
          <t>College Proteins ULC,  Co. Cavan, Ireland</t>
        </is>
      </c>
      <c r="B4580" t="inlineStr">
        <is>
          <t>Point of Origin</t>
        </is>
      </c>
      <c r="C4580" t="inlineStr">
        <is>
          <t>DEKRA Certification B.V., Arnhem, NL</t>
        </is>
      </c>
      <c r="D4580" t="inlineStr">
        <is>
          <t>30.04.2027</t>
        </is>
      </c>
      <c r="E4580" t="inlineStr">
        <is>
          <t>Ireland</t>
        </is>
      </c>
    </row>
    <row r="4581">
      <c r="A4581" t="inlineStr">
        <is>
          <t>PolyQuest, Inc,  Wilmington, United States</t>
        </is>
      </c>
      <c r="B4581" t="inlineStr">
        <is>
          <t>Trader with Storage</t>
        </is>
      </c>
      <c r="C4581" t="inlineStr">
        <is>
          <t>Control Union Poland Sp. z o.o., Zielona Gora, PL</t>
        </is>
      </c>
      <c r="D4581" t="inlineStr">
        <is>
          <t>30.04.2027</t>
        </is>
      </c>
      <c r="E4581" t="inlineStr">
        <is>
          <t>United States</t>
        </is>
      </c>
    </row>
    <row r="4582">
      <c r="A4582" t="inlineStr">
        <is>
          <t>Argent Energy Limited,  Ellesmere Port, United Kingdom</t>
        </is>
      </c>
      <c r="B4582" t="inlineStr">
        <is>
          <t>Point of Origin, Processing Unit, Trader with Storage</t>
        </is>
      </c>
      <c r="C4582" t="inlineStr">
        <is>
          <t>ASG Cert GmbH, Munich, DE</t>
        </is>
      </c>
      <c r="D4582" t="inlineStr">
        <is>
          <t>30.04.2027</t>
        </is>
      </c>
      <c r="E4582" t="inlineStr">
        <is>
          <t>United Kingdom</t>
        </is>
      </c>
    </row>
    <row r="4583">
      <c r="A4583" t="inlineStr">
        <is>
          <t>Shell Western LNG B.V.,  The Hague, Netherlands</t>
        </is>
      </c>
      <c r="B4583" t="inlineStr">
        <is>
          <t>Trader with Storage, Proof of Compliance Trader</t>
        </is>
      </c>
      <c r="C4583" t="inlineStr">
        <is>
          <t>Normec QS BV, Ede, NL</t>
        </is>
      </c>
      <c r="D4583" t="inlineStr">
        <is>
          <t>30.04.2027</t>
        </is>
      </c>
      <c r="E4583" t="inlineStr">
        <is>
          <t>Netherlands</t>
        </is>
      </c>
    </row>
    <row r="4584">
      <c r="A4584" t="inlineStr">
        <is>
          <t>Pactiv Evergreen,  Mooresville, NC, United States</t>
        </is>
      </c>
      <c r="B4584" t="inlineStr">
        <is>
          <t>Processing Unit, Trader with Storage</t>
        </is>
      </c>
      <c r="C4584" t="inlineStr">
        <is>
          <t>SCS Global Services, Emeryville, CA, US</t>
        </is>
      </c>
      <c r="D4584" t="inlineStr">
        <is>
          <t>30.04.2027</t>
        </is>
      </c>
      <c r="E4584" t="inlineStr">
        <is>
          <t>United States</t>
        </is>
      </c>
    </row>
    <row r="4585">
      <c r="A4585" t="inlineStr">
        <is>
          <t>BRF,  Heerenveen, Netherlands</t>
        </is>
      </c>
      <c r="B4585" t="inlineStr">
        <is>
          <t>Collecting Point, Processing Unit</t>
        </is>
      </c>
      <c r="C4585" t="inlineStr">
        <is>
          <t>Normec QS BV, Ede, NL</t>
        </is>
      </c>
      <c r="D4585" t="inlineStr">
        <is>
          <t>30.04.2027</t>
        </is>
      </c>
      <c r="E4585" t="inlineStr">
        <is>
          <t>Netherlands</t>
        </is>
      </c>
    </row>
    <row r="4586">
      <c r="A4586" t="inlineStr">
        <is>
          <t>Pactiv Evergreen,  Corsicana, TX, United States</t>
        </is>
      </c>
      <c r="B4586" t="inlineStr">
        <is>
          <t>Processing Unit, Trader with Storage</t>
        </is>
      </c>
      <c r="C4586" t="inlineStr">
        <is>
          <t>SCS Global Services, Emeryville, CA, US</t>
        </is>
      </c>
      <c r="D4586" t="inlineStr">
        <is>
          <t>30.04.2027</t>
        </is>
      </c>
      <c r="E4586" t="inlineStr">
        <is>
          <t>United States</t>
        </is>
      </c>
    </row>
    <row r="4587">
      <c r="A4587" t="inlineStr">
        <is>
          <t>Qvantenburg Säteri,  Mellerud, Sweden</t>
        </is>
      </c>
      <c r="B4587" t="inlineStr">
        <is>
          <t>Collecting Point, Point of Origin, Processing Unit</t>
        </is>
      </c>
      <c r="C4587" t="inlineStr">
        <is>
          <t>ASG Cert GmbH, Munich, DE</t>
        </is>
      </c>
      <c r="D4587" t="inlineStr">
        <is>
          <t>30.04.2027</t>
        </is>
      </c>
      <c r="E4587" t="inlineStr">
        <is>
          <t>Sweden</t>
        </is>
      </c>
    </row>
    <row r="4588">
      <c r="A4588" t="inlineStr">
        <is>
          <t>Grinstad gårdsgas AB,  Mellerud, Sweden</t>
        </is>
      </c>
      <c r="B4588" t="inlineStr">
        <is>
          <t>Collecting Point, Processing Unit</t>
        </is>
      </c>
      <c r="C4588" t="inlineStr">
        <is>
          <t>ASG Cert GmbH, Munich, DE</t>
        </is>
      </c>
      <c r="D4588" t="inlineStr">
        <is>
          <t>30.04.2027</t>
        </is>
      </c>
      <c r="E4588" t="inlineStr">
        <is>
          <t>Sweden</t>
        </is>
      </c>
    </row>
    <row r="4589">
      <c r="A4589" t="inlineStr">
        <is>
          <t>Vårgårda Herrljunga Biogas AB,  Vårgårda, Sweden</t>
        </is>
      </c>
      <c r="B4589" t="inlineStr">
        <is>
          <t>Collecting Point, Processing Unit</t>
        </is>
      </c>
      <c r="C4589" t="inlineStr">
        <is>
          <t>ASG Cert GmbH, Munich, DE</t>
        </is>
      </c>
      <c r="D4589" t="inlineStr">
        <is>
          <t>30.04.2027</t>
        </is>
      </c>
      <c r="E4589" t="inlineStr">
        <is>
          <t>Sweden</t>
        </is>
      </c>
    </row>
    <row r="4590">
      <c r="A4590" t="inlineStr">
        <is>
          <t>Energiepark Biddinghuizen B.V.,  Biddinghuizen, Netherlands</t>
        </is>
      </c>
      <c r="B4590" t="inlineStr">
        <is>
          <t>Collecting Point, Processing Unit</t>
        </is>
      </c>
      <c r="C4590" t="inlineStr">
        <is>
          <t>Normec QS BV, Ede, NL</t>
        </is>
      </c>
      <c r="D4590" t="inlineStr">
        <is>
          <t>30.04.2027</t>
        </is>
      </c>
      <c r="E4590" t="inlineStr">
        <is>
          <t>Netherlands</t>
        </is>
      </c>
    </row>
    <row r="4591">
      <c r="A4591" t="inlineStr">
        <is>
          <t>Asahi Kasei Mitsubishi Chemical Ethylene Corp.,  Kurashiki, Okayama, Japan</t>
        </is>
      </c>
      <c r="B4591" t="inlineStr">
        <is>
          <t>Processing Unit, Trader with Storage</t>
        </is>
      </c>
      <c r="C4591" t="inlineStr">
        <is>
          <t>Control Union Certifications Germany GmbH, Berlin, DE</t>
        </is>
      </c>
      <c r="D4591" t="inlineStr">
        <is>
          <t>30.04.2027</t>
        </is>
      </c>
      <c r="E4591" t="inlineStr">
        <is>
          <t>Japan</t>
        </is>
      </c>
    </row>
    <row r="4592">
      <c r="A4592" t="inlineStr">
        <is>
          <t>Okayama Butadiene Co.,  Kurashiki-shi, Okayama, Japan</t>
        </is>
      </c>
      <c r="B4592" t="inlineStr">
        <is>
          <t>Processing Unit</t>
        </is>
      </c>
      <c r="C4592" t="inlineStr">
        <is>
          <t>Control Union Certifications Germany GmbH, Berlin, DE</t>
        </is>
      </c>
      <c r="D4592" t="inlineStr">
        <is>
          <t>30.04.2027</t>
        </is>
      </c>
      <c r="E4592" t="inlineStr">
        <is>
          <t>Japan</t>
        </is>
      </c>
    </row>
    <row r="4593">
      <c r="A4593" t="inlineStr">
        <is>
          <t>adapa the Netherlands Leek BV,  Leek, Netherlands</t>
        </is>
      </c>
      <c r="B4593" t="inlineStr">
        <is>
          <t>Final Product Refinement</t>
        </is>
      </c>
      <c r="C4593" t="inlineStr">
        <is>
          <t>Normec QS BV, Ede, NL</t>
        </is>
      </c>
      <c r="D4593" t="inlineStr">
        <is>
          <t>30.04.2027</t>
        </is>
      </c>
      <c r="E4593" t="inlineStr">
        <is>
          <t>Netherlands</t>
        </is>
      </c>
    </row>
    <row r="4594">
      <c r="A4594" t="inlineStr">
        <is>
          <t>adapa the Netherlands Leek BV,  Leek, Netherlands</t>
        </is>
      </c>
      <c r="B4594" t="inlineStr">
        <is>
          <t>Final Product Refinement</t>
        </is>
      </c>
      <c r="C4594" t="inlineStr">
        <is>
          <t>Normec QS BV, Ede, NL</t>
        </is>
      </c>
      <c r="D4594" t="inlineStr">
        <is>
          <t>30.04.2027</t>
        </is>
      </c>
      <c r="E4594" t="inlineStr">
        <is>
          <t>Netherlands</t>
        </is>
      </c>
    </row>
    <row r="4595">
      <c r="A4595" t="inlineStr">
        <is>
          <t>adapa the Netherlands Leek BV,  Leek, Netherlands</t>
        </is>
      </c>
      <c r="B4595" t="inlineStr">
        <is>
          <t>Final Product Refinement</t>
        </is>
      </c>
      <c r="C4595" t="inlineStr">
        <is>
          <t>Normec QS BV, Ede, NL</t>
        </is>
      </c>
      <c r="D4595" t="inlineStr">
        <is>
          <t>30.04.2027</t>
        </is>
      </c>
      <c r="E4595" t="inlineStr">
        <is>
          <t>Netherlands</t>
        </is>
      </c>
    </row>
    <row r="4596">
      <c r="A4596" t="inlineStr">
        <is>
          <t>Seaboard Foods RNG, LLC,  Guymon, OK, United States</t>
        </is>
      </c>
      <c r="B4596" t="inlineStr">
        <is>
          <t>Collecting Point, Processing Unit</t>
        </is>
      </c>
      <c r="C4596" t="inlineStr">
        <is>
          <t>SCS Global Services, Emeryville, CA, US</t>
        </is>
      </c>
      <c r="D4596" t="inlineStr">
        <is>
          <t>30.04.2027</t>
        </is>
      </c>
      <c r="E4596" t="inlineStr">
        <is>
          <t>United States</t>
        </is>
      </c>
    </row>
    <row r="4597">
      <c r="A4597" t="inlineStr">
        <is>
          <t>DOOIL CO.,LTD,  Andong-SI, South Korea</t>
        </is>
      </c>
      <c r="B4597" t="inlineStr">
        <is>
          <t>Final Product Refinement</t>
        </is>
      </c>
      <c r="C4597" t="inlineStr">
        <is>
          <t>Korean Foundation for Quality, Songpa-gu, Seoul, KR</t>
        </is>
      </c>
      <c r="D4597" t="inlineStr">
        <is>
          <t>30.04.2027</t>
        </is>
      </c>
      <c r="E4597" t="inlineStr">
        <is>
          <t>South Korea</t>
        </is>
      </c>
    </row>
    <row r="4598">
      <c r="A4598" t="inlineStr">
        <is>
          <t>Seaboard Foods RNG, LLC,  Guymon, OK, United States</t>
        </is>
      </c>
      <c r="B4598" t="inlineStr">
        <is>
          <t>Collecting Point, Processing Unit</t>
        </is>
      </c>
      <c r="C4598" t="inlineStr">
        <is>
          <t>SCS Global Services, Emeryville, CA, US</t>
        </is>
      </c>
      <c r="D4598" t="inlineStr">
        <is>
          <t>30.04.2027</t>
        </is>
      </c>
      <c r="E4598" t="inlineStr">
        <is>
          <t>United States</t>
        </is>
      </c>
    </row>
    <row r="4599">
      <c r="A4599" t="inlineStr">
        <is>
          <t>Oilcom Pty Ltd,  Sunshine North, Australia</t>
        </is>
      </c>
      <c r="B4599" t="inlineStr">
        <is>
          <t>Collecting Point</t>
        </is>
      </c>
      <c r="C4599" t="inlineStr">
        <is>
          <t>BM Certification, Riga, LV</t>
        </is>
      </c>
      <c r="D4599" t="inlineStr">
        <is>
          <t>30.04.2027</t>
        </is>
      </c>
      <c r="E4599" t="inlineStr">
        <is>
          <t>Australia</t>
        </is>
      </c>
    </row>
    <row r="4600">
      <c r="A4600" t="inlineStr">
        <is>
          <t>Somogyapáti Gabona Termelők Mezőgazdasági Szövetkezete,  Somogyapáti, Hungary</t>
        </is>
      </c>
      <c r="B4600" t="inlineStr">
        <is>
          <t>First Gathering Point</t>
        </is>
      </c>
      <c r="C4600" t="inlineStr">
        <is>
          <t>SGS Germany GmbH, Emstek, DE</t>
        </is>
      </c>
      <c r="D4600" t="inlineStr">
        <is>
          <t>30.04.2027</t>
        </is>
      </c>
      <c r="E4600" t="inlineStr">
        <is>
          <t>Hungary</t>
        </is>
      </c>
    </row>
    <row r="4601">
      <c r="A4601" t="inlineStr">
        <is>
          <t>Sylves Lantbruk,  Mellerud, Sweden</t>
        </is>
      </c>
      <c r="B4601" t="inlineStr">
        <is>
          <t>Collecting Point, Processing Unit</t>
        </is>
      </c>
      <c r="C4601" t="inlineStr">
        <is>
          <t>ASG Cert GmbH, Munich, DE</t>
        </is>
      </c>
      <c r="D4601" t="inlineStr">
        <is>
          <t>30.04.2027</t>
        </is>
      </c>
      <c r="E4601" t="inlineStr">
        <is>
          <t>Sweden</t>
        </is>
      </c>
    </row>
    <row r="4602">
      <c r="A4602" t="inlineStr">
        <is>
          <t>Biogas Brålanda,  Mellerud, Sweden</t>
        </is>
      </c>
      <c r="B4602" t="inlineStr">
        <is>
          <t>Collecting Point, Processing Unit</t>
        </is>
      </c>
      <c r="C4602" t="inlineStr">
        <is>
          <t>ASG Cert GmbH, Munich, DE</t>
        </is>
      </c>
      <c r="D4602" t="inlineStr">
        <is>
          <t>30.04.2027</t>
        </is>
      </c>
      <c r="E4602" t="inlineStr">
        <is>
          <t>Sweden</t>
        </is>
      </c>
    </row>
    <row r="4603">
      <c r="A4603" t="inlineStr">
        <is>
          <t>Martens Havenontvangstinstallatie Vlissingen B.V.,  Nieuwdorp, Netherlands</t>
        </is>
      </c>
      <c r="B4603" t="inlineStr">
        <is>
          <t>Collecting Point, Processing Unit</t>
        </is>
      </c>
      <c r="C4603" t="inlineStr">
        <is>
          <t>Normec QS BV, Ede, NL</t>
        </is>
      </c>
      <c r="D4603" t="inlineStr">
        <is>
          <t>30.04.2027</t>
        </is>
      </c>
      <c r="E4603" t="inlineStr">
        <is>
          <t>Netherlands</t>
        </is>
      </c>
    </row>
    <row r="4604">
      <c r="A4604" t="inlineStr">
        <is>
          <t>FACTORIA-AGRO, LTD,  Vyshgorod tawn, Vyshgorod dist.Kyiv reg., Ukraine</t>
        </is>
      </c>
      <c r="B4604" t="inlineStr">
        <is>
          <t>First Gathering Point, Processing Unit</t>
        </is>
      </c>
      <c r="C4604" t="inlineStr">
        <is>
          <t>Organic Standard Ltd, Kyiv, UA</t>
        </is>
      </c>
      <c r="D4604" t="inlineStr">
        <is>
          <t>30.04.2027</t>
        </is>
      </c>
      <c r="E4604" t="inlineStr">
        <is>
          <t>Ukraine</t>
        </is>
      </c>
    </row>
    <row r="4605">
      <c r="A4605" t="inlineStr">
        <is>
          <t>PT Golden For Indonesia,  Jakarta Selatan, Indonesia</t>
        </is>
      </c>
      <c r="B4605" t="inlineStr">
        <is>
          <t>Trader with Storage</t>
        </is>
      </c>
      <c r="C4605" t="inlineStr">
        <is>
          <t>China Testing &amp; Certification International Group Co., Ltd., Beijing, CN</t>
        </is>
      </c>
      <c r="D4605" t="inlineStr">
        <is>
          <t>30.04.2027</t>
        </is>
      </c>
      <c r="E4605" t="inlineStr">
        <is>
          <t>Indonesia</t>
        </is>
      </c>
    </row>
    <row r="4606">
      <c r="A4606" t="inlineStr">
        <is>
          <t>DS Smith Paper Limited,  Sittingbourne, United Kingdom</t>
        </is>
      </c>
      <c r="B4606" t="inlineStr">
        <is>
          <t>Point of Origin, Processing Unit</t>
        </is>
      </c>
      <c r="C4606" t="inlineStr">
        <is>
          <t>DEKRA Certification B.V., Arnhem, NL</t>
        </is>
      </c>
      <c r="D4606" t="inlineStr">
        <is>
          <t>30.04.2027</t>
        </is>
      </c>
      <c r="E4606" t="inlineStr">
        <is>
          <t>United Kingdom</t>
        </is>
      </c>
    </row>
    <row r="4607">
      <c r="A4607" t="inlineStr">
        <is>
          <t>Braya Renewable Fuels (Newfoundland) LP,  Come By Chance, Newfoundland and Labrador, Canada</t>
        </is>
      </c>
      <c r="B4607" t="inlineStr">
        <is>
          <t>Processing Unit, Trader with Storage, Warehouse</t>
        </is>
      </c>
      <c r="C4607" t="inlineStr">
        <is>
          <t>SCS Global Services, Emeryville, CA, US</t>
        </is>
      </c>
      <c r="D4607" t="inlineStr">
        <is>
          <t>30.04.2027</t>
        </is>
      </c>
      <c r="E4607" t="inlineStr">
        <is>
          <t>Canada</t>
        </is>
      </c>
    </row>
    <row r="4608">
      <c r="A4608" t="inlineStr">
        <is>
          <t>Merlin Plastics,  Delta, Canada</t>
        </is>
      </c>
      <c r="B4608" t="inlineStr">
        <is>
          <t>Collecting Point, Processing Unit</t>
        </is>
      </c>
      <c r="C4608" t="inlineStr">
        <is>
          <t>SCS Global Services, Emeryville, CA, US</t>
        </is>
      </c>
      <c r="D4608" t="inlineStr">
        <is>
          <t>30.04.2027</t>
        </is>
      </c>
      <c r="E4608" t="inlineStr">
        <is>
          <t>Canada</t>
        </is>
      </c>
    </row>
    <row r="4609">
      <c r="A4609" t="inlineStr">
        <is>
          <t>The Scoular Company,  Omaha, The United States of America</t>
        </is>
      </c>
      <c r="B4609" t="inlineStr">
        <is>
          <t>Collecting Point, Trader</t>
        </is>
      </c>
      <c r="C4609" t="inlineStr">
        <is>
          <t>SCS Global Services, Emeryville, CA, US</t>
        </is>
      </c>
      <c r="D4609" t="inlineStr">
        <is>
          <t>30.04.2027</t>
        </is>
      </c>
      <c r="E4609" t="inlineStr">
        <is>
          <t>The United States of America</t>
        </is>
      </c>
    </row>
    <row r="4610">
      <c r="A4610" t="inlineStr">
        <is>
          <t>The Scoular Company,  Omaha, The United States of America</t>
        </is>
      </c>
      <c r="B4610" t="inlineStr">
        <is>
          <t>Collecting Point, Trader</t>
        </is>
      </c>
      <c r="C4610" t="inlineStr">
        <is>
          <t>SCS Global Services, Emeryville, CA, US</t>
        </is>
      </c>
      <c r="D4610" t="inlineStr">
        <is>
          <t>30.04.2027</t>
        </is>
      </c>
      <c r="E4610" t="inlineStr">
        <is>
          <t>The United States of America</t>
        </is>
      </c>
    </row>
    <row r="4611">
      <c r="A4611" t="inlineStr">
        <is>
          <t>The Scoular Company,  Omaha, The United States of America</t>
        </is>
      </c>
      <c r="B4611" t="inlineStr">
        <is>
          <t>Collecting Point, Trader</t>
        </is>
      </c>
      <c r="C4611" t="inlineStr">
        <is>
          <t>SCS Global Services, Emeryville, CA, US</t>
        </is>
      </c>
      <c r="D4611" t="inlineStr">
        <is>
          <t>30.04.2027</t>
        </is>
      </c>
      <c r="E4611" t="inlineStr">
        <is>
          <t>The United States of America</t>
        </is>
      </c>
    </row>
    <row r="4612">
      <c r="A4612" t="inlineStr">
        <is>
          <t>C.O.I.M. S.p.A.,  Offanengo, Italy</t>
        </is>
      </c>
      <c r="B4612" t="inlineStr">
        <is>
          <t>Processing Unit</t>
        </is>
      </c>
      <c r="C4612" t="inlineStr">
        <is>
          <t>Certiquality srl, Milano, IT</t>
        </is>
      </c>
      <c r="D4612" t="inlineStr">
        <is>
          <t>30.04.2027</t>
        </is>
      </c>
      <c r="E4612" t="inlineStr">
        <is>
          <t>Italy</t>
        </is>
      </c>
    </row>
    <row r="4613">
      <c r="A4613" t="inlineStr">
        <is>
          <t>Elenger OY,  Tallinn, Estonia</t>
        </is>
      </c>
      <c r="B4613" t="inlineStr">
        <is>
          <t>Proof of Compliance Trader, Trader</t>
        </is>
      </c>
      <c r="C4613" t="inlineStr">
        <is>
          <t>Bureau Veritas Polska Sp. z o.o., Warsaw, PL</t>
        </is>
      </c>
      <c r="D4613" t="inlineStr">
        <is>
          <t>30.04.2027</t>
        </is>
      </c>
      <c r="E4613" t="inlineStr">
        <is>
          <t>Estonia</t>
        </is>
      </c>
    </row>
    <row r="4614">
      <c r="A4614" t="inlineStr">
        <is>
          <t>FARGECO HELLAS,  Nea Zoi, Aspropyrgos, Attiki, Greece</t>
        </is>
      </c>
      <c r="B4614" t="inlineStr">
        <is>
          <t>Collecting Point, Trader with Storage</t>
        </is>
      </c>
      <c r="C4614" t="inlineStr">
        <is>
          <t>Eurocert SA, Metamorfosi, Athens, GR</t>
        </is>
      </c>
      <c r="D4614" t="inlineStr">
        <is>
          <t>29.04.2027</t>
        </is>
      </c>
      <c r="E4614" t="inlineStr">
        <is>
          <t>Greece</t>
        </is>
      </c>
    </row>
    <row r="4615">
      <c r="A4615" t="inlineStr">
        <is>
          <t>Longyan Zhuoyue New Energy Co., Ltd,  Longyan,Fujian, China</t>
        </is>
      </c>
      <c r="B4615" t="inlineStr">
        <is>
          <t>Collecting Point, Processing Unit, Trader with Storage</t>
        </is>
      </c>
      <c r="C4615" t="inlineStr">
        <is>
          <t>TÜV NORD CERT GmbH, Essen, DE</t>
        </is>
      </c>
      <c r="D4615" t="inlineStr">
        <is>
          <t>29.04.2027</t>
        </is>
      </c>
      <c r="E4615" t="inlineStr">
        <is>
          <t>China</t>
        </is>
      </c>
    </row>
    <row r="4616">
      <c r="A4616" t="inlineStr">
        <is>
          <t>Grandi Molini Italiani S.p.A.,  Sesto Al Reghena (PN), Italy</t>
        </is>
      </c>
      <c r="B4616" t="inlineStr">
        <is>
          <t>Processing Unit</t>
        </is>
      </c>
      <c r="C4616" t="inlineStr">
        <is>
          <t>RINA Services S.p.A., Genova, IT</t>
        </is>
      </c>
      <c r="D4616" t="inlineStr">
        <is>
          <t>29.04.2027</t>
        </is>
      </c>
      <c r="E4616" t="inlineStr">
        <is>
          <t>Italy</t>
        </is>
      </c>
    </row>
    <row r="4617">
      <c r="A4617" t="inlineStr">
        <is>
          <t>Seaboard Energy Missouri, LLC,  St. Joseph, The United States of America</t>
        </is>
      </c>
      <c r="B4617" t="inlineStr">
        <is>
          <t>Collecting Point, Processing Unit</t>
        </is>
      </c>
      <c r="C4617" t="inlineStr">
        <is>
          <t>SCS Global Services, Emeryville, CA, US</t>
        </is>
      </c>
      <c r="D4617" t="inlineStr">
        <is>
          <t>29.04.2027</t>
        </is>
      </c>
      <c r="E4617" t="inlineStr">
        <is>
          <t>The United States of America</t>
        </is>
      </c>
    </row>
    <row r="4618">
      <c r="A4618" t="inlineStr">
        <is>
          <t>Seaboard Energy Missouri, LLC,  St. Joseph, United States</t>
        </is>
      </c>
      <c r="B4618" t="inlineStr">
        <is>
          <t>Collecting Point, Processing Unit</t>
        </is>
      </c>
      <c r="C4618" t="inlineStr">
        <is>
          <t>SCS Global Services, Emeryville, CA, US</t>
        </is>
      </c>
      <c r="D4618" t="inlineStr">
        <is>
          <t>29.04.2027</t>
        </is>
      </c>
      <c r="E4618" t="inlineStr">
        <is>
          <t>United States</t>
        </is>
      </c>
    </row>
    <row r="4619">
      <c r="A4619" t="inlineStr">
        <is>
          <t>Peninsula Petroleum Limited,  Gibraltar, Gibraltar</t>
        </is>
      </c>
      <c r="B4619" t="inlineStr">
        <is>
          <t>Trader with Storage</t>
        </is>
      </c>
      <c r="C4619" t="inlineStr">
        <is>
          <t>DNV Business Assurance Sweden AB, Solna, SE</t>
        </is>
      </c>
      <c r="D4619" t="inlineStr">
        <is>
          <t>29.04.2027</t>
        </is>
      </c>
      <c r="E4619" t="inlineStr">
        <is>
          <t>Gibraltar</t>
        </is>
      </c>
    </row>
    <row r="4620">
      <c r="A4620" t="inlineStr">
        <is>
          <t>BERICAP SAU,  LA ROCA DEL VALLES, Spain</t>
        </is>
      </c>
      <c r="B4620" t="inlineStr">
        <is>
          <t>Processing Unit, Trader with Storage</t>
        </is>
      </c>
      <c r="C4620" t="inlineStr">
        <is>
          <t>PT Intertek Utama Services, Jakarta, ID</t>
        </is>
      </c>
      <c r="D4620" t="inlineStr">
        <is>
          <t>29.04.2027</t>
        </is>
      </c>
      <c r="E4620" t="inlineStr">
        <is>
          <t>Spain</t>
        </is>
      </c>
    </row>
    <row r="4621">
      <c r="A4621" t="inlineStr">
        <is>
          <t>Polychem Premier,  Samut Sakhon Province, Thailand</t>
        </is>
      </c>
      <c r="B4621" t="inlineStr">
        <is>
          <t>Trader with Storage</t>
        </is>
      </c>
      <c r="C4621" t="inlineStr">
        <is>
          <t>PT TUV Rheinland Indonesia, Jakarta, ID</t>
        </is>
      </c>
      <c r="D4621" t="inlineStr">
        <is>
          <t>29.04.2027</t>
        </is>
      </c>
      <c r="E4621" t="inlineStr">
        <is>
          <t>Thailand</t>
        </is>
      </c>
    </row>
    <row r="4622">
      <c r="A4622" t="inlineStr">
        <is>
          <t>Modern By-Products Spain,  Gouda, Netherlands</t>
        </is>
      </c>
      <c r="B4622" t="inlineStr">
        <is>
          <t>Collecting Point, Trader</t>
        </is>
      </c>
      <c r="C4622" t="inlineStr">
        <is>
          <t>Control Union Certifications Germany GmbH, Berlin, DE</t>
        </is>
      </c>
      <c r="D4622" t="inlineStr">
        <is>
          <t>29.04.2027</t>
        </is>
      </c>
      <c r="E4622" t="inlineStr">
        <is>
          <t>Netherlands</t>
        </is>
      </c>
    </row>
    <row r="4623">
      <c r="A4623" t="inlineStr">
        <is>
          <t>SHINHUNG BIO ENERGY,  Anseong-si, Gyeonggi-do, South Korea</t>
        </is>
      </c>
      <c r="B4623" t="inlineStr">
        <is>
          <t>Collecting Point, Trader with Storage</t>
        </is>
      </c>
      <c r="C4623" t="inlineStr">
        <is>
          <t>Control Union Certifications Germany GmbH, Berlin, DE</t>
        </is>
      </c>
      <c r="D4623" t="inlineStr">
        <is>
          <t>29.04.2027</t>
        </is>
      </c>
      <c r="E4623" t="inlineStr">
        <is>
          <t>South Korea</t>
        </is>
      </c>
    </row>
    <row r="4624">
      <c r="A4624" t="inlineStr">
        <is>
          <t>SHINHUNG BIO ENERGY,  Anseong-si, Gyeonggi-do, South Korea</t>
        </is>
      </c>
      <c r="B4624" t="inlineStr">
        <is>
          <t>Collecting Point, Trader with Storage</t>
        </is>
      </c>
      <c r="C4624" t="inlineStr">
        <is>
          <t>Control Union Certifications Germany GmbH, Berlin, DE</t>
        </is>
      </c>
      <c r="D4624" t="inlineStr">
        <is>
          <t>29.04.2027</t>
        </is>
      </c>
      <c r="E4624" t="inlineStr">
        <is>
          <t>South Korea</t>
        </is>
      </c>
    </row>
    <row r="4625">
      <c r="A4625" t="inlineStr">
        <is>
          <t>Delrin Switzerland Sárl,  Le Grand Saconnex, Switzerland</t>
        </is>
      </c>
      <c r="B4625" t="inlineStr">
        <is>
          <t>Trader with Storage</t>
        </is>
      </c>
      <c r="C4625" t="inlineStr">
        <is>
          <t>Control Union Certifications Germany GmbH, Berlin, DE</t>
        </is>
      </c>
      <c r="D4625" t="inlineStr">
        <is>
          <t>29.04.2027</t>
        </is>
      </c>
      <c r="E4625" t="inlineStr">
        <is>
          <t>Switzerland</t>
        </is>
      </c>
    </row>
    <row r="4626">
      <c r="A4626" t="inlineStr">
        <is>
          <t>Bhumi Oriental Sahabat,  Jakarta, Indonesia</t>
        </is>
      </c>
      <c r="B4626" t="inlineStr">
        <is>
          <t>Trader</t>
        </is>
      </c>
      <c r="C4626" t="inlineStr">
        <is>
          <t>PT. Qualitas Sertifikasi Indonesia, Jakarta, ID</t>
        </is>
      </c>
      <c r="D4626" t="inlineStr">
        <is>
          <t>29.04.2027</t>
        </is>
      </c>
      <c r="E4626" t="inlineStr">
        <is>
          <t>Indonesia</t>
        </is>
      </c>
    </row>
    <row r="4627">
      <c r="A4627" t="inlineStr">
        <is>
          <t>Van Tuijl Feed Enrichment,  Kesteren, Netherlands</t>
        </is>
      </c>
      <c r="B4627" t="inlineStr">
        <is>
          <t>Collecting Point</t>
        </is>
      </c>
      <c r="C4627" t="inlineStr">
        <is>
          <t>Control Union Certifications Germany GmbH, Berlin, DE</t>
        </is>
      </c>
      <c r="D4627" t="inlineStr">
        <is>
          <t>29.04.2027</t>
        </is>
      </c>
      <c r="E4627" t="inlineStr">
        <is>
          <t>Netherlands</t>
        </is>
      </c>
    </row>
    <row r="4628">
      <c r="A4628" t="inlineStr">
        <is>
          <t>Elenger Marine OÜ,  Tallinn, Estonia</t>
        </is>
      </c>
      <c r="B4628" t="inlineStr">
        <is>
          <t>Proof of Compliance Trader, Trader</t>
        </is>
      </c>
      <c r="C4628" t="inlineStr">
        <is>
          <t>Bureau Veritas Polska Sp. z o.o., Warsaw, PL</t>
        </is>
      </c>
      <c r="D4628" t="inlineStr">
        <is>
          <t>29.04.2027</t>
        </is>
      </c>
      <c r="E4628" t="inlineStr">
        <is>
          <t>Estonia</t>
        </is>
      </c>
    </row>
    <row r="4629">
      <c r="A4629" t="inlineStr">
        <is>
          <t>OBEN PORTUGAL, UNIPESSOAL LDA,  Arcos de Valdevez, Portugal</t>
        </is>
      </c>
      <c r="B4629" t="inlineStr">
        <is>
          <t>Processing Unit</t>
        </is>
      </c>
      <c r="C4629" t="inlineStr">
        <is>
          <t>Control Union Poland Sp. z o.o., Zielona Gora, PL</t>
        </is>
      </c>
      <c r="D4629" t="inlineStr">
        <is>
          <t>29.04.2027</t>
        </is>
      </c>
      <c r="E4629" t="inlineStr">
        <is>
          <t>Portugal</t>
        </is>
      </c>
    </row>
    <row r="4630">
      <c r="A4630" t="inlineStr">
        <is>
          <t>PT. Jaya Sawit Langkat,  Kab. Langkat, Indonesia</t>
        </is>
      </c>
      <c r="B4630" t="inlineStr">
        <is>
          <t>Point of Origin</t>
        </is>
      </c>
      <c r="C4630" t="inlineStr">
        <is>
          <t>BM Certification, Riga, LV</t>
        </is>
      </c>
      <c r="D4630" t="inlineStr">
        <is>
          <t>29.04.2027</t>
        </is>
      </c>
      <c r="E4630" t="inlineStr">
        <is>
          <t>Indonesia</t>
        </is>
      </c>
    </row>
    <row r="4631">
      <c r="A4631" t="inlineStr">
        <is>
          <t>PT SMART Tbk,  Kalimatan Selatan, Indonesia</t>
        </is>
      </c>
      <c r="B4631" t="inlineStr">
        <is>
          <t>Point of Origin, Processing Unit, Warehouse</t>
        </is>
      </c>
      <c r="C4631" t="inlineStr">
        <is>
          <t>PT Intertek Utama Services, Jakarta, ID</t>
        </is>
      </c>
      <c r="D4631" t="inlineStr">
        <is>
          <t>29.04.2027</t>
        </is>
      </c>
      <c r="E4631" t="inlineStr">
        <is>
          <t>Indonesia</t>
        </is>
      </c>
    </row>
    <row r="4632">
      <c r="A4632" t="inlineStr">
        <is>
          <t>Jiangxi Jinliang New Material Technology Co., Ltd,  Yihuang County, Fuzhou City, Jiangxi Province, China</t>
        </is>
      </c>
      <c r="B4632" t="inlineStr">
        <is>
          <t>Processing Unit</t>
        </is>
      </c>
      <c r="C4632" t="inlineStr">
        <is>
          <t>SCS Global Services, Emeryville, CA, US</t>
        </is>
      </c>
      <c r="D4632" t="inlineStr">
        <is>
          <t>29.04.2027</t>
        </is>
      </c>
      <c r="E4632" t="inlineStr">
        <is>
          <t>China</t>
        </is>
      </c>
    </row>
    <row r="4633">
      <c r="A4633" t="inlineStr">
        <is>
          <t>YAMADA YUSHI CO., LTD,  INUKAMI-GUN, Japan</t>
        </is>
      </c>
      <c r="B4633" t="inlineStr">
        <is>
          <t>Collecting Point</t>
        </is>
      </c>
      <c r="C4633" t="inlineStr">
        <is>
          <t>PT TUV Rheinland Indonesia, Jakarta, ID</t>
        </is>
      </c>
      <c r="D4633" t="inlineStr">
        <is>
          <t>29.04.2027</t>
        </is>
      </c>
      <c r="E4633" t="inlineStr">
        <is>
          <t>Japan</t>
        </is>
      </c>
    </row>
    <row r="4634">
      <c r="A4634" t="inlineStr">
        <is>
          <t>MEIKO YUSHI CO., LTD,  AMAGASAKI-SHI, Japan</t>
        </is>
      </c>
      <c r="B4634" t="inlineStr">
        <is>
          <t>Collecting Point</t>
        </is>
      </c>
      <c r="C4634" t="inlineStr">
        <is>
          <t>PT TUV Rheinland Indonesia, Jakarta, ID</t>
        </is>
      </c>
      <c r="D4634" t="inlineStr">
        <is>
          <t>29.04.2027</t>
        </is>
      </c>
      <c r="E4634" t="inlineStr">
        <is>
          <t>Japan</t>
        </is>
      </c>
    </row>
    <row r="4635">
      <c r="A4635" t="inlineStr">
        <is>
          <t>Crocco,  Valdagno (VI), Italy</t>
        </is>
      </c>
      <c r="B4635" t="inlineStr">
        <is>
          <t>Processing Unit, Trader with Storage</t>
        </is>
      </c>
      <c r="C4635" t="inlineStr">
        <is>
          <t>ICIM SpA, sesto san giovanni, IT</t>
        </is>
      </c>
      <c r="D4635" t="inlineStr">
        <is>
          <t>29.04.2027</t>
        </is>
      </c>
      <c r="E4635" t="inlineStr">
        <is>
          <t>Italy</t>
        </is>
      </c>
    </row>
    <row r="4636">
      <c r="A4636" t="inlineStr">
        <is>
          <t>Gunuo TianJin Industrial Co., Ltd.,  Tianjin, China</t>
        </is>
      </c>
      <c r="B4636" t="inlineStr">
        <is>
          <t>Processing Unit</t>
        </is>
      </c>
      <c r="C4636" t="inlineStr">
        <is>
          <t>DIN CERTCO GmbH, Berlin, DE</t>
        </is>
      </c>
      <c r="D4636" t="inlineStr">
        <is>
          <t>29.04.2027</t>
        </is>
      </c>
      <c r="E4636" t="inlineStr">
        <is>
          <t>China</t>
        </is>
      </c>
    </row>
    <row r="4637">
      <c r="A4637" t="inlineStr">
        <is>
          <t>Oudendijk Oils B.V.,  Oudendijk, Netherlands</t>
        </is>
      </c>
      <c r="B4637" t="inlineStr">
        <is>
          <t>Collecting Point, Point of Origin, Trader with Storage</t>
        </is>
      </c>
      <c r="C4637" t="inlineStr">
        <is>
          <t>DEKRA Certification B.V., Arnhem, NL</t>
        </is>
      </c>
      <c r="D4637" t="inlineStr">
        <is>
          <t>29.04.2027</t>
        </is>
      </c>
      <c r="E4637" t="inlineStr">
        <is>
          <t>Netherlands</t>
        </is>
      </c>
    </row>
    <row r="4638">
      <c r="A4638" t="inlineStr">
        <is>
          <t>Okahata Sangyo Co.,Ltd.,  Chuo-ku,Osaka, Japan</t>
        </is>
      </c>
      <c r="B4638" t="inlineStr">
        <is>
          <t>Trader</t>
        </is>
      </c>
      <c r="C4638" t="inlineStr">
        <is>
          <t>SGS Germany GmbH, Emstek, DE</t>
        </is>
      </c>
      <c r="D4638" t="inlineStr">
        <is>
          <t>29.04.2027</t>
        </is>
      </c>
      <c r="E4638" t="inlineStr">
        <is>
          <t>Japan</t>
        </is>
      </c>
    </row>
    <row r="4639">
      <c r="A4639" t="inlineStr">
        <is>
          <t>F.W.Oil,  Labege, France</t>
        </is>
      </c>
      <c r="B4639" t="inlineStr">
        <is>
          <t>Collecting Point, Trader with Storage</t>
        </is>
      </c>
      <c r="C4639" t="inlineStr">
        <is>
          <t>Control Union Certifications Germany GmbH, Berlin, DE</t>
        </is>
      </c>
      <c r="D4639" t="inlineStr">
        <is>
          <t>29.04.2027</t>
        </is>
      </c>
      <c r="E4639" t="inlineStr">
        <is>
          <t>France</t>
        </is>
      </c>
    </row>
    <row r="4640">
      <c r="A4640" t="inlineStr">
        <is>
          <t>Yoshino Kogyosho Co.LTD.,  Nakagawa-machi, Nasu-Gun, Tochigi-Ken, Japan</t>
        </is>
      </c>
      <c r="B4640" t="inlineStr">
        <is>
          <t>Processing Unit, Final Product Refinement</t>
        </is>
      </c>
      <c r="C4640" t="inlineStr">
        <is>
          <t>SGS Germany GmbH, Emstek, DE</t>
        </is>
      </c>
      <c r="D4640" t="inlineStr">
        <is>
          <t>29.04.2027</t>
        </is>
      </c>
      <c r="E4640" t="inlineStr">
        <is>
          <t>Japan</t>
        </is>
      </c>
    </row>
    <row r="4641">
      <c r="A4641" t="inlineStr">
        <is>
          <t>LUKOIL Neftohim Burgas,  Burgas, Bulgaria</t>
        </is>
      </c>
      <c r="B4641" t="inlineStr">
        <is>
          <t>Processing Unit, Trader with Storage</t>
        </is>
      </c>
      <c r="C4641" t="inlineStr">
        <is>
          <t>SGS Germany GmbH, Emstek, DE</t>
        </is>
      </c>
      <c r="D4641" t="inlineStr">
        <is>
          <t>29.04.2027</t>
        </is>
      </c>
      <c r="E4641" t="inlineStr">
        <is>
          <t>Bulgaria</t>
        </is>
      </c>
    </row>
    <row r="4642">
      <c r="A4642" t="inlineStr">
        <is>
          <t>Bangchak Corporation Public Company Limited,  Bangkok, Thailand</t>
        </is>
      </c>
      <c r="B4642" t="inlineStr">
        <is>
          <t>Trader with Storage</t>
        </is>
      </c>
      <c r="C4642" t="inlineStr">
        <is>
          <t>SGS Germany GmbH, Emstek, DE</t>
        </is>
      </c>
      <c r="D4642" t="inlineStr">
        <is>
          <t>29.04.2027</t>
        </is>
      </c>
      <c r="E4642" t="inlineStr">
        <is>
          <t>Thailand</t>
        </is>
      </c>
    </row>
    <row r="4643">
      <c r="A4643" t="inlineStr">
        <is>
          <t>Bangchak Corporation Public Company Limited,  Bangkok, Thailand</t>
        </is>
      </c>
      <c r="B4643" t="inlineStr">
        <is>
          <t>Trader with Storage</t>
        </is>
      </c>
      <c r="C4643" t="inlineStr">
        <is>
          <t>SGS Germany GmbH, Emstek, DE</t>
        </is>
      </c>
      <c r="D4643" t="inlineStr">
        <is>
          <t>29.04.2027</t>
        </is>
      </c>
      <c r="E4643" t="inlineStr">
        <is>
          <t>Thailand</t>
        </is>
      </c>
    </row>
    <row r="4644">
      <c r="A4644" t="inlineStr">
        <is>
          <t>G.P. Engineering, Ltd.,  Sakai-shi, Fukui, Japan</t>
        </is>
      </c>
      <c r="B4644" t="inlineStr">
        <is>
          <t>Final Product Refinement</t>
        </is>
      </c>
      <c r="C4644" t="inlineStr">
        <is>
          <t>SGS Germany GmbH, Emstek, DE</t>
        </is>
      </c>
      <c r="D4644" t="inlineStr">
        <is>
          <t>29.04.2027</t>
        </is>
      </c>
      <c r="E4644" t="inlineStr">
        <is>
          <t>Japan</t>
        </is>
      </c>
    </row>
    <row r="4645">
      <c r="A4645" t="inlineStr">
        <is>
          <t>Bangchak Corporation Public Company Limited,  Bangkok, Thailand</t>
        </is>
      </c>
      <c r="B4645" t="inlineStr">
        <is>
          <t>Trader with Storage</t>
        </is>
      </c>
      <c r="C4645" t="inlineStr">
        <is>
          <t>SGS Germany GmbH, Emstek, DE</t>
        </is>
      </c>
      <c r="D4645" t="inlineStr">
        <is>
          <t>29.04.2027</t>
        </is>
      </c>
      <c r="E4645" t="inlineStr">
        <is>
          <t>Thailand</t>
        </is>
      </c>
    </row>
    <row r="4646">
      <c r="A4646" t="inlineStr">
        <is>
          <t>Hebi Ruiyuan Biotechnology Co., Ltd,  Hebi City, China</t>
        </is>
      </c>
      <c r="B4646" t="inlineStr">
        <is>
          <t>Collecting Point, Trader</t>
        </is>
      </c>
      <c r="C4646" t="inlineStr">
        <is>
          <t>RINA Services S.p.A., Genova, IT</t>
        </is>
      </c>
      <c r="D4646" t="inlineStr">
        <is>
          <t>29.04.2027</t>
        </is>
      </c>
      <c r="E4646" t="inlineStr">
        <is>
          <t>China</t>
        </is>
      </c>
    </row>
    <row r="4647">
      <c r="A4647" t="inlineStr">
        <is>
          <t>Gaozhou Fengrun Grease Co., Ltd,  Gaozhou City, Guangdong Province, China</t>
        </is>
      </c>
      <c r="B4647" t="inlineStr">
        <is>
          <t>Collecting Point, Trader</t>
        </is>
      </c>
      <c r="C4647" t="inlineStr">
        <is>
          <t>RINA Services S.p.A., Genova, IT</t>
        </is>
      </c>
      <c r="D4647" t="inlineStr">
        <is>
          <t>29.04.2027</t>
        </is>
      </c>
      <c r="E4647" t="inlineStr">
        <is>
          <t>China</t>
        </is>
      </c>
    </row>
    <row r="4648">
      <c r="A4648" t="inlineStr">
        <is>
          <t>CEVILLE IMPORT AND EXPORT,  SHENGZE,WUJIANG, SUZHOU,JIANGSU, China</t>
        </is>
      </c>
      <c r="B4648" t="inlineStr">
        <is>
          <t>Trader</t>
        </is>
      </c>
      <c r="C4648" t="inlineStr">
        <is>
          <t>PT Intertek Utama Services, Jakarta, ID</t>
        </is>
      </c>
      <c r="D4648" t="inlineStr">
        <is>
          <t>29.04.2027</t>
        </is>
      </c>
      <c r="E4648" t="inlineStr">
        <is>
          <t>China</t>
        </is>
      </c>
    </row>
    <row r="4649">
      <c r="A4649" t="inlineStr">
        <is>
          <t>Shijiazhuang Shibiao Biotechnology Co., Ltd,  Jinzhou City, Shijiazhuang City, Hebei Province, China</t>
        </is>
      </c>
      <c r="B4649" t="inlineStr">
        <is>
          <t>Collecting Point, Trader with Storage</t>
        </is>
      </c>
      <c r="C4649" t="inlineStr">
        <is>
          <t>China Standard Conformity Assessment Co. Ltd, Beijing, CN</t>
        </is>
      </c>
      <c r="D4649" t="inlineStr">
        <is>
          <t>29.04.2027</t>
        </is>
      </c>
      <c r="E4649" t="inlineStr">
        <is>
          <t>China</t>
        </is>
      </c>
    </row>
    <row r="4650">
      <c r="A4650" t="inlineStr">
        <is>
          <t>Guangzhou Yuefei Handicrafts Co., LTD,  Guangzhou City, China</t>
        </is>
      </c>
      <c r="B4650" t="inlineStr">
        <is>
          <t>Processing Unit</t>
        </is>
      </c>
      <c r="C4650" t="inlineStr">
        <is>
          <t>PT Intertek Utama Services, Jakarta, ID</t>
        </is>
      </c>
      <c r="D4650" t="inlineStr">
        <is>
          <t>29.04.2027</t>
        </is>
      </c>
      <c r="E4650" t="inlineStr">
        <is>
          <t>China</t>
        </is>
      </c>
    </row>
    <row r="4651">
      <c r="A4651" t="inlineStr">
        <is>
          <t>Terramore Soc.Coop. Agr.,  Eboli, Italy</t>
        </is>
      </c>
      <c r="B4651" t="inlineStr">
        <is>
          <t>First Gathering Point</t>
        </is>
      </c>
      <c r="C4651" t="inlineStr">
        <is>
          <t>RINA Services S.p.A., Genova, IT</t>
        </is>
      </c>
      <c r="D4651" t="inlineStr">
        <is>
          <t>29.04.2027</t>
        </is>
      </c>
      <c r="E4651" t="inlineStr">
        <is>
          <t>Italy</t>
        </is>
      </c>
    </row>
    <row r="4652">
      <c r="A4652" t="inlineStr">
        <is>
          <t>Anhui NaBaichuan New Materials Co., Ltd.,  Hefei Circular Economy Demonstration Park, Feidong, China</t>
        </is>
      </c>
      <c r="B4652" t="inlineStr">
        <is>
          <t>Collecting Point, Processing Unit</t>
        </is>
      </c>
      <c r="C4652" t="inlineStr">
        <is>
          <t>Control Union Certifications Germany GmbH, Berlin, DE</t>
        </is>
      </c>
      <c r="D4652" t="inlineStr">
        <is>
          <t>29.04.2027</t>
        </is>
      </c>
      <c r="E4652" t="inlineStr">
        <is>
          <t>China</t>
        </is>
      </c>
    </row>
    <row r="4653">
      <c r="A4653" t="inlineStr">
        <is>
          <t>Endau Palm Oil Mill,  Mukim Endau, Rompin, Malaysia</t>
        </is>
      </c>
      <c r="B4653" t="inlineStr">
        <is>
          <t>Point of Origin</t>
        </is>
      </c>
      <c r="C4653" t="inlineStr">
        <is>
          <t>Trans Certification and Inspection Sdn Bhd, Kuantan, MY</t>
        </is>
      </c>
      <c r="D4653" t="inlineStr">
        <is>
          <t>29.04.2027</t>
        </is>
      </c>
      <c r="E4653" t="inlineStr">
        <is>
          <t>Malaysia</t>
        </is>
      </c>
    </row>
    <row r="4654">
      <c r="A4654" t="inlineStr">
        <is>
          <t>Horizon Performance Polyurethane Private Limited,  Bahadurgarh, India</t>
        </is>
      </c>
      <c r="B4654" t="inlineStr">
        <is>
          <t>Processing Unit</t>
        </is>
      </c>
      <c r="C4654" t="inlineStr">
        <is>
          <t>SGS Germany GmbH, Emstek, DE</t>
        </is>
      </c>
      <c r="D4654" t="inlineStr">
        <is>
          <t>29.04.2027</t>
        </is>
      </c>
      <c r="E4654" t="inlineStr">
        <is>
          <t>India</t>
        </is>
      </c>
    </row>
    <row r="4655">
      <c r="A4655" t="inlineStr">
        <is>
          <t>Emerald Chemical Co., Ltd.,  Shijiazhuang City, Hebei Province,, China</t>
        </is>
      </c>
      <c r="B4655" t="inlineStr">
        <is>
          <t>Collecting Point, Point of Origin, Processing Unit, Trader with Storage</t>
        </is>
      </c>
      <c r="C4655" t="inlineStr">
        <is>
          <t>China Standard Conformity Assessment Co. Ltd, Beijing, CN</t>
        </is>
      </c>
      <c r="D4655" t="inlineStr">
        <is>
          <t>29.04.2027</t>
        </is>
      </c>
      <c r="E4655" t="inlineStr">
        <is>
          <t>China</t>
        </is>
      </c>
    </row>
    <row r="4656">
      <c r="A4656" t="inlineStr">
        <is>
          <t>Alvas JSC.,  Varna, Bulgaria</t>
        </is>
      </c>
      <c r="B4656" t="inlineStr">
        <is>
          <t>First Gathering Point</t>
        </is>
      </c>
      <c r="C4656" t="inlineStr">
        <is>
          <t>Baltic Control Certification, Albertslund, DK</t>
        </is>
      </c>
      <c r="D4656" t="inlineStr">
        <is>
          <t>29.04.2027</t>
        </is>
      </c>
      <c r="E4656" t="inlineStr">
        <is>
          <t>Bulgaria</t>
        </is>
      </c>
    </row>
    <row r="4657">
      <c r="A4657" t="inlineStr">
        <is>
          <t>ROMPIN PALM OIL MILL,  Pekan, Malaysia</t>
        </is>
      </c>
      <c r="B4657" t="inlineStr">
        <is>
          <t>Point of Origin</t>
        </is>
      </c>
      <c r="C4657" t="inlineStr">
        <is>
          <t>Trans Certification and Inspection Sdn Bhd, Kuantan, MY</t>
        </is>
      </c>
      <c r="D4657" t="inlineStr">
        <is>
          <t>29.04.2027</t>
        </is>
      </c>
      <c r="E4657" t="inlineStr">
        <is>
          <t>Malaysia</t>
        </is>
      </c>
    </row>
    <row r="4658">
      <c r="A4658" t="inlineStr">
        <is>
          <t>Patagonia trans Internacional Ltda,  San Lorenzo, Argentina</t>
        </is>
      </c>
      <c r="B4658" t="inlineStr">
        <is>
          <t>Trader</t>
        </is>
      </c>
      <c r="C4658" t="inlineStr">
        <is>
          <t>SGS Germany GmbH, Emstek, DE</t>
        </is>
      </c>
      <c r="D4658" t="inlineStr">
        <is>
          <t>29.04.2027</t>
        </is>
      </c>
      <c r="E4658" t="inlineStr">
        <is>
          <t>Argentina</t>
        </is>
      </c>
    </row>
    <row r="4659">
      <c r="A4659" t="inlineStr">
        <is>
          <t>PROGRESS TRADING, a.s.,  Trebišov, Slovakia</t>
        </is>
      </c>
      <c r="B4659" t="inlineStr">
        <is>
          <t>Logistics Center</t>
        </is>
      </c>
      <c r="C4659" t="inlineStr">
        <is>
          <t>SGS Germany GmbH, Emstek, DE</t>
        </is>
      </c>
      <c r="D4659" t="inlineStr">
        <is>
          <t>29.04.2027</t>
        </is>
      </c>
      <c r="E4659" t="inlineStr">
        <is>
          <t>Slovakia</t>
        </is>
      </c>
    </row>
    <row r="4660">
      <c r="A4660" t="inlineStr">
        <is>
          <t>Vinavil,  Villadossola, Italy</t>
        </is>
      </c>
      <c r="B4660" t="inlineStr">
        <is>
          <t>Processing Unit</t>
        </is>
      </c>
      <c r="C4660" t="inlineStr">
        <is>
          <t>PT Intertek Utama Services, Jakarta, ID</t>
        </is>
      </c>
      <c r="D4660" t="inlineStr">
        <is>
          <t>29.04.2027</t>
        </is>
      </c>
      <c r="E4660" t="inlineStr">
        <is>
          <t>Italy</t>
        </is>
      </c>
    </row>
    <row r="4661">
      <c r="A4661" t="inlineStr">
        <is>
          <t>Ltu oil limited,  Saltney, Chester, United Kingdom</t>
        </is>
      </c>
      <c r="B4661" t="inlineStr">
        <is>
          <t>Collecting Point</t>
        </is>
      </c>
      <c r="C4661" t="inlineStr">
        <is>
          <t>SGS Germany GmbH, Emstek, DE</t>
        </is>
      </c>
      <c r="D4661" t="inlineStr">
        <is>
          <t>29.04.2027</t>
        </is>
      </c>
      <c r="E4661" t="inlineStr">
        <is>
          <t>United Kingdom</t>
        </is>
      </c>
    </row>
    <row r="4662">
      <c r="A4662" t="inlineStr">
        <is>
          <t>Nantong Chemical &amp; Light Industry Co., Ltd,  Nantong,Jiangsu, China</t>
        </is>
      </c>
      <c r="B4662" t="inlineStr">
        <is>
          <t>Trader with Storage</t>
        </is>
      </c>
      <c r="C4662" t="inlineStr">
        <is>
          <t>RINA Services S.p.A., Genova, IT</t>
        </is>
      </c>
      <c r="D4662" t="inlineStr">
        <is>
          <t>29.04.2027</t>
        </is>
      </c>
      <c r="E4662" t="inlineStr">
        <is>
          <t>China</t>
        </is>
      </c>
    </row>
    <row r="4663">
      <c r="A4663" t="inlineStr">
        <is>
          <t>Crocco Spa,  Cornedo Vicentino, Italy</t>
        </is>
      </c>
      <c r="B4663" t="inlineStr">
        <is>
          <t>Processing Unit, Trader with Storage</t>
        </is>
      </c>
      <c r="C4663" t="inlineStr">
        <is>
          <t>ICIM SpA, sesto san giovanni, IT</t>
        </is>
      </c>
      <c r="D4663" t="inlineStr">
        <is>
          <t>29.04.2027</t>
        </is>
      </c>
      <c r="E4663" t="inlineStr">
        <is>
          <t>Italy</t>
        </is>
      </c>
    </row>
    <row r="4664">
      <c r="A4664" t="inlineStr">
        <is>
          <t>PT Ecogen Teknologi Indonesia,  Serang, Indonesia</t>
        </is>
      </c>
      <c r="B4664" t="inlineStr">
        <is>
          <t>Collecting Point, Processing Unit</t>
        </is>
      </c>
      <c r="C4664" t="inlineStr">
        <is>
          <t>PT TSI Sertifikasi Internasional, Jakarta Selatang, ID</t>
        </is>
      </c>
      <c r="D4664" t="inlineStr">
        <is>
          <t>29.04.2027</t>
        </is>
      </c>
      <c r="E4664" t="inlineStr">
        <is>
          <t>Indonesia</t>
        </is>
      </c>
    </row>
    <row r="4665">
      <c r="A4665" t="inlineStr">
        <is>
          <t>Nantong Chemical &amp; Light Industry Co., Ltd,  Nantong,Jiangsu, China</t>
        </is>
      </c>
      <c r="B4665" t="inlineStr">
        <is>
          <t>Trader with Storage</t>
        </is>
      </c>
      <c r="C4665" t="inlineStr">
        <is>
          <t>RINA Services S.p.A., Genova, IT</t>
        </is>
      </c>
      <c r="D4665" t="inlineStr">
        <is>
          <t>29.04.2027</t>
        </is>
      </c>
      <c r="E4665" t="inlineStr">
        <is>
          <t>China</t>
        </is>
      </c>
    </row>
    <row r="4666">
      <c r="A4666" t="inlineStr">
        <is>
          <t>PT Ecogen Teknologi Indonesia,  Serang, Indonesia</t>
        </is>
      </c>
      <c r="B4666" t="inlineStr">
        <is>
          <t>Collecting Point, Processing Unit</t>
        </is>
      </c>
      <c r="C4666" t="inlineStr">
        <is>
          <t>PT TSI Sertifikasi Internasional, Jakarta Selatang, ID</t>
        </is>
      </c>
      <c r="D4666" t="inlineStr">
        <is>
          <t>29.04.2027</t>
        </is>
      </c>
      <c r="E4666" t="inlineStr">
        <is>
          <t>Indonesia</t>
        </is>
      </c>
    </row>
    <row r="4667">
      <c r="A4667" t="inlineStr">
        <is>
          <t>J Circular system Corporation,  Kawasaki-ku, Kawasaki-city, Japan</t>
        </is>
      </c>
      <c r="B4667" t="inlineStr">
        <is>
          <t>Collecting Point</t>
        </is>
      </c>
      <c r="C4667" t="inlineStr">
        <is>
          <t>TÜV SÜD Industrie Service GmbH, München, DE</t>
        </is>
      </c>
      <c r="D4667" t="inlineStr">
        <is>
          <t>29.04.2027</t>
        </is>
      </c>
      <c r="E4667" t="inlineStr">
        <is>
          <t>Japan</t>
        </is>
      </c>
    </row>
    <row r="4668">
      <c r="A4668" t="inlineStr">
        <is>
          <t>Gestora Catalana de Residuos S.L.U,  Castellet i la Gornal, Spain</t>
        </is>
      </c>
      <c r="B4668" t="inlineStr">
        <is>
          <t>Processing Unit, Trader with Storage</t>
        </is>
      </c>
      <c r="C4668" t="inlineStr">
        <is>
          <t>SGS Germany GmbH, Emstek, DE</t>
        </is>
      </c>
      <c r="D4668" t="inlineStr">
        <is>
          <t>29.04.2027</t>
        </is>
      </c>
      <c r="E4668" t="inlineStr">
        <is>
          <t>Spain</t>
        </is>
      </c>
    </row>
    <row r="4669">
      <c r="A4669" t="inlineStr">
        <is>
          <t>MONDO TUFTING, S.A.U.,  Borja, Spain</t>
        </is>
      </c>
      <c r="B4669" t="inlineStr">
        <is>
          <t>Point of Origin, Processing Unit</t>
        </is>
      </c>
      <c r="C4669" t="inlineStr">
        <is>
          <t>SGS Germany GmbH, Emstek, DE</t>
        </is>
      </c>
      <c r="D4669" t="inlineStr">
        <is>
          <t>29.04.2027</t>
        </is>
      </c>
      <c r="E4669" t="inlineStr">
        <is>
          <t>Spain</t>
        </is>
      </c>
    </row>
    <row r="4670">
      <c r="A4670" t="inlineStr">
        <is>
          <t>Grandeur Company s.r.o,  Bratislava, Slovakia</t>
        </is>
      </c>
      <c r="B4670" t="inlineStr">
        <is>
          <t>Trader</t>
        </is>
      </c>
      <c r="C4670" t="inlineStr">
        <is>
          <t>Aciter Genelab LLC, Odessa, UA</t>
        </is>
      </c>
      <c r="D4670" t="inlineStr">
        <is>
          <t>29.04.2027</t>
        </is>
      </c>
      <c r="E4670" t="inlineStr">
        <is>
          <t>Slovakia</t>
        </is>
      </c>
    </row>
    <row r="4671">
      <c r="A4671" t="inlineStr">
        <is>
          <t>Amcor Flexibles do Brasil Indústria e Comércio de Embalagens Ltda,  Londrina, Brazil</t>
        </is>
      </c>
      <c r="B4671" t="inlineStr">
        <is>
          <t>Trader with Storage, Processing Unit</t>
        </is>
      </c>
      <c r="C4671" t="inlineStr">
        <is>
          <t>QIMA, Centro, Botucatu - SP, CEP, BR</t>
        </is>
      </c>
      <c r="D4671" t="inlineStr">
        <is>
          <t>29.04.2027</t>
        </is>
      </c>
      <c r="E4671" t="inlineStr">
        <is>
          <t>Brazil</t>
        </is>
      </c>
    </row>
    <row r="4672">
      <c r="A4672" t="inlineStr">
        <is>
          <t>ALMAD AGROINDÚSTRIA LTDA,  Itumbiara, Brazil</t>
        </is>
      </c>
      <c r="B4672" t="inlineStr">
        <is>
          <t>Collecting Point, Processing Unit</t>
        </is>
      </c>
      <c r="C4672" t="inlineStr">
        <is>
          <t>QIMA, Centro, Botucatu - SP, CEP, BR</t>
        </is>
      </c>
      <c r="D4672" t="inlineStr">
        <is>
          <t>29.04.2027</t>
        </is>
      </c>
      <c r="E4672" t="inlineStr">
        <is>
          <t>Brazil</t>
        </is>
      </c>
    </row>
    <row r="4673">
      <c r="A4673" t="inlineStr">
        <is>
          <t>Advanced Polymer Recycling, LLC,  Atlanta, United States</t>
        </is>
      </c>
      <c r="B4673" t="inlineStr">
        <is>
          <t>Collecting Point, Trader with Storage</t>
        </is>
      </c>
      <c r="C4673" t="inlineStr">
        <is>
          <t>SCS Global Services, Emeryville, CA, US</t>
        </is>
      </c>
      <c r="D4673" t="inlineStr">
        <is>
          <t>29.04.2027</t>
        </is>
      </c>
      <c r="E4673" t="inlineStr">
        <is>
          <t>United States</t>
        </is>
      </c>
    </row>
    <row r="4674">
      <c r="A4674" t="inlineStr">
        <is>
          <t>Chemhub (Singapore) Pte. Ltd.,  Nantong,Jiangsu, China</t>
        </is>
      </c>
      <c r="B4674" t="inlineStr">
        <is>
          <t>Trader with Storage</t>
        </is>
      </c>
      <c r="C4674" t="inlineStr">
        <is>
          <t>RINA Services S.p.A., Genova, IT</t>
        </is>
      </c>
      <c r="D4674" t="inlineStr">
        <is>
          <t>29.04.2027</t>
        </is>
      </c>
      <c r="E4674" t="inlineStr">
        <is>
          <t>China</t>
        </is>
      </c>
    </row>
    <row r="4675">
      <c r="A4675" t="inlineStr">
        <is>
          <t>Chemhub (Singapore) Pte. Ltd.,  Nantong,Jiangsu, China</t>
        </is>
      </c>
      <c r="B4675" t="inlineStr">
        <is>
          <t>Trader with Storage</t>
        </is>
      </c>
      <c r="C4675" t="inlineStr">
        <is>
          <t>RINA Services S.p.A., Genova, IT</t>
        </is>
      </c>
      <c r="D4675" t="inlineStr">
        <is>
          <t>29.04.2027</t>
        </is>
      </c>
      <c r="E4675" t="inlineStr">
        <is>
          <t>China</t>
        </is>
      </c>
    </row>
    <row r="4676">
      <c r="A4676" t="inlineStr">
        <is>
          <t>Classic Palm Oil Mill Sdn Bhd,  Negeri Sembilan, Malaysia</t>
        </is>
      </c>
      <c r="B4676" t="inlineStr">
        <is>
          <t>Trader with Storage, Point of Origin, Processing Unit</t>
        </is>
      </c>
      <c r="C4676" t="inlineStr">
        <is>
          <t>Trans Certification and Inspection Sdn Bhd, Kuantan, MY</t>
        </is>
      </c>
      <c r="D4676" t="inlineStr">
        <is>
          <t>29.04.2027</t>
        </is>
      </c>
      <c r="E4676" t="inlineStr">
        <is>
          <t>Malaysia</t>
        </is>
      </c>
    </row>
    <row r="4677">
      <c r="A4677" t="inlineStr">
        <is>
          <t>ENSELCO AGRO,  Sakhnovtsi village, Ukraine</t>
        </is>
      </c>
      <c r="B4677" t="inlineStr">
        <is>
          <t>Trader with Storage, Farm / Plantation</t>
        </is>
      </c>
      <c r="C4677" t="inlineStr">
        <is>
          <t>Bureau Veritas Polska Sp. z o.o., Warsaw, PL</t>
        </is>
      </c>
      <c r="D4677" t="inlineStr">
        <is>
          <t>29.04.2027</t>
        </is>
      </c>
      <c r="E4677" t="inlineStr">
        <is>
          <t>Ukraine</t>
        </is>
      </c>
    </row>
    <row r="4678">
      <c r="A4678" t="inlineStr">
        <is>
          <t>Shandong Xinguohai Chemical Co. Ltd.,  Weifang City, China</t>
        </is>
      </c>
      <c r="B4678" t="inlineStr">
        <is>
          <t>Collecting Point, Processing Unit</t>
        </is>
      </c>
      <c r="C4678" t="inlineStr">
        <is>
          <t>SGS Germany GmbH, Emstek, DE</t>
        </is>
      </c>
      <c r="D4678" t="inlineStr">
        <is>
          <t>29.04.2027</t>
        </is>
      </c>
      <c r="E4678" t="inlineStr">
        <is>
          <t>China</t>
        </is>
      </c>
    </row>
    <row r="4679">
      <c r="A4679" t="inlineStr">
        <is>
          <t>Valoeste Kwanza Sul, Lda,  Luanda, Angola</t>
        </is>
      </c>
      <c r="B4679" t="inlineStr">
        <is>
          <t>Farm / Plantation, First Gathering Point</t>
        </is>
      </c>
      <c r="C4679" t="inlineStr">
        <is>
          <t>RINA Services S.p.A., Genova, IT</t>
        </is>
      </c>
      <c r="D4679" t="inlineStr">
        <is>
          <t>28.04.2027</t>
        </is>
      </c>
      <c r="E4679" t="inlineStr">
        <is>
          <t>Angola</t>
        </is>
      </c>
    </row>
    <row r="4680">
      <c r="A4680" t="inlineStr">
        <is>
          <t>OMV Gas Marketing &amp; Trading,  Vienna, Austria</t>
        </is>
      </c>
      <c r="B4680" t="inlineStr">
        <is>
          <t>Proof of Compliance Trader, Trader with Storage</t>
        </is>
      </c>
      <c r="C4680" t="inlineStr">
        <is>
          <t>agroVet GmbH, Enzersfeld, AT</t>
        </is>
      </c>
      <c r="D4680" t="inlineStr">
        <is>
          <t>28.04.2027</t>
        </is>
      </c>
      <c r="E4680" t="inlineStr">
        <is>
          <t>Austria</t>
        </is>
      </c>
    </row>
    <row r="4681">
      <c r="A4681" t="inlineStr">
        <is>
          <t>Tianjin Changtong Environmental Technology Co.,Ltd.,  Binhai New Area Tianjin, China</t>
        </is>
      </c>
      <c r="B4681" t="inlineStr">
        <is>
          <t>Collecting Point, Trader with Storage</t>
        </is>
      </c>
      <c r="C4681" t="inlineStr">
        <is>
          <t>RINA Services S.p.A., Genova, IT</t>
        </is>
      </c>
      <c r="D4681" t="inlineStr">
        <is>
          <t>28.04.2027</t>
        </is>
      </c>
      <c r="E4681" t="inlineStr">
        <is>
          <t>China</t>
        </is>
      </c>
    </row>
    <row r="4682">
      <c r="A4682" t="inlineStr">
        <is>
          <t>Groupe Barbier,  SAINTE SIGOLENE, France</t>
        </is>
      </c>
      <c r="B4682" t="inlineStr">
        <is>
          <t>Final Product Refinement, Processing Unit</t>
        </is>
      </c>
      <c r="C4682" t="inlineStr">
        <is>
          <t>Bureau Veritas Polska Sp. z o.o., Warsaw, PL</t>
        </is>
      </c>
      <c r="D4682" t="inlineStr">
        <is>
          <t>28.04.2027</t>
        </is>
      </c>
      <c r="E4682" t="inlineStr">
        <is>
          <t>France</t>
        </is>
      </c>
    </row>
    <row r="4683">
      <c r="A4683" t="inlineStr">
        <is>
          <t>Permai Alam Raya,  Sanggau, Indonesia</t>
        </is>
      </c>
      <c r="B4683" t="inlineStr">
        <is>
          <t>Point of Origin</t>
        </is>
      </c>
      <c r="C4683" t="inlineStr">
        <is>
          <t>PT. Qualitas Sertifikasi Indonesia, Jakarta, ID</t>
        </is>
      </c>
      <c r="D4683" t="inlineStr">
        <is>
          <t>28.04.2027</t>
        </is>
      </c>
      <c r="E4683" t="inlineStr">
        <is>
          <t>Indonesia</t>
        </is>
      </c>
    </row>
    <row r="4684">
      <c r="A4684" t="inlineStr">
        <is>
          <t>Permai Alam Raya,  Sanggau, Indonesia</t>
        </is>
      </c>
      <c r="B4684" t="inlineStr">
        <is>
          <t>Point of Origin</t>
        </is>
      </c>
      <c r="C4684" t="inlineStr">
        <is>
          <t>PT. Qualitas Sertifikasi Indonesia, Jakarta, ID</t>
        </is>
      </c>
      <c r="D4684" t="inlineStr">
        <is>
          <t>28.04.2027</t>
        </is>
      </c>
      <c r="E4684" t="inlineStr">
        <is>
          <t>Indonesia</t>
        </is>
      </c>
    </row>
    <row r="4685">
      <c r="A4685" t="inlineStr">
        <is>
          <t>Ecoimpact Co. Ltd.,  Diego Martin, Trinidad and Tobago</t>
        </is>
      </c>
      <c r="B4685" t="inlineStr">
        <is>
          <t>Collecting Point</t>
        </is>
      </c>
      <c r="C4685" t="inlineStr">
        <is>
          <t>SCS Global Services, Emeryville, CA, US</t>
        </is>
      </c>
      <c r="D4685" t="inlineStr">
        <is>
          <t>28.04.2027</t>
        </is>
      </c>
      <c r="E4685" t="inlineStr">
        <is>
          <t>Trinidad and Tobago</t>
        </is>
      </c>
    </row>
    <row r="4686">
      <c r="A4686" t="inlineStr">
        <is>
          <t>Raka ApS,  København Ø, Denmark</t>
        </is>
      </c>
      <c r="B4686" t="inlineStr">
        <is>
          <t>Trader</t>
        </is>
      </c>
      <c r="C4686" t="inlineStr">
        <is>
          <t>Baltic Control Certification, Albertslund, DK</t>
        </is>
      </c>
      <c r="D4686" t="inlineStr">
        <is>
          <t>28.04.2027</t>
        </is>
      </c>
      <c r="E4686" t="inlineStr">
        <is>
          <t>Denmark</t>
        </is>
      </c>
    </row>
    <row r="4687">
      <c r="A4687" t="inlineStr">
        <is>
          <t>Delrin Netherlands B.V.,  Dordrecht, Netherlands</t>
        </is>
      </c>
      <c r="B4687" t="inlineStr">
        <is>
          <t>Processing Unit</t>
        </is>
      </c>
      <c r="C4687" t="inlineStr">
        <is>
          <t>Control Union Certifications Germany GmbH, Berlin, DE</t>
        </is>
      </c>
      <c r="D4687" t="inlineStr">
        <is>
          <t>28.04.2027</t>
        </is>
      </c>
      <c r="E4687" t="inlineStr">
        <is>
          <t>Netherlands</t>
        </is>
      </c>
    </row>
    <row r="4688">
      <c r="A4688" t="inlineStr">
        <is>
          <t>DEM FACTORY SRL,  LIMANA, Italy</t>
        </is>
      </c>
      <c r="B4688" t="inlineStr">
        <is>
          <t>Final Product Refinement, Processing Unit</t>
        </is>
      </c>
      <c r="C4688" t="inlineStr">
        <is>
          <t>ICIM SpA, sesto san giovanni, IT</t>
        </is>
      </c>
      <c r="D4688" t="inlineStr">
        <is>
          <t>28.04.2027</t>
        </is>
      </c>
      <c r="E4688" t="inlineStr">
        <is>
          <t>Italy</t>
        </is>
      </c>
    </row>
    <row r="4689">
      <c r="A4689" t="inlineStr">
        <is>
          <t>Kaposvölgye Agrár Termelői Csoport Mezőgazdasági Szövetkezet,  Mosdós, Hungary</t>
        </is>
      </c>
      <c r="B4689" t="inlineStr">
        <is>
          <t>First Gathering Point</t>
        </is>
      </c>
      <c r="C4689" t="inlineStr">
        <is>
          <t>Amspec Iberia SL, Vilagarcia de Arousa-Pontevedra, ES</t>
        </is>
      </c>
      <c r="D4689" t="inlineStr">
        <is>
          <t>28.04.2027</t>
        </is>
      </c>
      <c r="E4689" t="inlineStr">
        <is>
          <t>Hungary</t>
        </is>
      </c>
    </row>
    <row r="4690">
      <c r="A4690" t="inlineStr">
        <is>
          <t>Jiangsu Tianlan Oil Co., Ltd,  Nantong City, Jiangsu Province, China</t>
        </is>
      </c>
      <c r="B4690" t="inlineStr">
        <is>
          <t>Collecting Point</t>
        </is>
      </c>
      <c r="C4690" t="inlineStr">
        <is>
          <t>SCS Global Services, Emeryville, CA, US</t>
        </is>
      </c>
      <c r="D4690" t="inlineStr">
        <is>
          <t>28.04.2027</t>
        </is>
      </c>
      <c r="E4690" t="inlineStr">
        <is>
          <t>China</t>
        </is>
      </c>
    </row>
    <row r="4691">
      <c r="A4691" t="inlineStr">
        <is>
          <t>INTTECH PTE. LTD.,  SINGAPORE, Singapore</t>
        </is>
      </c>
      <c r="B4691" t="inlineStr">
        <is>
          <t>Trader</t>
        </is>
      </c>
      <c r="C4691" t="inlineStr">
        <is>
          <t>SCS Global Services, Emeryville, CA, US</t>
        </is>
      </c>
      <c r="D4691" t="inlineStr">
        <is>
          <t>28.04.2027</t>
        </is>
      </c>
      <c r="E4691" t="inlineStr">
        <is>
          <t>Singapore</t>
        </is>
      </c>
    </row>
    <row r="4692">
      <c r="A4692" t="inlineStr">
        <is>
          <t>KITE ZRT,  Nádudvar, Hungary</t>
        </is>
      </c>
      <c r="B4692" t="inlineStr">
        <is>
          <t>First Gathering Point, Trader with Storage</t>
        </is>
      </c>
      <c r="C4692" t="inlineStr">
        <is>
          <t>Bureau Veritas Polska Sp. z o.o., Warsaw, PL</t>
        </is>
      </c>
      <c r="D4692" t="inlineStr">
        <is>
          <t>28.04.2027</t>
        </is>
      </c>
      <c r="E4692" t="inlineStr">
        <is>
          <t>Hungary</t>
        </is>
      </c>
    </row>
    <row r="4693">
      <c r="A4693" t="inlineStr">
        <is>
          <t>Hainan Xinweixuan Biotechnology Co., Ltd,  Decheng District, Dezhou City, China</t>
        </is>
      </c>
      <c r="B4693" t="inlineStr">
        <is>
          <t>Trader</t>
        </is>
      </c>
      <c r="C4693" t="inlineStr">
        <is>
          <t>SCS Global Services, Emeryville, CA, US</t>
        </is>
      </c>
      <c r="D4693" t="inlineStr">
        <is>
          <t>28.04.2027</t>
        </is>
      </c>
      <c r="E4693" t="inlineStr">
        <is>
          <t>China</t>
        </is>
      </c>
    </row>
    <row r="4694">
      <c r="A4694" t="inlineStr">
        <is>
          <t>AGEO NORTE TERMINAIS E ARMAZÉNS GERAIS S.A.,  Santos, Brazil</t>
        </is>
      </c>
      <c r="B4694" t="inlineStr">
        <is>
          <t>Warehouse</t>
        </is>
      </c>
      <c r="C4694" t="inlineStr">
        <is>
          <t>SCS Global Services, Emeryville, CA, US</t>
        </is>
      </c>
      <c r="D4694" t="inlineStr">
        <is>
          <t>28.04.2027</t>
        </is>
      </c>
      <c r="E4694" t="inlineStr">
        <is>
          <t>Brazil</t>
        </is>
      </c>
    </row>
    <row r="4695">
      <c r="A4695" t="inlineStr">
        <is>
          <t>AGEO NORTE TERMINAIS E ARMAZÉNS GERAIS S.A.,  Santos, Brazil</t>
        </is>
      </c>
      <c r="B4695" t="inlineStr">
        <is>
          <t>Warehouse</t>
        </is>
      </c>
      <c r="C4695" t="inlineStr">
        <is>
          <t>SCS Global Services, Emeryville, CA, US</t>
        </is>
      </c>
      <c r="D4695" t="inlineStr">
        <is>
          <t>28.04.2027</t>
        </is>
      </c>
      <c r="E4695" t="inlineStr">
        <is>
          <t>Brazil</t>
        </is>
      </c>
    </row>
    <row r="4696">
      <c r="A4696" t="inlineStr">
        <is>
          <t>AGEO NORTE TERMINAIS E ARMAZÉNS GERAIS S.A.,  Santos, Brazil</t>
        </is>
      </c>
      <c r="B4696" t="inlineStr">
        <is>
          <t>Warehouse</t>
        </is>
      </c>
      <c r="C4696" t="inlineStr">
        <is>
          <t>SCS Global Services, Emeryville, CA, US</t>
        </is>
      </c>
      <c r="D4696" t="inlineStr">
        <is>
          <t>28.04.2027</t>
        </is>
      </c>
      <c r="E4696" t="inlineStr">
        <is>
          <t>Brazil</t>
        </is>
      </c>
    </row>
    <row r="4697">
      <c r="A4697" t="inlineStr">
        <is>
          <t>PRYDNIPROVSKYI KRAI,  Zolotonosha Town, Ukraine</t>
        </is>
      </c>
      <c r="B4697" t="inlineStr">
        <is>
          <t>Farm / Plantation, Trader with Storage</t>
        </is>
      </c>
      <c r="C4697" t="inlineStr">
        <is>
          <t>Bureau Veritas Polska Sp. z o.o., Warsaw, PL</t>
        </is>
      </c>
      <c r="D4697" t="inlineStr">
        <is>
          <t>28.04.2027</t>
        </is>
      </c>
      <c r="E4697" t="inlineStr">
        <is>
          <t>Ukraine</t>
        </is>
      </c>
    </row>
    <row r="4698">
      <c r="A4698" t="inlineStr">
        <is>
          <t>Shenzhen Kimye Acetate Manufactory Limited,  LongGang, ShenZhen City, Guangdong Province, China</t>
        </is>
      </c>
      <c r="B4698" t="inlineStr">
        <is>
          <t>Processing Unit</t>
        </is>
      </c>
      <c r="C4698" t="inlineStr">
        <is>
          <t>China Quality Certification Centre Co., Ltd., Beijing, CN</t>
        </is>
      </c>
      <c r="D4698" t="inlineStr">
        <is>
          <t>28.04.2027</t>
        </is>
      </c>
      <c r="E4698" t="inlineStr">
        <is>
          <t>China</t>
        </is>
      </c>
    </row>
    <row r="4699">
      <c r="A4699" t="inlineStr">
        <is>
          <t>Sedamyl SBE,  Saluzzo, Italy</t>
        </is>
      </c>
      <c r="B4699" t="inlineStr">
        <is>
          <t>Trader</t>
        </is>
      </c>
      <c r="C4699" t="inlineStr">
        <is>
          <t>Control Union Certifications Germany GmbH, Berlin, DE</t>
        </is>
      </c>
      <c r="D4699" t="inlineStr">
        <is>
          <t>28.04.2027</t>
        </is>
      </c>
      <c r="E4699" t="inlineStr">
        <is>
          <t>Italy</t>
        </is>
      </c>
    </row>
    <row r="4700">
      <c r="A4700" t="inlineStr">
        <is>
          <t>Sedamyl SBE,  Saluzzo, Italy</t>
        </is>
      </c>
      <c r="B4700" t="inlineStr">
        <is>
          <t>Trader</t>
        </is>
      </c>
      <c r="C4700" t="inlineStr">
        <is>
          <t>Control Union Certifications Germany GmbH, Berlin, DE</t>
        </is>
      </c>
      <c r="D4700" t="inlineStr">
        <is>
          <t>28.04.2027</t>
        </is>
      </c>
      <c r="E4700" t="inlineStr">
        <is>
          <t>Italy</t>
        </is>
      </c>
    </row>
    <row r="4701">
      <c r="A4701" t="inlineStr">
        <is>
          <t>Xuchuan Chemical (Suzhou) Co., Ltd,  Taicang, Jiangsu, China</t>
        </is>
      </c>
      <c r="B4701" t="inlineStr">
        <is>
          <t>Processing Unit</t>
        </is>
      </c>
      <c r="C4701" t="inlineStr">
        <is>
          <t>DIN CERTCO GmbH, Berlin, DE</t>
        </is>
      </c>
      <c r="D4701" t="inlineStr">
        <is>
          <t>28.04.2027</t>
        </is>
      </c>
      <c r="E4701" t="inlineStr">
        <is>
          <t>China</t>
        </is>
      </c>
    </row>
    <row r="4702">
      <c r="A4702" t="inlineStr">
        <is>
          <t>Wansa Group Commodities (WGC) UK Ltd,  London, United Kingdom</t>
        </is>
      </c>
      <c r="B4702" t="inlineStr">
        <is>
          <t>Trader</t>
        </is>
      </c>
      <c r="C4702" t="inlineStr">
        <is>
          <t>SGS Germany GmbH, Emstek, DE</t>
        </is>
      </c>
      <c r="D4702" t="inlineStr">
        <is>
          <t>28.04.2027</t>
        </is>
      </c>
      <c r="E4702" t="inlineStr">
        <is>
          <t>United Kingdom</t>
        </is>
      </c>
    </row>
    <row r="4703">
      <c r="A4703" t="inlineStr">
        <is>
          <t>SKYFILM Co., Ltd.,  Sukagawa, Fukushima, Japan</t>
        </is>
      </c>
      <c r="B4703" t="inlineStr">
        <is>
          <t>Processing Unit</t>
        </is>
      </c>
      <c r="C4703" t="inlineStr">
        <is>
          <t>SGS Germany GmbH, Emstek, DE</t>
        </is>
      </c>
      <c r="D4703" t="inlineStr">
        <is>
          <t>28.04.2027</t>
        </is>
      </c>
      <c r="E4703" t="inlineStr">
        <is>
          <t>Japan</t>
        </is>
      </c>
    </row>
    <row r="4704">
      <c r="A4704" t="inlineStr">
        <is>
          <t>Xiaoxian Kangdeli Grease Technology Co., Ltd.,  Suzhou City, Anhui Province, China</t>
        </is>
      </c>
      <c r="B4704" t="inlineStr">
        <is>
          <t>Collecting Point, Trader with Storage, Processing Unit</t>
        </is>
      </c>
      <c r="C4704" t="inlineStr">
        <is>
          <t>SCS Global Services, Emeryville, CA, US</t>
        </is>
      </c>
      <c r="D4704" t="inlineStr">
        <is>
          <t>28.04.2027</t>
        </is>
      </c>
      <c r="E4704" t="inlineStr">
        <is>
          <t>China</t>
        </is>
      </c>
    </row>
    <row r="4705">
      <c r="A4705" t="inlineStr">
        <is>
          <t>IOL Chemicals and Pharmaceuticals Limited,  Barnala, India</t>
        </is>
      </c>
      <c r="B4705" t="inlineStr">
        <is>
          <t>Processing Unit</t>
        </is>
      </c>
      <c r="C4705" t="inlineStr">
        <is>
          <t>PT Intertek Utama Services, Jakarta, ID</t>
        </is>
      </c>
      <c r="D4705" t="inlineStr">
        <is>
          <t>28.04.2027</t>
        </is>
      </c>
      <c r="E4705" t="inlineStr">
        <is>
          <t>India</t>
        </is>
      </c>
    </row>
    <row r="4706">
      <c r="A4706" t="inlineStr">
        <is>
          <t>Mobile &amp; Separation Equipment Limited,  Markham Vale, Chesterfield, United Kingdom</t>
        </is>
      </c>
      <c r="B4706" t="inlineStr">
        <is>
          <t>Trader with Storage</t>
        </is>
      </c>
      <c r="C4706" t="inlineStr">
        <is>
          <t>PT Intertek Utama Services, Jakarta, ID</t>
        </is>
      </c>
      <c r="D4706" t="inlineStr">
        <is>
          <t>28.04.2027</t>
        </is>
      </c>
      <c r="E4706" t="inlineStr">
        <is>
          <t>United Kingdom</t>
        </is>
      </c>
    </row>
    <row r="4707">
      <c r="A4707" t="inlineStr">
        <is>
          <t>Billion Excel Optical Manufactory Company Limited,  Longgang District, Shenzhen, China</t>
        </is>
      </c>
      <c r="B4707" t="inlineStr">
        <is>
          <t>Processing Unit, Trader</t>
        </is>
      </c>
      <c r="C4707" t="inlineStr">
        <is>
          <t>SCS Global Services, Emeryville, CA, US</t>
        </is>
      </c>
      <c r="D4707" t="inlineStr">
        <is>
          <t>28.04.2027</t>
        </is>
      </c>
      <c r="E4707" t="inlineStr">
        <is>
          <t>China</t>
        </is>
      </c>
    </row>
    <row r="4708">
      <c r="A4708" t="inlineStr">
        <is>
          <t>OMV PETROM,  Brazi, Romania</t>
        </is>
      </c>
      <c r="B4708" t="inlineStr">
        <is>
          <t>Trader with Storage, MTBE plant, Proof of Compliance Trader</t>
        </is>
      </c>
      <c r="C4708" t="inlineStr">
        <is>
          <t>CertRom SRL, Bucuresti, RO</t>
        </is>
      </c>
      <c r="D4708" t="inlineStr">
        <is>
          <t>28.04.2027</t>
        </is>
      </c>
      <c r="E4708" t="inlineStr">
        <is>
          <t>Romania</t>
        </is>
      </c>
    </row>
    <row r="4709">
      <c r="A4709" t="inlineStr">
        <is>
          <t>Creative Carbon Management,  Hamburg, Germany</t>
        </is>
      </c>
      <c r="B4709" t="inlineStr">
        <is>
          <t>Trader, Proof of Compliance Trader</t>
        </is>
      </c>
      <c r="C4709" t="inlineStr">
        <is>
          <t>DEKRA Certification GmbH, Stuttgart, DE</t>
        </is>
      </c>
      <c r="D4709" t="inlineStr">
        <is>
          <t>28.04.2027</t>
        </is>
      </c>
      <c r="E4709" t="inlineStr">
        <is>
          <t>Germany</t>
        </is>
      </c>
    </row>
    <row r="4710">
      <c r="A4710" t="inlineStr">
        <is>
          <t>Dong Guan Hong Sheng Eyewear CO., Ltd.,  Shenzhen City, Guangdong Province, China</t>
        </is>
      </c>
      <c r="B4710" t="inlineStr">
        <is>
          <t>Processing Unit, Trader</t>
        </is>
      </c>
      <c r="C4710" t="inlineStr">
        <is>
          <t>SCS Global Services, Emeryville, CA, US</t>
        </is>
      </c>
      <c r="D4710" t="inlineStr">
        <is>
          <t>28.04.2027</t>
        </is>
      </c>
      <c r="E4710" t="inlineStr">
        <is>
          <t>China</t>
        </is>
      </c>
    </row>
    <row r="4711">
      <c r="A4711" t="inlineStr">
        <is>
          <t>Savoterra,  LUBLIN, Poland</t>
        </is>
      </c>
      <c r="B4711" t="inlineStr">
        <is>
          <t>Collecting Point, Trader with Storage</t>
        </is>
      </c>
      <c r="C4711" t="inlineStr">
        <is>
          <t>BM Certification, Riga, LV</t>
        </is>
      </c>
      <c r="D4711" t="inlineStr">
        <is>
          <t>28.04.2027</t>
        </is>
      </c>
      <c r="E4711" t="inlineStr">
        <is>
          <t>Poland</t>
        </is>
      </c>
    </row>
    <row r="4712">
      <c r="A4712" t="inlineStr">
        <is>
          <t>Société laitière de Vitré,  VITRE, France</t>
        </is>
      </c>
      <c r="B4712" t="inlineStr">
        <is>
          <t>Processing Unit</t>
        </is>
      </c>
      <c r="C4712" t="inlineStr">
        <is>
          <t>Control Union Certifications Germany GmbH, Berlin, DE</t>
        </is>
      </c>
      <c r="D4712" t="inlineStr">
        <is>
          <t>28.04.2027</t>
        </is>
      </c>
      <c r="E4712" t="inlineStr">
        <is>
          <t>France</t>
        </is>
      </c>
    </row>
    <row r="4713">
      <c r="A4713" t="inlineStr">
        <is>
          <t>PCC EXOL,  Brzeg Dolny, Poland</t>
        </is>
      </c>
      <c r="B4713" t="inlineStr">
        <is>
          <t>Processing Unit, Trader</t>
        </is>
      </c>
      <c r="C4713" t="inlineStr">
        <is>
          <t>Bureau Veritas Polska Sp. z o.o., Warsaw, PL</t>
        </is>
      </c>
      <c r="D4713" t="inlineStr">
        <is>
          <t>28.04.2027</t>
        </is>
      </c>
      <c r="E4713" t="inlineStr">
        <is>
          <t>Poland</t>
        </is>
      </c>
    </row>
    <row r="4714">
      <c r="A4714" t="inlineStr">
        <is>
          <t>Vegetal Romania Integrat Cooperativa Agricola,  Sat Baldovinesti, Com. Vadeni, jud. Braila, Romania</t>
        </is>
      </c>
      <c r="B4714" t="inlineStr">
        <is>
          <t>Trader</t>
        </is>
      </c>
      <c r="C4714" t="inlineStr">
        <is>
          <t>SRAC Cert SRL, Bucharest, RO</t>
        </is>
      </c>
      <c r="D4714" t="inlineStr">
        <is>
          <t>28.04.2027</t>
        </is>
      </c>
      <c r="E4714" t="inlineStr">
        <is>
          <t>Romania</t>
        </is>
      </c>
    </row>
    <row r="4715">
      <c r="A4715" t="inlineStr">
        <is>
          <t>GREAT ASCENT TRADING LIMITED,  Thanh Hoa province, Vietnam</t>
        </is>
      </c>
      <c r="B4715" t="inlineStr">
        <is>
          <t>Final Product Refinement, Processing Unit</t>
        </is>
      </c>
      <c r="C4715" t="inlineStr">
        <is>
          <t>Bureau Veritas Polska Sp. z o.o., Warsaw, PL</t>
        </is>
      </c>
      <c r="D4715" t="inlineStr">
        <is>
          <t>28.04.2027</t>
        </is>
      </c>
      <c r="E4715" t="inlineStr">
        <is>
          <t>Vietnam</t>
        </is>
      </c>
    </row>
    <row r="4716">
      <c r="A4716" t="inlineStr">
        <is>
          <t>ICCTSA, S.A.,  CHIRIQUI, Panama</t>
        </is>
      </c>
      <c r="B4716" t="inlineStr">
        <is>
          <t>Point of Origin</t>
        </is>
      </c>
      <c r="C4716" t="inlineStr">
        <is>
          <t>Control Union Poland Sp. z o.o., Zielona Gora, PL</t>
        </is>
      </c>
      <c r="D4716" t="inlineStr">
        <is>
          <t>28.04.2027</t>
        </is>
      </c>
      <c r="E4716" t="inlineStr">
        <is>
          <t>Panama</t>
        </is>
      </c>
    </row>
    <row r="4717">
      <c r="A4717" t="inlineStr">
        <is>
          <t>Engie Energy Management Romania,  Bucharest, Romania</t>
        </is>
      </c>
      <c r="B4717" t="inlineStr">
        <is>
          <t>Trader</t>
        </is>
      </c>
      <c r="C4717" t="inlineStr">
        <is>
          <t>SRAC Cert SRL, Bucharest, RO</t>
        </is>
      </c>
      <c r="D4717" t="inlineStr">
        <is>
          <t>28.04.2027</t>
        </is>
      </c>
      <c r="E4717" t="inlineStr">
        <is>
          <t>Romania</t>
        </is>
      </c>
    </row>
    <row r="4718">
      <c r="A4718" t="inlineStr">
        <is>
          <t>Elopak UK LTD,  Cheadle, United Kingdom</t>
        </is>
      </c>
      <c r="B4718" t="inlineStr">
        <is>
          <t>Trader</t>
        </is>
      </c>
      <c r="C4718" t="inlineStr">
        <is>
          <t>Control Union Certifications Germany GmbH, Berlin, DE</t>
        </is>
      </c>
      <c r="D4718" t="inlineStr">
        <is>
          <t>28.04.2027</t>
        </is>
      </c>
      <c r="E4718" t="inlineStr">
        <is>
          <t>United Kingdom</t>
        </is>
      </c>
    </row>
    <row r="4719">
      <c r="A4719" t="inlineStr">
        <is>
          <t>OBRIST ITALIA,  VOGHERA, Italy</t>
        </is>
      </c>
      <c r="B4719" t="inlineStr">
        <is>
          <t>Processing Unit</t>
        </is>
      </c>
      <c r="C4719" t="inlineStr">
        <is>
          <t>ICIM SpA, sesto san giovanni, IT</t>
        </is>
      </c>
      <c r="D4719" t="inlineStr">
        <is>
          <t>28.04.2027</t>
        </is>
      </c>
      <c r="E4719" t="inlineStr">
        <is>
          <t>Italy</t>
        </is>
      </c>
    </row>
    <row r="4720">
      <c r="A4720" t="inlineStr">
        <is>
          <t>Nakagawa Yushi Shoten,  Nakagawaku, Nagoya-shi, Japan</t>
        </is>
      </c>
      <c r="B4720" t="inlineStr">
        <is>
          <t>Collecting Point</t>
        </is>
      </c>
      <c r="C4720" t="inlineStr">
        <is>
          <t>SGS Germany GmbH, Emstek, DE</t>
        </is>
      </c>
      <c r="D4720" t="inlineStr">
        <is>
          <t>28.04.2027</t>
        </is>
      </c>
      <c r="E4720" t="inlineStr">
        <is>
          <t>Japan</t>
        </is>
      </c>
    </row>
    <row r="4721">
      <c r="A4721" t="inlineStr">
        <is>
          <t>DUFERCO BIOMASSE srl,  Livorno, Italy</t>
        </is>
      </c>
      <c r="B4721" t="inlineStr">
        <is>
          <t>Collecting Point, Trader with Storage</t>
        </is>
      </c>
      <c r="C4721" t="inlineStr">
        <is>
          <t>Amspec Iberia SL, Vilagarcia de Arousa-Pontevedra, ES</t>
        </is>
      </c>
      <c r="D4721" t="inlineStr">
        <is>
          <t>28.04.2027</t>
        </is>
      </c>
      <c r="E4721" t="inlineStr">
        <is>
          <t>Italy</t>
        </is>
      </c>
    </row>
    <row r="4722">
      <c r="A4722" t="inlineStr">
        <is>
          <t>Tiancheng Zhonghe (Enshi) Environmental Technology Co., Ltd.,  Enshi City, Hubei Province,, China</t>
        </is>
      </c>
      <c r="B4722" t="inlineStr">
        <is>
          <t>Collecting Point, Processing Unit, Trader with Storage</t>
        </is>
      </c>
      <c r="C4722" t="inlineStr">
        <is>
          <t>RINA Services S.p.A., Genova, IT</t>
        </is>
      </c>
      <c r="D4722" t="inlineStr">
        <is>
          <t>28.04.2027</t>
        </is>
      </c>
      <c r="E4722" t="inlineStr">
        <is>
          <t>China</t>
        </is>
      </c>
    </row>
    <row r="4723">
      <c r="A4723" t="inlineStr">
        <is>
          <t>RE-NEW SYSTEM CO., LTD,  Wonju-si, Gangwon-do, South Korea</t>
        </is>
      </c>
      <c r="B4723" t="inlineStr">
        <is>
          <t>Processing Unit</t>
        </is>
      </c>
      <c r="C4723" t="inlineStr">
        <is>
          <t>Bureau Veritas Polska Sp. z o.o., Warsaw, PL</t>
        </is>
      </c>
      <c r="D4723" t="inlineStr">
        <is>
          <t>28.04.2027</t>
        </is>
      </c>
      <c r="E4723" t="inlineStr">
        <is>
          <t>South Korea</t>
        </is>
      </c>
    </row>
    <row r="4724">
      <c r="A4724" t="inlineStr">
        <is>
          <t>Jiangsu Andefu Energy Development,  Nanjing, China</t>
        </is>
      </c>
      <c r="B4724" t="inlineStr">
        <is>
          <t>Trader with Storage</t>
        </is>
      </c>
      <c r="C4724" t="inlineStr">
        <is>
          <t>Bureau Veritas Polska Sp. z o.o., Warsaw, PL</t>
        </is>
      </c>
      <c r="D4724" t="inlineStr">
        <is>
          <t>28.04.2027</t>
        </is>
      </c>
      <c r="E4724" t="inlineStr">
        <is>
          <t>China</t>
        </is>
      </c>
    </row>
    <row r="4725">
      <c r="A4725" t="inlineStr">
        <is>
          <t>Haiyang Technology Co., Ltd.,  TAIZHOU, JIANGSU, China</t>
        </is>
      </c>
      <c r="B4725" t="inlineStr">
        <is>
          <t>Processing Unit</t>
        </is>
      </c>
      <c r="C4725" t="inlineStr">
        <is>
          <t>Bureau Veritas Polska Sp. z o.o., Warsaw, PL</t>
        </is>
      </c>
      <c r="D4725" t="inlineStr">
        <is>
          <t>28.04.2027</t>
        </is>
      </c>
      <c r="E4725" t="inlineStr">
        <is>
          <t>China</t>
        </is>
      </c>
    </row>
    <row r="4726">
      <c r="A4726" t="inlineStr">
        <is>
          <t>PCC EXOL,  Płock, Poland</t>
        </is>
      </c>
      <c r="B4726" t="inlineStr">
        <is>
          <t>Processing Unit</t>
        </is>
      </c>
      <c r="C4726" t="inlineStr">
        <is>
          <t>Bureau Veritas Polska Sp. z o.o., Warsaw, PL</t>
        </is>
      </c>
      <c r="D4726" t="inlineStr">
        <is>
          <t>28.04.2027</t>
        </is>
      </c>
      <c r="E4726" t="inlineStr">
        <is>
          <t>Poland</t>
        </is>
      </c>
    </row>
    <row r="4727">
      <c r="A4727" t="inlineStr">
        <is>
          <t>Green Dreams Pte. Ltd.,  Singapore, Singapore</t>
        </is>
      </c>
      <c r="B4727" t="inlineStr">
        <is>
          <t>Trader</t>
        </is>
      </c>
      <c r="C4727" t="inlineStr">
        <is>
          <t>RINA Services S.p.A., Genova, IT</t>
        </is>
      </c>
      <c r="D4727" t="inlineStr">
        <is>
          <t>28.04.2027</t>
        </is>
      </c>
      <c r="E4727" t="inlineStr">
        <is>
          <t>Singapore</t>
        </is>
      </c>
    </row>
    <row r="4728">
      <c r="A4728" t="inlineStr">
        <is>
          <t>Mari Carmen Sanchez López,  La Puebla De Alfinden, Spain</t>
        </is>
      </c>
      <c r="B4728" t="inlineStr">
        <is>
          <t>Collecting Point</t>
        </is>
      </c>
      <c r="C4728" t="inlineStr">
        <is>
          <t>RINA Services S.p.A., Genova, IT</t>
        </is>
      </c>
      <c r="D4728" t="inlineStr">
        <is>
          <t>28.04.2027</t>
        </is>
      </c>
      <c r="E4728" t="inlineStr">
        <is>
          <t>Spain</t>
        </is>
      </c>
    </row>
    <row r="4729">
      <c r="A4729" t="inlineStr">
        <is>
          <t>Corsair Bangkok Company Limited,  Nonthaburi, Thailand</t>
        </is>
      </c>
      <c r="B4729" t="inlineStr">
        <is>
          <t>Processing Unit, Collecting Point, Trader</t>
        </is>
      </c>
      <c r="C4729" t="inlineStr">
        <is>
          <t>Trans Certification and Inspection Sdn Bhd, Kuantan, MY</t>
        </is>
      </c>
      <c r="D4729" t="inlineStr">
        <is>
          <t>28.04.2027</t>
        </is>
      </c>
      <c r="E4729" t="inlineStr">
        <is>
          <t>Thailand</t>
        </is>
      </c>
    </row>
    <row r="4730">
      <c r="A4730" t="inlineStr">
        <is>
          <t>MASSERDONI PIETRO SRL A SOCIO UNICO,  COMANO TERME, Italy</t>
        </is>
      </c>
      <c r="B4730" t="inlineStr">
        <is>
          <t>Collecting Point, Processing Unit</t>
        </is>
      </c>
      <c r="C4730" t="inlineStr">
        <is>
          <t>ICIM SpA, sesto san giovanni, IT</t>
        </is>
      </c>
      <c r="D4730" t="inlineStr">
        <is>
          <t>28.04.2027</t>
        </is>
      </c>
      <c r="E4730" t="inlineStr">
        <is>
          <t>Italy</t>
        </is>
      </c>
    </row>
    <row r="4731">
      <c r="A4731" t="inlineStr">
        <is>
          <t>Adamant Ecodev,  Ferrara, Italy</t>
        </is>
      </c>
      <c r="B4731" t="inlineStr">
        <is>
          <t>Collecting Point, Trader with Storage</t>
        </is>
      </c>
      <c r="C4731" t="inlineStr">
        <is>
          <t>SGS Germany GmbH, Emstek, DE</t>
        </is>
      </c>
      <c r="D4731" t="inlineStr">
        <is>
          <t>28.04.2027</t>
        </is>
      </c>
      <c r="E4731" t="inlineStr">
        <is>
          <t>Italy</t>
        </is>
      </c>
    </row>
    <row r="4732">
      <c r="A4732" t="inlineStr">
        <is>
          <t>HELLENIC BIOPETROLEUM S.A.,  Kilkis, Greece</t>
        </is>
      </c>
      <c r="B4732" t="inlineStr">
        <is>
          <t>Collecting Point, Processing Unit</t>
        </is>
      </c>
      <c r="C4732" t="inlineStr">
        <is>
          <t>QMSCERT S.A., Pylaia, Thessaloniki, GR</t>
        </is>
      </c>
      <c r="D4732" t="inlineStr">
        <is>
          <t>28.04.2027</t>
        </is>
      </c>
      <c r="E4732" t="inlineStr">
        <is>
          <t>Greece</t>
        </is>
      </c>
    </row>
    <row r="4733">
      <c r="A4733" t="inlineStr">
        <is>
          <t>Binzhou Superior Oil Co., Ltd.,  Binzhou City, Shandong Province, China</t>
        </is>
      </c>
      <c r="B4733" t="inlineStr">
        <is>
          <t>Collecting Point</t>
        </is>
      </c>
      <c r="C4733" t="inlineStr">
        <is>
          <t>SCS Global Services, Emeryville, CA, US</t>
        </is>
      </c>
      <c r="D4733" t="inlineStr">
        <is>
          <t>28.04.2027</t>
        </is>
      </c>
      <c r="E4733" t="inlineStr">
        <is>
          <t>China</t>
        </is>
      </c>
    </row>
    <row r="4734">
      <c r="A4734" t="inlineStr">
        <is>
          <t>CGT ALKOR DRAKA,  LIANCOURT, France</t>
        </is>
      </c>
      <c r="B4734" t="inlineStr">
        <is>
          <t>Final Product Refinement, Processing Unit</t>
        </is>
      </c>
      <c r="C4734" t="inlineStr">
        <is>
          <t>Bureau Veritas Polska Sp. z o.o., Warsaw, PL</t>
        </is>
      </c>
      <c r="D4734" t="inlineStr">
        <is>
          <t>27.04.2027</t>
        </is>
      </c>
      <c r="E4734" t="inlineStr">
        <is>
          <t>France</t>
        </is>
      </c>
    </row>
    <row r="4735">
      <c r="A4735" t="inlineStr">
        <is>
          <t>ALIMATIRIS P.C.,  Halkidona Thessaloniki, Greece</t>
        </is>
      </c>
      <c r="B4735" t="inlineStr">
        <is>
          <t>Point of Origin, Trader with Storage</t>
        </is>
      </c>
      <c r="C4735" t="inlineStr">
        <is>
          <t>QMSCERT S.A., Pylaia, Thessaloniki, GR</t>
        </is>
      </c>
      <c r="D4735" t="inlineStr">
        <is>
          <t>27.04.2027</t>
        </is>
      </c>
      <c r="E4735" t="inlineStr">
        <is>
          <t>Greece</t>
        </is>
      </c>
    </row>
    <row r="4736">
      <c r="A4736" t="inlineStr">
        <is>
          <t>Circular Feedstock Walldürn,  Walldürn, Germany</t>
        </is>
      </c>
      <c r="B4736" t="inlineStr">
        <is>
          <t>Trader</t>
        </is>
      </c>
      <c r="C4736" t="inlineStr">
        <is>
          <t>TÜV SÜD Industrie Service GmbH, München, DE</t>
        </is>
      </c>
      <c r="D4736" t="inlineStr">
        <is>
          <t>27.04.2027</t>
        </is>
      </c>
      <c r="E4736" t="inlineStr">
        <is>
          <t>Germany</t>
        </is>
      </c>
    </row>
    <row r="4737">
      <c r="A4737" t="inlineStr">
        <is>
          <t>Casahzar Brondolansawit Barakaceh,  Dumai, Indonesia</t>
        </is>
      </c>
      <c r="B4737" t="inlineStr">
        <is>
          <t>Point of Origin</t>
        </is>
      </c>
      <c r="C4737" t="inlineStr">
        <is>
          <t>PT TSI Sertifikasi Internasional, Jakarta Selatang, ID</t>
        </is>
      </c>
      <c r="D4737" t="inlineStr">
        <is>
          <t>27.04.2027</t>
        </is>
      </c>
      <c r="E4737" t="inlineStr">
        <is>
          <t>Indonesia</t>
        </is>
      </c>
    </row>
    <row r="4738">
      <c r="A4738" t="inlineStr">
        <is>
          <t>PT MAJU KALIMANTAN HADAPAN,  Kab. Kutai Kartanegara, Indonesia</t>
        </is>
      </c>
      <c r="B4738" t="inlineStr">
        <is>
          <t>Point of Origin</t>
        </is>
      </c>
      <c r="C4738" t="inlineStr">
        <is>
          <t>PT TSI Sertifikasi Internasional, Jakarta Selatang, ID</t>
        </is>
      </c>
      <c r="D4738" t="inlineStr">
        <is>
          <t>27.04.2027</t>
        </is>
      </c>
      <c r="E4738" t="inlineStr">
        <is>
          <t>Indonesia</t>
        </is>
      </c>
    </row>
    <row r="4739">
      <c r="A4739" t="inlineStr">
        <is>
          <t>Jia Xing Cheng Yuan New Energy Liability Company Limited,  Jiaxing City, Zhejiang Province, China</t>
        </is>
      </c>
      <c r="B4739" t="inlineStr">
        <is>
          <t>Collecting Point, Processing Unit, Trader with Storage</t>
        </is>
      </c>
      <c r="C4739" t="inlineStr">
        <is>
          <t>SCS Global Services, Emeryville, CA, US</t>
        </is>
      </c>
      <c r="D4739" t="inlineStr">
        <is>
          <t>27.04.2027</t>
        </is>
      </c>
      <c r="E4739" t="inlineStr">
        <is>
          <t>China</t>
        </is>
      </c>
    </row>
    <row r="4740">
      <c r="A4740" t="inlineStr">
        <is>
          <t>PUTRA AGRO NABATI,  Indragiri Hilir, Indonesia</t>
        </is>
      </c>
      <c r="B4740" t="inlineStr">
        <is>
          <t>Point of Origin</t>
        </is>
      </c>
      <c r="C4740" t="inlineStr">
        <is>
          <t>PT TSI Sertifikasi Internasional, Jakarta Selatang, ID</t>
        </is>
      </c>
      <c r="D4740" t="inlineStr">
        <is>
          <t>27.04.2027</t>
        </is>
      </c>
      <c r="E4740" t="inlineStr">
        <is>
          <t>Indonesia</t>
        </is>
      </c>
    </row>
    <row r="4741">
      <c r="A4741" t="inlineStr">
        <is>
          <t>Blu Plast Zingonia Srl,  verdello, Italy</t>
        </is>
      </c>
      <c r="B4741" t="inlineStr">
        <is>
          <t>Processing Unit</t>
        </is>
      </c>
      <c r="C4741" t="inlineStr">
        <is>
          <t>Bureau Veritas Polska Sp. z o.o., Warsaw, PL</t>
        </is>
      </c>
      <c r="D4741" t="inlineStr">
        <is>
          <t>27.04.2027</t>
        </is>
      </c>
      <c r="E4741" t="inlineStr">
        <is>
          <t>Italy</t>
        </is>
      </c>
    </row>
    <row r="4742">
      <c r="A4742" t="inlineStr">
        <is>
          <t>Görcsöny Környéki Gazdák Szövetkezete,  Görcsöny, Hungary</t>
        </is>
      </c>
      <c r="B4742" t="inlineStr">
        <is>
          <t>First Gathering Point</t>
        </is>
      </c>
      <c r="C4742" t="inlineStr">
        <is>
          <t>Amspec Iberia SL, Vilagarcia de Arousa-Pontevedra, ES</t>
        </is>
      </c>
      <c r="D4742" t="inlineStr">
        <is>
          <t>27.04.2027</t>
        </is>
      </c>
      <c r="E4742" t="inlineStr">
        <is>
          <t>Hungary</t>
        </is>
      </c>
    </row>
    <row r="4743">
      <c r="A4743" t="inlineStr">
        <is>
          <t>ASSAM BIO ETHANOL PRIVATE LIMITED,  Numaligarh, GOLAGHAT, India</t>
        </is>
      </c>
      <c r="B4743" t="inlineStr">
        <is>
          <t>First Gathering Point, Processing Unit</t>
        </is>
      </c>
      <c r="C4743" t="inlineStr">
        <is>
          <t>Cotecna India Inspection Pvt Ltd, Kolkata, IN</t>
        </is>
      </c>
      <c r="D4743" t="inlineStr">
        <is>
          <t>27.04.2027</t>
        </is>
      </c>
      <c r="E4743" t="inlineStr">
        <is>
          <t>India</t>
        </is>
      </c>
    </row>
    <row r="4744">
      <c r="A4744" t="inlineStr">
        <is>
          <t>ASSAM BIO ETHANOL PRIVATE LIMITED,  Numaligarh, GOLAGHAT, India</t>
        </is>
      </c>
      <c r="B4744" t="inlineStr">
        <is>
          <t>First Gathering Point, Processing Unit</t>
        </is>
      </c>
      <c r="C4744" t="inlineStr">
        <is>
          <t>Cotecna India Inspection Pvt Ltd, Kolkata, IN</t>
        </is>
      </c>
      <c r="D4744" t="inlineStr">
        <is>
          <t>27.04.2027</t>
        </is>
      </c>
      <c r="E4744" t="inlineStr">
        <is>
          <t>India</t>
        </is>
      </c>
    </row>
    <row r="4745">
      <c r="A4745" t="inlineStr">
        <is>
          <t>Basell International Trading FZE,  Dubai, United Arab Emirates</t>
        </is>
      </c>
      <c r="B4745" t="inlineStr">
        <is>
          <t>Trader</t>
        </is>
      </c>
      <c r="C4745" t="inlineStr">
        <is>
          <t>Cotecna India Inspection Pvt Ltd, Kolkata, IN</t>
        </is>
      </c>
      <c r="D4745" t="inlineStr">
        <is>
          <t>27.04.2027</t>
        </is>
      </c>
      <c r="E4745" t="inlineStr">
        <is>
          <t>United Arab Emirates</t>
        </is>
      </c>
    </row>
    <row r="4746">
      <c r="A4746" t="inlineStr">
        <is>
          <t>OMC GLOBAL DMCC,  Dubai, United Arab Emirates</t>
        </is>
      </c>
      <c r="B4746" t="inlineStr">
        <is>
          <t>Trader</t>
        </is>
      </c>
      <c r="C4746" t="inlineStr">
        <is>
          <t>PT. CBQA GLOBAL INDONESIA, JAKARTA SELATAN, ID</t>
        </is>
      </c>
      <c r="D4746" t="inlineStr">
        <is>
          <t>27.04.2027</t>
        </is>
      </c>
      <c r="E4746" t="inlineStr">
        <is>
          <t>United Arab Emirates</t>
        </is>
      </c>
    </row>
    <row r="4747">
      <c r="A4747" t="inlineStr">
        <is>
          <t>AOM GmbH,  Munich, Germany</t>
        </is>
      </c>
      <c r="B4747" t="inlineStr">
        <is>
          <t>Trader</t>
        </is>
      </c>
      <c r="C4747" t="inlineStr">
        <is>
          <t>BM Certification, Riga, LV</t>
        </is>
      </c>
      <c r="D4747" t="inlineStr">
        <is>
          <t>27.04.2027</t>
        </is>
      </c>
      <c r="E4747" t="inlineStr">
        <is>
          <t>Germany</t>
        </is>
      </c>
    </row>
    <row r="4748">
      <c r="A4748" t="inlineStr">
        <is>
          <t>AOM GmbH,  Munich, Germany</t>
        </is>
      </c>
      <c r="B4748" t="inlineStr">
        <is>
          <t>Trader</t>
        </is>
      </c>
      <c r="C4748" t="inlineStr">
        <is>
          <t>BM Certification, Riga, LV</t>
        </is>
      </c>
      <c r="D4748" t="inlineStr">
        <is>
          <t>27.04.2027</t>
        </is>
      </c>
      <c r="E4748" t="inlineStr">
        <is>
          <t>Germany</t>
        </is>
      </c>
    </row>
    <row r="4749">
      <c r="A4749" t="inlineStr">
        <is>
          <t>VIDA bioenergy Bernheze,  Heeswijk-Dinther, Netherlands</t>
        </is>
      </c>
      <c r="B4749" t="inlineStr">
        <is>
          <t>Collecting Point, Processing Unit, Trader with Storage</t>
        </is>
      </c>
      <c r="C4749" t="inlineStr">
        <is>
          <t>Normec QS BV, Ede, NL</t>
        </is>
      </c>
      <c r="D4749" t="inlineStr">
        <is>
          <t>27.04.2027</t>
        </is>
      </c>
      <c r="E4749" t="inlineStr">
        <is>
          <t>Netherlands</t>
        </is>
      </c>
    </row>
    <row r="4750">
      <c r="A4750" t="inlineStr">
        <is>
          <t>ROSSI Biofuel Bioüzemanyag Gyártó és Kereskedelmi Zrt.,  Komárom, Hungary</t>
        </is>
      </c>
      <c r="B4750" t="inlineStr">
        <is>
          <t>Point of Origin, Processing Unit, Trader with Storage</t>
        </is>
      </c>
      <c r="C4750" t="inlineStr">
        <is>
          <t>Amspec Iberia SL, Vilagarcia de Arousa-Pontevedra, ES</t>
        </is>
      </c>
      <c r="D4750" t="inlineStr">
        <is>
          <t>27.04.2027</t>
        </is>
      </c>
      <c r="E4750" t="inlineStr">
        <is>
          <t>Hungary</t>
        </is>
      </c>
    </row>
    <row r="4751">
      <c r="A4751" t="inlineStr">
        <is>
          <t>Gabriel-Chemie Bohemia s.r.o.,  Lázně Bohdaneč, Czech Republic</t>
        </is>
      </c>
      <c r="B4751" t="inlineStr">
        <is>
          <t>Processing Unit</t>
        </is>
      </c>
      <c r="C4751" t="inlineStr">
        <is>
          <t>SGS Germany GmbH, Emstek, DE</t>
        </is>
      </c>
      <c r="D4751" t="inlineStr">
        <is>
          <t>27.04.2027</t>
        </is>
      </c>
      <c r="E4751" t="inlineStr">
        <is>
          <t>Czech Republic</t>
        </is>
      </c>
    </row>
    <row r="4752">
      <c r="A4752" t="inlineStr">
        <is>
          <t>Yoshino Plastics Co.,LTD.,  Buzen-shi,Fukuoka-ken, Japan</t>
        </is>
      </c>
      <c r="B4752" t="inlineStr">
        <is>
          <t>Final Product Refinement, Processing Unit</t>
        </is>
      </c>
      <c r="C4752" t="inlineStr">
        <is>
          <t>SGS Germany GmbH, Emstek, DE</t>
        </is>
      </c>
      <c r="D4752" t="inlineStr">
        <is>
          <t>27.04.2027</t>
        </is>
      </c>
      <c r="E4752" t="inlineStr">
        <is>
          <t>Japan</t>
        </is>
      </c>
    </row>
    <row r="4753">
      <c r="A4753" t="inlineStr">
        <is>
          <t>Cooperativa - Filial Paraguaçu Paulista,  São Matheus, Paraguaçu Paulista, Brazil</t>
        </is>
      </c>
      <c r="B4753" t="inlineStr">
        <is>
          <t>Trader with Storage</t>
        </is>
      </c>
      <c r="C4753" t="inlineStr">
        <is>
          <t>SGS Germany GmbH, Emstek, DE</t>
        </is>
      </c>
      <c r="D4753" t="inlineStr">
        <is>
          <t>27.04.2027</t>
        </is>
      </c>
      <c r="E4753" t="inlineStr">
        <is>
          <t>Brazil</t>
        </is>
      </c>
    </row>
    <row r="4754">
      <c r="A4754" t="inlineStr">
        <is>
          <t>Zhengzhou Lvyuan Kitchen Waste Treatment Co.,Ltd.,  Zhengzhou, China</t>
        </is>
      </c>
      <c r="B4754" t="inlineStr">
        <is>
          <t>Collecting Point, Processing Unit, Trader with Storage</t>
        </is>
      </c>
      <c r="C4754" t="inlineStr">
        <is>
          <t>RINA Services S.p.A., Genova, IT</t>
        </is>
      </c>
      <c r="D4754" t="inlineStr">
        <is>
          <t>27.04.2027</t>
        </is>
      </c>
      <c r="E4754" t="inlineStr">
        <is>
          <t>China</t>
        </is>
      </c>
    </row>
    <row r="4755">
      <c r="A4755" t="inlineStr">
        <is>
          <t>Changsheng (Langfang) Technology Co., Ltd.,  Langfang, Hebei Province, China</t>
        </is>
      </c>
      <c r="B4755" t="inlineStr">
        <is>
          <t>Processing Unit</t>
        </is>
      </c>
      <c r="C4755" t="inlineStr">
        <is>
          <t>Bureau Veritas Polska Sp. z o.o., Warsaw, PL</t>
        </is>
      </c>
      <c r="D4755" t="inlineStr">
        <is>
          <t>27.04.2027</t>
        </is>
      </c>
      <c r="E4755" t="inlineStr">
        <is>
          <t>China</t>
        </is>
      </c>
    </row>
    <row r="4756">
      <c r="A4756" t="inlineStr">
        <is>
          <t>Millenis,  Nantes, France</t>
        </is>
      </c>
      <c r="B4756" t="inlineStr">
        <is>
          <t>Trader</t>
        </is>
      </c>
      <c r="C4756" t="inlineStr">
        <is>
          <t>Control Union Certifications Germany GmbH, Berlin, DE</t>
        </is>
      </c>
      <c r="D4756" t="inlineStr">
        <is>
          <t>27.04.2027</t>
        </is>
      </c>
      <c r="E4756" t="inlineStr">
        <is>
          <t>France</t>
        </is>
      </c>
    </row>
    <row r="4757">
      <c r="A4757" t="inlineStr">
        <is>
          <t>SERN LEE PALM OIL MILL SDN BHD,  BERUAS, Malaysia</t>
        </is>
      </c>
      <c r="B4757" t="inlineStr">
        <is>
          <t>Point of Origin</t>
        </is>
      </c>
      <c r="C4757" t="inlineStr">
        <is>
          <t>Trans Certification and Inspection Sdn Bhd, Kuantan, MY</t>
        </is>
      </c>
      <c r="D4757" t="inlineStr">
        <is>
          <t>27.04.2027</t>
        </is>
      </c>
      <c r="E4757" t="inlineStr">
        <is>
          <t>Malaysia</t>
        </is>
      </c>
    </row>
    <row r="4758">
      <c r="A4758" t="inlineStr">
        <is>
          <t>Shinho Refinery Co., Ltd.,  Osan-si, Gyeonggi-do, South Korea</t>
        </is>
      </c>
      <c r="B4758" t="inlineStr">
        <is>
          <t>Collecting Point, Processing Unit</t>
        </is>
      </c>
      <c r="C4758" t="inlineStr">
        <is>
          <t>Control Union Certifications Germany GmbH, Berlin, DE</t>
        </is>
      </c>
      <c r="D4758" t="inlineStr">
        <is>
          <t>27.04.2027</t>
        </is>
      </c>
      <c r="E4758" t="inlineStr">
        <is>
          <t>South Korea</t>
        </is>
      </c>
    </row>
    <row r="4759">
      <c r="A4759" t="inlineStr">
        <is>
          <t>Technimark,  Middleton-in-Teesdale, United Kingdom</t>
        </is>
      </c>
      <c r="B4759" t="inlineStr">
        <is>
          <t>Processing Unit</t>
        </is>
      </c>
      <c r="C4759" t="inlineStr">
        <is>
          <t>Aardvark Certification Ltd, Wiveliscombe, Somerset, GB</t>
        </is>
      </c>
      <c r="D4759" t="inlineStr">
        <is>
          <t>27.04.2027</t>
        </is>
      </c>
      <c r="E4759" t="inlineStr">
        <is>
          <t>United Kingdom</t>
        </is>
      </c>
    </row>
    <row r="4760">
      <c r="A4760" t="inlineStr">
        <is>
          <t>KUMPULAN KRIS JATI SDN BHD (TRUSAN PALM OIL MILL),  LAWAS, Malaysia</t>
        </is>
      </c>
      <c r="B4760" t="inlineStr">
        <is>
          <t>Point of Origin</t>
        </is>
      </c>
      <c r="C4760" t="inlineStr">
        <is>
          <t>Trans Certification and Inspection Sdn Bhd, Kuantan, MY</t>
        </is>
      </c>
      <c r="D4760" t="inlineStr">
        <is>
          <t>27.04.2027</t>
        </is>
      </c>
      <c r="E4760" t="inlineStr">
        <is>
          <t>Malaysia</t>
        </is>
      </c>
    </row>
    <row r="4761">
      <c r="A4761" t="inlineStr">
        <is>
          <t>RIARAN PALM ENERGY SDN BHD,  KUALA LUMPUR, Malaysia</t>
        </is>
      </c>
      <c r="B4761" t="inlineStr">
        <is>
          <t>Trader with Storage</t>
        </is>
      </c>
      <c r="C4761" t="inlineStr">
        <is>
          <t>Control Union Certifications Germany GmbH, Berlin, DE</t>
        </is>
      </c>
      <c r="D4761" t="inlineStr">
        <is>
          <t>27.04.2027</t>
        </is>
      </c>
      <c r="E4761" t="inlineStr">
        <is>
          <t>Malaysia</t>
        </is>
      </c>
    </row>
    <row r="4762">
      <c r="A4762" t="inlineStr">
        <is>
          <t>Thai PET Resin Company Limited,  Rayong, Thailand</t>
        </is>
      </c>
      <c r="B4762" t="inlineStr">
        <is>
          <t>Processing Unit</t>
        </is>
      </c>
      <c r="C4762" t="inlineStr">
        <is>
          <t>Trans Certification and Inspection Sdn Bhd, Kuantan, MY</t>
        </is>
      </c>
      <c r="D4762" t="inlineStr">
        <is>
          <t>27.04.2027</t>
        </is>
      </c>
      <c r="E4762" t="inlineStr">
        <is>
          <t>Thailand</t>
        </is>
      </c>
    </row>
    <row r="4763">
      <c r="A4763" t="inlineStr">
        <is>
          <t>PACIFIC BIOENERGY FATS AND TRADING PTE. LTD.,  THE INDEX 02-05, Singapore</t>
        </is>
      </c>
      <c r="B4763" t="inlineStr">
        <is>
          <t>Collecting Point, Trader with Storage</t>
        </is>
      </c>
      <c r="C4763" t="inlineStr">
        <is>
          <t>Trans Certification and Inspection Sdn Bhd, Kuantan, MY</t>
        </is>
      </c>
      <c r="D4763" t="inlineStr">
        <is>
          <t>27.04.2027</t>
        </is>
      </c>
      <c r="E4763" t="inlineStr">
        <is>
          <t>Singapore</t>
        </is>
      </c>
    </row>
    <row r="4764">
      <c r="A4764" t="inlineStr">
        <is>
          <t>Minghao Optical Manufacture Company Limited,  Shenzhen City, China</t>
        </is>
      </c>
      <c r="B4764" t="inlineStr">
        <is>
          <t>Trader with Storage</t>
        </is>
      </c>
      <c r="C4764" t="inlineStr">
        <is>
          <t>SCS Global Services, Emeryville, CA, US</t>
        </is>
      </c>
      <c r="D4764" t="inlineStr">
        <is>
          <t>27.04.2027</t>
        </is>
      </c>
      <c r="E4764" t="inlineStr">
        <is>
          <t>China</t>
        </is>
      </c>
    </row>
    <row r="4765">
      <c r="A4765" t="inlineStr">
        <is>
          <t>Weifang Longda Zinc Industry Co., Ltd.,  Weifang City, Shandong Province, China</t>
        </is>
      </c>
      <c r="B4765" t="inlineStr">
        <is>
          <t>Collecting Point, Processing Unit</t>
        </is>
      </c>
      <c r="C4765" t="inlineStr">
        <is>
          <t>SCS Global Services, Emeryville, CA, US</t>
        </is>
      </c>
      <c r="D4765" t="inlineStr">
        <is>
          <t>27.04.2027</t>
        </is>
      </c>
      <c r="E4765" t="inlineStr">
        <is>
          <t>China</t>
        </is>
      </c>
    </row>
    <row r="4766">
      <c r="A4766" t="inlineStr">
        <is>
          <t>Noord-Europees Wijnopslagbedrijf B.V.,  Amsterdam, Netherlands</t>
        </is>
      </c>
      <c r="B4766" t="inlineStr">
        <is>
          <t>Warehouse</t>
        </is>
      </c>
      <c r="C4766" t="inlineStr">
        <is>
          <t>Control Union Certifications Germany GmbH, Berlin, DE</t>
        </is>
      </c>
      <c r="D4766" t="inlineStr">
        <is>
          <t>27.04.2027</t>
        </is>
      </c>
      <c r="E4766" t="inlineStr">
        <is>
          <t>Netherlands</t>
        </is>
      </c>
    </row>
    <row r="4767">
      <c r="A4767" t="inlineStr">
        <is>
          <t>HD Hyundai Chemical Co., Ltd.,  Seosan-si, Chungcheongnam-do, The Republic of Korea</t>
        </is>
      </c>
      <c r="B4767" t="inlineStr">
        <is>
          <t>Processing Unit, Trader with Storage</t>
        </is>
      </c>
      <c r="C4767" t="inlineStr">
        <is>
          <t>Control Union Certifications Germany GmbH, Berlin, DE</t>
        </is>
      </c>
      <c r="D4767" t="inlineStr">
        <is>
          <t>27.04.2027</t>
        </is>
      </c>
      <c r="E4767" t="inlineStr">
        <is>
          <t>The Republic of Korea</t>
        </is>
      </c>
    </row>
    <row r="4768">
      <c r="A4768" t="inlineStr">
        <is>
          <t>Shenzhen Jimei New Material Co.,Ltd,  Henggang Subdistrict, Longgang District, Shenzhen, China</t>
        </is>
      </c>
      <c r="B4768" t="inlineStr">
        <is>
          <t>Processing Unit, Trader with Storage</t>
        </is>
      </c>
      <c r="C4768" t="inlineStr">
        <is>
          <t>China Quality Certification Centre Co., Ltd., Beijing, CN</t>
        </is>
      </c>
      <c r="D4768" t="inlineStr">
        <is>
          <t>27.04.2027</t>
        </is>
      </c>
      <c r="E4768" t="inlineStr">
        <is>
          <t>China</t>
        </is>
      </c>
    </row>
    <row r="4769">
      <c r="A4769" t="inlineStr">
        <is>
          <t>Shell and Topaz Aviation Limited,  Belfast BT1 2LB, The United Kingdom</t>
        </is>
      </c>
      <c r="B4769" t="inlineStr">
        <is>
          <t>Proof of Compliance Trader, Trader with Storage</t>
        </is>
      </c>
      <c r="C4769" t="inlineStr">
        <is>
          <t>SGS Germany GmbH, Emstek, DE</t>
        </is>
      </c>
      <c r="D4769" t="inlineStr">
        <is>
          <t>27.04.2027</t>
        </is>
      </c>
      <c r="E4769" t="inlineStr">
        <is>
          <t>The United Kingdom</t>
        </is>
      </c>
    </row>
    <row r="4770">
      <c r="A4770" t="inlineStr">
        <is>
          <t>Heze Zhongding Renewable Resources Recycling Co., Ltd.,  Heze City, Shandong Province, China</t>
        </is>
      </c>
      <c r="B4770" t="inlineStr">
        <is>
          <t>Collecting Point, Processing Unit, Trader with Storage</t>
        </is>
      </c>
      <c r="C4770" t="inlineStr">
        <is>
          <t>PT. Qualitas Sertifikasi Indonesia, Jakarta, ID</t>
        </is>
      </c>
      <c r="D4770" t="inlineStr">
        <is>
          <t>27.04.2027</t>
        </is>
      </c>
      <c r="E4770" t="inlineStr">
        <is>
          <t>China</t>
        </is>
      </c>
    </row>
    <row r="4771">
      <c r="A4771" t="inlineStr">
        <is>
          <t>HD Hyundai Chemical Co., Ltd.,  Seosan-si, Chungcheongnam-do, Korea, Republic of</t>
        </is>
      </c>
      <c r="B4771" t="inlineStr">
        <is>
          <t>Trader with Storage, Processing Unit</t>
        </is>
      </c>
      <c r="C4771" t="inlineStr">
        <is>
          <t>Control Union Certifications Germany GmbH, Berlin, DE</t>
        </is>
      </c>
      <c r="D4771" t="inlineStr">
        <is>
          <t>27.04.2027</t>
        </is>
      </c>
      <c r="E4771" t="inlineStr">
        <is>
          <t>Republic of</t>
        </is>
      </c>
    </row>
    <row r="4772">
      <c r="A4772" t="inlineStr">
        <is>
          <t>RBS,  Frascati (Rome), Italy</t>
        </is>
      </c>
      <c r="B4772" t="inlineStr">
        <is>
          <t>Trader</t>
        </is>
      </c>
      <c r="C4772" t="inlineStr">
        <is>
          <t>SGS Germany GmbH, Emstek, DE</t>
        </is>
      </c>
      <c r="D4772" t="inlineStr">
        <is>
          <t>27.04.2027</t>
        </is>
      </c>
      <c r="E4772" t="inlineStr">
        <is>
          <t>Italy</t>
        </is>
      </c>
    </row>
    <row r="4773">
      <c r="A4773" t="inlineStr">
        <is>
          <t>Van Triest CirQlar BV,  Hoogeveen, Netherlands</t>
        </is>
      </c>
      <c r="B4773" t="inlineStr">
        <is>
          <t>Collecting Point, Trader</t>
        </is>
      </c>
      <c r="C4773" t="inlineStr">
        <is>
          <t>DEKRA Certification B.V., Arnhem, NL</t>
        </is>
      </c>
      <c r="D4773" t="inlineStr">
        <is>
          <t>27.04.2027</t>
        </is>
      </c>
      <c r="E4773" t="inlineStr">
        <is>
          <t>Netherlands</t>
        </is>
      </c>
    </row>
    <row r="4774">
      <c r="A4774" t="inlineStr">
        <is>
          <t>Nanjing Iron &amp; Steel Co.,Ltd,  Nanjing CIty, China</t>
        </is>
      </c>
      <c r="B4774" t="inlineStr">
        <is>
          <t>Processing Unit</t>
        </is>
      </c>
      <c r="C4774" t="inlineStr">
        <is>
          <t>Bureau Veritas Polska Sp. z o.o., Warsaw, PL</t>
        </is>
      </c>
      <c r="D4774" t="inlineStr">
        <is>
          <t>27.04.2027</t>
        </is>
      </c>
      <c r="E4774" t="inlineStr">
        <is>
          <t>China</t>
        </is>
      </c>
    </row>
    <row r="4775">
      <c r="A4775" t="inlineStr">
        <is>
          <t>Borealis GmbH,  Beveren-Kruibeke-Zwijndrecht, Belgium</t>
        </is>
      </c>
      <c r="B4775" t="inlineStr">
        <is>
          <t>Processing Unit, Trader with Storage</t>
        </is>
      </c>
      <c r="C4775" t="inlineStr">
        <is>
          <t>SGS Germany GmbH, Emstek, DE</t>
        </is>
      </c>
      <c r="D4775" t="inlineStr">
        <is>
          <t>27.04.2027</t>
        </is>
      </c>
      <c r="E4775" t="inlineStr">
        <is>
          <t>Belgium</t>
        </is>
      </c>
    </row>
    <row r="4776">
      <c r="A4776" t="inlineStr">
        <is>
          <t>Flex Films Europa Kft.,  Rétság, Hungary</t>
        </is>
      </c>
      <c r="B4776" t="inlineStr">
        <is>
          <t>Processing Unit</t>
        </is>
      </c>
      <c r="C4776" t="inlineStr">
        <is>
          <t>SGS Germany GmbH, Emstek, DE</t>
        </is>
      </c>
      <c r="D4776" t="inlineStr">
        <is>
          <t>27.04.2027</t>
        </is>
      </c>
      <c r="E4776" t="inlineStr">
        <is>
          <t>Hungary</t>
        </is>
      </c>
    </row>
    <row r="4777">
      <c r="A4777" t="inlineStr">
        <is>
          <t>Jiangsu Xingda Steel Tyre Cord Co.,Ltd.,  Xinghua City, China</t>
        </is>
      </c>
      <c r="B4777" t="inlineStr">
        <is>
          <t>Processing Unit</t>
        </is>
      </c>
      <c r="C4777" t="inlineStr">
        <is>
          <t>Bureau Veritas Polska Sp. z o.o., Warsaw, PL</t>
        </is>
      </c>
      <c r="D4777" t="inlineStr">
        <is>
          <t>27.04.2027</t>
        </is>
      </c>
      <c r="E4777" t="inlineStr">
        <is>
          <t>China</t>
        </is>
      </c>
    </row>
    <row r="4778">
      <c r="A4778" t="inlineStr">
        <is>
          <t>G3 Canada Limited,  Winnipeg, Manitoba, Canada</t>
        </is>
      </c>
      <c r="B4778" t="inlineStr">
        <is>
          <t>First Gathering Point, Trader with Storage</t>
        </is>
      </c>
      <c r="C4778" t="inlineStr">
        <is>
          <t>SGS Germany GmbH, Emstek, DE</t>
        </is>
      </c>
      <c r="D4778" t="inlineStr">
        <is>
          <t>27.04.2027</t>
        </is>
      </c>
      <c r="E4778" t="inlineStr">
        <is>
          <t>Canada</t>
        </is>
      </c>
    </row>
    <row r="4779">
      <c r="A4779" t="inlineStr">
        <is>
          <t>G3 Canada Limited,  Winnipeg, Manitoba, Canada</t>
        </is>
      </c>
      <c r="B4779" t="inlineStr">
        <is>
          <t>First Gathering Point, Trader with Storage</t>
        </is>
      </c>
      <c r="C4779" t="inlineStr">
        <is>
          <t>SGS Germany GmbH, Emstek, DE</t>
        </is>
      </c>
      <c r="D4779" t="inlineStr">
        <is>
          <t>27.04.2027</t>
        </is>
      </c>
      <c r="E4779" t="inlineStr">
        <is>
          <t>Canada</t>
        </is>
      </c>
    </row>
    <row r="4780">
      <c r="A4780" t="inlineStr">
        <is>
          <t>DONG THANH FOOTWEAR MACHINE COMPANY LIMITED,  Thanh Hoa, Vietnam</t>
        </is>
      </c>
      <c r="B4780" t="inlineStr">
        <is>
          <t>Processing Unit</t>
        </is>
      </c>
      <c r="C4780" t="inlineStr">
        <is>
          <t>SCS Global Services, Emeryville, CA, US</t>
        </is>
      </c>
      <c r="D4780" t="inlineStr">
        <is>
          <t>27.04.2027</t>
        </is>
      </c>
      <c r="E4780" t="inlineStr">
        <is>
          <t>Vietnam</t>
        </is>
      </c>
    </row>
    <row r="4781">
      <c r="A4781" t="inlineStr">
        <is>
          <t>Hebei Titan Energy Co.,Ltd.,  Shijiazhuang City, Hebei Province, China</t>
        </is>
      </c>
      <c r="B4781" t="inlineStr">
        <is>
          <t>Collecting Point, Processing Unit, Trader with Storage</t>
        </is>
      </c>
      <c r="C4781" t="inlineStr">
        <is>
          <t>RINA Services S.p.A., Genova, IT</t>
        </is>
      </c>
      <c r="D4781" t="inlineStr">
        <is>
          <t>27.04.2027</t>
        </is>
      </c>
      <c r="E4781" t="inlineStr">
        <is>
          <t>China</t>
        </is>
      </c>
    </row>
    <row r="4782">
      <c r="A4782" t="inlineStr">
        <is>
          <t>Elenger Sp. Z o.o.,  Tallinn, Estonia</t>
        </is>
      </c>
      <c r="B4782" t="inlineStr">
        <is>
          <t>Proof of Compliance Trader, Trader</t>
        </is>
      </c>
      <c r="C4782" t="inlineStr">
        <is>
          <t>Bureau Veritas Polska Sp. z o.o., Warsaw, PL</t>
        </is>
      </c>
      <c r="D4782" t="inlineStr">
        <is>
          <t>26.04.2027</t>
        </is>
      </c>
      <c r="E4782" t="inlineStr">
        <is>
          <t>Estonia</t>
        </is>
      </c>
    </row>
    <row r="4783">
      <c r="A4783" t="inlineStr">
        <is>
          <t>Daiseki Eco Solution,  Tokai City, Japan</t>
        </is>
      </c>
      <c r="B4783" t="inlineStr">
        <is>
          <t>Collecting Point, Processing Unit</t>
        </is>
      </c>
      <c r="C4783" t="inlineStr">
        <is>
          <t>Control Union Certifications Germany GmbH, Berlin, DE</t>
        </is>
      </c>
      <c r="D4783" t="inlineStr">
        <is>
          <t>26.04.2027</t>
        </is>
      </c>
      <c r="E4783" t="inlineStr">
        <is>
          <t>Japan</t>
        </is>
      </c>
    </row>
    <row r="4784">
      <c r="A4784" t="inlineStr">
        <is>
          <t>UAB Elenger,  Tallinn, Estonia</t>
        </is>
      </c>
      <c r="B4784" t="inlineStr">
        <is>
          <t>Proof of Compliance Trader, Trader</t>
        </is>
      </c>
      <c r="C4784" t="inlineStr">
        <is>
          <t>Bureau Veritas Polska Sp. z o.o., Warsaw, PL</t>
        </is>
      </c>
      <c r="D4784" t="inlineStr">
        <is>
          <t>26.04.2027</t>
        </is>
      </c>
      <c r="E4784" t="inlineStr">
        <is>
          <t>Estonia</t>
        </is>
      </c>
    </row>
    <row r="4785">
      <c r="A4785" t="inlineStr">
        <is>
          <t>SL Natural SRL,  SAN LORENZO, Argentina</t>
        </is>
      </c>
      <c r="B4785" t="inlineStr">
        <is>
          <t>Collecting Point, Processing Unit</t>
        </is>
      </c>
      <c r="C4785" t="inlineStr">
        <is>
          <t>SGS Germany GmbH, Emstek, DE</t>
        </is>
      </c>
      <c r="D4785" t="inlineStr">
        <is>
          <t>26.04.2027</t>
        </is>
      </c>
      <c r="E4785" t="inlineStr">
        <is>
          <t>Argentina</t>
        </is>
      </c>
    </row>
    <row r="4786">
      <c r="A4786" t="inlineStr">
        <is>
          <t>Changsha Kaifan Industrial Development Co., Ltd.,  Changsha, Hunan Province, China</t>
        </is>
      </c>
      <c r="B4786" t="inlineStr">
        <is>
          <t>Trader</t>
        </is>
      </c>
      <c r="C4786" t="inlineStr">
        <is>
          <t>RINA Services S.p.A., Genova, IT</t>
        </is>
      </c>
      <c r="D4786" t="inlineStr">
        <is>
          <t>26.04.2027</t>
        </is>
      </c>
      <c r="E4786" t="inlineStr">
        <is>
          <t>China</t>
        </is>
      </c>
    </row>
    <row r="4787">
      <c r="A4787" t="inlineStr">
        <is>
          <t>Hainan Huizheng Import and Export Trading Co., Ltd,  Yangpu Economic Development Zone, Hainan Province, China</t>
        </is>
      </c>
      <c r="B4787" t="inlineStr">
        <is>
          <t>Trader</t>
        </is>
      </c>
      <c r="C4787" t="inlineStr">
        <is>
          <t>RINA Services S.p.A., Genova, IT</t>
        </is>
      </c>
      <c r="D4787" t="inlineStr">
        <is>
          <t>26.04.2027</t>
        </is>
      </c>
      <c r="E4787" t="inlineStr">
        <is>
          <t>China</t>
        </is>
      </c>
    </row>
    <row r="4788">
      <c r="A4788" t="inlineStr">
        <is>
          <t>KK-Grain Kft.,  Dunaújváros, Hungary</t>
        </is>
      </c>
      <c r="B4788" t="inlineStr">
        <is>
          <t>First Gathering Point, Trader with Storage</t>
        </is>
      </c>
      <c r="C4788" t="inlineStr">
        <is>
          <t>BM Certification, Riga, LV</t>
        </is>
      </c>
      <c r="D4788" t="inlineStr">
        <is>
          <t>26.04.2027</t>
        </is>
      </c>
      <c r="E4788" t="inlineStr">
        <is>
          <t>Hungary</t>
        </is>
      </c>
    </row>
    <row r="4789">
      <c r="A4789" t="inlineStr">
        <is>
          <t>STANLEY BLACK ＆DECKER ASIA HOLDINGS,LLC,MACAO BRANCH,  Macau, China</t>
        </is>
      </c>
      <c r="B4789" t="inlineStr">
        <is>
          <t>Trader</t>
        </is>
      </c>
      <c r="C4789" t="inlineStr">
        <is>
          <t>China Quality Certification Centre Co., Ltd., Beijing, CN</t>
        </is>
      </c>
      <c r="D4789" t="inlineStr">
        <is>
          <t>26.04.2027</t>
        </is>
      </c>
      <c r="E4789" t="inlineStr">
        <is>
          <t>China</t>
        </is>
      </c>
    </row>
    <row r="4790">
      <c r="A4790" t="inlineStr">
        <is>
          <t>Bio Uljarice d.o.o.,  Molve, Croatia</t>
        </is>
      </c>
      <c r="B4790" t="inlineStr">
        <is>
          <t>Collecting Point, First Gathering Point, Processing Unit</t>
        </is>
      </c>
      <c r="C4790" t="inlineStr">
        <is>
          <t>Bureau Veritas Polska Sp. z o.o., Warsaw, PL</t>
        </is>
      </c>
      <c r="D4790" t="inlineStr">
        <is>
          <t>26.04.2027</t>
        </is>
      </c>
      <c r="E4790" t="inlineStr">
        <is>
          <t>Croatia</t>
        </is>
      </c>
    </row>
    <row r="4791">
      <c r="A4791" t="inlineStr">
        <is>
          <t>Štefan Topoľančin,  Snina, Slovakia</t>
        </is>
      </c>
      <c r="B4791" t="inlineStr">
        <is>
          <t>Trader</t>
        </is>
      </c>
      <c r="C4791" t="inlineStr">
        <is>
          <t>United Registrar of Systems Polska Sp. z o.o., Wrocław, PL</t>
        </is>
      </c>
      <c r="D4791" t="inlineStr">
        <is>
          <t>26.04.2027</t>
        </is>
      </c>
      <c r="E4791" t="inlineStr">
        <is>
          <t>Slovakia</t>
        </is>
      </c>
    </row>
    <row r="4792">
      <c r="A4792" t="inlineStr">
        <is>
          <t>Shanneng Renewable Resources Development (Leling) Co., Ltd.,  Leling City, Dezhou City, China</t>
        </is>
      </c>
      <c r="B4792" t="inlineStr">
        <is>
          <t>Collecting Point, Processing Unit</t>
        </is>
      </c>
      <c r="C4792" t="inlineStr">
        <is>
          <t>RINA Services S.p.A., Genova, IT</t>
        </is>
      </c>
      <c r="D4792" t="inlineStr">
        <is>
          <t>26.04.2027</t>
        </is>
      </c>
      <c r="E4792" t="inlineStr">
        <is>
          <t>China</t>
        </is>
      </c>
    </row>
    <row r="4793">
      <c r="A4793" t="inlineStr">
        <is>
          <t>Muenzer Kenya Pvt. Ltd.,  Nairobi, Kenya</t>
        </is>
      </c>
      <c r="B4793" t="inlineStr">
        <is>
          <t>Collecting Point, Trader with Storage</t>
        </is>
      </c>
      <c r="C4793" t="inlineStr">
        <is>
          <t>RINA Services S.p.A., Genova, IT</t>
        </is>
      </c>
      <c r="D4793" t="inlineStr">
        <is>
          <t>26.04.2027</t>
        </is>
      </c>
      <c r="E4793" t="inlineStr">
        <is>
          <t>Kenya</t>
        </is>
      </c>
    </row>
    <row r="4794">
      <c r="A4794" t="inlineStr">
        <is>
          <t>TOPCO (VIETNAM) TRADING CO., LTD,  City Ho Chi Minh, Vietnam</t>
        </is>
      </c>
      <c r="B4794" t="inlineStr">
        <is>
          <t>Trader with Storage</t>
        </is>
      </c>
      <c r="C4794" t="inlineStr">
        <is>
          <t>PT TUV Rheinland Indonesia, Jakarta, ID</t>
        </is>
      </c>
      <c r="D4794" t="inlineStr">
        <is>
          <t>26.04.2027</t>
        </is>
      </c>
      <c r="E4794" t="inlineStr">
        <is>
          <t>Vietnam</t>
        </is>
      </c>
    </row>
    <row r="4795">
      <c r="A4795" t="inlineStr">
        <is>
          <t>Diktas Yag Sabun ve Insaat Sanayi ve Ticaret,  Tekirdag, Turkey</t>
        </is>
      </c>
      <c r="B4795" t="inlineStr">
        <is>
          <t>Collecting Point, Processing Unit, Trader with Storage</t>
        </is>
      </c>
      <c r="C4795" t="inlineStr">
        <is>
          <t>Control Union Certifications Germany GmbH, Berlin, DE</t>
        </is>
      </c>
      <c r="D4795" t="inlineStr">
        <is>
          <t>26.04.2027</t>
        </is>
      </c>
      <c r="E4795" t="inlineStr">
        <is>
          <t>Turkey</t>
        </is>
      </c>
    </row>
    <row r="4796">
      <c r="A4796" t="inlineStr">
        <is>
          <t>Toy-Link Limited,  Flat C, 9/F, BLK 1, Golden Dragon Ind Ctr., Hong Kong</t>
        </is>
      </c>
      <c r="B4796" t="inlineStr">
        <is>
          <t>Trader</t>
        </is>
      </c>
      <c r="C4796" t="inlineStr">
        <is>
          <t>DIN CERTCO GmbH, Berlin, DE</t>
        </is>
      </c>
      <c r="D4796" t="inlineStr">
        <is>
          <t>26.04.2027</t>
        </is>
      </c>
      <c r="E4796" t="inlineStr">
        <is>
          <t>Hong Kong</t>
        </is>
      </c>
    </row>
    <row r="4797">
      <c r="A4797" t="inlineStr">
        <is>
          <t>India Glycols Limited,  Kashipur, India</t>
        </is>
      </c>
      <c r="B4797" t="inlineStr">
        <is>
          <t>Collecting Point, Processing Unit</t>
        </is>
      </c>
      <c r="C4797" t="inlineStr">
        <is>
          <t>DNV Business Assurance Sweden AB, Solna, SE</t>
        </is>
      </c>
      <c r="D4797" t="inlineStr">
        <is>
          <t>26.04.2027</t>
        </is>
      </c>
      <c r="E4797" t="inlineStr">
        <is>
          <t>India</t>
        </is>
      </c>
    </row>
    <row r="4798">
      <c r="A4798" t="inlineStr">
        <is>
          <t>Dyne-a-pak,  Laval, Canada</t>
        </is>
      </c>
      <c r="B4798" t="inlineStr">
        <is>
          <t>Processing Unit</t>
        </is>
      </c>
      <c r="C4798" t="inlineStr">
        <is>
          <t>SCS Global Services, Emeryville, CA, US</t>
        </is>
      </c>
      <c r="D4798" t="inlineStr">
        <is>
          <t>26.04.2027</t>
        </is>
      </c>
      <c r="E4798" t="inlineStr">
        <is>
          <t>Canada</t>
        </is>
      </c>
    </row>
    <row r="4799">
      <c r="A4799" t="inlineStr">
        <is>
          <t>Amcor Milton Keynes,  Milton Keynes, United Kingdom</t>
        </is>
      </c>
      <c r="B4799" t="inlineStr">
        <is>
          <t>Processing Unit</t>
        </is>
      </c>
      <c r="C4799" t="inlineStr">
        <is>
          <t>SGS Germany GmbH, Emstek, DE</t>
        </is>
      </c>
      <c r="D4799" t="inlineStr">
        <is>
          <t>26.04.2027</t>
        </is>
      </c>
      <c r="E4799" t="inlineStr">
        <is>
          <t>United Kingdom</t>
        </is>
      </c>
    </row>
    <row r="4800">
      <c r="A4800" t="inlineStr">
        <is>
          <t>Jarvis International Trade Pte. Ltd.,  Singapore, Singapore</t>
        </is>
      </c>
      <c r="B4800" t="inlineStr">
        <is>
          <t>Trader</t>
        </is>
      </c>
      <c r="C4800" t="inlineStr">
        <is>
          <t>SCS Global Services, Emeryville, CA, US</t>
        </is>
      </c>
      <c r="D4800" t="inlineStr">
        <is>
          <t>26.04.2027</t>
        </is>
      </c>
      <c r="E4800" t="inlineStr">
        <is>
          <t>Singapore</t>
        </is>
      </c>
    </row>
    <row r="4801">
      <c r="A4801" t="inlineStr">
        <is>
          <t>JIANGXI ANGSHI NEW MATERIAL TECHNOLOGY CO.,LTD.,  Fuzhou City, Jiangxi Province, China</t>
        </is>
      </c>
      <c r="B4801" t="inlineStr">
        <is>
          <t>Processing Unit</t>
        </is>
      </c>
      <c r="C4801" t="inlineStr">
        <is>
          <t>SCS Global Services, Emeryville, CA, US</t>
        </is>
      </c>
      <c r="D4801" t="inlineStr">
        <is>
          <t>26.04.2027</t>
        </is>
      </c>
      <c r="E4801" t="inlineStr">
        <is>
          <t>China</t>
        </is>
      </c>
    </row>
    <row r="4802">
      <c r="A4802" t="inlineStr">
        <is>
          <t>Aegios Polyfilms Private Limited,  KATHUA, India</t>
        </is>
      </c>
      <c r="B4802" t="inlineStr">
        <is>
          <t>Processing Unit</t>
        </is>
      </c>
      <c r="C4802" t="inlineStr">
        <is>
          <t>ISOQAR Ltd, Stretford, Manchester, GB</t>
        </is>
      </c>
      <c r="D4802" t="inlineStr">
        <is>
          <t>26.04.2027</t>
        </is>
      </c>
      <c r="E4802" t="inlineStr">
        <is>
          <t>India</t>
        </is>
      </c>
    </row>
    <row r="4803">
      <c r="A4803" t="inlineStr">
        <is>
          <t>Hainan Jiayu Wanxing Import and Export Co, Ltd.,  Yangpu Economic Development Zone,Hainan Province, China</t>
        </is>
      </c>
      <c r="B4803" t="inlineStr">
        <is>
          <t>Trader</t>
        </is>
      </c>
      <c r="C4803" t="inlineStr">
        <is>
          <t>China Standard Conformity Assessment Co. Ltd, Beijing, CN</t>
        </is>
      </c>
      <c r="D4803" t="inlineStr">
        <is>
          <t>26.04.2027</t>
        </is>
      </c>
      <c r="E4803" t="inlineStr">
        <is>
          <t>China</t>
        </is>
      </c>
    </row>
    <row r="4804">
      <c r="A4804" t="inlineStr">
        <is>
          <t>CHINA NATIONAL AVIATION FUEL GROUP YUNNAN PETROLEUM CO., LTD. GUANGXI BRANCH,  Liuzhou City, Guangxi Province, China</t>
        </is>
      </c>
      <c r="B4804" t="inlineStr">
        <is>
          <t>Trader</t>
        </is>
      </c>
      <c r="C4804" t="inlineStr">
        <is>
          <t>SCS Global Services, Emeryville, CA, US</t>
        </is>
      </c>
      <c r="D4804" t="inlineStr">
        <is>
          <t>26.04.2027</t>
        </is>
      </c>
      <c r="E4804" t="inlineStr">
        <is>
          <t>China</t>
        </is>
      </c>
    </row>
    <row r="4805">
      <c r="A4805" t="inlineStr">
        <is>
          <t>CHINA NATIONAL AVIATION FUEL GROUP YUNNAN PETROLEUM CO., LTD. GUANGXI BRANCH,  Liuzhou City, Guangxi Province, China</t>
        </is>
      </c>
      <c r="B4805" t="inlineStr">
        <is>
          <t>Trader</t>
        </is>
      </c>
      <c r="C4805" t="inlineStr">
        <is>
          <t>SCS Global Services, Emeryville, CA, US</t>
        </is>
      </c>
      <c r="D4805" t="inlineStr">
        <is>
          <t>26.04.2027</t>
        </is>
      </c>
      <c r="E4805" t="inlineStr">
        <is>
          <t>China</t>
        </is>
      </c>
    </row>
    <row r="4806">
      <c r="A4806" t="inlineStr">
        <is>
          <t>The Dow Chemical Company,  Nederland, United States</t>
        </is>
      </c>
      <c r="B4806" t="inlineStr">
        <is>
          <t>Processing Unit</t>
        </is>
      </c>
      <c r="C4806" t="inlineStr">
        <is>
          <t>SGS Germany GmbH, Emstek, DE</t>
        </is>
      </c>
      <c r="D4806" t="inlineStr">
        <is>
          <t>26.04.2027</t>
        </is>
      </c>
      <c r="E4806" t="inlineStr">
        <is>
          <t>United States</t>
        </is>
      </c>
    </row>
    <row r="4807">
      <c r="A4807" t="inlineStr">
        <is>
          <t>Adamant Bionrg MEA,  Dubai, United Arab Emirates</t>
        </is>
      </c>
      <c r="B4807" t="inlineStr">
        <is>
          <t>Trader with Storage</t>
        </is>
      </c>
      <c r="C4807" t="inlineStr">
        <is>
          <t>SGS Germany GmbH, Emstek, DE</t>
        </is>
      </c>
      <c r="D4807" t="inlineStr">
        <is>
          <t>26.04.2027</t>
        </is>
      </c>
      <c r="E4807" t="inlineStr">
        <is>
          <t>United Arab Emirates</t>
        </is>
      </c>
    </row>
    <row r="4808">
      <c r="A4808" t="inlineStr">
        <is>
          <t>(Magnera) PGI Spain S.L.U.,  La Selva del Camp (Tarragona), Spain</t>
        </is>
      </c>
      <c r="B4808" t="inlineStr">
        <is>
          <t>Processing Unit</t>
        </is>
      </c>
      <c r="C4808" t="inlineStr">
        <is>
          <t>Control Union Poland Sp. z o.o., Zielona Gora, PL</t>
        </is>
      </c>
      <c r="D4808" t="inlineStr">
        <is>
          <t>26.04.2027</t>
        </is>
      </c>
      <c r="E4808" t="inlineStr">
        <is>
          <t>Spain</t>
        </is>
      </c>
    </row>
    <row r="4809">
      <c r="A4809" t="inlineStr">
        <is>
          <t>ETNL,  Haisyn, Ukraine</t>
        </is>
      </c>
      <c r="B4809" t="inlineStr">
        <is>
          <t>Processing Unit</t>
        </is>
      </c>
      <c r="C4809" t="inlineStr">
        <is>
          <t>BM Certification, Riga, LV</t>
        </is>
      </c>
      <c r="D4809" t="inlineStr">
        <is>
          <t>26.04.2027</t>
        </is>
      </c>
      <c r="E4809" t="inlineStr">
        <is>
          <t>Ukraine</t>
        </is>
      </c>
    </row>
    <row r="4810">
      <c r="A4810" t="inlineStr">
        <is>
          <t>Arkema Inc,  Torrance, United States</t>
        </is>
      </c>
      <c r="B4810" t="inlineStr">
        <is>
          <t>Processing Unit</t>
        </is>
      </c>
      <c r="C4810" t="inlineStr">
        <is>
          <t>DNV Business Assurance Sweden AB, Solna, SE</t>
        </is>
      </c>
      <c r="D4810" t="inlineStr">
        <is>
          <t>26.04.2027</t>
        </is>
      </c>
      <c r="E4810" t="inlineStr">
        <is>
          <t>United States</t>
        </is>
      </c>
    </row>
    <row r="4811">
      <c r="A4811" t="inlineStr">
        <is>
          <t>Auriella (Pty) Ltd,  Boksburg, South Africa</t>
        </is>
      </c>
      <c r="B4811" t="inlineStr">
        <is>
          <t>Processing Unit</t>
        </is>
      </c>
      <c r="C4811" t="inlineStr">
        <is>
          <t>Aardvark Certification Ltd, Wiveliscombe, Somerset, GB</t>
        </is>
      </c>
      <c r="D4811" t="inlineStr">
        <is>
          <t>26.04.2027</t>
        </is>
      </c>
      <c r="E4811" t="inlineStr">
        <is>
          <t>South Africa</t>
        </is>
      </c>
    </row>
    <row r="4812">
      <c r="A4812" t="inlineStr">
        <is>
          <t>Corpus Christi Renewables,  Robstown, United States</t>
        </is>
      </c>
      <c r="B4812" t="inlineStr">
        <is>
          <t>Collecting Point, Processing Unit</t>
        </is>
      </c>
      <c r="C4812" t="inlineStr">
        <is>
          <t>SCS Global Services, Emeryville, CA, US</t>
        </is>
      </c>
      <c r="D4812" t="inlineStr">
        <is>
          <t>26.04.2027</t>
        </is>
      </c>
      <c r="E4812" t="inlineStr">
        <is>
          <t>United States</t>
        </is>
      </c>
    </row>
    <row r="4813">
      <c r="A4813" t="inlineStr">
        <is>
          <t>Corpus Christi Renewables,  Robstown, United States</t>
        </is>
      </c>
      <c r="B4813" t="inlineStr">
        <is>
          <t>Collecting Point, Processing Unit</t>
        </is>
      </c>
      <c r="C4813" t="inlineStr">
        <is>
          <t>SCS Global Services, Emeryville, CA, US</t>
        </is>
      </c>
      <c r="D4813" t="inlineStr">
        <is>
          <t>26.04.2027</t>
        </is>
      </c>
      <c r="E4813" t="inlineStr">
        <is>
          <t>United States</t>
        </is>
      </c>
    </row>
    <row r="4814">
      <c r="A4814" t="inlineStr">
        <is>
          <t>BP (China) HOLDINGS Limited,  Shanghai, China</t>
        </is>
      </c>
      <c r="B4814" t="inlineStr">
        <is>
          <t>Trader</t>
        </is>
      </c>
      <c r="C4814" t="inlineStr">
        <is>
          <t>TÜV NORD CERT GmbH, Essen, DE</t>
        </is>
      </c>
      <c r="D4814" t="inlineStr">
        <is>
          <t>26.04.2027</t>
        </is>
      </c>
      <c r="E4814" t="inlineStr">
        <is>
          <t>China</t>
        </is>
      </c>
    </row>
    <row r="4815">
      <c r="A4815" t="inlineStr">
        <is>
          <t>SD Guthrie International Biodiesel Sdn Bhd,  Kuala Langat, Selangor, Malaysia</t>
        </is>
      </c>
      <c r="B4815" t="inlineStr">
        <is>
          <t>Collecting Point, Point of Origin, Processing Unit, Trader with Storage</t>
        </is>
      </c>
      <c r="C4815" t="inlineStr">
        <is>
          <t>agroVet GmbH, Enzersfeld, AT</t>
        </is>
      </c>
      <c r="D4815" t="inlineStr">
        <is>
          <t>26.04.2027</t>
        </is>
      </c>
      <c r="E4815" t="inlineStr">
        <is>
          <t>Malaysia</t>
        </is>
      </c>
    </row>
    <row r="4816">
      <c r="A4816" t="inlineStr">
        <is>
          <t>Dongguan Wain Plastics Technology Co., Ltd.,  Dongguan City,Guangdong Province, China</t>
        </is>
      </c>
      <c r="B4816" t="inlineStr">
        <is>
          <t>Processing Unit</t>
        </is>
      </c>
      <c r="C4816" t="inlineStr">
        <is>
          <t>RINA Services S.p.A., Genova, IT</t>
        </is>
      </c>
      <c r="D4816" t="inlineStr">
        <is>
          <t>26.04.2027</t>
        </is>
      </c>
      <c r="E4816" t="inlineStr">
        <is>
          <t>China</t>
        </is>
      </c>
    </row>
    <row r="4817">
      <c r="A4817" t="inlineStr">
        <is>
          <t>EVA Trade (Asia) Limited,  Des Voeux Rd Central, China</t>
        </is>
      </c>
      <c r="B4817" t="inlineStr">
        <is>
          <t>Trader</t>
        </is>
      </c>
      <c r="C4817" t="inlineStr">
        <is>
          <t>China Quality Certification Centre Co., Ltd., Beijing, CN</t>
        </is>
      </c>
      <c r="D4817" t="inlineStr">
        <is>
          <t>26.04.2027</t>
        </is>
      </c>
      <c r="E4817" t="inlineStr">
        <is>
          <t>China</t>
        </is>
      </c>
    </row>
    <row r="4818">
      <c r="A4818" t="inlineStr">
        <is>
          <t>Arkema, Inc.,  Pasadena TX, United States</t>
        </is>
      </c>
      <c r="B4818" t="inlineStr">
        <is>
          <t>Processing Unit</t>
        </is>
      </c>
      <c r="C4818" t="inlineStr">
        <is>
          <t>DNV Business Assurance Sweden AB, Solna, SE</t>
        </is>
      </c>
      <c r="D4818" t="inlineStr">
        <is>
          <t>25.04.2027</t>
        </is>
      </c>
      <c r="E4818" t="inlineStr">
        <is>
          <t>United States</t>
        </is>
      </c>
    </row>
    <row r="4819">
      <c r="A4819" t="inlineStr">
        <is>
          <t>VOLNIK d.o.o.,  Dekani, Slovenia</t>
        </is>
      </c>
      <c r="B4819" t="inlineStr">
        <is>
          <t>Trader with Storage</t>
        </is>
      </c>
      <c r="C4819" t="inlineStr">
        <is>
          <t>Bureau Veritas Polska Sp. z o.o., Warsaw, PL</t>
        </is>
      </c>
      <c r="D4819" t="inlineStr">
        <is>
          <t>25.04.2027</t>
        </is>
      </c>
      <c r="E4819" t="inlineStr">
        <is>
          <t>Slovenia</t>
        </is>
      </c>
    </row>
    <row r="4820">
      <c r="A4820" t="inlineStr">
        <is>
          <t>AS Elenger Grupp,  Tallinn, Estonia</t>
        </is>
      </c>
      <c r="B4820" t="inlineStr">
        <is>
          <t>Proof of Compliance Trader, Trader</t>
        </is>
      </c>
      <c r="C4820" t="inlineStr">
        <is>
          <t>Bureau Veritas Polska Sp. z o.o., Warsaw, PL</t>
        </is>
      </c>
      <c r="D4820" t="inlineStr">
        <is>
          <t>25.04.2027</t>
        </is>
      </c>
      <c r="E4820" t="inlineStr">
        <is>
          <t>Estonia</t>
        </is>
      </c>
    </row>
    <row r="4821">
      <c r="A4821" t="inlineStr">
        <is>
          <t>Sirca S.p.A.,  Sandono di Massanzago, Italy</t>
        </is>
      </c>
      <c r="B4821" t="inlineStr">
        <is>
          <t>Processing Unit</t>
        </is>
      </c>
      <c r="C4821" t="inlineStr">
        <is>
          <t>RINA Services S.p.A., Genova, IT</t>
        </is>
      </c>
      <c r="D4821" t="inlineStr">
        <is>
          <t>25.04.2027</t>
        </is>
      </c>
      <c r="E4821" t="inlineStr">
        <is>
          <t>Italy</t>
        </is>
      </c>
    </row>
    <row r="4822">
      <c r="A4822" t="inlineStr">
        <is>
          <t>SIA Elenger,  Tallinn, Estonia</t>
        </is>
      </c>
      <c r="B4822" t="inlineStr">
        <is>
          <t>Proof of Compliance Trader, Trader</t>
        </is>
      </c>
      <c r="C4822" t="inlineStr">
        <is>
          <t>Bureau Veritas Polska Sp. z o.o., Warsaw, PL</t>
        </is>
      </c>
      <c r="D4822" t="inlineStr">
        <is>
          <t>25.04.2027</t>
        </is>
      </c>
      <c r="E4822" t="inlineStr">
        <is>
          <t>Estonia</t>
        </is>
      </c>
    </row>
    <row r="4823">
      <c r="A4823" t="inlineStr">
        <is>
          <t>DIELIX,  Limay, France</t>
        </is>
      </c>
      <c r="B4823" t="inlineStr">
        <is>
          <t>Point of Origin, Trader with Storage, Processing Unit</t>
        </is>
      </c>
      <c r="C4823" t="inlineStr">
        <is>
          <t>Control Union Certifications Germany GmbH, Berlin, DE</t>
        </is>
      </c>
      <c r="D4823" t="inlineStr">
        <is>
          <t>25.04.2027</t>
        </is>
      </c>
      <c r="E4823" t="inlineStr">
        <is>
          <t>France</t>
        </is>
      </c>
    </row>
    <row r="4824">
      <c r="A4824" t="inlineStr">
        <is>
          <t>Nantong PowerShell Petroleum Logistics Co.Ltd,  Rugao,Jiangsu, China</t>
        </is>
      </c>
      <c r="B4824" t="inlineStr">
        <is>
          <t>Warehouse</t>
        </is>
      </c>
      <c r="C4824" t="inlineStr">
        <is>
          <t>RINA Services S.p.A., Genova, IT</t>
        </is>
      </c>
      <c r="D4824" t="inlineStr">
        <is>
          <t>25.04.2027</t>
        </is>
      </c>
      <c r="E4824" t="inlineStr">
        <is>
          <t>China</t>
        </is>
      </c>
    </row>
    <row r="4825">
      <c r="A4825" t="inlineStr">
        <is>
          <t>Carboli SRL,  Calenzano, Italy</t>
        </is>
      </c>
      <c r="B4825" t="inlineStr">
        <is>
          <t>Trader</t>
        </is>
      </c>
      <c r="C4825" t="inlineStr">
        <is>
          <t>SGS Germany GmbH, Emstek, DE</t>
        </is>
      </c>
      <c r="D4825" t="inlineStr">
        <is>
          <t>25.04.2027</t>
        </is>
      </c>
      <c r="E4825" t="inlineStr">
        <is>
          <t>Italy</t>
        </is>
      </c>
    </row>
    <row r="4826">
      <c r="A4826" t="inlineStr">
        <is>
          <t>EDO CHEMICAL SDN BHD,  PASIR GUDANG, Malaysia</t>
        </is>
      </c>
      <c r="B4826" t="inlineStr">
        <is>
          <t>Point of Origin, Processing Unit</t>
        </is>
      </c>
      <c r="C4826" t="inlineStr">
        <is>
          <t>RINA Services S.p.A., Genova, IT</t>
        </is>
      </c>
      <c r="D4826" t="inlineStr">
        <is>
          <t>25.04.2027</t>
        </is>
      </c>
      <c r="E4826" t="inlineStr">
        <is>
          <t>Malaysia</t>
        </is>
      </c>
    </row>
    <row r="4827">
      <c r="A4827" t="inlineStr">
        <is>
          <t>Biopower Oostende NV,  Oostende, Belgium</t>
        </is>
      </c>
      <c r="B4827" t="inlineStr">
        <is>
          <t>Processing Unit, Trader with Storage</t>
        </is>
      </c>
      <c r="C4827" t="inlineStr">
        <is>
          <t>SGS Germany GmbH, Emstek, DE</t>
        </is>
      </c>
      <c r="D4827" t="inlineStr">
        <is>
          <t>25.04.2027</t>
        </is>
      </c>
      <c r="E4827" t="inlineStr">
        <is>
          <t>Belgium</t>
        </is>
      </c>
    </row>
    <row r="4828">
      <c r="A4828" t="inlineStr">
        <is>
          <t>Litrocom Global Energy Sdn Bhd,  Kaw Per Pasir Gudang, Malaysia</t>
        </is>
      </c>
      <c r="B4828" t="inlineStr">
        <is>
          <t>Collecting Point, Trader with Storage</t>
        </is>
      </c>
      <c r="C4828" t="inlineStr">
        <is>
          <t>RINA Services S.p.A., Genova, IT</t>
        </is>
      </c>
      <c r="D4828" t="inlineStr">
        <is>
          <t>25.04.2027</t>
        </is>
      </c>
      <c r="E4828" t="inlineStr">
        <is>
          <t>Malaysia</t>
        </is>
      </c>
    </row>
    <row r="4829">
      <c r="A4829" t="inlineStr">
        <is>
          <t>ENEOS NUC,  Kawasaki-ku, Kawasaki-shi, Japan</t>
        </is>
      </c>
      <c r="B4829" t="inlineStr">
        <is>
          <t>Processing Unit</t>
        </is>
      </c>
      <c r="C4829" t="inlineStr">
        <is>
          <t>Control Union Certifications Germany GmbH, Berlin, DE</t>
        </is>
      </c>
      <c r="D4829" t="inlineStr">
        <is>
          <t>25.04.2027</t>
        </is>
      </c>
      <c r="E4829" t="inlineStr">
        <is>
          <t>Japan</t>
        </is>
      </c>
    </row>
    <row r="4830">
      <c r="A4830" t="inlineStr">
        <is>
          <t>PT Wilmar Nabati Indonesia,  Padang, Indonesia</t>
        </is>
      </c>
      <c r="B4830" t="inlineStr">
        <is>
          <t>Point of Origin, Trader with Storage</t>
        </is>
      </c>
      <c r="C4830" t="inlineStr">
        <is>
          <t>PT Intertek Utama Services, Jakarta, ID</t>
        </is>
      </c>
      <c r="D4830" t="inlineStr">
        <is>
          <t>25.04.2027</t>
        </is>
      </c>
      <c r="E4830" t="inlineStr">
        <is>
          <t>Indonesia</t>
        </is>
      </c>
    </row>
    <row r="4831">
      <c r="A4831" t="inlineStr">
        <is>
          <t>Selena FM,  Nowa Wieś Wrocławska, Poland</t>
        </is>
      </c>
      <c r="B4831" t="inlineStr">
        <is>
          <t>Trader with Storage, Warehouse</t>
        </is>
      </c>
      <c r="C4831" t="inlineStr">
        <is>
          <t>Bureau Veritas Polska Sp. z o.o., Warsaw, PL</t>
        </is>
      </c>
      <c r="D4831" t="inlineStr">
        <is>
          <t>25.04.2027</t>
        </is>
      </c>
      <c r="E4831" t="inlineStr">
        <is>
          <t>Poland</t>
        </is>
      </c>
    </row>
    <row r="4832">
      <c r="A4832" t="inlineStr">
        <is>
          <t>Basell Poliolefine Italia s.r.l. (Ferrara),  Ferrara, Italy</t>
        </is>
      </c>
      <c r="B4832" t="inlineStr">
        <is>
          <t>Processing Unit</t>
        </is>
      </c>
      <c r="C4832" t="inlineStr">
        <is>
          <t>TÜV SÜD Industrie Service GmbH, München, DE</t>
        </is>
      </c>
      <c r="D4832" t="inlineStr">
        <is>
          <t>25.04.2027</t>
        </is>
      </c>
      <c r="E4832" t="inlineStr">
        <is>
          <t>Italy</t>
        </is>
      </c>
    </row>
    <row r="4833">
      <c r="A4833" t="inlineStr">
        <is>
          <t>Birla Carbon India Private Limited,  Lohop -Tavali, Taluk : Khalapur, District – Raigad, India</t>
        </is>
      </c>
      <c r="B4833" t="inlineStr">
        <is>
          <t>Processing Unit, Trader with Storage</t>
        </is>
      </c>
      <c r="C4833" t="inlineStr">
        <is>
          <t>PT Intertek Utama Services, Jakarta, ID</t>
        </is>
      </c>
      <c r="D4833" t="inlineStr">
        <is>
          <t>25.04.2027</t>
        </is>
      </c>
      <c r="E4833" t="inlineStr">
        <is>
          <t>India</t>
        </is>
      </c>
    </row>
    <row r="4834">
      <c r="A4834" t="inlineStr">
        <is>
          <t>Incom Industrial SLU,  Sao Bernardo do Campo, Pauliceia, Brazil</t>
        </is>
      </c>
      <c r="B4834" t="inlineStr">
        <is>
          <t>Processing Unit, Final Product Refinement</t>
        </is>
      </c>
      <c r="C4834" t="inlineStr">
        <is>
          <t>SCS Global Services, Emeryville, CA, US</t>
        </is>
      </c>
      <c r="D4834" t="inlineStr">
        <is>
          <t>25.04.2027</t>
        </is>
      </c>
      <c r="E4834" t="inlineStr">
        <is>
          <t>Brazil</t>
        </is>
      </c>
    </row>
    <row r="4835">
      <c r="A4835" t="inlineStr">
        <is>
          <t>DS Agro Energie s.r.o.,  Jilemnice, Czech Republic</t>
        </is>
      </c>
      <c r="B4835" t="inlineStr">
        <is>
          <t>Collecting Point, Processing Unit, First Gathering Point</t>
        </is>
      </c>
      <c r="C4835" t="inlineStr">
        <is>
          <t>United Registrar of Systems Polska Sp. z o.o., Wrocław, PL</t>
        </is>
      </c>
      <c r="D4835" t="inlineStr">
        <is>
          <t>25.04.2027</t>
        </is>
      </c>
      <c r="E4835" t="inlineStr">
        <is>
          <t>Czech Republic</t>
        </is>
      </c>
    </row>
    <row r="4836">
      <c r="A4836" t="inlineStr">
        <is>
          <t>M-BIO s.r.o.,  Huštěnovice, Czech Republic</t>
        </is>
      </c>
      <c r="B4836" t="inlineStr">
        <is>
          <t>Collecting Point, Processing Unit, Trader with Storage</t>
        </is>
      </c>
      <c r="C4836" t="inlineStr">
        <is>
          <t>United Registrar of Systems Polska Sp. z o.o., Wrocław, PL</t>
        </is>
      </c>
      <c r="D4836" t="inlineStr">
        <is>
          <t>25.04.2027</t>
        </is>
      </c>
      <c r="E4836" t="inlineStr">
        <is>
          <t>Czech Republic</t>
        </is>
      </c>
    </row>
    <row r="4837">
      <c r="A4837" t="inlineStr">
        <is>
          <t>Spohn Kunststoffe,  Freiburg, Germany</t>
        </is>
      </c>
      <c r="B4837" t="inlineStr">
        <is>
          <t>Processing Unit</t>
        </is>
      </c>
      <c r="C4837" t="inlineStr">
        <is>
          <t>GUT Certifizierungsgesellschaft für Managementsysteme mbH Umweltgutachter, Berlin, DE</t>
        </is>
      </c>
      <c r="D4837" t="inlineStr">
        <is>
          <t>25.04.2027</t>
        </is>
      </c>
      <c r="E4837" t="inlineStr">
        <is>
          <t>Germany</t>
        </is>
      </c>
    </row>
    <row r="4838">
      <c r="A4838" t="inlineStr">
        <is>
          <t>Pio Kunststoffe GmbH,  Freiburg i.Br., Germany</t>
        </is>
      </c>
      <c r="B4838" t="inlineStr">
        <is>
          <t>Trader with Storage</t>
        </is>
      </c>
      <c r="C4838" t="inlineStr">
        <is>
          <t>GUT Certifizierungsgesellschaft für Managementsysteme mbH Umweltgutachter, Berlin, DE</t>
        </is>
      </c>
      <c r="D4838" t="inlineStr">
        <is>
          <t>25.04.2027</t>
        </is>
      </c>
      <c r="E4838" t="inlineStr">
        <is>
          <t>Germany</t>
        </is>
      </c>
    </row>
    <row r="4839">
      <c r="A4839" t="inlineStr">
        <is>
          <t>Lotte Ineos Chemical Co., LTD.,  Ulsan, Korea, Republic of</t>
        </is>
      </c>
      <c r="B4839" t="inlineStr">
        <is>
          <t>Processing Unit</t>
        </is>
      </c>
      <c r="C4839" t="inlineStr">
        <is>
          <t>Control Union Certifications Germany GmbH, Berlin, DE</t>
        </is>
      </c>
      <c r="D4839" t="inlineStr">
        <is>
          <t>25.04.2027</t>
        </is>
      </c>
      <c r="E4839" t="inlineStr">
        <is>
          <t>Republic of</t>
        </is>
      </c>
    </row>
    <row r="4840">
      <c r="A4840" t="inlineStr">
        <is>
          <t>HempFlax B.V.,  Oude Pekela, Netherlands</t>
        </is>
      </c>
      <c r="B4840" t="inlineStr">
        <is>
          <t>First Gathering Point, Trader with Storage, Processing Unit</t>
        </is>
      </c>
      <c r="C4840" t="inlineStr">
        <is>
          <t>DEKRA Certification B.V., Arnhem, NL</t>
        </is>
      </c>
      <c r="D4840" t="inlineStr">
        <is>
          <t>25.04.2027</t>
        </is>
      </c>
      <c r="E4840" t="inlineStr">
        <is>
          <t>Netherlands</t>
        </is>
      </c>
    </row>
    <row r="4841">
      <c r="A4841" t="inlineStr">
        <is>
          <t>SW,  Yangju-si,, South Korea</t>
        </is>
      </c>
      <c r="B4841" t="inlineStr">
        <is>
          <t>Trader</t>
        </is>
      </c>
      <c r="C4841" t="inlineStr">
        <is>
          <t>Korean Foundation for Quality, Songpa-gu, Seoul, KR</t>
        </is>
      </c>
      <c r="D4841" t="inlineStr">
        <is>
          <t>25.04.2027</t>
        </is>
      </c>
      <c r="E4841" t="inlineStr">
        <is>
          <t>South Korea</t>
        </is>
      </c>
    </row>
    <row r="4842">
      <c r="A4842" t="inlineStr">
        <is>
          <t>Cork Oil Collectors Ltd,  Cork, Ireland</t>
        </is>
      </c>
      <c r="B4842" t="inlineStr">
        <is>
          <t>Collecting Point</t>
        </is>
      </c>
      <c r="C4842" t="inlineStr">
        <is>
          <t>DEKRA Certification B.V., Arnhem, NL</t>
        </is>
      </c>
      <c r="D4842" t="inlineStr">
        <is>
          <t>25.04.2027</t>
        </is>
      </c>
      <c r="E4842" t="inlineStr">
        <is>
          <t>Ireland</t>
        </is>
      </c>
    </row>
    <row r="4843">
      <c r="A4843" t="inlineStr">
        <is>
          <t>SHOREX ENVIRONMENT CARE &amp; RECYCLING, S.L.,  MADRID, Spain</t>
        </is>
      </c>
      <c r="B4843" t="inlineStr">
        <is>
          <t>Collecting Point</t>
        </is>
      </c>
      <c r="C4843" t="inlineStr">
        <is>
          <t>Control Union Poland Sp. z o.o., Zielona Gora, PL</t>
        </is>
      </c>
      <c r="D4843" t="inlineStr">
        <is>
          <t>25.04.2027</t>
        </is>
      </c>
      <c r="E4843" t="inlineStr">
        <is>
          <t>Spain</t>
        </is>
      </c>
    </row>
    <row r="4844">
      <c r="A4844" t="inlineStr">
        <is>
          <t>Oil Palm Uganda Limited (Bwendero Palm Oil Mill),  Kalangala, Uganda</t>
        </is>
      </c>
      <c r="B4844" t="inlineStr">
        <is>
          <t>Point of Origin</t>
        </is>
      </c>
      <c r="C4844" t="inlineStr">
        <is>
          <t>Trans Certification and Inspection Sdn Bhd, Kuantan, MY</t>
        </is>
      </c>
      <c r="D4844" t="inlineStr">
        <is>
          <t>25.04.2027</t>
        </is>
      </c>
      <c r="E4844" t="inlineStr">
        <is>
          <t>Uganda</t>
        </is>
      </c>
    </row>
    <row r="4845">
      <c r="A4845" t="inlineStr">
        <is>
          <t>Biase Plantations Limited (Calaro Palm Oil Mill),  Akamkpa LGA, Nigeria</t>
        </is>
      </c>
      <c r="B4845" t="inlineStr">
        <is>
          <t>Point of Origin</t>
        </is>
      </c>
      <c r="C4845" t="inlineStr">
        <is>
          <t>Trans Certification and Inspection Sdn Bhd, Kuantan, MY</t>
        </is>
      </c>
      <c r="D4845" t="inlineStr">
        <is>
          <t>25.04.2027</t>
        </is>
      </c>
      <c r="E4845" t="inlineStr">
        <is>
          <t>Nigeria</t>
        </is>
      </c>
    </row>
    <row r="4846">
      <c r="A4846" t="inlineStr">
        <is>
          <t>Aceites Del Sur Coosur, S.A. ,  Tarancon (Cuenca), Spain</t>
        </is>
      </c>
      <c r="B4846" t="inlineStr">
        <is>
          <t>Point of Origin, Processing Unit</t>
        </is>
      </c>
      <c r="C4846" t="inlineStr">
        <is>
          <t>Control Union Poland Sp. z o.o., Zielona Gora, PL</t>
        </is>
      </c>
      <c r="D4846" t="inlineStr">
        <is>
          <t>25.04.2027</t>
        </is>
      </c>
      <c r="E4846" t="inlineStr">
        <is>
          <t>Spain</t>
        </is>
      </c>
    </row>
    <row r="4847">
      <c r="A4847" t="inlineStr">
        <is>
          <t>Recogida de Aceites Hersa, S.L. (Rahersa),  Santiago de Cartes (Cantabria), Spain</t>
        </is>
      </c>
      <c r="B4847" t="inlineStr">
        <is>
          <t>Collecting Point, Trader</t>
        </is>
      </c>
      <c r="C4847" t="inlineStr">
        <is>
          <t>Control Union Poland Sp. z o.o., Zielona Gora, PL</t>
        </is>
      </c>
      <c r="D4847" t="inlineStr">
        <is>
          <t>25.04.2027</t>
        </is>
      </c>
      <c r="E4847" t="inlineStr">
        <is>
          <t>Spain</t>
        </is>
      </c>
    </row>
    <row r="4848">
      <c r="A4848" t="inlineStr">
        <is>
          <t>Shandong Prophet Energy Co., LTD,  Binzhou City, Shandong Province, China</t>
        </is>
      </c>
      <c r="B4848" t="inlineStr">
        <is>
          <t>Collecting Point, Trader with Storage, Processing Unit</t>
        </is>
      </c>
      <c r="C4848" t="inlineStr">
        <is>
          <t>SCS Global Services, Emeryville, CA, US</t>
        </is>
      </c>
      <c r="D4848" t="inlineStr">
        <is>
          <t>24.04.2027</t>
        </is>
      </c>
      <c r="E4848" t="inlineStr">
        <is>
          <t>China</t>
        </is>
      </c>
    </row>
    <row r="4849">
      <c r="A4849" t="inlineStr">
        <is>
          <t>Kunak Refinery Sdn. Bhd. ( Kunak Refinery),  Kunak, Malaysia</t>
        </is>
      </c>
      <c r="B4849" t="inlineStr">
        <is>
          <t>Point of Origin, Trader with Storage</t>
        </is>
      </c>
      <c r="C4849" t="inlineStr">
        <is>
          <t>Global Gateway Certifications Sdn Bhd, Ampang, MY</t>
        </is>
      </c>
      <c r="D4849" t="inlineStr">
        <is>
          <t>24.04.2027</t>
        </is>
      </c>
      <c r="E4849" t="inlineStr">
        <is>
          <t>Malaysia</t>
        </is>
      </c>
    </row>
    <row r="4850">
      <c r="A4850" t="inlineStr">
        <is>
          <t>Kasbeer Farmers Elevator Company,  Kasbeer, Illinois, United States</t>
        </is>
      </c>
      <c r="B4850" t="inlineStr">
        <is>
          <t>First Gathering Point</t>
        </is>
      </c>
      <c r="C4850" t="inlineStr">
        <is>
          <t>Control Union Poland Sp. z o.o., Zielona Gora, PL</t>
        </is>
      </c>
      <c r="D4850" t="inlineStr">
        <is>
          <t>24.04.2027</t>
        </is>
      </c>
      <c r="E4850" t="inlineStr">
        <is>
          <t>United States</t>
        </is>
      </c>
    </row>
    <row r="4851">
      <c r="A4851" t="inlineStr">
        <is>
          <t>Kasbeer Farmers Elevator Company,  Kasbeer, Illinois, United States</t>
        </is>
      </c>
      <c r="B4851" t="inlineStr">
        <is>
          <t>First Gathering Point</t>
        </is>
      </c>
      <c r="C4851" t="inlineStr">
        <is>
          <t>Control Union Poland Sp. z o.o., Zielona Gora, PL</t>
        </is>
      </c>
      <c r="D4851" t="inlineStr">
        <is>
          <t>24.04.2027</t>
        </is>
      </c>
      <c r="E4851" t="inlineStr">
        <is>
          <t>United States</t>
        </is>
      </c>
    </row>
    <row r="4852">
      <c r="A4852" t="inlineStr">
        <is>
          <t>PE «SMAIE «EL GAUCHO»,  Ternopil Region, CHORTKIV District,Tovste Town, Ukraine</t>
        </is>
      </c>
      <c r="B4852" t="inlineStr">
        <is>
          <t>Farm / Plantation</t>
        </is>
      </c>
      <c r="C4852" t="inlineStr">
        <is>
          <t>Control Union Certifications Germany GmbH, Berlin, DE</t>
        </is>
      </c>
      <c r="D4852" t="inlineStr">
        <is>
          <t>24.04.2027</t>
        </is>
      </c>
      <c r="E4852" t="inlineStr">
        <is>
          <t>Ukraine</t>
        </is>
      </c>
    </row>
    <row r="4853">
      <c r="A4853" t="inlineStr">
        <is>
          <t>CHINA SHIPPING &amp; SINOPEC SUPPLIERS (HONG KONG)CO., LIMITED,  HK, Hong Kong, SAR, China</t>
        </is>
      </c>
      <c r="B4853" t="inlineStr">
        <is>
          <t>Trader with Storage</t>
        </is>
      </c>
      <c r="C4853" t="inlineStr">
        <is>
          <t>SCS Global Services, Emeryville, CA, US</t>
        </is>
      </c>
      <c r="D4853" t="inlineStr">
        <is>
          <t>24.04.2027</t>
        </is>
      </c>
      <c r="E4853" t="inlineStr">
        <is>
          <t>China</t>
        </is>
      </c>
    </row>
    <row r="4854">
      <c r="A4854" t="inlineStr">
        <is>
          <t>PALMCORE GLOBAL ENTERPRISE,  Mentakab, Malaysia</t>
        </is>
      </c>
      <c r="B4854" t="inlineStr">
        <is>
          <t>Trader</t>
        </is>
      </c>
      <c r="C4854" t="inlineStr">
        <is>
          <t>Global Gateway Certifications Sdn Bhd, Ampang, MY</t>
        </is>
      </c>
      <c r="D4854" t="inlineStr">
        <is>
          <t>24.04.2027</t>
        </is>
      </c>
      <c r="E4854" t="inlineStr">
        <is>
          <t>Malaysia</t>
        </is>
      </c>
    </row>
    <row r="4855">
      <c r="A4855" t="inlineStr">
        <is>
          <t>Sandau Mill Sdn Bhd (Sebrang Mill),  Lahad Datu, Malaysia</t>
        </is>
      </c>
      <c r="B4855" t="inlineStr">
        <is>
          <t>Point of Origin</t>
        </is>
      </c>
      <c r="C4855" t="inlineStr">
        <is>
          <t>Global Gateway Certifications Sdn Bhd, Ampang, MY</t>
        </is>
      </c>
      <c r="D4855" t="inlineStr">
        <is>
          <t>24.04.2027</t>
        </is>
      </c>
      <c r="E4855" t="inlineStr">
        <is>
          <t>Malaysia</t>
        </is>
      </c>
    </row>
    <row r="4856">
      <c r="A4856" t="inlineStr">
        <is>
          <t>Sandau Mill Sdn. Bhd. (Sandau Mill),  Lahad Datu, Malaysia</t>
        </is>
      </c>
      <c r="B4856" t="inlineStr">
        <is>
          <t>Point of Origin</t>
        </is>
      </c>
      <c r="C4856" t="inlineStr">
        <is>
          <t>Global Gateway Certifications Sdn Bhd, Ampang, MY</t>
        </is>
      </c>
      <c r="D4856" t="inlineStr">
        <is>
          <t>24.04.2027</t>
        </is>
      </c>
      <c r="E4856" t="inlineStr">
        <is>
          <t>Malaysia</t>
        </is>
      </c>
    </row>
    <row r="4857">
      <c r="A4857" t="inlineStr">
        <is>
          <t>AST Kunststoffverarbeitung GmbH,  Erndtebrück, Germany</t>
        </is>
      </c>
      <c r="B4857" t="inlineStr">
        <is>
          <t>Processing Unit</t>
        </is>
      </c>
      <c r="C4857" t="inlineStr">
        <is>
          <t>GUT Certifizierungsgesellschaft für Managementsysteme mbH Umweltgutachter, Berlin, DE</t>
        </is>
      </c>
      <c r="D4857" t="inlineStr">
        <is>
          <t>24.04.2027</t>
        </is>
      </c>
      <c r="E4857" t="inlineStr">
        <is>
          <t>Germany</t>
        </is>
      </c>
    </row>
    <row r="4858">
      <c r="A4858" t="inlineStr">
        <is>
          <t>Formplast Purkert,  Králíky, Czech Republic</t>
        </is>
      </c>
      <c r="B4858" t="inlineStr">
        <is>
          <t>Processing Unit</t>
        </is>
      </c>
      <c r="C4858" t="inlineStr">
        <is>
          <t>TÜV SÜD Czech s.r.o., Praha 4, CZ</t>
        </is>
      </c>
      <c r="D4858" t="inlineStr">
        <is>
          <t>24.04.2027</t>
        </is>
      </c>
      <c r="E4858" t="inlineStr">
        <is>
          <t>Czech Republic</t>
        </is>
      </c>
    </row>
    <row r="4859">
      <c r="A4859" t="inlineStr">
        <is>
          <t>Taizhou Chengzhiye Environmental Protection Technology Co., Ltd,  Taizhou City, Jiangsu Province, China</t>
        </is>
      </c>
      <c r="B4859" t="inlineStr">
        <is>
          <t>Collecting Point</t>
        </is>
      </c>
      <c r="C4859" t="inlineStr">
        <is>
          <t>SCS Global Services, Emeryville, CA, US</t>
        </is>
      </c>
      <c r="D4859" t="inlineStr">
        <is>
          <t>24.04.2027</t>
        </is>
      </c>
      <c r="E4859" t="inlineStr">
        <is>
          <t>China</t>
        </is>
      </c>
    </row>
    <row r="4860">
      <c r="A4860" t="inlineStr">
        <is>
          <t>AST Plastic Packaging Benelux bv,  Hoogstraten-Meer, Belgium</t>
        </is>
      </c>
      <c r="B4860" t="inlineStr">
        <is>
          <t>Processing Unit</t>
        </is>
      </c>
      <c r="C4860" t="inlineStr">
        <is>
          <t>GUT Certifizierungsgesellschaft für Managementsysteme mbH Umweltgutachter, Berlin, DE</t>
        </is>
      </c>
      <c r="D4860" t="inlineStr">
        <is>
          <t>24.04.2027</t>
        </is>
      </c>
      <c r="E4860" t="inlineStr">
        <is>
          <t>Belgium</t>
        </is>
      </c>
    </row>
    <row r="4861">
      <c r="A4861" t="inlineStr">
        <is>
          <t>RM Tohcello Inc.,  Ibaraki, Japan</t>
        </is>
      </c>
      <c r="B4861" t="inlineStr">
        <is>
          <t>Processing Unit, Final Product Refinement</t>
        </is>
      </c>
      <c r="C4861" t="inlineStr">
        <is>
          <t>Control Union Certifications Germany GmbH, Berlin, DE</t>
        </is>
      </c>
      <c r="D4861" t="inlineStr">
        <is>
          <t>24.04.2027</t>
        </is>
      </c>
      <c r="E4861" t="inlineStr">
        <is>
          <t>Japan</t>
        </is>
      </c>
    </row>
    <row r="4862">
      <c r="A4862" t="inlineStr">
        <is>
          <t>RM Tohcello Inc.,  Koga-shi, Ibaraki, Japan</t>
        </is>
      </c>
      <c r="B4862" t="inlineStr">
        <is>
          <t>Processing Unit, Final Product Refinement</t>
        </is>
      </c>
      <c r="C4862" t="inlineStr">
        <is>
          <t>Control Union Certifications Germany GmbH, Berlin, DE</t>
        </is>
      </c>
      <c r="D4862" t="inlineStr">
        <is>
          <t>24.04.2027</t>
        </is>
      </c>
      <c r="E4862" t="inlineStr">
        <is>
          <t>Japan</t>
        </is>
      </c>
    </row>
    <row r="4863">
      <c r="A4863" t="inlineStr">
        <is>
          <t>M.A Återvinning Miljö AB,  Västerås, Sweden</t>
        </is>
      </c>
      <c r="B4863" t="inlineStr">
        <is>
          <t>Collecting Point</t>
        </is>
      </c>
      <c r="C4863" t="inlineStr">
        <is>
          <t>DNV Business Assurance Sweden AB, Solna, SE</t>
        </is>
      </c>
      <c r="D4863" t="inlineStr">
        <is>
          <t>24.04.2027</t>
        </is>
      </c>
      <c r="E4863" t="inlineStr">
        <is>
          <t>Sweden</t>
        </is>
      </c>
    </row>
    <row r="4864">
      <c r="A4864" t="inlineStr">
        <is>
          <t>Bakrie Food and Energy,  Kabupaten Batu Bara, Sumatera Utara, Indonesia</t>
        </is>
      </c>
      <c r="B4864" t="inlineStr">
        <is>
          <t>Point of Origin, Processing Unit</t>
        </is>
      </c>
      <c r="C4864" t="inlineStr">
        <is>
          <t>PT Intertek Utama Services, Jakarta, ID</t>
        </is>
      </c>
      <c r="D4864" t="inlineStr">
        <is>
          <t>24.04.2027</t>
        </is>
      </c>
      <c r="E4864" t="inlineStr">
        <is>
          <t>Indonesia</t>
        </is>
      </c>
    </row>
    <row r="4865">
      <c r="A4865" t="inlineStr">
        <is>
          <t>TRIGO Kereskedelmi és Szolgáltató Kft.,  Baja, Hungary</t>
        </is>
      </c>
      <c r="B4865" t="inlineStr">
        <is>
          <t>First Gathering Point, Trader with Storage</t>
        </is>
      </c>
      <c r="C4865" t="inlineStr">
        <is>
          <t>BM Certification, Riga, LV</t>
        </is>
      </c>
      <c r="D4865" t="inlineStr">
        <is>
          <t>24.04.2027</t>
        </is>
      </c>
      <c r="E4865" t="inlineStr">
        <is>
          <t>Hungary</t>
        </is>
      </c>
    </row>
    <row r="4866">
      <c r="A4866" t="inlineStr">
        <is>
          <t>Domas Agrointi Prima,  Kabupaten Batu Bara, Sumatera Utara, Indonesia</t>
        </is>
      </c>
      <c r="B4866" t="inlineStr">
        <is>
          <t>Point of Origin</t>
        </is>
      </c>
      <c r="C4866" t="inlineStr">
        <is>
          <t>PT Intertek Utama Services, Jakarta, ID</t>
        </is>
      </c>
      <c r="D4866" t="inlineStr">
        <is>
          <t>24.04.2027</t>
        </is>
      </c>
      <c r="E4866" t="inlineStr">
        <is>
          <t>Indonesia</t>
        </is>
      </c>
    </row>
    <row r="4867">
      <c r="A4867" t="inlineStr">
        <is>
          <t>Olenex Edible Oils B.V.,  Vondelingenplaat-Rotterdam, Netherlands</t>
        </is>
      </c>
      <c r="B4867" t="inlineStr">
        <is>
          <t>Point of Origin</t>
        </is>
      </c>
      <c r="C4867" t="inlineStr">
        <is>
          <t>ASG Cert GmbH, Munich, DE</t>
        </is>
      </c>
      <c r="D4867" t="inlineStr">
        <is>
          <t>24.04.2027</t>
        </is>
      </c>
      <c r="E4867" t="inlineStr">
        <is>
          <t>Netherlands</t>
        </is>
      </c>
    </row>
    <row r="4868">
      <c r="A4868" t="inlineStr">
        <is>
          <t>MEP Europe GmbH,  Dusseldorf, Germany</t>
        </is>
      </c>
      <c r="B4868" t="inlineStr">
        <is>
          <t>Trader with Storage</t>
        </is>
      </c>
      <c r="C4868" t="inlineStr">
        <is>
          <t>SCS Global Services, Emeryville, CA, US</t>
        </is>
      </c>
      <c r="D4868" t="inlineStr">
        <is>
          <t>24.04.2027</t>
        </is>
      </c>
      <c r="E4868" t="inlineStr">
        <is>
          <t>Germany</t>
        </is>
      </c>
    </row>
    <row r="4869">
      <c r="A4869" t="inlineStr">
        <is>
          <t>Macquarie Commodities Trading SA,  Geneva, Switzerland</t>
        </is>
      </c>
      <c r="B4869" t="inlineStr">
        <is>
          <t>Trader</t>
        </is>
      </c>
      <c r="C4869" t="inlineStr">
        <is>
          <t>Normec QS BV, Ede, NL</t>
        </is>
      </c>
      <c r="D4869" t="inlineStr">
        <is>
          <t>24.04.2027</t>
        </is>
      </c>
      <c r="E4869" t="inlineStr">
        <is>
          <t>Switzerland</t>
        </is>
      </c>
    </row>
    <row r="4870">
      <c r="A4870" t="inlineStr">
        <is>
          <t>Tianjin Defeng Lisheng Solid Waste Treatment Co., Ltd.,  Tianjin, China</t>
        </is>
      </c>
      <c r="B4870" t="inlineStr">
        <is>
          <t>Collecting Point, Processing Unit</t>
        </is>
      </c>
      <c r="C4870" t="inlineStr">
        <is>
          <t>SCS Global Services, Emeryville, CA, US</t>
        </is>
      </c>
      <c r="D4870" t="inlineStr">
        <is>
          <t>24.04.2027</t>
        </is>
      </c>
      <c r="E4870" t="inlineStr">
        <is>
          <t>China</t>
        </is>
      </c>
    </row>
    <row r="4871">
      <c r="A4871" t="inlineStr">
        <is>
          <t>ETEKA S.A.,  Perama, Greece</t>
        </is>
      </c>
      <c r="B4871" t="inlineStr">
        <is>
          <t>Trader</t>
        </is>
      </c>
      <c r="C4871" t="inlineStr">
        <is>
          <t>QMSCERT S.A., Pylaia, Thessaloniki, GR</t>
        </is>
      </c>
      <c r="D4871" t="inlineStr">
        <is>
          <t>24.04.2027</t>
        </is>
      </c>
      <c r="E4871" t="inlineStr">
        <is>
          <t>Greece</t>
        </is>
      </c>
    </row>
    <row r="4872">
      <c r="A4872" t="inlineStr">
        <is>
          <t>Shanghai Push Industrial Co., Ltd.,  Shanghai, China</t>
        </is>
      </c>
      <c r="B4872" t="inlineStr">
        <is>
          <t>Trader</t>
        </is>
      </c>
      <c r="C4872" t="inlineStr">
        <is>
          <t>China Quality Certification Centre Co., Ltd., Beijing, CN</t>
        </is>
      </c>
      <c r="D4872" t="inlineStr">
        <is>
          <t>24.04.2027</t>
        </is>
      </c>
      <c r="E4872" t="inlineStr">
        <is>
          <t>China</t>
        </is>
      </c>
    </row>
    <row r="4873">
      <c r="A4873" t="inlineStr">
        <is>
          <t>PT Techpack Asia,  Demak, Indonesia</t>
        </is>
      </c>
      <c r="B4873" t="inlineStr">
        <is>
          <t>Processing Unit</t>
        </is>
      </c>
      <c r="C4873" t="inlineStr">
        <is>
          <t>PT Intertek Utama Services, Jakarta, ID</t>
        </is>
      </c>
      <c r="D4873" t="inlineStr">
        <is>
          <t>24.04.2027</t>
        </is>
      </c>
      <c r="E4873" t="inlineStr">
        <is>
          <t>Indonesia</t>
        </is>
      </c>
    </row>
    <row r="4874">
      <c r="A4874" t="inlineStr">
        <is>
          <t>Syarikat Pukin Ladang Kelapa Sawit Sdn Bhd,  Keratong, Pahang, Malaysia</t>
        </is>
      </c>
      <c r="B4874" t="inlineStr">
        <is>
          <t>Point of Origin</t>
        </is>
      </c>
      <c r="C4874" t="inlineStr">
        <is>
          <t>PT Intertek Utama Services, Jakarta, ID</t>
        </is>
      </c>
      <c r="D4874" t="inlineStr">
        <is>
          <t>24.04.2027</t>
        </is>
      </c>
      <c r="E4874" t="inlineStr">
        <is>
          <t>Malaysia</t>
        </is>
      </c>
    </row>
    <row r="4875">
      <c r="A4875" t="inlineStr">
        <is>
          <t>KL-Kepong Oleomas Sdn. Bhd.,  Pelabuhan Klang, Selangor, Malaysia</t>
        </is>
      </c>
      <c r="B4875" t="inlineStr">
        <is>
          <t>Point of Origin, Processing Unit, Trader with Storage</t>
        </is>
      </c>
      <c r="C4875" t="inlineStr">
        <is>
          <t>PT Intertek Utama Services, Jakarta, ID</t>
        </is>
      </c>
      <c r="D4875" t="inlineStr">
        <is>
          <t>24.04.2027</t>
        </is>
      </c>
      <c r="E4875" t="inlineStr">
        <is>
          <t>Malaysia</t>
        </is>
      </c>
    </row>
    <row r="4876">
      <c r="A4876" t="inlineStr">
        <is>
          <t>YOPLAIT Production France,  Le Mans, France</t>
        </is>
      </c>
      <c r="B4876" t="inlineStr">
        <is>
          <t>Final Product Refinement, Processing Unit</t>
        </is>
      </c>
      <c r="C4876" t="inlineStr">
        <is>
          <t>SGS Germany GmbH, Emstek, DE</t>
        </is>
      </c>
      <c r="D4876" t="inlineStr">
        <is>
          <t>24.04.2027</t>
        </is>
      </c>
      <c r="E4876" t="inlineStr">
        <is>
          <t>France</t>
        </is>
      </c>
    </row>
    <row r="4877">
      <c r="A4877" t="inlineStr">
        <is>
          <t>AST Kunststoffverarbeitung GmbH,  Erndtebrück, Germany</t>
        </is>
      </c>
      <c r="B4877" t="inlineStr">
        <is>
          <t>Processing Unit</t>
        </is>
      </c>
      <c r="C4877" t="inlineStr">
        <is>
          <t>GUT Certifizierungsgesellschaft für Managementsysteme mbH Umweltgutachter, Berlin, DE</t>
        </is>
      </c>
      <c r="D4877" t="inlineStr">
        <is>
          <t>24.04.2027</t>
        </is>
      </c>
      <c r="E4877" t="inlineStr">
        <is>
          <t>Germany</t>
        </is>
      </c>
    </row>
    <row r="4878">
      <c r="A4878" t="inlineStr">
        <is>
          <t>DYNACHEM (SHANGHAI) LTD.,  Shanghai, China</t>
        </is>
      </c>
      <c r="B4878" t="inlineStr">
        <is>
          <t>Processing Unit</t>
        </is>
      </c>
      <c r="C4878" t="inlineStr">
        <is>
          <t>SGS Germany GmbH, Emstek, DE</t>
        </is>
      </c>
      <c r="D4878" t="inlineStr">
        <is>
          <t>24.04.2027</t>
        </is>
      </c>
      <c r="E4878" t="inlineStr">
        <is>
          <t>China</t>
        </is>
      </c>
    </row>
    <row r="4879">
      <c r="A4879" t="inlineStr">
        <is>
          <t>Ikoma Chemical Products Co., Ltd.,  Chikusei, Ibaraki, Japan</t>
        </is>
      </c>
      <c r="B4879" t="inlineStr">
        <is>
          <t>Final Product Refinement, Processing Unit</t>
        </is>
      </c>
      <c r="C4879" t="inlineStr">
        <is>
          <t>SGS Germany GmbH, Emstek, DE</t>
        </is>
      </c>
      <c r="D4879" t="inlineStr">
        <is>
          <t>24.04.2027</t>
        </is>
      </c>
      <c r="E4879" t="inlineStr">
        <is>
          <t>Japan</t>
        </is>
      </c>
    </row>
    <row r="4880">
      <c r="A4880" t="inlineStr">
        <is>
          <t>Ikoma Chemical Products Co.,Ltd.,  Totsuka Ward, Yokohama, Kanagawa, Japan</t>
        </is>
      </c>
      <c r="B4880" t="inlineStr">
        <is>
          <t>Trader with Storage</t>
        </is>
      </c>
      <c r="C4880" t="inlineStr">
        <is>
          <t>SGS Germany GmbH, Emstek, DE</t>
        </is>
      </c>
      <c r="D4880" t="inlineStr">
        <is>
          <t>24.04.2027</t>
        </is>
      </c>
      <c r="E4880" t="inlineStr">
        <is>
          <t>Japan</t>
        </is>
      </c>
    </row>
    <row r="4881">
      <c r="A4881" t="inlineStr">
        <is>
          <t>SLOVNAFT, a.s.,  Bratislava, Slovakia</t>
        </is>
      </c>
      <c r="B4881" t="inlineStr">
        <is>
          <t>ETBE plant, Logistics Center, Processing Unit, Proof of Compliance Trader, Trader with Storage</t>
        </is>
      </c>
      <c r="C4881" t="inlineStr">
        <is>
          <t>SGS Germany GmbH, Emstek, DE</t>
        </is>
      </c>
      <c r="D4881" t="inlineStr">
        <is>
          <t>24.04.2027</t>
        </is>
      </c>
      <c r="E4881" t="inlineStr">
        <is>
          <t>Slovakia</t>
        </is>
      </c>
    </row>
    <row r="4882">
      <c r="A4882" t="inlineStr">
        <is>
          <t>MEDARA TRADING,  Amsterdam, Netherlands</t>
        </is>
      </c>
      <c r="B4882" t="inlineStr">
        <is>
          <t>Trader</t>
        </is>
      </c>
      <c r="C4882" t="inlineStr">
        <is>
          <t>SGS Germany GmbH, Emstek, DE</t>
        </is>
      </c>
      <c r="D4882" t="inlineStr">
        <is>
          <t>24.04.2027</t>
        </is>
      </c>
      <c r="E4882" t="inlineStr">
        <is>
          <t>Netherlands</t>
        </is>
      </c>
    </row>
    <row r="4883">
      <c r="A4883" t="inlineStr">
        <is>
          <t>Ikoma Chemical Products Co., Ltd.,  Kikugawa, Shizuoka, Japan</t>
        </is>
      </c>
      <c r="B4883" t="inlineStr">
        <is>
          <t>Processing Unit</t>
        </is>
      </c>
      <c r="C4883" t="inlineStr">
        <is>
          <t>SGS Germany GmbH, Emstek, DE</t>
        </is>
      </c>
      <c r="D4883" t="inlineStr">
        <is>
          <t>24.04.2027</t>
        </is>
      </c>
      <c r="E4883" t="inlineStr">
        <is>
          <t>Japan</t>
        </is>
      </c>
    </row>
    <row r="4884">
      <c r="A4884" t="inlineStr">
        <is>
          <t>Palmkis Sdn Bhd,  Shah Alam, Malaysia</t>
        </is>
      </c>
      <c r="B4884" t="inlineStr">
        <is>
          <t>Collecting Point, Trader</t>
        </is>
      </c>
      <c r="C4884" t="inlineStr">
        <is>
          <t>Global Gateway Certifications Sdn Bhd, Ampang, MY</t>
        </is>
      </c>
      <c r="D4884" t="inlineStr">
        <is>
          <t>24.04.2027</t>
        </is>
      </c>
      <c r="E4884" t="inlineStr">
        <is>
          <t>Malaysia</t>
        </is>
      </c>
    </row>
    <row r="4885">
      <c r="A4885" t="inlineStr">
        <is>
          <t>Tropical Achievement Sdn Bhd,  Pelabuhan Klang, Selangor, Malaysia</t>
        </is>
      </c>
      <c r="B4885" t="inlineStr">
        <is>
          <t>Trader with Storage</t>
        </is>
      </c>
      <c r="C4885" t="inlineStr">
        <is>
          <t>Trans Certification and Inspection Sdn Bhd, Kuantan, MY</t>
        </is>
      </c>
      <c r="D4885" t="inlineStr">
        <is>
          <t>24.04.2027</t>
        </is>
      </c>
      <c r="E4885" t="inlineStr">
        <is>
          <t>Malaysia</t>
        </is>
      </c>
    </row>
    <row r="4886">
      <c r="A4886" t="inlineStr">
        <is>
          <t>L. J. Linen SIA,  Riga, Latvia</t>
        </is>
      </c>
      <c r="B4886" t="inlineStr">
        <is>
          <t>Trader</t>
        </is>
      </c>
      <c r="C4886" t="inlineStr">
        <is>
          <t>SGS Germany GmbH, Emstek, DE</t>
        </is>
      </c>
      <c r="D4886" t="inlineStr">
        <is>
          <t>24.04.2027</t>
        </is>
      </c>
      <c r="E4886" t="inlineStr">
        <is>
          <t>Latvia</t>
        </is>
      </c>
    </row>
    <row r="4887">
      <c r="A4887" t="inlineStr">
        <is>
          <t>DELTASACS,  PONT EVEQUE, France</t>
        </is>
      </c>
      <c r="B4887" t="inlineStr">
        <is>
          <t>Final Product Refinement, Processing Unit</t>
        </is>
      </c>
      <c r="C4887" t="inlineStr">
        <is>
          <t>Bureau Veritas Polska Sp. z o.o., Warsaw, PL</t>
        </is>
      </c>
      <c r="D4887" t="inlineStr">
        <is>
          <t>24.04.2027</t>
        </is>
      </c>
      <c r="E4887" t="inlineStr">
        <is>
          <t>France</t>
        </is>
      </c>
    </row>
    <row r="4888">
      <c r="A4888" t="inlineStr">
        <is>
          <t>AST Recycling &amp; Rekonditionierung GmbH &amp; Co. KG,  Hilchenbach-Lützel, Germany</t>
        </is>
      </c>
      <c r="B4888" t="inlineStr">
        <is>
          <t>Collecting Point, Processing Unit</t>
        </is>
      </c>
      <c r="C4888" t="inlineStr">
        <is>
          <t>GUT Certifizierungsgesellschaft für Managementsysteme mbH Umweltgutachter, Berlin, DE</t>
        </is>
      </c>
      <c r="D4888" t="inlineStr">
        <is>
          <t>24.04.2027</t>
        </is>
      </c>
      <c r="E4888" t="inlineStr">
        <is>
          <t>Germany</t>
        </is>
      </c>
    </row>
    <row r="4889">
      <c r="A4889" t="inlineStr">
        <is>
          <t>Renewable Environment Company,  Alexandria, Egypt</t>
        </is>
      </c>
      <c r="B4889" t="inlineStr">
        <is>
          <t>Collecting Point, Processing Unit</t>
        </is>
      </c>
      <c r="C4889" t="inlineStr">
        <is>
          <t>Eurocert SA, Metamorfosi, Athens, GR</t>
        </is>
      </c>
      <c r="D4889" t="inlineStr">
        <is>
          <t>24.04.2027</t>
        </is>
      </c>
      <c r="E4889" t="inlineStr">
        <is>
          <t>Egypt</t>
        </is>
      </c>
    </row>
    <row r="4890">
      <c r="A4890" t="inlineStr">
        <is>
          <t>Sublette Farmers Elevator Company,  Sublette, Illinois, United States</t>
        </is>
      </c>
      <c r="B4890" t="inlineStr">
        <is>
          <t>First Gathering Point</t>
        </is>
      </c>
      <c r="C4890" t="inlineStr">
        <is>
          <t>Control Union Poland Sp. z o.o., Zielona Gora, PL</t>
        </is>
      </c>
      <c r="D4890" t="inlineStr">
        <is>
          <t>24.04.2027</t>
        </is>
      </c>
      <c r="E4890" t="inlineStr">
        <is>
          <t>United States</t>
        </is>
      </c>
    </row>
    <row r="4891">
      <c r="A4891" t="inlineStr">
        <is>
          <t>Sublette Farmers Elevator Company,  Sublette, Illinois, United States</t>
        </is>
      </c>
      <c r="B4891" t="inlineStr">
        <is>
          <t>First Gathering Point</t>
        </is>
      </c>
      <c r="C4891" t="inlineStr">
        <is>
          <t>Control Union Poland Sp. z o.o., Zielona Gora, PL</t>
        </is>
      </c>
      <c r="D4891" t="inlineStr">
        <is>
          <t>24.04.2027</t>
        </is>
      </c>
      <c r="E4891" t="inlineStr">
        <is>
          <t>United States</t>
        </is>
      </c>
    </row>
    <row r="4892">
      <c r="A4892" t="inlineStr">
        <is>
          <t>Eleung Ltd,  Hong Kong, China</t>
        </is>
      </c>
      <c r="B4892" t="inlineStr">
        <is>
          <t>Trader</t>
        </is>
      </c>
      <c r="C4892" t="inlineStr">
        <is>
          <t>China Quality Certification Centre Co., Ltd., Beijing, CN</t>
        </is>
      </c>
      <c r="D4892" t="inlineStr">
        <is>
          <t>24.04.2027</t>
        </is>
      </c>
      <c r="E4892" t="inlineStr">
        <is>
          <t>China</t>
        </is>
      </c>
    </row>
    <row r="4893">
      <c r="A4893" t="inlineStr">
        <is>
          <t>FAST BENEFIT INVESTMENT LIMITED,  HONG KONG, Hong Kong</t>
        </is>
      </c>
      <c r="B4893" t="inlineStr">
        <is>
          <t>Trader</t>
        </is>
      </c>
      <c r="C4893" t="inlineStr">
        <is>
          <t>China Quality Certification Centre Co., Ltd., Beijing, CN</t>
        </is>
      </c>
      <c r="D4893" t="inlineStr">
        <is>
          <t>24.04.2027</t>
        </is>
      </c>
      <c r="E4893" t="inlineStr">
        <is>
          <t>Hong Kong</t>
        </is>
      </c>
    </row>
    <row r="4894">
      <c r="A4894" t="inlineStr">
        <is>
          <t>FincoEnergies - Road Wholesale B.V.,  Rotterdam, Netherlands</t>
        </is>
      </c>
      <c r="B4894" t="inlineStr">
        <is>
          <t>Trader, Proof of Compliance Trader</t>
        </is>
      </c>
      <c r="C4894" t="inlineStr">
        <is>
          <t>Control Union Certifications Germany GmbH, Berlin, DE</t>
        </is>
      </c>
      <c r="D4894" t="inlineStr">
        <is>
          <t>23.04.2027</t>
        </is>
      </c>
      <c r="E4894" t="inlineStr">
        <is>
          <t>Netherlands</t>
        </is>
      </c>
    </row>
    <row r="4895">
      <c r="A4895" t="inlineStr">
        <is>
          <t>RC-IVY OPC,  Navotas City, Manila, Philippines</t>
        </is>
      </c>
      <c r="B4895" t="inlineStr">
        <is>
          <t>Collecting Point, Trader with Storage</t>
        </is>
      </c>
      <c r="C4895" t="inlineStr">
        <is>
          <t>Control Union Certifications Germany GmbH, Berlin, DE</t>
        </is>
      </c>
      <c r="D4895" t="inlineStr">
        <is>
          <t>23.04.2027</t>
        </is>
      </c>
      <c r="E4895" t="inlineStr">
        <is>
          <t>Philippines</t>
        </is>
      </c>
    </row>
    <row r="4896">
      <c r="A4896" t="inlineStr">
        <is>
          <t>Nanjing Kangxincheng Biotechnology Co.,Ltd,  Nanjing, China</t>
        </is>
      </c>
      <c r="B4896" t="inlineStr">
        <is>
          <t>Trader</t>
        </is>
      </c>
      <c r="C4896" t="inlineStr">
        <is>
          <t>RINA Services S.p.A., Genova, IT</t>
        </is>
      </c>
      <c r="D4896" t="inlineStr">
        <is>
          <t>23.04.2027</t>
        </is>
      </c>
      <c r="E4896" t="inlineStr">
        <is>
          <t>China</t>
        </is>
      </c>
    </row>
    <row r="4897">
      <c r="A4897" t="inlineStr">
        <is>
          <t>Captured Carbon,  Malahide, Dublin, Ireland</t>
        </is>
      </c>
      <c r="B4897" t="inlineStr">
        <is>
          <t>Trader</t>
        </is>
      </c>
      <c r="C4897" t="inlineStr">
        <is>
          <t>Double Helix Tracking Technologies Pte Ltd, Singapore, SG</t>
        </is>
      </c>
      <c r="D4897" t="inlineStr">
        <is>
          <t>23.04.2027</t>
        </is>
      </c>
      <c r="E4897" t="inlineStr">
        <is>
          <t>Ireland</t>
        </is>
      </c>
    </row>
    <row r="4898">
      <c r="A4898" t="inlineStr">
        <is>
          <t>Ecofrost SA,  Peruwelz, Belgium</t>
        </is>
      </c>
      <c r="B4898" t="inlineStr">
        <is>
          <t>Point of Origin, Processing Unit</t>
        </is>
      </c>
      <c r="C4898" t="inlineStr">
        <is>
          <t>Control Union Certifications Germany GmbH, Berlin, DE</t>
        </is>
      </c>
      <c r="D4898" t="inlineStr">
        <is>
          <t>23.04.2027</t>
        </is>
      </c>
      <c r="E4898" t="inlineStr">
        <is>
          <t>Belgium</t>
        </is>
      </c>
    </row>
    <row r="4899">
      <c r="A4899" t="inlineStr">
        <is>
          <t>SD Guthrie Berhad,  Sri Rusa, Port Dickson, Negeri Sembilan, Malaysia</t>
        </is>
      </c>
      <c r="B4899" t="inlineStr">
        <is>
          <t>Point of Origin</t>
        </is>
      </c>
      <c r="C4899" t="inlineStr">
        <is>
          <t>Control Union Certifications Germany GmbH, Berlin, DE</t>
        </is>
      </c>
      <c r="D4899" t="inlineStr">
        <is>
          <t>23.04.2027</t>
        </is>
      </c>
      <c r="E4899" t="inlineStr">
        <is>
          <t>Malaysia</t>
        </is>
      </c>
    </row>
    <row r="4900">
      <c r="A4900" t="inlineStr">
        <is>
          <t>Pirelli Tyre Spa,  Settimo Torinese (Torino), Italy</t>
        </is>
      </c>
      <c r="B4900" t="inlineStr">
        <is>
          <t>Processing Unit, Trader with Storage</t>
        </is>
      </c>
      <c r="C4900" t="inlineStr">
        <is>
          <t>RINA Services S.p.A., Genova, IT</t>
        </is>
      </c>
      <c r="D4900" t="inlineStr">
        <is>
          <t>23.04.2027</t>
        </is>
      </c>
      <c r="E4900" t="inlineStr">
        <is>
          <t>Italy</t>
        </is>
      </c>
    </row>
    <row r="4901">
      <c r="A4901" t="inlineStr">
        <is>
          <t>SD Guthrie Berhad,  Port Dickson, Malaysia</t>
        </is>
      </c>
      <c r="B4901" t="inlineStr">
        <is>
          <t>Point of Origin</t>
        </is>
      </c>
      <c r="C4901" t="inlineStr">
        <is>
          <t>Control Union Certifications Germany GmbH, Berlin, DE</t>
        </is>
      </c>
      <c r="D4901" t="inlineStr">
        <is>
          <t>23.04.2027</t>
        </is>
      </c>
      <c r="E4901" t="inlineStr">
        <is>
          <t>Malaysia</t>
        </is>
      </c>
    </row>
    <row r="4902">
      <c r="A4902" t="inlineStr">
        <is>
          <t>RWA Slovakia, spol. s r.o.,  Bratislava, Slovakia</t>
        </is>
      </c>
      <c r="B4902" t="inlineStr">
        <is>
          <t>First Gathering Point, Logistics Center, Trader with Storage</t>
        </is>
      </c>
      <c r="C4902" t="inlineStr">
        <is>
          <t>Bureau Veritas Polska Sp. z o.o., Warsaw, PL</t>
        </is>
      </c>
      <c r="D4902" t="inlineStr">
        <is>
          <t>23.04.2027</t>
        </is>
      </c>
      <c r="E4902" t="inlineStr">
        <is>
          <t>Slovakia</t>
        </is>
      </c>
    </row>
    <row r="4903">
      <c r="A4903" t="inlineStr">
        <is>
          <t>SD Guthrie Berhad,  Jasin, Malaysia</t>
        </is>
      </c>
      <c r="B4903" t="inlineStr">
        <is>
          <t>Point of Origin</t>
        </is>
      </c>
      <c r="C4903" t="inlineStr">
        <is>
          <t>Control Union Certifications Germany GmbH, Berlin, DE</t>
        </is>
      </c>
      <c r="D4903" t="inlineStr">
        <is>
          <t>23.04.2027</t>
        </is>
      </c>
      <c r="E4903" t="inlineStr">
        <is>
          <t>Malaysia</t>
        </is>
      </c>
    </row>
    <row r="4904">
      <c r="A4904" t="inlineStr">
        <is>
          <t>GUANGZHOU NANSHA HONGDA STORAGE CO. , LTD,  Guangzhou, Guangdong, China</t>
        </is>
      </c>
      <c r="B4904" t="inlineStr">
        <is>
          <t>Warehouse</t>
        </is>
      </c>
      <c r="C4904" t="inlineStr">
        <is>
          <t>China Standard Conformity Assessment Co. Ltd, Beijing, CN</t>
        </is>
      </c>
      <c r="D4904" t="inlineStr">
        <is>
          <t>23.04.2027</t>
        </is>
      </c>
      <c r="E4904" t="inlineStr">
        <is>
          <t>China</t>
        </is>
      </c>
    </row>
    <row r="4905">
      <c r="A4905" t="inlineStr">
        <is>
          <t>SD Guthrie Berhad,  Jasin, Melaka, Malaysia</t>
        </is>
      </c>
      <c r="B4905" t="inlineStr">
        <is>
          <t>Point of Origin</t>
        </is>
      </c>
      <c r="C4905" t="inlineStr">
        <is>
          <t>Control Union Certifications Germany GmbH, Berlin, DE</t>
        </is>
      </c>
      <c r="D4905" t="inlineStr">
        <is>
          <t>23.04.2027</t>
        </is>
      </c>
      <c r="E4905" t="inlineStr">
        <is>
          <t>Malaysia</t>
        </is>
      </c>
    </row>
    <row r="4906">
      <c r="A4906" t="inlineStr">
        <is>
          <t>SD Guthrie Berhad,  Bintulu, Sarawak, Malaysia</t>
        </is>
      </c>
      <c r="B4906" t="inlineStr">
        <is>
          <t>Point of Origin</t>
        </is>
      </c>
      <c r="C4906" t="inlineStr">
        <is>
          <t>Control Union Certifications Germany GmbH, Berlin, DE</t>
        </is>
      </c>
      <c r="D4906" t="inlineStr">
        <is>
          <t>23.04.2027</t>
        </is>
      </c>
      <c r="E4906" t="inlineStr">
        <is>
          <t>Malaysia</t>
        </is>
      </c>
    </row>
    <row r="4907">
      <c r="A4907" t="inlineStr">
        <is>
          <t>SD Guthrie Berhad,  Muar, Johor, Malaysia</t>
        </is>
      </c>
      <c r="B4907" t="inlineStr">
        <is>
          <t>Point of Origin</t>
        </is>
      </c>
      <c r="C4907" t="inlineStr">
        <is>
          <t>Control Union Certifications Germany GmbH, Berlin, DE</t>
        </is>
      </c>
      <c r="D4907" t="inlineStr">
        <is>
          <t>23.04.2027</t>
        </is>
      </c>
      <c r="E4907" t="inlineStr">
        <is>
          <t>Malaysia</t>
        </is>
      </c>
    </row>
    <row r="4908">
      <c r="A4908" t="inlineStr">
        <is>
          <t>AIKEN,  ROVERETO, Italy</t>
        </is>
      </c>
      <c r="B4908" t="inlineStr">
        <is>
          <t>Processing Unit</t>
        </is>
      </c>
      <c r="C4908" t="inlineStr">
        <is>
          <t>DNV Business Assurance Sweden AB, Solna, SE</t>
        </is>
      </c>
      <c r="D4908" t="inlineStr">
        <is>
          <t>23.04.2027</t>
        </is>
      </c>
      <c r="E4908" t="inlineStr">
        <is>
          <t>Italy</t>
        </is>
      </c>
    </row>
    <row r="4909">
      <c r="A4909" t="inlineStr">
        <is>
          <t>Krailling Oils Development,  Krailling, Germany</t>
        </is>
      </c>
      <c r="B4909" t="inlineStr">
        <is>
          <t>Trader with Storage, Warehouse</t>
        </is>
      </c>
      <c r="C4909" t="inlineStr">
        <is>
          <t>ASG Cert GmbH, Munich, DE</t>
        </is>
      </c>
      <c r="D4909" t="inlineStr">
        <is>
          <t>23.04.2027</t>
        </is>
      </c>
      <c r="E4909" t="inlineStr">
        <is>
          <t>Germany</t>
        </is>
      </c>
    </row>
    <row r="4910">
      <c r="A4910" t="inlineStr">
        <is>
          <t>SD Guthrie Berhad,  Bintulu, Sarawak, Malaysia</t>
        </is>
      </c>
      <c r="B4910" t="inlineStr">
        <is>
          <t>Point of Origin</t>
        </is>
      </c>
      <c r="C4910" t="inlineStr">
        <is>
          <t>Control Union Certifications Germany GmbH, Berlin, DE</t>
        </is>
      </c>
      <c r="D4910" t="inlineStr">
        <is>
          <t>23.04.2027</t>
        </is>
      </c>
      <c r="E4910" t="inlineStr">
        <is>
          <t>Malaysia</t>
        </is>
      </c>
    </row>
    <row r="4911">
      <c r="A4911" t="inlineStr">
        <is>
          <t>Kinoshita Friend,  Saitama, Japan</t>
        </is>
      </c>
      <c r="B4911" t="inlineStr">
        <is>
          <t>Collecting Point, Processing Unit, Trader with Storage</t>
        </is>
      </c>
      <c r="C4911" t="inlineStr">
        <is>
          <t>Control Union Certifications Germany GmbH, Berlin, DE</t>
        </is>
      </c>
      <c r="D4911" t="inlineStr">
        <is>
          <t>23.04.2027</t>
        </is>
      </c>
      <c r="E4911" t="inlineStr">
        <is>
          <t>Japan</t>
        </is>
      </c>
    </row>
    <row r="4912">
      <c r="A4912" t="inlineStr">
        <is>
          <t>PetroChina International (Hong Kong) Corporation Limited,  Hong Kong, Hong Kong, SAR, China</t>
        </is>
      </c>
      <c r="B4912" t="inlineStr">
        <is>
          <t>Trader</t>
        </is>
      </c>
      <c r="C4912" t="inlineStr">
        <is>
          <t>SCS Global Services, Emeryville, CA, US</t>
        </is>
      </c>
      <c r="D4912" t="inlineStr">
        <is>
          <t>23.04.2027</t>
        </is>
      </c>
      <c r="E4912" t="inlineStr">
        <is>
          <t>China</t>
        </is>
      </c>
    </row>
    <row r="4913">
      <c r="A4913" t="inlineStr">
        <is>
          <t>Topwin Enterprise (HK) Limited,  Chai Wan, Hong Kong</t>
        </is>
      </c>
      <c r="B4913" t="inlineStr">
        <is>
          <t>Trader</t>
        </is>
      </c>
      <c r="C4913" t="inlineStr">
        <is>
          <t>DIN CERTCO GmbH, Berlin, DE</t>
        </is>
      </c>
      <c r="D4913" t="inlineStr">
        <is>
          <t>23.04.2027</t>
        </is>
      </c>
      <c r="E4913" t="inlineStr">
        <is>
          <t>Hong Kong</t>
        </is>
      </c>
    </row>
    <row r="4914">
      <c r="A4914" t="inlineStr">
        <is>
          <t>Derby industries PTY LTD Trading as Talloman,  Hazelmere, WA, Australia</t>
        </is>
      </c>
      <c r="B4914" t="inlineStr">
        <is>
          <t>Point of Origin</t>
        </is>
      </c>
      <c r="C4914" t="inlineStr">
        <is>
          <t>Control Union Certifications Germany GmbH, Berlin, DE</t>
        </is>
      </c>
      <c r="D4914" t="inlineStr">
        <is>
          <t>23.04.2027</t>
        </is>
      </c>
      <c r="E4914" t="inlineStr">
        <is>
          <t>Australia</t>
        </is>
      </c>
    </row>
    <row r="4915">
      <c r="A4915" t="inlineStr">
        <is>
          <t>Derby industries PTY LTD Trading as Talloman,  Hazelmere, WA, Australia</t>
        </is>
      </c>
      <c r="B4915" t="inlineStr">
        <is>
          <t>Point of Origin</t>
        </is>
      </c>
      <c r="C4915" t="inlineStr">
        <is>
          <t>Control Union Certifications Germany GmbH, Berlin, DE</t>
        </is>
      </c>
      <c r="D4915" t="inlineStr">
        <is>
          <t>23.04.2027</t>
        </is>
      </c>
      <c r="E4915" t="inlineStr">
        <is>
          <t>Australia</t>
        </is>
      </c>
    </row>
    <row r="4916">
      <c r="A4916" t="inlineStr">
        <is>
          <t>Derby industries PTY LTD Trading as Talloman,  Hazelmere, WA, Australia</t>
        </is>
      </c>
      <c r="B4916" t="inlineStr">
        <is>
          <t>Point of Origin</t>
        </is>
      </c>
      <c r="C4916" t="inlineStr">
        <is>
          <t>Control Union Certifications Germany GmbH, Berlin, DE</t>
        </is>
      </c>
      <c r="D4916" t="inlineStr">
        <is>
          <t>23.04.2027</t>
        </is>
      </c>
      <c r="E4916" t="inlineStr">
        <is>
          <t>Australia</t>
        </is>
      </c>
    </row>
    <row r="4917">
      <c r="A4917" t="inlineStr">
        <is>
          <t>Dunkerque LNG,  LOON-PLAGE, France</t>
        </is>
      </c>
      <c r="B4917" t="inlineStr">
        <is>
          <t>Processing Unit</t>
        </is>
      </c>
      <c r="C4917" t="inlineStr">
        <is>
          <t>Normec QS BV, Ede, NL</t>
        </is>
      </c>
      <c r="D4917" t="inlineStr">
        <is>
          <t>23.04.2027</t>
        </is>
      </c>
      <c r="E4917" t="inlineStr">
        <is>
          <t>France</t>
        </is>
      </c>
    </row>
    <row r="4918">
      <c r="A4918" t="inlineStr">
        <is>
          <t>SC VIGRAINS SRL,  CONSTANTA, Romania</t>
        </is>
      </c>
      <c r="B4918" t="inlineStr">
        <is>
          <t>First Gathering Point, Trader with Storage</t>
        </is>
      </c>
      <c r="C4918" t="inlineStr">
        <is>
          <t>Control Union Certifications Germany GmbH, Berlin, DE</t>
        </is>
      </c>
      <c r="D4918" t="inlineStr">
        <is>
          <t>23.04.2027</t>
        </is>
      </c>
      <c r="E4918" t="inlineStr">
        <is>
          <t>Romania</t>
        </is>
      </c>
    </row>
    <row r="4919">
      <c r="A4919" t="inlineStr">
        <is>
          <t>ADW AGRO, a.s.,  Okříšky, Czech Republic</t>
        </is>
      </c>
      <c r="B4919" t="inlineStr">
        <is>
          <t>First Gathering Point, Trader with Storage</t>
        </is>
      </c>
      <c r="C4919" t="inlineStr">
        <is>
          <t>Bureau Veritas Polska Sp. z o.o., Warsaw, PL</t>
        </is>
      </c>
      <c r="D4919" t="inlineStr">
        <is>
          <t>23.04.2027</t>
        </is>
      </c>
      <c r="E4919" t="inlineStr">
        <is>
          <t>Czech Republic</t>
        </is>
      </c>
    </row>
    <row r="4920">
      <c r="A4920" t="inlineStr">
        <is>
          <t>TotalEnergies Marketing France,  Nanterre, France</t>
        </is>
      </c>
      <c r="B4920" t="inlineStr">
        <is>
          <t>Proof of Compliance Trader, Trader with Storage</t>
        </is>
      </c>
      <c r="C4920" t="inlineStr">
        <is>
          <t>Bureau Veritas Polska Sp. z o.o., Warsaw, PL</t>
        </is>
      </c>
      <c r="D4920" t="inlineStr">
        <is>
          <t>23.04.2027</t>
        </is>
      </c>
      <c r="E4920" t="inlineStr">
        <is>
          <t>France</t>
        </is>
      </c>
    </row>
    <row r="4921">
      <c r="A4921" t="inlineStr">
        <is>
          <t>DJ International Trading (Shanghai) Co. , Ltd.,  Shanghai, China</t>
        </is>
      </c>
      <c r="B4921" t="inlineStr">
        <is>
          <t>Trader with Storage</t>
        </is>
      </c>
      <c r="C4921" t="inlineStr">
        <is>
          <t>China Quality Certification Centre Co., Ltd., Beijing, CN</t>
        </is>
      </c>
      <c r="D4921" t="inlineStr">
        <is>
          <t>23.04.2027</t>
        </is>
      </c>
      <c r="E4921" t="inlineStr">
        <is>
          <t>China</t>
        </is>
      </c>
    </row>
    <row r="4922">
      <c r="A4922" t="inlineStr">
        <is>
          <t>Trustko OÜ,  Tallinn, Estonia</t>
        </is>
      </c>
      <c r="B4922" t="inlineStr">
        <is>
          <t>Trader</t>
        </is>
      </c>
      <c r="C4922" t="inlineStr">
        <is>
          <t>BM Certification, Riga, LV</t>
        </is>
      </c>
      <c r="D4922" t="inlineStr">
        <is>
          <t>23.04.2027</t>
        </is>
      </c>
      <c r="E4922" t="inlineStr">
        <is>
          <t>Estonia</t>
        </is>
      </c>
    </row>
    <row r="4923">
      <c r="A4923" t="inlineStr">
        <is>
          <t>Respol Resinas,  Leiria, Portugal</t>
        </is>
      </c>
      <c r="B4923" t="inlineStr">
        <is>
          <t>Processing Unit</t>
        </is>
      </c>
      <c r="C4923" t="inlineStr">
        <is>
          <t>SGS Germany GmbH, Emstek, DE</t>
        </is>
      </c>
      <c r="D4923" t="inlineStr">
        <is>
          <t>23.04.2027</t>
        </is>
      </c>
      <c r="E4923" t="inlineStr">
        <is>
          <t>Portugal</t>
        </is>
      </c>
    </row>
    <row r="4924">
      <c r="A4924" t="inlineStr">
        <is>
          <t>Sojitz (Thailand) Co., Ltd.,  Bangkok, Thailand</t>
        </is>
      </c>
      <c r="B4924" t="inlineStr">
        <is>
          <t>Trader</t>
        </is>
      </c>
      <c r="C4924" t="inlineStr">
        <is>
          <t>SGS Germany GmbH, Emstek, DE</t>
        </is>
      </c>
      <c r="D4924" t="inlineStr">
        <is>
          <t>23.04.2027</t>
        </is>
      </c>
      <c r="E4924" t="inlineStr">
        <is>
          <t>Thailand</t>
        </is>
      </c>
    </row>
    <row r="4925">
      <c r="A4925" t="inlineStr">
        <is>
          <t>Amcor Flitwick,  Flitwick, United Kingdom</t>
        </is>
      </c>
      <c r="B4925" t="inlineStr">
        <is>
          <t>Processing Unit</t>
        </is>
      </c>
      <c r="C4925" t="inlineStr">
        <is>
          <t>SGS Germany GmbH, Emstek, DE</t>
        </is>
      </c>
      <c r="D4925" t="inlineStr">
        <is>
          <t>23.04.2027</t>
        </is>
      </c>
      <c r="E4925" t="inlineStr">
        <is>
          <t>United Kingdom</t>
        </is>
      </c>
    </row>
    <row r="4926">
      <c r="A4926" t="inlineStr">
        <is>
          <t>REFINVERSE, Inc.,  Chiyoda-ku, Tokyo, Japan</t>
        </is>
      </c>
      <c r="B4926" t="inlineStr">
        <is>
          <t>Collecting Point, Trader with Storage</t>
        </is>
      </c>
      <c r="C4926" t="inlineStr">
        <is>
          <t>SGS Germany GmbH, Emstek, DE</t>
        </is>
      </c>
      <c r="D4926" t="inlineStr">
        <is>
          <t>23.04.2027</t>
        </is>
      </c>
      <c r="E4926" t="inlineStr">
        <is>
          <t>Japan</t>
        </is>
      </c>
    </row>
    <row r="4927">
      <c r="A4927" t="inlineStr">
        <is>
          <t>Unifield Resources PTE Ltd,  Paya Lebar Square, Singapore</t>
        </is>
      </c>
      <c r="B4927" t="inlineStr">
        <is>
          <t>Trader</t>
        </is>
      </c>
      <c r="C4927" t="inlineStr">
        <is>
          <t>SGS Germany GmbH, Emstek, DE</t>
        </is>
      </c>
      <c r="D4927" t="inlineStr">
        <is>
          <t>23.04.2027</t>
        </is>
      </c>
      <c r="E4927" t="inlineStr">
        <is>
          <t>Singapore</t>
        </is>
      </c>
    </row>
    <row r="4928">
      <c r="A4928" t="inlineStr">
        <is>
          <t>TIGONIC PETROLEUM PTE. LTD.,  Singapore, Singapore</t>
        </is>
      </c>
      <c r="B4928" t="inlineStr">
        <is>
          <t>Trader</t>
        </is>
      </c>
      <c r="C4928" t="inlineStr">
        <is>
          <t>SCS Global Services, Emeryville, CA, US</t>
        </is>
      </c>
      <c r="D4928" t="inlineStr">
        <is>
          <t>23.04.2027</t>
        </is>
      </c>
      <c r="E4928" t="inlineStr">
        <is>
          <t>Singapore</t>
        </is>
      </c>
    </row>
    <row r="4929">
      <c r="A4929" t="inlineStr">
        <is>
          <t>Shenzhen Xin Hai Technology Co., Limited,  Shenzhen, China</t>
        </is>
      </c>
      <c r="B4929" t="inlineStr">
        <is>
          <t>Trader with Storage</t>
        </is>
      </c>
      <c r="C4929" t="inlineStr">
        <is>
          <t>PT Intertek Utama Services, Jakarta, ID</t>
        </is>
      </c>
      <c r="D4929" t="inlineStr">
        <is>
          <t>23.04.2027</t>
        </is>
      </c>
      <c r="E4929" t="inlineStr">
        <is>
          <t>China</t>
        </is>
      </c>
    </row>
    <row r="4930">
      <c r="A4930" t="inlineStr">
        <is>
          <t>LANXESS Deutschland GmbH,  Mannheim, Germany</t>
        </is>
      </c>
      <c r="B4930" t="inlineStr">
        <is>
          <t>Processing Unit</t>
        </is>
      </c>
      <c r="C4930" t="inlineStr">
        <is>
          <t>TÜV NORD CERT GmbH, Essen, DE</t>
        </is>
      </c>
      <c r="D4930" t="inlineStr">
        <is>
          <t>23.04.2027</t>
        </is>
      </c>
      <c r="E4930" t="inlineStr">
        <is>
          <t>Germany</t>
        </is>
      </c>
    </row>
    <row r="4931">
      <c r="A4931" t="inlineStr">
        <is>
          <t>Sungai Bahar Pasifik Utama,  Desa Kunangan, Kecamatan Taman Rajo, Kabupaten Muaro Jambi, Provinsi Jambi, Indonesia</t>
        </is>
      </c>
      <c r="B4931" t="inlineStr">
        <is>
          <t>Point of Origin</t>
        </is>
      </c>
      <c r="C4931" t="inlineStr">
        <is>
          <t>PT SBC Asia Sertifikasi, Kebumen, ID</t>
        </is>
      </c>
      <c r="D4931" t="inlineStr">
        <is>
          <t>23.04.2027</t>
        </is>
      </c>
      <c r="E4931" t="inlineStr">
        <is>
          <t>Indonesia</t>
        </is>
      </c>
    </row>
    <row r="4932">
      <c r="A4932" t="inlineStr">
        <is>
          <t>Reciclagem Industria e Comercio de Sub Produtos de Animai do Mato Grosso LTDA - Mundi Ambietal,  Aparecida de Goiânia, Brazil</t>
        </is>
      </c>
      <c r="B4932" t="inlineStr">
        <is>
          <t>Collecting Point, Trader with Storage</t>
        </is>
      </c>
      <c r="C4932" t="inlineStr">
        <is>
          <t>Control Union Poland Sp. z o.o., Zielona Gora, PL</t>
        </is>
      </c>
      <c r="D4932" t="inlineStr">
        <is>
          <t>23.04.2027</t>
        </is>
      </c>
      <c r="E4932" t="inlineStr">
        <is>
          <t>Brazil</t>
        </is>
      </c>
    </row>
    <row r="4933">
      <c r="A4933" t="inlineStr">
        <is>
          <t>SUMITOMO CORPORATION KOREA,  JONGNO-GU, SEOUL, Korea, Republic of</t>
        </is>
      </c>
      <c r="B4933" t="inlineStr">
        <is>
          <t>Trader</t>
        </is>
      </c>
      <c r="C4933" t="inlineStr">
        <is>
          <t>Control Union Certifications Germany GmbH, Berlin, DE</t>
        </is>
      </c>
      <c r="D4933" t="inlineStr">
        <is>
          <t>23.04.2027</t>
        </is>
      </c>
      <c r="E4933" t="inlineStr">
        <is>
          <t>Republic of</t>
        </is>
      </c>
    </row>
    <row r="4934">
      <c r="A4934" t="inlineStr">
        <is>
          <t>SUMITOMO CORPORATION KOREA,  JONGNO-GU, SEOUL, Korea, Republic of</t>
        </is>
      </c>
      <c r="B4934" t="inlineStr">
        <is>
          <t>Trader</t>
        </is>
      </c>
      <c r="C4934" t="inlineStr">
        <is>
          <t>Control Union Certifications Germany GmbH, Berlin, DE</t>
        </is>
      </c>
      <c r="D4934" t="inlineStr">
        <is>
          <t>23.04.2027</t>
        </is>
      </c>
      <c r="E4934" t="inlineStr">
        <is>
          <t>Republic of</t>
        </is>
      </c>
    </row>
    <row r="4935">
      <c r="A4935" t="inlineStr">
        <is>
          <t>Viktor &amp; K,  Vlasivka, Oleksandriiskyi district, Ukraine</t>
        </is>
      </c>
      <c r="B4935" t="inlineStr">
        <is>
          <t>First Gathering Point, Processing Unit, Trader with Storage</t>
        </is>
      </c>
      <c r="C4935" t="inlineStr">
        <is>
          <t>Aciter Genelab LLC, Odessa, UA</t>
        </is>
      </c>
      <c r="D4935" t="inlineStr">
        <is>
          <t>23.04.2027</t>
        </is>
      </c>
      <c r="E4935" t="inlineStr">
        <is>
          <t>Ukraine</t>
        </is>
      </c>
    </row>
    <row r="4936">
      <c r="A4936" t="inlineStr">
        <is>
          <t>Norlys Energy Trading,  Aalborg, Denmark</t>
        </is>
      </c>
      <c r="B4936" t="inlineStr">
        <is>
          <t>Trader</t>
        </is>
      </c>
      <c r="C4936" t="inlineStr">
        <is>
          <t>Baltic Control Certification, Albertslund, DK</t>
        </is>
      </c>
      <c r="D4936" t="inlineStr">
        <is>
          <t>23.04.2027</t>
        </is>
      </c>
      <c r="E4936" t="inlineStr">
        <is>
          <t>Denmark</t>
        </is>
      </c>
    </row>
    <row r="4937">
      <c r="A4937" t="inlineStr">
        <is>
          <t>SD Guthrie Berhad,  Bintulu, Sarawak, Malaysia</t>
        </is>
      </c>
      <c r="B4937" t="inlineStr">
        <is>
          <t>Point of Origin</t>
        </is>
      </c>
      <c r="C4937" t="inlineStr">
        <is>
          <t>Control Union Certifications Germany GmbH, Berlin, DE</t>
        </is>
      </c>
      <c r="D4937" t="inlineStr">
        <is>
          <t>23.04.2027</t>
        </is>
      </c>
      <c r="E4937" t="inlineStr">
        <is>
          <t>Malaysia</t>
        </is>
      </c>
    </row>
    <row r="4938">
      <c r="A4938" t="inlineStr">
        <is>
          <t>Wibax Sales Oy,  Espoo, Finland</t>
        </is>
      </c>
      <c r="B4938" t="inlineStr">
        <is>
          <t>Trader with Storage, Logistics Center</t>
        </is>
      </c>
      <c r="C4938" t="inlineStr">
        <is>
          <t>DNV Business Assurance Sweden AB, Solna, SE</t>
        </is>
      </c>
      <c r="D4938" t="inlineStr">
        <is>
          <t>23.04.2027</t>
        </is>
      </c>
      <c r="E4938" t="inlineStr">
        <is>
          <t>Finland</t>
        </is>
      </c>
    </row>
    <row r="4939">
      <c r="A4939" t="inlineStr">
        <is>
          <t>S.C. Total Grain S.R.L.,  Topraisar, Romania</t>
        </is>
      </c>
      <c r="B4939" t="inlineStr">
        <is>
          <t>First Gathering Point, Trader with Storage</t>
        </is>
      </c>
      <c r="C4939" t="inlineStr">
        <is>
          <t>BM Certification, Riga, LV</t>
        </is>
      </c>
      <c r="D4939" t="inlineStr">
        <is>
          <t>23.04.2027</t>
        </is>
      </c>
      <c r="E4939" t="inlineStr">
        <is>
          <t>Romania</t>
        </is>
      </c>
    </row>
    <row r="4940">
      <c r="A4940" t="inlineStr">
        <is>
          <t>Wibax Sales AB,  Piteå, Sweden</t>
        </is>
      </c>
      <c r="B4940" t="inlineStr">
        <is>
          <t>Trader with Storage, Logistics Center</t>
        </is>
      </c>
      <c r="C4940" t="inlineStr">
        <is>
          <t>DNV Business Assurance Sweden AB, Solna, SE</t>
        </is>
      </c>
      <c r="D4940" t="inlineStr">
        <is>
          <t>23.04.2027</t>
        </is>
      </c>
      <c r="E4940" t="inlineStr">
        <is>
          <t>Sweden</t>
        </is>
      </c>
    </row>
    <row r="4941">
      <c r="A4941" t="inlineStr">
        <is>
          <t>Wibax Sales Oy,  Espoo, Finland</t>
        </is>
      </c>
      <c r="B4941" t="inlineStr">
        <is>
          <t>Trader with Storage, Logistics Center</t>
        </is>
      </c>
      <c r="C4941" t="inlineStr">
        <is>
          <t>DNV Business Assurance Sweden AB, Solna, SE</t>
        </is>
      </c>
      <c r="D4941" t="inlineStr">
        <is>
          <t>23.04.2027</t>
        </is>
      </c>
      <c r="E4941" t="inlineStr">
        <is>
          <t>Finland</t>
        </is>
      </c>
    </row>
    <row r="4942">
      <c r="A4942" t="inlineStr">
        <is>
          <t>Goldwind Green Energy Chemicals Trading (Jiangsu) Co., Ltd.,  Wuxi, Jiangsu Province, China</t>
        </is>
      </c>
      <c r="B4942" t="inlineStr">
        <is>
          <t>Trader with Storage</t>
        </is>
      </c>
      <c r="C4942" t="inlineStr">
        <is>
          <t>DIN CERTCO GmbH, Berlin, DE</t>
        </is>
      </c>
      <c r="D4942" t="inlineStr">
        <is>
          <t>23.04.2027</t>
        </is>
      </c>
      <c r="E4942" t="inlineStr">
        <is>
          <t>China</t>
        </is>
      </c>
    </row>
    <row r="4943">
      <c r="A4943" t="inlineStr">
        <is>
          <t>Mangalore Refinery and Petrochemicals Limited,  Mangaluru, India</t>
        </is>
      </c>
      <c r="B4943" t="inlineStr">
        <is>
          <t>Processing Unit</t>
        </is>
      </c>
      <c r="C4943" t="inlineStr">
        <is>
          <t>Cotecna India Inspection Pvt Ltd, Kolkata, IN</t>
        </is>
      </c>
      <c r="D4943" t="inlineStr">
        <is>
          <t>23.04.2027</t>
        </is>
      </c>
      <c r="E4943" t="inlineStr">
        <is>
          <t>India</t>
        </is>
      </c>
    </row>
    <row r="4944">
      <c r="A4944" t="inlineStr">
        <is>
          <t>Deutsche Calpam GmbH,  Hamburg, Germany</t>
        </is>
      </c>
      <c r="B4944" t="inlineStr">
        <is>
          <t>Proof of Compliance Trader, Trader</t>
        </is>
      </c>
      <c r="C4944" t="inlineStr">
        <is>
          <t>Global-Creative-Energy GmbH, Berlin, DE</t>
        </is>
      </c>
      <c r="D4944" t="inlineStr">
        <is>
          <t>23.04.2027</t>
        </is>
      </c>
      <c r="E4944" t="inlineStr">
        <is>
          <t>Germany</t>
        </is>
      </c>
    </row>
    <row r="4945">
      <c r="A4945" t="inlineStr">
        <is>
          <t>SOLANA BIOFUELS LIMITED,  Visakhapatnam, India</t>
        </is>
      </c>
      <c r="B4945" t="inlineStr">
        <is>
          <t>Processing Unit</t>
        </is>
      </c>
      <c r="C4945" t="inlineStr">
        <is>
          <t>PT. CBQA GLOBAL INDONESIA, JAKARTA SELATAN, ID</t>
        </is>
      </c>
      <c r="D4945" t="inlineStr">
        <is>
          <t>23.04.2027</t>
        </is>
      </c>
      <c r="E4945" t="inlineStr">
        <is>
          <t>India</t>
        </is>
      </c>
    </row>
    <row r="4946">
      <c r="A4946" t="inlineStr">
        <is>
          <t>Glen's Grease Service,  Fort Worth, United States</t>
        </is>
      </c>
      <c r="B4946" t="inlineStr">
        <is>
          <t>Collecting Point</t>
        </is>
      </c>
      <c r="C4946" t="inlineStr">
        <is>
          <t>SCS Global Services, Emeryville, CA, US</t>
        </is>
      </c>
      <c r="D4946" t="inlineStr">
        <is>
          <t>23.04.2027</t>
        </is>
      </c>
      <c r="E4946" t="inlineStr">
        <is>
          <t>United States</t>
        </is>
      </c>
    </row>
    <row r="4947">
      <c r="A4947" t="inlineStr">
        <is>
          <t>Glen's Grease Service,  Fort Worth, United States</t>
        </is>
      </c>
      <c r="B4947" t="inlineStr">
        <is>
          <t>Collecting Point</t>
        </is>
      </c>
      <c r="C4947" t="inlineStr">
        <is>
          <t>SCS Global Services, Emeryville, CA, US</t>
        </is>
      </c>
      <c r="D4947" t="inlineStr">
        <is>
          <t>23.04.2027</t>
        </is>
      </c>
      <c r="E4947" t="inlineStr">
        <is>
          <t>United States</t>
        </is>
      </c>
    </row>
    <row r="4948">
      <c r="A4948" t="inlineStr">
        <is>
          <t>JDP Renewables,  Welsh, United States</t>
        </is>
      </c>
      <c r="B4948" t="inlineStr">
        <is>
          <t>Collecting Point, Processing Unit</t>
        </is>
      </c>
      <c r="C4948" t="inlineStr">
        <is>
          <t>SCS Global Services, Emeryville, CA, US</t>
        </is>
      </c>
      <c r="D4948" t="inlineStr">
        <is>
          <t>23.04.2027</t>
        </is>
      </c>
      <c r="E4948" t="inlineStr">
        <is>
          <t>United States</t>
        </is>
      </c>
    </row>
    <row r="4949">
      <c r="A4949" t="inlineStr">
        <is>
          <t>JDP Renewables,  Welsh, United States</t>
        </is>
      </c>
      <c r="B4949" t="inlineStr">
        <is>
          <t>Collecting Point, Processing Unit</t>
        </is>
      </c>
      <c r="C4949" t="inlineStr">
        <is>
          <t>SCS Global Services, Emeryville, CA, US</t>
        </is>
      </c>
      <c r="D4949" t="inlineStr">
        <is>
          <t>23.04.2027</t>
        </is>
      </c>
      <c r="E4949" t="inlineStr">
        <is>
          <t>United States</t>
        </is>
      </c>
    </row>
    <row r="4950">
      <c r="A4950" t="inlineStr">
        <is>
          <t>Green Energy Biofuel LLC,  Winnsboro, South Carolina, United States</t>
        </is>
      </c>
      <c r="B4950" t="inlineStr">
        <is>
          <t>Collecting Point</t>
        </is>
      </c>
      <c r="C4950" t="inlineStr">
        <is>
          <t>SCS Global Services, Emeryville, CA, US</t>
        </is>
      </c>
      <c r="D4950" t="inlineStr">
        <is>
          <t>23.04.2027</t>
        </is>
      </c>
      <c r="E4950" t="inlineStr">
        <is>
          <t>United States</t>
        </is>
      </c>
    </row>
    <row r="4951">
      <c r="A4951" t="inlineStr">
        <is>
          <t>Green Energy Biofuel LLC,  Winnsboro, South Carolina, United States</t>
        </is>
      </c>
      <c r="B4951" t="inlineStr">
        <is>
          <t>Collecting Point</t>
        </is>
      </c>
      <c r="C4951" t="inlineStr">
        <is>
          <t>SCS Global Services, Emeryville, CA, US</t>
        </is>
      </c>
      <c r="D4951" t="inlineStr">
        <is>
          <t>23.04.2027</t>
        </is>
      </c>
      <c r="E4951" t="inlineStr">
        <is>
          <t>United States</t>
        </is>
      </c>
    </row>
    <row r="4952">
      <c r="A4952" t="inlineStr">
        <is>
          <t>JIRAWAT LOGISTICS OIL,  Samutsongkhram, Thailand</t>
        </is>
      </c>
      <c r="B4952" t="inlineStr">
        <is>
          <t>Collecting Point</t>
        </is>
      </c>
      <c r="C4952" t="inlineStr">
        <is>
          <t>SGS Germany GmbH, Emstek, DE</t>
        </is>
      </c>
      <c r="D4952" t="inlineStr">
        <is>
          <t>23.04.2027</t>
        </is>
      </c>
      <c r="E4952" t="inlineStr">
        <is>
          <t>Thailand</t>
        </is>
      </c>
    </row>
    <row r="4953">
      <c r="A4953" t="inlineStr">
        <is>
          <t>C.X. Eco Storm Ltd,  Nicosia, Alambra, Cyprus</t>
        </is>
      </c>
      <c r="B4953" t="inlineStr">
        <is>
          <t>Collecting Point, Trader with Storage</t>
        </is>
      </c>
      <c r="C4953" t="inlineStr">
        <is>
          <t>Eurocert SA, Metamorfosi, Athens, GR</t>
        </is>
      </c>
      <c r="D4953" t="inlineStr">
        <is>
          <t>23.04.2027</t>
        </is>
      </c>
      <c r="E4953" t="inlineStr">
        <is>
          <t>Cyprus</t>
        </is>
      </c>
    </row>
    <row r="4954">
      <c r="A4954" t="inlineStr">
        <is>
          <t>COCEDA PORTUGAL,  Santarem, Portugal</t>
        </is>
      </c>
      <c r="B4954" t="inlineStr">
        <is>
          <t>Point of Origin, Processing Unit</t>
        </is>
      </c>
      <c r="C4954" t="inlineStr">
        <is>
          <t>Bureau Veritas Polska Sp. z o.o., Warsaw, PL</t>
        </is>
      </c>
      <c r="D4954" t="inlineStr">
        <is>
          <t>23.04.2027</t>
        </is>
      </c>
      <c r="E4954" t="inlineStr">
        <is>
          <t>Portugal</t>
        </is>
      </c>
    </row>
    <row r="4955">
      <c r="A4955" t="inlineStr">
        <is>
          <t>Pirelli Tyres Romania,  Slatina, Romania</t>
        </is>
      </c>
      <c r="B4955" t="inlineStr">
        <is>
          <t>Processing Unit, Trader with Storage</t>
        </is>
      </c>
      <c r="C4955" t="inlineStr">
        <is>
          <t>RINA Services S.p.A., Genova, IT</t>
        </is>
      </c>
      <c r="D4955" t="inlineStr">
        <is>
          <t>23.04.2027</t>
        </is>
      </c>
      <c r="E4955" t="inlineStr">
        <is>
          <t>Romania</t>
        </is>
      </c>
    </row>
    <row r="4956">
      <c r="A4956" t="inlineStr">
        <is>
          <t>Global Inter,  Lard Phrao District,, Thailand</t>
        </is>
      </c>
      <c r="B4956" t="inlineStr">
        <is>
          <t>Trader with Storage, Warehouse</t>
        </is>
      </c>
      <c r="C4956" t="inlineStr">
        <is>
          <t>Control Union Poland Sp. z o.o., Zielona Gora, PL</t>
        </is>
      </c>
      <c r="D4956" t="inlineStr">
        <is>
          <t>23.04.2027</t>
        </is>
      </c>
      <c r="E4956" t="inlineStr">
        <is>
          <t>Thailand</t>
        </is>
      </c>
    </row>
    <row r="4957">
      <c r="A4957" t="inlineStr">
        <is>
          <t>B. Braun Melsungen AG,  Melsungen, Germany</t>
        </is>
      </c>
      <c r="B4957" t="inlineStr">
        <is>
          <t>Trader with Storage</t>
        </is>
      </c>
      <c r="C4957" t="inlineStr">
        <is>
          <t>TÜV SÜD Industrie Service GmbH, München, DE</t>
        </is>
      </c>
      <c r="D4957" t="inlineStr">
        <is>
          <t>22.04.2027</t>
        </is>
      </c>
      <c r="E4957" t="inlineStr">
        <is>
          <t>Germany</t>
        </is>
      </c>
    </row>
    <row r="4958">
      <c r="A4958" t="inlineStr">
        <is>
          <t>Innospec Limited,  Castiglione delle Stiviere, Italy</t>
        </is>
      </c>
      <c r="B4958" t="inlineStr">
        <is>
          <t>Processing Unit</t>
        </is>
      </c>
      <c r="C4958" t="inlineStr">
        <is>
          <t>SGS Germany GmbH, Emstek, DE</t>
        </is>
      </c>
      <c r="D4958" t="inlineStr">
        <is>
          <t>22.04.2027</t>
        </is>
      </c>
      <c r="E4958" t="inlineStr">
        <is>
          <t>Italy</t>
        </is>
      </c>
    </row>
    <row r="4959">
      <c r="A4959" t="inlineStr">
        <is>
          <t>PETREM DISTRIBUCIO,  Figueres, Spain</t>
        </is>
      </c>
      <c r="B4959" t="inlineStr">
        <is>
          <t>Trader with Storage</t>
        </is>
      </c>
      <c r="C4959" t="inlineStr">
        <is>
          <t>Control Union Poland Sp. z o.o., Zielona Gora, PL</t>
        </is>
      </c>
      <c r="D4959" t="inlineStr">
        <is>
          <t>22.04.2027</t>
        </is>
      </c>
      <c r="E4959" t="inlineStr">
        <is>
          <t>Spain</t>
        </is>
      </c>
    </row>
    <row r="4960">
      <c r="A4960" t="inlineStr">
        <is>
          <t>OLT PIESS SRL,  SLATINA, Romania</t>
        </is>
      </c>
      <c r="B4960" t="inlineStr">
        <is>
          <t>First Gathering Point</t>
        </is>
      </c>
      <c r="C4960" t="inlineStr">
        <is>
          <t>SRAC Cert SRL, Bucharest, RO</t>
        </is>
      </c>
      <c r="D4960" t="inlineStr">
        <is>
          <t>22.04.2027</t>
        </is>
      </c>
      <c r="E4960" t="inlineStr">
        <is>
          <t>Romania</t>
        </is>
      </c>
    </row>
    <row r="4961">
      <c r="A4961" t="inlineStr">
        <is>
          <t>Norbro Energi Bulkgasol AB,  Stenungsund, Sweden</t>
        </is>
      </c>
      <c r="B4961" t="inlineStr">
        <is>
          <t>Trader</t>
        </is>
      </c>
      <c r="C4961" t="inlineStr">
        <is>
          <t>SGS Germany GmbH, Emstek, DE</t>
        </is>
      </c>
      <c r="D4961" t="inlineStr">
        <is>
          <t>22.04.2027</t>
        </is>
      </c>
      <c r="E4961" t="inlineStr">
        <is>
          <t>Sweden</t>
        </is>
      </c>
    </row>
    <row r="4962">
      <c r="A4962" t="inlineStr">
        <is>
          <t>Norbro Energi Bulkgasol AB,  Stenungsund, Sweden</t>
        </is>
      </c>
      <c r="B4962" t="inlineStr">
        <is>
          <t>Trader</t>
        </is>
      </c>
      <c r="C4962" t="inlineStr">
        <is>
          <t>SGS Germany GmbH, Emstek, DE</t>
        </is>
      </c>
      <c r="D4962" t="inlineStr">
        <is>
          <t>22.04.2027</t>
        </is>
      </c>
      <c r="E4962" t="inlineStr">
        <is>
          <t>Sweden</t>
        </is>
      </c>
    </row>
    <row r="4963">
      <c r="A4963" t="inlineStr">
        <is>
          <t>Schur Star Systems Australia Pty Ltd,  Thomastown 3074, Australia</t>
        </is>
      </c>
      <c r="B4963" t="inlineStr">
        <is>
          <t>Processing Unit</t>
        </is>
      </c>
      <c r="C4963" t="inlineStr">
        <is>
          <t>SGS Germany GmbH, Emstek, DE</t>
        </is>
      </c>
      <c r="D4963" t="inlineStr">
        <is>
          <t>22.04.2027</t>
        </is>
      </c>
      <c r="E4963" t="inlineStr">
        <is>
          <t>Australia</t>
        </is>
      </c>
    </row>
    <row r="4964">
      <c r="A4964" t="inlineStr">
        <is>
          <t>Timbro Swiss,  Geneva, Switzerland</t>
        </is>
      </c>
      <c r="B4964" t="inlineStr">
        <is>
          <t>Trader</t>
        </is>
      </c>
      <c r="C4964" t="inlineStr">
        <is>
          <t>Control Union Poland Sp. z o.o., Zielona Gora, PL</t>
        </is>
      </c>
      <c r="D4964" t="inlineStr">
        <is>
          <t>22.04.2027</t>
        </is>
      </c>
      <c r="E4964" t="inlineStr">
        <is>
          <t>Switzerland</t>
        </is>
      </c>
    </row>
    <row r="4965">
      <c r="A4965" t="inlineStr">
        <is>
          <t>CARGILL AGRÍCOLA S.A,  Mairinque, Brazil</t>
        </is>
      </c>
      <c r="B4965" t="inlineStr">
        <is>
          <t>Processing Unit, Trader with Storage</t>
        </is>
      </c>
      <c r="C4965" t="inlineStr">
        <is>
          <t>Control Union Poland Sp. z o.o., Zielona Gora, PL</t>
        </is>
      </c>
      <c r="D4965" t="inlineStr">
        <is>
          <t>22.04.2027</t>
        </is>
      </c>
      <c r="E4965" t="inlineStr">
        <is>
          <t>Brazil</t>
        </is>
      </c>
    </row>
    <row r="4966">
      <c r="A4966" t="inlineStr">
        <is>
          <t>Nedstar,  Amsterdam, Netherlands</t>
        </is>
      </c>
      <c r="B4966" t="inlineStr">
        <is>
          <t>Trader</t>
        </is>
      </c>
      <c r="C4966" t="inlineStr">
        <is>
          <t>SGS Germany GmbH, Emstek, DE</t>
        </is>
      </c>
      <c r="D4966" t="inlineStr">
        <is>
          <t>22.04.2027</t>
        </is>
      </c>
      <c r="E4966" t="inlineStr">
        <is>
          <t>Netherlands</t>
        </is>
      </c>
    </row>
    <row r="4967">
      <c r="A4967" t="inlineStr">
        <is>
          <t>Branch of Golden Victory Viet Nam Co., LTD in Nam Truc,  Ninh Binh, Vietnam</t>
        </is>
      </c>
      <c r="B4967" t="inlineStr">
        <is>
          <t>Final Product Refinement</t>
        </is>
      </c>
      <c r="C4967" t="inlineStr">
        <is>
          <t>SGS Germany GmbH, Emstek, DE</t>
        </is>
      </c>
      <c r="D4967" t="inlineStr">
        <is>
          <t>22.04.2027</t>
        </is>
      </c>
      <c r="E4967" t="inlineStr">
        <is>
          <t>Vietnam</t>
        </is>
      </c>
    </row>
    <row r="4968">
      <c r="A4968" t="inlineStr">
        <is>
          <t>SFP Friesland B.V.,  Harlingen, Netherlands</t>
        </is>
      </c>
      <c r="B4968" t="inlineStr">
        <is>
          <t>Collecting Point, Trader, Processing Unit</t>
        </is>
      </c>
      <c r="C4968" t="inlineStr">
        <is>
          <t>DEKRA Certification B.V., Arnhem, NL</t>
        </is>
      </c>
      <c r="D4968" t="inlineStr">
        <is>
          <t>22.04.2027</t>
        </is>
      </c>
      <c r="E4968" t="inlineStr">
        <is>
          <t>Netherlands</t>
        </is>
      </c>
    </row>
    <row r="4969">
      <c r="A4969" t="inlineStr">
        <is>
          <t>Cashena LTD,  Meneou, Cyprus</t>
        </is>
      </c>
      <c r="B4969" t="inlineStr">
        <is>
          <t>Trader</t>
        </is>
      </c>
      <c r="C4969" t="inlineStr">
        <is>
          <t>RINA Services S.p.A., Genova, IT</t>
        </is>
      </c>
      <c r="D4969" t="inlineStr">
        <is>
          <t>22.04.2027</t>
        </is>
      </c>
      <c r="E4969" t="inlineStr">
        <is>
          <t>Cyprus</t>
        </is>
      </c>
    </row>
    <row r="4970">
      <c r="A4970" t="inlineStr">
        <is>
          <t>CARGILL AGRÍCOLA S.A,  Mairinque, Brazil</t>
        </is>
      </c>
      <c r="B4970" t="inlineStr">
        <is>
          <t>Processing Unit, Trader with Storage</t>
        </is>
      </c>
      <c r="C4970" t="inlineStr">
        <is>
          <t>Control Union Poland Sp. z o.o., Zielona Gora, PL</t>
        </is>
      </c>
      <c r="D4970" t="inlineStr">
        <is>
          <t>22.04.2027</t>
        </is>
      </c>
      <c r="E4970" t="inlineStr">
        <is>
          <t>Brazil</t>
        </is>
      </c>
    </row>
    <row r="4971">
      <c r="A4971" t="inlineStr">
        <is>
          <t>Graymont Cooperative Association,  Graymont, Illinois, United States</t>
        </is>
      </c>
      <c r="B4971" t="inlineStr">
        <is>
          <t>First Gathering Point</t>
        </is>
      </c>
      <c r="C4971" t="inlineStr">
        <is>
          <t>Control Union Poland Sp. z o.o., Zielona Gora, PL</t>
        </is>
      </c>
      <c r="D4971" t="inlineStr">
        <is>
          <t>22.04.2027</t>
        </is>
      </c>
      <c r="E4971" t="inlineStr">
        <is>
          <t>United States</t>
        </is>
      </c>
    </row>
    <row r="4972">
      <c r="A4972" t="inlineStr">
        <is>
          <t>KREMYL Single Member P.C.,  Garazo, Greece</t>
        </is>
      </c>
      <c r="B4972" t="inlineStr">
        <is>
          <t>Collecting Point</t>
        </is>
      </c>
      <c r="C4972" t="inlineStr">
        <is>
          <t>Eurocert SA, Metamorfosi, Athens, GR</t>
        </is>
      </c>
      <c r="D4972" t="inlineStr">
        <is>
          <t>22.04.2027</t>
        </is>
      </c>
      <c r="E4972" t="inlineStr">
        <is>
          <t>Greece</t>
        </is>
      </c>
    </row>
    <row r="4973">
      <c r="A4973" t="inlineStr">
        <is>
          <t>Graymont Cooperative Association,  Graymont, Illinois, United States</t>
        </is>
      </c>
      <c r="B4973" t="inlineStr">
        <is>
          <t>First Gathering Point</t>
        </is>
      </c>
      <c r="C4973" t="inlineStr">
        <is>
          <t>Control Union Poland Sp. z o.o., Zielona Gora, PL</t>
        </is>
      </c>
      <c r="D4973" t="inlineStr">
        <is>
          <t>22.04.2027</t>
        </is>
      </c>
      <c r="E4973" t="inlineStr">
        <is>
          <t>United States</t>
        </is>
      </c>
    </row>
    <row r="4974">
      <c r="A4974" t="inlineStr">
        <is>
          <t>Ladd Elevator Company,  Ladd, Illinois, United States</t>
        </is>
      </c>
      <c r="B4974" t="inlineStr">
        <is>
          <t>First Gathering Point</t>
        </is>
      </c>
      <c r="C4974" t="inlineStr">
        <is>
          <t>Control Union Poland Sp. z o.o., Zielona Gora, PL</t>
        </is>
      </c>
      <c r="D4974" t="inlineStr">
        <is>
          <t>22.04.2027</t>
        </is>
      </c>
      <c r="E4974" t="inlineStr">
        <is>
          <t>United States</t>
        </is>
      </c>
    </row>
    <row r="4975">
      <c r="A4975" t="inlineStr">
        <is>
          <t>Ladd Elevator Company,  Ladd, Illinois, United States</t>
        </is>
      </c>
      <c r="B4975" t="inlineStr">
        <is>
          <t>First Gathering Point</t>
        </is>
      </c>
      <c r="C4975" t="inlineStr">
        <is>
          <t>Control Union Poland Sp. z o.o., Zielona Gora, PL</t>
        </is>
      </c>
      <c r="D4975" t="inlineStr">
        <is>
          <t>22.04.2027</t>
        </is>
      </c>
      <c r="E4975" t="inlineStr">
        <is>
          <t>United States</t>
        </is>
      </c>
    </row>
    <row r="4976">
      <c r="A4976" t="inlineStr">
        <is>
          <t>The Delong Company, Inc.,  Waterman, Illinois, United States</t>
        </is>
      </c>
      <c r="B4976" t="inlineStr">
        <is>
          <t>First Gathering Point</t>
        </is>
      </c>
      <c r="C4976" t="inlineStr">
        <is>
          <t>Control Union Poland Sp. z o.o., Zielona Gora, PL</t>
        </is>
      </c>
      <c r="D4976" t="inlineStr">
        <is>
          <t>22.04.2027</t>
        </is>
      </c>
      <c r="E4976" t="inlineStr">
        <is>
          <t>United States</t>
        </is>
      </c>
    </row>
    <row r="4977">
      <c r="A4977" t="inlineStr">
        <is>
          <t>The Delong Company, Inc.,  Waterman, Illinois, United States</t>
        </is>
      </c>
      <c r="B4977" t="inlineStr">
        <is>
          <t>First Gathering Point</t>
        </is>
      </c>
      <c r="C4977" t="inlineStr">
        <is>
          <t>Control Union Poland Sp. z o.o., Zielona Gora, PL</t>
        </is>
      </c>
      <c r="D4977" t="inlineStr">
        <is>
          <t>22.04.2027</t>
        </is>
      </c>
      <c r="E4977" t="inlineStr">
        <is>
          <t>United States</t>
        </is>
      </c>
    </row>
    <row r="4978">
      <c r="A4978" t="inlineStr">
        <is>
          <t>LABANCA GROUP SAS DI LABANCA PIETRO &amp; C.,  MOLITERNO, Italy</t>
        </is>
      </c>
      <c r="B4978" t="inlineStr">
        <is>
          <t>First Gathering Point</t>
        </is>
      </c>
      <c r="C4978" t="inlineStr">
        <is>
          <t>RINA Services S.p.A., Genova, IT</t>
        </is>
      </c>
      <c r="D4978" t="inlineStr">
        <is>
          <t>22.04.2027</t>
        </is>
      </c>
      <c r="E4978" t="inlineStr">
        <is>
          <t>Italy</t>
        </is>
      </c>
    </row>
    <row r="4979">
      <c r="A4979" t="inlineStr">
        <is>
          <t>Timbro Swiss,  Geneva, Switzerland</t>
        </is>
      </c>
      <c r="B4979" t="inlineStr">
        <is>
          <t>Trader</t>
        </is>
      </c>
      <c r="C4979" t="inlineStr">
        <is>
          <t>Control Union Poland Sp. z o.o., Zielona Gora, PL</t>
        </is>
      </c>
      <c r="D4979" t="inlineStr">
        <is>
          <t>22.04.2027</t>
        </is>
      </c>
      <c r="E4979" t="inlineStr">
        <is>
          <t>Switzerland</t>
        </is>
      </c>
    </row>
    <row r="4980">
      <c r="A4980" t="inlineStr">
        <is>
          <t>SOCIETE NOUVELLE GECCO,  AVELIN, France</t>
        </is>
      </c>
      <c r="B4980" t="inlineStr">
        <is>
          <t>Collecting Point, Trader with Storage</t>
        </is>
      </c>
      <c r="C4980" t="inlineStr">
        <is>
          <t>Control Union Certifications Germany GmbH, Berlin, DE</t>
        </is>
      </c>
      <c r="D4980" t="inlineStr">
        <is>
          <t>22.04.2027</t>
        </is>
      </c>
      <c r="E4980" t="inlineStr">
        <is>
          <t>France</t>
        </is>
      </c>
    </row>
    <row r="4981">
      <c r="A4981" t="inlineStr">
        <is>
          <t>Mego e.e.,  Mykonos, Greece</t>
        </is>
      </c>
      <c r="B4981" t="inlineStr">
        <is>
          <t>Collecting Point</t>
        </is>
      </c>
      <c r="C4981" t="inlineStr">
        <is>
          <t>Eurocert SA, Metamorfosi, Athens, GR</t>
        </is>
      </c>
      <c r="D4981" t="inlineStr">
        <is>
          <t>22.04.2027</t>
        </is>
      </c>
      <c r="E4981" t="inlineStr">
        <is>
          <t>Greece</t>
        </is>
      </c>
    </row>
    <row r="4982">
      <c r="A4982" t="inlineStr">
        <is>
          <t>Officine Maccaferri S.p.A.,  Bologna, Italy</t>
        </is>
      </c>
      <c r="B4982" t="inlineStr">
        <is>
          <t>Trader</t>
        </is>
      </c>
      <c r="C4982" t="inlineStr">
        <is>
          <t>RINA Services S.p.A., Genova, IT</t>
        </is>
      </c>
      <c r="D4982" t="inlineStr">
        <is>
          <t>22.04.2027</t>
        </is>
      </c>
      <c r="E4982" t="inlineStr">
        <is>
          <t>Italy</t>
        </is>
      </c>
    </row>
    <row r="4983">
      <c r="A4983" t="inlineStr">
        <is>
          <t>Jiangsu Haijun Biotechnology Co., LTD,  Guanyun County, Lianyungang City, Jiangsu Province, China</t>
        </is>
      </c>
      <c r="B4983" t="inlineStr">
        <is>
          <t>Collecting Point</t>
        </is>
      </c>
      <c r="C4983" t="inlineStr">
        <is>
          <t>RINA Services S.p.A., Genova, IT</t>
        </is>
      </c>
      <c r="D4983" t="inlineStr">
        <is>
          <t>22.04.2027</t>
        </is>
      </c>
      <c r="E4983" t="inlineStr">
        <is>
          <t>China</t>
        </is>
      </c>
    </row>
    <row r="4984">
      <c r="A4984" t="inlineStr">
        <is>
          <t>Haijun Biotechnology (Lianyungang) Co., LTD,  Donghai County, Lianyungang City, China</t>
        </is>
      </c>
      <c r="B4984" t="inlineStr">
        <is>
          <t>Collecting Point</t>
        </is>
      </c>
      <c r="C4984" t="inlineStr">
        <is>
          <t>RINA Services S.p.A., Genova, IT</t>
        </is>
      </c>
      <c r="D4984" t="inlineStr">
        <is>
          <t>22.04.2027</t>
        </is>
      </c>
      <c r="E4984" t="inlineStr">
        <is>
          <t>China</t>
        </is>
      </c>
    </row>
    <row r="4985">
      <c r="A4985" t="inlineStr">
        <is>
          <t>Aratrum Cooperativa Agricola,  Focsani, Romania</t>
        </is>
      </c>
      <c r="B4985" t="inlineStr">
        <is>
          <t>First Gathering Point</t>
        </is>
      </c>
      <c r="C4985" t="inlineStr">
        <is>
          <t>SGS Germany GmbH, Emstek, DE</t>
        </is>
      </c>
      <c r="D4985" t="inlineStr">
        <is>
          <t>22.04.2027</t>
        </is>
      </c>
      <c r="E4985" t="inlineStr">
        <is>
          <t>Romania</t>
        </is>
      </c>
    </row>
    <row r="4986">
      <c r="A4986" t="inlineStr">
        <is>
          <t>TOTALENERGIES ADDITIVES AND FUELS SOLUTIONS,  Givors, France</t>
        </is>
      </c>
      <c r="B4986" t="inlineStr">
        <is>
          <t>Trader with Storage</t>
        </is>
      </c>
      <c r="C4986" t="inlineStr">
        <is>
          <t>Bureau Veritas Polska Sp. z o.o., Warsaw, PL</t>
        </is>
      </c>
      <c r="D4986" t="inlineStr">
        <is>
          <t>22.04.2027</t>
        </is>
      </c>
      <c r="E4986" t="inlineStr">
        <is>
          <t>France</t>
        </is>
      </c>
    </row>
    <row r="4987">
      <c r="A4987" t="inlineStr">
        <is>
          <t>BCP Trading Pte. Ltd.,  Singapore, 25-03 SBF Center, Singapore</t>
        </is>
      </c>
      <c r="B4987" t="inlineStr">
        <is>
          <t>Trader</t>
        </is>
      </c>
      <c r="C4987" t="inlineStr">
        <is>
          <t>SGS Germany GmbH, Emstek, DE</t>
        </is>
      </c>
      <c r="D4987" t="inlineStr">
        <is>
          <t>22.04.2027</t>
        </is>
      </c>
      <c r="E4987" t="inlineStr">
        <is>
          <t>Singapore</t>
        </is>
      </c>
    </row>
    <row r="4988">
      <c r="A4988" t="inlineStr">
        <is>
          <t>TOTALENERGIES ADDITIVES AND FUELS SOLUTIONS,  Givors, France</t>
        </is>
      </c>
      <c r="B4988" t="inlineStr">
        <is>
          <t>Trader with Storage</t>
        </is>
      </c>
      <c r="C4988" t="inlineStr">
        <is>
          <t>Bureau Veritas Polska Sp. z o.o., Warsaw, PL</t>
        </is>
      </c>
      <c r="D4988" t="inlineStr">
        <is>
          <t>22.04.2027</t>
        </is>
      </c>
      <c r="E4988" t="inlineStr">
        <is>
          <t>France</t>
        </is>
      </c>
    </row>
    <row r="4989">
      <c r="A4989" t="inlineStr">
        <is>
          <t>Mobil Oil Australia Pty Ltd,  Altona, Australia</t>
        </is>
      </c>
      <c r="B4989" t="inlineStr">
        <is>
          <t>Trader with Storage</t>
        </is>
      </c>
      <c r="C4989" t="inlineStr">
        <is>
          <t>Control Union Certifications Germany GmbH, Berlin, DE</t>
        </is>
      </c>
      <c r="D4989" t="inlineStr">
        <is>
          <t>22.04.2027</t>
        </is>
      </c>
      <c r="E4989" t="inlineStr">
        <is>
          <t>Australia</t>
        </is>
      </c>
    </row>
    <row r="4990">
      <c r="A4990" t="inlineStr">
        <is>
          <t>White hearts for trade and export,  Giza, Egypt</t>
        </is>
      </c>
      <c r="B4990" t="inlineStr">
        <is>
          <t>Collecting Point</t>
        </is>
      </c>
      <c r="C4990" t="inlineStr">
        <is>
          <t>Aardvark Certification Ltd, Wiveliscombe, Somerset, GB</t>
        </is>
      </c>
      <c r="D4990" t="inlineStr">
        <is>
          <t>22.04.2027</t>
        </is>
      </c>
      <c r="E4990" t="inlineStr">
        <is>
          <t>Egypt</t>
        </is>
      </c>
    </row>
    <row r="4991">
      <c r="A4991" t="inlineStr">
        <is>
          <t>EVERTREE HONGKONG LIMITED,  Shenzhen City, Guangdong Province, China</t>
        </is>
      </c>
      <c r="B4991" t="inlineStr">
        <is>
          <t>Trader</t>
        </is>
      </c>
      <c r="C4991" t="inlineStr">
        <is>
          <t>SCS Global Services, Emeryville, CA, US</t>
        </is>
      </c>
      <c r="D4991" t="inlineStr">
        <is>
          <t>22.04.2027</t>
        </is>
      </c>
      <c r="E4991" t="inlineStr">
        <is>
          <t>China</t>
        </is>
      </c>
    </row>
    <row r="4992">
      <c r="A4992" t="inlineStr">
        <is>
          <t>Lyondellbasell Polyolefin （Shanghai） Co., Ltd,  Shanghai, China</t>
        </is>
      </c>
      <c r="B4992" t="inlineStr">
        <is>
          <t>Trader</t>
        </is>
      </c>
      <c r="C4992" t="inlineStr">
        <is>
          <t>TÜV SÜD Industrie Service GmbH, München, DE</t>
        </is>
      </c>
      <c r="D4992" t="inlineStr">
        <is>
          <t>22.04.2027</t>
        </is>
      </c>
      <c r="E4992" t="inlineStr">
        <is>
          <t>China</t>
        </is>
      </c>
    </row>
    <row r="4993">
      <c r="A4993" t="inlineStr">
        <is>
          <t>JARVIS SMART(SHENZHEN)CO.,LTD,  Baoan District, Shenzhen City, China</t>
        </is>
      </c>
      <c r="B4993" t="inlineStr">
        <is>
          <t>Final Product Refinement</t>
        </is>
      </c>
      <c r="C4993" t="inlineStr">
        <is>
          <t>PT Intertek Utama Services, Jakarta, ID</t>
        </is>
      </c>
      <c r="D4993" t="inlineStr">
        <is>
          <t>22.04.2027</t>
        </is>
      </c>
      <c r="E4993" t="inlineStr">
        <is>
          <t>China</t>
        </is>
      </c>
    </row>
    <row r="4994">
      <c r="A4994" t="inlineStr">
        <is>
          <t>Shenzhen Crystal-Star Technology Co., Ltd.,  Shen Zhen City, Guang Dong Province, China</t>
        </is>
      </c>
      <c r="B4994" t="inlineStr">
        <is>
          <t>Processing Unit</t>
        </is>
      </c>
      <c r="C4994" t="inlineStr">
        <is>
          <t>China Quality Certification Centre Co., Ltd., Beijing, CN</t>
        </is>
      </c>
      <c r="D4994" t="inlineStr">
        <is>
          <t>22.04.2027</t>
        </is>
      </c>
      <c r="E4994" t="inlineStr">
        <is>
          <t>China</t>
        </is>
      </c>
    </row>
    <row r="4995">
      <c r="A4995" t="inlineStr">
        <is>
          <t>Lantmännen Biorefineries AB,  Lidköping, Sweden</t>
        </is>
      </c>
      <c r="B4995" t="inlineStr">
        <is>
          <t>Point of Origin, Processing Unit</t>
        </is>
      </c>
      <c r="C4995" t="inlineStr">
        <is>
          <t>PT Intertek Utama Services, Jakarta, ID</t>
        </is>
      </c>
      <c r="D4995" t="inlineStr">
        <is>
          <t>22.04.2027</t>
        </is>
      </c>
      <c r="E4995" t="inlineStr">
        <is>
          <t>Sweden</t>
        </is>
      </c>
    </row>
    <row r="4996">
      <c r="A4996" t="inlineStr">
        <is>
          <t>Shenzhen Shangshen Optical Manufacturing Co., Ltd.,  LongGang District, ShenZhen, China</t>
        </is>
      </c>
      <c r="B4996" t="inlineStr">
        <is>
          <t>Processing Unit</t>
        </is>
      </c>
      <c r="C4996" t="inlineStr">
        <is>
          <t>SCS Global Services, Emeryville, CA, US</t>
        </is>
      </c>
      <c r="D4996" t="inlineStr">
        <is>
          <t>22.04.2027</t>
        </is>
      </c>
      <c r="E4996" t="inlineStr">
        <is>
          <t>China</t>
        </is>
      </c>
    </row>
    <row r="4997">
      <c r="A4997" t="inlineStr">
        <is>
          <t>Nanxiong Hanerchem Chemical Technology Co.,Ltd.,  Shaoguan, Guangdong Province, China</t>
        </is>
      </c>
      <c r="B4997" t="inlineStr">
        <is>
          <t>Processing Unit</t>
        </is>
      </c>
      <c r="C4997" t="inlineStr">
        <is>
          <t>SCS Global Services, Emeryville, CA, US</t>
        </is>
      </c>
      <c r="D4997" t="inlineStr">
        <is>
          <t>22.04.2027</t>
        </is>
      </c>
      <c r="E4997" t="inlineStr">
        <is>
          <t>China</t>
        </is>
      </c>
    </row>
    <row r="4998">
      <c r="A4998" t="inlineStr">
        <is>
          <t>Wah Fu Petroleum Company Limited,  Hongkong, Hong Kong, SAR, China</t>
        </is>
      </c>
      <c r="B4998" t="inlineStr">
        <is>
          <t>Trader with Storage</t>
        </is>
      </c>
      <c r="C4998" t="inlineStr">
        <is>
          <t>SCS Global Services, Emeryville, CA, US</t>
        </is>
      </c>
      <c r="D4998" t="inlineStr">
        <is>
          <t>22.04.2027</t>
        </is>
      </c>
      <c r="E4998" t="inlineStr">
        <is>
          <t>China</t>
        </is>
      </c>
    </row>
    <row r="4999">
      <c r="A4999" t="inlineStr">
        <is>
          <t>Sumatera Karya Agro,  Kabupaten Rokan Hulu, Provinsi Riau, Indonesia</t>
        </is>
      </c>
      <c r="B4999" t="inlineStr">
        <is>
          <t>Point of Origin</t>
        </is>
      </c>
      <c r="C4999" t="inlineStr">
        <is>
          <t>PT. Qualitas Sertifikasi Indonesia, Jakarta, ID</t>
        </is>
      </c>
      <c r="D4999" t="inlineStr">
        <is>
          <t>22.04.2027</t>
        </is>
      </c>
      <c r="E4999" t="inlineStr">
        <is>
          <t>Indonesia</t>
        </is>
      </c>
    </row>
    <row r="5000">
      <c r="A5000" t="inlineStr">
        <is>
          <t>BCP Trading Pte. Ltd.,  Singapore, 25-03 SBF Center, Singapore</t>
        </is>
      </c>
      <c r="B5000" t="inlineStr">
        <is>
          <t>Trader</t>
        </is>
      </c>
      <c r="C5000" t="inlineStr">
        <is>
          <t>SGS Germany GmbH, Emstek, DE</t>
        </is>
      </c>
      <c r="D5000" t="inlineStr">
        <is>
          <t>22.04.2027</t>
        </is>
      </c>
      <c r="E5000" t="inlineStr">
        <is>
          <t>Singapore</t>
        </is>
      </c>
    </row>
    <row r="5001">
      <c r="A5001" t="inlineStr">
        <is>
          <t>DEZHOU GUSHEN PROTEIN TECHNOLOGY CO.,LTD,  DEZHOU, China</t>
        </is>
      </c>
      <c r="B5001" t="inlineStr">
        <is>
          <t>Processing Unit</t>
        </is>
      </c>
      <c r="C5001" t="inlineStr">
        <is>
          <t>SGS Germany GmbH, Emstek, DE</t>
        </is>
      </c>
      <c r="D5001" t="inlineStr">
        <is>
          <t>22.04.2027</t>
        </is>
      </c>
      <c r="E5001" t="inlineStr">
        <is>
          <t>China</t>
        </is>
      </c>
    </row>
    <row r="5002">
      <c r="A5002" t="inlineStr">
        <is>
          <t>VIET NAM GOLDEN VICTORY COMPANY LIMITED,  Ninh Binh Province, Vietnam</t>
        </is>
      </c>
      <c r="B5002" t="inlineStr">
        <is>
          <t>Final Product Refinement, Processing Unit</t>
        </is>
      </c>
      <c r="C5002" t="inlineStr">
        <is>
          <t>SGS Germany GmbH, Emstek, DE</t>
        </is>
      </c>
      <c r="D5002" t="inlineStr">
        <is>
          <t>22.04.2027</t>
        </is>
      </c>
      <c r="E5002" t="inlineStr">
        <is>
          <t>Vietnam</t>
        </is>
      </c>
    </row>
    <row r="5003">
      <c r="A5003" t="inlineStr">
        <is>
          <t>FW Oil Trading GmbH,  Ústí nad Labem, Czech Republic</t>
        </is>
      </c>
      <c r="B5003" t="inlineStr">
        <is>
          <t>Trader</t>
        </is>
      </c>
      <c r="C5003" t="inlineStr">
        <is>
          <t>SGS Germany GmbH, Emstek, DE</t>
        </is>
      </c>
      <c r="D5003" t="inlineStr">
        <is>
          <t>22.04.2027</t>
        </is>
      </c>
      <c r="E5003" t="inlineStr">
        <is>
          <t>Czech Republic</t>
        </is>
      </c>
    </row>
    <row r="5004">
      <c r="A5004" t="inlineStr">
        <is>
          <t>BCP Trading Pte. Ltd.,  Singapore, 25-03 SBF Center, Singapore</t>
        </is>
      </c>
      <c r="B5004" t="inlineStr">
        <is>
          <t>Trader</t>
        </is>
      </c>
      <c r="C5004" t="inlineStr">
        <is>
          <t>SGS Germany GmbH, Emstek, DE</t>
        </is>
      </c>
      <c r="D5004" t="inlineStr">
        <is>
          <t>22.04.2027</t>
        </is>
      </c>
      <c r="E5004" t="inlineStr">
        <is>
          <t>Singapore</t>
        </is>
      </c>
    </row>
    <row r="5005">
      <c r="A5005" t="inlineStr">
        <is>
          <t>McNabb Grain Company,  McNabb, Illinois, United States</t>
        </is>
      </c>
      <c r="B5005" t="inlineStr">
        <is>
          <t>First Gathering Point</t>
        </is>
      </c>
      <c r="C5005" t="inlineStr">
        <is>
          <t>Control Union Poland Sp. z o.o., Zielona Gora, PL</t>
        </is>
      </c>
      <c r="D5005" t="inlineStr">
        <is>
          <t>22.04.2027</t>
        </is>
      </c>
      <c r="E5005" t="inlineStr">
        <is>
          <t>United States</t>
        </is>
      </c>
    </row>
    <row r="5006">
      <c r="A5006" t="inlineStr">
        <is>
          <t>McNabb Grain Company,  McNabb, Illinois, United States</t>
        </is>
      </c>
      <c r="B5006" t="inlineStr">
        <is>
          <t>First Gathering Point</t>
        </is>
      </c>
      <c r="C5006" t="inlineStr">
        <is>
          <t>Control Union Poland Sp. z o.o., Zielona Gora, PL</t>
        </is>
      </c>
      <c r="D5006" t="inlineStr">
        <is>
          <t>22.04.2027</t>
        </is>
      </c>
      <c r="E5006" t="inlineStr">
        <is>
          <t>United States</t>
        </is>
      </c>
    </row>
    <row r="5007">
      <c r="A5007" t="inlineStr">
        <is>
          <t>Leotech (Vietnam) Company Limited,  Hai Phong City,Vietnam, Vietnam</t>
        </is>
      </c>
      <c r="B5007" t="inlineStr">
        <is>
          <t>Processing Unit</t>
        </is>
      </c>
      <c r="C5007" t="inlineStr">
        <is>
          <t>SCS Global Services, Emeryville, CA, US</t>
        </is>
      </c>
      <c r="D5007" t="inlineStr">
        <is>
          <t>22.04.2027</t>
        </is>
      </c>
      <c r="E5007" t="inlineStr">
        <is>
          <t>Vietnam</t>
        </is>
      </c>
    </row>
    <row r="5008">
      <c r="A5008" t="inlineStr">
        <is>
          <t>Ingenio El Mante S.A de CV,  Cd. Mante, Mexico</t>
        </is>
      </c>
      <c r="B5008" t="inlineStr">
        <is>
          <t>Point of Origin</t>
        </is>
      </c>
      <c r="C5008" t="inlineStr">
        <is>
          <t>Control Union Poland Sp. z o.o., Zielona Gora, PL</t>
        </is>
      </c>
      <c r="D5008" t="inlineStr">
        <is>
          <t>22.04.2027</t>
        </is>
      </c>
      <c r="E5008" t="inlineStr">
        <is>
          <t>Mexico</t>
        </is>
      </c>
    </row>
    <row r="5009">
      <c r="A5009" t="inlineStr">
        <is>
          <t>SN Seixal Siderurgia Nacional,  Aldeia de Paio Pires, Seixal, Portugal</t>
        </is>
      </c>
      <c r="B5009" t="inlineStr">
        <is>
          <t>Collecting Point, Processing Unit, Point of Origin</t>
        </is>
      </c>
      <c r="C5009" t="inlineStr">
        <is>
          <t>TÜV NORD CERT GmbH, Essen, DE</t>
        </is>
      </c>
      <c r="D5009" t="inlineStr">
        <is>
          <t>22.04.2027</t>
        </is>
      </c>
      <c r="E5009" t="inlineStr">
        <is>
          <t>Portugal</t>
        </is>
      </c>
    </row>
    <row r="5010">
      <c r="A5010" t="inlineStr">
        <is>
          <t>PYRO REFINE CO., LTD.,  Samut-sakorn, Thailand</t>
        </is>
      </c>
      <c r="B5010" t="inlineStr">
        <is>
          <t>Collecting Point, Processing Unit, Trader with Storage</t>
        </is>
      </c>
      <c r="C5010" t="inlineStr">
        <is>
          <t>SGS Germany GmbH, Emstek, DE</t>
        </is>
      </c>
      <c r="D5010" t="inlineStr">
        <is>
          <t>22.04.2027</t>
        </is>
      </c>
      <c r="E5010" t="inlineStr">
        <is>
          <t>Thailand</t>
        </is>
      </c>
    </row>
    <row r="5011">
      <c r="A5011" t="inlineStr">
        <is>
          <t>Tampico Renewable Energy SAPI de CV,  Cd. Mante, Mexico</t>
        </is>
      </c>
      <c r="B5011" t="inlineStr">
        <is>
          <t>Processing Unit</t>
        </is>
      </c>
      <c r="C5011" t="inlineStr">
        <is>
          <t>Control Union Poland Sp. z o.o., Zielona Gora, PL</t>
        </is>
      </c>
      <c r="D5011" t="inlineStr">
        <is>
          <t>22.04.2027</t>
        </is>
      </c>
      <c r="E5011" t="inlineStr">
        <is>
          <t>Mexico</t>
        </is>
      </c>
    </row>
    <row r="5012">
      <c r="A5012" t="inlineStr">
        <is>
          <t>B. Braun Melsungen AG,  Melsungen, Germany</t>
        </is>
      </c>
      <c r="B5012" t="inlineStr">
        <is>
          <t>Processing Unit</t>
        </is>
      </c>
      <c r="C5012" t="inlineStr">
        <is>
          <t>TÜV SÜD Industrie Service GmbH, München, DE</t>
        </is>
      </c>
      <c r="D5012" t="inlineStr">
        <is>
          <t>22.04.2027</t>
        </is>
      </c>
      <c r="E5012" t="inlineStr">
        <is>
          <t>Germany</t>
        </is>
      </c>
    </row>
    <row r="5013">
      <c r="A5013" t="inlineStr">
        <is>
          <t>CFM VICTORIA,  KOO WEE RUP, Australia</t>
        </is>
      </c>
      <c r="B5013" t="inlineStr">
        <is>
          <t>Collecting Point, Trader with Storage</t>
        </is>
      </c>
      <c r="C5013" t="inlineStr">
        <is>
          <t>Control Union Certifications Germany GmbH, Berlin, DE</t>
        </is>
      </c>
      <c r="D5013" t="inlineStr">
        <is>
          <t>22.04.2027</t>
        </is>
      </c>
      <c r="E5013" t="inlineStr">
        <is>
          <t>Australia</t>
        </is>
      </c>
    </row>
    <row r="5014">
      <c r="A5014" t="inlineStr">
        <is>
          <t>Martellato Srl,  Noventa Padovana, Italy</t>
        </is>
      </c>
      <c r="B5014" t="inlineStr">
        <is>
          <t>Final Product Refinement, Processing Unit</t>
        </is>
      </c>
      <c r="C5014" t="inlineStr">
        <is>
          <t>Bureau Veritas Polska Sp. z o.o., Warsaw, PL</t>
        </is>
      </c>
      <c r="D5014" t="inlineStr">
        <is>
          <t>21.04.2027</t>
        </is>
      </c>
      <c r="E5014" t="inlineStr">
        <is>
          <t>Italy</t>
        </is>
      </c>
    </row>
    <row r="5015">
      <c r="A5015" t="inlineStr">
        <is>
          <t>Lamor Recycling,  Kulloo, Finland</t>
        </is>
      </c>
      <c r="B5015" t="inlineStr">
        <is>
          <t>Collecting Point, Processing Unit</t>
        </is>
      </c>
      <c r="C5015" t="inlineStr">
        <is>
          <t>Bureau Veritas Polska Sp. z o.o., Warsaw, PL</t>
        </is>
      </c>
      <c r="D5015" t="inlineStr">
        <is>
          <t>21.04.2027</t>
        </is>
      </c>
      <c r="E5015" t="inlineStr">
        <is>
          <t>Finland</t>
        </is>
      </c>
    </row>
    <row r="5016">
      <c r="A5016" t="inlineStr">
        <is>
          <t>Naftogaz Slovakia s.r.o.,  Bratislava, Slovakia</t>
        </is>
      </c>
      <c r="B5016" t="inlineStr">
        <is>
          <t>Trader</t>
        </is>
      </c>
      <c r="C5016" t="inlineStr">
        <is>
          <t>Bureau Veritas Polska Sp. z o.o., Warsaw, PL</t>
        </is>
      </c>
      <c r="D5016" t="inlineStr">
        <is>
          <t>21.04.2027</t>
        </is>
      </c>
      <c r="E5016" t="inlineStr">
        <is>
          <t>Slovakia</t>
        </is>
      </c>
    </row>
    <row r="5017">
      <c r="A5017" t="inlineStr">
        <is>
          <t>GRP Limited,  Solapur, India</t>
        </is>
      </c>
      <c r="B5017" t="inlineStr">
        <is>
          <t>Collecting Point, Processing Unit</t>
        </is>
      </c>
      <c r="C5017" t="inlineStr">
        <is>
          <t>TÜV SÜD Industrie Service GmbH, München, DE</t>
        </is>
      </c>
      <c r="D5017" t="inlineStr">
        <is>
          <t>21.04.2027</t>
        </is>
      </c>
      <c r="E5017" t="inlineStr">
        <is>
          <t>India</t>
        </is>
      </c>
    </row>
    <row r="5018">
      <c r="A5018" t="inlineStr">
        <is>
          <t>Fayre Oaks Ltd,  Wrington, Bristol, The United Kingdom</t>
        </is>
      </c>
      <c r="B5018" t="inlineStr">
        <is>
          <t>Collecting Point, Trader</t>
        </is>
      </c>
      <c r="C5018" t="inlineStr">
        <is>
          <t>SGS Germany GmbH, Emstek, DE</t>
        </is>
      </c>
      <c r="D5018" t="inlineStr">
        <is>
          <t>21.04.2027</t>
        </is>
      </c>
      <c r="E5018" t="inlineStr">
        <is>
          <t>The United Kingdom</t>
        </is>
      </c>
    </row>
    <row r="5019">
      <c r="A5019" t="inlineStr">
        <is>
          <t>ASP OIL SINGLE MEMBER P.C.,  Charkia, Rethymno, Greece</t>
        </is>
      </c>
      <c r="B5019" t="inlineStr">
        <is>
          <t>Collecting Point</t>
        </is>
      </c>
      <c r="C5019" t="inlineStr">
        <is>
          <t>Eurocert SA, Metamorfosi, Athens, GR</t>
        </is>
      </c>
      <c r="D5019" t="inlineStr">
        <is>
          <t>21.04.2027</t>
        </is>
      </c>
      <c r="E5019" t="inlineStr">
        <is>
          <t>Greece</t>
        </is>
      </c>
    </row>
    <row r="5020">
      <c r="A5020" t="inlineStr">
        <is>
          <t>SD Guthrie Berhad,  Carey Island, Malaysia</t>
        </is>
      </c>
      <c r="B5020" t="inlineStr">
        <is>
          <t>Point of Origin</t>
        </is>
      </c>
      <c r="C5020" t="inlineStr">
        <is>
          <t>agroVet GmbH, Enzersfeld, AT</t>
        </is>
      </c>
      <c r="D5020" t="inlineStr">
        <is>
          <t>21.04.2027</t>
        </is>
      </c>
      <c r="E5020" t="inlineStr">
        <is>
          <t>Malaysia</t>
        </is>
      </c>
    </row>
    <row r="5021">
      <c r="A5021" t="inlineStr">
        <is>
          <t>Dan - Slovakia Agrar, a.s.,  Veľký Meder, Slovakia</t>
        </is>
      </c>
      <c r="B5021" t="inlineStr">
        <is>
          <t>Farm / Plantation, First Gathering Point</t>
        </is>
      </c>
      <c r="C5021" t="inlineStr">
        <is>
          <t>SGS Germany GmbH, Emstek, DE</t>
        </is>
      </c>
      <c r="D5021" t="inlineStr">
        <is>
          <t>21.04.2027</t>
        </is>
      </c>
      <c r="E5021" t="inlineStr">
        <is>
          <t>Slovakia</t>
        </is>
      </c>
    </row>
    <row r="5022">
      <c r="A5022" t="inlineStr">
        <is>
          <t>BJK INDUSTRIES (PTY) LTD - CRF,  Mpumalanga, Greylingstad, South Africa</t>
        </is>
      </c>
      <c r="B5022" t="inlineStr">
        <is>
          <t>Point of Origin</t>
        </is>
      </c>
      <c r="C5022" t="inlineStr">
        <is>
          <t>SGS Germany GmbH, Emstek, DE</t>
        </is>
      </c>
      <c r="D5022" t="inlineStr">
        <is>
          <t>21.04.2027</t>
        </is>
      </c>
      <c r="E5022" t="inlineStr">
        <is>
          <t>South Africa</t>
        </is>
      </c>
    </row>
    <row r="5023">
      <c r="A5023" t="inlineStr">
        <is>
          <t>BJK INDUSTRIES (PTY) LTD - CRF,  Mpumalanga, Greylingstad, South Africa</t>
        </is>
      </c>
      <c r="B5023" t="inlineStr">
        <is>
          <t>Point of Origin</t>
        </is>
      </c>
      <c r="C5023" t="inlineStr">
        <is>
          <t>SGS Germany GmbH, Emstek, DE</t>
        </is>
      </c>
      <c r="D5023" t="inlineStr">
        <is>
          <t>21.04.2027</t>
        </is>
      </c>
      <c r="E5023" t="inlineStr">
        <is>
          <t>South Africa</t>
        </is>
      </c>
    </row>
    <row r="5024">
      <c r="A5024" t="inlineStr">
        <is>
          <t>Sewoong Bio,  Jeollabuk-do, Gimje-si, Korea, Republic of</t>
        </is>
      </c>
      <c r="B5024" t="inlineStr">
        <is>
          <t>Collecting Point, Processing Unit, Trader with Storage</t>
        </is>
      </c>
      <c r="C5024" t="inlineStr">
        <is>
          <t>SGS Germany GmbH, Emstek, DE</t>
        </is>
      </c>
      <c r="D5024" t="inlineStr">
        <is>
          <t>21.04.2027</t>
        </is>
      </c>
      <c r="E5024" t="inlineStr">
        <is>
          <t>Republic of</t>
        </is>
      </c>
    </row>
    <row r="5025">
      <c r="A5025" t="inlineStr">
        <is>
          <t>FGV Iffco Trading SDN BHD,  Kuala Lumpur, Malaysia</t>
        </is>
      </c>
      <c r="B5025" t="inlineStr">
        <is>
          <t>Trader with Storage</t>
        </is>
      </c>
      <c r="C5025" t="inlineStr">
        <is>
          <t>Control Union Certifications Germany GmbH, Berlin, DE</t>
        </is>
      </c>
      <c r="D5025" t="inlineStr">
        <is>
          <t>21.04.2027</t>
        </is>
      </c>
      <c r="E5025" t="inlineStr">
        <is>
          <t>Malaysia</t>
        </is>
      </c>
    </row>
    <row r="5026">
      <c r="A5026" t="inlineStr">
        <is>
          <t>FOLI YOUNG CO., LTD.,  ShenZhen, China</t>
        </is>
      </c>
      <c r="B5026" t="inlineStr">
        <is>
          <t>Trader</t>
        </is>
      </c>
      <c r="C5026" t="inlineStr">
        <is>
          <t>SCS Global Services, Emeryville, CA, US</t>
        </is>
      </c>
      <c r="D5026" t="inlineStr">
        <is>
          <t>21.04.2027</t>
        </is>
      </c>
      <c r="E5026" t="inlineStr">
        <is>
          <t>China</t>
        </is>
      </c>
    </row>
    <row r="5027">
      <c r="A5027" t="inlineStr">
        <is>
          <t>KURARAY PLASTICS CO.,LTD.,  Gifu, Fuwa-gun, Japan</t>
        </is>
      </c>
      <c r="B5027" t="inlineStr">
        <is>
          <t>Processing Unit</t>
        </is>
      </c>
      <c r="C5027" t="inlineStr">
        <is>
          <t>Control Union Certifications Germany GmbH, Berlin, DE</t>
        </is>
      </c>
      <c r="D5027" t="inlineStr">
        <is>
          <t>21.04.2027</t>
        </is>
      </c>
      <c r="E5027" t="inlineStr">
        <is>
          <t>Japan</t>
        </is>
      </c>
    </row>
    <row r="5028">
      <c r="A5028" t="inlineStr">
        <is>
          <t>Catom Distribution B.V.,  CL Breda, Netherlands</t>
        </is>
      </c>
      <c r="B5028" t="inlineStr">
        <is>
          <t>Trader with Storage, Proof of Compliance Trader</t>
        </is>
      </c>
      <c r="C5028" t="inlineStr">
        <is>
          <t>Control Union Certifications Germany GmbH, Berlin, DE</t>
        </is>
      </c>
      <c r="D5028" t="inlineStr">
        <is>
          <t>21.04.2027</t>
        </is>
      </c>
      <c r="E5028" t="inlineStr">
        <is>
          <t>Netherlands</t>
        </is>
      </c>
    </row>
    <row r="5029">
      <c r="A5029" t="inlineStr">
        <is>
          <t>RISUPACK,  INUYAMA CITY, Japan</t>
        </is>
      </c>
      <c r="B5029" t="inlineStr">
        <is>
          <t>Processing Unit</t>
        </is>
      </c>
      <c r="C5029" t="inlineStr">
        <is>
          <t>SCS Global Services, Emeryville, CA, US</t>
        </is>
      </c>
      <c r="D5029" t="inlineStr">
        <is>
          <t>21.04.2027</t>
        </is>
      </c>
      <c r="E5029" t="inlineStr">
        <is>
          <t>Japan</t>
        </is>
      </c>
    </row>
    <row r="5030">
      <c r="A5030" t="inlineStr">
        <is>
          <t>Freepoint Commodities Singapore Pte Ltd,  Singapore, Singapore</t>
        </is>
      </c>
      <c r="B5030" t="inlineStr">
        <is>
          <t>Trader</t>
        </is>
      </c>
      <c r="C5030" t="inlineStr">
        <is>
          <t>ASG Cert GmbH, Munich, DE</t>
        </is>
      </c>
      <c r="D5030" t="inlineStr">
        <is>
          <t>21.04.2027</t>
        </is>
      </c>
      <c r="E5030" t="inlineStr">
        <is>
          <t>Singapore</t>
        </is>
      </c>
    </row>
    <row r="5031">
      <c r="A5031" t="inlineStr">
        <is>
          <t>Freepoint Commodities Singapore Pte Ltd,  Singapore, Singapore</t>
        </is>
      </c>
      <c r="B5031" t="inlineStr">
        <is>
          <t>Trader</t>
        </is>
      </c>
      <c r="C5031" t="inlineStr">
        <is>
          <t>ASG Cert GmbH, Munich, DE</t>
        </is>
      </c>
      <c r="D5031" t="inlineStr">
        <is>
          <t>21.04.2027</t>
        </is>
      </c>
      <c r="E5031" t="inlineStr">
        <is>
          <t>Singapore</t>
        </is>
      </c>
    </row>
    <row r="5032">
      <c r="A5032" t="inlineStr">
        <is>
          <t>Sunpor Kunststoff GmbH,  St. Pölten, Austria</t>
        </is>
      </c>
      <c r="B5032" t="inlineStr">
        <is>
          <t>Processing Unit, Point of Origin</t>
        </is>
      </c>
      <c r="C5032" t="inlineStr">
        <is>
          <t>DIN CERTCO GmbH, Berlin, DE</t>
        </is>
      </c>
      <c r="D5032" t="inlineStr">
        <is>
          <t>21.04.2027</t>
        </is>
      </c>
      <c r="E5032" t="inlineStr">
        <is>
          <t>Austria</t>
        </is>
      </c>
    </row>
    <row r="5033">
      <c r="A5033" t="inlineStr">
        <is>
          <t>Petaling Mandraguna,  Kab. Muaro Jambi, Indonesia</t>
        </is>
      </c>
      <c r="B5033" t="inlineStr">
        <is>
          <t>Point of Origin</t>
        </is>
      </c>
      <c r="C5033" t="inlineStr">
        <is>
          <t>PT. Qualitas Sertifikasi Indonesia, Jakarta, ID</t>
        </is>
      </c>
      <c r="D5033" t="inlineStr">
        <is>
          <t>21.04.2027</t>
        </is>
      </c>
      <c r="E5033" t="inlineStr">
        <is>
          <t>Indonesia</t>
        </is>
      </c>
    </row>
    <row r="5034">
      <c r="A5034" t="inlineStr">
        <is>
          <t>Tokai Carbon CB LTD,  Borger, Texas, United States</t>
        </is>
      </c>
      <c r="B5034" t="inlineStr">
        <is>
          <t>Processing Unit</t>
        </is>
      </c>
      <c r="C5034" t="inlineStr">
        <is>
          <t>SCS Global Services, Emeryville, CA, US</t>
        </is>
      </c>
      <c r="D5034" t="inlineStr">
        <is>
          <t>21.04.2027</t>
        </is>
      </c>
      <c r="E5034" t="inlineStr">
        <is>
          <t>United States</t>
        </is>
      </c>
    </row>
    <row r="5035">
      <c r="A5035" t="inlineStr">
        <is>
          <t>Haltermann Carless UK Ltd,  Harwich, Essex, United Kingdom</t>
        </is>
      </c>
      <c r="B5035" t="inlineStr">
        <is>
          <t>Trader with Storage</t>
        </is>
      </c>
      <c r="C5035" t="inlineStr">
        <is>
          <t>DEKRA Certification B.V., Arnhem, NL</t>
        </is>
      </c>
      <c r="D5035" t="inlineStr">
        <is>
          <t>21.04.2027</t>
        </is>
      </c>
      <c r="E5035" t="inlineStr">
        <is>
          <t>United Kingdom</t>
        </is>
      </c>
    </row>
    <row r="5036">
      <c r="A5036" t="inlineStr">
        <is>
          <t>Haltermann Carless UK Ltd,  Harwich, Essex, United Kingdom</t>
        </is>
      </c>
      <c r="B5036" t="inlineStr">
        <is>
          <t>Trader with Storage</t>
        </is>
      </c>
      <c r="C5036" t="inlineStr">
        <is>
          <t>DEKRA Certification B.V., Arnhem, NL</t>
        </is>
      </c>
      <c r="D5036" t="inlineStr">
        <is>
          <t>21.04.2027</t>
        </is>
      </c>
      <c r="E5036" t="inlineStr">
        <is>
          <t>United Kingdom</t>
        </is>
      </c>
    </row>
    <row r="5037">
      <c r="A5037" t="inlineStr">
        <is>
          <t>S.B. Trans &amp; Spedition Kft.,  Dabas, Hungary</t>
        </is>
      </c>
      <c r="B5037" t="inlineStr">
        <is>
          <t>First Gathering Point, Trader with Storage</t>
        </is>
      </c>
      <c r="C5037" t="inlineStr">
        <is>
          <t>BM Certification, Riga, LV</t>
        </is>
      </c>
      <c r="D5037" t="inlineStr">
        <is>
          <t>21.04.2027</t>
        </is>
      </c>
      <c r="E5037" t="inlineStr">
        <is>
          <t>Hungary</t>
        </is>
      </c>
    </row>
    <row r="5038">
      <c r="A5038" t="inlineStr">
        <is>
          <t>Jiangyin Mengjia Nonwoven Fabric Co., Ltd.,  gushan, jiangyin, China</t>
        </is>
      </c>
      <c r="B5038" t="inlineStr">
        <is>
          <t>Final Product Refinement</t>
        </is>
      </c>
      <c r="C5038" t="inlineStr">
        <is>
          <t>SGS Germany GmbH, Emstek, DE</t>
        </is>
      </c>
      <c r="D5038" t="inlineStr">
        <is>
          <t>21.04.2027</t>
        </is>
      </c>
      <c r="E5038" t="inlineStr">
        <is>
          <t>China</t>
        </is>
      </c>
    </row>
    <row r="5039">
      <c r="A5039" t="inlineStr">
        <is>
          <t>Avenir Marine Limited,  London, United Kingdom</t>
        </is>
      </c>
      <c r="B5039" t="inlineStr">
        <is>
          <t>Trader</t>
        </is>
      </c>
      <c r="C5039" t="inlineStr">
        <is>
          <t>SGS Germany GmbH, Emstek, DE</t>
        </is>
      </c>
      <c r="D5039" t="inlineStr">
        <is>
          <t>21.04.2027</t>
        </is>
      </c>
      <c r="E5039" t="inlineStr">
        <is>
          <t>United Kingdom</t>
        </is>
      </c>
    </row>
    <row r="5040">
      <c r="A5040" t="inlineStr">
        <is>
          <t>Shandong Chambroad Sinopoly New Materials Co., Ltd,  Boxing County Binzhou City, China</t>
        </is>
      </c>
      <c r="B5040" t="inlineStr">
        <is>
          <t>Processing Unit</t>
        </is>
      </c>
      <c r="C5040" t="inlineStr">
        <is>
          <t>SGS Germany GmbH, Emstek, DE</t>
        </is>
      </c>
      <c r="D5040" t="inlineStr">
        <is>
          <t>21.04.2027</t>
        </is>
      </c>
      <c r="E5040" t="inlineStr">
        <is>
          <t>China</t>
        </is>
      </c>
    </row>
    <row r="5041">
      <c r="A5041" t="inlineStr">
        <is>
          <t>NYK Trading Corporation,  Tokyo, Japan</t>
        </is>
      </c>
      <c r="B5041" t="inlineStr">
        <is>
          <t>Trader</t>
        </is>
      </c>
      <c r="C5041" t="inlineStr">
        <is>
          <t>SGS Germany GmbH, Emstek, DE</t>
        </is>
      </c>
      <c r="D5041" t="inlineStr">
        <is>
          <t>21.04.2027</t>
        </is>
      </c>
      <c r="E5041" t="inlineStr">
        <is>
          <t>Japan</t>
        </is>
      </c>
    </row>
    <row r="5042">
      <c r="A5042" t="inlineStr">
        <is>
          <t>NYK Trading Corporation,  Tokyo, Japan</t>
        </is>
      </c>
      <c r="B5042" t="inlineStr">
        <is>
          <t>Trader, Proof of Compliance Trader</t>
        </is>
      </c>
      <c r="C5042" t="inlineStr">
        <is>
          <t>SGS Germany GmbH, Emstek, DE</t>
        </is>
      </c>
      <c r="D5042" t="inlineStr">
        <is>
          <t>21.04.2027</t>
        </is>
      </c>
      <c r="E5042" t="inlineStr">
        <is>
          <t>Japan</t>
        </is>
      </c>
    </row>
    <row r="5043">
      <c r="A5043" t="inlineStr">
        <is>
          <t>JT Oil Palm Development Sdn Bhd (Wealth Houses CPO Mill) Sdn Bhd,  Sibu, Malaysia</t>
        </is>
      </c>
      <c r="B5043" t="inlineStr">
        <is>
          <t>Point of Origin</t>
        </is>
      </c>
      <c r="C5043" t="inlineStr">
        <is>
          <t>NIOSH Certification Sdn. Bhd., Selangor Darul Ehsan, MY</t>
        </is>
      </c>
      <c r="D5043" t="inlineStr">
        <is>
          <t>21.04.2027</t>
        </is>
      </c>
      <c r="E5043" t="inlineStr">
        <is>
          <t>Malaysia</t>
        </is>
      </c>
    </row>
    <row r="5044">
      <c r="A5044" t="inlineStr">
        <is>
          <t>Maxiwealth Holdings Sdn Bhd (Lassa CPO Mill),  Mukah, Malaysia</t>
        </is>
      </c>
      <c r="B5044" t="inlineStr">
        <is>
          <t>Point of Origin</t>
        </is>
      </c>
      <c r="C5044" t="inlineStr">
        <is>
          <t>NIOSH Certification Sdn. Bhd., Selangor Darul Ehsan, MY</t>
        </is>
      </c>
      <c r="D5044" t="inlineStr">
        <is>
          <t>21.04.2027</t>
        </is>
      </c>
      <c r="E5044" t="inlineStr">
        <is>
          <t>Malaysia</t>
        </is>
      </c>
    </row>
    <row r="5045">
      <c r="A5045" t="inlineStr">
        <is>
          <t>Hangzhou Deyu Environmental Protection Co., Ltd.,  Hangzhou City, Zhejiang Province, China</t>
        </is>
      </c>
      <c r="B5045" t="inlineStr">
        <is>
          <t>Trader</t>
        </is>
      </c>
      <c r="C5045" t="inlineStr">
        <is>
          <t>SCS Global Services, Emeryville, CA, US</t>
        </is>
      </c>
      <c r="D5045" t="inlineStr">
        <is>
          <t>21.04.2027</t>
        </is>
      </c>
      <c r="E5045" t="inlineStr">
        <is>
          <t>China</t>
        </is>
      </c>
    </row>
    <row r="5046">
      <c r="A5046" t="inlineStr">
        <is>
          <t>Shandong Taiyue Green Energy New Energy Co., Ltd.,  Rizhao Economic Development Zone, Shandong, China</t>
        </is>
      </c>
      <c r="B5046" t="inlineStr">
        <is>
          <t>Trader</t>
        </is>
      </c>
      <c r="C5046" t="inlineStr">
        <is>
          <t>China Standard Conformity Assessment Co. Ltd, Beijing, CN</t>
        </is>
      </c>
      <c r="D5046" t="inlineStr">
        <is>
          <t>21.04.2027</t>
        </is>
      </c>
      <c r="E5046" t="inlineStr">
        <is>
          <t>China</t>
        </is>
      </c>
    </row>
    <row r="5047">
      <c r="A5047" t="inlineStr">
        <is>
          <t>Shandong Taiyue Green Energy New Energy Co., Ltd.,  Rizhao Economic Development Zone, Shandong, China</t>
        </is>
      </c>
      <c r="B5047" t="inlineStr">
        <is>
          <t>Trader</t>
        </is>
      </c>
      <c r="C5047" t="inlineStr">
        <is>
          <t>China Standard Conformity Assessment Co. Ltd, Beijing, CN</t>
        </is>
      </c>
      <c r="D5047" t="inlineStr">
        <is>
          <t>21.04.2027</t>
        </is>
      </c>
      <c r="E5047" t="inlineStr">
        <is>
          <t>China</t>
        </is>
      </c>
    </row>
    <row r="5048">
      <c r="A5048" t="inlineStr">
        <is>
          <t>Renewex B.V.,  Amsterdam, Netherlands</t>
        </is>
      </c>
      <c r="B5048" t="inlineStr">
        <is>
          <t>Trader</t>
        </is>
      </c>
      <c r="C5048" t="inlineStr">
        <is>
          <t>Trans Certification and Inspection Sdn Bhd, Kuantan, MY</t>
        </is>
      </c>
      <c r="D5048" t="inlineStr">
        <is>
          <t>21.04.2027</t>
        </is>
      </c>
      <c r="E5048" t="inlineStr">
        <is>
          <t>Netherlands</t>
        </is>
      </c>
    </row>
    <row r="5049">
      <c r="A5049" t="inlineStr">
        <is>
          <t>KİMTEKS POLİÜRETAN SANAYİ VE TİCARET A.Ş.,  DÜZCE, Turkey</t>
        </is>
      </c>
      <c r="B5049" t="inlineStr">
        <is>
          <t>Processing Unit</t>
        </is>
      </c>
      <c r="C5049" t="inlineStr">
        <is>
          <t>BM Certification, Riga, LV</t>
        </is>
      </c>
      <c r="D5049" t="inlineStr">
        <is>
          <t>21.04.2027</t>
        </is>
      </c>
      <c r="E5049" t="inlineStr">
        <is>
          <t>Turkey</t>
        </is>
      </c>
    </row>
    <row r="5050">
      <c r="A5050" t="inlineStr">
        <is>
          <t>KİMTEKS POLİÜRETAN SANAYİ VE TİCARET A.Ş.,  GEBZE, Turkey</t>
        </is>
      </c>
      <c r="B5050" t="inlineStr">
        <is>
          <t>Processing Unit</t>
        </is>
      </c>
      <c r="C5050" t="inlineStr">
        <is>
          <t>BM Certification, Riga, LV</t>
        </is>
      </c>
      <c r="D5050" t="inlineStr">
        <is>
          <t>21.04.2027</t>
        </is>
      </c>
      <c r="E5050" t="inlineStr">
        <is>
          <t>Turkey</t>
        </is>
      </c>
    </row>
    <row r="5051">
      <c r="A5051" t="inlineStr">
        <is>
          <t>EXXONMOBIL ASIA PACIFIC PTE. LTD.,  SINGAPORE, Singapore</t>
        </is>
      </c>
      <c r="B5051" t="inlineStr">
        <is>
          <t>Processing Unit, Trader with Storage</t>
        </is>
      </c>
      <c r="C5051" t="inlineStr">
        <is>
          <t>Control Union Certifications Germany GmbH, Berlin, DE</t>
        </is>
      </c>
      <c r="D5051" t="inlineStr">
        <is>
          <t>21.04.2027</t>
        </is>
      </c>
      <c r="E5051" t="inlineStr">
        <is>
          <t>Singapore</t>
        </is>
      </c>
    </row>
    <row r="5052">
      <c r="A5052" t="inlineStr">
        <is>
          <t>Emer sp. z o.o.,  Korycin, Poland</t>
        </is>
      </c>
      <c r="B5052" t="inlineStr">
        <is>
          <t>Collecting Point, Point of Origin, Trader with Storage</t>
        </is>
      </c>
      <c r="C5052" t="inlineStr">
        <is>
          <t>Control Union Poland Sp. z o.o., Zielona Gora, PL</t>
        </is>
      </c>
      <c r="D5052" t="inlineStr">
        <is>
          <t>21.04.2027</t>
        </is>
      </c>
      <c r="E5052" t="inlineStr">
        <is>
          <t>Poland</t>
        </is>
      </c>
    </row>
    <row r="5053">
      <c r="A5053" t="inlineStr">
        <is>
          <t>Nolato MediTor AB,  Torekov, Sweden</t>
        </is>
      </c>
      <c r="B5053" t="inlineStr">
        <is>
          <t>Processing Unit</t>
        </is>
      </c>
      <c r="C5053" t="inlineStr">
        <is>
          <t>DNV Business Assurance Sweden AB, Solna, SE</t>
        </is>
      </c>
      <c r="D5053" t="inlineStr">
        <is>
          <t>21.04.2027</t>
        </is>
      </c>
      <c r="E5053" t="inlineStr">
        <is>
          <t>Sweden</t>
        </is>
      </c>
    </row>
    <row r="5054">
      <c r="A5054" t="inlineStr">
        <is>
          <t>Changsha Rongsheng Oil Recovery Co., Ltd,  Ningxiang, Changsha, Hunan, China</t>
        </is>
      </c>
      <c r="B5054" t="inlineStr">
        <is>
          <t>Collecting Point</t>
        </is>
      </c>
      <c r="C5054" t="inlineStr">
        <is>
          <t>RINA Services S.p.A., Genova, IT</t>
        </is>
      </c>
      <c r="D5054" t="inlineStr">
        <is>
          <t>21.04.2027</t>
        </is>
      </c>
      <c r="E5054" t="inlineStr">
        <is>
          <t>China</t>
        </is>
      </c>
    </row>
    <row r="5055">
      <c r="A5055" t="inlineStr">
        <is>
          <t>Arkema,  Alsip, United States</t>
        </is>
      </c>
      <c r="B5055" t="inlineStr">
        <is>
          <t>Processing Unit</t>
        </is>
      </c>
      <c r="C5055" t="inlineStr">
        <is>
          <t>DNV Business Assurance Sweden AB, Solna, SE</t>
        </is>
      </c>
      <c r="D5055" t="inlineStr">
        <is>
          <t>21.04.2027</t>
        </is>
      </c>
      <c r="E5055" t="inlineStr">
        <is>
          <t>United States</t>
        </is>
      </c>
    </row>
    <row r="5056">
      <c r="A5056" t="inlineStr">
        <is>
          <t>HD Hyundai Marine Solution Co., Ltd.,  Seongnam-si, Korea, Republic of</t>
        </is>
      </c>
      <c r="B5056" t="inlineStr">
        <is>
          <t>Trader</t>
        </is>
      </c>
      <c r="C5056" t="inlineStr">
        <is>
          <t>Control Union Certifications Germany GmbH, Berlin, DE</t>
        </is>
      </c>
      <c r="D5056" t="inlineStr">
        <is>
          <t>21.04.2027</t>
        </is>
      </c>
      <c r="E5056" t="inlineStr">
        <is>
          <t>Republic of</t>
        </is>
      </c>
    </row>
    <row r="5057">
      <c r="A5057" t="inlineStr">
        <is>
          <t>MAZZUCCHELLI VIET NAM COMPANY LIMITED,  Bac Ninh province, Vietnam</t>
        </is>
      </c>
      <c r="B5057" t="inlineStr">
        <is>
          <t>Processing Unit</t>
        </is>
      </c>
      <c r="C5057" t="inlineStr">
        <is>
          <t>Bureau Veritas Polska Sp. z o.o., Warsaw, PL</t>
        </is>
      </c>
      <c r="D5057" t="inlineStr">
        <is>
          <t>21.04.2027</t>
        </is>
      </c>
      <c r="E5057" t="inlineStr">
        <is>
          <t>Vietnam</t>
        </is>
      </c>
    </row>
    <row r="5058">
      <c r="A5058" t="inlineStr">
        <is>
          <t>SD Guthrie Berhad - Tennamaram Palm Oil Mill,  Bestari Jaya, Selangor, Malaysia</t>
        </is>
      </c>
      <c r="B5058" t="inlineStr">
        <is>
          <t>Point of Origin</t>
        </is>
      </c>
      <c r="C5058" t="inlineStr">
        <is>
          <t>agroVet GmbH, Enzersfeld, AT</t>
        </is>
      </c>
      <c r="D5058" t="inlineStr">
        <is>
          <t>21.04.2027</t>
        </is>
      </c>
      <c r="E5058" t="inlineStr">
        <is>
          <t>Malaysia</t>
        </is>
      </c>
    </row>
    <row r="5059">
      <c r="A5059" t="inlineStr">
        <is>
          <t>Ina Industrija nafte d.d.,  Kostrena, Croatia</t>
        </is>
      </c>
      <c r="B5059" t="inlineStr">
        <is>
          <t>Processing Unit</t>
        </is>
      </c>
      <c r="C5059" t="inlineStr">
        <is>
          <t>Bureau Veritas Polska Sp. z o.o., Warsaw, PL</t>
        </is>
      </c>
      <c r="D5059" t="inlineStr">
        <is>
          <t>21.04.2027</t>
        </is>
      </c>
      <c r="E5059" t="inlineStr">
        <is>
          <t>Croatia</t>
        </is>
      </c>
    </row>
    <row r="5060">
      <c r="A5060" t="inlineStr">
        <is>
          <t>Best Natural Kft.,  Érd, Hungary</t>
        </is>
      </c>
      <c r="B5060" t="inlineStr">
        <is>
          <t>Collecting Point</t>
        </is>
      </c>
      <c r="C5060" t="inlineStr">
        <is>
          <t>SGS Germany GmbH, Emstek, DE</t>
        </is>
      </c>
      <c r="D5060" t="inlineStr">
        <is>
          <t>21.04.2027</t>
        </is>
      </c>
      <c r="E5060" t="inlineStr">
        <is>
          <t>Hungary</t>
        </is>
      </c>
    </row>
    <row r="5061">
      <c r="A5061" t="inlineStr">
        <is>
          <t>LONG FA SHOES INDUSTRIAL (HUIZHOU) CO., LTD.,  Huizhou city, China</t>
        </is>
      </c>
      <c r="B5061" t="inlineStr">
        <is>
          <t>Processing Unit</t>
        </is>
      </c>
      <c r="C5061" t="inlineStr">
        <is>
          <t>SGS Germany GmbH, Emstek, DE</t>
        </is>
      </c>
      <c r="D5061" t="inlineStr">
        <is>
          <t>21.04.2027</t>
        </is>
      </c>
      <c r="E5061" t="inlineStr">
        <is>
          <t>China</t>
        </is>
      </c>
    </row>
    <row r="5062">
      <c r="A5062" t="inlineStr">
        <is>
          <t>POLTAVSKY VEGETABLE OIL EXTRACTION PLANT - KERNEL GROUP,  Poltava, Ukraine</t>
        </is>
      </c>
      <c r="B5062" t="inlineStr">
        <is>
          <t>Point of Origin, Processing Unit</t>
        </is>
      </c>
      <c r="C5062" t="inlineStr">
        <is>
          <t>Bureau Veritas Polska Sp. z o.o., Warsaw, PL</t>
        </is>
      </c>
      <c r="D5062" t="inlineStr">
        <is>
          <t>21.04.2027</t>
        </is>
      </c>
      <c r="E5062" t="inlineStr">
        <is>
          <t>Ukraine</t>
        </is>
      </c>
    </row>
    <row r="5063">
      <c r="A5063" t="inlineStr">
        <is>
          <t>GOODPACK ROMANIA SA,  SFANTU GHEORGHE, Romania</t>
        </is>
      </c>
      <c r="B5063" t="inlineStr">
        <is>
          <t>Processing Unit</t>
        </is>
      </c>
      <c r="C5063" t="inlineStr">
        <is>
          <t>SGS Germany GmbH, Emstek, DE</t>
        </is>
      </c>
      <c r="D5063" t="inlineStr">
        <is>
          <t>21.04.2027</t>
        </is>
      </c>
      <c r="E5063" t="inlineStr">
        <is>
          <t>Romania</t>
        </is>
      </c>
    </row>
    <row r="5064">
      <c r="A5064" t="inlineStr">
        <is>
          <t>Yoshino Kogyosho Co.,LTD.,Osaka Plant,  ibarakishi,oosaka-fu, Japan</t>
        </is>
      </c>
      <c r="B5064" t="inlineStr">
        <is>
          <t>Processing Unit</t>
        </is>
      </c>
      <c r="C5064" t="inlineStr">
        <is>
          <t>SGS Germany GmbH, Emstek, DE</t>
        </is>
      </c>
      <c r="D5064" t="inlineStr">
        <is>
          <t>21.04.2027</t>
        </is>
      </c>
      <c r="E5064" t="inlineStr">
        <is>
          <t>Japan</t>
        </is>
      </c>
    </row>
    <row r="5065">
      <c r="A5065" t="inlineStr">
        <is>
          <t>Fytos-ke s.r.o.,  Michalovce, Slovakia</t>
        </is>
      </c>
      <c r="B5065" t="inlineStr">
        <is>
          <t>Collecting Point, Trader</t>
        </is>
      </c>
      <c r="C5065" t="inlineStr">
        <is>
          <t>United Registrar of Systems Polska Sp. z o.o., Wrocław, PL</t>
        </is>
      </c>
      <c r="D5065" t="inlineStr">
        <is>
          <t>21.04.2027</t>
        </is>
      </c>
      <c r="E5065" t="inlineStr">
        <is>
          <t>Slovakia</t>
        </is>
      </c>
    </row>
    <row r="5066">
      <c r="A5066" t="inlineStr">
        <is>
          <t>iLive Biofuel (Pty) Ltd,  Benoni, South Africa</t>
        </is>
      </c>
      <c r="B5066" t="inlineStr">
        <is>
          <t>Collecting Point, Trader with Storage</t>
        </is>
      </c>
      <c r="C5066" t="inlineStr">
        <is>
          <t>Control Union Certifications Germany GmbH, Berlin, DE</t>
        </is>
      </c>
      <c r="D5066" t="inlineStr">
        <is>
          <t>21.04.2027</t>
        </is>
      </c>
      <c r="E5066" t="inlineStr">
        <is>
          <t>South Africa</t>
        </is>
      </c>
    </row>
    <row r="5067">
      <c r="A5067" t="inlineStr">
        <is>
          <t>Jofo Nonwovens Co., LTD.,  Weifang,Shandong, China</t>
        </is>
      </c>
      <c r="B5067" t="inlineStr">
        <is>
          <t>Processing Unit</t>
        </is>
      </c>
      <c r="C5067" t="inlineStr">
        <is>
          <t>SGS Germany GmbH, Emstek, DE</t>
        </is>
      </c>
      <c r="D5067" t="inlineStr">
        <is>
          <t>21.04.2027</t>
        </is>
      </c>
      <c r="E5067" t="inlineStr">
        <is>
          <t>China</t>
        </is>
      </c>
    </row>
    <row r="5068">
      <c r="A5068" t="inlineStr">
        <is>
          <t>International PUR s.r.l.,  Teramo, Italy</t>
        </is>
      </c>
      <c r="B5068" t="inlineStr">
        <is>
          <t>Processing Unit</t>
        </is>
      </c>
      <c r="C5068" t="inlineStr">
        <is>
          <t>RINA Services S.p.A., Genova, IT</t>
        </is>
      </c>
      <c r="D5068" t="inlineStr">
        <is>
          <t>21.04.2027</t>
        </is>
      </c>
      <c r="E5068" t="inlineStr">
        <is>
          <t>Italy</t>
        </is>
      </c>
    </row>
    <row r="5069">
      <c r="A5069" t="inlineStr">
        <is>
          <t>Three Rivers Renewables,  Jackson, United States</t>
        </is>
      </c>
      <c r="B5069" t="inlineStr">
        <is>
          <t>Collecting Point, Processing Unit</t>
        </is>
      </c>
      <c r="C5069" t="inlineStr">
        <is>
          <t>SCS Global Services, Emeryville, CA, US</t>
        </is>
      </c>
      <c r="D5069" t="inlineStr">
        <is>
          <t>21.04.2027</t>
        </is>
      </c>
      <c r="E5069" t="inlineStr">
        <is>
          <t>United States</t>
        </is>
      </c>
    </row>
    <row r="5070">
      <c r="A5070" t="inlineStr">
        <is>
          <t>Three Rivers Renewables,  Jackson, United States</t>
        </is>
      </c>
      <c r="B5070" t="inlineStr">
        <is>
          <t>Collecting Point, Processing Unit</t>
        </is>
      </c>
      <c r="C5070" t="inlineStr">
        <is>
          <t>SCS Global Services, Emeryville, CA, US</t>
        </is>
      </c>
      <c r="D5070" t="inlineStr">
        <is>
          <t>21.04.2027</t>
        </is>
      </c>
      <c r="E5070" t="inlineStr">
        <is>
          <t>United States</t>
        </is>
      </c>
    </row>
    <row r="5071">
      <c r="A5071" t="inlineStr">
        <is>
          <t>KUASA 2 TENAGA SDN BHD,  BANDAR PUNCAK ALAM, Malaysia</t>
        </is>
      </c>
      <c r="B5071" t="inlineStr">
        <is>
          <t>Collecting Point, Trader with Storage</t>
        </is>
      </c>
      <c r="C5071" t="inlineStr">
        <is>
          <t>Trans Certification and Inspection Sdn Bhd, Kuantan, MY</t>
        </is>
      </c>
      <c r="D5071" t="inlineStr">
        <is>
          <t>21.04.2027</t>
        </is>
      </c>
      <c r="E5071" t="inlineStr">
        <is>
          <t>Malaysia</t>
        </is>
      </c>
    </row>
    <row r="5072">
      <c r="A5072" t="inlineStr">
        <is>
          <t>H.B. Fuller Europe GmbH,  Nienburg, Germany</t>
        </is>
      </c>
      <c r="B5072" t="inlineStr">
        <is>
          <t>Processing Unit</t>
        </is>
      </c>
      <c r="C5072" t="inlineStr">
        <is>
          <t>Bureau Veritas Polska Sp. z o.o., Warsaw, PL</t>
        </is>
      </c>
      <c r="D5072" t="inlineStr">
        <is>
          <t>21.04.2027</t>
        </is>
      </c>
      <c r="E5072" t="inlineStr">
        <is>
          <t>Germany</t>
        </is>
      </c>
    </row>
    <row r="5073">
      <c r="A5073" t="inlineStr">
        <is>
          <t>Chevron Singapore Pte Ltd,  Singapore, Singapore</t>
        </is>
      </c>
      <c r="B5073" t="inlineStr">
        <is>
          <t>Trader with Storage</t>
        </is>
      </c>
      <c r="C5073" t="inlineStr">
        <is>
          <t>RINA Services S.p.A., Genova, IT</t>
        </is>
      </c>
      <c r="D5073" t="inlineStr">
        <is>
          <t>21.04.2027</t>
        </is>
      </c>
      <c r="E5073" t="inlineStr">
        <is>
          <t>Singapore</t>
        </is>
      </c>
    </row>
    <row r="5074">
      <c r="A5074" t="inlineStr">
        <is>
          <t>Dongguan Xingmao Oil Recycling Co., Ltd.,  Dongguan , Guangdong Province, China</t>
        </is>
      </c>
      <c r="B5074" t="inlineStr">
        <is>
          <t>Collecting Point</t>
        </is>
      </c>
      <c r="C5074" t="inlineStr">
        <is>
          <t>RINA Services S.p.A., Genova, IT</t>
        </is>
      </c>
      <c r="D5074" t="inlineStr">
        <is>
          <t>20.04.2027</t>
        </is>
      </c>
      <c r="E5074" t="inlineStr">
        <is>
          <t>China</t>
        </is>
      </c>
    </row>
    <row r="5075">
      <c r="A5075" t="inlineStr">
        <is>
          <t>Alcodis SA,  Brussels, Belgium</t>
        </is>
      </c>
      <c r="B5075" t="inlineStr">
        <is>
          <t>Collecting Point, Trader with Storage</t>
        </is>
      </c>
      <c r="C5075" t="inlineStr">
        <is>
          <t>SGS Germany GmbH, Emstek, DE</t>
        </is>
      </c>
      <c r="D5075" t="inlineStr">
        <is>
          <t>20.04.2027</t>
        </is>
      </c>
      <c r="E5075" t="inlineStr">
        <is>
          <t>Belgium</t>
        </is>
      </c>
    </row>
    <row r="5076">
      <c r="A5076" t="inlineStr">
        <is>
          <t>KOLN TECHNOLOGY PTE.LTD.,  Singapore, Singapore</t>
        </is>
      </c>
      <c r="B5076" t="inlineStr">
        <is>
          <t>Trader</t>
        </is>
      </c>
      <c r="C5076" t="inlineStr">
        <is>
          <t>ASG Cert GmbH, Munich, DE</t>
        </is>
      </c>
      <c r="D5076" t="inlineStr">
        <is>
          <t>20.04.2027</t>
        </is>
      </c>
      <c r="E5076" t="inlineStr">
        <is>
          <t>Singapore</t>
        </is>
      </c>
    </row>
    <row r="5077">
      <c r="A5077" t="inlineStr">
        <is>
          <t>Repsol Soluciones Energéticas SA,  Madrid, Spain</t>
        </is>
      </c>
      <c r="B5077" t="inlineStr">
        <is>
          <t>Collecting Point, Proof of Compliance Trader</t>
        </is>
      </c>
      <c r="C5077" t="inlineStr">
        <is>
          <t>Control Union Poland Sp. z o.o., Zielona Gora, PL</t>
        </is>
      </c>
      <c r="D5077" t="inlineStr">
        <is>
          <t>20.04.2027</t>
        </is>
      </c>
      <c r="E5077" t="inlineStr">
        <is>
          <t>Spain</t>
        </is>
      </c>
    </row>
    <row r="5078">
      <c r="A5078" t="inlineStr">
        <is>
          <t>Olam Palm Gabon SA,  Mouila, Gabon</t>
        </is>
      </c>
      <c r="B5078" t="inlineStr">
        <is>
          <t>Point of Origin, First Gathering Point, Processing Unit</t>
        </is>
      </c>
      <c r="C5078" t="inlineStr">
        <is>
          <t>Trans Certification and Inspection Sdn Bhd, Kuantan, MY</t>
        </is>
      </c>
      <c r="D5078" t="inlineStr">
        <is>
          <t>20.04.2027</t>
        </is>
      </c>
      <c r="E5078" t="inlineStr">
        <is>
          <t>Gabon</t>
        </is>
      </c>
    </row>
    <row r="5079">
      <c r="A5079" t="inlineStr">
        <is>
          <t>KOS,  Nam-gu , Ulsan, Korea, Republic of</t>
        </is>
      </c>
      <c r="B5079" t="inlineStr">
        <is>
          <t>Collecting Point, Processing Unit, Trader with Storage</t>
        </is>
      </c>
      <c r="C5079" t="inlineStr">
        <is>
          <t>Korean Foundation for Quality, Songpa-gu, Seoul, KR</t>
        </is>
      </c>
      <c r="D5079" t="inlineStr">
        <is>
          <t>20.04.2027</t>
        </is>
      </c>
      <c r="E5079" t="inlineStr">
        <is>
          <t>Republic of</t>
        </is>
      </c>
    </row>
    <row r="5080">
      <c r="A5080" t="inlineStr">
        <is>
          <t>SHANGHAI PUHANG AVIATION OIL CORPORATION LTD,  SHANGHAI, China</t>
        </is>
      </c>
      <c r="B5080" t="inlineStr">
        <is>
          <t>Warehouse</t>
        </is>
      </c>
      <c r="C5080" t="inlineStr">
        <is>
          <t>Bureau Veritas Polska Sp. z o.o., Warsaw, PL</t>
        </is>
      </c>
      <c r="D5080" t="inlineStr">
        <is>
          <t>20.04.2027</t>
        </is>
      </c>
      <c r="E5080" t="inlineStr">
        <is>
          <t>China</t>
        </is>
      </c>
    </row>
    <row r="5081">
      <c r="A5081" t="inlineStr">
        <is>
          <t>American Acryl,  Pasadena, United States</t>
        </is>
      </c>
      <c r="B5081" t="inlineStr">
        <is>
          <t>Processing Unit</t>
        </is>
      </c>
      <c r="C5081" t="inlineStr">
        <is>
          <t>DNV Business Assurance Sweden AB, Solna, SE</t>
        </is>
      </c>
      <c r="D5081" t="inlineStr">
        <is>
          <t>20.04.2027</t>
        </is>
      </c>
      <c r="E5081" t="inlineStr">
        <is>
          <t>United States</t>
        </is>
      </c>
    </row>
    <row r="5082">
      <c r="A5082" t="inlineStr">
        <is>
          <t>Hyosung Chemical Corporation,  Seocho-gu, Seoul, South Korea</t>
        </is>
      </c>
      <c r="B5082" t="inlineStr">
        <is>
          <t>Trader</t>
        </is>
      </c>
      <c r="C5082" t="inlineStr">
        <is>
          <t>Control Union Certifications Germany GmbH, Berlin, DE</t>
        </is>
      </c>
      <c r="D5082" t="inlineStr">
        <is>
          <t>20.04.2027</t>
        </is>
      </c>
      <c r="E5082" t="inlineStr">
        <is>
          <t>South Korea</t>
        </is>
      </c>
    </row>
    <row r="5083">
      <c r="A5083" t="inlineStr">
        <is>
          <t>Selected Biogas Farsala Single Member SA,  Farsaka, Greece</t>
        </is>
      </c>
      <c r="B5083" t="inlineStr">
        <is>
          <t>Point of Origin</t>
        </is>
      </c>
      <c r="C5083" t="inlineStr">
        <is>
          <t>QMSCERT S.A., Pylaia, Thessaloniki, GR</t>
        </is>
      </c>
      <c r="D5083" t="inlineStr">
        <is>
          <t>20.04.2027</t>
        </is>
      </c>
      <c r="E5083" t="inlineStr">
        <is>
          <t>Greece</t>
        </is>
      </c>
    </row>
    <row r="5084">
      <c r="A5084" t="inlineStr">
        <is>
          <t>Perindustrian Sawit Synergi,  Kabupaten Kutai Timur, Indonesia</t>
        </is>
      </c>
      <c r="B5084" t="inlineStr">
        <is>
          <t>Point of Origin</t>
        </is>
      </c>
      <c r="C5084" t="inlineStr">
        <is>
          <t>Global Gateway Certifications Sdn Bhd, Ampang, MY</t>
        </is>
      </c>
      <c r="D5084" t="inlineStr">
        <is>
          <t>20.04.2027</t>
        </is>
      </c>
      <c r="E5084" t="inlineStr">
        <is>
          <t>Indonesia</t>
        </is>
      </c>
    </row>
    <row r="5085">
      <c r="A5085" t="inlineStr">
        <is>
          <t>Dongguan Changtong Environmental Protection Technology Co., Ltd,  Dongguan City, Guangdong Province, China</t>
        </is>
      </c>
      <c r="B5085" t="inlineStr">
        <is>
          <t>Trader with Storage</t>
        </is>
      </c>
      <c r="C5085" t="inlineStr">
        <is>
          <t>RINA Services S.p.A., Genova, IT</t>
        </is>
      </c>
      <c r="D5085" t="inlineStr">
        <is>
          <t>20.04.2027</t>
        </is>
      </c>
      <c r="E5085" t="inlineStr">
        <is>
          <t>China</t>
        </is>
      </c>
    </row>
    <row r="5086">
      <c r="A5086" t="inlineStr">
        <is>
          <t>Plásticos Vanguardia, S.A.,  Azuqueca de Henares, Spain</t>
        </is>
      </c>
      <c r="B5086" t="inlineStr">
        <is>
          <t>Processing Unit</t>
        </is>
      </c>
      <c r="C5086" t="inlineStr">
        <is>
          <t>Amspec Iberia SL, Vilagarcia de Arousa-Pontevedra, ES</t>
        </is>
      </c>
      <c r="D5086" t="inlineStr">
        <is>
          <t>20.04.2027</t>
        </is>
      </c>
      <c r="E5086" t="inlineStr">
        <is>
          <t>Spain</t>
        </is>
      </c>
    </row>
    <row r="5087">
      <c r="A5087" t="inlineStr">
        <is>
          <t>LANXESS Corporation,  Pittsburgh, PA, United States</t>
        </is>
      </c>
      <c r="B5087" t="inlineStr">
        <is>
          <t>Trader with Storage</t>
        </is>
      </c>
      <c r="C5087" t="inlineStr">
        <is>
          <t>TÜV NORD CERT GmbH, Essen, DE</t>
        </is>
      </c>
      <c r="D5087" t="inlineStr">
        <is>
          <t>20.04.2027</t>
        </is>
      </c>
      <c r="E5087" t="inlineStr">
        <is>
          <t>United States</t>
        </is>
      </c>
    </row>
    <row r="5088">
      <c r="A5088" t="inlineStr">
        <is>
          <t>HTP Energy,  Onalaska, United States</t>
        </is>
      </c>
      <c r="B5088" t="inlineStr">
        <is>
          <t>Trader with Storage</t>
        </is>
      </c>
      <c r="C5088" t="inlineStr">
        <is>
          <t>SCS Global Services, Emeryville, CA, US</t>
        </is>
      </c>
      <c r="D5088" t="inlineStr">
        <is>
          <t>20.04.2027</t>
        </is>
      </c>
      <c r="E5088" t="inlineStr">
        <is>
          <t>United States</t>
        </is>
      </c>
    </row>
    <row r="5089">
      <c r="A5089" t="inlineStr">
        <is>
          <t>HTP Energy,  Onalaska, United States</t>
        </is>
      </c>
      <c r="B5089" t="inlineStr">
        <is>
          <t>Trader with Storage</t>
        </is>
      </c>
      <c r="C5089" t="inlineStr">
        <is>
          <t>SCS Global Services, Emeryville, CA, US</t>
        </is>
      </c>
      <c r="D5089" t="inlineStr">
        <is>
          <t>20.04.2027</t>
        </is>
      </c>
      <c r="E5089" t="inlineStr">
        <is>
          <t>United States</t>
        </is>
      </c>
    </row>
    <row r="5090">
      <c r="A5090" t="inlineStr">
        <is>
          <t>Moeve Chemicals,  San Roque, Cádiz, Spain</t>
        </is>
      </c>
      <c r="B5090" t="inlineStr">
        <is>
          <t>Processing Unit, Trader with Storage</t>
        </is>
      </c>
      <c r="C5090" t="inlineStr">
        <is>
          <t>Control Union Poland Sp. z o.o., Zielona Gora, PL</t>
        </is>
      </c>
      <c r="D5090" t="inlineStr">
        <is>
          <t>20.04.2027</t>
        </is>
      </c>
      <c r="E5090" t="inlineStr">
        <is>
          <t>Spain</t>
        </is>
      </c>
    </row>
    <row r="5091">
      <c r="A5091" t="inlineStr">
        <is>
          <t>Envaflex,  Utebo (Zaragoza), Spain</t>
        </is>
      </c>
      <c r="B5091" t="inlineStr">
        <is>
          <t>Processing Unit</t>
        </is>
      </c>
      <c r="C5091" t="inlineStr">
        <is>
          <t>Amspec Iberia SL, Vilagarcia de Arousa-Pontevedra, ES</t>
        </is>
      </c>
      <c r="D5091" t="inlineStr">
        <is>
          <t>20.04.2027</t>
        </is>
      </c>
      <c r="E5091" t="inlineStr">
        <is>
          <t>Spain</t>
        </is>
      </c>
    </row>
    <row r="5092">
      <c r="A5092" t="inlineStr">
        <is>
          <t>Repsol Fuels S.A.U.,  Puertollano (Ciudad Real), Spain</t>
        </is>
      </c>
      <c r="B5092" t="inlineStr">
        <is>
          <t>Processing Unit, Trader with Storage</t>
        </is>
      </c>
      <c r="C5092" t="inlineStr">
        <is>
          <t>Control Union Poland Sp. z o.o., Zielona Gora, PL</t>
        </is>
      </c>
      <c r="D5092" t="inlineStr">
        <is>
          <t>20.04.2027</t>
        </is>
      </c>
      <c r="E5092" t="inlineStr">
        <is>
          <t>Spain</t>
        </is>
      </c>
    </row>
    <row r="5093">
      <c r="A5093" t="inlineStr">
        <is>
          <t>Carbery Food Ingredients,  County Cork, Ireland</t>
        </is>
      </c>
      <c r="B5093" t="inlineStr">
        <is>
          <t>Point of Origin, Processing Unit</t>
        </is>
      </c>
      <c r="C5093" t="inlineStr">
        <is>
          <t>ASG Cert GmbH, Munich, DE</t>
        </is>
      </c>
      <c r="D5093" t="inlineStr">
        <is>
          <t>20.04.2027</t>
        </is>
      </c>
      <c r="E5093" t="inlineStr">
        <is>
          <t>Ireland</t>
        </is>
      </c>
    </row>
    <row r="5094">
      <c r="A5094" t="inlineStr">
        <is>
          <t>Frumento, s.r.o.,  Zohor, Slovakia</t>
        </is>
      </c>
      <c r="B5094" t="inlineStr">
        <is>
          <t>First Gathering Point, Trader</t>
        </is>
      </c>
      <c r="C5094" t="inlineStr">
        <is>
          <t>United Registrar of Systems Polska Sp. z o.o., Wrocław, PL</t>
        </is>
      </c>
      <c r="D5094" t="inlineStr">
        <is>
          <t>20.04.2027</t>
        </is>
      </c>
      <c r="E5094" t="inlineStr">
        <is>
          <t>Slovakia</t>
        </is>
      </c>
    </row>
    <row r="5095">
      <c r="A5095" t="inlineStr">
        <is>
          <t>Frumento, s.r.o.,  Zohor, Slovakia</t>
        </is>
      </c>
      <c r="B5095" t="inlineStr">
        <is>
          <t>First Gathering Point, Trader</t>
        </is>
      </c>
      <c r="C5095" t="inlineStr">
        <is>
          <t>United Registrar of Systems Polska Sp. z o.o., Wrocław, PL</t>
        </is>
      </c>
      <c r="D5095" t="inlineStr">
        <is>
          <t>20.04.2027</t>
        </is>
      </c>
      <c r="E5095" t="inlineStr">
        <is>
          <t>Slovakia</t>
        </is>
      </c>
    </row>
    <row r="5096">
      <c r="A5096" t="inlineStr">
        <is>
          <t>HD HYUNDAI OILBANK VIETNAM COMPANY LIMITED,  District 1, Ho Chi Minh City, Vietnam</t>
        </is>
      </c>
      <c r="B5096" t="inlineStr">
        <is>
          <t>Collecting Point, Trader with Storage</t>
        </is>
      </c>
      <c r="C5096" t="inlineStr">
        <is>
          <t>Control Union Certifications Germany GmbH, Berlin, DE</t>
        </is>
      </c>
      <c r="D5096" t="inlineStr">
        <is>
          <t>20.04.2027</t>
        </is>
      </c>
      <c r="E5096" t="inlineStr">
        <is>
          <t>Vietnam</t>
        </is>
      </c>
    </row>
    <row r="5097">
      <c r="A5097" t="inlineStr">
        <is>
          <t>Hyosung Chemical Corporation (Gumi plant1),  Gumi-si, Gyeongsangbuk-do, South Korea</t>
        </is>
      </c>
      <c r="B5097" t="inlineStr">
        <is>
          <t>Processing Unit</t>
        </is>
      </c>
      <c r="C5097" t="inlineStr">
        <is>
          <t>Control Union Certifications Germany GmbH, Berlin, DE</t>
        </is>
      </c>
      <c r="D5097" t="inlineStr">
        <is>
          <t>20.04.2027</t>
        </is>
      </c>
      <c r="E5097" t="inlineStr">
        <is>
          <t>South Korea</t>
        </is>
      </c>
    </row>
    <row r="5098">
      <c r="A5098" t="inlineStr">
        <is>
          <t>Shanghai Shiangjie Import &amp; Export Trading Co., Ltd.,  Xuhui District, Shanghai, China</t>
        </is>
      </c>
      <c r="B5098" t="inlineStr">
        <is>
          <t>Trader with Storage</t>
        </is>
      </c>
      <c r="C5098" t="inlineStr">
        <is>
          <t>Extensive Standard Technical Services Co., Ltd., Hong Kong, CN</t>
        </is>
      </c>
      <c r="D5098" t="inlineStr">
        <is>
          <t>20.04.2027</t>
        </is>
      </c>
      <c r="E5098" t="inlineStr">
        <is>
          <t>China</t>
        </is>
      </c>
    </row>
    <row r="5099">
      <c r="A5099" t="inlineStr">
        <is>
          <t>Arkema Inc,  Pasadena, United States</t>
        </is>
      </c>
      <c r="B5099" t="inlineStr">
        <is>
          <t>Processing Unit</t>
        </is>
      </c>
      <c r="C5099" t="inlineStr">
        <is>
          <t>DNV Business Assurance Sweden AB, Solna, SE</t>
        </is>
      </c>
      <c r="D5099" t="inlineStr">
        <is>
          <t>20.04.2027</t>
        </is>
      </c>
      <c r="E5099" t="inlineStr">
        <is>
          <t>United States</t>
        </is>
      </c>
    </row>
    <row r="5100">
      <c r="A5100" t="inlineStr">
        <is>
          <t>INTER CONTINENT GROUP,  Odesa, Ukraine</t>
        </is>
      </c>
      <c r="B5100" t="inlineStr">
        <is>
          <t>Trader</t>
        </is>
      </c>
      <c r="C5100" t="inlineStr">
        <is>
          <t>Control Union Certifications Germany GmbH, Berlin, DE</t>
        </is>
      </c>
      <c r="D5100" t="inlineStr">
        <is>
          <t>20.04.2027</t>
        </is>
      </c>
      <c r="E5100" t="inlineStr">
        <is>
          <t>Ukraine</t>
        </is>
      </c>
    </row>
    <row r="5101">
      <c r="A5101" t="inlineStr">
        <is>
          <t>Heyne &amp; Penke Verpackungen GmbH,  Dassel, Germany</t>
        </is>
      </c>
      <c r="B5101" t="inlineStr">
        <is>
          <t>Processing Unit, Trader with Storage</t>
        </is>
      </c>
      <c r="C5101" t="inlineStr">
        <is>
          <t>TÜV NORD CERT GmbH, Essen, DE</t>
        </is>
      </c>
      <c r="D5101" t="inlineStr">
        <is>
          <t>20.04.2027</t>
        </is>
      </c>
      <c r="E5101" t="inlineStr">
        <is>
          <t>Germany</t>
        </is>
      </c>
    </row>
    <row r="5102">
      <c r="A5102" t="inlineStr">
        <is>
          <t>Reckli,  Herne, Germany</t>
        </is>
      </c>
      <c r="B5102" t="inlineStr">
        <is>
          <t>Processing Unit</t>
        </is>
      </c>
      <c r="C5102" t="inlineStr">
        <is>
          <t>TÜV NORD CERT GmbH, Essen, DE</t>
        </is>
      </c>
      <c r="D5102" t="inlineStr">
        <is>
          <t>20.04.2027</t>
        </is>
      </c>
      <c r="E5102" t="inlineStr">
        <is>
          <t>Germany</t>
        </is>
      </c>
    </row>
    <row r="5103">
      <c r="A5103" t="inlineStr">
        <is>
          <t>FIOUL 83,  LA CRAU, France</t>
        </is>
      </c>
      <c r="B5103" t="inlineStr">
        <is>
          <t>Trader with Storage</t>
        </is>
      </c>
      <c r="C5103" t="inlineStr">
        <is>
          <t>Control Union Certifications Germany GmbH, Berlin, DE</t>
        </is>
      </c>
      <c r="D5103" t="inlineStr">
        <is>
          <t>20.04.2027</t>
        </is>
      </c>
      <c r="E5103" t="inlineStr">
        <is>
          <t>France</t>
        </is>
      </c>
    </row>
    <row r="5104">
      <c r="A5104" t="inlineStr">
        <is>
          <t>Plastic Recycling Inc,  Indianapolis, United States</t>
        </is>
      </c>
      <c r="B5104" t="inlineStr">
        <is>
          <t>Collecting Point, Processing Unit</t>
        </is>
      </c>
      <c r="C5104" t="inlineStr">
        <is>
          <t>SCS Global Services, Emeryville, CA, US</t>
        </is>
      </c>
      <c r="D5104" t="inlineStr">
        <is>
          <t>20.04.2027</t>
        </is>
      </c>
      <c r="E5104" t="inlineStr">
        <is>
          <t>United States</t>
        </is>
      </c>
    </row>
    <row r="5105">
      <c r="A5105" t="inlineStr">
        <is>
          <t>AGRAS Želatovice,  Želatovice, Czech Republic</t>
        </is>
      </c>
      <c r="B5105" t="inlineStr">
        <is>
          <t>Farm / Plantation, Point of Origin, Collecting Point, Processing Unit</t>
        </is>
      </c>
      <c r="C5105" t="inlineStr">
        <is>
          <t>TÜV SÜD Czech s.r.o., Praha 4, CZ</t>
        </is>
      </c>
      <c r="D5105" t="inlineStr">
        <is>
          <t>20.04.2027</t>
        </is>
      </c>
      <c r="E5105" t="inlineStr">
        <is>
          <t>Czech Republic</t>
        </is>
      </c>
    </row>
    <row r="5106">
      <c r="A5106" t="inlineStr">
        <is>
          <t>Veolia Komodity ČR,  Ostrava - Moravská Ostrava, Czech Republic</t>
        </is>
      </c>
      <c r="B5106" t="inlineStr">
        <is>
          <t>Trader</t>
        </is>
      </c>
      <c r="C5106" t="inlineStr">
        <is>
          <t>TÜV SÜD Czech s.r.o., Praha 4, CZ</t>
        </is>
      </c>
      <c r="D5106" t="inlineStr">
        <is>
          <t>20.04.2027</t>
        </is>
      </c>
      <c r="E5106" t="inlineStr">
        <is>
          <t>Czech Republic</t>
        </is>
      </c>
    </row>
    <row r="5107">
      <c r="A5107" t="inlineStr">
        <is>
          <t>Tønder Biogas,  Tønder, Denmark</t>
        </is>
      </c>
      <c r="B5107" t="inlineStr">
        <is>
          <t>Collecting Point, Point of Origin, Processing Unit</t>
        </is>
      </c>
      <c r="C5107" t="inlineStr">
        <is>
          <t>Baltic Control Certification, Albertslund, DK</t>
        </is>
      </c>
      <c r="D5107" t="inlineStr">
        <is>
          <t>20.04.2027</t>
        </is>
      </c>
      <c r="E5107" t="inlineStr">
        <is>
          <t>Denmark</t>
        </is>
      </c>
    </row>
    <row r="5108">
      <c r="A5108" t="inlineStr">
        <is>
          <t>Hunan Chengju Oils Co., Ltd.,  Ningxiang, Hunan, China</t>
        </is>
      </c>
      <c r="B5108" t="inlineStr">
        <is>
          <t>Collecting Point</t>
        </is>
      </c>
      <c r="C5108" t="inlineStr">
        <is>
          <t>RINA Services S.p.A., Genova, IT</t>
        </is>
      </c>
      <c r="D5108" t="inlineStr">
        <is>
          <t>20.04.2027</t>
        </is>
      </c>
      <c r="E5108" t="inlineStr">
        <is>
          <t>China</t>
        </is>
      </c>
    </row>
    <row r="5109">
      <c r="A5109" t="inlineStr">
        <is>
          <t>Baltic Agro SIA,  Rīga, Latvia</t>
        </is>
      </c>
      <c r="B5109" t="inlineStr">
        <is>
          <t>First Gathering Point, Trader with Storage</t>
        </is>
      </c>
      <c r="C5109" t="inlineStr">
        <is>
          <t>SGS Germany GmbH, Emstek, DE</t>
        </is>
      </c>
      <c r="D5109" t="inlineStr">
        <is>
          <t>20.04.2027</t>
        </is>
      </c>
      <c r="E5109" t="inlineStr">
        <is>
          <t>Latvia</t>
        </is>
      </c>
    </row>
    <row r="5110">
      <c r="A5110" t="inlineStr">
        <is>
          <t>VESUVIO LEGNAMI DI RUSSO ANTONIO,  TORRE DEL GRECO, Italy</t>
        </is>
      </c>
      <c r="B5110" t="inlineStr">
        <is>
          <t>Collecting Point, First Gathering Point, Processing Unit</t>
        </is>
      </c>
      <c r="C5110" t="inlineStr">
        <is>
          <t>RINA Services S.p.A., Genova, IT</t>
        </is>
      </c>
      <c r="D5110" t="inlineStr">
        <is>
          <t>20.04.2027</t>
        </is>
      </c>
      <c r="E5110" t="inlineStr">
        <is>
          <t>Italy</t>
        </is>
      </c>
    </row>
    <row r="5111">
      <c r="A5111" t="inlineStr">
        <is>
          <t>MANGO,  Lauria, Italy</t>
        </is>
      </c>
      <c r="B5111" t="inlineStr">
        <is>
          <t>Collecting Point, First Gathering Point, Processing Unit</t>
        </is>
      </c>
      <c r="C5111" t="inlineStr">
        <is>
          <t>RINA Services S.p.A., Genova, IT</t>
        </is>
      </c>
      <c r="D5111" t="inlineStr">
        <is>
          <t>20.04.2027</t>
        </is>
      </c>
      <c r="E5111" t="inlineStr">
        <is>
          <t>Italy</t>
        </is>
      </c>
    </row>
    <row r="5112">
      <c r="A5112" t="inlineStr">
        <is>
          <t>Olii Tomasello S.r.l.,  Termini Imerese, Italy</t>
        </is>
      </c>
      <c r="B5112" t="inlineStr">
        <is>
          <t>Point of Origin</t>
        </is>
      </c>
      <c r="C5112" t="inlineStr">
        <is>
          <t>RINA Services S.p.A., Genova, IT</t>
        </is>
      </c>
      <c r="D5112" t="inlineStr">
        <is>
          <t>20.04.2027</t>
        </is>
      </c>
      <c r="E5112" t="inlineStr">
        <is>
          <t>Italy</t>
        </is>
      </c>
    </row>
    <row r="5113">
      <c r="A5113" t="inlineStr">
        <is>
          <t>JULIA LEGNAMI DI BATTISITN VANIA,  LONGARONE, Italy</t>
        </is>
      </c>
      <c r="B5113" t="inlineStr">
        <is>
          <t>Collecting Point</t>
        </is>
      </c>
      <c r="C5113" t="inlineStr">
        <is>
          <t>RINA Services S.p.A., Genova, IT</t>
        </is>
      </c>
      <c r="D5113" t="inlineStr">
        <is>
          <t>20.04.2027</t>
        </is>
      </c>
      <c r="E5113" t="inlineStr">
        <is>
          <t>Italy</t>
        </is>
      </c>
    </row>
    <row r="5114">
      <c r="A5114" t="inlineStr">
        <is>
          <t>STRAGA' MARTINA,  LONGARONE, Italy</t>
        </is>
      </c>
      <c r="B5114" t="inlineStr">
        <is>
          <t>Collecting Point</t>
        </is>
      </c>
      <c r="C5114" t="inlineStr">
        <is>
          <t>RINA Services S.p.A., Genova, IT</t>
        </is>
      </c>
      <c r="D5114" t="inlineStr">
        <is>
          <t>20.04.2027</t>
        </is>
      </c>
      <c r="E5114" t="inlineStr">
        <is>
          <t>Italy</t>
        </is>
      </c>
    </row>
    <row r="5115">
      <c r="A5115" t="inlineStr">
        <is>
          <t>SHANGHAI PUHANG AVIATION OIL CORPORATION LTD,  SHANGHAI, China</t>
        </is>
      </c>
      <c r="B5115" t="inlineStr">
        <is>
          <t>Warehouse</t>
        </is>
      </c>
      <c r="C5115" t="inlineStr">
        <is>
          <t>Bureau Veritas Polska Sp. z o.o., Warsaw, PL</t>
        </is>
      </c>
      <c r="D5115" t="inlineStr">
        <is>
          <t>20.04.2027</t>
        </is>
      </c>
      <c r="E5115" t="inlineStr">
        <is>
          <t>China</t>
        </is>
      </c>
    </row>
    <row r="5116">
      <c r="A5116" t="inlineStr">
        <is>
          <t>Eschenbach Optik GmbH,  Nürnberg, Germany</t>
        </is>
      </c>
      <c r="B5116" t="inlineStr">
        <is>
          <t>Trader with Storage</t>
        </is>
      </c>
      <c r="C5116" t="inlineStr">
        <is>
          <t>Control Union Certifications Germany GmbH, Berlin, DE</t>
        </is>
      </c>
      <c r="D5116" t="inlineStr">
        <is>
          <t>19.04.2027</t>
        </is>
      </c>
      <c r="E5116" t="inlineStr">
        <is>
          <t>Germany</t>
        </is>
      </c>
    </row>
    <row r="5117">
      <c r="A5117" t="inlineStr">
        <is>
          <t>GasCom-Equipment,  Troisdorf, Germany</t>
        </is>
      </c>
      <c r="B5117" t="inlineStr">
        <is>
          <t>Trader with Storage</t>
        </is>
      </c>
      <c r="C5117" t="inlineStr">
        <is>
          <t>TÜV NORD CERT GmbH, Essen, DE</t>
        </is>
      </c>
      <c r="D5117" t="inlineStr">
        <is>
          <t>19.04.2027</t>
        </is>
      </c>
      <c r="E5117" t="inlineStr">
        <is>
          <t>Germany</t>
        </is>
      </c>
    </row>
    <row r="5118">
      <c r="A5118" t="inlineStr">
        <is>
          <t>Arrow Specialties USA, LLC,  Richmond, United States</t>
        </is>
      </c>
      <c r="B5118" t="inlineStr">
        <is>
          <t>Processing Unit</t>
        </is>
      </c>
      <c r="C5118" t="inlineStr">
        <is>
          <t>Control Union Poland Sp. z o.o., Zielona Gora, PL</t>
        </is>
      </c>
      <c r="D5118" t="inlineStr">
        <is>
          <t>19.04.2027</t>
        </is>
      </c>
      <c r="E5118" t="inlineStr">
        <is>
          <t>United States</t>
        </is>
      </c>
    </row>
    <row r="5119">
      <c r="A5119" t="inlineStr">
        <is>
          <t>Unigreen Resources Sdn Bhd,  Seri Kembangan, Selangor, Malaysia</t>
        </is>
      </c>
      <c r="B5119" t="inlineStr">
        <is>
          <t>Collecting Point</t>
        </is>
      </c>
      <c r="C5119" t="inlineStr">
        <is>
          <t>PT. CBQA GLOBAL INDONESIA, JAKARTA SELATAN, ID</t>
        </is>
      </c>
      <c r="D5119" t="inlineStr">
        <is>
          <t>19.04.2027</t>
        </is>
      </c>
      <c r="E5119" t="inlineStr">
        <is>
          <t>Malaysia</t>
        </is>
      </c>
    </row>
    <row r="5120">
      <c r="A5120" t="inlineStr">
        <is>
          <t>OLEOGEN SRL,  GENOVA, Italy</t>
        </is>
      </c>
      <c r="B5120" t="inlineStr">
        <is>
          <t>Trader</t>
        </is>
      </c>
      <c r="C5120" t="inlineStr">
        <is>
          <t>RINA Services S.p.A., Genova, IT</t>
        </is>
      </c>
      <c r="D5120" t="inlineStr">
        <is>
          <t>19.04.2027</t>
        </is>
      </c>
      <c r="E5120" t="inlineStr">
        <is>
          <t>Italy</t>
        </is>
      </c>
    </row>
    <row r="5121">
      <c r="A5121" t="inlineStr">
        <is>
          <t>Reconergy (Hong Kong) Ltd.,  Hong Kong, Hong Kong</t>
        </is>
      </c>
      <c r="B5121" t="inlineStr">
        <is>
          <t>Trader</t>
        </is>
      </c>
      <c r="C5121" t="inlineStr">
        <is>
          <t>RINA Services S.p.A., Genova, IT</t>
        </is>
      </c>
      <c r="D5121" t="inlineStr">
        <is>
          <t>19.04.2027</t>
        </is>
      </c>
      <c r="E5121" t="inlineStr">
        <is>
          <t>Hong Kong</t>
        </is>
      </c>
    </row>
    <row r="5122">
      <c r="A5122" t="inlineStr">
        <is>
          <t>BASF INOAC Polyurethanes,  Shinshiro, Japan</t>
        </is>
      </c>
      <c r="B5122" t="inlineStr">
        <is>
          <t>Processing Unit, Trader with Storage</t>
        </is>
      </c>
      <c r="C5122" t="inlineStr">
        <is>
          <t>SGS Germany GmbH, Emstek, DE</t>
        </is>
      </c>
      <c r="D5122" t="inlineStr">
        <is>
          <t>19.04.2027</t>
        </is>
      </c>
      <c r="E5122" t="inlineStr">
        <is>
          <t>Japan</t>
        </is>
      </c>
    </row>
    <row r="5123">
      <c r="A5123" t="inlineStr">
        <is>
          <t>Inner Mongolia Jietai Nuo Biotechnology Co., Ltd.,  Hohhot City, Inner Mongolia, China</t>
        </is>
      </c>
      <c r="B5123" t="inlineStr">
        <is>
          <t>Point of Origin</t>
        </is>
      </c>
      <c r="C5123" t="inlineStr">
        <is>
          <t>SCS Global Services, Emeryville, CA, US</t>
        </is>
      </c>
      <c r="D5123" t="inlineStr">
        <is>
          <t>19.04.2027</t>
        </is>
      </c>
      <c r="E5123" t="inlineStr">
        <is>
          <t>China</t>
        </is>
      </c>
    </row>
    <row r="5124">
      <c r="A5124" t="inlineStr">
        <is>
          <t>FZ Panayotov &amp; Shterev EOOD,  Varna, Bulgaria</t>
        </is>
      </c>
      <c r="B5124" t="inlineStr">
        <is>
          <t>First Gathering Point, Trader</t>
        </is>
      </c>
      <c r="C5124" t="inlineStr">
        <is>
          <t>Baltic Control Certification, Albertslund, DK</t>
        </is>
      </c>
      <c r="D5124" t="inlineStr">
        <is>
          <t>19.04.2027</t>
        </is>
      </c>
      <c r="E5124" t="inlineStr">
        <is>
          <t>Bulgaria</t>
        </is>
      </c>
    </row>
    <row r="5125">
      <c r="A5125" t="inlineStr">
        <is>
          <t>Alcoholes del Uruguay SA,  Paysandú, Uruguay</t>
        </is>
      </c>
      <c r="B5125" t="inlineStr">
        <is>
          <t>Point of Origin, Processing Unit, Trader with Storage</t>
        </is>
      </c>
      <c r="C5125" t="inlineStr">
        <is>
          <t>Amspec Iberia SL, Vilagarcia de Arousa-Pontevedra, ES</t>
        </is>
      </c>
      <c r="D5125" t="inlineStr">
        <is>
          <t>19.04.2027</t>
        </is>
      </c>
      <c r="E5125" t="inlineStr">
        <is>
          <t>Uruguay</t>
        </is>
      </c>
    </row>
    <row r="5126">
      <c r="A5126" t="inlineStr">
        <is>
          <t>Glycona, s.r.o.,  Otrokovice, Czech Republic</t>
        </is>
      </c>
      <c r="B5126" t="inlineStr">
        <is>
          <t>Point of Origin, Processing Unit, Trader with Storage</t>
        </is>
      </c>
      <c r="C5126" t="inlineStr">
        <is>
          <t>United Registrar of Systems Polska Sp. z o.o., Wrocław, PL</t>
        </is>
      </c>
      <c r="D5126" t="inlineStr">
        <is>
          <t>19.04.2027</t>
        </is>
      </c>
      <c r="E5126" t="inlineStr">
        <is>
          <t>Czech Republic</t>
        </is>
      </c>
    </row>
    <row r="5127">
      <c r="A5127" t="inlineStr">
        <is>
          <t>Molnár Farm '90 Kft.,  Becsehely, Hungary</t>
        </is>
      </c>
      <c r="B5127" t="inlineStr">
        <is>
          <t>First Gathering Point</t>
        </is>
      </c>
      <c r="C5127" t="inlineStr">
        <is>
          <t>Bureau Veritas Polska Sp. z o.o., Warsaw, PL</t>
        </is>
      </c>
      <c r="D5127" t="inlineStr">
        <is>
          <t>19.04.2027</t>
        </is>
      </c>
      <c r="E5127" t="inlineStr">
        <is>
          <t>Hungary</t>
        </is>
      </c>
    </row>
    <row r="5128">
      <c r="A5128" t="inlineStr">
        <is>
          <t>DELTA PREG SPA,  Oltrona di San Mamette, Italy</t>
        </is>
      </c>
      <c r="B5128" t="inlineStr">
        <is>
          <t>Processing Unit</t>
        </is>
      </c>
      <c r="C5128" t="inlineStr">
        <is>
          <t>Bureau Veritas Polska Sp. z o.o., Warsaw, PL</t>
        </is>
      </c>
      <c r="D5128" t="inlineStr">
        <is>
          <t>19.04.2027</t>
        </is>
      </c>
      <c r="E5128" t="inlineStr">
        <is>
          <t>Italy</t>
        </is>
      </c>
    </row>
    <row r="5129">
      <c r="A5129" t="inlineStr">
        <is>
          <t>ARLANXEO Deutschland GmbH,  Dormagen, Germany</t>
        </is>
      </c>
      <c r="B5129" t="inlineStr">
        <is>
          <t>Processing Unit</t>
        </is>
      </c>
      <c r="C5129" t="inlineStr">
        <is>
          <t>DQS CFS GmbH - Deutsche Gesellschaft für Nachhaltigkeit, Frankfurt am Main, DE</t>
        </is>
      </c>
      <c r="D5129" t="inlineStr">
        <is>
          <t>19.04.2027</t>
        </is>
      </c>
      <c r="E5129" t="inlineStr">
        <is>
          <t>Germany</t>
        </is>
      </c>
    </row>
    <row r="5130">
      <c r="A5130" t="inlineStr">
        <is>
          <t>Elnomart Unipessoal LDA,  Quarteira, Portugal</t>
        </is>
      </c>
      <c r="B5130" t="inlineStr">
        <is>
          <t>Collecting Point</t>
        </is>
      </c>
      <c r="C5130" t="inlineStr">
        <is>
          <t>United Registrar of Systems Polska Sp. z o.o., Wrocław, PL</t>
        </is>
      </c>
      <c r="D5130" t="inlineStr">
        <is>
          <t>19.04.2027</t>
        </is>
      </c>
      <c r="E5130" t="inlineStr">
        <is>
          <t>Portugal</t>
        </is>
      </c>
    </row>
    <row r="5131">
      <c r="A5131" t="inlineStr">
        <is>
          <t>Van Kessel Olie B.V.,  Milheeze, Netherlands</t>
        </is>
      </c>
      <c r="B5131" t="inlineStr">
        <is>
          <t>Trader with Storage</t>
        </is>
      </c>
      <c r="C5131" t="inlineStr">
        <is>
          <t>DEKRA Certification B.V., Arnhem, NL</t>
        </is>
      </c>
      <c r="D5131" t="inlineStr">
        <is>
          <t>19.04.2027</t>
        </is>
      </c>
      <c r="E5131" t="inlineStr">
        <is>
          <t>Netherlands</t>
        </is>
      </c>
    </row>
    <row r="5132">
      <c r="A5132" t="inlineStr">
        <is>
          <t>Dow Europe GmbH,  Ahlen, Germany</t>
        </is>
      </c>
      <c r="B5132" t="inlineStr">
        <is>
          <t>Processing Unit, Trader with Storage</t>
        </is>
      </c>
      <c r="C5132" t="inlineStr">
        <is>
          <t>SGS Germany GmbH, Emstek, DE</t>
        </is>
      </c>
      <c r="D5132" t="inlineStr">
        <is>
          <t>19.04.2027</t>
        </is>
      </c>
      <c r="E5132" t="inlineStr">
        <is>
          <t>Germany</t>
        </is>
      </c>
    </row>
    <row r="5133">
      <c r="A5133" t="inlineStr">
        <is>
          <t>NIKE Fuel B.V.,  Mapletree Business City, Singapore</t>
        </is>
      </c>
      <c r="B5133" t="inlineStr">
        <is>
          <t>Trader</t>
        </is>
      </c>
      <c r="C5133" t="inlineStr">
        <is>
          <t>SGS Germany GmbH, Emstek, DE</t>
        </is>
      </c>
      <c r="D5133" t="inlineStr">
        <is>
          <t>19.04.2027</t>
        </is>
      </c>
      <c r="E5133" t="inlineStr">
        <is>
          <t>Singapore</t>
        </is>
      </c>
    </row>
    <row r="5134">
      <c r="A5134" t="inlineStr">
        <is>
          <t>Cosmo Oil Co., Ltd.,  Tokyo, Japan</t>
        </is>
      </c>
      <c r="B5134" t="inlineStr">
        <is>
          <t>Trader with Storage</t>
        </is>
      </c>
      <c r="C5134" t="inlineStr">
        <is>
          <t>SGS Germany GmbH, Emstek, DE</t>
        </is>
      </c>
      <c r="D5134" t="inlineStr">
        <is>
          <t>19.04.2027</t>
        </is>
      </c>
      <c r="E5134" t="inlineStr">
        <is>
          <t>Japan</t>
        </is>
      </c>
    </row>
    <row r="5135">
      <c r="A5135" t="inlineStr">
        <is>
          <t>HANSEO C&amp;F,  Gwangju-si, Gyeonggi-do, South Korea</t>
        </is>
      </c>
      <c r="B5135" t="inlineStr">
        <is>
          <t>Processing Unit</t>
        </is>
      </c>
      <c r="C5135" t="inlineStr">
        <is>
          <t>Control Union Certifications Germany GmbH, Berlin, DE</t>
        </is>
      </c>
      <c r="D5135" t="inlineStr">
        <is>
          <t>19.04.2027</t>
        </is>
      </c>
      <c r="E5135" t="inlineStr">
        <is>
          <t>South Korea</t>
        </is>
      </c>
    </row>
    <row r="5136">
      <c r="A5136" t="inlineStr">
        <is>
          <t>Suzhou Hechuang Chemical Co., Ltd.,  Changshu City, Jiangsu Province, China</t>
        </is>
      </c>
      <c r="B5136" t="inlineStr">
        <is>
          <t>Processing Unit</t>
        </is>
      </c>
      <c r="C5136" t="inlineStr">
        <is>
          <t>SCS Global Services, Emeryville, CA, US</t>
        </is>
      </c>
      <c r="D5136" t="inlineStr">
        <is>
          <t>19.04.2027</t>
        </is>
      </c>
      <c r="E5136" t="inlineStr">
        <is>
          <t>China</t>
        </is>
      </c>
    </row>
    <row r="5137">
      <c r="A5137" t="inlineStr">
        <is>
          <t>DIC,  Hakusan, Japan</t>
        </is>
      </c>
      <c r="B5137" t="inlineStr">
        <is>
          <t>Processing Unit</t>
        </is>
      </c>
      <c r="C5137" t="inlineStr">
        <is>
          <t>PT Intertek Utama Services, Jakarta, ID</t>
        </is>
      </c>
      <c r="D5137" t="inlineStr">
        <is>
          <t>19.04.2027</t>
        </is>
      </c>
      <c r="E5137" t="inlineStr">
        <is>
          <t>Japan</t>
        </is>
      </c>
    </row>
    <row r="5138">
      <c r="A5138" t="inlineStr">
        <is>
          <t>Jiaxing Nikko New Materials Technology Co., Ltd.,  Jiaxing City, Zhejiang Province, China</t>
        </is>
      </c>
      <c r="B5138" t="inlineStr">
        <is>
          <t>Trader</t>
        </is>
      </c>
      <c r="C5138" t="inlineStr">
        <is>
          <t>CTI Certification Co. Ltd, Shenzhen, CN</t>
        </is>
      </c>
      <c r="D5138" t="inlineStr">
        <is>
          <t>19.04.2027</t>
        </is>
      </c>
      <c r="E5138" t="inlineStr">
        <is>
          <t>China</t>
        </is>
      </c>
    </row>
    <row r="5139">
      <c r="A5139" t="inlineStr">
        <is>
          <t>Sumatera Karya Agro,  Kabupaten Rokan Hulu, Provinsi Riau, Indonesia</t>
        </is>
      </c>
      <c r="B5139" t="inlineStr">
        <is>
          <t>Point of Origin</t>
        </is>
      </c>
      <c r="C5139" t="inlineStr">
        <is>
          <t>PT. Qualitas Sertifikasi Indonesia, Jakarta, ID</t>
        </is>
      </c>
      <c r="D5139" t="inlineStr">
        <is>
          <t>19.04.2027</t>
        </is>
      </c>
      <c r="E5139" t="inlineStr">
        <is>
          <t>Indonesia</t>
        </is>
      </c>
    </row>
    <row r="5140">
      <c r="A5140" t="inlineStr">
        <is>
          <t>SINOPEC Cangzhou Company,  Cangzhou CITY, Hebei PROVINCE, China</t>
        </is>
      </c>
      <c r="B5140" t="inlineStr">
        <is>
          <t>Processing Unit</t>
        </is>
      </c>
      <c r="C5140" t="inlineStr">
        <is>
          <t>China Classification Society Certification Co., Ltd, Dong Cheng District, Beijing, CN</t>
        </is>
      </c>
      <c r="D5140" t="inlineStr">
        <is>
          <t>19.04.2027</t>
        </is>
      </c>
      <c r="E5140" t="inlineStr">
        <is>
          <t>China</t>
        </is>
      </c>
    </row>
    <row r="5141">
      <c r="A5141" t="inlineStr">
        <is>
          <t>Sertego Servicios Medioambientales,  Palma de Mallorca, Spain</t>
        </is>
      </c>
      <c r="B5141" t="inlineStr">
        <is>
          <t>Collecting Point, Trader with Storage</t>
        </is>
      </c>
      <c r="C5141" t="inlineStr">
        <is>
          <t>Amspec Iberia SL, Vilagarcia de Arousa-Pontevedra, ES</t>
        </is>
      </c>
      <c r="D5141" t="inlineStr">
        <is>
          <t>19.04.2027</t>
        </is>
      </c>
      <c r="E5141" t="inlineStr">
        <is>
          <t>Spain</t>
        </is>
      </c>
    </row>
    <row r="5142">
      <c r="A5142" t="inlineStr">
        <is>
          <t>Eppendorf Polymere GmbH,  Oldenburg, Germany</t>
        </is>
      </c>
      <c r="B5142" t="inlineStr">
        <is>
          <t>Processing Unit</t>
        </is>
      </c>
      <c r="C5142" t="inlineStr">
        <is>
          <t>TÜV SÜD Industrie Service GmbH, München, DE</t>
        </is>
      </c>
      <c r="D5142" t="inlineStr">
        <is>
          <t>19.04.2027</t>
        </is>
      </c>
      <c r="E5142" t="inlineStr">
        <is>
          <t>Germany</t>
        </is>
      </c>
    </row>
    <row r="5143">
      <c r="A5143" t="inlineStr">
        <is>
          <t>Fournier-Cavos,  Menen, Belgium</t>
        </is>
      </c>
      <c r="B5143" t="inlineStr">
        <is>
          <t>Trader with Storage</t>
        </is>
      </c>
      <c r="C5143" t="inlineStr">
        <is>
          <t>Control Union Certifications Germany GmbH, Berlin, DE</t>
        </is>
      </c>
      <c r="D5143" t="inlineStr">
        <is>
          <t>19.04.2027</t>
        </is>
      </c>
      <c r="E5143" t="inlineStr">
        <is>
          <t>Belgium</t>
        </is>
      </c>
    </row>
    <row r="5144">
      <c r="A5144" t="inlineStr">
        <is>
          <t>Foshan Shunde District Haorong Grease Management Department,  Foshan City, Guangdong Province, China</t>
        </is>
      </c>
      <c r="B5144" t="inlineStr">
        <is>
          <t>Collecting Point</t>
        </is>
      </c>
      <c r="C5144" t="inlineStr">
        <is>
          <t>RINA Services S.p.A., Genova, IT</t>
        </is>
      </c>
      <c r="D5144" t="inlineStr">
        <is>
          <t>19.04.2027</t>
        </is>
      </c>
      <c r="E5144" t="inlineStr">
        <is>
          <t>China</t>
        </is>
      </c>
    </row>
    <row r="5145">
      <c r="A5145" t="inlineStr">
        <is>
          <t>An Chang Shun Pte Ltd,  Singapore, Singapore</t>
        </is>
      </c>
      <c r="B5145" t="inlineStr">
        <is>
          <t>Collecting Point, Trader with Storage</t>
        </is>
      </c>
      <c r="C5145" t="inlineStr">
        <is>
          <t>PT. CBQA GLOBAL INDONESIA, JAKARTA SELATAN, ID</t>
        </is>
      </c>
      <c r="D5145" t="inlineStr">
        <is>
          <t>19.04.2027</t>
        </is>
      </c>
      <c r="E5145" t="inlineStr">
        <is>
          <t>Singapore</t>
        </is>
      </c>
    </row>
    <row r="5146">
      <c r="A5146" t="inlineStr">
        <is>
          <t>AB "ORLEN Lietuva",  Juodeikiai, Lithuania</t>
        </is>
      </c>
      <c r="B5146" t="inlineStr">
        <is>
          <t>Trader with Storage</t>
        </is>
      </c>
      <c r="C5146" t="inlineStr">
        <is>
          <t>Bureau Veritas Polska Sp. z o.o., Warsaw, PL</t>
        </is>
      </c>
      <c r="D5146" t="inlineStr">
        <is>
          <t>19.04.2027</t>
        </is>
      </c>
      <c r="E5146" t="inlineStr">
        <is>
          <t>Lithuania</t>
        </is>
      </c>
    </row>
    <row r="5147">
      <c r="A5147" t="inlineStr">
        <is>
          <t>Forbo-Novilon B.V.,  Coevorden, Netherlands</t>
        </is>
      </c>
      <c r="B5147" t="inlineStr">
        <is>
          <t>Processing Unit, Final Product Refinement</t>
        </is>
      </c>
      <c r="C5147" t="inlineStr">
        <is>
          <t>Normec QS BV, Ede, NL</t>
        </is>
      </c>
      <c r="D5147" t="inlineStr">
        <is>
          <t>19.04.2027</t>
        </is>
      </c>
      <c r="E5147" t="inlineStr">
        <is>
          <t>Netherlands</t>
        </is>
      </c>
    </row>
    <row r="5148">
      <c r="A5148" t="inlineStr">
        <is>
          <t>PT. Gawi Makmur Kalimantan,  Kabupaten Tanah Bumbu, Indonesia</t>
        </is>
      </c>
      <c r="B5148" t="inlineStr">
        <is>
          <t>Point of Origin</t>
        </is>
      </c>
      <c r="C5148" t="inlineStr">
        <is>
          <t>SGS Germany GmbH, Emstek, DE</t>
        </is>
      </c>
      <c r="D5148" t="inlineStr">
        <is>
          <t>19.04.2027</t>
        </is>
      </c>
      <c r="E5148" t="inlineStr">
        <is>
          <t>Indonesia</t>
        </is>
      </c>
    </row>
    <row r="5149">
      <c r="A5149" t="inlineStr">
        <is>
          <t>PT. Gawi Makmur Kalimantan,  Kabupaten Tanah Laut, Indonesia</t>
        </is>
      </c>
      <c r="B5149" t="inlineStr">
        <is>
          <t>Point of Origin</t>
        </is>
      </c>
      <c r="C5149" t="inlineStr">
        <is>
          <t>SGS Germany GmbH, Emstek, DE</t>
        </is>
      </c>
      <c r="D5149" t="inlineStr">
        <is>
          <t>19.04.2027</t>
        </is>
      </c>
      <c r="E5149" t="inlineStr">
        <is>
          <t>Indonesia</t>
        </is>
      </c>
    </row>
    <row r="5150">
      <c r="A5150" t="inlineStr">
        <is>
          <t>SPLENDORINI MOLINI ECOPARTNER S.R.L.,  Umbertide (PG), Italy</t>
        </is>
      </c>
      <c r="B5150" t="inlineStr">
        <is>
          <t>Collecting Point, Trader with Storage, Processing Unit</t>
        </is>
      </c>
      <c r="C5150" t="inlineStr">
        <is>
          <t>SGS Germany GmbH, Emstek, DE</t>
        </is>
      </c>
      <c r="D5150" t="inlineStr">
        <is>
          <t>19.04.2027</t>
        </is>
      </c>
      <c r="E5150" t="inlineStr">
        <is>
          <t>Italy</t>
        </is>
      </c>
    </row>
    <row r="5151">
      <c r="A5151" t="inlineStr">
        <is>
          <t>SUBOPOL SP. Z O.O.,  Łaziska Górne, Poland</t>
        </is>
      </c>
      <c r="B5151" t="inlineStr">
        <is>
          <t>Trader</t>
        </is>
      </c>
      <c r="C5151" t="inlineStr">
        <is>
          <t>United Registrar of Systems Polska Sp. z o.o., Wrocław, PL</t>
        </is>
      </c>
      <c r="D5151" t="inlineStr">
        <is>
          <t>19.04.2027</t>
        </is>
      </c>
      <c r="E5151" t="inlineStr">
        <is>
          <t>Poland</t>
        </is>
      </c>
    </row>
    <row r="5152">
      <c r="A5152" t="inlineStr">
        <is>
          <t>Ergon Refining, Inc.,  Vicksburg, MS, United States</t>
        </is>
      </c>
      <c r="B5152" t="inlineStr">
        <is>
          <t>Trader with Storage, Processing Unit</t>
        </is>
      </c>
      <c r="C5152" t="inlineStr">
        <is>
          <t>Control Union Poland Sp. z o.o., Zielona Gora, PL</t>
        </is>
      </c>
      <c r="D5152" t="inlineStr">
        <is>
          <t>19.04.2027</t>
        </is>
      </c>
      <c r="E5152" t="inlineStr">
        <is>
          <t>United States</t>
        </is>
      </c>
    </row>
    <row r="5153">
      <c r="A5153" t="inlineStr">
        <is>
          <t>WENZHOU NEW STANDING EYEWEAR CO., LTD.,  Ouhai District, Wenzhou City, Zhejiang Provice, China</t>
        </is>
      </c>
      <c r="B5153" t="inlineStr">
        <is>
          <t>Trader with Storage</t>
        </is>
      </c>
      <c r="C5153" t="inlineStr">
        <is>
          <t>SCS Global Services, Emeryville, CA, US</t>
        </is>
      </c>
      <c r="D5153" t="inlineStr">
        <is>
          <t>19.04.2027</t>
        </is>
      </c>
      <c r="E5153" t="inlineStr">
        <is>
          <t>China</t>
        </is>
      </c>
    </row>
    <row r="5154">
      <c r="A5154" t="inlineStr">
        <is>
          <t>Yunnan Yunwang Oil Co., Ltd.,  Kunming City, Yunnan Province, China</t>
        </is>
      </c>
      <c r="B5154" t="inlineStr">
        <is>
          <t>Collecting Point</t>
        </is>
      </c>
      <c r="C5154" t="inlineStr">
        <is>
          <t>SCS Global Services, Emeryville, CA, US</t>
        </is>
      </c>
      <c r="D5154" t="inlineStr">
        <is>
          <t>19.04.2027</t>
        </is>
      </c>
      <c r="E5154" t="inlineStr">
        <is>
          <t>China</t>
        </is>
      </c>
    </row>
    <row r="5155">
      <c r="A5155" t="inlineStr">
        <is>
          <t>Nantong GreatRiver Smarter Petrochemical Terminal Co.,Ltd.,  Changjiang Town, Rugao City, Jiangsu Province, China</t>
        </is>
      </c>
      <c r="B5155" t="inlineStr">
        <is>
          <t>Warehouse</t>
        </is>
      </c>
      <c r="C5155" t="inlineStr">
        <is>
          <t>SGS Germany GmbH, Emstek, DE</t>
        </is>
      </c>
      <c r="D5155" t="inlineStr">
        <is>
          <t>19.04.2027</t>
        </is>
      </c>
      <c r="E5155" t="inlineStr">
        <is>
          <t>China</t>
        </is>
      </c>
    </row>
    <row r="5156">
      <c r="A5156" t="inlineStr">
        <is>
          <t>Kemai Chemical Co., Ltd.,  Tianjin, China</t>
        </is>
      </c>
      <c r="B5156" t="inlineStr">
        <is>
          <t>Processing Unit</t>
        </is>
      </c>
      <c r="C5156" t="inlineStr">
        <is>
          <t>SCS Global Services, Emeryville, CA, US</t>
        </is>
      </c>
      <c r="D5156" t="inlineStr">
        <is>
          <t>19.04.2027</t>
        </is>
      </c>
      <c r="E5156" t="inlineStr">
        <is>
          <t>China</t>
        </is>
      </c>
    </row>
    <row r="5157">
      <c r="A5157" t="inlineStr">
        <is>
          <t>Kemai (Inner Mongolia) Chemical CO., LTD.,  Tongliao City, Inner Mongolia Autonomous Region, China</t>
        </is>
      </c>
      <c r="B5157" t="inlineStr">
        <is>
          <t>Point of Origin, Processing Unit</t>
        </is>
      </c>
      <c r="C5157" t="inlineStr">
        <is>
          <t>SCS Global Services, Emeryville, CA, US</t>
        </is>
      </c>
      <c r="D5157" t="inlineStr">
        <is>
          <t>19.04.2027</t>
        </is>
      </c>
      <c r="E5157" t="inlineStr">
        <is>
          <t>China</t>
        </is>
      </c>
    </row>
    <row r="5158">
      <c r="A5158" t="inlineStr">
        <is>
          <t>Enosis,  Lesquielles-Saint-Germain, France</t>
        </is>
      </c>
      <c r="B5158" t="inlineStr">
        <is>
          <t>Collecting Point, Trader, Processing Unit</t>
        </is>
      </c>
      <c r="C5158" t="inlineStr">
        <is>
          <t>Control Union Certifications Germany GmbH, Berlin, DE</t>
        </is>
      </c>
      <c r="D5158" t="inlineStr">
        <is>
          <t>19.04.2027</t>
        </is>
      </c>
      <c r="E5158" t="inlineStr">
        <is>
          <t>France</t>
        </is>
      </c>
    </row>
    <row r="5159">
      <c r="A5159" t="inlineStr">
        <is>
          <t>SELIG FRANCE,  Chazay d’Azergues, France</t>
        </is>
      </c>
      <c r="B5159" t="inlineStr">
        <is>
          <t>Processing Unit</t>
        </is>
      </c>
      <c r="C5159" t="inlineStr">
        <is>
          <t>Bureau Veritas Polska Sp. z o.o., Warsaw, PL</t>
        </is>
      </c>
      <c r="D5159" t="inlineStr">
        <is>
          <t>19.04.2027</t>
        </is>
      </c>
      <c r="E5159" t="inlineStr">
        <is>
          <t>France</t>
        </is>
      </c>
    </row>
    <row r="5160">
      <c r="A5160" t="inlineStr">
        <is>
          <t>Reciclagem Industria e Comercio de Sub Produtos de Animai do Mato Grosso LTDA - Mundi Ambietal,  Aparecida de Goiânia, Brazil</t>
        </is>
      </c>
      <c r="B5160" t="inlineStr">
        <is>
          <t>Collecting Point, Trader with Storage</t>
        </is>
      </c>
      <c r="C5160" t="inlineStr">
        <is>
          <t>Control Union Poland Sp. z o.o., Zielona Gora, PL</t>
        </is>
      </c>
      <c r="D5160" t="inlineStr">
        <is>
          <t>19.04.2027</t>
        </is>
      </c>
      <c r="E5160" t="inlineStr">
        <is>
          <t>Brazil</t>
        </is>
      </c>
    </row>
    <row r="5161">
      <c r="A5161" t="inlineStr">
        <is>
          <t>Mölnlycke Health Care ProcedurePak s.r.o.,  Havířov- Dolní Suchá, Czech Republic</t>
        </is>
      </c>
      <c r="B5161" t="inlineStr">
        <is>
          <t>Final Product Refinement</t>
        </is>
      </c>
      <c r="C5161" t="inlineStr">
        <is>
          <t>Bureau Veritas Polska Sp. z o.o., Warsaw, PL</t>
        </is>
      </c>
      <c r="D5161" t="inlineStr">
        <is>
          <t>18.04.2027</t>
        </is>
      </c>
      <c r="E5161" t="inlineStr">
        <is>
          <t>Czech Republic</t>
        </is>
      </c>
    </row>
    <row r="5162">
      <c r="A5162" t="inlineStr">
        <is>
          <t>TPC Group LLC,  Houston, TX, United States</t>
        </is>
      </c>
      <c r="B5162" t="inlineStr">
        <is>
          <t>Processing Unit</t>
        </is>
      </c>
      <c r="C5162" t="inlineStr">
        <is>
          <t>SCS Global Services, Emeryville, CA, US</t>
        </is>
      </c>
      <c r="D5162" t="inlineStr">
        <is>
          <t>18.04.2027</t>
        </is>
      </c>
      <c r="E5162" t="inlineStr">
        <is>
          <t>United States</t>
        </is>
      </c>
    </row>
    <row r="5163">
      <c r="A5163" t="inlineStr">
        <is>
          <t>Repsol Fuels S.A.U.,  La Pobla de Mafumet, Spain</t>
        </is>
      </c>
      <c r="B5163" t="inlineStr">
        <is>
          <t>ETBE plant, MTBE plant, Processing Unit, Trader with Storage, Warehouse</t>
        </is>
      </c>
      <c r="C5163" t="inlineStr">
        <is>
          <t>Control Union Poland Sp. z o.o., Zielona Gora, PL</t>
        </is>
      </c>
      <c r="D5163" t="inlineStr">
        <is>
          <t>18.04.2027</t>
        </is>
      </c>
      <c r="E5163" t="inlineStr">
        <is>
          <t>Spain</t>
        </is>
      </c>
    </row>
    <row r="5164">
      <c r="A5164" t="inlineStr">
        <is>
          <t>Repsol Fuels S.A.U.,  La Pobla de Mafumet, Spain</t>
        </is>
      </c>
      <c r="B5164" t="inlineStr">
        <is>
          <t>ETBE plant, MTBE plant, Processing Unit, Trader with Storage, Warehouse</t>
        </is>
      </c>
      <c r="C5164" t="inlineStr">
        <is>
          <t>Control Union Poland Sp. z o.o., Zielona Gora, PL</t>
        </is>
      </c>
      <c r="D5164" t="inlineStr">
        <is>
          <t>18.04.2027</t>
        </is>
      </c>
      <c r="E5164" t="inlineStr">
        <is>
          <t>Spain</t>
        </is>
      </c>
    </row>
    <row r="5165">
      <c r="A5165" t="inlineStr">
        <is>
          <t>Dongguan Zhongzhou Glasses Plate Co., LTD,  Dongguan, Guangdong Province,, China</t>
        </is>
      </c>
      <c r="B5165" t="inlineStr">
        <is>
          <t>Processing Unit</t>
        </is>
      </c>
      <c r="C5165" t="inlineStr">
        <is>
          <t>SCS Global Services, Emeryville, CA, US</t>
        </is>
      </c>
      <c r="D5165" t="inlineStr">
        <is>
          <t>18.04.2027</t>
        </is>
      </c>
      <c r="E5165" t="inlineStr">
        <is>
          <t>China</t>
        </is>
      </c>
    </row>
    <row r="5166">
      <c r="A5166" t="inlineStr">
        <is>
          <t>Systec Plastics Eisfeld GmbH,  Eisfeld, Germany</t>
        </is>
      </c>
      <c r="B5166" t="inlineStr">
        <is>
          <t>Point of Origin, Trader</t>
        </is>
      </c>
      <c r="C5166" t="inlineStr">
        <is>
          <t>GUT Certifizierungsgesellschaft für Managementsysteme mbH Umweltgutachter, Berlin, DE</t>
        </is>
      </c>
      <c r="D5166" t="inlineStr">
        <is>
          <t>18.04.2027</t>
        </is>
      </c>
      <c r="E5166" t="inlineStr">
        <is>
          <t>Germany</t>
        </is>
      </c>
    </row>
    <row r="5167">
      <c r="A5167" t="inlineStr">
        <is>
          <t>Marathon Petroleum Company,  Garyville, LA, United States</t>
        </is>
      </c>
      <c r="B5167" t="inlineStr">
        <is>
          <t>Trader with Storage</t>
        </is>
      </c>
      <c r="C5167" t="inlineStr">
        <is>
          <t>SCS Global Services, Emeryville, CA, US</t>
        </is>
      </c>
      <c r="D5167" t="inlineStr">
        <is>
          <t>18.04.2027</t>
        </is>
      </c>
      <c r="E5167" t="inlineStr">
        <is>
          <t>United States</t>
        </is>
      </c>
    </row>
    <row r="5168">
      <c r="A5168" t="inlineStr">
        <is>
          <t>WAGA ENERGY,  Cusset, France</t>
        </is>
      </c>
      <c r="B5168" t="inlineStr">
        <is>
          <t>Collecting Point, Processing Unit</t>
        </is>
      </c>
      <c r="C5168" t="inlineStr">
        <is>
          <t>Certi W Baltic SIA, Riga, LV</t>
        </is>
      </c>
      <c r="D5168" t="inlineStr">
        <is>
          <t>18.04.2027</t>
        </is>
      </c>
      <c r="E5168" t="inlineStr">
        <is>
          <t>France</t>
        </is>
      </c>
    </row>
    <row r="5169">
      <c r="A5169" t="inlineStr">
        <is>
          <t>Yuanli Yihai Kerry(Panjin) Eco Technology Co.,Ltd,  Panjin City, China</t>
        </is>
      </c>
      <c r="B5169" t="inlineStr">
        <is>
          <t>Collecting Point, Processing Unit</t>
        </is>
      </c>
      <c r="C5169" t="inlineStr">
        <is>
          <t>SGS Germany GmbH, Emstek, DE</t>
        </is>
      </c>
      <c r="D5169" t="inlineStr">
        <is>
          <t>18.04.2027</t>
        </is>
      </c>
      <c r="E5169" t="inlineStr">
        <is>
          <t>China</t>
        </is>
      </c>
    </row>
    <row r="5170">
      <c r="A5170" t="inlineStr">
        <is>
          <t>Methanex Fuels UK Ltd,  London, United Kingdom</t>
        </is>
      </c>
      <c r="B5170" t="inlineStr">
        <is>
          <t>Trader with Storage</t>
        </is>
      </c>
      <c r="C5170" t="inlineStr">
        <is>
          <t>SGS Germany GmbH, Emstek, DE</t>
        </is>
      </c>
      <c r="D5170" t="inlineStr">
        <is>
          <t>18.04.2027</t>
        </is>
      </c>
      <c r="E5170" t="inlineStr">
        <is>
          <t>United Kingdom</t>
        </is>
      </c>
    </row>
    <row r="5171">
      <c r="A5171" t="inlineStr">
        <is>
          <t>Methanex Fuels UK Ltd,  London, United Kingdom</t>
        </is>
      </c>
      <c r="B5171" t="inlineStr">
        <is>
          <t>Trader with Storage</t>
        </is>
      </c>
      <c r="C5171" t="inlineStr">
        <is>
          <t>SGS Germany GmbH, Emstek, DE</t>
        </is>
      </c>
      <c r="D5171" t="inlineStr">
        <is>
          <t>18.04.2027</t>
        </is>
      </c>
      <c r="E5171" t="inlineStr">
        <is>
          <t>United Kingdom</t>
        </is>
      </c>
    </row>
    <row r="5172">
      <c r="A5172" t="inlineStr">
        <is>
          <t>Pellifal srl,  Montichiari (BS), Italy</t>
        </is>
      </c>
      <c r="B5172" t="inlineStr">
        <is>
          <t>Collecting Point, Trader with Storage</t>
        </is>
      </c>
      <c r="C5172" t="inlineStr">
        <is>
          <t>SGS Germany GmbH, Emstek, DE</t>
        </is>
      </c>
      <c r="D5172" t="inlineStr">
        <is>
          <t>18.04.2027</t>
        </is>
      </c>
      <c r="E5172" t="inlineStr">
        <is>
          <t>Italy</t>
        </is>
      </c>
    </row>
    <row r="5173">
      <c r="A5173" t="inlineStr">
        <is>
          <t>Bunkerstation Heijmen BV,  Millingen aan de Rijn, Netherlands</t>
        </is>
      </c>
      <c r="B5173" t="inlineStr">
        <is>
          <t>Trader with Storage</t>
        </is>
      </c>
      <c r="C5173" t="inlineStr">
        <is>
          <t>DEKRA Certification B.V., Arnhem, NL</t>
        </is>
      </c>
      <c r="D5173" t="inlineStr">
        <is>
          <t>18.04.2027</t>
        </is>
      </c>
      <c r="E5173" t="inlineStr">
        <is>
          <t>Netherlands</t>
        </is>
      </c>
    </row>
    <row r="5174">
      <c r="A5174" t="inlineStr">
        <is>
          <t>Bunkerstation Heijmen BV,  Millingen aan de Rijn, Netherlands</t>
        </is>
      </c>
      <c r="B5174" t="inlineStr">
        <is>
          <t>Trader with Storage</t>
        </is>
      </c>
      <c r="C5174" t="inlineStr">
        <is>
          <t>DEKRA Certification B.V., Arnhem, NL</t>
        </is>
      </c>
      <c r="D5174" t="inlineStr">
        <is>
          <t>18.04.2027</t>
        </is>
      </c>
      <c r="E5174" t="inlineStr">
        <is>
          <t>Netherlands</t>
        </is>
      </c>
    </row>
    <row r="5175">
      <c r="A5175" t="inlineStr">
        <is>
          <t>EKO SIGURNOST d.o.o.,  Donja Stubica, Croatia</t>
        </is>
      </c>
      <c r="B5175" t="inlineStr">
        <is>
          <t>Collecting Point</t>
        </is>
      </c>
      <c r="C5175" t="inlineStr">
        <is>
          <t>agroVet GmbH, Enzersfeld, AT</t>
        </is>
      </c>
      <c r="D5175" t="inlineStr">
        <is>
          <t>18.04.2027</t>
        </is>
      </c>
      <c r="E5175" t="inlineStr">
        <is>
          <t>Croatia</t>
        </is>
      </c>
    </row>
    <row r="5176">
      <c r="A5176" t="inlineStr">
        <is>
          <t>China Resources Textiles （Holdings）Company Ltd,  Hong Kong, Hong Kong, SAR, China</t>
        </is>
      </c>
      <c r="B5176" t="inlineStr">
        <is>
          <t>Trader with Storage</t>
        </is>
      </c>
      <c r="C5176" t="inlineStr">
        <is>
          <t>RINA Services S.p.A., Genova, IT</t>
        </is>
      </c>
      <c r="D5176" t="inlineStr">
        <is>
          <t>18.04.2027</t>
        </is>
      </c>
      <c r="E5176" t="inlineStr">
        <is>
          <t>China</t>
        </is>
      </c>
    </row>
    <row r="5177">
      <c r="A5177" t="inlineStr">
        <is>
          <t>Xuchang Zhengde Environstar Medical Products Co., Ltd.,  Industry Cluster District, China</t>
        </is>
      </c>
      <c r="B5177" t="inlineStr">
        <is>
          <t>Processing Unit</t>
        </is>
      </c>
      <c r="C5177" t="inlineStr">
        <is>
          <t>SGS Germany GmbH, Emstek, DE</t>
        </is>
      </c>
      <c r="D5177" t="inlineStr">
        <is>
          <t>18.04.2027</t>
        </is>
      </c>
      <c r="E5177" t="inlineStr">
        <is>
          <t>China</t>
        </is>
      </c>
    </row>
    <row r="5178">
      <c r="A5178" t="inlineStr">
        <is>
          <t>Hahl Deutschland Filaments GmbH,  Munderkingen, Germany</t>
        </is>
      </c>
      <c r="B5178" t="inlineStr">
        <is>
          <t>Collecting Point, Processing Unit, Final Product Refinement</t>
        </is>
      </c>
      <c r="C5178" t="inlineStr">
        <is>
          <t>agroVet GmbH, Enzersfeld, AT</t>
        </is>
      </c>
      <c r="D5178" t="inlineStr">
        <is>
          <t>17.04.2027</t>
        </is>
      </c>
      <c r="E5178" t="inlineStr">
        <is>
          <t>Germany</t>
        </is>
      </c>
    </row>
    <row r="5179">
      <c r="A5179" t="inlineStr">
        <is>
          <t>XIAMEN SUN HAVEN OPTICAL CO.,LTD.,  Xiamen city Fujian Province, China</t>
        </is>
      </c>
      <c r="B5179" t="inlineStr">
        <is>
          <t>Processing Unit</t>
        </is>
      </c>
      <c r="C5179" t="inlineStr">
        <is>
          <t>RINA Services S.p.A., Genova, IT</t>
        </is>
      </c>
      <c r="D5179" t="inlineStr">
        <is>
          <t>17.04.2027</t>
        </is>
      </c>
      <c r="E5179" t="inlineStr">
        <is>
          <t>China</t>
        </is>
      </c>
    </row>
    <row r="5180">
      <c r="A5180" t="inlineStr">
        <is>
          <t>Neomille S.A.,  Chapadão do Céu, Brazil</t>
        </is>
      </c>
      <c r="B5180" t="inlineStr">
        <is>
          <t>Point of Origin, Processing Unit</t>
        </is>
      </c>
      <c r="C5180" t="inlineStr">
        <is>
          <t>Control Union Poland Sp. z o.o., Zielona Gora, PL</t>
        </is>
      </c>
      <c r="D5180" t="inlineStr">
        <is>
          <t>17.04.2027</t>
        </is>
      </c>
      <c r="E5180" t="inlineStr">
        <is>
          <t>Brazil</t>
        </is>
      </c>
    </row>
    <row r="5181">
      <c r="A5181" t="inlineStr">
        <is>
          <t>PT Sumatra Agro Perkasa,  Deli Serdang, Indonesia</t>
        </is>
      </c>
      <c r="B5181" t="inlineStr">
        <is>
          <t>Point of Origin</t>
        </is>
      </c>
      <c r="C5181" t="inlineStr">
        <is>
          <t>BM Certification, Riga, LV</t>
        </is>
      </c>
      <c r="D5181" t="inlineStr">
        <is>
          <t>17.04.2027</t>
        </is>
      </c>
      <c r="E5181" t="inlineStr">
        <is>
          <t>Indonesia</t>
        </is>
      </c>
    </row>
    <row r="5182">
      <c r="A5182" t="inlineStr">
        <is>
          <t>Tetra Pak Envases,  Arganda del Rey, Spain</t>
        </is>
      </c>
      <c r="B5182" t="inlineStr">
        <is>
          <t>Processing Unit</t>
        </is>
      </c>
      <c r="C5182" t="inlineStr">
        <is>
          <t>SCS Global Services, Emeryville, CA, US</t>
        </is>
      </c>
      <c r="D5182" t="inlineStr">
        <is>
          <t>17.04.2027</t>
        </is>
      </c>
      <c r="E5182" t="inlineStr">
        <is>
          <t>Spain</t>
        </is>
      </c>
    </row>
    <row r="5183">
      <c r="A5183" t="inlineStr">
        <is>
          <t>GPJ WORLD TRADING PTE. LTD.,  SINGAPORE, Singapore</t>
        </is>
      </c>
      <c r="B5183" t="inlineStr">
        <is>
          <t>Trader</t>
        </is>
      </c>
      <c r="C5183" t="inlineStr">
        <is>
          <t>Guardian Independent Certification Limited, Singapore, SG</t>
        </is>
      </c>
      <c r="D5183" t="inlineStr">
        <is>
          <t>17.04.2027</t>
        </is>
      </c>
      <c r="E5183" t="inlineStr">
        <is>
          <t>Singapore</t>
        </is>
      </c>
    </row>
    <row r="5184">
      <c r="A5184" t="inlineStr">
        <is>
          <t>MGES RESOURCES SDN BHD,  Kulai, Johor, Malaysia</t>
        </is>
      </c>
      <c r="B5184" t="inlineStr">
        <is>
          <t>Collecting Point, Trader with Storage</t>
        </is>
      </c>
      <c r="C5184" t="inlineStr">
        <is>
          <t>PT Mutuagung Lestari, Depok, ID</t>
        </is>
      </c>
      <c r="D5184" t="inlineStr">
        <is>
          <t>17.04.2027</t>
        </is>
      </c>
      <c r="E5184" t="inlineStr">
        <is>
          <t>Malaysia</t>
        </is>
      </c>
    </row>
    <row r="5185">
      <c r="A5185" t="inlineStr">
        <is>
          <t>Aither Group AG,  Chiasso, Switzerland</t>
        </is>
      </c>
      <c r="B5185" t="inlineStr">
        <is>
          <t>Trader</t>
        </is>
      </c>
      <c r="C5185" t="inlineStr">
        <is>
          <t>CSQA Certificazioni Srl, Thiene, IT</t>
        </is>
      </c>
      <c r="D5185" t="inlineStr">
        <is>
          <t>17.04.2027</t>
        </is>
      </c>
      <c r="E5185" t="inlineStr">
        <is>
          <t>Switzerland</t>
        </is>
      </c>
    </row>
    <row r="5186">
      <c r="A5186" t="inlineStr">
        <is>
          <t>Aceitera Chabás S.A.I.C.,  Chabas - Provincia de Santa Fe, Argentina</t>
        </is>
      </c>
      <c r="B5186" t="inlineStr">
        <is>
          <t>Processing Unit</t>
        </is>
      </c>
      <c r="C5186" t="inlineStr">
        <is>
          <t>Control Union Poland Sp. z o.o., Zielona Gora, PL</t>
        </is>
      </c>
      <c r="D5186" t="inlineStr">
        <is>
          <t>17.04.2027</t>
        </is>
      </c>
      <c r="E5186" t="inlineStr">
        <is>
          <t>Argentina</t>
        </is>
      </c>
    </row>
    <row r="5187">
      <c r="A5187" t="inlineStr">
        <is>
          <t>IVC bv,  Avelgem, Belgium</t>
        </is>
      </c>
      <c r="B5187" t="inlineStr">
        <is>
          <t>Processing Unit</t>
        </is>
      </c>
      <c r="C5187" t="inlineStr">
        <is>
          <t>SCS Global Services, Emeryville, CA, US</t>
        </is>
      </c>
      <c r="D5187" t="inlineStr">
        <is>
          <t>17.04.2027</t>
        </is>
      </c>
      <c r="E5187" t="inlineStr">
        <is>
          <t>Belgium</t>
        </is>
      </c>
    </row>
    <row r="5188">
      <c r="A5188" t="inlineStr">
        <is>
          <t>Rizhao Gon Chemistry Co., Ltd,  Lanshan District, Rizhao City, Shandong Province, China</t>
        </is>
      </c>
      <c r="B5188" t="inlineStr">
        <is>
          <t>Processing Unit</t>
        </is>
      </c>
      <c r="C5188" t="inlineStr">
        <is>
          <t>NSF International, Ann Arbor, MI, US</t>
        </is>
      </c>
      <c r="D5188" t="inlineStr">
        <is>
          <t>17.04.2027</t>
        </is>
      </c>
      <c r="E5188" t="inlineStr">
        <is>
          <t>China</t>
        </is>
      </c>
    </row>
    <row r="5189">
      <c r="A5189" t="inlineStr">
        <is>
          <t>Conectiv SCS Export de Mexico,  Zapopan, Mexico</t>
        </is>
      </c>
      <c r="B5189" t="inlineStr">
        <is>
          <t>Processing Unit</t>
        </is>
      </c>
      <c r="C5189" t="inlineStr">
        <is>
          <t>SCS Global Services, Emeryville, CA, US</t>
        </is>
      </c>
      <c r="D5189" t="inlineStr">
        <is>
          <t>17.04.2027</t>
        </is>
      </c>
      <c r="E5189" t="inlineStr">
        <is>
          <t>Mexico</t>
        </is>
      </c>
    </row>
    <row r="5190">
      <c r="A5190" t="inlineStr">
        <is>
          <t>SANFAUSTINO LABEL,  Castrezzato, Italy</t>
        </is>
      </c>
      <c r="B5190" t="inlineStr">
        <is>
          <t>Final Product Refinement, Processing Unit</t>
        </is>
      </c>
      <c r="C5190" t="inlineStr">
        <is>
          <t>IIP S.r.l., Monza, IT</t>
        </is>
      </c>
      <c r="D5190" t="inlineStr">
        <is>
          <t>17.04.2027</t>
        </is>
      </c>
      <c r="E5190" t="inlineStr">
        <is>
          <t>Italy</t>
        </is>
      </c>
    </row>
    <row r="5191">
      <c r="A5191" t="inlineStr">
        <is>
          <t>SUMITOMO CORPORATION (HONG KONG) LTD,  Hongkong, China</t>
        </is>
      </c>
      <c r="B5191" t="inlineStr">
        <is>
          <t>Trader</t>
        </is>
      </c>
      <c r="C5191" t="inlineStr">
        <is>
          <t>China Quality Certification Centre Co., Ltd., Beijing, CN</t>
        </is>
      </c>
      <c r="D5191" t="inlineStr">
        <is>
          <t>17.04.2027</t>
        </is>
      </c>
      <c r="E5191" t="inlineStr">
        <is>
          <t>China</t>
        </is>
      </c>
    </row>
    <row r="5192">
      <c r="A5192" t="inlineStr">
        <is>
          <t>Evervan Meizhou Footwear Co., Ltd.,  Meizhou City,Guangdong, China</t>
        </is>
      </c>
      <c r="B5192" t="inlineStr">
        <is>
          <t>Processing Unit, Final Product Refinement</t>
        </is>
      </c>
      <c r="C5192" t="inlineStr">
        <is>
          <t>China Quality Certification Centre Co., Ltd., Beijing, CN</t>
        </is>
      </c>
      <c r="D5192" t="inlineStr">
        <is>
          <t>17.04.2027</t>
        </is>
      </c>
      <c r="E5192" t="inlineStr">
        <is>
          <t>China</t>
        </is>
      </c>
    </row>
    <row r="5193">
      <c r="A5193" t="inlineStr">
        <is>
          <t>Arteco NV,  Schoten, Belgium</t>
        </is>
      </c>
      <c r="B5193" t="inlineStr">
        <is>
          <t>Trader with Storage</t>
        </is>
      </c>
      <c r="C5193" t="inlineStr">
        <is>
          <t>DQS CFS GmbH - Deutsche Gesellschaft für Nachhaltigkeit, Frankfurt am Main, DE</t>
        </is>
      </c>
      <c r="D5193" t="inlineStr">
        <is>
          <t>17.04.2027</t>
        </is>
      </c>
      <c r="E5193" t="inlineStr">
        <is>
          <t>Belgium</t>
        </is>
      </c>
    </row>
    <row r="5194">
      <c r="A5194" t="inlineStr">
        <is>
          <t>Logos Packaging Huizhou Co., Ltd.,  Huizhou City, Guangdong Province, China</t>
        </is>
      </c>
      <c r="B5194" t="inlineStr">
        <is>
          <t>Processing Unit</t>
        </is>
      </c>
      <c r="C5194" t="inlineStr">
        <is>
          <t>DIN CERTCO GmbH, Berlin, DE</t>
        </is>
      </c>
      <c r="D5194" t="inlineStr">
        <is>
          <t>17.04.2027</t>
        </is>
      </c>
      <c r="E5194" t="inlineStr">
        <is>
          <t>China</t>
        </is>
      </c>
    </row>
    <row r="5195">
      <c r="A5195" t="inlineStr">
        <is>
          <t>INEOS Manufacturing Belgium,  Geel, Belgium</t>
        </is>
      </c>
      <c r="B5195" t="inlineStr">
        <is>
          <t>Processing Unit</t>
        </is>
      </c>
      <c r="C5195" t="inlineStr">
        <is>
          <t>SCS Global Services, Emeryville, CA, US</t>
        </is>
      </c>
      <c r="D5195" t="inlineStr">
        <is>
          <t>17.04.2027</t>
        </is>
      </c>
      <c r="E5195" t="inlineStr">
        <is>
          <t>Belgium</t>
        </is>
      </c>
    </row>
    <row r="5196">
      <c r="A5196" t="inlineStr">
        <is>
          <t>Cargill Magyarország Zrt.,  Budapest, Hungary</t>
        </is>
      </c>
      <c r="B5196" t="inlineStr">
        <is>
          <t>First Gathering Point, Trader with Storage</t>
        </is>
      </c>
      <c r="C5196" t="inlineStr">
        <is>
          <t>BM Certification, Riga, LV</t>
        </is>
      </c>
      <c r="D5196" t="inlineStr">
        <is>
          <t>17.04.2027</t>
        </is>
      </c>
      <c r="E5196" t="inlineStr">
        <is>
          <t>Hungary</t>
        </is>
      </c>
    </row>
    <row r="5197">
      <c r="A5197" t="inlineStr">
        <is>
          <t>Cargill Magyarország Zrt.,  Budapest, Hungary</t>
        </is>
      </c>
      <c r="B5197" t="inlineStr">
        <is>
          <t>First Gathering Point, Trader with Storage</t>
        </is>
      </c>
      <c r="C5197" t="inlineStr">
        <is>
          <t>BM Certification, Riga, LV</t>
        </is>
      </c>
      <c r="D5197" t="inlineStr">
        <is>
          <t>17.04.2027</t>
        </is>
      </c>
      <c r="E5197" t="inlineStr">
        <is>
          <t>Hungary</t>
        </is>
      </c>
    </row>
    <row r="5198">
      <c r="A5198" t="inlineStr">
        <is>
          <t>Oriental Resources Indonesia,  Pekanbaru, Riau, Indonesia</t>
        </is>
      </c>
      <c r="B5198" t="inlineStr">
        <is>
          <t>Trader</t>
        </is>
      </c>
      <c r="C5198" t="inlineStr">
        <is>
          <t>PT SBC Asia Sertifikasi, Kebumen, ID</t>
        </is>
      </c>
      <c r="D5198" t="inlineStr">
        <is>
          <t>17.04.2027</t>
        </is>
      </c>
      <c r="E5198" t="inlineStr">
        <is>
          <t>Indonesia</t>
        </is>
      </c>
    </row>
    <row r="5199">
      <c r="A5199" t="inlineStr">
        <is>
          <t>APCHEMI PRIVATE LIMITED,  Khalapur , Raigad, India</t>
        </is>
      </c>
      <c r="B5199" t="inlineStr">
        <is>
          <t>Collecting Point, Processing Unit</t>
        </is>
      </c>
      <c r="C5199" t="inlineStr">
        <is>
          <t>ISOQAR Ltd, Stretford, Manchester, GB</t>
        </is>
      </c>
      <c r="D5199" t="inlineStr">
        <is>
          <t>17.04.2027</t>
        </is>
      </c>
      <c r="E5199" t="inlineStr">
        <is>
          <t>India</t>
        </is>
      </c>
    </row>
    <row r="5200">
      <c r="A5200" t="inlineStr">
        <is>
          <t>Società di Macinazione Molini Certosa Spa,  Certosa di Pavia, Italy</t>
        </is>
      </c>
      <c r="B5200" t="inlineStr">
        <is>
          <t>Processing Unit</t>
        </is>
      </c>
      <c r="C5200" t="inlineStr">
        <is>
          <t>RINA Services S.p.A., Genova, IT</t>
        </is>
      </c>
      <c r="D5200" t="inlineStr">
        <is>
          <t>17.04.2027</t>
        </is>
      </c>
      <c r="E5200" t="inlineStr">
        <is>
          <t>Italy</t>
        </is>
      </c>
    </row>
    <row r="5201">
      <c r="A5201" t="inlineStr">
        <is>
          <t>Nanning Haoyuan Trading Co., Ltd.,  Nanning City, Guangxi., China</t>
        </is>
      </c>
      <c r="B5201" t="inlineStr">
        <is>
          <t>Collecting Point, Trader</t>
        </is>
      </c>
      <c r="C5201" t="inlineStr">
        <is>
          <t>SCS Global Services, Emeryville, CA, US</t>
        </is>
      </c>
      <c r="D5201" t="inlineStr">
        <is>
          <t>17.04.2027</t>
        </is>
      </c>
      <c r="E5201" t="inlineStr">
        <is>
          <t>China</t>
        </is>
      </c>
    </row>
    <row r="5202">
      <c r="A5202" t="inlineStr">
        <is>
          <t>Palmgroup Palm Oil Mill Sdn Bhd,  Sibu Division, Malaysia</t>
        </is>
      </c>
      <c r="B5202" t="inlineStr">
        <is>
          <t>First Gathering Point, Point of Origin, Processing Unit</t>
        </is>
      </c>
      <c r="C5202" t="inlineStr">
        <is>
          <t>SGS Germany GmbH, Emstek, DE</t>
        </is>
      </c>
      <c r="D5202" t="inlineStr">
        <is>
          <t>17.04.2027</t>
        </is>
      </c>
      <c r="E5202" t="inlineStr">
        <is>
          <t>Malaysia</t>
        </is>
      </c>
    </row>
    <row r="5203">
      <c r="A5203" t="inlineStr">
        <is>
          <t>Crisrob Dede SRL,  Ovidiu, Romania</t>
        </is>
      </c>
      <c r="B5203" t="inlineStr">
        <is>
          <t>First Gathering Point, Trader with Storage</t>
        </is>
      </c>
      <c r="C5203" t="inlineStr">
        <is>
          <t>SGS Germany GmbH, Emstek, DE</t>
        </is>
      </c>
      <c r="D5203" t="inlineStr">
        <is>
          <t>17.04.2027</t>
        </is>
      </c>
      <c r="E5203" t="inlineStr">
        <is>
          <t>Romania</t>
        </is>
      </c>
    </row>
    <row r="5204">
      <c r="A5204" t="inlineStr">
        <is>
          <t>Guangdong Xinbao Electrical Appliances Holdings Co., Ltd,  Foshan City, Guangdong Province, China</t>
        </is>
      </c>
      <c r="B5204" t="inlineStr">
        <is>
          <t>Processing Unit, Trader with Storage</t>
        </is>
      </c>
      <c r="C5204" t="inlineStr">
        <is>
          <t>RINA Services S.p.A., Genova, IT</t>
        </is>
      </c>
      <c r="D5204" t="inlineStr">
        <is>
          <t>17.04.2027</t>
        </is>
      </c>
      <c r="E5204" t="inlineStr">
        <is>
          <t>China</t>
        </is>
      </c>
    </row>
    <row r="5205">
      <c r="A5205" t="inlineStr">
        <is>
          <t>ARCO TRADE,  Manastur, Romania</t>
        </is>
      </c>
      <c r="B5205" t="inlineStr">
        <is>
          <t>First Gathering Point, Trader with Storage</t>
        </is>
      </c>
      <c r="C5205" t="inlineStr">
        <is>
          <t>SGS Germany GmbH, Emstek, DE</t>
        </is>
      </c>
      <c r="D5205" t="inlineStr">
        <is>
          <t>17.04.2027</t>
        </is>
      </c>
      <c r="E5205" t="inlineStr">
        <is>
          <t>Romania</t>
        </is>
      </c>
    </row>
    <row r="5206">
      <c r="A5206" t="inlineStr">
        <is>
          <t>Redo Sävsjö AB,  Sävsjö, Sweden</t>
        </is>
      </c>
      <c r="B5206" t="inlineStr">
        <is>
          <t>Collecting Point, Processing Unit</t>
        </is>
      </c>
      <c r="C5206" t="inlineStr">
        <is>
          <t>ASG Cert GmbH, Munich, DE</t>
        </is>
      </c>
      <c r="D5206" t="inlineStr">
        <is>
          <t>17.04.2027</t>
        </is>
      </c>
      <c r="E5206" t="inlineStr">
        <is>
          <t>Sweden</t>
        </is>
      </c>
    </row>
    <row r="5207">
      <c r="A5207" t="inlineStr">
        <is>
          <t>Interzero Plastics Sorting GmbH,  Walldürn, Germany</t>
        </is>
      </c>
      <c r="B5207" t="inlineStr">
        <is>
          <t>Collecting Point, Processing Unit</t>
        </is>
      </c>
      <c r="C5207" t="inlineStr">
        <is>
          <t>GUT Certifizierungsgesellschaft für Managementsysteme mbH Umweltgutachter, Berlin, DE</t>
        </is>
      </c>
      <c r="D5207" t="inlineStr">
        <is>
          <t>16.04.2027</t>
        </is>
      </c>
      <c r="E5207" t="inlineStr">
        <is>
          <t>Germany</t>
        </is>
      </c>
    </row>
    <row r="5208">
      <c r="A5208" t="inlineStr">
        <is>
          <t>Qingzhou Changtai Oil Co., Ltd,  Qingzhou City,Shandong province, China</t>
        </is>
      </c>
      <c r="B5208" t="inlineStr">
        <is>
          <t>Collecting Point, Trader with Storage</t>
        </is>
      </c>
      <c r="C5208" t="inlineStr">
        <is>
          <t>RINA Services S.p.A., Genova, IT</t>
        </is>
      </c>
      <c r="D5208" t="inlineStr">
        <is>
          <t>16.04.2027</t>
        </is>
      </c>
      <c r="E5208" t="inlineStr">
        <is>
          <t>China</t>
        </is>
      </c>
    </row>
    <row r="5209">
      <c r="A5209" t="inlineStr">
        <is>
          <t>Manred Inter S.R.L.,  Constanta, Romania</t>
        </is>
      </c>
      <c r="B5209" t="inlineStr">
        <is>
          <t>First Gathering Point</t>
        </is>
      </c>
      <c r="C5209" t="inlineStr">
        <is>
          <t>SGS Germany GmbH, Emstek, DE</t>
        </is>
      </c>
      <c r="D5209" t="inlineStr">
        <is>
          <t>16.04.2027</t>
        </is>
      </c>
      <c r="E5209" t="inlineStr">
        <is>
          <t>Romania</t>
        </is>
      </c>
    </row>
    <row r="5210">
      <c r="A5210" t="inlineStr">
        <is>
          <t>Viriland - Trading LDA,  Lisbon, Portugal</t>
        </is>
      </c>
      <c r="B5210" t="inlineStr">
        <is>
          <t>Trader, Proof of Compliance Trader</t>
        </is>
      </c>
      <c r="C5210" t="inlineStr">
        <is>
          <t>Control Union Poland Sp. z o.o., Zielona Gora, PL</t>
        </is>
      </c>
      <c r="D5210" t="inlineStr">
        <is>
          <t>16.04.2027</t>
        </is>
      </c>
      <c r="E5210" t="inlineStr">
        <is>
          <t>Portugal</t>
        </is>
      </c>
    </row>
    <row r="5211">
      <c r="A5211" t="inlineStr">
        <is>
          <t>Chongqing Songze Environmental Technology Co..ltd,  Fuling District, Chongqing, China</t>
        </is>
      </c>
      <c r="B5211" t="inlineStr">
        <is>
          <t>Collecting Point, Trader with Storage</t>
        </is>
      </c>
      <c r="C5211" t="inlineStr">
        <is>
          <t>PT. Qualitas Sertifikasi Indonesia, Jakarta, ID</t>
        </is>
      </c>
      <c r="D5211" t="inlineStr">
        <is>
          <t>16.04.2027</t>
        </is>
      </c>
      <c r="E5211" t="inlineStr">
        <is>
          <t>China</t>
        </is>
      </c>
    </row>
    <row r="5212">
      <c r="A5212" t="inlineStr">
        <is>
          <t>Vitol Inc.,  Houston, United States</t>
        </is>
      </c>
      <c r="B5212" t="inlineStr">
        <is>
          <t>Trader</t>
        </is>
      </c>
      <c r="C5212" t="inlineStr">
        <is>
          <t>DEKRA Certification B.V., Arnhem, NL</t>
        </is>
      </c>
      <c r="D5212" t="inlineStr">
        <is>
          <t>16.04.2027</t>
        </is>
      </c>
      <c r="E5212" t="inlineStr">
        <is>
          <t>United States</t>
        </is>
      </c>
    </row>
    <row r="5213">
      <c r="A5213" t="inlineStr">
        <is>
          <t>Jiangsu Yongyin Chemical Fiber Co., Ltd,  Qidong City, China</t>
        </is>
      </c>
      <c r="B5213" t="inlineStr">
        <is>
          <t>Processing Unit</t>
        </is>
      </c>
      <c r="C5213" t="inlineStr">
        <is>
          <t>Control Union Certifications Germany GmbH, Berlin, DE</t>
        </is>
      </c>
      <c r="D5213" t="inlineStr">
        <is>
          <t>16.04.2027</t>
        </is>
      </c>
      <c r="E5213" t="inlineStr">
        <is>
          <t>China</t>
        </is>
      </c>
    </row>
    <row r="5214">
      <c r="A5214" t="inlineStr">
        <is>
          <t>LIQUID NATURAL GAZ,  Mas Jonquer, Spain</t>
        </is>
      </c>
      <c r="B5214" t="inlineStr">
        <is>
          <t>Processing Unit, Trader with Storage</t>
        </is>
      </c>
      <c r="C5214" t="inlineStr">
        <is>
          <t>Amspec Iberia SL, Vilagarcia de Arousa-Pontevedra, ES</t>
        </is>
      </c>
      <c r="D5214" t="inlineStr">
        <is>
          <t>16.04.2027</t>
        </is>
      </c>
      <c r="E5214" t="inlineStr">
        <is>
          <t>Spain</t>
        </is>
      </c>
    </row>
    <row r="5215">
      <c r="A5215" t="inlineStr">
        <is>
          <t>APROFITAMENTS ENERGETICS AGRICOLES,  Mas Jonquer (Vilanant), Spain</t>
        </is>
      </c>
      <c r="B5215" t="inlineStr">
        <is>
          <t>Collecting Point, Processing Unit</t>
        </is>
      </c>
      <c r="C5215" t="inlineStr">
        <is>
          <t>Amspec Iberia SL, Vilagarcia de Arousa-Pontevedra, ES</t>
        </is>
      </c>
      <c r="D5215" t="inlineStr">
        <is>
          <t>16.04.2027</t>
        </is>
      </c>
      <c r="E5215" t="inlineStr">
        <is>
          <t>Spain</t>
        </is>
      </c>
    </row>
    <row r="5216">
      <c r="A5216" t="inlineStr">
        <is>
          <t>TotalEnergies Raffinerie Mitteldeutschland GmbH,  Leuna, Germany</t>
        </is>
      </c>
      <c r="B5216" t="inlineStr">
        <is>
          <t>Processing Unit, Trader with Storage</t>
        </is>
      </c>
      <c r="C5216" t="inlineStr">
        <is>
          <t>GUT Certifizierungsgesellschaft für Managementsysteme mbH Umweltgutachter, Berlin, DE</t>
        </is>
      </c>
      <c r="D5216" t="inlineStr">
        <is>
          <t>16.04.2027</t>
        </is>
      </c>
      <c r="E5216" t="inlineStr">
        <is>
          <t>Germany</t>
        </is>
      </c>
    </row>
    <row r="5217">
      <c r="A5217" t="inlineStr">
        <is>
          <t>ED&amp;F Man Liquid Products Poland sp. z o.o.,  Gdansk, Poland</t>
        </is>
      </c>
      <c r="B5217" t="inlineStr">
        <is>
          <t>Trader with Storage</t>
        </is>
      </c>
      <c r="C5217" t="inlineStr">
        <is>
          <t>Control Union Certifications Germany GmbH, Berlin, DE</t>
        </is>
      </c>
      <c r="D5217" t="inlineStr">
        <is>
          <t>16.04.2027</t>
        </is>
      </c>
      <c r="E5217" t="inlineStr">
        <is>
          <t>Poland</t>
        </is>
      </c>
    </row>
    <row r="5218">
      <c r="A5218" t="inlineStr">
        <is>
          <t>Severn Trent Water Ltd,  Sutton Coldfield, United Kingdom</t>
        </is>
      </c>
      <c r="B5218" t="inlineStr">
        <is>
          <t>Collecting Point, Processing Unit</t>
        </is>
      </c>
      <c r="C5218" t="inlineStr">
        <is>
          <t>Double Helix Tracking Technologies Pte Ltd, Singapore, SG</t>
        </is>
      </c>
      <c r="D5218" t="inlineStr">
        <is>
          <t>16.04.2027</t>
        </is>
      </c>
      <c r="E5218" t="inlineStr">
        <is>
          <t>United Kingdom</t>
        </is>
      </c>
    </row>
    <row r="5219">
      <c r="A5219" t="inlineStr">
        <is>
          <t>SD Guthrie International Morakot Public Company Limited,  Samutprakarn, Thailand</t>
        </is>
      </c>
      <c r="B5219" t="inlineStr">
        <is>
          <t>Point of Origin</t>
        </is>
      </c>
      <c r="C5219" t="inlineStr">
        <is>
          <t>SGS Germany GmbH, Emstek, DE</t>
        </is>
      </c>
      <c r="D5219" t="inlineStr">
        <is>
          <t>16.04.2027</t>
        </is>
      </c>
      <c r="E5219" t="inlineStr">
        <is>
          <t>Thailand</t>
        </is>
      </c>
    </row>
    <row r="5220">
      <c r="A5220" t="inlineStr">
        <is>
          <t>COFCO Agri Resources Ukraine,  Kyiv, Ukraine</t>
        </is>
      </c>
      <c r="B5220" t="inlineStr">
        <is>
          <t>First Gathering Point, Trader with Storage</t>
        </is>
      </c>
      <c r="C5220" t="inlineStr">
        <is>
          <t>Control Union Certifications Germany GmbH, Berlin, DE</t>
        </is>
      </c>
      <c r="D5220" t="inlineStr">
        <is>
          <t>16.04.2027</t>
        </is>
      </c>
      <c r="E5220" t="inlineStr">
        <is>
          <t>Ukraine</t>
        </is>
      </c>
    </row>
    <row r="5221">
      <c r="A5221" t="inlineStr">
        <is>
          <t>ECONERGIA DE LOS PEDROCHES, SLU,  Pozoblanco, Spain</t>
        </is>
      </c>
      <c r="B5221" t="inlineStr">
        <is>
          <t>Collecting Point, Processing Unit</t>
        </is>
      </c>
      <c r="C5221" t="inlineStr">
        <is>
          <t>SGS Germany GmbH, Emstek, DE</t>
        </is>
      </c>
      <c r="D5221" t="inlineStr">
        <is>
          <t>16.04.2027</t>
        </is>
      </c>
      <c r="E5221" t="inlineStr">
        <is>
          <t>Spain</t>
        </is>
      </c>
    </row>
    <row r="5222">
      <c r="A5222" t="inlineStr">
        <is>
          <t>WMT,  Seriate, Italy</t>
        </is>
      </c>
      <c r="B5222" t="inlineStr">
        <is>
          <t>Processing Unit</t>
        </is>
      </c>
      <c r="C5222" t="inlineStr">
        <is>
          <t>Bureau Veritas Polska Sp. z o.o., Warsaw, PL</t>
        </is>
      </c>
      <c r="D5222" t="inlineStr">
        <is>
          <t>16.04.2027</t>
        </is>
      </c>
      <c r="E5222" t="inlineStr">
        <is>
          <t>Italy</t>
        </is>
      </c>
    </row>
    <row r="5223">
      <c r="A5223" t="inlineStr">
        <is>
          <t>Groupe Barbier,  MONISTROL SUR LOIRE, France</t>
        </is>
      </c>
      <c r="B5223" t="inlineStr">
        <is>
          <t>Final Product Refinement, Processing Unit</t>
        </is>
      </c>
      <c r="C5223" t="inlineStr">
        <is>
          <t>Bureau Veritas Polska Sp. z o.o., Warsaw, PL</t>
        </is>
      </c>
      <c r="D5223" t="inlineStr">
        <is>
          <t>16.04.2027</t>
        </is>
      </c>
      <c r="E5223" t="inlineStr">
        <is>
          <t>France</t>
        </is>
      </c>
    </row>
    <row r="5224">
      <c r="A5224" t="inlineStr">
        <is>
          <t>Mäntsälän Biovoima Oy,  Mäntsälä, Finland</t>
        </is>
      </c>
      <c r="B5224" t="inlineStr">
        <is>
          <t>Collecting Point, Processing Unit</t>
        </is>
      </c>
      <c r="C5224" t="inlineStr">
        <is>
          <t>Normec QS BV, Ede, NL</t>
        </is>
      </c>
      <c r="D5224" t="inlineStr">
        <is>
          <t>16.04.2027</t>
        </is>
      </c>
      <c r="E5224" t="inlineStr">
        <is>
          <t>Finland</t>
        </is>
      </c>
    </row>
    <row r="5225">
      <c r="A5225" t="inlineStr">
        <is>
          <t>OLEVION EUROPE S.L.,  Estepona, Spain</t>
        </is>
      </c>
      <c r="B5225" t="inlineStr">
        <is>
          <t>Trader</t>
        </is>
      </c>
      <c r="C5225" t="inlineStr">
        <is>
          <t>Bureau Veritas Polska Sp. z o.o., Warsaw, PL</t>
        </is>
      </c>
      <c r="D5225" t="inlineStr">
        <is>
          <t>16.04.2027</t>
        </is>
      </c>
      <c r="E5225" t="inlineStr">
        <is>
          <t>Spain</t>
        </is>
      </c>
    </row>
    <row r="5226">
      <c r="A5226" t="inlineStr">
        <is>
          <t>Auris Kaasuenergia Oy,  Espoo, Finland</t>
        </is>
      </c>
      <c r="B5226" t="inlineStr">
        <is>
          <t>Trader</t>
        </is>
      </c>
      <c r="C5226" t="inlineStr">
        <is>
          <t>Normec QS BV, Ede, NL</t>
        </is>
      </c>
      <c r="D5226" t="inlineStr">
        <is>
          <t>16.04.2027</t>
        </is>
      </c>
      <c r="E5226" t="inlineStr">
        <is>
          <t>Finland</t>
        </is>
      </c>
    </row>
    <row r="5227">
      <c r="A5227" t="inlineStr">
        <is>
          <t>Aither Trading SA,  Chiasso, Switzerland</t>
        </is>
      </c>
      <c r="B5227" t="inlineStr">
        <is>
          <t>Trader</t>
        </is>
      </c>
      <c r="C5227" t="inlineStr">
        <is>
          <t>CSQA Certificazioni Srl, Thiene, IT</t>
        </is>
      </c>
      <c r="D5227" t="inlineStr">
        <is>
          <t>16.04.2027</t>
        </is>
      </c>
      <c r="E5227" t="inlineStr">
        <is>
          <t>Switzerland</t>
        </is>
      </c>
    </row>
    <row r="5228">
      <c r="A5228" t="inlineStr">
        <is>
          <t>Amber Sri Resources Sdn Bhd,  Klang, Malaysia</t>
        </is>
      </c>
      <c r="B5228" t="inlineStr">
        <is>
          <t>Trader with Storage, Collecting Point</t>
        </is>
      </c>
      <c r="C5228" t="inlineStr">
        <is>
          <t>PT. CBQA GLOBAL INDONESIA, JAKARTA SELATAN, ID</t>
        </is>
      </c>
      <c r="D5228" t="inlineStr">
        <is>
          <t>16.04.2027</t>
        </is>
      </c>
      <c r="E5228" t="inlineStr">
        <is>
          <t>Malaysia</t>
        </is>
      </c>
    </row>
    <row r="5229">
      <c r="A5229" t="inlineStr">
        <is>
          <t>Sonae Arauco Portugal,  Mangualde, Portugal</t>
        </is>
      </c>
      <c r="B5229" t="inlineStr">
        <is>
          <t>Processing Unit</t>
        </is>
      </c>
      <c r="C5229" t="inlineStr">
        <is>
          <t>SGS Germany GmbH, Emstek, DE</t>
        </is>
      </c>
      <c r="D5229" t="inlineStr">
        <is>
          <t>16.04.2027</t>
        </is>
      </c>
      <c r="E5229" t="inlineStr">
        <is>
          <t>Portugal</t>
        </is>
      </c>
    </row>
    <row r="5230">
      <c r="A5230" t="inlineStr">
        <is>
          <t>RESIDUOS DO NORDESTE, EIM, S.A.,  Mirandela, Portugal</t>
        </is>
      </c>
      <c r="B5230" t="inlineStr">
        <is>
          <t>Point of Origin, Processing Unit</t>
        </is>
      </c>
      <c r="C5230" t="inlineStr">
        <is>
          <t>SGS Germany GmbH, Emstek, DE</t>
        </is>
      </c>
      <c r="D5230" t="inlineStr">
        <is>
          <t>16.04.2027</t>
        </is>
      </c>
      <c r="E5230" t="inlineStr">
        <is>
          <t>Portugal</t>
        </is>
      </c>
    </row>
    <row r="5231">
      <c r="A5231" t="inlineStr">
        <is>
          <t>mydibel fresh,  mouscron, Belgium</t>
        </is>
      </c>
      <c r="B5231" t="inlineStr">
        <is>
          <t>Processing Unit, Trader</t>
        </is>
      </c>
      <c r="C5231" t="inlineStr">
        <is>
          <t>Control Union Certifications Germany GmbH, Berlin, DE</t>
        </is>
      </c>
      <c r="D5231" t="inlineStr">
        <is>
          <t>16.04.2027</t>
        </is>
      </c>
      <c r="E5231" t="inlineStr">
        <is>
          <t>Belgium</t>
        </is>
      </c>
    </row>
    <row r="5232">
      <c r="A5232" t="inlineStr">
        <is>
          <t>HOLBORN Europa Raffinerie GmbH,  Hamburg, Germany</t>
        </is>
      </c>
      <c r="B5232" t="inlineStr">
        <is>
          <t>Processing Unit, Warehouse</t>
        </is>
      </c>
      <c r="C5232" t="inlineStr">
        <is>
          <t>RINA Services S.p.A., Genova, IT</t>
        </is>
      </c>
      <c r="D5232" t="inlineStr">
        <is>
          <t>16.04.2027</t>
        </is>
      </c>
      <c r="E5232" t="inlineStr">
        <is>
          <t>Germany</t>
        </is>
      </c>
    </row>
    <row r="5233">
      <c r="A5233" t="inlineStr">
        <is>
          <t>ENAP Refinerías,  Concón, Chile</t>
        </is>
      </c>
      <c r="B5233" t="inlineStr">
        <is>
          <t>Processing Unit</t>
        </is>
      </c>
      <c r="C5233" t="inlineStr">
        <is>
          <t>SGS Germany GmbH, Emstek, DE</t>
        </is>
      </c>
      <c r="D5233" t="inlineStr">
        <is>
          <t>16.04.2027</t>
        </is>
      </c>
      <c r="E5233" t="inlineStr">
        <is>
          <t>Chile</t>
        </is>
      </c>
    </row>
    <row r="5234">
      <c r="A5234" t="inlineStr">
        <is>
          <t>Specialty Operations France,  Saint Fons, France</t>
        </is>
      </c>
      <c r="B5234" t="inlineStr">
        <is>
          <t>Processing Unit, Trader with Storage</t>
        </is>
      </c>
      <c r="C5234" t="inlineStr">
        <is>
          <t>Bureau Veritas Polska Sp. z o.o., Warsaw, PL</t>
        </is>
      </c>
      <c r="D5234" t="inlineStr">
        <is>
          <t>16.04.2027</t>
        </is>
      </c>
      <c r="E5234" t="inlineStr">
        <is>
          <t>France</t>
        </is>
      </c>
    </row>
    <row r="5235">
      <c r="A5235" t="inlineStr">
        <is>
          <t>Tri-Pack Films Limited.,  Karachi, Pakistan</t>
        </is>
      </c>
      <c r="B5235" t="inlineStr">
        <is>
          <t>Processing Unit</t>
        </is>
      </c>
      <c r="C5235" t="inlineStr">
        <is>
          <t>SGS Germany GmbH, Emstek, DE</t>
        </is>
      </c>
      <c r="D5235" t="inlineStr">
        <is>
          <t>16.04.2027</t>
        </is>
      </c>
      <c r="E5235" t="inlineStr">
        <is>
          <t>Pakistan</t>
        </is>
      </c>
    </row>
    <row r="5236">
      <c r="A5236" t="inlineStr">
        <is>
          <t>Eni Trade &amp; Biofuels SpA,  London, United Kingdom</t>
        </is>
      </c>
      <c r="B5236" t="inlineStr">
        <is>
          <t>Trader with Storage</t>
        </is>
      </c>
      <c r="C5236" t="inlineStr">
        <is>
          <t>RINA Services S.p.A., Genova, IT</t>
        </is>
      </c>
      <c r="D5236" t="inlineStr">
        <is>
          <t>16.04.2027</t>
        </is>
      </c>
      <c r="E5236" t="inlineStr">
        <is>
          <t>United Kingdom</t>
        </is>
      </c>
    </row>
    <row r="5237">
      <c r="A5237" t="inlineStr">
        <is>
          <t>New Sea Generation s.r.l.,  Monte di Procida, Italy</t>
        </is>
      </c>
      <c r="B5237" t="inlineStr">
        <is>
          <t>Proof of Compliance Trader, Trader</t>
        </is>
      </c>
      <c r="C5237" t="inlineStr">
        <is>
          <t>RINA Services S.p.A., Genova, IT</t>
        </is>
      </c>
      <c r="D5237" t="inlineStr">
        <is>
          <t>16.04.2027</t>
        </is>
      </c>
      <c r="E5237" t="inlineStr">
        <is>
          <t>Italy</t>
        </is>
      </c>
    </row>
    <row r="5238">
      <c r="A5238" t="inlineStr">
        <is>
          <t>JSC „Floarea Soarelui",  Balti, Moldova</t>
        </is>
      </c>
      <c r="B5238" t="inlineStr">
        <is>
          <t>First Gathering Point, Processing Unit, Trader with Storage, Point of Origin</t>
        </is>
      </c>
      <c r="C5238" t="inlineStr">
        <is>
          <t>SGS Germany GmbH, Emstek, DE</t>
        </is>
      </c>
      <c r="D5238" t="inlineStr">
        <is>
          <t>16.04.2027</t>
        </is>
      </c>
      <c r="E5238" t="inlineStr">
        <is>
          <t>Moldova</t>
        </is>
      </c>
    </row>
    <row r="5239">
      <c r="A5239" t="inlineStr">
        <is>
          <t>FAMIPES RECICLADOS,  LUCENA, CORDOBA, Spain</t>
        </is>
      </c>
      <c r="B5239" t="inlineStr">
        <is>
          <t>Point of Origin, Collecting Point, Trader with Storage</t>
        </is>
      </c>
      <c r="C5239" t="inlineStr">
        <is>
          <t>RINA Services S.p.A., Genova, IT</t>
        </is>
      </c>
      <c r="D5239" t="inlineStr">
        <is>
          <t>16.04.2027</t>
        </is>
      </c>
      <c r="E5239" t="inlineStr">
        <is>
          <t>Spain</t>
        </is>
      </c>
    </row>
    <row r="5240">
      <c r="A5240" t="inlineStr">
        <is>
          <t>MCPP France SAS,  Tiffauges, France</t>
        </is>
      </c>
      <c r="B5240" t="inlineStr">
        <is>
          <t>Processing Unit</t>
        </is>
      </c>
      <c r="C5240" t="inlineStr">
        <is>
          <t>SGS Germany GmbH, Emstek, DE</t>
        </is>
      </c>
      <c r="D5240" t="inlineStr">
        <is>
          <t>16.04.2027</t>
        </is>
      </c>
      <c r="E5240" t="inlineStr">
        <is>
          <t>France</t>
        </is>
      </c>
    </row>
    <row r="5241">
      <c r="A5241" t="inlineStr">
        <is>
          <t>SARVAL DRY,  Tremorel, France</t>
        </is>
      </c>
      <c r="B5241" t="inlineStr">
        <is>
          <t>Point of Origin, Processing Unit, Trader</t>
        </is>
      </c>
      <c r="C5241" t="inlineStr">
        <is>
          <t>Control Union Certifications Germany GmbH, Berlin, DE</t>
        </is>
      </c>
      <c r="D5241" t="inlineStr">
        <is>
          <t>16.04.2027</t>
        </is>
      </c>
      <c r="E5241" t="inlineStr">
        <is>
          <t>France</t>
        </is>
      </c>
    </row>
    <row r="5242">
      <c r="A5242" t="inlineStr">
        <is>
          <t>Kosan Gas,  Viby J, Denmark</t>
        </is>
      </c>
      <c r="B5242" t="inlineStr">
        <is>
          <t>Trader with Storage</t>
        </is>
      </c>
      <c r="C5242" t="inlineStr">
        <is>
          <t>Double Helix Tracking Technologies Pte Ltd, Singapore, SG</t>
        </is>
      </c>
      <c r="D5242" t="inlineStr">
        <is>
          <t>16.04.2027</t>
        </is>
      </c>
      <c r="E5242" t="inlineStr">
        <is>
          <t>Denmark</t>
        </is>
      </c>
    </row>
    <row r="5243">
      <c r="A5243" t="inlineStr">
        <is>
          <t>Kosan Gas,  Viby J, Denmark</t>
        </is>
      </c>
      <c r="B5243" t="inlineStr">
        <is>
          <t>Trader with Storage</t>
        </is>
      </c>
      <c r="C5243" t="inlineStr">
        <is>
          <t>Double Helix Tracking Technologies Pte Ltd, Singapore, SG</t>
        </is>
      </c>
      <c r="D5243" t="inlineStr">
        <is>
          <t>16.04.2027</t>
        </is>
      </c>
      <c r="E5243" t="inlineStr">
        <is>
          <t>Denmark</t>
        </is>
      </c>
    </row>
    <row r="5244">
      <c r="A5244" t="inlineStr">
        <is>
          <t>Kosan Gas,  Goteborg, Sweden</t>
        </is>
      </c>
      <c r="B5244" t="inlineStr">
        <is>
          <t>Trader with Storage</t>
        </is>
      </c>
      <c r="C5244" t="inlineStr">
        <is>
          <t>Double Helix Tracking Technologies Pte Ltd, Singapore, SG</t>
        </is>
      </c>
      <c r="D5244" t="inlineStr">
        <is>
          <t>16.04.2027</t>
        </is>
      </c>
      <c r="E5244" t="inlineStr">
        <is>
          <t>Sweden</t>
        </is>
      </c>
    </row>
    <row r="5245">
      <c r="A5245" t="inlineStr">
        <is>
          <t>Kosan Gas,  Goteborg, Sweden</t>
        </is>
      </c>
      <c r="B5245" t="inlineStr">
        <is>
          <t>Trader with Storage</t>
        </is>
      </c>
      <c r="C5245" t="inlineStr">
        <is>
          <t>Double Helix Tracking Technologies Pte Ltd, Singapore, SG</t>
        </is>
      </c>
      <c r="D5245" t="inlineStr">
        <is>
          <t>16.04.2027</t>
        </is>
      </c>
      <c r="E5245" t="inlineStr">
        <is>
          <t>Sweden</t>
        </is>
      </c>
    </row>
    <row r="5246">
      <c r="A5246" t="inlineStr">
        <is>
          <t>Kosan Gas,  Oslo, Norway</t>
        </is>
      </c>
      <c r="B5246" t="inlineStr">
        <is>
          <t>Trader</t>
        </is>
      </c>
      <c r="C5246" t="inlineStr">
        <is>
          <t>Double Helix Tracking Technologies Pte Ltd, Singapore, SG</t>
        </is>
      </c>
      <c r="D5246" t="inlineStr">
        <is>
          <t>16.04.2027</t>
        </is>
      </c>
      <c r="E5246" t="inlineStr">
        <is>
          <t>Norway</t>
        </is>
      </c>
    </row>
    <row r="5247">
      <c r="A5247" t="inlineStr">
        <is>
          <t>Kosan Gas,  Oslo, Norway</t>
        </is>
      </c>
      <c r="B5247" t="inlineStr">
        <is>
          <t>Trader</t>
        </is>
      </c>
      <c r="C5247" t="inlineStr">
        <is>
          <t>Double Helix Tracking Technologies Pte Ltd, Singapore, SG</t>
        </is>
      </c>
      <c r="D5247" t="inlineStr">
        <is>
          <t>16.04.2027</t>
        </is>
      </c>
      <c r="E5247" t="inlineStr">
        <is>
          <t>Norway</t>
        </is>
      </c>
    </row>
    <row r="5248">
      <c r="A5248" t="inlineStr">
        <is>
          <t>Kosan Gas,  Vantaa, Helsinki, Finland</t>
        </is>
      </c>
      <c r="B5248" t="inlineStr">
        <is>
          <t>Trader with Storage</t>
        </is>
      </c>
      <c r="C5248" t="inlineStr">
        <is>
          <t>Double Helix Tracking Technologies Pte Ltd, Singapore, SG</t>
        </is>
      </c>
      <c r="D5248" t="inlineStr">
        <is>
          <t>16.04.2027</t>
        </is>
      </c>
      <c r="E5248" t="inlineStr">
        <is>
          <t>Finland</t>
        </is>
      </c>
    </row>
    <row r="5249">
      <c r="A5249" t="inlineStr">
        <is>
          <t>Kosan Gas,  Vantaa, Helsinki, Finland</t>
        </is>
      </c>
      <c r="B5249" t="inlineStr">
        <is>
          <t>Trader with Storage</t>
        </is>
      </c>
      <c r="C5249" t="inlineStr">
        <is>
          <t>Double Helix Tracking Technologies Pte Ltd, Singapore, SG</t>
        </is>
      </c>
      <c r="D5249" t="inlineStr">
        <is>
          <t>16.04.2027</t>
        </is>
      </c>
      <c r="E5249" t="inlineStr">
        <is>
          <t>Finland</t>
        </is>
      </c>
    </row>
    <row r="5250">
      <c r="A5250" t="inlineStr">
        <is>
          <t>Sigmatex (UK) Ltd.,  Runcorn, United Kingdom</t>
        </is>
      </c>
      <c r="B5250" t="inlineStr">
        <is>
          <t>Processing Unit</t>
        </is>
      </c>
      <c r="C5250" t="inlineStr">
        <is>
          <t>Aardvark Certification Ltd, Wiveliscombe, Somerset, GB</t>
        </is>
      </c>
      <c r="D5250" t="inlineStr">
        <is>
          <t>16.04.2027</t>
        </is>
      </c>
      <c r="E5250" t="inlineStr">
        <is>
          <t>United Kingdom</t>
        </is>
      </c>
    </row>
    <row r="5251">
      <c r="A5251" t="inlineStr">
        <is>
          <t>Delta Oil for Oil Recycling L.L.C-FZ,  Nad Al Sheba,, United Arab Emirates</t>
        </is>
      </c>
      <c r="B5251" t="inlineStr">
        <is>
          <t>Trader</t>
        </is>
      </c>
      <c r="C5251" t="inlineStr">
        <is>
          <t>Trans Certification and Inspection Sdn Bhd, Kuantan, MY</t>
        </is>
      </c>
      <c r="D5251" t="inlineStr">
        <is>
          <t>16.04.2027</t>
        </is>
      </c>
      <c r="E5251" t="inlineStr">
        <is>
          <t>United Arab Emirates</t>
        </is>
      </c>
    </row>
    <row r="5252">
      <c r="A5252" t="inlineStr">
        <is>
          <t>SAHARA ENERGY RESOURCE LTD,  GENEVA, Switzerland</t>
        </is>
      </c>
      <c r="B5252" t="inlineStr">
        <is>
          <t>Trader with Storage</t>
        </is>
      </c>
      <c r="C5252" t="inlineStr">
        <is>
          <t>Control Union Certifications Germany GmbH, Berlin, DE</t>
        </is>
      </c>
      <c r="D5252" t="inlineStr">
        <is>
          <t>16.04.2027</t>
        </is>
      </c>
      <c r="E5252" t="inlineStr">
        <is>
          <t>Switzerland</t>
        </is>
      </c>
    </row>
    <row r="5253">
      <c r="A5253" t="inlineStr">
        <is>
          <t>SAHARA ENERGY RESOURCE LTD,  GENEVA, Switzerland</t>
        </is>
      </c>
      <c r="B5253" t="inlineStr">
        <is>
          <t>Trader with Storage</t>
        </is>
      </c>
      <c r="C5253" t="inlineStr">
        <is>
          <t>Control Union Certifications Germany GmbH, Berlin, DE</t>
        </is>
      </c>
      <c r="D5253" t="inlineStr">
        <is>
          <t>16.04.2027</t>
        </is>
      </c>
      <c r="E5253" t="inlineStr">
        <is>
          <t>Switzerland</t>
        </is>
      </c>
    </row>
    <row r="5254">
      <c r="A5254" t="inlineStr">
        <is>
          <t>INEOS Styrolution Switzerland S.A.,  Rolle, Switzerland</t>
        </is>
      </c>
      <c r="B5254" t="inlineStr">
        <is>
          <t>Trader with Storage</t>
        </is>
      </c>
      <c r="C5254" t="inlineStr">
        <is>
          <t>TÜV NORD CERT GmbH, Essen, DE</t>
        </is>
      </c>
      <c r="D5254" t="inlineStr">
        <is>
          <t>16.04.2027</t>
        </is>
      </c>
      <c r="E5254" t="inlineStr">
        <is>
          <t>Switzerland</t>
        </is>
      </c>
    </row>
    <row r="5255">
      <c r="A5255" t="inlineStr">
        <is>
          <t>Zhejiang Hangyuan Oil Technology Co., Ltd.,  Jiaxing City, Zhejiang Province, China</t>
        </is>
      </c>
      <c r="B5255" t="inlineStr">
        <is>
          <t>Processing Unit, Trader with Storage</t>
        </is>
      </c>
      <c r="C5255" t="inlineStr">
        <is>
          <t>SCS Global Services, Emeryville, CA, US</t>
        </is>
      </c>
      <c r="D5255" t="inlineStr">
        <is>
          <t>16.04.2027</t>
        </is>
      </c>
      <c r="E5255" t="inlineStr">
        <is>
          <t>China</t>
        </is>
      </c>
    </row>
    <row r="5256">
      <c r="A5256" t="inlineStr">
        <is>
          <t>PT Kencana Sawit Indonesia,  Solok Selatan, Sumatera Barat, Indonesia</t>
        </is>
      </c>
      <c r="B5256" t="inlineStr">
        <is>
          <t>Point of Origin</t>
        </is>
      </c>
      <c r="C5256" t="inlineStr">
        <is>
          <t>Control Union Certifications Germany GmbH, Berlin, DE</t>
        </is>
      </c>
      <c r="D5256" t="inlineStr">
        <is>
          <t>16.04.2027</t>
        </is>
      </c>
      <c r="E5256" t="inlineStr">
        <is>
          <t>Indonesia</t>
        </is>
      </c>
    </row>
    <row r="5257">
      <c r="A5257" t="inlineStr">
        <is>
          <t>Transportes Dinis de Oliveira,  Viseu, Portugal</t>
        </is>
      </c>
      <c r="B5257" t="inlineStr">
        <is>
          <t>Collecting Point</t>
        </is>
      </c>
      <c r="C5257" t="inlineStr">
        <is>
          <t>Amspec Iberia SL, Vilagarcia de Arousa-Pontevedra, ES</t>
        </is>
      </c>
      <c r="D5257" t="inlineStr">
        <is>
          <t>16.04.2027</t>
        </is>
      </c>
      <c r="E5257" t="inlineStr">
        <is>
          <t>Portugal</t>
        </is>
      </c>
    </row>
    <row r="5258">
      <c r="A5258" t="inlineStr">
        <is>
          <t>PT Gersindo Minang Plantation,  Pasaman Sub-District, West Pasaman District,, Indonesia</t>
        </is>
      </c>
      <c r="B5258" t="inlineStr">
        <is>
          <t>Point of Origin</t>
        </is>
      </c>
      <c r="C5258" t="inlineStr">
        <is>
          <t>Control Union Certifications Germany GmbH, Berlin, DE</t>
        </is>
      </c>
      <c r="D5258" t="inlineStr">
        <is>
          <t>16.04.2027</t>
        </is>
      </c>
      <c r="E5258" t="inlineStr">
        <is>
          <t>Indonesia</t>
        </is>
      </c>
    </row>
    <row r="5259">
      <c r="A5259" t="inlineStr">
        <is>
          <t>FAR EASTERN NEW CENTURY CORPORATION,  Hsinchu County, Taiwan, Province of China</t>
        </is>
      </c>
      <c r="B5259" t="inlineStr">
        <is>
          <t>Processing Unit</t>
        </is>
      </c>
      <c r="C5259" t="inlineStr">
        <is>
          <t>Control Union Certifications Germany GmbH, Berlin, DE</t>
        </is>
      </c>
      <c r="D5259" t="inlineStr">
        <is>
          <t>16.04.2027</t>
        </is>
      </c>
      <c r="E5259" t="inlineStr">
        <is>
          <t>Province of China</t>
        </is>
      </c>
    </row>
    <row r="5260">
      <c r="A5260" t="inlineStr">
        <is>
          <t>Eco Fuel Trading SA,  Geneva, Switzerland</t>
        </is>
      </c>
      <c r="B5260" t="inlineStr">
        <is>
          <t>Trader</t>
        </is>
      </c>
      <c r="C5260" t="inlineStr">
        <is>
          <t>ASG Cert GmbH, Munich, DE</t>
        </is>
      </c>
      <c r="D5260" t="inlineStr">
        <is>
          <t>16.04.2027</t>
        </is>
      </c>
      <c r="E5260" t="inlineStr">
        <is>
          <t>Switzerland</t>
        </is>
      </c>
    </row>
    <row r="5261">
      <c r="A5261" t="inlineStr">
        <is>
          <t>Cepillos de Matamoros S.A de C.V,  Matamoros, Mexico</t>
        </is>
      </c>
      <c r="B5261" t="inlineStr">
        <is>
          <t>Processing Unit, Warehouse</t>
        </is>
      </c>
      <c r="C5261" t="inlineStr">
        <is>
          <t>SCS Global Services, Emeryville, CA, US</t>
        </is>
      </c>
      <c r="D5261" t="inlineStr">
        <is>
          <t>16.04.2027</t>
        </is>
      </c>
      <c r="E5261" t="inlineStr">
        <is>
          <t>Mexico</t>
        </is>
      </c>
    </row>
    <row r="5262">
      <c r="A5262" t="inlineStr">
        <is>
          <t>Perfect Global Enterprises Limited,  Taipei City, Taiwan</t>
        </is>
      </c>
      <c r="B5262" t="inlineStr">
        <is>
          <t>Trader</t>
        </is>
      </c>
      <c r="C5262" t="inlineStr">
        <is>
          <t>China Quality Certification Centre Co., Ltd., Beijing, CN</t>
        </is>
      </c>
      <c r="D5262" t="inlineStr">
        <is>
          <t>16.04.2027</t>
        </is>
      </c>
      <c r="E5262" t="inlineStr">
        <is>
          <t>Taiwan</t>
        </is>
      </c>
    </row>
    <row r="5263">
      <c r="A5263" t="inlineStr">
        <is>
          <t>Newell Enterprises Ltd,  Sanchong Dist., New Taipei City, Taiwan, Province of China</t>
        </is>
      </c>
      <c r="B5263" t="inlineStr">
        <is>
          <t>Trader</t>
        </is>
      </c>
      <c r="C5263" t="inlineStr">
        <is>
          <t>China Quality Certification Centre Co., Ltd., Beijing, CN</t>
        </is>
      </c>
      <c r="D5263" t="inlineStr">
        <is>
          <t>16.04.2027</t>
        </is>
      </c>
      <c r="E5263" t="inlineStr">
        <is>
          <t>Province of China</t>
        </is>
      </c>
    </row>
    <row r="5264">
      <c r="A5264" t="inlineStr">
        <is>
          <t>Saria,  Tulln, Austria</t>
        </is>
      </c>
      <c r="B5264" t="inlineStr">
        <is>
          <t>Point of Origin</t>
        </is>
      </c>
      <c r="C5264" t="inlineStr">
        <is>
          <t>agroVet GmbH, Enzersfeld, AT</t>
        </is>
      </c>
      <c r="D5264" t="inlineStr">
        <is>
          <t>16.04.2027</t>
        </is>
      </c>
      <c r="E5264" t="inlineStr">
        <is>
          <t>Austria</t>
        </is>
      </c>
    </row>
    <row r="5265">
      <c r="A5265" t="inlineStr">
        <is>
          <t>Anhui Evosil NanoMaterials Technology Co., Ltd.,  Fuyang, China</t>
        </is>
      </c>
      <c r="B5265" t="inlineStr">
        <is>
          <t>Processing Unit</t>
        </is>
      </c>
      <c r="C5265" t="inlineStr">
        <is>
          <t>SGS Germany GmbH, Emstek, DE</t>
        </is>
      </c>
      <c r="D5265" t="inlineStr">
        <is>
          <t>16.04.2027</t>
        </is>
      </c>
      <c r="E5265" t="inlineStr">
        <is>
          <t>China</t>
        </is>
      </c>
    </row>
    <row r="5266">
      <c r="A5266" t="inlineStr">
        <is>
          <t>Marvesa Energy and Biomass,  Den Haag, Netherlands</t>
        </is>
      </c>
      <c r="B5266" t="inlineStr">
        <is>
          <t>Collecting Point, Trader with Storage</t>
        </is>
      </c>
      <c r="C5266" t="inlineStr">
        <is>
          <t>DEKRA Certification B.V., Arnhem, NL</t>
        </is>
      </c>
      <c r="D5266" t="inlineStr">
        <is>
          <t>16.04.2027</t>
        </is>
      </c>
      <c r="E5266" t="inlineStr">
        <is>
          <t>Netherlands</t>
        </is>
      </c>
    </row>
    <row r="5267">
      <c r="A5267" t="inlineStr">
        <is>
          <t>Henkel Chemical Technologies (Shanghai) Limited,  Shanghai, China</t>
        </is>
      </c>
      <c r="B5267" t="inlineStr">
        <is>
          <t>Processing Unit</t>
        </is>
      </c>
      <c r="C5267" t="inlineStr">
        <is>
          <t>SGS Germany GmbH, Emstek, DE</t>
        </is>
      </c>
      <c r="D5267" t="inlineStr">
        <is>
          <t>16.04.2027</t>
        </is>
      </c>
      <c r="E5267" t="inlineStr">
        <is>
          <t>China</t>
        </is>
      </c>
    </row>
    <row r="5268">
      <c r="A5268" t="inlineStr">
        <is>
          <t>Sukses Gemilang Palem,  Kabupaten Sarolangun, Provinsi Jambi, Indonesia, Indonesia</t>
        </is>
      </c>
      <c r="B5268" t="inlineStr">
        <is>
          <t>Point of Origin</t>
        </is>
      </c>
      <c r="C5268" t="inlineStr">
        <is>
          <t>PT. Qualitas Sertifikasi Indonesia, Jakarta, ID</t>
        </is>
      </c>
      <c r="D5268" t="inlineStr">
        <is>
          <t>16.04.2027</t>
        </is>
      </c>
      <c r="E5268" t="inlineStr">
        <is>
          <t>Indonesia</t>
        </is>
      </c>
    </row>
    <row r="5269">
      <c r="A5269" t="inlineStr">
        <is>
          <t>Íslenska Gámafélagið ehf,  Reykjavík, Iceland</t>
        </is>
      </c>
      <c r="B5269" t="inlineStr">
        <is>
          <t>Collecting Point</t>
        </is>
      </c>
      <c r="C5269" t="inlineStr">
        <is>
          <t>SGS Germany GmbH, Emstek, DE</t>
        </is>
      </c>
      <c r="D5269" t="inlineStr">
        <is>
          <t>16.04.2027</t>
        </is>
      </c>
      <c r="E5269" t="inlineStr">
        <is>
          <t>Iceland</t>
        </is>
      </c>
    </row>
    <row r="5270">
      <c r="A5270" t="inlineStr">
        <is>
          <t>Nexis Fibers SIA,  Daugavpils, Latvia</t>
        </is>
      </c>
      <c r="B5270" t="inlineStr">
        <is>
          <t>Processing Unit</t>
        </is>
      </c>
      <c r="C5270" t="inlineStr">
        <is>
          <t>BM Certification, Riga, LV</t>
        </is>
      </c>
      <c r="D5270" t="inlineStr">
        <is>
          <t>16.04.2027</t>
        </is>
      </c>
      <c r="E5270" t="inlineStr">
        <is>
          <t>Latvia</t>
        </is>
      </c>
    </row>
    <row r="5271">
      <c r="A5271" t="inlineStr">
        <is>
          <t>Ampol Singapore Trading Pte Ltd,  Singapore, Singapore</t>
        </is>
      </c>
      <c r="B5271" t="inlineStr">
        <is>
          <t>Trader</t>
        </is>
      </c>
      <c r="C5271" t="inlineStr">
        <is>
          <t>SGS Germany GmbH, Emstek, DE</t>
        </is>
      </c>
      <c r="D5271" t="inlineStr">
        <is>
          <t>16.04.2027</t>
        </is>
      </c>
      <c r="E5271" t="inlineStr">
        <is>
          <t>Singapore</t>
        </is>
      </c>
    </row>
    <row r="5272">
      <c r="A5272" t="inlineStr">
        <is>
          <t>Yiyang Jinyi bio-energy Co. , Ltd,  Yiyang City, China</t>
        </is>
      </c>
      <c r="B5272" t="inlineStr">
        <is>
          <t>Collecting Point, Trader with Storage</t>
        </is>
      </c>
      <c r="C5272" t="inlineStr">
        <is>
          <t>RINA Services S.p.A., Genova, IT</t>
        </is>
      </c>
      <c r="D5272" t="inlineStr">
        <is>
          <t>15.04.2027</t>
        </is>
      </c>
      <c r="E5272" t="inlineStr">
        <is>
          <t>China</t>
        </is>
      </c>
    </row>
    <row r="5273">
      <c r="A5273" t="inlineStr">
        <is>
          <t>Gamalux Sdn Bhd,  Shah Alam,, Malaysia</t>
        </is>
      </c>
      <c r="B5273" t="inlineStr">
        <is>
          <t>Collecting Point, Trader with Storage</t>
        </is>
      </c>
      <c r="C5273" t="inlineStr">
        <is>
          <t>PT Mutuagung Lestari, Depok, ID</t>
        </is>
      </c>
      <c r="D5273" t="inlineStr">
        <is>
          <t>15.04.2027</t>
        </is>
      </c>
      <c r="E5273" t="inlineStr">
        <is>
          <t>Malaysia</t>
        </is>
      </c>
    </row>
    <row r="5274">
      <c r="A5274" t="inlineStr">
        <is>
          <t>Qinyang Bangfu Trading Co., Ltd.,  Jiaozuo City, China</t>
        </is>
      </c>
      <c r="B5274" t="inlineStr">
        <is>
          <t>Collecting Point, Trader with Storage</t>
        </is>
      </c>
      <c r="C5274" t="inlineStr">
        <is>
          <t>RINA Services S.p.A., Genova, IT</t>
        </is>
      </c>
      <c r="D5274" t="inlineStr">
        <is>
          <t>15.04.2027</t>
        </is>
      </c>
      <c r="E5274" t="inlineStr">
        <is>
          <t>China</t>
        </is>
      </c>
    </row>
    <row r="5275">
      <c r="A5275" t="inlineStr">
        <is>
          <t>CJ CheilJedang Corporation Incheon 2 Plant,  Incheon, Jung-gu, Korea, Republic of</t>
        </is>
      </c>
      <c r="B5275" t="inlineStr">
        <is>
          <t>Processing Unit</t>
        </is>
      </c>
      <c r="C5275" t="inlineStr">
        <is>
          <t>Control Union Certifications Germany GmbH, Berlin, DE</t>
        </is>
      </c>
      <c r="D5275" t="inlineStr">
        <is>
          <t>15.04.2027</t>
        </is>
      </c>
      <c r="E5275" t="inlineStr">
        <is>
          <t>Republic of</t>
        </is>
      </c>
    </row>
    <row r="5276">
      <c r="A5276" t="inlineStr">
        <is>
          <t>Henan Lanhang Bioenergy Co., Ltd.,  Puyang, China</t>
        </is>
      </c>
      <c r="B5276" t="inlineStr">
        <is>
          <t>Collecting Point, Trader with Storage</t>
        </is>
      </c>
      <c r="C5276" t="inlineStr">
        <is>
          <t>RINA Services S.p.A., Genova, IT</t>
        </is>
      </c>
      <c r="D5276" t="inlineStr">
        <is>
          <t>15.04.2027</t>
        </is>
      </c>
      <c r="E5276" t="inlineStr">
        <is>
          <t>China</t>
        </is>
      </c>
    </row>
    <row r="5277">
      <c r="A5277" t="inlineStr">
        <is>
          <t>ISHIZUKA CHEMICAL SANGYOU CO.,LTD,  Akabane Minami Building 7F,, Japan</t>
        </is>
      </c>
      <c r="B5277" t="inlineStr">
        <is>
          <t>Trader with Storage</t>
        </is>
      </c>
      <c r="C5277" t="inlineStr">
        <is>
          <t>Bureau Veritas Polska Sp. z o.o., Warsaw, PL</t>
        </is>
      </c>
      <c r="D5277" t="inlineStr">
        <is>
          <t>15.04.2027</t>
        </is>
      </c>
      <c r="E5277" t="inlineStr">
        <is>
          <t>Japan</t>
        </is>
      </c>
    </row>
    <row r="5278">
      <c r="A5278" t="inlineStr">
        <is>
          <t>Raiffeisen Lagerhaus Hollabrunn-Horn eGen,  Hollabrunn, Austria</t>
        </is>
      </c>
      <c r="B5278" t="inlineStr">
        <is>
          <t>First Gathering Point</t>
        </is>
      </c>
      <c r="C5278" t="inlineStr">
        <is>
          <t>RINA Services S.p.A., Genova, IT</t>
        </is>
      </c>
      <c r="D5278" t="inlineStr">
        <is>
          <t>15.04.2027</t>
        </is>
      </c>
      <c r="E5278" t="inlineStr">
        <is>
          <t>Austria</t>
        </is>
      </c>
    </row>
    <row r="5279">
      <c r="A5279" t="inlineStr">
        <is>
          <t>ProPS, s.r.o.,  Kladno, Czech Republic</t>
        </is>
      </c>
      <c r="B5279" t="inlineStr">
        <is>
          <t>Processing Unit</t>
        </is>
      </c>
      <c r="C5279" t="inlineStr">
        <is>
          <t>TÜV SÜD Czech s.r.o., Praha 4, CZ</t>
        </is>
      </c>
      <c r="D5279" t="inlineStr">
        <is>
          <t>15.04.2027</t>
        </is>
      </c>
      <c r="E5279" t="inlineStr">
        <is>
          <t>Czech Republic</t>
        </is>
      </c>
    </row>
    <row r="5280">
      <c r="A5280" t="inlineStr">
        <is>
          <t>PASINI EMILIO &amp; C SRL,  FIESCO, Italy</t>
        </is>
      </c>
      <c r="B5280" t="inlineStr">
        <is>
          <t>First Gathering Point</t>
        </is>
      </c>
      <c r="C5280" t="inlineStr">
        <is>
          <t>RINA Services S.p.A., Genova, IT</t>
        </is>
      </c>
      <c r="D5280" t="inlineStr">
        <is>
          <t>15.04.2027</t>
        </is>
      </c>
      <c r="E5280" t="inlineStr">
        <is>
          <t>Italy</t>
        </is>
      </c>
    </row>
    <row r="5281">
      <c r="A5281" t="inlineStr">
        <is>
          <t>Cossa Polimeri,  Gorla Maggiore, Italy</t>
        </is>
      </c>
      <c r="B5281" t="inlineStr">
        <is>
          <t>Processing Unit</t>
        </is>
      </c>
      <c r="C5281" t="inlineStr">
        <is>
          <t>ICIM SpA, sesto san giovanni, IT</t>
        </is>
      </c>
      <c r="D5281" t="inlineStr">
        <is>
          <t>15.04.2027</t>
        </is>
      </c>
      <c r="E5281" t="inlineStr">
        <is>
          <t>Italy</t>
        </is>
      </c>
    </row>
    <row r="5282">
      <c r="A5282" t="inlineStr">
        <is>
          <t>Dongguan Haoxiang Outdoor Products Co., Ltd,  Dongguan City, China</t>
        </is>
      </c>
      <c r="B5282" t="inlineStr">
        <is>
          <t>Final Product Refinement, Processing Unit</t>
        </is>
      </c>
      <c r="C5282" t="inlineStr">
        <is>
          <t>Extensive Standard Technical Services Co., Ltd., Hong Kong, CN</t>
        </is>
      </c>
      <c r="D5282" t="inlineStr">
        <is>
          <t>15.04.2027</t>
        </is>
      </c>
      <c r="E5282" t="inlineStr">
        <is>
          <t>China</t>
        </is>
      </c>
    </row>
    <row r="5283">
      <c r="A5283" t="inlineStr">
        <is>
          <t>ANALIS TEAM,  Madrid, Spain</t>
        </is>
      </c>
      <c r="B5283" t="inlineStr">
        <is>
          <t>Trader</t>
        </is>
      </c>
      <c r="C5283" t="inlineStr">
        <is>
          <t>DNV Business Assurance Sweden AB, Solna, SE</t>
        </is>
      </c>
      <c r="D5283" t="inlineStr">
        <is>
          <t>15.04.2027</t>
        </is>
      </c>
      <c r="E5283" t="inlineStr">
        <is>
          <t>Spain</t>
        </is>
      </c>
    </row>
    <row r="5284">
      <c r="A5284" t="inlineStr">
        <is>
          <t>Bunge Asia Pte Ltd,  Singapore, Singapore</t>
        </is>
      </c>
      <c r="B5284" t="inlineStr">
        <is>
          <t>Trader</t>
        </is>
      </c>
      <c r="C5284" t="inlineStr">
        <is>
          <t>Control Union Certifications Germany GmbH, Berlin, DE</t>
        </is>
      </c>
      <c r="D5284" t="inlineStr">
        <is>
          <t>15.04.2027</t>
        </is>
      </c>
      <c r="E5284" t="inlineStr">
        <is>
          <t>Singapore</t>
        </is>
      </c>
    </row>
    <row r="5285">
      <c r="A5285" t="inlineStr">
        <is>
          <t>Shifang Hengmao Bioenergy Co., Ltd,  Shifang City, Sichuan Province, China</t>
        </is>
      </c>
      <c r="B5285" t="inlineStr">
        <is>
          <t>Collecting Point, Trader with Storage</t>
        </is>
      </c>
      <c r="C5285" t="inlineStr">
        <is>
          <t>RINA Services S.p.A., Genova, IT</t>
        </is>
      </c>
      <c r="D5285" t="inlineStr">
        <is>
          <t>15.04.2027</t>
        </is>
      </c>
      <c r="E5285" t="inlineStr">
        <is>
          <t>China</t>
        </is>
      </c>
    </row>
    <row r="5286">
      <c r="A5286" t="inlineStr">
        <is>
          <t>SD Guthrie Berhad,  Carey Island, Selangor, Malaysia</t>
        </is>
      </c>
      <c r="B5286" t="inlineStr">
        <is>
          <t>Point of Origin</t>
        </is>
      </c>
      <c r="C5286" t="inlineStr">
        <is>
          <t>agroVet GmbH, Enzersfeld, AT</t>
        </is>
      </c>
      <c r="D5286" t="inlineStr">
        <is>
          <t>15.04.2027</t>
        </is>
      </c>
      <c r="E5286" t="inlineStr">
        <is>
          <t>Malaysia</t>
        </is>
      </c>
    </row>
    <row r="5287">
      <c r="A5287" t="inlineStr">
        <is>
          <t>Mölnlycke Health Care Klinipro s.r.o.,  Karviná, Czech Republic</t>
        </is>
      </c>
      <c r="B5287" t="inlineStr">
        <is>
          <t>Final Product Refinement</t>
        </is>
      </c>
      <c r="C5287" t="inlineStr">
        <is>
          <t>Bureau Veritas Polska Sp. z o.o., Warsaw, PL</t>
        </is>
      </c>
      <c r="D5287" t="inlineStr">
        <is>
          <t>15.04.2027</t>
        </is>
      </c>
      <c r="E5287" t="inlineStr">
        <is>
          <t>Czech Republic</t>
        </is>
      </c>
    </row>
    <row r="5288">
      <c r="A5288" t="inlineStr">
        <is>
          <t>FAR EASTERN NEW CENTURY CORPORATION,  Taoyuan, Taiwan, Province of China</t>
        </is>
      </c>
      <c r="B5288" t="inlineStr">
        <is>
          <t>Processing Unit</t>
        </is>
      </c>
      <c r="C5288" t="inlineStr">
        <is>
          <t>Control Union Certifications Germany GmbH, Berlin, DE</t>
        </is>
      </c>
      <c r="D5288" t="inlineStr">
        <is>
          <t>15.04.2027</t>
        </is>
      </c>
      <c r="E5288" t="inlineStr">
        <is>
          <t>Province of China</t>
        </is>
      </c>
    </row>
    <row r="5289">
      <c r="A5289" t="inlineStr">
        <is>
          <t>Quantafuel Skive ApS,  Spøttrup, Denmark</t>
        </is>
      </c>
      <c r="B5289" t="inlineStr">
        <is>
          <t>Collecting Point, Processing Unit</t>
        </is>
      </c>
      <c r="C5289" t="inlineStr">
        <is>
          <t>Baltic Control Certification, Albertslund, DK</t>
        </is>
      </c>
      <c r="D5289" t="inlineStr">
        <is>
          <t>15.04.2027</t>
        </is>
      </c>
      <c r="E5289" t="inlineStr">
        <is>
          <t>Denmark</t>
        </is>
      </c>
    </row>
    <row r="5290">
      <c r="A5290" t="inlineStr">
        <is>
          <t>Waler,  SINGAPORE, Singapore</t>
        </is>
      </c>
      <c r="B5290" t="inlineStr">
        <is>
          <t>Trader</t>
        </is>
      </c>
      <c r="C5290" t="inlineStr">
        <is>
          <t>Bureau Veritas Polska Sp. z o.o., Warsaw, PL</t>
        </is>
      </c>
      <c r="D5290" t="inlineStr">
        <is>
          <t>15.04.2027</t>
        </is>
      </c>
      <c r="E5290" t="inlineStr">
        <is>
          <t>Singapore</t>
        </is>
      </c>
    </row>
    <row r="5291">
      <c r="A5291" t="inlineStr">
        <is>
          <t>Waler,  SINGAPORE, Singapore</t>
        </is>
      </c>
      <c r="B5291" t="inlineStr">
        <is>
          <t>Trader</t>
        </is>
      </c>
      <c r="C5291" t="inlineStr">
        <is>
          <t>Bureau Veritas Polska Sp. z o.o., Warsaw, PL</t>
        </is>
      </c>
      <c r="D5291" t="inlineStr">
        <is>
          <t>15.04.2027</t>
        </is>
      </c>
      <c r="E5291" t="inlineStr">
        <is>
          <t>Singapore</t>
        </is>
      </c>
    </row>
    <row r="5292">
      <c r="A5292" t="inlineStr">
        <is>
          <t>HD HYUNDAI and SHELL Base Oil Co., Ltd.,  Seosan-si, South Korea</t>
        </is>
      </c>
      <c r="B5292" t="inlineStr">
        <is>
          <t>Processing Unit</t>
        </is>
      </c>
      <c r="C5292" t="inlineStr">
        <is>
          <t>Control Union Certifications Germany GmbH, Berlin, DE</t>
        </is>
      </c>
      <c r="D5292" t="inlineStr">
        <is>
          <t>15.04.2027</t>
        </is>
      </c>
      <c r="E5292" t="inlineStr">
        <is>
          <t>South Korea</t>
        </is>
      </c>
    </row>
    <row r="5293">
      <c r="A5293" t="inlineStr">
        <is>
          <t>Koelen Agrohandel &amp; Transport B.V.,  Albergen, Netherlands</t>
        </is>
      </c>
      <c r="B5293" t="inlineStr">
        <is>
          <t>Trader, Collecting Point</t>
        </is>
      </c>
      <c r="C5293" t="inlineStr">
        <is>
          <t>DEKRA Certification B.V., Arnhem, NL</t>
        </is>
      </c>
      <c r="D5293" t="inlineStr">
        <is>
          <t>15.04.2027</t>
        </is>
      </c>
      <c r="E5293" t="inlineStr">
        <is>
          <t>Netherlands</t>
        </is>
      </c>
    </row>
    <row r="5294">
      <c r="A5294" t="inlineStr">
        <is>
          <t>Synthomer UK Ltd,  Stallingborough, United Kingdom</t>
        </is>
      </c>
      <c r="B5294" t="inlineStr">
        <is>
          <t>Processing Unit</t>
        </is>
      </c>
      <c r="C5294" t="inlineStr">
        <is>
          <t>SGS Germany GmbH, Emstek, DE</t>
        </is>
      </c>
      <c r="D5294" t="inlineStr">
        <is>
          <t>15.04.2027</t>
        </is>
      </c>
      <c r="E5294" t="inlineStr">
        <is>
          <t>United Kingdom</t>
        </is>
      </c>
    </row>
    <row r="5295">
      <c r="A5295" t="inlineStr">
        <is>
          <t>BUKIT BINTANG SAWIT,  Muaro Jambi, Indonesia</t>
        </is>
      </c>
      <c r="B5295" t="inlineStr">
        <is>
          <t>Point of Origin</t>
        </is>
      </c>
      <c r="C5295" t="inlineStr">
        <is>
          <t>PT TSI Sertifikasi Internasional, Jakarta Selatang, ID</t>
        </is>
      </c>
      <c r="D5295" t="inlineStr">
        <is>
          <t>15.04.2027</t>
        </is>
      </c>
      <c r="E5295" t="inlineStr">
        <is>
          <t>Indonesia</t>
        </is>
      </c>
    </row>
    <row r="5296">
      <c r="A5296" t="inlineStr">
        <is>
          <t>PETVALUE PHILIPPINES CORPORATION,  General Trias, Cavite, Philippines</t>
        </is>
      </c>
      <c r="B5296" t="inlineStr">
        <is>
          <t>Collecting Point, Processing Unit</t>
        </is>
      </c>
      <c r="C5296" t="inlineStr">
        <is>
          <t>SGS Germany GmbH, Emstek, DE</t>
        </is>
      </c>
      <c r="D5296" t="inlineStr">
        <is>
          <t>15.04.2027</t>
        </is>
      </c>
      <c r="E5296" t="inlineStr">
        <is>
          <t>Philippines</t>
        </is>
      </c>
    </row>
    <row r="5297">
      <c r="A5297" t="inlineStr">
        <is>
          <t>PT SAMUDERA MAHKOTA MAS,  Kab. Sarolangun, Provinsi Jambi, Indonesia</t>
        </is>
      </c>
      <c r="B5297" t="inlineStr">
        <is>
          <t>Point of Origin</t>
        </is>
      </c>
      <c r="C5297" t="inlineStr">
        <is>
          <t>PT. Qualitas Sertifikasi Indonesia, Jakarta, ID</t>
        </is>
      </c>
      <c r="D5297" t="inlineStr">
        <is>
          <t>15.04.2027</t>
        </is>
      </c>
      <c r="E5297" t="inlineStr">
        <is>
          <t>Indonesia</t>
        </is>
      </c>
    </row>
    <row r="5298">
      <c r="A5298" t="inlineStr">
        <is>
          <t>Neilpak Healthcare Packaging,  Clara, Ireland</t>
        </is>
      </c>
      <c r="B5298" t="inlineStr">
        <is>
          <t>Processing Unit</t>
        </is>
      </c>
      <c r="C5298" t="inlineStr">
        <is>
          <t>Aardvark Certification Ltd, Wiveliscombe, Somerset, GB</t>
        </is>
      </c>
      <c r="D5298" t="inlineStr">
        <is>
          <t>15.04.2027</t>
        </is>
      </c>
      <c r="E5298" t="inlineStr">
        <is>
          <t>Ireland</t>
        </is>
      </c>
    </row>
    <row r="5299">
      <c r="A5299" t="inlineStr">
        <is>
          <t>KREST RENEWABLE FUELS PRIVATE LIMITED,  Mangaluru, India</t>
        </is>
      </c>
      <c r="B5299" t="inlineStr">
        <is>
          <t>Collecting Point, Processing Unit</t>
        </is>
      </c>
      <c r="C5299" t="inlineStr">
        <is>
          <t>Cotecna India Inspection Pvt Ltd, Kolkata, IN</t>
        </is>
      </c>
      <c r="D5299" t="inlineStr">
        <is>
          <t>15.04.2027</t>
        </is>
      </c>
      <c r="E5299" t="inlineStr">
        <is>
          <t>India</t>
        </is>
      </c>
    </row>
    <row r="5300">
      <c r="A5300" t="inlineStr">
        <is>
          <t>AGROTRAID-2000,  Terezino town, Bila Tserkva area, Ukraine</t>
        </is>
      </c>
      <c r="B5300" t="inlineStr">
        <is>
          <t>First Gathering Point, Trader with Storage, Processing Unit</t>
        </is>
      </c>
      <c r="C5300" t="inlineStr">
        <is>
          <t>Bureau Veritas Polska Sp. z o.o., Warsaw, PL</t>
        </is>
      </c>
      <c r="D5300" t="inlineStr">
        <is>
          <t>15.04.2027</t>
        </is>
      </c>
      <c r="E5300" t="inlineStr">
        <is>
          <t>Ukraine</t>
        </is>
      </c>
    </row>
    <row r="5301">
      <c r="A5301" t="inlineStr">
        <is>
          <t>Recogidas de aceites vegetales Montellano S,L.,  Utrera, Spain</t>
        </is>
      </c>
      <c r="B5301" t="inlineStr">
        <is>
          <t>Trader</t>
        </is>
      </c>
      <c r="C5301" t="inlineStr">
        <is>
          <t>Control Union Poland Sp. z o.o., Zielona Gora, PL</t>
        </is>
      </c>
      <c r="D5301" t="inlineStr">
        <is>
          <t>15.04.2027</t>
        </is>
      </c>
      <c r="E5301" t="inlineStr">
        <is>
          <t>Spain</t>
        </is>
      </c>
    </row>
    <row r="5302">
      <c r="A5302" t="inlineStr">
        <is>
          <t>Aves Enerji Yag Ve Gida San.A.Ş,  Mersin, Türkiye</t>
        </is>
      </c>
      <c r="B5302" t="inlineStr">
        <is>
          <t>Processing Unit</t>
        </is>
      </c>
      <c r="C5302" t="inlineStr">
        <is>
          <t>QIMA, Centro, Botucatu - SP, CEP, BR</t>
        </is>
      </c>
      <c r="D5302" t="inlineStr">
        <is>
          <t>15.04.2027</t>
        </is>
      </c>
      <c r="E5302" t="inlineStr">
        <is>
          <t>Türkiye</t>
        </is>
      </c>
    </row>
    <row r="5303">
      <c r="A5303" t="inlineStr">
        <is>
          <t>M2X Effingham LLC,  Effingham, United States</t>
        </is>
      </c>
      <c r="B5303" t="inlineStr">
        <is>
          <t>Collecting Point, Processing Unit</t>
        </is>
      </c>
      <c r="C5303" t="inlineStr">
        <is>
          <t>SCS Global Services, Emeryville, CA, US</t>
        </is>
      </c>
      <c r="D5303" t="inlineStr">
        <is>
          <t>15.04.2027</t>
        </is>
      </c>
      <c r="E5303" t="inlineStr">
        <is>
          <t>United States</t>
        </is>
      </c>
    </row>
    <row r="5304">
      <c r="A5304" t="inlineStr">
        <is>
          <t>Shanghai Jiujia Petrochemical Co., Ltd.,  Shanghai, China</t>
        </is>
      </c>
      <c r="B5304" t="inlineStr">
        <is>
          <t>Trader</t>
        </is>
      </c>
      <c r="C5304" t="inlineStr">
        <is>
          <t>RINA Services S.p.A., Genova, IT</t>
        </is>
      </c>
      <c r="D5304" t="inlineStr">
        <is>
          <t>14.04.2027</t>
        </is>
      </c>
      <c r="E5304" t="inlineStr">
        <is>
          <t>China</t>
        </is>
      </c>
    </row>
    <row r="5305">
      <c r="A5305" t="inlineStr">
        <is>
          <t>Hangzhou Guiyi Energy Technology Co., Ltd.,  Hangzhou, Zhejiang, China</t>
        </is>
      </c>
      <c r="B5305" t="inlineStr">
        <is>
          <t>Trader</t>
        </is>
      </c>
      <c r="C5305" t="inlineStr">
        <is>
          <t>RINA Services S.p.A., Genova, IT</t>
        </is>
      </c>
      <c r="D5305" t="inlineStr">
        <is>
          <t>14.04.2027</t>
        </is>
      </c>
      <c r="E5305" t="inlineStr">
        <is>
          <t>China</t>
        </is>
      </c>
    </row>
    <row r="5306">
      <c r="A5306" t="inlineStr">
        <is>
          <t>HP Rani Plast Ab,  Nederlappfors, Finland</t>
        </is>
      </c>
      <c r="B5306" t="inlineStr">
        <is>
          <t>Processing Unit</t>
        </is>
      </c>
      <c r="C5306" t="inlineStr">
        <is>
          <t>DNV Business Assurance Sweden AB, Solna, SE</t>
        </is>
      </c>
      <c r="D5306" t="inlineStr">
        <is>
          <t>14.04.2027</t>
        </is>
      </c>
      <c r="E5306" t="inlineStr">
        <is>
          <t>Finland</t>
        </is>
      </c>
    </row>
    <row r="5307">
      <c r="A5307" t="inlineStr">
        <is>
          <t>gramybel,  mouscron, Belgium</t>
        </is>
      </c>
      <c r="B5307" t="inlineStr">
        <is>
          <t>Collecting Point, Point of Origin, Trader, Processing Unit</t>
        </is>
      </c>
      <c r="C5307" t="inlineStr">
        <is>
          <t>Control Union Certifications Germany GmbH, Berlin, DE</t>
        </is>
      </c>
      <c r="D5307" t="inlineStr">
        <is>
          <t>14.04.2027</t>
        </is>
      </c>
      <c r="E5307" t="inlineStr">
        <is>
          <t>Belgium</t>
        </is>
      </c>
    </row>
    <row r="5308">
      <c r="A5308" t="inlineStr">
        <is>
          <t>IDEXBIORESSOURCES,  Boulogne-Billancourt, France</t>
        </is>
      </c>
      <c r="B5308" t="inlineStr">
        <is>
          <t>Trader with Storage</t>
        </is>
      </c>
      <c r="C5308" t="inlineStr">
        <is>
          <t>Control Union Certifications Germany GmbH, Berlin, DE</t>
        </is>
      </c>
      <c r="D5308" t="inlineStr">
        <is>
          <t>14.04.2027</t>
        </is>
      </c>
      <c r="E5308" t="inlineStr">
        <is>
          <t>France</t>
        </is>
      </c>
    </row>
    <row r="5309">
      <c r="A5309" t="inlineStr">
        <is>
          <t>DB TARIMSAL ENERJI SAN VE TİCARET A.Ş.,  TORBALI/İZMİR, Turkey</t>
        </is>
      </c>
      <c r="B5309" t="inlineStr">
        <is>
          <t>Collecting Point, Point of Origin, Processing Unit</t>
        </is>
      </c>
      <c r="C5309" t="inlineStr">
        <is>
          <t>RINA Services S.p.A., Genova, IT</t>
        </is>
      </c>
      <c r="D5309" t="inlineStr">
        <is>
          <t>14.04.2027</t>
        </is>
      </c>
      <c r="E5309" t="inlineStr">
        <is>
          <t>Turkey</t>
        </is>
      </c>
    </row>
    <row r="5310">
      <c r="A5310" t="inlineStr">
        <is>
          <t>Faiveleytech Ticino SA,  Stabio, Switzerland</t>
        </is>
      </c>
      <c r="B5310" t="inlineStr">
        <is>
          <t>Processing Unit</t>
        </is>
      </c>
      <c r="C5310" t="inlineStr">
        <is>
          <t>IIP S.r.l., Monza, IT</t>
        </is>
      </c>
      <c r="D5310" t="inlineStr">
        <is>
          <t>14.04.2027</t>
        </is>
      </c>
      <c r="E5310" t="inlineStr">
        <is>
          <t>Switzerland</t>
        </is>
      </c>
    </row>
    <row r="5311">
      <c r="A5311" t="inlineStr">
        <is>
          <t>Skanem Bergen AS,  Nesttun, Norway</t>
        </is>
      </c>
      <c r="B5311" t="inlineStr">
        <is>
          <t>Processing Unit</t>
        </is>
      </c>
      <c r="C5311" t="inlineStr">
        <is>
          <t>Baltic Control Certification, Albertslund, DK</t>
        </is>
      </c>
      <c r="D5311" t="inlineStr">
        <is>
          <t>14.04.2027</t>
        </is>
      </c>
      <c r="E5311" t="inlineStr">
        <is>
          <t>Norway</t>
        </is>
      </c>
    </row>
    <row r="5312">
      <c r="A5312" t="inlineStr">
        <is>
          <t>Grain Agro Group, s.r.o.,  Šternberk, Czech Republic</t>
        </is>
      </c>
      <c r="B5312" t="inlineStr">
        <is>
          <t>First Gathering Point, Trader</t>
        </is>
      </c>
      <c r="C5312" t="inlineStr">
        <is>
          <t>Bureau Veritas Polska Sp. z o.o., Warsaw, PL</t>
        </is>
      </c>
      <c r="D5312" t="inlineStr">
        <is>
          <t>14.04.2027</t>
        </is>
      </c>
      <c r="E5312" t="inlineStr">
        <is>
          <t>Czech Republic</t>
        </is>
      </c>
    </row>
    <row r="5313">
      <c r="A5313" t="inlineStr">
        <is>
          <t>Guangxi Lv'an Renewable Resources Recycling Co., Ltd,  Nanning City, Guangxi, China</t>
        </is>
      </c>
      <c r="B5313" t="inlineStr">
        <is>
          <t>Collecting Point, Trader</t>
        </is>
      </c>
      <c r="C5313" t="inlineStr">
        <is>
          <t>SCS Global Services, Emeryville, CA, US</t>
        </is>
      </c>
      <c r="D5313" t="inlineStr">
        <is>
          <t>14.04.2027</t>
        </is>
      </c>
      <c r="E5313" t="inlineStr">
        <is>
          <t>China</t>
        </is>
      </c>
    </row>
    <row r="5314">
      <c r="A5314" t="inlineStr">
        <is>
          <t>St. Johns Packaging (Kunshan) Ltd.,  Kunshan, Jiangshu, China</t>
        </is>
      </c>
      <c r="B5314" t="inlineStr">
        <is>
          <t>Processing Unit, Trader with Storage</t>
        </is>
      </c>
      <c r="C5314" t="inlineStr">
        <is>
          <t>SCS Global Services, Emeryville, CA, US</t>
        </is>
      </c>
      <c r="D5314" t="inlineStr">
        <is>
          <t>14.04.2027</t>
        </is>
      </c>
      <c r="E5314" t="inlineStr">
        <is>
          <t>China</t>
        </is>
      </c>
    </row>
    <row r="5315">
      <c r="A5315" t="inlineStr">
        <is>
          <t>SHENZHEN HAN HUI PLASTIC PRODUCTION CO.,LTD,  Shenzhen, Guangdong, China</t>
        </is>
      </c>
      <c r="B5315" t="inlineStr">
        <is>
          <t>Processing Unit</t>
        </is>
      </c>
      <c r="C5315" t="inlineStr">
        <is>
          <t>SCS Global Services, Emeryville, CA, US</t>
        </is>
      </c>
      <c r="D5315" t="inlineStr">
        <is>
          <t>14.04.2027</t>
        </is>
      </c>
      <c r="E5315" t="inlineStr">
        <is>
          <t>China</t>
        </is>
      </c>
    </row>
    <row r="5316">
      <c r="A5316" t="inlineStr">
        <is>
          <t>BIANCHI-GIAVOTTI,  S. MARTINO SICCOMARIO, Italy</t>
        </is>
      </c>
      <c r="B5316" t="inlineStr">
        <is>
          <t>Processing Unit</t>
        </is>
      </c>
      <c r="C5316" t="inlineStr">
        <is>
          <t>IIP S.r.l., Monza, IT</t>
        </is>
      </c>
      <c r="D5316" t="inlineStr">
        <is>
          <t>14.04.2027</t>
        </is>
      </c>
      <c r="E5316" t="inlineStr">
        <is>
          <t>Italy</t>
        </is>
      </c>
    </row>
    <row r="5317">
      <c r="A5317" t="inlineStr">
        <is>
          <t>Santa Fe Aceites, SRL,  Capitán Bermúdez, Argentina</t>
        </is>
      </c>
      <c r="B5317" t="inlineStr">
        <is>
          <t>Point of Origin, Trader with Storage</t>
        </is>
      </c>
      <c r="C5317" t="inlineStr">
        <is>
          <t>Control Union Poland Sp. z o.o., Zielona Gora, PL</t>
        </is>
      </c>
      <c r="D5317" t="inlineStr">
        <is>
          <t>14.04.2027</t>
        </is>
      </c>
      <c r="E5317" t="inlineStr">
        <is>
          <t>Argentina</t>
        </is>
      </c>
    </row>
    <row r="5318">
      <c r="A5318" t="inlineStr">
        <is>
          <t>Heng Hiap Industries Sdn Bhd,  Pasir Gudang, Johor, Malaysia</t>
        </is>
      </c>
      <c r="B5318" t="inlineStr">
        <is>
          <t>Collecting Point, Processing Unit</t>
        </is>
      </c>
      <c r="C5318" t="inlineStr">
        <is>
          <t>Control Union Certifications Germany GmbH, Berlin, DE</t>
        </is>
      </c>
      <c r="D5318" t="inlineStr">
        <is>
          <t>14.04.2027</t>
        </is>
      </c>
      <c r="E5318" t="inlineStr">
        <is>
          <t>Malaysia</t>
        </is>
      </c>
    </row>
    <row r="5319">
      <c r="A5319" t="inlineStr">
        <is>
          <t>Sumec Technology and Equipment Co.,Ltd.,  Xuanwu District, Nanjing, China</t>
        </is>
      </c>
      <c r="B5319" t="inlineStr">
        <is>
          <t>Trader with Storage</t>
        </is>
      </c>
      <c r="C5319" t="inlineStr">
        <is>
          <t>RINA Services S.p.A., Genova, IT</t>
        </is>
      </c>
      <c r="D5319" t="inlineStr">
        <is>
          <t>14.04.2027</t>
        </is>
      </c>
      <c r="E5319" t="inlineStr">
        <is>
          <t>China</t>
        </is>
      </c>
    </row>
    <row r="5320">
      <c r="A5320" t="inlineStr">
        <is>
          <t>Celanese Pte. Ltd.,  Nanjing, Jiangsu, China</t>
        </is>
      </c>
      <c r="B5320" t="inlineStr">
        <is>
          <t>Trader with Storage</t>
        </is>
      </c>
      <c r="C5320" t="inlineStr">
        <is>
          <t>DIN CERTCO GmbH, Berlin, DE</t>
        </is>
      </c>
      <c r="D5320" t="inlineStr">
        <is>
          <t>14.04.2027</t>
        </is>
      </c>
      <c r="E5320" t="inlineStr">
        <is>
          <t>China</t>
        </is>
      </c>
    </row>
    <row r="5321">
      <c r="A5321" t="inlineStr">
        <is>
          <t>Celanese (Shanghai) International Trading Co., Ltd.,  Shanghai, China</t>
        </is>
      </c>
      <c r="B5321" t="inlineStr">
        <is>
          <t>Trader with Storage</t>
        </is>
      </c>
      <c r="C5321" t="inlineStr">
        <is>
          <t>DIN CERTCO GmbH, Berlin, DE</t>
        </is>
      </c>
      <c r="D5321" t="inlineStr">
        <is>
          <t>14.04.2027</t>
        </is>
      </c>
      <c r="E5321" t="inlineStr">
        <is>
          <t>China</t>
        </is>
      </c>
    </row>
    <row r="5322">
      <c r="A5322" t="inlineStr">
        <is>
          <t>Celanese (Shanghai) Chemical Trading Co., Limited,  Pudong New Area, Shanghai, China</t>
        </is>
      </c>
      <c r="B5322" t="inlineStr">
        <is>
          <t>Trader with Storage</t>
        </is>
      </c>
      <c r="C5322" t="inlineStr">
        <is>
          <t>DIN CERTCO GmbH, Berlin, DE</t>
        </is>
      </c>
      <c r="D5322" t="inlineStr">
        <is>
          <t>14.04.2027</t>
        </is>
      </c>
      <c r="E5322" t="inlineStr">
        <is>
          <t>China</t>
        </is>
      </c>
    </row>
    <row r="5323">
      <c r="A5323" t="inlineStr">
        <is>
          <t>Basell Benelux B.V.,  Moerdijk, Netherlands</t>
        </is>
      </c>
      <c r="B5323" t="inlineStr">
        <is>
          <t>Processing Unit</t>
        </is>
      </c>
      <c r="C5323" t="inlineStr">
        <is>
          <t>TÜV SÜD Industrie Service GmbH, München, DE</t>
        </is>
      </c>
      <c r="D5323" t="inlineStr">
        <is>
          <t>14.04.2027</t>
        </is>
      </c>
      <c r="E5323" t="inlineStr">
        <is>
          <t>Netherlands</t>
        </is>
      </c>
    </row>
    <row r="5324">
      <c r="A5324" t="inlineStr">
        <is>
          <t>ARLANXEO Emulsion Rubber France S.A.S.,  La Wantzenau, France</t>
        </is>
      </c>
      <c r="B5324" t="inlineStr">
        <is>
          <t>Processing Unit</t>
        </is>
      </c>
      <c r="C5324" t="inlineStr">
        <is>
          <t>DQS CFS GmbH - Deutsche Gesellschaft für Nachhaltigkeit, Frankfurt am Main, DE</t>
        </is>
      </c>
      <c r="D5324" t="inlineStr">
        <is>
          <t>14.04.2027</t>
        </is>
      </c>
      <c r="E5324" t="inlineStr">
        <is>
          <t>France</t>
        </is>
      </c>
    </row>
    <row r="5325">
      <c r="A5325" t="inlineStr">
        <is>
          <t>Hung Logistics Limited,  Hong Kong, Hong Kong, SAR, China</t>
        </is>
      </c>
      <c r="B5325" t="inlineStr">
        <is>
          <t>Trader</t>
        </is>
      </c>
      <c r="C5325" t="inlineStr">
        <is>
          <t>SCS Global Services, Emeryville, CA, US</t>
        </is>
      </c>
      <c r="D5325" t="inlineStr">
        <is>
          <t>14.04.2027</t>
        </is>
      </c>
      <c r="E5325" t="inlineStr">
        <is>
          <t>China</t>
        </is>
      </c>
    </row>
    <row r="5326">
      <c r="A5326" t="inlineStr">
        <is>
          <t>WELL INTERNATIONAL CO., LTD.,  Zhongzheng Dist., Taipei City, Taiwan, Province of China</t>
        </is>
      </c>
      <c r="B5326" t="inlineStr">
        <is>
          <t>Trader</t>
        </is>
      </c>
      <c r="C5326" t="inlineStr">
        <is>
          <t>China Quality Certification Centre Co., Ltd., Beijing, CN</t>
        </is>
      </c>
      <c r="D5326" t="inlineStr">
        <is>
          <t>14.04.2027</t>
        </is>
      </c>
      <c r="E5326" t="inlineStr">
        <is>
          <t>Province of China</t>
        </is>
      </c>
    </row>
    <row r="5327">
      <c r="A5327" t="inlineStr">
        <is>
          <t>CASDA Biomaterials Co., Ltd.,  Hengshui City, China</t>
        </is>
      </c>
      <c r="B5327" t="inlineStr">
        <is>
          <t>Processing Unit</t>
        </is>
      </c>
      <c r="C5327" t="inlineStr">
        <is>
          <t>SGS Germany GmbH, Emstek, DE</t>
        </is>
      </c>
      <c r="D5327" t="inlineStr">
        <is>
          <t>14.04.2027</t>
        </is>
      </c>
      <c r="E5327" t="inlineStr">
        <is>
          <t>China</t>
        </is>
      </c>
    </row>
    <row r="5328">
      <c r="A5328" t="inlineStr">
        <is>
          <t>SRF EUROPE Kft.,  Jászfényszaru, Hungary</t>
        </is>
      </c>
      <c r="B5328" t="inlineStr">
        <is>
          <t>Processing Unit</t>
        </is>
      </c>
      <c r="C5328" t="inlineStr">
        <is>
          <t>SGS Germany GmbH, Emstek, DE</t>
        </is>
      </c>
      <c r="D5328" t="inlineStr">
        <is>
          <t>14.04.2027</t>
        </is>
      </c>
      <c r="E5328" t="inlineStr">
        <is>
          <t>Hungary</t>
        </is>
      </c>
    </row>
    <row r="5329">
      <c r="A5329" t="inlineStr">
        <is>
          <t>Noord Natie Terminals,  Antwerp, Belgium</t>
        </is>
      </c>
      <c r="B5329" t="inlineStr">
        <is>
          <t>Warehouse</t>
        </is>
      </c>
      <c r="C5329" t="inlineStr">
        <is>
          <t>SGS Germany GmbH, Emstek, DE</t>
        </is>
      </c>
      <c r="D5329" t="inlineStr">
        <is>
          <t>14.04.2027</t>
        </is>
      </c>
      <c r="E5329" t="inlineStr">
        <is>
          <t>Belgium</t>
        </is>
      </c>
    </row>
    <row r="5330">
      <c r="A5330" t="inlineStr">
        <is>
          <t>Noord Natie Terminals,  Antwerp, Belgium</t>
        </is>
      </c>
      <c r="B5330" t="inlineStr">
        <is>
          <t>Warehouse</t>
        </is>
      </c>
      <c r="C5330" t="inlineStr">
        <is>
          <t>SGS Germany GmbH, Emstek, DE</t>
        </is>
      </c>
      <c r="D5330" t="inlineStr">
        <is>
          <t>14.04.2027</t>
        </is>
      </c>
      <c r="E5330" t="inlineStr">
        <is>
          <t>Belgium</t>
        </is>
      </c>
    </row>
    <row r="5331">
      <c r="A5331" t="inlineStr">
        <is>
          <t>TOYOTA TSUSHO MARINE FUELS CORPORATION,  Tokyo, Japan</t>
        </is>
      </c>
      <c r="B5331" t="inlineStr">
        <is>
          <t>Trader with Storage, Proof of Compliance Trader</t>
        </is>
      </c>
      <c r="C5331" t="inlineStr">
        <is>
          <t>SGS Germany GmbH, Emstek, DE</t>
        </is>
      </c>
      <c r="D5331" t="inlineStr">
        <is>
          <t>14.04.2027</t>
        </is>
      </c>
      <c r="E5331" t="inlineStr">
        <is>
          <t>Japan</t>
        </is>
      </c>
    </row>
    <row r="5332">
      <c r="A5332" t="inlineStr">
        <is>
          <t>Scanola A/S,  Aarhus C, Denmark</t>
        </is>
      </c>
      <c r="B5332" t="inlineStr">
        <is>
          <t>Processing Unit, Trader</t>
        </is>
      </c>
      <c r="C5332" t="inlineStr">
        <is>
          <t>SGS Germany GmbH, Emstek, DE</t>
        </is>
      </c>
      <c r="D5332" t="inlineStr">
        <is>
          <t>14.04.2027</t>
        </is>
      </c>
      <c r="E5332" t="inlineStr">
        <is>
          <t>Denmark</t>
        </is>
      </c>
    </row>
    <row r="5333">
      <c r="A5333" t="inlineStr">
        <is>
          <t>BP Products North America,  Chicago, United States</t>
        </is>
      </c>
      <c r="B5333" t="inlineStr">
        <is>
          <t>Trader with Storage, Biomarine Fuel Operator</t>
        </is>
      </c>
      <c r="C5333" t="inlineStr">
        <is>
          <t>Control Union Poland Sp. z o.o., Zielona Gora, PL</t>
        </is>
      </c>
      <c r="D5333" t="inlineStr">
        <is>
          <t>14.04.2027</t>
        </is>
      </c>
      <c r="E5333" t="inlineStr">
        <is>
          <t>United States</t>
        </is>
      </c>
    </row>
    <row r="5334">
      <c r="A5334" t="inlineStr">
        <is>
          <t>MiRO Mineraloelraffinerie Oberrhein GmbH &amp; Co KG,  Karlsruhe, Germany</t>
        </is>
      </c>
      <c r="B5334" t="inlineStr">
        <is>
          <t>Processing Unit</t>
        </is>
      </c>
      <c r="C5334" t="inlineStr">
        <is>
          <t>SGS Germany GmbH, Emstek, DE</t>
        </is>
      </c>
      <c r="D5334" t="inlineStr">
        <is>
          <t>14.04.2027</t>
        </is>
      </c>
      <c r="E5334" t="inlineStr">
        <is>
          <t>Germany</t>
        </is>
      </c>
    </row>
    <row r="5335">
      <c r="A5335" t="inlineStr">
        <is>
          <t>MiRO Mineraloelraffinerie Oberrhein GmbH &amp; Co KG,  Karlsruhe, Germany</t>
        </is>
      </c>
      <c r="B5335" t="inlineStr">
        <is>
          <t>Trader with Storage, ETBE plant, Warehouse</t>
        </is>
      </c>
      <c r="C5335" t="inlineStr">
        <is>
          <t>SGS Germany GmbH, Emstek, DE</t>
        </is>
      </c>
      <c r="D5335" t="inlineStr">
        <is>
          <t>14.04.2027</t>
        </is>
      </c>
      <c r="E5335" t="inlineStr">
        <is>
          <t>Germany</t>
        </is>
      </c>
    </row>
    <row r="5336">
      <c r="A5336" t="inlineStr">
        <is>
          <t>ZHEJIANG HUAFON NEW MATERIALS CO., LTD.,  Ruian City, Zhejiang Province, China</t>
        </is>
      </c>
      <c r="B5336" t="inlineStr">
        <is>
          <t>Processing Unit</t>
        </is>
      </c>
      <c r="C5336" t="inlineStr">
        <is>
          <t>DIN CERTCO GmbH, Berlin, DE</t>
        </is>
      </c>
      <c r="D5336" t="inlineStr">
        <is>
          <t>14.04.2027</t>
        </is>
      </c>
      <c r="E5336" t="inlineStr">
        <is>
          <t>China</t>
        </is>
      </c>
    </row>
    <row r="5337">
      <c r="A5337" t="inlineStr">
        <is>
          <t>Celanese Performance Solutions Switzerland,  Sulzbach (Taunus), Germany</t>
        </is>
      </c>
      <c r="B5337" t="inlineStr">
        <is>
          <t>Trader with Storage</t>
        </is>
      </c>
      <c r="C5337" t="inlineStr">
        <is>
          <t>DIN CERTCO GmbH, Berlin, DE</t>
        </is>
      </c>
      <c r="D5337" t="inlineStr">
        <is>
          <t>14.04.2027</t>
        </is>
      </c>
      <c r="E5337" t="inlineStr">
        <is>
          <t>Germany</t>
        </is>
      </c>
    </row>
    <row r="5338">
      <c r="A5338" t="inlineStr">
        <is>
          <t>AGROPEST SEED SRL,  ALEXANDRIA, TELEORMAN county, Romania</t>
        </is>
      </c>
      <c r="B5338" t="inlineStr">
        <is>
          <t>First Gathering Point</t>
        </is>
      </c>
      <c r="C5338" t="inlineStr">
        <is>
          <t>SRAC Cert SRL, Bucharest, RO</t>
        </is>
      </c>
      <c r="D5338" t="inlineStr">
        <is>
          <t>14.04.2027</t>
        </is>
      </c>
      <c r="E5338" t="inlineStr">
        <is>
          <t>Romania</t>
        </is>
      </c>
    </row>
    <row r="5339">
      <c r="A5339" t="inlineStr">
        <is>
          <t>PÉREZ TORRES MARÍTIMA, S. L.,  A Coruña, Spain</t>
        </is>
      </c>
      <c r="B5339" t="inlineStr">
        <is>
          <t>Logistics Center</t>
        </is>
      </c>
      <c r="C5339" t="inlineStr">
        <is>
          <t>Control Union Poland Sp. z o.o., Zielona Gora, PL</t>
        </is>
      </c>
      <c r="D5339" t="inlineStr">
        <is>
          <t>14.04.2027</t>
        </is>
      </c>
      <c r="E5339" t="inlineStr">
        <is>
          <t>Spain</t>
        </is>
      </c>
    </row>
    <row r="5340">
      <c r="A5340" t="inlineStr">
        <is>
          <t>Cashew Derivation Ghana Ltd,  Dawenhya, Ghana</t>
        </is>
      </c>
      <c r="B5340" t="inlineStr">
        <is>
          <t>Processing Unit</t>
        </is>
      </c>
      <c r="C5340" t="inlineStr">
        <is>
          <t>SCS Global Services, Emeryville, CA, US</t>
        </is>
      </c>
      <c r="D5340" t="inlineStr">
        <is>
          <t>14.04.2027</t>
        </is>
      </c>
      <c r="E5340" t="inlineStr">
        <is>
          <t>Ghana</t>
        </is>
      </c>
    </row>
    <row r="5341">
      <c r="A5341" t="inlineStr">
        <is>
          <t>BP Products North America,  Chicago, United States</t>
        </is>
      </c>
      <c r="B5341" t="inlineStr">
        <is>
          <t>Trader with Storage</t>
        </is>
      </c>
      <c r="C5341" t="inlineStr">
        <is>
          <t>Control Union Poland Sp. z o.o., Zielona Gora, PL</t>
        </is>
      </c>
      <c r="D5341" t="inlineStr">
        <is>
          <t>14.04.2027</t>
        </is>
      </c>
      <c r="E5341" t="inlineStr">
        <is>
          <t>United States</t>
        </is>
      </c>
    </row>
    <row r="5342">
      <c r="A5342" t="inlineStr">
        <is>
          <t>BP Products North America,  Chicago, United States</t>
        </is>
      </c>
      <c r="B5342" t="inlineStr">
        <is>
          <t>Trader with Storage</t>
        </is>
      </c>
      <c r="C5342" t="inlineStr">
        <is>
          <t>Control Union Poland Sp. z o.o., Zielona Gora, PL</t>
        </is>
      </c>
      <c r="D5342" t="inlineStr">
        <is>
          <t>14.04.2027</t>
        </is>
      </c>
      <c r="E5342" t="inlineStr">
        <is>
          <t>United States</t>
        </is>
      </c>
    </row>
    <row r="5343">
      <c r="A5343" t="inlineStr">
        <is>
          <t>ENEOS Materials Synthetic Rubber Hungary Ltd.,  H-3580 Tiszaújváros, Hungary</t>
        </is>
      </c>
      <c r="B5343" t="inlineStr">
        <is>
          <t>Processing Unit</t>
        </is>
      </c>
      <c r="C5343" t="inlineStr">
        <is>
          <t>SGS Germany GmbH, Emstek, DE</t>
        </is>
      </c>
      <c r="D5343" t="inlineStr">
        <is>
          <t>14.04.2027</t>
        </is>
      </c>
      <c r="E5343" t="inlineStr">
        <is>
          <t>Hungary</t>
        </is>
      </c>
    </row>
    <row r="5344">
      <c r="A5344" t="inlineStr">
        <is>
          <t>Tratos HV Spa,  Pieve Santo Stefano, Italy</t>
        </is>
      </c>
      <c r="B5344" t="inlineStr">
        <is>
          <t>Processing Unit</t>
        </is>
      </c>
      <c r="C5344" t="inlineStr">
        <is>
          <t>Bureau Veritas Polska Sp. z o.o., Warsaw, PL</t>
        </is>
      </c>
      <c r="D5344" t="inlineStr">
        <is>
          <t>14.04.2027</t>
        </is>
      </c>
      <c r="E5344" t="inlineStr">
        <is>
          <t>Italy</t>
        </is>
      </c>
    </row>
    <row r="5345">
      <c r="A5345" t="inlineStr">
        <is>
          <t>Circle K Deutschland GmbH,  Riga, Latvia</t>
        </is>
      </c>
      <c r="B5345" t="inlineStr">
        <is>
          <t>Trader with Storage</t>
        </is>
      </c>
      <c r="C5345" t="inlineStr">
        <is>
          <t>Bureau Veritas Polska Sp. z o.o., Warsaw, PL</t>
        </is>
      </c>
      <c r="D5345" t="inlineStr">
        <is>
          <t>14.04.2027</t>
        </is>
      </c>
      <c r="E5345" t="inlineStr">
        <is>
          <t>Latvia</t>
        </is>
      </c>
    </row>
    <row r="5346">
      <c r="A5346" t="inlineStr">
        <is>
          <t>Maccaferri Balkans,  Xhafzotaj-Shijak, Durres, Albania</t>
        </is>
      </c>
      <c r="B5346" t="inlineStr">
        <is>
          <t>Processing Unit</t>
        </is>
      </c>
      <c r="C5346" t="inlineStr">
        <is>
          <t>RINA Services S.p.A., Genova, IT</t>
        </is>
      </c>
      <c r="D5346" t="inlineStr">
        <is>
          <t>14.04.2027</t>
        </is>
      </c>
      <c r="E5346" t="inlineStr">
        <is>
          <t>Albania</t>
        </is>
      </c>
    </row>
    <row r="5347">
      <c r="A5347" t="inlineStr">
        <is>
          <t>Idealplast,  Romano D'Ezzelino, Italy</t>
        </is>
      </c>
      <c r="B5347" t="inlineStr">
        <is>
          <t>Processing Unit</t>
        </is>
      </c>
      <c r="C5347" t="inlineStr">
        <is>
          <t>DNV Business Assurance Sweden AB, Solna, SE</t>
        </is>
      </c>
      <c r="D5347" t="inlineStr">
        <is>
          <t>14.04.2027</t>
        </is>
      </c>
      <c r="E5347" t="inlineStr">
        <is>
          <t>Italy</t>
        </is>
      </c>
    </row>
    <row r="5348">
      <c r="A5348" t="inlineStr">
        <is>
          <t>Greenur,  Plovdiv, Bulgaria</t>
        </is>
      </c>
      <c r="B5348" t="inlineStr">
        <is>
          <t>Trader</t>
        </is>
      </c>
      <c r="C5348" t="inlineStr">
        <is>
          <t>RINA Services S.p.A., Genova, IT</t>
        </is>
      </c>
      <c r="D5348" t="inlineStr">
        <is>
          <t>14.04.2027</t>
        </is>
      </c>
      <c r="E5348" t="inlineStr">
        <is>
          <t>Bulgaria</t>
        </is>
      </c>
    </row>
    <row r="5349">
      <c r="A5349" t="inlineStr">
        <is>
          <t>PS Japan Corporation,  Sodegaura, Chiba, Japan</t>
        </is>
      </c>
      <c r="B5349" t="inlineStr">
        <is>
          <t>Processing Unit</t>
        </is>
      </c>
      <c r="C5349" t="inlineStr">
        <is>
          <t>Trans Certification and Inspection Sdn Bhd, Kuantan, MY</t>
        </is>
      </c>
      <c r="D5349" t="inlineStr">
        <is>
          <t>13.04.2027</t>
        </is>
      </c>
      <c r="E5349" t="inlineStr">
        <is>
          <t>Japan</t>
        </is>
      </c>
    </row>
    <row r="5350">
      <c r="A5350" t="inlineStr">
        <is>
          <t>PS Japan Corporation,  Kurashiki-City, Okayama, Japan</t>
        </is>
      </c>
      <c r="B5350" t="inlineStr">
        <is>
          <t>Processing Unit</t>
        </is>
      </c>
      <c r="C5350" t="inlineStr">
        <is>
          <t>Trans Certification and Inspection Sdn Bhd, Kuantan, MY</t>
        </is>
      </c>
      <c r="D5350" t="inlineStr">
        <is>
          <t>13.04.2027</t>
        </is>
      </c>
      <c r="E5350" t="inlineStr">
        <is>
          <t>Japan</t>
        </is>
      </c>
    </row>
    <row r="5351">
      <c r="A5351" t="inlineStr">
        <is>
          <t>EGETEM YAG KIMYA SANAYI VE TICARET LIMITED SIRKETI,  KEMALPASA IZMIR, Turkey</t>
        </is>
      </c>
      <c r="B5351" t="inlineStr">
        <is>
          <t>Collecting Point, Point of Origin, Processing Unit</t>
        </is>
      </c>
      <c r="C5351" t="inlineStr">
        <is>
          <t>Trans Certification and Inspection Sdn Bhd, Kuantan, MY</t>
        </is>
      </c>
      <c r="D5351" t="inlineStr">
        <is>
          <t>13.04.2027</t>
        </is>
      </c>
      <c r="E5351" t="inlineStr">
        <is>
          <t>Turkey</t>
        </is>
      </c>
    </row>
    <row r="5352">
      <c r="A5352" t="inlineStr">
        <is>
          <t>SHANGHAI SHIFT ELECTRICS CO.,LTD,  Shanghai, China</t>
        </is>
      </c>
      <c r="B5352" t="inlineStr">
        <is>
          <t>Final Product Refinement</t>
        </is>
      </c>
      <c r="C5352" t="inlineStr">
        <is>
          <t>ASG Cert GmbH, Munich, DE</t>
        </is>
      </c>
      <c r="D5352" t="inlineStr">
        <is>
          <t>13.04.2027</t>
        </is>
      </c>
      <c r="E5352" t="inlineStr">
        <is>
          <t>China</t>
        </is>
      </c>
    </row>
    <row r="5353">
      <c r="A5353" t="inlineStr">
        <is>
          <t>IOI ACIDCHEM SDN BHD,  PRAI, Malaysia</t>
        </is>
      </c>
      <c r="B5353" t="inlineStr">
        <is>
          <t>Point of Origin</t>
        </is>
      </c>
      <c r="C5353" t="inlineStr">
        <is>
          <t>SGS Germany GmbH, Emstek, DE</t>
        </is>
      </c>
      <c r="D5353" t="inlineStr">
        <is>
          <t>13.04.2027</t>
        </is>
      </c>
      <c r="E5353" t="inlineStr">
        <is>
          <t>Malaysia</t>
        </is>
      </c>
    </row>
    <row r="5354">
      <c r="A5354" t="inlineStr">
        <is>
          <t>Prio Bio SA,  Gafanha da Nazaré, Portugal</t>
        </is>
      </c>
      <c r="B5354" t="inlineStr">
        <is>
          <t>Collecting Point, Point of Origin, Processing Unit, Trader with Storage</t>
        </is>
      </c>
      <c r="C5354" t="inlineStr">
        <is>
          <t>SGS Germany GmbH, Emstek, DE</t>
        </is>
      </c>
      <c r="D5354" t="inlineStr">
        <is>
          <t>13.04.2027</t>
        </is>
      </c>
      <c r="E5354" t="inlineStr">
        <is>
          <t>Portugal</t>
        </is>
      </c>
    </row>
    <row r="5355">
      <c r="A5355" t="inlineStr">
        <is>
          <t>TOSOH SILICA CORPORATION,  Shunan, Japan</t>
        </is>
      </c>
      <c r="B5355" t="inlineStr">
        <is>
          <t>Collecting Point, Warehouse, Processing Unit</t>
        </is>
      </c>
      <c r="C5355" t="inlineStr">
        <is>
          <t>Bureau Veritas Polska Sp. z o.o., Warsaw, PL</t>
        </is>
      </c>
      <c r="D5355" t="inlineStr">
        <is>
          <t>13.04.2027</t>
        </is>
      </c>
      <c r="E5355" t="inlineStr">
        <is>
          <t>Japan</t>
        </is>
      </c>
    </row>
    <row r="5356">
      <c r="A5356" t="inlineStr">
        <is>
          <t>RWE Generation Nederland,  Geertruidenberg, Netherlands</t>
        </is>
      </c>
      <c r="B5356" t="inlineStr">
        <is>
          <t>Processing Unit, Trader</t>
        </is>
      </c>
      <c r="C5356" t="inlineStr">
        <is>
          <t>Control Union Certifications Germany GmbH, Berlin, DE</t>
        </is>
      </c>
      <c r="D5356" t="inlineStr">
        <is>
          <t>13.04.2027</t>
        </is>
      </c>
      <c r="E5356" t="inlineStr">
        <is>
          <t>Netherlands</t>
        </is>
      </c>
    </row>
    <row r="5357">
      <c r="A5357" t="inlineStr">
        <is>
          <t>Posco International Corporation,  Incheon, South Korea</t>
        </is>
      </c>
      <c r="B5357" t="inlineStr">
        <is>
          <t>Trader</t>
        </is>
      </c>
      <c r="C5357" t="inlineStr">
        <is>
          <t>Control Union Certifications Germany GmbH, Berlin, DE</t>
        </is>
      </c>
      <c r="D5357" t="inlineStr">
        <is>
          <t>13.04.2027</t>
        </is>
      </c>
      <c r="E5357" t="inlineStr">
        <is>
          <t>South Korea</t>
        </is>
      </c>
    </row>
    <row r="5358">
      <c r="A5358" t="inlineStr">
        <is>
          <t>EPL America, LLC,  Danville, Virginia, United States</t>
        </is>
      </c>
      <c r="B5358" t="inlineStr">
        <is>
          <t>Processing Unit</t>
        </is>
      </c>
      <c r="C5358" t="inlineStr">
        <is>
          <t>SCS Global Services, Emeryville, CA, US</t>
        </is>
      </c>
      <c r="D5358" t="inlineStr">
        <is>
          <t>13.04.2027</t>
        </is>
      </c>
      <c r="E5358" t="inlineStr">
        <is>
          <t>United States</t>
        </is>
      </c>
    </row>
    <row r="5359">
      <c r="A5359" t="inlineStr">
        <is>
          <t>I.M.P.E. - INDUSTRIA MERIDIONALE POLIURETANI ESPANSI,  Qualiano, Italy</t>
        </is>
      </c>
      <c r="B5359" t="inlineStr">
        <is>
          <t>Processing Unit</t>
        </is>
      </c>
      <c r="C5359" t="inlineStr">
        <is>
          <t>Bureau Veritas Polska Sp. z o.o., Warsaw, PL</t>
        </is>
      </c>
      <c r="D5359" t="inlineStr">
        <is>
          <t>13.04.2027</t>
        </is>
      </c>
      <c r="E5359" t="inlineStr">
        <is>
          <t>Italy</t>
        </is>
      </c>
    </row>
    <row r="5360">
      <c r="A5360" t="inlineStr">
        <is>
          <t>Tratris-Tratamento de Residuos Industriais, SA,  Adiça, Tondela, Portugal</t>
        </is>
      </c>
      <c r="B5360" t="inlineStr">
        <is>
          <t>Collecting Point, Trader</t>
        </is>
      </c>
      <c r="C5360" t="inlineStr">
        <is>
          <t>United Registrar of Systems Polska Sp. z o.o., Wrocław, PL</t>
        </is>
      </c>
      <c r="D5360" t="inlineStr">
        <is>
          <t>13.04.2027</t>
        </is>
      </c>
      <c r="E5360" t="inlineStr">
        <is>
          <t>Portugal</t>
        </is>
      </c>
    </row>
    <row r="5361">
      <c r="A5361" t="inlineStr">
        <is>
          <t>TotalEnergies Raffinerie Mitteldeutschland GmbH,  Leuna, Germany</t>
        </is>
      </c>
      <c r="B5361" t="inlineStr">
        <is>
          <t>Processing Unit, Proof of Compliance Trader, Trader with Storage</t>
        </is>
      </c>
      <c r="C5361" t="inlineStr">
        <is>
          <t>GUT Certifizierungsgesellschaft für Managementsysteme mbH Umweltgutachter, Berlin, DE</t>
        </is>
      </c>
      <c r="D5361" t="inlineStr">
        <is>
          <t>13.04.2027</t>
        </is>
      </c>
      <c r="E5361" t="inlineStr">
        <is>
          <t>Germany</t>
        </is>
      </c>
    </row>
    <row r="5362">
      <c r="A5362" t="inlineStr">
        <is>
          <t>Oldenburger Fleischmehlfabrik GmbH,  Friesoythe-Kampe, Germany</t>
        </is>
      </c>
      <c r="B5362" t="inlineStr">
        <is>
          <t>Point of Origin</t>
        </is>
      </c>
      <c r="C5362" t="inlineStr">
        <is>
          <t>RINA Services S.p.A., Genova, IT</t>
        </is>
      </c>
      <c r="D5362" t="inlineStr">
        <is>
          <t>13.04.2027</t>
        </is>
      </c>
      <c r="E5362" t="inlineStr">
        <is>
          <t>Germany</t>
        </is>
      </c>
    </row>
    <row r="5363">
      <c r="A5363" t="inlineStr">
        <is>
          <t>SIGNODE FRANCE SAS,  Manneville Sur Risle, France</t>
        </is>
      </c>
      <c r="B5363" t="inlineStr">
        <is>
          <t>Processing Unit</t>
        </is>
      </c>
      <c r="C5363" t="inlineStr">
        <is>
          <t>SGS Germany GmbH, Emstek, DE</t>
        </is>
      </c>
      <c r="D5363" t="inlineStr">
        <is>
          <t>13.04.2027</t>
        </is>
      </c>
      <c r="E5363" t="inlineStr">
        <is>
          <t>France</t>
        </is>
      </c>
    </row>
    <row r="5364">
      <c r="A5364" t="inlineStr">
        <is>
          <t>Bakelite Synthetics UK Limited,  Rotterdam, Netherlands</t>
        </is>
      </c>
      <c r="B5364" t="inlineStr">
        <is>
          <t>Processing Unit</t>
        </is>
      </c>
      <c r="C5364" t="inlineStr">
        <is>
          <t>SGS Germany GmbH, Emstek, DE</t>
        </is>
      </c>
      <c r="D5364" t="inlineStr">
        <is>
          <t>13.04.2027</t>
        </is>
      </c>
      <c r="E5364" t="inlineStr">
        <is>
          <t>Netherlands</t>
        </is>
      </c>
    </row>
    <row r="5365">
      <c r="A5365" t="inlineStr">
        <is>
          <t>ALL WELLS INTERNATIONAL CO., LTD,  Ho Chi Minh City, Vietnam</t>
        </is>
      </c>
      <c r="B5365" t="inlineStr">
        <is>
          <t>Final Product Refinement, Processing Unit</t>
        </is>
      </c>
      <c r="C5365" t="inlineStr">
        <is>
          <t>SGS Germany GmbH, Emstek, DE</t>
        </is>
      </c>
      <c r="D5365" t="inlineStr">
        <is>
          <t>13.04.2027</t>
        </is>
      </c>
      <c r="E5365" t="inlineStr">
        <is>
          <t>Vietnam</t>
        </is>
      </c>
    </row>
    <row r="5366">
      <c r="A5366" t="inlineStr">
        <is>
          <t>VCM Gesellschaft mbH,  Wien, Austria</t>
        </is>
      </c>
      <c r="B5366" t="inlineStr">
        <is>
          <t>Trader with Storage</t>
        </is>
      </c>
      <c r="C5366" t="inlineStr">
        <is>
          <t>SGS Germany GmbH, Emstek, DE</t>
        </is>
      </c>
      <c r="D5366" t="inlineStr">
        <is>
          <t>13.04.2027</t>
        </is>
      </c>
      <c r="E5366" t="inlineStr">
        <is>
          <t>Austria</t>
        </is>
      </c>
    </row>
    <row r="5367">
      <c r="A5367" t="inlineStr">
        <is>
          <t>Agro-Centrál Bt.,  Kaposvár, Hungary</t>
        </is>
      </c>
      <c r="B5367" t="inlineStr">
        <is>
          <t>First Gathering Point</t>
        </is>
      </c>
      <c r="C5367" t="inlineStr">
        <is>
          <t>SGS Germany GmbH, Emstek, DE</t>
        </is>
      </c>
      <c r="D5367" t="inlineStr">
        <is>
          <t>13.04.2027</t>
        </is>
      </c>
      <c r="E5367" t="inlineStr">
        <is>
          <t>Hungary</t>
        </is>
      </c>
    </row>
    <row r="5368">
      <c r="A5368" t="inlineStr">
        <is>
          <t>CHIMBUSCO KOREA CO., LTD.,  Gangnam-gu, Seoul, South Korea</t>
        </is>
      </c>
      <c r="B5368" t="inlineStr">
        <is>
          <t>Trader</t>
        </is>
      </c>
      <c r="C5368" t="inlineStr">
        <is>
          <t>Guardian Independent Certification Limited, Singapore, SG</t>
        </is>
      </c>
      <c r="D5368" t="inlineStr">
        <is>
          <t>13.04.2027</t>
        </is>
      </c>
      <c r="E5368" t="inlineStr">
        <is>
          <t>South Korea</t>
        </is>
      </c>
    </row>
    <row r="5369">
      <c r="A5369" t="inlineStr">
        <is>
          <t>PS Japan Corporation,  Bunkyo-ku, Tokyo, Japan</t>
        </is>
      </c>
      <c r="B5369" t="inlineStr">
        <is>
          <t>Trader</t>
        </is>
      </c>
      <c r="C5369" t="inlineStr">
        <is>
          <t>Trans Certification and Inspection Sdn Bhd, Kuantan, MY</t>
        </is>
      </c>
      <c r="D5369" t="inlineStr">
        <is>
          <t>13.04.2027</t>
        </is>
      </c>
      <c r="E5369" t="inlineStr">
        <is>
          <t>Japan</t>
        </is>
      </c>
    </row>
    <row r="5370">
      <c r="A5370" t="inlineStr">
        <is>
          <t>SILVALAC,  Sta. Margarida i els Monjos, Spain</t>
        </is>
      </c>
      <c r="B5370" t="inlineStr">
        <is>
          <t>Processing Unit</t>
        </is>
      </c>
      <c r="C5370" t="inlineStr">
        <is>
          <t>Amspec Iberia SL, Vilagarcia de Arousa-Pontevedra, ES</t>
        </is>
      </c>
      <c r="D5370" t="inlineStr">
        <is>
          <t>13.04.2027</t>
        </is>
      </c>
      <c r="E5370" t="inlineStr">
        <is>
          <t>Spain</t>
        </is>
      </c>
    </row>
    <row r="5371">
      <c r="A5371" t="inlineStr">
        <is>
          <t>Macresac,  La Selva del Camp, Spain</t>
        </is>
      </c>
      <c r="B5371" t="inlineStr">
        <is>
          <t>Processing Unit</t>
        </is>
      </c>
      <c r="C5371" t="inlineStr">
        <is>
          <t>Amspec Iberia SL, Vilagarcia de Arousa-Pontevedra, ES</t>
        </is>
      </c>
      <c r="D5371" t="inlineStr">
        <is>
          <t>13.04.2027</t>
        </is>
      </c>
      <c r="E5371" t="inlineStr">
        <is>
          <t>Spain</t>
        </is>
      </c>
    </row>
    <row r="5372">
      <c r="A5372" t="inlineStr">
        <is>
          <t>Guizhou Jinze New Energy Technology Co., ltd.,  Suiyang County, Zunyi City, China</t>
        </is>
      </c>
      <c r="B5372" t="inlineStr">
        <is>
          <t>Collecting Point, Processing Unit, Trader with Storage</t>
        </is>
      </c>
      <c r="C5372" t="inlineStr">
        <is>
          <t>SCS Global Services, Emeryville, CA, US</t>
        </is>
      </c>
      <c r="D5372" t="inlineStr">
        <is>
          <t>13.04.2027</t>
        </is>
      </c>
      <c r="E5372" t="inlineStr">
        <is>
          <t>China</t>
        </is>
      </c>
    </row>
    <row r="5373">
      <c r="A5373" t="inlineStr">
        <is>
          <t>DOBLE L BIOENERGIAS SA,  Sa Pereira, Argentina</t>
        </is>
      </c>
      <c r="B5373" t="inlineStr">
        <is>
          <t>Point of Origin, Processing Unit</t>
        </is>
      </c>
      <c r="C5373" t="inlineStr">
        <is>
          <t>Amspec Iberia SL, Vilagarcia de Arousa-Pontevedra, ES</t>
        </is>
      </c>
      <c r="D5373" t="inlineStr">
        <is>
          <t>13.04.2027</t>
        </is>
      </c>
      <c r="E5373" t="inlineStr">
        <is>
          <t>Argentina</t>
        </is>
      </c>
    </row>
    <row r="5374">
      <c r="A5374" t="inlineStr">
        <is>
          <t>Guizhou Jinze New Energy Technology Co., ltd.,  Suiyang County, Zunyi City, China</t>
        </is>
      </c>
      <c r="B5374" t="inlineStr">
        <is>
          <t>Collecting Point, Processing Unit, Trader with Storage</t>
        </is>
      </c>
      <c r="C5374" t="inlineStr">
        <is>
          <t>SCS Global Services, Emeryville, CA, US</t>
        </is>
      </c>
      <c r="D5374" t="inlineStr">
        <is>
          <t>13.04.2027</t>
        </is>
      </c>
      <c r="E5374" t="inlineStr">
        <is>
          <t>China</t>
        </is>
      </c>
    </row>
    <row r="5375">
      <c r="A5375" t="inlineStr">
        <is>
          <t>ETAR s.r.o.,  Zilina, Slovakia</t>
        </is>
      </c>
      <c r="B5375" t="inlineStr">
        <is>
          <t>Collecting Point, First Gathering Point, Processing Unit, Trader with Storage</t>
        </is>
      </c>
      <c r="C5375" t="inlineStr">
        <is>
          <t>United Registrar of Systems Polska Sp. z o.o., Wrocław, PL</t>
        </is>
      </c>
      <c r="D5375" t="inlineStr">
        <is>
          <t>13.04.2027</t>
        </is>
      </c>
      <c r="E5375" t="inlineStr">
        <is>
          <t>Slovakia</t>
        </is>
      </c>
    </row>
    <row r="5376">
      <c r="A5376" t="inlineStr">
        <is>
          <t>Wood Via, s.r.o.,  Poprad, Slovakia</t>
        </is>
      </c>
      <c r="B5376" t="inlineStr">
        <is>
          <t>Collecting Point, Processing Unit, Trader with Storage</t>
        </is>
      </c>
      <c r="C5376" t="inlineStr">
        <is>
          <t>United Registrar of Systems Polska Sp. z o.o., Wrocław, PL</t>
        </is>
      </c>
      <c r="D5376" t="inlineStr">
        <is>
          <t>13.04.2027</t>
        </is>
      </c>
      <c r="E5376" t="inlineStr">
        <is>
          <t>Slovakia</t>
        </is>
      </c>
    </row>
    <row r="5377">
      <c r="A5377" t="inlineStr">
        <is>
          <t>Linxiang Bozhou Environmental Technology Co., Ltd,  Linxiang City, Yueyang City, Hunan Province, China</t>
        </is>
      </c>
      <c r="B5377" t="inlineStr">
        <is>
          <t>Collecting Point, Processing Unit, Trader with Storage</t>
        </is>
      </c>
      <c r="C5377" t="inlineStr">
        <is>
          <t>RINA Services S.p.A., Genova, IT</t>
        </is>
      </c>
      <c r="D5377" t="inlineStr">
        <is>
          <t>13.04.2027</t>
        </is>
      </c>
      <c r="E5377" t="inlineStr">
        <is>
          <t>China</t>
        </is>
      </c>
    </row>
    <row r="5378">
      <c r="A5378" t="inlineStr">
        <is>
          <t>Yuanli Silicon Materials (Nanping) Co., Ltd.,  Luxia Town, Yanping District, Nanping City, China</t>
        </is>
      </c>
      <c r="B5378" t="inlineStr">
        <is>
          <t>Processing Unit</t>
        </is>
      </c>
      <c r="C5378" t="inlineStr">
        <is>
          <t>SGS Germany GmbH, Emstek, DE</t>
        </is>
      </c>
      <c r="D5378" t="inlineStr">
        <is>
          <t>13.04.2027</t>
        </is>
      </c>
      <c r="E5378" t="inlineStr">
        <is>
          <t>China</t>
        </is>
      </c>
    </row>
    <row r="5379">
      <c r="A5379" t="inlineStr">
        <is>
          <t>LLC “Dnepropetrovsk Mixed fodder Factory”,  Dnipro, Ukraine</t>
        </is>
      </c>
      <c r="B5379" t="inlineStr">
        <is>
          <t>First Gathering Point, Processing Unit</t>
        </is>
      </c>
      <c r="C5379" t="inlineStr">
        <is>
          <t>Aciter Genelab LLC, Odessa, UA</t>
        </is>
      </c>
      <c r="D5379" t="inlineStr">
        <is>
          <t>13.04.2027</t>
        </is>
      </c>
      <c r="E5379" t="inlineStr">
        <is>
          <t>Ukraine</t>
        </is>
      </c>
    </row>
    <row r="5380">
      <c r="A5380" t="inlineStr">
        <is>
          <t>Down to Earth Holdings,  Monroe, United States</t>
        </is>
      </c>
      <c r="B5380" t="inlineStr">
        <is>
          <t>Collecting Point</t>
        </is>
      </c>
      <c r="C5380" t="inlineStr">
        <is>
          <t>SCS Global Services, Emeryville, CA, US</t>
        </is>
      </c>
      <c r="D5380" t="inlineStr">
        <is>
          <t>13.04.2027</t>
        </is>
      </c>
      <c r="E5380" t="inlineStr">
        <is>
          <t>United States</t>
        </is>
      </c>
    </row>
    <row r="5381">
      <c r="A5381" t="inlineStr">
        <is>
          <t>SungJin Bio,  Yeoncheon-gun, South Korea</t>
        </is>
      </c>
      <c r="B5381" t="inlineStr">
        <is>
          <t>Point of Origin, Trader with Storage</t>
        </is>
      </c>
      <c r="C5381" t="inlineStr">
        <is>
          <t>Korean Foundation for Quality, Songpa-gu, Seoul, KR</t>
        </is>
      </c>
      <c r="D5381" t="inlineStr">
        <is>
          <t>13.04.2027</t>
        </is>
      </c>
      <c r="E5381" t="inlineStr">
        <is>
          <t>South Korea</t>
        </is>
      </c>
    </row>
    <row r="5382">
      <c r="A5382" t="inlineStr">
        <is>
          <t>Wipak Walsrode GmbH,  Walsrode, Germany</t>
        </is>
      </c>
      <c r="B5382" t="inlineStr">
        <is>
          <t>Processing Unit</t>
        </is>
      </c>
      <c r="C5382" t="inlineStr">
        <is>
          <t>DNV Business Assurance Sweden AB, Solna, SE</t>
        </is>
      </c>
      <c r="D5382" t="inlineStr">
        <is>
          <t>13.04.2027</t>
        </is>
      </c>
      <c r="E5382" t="inlineStr">
        <is>
          <t>Germany</t>
        </is>
      </c>
    </row>
    <row r="5383">
      <c r="A5383" t="inlineStr">
        <is>
          <t>Duon Dystrybucja,  Wysogotowo, Poland</t>
        </is>
      </c>
      <c r="B5383" t="inlineStr">
        <is>
          <t>Trader</t>
        </is>
      </c>
      <c r="C5383" t="inlineStr">
        <is>
          <t>Bureau Veritas Polska Sp. z o.o., Warsaw, PL</t>
        </is>
      </c>
      <c r="D5383" t="inlineStr">
        <is>
          <t>13.04.2027</t>
        </is>
      </c>
      <c r="E5383" t="inlineStr">
        <is>
          <t>Poland</t>
        </is>
      </c>
    </row>
    <row r="5384">
      <c r="A5384" t="inlineStr">
        <is>
          <t>ResInvest Commodities AG,  Zug, Switzerland</t>
        </is>
      </c>
      <c r="B5384" t="inlineStr">
        <is>
          <t>Trader</t>
        </is>
      </c>
      <c r="C5384" t="inlineStr">
        <is>
          <t>Control Union Poland Sp. z o.o., Zielona Gora, PL</t>
        </is>
      </c>
      <c r="D5384" t="inlineStr">
        <is>
          <t>13.04.2027</t>
        </is>
      </c>
      <c r="E5384" t="inlineStr">
        <is>
          <t>Switzerland</t>
        </is>
      </c>
    </row>
    <row r="5385">
      <c r="A5385" t="inlineStr">
        <is>
          <t>Reciner Energía, S.L.,  Olmedo, Valladolid, Spain</t>
        </is>
      </c>
      <c r="B5385" t="inlineStr">
        <is>
          <t>Collecting Point</t>
        </is>
      </c>
      <c r="C5385" t="inlineStr">
        <is>
          <t>Control Union Poland Sp. z o.o., Zielona Gora, PL</t>
        </is>
      </c>
      <c r="D5385" t="inlineStr">
        <is>
          <t>13.04.2027</t>
        </is>
      </c>
      <c r="E5385" t="inlineStr">
        <is>
          <t>Spain</t>
        </is>
      </c>
    </row>
    <row r="5386">
      <c r="A5386" t="inlineStr">
        <is>
          <t>Rizhao Lingyunhai Sugar Group Co., Ltd.,  Rizhao City (SD), China</t>
        </is>
      </c>
      <c r="B5386" t="inlineStr">
        <is>
          <t>Point of Origin</t>
        </is>
      </c>
      <c r="C5386" t="inlineStr">
        <is>
          <t>RINA Services S.p.A., Genova, IT</t>
        </is>
      </c>
      <c r="D5386" t="inlineStr">
        <is>
          <t>13.04.2027</t>
        </is>
      </c>
      <c r="E5386" t="inlineStr">
        <is>
          <t>China</t>
        </is>
      </c>
    </row>
    <row r="5387">
      <c r="A5387" t="inlineStr">
        <is>
          <t>ENI Natural Energies SpA - Sucursal Em Angola,  Luanda, Angola</t>
        </is>
      </c>
      <c r="B5387" t="inlineStr">
        <is>
          <t>Trader with Storage</t>
        </is>
      </c>
      <c r="C5387" t="inlineStr">
        <is>
          <t>RINA Services S.p.A., Genova, IT</t>
        </is>
      </c>
      <c r="D5387" t="inlineStr">
        <is>
          <t>13.04.2027</t>
        </is>
      </c>
      <c r="E5387" t="inlineStr">
        <is>
          <t>Angola</t>
        </is>
      </c>
    </row>
    <row r="5388">
      <c r="A5388" t="inlineStr">
        <is>
          <t>Idrotherm 2000,  Castelnuovo di Garfagnana (LU), Italy</t>
        </is>
      </c>
      <c r="B5388" t="inlineStr">
        <is>
          <t>Processing Unit</t>
        </is>
      </c>
      <c r="C5388" t="inlineStr">
        <is>
          <t>RINA Services S.p.A., Genova, IT</t>
        </is>
      </c>
      <c r="D5388" t="inlineStr">
        <is>
          <t>13.04.2027</t>
        </is>
      </c>
      <c r="E5388" t="inlineStr">
        <is>
          <t>Italy</t>
        </is>
      </c>
    </row>
    <row r="5389">
      <c r="A5389" t="inlineStr">
        <is>
          <t>M5 Company,  Danilovgrad, Montenegro</t>
        </is>
      </c>
      <c r="B5389" t="inlineStr">
        <is>
          <t>Collecting Point</t>
        </is>
      </c>
      <c r="C5389" t="inlineStr">
        <is>
          <t>Bureau Veritas Polska Sp. z o.o., Warsaw, PL</t>
        </is>
      </c>
      <c r="D5389" t="inlineStr">
        <is>
          <t>12.04.2027</t>
        </is>
      </c>
      <c r="E5389" t="inlineStr">
        <is>
          <t>Montenegro</t>
        </is>
      </c>
    </row>
    <row r="5390">
      <c r="A5390" t="inlineStr">
        <is>
          <t>DE LUCA BIOMASSE SRL,  CAPPELLA MAGGIORE, Italy</t>
        </is>
      </c>
      <c r="B5390" t="inlineStr">
        <is>
          <t>Collecting Point, First Gathering Point</t>
        </is>
      </c>
      <c r="C5390" t="inlineStr">
        <is>
          <t>RINA Services S.p.A., Genova, IT</t>
        </is>
      </c>
      <c r="D5390" t="inlineStr">
        <is>
          <t>12.04.2027</t>
        </is>
      </c>
      <c r="E5390" t="inlineStr">
        <is>
          <t>Italy</t>
        </is>
      </c>
    </row>
    <row r="5391">
      <c r="A5391" t="inlineStr">
        <is>
          <t>SD Guthrie Berhad,  Layang-Layang, Johor, Malaysia</t>
        </is>
      </c>
      <c r="B5391" t="inlineStr">
        <is>
          <t>Point of Origin</t>
        </is>
      </c>
      <c r="C5391" t="inlineStr">
        <is>
          <t>Control Union Certifications Germany GmbH, Berlin, DE</t>
        </is>
      </c>
      <c r="D5391" t="inlineStr">
        <is>
          <t>12.04.2027</t>
        </is>
      </c>
      <c r="E5391" t="inlineStr">
        <is>
          <t>Malaysia</t>
        </is>
      </c>
    </row>
    <row r="5392">
      <c r="A5392" t="inlineStr">
        <is>
          <t>I-LEGEND INTERNATIONAL COMPANY LIMITED,  San Po Kong, Kowloon, Hong Kong, Hong Kong, SAR, China</t>
        </is>
      </c>
      <c r="B5392" t="inlineStr">
        <is>
          <t>Trader</t>
        </is>
      </c>
      <c r="C5392" t="inlineStr">
        <is>
          <t>SCS Global Services, Emeryville, CA, US</t>
        </is>
      </c>
      <c r="D5392" t="inlineStr">
        <is>
          <t>12.04.2027</t>
        </is>
      </c>
      <c r="E5392" t="inlineStr">
        <is>
          <t>China</t>
        </is>
      </c>
    </row>
    <row r="5393">
      <c r="A5393" t="inlineStr">
        <is>
          <t>TETRA PAK CLOSURES SPAIN,  ALCALA DE GUADAIRA (SEVILLA), Spain</t>
        </is>
      </c>
      <c r="B5393" t="inlineStr">
        <is>
          <t>Processing Unit</t>
        </is>
      </c>
      <c r="C5393" t="inlineStr">
        <is>
          <t>SCS Global Services, Emeryville, CA, US</t>
        </is>
      </c>
      <c r="D5393" t="inlineStr">
        <is>
          <t>12.04.2027</t>
        </is>
      </c>
      <c r="E5393" t="inlineStr">
        <is>
          <t>Spain</t>
        </is>
      </c>
    </row>
    <row r="5394">
      <c r="A5394" t="inlineStr">
        <is>
          <t>Rich Diligent Limited,  KOWLOON, Hong Kong</t>
        </is>
      </c>
      <c r="B5394" t="inlineStr">
        <is>
          <t>Trader</t>
        </is>
      </c>
      <c r="C5394" t="inlineStr">
        <is>
          <t>China Quality Certification Centre Co., Ltd., Beijing, CN</t>
        </is>
      </c>
      <c r="D5394" t="inlineStr">
        <is>
          <t>12.04.2027</t>
        </is>
      </c>
      <c r="E5394" t="inlineStr">
        <is>
          <t>Hong Kong</t>
        </is>
      </c>
    </row>
    <row r="5395">
      <c r="A5395" t="inlineStr">
        <is>
          <t>Shell Nederland Verkoopmaatschappij,  Rotterdam, Netherlands</t>
        </is>
      </c>
      <c r="B5395" t="inlineStr">
        <is>
          <t>Trader with Storage, Proof of Compliance Trader</t>
        </is>
      </c>
      <c r="C5395" t="inlineStr">
        <is>
          <t>Normec QS BV, Ede, NL</t>
        </is>
      </c>
      <c r="D5395" t="inlineStr">
        <is>
          <t>12.04.2027</t>
        </is>
      </c>
      <c r="E5395" t="inlineStr">
        <is>
          <t>Netherlands</t>
        </is>
      </c>
    </row>
    <row r="5396">
      <c r="A5396" t="inlineStr">
        <is>
          <t>Shell Nederland Raffinaderij,  Rotterdam, Netherlands</t>
        </is>
      </c>
      <c r="B5396" t="inlineStr">
        <is>
          <t>Trader with Storage</t>
        </is>
      </c>
      <c r="C5396" t="inlineStr">
        <is>
          <t>Normec QS BV, Ede, NL</t>
        </is>
      </c>
      <c r="D5396" t="inlineStr">
        <is>
          <t>12.04.2027</t>
        </is>
      </c>
      <c r="E5396" t="inlineStr">
        <is>
          <t>Netherlands</t>
        </is>
      </c>
    </row>
    <row r="5397">
      <c r="A5397" t="inlineStr">
        <is>
          <t>Americas Styrenics (AmSty),  Torrance, California, United States</t>
        </is>
      </c>
      <c r="B5397" t="inlineStr">
        <is>
          <t>Point of Origin, Processing Unit, Trader with Storage</t>
        </is>
      </c>
      <c r="C5397" t="inlineStr">
        <is>
          <t>DQS CFS GmbH - Deutsche Gesellschaft für Nachhaltigkeit, Frankfurt am Main, DE</t>
        </is>
      </c>
      <c r="D5397" t="inlineStr">
        <is>
          <t>12.04.2027</t>
        </is>
      </c>
      <c r="E5397" t="inlineStr">
        <is>
          <t>United States</t>
        </is>
      </c>
    </row>
    <row r="5398">
      <c r="A5398" t="inlineStr">
        <is>
          <t>Dow Chemical Pacific (Singapore) Private Limited,  THE HEEREN, Singapore</t>
        </is>
      </c>
      <c r="B5398" t="inlineStr">
        <is>
          <t>Trader with Storage</t>
        </is>
      </c>
      <c r="C5398" t="inlineStr">
        <is>
          <t>SGS Germany GmbH, Emstek, DE</t>
        </is>
      </c>
      <c r="D5398" t="inlineStr">
        <is>
          <t>12.04.2027</t>
        </is>
      </c>
      <c r="E5398" t="inlineStr">
        <is>
          <t>Singapore</t>
        </is>
      </c>
    </row>
    <row r="5399">
      <c r="A5399" t="inlineStr">
        <is>
          <t>Neste Eesti AS,  Tallinn, Estonia</t>
        </is>
      </c>
      <c r="B5399" t="inlineStr">
        <is>
          <t>Trader</t>
        </is>
      </c>
      <c r="C5399" t="inlineStr">
        <is>
          <t>SGS Germany GmbH, Emstek, DE</t>
        </is>
      </c>
      <c r="D5399" t="inlineStr">
        <is>
          <t>12.04.2027</t>
        </is>
      </c>
      <c r="E5399" t="inlineStr">
        <is>
          <t>Estonia</t>
        </is>
      </c>
    </row>
    <row r="5400">
      <c r="A5400" t="inlineStr">
        <is>
          <t>SIA Neste Latvija,  Riga, Latvia</t>
        </is>
      </c>
      <c r="B5400" t="inlineStr">
        <is>
          <t>Trader</t>
        </is>
      </c>
      <c r="C5400" t="inlineStr">
        <is>
          <t>SGS Germany GmbH, Emstek, DE</t>
        </is>
      </c>
      <c r="D5400" t="inlineStr">
        <is>
          <t>12.04.2027</t>
        </is>
      </c>
      <c r="E5400" t="inlineStr">
        <is>
          <t>Latvia</t>
        </is>
      </c>
    </row>
    <row r="5401">
      <c r="A5401" t="inlineStr">
        <is>
          <t>Viscofan Canada,  ville St Laurent, Quebec, Canada</t>
        </is>
      </c>
      <c r="B5401" t="inlineStr">
        <is>
          <t>Trader with Storage</t>
        </is>
      </c>
      <c r="C5401" t="inlineStr">
        <is>
          <t>SGS Germany GmbH, Emstek, DE</t>
        </is>
      </c>
      <c r="D5401" t="inlineStr">
        <is>
          <t>12.04.2027</t>
        </is>
      </c>
      <c r="E5401" t="inlineStr">
        <is>
          <t>Canada</t>
        </is>
      </c>
    </row>
    <row r="5402">
      <c r="A5402" t="inlineStr">
        <is>
          <t>Zhoukou Chengzhi Biomass Energy Co., Ltd.,  Zhoukou City, Henan Province, China</t>
        </is>
      </c>
      <c r="B5402" t="inlineStr">
        <is>
          <t>Collecting Point, Processing Unit</t>
        </is>
      </c>
      <c r="C5402" t="inlineStr">
        <is>
          <t>SCS Global Services, Emeryville, CA, US</t>
        </is>
      </c>
      <c r="D5402" t="inlineStr">
        <is>
          <t>12.04.2027</t>
        </is>
      </c>
      <c r="E5402" t="inlineStr">
        <is>
          <t>China</t>
        </is>
      </c>
    </row>
    <row r="5403">
      <c r="A5403" t="inlineStr">
        <is>
          <t>Glory International Commercial Co., Limited,  CENTRAL HK., Hong Kong, SAR, China</t>
        </is>
      </c>
      <c r="B5403" t="inlineStr">
        <is>
          <t>Trader</t>
        </is>
      </c>
      <c r="C5403" t="inlineStr">
        <is>
          <t>PT Intertek Utama Services, Jakarta, ID</t>
        </is>
      </c>
      <c r="D5403" t="inlineStr">
        <is>
          <t>12.04.2027</t>
        </is>
      </c>
      <c r="E5403" t="inlineStr">
        <is>
          <t>China</t>
        </is>
      </c>
    </row>
    <row r="5404">
      <c r="A5404" t="inlineStr">
        <is>
          <t>Overseas Energies SL,  Tarragona, Spain</t>
        </is>
      </c>
      <c r="B5404" t="inlineStr">
        <is>
          <t>Trader</t>
        </is>
      </c>
      <c r="C5404" t="inlineStr">
        <is>
          <t>Amspec Iberia SL, Vilagarcia de Arousa-Pontevedra, ES</t>
        </is>
      </c>
      <c r="D5404" t="inlineStr">
        <is>
          <t>12.04.2027</t>
        </is>
      </c>
      <c r="E5404" t="inlineStr">
        <is>
          <t>Spain</t>
        </is>
      </c>
    </row>
    <row r="5405">
      <c r="A5405" t="inlineStr">
        <is>
          <t>Thai Nakatani Co., Ltd.,  North Klongtoey, Wattana, Bangkok, Thailand</t>
        </is>
      </c>
      <c r="B5405" t="inlineStr">
        <is>
          <t>Trader</t>
        </is>
      </c>
      <c r="C5405" t="inlineStr">
        <is>
          <t>SGS Germany GmbH, Emstek, DE</t>
        </is>
      </c>
      <c r="D5405" t="inlineStr">
        <is>
          <t>12.04.2027</t>
        </is>
      </c>
      <c r="E5405" t="inlineStr">
        <is>
          <t>Thailand</t>
        </is>
      </c>
    </row>
    <row r="5406">
      <c r="A5406" t="inlineStr">
        <is>
          <t>NORTH SEA TANK STORAGE,  kaai 102, Brugge, Belgium</t>
        </is>
      </c>
      <c r="B5406" t="inlineStr">
        <is>
          <t>Warehouse</t>
        </is>
      </c>
      <c r="C5406" t="inlineStr">
        <is>
          <t>Control Union Poland Sp. z o.o., Zielona Gora, PL</t>
        </is>
      </c>
      <c r="D5406" t="inlineStr">
        <is>
          <t>12.04.2027</t>
        </is>
      </c>
      <c r="E5406" t="inlineStr">
        <is>
          <t>Belgium</t>
        </is>
      </c>
    </row>
    <row r="5407">
      <c r="A5407" t="inlineStr">
        <is>
          <t>THY OPET HAVACILIK YAKITLARI ANONİM ŞİRKETİ,  İZMİR, Turkey</t>
        </is>
      </c>
      <c r="B5407" t="inlineStr">
        <is>
          <t>Trader with Storage, Warehouse</t>
        </is>
      </c>
      <c r="C5407" t="inlineStr">
        <is>
          <t>BM Certification, Riga, LV</t>
        </is>
      </c>
      <c r="D5407" t="inlineStr">
        <is>
          <t>12.04.2027</t>
        </is>
      </c>
      <c r="E5407" t="inlineStr">
        <is>
          <t>Turkey</t>
        </is>
      </c>
    </row>
    <row r="5408">
      <c r="A5408" t="inlineStr">
        <is>
          <t>THY OPET HAVACILIK YAKITLARI ANONİM ŞİRKETİ,  İZMİR, Turkey</t>
        </is>
      </c>
      <c r="B5408" t="inlineStr">
        <is>
          <t>Proof of Compliance Trader, Trader with Storage, Warehouse</t>
        </is>
      </c>
      <c r="C5408" t="inlineStr">
        <is>
          <t>BM Certification, Riga, LV</t>
        </is>
      </c>
      <c r="D5408" t="inlineStr">
        <is>
          <t>12.04.2027</t>
        </is>
      </c>
      <c r="E5408" t="inlineStr">
        <is>
          <t>Turkey</t>
        </is>
      </c>
    </row>
    <row r="5409">
      <c r="A5409" t="inlineStr">
        <is>
          <t>THY OPET HAVACILIK YAKITLARI ANONİM ŞİRKETİ,  İSTANBUL, Turkey</t>
        </is>
      </c>
      <c r="B5409" t="inlineStr">
        <is>
          <t>Proof of Compliance Trader, Trader with Storage, Warehouse</t>
        </is>
      </c>
      <c r="C5409" t="inlineStr">
        <is>
          <t>BM Certification, Riga, LV</t>
        </is>
      </c>
      <c r="D5409" t="inlineStr">
        <is>
          <t>12.04.2027</t>
        </is>
      </c>
      <c r="E5409" t="inlineStr">
        <is>
          <t>Turkey</t>
        </is>
      </c>
    </row>
    <row r="5410">
      <c r="A5410" t="inlineStr">
        <is>
          <t>THY OPET HAVACILIK YAKITLARI ANONİM ŞİRKETİ,  İSTANBUL, Turkey</t>
        </is>
      </c>
      <c r="B5410" t="inlineStr">
        <is>
          <t>Trader with Storage, Warehouse</t>
        </is>
      </c>
      <c r="C5410" t="inlineStr">
        <is>
          <t>BM Certification, Riga, LV</t>
        </is>
      </c>
      <c r="D5410" t="inlineStr">
        <is>
          <t>12.04.2027</t>
        </is>
      </c>
      <c r="E5410" t="inlineStr">
        <is>
          <t>Turkey</t>
        </is>
      </c>
    </row>
    <row r="5411">
      <c r="A5411" t="inlineStr">
        <is>
          <t>Tampieri Hungária Zrt.,  Budapest, Hungary</t>
        </is>
      </c>
      <c r="B5411" t="inlineStr">
        <is>
          <t>First Gathering Point</t>
        </is>
      </c>
      <c r="C5411" t="inlineStr">
        <is>
          <t>Amspec Iberia SL, Vilagarcia de Arousa-Pontevedra, ES</t>
        </is>
      </c>
      <c r="D5411" t="inlineStr">
        <is>
          <t>12.04.2027</t>
        </is>
      </c>
      <c r="E5411" t="inlineStr">
        <is>
          <t>Hungary</t>
        </is>
      </c>
    </row>
    <row r="5412">
      <c r="A5412" t="inlineStr">
        <is>
          <t>Ororo Waste Management,  Lagos, Nigeria</t>
        </is>
      </c>
      <c r="B5412" t="inlineStr">
        <is>
          <t>Collecting Point, Trader</t>
        </is>
      </c>
      <c r="C5412" t="inlineStr">
        <is>
          <t>BM Certification, Riga, LV</t>
        </is>
      </c>
      <c r="D5412" t="inlineStr">
        <is>
          <t>12.04.2027</t>
        </is>
      </c>
      <c r="E5412" t="inlineStr">
        <is>
          <t>Nigeria</t>
        </is>
      </c>
    </row>
    <row r="5413">
      <c r="A5413" t="inlineStr">
        <is>
          <t>Repsol Lubricantes Y Especialidades, S.A.,  Madrid, Spain</t>
        </is>
      </c>
      <c r="B5413" t="inlineStr">
        <is>
          <t>Trader with Storage</t>
        </is>
      </c>
      <c r="C5413" t="inlineStr">
        <is>
          <t>Control Union Poland Sp. z o.o., Zielona Gora, PL</t>
        </is>
      </c>
      <c r="D5413" t="inlineStr">
        <is>
          <t>12.04.2027</t>
        </is>
      </c>
      <c r="E5413" t="inlineStr">
        <is>
          <t>Spain</t>
        </is>
      </c>
    </row>
    <row r="5414">
      <c r="A5414" t="inlineStr">
        <is>
          <t>Ekogiria,  Mazeikiai, Lithuania</t>
        </is>
      </c>
      <c r="B5414" t="inlineStr">
        <is>
          <t>Collecting Point, First Gathering Point, Processing Unit, Trader with Storage</t>
        </is>
      </c>
      <c r="C5414" t="inlineStr">
        <is>
          <t>BM Certification, Riga, LV</t>
        </is>
      </c>
      <c r="D5414" t="inlineStr">
        <is>
          <t>12.04.2027</t>
        </is>
      </c>
      <c r="E5414" t="inlineStr">
        <is>
          <t>Lithuania</t>
        </is>
      </c>
    </row>
    <row r="5415">
      <c r="A5415" t="inlineStr">
        <is>
          <t>KENOIL MARINE SERVICES PTE LTD,  SINGAPORE, Singapore</t>
        </is>
      </c>
      <c r="B5415" t="inlineStr">
        <is>
          <t>Trader</t>
        </is>
      </c>
      <c r="C5415" t="inlineStr">
        <is>
          <t>RINA Services S.p.A., Genova, IT</t>
        </is>
      </c>
      <c r="D5415" t="inlineStr">
        <is>
          <t>12.04.2027</t>
        </is>
      </c>
      <c r="E5415" t="inlineStr">
        <is>
          <t>Singapore</t>
        </is>
      </c>
    </row>
    <row r="5416">
      <c r="A5416" t="inlineStr">
        <is>
          <t>Grain Agro Group, s.r.o.,  Šternberk, Czech Republic</t>
        </is>
      </c>
      <c r="B5416" t="inlineStr">
        <is>
          <t>First Gathering Point, Trader</t>
        </is>
      </c>
      <c r="C5416" t="inlineStr">
        <is>
          <t>Bureau Veritas Polska Sp. z o.o., Warsaw, PL</t>
        </is>
      </c>
      <c r="D5416" t="inlineStr">
        <is>
          <t>12.04.2027</t>
        </is>
      </c>
      <c r="E5416" t="inlineStr">
        <is>
          <t>Czech Republic</t>
        </is>
      </c>
    </row>
    <row r="5417">
      <c r="A5417" t="inlineStr">
        <is>
          <t>St1 Biokraft Mönsterås AB,  Fliseryd, Sweden</t>
        </is>
      </c>
      <c r="B5417" t="inlineStr">
        <is>
          <t>Collecting Point, Processing Unit</t>
        </is>
      </c>
      <c r="C5417" t="inlineStr">
        <is>
          <t>DEKRA Certification B.V., Arnhem, NL</t>
        </is>
      </c>
      <c r="D5417" t="inlineStr">
        <is>
          <t>12.04.2027</t>
        </is>
      </c>
      <c r="E5417" t="inlineStr">
        <is>
          <t>Sweden</t>
        </is>
      </c>
    </row>
    <row r="5418">
      <c r="A5418" t="inlineStr">
        <is>
          <t>Dutch Glycerin Refinery B.V.,  Farmsum, Netherlands</t>
        </is>
      </c>
      <c r="B5418" t="inlineStr">
        <is>
          <t>Point of Origin, Processing Unit</t>
        </is>
      </c>
      <c r="C5418" t="inlineStr">
        <is>
          <t>Control Union Certifications Germany GmbH, Berlin, DE</t>
        </is>
      </c>
      <c r="D5418" t="inlineStr">
        <is>
          <t>12.04.2027</t>
        </is>
      </c>
      <c r="E5418" t="inlineStr">
        <is>
          <t>Netherlands</t>
        </is>
      </c>
    </row>
    <row r="5419">
      <c r="A5419" t="inlineStr">
        <is>
          <t>NAUTILUS AVIATION,  Palermo, Italy</t>
        </is>
      </c>
      <c r="B5419" t="inlineStr">
        <is>
          <t>Proof of Compliance Trader, Trader with Storage</t>
        </is>
      </c>
      <c r="C5419" t="inlineStr">
        <is>
          <t>SGS Germany GmbH, Emstek, DE</t>
        </is>
      </c>
      <c r="D5419" t="inlineStr">
        <is>
          <t>12.04.2027</t>
        </is>
      </c>
      <c r="E5419" t="inlineStr">
        <is>
          <t>Italy</t>
        </is>
      </c>
    </row>
    <row r="5420">
      <c r="A5420" t="inlineStr">
        <is>
          <t>Intexur (Industria Transformadora Extremeña del Sur),  Higuera la Real, Spain</t>
        </is>
      </c>
      <c r="B5420" t="inlineStr">
        <is>
          <t>Point of Origin, Trader with Storage</t>
        </is>
      </c>
      <c r="C5420" t="inlineStr">
        <is>
          <t>SGS Germany GmbH, Emstek, DE</t>
        </is>
      </c>
      <c r="D5420" t="inlineStr">
        <is>
          <t>12.04.2027</t>
        </is>
      </c>
      <c r="E5420" t="inlineStr">
        <is>
          <t>Spain</t>
        </is>
      </c>
    </row>
    <row r="5421">
      <c r="A5421" t="inlineStr">
        <is>
          <t>Tiekesta,  Vilnius, Lithuania</t>
        </is>
      </c>
      <c r="B5421" t="inlineStr">
        <is>
          <t>Collecting Point, First Gathering Point, Trader with Storage</t>
        </is>
      </c>
      <c r="C5421" t="inlineStr">
        <is>
          <t>Bureau Veritas Polska Sp. z o.o., Warsaw, PL</t>
        </is>
      </c>
      <c r="D5421" t="inlineStr">
        <is>
          <t>12.04.2027</t>
        </is>
      </c>
      <c r="E5421" t="inlineStr">
        <is>
          <t>Lithuania</t>
        </is>
      </c>
    </row>
    <row r="5422">
      <c r="A5422" t="inlineStr">
        <is>
          <t>PORT KLANG PORT RECEPTION FACILITY SDN BHD,  Pulau Indah, Malaysia</t>
        </is>
      </c>
      <c r="B5422" t="inlineStr">
        <is>
          <t>Processing Unit, Point of Origin, Trader with Storage</t>
        </is>
      </c>
      <c r="C5422" t="inlineStr">
        <is>
          <t>Control Union Poland Sp. z o.o., Zielona Gora, PL</t>
        </is>
      </c>
      <c r="D5422" t="inlineStr">
        <is>
          <t>12.04.2027</t>
        </is>
      </c>
      <c r="E5422" t="inlineStr">
        <is>
          <t>Malaysia</t>
        </is>
      </c>
    </row>
    <row r="5423">
      <c r="A5423" t="inlineStr">
        <is>
          <t>Techno Waxchem Private Limited,  PO- Bighati, PS Bhadreswar, Hooghly, India</t>
        </is>
      </c>
      <c r="B5423" t="inlineStr">
        <is>
          <t>Processing Unit</t>
        </is>
      </c>
      <c r="C5423" t="inlineStr">
        <is>
          <t>Cotecna India Inspection Pvt Ltd, Kolkata, IN</t>
        </is>
      </c>
      <c r="D5423" t="inlineStr">
        <is>
          <t>11.04.2027</t>
        </is>
      </c>
      <c r="E5423" t="inlineStr">
        <is>
          <t>India</t>
        </is>
      </c>
    </row>
    <row r="5424">
      <c r="A5424" t="inlineStr">
        <is>
          <t>SD Guthrie Berhad,  Mukim Rompin, Bahau, Malaysia</t>
        </is>
      </c>
      <c r="B5424" t="inlineStr">
        <is>
          <t>Point of Origin</t>
        </is>
      </c>
      <c r="C5424" t="inlineStr">
        <is>
          <t>Control Union Certifications Germany GmbH, Berlin, DE</t>
        </is>
      </c>
      <c r="D5424" t="inlineStr">
        <is>
          <t>11.04.2027</t>
        </is>
      </c>
      <c r="E5424" t="inlineStr">
        <is>
          <t>Malaysia</t>
        </is>
      </c>
    </row>
    <row r="5425">
      <c r="A5425" t="inlineStr">
        <is>
          <t>HD Hyundai Oilbank,  Seosan-si, Chungcheongnam-do, Korea, Republic of</t>
        </is>
      </c>
      <c r="B5425" t="inlineStr">
        <is>
          <t>Processing Unit</t>
        </is>
      </c>
      <c r="C5425" t="inlineStr">
        <is>
          <t>Control Union Certifications Germany GmbH, Berlin, DE</t>
        </is>
      </c>
      <c r="D5425" t="inlineStr">
        <is>
          <t>11.04.2027</t>
        </is>
      </c>
      <c r="E5425" t="inlineStr">
        <is>
          <t>Republic of</t>
        </is>
      </c>
    </row>
    <row r="5426">
      <c r="A5426" t="inlineStr">
        <is>
          <t>BEL AGRI SRL,  Candela, Italy</t>
        </is>
      </c>
      <c r="B5426" t="inlineStr">
        <is>
          <t>Collecting Point, Processing Unit</t>
        </is>
      </c>
      <c r="C5426" t="inlineStr">
        <is>
          <t>RINA Services S.p.A., Genova, IT</t>
        </is>
      </c>
      <c r="D5426" t="inlineStr">
        <is>
          <t>11.04.2027</t>
        </is>
      </c>
      <c r="E5426" t="inlineStr">
        <is>
          <t>Italy</t>
        </is>
      </c>
    </row>
    <row r="5427">
      <c r="A5427" t="inlineStr">
        <is>
          <t>ZETEN spol. s r.o.,  Blovice, Czech Republic</t>
        </is>
      </c>
      <c r="B5427" t="inlineStr">
        <is>
          <t>First Gathering Point, Trader with Storage, Warehouse</t>
        </is>
      </c>
      <c r="C5427" t="inlineStr">
        <is>
          <t>Bureau Veritas Polska Sp. z o.o., Warsaw, PL</t>
        </is>
      </c>
      <c r="D5427" t="inlineStr">
        <is>
          <t>11.04.2027</t>
        </is>
      </c>
      <c r="E5427" t="inlineStr">
        <is>
          <t>Czech Republic</t>
        </is>
      </c>
    </row>
    <row r="5428">
      <c r="A5428" t="inlineStr">
        <is>
          <t>Hambár Kft.,  Jánoshalma, Hungary</t>
        </is>
      </c>
      <c r="B5428" t="inlineStr">
        <is>
          <t>First Gathering Point, Trader with Storage</t>
        </is>
      </c>
      <c r="C5428" t="inlineStr">
        <is>
          <t>Amspec Iberia SL, Vilagarcia de Arousa-Pontevedra, ES</t>
        </is>
      </c>
      <c r="D5428" t="inlineStr">
        <is>
          <t>11.04.2027</t>
        </is>
      </c>
      <c r="E5428" t="inlineStr">
        <is>
          <t>Hungary</t>
        </is>
      </c>
    </row>
    <row r="5429">
      <c r="A5429" t="inlineStr">
        <is>
          <t>Barázda - Input Kereskedelmi Kft.,  Mohács, Hungary</t>
        </is>
      </c>
      <c r="B5429" t="inlineStr">
        <is>
          <t>First Gathering Point, Trader with Storage</t>
        </is>
      </c>
      <c r="C5429" t="inlineStr">
        <is>
          <t>BM Certification, Riga, LV</t>
        </is>
      </c>
      <c r="D5429" t="inlineStr">
        <is>
          <t>11.04.2027</t>
        </is>
      </c>
      <c r="E5429" t="inlineStr">
        <is>
          <t>Hungary</t>
        </is>
      </c>
    </row>
    <row r="5430">
      <c r="A5430" t="inlineStr">
        <is>
          <t>PT Cahaya Bintang Sawit Sejati Petangis,  Kabupaten Paser, Provinsi Kalimantan Timur, Indonesia</t>
        </is>
      </c>
      <c r="B5430" t="inlineStr">
        <is>
          <t>Point of Origin</t>
        </is>
      </c>
      <c r="C5430" t="inlineStr">
        <is>
          <t>PT. Qualitas Sertifikasi Indonesia, Jakarta, ID</t>
        </is>
      </c>
      <c r="D5430" t="inlineStr">
        <is>
          <t>11.04.2027</t>
        </is>
      </c>
      <c r="E5430" t="inlineStr">
        <is>
          <t>Indonesia</t>
        </is>
      </c>
    </row>
    <row r="5431">
      <c r="A5431" t="inlineStr">
        <is>
          <t>PT Cahaya Bintang Sawit Sejati Petangis,  Kabupaten Paser, Provinsi Kalimantan Timur, Indonesia</t>
        </is>
      </c>
      <c r="B5431" t="inlineStr">
        <is>
          <t>Point of Origin</t>
        </is>
      </c>
      <c r="C5431" t="inlineStr">
        <is>
          <t>PT. Qualitas Sertifikasi Indonesia, Jakarta, ID</t>
        </is>
      </c>
      <c r="D5431" t="inlineStr">
        <is>
          <t>11.04.2027</t>
        </is>
      </c>
      <c r="E5431" t="inlineStr">
        <is>
          <t>Indonesia</t>
        </is>
      </c>
    </row>
    <row r="5432">
      <c r="A5432" t="inlineStr">
        <is>
          <t>PT Cahaya Bintang Sawit Sejati,  Kabupaten Paser, Provinsi Kalimantan Timur, Indonesia</t>
        </is>
      </c>
      <c r="B5432" t="inlineStr">
        <is>
          <t>Point of Origin</t>
        </is>
      </c>
      <c r="C5432" t="inlineStr">
        <is>
          <t>PT. Qualitas Sertifikasi Indonesia, Jakarta, ID</t>
        </is>
      </c>
      <c r="D5432" t="inlineStr">
        <is>
          <t>11.04.2027</t>
        </is>
      </c>
      <c r="E5432" t="inlineStr">
        <is>
          <t>Indonesia</t>
        </is>
      </c>
    </row>
    <row r="5433">
      <c r="A5433" t="inlineStr">
        <is>
          <t>PT Cahaya Bintang Sawit Sejati,  Kabupaten Paser, Provinsi Kalimantan Timur, Indonesia</t>
        </is>
      </c>
      <c r="B5433" t="inlineStr">
        <is>
          <t>Point of Origin</t>
        </is>
      </c>
      <c r="C5433" t="inlineStr">
        <is>
          <t>PT. Qualitas Sertifikasi Indonesia, Jakarta, ID</t>
        </is>
      </c>
      <c r="D5433" t="inlineStr">
        <is>
          <t>11.04.2027</t>
        </is>
      </c>
      <c r="E5433" t="inlineStr">
        <is>
          <t>Indonesia</t>
        </is>
      </c>
    </row>
    <row r="5434">
      <c r="A5434" t="inlineStr">
        <is>
          <t>GS Caltex Singapore Pte Ltd,  Singapore, Singapore</t>
        </is>
      </c>
      <c r="B5434" t="inlineStr">
        <is>
          <t>Trader</t>
        </is>
      </c>
      <c r="C5434" t="inlineStr">
        <is>
          <t>Control Union Certifications Germany GmbH, Berlin, DE</t>
        </is>
      </c>
      <c r="D5434" t="inlineStr">
        <is>
          <t>11.04.2027</t>
        </is>
      </c>
      <c r="E5434" t="inlineStr">
        <is>
          <t>Singapore</t>
        </is>
      </c>
    </row>
    <row r="5435">
      <c r="A5435" t="inlineStr">
        <is>
          <t>GS Caltex Singapore Pte Ltd,  Singapore, Singapore</t>
        </is>
      </c>
      <c r="B5435" t="inlineStr">
        <is>
          <t>Trader</t>
        </is>
      </c>
      <c r="C5435" t="inlineStr">
        <is>
          <t>Control Union Certifications Germany GmbH, Berlin, DE</t>
        </is>
      </c>
      <c r="D5435" t="inlineStr">
        <is>
          <t>11.04.2027</t>
        </is>
      </c>
      <c r="E5435" t="inlineStr">
        <is>
          <t>Singapore</t>
        </is>
      </c>
    </row>
    <row r="5436">
      <c r="A5436" t="inlineStr">
        <is>
          <t>GS Caltex Singapore Pte Ltd,  Singapore, Singapore</t>
        </is>
      </c>
      <c r="B5436" t="inlineStr">
        <is>
          <t>Trader</t>
        </is>
      </c>
      <c r="C5436" t="inlineStr">
        <is>
          <t>Control Union Certifications Germany GmbH, Berlin, DE</t>
        </is>
      </c>
      <c r="D5436" t="inlineStr">
        <is>
          <t>11.04.2027</t>
        </is>
      </c>
      <c r="E5436" t="inlineStr">
        <is>
          <t>Singapore</t>
        </is>
      </c>
    </row>
    <row r="5437">
      <c r="A5437" t="inlineStr">
        <is>
          <t>Karád Agrár Kft.,  Sárospatak, Hungary</t>
        </is>
      </c>
      <c r="B5437" t="inlineStr">
        <is>
          <t>First Gathering Point, Trader with Storage</t>
        </is>
      </c>
      <c r="C5437" t="inlineStr">
        <is>
          <t>BM Certification, Riga, LV</t>
        </is>
      </c>
      <c r="D5437" t="inlineStr">
        <is>
          <t>11.04.2027</t>
        </is>
      </c>
      <c r="E5437" t="inlineStr">
        <is>
          <t>Hungary</t>
        </is>
      </c>
    </row>
    <row r="5438">
      <c r="A5438" t="inlineStr">
        <is>
          <t>Coveris Extrusion Germany GmbH &amp; Co. KG,  Halle West., Germany</t>
        </is>
      </c>
      <c r="B5438" t="inlineStr">
        <is>
          <t>Processing Unit</t>
        </is>
      </c>
      <c r="C5438" t="inlineStr">
        <is>
          <t>SGS Germany GmbH, Emstek, DE</t>
        </is>
      </c>
      <c r="D5438" t="inlineStr">
        <is>
          <t>11.04.2027</t>
        </is>
      </c>
      <c r="E5438" t="inlineStr">
        <is>
          <t>Germany</t>
        </is>
      </c>
    </row>
    <row r="5439">
      <c r="A5439" t="inlineStr">
        <is>
          <t>Coveris Flexibles Deutschland GmbH,  Halle (Westfalen), Germany</t>
        </is>
      </c>
      <c r="B5439" t="inlineStr">
        <is>
          <t>Processing Unit</t>
        </is>
      </c>
      <c r="C5439" t="inlineStr">
        <is>
          <t>SGS Germany GmbH, Emstek, DE</t>
        </is>
      </c>
      <c r="D5439" t="inlineStr">
        <is>
          <t>11.04.2027</t>
        </is>
      </c>
      <c r="E5439" t="inlineStr">
        <is>
          <t>Germany</t>
        </is>
      </c>
    </row>
    <row r="5440">
      <c r="A5440" t="inlineStr">
        <is>
          <t>Mitsubishi Chemical Corporation,  Nagoya-shi, Aichi, Japan</t>
        </is>
      </c>
      <c r="B5440" t="inlineStr">
        <is>
          <t>Trader with Storage</t>
        </is>
      </c>
      <c r="C5440" t="inlineStr">
        <is>
          <t>SGS Germany GmbH, Emstek, DE</t>
        </is>
      </c>
      <c r="D5440" t="inlineStr">
        <is>
          <t>11.04.2027</t>
        </is>
      </c>
      <c r="E5440" t="inlineStr">
        <is>
          <t>Japan</t>
        </is>
      </c>
    </row>
    <row r="5441">
      <c r="A5441" t="inlineStr">
        <is>
          <t>Zakład Rolniczo - Przemysłowy "Farmutil Hs",  Smilowo, Poland</t>
        </is>
      </c>
      <c r="B5441" t="inlineStr">
        <is>
          <t>Point of Origin, Trader with Storage</t>
        </is>
      </c>
      <c r="C5441" t="inlineStr">
        <is>
          <t>SGS Germany GmbH, Emstek, DE</t>
        </is>
      </c>
      <c r="D5441" t="inlineStr">
        <is>
          <t>11.04.2027</t>
        </is>
      </c>
      <c r="E5441" t="inlineStr">
        <is>
          <t>Poland</t>
        </is>
      </c>
    </row>
    <row r="5442">
      <c r="A5442" t="inlineStr">
        <is>
          <t>Körösladányi Agrár Kft.,  Kőrösladány, Hungary</t>
        </is>
      </c>
      <c r="B5442" t="inlineStr">
        <is>
          <t>First Gathering Point</t>
        </is>
      </c>
      <c r="C5442" t="inlineStr">
        <is>
          <t>Amspec Iberia SL, Vilagarcia de Arousa-Pontevedra, ES</t>
        </is>
      </c>
      <c r="D5442" t="inlineStr">
        <is>
          <t>11.04.2027</t>
        </is>
      </c>
      <c r="E5442" t="inlineStr">
        <is>
          <t>Hungary</t>
        </is>
      </c>
    </row>
    <row r="5443">
      <c r="A5443" t="inlineStr">
        <is>
          <t>Petro &amp; Biofuel Trading KFT.,  Budapest, Hungary</t>
        </is>
      </c>
      <c r="B5443" t="inlineStr">
        <is>
          <t>Trader</t>
        </is>
      </c>
      <c r="C5443" t="inlineStr">
        <is>
          <t>Bureau Veritas Polska Sp. z o.o., Warsaw, PL</t>
        </is>
      </c>
      <c r="D5443" t="inlineStr">
        <is>
          <t>11.04.2027</t>
        </is>
      </c>
      <c r="E5443" t="inlineStr">
        <is>
          <t>Hungary</t>
        </is>
      </c>
    </row>
    <row r="5444">
      <c r="A5444" t="inlineStr">
        <is>
          <t>Muenzer Trading BV,  Vienna, Austria</t>
        </is>
      </c>
      <c r="B5444" t="inlineStr">
        <is>
          <t>Trader</t>
        </is>
      </c>
      <c r="C5444" t="inlineStr">
        <is>
          <t>RINA Services S.p.A., Genova, IT</t>
        </is>
      </c>
      <c r="D5444" t="inlineStr">
        <is>
          <t>11.04.2027</t>
        </is>
      </c>
      <c r="E5444" t="inlineStr">
        <is>
          <t>Austria</t>
        </is>
      </c>
    </row>
    <row r="5445">
      <c r="A5445" t="inlineStr">
        <is>
          <t>Zakład Rolniczo - Przemysłowy "Farmutil Hs",  Kaczory, Poland</t>
        </is>
      </c>
      <c r="B5445" t="inlineStr">
        <is>
          <t>Point of Origin, Trader with Storage</t>
        </is>
      </c>
      <c r="C5445" t="inlineStr">
        <is>
          <t>SGS Germany GmbH, Emstek, DE</t>
        </is>
      </c>
      <c r="D5445" t="inlineStr">
        <is>
          <t>11.04.2027</t>
        </is>
      </c>
      <c r="E5445" t="inlineStr">
        <is>
          <t>Poland</t>
        </is>
      </c>
    </row>
    <row r="5446">
      <c r="A5446" t="inlineStr">
        <is>
          <t>Lukoil Netherlands B.V.,  Maastricht, Netherlands</t>
        </is>
      </c>
      <c r="B5446" t="inlineStr">
        <is>
          <t>Trader with Storage</t>
        </is>
      </c>
      <c r="C5446" t="inlineStr">
        <is>
          <t>Control Union Certifications Germany GmbH, Berlin, DE</t>
        </is>
      </c>
      <c r="D5446" t="inlineStr">
        <is>
          <t>11.04.2027</t>
        </is>
      </c>
      <c r="E5446" t="inlineStr">
        <is>
          <t>Netherlands</t>
        </is>
      </c>
    </row>
    <row r="5447">
      <c r="A5447" t="inlineStr">
        <is>
          <t>RECOGIDAS DEL ACEITE S.L,  San Augustin De Guadalix, Spain</t>
        </is>
      </c>
      <c r="B5447" t="inlineStr">
        <is>
          <t>Collecting Point, Trader</t>
        </is>
      </c>
      <c r="C5447" t="inlineStr">
        <is>
          <t>RINA Services S.p.A., Genova, IT</t>
        </is>
      </c>
      <c r="D5447" t="inlineStr">
        <is>
          <t>11.04.2027</t>
        </is>
      </c>
      <c r="E5447" t="inlineStr">
        <is>
          <t>Spain</t>
        </is>
      </c>
    </row>
    <row r="5448">
      <c r="A5448" t="inlineStr">
        <is>
          <t>REUSA MALLORCA, SL.,  Binissalem, Baleares, Spain</t>
        </is>
      </c>
      <c r="B5448" t="inlineStr">
        <is>
          <t>Collecting Point</t>
        </is>
      </c>
      <c r="C5448" t="inlineStr">
        <is>
          <t>RINA Services S.p.A., Genova, IT</t>
        </is>
      </c>
      <c r="D5448" t="inlineStr">
        <is>
          <t>11.04.2027</t>
        </is>
      </c>
      <c r="E5448" t="inlineStr">
        <is>
          <t>Spain</t>
        </is>
      </c>
    </row>
    <row r="5449">
      <c r="A5449" t="inlineStr">
        <is>
          <t>Keyouqian Banner Dinghui Breeding Professional Cooperative,  Ulanhot City, Xingan League, Inner Mongolia, China</t>
        </is>
      </c>
      <c r="B5449" t="inlineStr">
        <is>
          <t>First Gathering Point</t>
        </is>
      </c>
      <c r="C5449" t="inlineStr">
        <is>
          <t>CTI Certification Co. Ltd, Shenzhen, CN</t>
        </is>
      </c>
      <c r="D5449" t="inlineStr">
        <is>
          <t>10.04.2027</t>
        </is>
      </c>
      <c r="E5449" t="inlineStr">
        <is>
          <t>China</t>
        </is>
      </c>
    </row>
    <row r="5450">
      <c r="A5450" t="inlineStr">
        <is>
          <t>Molini Valente,  Felizzano, Italy</t>
        </is>
      </c>
      <c r="B5450" t="inlineStr">
        <is>
          <t>Processing Unit</t>
        </is>
      </c>
      <c r="C5450" t="inlineStr">
        <is>
          <t>RINA Services S.p.A., Genova, IT</t>
        </is>
      </c>
      <c r="D5450" t="inlineStr">
        <is>
          <t>10.04.2027</t>
        </is>
      </c>
      <c r="E5450" t="inlineStr">
        <is>
          <t>Italy</t>
        </is>
      </c>
    </row>
    <row r="5451">
      <c r="A5451" t="inlineStr">
        <is>
          <t>Casillo,  Monfalcone, Italy</t>
        </is>
      </c>
      <c r="B5451" t="inlineStr">
        <is>
          <t>Processing Unit</t>
        </is>
      </c>
      <c r="C5451" t="inlineStr">
        <is>
          <t>RINA Services S.p.A., Genova, IT</t>
        </is>
      </c>
      <c r="D5451" t="inlineStr">
        <is>
          <t>10.04.2027</t>
        </is>
      </c>
      <c r="E5451" t="inlineStr">
        <is>
          <t>Italy</t>
        </is>
      </c>
    </row>
    <row r="5452">
      <c r="A5452" t="inlineStr">
        <is>
          <t>ADM Pura Foods,  Purfleet, United Kingdom</t>
        </is>
      </c>
      <c r="B5452" t="inlineStr">
        <is>
          <t>Processing Unit, Trader with Storage</t>
        </is>
      </c>
      <c r="C5452" t="inlineStr">
        <is>
          <t>ASG Cert GmbH, Munich, DE</t>
        </is>
      </c>
      <c r="D5452" t="inlineStr">
        <is>
          <t>10.04.2027</t>
        </is>
      </c>
      <c r="E5452" t="inlineStr">
        <is>
          <t>United Kingdom</t>
        </is>
      </c>
    </row>
    <row r="5453">
      <c r="A5453" t="inlineStr">
        <is>
          <t>ADM Pura Foods,  Purfleet, United Kingdom</t>
        </is>
      </c>
      <c r="B5453" t="inlineStr">
        <is>
          <t>Point of Origin, Processing Unit, Trader with Storage</t>
        </is>
      </c>
      <c r="C5453" t="inlineStr">
        <is>
          <t>ASG Cert GmbH, Munich, DE</t>
        </is>
      </c>
      <c r="D5453" t="inlineStr">
        <is>
          <t>10.04.2027</t>
        </is>
      </c>
      <c r="E5453" t="inlineStr">
        <is>
          <t>United Kingdom</t>
        </is>
      </c>
    </row>
    <row r="5454">
      <c r="A5454" t="inlineStr">
        <is>
          <t>Nupi Americas,  Early Branch, United States</t>
        </is>
      </c>
      <c r="B5454" t="inlineStr">
        <is>
          <t>Processing Unit, Trader with Storage</t>
        </is>
      </c>
      <c r="C5454" t="inlineStr">
        <is>
          <t>SCS Global Services, Emeryville, CA, US</t>
        </is>
      </c>
      <c r="D5454" t="inlineStr">
        <is>
          <t>10.04.2027</t>
        </is>
      </c>
      <c r="E5454" t="inlineStr">
        <is>
          <t>United States</t>
        </is>
      </c>
    </row>
    <row r="5455">
      <c r="A5455" t="inlineStr">
        <is>
          <t>Methyl Co.,Ltd.,  Taipei, Taiwan, Province of China</t>
        </is>
      </c>
      <c r="B5455" t="inlineStr">
        <is>
          <t>Trader with Storage</t>
        </is>
      </c>
      <c r="C5455" t="inlineStr">
        <is>
          <t>Bureau Veritas Polska Sp. z o.o., Warsaw, PL</t>
        </is>
      </c>
      <c r="D5455" t="inlineStr">
        <is>
          <t>10.04.2027</t>
        </is>
      </c>
      <c r="E5455" t="inlineStr">
        <is>
          <t>Province of China</t>
        </is>
      </c>
    </row>
    <row r="5456">
      <c r="A5456" t="inlineStr">
        <is>
          <t>Shell Energy Europe Limited,  London, United Kingdom</t>
        </is>
      </c>
      <c r="B5456" t="inlineStr">
        <is>
          <t>Trader with Storage</t>
        </is>
      </c>
      <c r="C5456" t="inlineStr">
        <is>
          <t>DEKRA Certification B.V., Arnhem, NL</t>
        </is>
      </c>
      <c r="D5456" t="inlineStr">
        <is>
          <t>10.04.2027</t>
        </is>
      </c>
      <c r="E5456" t="inlineStr">
        <is>
          <t>United Kingdom</t>
        </is>
      </c>
    </row>
    <row r="5457">
      <c r="A5457" t="inlineStr">
        <is>
          <t>DAIKEI CHEMICAL,  Higashi-Osaka City, Japan</t>
        </is>
      </c>
      <c r="B5457" t="inlineStr">
        <is>
          <t>Processing Unit, Trader with Storage</t>
        </is>
      </c>
      <c r="C5457" t="inlineStr">
        <is>
          <t>PT Intertek Utama Services, Jakarta, ID</t>
        </is>
      </c>
      <c r="D5457" t="inlineStr">
        <is>
          <t>10.04.2027</t>
        </is>
      </c>
      <c r="E5457" t="inlineStr">
        <is>
          <t>Japan</t>
        </is>
      </c>
    </row>
    <row r="5458">
      <c r="A5458" t="inlineStr">
        <is>
          <t>DEPOSITA,  Vlčany, Slovakia</t>
        </is>
      </c>
      <c r="B5458" t="inlineStr">
        <is>
          <t>Warehouse</t>
        </is>
      </c>
      <c r="C5458" t="inlineStr">
        <is>
          <t>Bureau Veritas Polska Sp. z o.o., Warsaw, PL</t>
        </is>
      </c>
      <c r="D5458" t="inlineStr">
        <is>
          <t>10.04.2027</t>
        </is>
      </c>
      <c r="E5458" t="inlineStr">
        <is>
          <t>Slovakia</t>
        </is>
      </c>
    </row>
    <row r="5459">
      <c r="A5459" t="inlineStr">
        <is>
          <t>TT Energy Pte Ltd,  Singapore, Singapore</t>
        </is>
      </c>
      <c r="B5459" t="inlineStr">
        <is>
          <t>Trader with Storage</t>
        </is>
      </c>
      <c r="C5459" t="inlineStr">
        <is>
          <t>Double Helix Tracking Technologies Pte Ltd, Singapore, SG</t>
        </is>
      </c>
      <c r="D5459" t="inlineStr">
        <is>
          <t>10.04.2027</t>
        </is>
      </c>
      <c r="E5459" t="inlineStr">
        <is>
          <t>Singapore</t>
        </is>
      </c>
    </row>
    <row r="5460">
      <c r="A5460" t="inlineStr">
        <is>
          <t>Tiszamag Kft..,  Tiszavasvári, Hungary</t>
        </is>
      </c>
      <c r="B5460" t="inlineStr">
        <is>
          <t>First Gathering Point, Trader with Storage</t>
        </is>
      </c>
      <c r="C5460" t="inlineStr">
        <is>
          <t>Amspec Iberia SL, Vilagarcia de Arousa-Pontevedra, ES</t>
        </is>
      </c>
      <c r="D5460" t="inlineStr">
        <is>
          <t>10.04.2027</t>
        </is>
      </c>
      <c r="E5460" t="inlineStr">
        <is>
          <t>Hungary</t>
        </is>
      </c>
    </row>
    <row r="5461">
      <c r="A5461" t="inlineStr">
        <is>
          <t>PT Sumber Bunga Sawit Lestari,  Kecamatan Babulu, Kabupaten Penajam Paser Utara, Indonesia</t>
        </is>
      </c>
      <c r="B5461" t="inlineStr">
        <is>
          <t>Point of Origin</t>
        </is>
      </c>
      <c r="C5461" t="inlineStr">
        <is>
          <t>PT. Qualitas Sertifikasi Indonesia, Jakarta, ID</t>
        </is>
      </c>
      <c r="D5461" t="inlineStr">
        <is>
          <t>10.04.2027</t>
        </is>
      </c>
      <c r="E5461" t="inlineStr">
        <is>
          <t>Indonesia</t>
        </is>
      </c>
    </row>
    <row r="5462">
      <c r="A5462" t="inlineStr">
        <is>
          <t>PT Sumber Bunga Sawit Lestari,  Kecamatan Babulu, Kabupaten Penajam Paser Utara, Indonesia</t>
        </is>
      </c>
      <c r="B5462" t="inlineStr">
        <is>
          <t>Point of Origin</t>
        </is>
      </c>
      <c r="C5462" t="inlineStr">
        <is>
          <t>PT. Qualitas Sertifikasi Indonesia, Jakarta, ID</t>
        </is>
      </c>
      <c r="D5462" t="inlineStr">
        <is>
          <t>10.04.2027</t>
        </is>
      </c>
      <c r="E5462" t="inlineStr">
        <is>
          <t>Indonesia</t>
        </is>
      </c>
    </row>
    <row r="5463">
      <c r="A5463" t="inlineStr">
        <is>
          <t>ZAAO,  Stalbes pagasts, Cēsu novads, Latvia</t>
        </is>
      </c>
      <c r="B5463" t="inlineStr">
        <is>
          <t>Point of Origin, Processing Unit</t>
        </is>
      </c>
      <c r="C5463" t="inlineStr">
        <is>
          <t>BM Certification, Riga, LV</t>
        </is>
      </c>
      <c r="D5463" t="inlineStr">
        <is>
          <t>10.04.2027</t>
        </is>
      </c>
      <c r="E5463" t="inlineStr">
        <is>
          <t>Latvia</t>
        </is>
      </c>
    </row>
    <row r="5464">
      <c r="A5464" t="inlineStr">
        <is>
          <t>Roncadelle Operations,  Castel Mella, Italy</t>
        </is>
      </c>
      <c r="B5464" t="inlineStr">
        <is>
          <t>Processing Unit</t>
        </is>
      </c>
      <c r="C5464" t="inlineStr">
        <is>
          <t>DIN CERTCO GmbH, Berlin, DE</t>
        </is>
      </c>
      <c r="D5464" t="inlineStr">
        <is>
          <t>10.04.2027</t>
        </is>
      </c>
      <c r="E5464" t="inlineStr">
        <is>
          <t>Italy</t>
        </is>
      </c>
    </row>
    <row r="5465">
      <c r="A5465" t="inlineStr">
        <is>
          <t>SARVAL DRY,  Vitré, France</t>
        </is>
      </c>
      <c r="B5465" t="inlineStr">
        <is>
          <t>Point of Origin</t>
        </is>
      </c>
      <c r="C5465" t="inlineStr">
        <is>
          <t>Control Union Certifications Germany GmbH, Berlin, DE</t>
        </is>
      </c>
      <c r="D5465" t="inlineStr">
        <is>
          <t>10.04.2027</t>
        </is>
      </c>
      <c r="E5465" t="inlineStr">
        <is>
          <t>France</t>
        </is>
      </c>
    </row>
    <row r="5466">
      <c r="A5466" t="inlineStr">
        <is>
          <t>TotalEnergies MKG Luxembourg,  Wickrange, Luxembourg</t>
        </is>
      </c>
      <c r="B5466" t="inlineStr">
        <is>
          <t>Trader with Storage</t>
        </is>
      </c>
      <c r="C5466" t="inlineStr">
        <is>
          <t>SGS Germany GmbH, Emstek, DE</t>
        </is>
      </c>
      <c r="D5466" t="inlineStr">
        <is>
          <t>10.04.2027</t>
        </is>
      </c>
      <c r="E5466" t="inlineStr">
        <is>
          <t>Luxembourg</t>
        </is>
      </c>
    </row>
    <row r="5467">
      <c r="A5467" t="inlineStr">
        <is>
          <t>OrangeOils B.V.,  Coevorden, The Netherlands</t>
        </is>
      </c>
      <c r="B5467" t="inlineStr">
        <is>
          <t>Collecting Point, Trader with Storage</t>
        </is>
      </c>
      <c r="C5467" t="inlineStr">
        <is>
          <t>DEKRA Certification B.V., Arnhem, NL</t>
        </is>
      </c>
      <c r="D5467" t="inlineStr">
        <is>
          <t>10.04.2027</t>
        </is>
      </c>
      <c r="E5467" t="inlineStr">
        <is>
          <t>The Netherlands</t>
        </is>
      </c>
    </row>
    <row r="5468">
      <c r="A5468" t="inlineStr">
        <is>
          <t>OrangeOils B.V.,  Coevorden, The Netherlands</t>
        </is>
      </c>
      <c r="B5468" t="inlineStr">
        <is>
          <t>Collecting Point, Trader with Storage</t>
        </is>
      </c>
      <c r="C5468" t="inlineStr">
        <is>
          <t>DEKRA Certification B.V., Arnhem, NL</t>
        </is>
      </c>
      <c r="D5468" t="inlineStr">
        <is>
          <t>10.04.2027</t>
        </is>
      </c>
      <c r="E5468" t="inlineStr">
        <is>
          <t>The Netherlands</t>
        </is>
      </c>
    </row>
    <row r="5469">
      <c r="A5469" t="inlineStr">
        <is>
          <t>ITOCHU SHANGHAI LTD.,  Dalian, China</t>
        </is>
      </c>
      <c r="B5469" t="inlineStr">
        <is>
          <t>Trader with Storage</t>
        </is>
      </c>
      <c r="C5469" t="inlineStr">
        <is>
          <t>SGS Germany GmbH, Emstek, DE</t>
        </is>
      </c>
      <c r="D5469" t="inlineStr">
        <is>
          <t>10.04.2027</t>
        </is>
      </c>
      <c r="E5469" t="inlineStr">
        <is>
          <t>China</t>
        </is>
      </c>
    </row>
    <row r="5470">
      <c r="A5470" t="inlineStr">
        <is>
          <t>Teijin Carbon Europe,  Heinsberg, Germany</t>
        </is>
      </c>
      <c r="B5470" t="inlineStr">
        <is>
          <t>Processing Unit, Trader with Storage</t>
        </is>
      </c>
      <c r="C5470" t="inlineStr">
        <is>
          <t>SGS Germany GmbH, Emstek, DE</t>
        </is>
      </c>
      <c r="D5470" t="inlineStr">
        <is>
          <t>10.04.2027</t>
        </is>
      </c>
      <c r="E5470" t="inlineStr">
        <is>
          <t>Germany</t>
        </is>
      </c>
    </row>
    <row r="5471">
      <c r="A5471" t="inlineStr">
        <is>
          <t>Yakult Honsha Co., Ltd.,  Wake-gun, Okayama, Japan</t>
        </is>
      </c>
      <c r="B5471" t="inlineStr">
        <is>
          <t>Final Product Refinement, Processing Unit</t>
        </is>
      </c>
      <c r="C5471" t="inlineStr">
        <is>
          <t>SGS Germany GmbH, Emstek, DE</t>
        </is>
      </c>
      <c r="D5471" t="inlineStr">
        <is>
          <t>10.04.2027</t>
        </is>
      </c>
      <c r="E5471" t="inlineStr">
        <is>
          <t>Japan</t>
        </is>
      </c>
    </row>
    <row r="5472">
      <c r="A5472" t="inlineStr">
        <is>
          <t>Yakult Honsha Co.,Ltd.,  Miki-shi, Hyogo, Japan</t>
        </is>
      </c>
      <c r="B5472" t="inlineStr">
        <is>
          <t>Final Product Refinement</t>
        </is>
      </c>
      <c r="C5472" t="inlineStr">
        <is>
          <t>SGS Germany GmbH, Emstek, DE</t>
        </is>
      </c>
      <c r="D5472" t="inlineStr">
        <is>
          <t>10.04.2027</t>
        </is>
      </c>
      <c r="E5472" t="inlineStr">
        <is>
          <t>Japan</t>
        </is>
      </c>
    </row>
    <row r="5473">
      <c r="A5473" t="inlineStr">
        <is>
          <t>SAN-M PACKAGE CO.,LTD.,  Shimada,Shizuoka, Japan</t>
        </is>
      </c>
      <c r="B5473" t="inlineStr">
        <is>
          <t>Processing Unit</t>
        </is>
      </c>
      <c r="C5473" t="inlineStr">
        <is>
          <t>SGS Germany GmbH, Emstek, DE</t>
        </is>
      </c>
      <c r="D5473" t="inlineStr">
        <is>
          <t>10.04.2027</t>
        </is>
      </c>
      <c r="E5473" t="inlineStr">
        <is>
          <t>Japan</t>
        </is>
      </c>
    </row>
    <row r="5474">
      <c r="A5474" t="inlineStr">
        <is>
          <t>Mitsui &amp; Co. Retail Group, Ltd.,  Minato-ku, Tokyo, Japan</t>
        </is>
      </c>
      <c r="B5474" t="inlineStr">
        <is>
          <t>Logistics Center, Trader with Storage</t>
        </is>
      </c>
      <c r="C5474" t="inlineStr">
        <is>
          <t>SGS Germany GmbH, Emstek, DE</t>
        </is>
      </c>
      <c r="D5474" t="inlineStr">
        <is>
          <t>10.04.2027</t>
        </is>
      </c>
      <c r="E5474" t="inlineStr">
        <is>
          <t>Japan</t>
        </is>
      </c>
    </row>
    <row r="5475">
      <c r="A5475" t="inlineStr">
        <is>
          <t>Seifenfabrik Strohmeier GmbH,  Judenburg, Austria</t>
        </is>
      </c>
      <c r="B5475" t="inlineStr">
        <is>
          <t>Collecting Point</t>
        </is>
      </c>
      <c r="C5475" t="inlineStr">
        <is>
          <t>agroVet GmbH, Enzersfeld, AT</t>
        </is>
      </c>
      <c r="D5475" t="inlineStr">
        <is>
          <t>10.04.2027</t>
        </is>
      </c>
      <c r="E5475" t="inlineStr">
        <is>
          <t>Austria</t>
        </is>
      </c>
    </row>
    <row r="5476">
      <c r="A5476" t="inlineStr">
        <is>
          <t>Compañia Paraguaya de Granos S.A.,  Villeta, Paraguay</t>
        </is>
      </c>
      <c r="B5476" t="inlineStr">
        <is>
          <t>Processing Unit</t>
        </is>
      </c>
      <c r="C5476" t="inlineStr">
        <is>
          <t>Control Union Poland Sp. z o.o., Zielona Gora, PL</t>
        </is>
      </c>
      <c r="D5476" t="inlineStr">
        <is>
          <t>10.04.2027</t>
        </is>
      </c>
      <c r="E5476" t="inlineStr">
        <is>
          <t>Paraguay</t>
        </is>
      </c>
    </row>
    <row r="5477">
      <c r="A5477" t="inlineStr">
        <is>
          <t>LE PANIER D' OLYMPE,  MARSEILLE, France</t>
        </is>
      </c>
      <c r="B5477" t="inlineStr">
        <is>
          <t>Collecting Point</t>
        </is>
      </c>
      <c r="C5477" t="inlineStr">
        <is>
          <t>Control Union Certifications Germany GmbH, Berlin, DE</t>
        </is>
      </c>
      <c r="D5477" t="inlineStr">
        <is>
          <t>10.04.2027</t>
        </is>
      </c>
      <c r="E5477" t="inlineStr">
        <is>
          <t>France</t>
        </is>
      </c>
    </row>
    <row r="5478">
      <c r="A5478" t="inlineStr">
        <is>
          <t>mypower,  mouscron, Belgium</t>
        </is>
      </c>
      <c r="B5478" t="inlineStr">
        <is>
          <t>Processing Unit, Trader</t>
        </is>
      </c>
      <c r="C5478" t="inlineStr">
        <is>
          <t>Control Union Certifications Germany GmbH, Berlin, DE</t>
        </is>
      </c>
      <c r="D5478" t="inlineStr">
        <is>
          <t>10.04.2027</t>
        </is>
      </c>
      <c r="E5478" t="inlineStr">
        <is>
          <t>Belgium</t>
        </is>
      </c>
    </row>
    <row r="5479">
      <c r="A5479" t="inlineStr">
        <is>
          <t>IBERALMONAS,  EL SAUCEJO, Spain</t>
        </is>
      </c>
      <c r="B5479" t="inlineStr">
        <is>
          <t>Point of Origin</t>
        </is>
      </c>
      <c r="C5479" t="inlineStr">
        <is>
          <t>RINA Services S.p.A., Genova, IT</t>
        </is>
      </c>
      <c r="D5479" t="inlineStr">
        <is>
          <t>10.04.2027</t>
        </is>
      </c>
      <c r="E5479" t="inlineStr">
        <is>
          <t>Spain</t>
        </is>
      </c>
    </row>
    <row r="5480">
      <c r="A5480" t="inlineStr">
        <is>
          <t>PELLÉRDI MG‐KER Kft.,  Pellérd, Hungary</t>
        </is>
      </c>
      <c r="B5480" t="inlineStr">
        <is>
          <t>First Gathering Point</t>
        </is>
      </c>
      <c r="C5480" t="inlineStr">
        <is>
          <t>Amspec Iberia SL, Vilagarcia de Arousa-Pontevedra, ES</t>
        </is>
      </c>
      <c r="D5480" t="inlineStr">
        <is>
          <t>10.04.2027</t>
        </is>
      </c>
      <c r="E5480" t="inlineStr">
        <is>
          <t>Hungary</t>
        </is>
      </c>
    </row>
    <row r="5481">
      <c r="A5481" t="inlineStr">
        <is>
          <t>Csabai Raktárszövetkezet,  Békéscsaba, Hungary</t>
        </is>
      </c>
      <c r="B5481" t="inlineStr">
        <is>
          <t>First Gathering Point</t>
        </is>
      </c>
      <c r="C5481" t="inlineStr">
        <is>
          <t>Amspec Iberia SL, Vilagarcia de Arousa-Pontevedra, ES</t>
        </is>
      </c>
      <c r="D5481" t="inlineStr">
        <is>
          <t>10.04.2027</t>
        </is>
      </c>
      <c r="E5481" t="inlineStr">
        <is>
          <t>Hungary</t>
        </is>
      </c>
    </row>
    <row r="5482">
      <c r="A5482" t="inlineStr">
        <is>
          <t>Rapsoila UAB,  Ukrinų k., Židikų sen., Mažeikių r., Lithuania</t>
        </is>
      </c>
      <c r="B5482" t="inlineStr">
        <is>
          <t>Point of Origin, First Gathering Point, Trader with Storage, Processing Unit</t>
        </is>
      </c>
      <c r="C5482" t="inlineStr">
        <is>
          <t>Bureau Veritas Polska Sp. z o.o., Warsaw, PL</t>
        </is>
      </c>
      <c r="D5482" t="inlineStr">
        <is>
          <t>10.04.2027</t>
        </is>
      </c>
      <c r="E5482" t="inlineStr">
        <is>
          <t>Lithuania</t>
        </is>
      </c>
    </row>
    <row r="5483">
      <c r="A5483" t="inlineStr">
        <is>
          <t>CJ CheilJedang Corporation Incheon 3 Plant,  Incheon, Jung-gu, Korea, Republic of</t>
        </is>
      </c>
      <c r="B5483" t="inlineStr">
        <is>
          <t>Processing Unit</t>
        </is>
      </c>
      <c r="C5483" t="inlineStr">
        <is>
          <t>Control Union Certifications Germany GmbH, Berlin, DE</t>
        </is>
      </c>
      <c r="D5483" t="inlineStr">
        <is>
          <t>10.04.2027</t>
        </is>
      </c>
      <c r="E5483" t="inlineStr">
        <is>
          <t>Republic of</t>
        </is>
      </c>
    </row>
    <row r="5484">
      <c r="A5484" t="inlineStr">
        <is>
          <t>Adient Georgetown,  Georgetown, United States</t>
        </is>
      </c>
      <c r="B5484" t="inlineStr">
        <is>
          <t>Processing Unit</t>
        </is>
      </c>
      <c r="C5484" t="inlineStr">
        <is>
          <t>ASG Cert GmbH, Munich, DE</t>
        </is>
      </c>
      <c r="D5484" t="inlineStr">
        <is>
          <t>10.04.2027</t>
        </is>
      </c>
      <c r="E5484" t="inlineStr">
        <is>
          <t>United States</t>
        </is>
      </c>
    </row>
    <row r="5485">
      <c r="A5485" t="inlineStr">
        <is>
          <t>CJ CheilJedang Corporation,  Seoul, Korea, Republic of</t>
        </is>
      </c>
      <c r="B5485" t="inlineStr">
        <is>
          <t>Trader</t>
        </is>
      </c>
      <c r="C5485" t="inlineStr">
        <is>
          <t>Control Union Certifications Germany GmbH, Berlin, DE</t>
        </is>
      </c>
      <c r="D5485" t="inlineStr">
        <is>
          <t>10.04.2027</t>
        </is>
      </c>
      <c r="E5485" t="inlineStr">
        <is>
          <t>Republic of</t>
        </is>
      </c>
    </row>
    <row r="5486">
      <c r="A5486" t="inlineStr">
        <is>
          <t>Fabio Produkt spol. s r.o.,  Nové Město na Moravě, Czech Republic</t>
        </is>
      </c>
      <c r="B5486" t="inlineStr">
        <is>
          <t>Collecting Point</t>
        </is>
      </c>
      <c r="C5486" t="inlineStr">
        <is>
          <t>SGS Germany GmbH, Emstek, DE</t>
        </is>
      </c>
      <c r="D5486" t="inlineStr">
        <is>
          <t>10.04.2027</t>
        </is>
      </c>
      <c r="E5486" t="inlineStr">
        <is>
          <t>Czech Republic</t>
        </is>
      </c>
    </row>
    <row r="5487">
      <c r="A5487" t="inlineStr">
        <is>
          <t>Farmol SpA,  Comun Nuovo, Italy</t>
        </is>
      </c>
      <c r="B5487" t="inlineStr">
        <is>
          <t>Final Product Refinement</t>
        </is>
      </c>
      <c r="C5487" t="inlineStr">
        <is>
          <t>Certiquality srl, Milano, IT</t>
        </is>
      </c>
      <c r="D5487" t="inlineStr">
        <is>
          <t>10.04.2027</t>
        </is>
      </c>
      <c r="E5487" t="inlineStr">
        <is>
          <t>Italy</t>
        </is>
      </c>
    </row>
    <row r="5488">
      <c r="A5488" t="inlineStr">
        <is>
          <t>ENI Natural Energies Italia S.r.l,  Milano, Italy</t>
        </is>
      </c>
      <c r="B5488" t="inlineStr">
        <is>
          <t>Trader</t>
        </is>
      </c>
      <c r="C5488" t="inlineStr">
        <is>
          <t>RINA Services S.p.A., Genova, IT</t>
        </is>
      </c>
      <c r="D5488" t="inlineStr">
        <is>
          <t>10.04.2027</t>
        </is>
      </c>
      <c r="E5488" t="inlineStr">
        <is>
          <t>Italy</t>
        </is>
      </c>
    </row>
    <row r="5489">
      <c r="A5489" t="inlineStr">
        <is>
          <t>Mitsubishi Corporation Energy Co.,Ltd.,  Tokyo, Japan</t>
        </is>
      </c>
      <c r="B5489" t="inlineStr">
        <is>
          <t>Trader with Storage</t>
        </is>
      </c>
      <c r="C5489" t="inlineStr">
        <is>
          <t>Control Union Certifications Germany GmbH, Berlin, DE</t>
        </is>
      </c>
      <c r="D5489" t="inlineStr">
        <is>
          <t>10.04.2027</t>
        </is>
      </c>
      <c r="E5489" t="inlineStr">
        <is>
          <t>Japan</t>
        </is>
      </c>
    </row>
    <row r="5490">
      <c r="A5490" t="inlineStr">
        <is>
          <t>SAS HUB-Ardoix,  Saint-Romain-de-Surieu, France</t>
        </is>
      </c>
      <c r="B5490" t="inlineStr">
        <is>
          <t>Processing Unit</t>
        </is>
      </c>
      <c r="C5490" t="inlineStr">
        <is>
          <t>Control Union Certifications Germany GmbH, Berlin, DE</t>
        </is>
      </c>
      <c r="D5490" t="inlineStr">
        <is>
          <t>10.04.2027</t>
        </is>
      </c>
      <c r="E5490" t="inlineStr">
        <is>
          <t>France</t>
        </is>
      </c>
    </row>
    <row r="5491">
      <c r="A5491" t="inlineStr">
        <is>
          <t>ORLEN Latvija SIA,  Riga, Latvia</t>
        </is>
      </c>
      <c r="B5491" t="inlineStr">
        <is>
          <t>Proof of Compliance Trader, Trader with Storage</t>
        </is>
      </c>
      <c r="C5491" t="inlineStr">
        <is>
          <t>Bureau Veritas Polska Sp. z o.o., Warsaw, PL</t>
        </is>
      </c>
      <c r="D5491" t="inlineStr">
        <is>
          <t>10.04.2027</t>
        </is>
      </c>
      <c r="E5491" t="inlineStr">
        <is>
          <t>Latvia</t>
        </is>
      </c>
    </row>
    <row r="5492">
      <c r="A5492" t="inlineStr">
        <is>
          <t>PT ENERGI HIJAU SUKSES,  Kota Batam, Indonesia</t>
        </is>
      </c>
      <c r="B5492" t="inlineStr">
        <is>
          <t>Collecting Point, Trader with Storage</t>
        </is>
      </c>
      <c r="C5492" t="inlineStr">
        <is>
          <t>PT. CBQA GLOBAL INDONESIA, JAKARTA SELATAN, ID</t>
        </is>
      </c>
      <c r="D5492" t="inlineStr">
        <is>
          <t>10.04.2027</t>
        </is>
      </c>
      <c r="E5492" t="inlineStr">
        <is>
          <t>Indonesia</t>
        </is>
      </c>
    </row>
    <row r="5493">
      <c r="A5493" t="inlineStr">
        <is>
          <t>FIA ProTeam s.r.o.,  Pelhřimov, Czech Republic</t>
        </is>
      </c>
      <c r="B5493" t="inlineStr">
        <is>
          <t>Processing Unit</t>
        </is>
      </c>
      <c r="C5493" t="inlineStr">
        <is>
          <t>SGS Germany GmbH, Emstek, DE</t>
        </is>
      </c>
      <c r="D5493" t="inlineStr">
        <is>
          <t>10.04.2027</t>
        </is>
      </c>
      <c r="E5493" t="inlineStr">
        <is>
          <t>Czech Republic</t>
        </is>
      </c>
    </row>
    <row r="5494">
      <c r="A5494" t="inlineStr">
        <is>
          <t>Dongguan Hongcheng Knitting Garments Co., Ltd.,  Dongguan City, China</t>
        </is>
      </c>
      <c r="B5494" t="inlineStr">
        <is>
          <t>Processing Unit</t>
        </is>
      </c>
      <c r="C5494" t="inlineStr">
        <is>
          <t>Extensive Standard Technical Services Co., Ltd., Hong Kong, CN</t>
        </is>
      </c>
      <c r="D5494" t="inlineStr">
        <is>
          <t>10.04.2027</t>
        </is>
      </c>
      <c r="E5494" t="inlineStr">
        <is>
          <t>China</t>
        </is>
      </c>
    </row>
    <row r="5495">
      <c r="A5495" t="inlineStr">
        <is>
          <t>Nobian Industrial Chemicals B.V.,  Rotterdam, Netherlands</t>
        </is>
      </c>
      <c r="B5495" t="inlineStr">
        <is>
          <t>Processing Unit</t>
        </is>
      </c>
      <c r="C5495" t="inlineStr">
        <is>
          <t>Normec QS BV, Ede, NL</t>
        </is>
      </c>
      <c r="D5495" t="inlineStr">
        <is>
          <t>10.04.2027</t>
        </is>
      </c>
      <c r="E5495" t="inlineStr">
        <is>
          <t>Netherlands</t>
        </is>
      </c>
    </row>
    <row r="5496">
      <c r="A5496" t="inlineStr">
        <is>
          <t>Hule y Silicon SA de CV,  Zona Industrial Ocoyoacac, Mexico</t>
        </is>
      </c>
      <c r="B5496" t="inlineStr">
        <is>
          <t>Processing Unit</t>
        </is>
      </c>
      <c r="C5496" t="inlineStr">
        <is>
          <t>SCS Global Services, Emeryville, CA, US</t>
        </is>
      </c>
      <c r="D5496" t="inlineStr">
        <is>
          <t>10.04.2027</t>
        </is>
      </c>
      <c r="E5496" t="inlineStr">
        <is>
          <t>Mexico</t>
        </is>
      </c>
    </row>
    <row r="5497">
      <c r="A5497" t="inlineStr">
        <is>
          <t>Suwanboonrod Rich Oil,  Racha Thewa, Bangphli, Samut Prakarn, Thailand</t>
        </is>
      </c>
      <c r="B5497" t="inlineStr">
        <is>
          <t>Collecting Point</t>
        </is>
      </c>
      <c r="C5497" t="inlineStr">
        <is>
          <t>Control Union Poland Sp. z o.o., Zielona Gora, PL</t>
        </is>
      </c>
      <c r="D5497" t="inlineStr">
        <is>
          <t>10.04.2027</t>
        </is>
      </c>
      <c r="E5497" t="inlineStr">
        <is>
          <t>Thailand</t>
        </is>
      </c>
    </row>
    <row r="5498">
      <c r="A5498" t="inlineStr">
        <is>
          <t>Air BP Aramco Poland Sp. z o.o.,  Gdańsk, Poland</t>
        </is>
      </c>
      <c r="B5498" t="inlineStr">
        <is>
          <t>Trader with Storage, Proof of Compliance Trader</t>
        </is>
      </c>
      <c r="C5498" t="inlineStr">
        <is>
          <t>Control Union Poland Sp. z o.o., Zielona Gora, PL</t>
        </is>
      </c>
      <c r="D5498" t="inlineStr">
        <is>
          <t>10.04.2027</t>
        </is>
      </c>
      <c r="E5498" t="inlineStr">
        <is>
          <t>Poland</t>
        </is>
      </c>
    </row>
    <row r="5499">
      <c r="A5499" t="inlineStr">
        <is>
          <t>Basell Polyolefine GmbH,  Frankfurt am Main, Germany</t>
        </is>
      </c>
      <c r="B5499" t="inlineStr">
        <is>
          <t>Processing Unit</t>
        </is>
      </c>
      <c r="C5499" t="inlineStr">
        <is>
          <t>TÜV SÜD Industrie Service GmbH, München, DE</t>
        </is>
      </c>
      <c r="D5499" t="inlineStr">
        <is>
          <t>10.04.2027</t>
        </is>
      </c>
      <c r="E5499" t="inlineStr">
        <is>
          <t>Germany</t>
        </is>
      </c>
    </row>
    <row r="5500">
      <c r="A5500" t="inlineStr">
        <is>
          <t>Aramco Trading Singapore Pte. Ltd.,  Singapore, Singapore</t>
        </is>
      </c>
      <c r="B5500" t="inlineStr">
        <is>
          <t>Trader with Storage</t>
        </is>
      </c>
      <c r="C5500" t="inlineStr">
        <is>
          <t>Control Union Certifications Germany GmbH, Berlin, DE</t>
        </is>
      </c>
      <c r="D5500" t="inlineStr">
        <is>
          <t>10.04.2027</t>
        </is>
      </c>
      <c r="E5500" t="inlineStr">
        <is>
          <t>Singapore</t>
        </is>
      </c>
    </row>
    <row r="5501">
      <c r="A5501" t="inlineStr">
        <is>
          <t>Aramco Trading Singapore Pte. Ltd.,  Singapore, Singapore</t>
        </is>
      </c>
      <c r="B5501" t="inlineStr">
        <is>
          <t>Trader with Storage</t>
        </is>
      </c>
      <c r="C5501" t="inlineStr">
        <is>
          <t>Control Union Certifications Germany GmbH, Berlin, DE</t>
        </is>
      </c>
      <c r="D5501" t="inlineStr">
        <is>
          <t>10.04.2027</t>
        </is>
      </c>
      <c r="E5501" t="inlineStr">
        <is>
          <t>Singapore</t>
        </is>
      </c>
    </row>
    <row r="5502">
      <c r="A5502" t="inlineStr">
        <is>
          <t>PONAK AKARYAKIT DAĞITIM A.Ş.,  ISTANBUL, Turkey</t>
        </is>
      </c>
      <c r="B5502" t="inlineStr">
        <is>
          <t>Warehouse, Trader with Storage</t>
        </is>
      </c>
      <c r="C5502" t="inlineStr">
        <is>
          <t>Trans Certification and Inspection Sdn Bhd, Kuantan, MY</t>
        </is>
      </c>
      <c r="D5502" t="inlineStr">
        <is>
          <t>09.04.2027</t>
        </is>
      </c>
      <c r="E5502" t="inlineStr">
        <is>
          <t>Turkey</t>
        </is>
      </c>
    </row>
    <row r="5503">
      <c r="A5503" t="inlineStr">
        <is>
          <t>Tank Opslag Verbeke,  Hemiksem, Belgium</t>
        </is>
      </c>
      <c r="B5503" t="inlineStr">
        <is>
          <t>Warehouse</t>
        </is>
      </c>
      <c r="C5503" t="inlineStr">
        <is>
          <t>Control Union Poland Sp. z o.o., Zielona Gora, PL</t>
        </is>
      </c>
      <c r="D5503" t="inlineStr">
        <is>
          <t>09.04.2027</t>
        </is>
      </c>
      <c r="E5503" t="inlineStr">
        <is>
          <t>Belgium</t>
        </is>
      </c>
    </row>
    <row r="5504">
      <c r="A5504" t="inlineStr">
        <is>
          <t>Tank Opslag Verbeke,  Hemiksem, Belgium</t>
        </is>
      </c>
      <c r="B5504" t="inlineStr">
        <is>
          <t>Warehouse</t>
        </is>
      </c>
      <c r="C5504" t="inlineStr">
        <is>
          <t>Control Union Poland Sp. z o.o., Zielona Gora, PL</t>
        </is>
      </c>
      <c r="D5504" t="inlineStr">
        <is>
          <t>09.04.2027</t>
        </is>
      </c>
      <c r="E5504" t="inlineStr">
        <is>
          <t>Belgium</t>
        </is>
      </c>
    </row>
    <row r="5505">
      <c r="A5505" t="inlineStr">
        <is>
          <t>Acelera Agro LDA.,  Talatona, Luanda, Angola</t>
        </is>
      </c>
      <c r="B5505" t="inlineStr">
        <is>
          <t>Farm / Plantation, First Gathering Point, Trader</t>
        </is>
      </c>
      <c r="C5505" t="inlineStr">
        <is>
          <t>RINA Services S.p.A., Genova, IT</t>
        </is>
      </c>
      <c r="D5505" t="inlineStr">
        <is>
          <t>09.04.2027</t>
        </is>
      </c>
      <c r="E5505" t="inlineStr">
        <is>
          <t>Angola</t>
        </is>
      </c>
    </row>
    <row r="5506">
      <c r="A5506" t="inlineStr">
        <is>
          <t>Gestora Asturiana de Residuos, s.l.,  Carreño-Candás (Asturia), Spain</t>
        </is>
      </c>
      <c r="B5506" t="inlineStr">
        <is>
          <t>Collecting Point, Trader</t>
        </is>
      </c>
      <c r="C5506" t="inlineStr">
        <is>
          <t>Control Union Poland Sp. z o.o., Zielona Gora, PL</t>
        </is>
      </c>
      <c r="D5506" t="inlineStr">
        <is>
          <t>09.04.2027</t>
        </is>
      </c>
      <c r="E5506" t="inlineStr">
        <is>
          <t>Spain</t>
        </is>
      </c>
    </row>
    <row r="5507">
      <c r="A5507" t="inlineStr">
        <is>
          <t>Richmond Energy LLC,  Henrico, Virginia, United States</t>
        </is>
      </c>
      <c r="B5507" t="inlineStr">
        <is>
          <t>Collecting Point, Processing Unit</t>
        </is>
      </c>
      <c r="C5507" t="inlineStr">
        <is>
          <t>Control Union Poland Sp. z o.o., Zielona Gora, PL</t>
        </is>
      </c>
      <c r="D5507" t="inlineStr">
        <is>
          <t>09.04.2027</t>
        </is>
      </c>
      <c r="E5507" t="inlineStr">
        <is>
          <t>United States</t>
        </is>
      </c>
    </row>
    <row r="5508">
      <c r="A5508" t="inlineStr">
        <is>
          <t>Pioneer Crossing Energy LLC,  Birdsboro, PA, United States</t>
        </is>
      </c>
      <c r="B5508" t="inlineStr">
        <is>
          <t>Collecting Point, Processing Unit</t>
        </is>
      </c>
      <c r="C5508" t="inlineStr">
        <is>
          <t>Control Union Poland Sp. z o.o., Zielona Gora, PL</t>
        </is>
      </c>
      <c r="D5508" t="inlineStr">
        <is>
          <t>09.04.2027</t>
        </is>
      </c>
      <c r="E5508" t="inlineStr">
        <is>
          <t>United States</t>
        </is>
      </c>
    </row>
    <row r="5509">
      <c r="A5509" t="inlineStr">
        <is>
          <t>SC TEGROSTAR SRL,  Tutova, Romania</t>
        </is>
      </c>
      <c r="B5509" t="inlineStr">
        <is>
          <t>First Gathering Point, Trader with Storage</t>
        </is>
      </c>
      <c r="C5509" t="inlineStr">
        <is>
          <t>Control Union Certifications Germany GmbH, Berlin, DE</t>
        </is>
      </c>
      <c r="D5509" t="inlineStr">
        <is>
          <t>09.04.2027</t>
        </is>
      </c>
      <c r="E5509" t="inlineStr">
        <is>
          <t>Romania</t>
        </is>
      </c>
    </row>
    <row r="5510">
      <c r="A5510" t="inlineStr">
        <is>
          <t>GUANGDONG BIHAI YUNTIAN BIOENERGY TECHNOLOGY CO. LTD.,  Huizhou City, Guangdong Province, China</t>
        </is>
      </c>
      <c r="B5510" t="inlineStr">
        <is>
          <t>Trader with Storage</t>
        </is>
      </c>
      <c r="C5510" t="inlineStr">
        <is>
          <t>RINA Services S.p.A., Genova, IT</t>
        </is>
      </c>
      <c r="D5510" t="inlineStr">
        <is>
          <t>09.04.2027</t>
        </is>
      </c>
      <c r="E5510" t="inlineStr">
        <is>
          <t>China</t>
        </is>
      </c>
    </row>
    <row r="5511">
      <c r="A5511" t="inlineStr">
        <is>
          <t>STIPITS Entsorgung GmbH,  Rechnitz, Austria</t>
        </is>
      </c>
      <c r="B5511" t="inlineStr">
        <is>
          <t>Collecting Point, Processing Unit</t>
        </is>
      </c>
      <c r="C5511" t="inlineStr">
        <is>
          <t>agroVet GmbH, Enzersfeld, AT</t>
        </is>
      </c>
      <c r="D5511" t="inlineStr">
        <is>
          <t>09.04.2027</t>
        </is>
      </c>
      <c r="E5511" t="inlineStr">
        <is>
          <t>Austria</t>
        </is>
      </c>
    </row>
    <row r="5512">
      <c r="A5512" t="inlineStr">
        <is>
          <t>TESSAF,  Grandpuits-Bailly-Carrois, France</t>
        </is>
      </c>
      <c r="B5512" t="inlineStr">
        <is>
          <t>Trader with Storage</t>
        </is>
      </c>
      <c r="C5512" t="inlineStr">
        <is>
          <t>Control Union Certifications Germany GmbH, Berlin, DE</t>
        </is>
      </c>
      <c r="D5512" t="inlineStr">
        <is>
          <t>09.04.2027</t>
        </is>
      </c>
      <c r="E5512" t="inlineStr">
        <is>
          <t>France</t>
        </is>
      </c>
    </row>
    <row r="5513">
      <c r="A5513" t="inlineStr">
        <is>
          <t>TESSAF,  Grandpuits-Bailly-Carrois, France</t>
        </is>
      </c>
      <c r="B5513" t="inlineStr">
        <is>
          <t>Trader with Storage</t>
        </is>
      </c>
      <c r="C5513" t="inlineStr">
        <is>
          <t>Control Union Certifications Germany GmbH, Berlin, DE</t>
        </is>
      </c>
      <c r="D5513" t="inlineStr">
        <is>
          <t>09.04.2027</t>
        </is>
      </c>
      <c r="E5513" t="inlineStr">
        <is>
          <t>France</t>
        </is>
      </c>
    </row>
    <row r="5514">
      <c r="A5514" t="inlineStr">
        <is>
          <t>UOil for withdraw and collecting used oil,  Kuwait city - Sharq, Kuwait</t>
        </is>
      </c>
      <c r="B5514" t="inlineStr">
        <is>
          <t>Collecting Point</t>
        </is>
      </c>
      <c r="C5514" t="inlineStr">
        <is>
          <t>Trans Certification and Inspection Sdn Bhd, Kuantan, MY</t>
        </is>
      </c>
      <c r="D5514" t="inlineStr">
        <is>
          <t>09.04.2027</t>
        </is>
      </c>
      <c r="E5514" t="inlineStr">
        <is>
          <t>Kuwait</t>
        </is>
      </c>
    </row>
    <row r="5515">
      <c r="A5515" t="inlineStr">
        <is>
          <t>Natural Resources Switzerland SA,  Xiamen, China</t>
        </is>
      </c>
      <c r="B5515" t="inlineStr">
        <is>
          <t>Trader</t>
        </is>
      </c>
      <c r="C5515" t="inlineStr">
        <is>
          <t>RINA Services S.p.A., Genova, IT</t>
        </is>
      </c>
      <c r="D5515" t="inlineStr">
        <is>
          <t>09.04.2027</t>
        </is>
      </c>
      <c r="E5515" t="inlineStr">
        <is>
          <t>China</t>
        </is>
      </c>
    </row>
    <row r="5516">
      <c r="A5516" t="inlineStr">
        <is>
          <t>Viet Nam Argent Optical Limited Company,  Binh Tuyen Commune, Phu Tho Province, Vietnam</t>
        </is>
      </c>
      <c r="B5516" t="inlineStr">
        <is>
          <t>Processing Unit, Trader with Storage</t>
        </is>
      </c>
      <c r="C5516" t="inlineStr">
        <is>
          <t>China Quality Certification Centre Co., Ltd., Beijing, CN</t>
        </is>
      </c>
      <c r="D5516" t="inlineStr">
        <is>
          <t>09.04.2027</t>
        </is>
      </c>
      <c r="E5516" t="inlineStr">
        <is>
          <t>Vietnam</t>
        </is>
      </c>
    </row>
    <row r="5517">
      <c r="A5517" t="inlineStr">
        <is>
          <t>Evershine Resources,  Taman Industri Kulai, Malaysia</t>
        </is>
      </c>
      <c r="B5517" t="inlineStr">
        <is>
          <t>Trader with Storage</t>
        </is>
      </c>
      <c r="C5517" t="inlineStr">
        <is>
          <t>Trans Certification and Inspection Sdn Bhd, Kuantan, MY</t>
        </is>
      </c>
      <c r="D5517" t="inlineStr">
        <is>
          <t>09.04.2027</t>
        </is>
      </c>
      <c r="E5517" t="inlineStr">
        <is>
          <t>Malaysia</t>
        </is>
      </c>
    </row>
    <row r="5518">
      <c r="A5518" t="inlineStr">
        <is>
          <t>LLC TH "Business Grand",  Zhytomyr, Ukraine</t>
        </is>
      </c>
      <c r="B5518" t="inlineStr">
        <is>
          <t>First Gathering Point, Trader</t>
        </is>
      </c>
      <c r="C5518" t="inlineStr">
        <is>
          <t>United Registrar of Systems Polska Sp. z o.o., Wrocław, PL</t>
        </is>
      </c>
      <c r="D5518" t="inlineStr">
        <is>
          <t>09.04.2027</t>
        </is>
      </c>
      <c r="E5518" t="inlineStr">
        <is>
          <t>Ukraine</t>
        </is>
      </c>
    </row>
    <row r="5519">
      <c r="A5519" t="inlineStr">
        <is>
          <t>Cofco International Hungary Kft,  Budapest, Hungary</t>
        </is>
      </c>
      <c r="B5519" t="inlineStr">
        <is>
          <t>First Gathering Point, Trader with Storage</t>
        </is>
      </c>
      <c r="C5519" t="inlineStr">
        <is>
          <t>Control Union Certifications Germany GmbH, Berlin, DE</t>
        </is>
      </c>
      <c r="D5519" t="inlineStr">
        <is>
          <t>09.04.2027</t>
        </is>
      </c>
      <c r="E5519" t="inlineStr">
        <is>
          <t>Hungary</t>
        </is>
      </c>
    </row>
    <row r="5520">
      <c r="A5520" t="inlineStr">
        <is>
          <t>Ecoson Recycling BV,  DESTELDONK - GENT, Belgium</t>
        </is>
      </c>
      <c r="B5520" t="inlineStr">
        <is>
          <t>Collecting Point</t>
        </is>
      </c>
      <c r="C5520" t="inlineStr">
        <is>
          <t>Control Union Certifications Germany GmbH, Berlin, DE</t>
        </is>
      </c>
      <c r="D5520" t="inlineStr">
        <is>
          <t>09.04.2027</t>
        </is>
      </c>
      <c r="E5520" t="inlineStr">
        <is>
          <t>Belgium</t>
        </is>
      </c>
    </row>
    <row r="5521">
      <c r="A5521" t="inlineStr">
        <is>
          <t>DH SH SRL,  Capitán Bermúdez, Argentina</t>
        </is>
      </c>
      <c r="B5521" t="inlineStr">
        <is>
          <t>Collecting Point, Point of Origin, Trader with Storage</t>
        </is>
      </c>
      <c r="C5521" t="inlineStr">
        <is>
          <t>Control Union Poland Sp. z o.o., Zielona Gora, PL</t>
        </is>
      </c>
      <c r="D5521" t="inlineStr">
        <is>
          <t>09.04.2027</t>
        </is>
      </c>
      <c r="E5521" t="inlineStr">
        <is>
          <t>Argentina</t>
        </is>
      </c>
    </row>
    <row r="5522">
      <c r="A5522" t="inlineStr">
        <is>
          <t>NOGUERA RENOVABLES SL,  VALLFAGONA DE BALAGUER, LLEIDA, Spain</t>
        </is>
      </c>
      <c r="B5522" t="inlineStr">
        <is>
          <t>Collecting Point, Processing Unit</t>
        </is>
      </c>
      <c r="C5522" t="inlineStr">
        <is>
          <t>Control Union Poland Sp. z o.o., Zielona Gora, PL</t>
        </is>
      </c>
      <c r="D5522" t="inlineStr">
        <is>
          <t>09.04.2027</t>
        </is>
      </c>
      <c r="E5522" t="inlineStr">
        <is>
          <t>Spain</t>
        </is>
      </c>
    </row>
    <row r="5523">
      <c r="A5523" t="inlineStr">
        <is>
          <t>Repsol Fuels S.A.U.,  Puertollano (Ciudad Real), Spain</t>
        </is>
      </c>
      <c r="B5523" t="inlineStr">
        <is>
          <t>ETBE plant, Processing Unit, Trader with Storage, Warehouse</t>
        </is>
      </c>
      <c r="C5523" t="inlineStr">
        <is>
          <t>Control Union Poland Sp. z o.o., Zielona Gora, PL</t>
        </is>
      </c>
      <c r="D5523" t="inlineStr">
        <is>
          <t>09.04.2027</t>
        </is>
      </c>
      <c r="E5523" t="inlineStr">
        <is>
          <t>Spain</t>
        </is>
      </c>
    </row>
    <row r="5524">
      <c r="A5524" t="inlineStr">
        <is>
          <t>SD Guthrie Berhad,  Bekok, Segamat, Malaysia</t>
        </is>
      </c>
      <c r="B5524" t="inlineStr">
        <is>
          <t>Point of Origin</t>
        </is>
      </c>
      <c r="C5524" t="inlineStr">
        <is>
          <t>Control Union Certifications Germany GmbH, Berlin, DE</t>
        </is>
      </c>
      <c r="D5524" t="inlineStr">
        <is>
          <t>09.04.2027</t>
        </is>
      </c>
      <c r="E5524" t="inlineStr">
        <is>
          <t>Malaysia</t>
        </is>
      </c>
    </row>
    <row r="5525">
      <c r="A5525" t="inlineStr">
        <is>
          <t>Repsol Fuels S.A.U.,  A Coruña, Spain</t>
        </is>
      </c>
      <c r="B5525" t="inlineStr">
        <is>
          <t>ETBE plant, Processing Unit, Trader with Storage, Warehouse</t>
        </is>
      </c>
      <c r="C5525" t="inlineStr">
        <is>
          <t>Control Union Poland Sp. z o.o., Zielona Gora, PL</t>
        </is>
      </c>
      <c r="D5525" t="inlineStr">
        <is>
          <t>09.04.2027</t>
        </is>
      </c>
      <c r="E5525" t="inlineStr">
        <is>
          <t>Spain</t>
        </is>
      </c>
    </row>
    <row r="5526">
      <c r="A5526" t="inlineStr">
        <is>
          <t>IDEX Z. spol. s r.o.,  Zlín, Czech Republic</t>
        </is>
      </c>
      <c r="B5526" t="inlineStr">
        <is>
          <t>First Gathering Point, Trader with Storage</t>
        </is>
      </c>
      <c r="C5526" t="inlineStr">
        <is>
          <t>Bureau Veritas Polska Sp. z o.o., Warsaw, PL</t>
        </is>
      </c>
      <c r="D5526" t="inlineStr">
        <is>
          <t>09.04.2027</t>
        </is>
      </c>
      <c r="E5526" t="inlineStr">
        <is>
          <t>Czech Republic</t>
        </is>
      </c>
    </row>
    <row r="5527">
      <c r="A5527" t="inlineStr">
        <is>
          <t>Guangzhou SYJ Industry Co., Ltd.,  Shen County, Liaocheng City, Shandong Province, China</t>
        </is>
      </c>
      <c r="B5527" t="inlineStr">
        <is>
          <t>Collecting Point, Trader with Storage</t>
        </is>
      </c>
      <c r="C5527" t="inlineStr">
        <is>
          <t>SCS Global Services, Emeryville, CA, US</t>
        </is>
      </c>
      <c r="D5527" t="inlineStr">
        <is>
          <t>09.04.2027</t>
        </is>
      </c>
      <c r="E5527" t="inlineStr">
        <is>
          <t>China</t>
        </is>
      </c>
    </row>
    <row r="5528">
      <c r="A5528" t="inlineStr">
        <is>
          <t>Petróleos del Norte, S.A.,  Muskiz (Vizcaya), Spain</t>
        </is>
      </c>
      <c r="B5528" t="inlineStr">
        <is>
          <t>Trader with Storage, Warehouse, Processing Unit, ETBE plant, MTBE plant</t>
        </is>
      </c>
      <c r="C5528" t="inlineStr">
        <is>
          <t>Control Union Poland Sp. z o.o., Zielona Gora, PL</t>
        </is>
      </c>
      <c r="D5528" t="inlineStr">
        <is>
          <t>09.04.2027</t>
        </is>
      </c>
      <c r="E5528" t="inlineStr">
        <is>
          <t>Spain</t>
        </is>
      </c>
    </row>
    <row r="5529">
      <c r="A5529" t="inlineStr">
        <is>
          <t>Petróleos del Norte, S.A.,  Muskiz (Vizcaya), Spain</t>
        </is>
      </c>
      <c r="B5529" t="inlineStr">
        <is>
          <t>Trader with Storage, ETBE plant, MTBE plant, Processing Unit, Warehouse</t>
        </is>
      </c>
      <c r="C5529" t="inlineStr">
        <is>
          <t>Control Union Poland Sp. z o.o., Zielona Gora, PL</t>
        </is>
      </c>
      <c r="D5529" t="inlineStr">
        <is>
          <t>09.04.2027</t>
        </is>
      </c>
      <c r="E5529" t="inlineStr">
        <is>
          <t>Spain</t>
        </is>
      </c>
    </row>
    <row r="5530">
      <c r="A5530" t="inlineStr">
        <is>
          <t>Repsol Fuels S.A.U.,  A Coruña, Spain</t>
        </is>
      </c>
      <c r="B5530" t="inlineStr">
        <is>
          <t>ETBE plant, Processing Unit, Trader with Storage, Warehouse</t>
        </is>
      </c>
      <c r="C5530" t="inlineStr">
        <is>
          <t>Control Union Poland Sp. z o.o., Zielona Gora, PL</t>
        </is>
      </c>
      <c r="D5530" t="inlineStr">
        <is>
          <t>09.04.2027</t>
        </is>
      </c>
      <c r="E5530" t="inlineStr">
        <is>
          <t>Spain</t>
        </is>
      </c>
    </row>
    <row r="5531">
      <c r="A5531" t="inlineStr">
        <is>
          <t>Dansk Biofiber og Gødning A/S,  Nibe, Denmark</t>
        </is>
      </c>
      <c r="B5531" t="inlineStr">
        <is>
          <t>Collecting Point, Processing Unit</t>
        </is>
      </c>
      <c r="C5531" t="inlineStr">
        <is>
          <t>Baltic Control Certification, Albertslund, DK</t>
        </is>
      </c>
      <c r="D5531" t="inlineStr">
        <is>
          <t>09.04.2027</t>
        </is>
      </c>
      <c r="E5531" t="inlineStr">
        <is>
          <t>Denmark</t>
        </is>
      </c>
    </row>
    <row r="5532">
      <c r="A5532" t="inlineStr">
        <is>
          <t>CAHAYA HARMONI RESOURCES,  Kota Adm. Jakarta Utara, Indonesia</t>
        </is>
      </c>
      <c r="B5532" t="inlineStr">
        <is>
          <t>Trader</t>
        </is>
      </c>
      <c r="C5532" t="inlineStr">
        <is>
          <t>PT. Qualitas Sertifikasi Indonesia, Jakarta, ID</t>
        </is>
      </c>
      <c r="D5532" t="inlineStr">
        <is>
          <t>09.04.2027</t>
        </is>
      </c>
      <c r="E5532" t="inlineStr">
        <is>
          <t>Indonesia</t>
        </is>
      </c>
    </row>
    <row r="5533">
      <c r="A5533" t="inlineStr">
        <is>
          <t>Oliva AD,  village Razdelna, municipality Beloslav, Bulgaria</t>
        </is>
      </c>
      <c r="B5533" t="inlineStr">
        <is>
          <t>Point of Origin, Processing Unit</t>
        </is>
      </c>
      <c r="C5533" t="inlineStr">
        <is>
          <t>Bureau Veritas Polska Sp. z o.o., Warsaw, PL</t>
        </is>
      </c>
      <c r="D5533" t="inlineStr">
        <is>
          <t>09.04.2027</t>
        </is>
      </c>
      <c r="E5533" t="inlineStr">
        <is>
          <t>Bulgaria</t>
        </is>
      </c>
    </row>
    <row r="5534">
      <c r="A5534" t="inlineStr">
        <is>
          <t>ARLANXEO Singapore Pte. Ltd.,  Singapore, Singapore</t>
        </is>
      </c>
      <c r="B5534" t="inlineStr">
        <is>
          <t>Processing Unit</t>
        </is>
      </c>
      <c r="C5534" t="inlineStr">
        <is>
          <t>TÜV SÜD Industrie Service GmbH, München, DE</t>
        </is>
      </c>
      <c r="D5534" t="inlineStr">
        <is>
          <t>09.04.2027</t>
        </is>
      </c>
      <c r="E5534" t="inlineStr">
        <is>
          <t>Singapore</t>
        </is>
      </c>
    </row>
    <row r="5535">
      <c r="A5535" t="inlineStr">
        <is>
          <t>Hexion VAD B.V.,  Moerdijk, Netherlands</t>
        </is>
      </c>
      <c r="B5535" t="inlineStr">
        <is>
          <t>Processing Unit</t>
        </is>
      </c>
      <c r="C5535" t="inlineStr">
        <is>
          <t>ASG Cert GmbH, Munich, DE</t>
        </is>
      </c>
      <c r="D5535" t="inlineStr">
        <is>
          <t>09.04.2027</t>
        </is>
      </c>
      <c r="E5535" t="inlineStr">
        <is>
          <t>Netherlands</t>
        </is>
      </c>
    </row>
    <row r="5536">
      <c r="A5536" t="inlineStr">
        <is>
          <t>Hexion VAD B.V.,  Rotterdam, Netherlands</t>
        </is>
      </c>
      <c r="B5536" t="inlineStr">
        <is>
          <t>Processing Unit</t>
        </is>
      </c>
      <c r="C5536" t="inlineStr">
        <is>
          <t>ASG Cert GmbH, Munich, DE</t>
        </is>
      </c>
      <c r="D5536" t="inlineStr">
        <is>
          <t>09.04.2027</t>
        </is>
      </c>
      <c r="E5536" t="inlineStr">
        <is>
          <t>Netherlands</t>
        </is>
      </c>
    </row>
    <row r="5537">
      <c r="A5537" t="inlineStr">
        <is>
          <t>Grupo Reis Lda,  Luanda, Angola</t>
        </is>
      </c>
      <c r="B5537" t="inlineStr">
        <is>
          <t>Collecting Point, First Gathering Point, Trader with Storage</t>
        </is>
      </c>
      <c r="C5537" t="inlineStr">
        <is>
          <t>RINA Services S.p.A., Genova, IT</t>
        </is>
      </c>
      <c r="D5537" t="inlineStr">
        <is>
          <t>09.04.2027</t>
        </is>
      </c>
      <c r="E5537" t="inlineStr">
        <is>
          <t>Angola</t>
        </is>
      </c>
    </row>
    <row r="5538">
      <c r="A5538" t="inlineStr">
        <is>
          <t>Continental Tires (China) Co., Ltd,  Hefei, China</t>
        </is>
      </c>
      <c r="B5538" t="inlineStr">
        <is>
          <t>Processing Unit</t>
        </is>
      </c>
      <c r="C5538" t="inlineStr">
        <is>
          <t>DQS CFS GmbH - Deutsche Gesellschaft für Nachhaltigkeit, Frankfurt am Main, DE</t>
        </is>
      </c>
      <c r="D5538" t="inlineStr">
        <is>
          <t>09.04.2027</t>
        </is>
      </c>
      <c r="E5538" t="inlineStr">
        <is>
          <t>China</t>
        </is>
      </c>
    </row>
    <row r="5539">
      <c r="A5539" t="inlineStr">
        <is>
          <t>Wuhan Topsail Chemical Co., Ltd.,  Wuhan City, Hubei Province, China</t>
        </is>
      </c>
      <c r="B5539" t="inlineStr">
        <is>
          <t>Trader</t>
        </is>
      </c>
      <c r="C5539" t="inlineStr">
        <is>
          <t>DIN CERTCO GmbH, Berlin, DE</t>
        </is>
      </c>
      <c r="D5539" t="inlineStr">
        <is>
          <t>09.04.2027</t>
        </is>
      </c>
      <c r="E5539" t="inlineStr">
        <is>
          <t>China</t>
        </is>
      </c>
    </row>
    <row r="5540">
      <c r="A5540" t="inlineStr">
        <is>
          <t>Standic Oil Storage B.V.,  Dordrecht, Netherlands</t>
        </is>
      </c>
      <c r="B5540" t="inlineStr">
        <is>
          <t>Warehouse</t>
        </is>
      </c>
      <c r="C5540" t="inlineStr">
        <is>
          <t>Control Union Certifications Germany GmbH, Berlin, DE</t>
        </is>
      </c>
      <c r="D5540" t="inlineStr">
        <is>
          <t>09.04.2027</t>
        </is>
      </c>
      <c r="E5540" t="inlineStr">
        <is>
          <t>Netherlands</t>
        </is>
      </c>
    </row>
    <row r="5541">
      <c r="A5541" t="inlineStr">
        <is>
          <t>Scientific and Production Firm "Urozhay",  Lipliave village, Cherkasy district, Cherkasy reg., Ukraine</t>
        </is>
      </c>
      <c r="B5541" t="inlineStr">
        <is>
          <t>Collecting Point</t>
        </is>
      </c>
      <c r="C5541" t="inlineStr">
        <is>
          <t>BM Certification, Riga, LV</t>
        </is>
      </c>
      <c r="D5541" t="inlineStr">
        <is>
          <t>09.04.2027</t>
        </is>
      </c>
      <c r="E5541" t="inlineStr">
        <is>
          <t>Ukraine</t>
        </is>
      </c>
    </row>
    <row r="5542">
      <c r="A5542" t="inlineStr">
        <is>
          <t>SIA Grosta,  Liepāja, Latvia</t>
        </is>
      </c>
      <c r="B5542" t="inlineStr">
        <is>
          <t>Collecting Point, Trader with Storage</t>
        </is>
      </c>
      <c r="C5542" t="inlineStr">
        <is>
          <t>SGS Germany GmbH, Emstek, DE</t>
        </is>
      </c>
      <c r="D5542" t="inlineStr">
        <is>
          <t>09.04.2027</t>
        </is>
      </c>
      <c r="E5542" t="inlineStr">
        <is>
          <t>Latvia</t>
        </is>
      </c>
    </row>
    <row r="5543">
      <c r="A5543" t="inlineStr">
        <is>
          <t>Anhui Jinyide Environmental Protection Technology Co., Ltd,  Fuyang City, Anhui Province, China</t>
        </is>
      </c>
      <c r="B5543" t="inlineStr">
        <is>
          <t>Collecting Point, Trader with Storage</t>
        </is>
      </c>
      <c r="C5543" t="inlineStr">
        <is>
          <t>SCS Global Services, Emeryville, CA, US</t>
        </is>
      </c>
      <c r="D5543" t="inlineStr">
        <is>
          <t>09.04.2027</t>
        </is>
      </c>
      <c r="E5543" t="inlineStr">
        <is>
          <t>China</t>
        </is>
      </c>
    </row>
    <row r="5544">
      <c r="A5544" t="inlineStr">
        <is>
          <t>CV. Sinergi Makna Nabati,  Bandar Lampung, Indonesia</t>
        </is>
      </c>
      <c r="B5544" t="inlineStr">
        <is>
          <t>Trader with Storage</t>
        </is>
      </c>
      <c r="C5544" t="inlineStr">
        <is>
          <t>PT. Qualitas Sertifikasi Indonesia, Jakarta, ID</t>
        </is>
      </c>
      <c r="D5544" t="inlineStr">
        <is>
          <t>09.04.2027</t>
        </is>
      </c>
      <c r="E5544" t="inlineStr">
        <is>
          <t>Indonesia</t>
        </is>
      </c>
    </row>
    <row r="5545">
      <c r="A5545" t="inlineStr">
        <is>
          <t>QINGDAO CLEMENT TRADE CO., LTD.,  Qingdao Free Trade Port Zone, Shandong Province, China</t>
        </is>
      </c>
      <c r="B5545" t="inlineStr">
        <is>
          <t>Trader with Storage</t>
        </is>
      </c>
      <c r="C5545" t="inlineStr">
        <is>
          <t>SGS Germany GmbH, Emstek, DE</t>
        </is>
      </c>
      <c r="D5545" t="inlineStr">
        <is>
          <t>09.04.2027</t>
        </is>
      </c>
      <c r="E5545" t="inlineStr">
        <is>
          <t>China</t>
        </is>
      </c>
    </row>
    <row r="5546">
      <c r="A5546" t="inlineStr">
        <is>
          <t>Hebei Feimi New Energy Technology Co., Ltd,  Shijiazhuang City, Hebei Province,, China</t>
        </is>
      </c>
      <c r="B5546" t="inlineStr">
        <is>
          <t>Processing Unit, Trader with Storage</t>
        </is>
      </c>
      <c r="C5546" t="inlineStr">
        <is>
          <t>China Standard Conformity Assessment Co. Ltd, Beijing, CN</t>
        </is>
      </c>
      <c r="D5546" t="inlineStr">
        <is>
          <t>09.04.2027</t>
        </is>
      </c>
      <c r="E5546" t="inlineStr">
        <is>
          <t>China</t>
        </is>
      </c>
    </row>
    <row r="5547">
      <c r="A5547" t="inlineStr">
        <is>
          <t>AGOSTINIS LUIGI SRL,  REANA DEL ROJALE, Italy</t>
        </is>
      </c>
      <c r="B5547" t="inlineStr">
        <is>
          <t>Collecting Point, First Gathering Point</t>
        </is>
      </c>
      <c r="C5547" t="inlineStr">
        <is>
          <t>PT Intertek Utama Services, Jakarta, ID</t>
        </is>
      </c>
      <c r="D5547" t="inlineStr">
        <is>
          <t>09.04.2027</t>
        </is>
      </c>
      <c r="E5547" t="inlineStr">
        <is>
          <t>Italy</t>
        </is>
      </c>
    </row>
    <row r="5548">
      <c r="A5548" t="inlineStr">
        <is>
          <t>Agroveen BV,  Uden, Netherlands</t>
        </is>
      </c>
      <c r="B5548" t="inlineStr">
        <is>
          <t>Trader, Collecting Point</t>
        </is>
      </c>
      <c r="C5548" t="inlineStr">
        <is>
          <t>DEKRA Certification B.V., Arnhem, NL</t>
        </is>
      </c>
      <c r="D5548" t="inlineStr">
        <is>
          <t>09.04.2027</t>
        </is>
      </c>
      <c r="E5548" t="inlineStr">
        <is>
          <t>Netherlands</t>
        </is>
      </c>
    </row>
    <row r="5549">
      <c r="A5549" t="inlineStr">
        <is>
          <t>Buffalo Biodiesel Inc.,  Tonawanda, United States</t>
        </is>
      </c>
      <c r="B5549" t="inlineStr">
        <is>
          <t>Collecting Point</t>
        </is>
      </c>
      <c r="C5549" t="inlineStr">
        <is>
          <t>Control Union Poland Sp. z o.o., Zielona Gora, PL</t>
        </is>
      </c>
      <c r="D5549" t="inlineStr">
        <is>
          <t>09.04.2027</t>
        </is>
      </c>
      <c r="E5549" t="inlineStr">
        <is>
          <t>United States</t>
        </is>
      </c>
    </row>
    <row r="5550">
      <c r="A5550" t="inlineStr">
        <is>
          <t>FIST d.o.o.,  Trzin, Slovenia</t>
        </is>
      </c>
      <c r="B5550" t="inlineStr">
        <is>
          <t>Trader</t>
        </is>
      </c>
      <c r="C5550" t="inlineStr">
        <is>
          <t>Bureau Veritas Polska Sp. z o.o., Warsaw, PL</t>
        </is>
      </c>
      <c r="D5550" t="inlineStr">
        <is>
          <t>09.04.2027</t>
        </is>
      </c>
      <c r="E5550" t="inlineStr">
        <is>
          <t>Slovenia</t>
        </is>
      </c>
    </row>
    <row r="5551">
      <c r="A5551" t="inlineStr">
        <is>
          <t>Buffalo Biodiesel Inc.,  Tonawanda, United States</t>
        </is>
      </c>
      <c r="B5551" t="inlineStr">
        <is>
          <t>Collecting Point</t>
        </is>
      </c>
      <c r="C5551" t="inlineStr">
        <is>
          <t>Control Union Poland Sp. z o.o., Zielona Gora, PL</t>
        </is>
      </c>
      <c r="D5551" t="inlineStr">
        <is>
          <t>09.04.2027</t>
        </is>
      </c>
      <c r="E5551" t="inlineStr">
        <is>
          <t>United States</t>
        </is>
      </c>
    </row>
    <row r="5552">
      <c r="A5552" t="inlineStr">
        <is>
          <t>Carpenter ApS,  Højbjerg, Denmark</t>
        </is>
      </c>
      <c r="B5552" t="inlineStr">
        <is>
          <t>Processing Unit</t>
        </is>
      </c>
      <c r="C5552" t="inlineStr">
        <is>
          <t>Baltic Control Certification, Albertslund, DK</t>
        </is>
      </c>
      <c r="D5552" t="inlineStr">
        <is>
          <t>09.04.2027</t>
        </is>
      </c>
      <c r="E5552" t="inlineStr">
        <is>
          <t>Denmark</t>
        </is>
      </c>
    </row>
    <row r="5553">
      <c r="A5553" t="inlineStr">
        <is>
          <t>Plastik,  Albano Sant’Alessandro, Italy</t>
        </is>
      </c>
      <c r="B5553" t="inlineStr">
        <is>
          <t>Processing Unit</t>
        </is>
      </c>
      <c r="C5553" t="inlineStr">
        <is>
          <t>RINA Services S.p.A., Genova, IT</t>
        </is>
      </c>
      <c r="D5553" t="inlineStr">
        <is>
          <t>09.04.2027</t>
        </is>
      </c>
      <c r="E5553" t="inlineStr">
        <is>
          <t>Italy</t>
        </is>
      </c>
    </row>
    <row r="5554">
      <c r="A5554" t="inlineStr">
        <is>
          <t>Sunrise Clarity SDN BHD,  Sandakan, Sabah, Malaysia</t>
        </is>
      </c>
      <c r="B5554" t="inlineStr">
        <is>
          <t>Trader with Storage</t>
        </is>
      </c>
      <c r="C5554" t="inlineStr">
        <is>
          <t>SGS Germany GmbH, Emstek, DE</t>
        </is>
      </c>
      <c r="D5554" t="inlineStr">
        <is>
          <t>09.04.2027</t>
        </is>
      </c>
      <c r="E5554" t="inlineStr">
        <is>
          <t>Malaysia</t>
        </is>
      </c>
    </row>
    <row r="5555">
      <c r="A5555" t="inlineStr">
        <is>
          <t>Scandi Trading Ltd,  Nicosia, Cyprus</t>
        </is>
      </c>
      <c r="B5555" t="inlineStr">
        <is>
          <t>Trader</t>
        </is>
      </c>
      <c r="C5555" t="inlineStr">
        <is>
          <t>Business Quality Verification Testing and Certification Services P.C. (BQV), Marousi, Athens, GR</t>
        </is>
      </c>
      <c r="D5555" t="inlineStr">
        <is>
          <t>09.04.2027</t>
        </is>
      </c>
      <c r="E5555" t="inlineStr">
        <is>
          <t>Cyprus</t>
        </is>
      </c>
    </row>
    <row r="5556">
      <c r="A5556" t="inlineStr">
        <is>
          <t>Recycling Services,  Ghala, Oman</t>
        </is>
      </c>
      <c r="B5556" t="inlineStr">
        <is>
          <t>Collecting Point</t>
        </is>
      </c>
      <c r="C5556" t="inlineStr">
        <is>
          <t>Trans Certification and Inspection Sdn Bhd, Kuantan, MY</t>
        </is>
      </c>
      <c r="D5556" t="inlineStr">
        <is>
          <t>09.04.2027</t>
        </is>
      </c>
      <c r="E5556" t="inlineStr">
        <is>
          <t>Oman</t>
        </is>
      </c>
    </row>
    <row r="5557">
      <c r="A5557" t="inlineStr">
        <is>
          <t>Sarl Jijiclem,  echirolle, France</t>
        </is>
      </c>
      <c r="B5557" t="inlineStr">
        <is>
          <t>Collecting Point</t>
        </is>
      </c>
      <c r="C5557" t="inlineStr">
        <is>
          <t>Control Union Certifications Germany GmbH, Berlin, DE</t>
        </is>
      </c>
      <c r="D5557" t="inlineStr">
        <is>
          <t>09.04.2027</t>
        </is>
      </c>
      <c r="E5557" t="inlineStr">
        <is>
          <t>France</t>
        </is>
      </c>
    </row>
    <row r="5558">
      <c r="A5558" t="inlineStr">
        <is>
          <t>OCEAN ENERGY SAM,  MONACO, Monaco</t>
        </is>
      </c>
      <c r="B5558" t="inlineStr">
        <is>
          <t>Trader</t>
        </is>
      </c>
      <c r="C5558" t="inlineStr">
        <is>
          <t>Control Union Certifications Germany GmbH, Berlin, DE</t>
        </is>
      </c>
      <c r="D5558" t="inlineStr">
        <is>
          <t>08.04.2027</t>
        </is>
      </c>
      <c r="E5558" t="inlineStr">
        <is>
          <t>Monaco</t>
        </is>
      </c>
    </row>
    <row r="5559">
      <c r="A5559" t="inlineStr">
        <is>
          <t>Henan Meidong Chemical Technology Co., Ltd.,  Anyang City, Henan Province, China</t>
        </is>
      </c>
      <c r="B5559" t="inlineStr">
        <is>
          <t>Processing Unit</t>
        </is>
      </c>
      <c r="C5559" t="inlineStr">
        <is>
          <t>RINA Services S.p.A., Genova, IT</t>
        </is>
      </c>
      <c r="D5559" t="inlineStr">
        <is>
          <t>08.04.2027</t>
        </is>
      </c>
      <c r="E5559" t="inlineStr">
        <is>
          <t>China</t>
        </is>
      </c>
    </row>
    <row r="5560">
      <c r="A5560" t="inlineStr">
        <is>
          <t>Henan Meidong Chemical Technology Co., Ltd.,  Anyang City, Henan Province, China</t>
        </is>
      </c>
      <c r="B5560" t="inlineStr">
        <is>
          <t>Processing Unit</t>
        </is>
      </c>
      <c r="C5560" t="inlineStr">
        <is>
          <t>RINA Services S.p.A., Genova, IT</t>
        </is>
      </c>
      <c r="D5560" t="inlineStr">
        <is>
          <t>08.04.2027</t>
        </is>
      </c>
      <c r="E5560" t="inlineStr">
        <is>
          <t>China</t>
        </is>
      </c>
    </row>
    <row r="5561">
      <c r="A5561" t="inlineStr">
        <is>
          <t>Quanzhou Shengyuan Environmental Protection Power Co., Ltd.,  Nan'an City, China</t>
        </is>
      </c>
      <c r="B5561" t="inlineStr">
        <is>
          <t>Collecting Point, Processing Unit</t>
        </is>
      </c>
      <c r="C5561" t="inlineStr">
        <is>
          <t>RINA Services S.p.A., Genova, IT</t>
        </is>
      </c>
      <c r="D5561" t="inlineStr">
        <is>
          <t>08.04.2027</t>
        </is>
      </c>
      <c r="E5561" t="inlineStr">
        <is>
          <t>China</t>
        </is>
      </c>
    </row>
    <row r="5562">
      <c r="A5562" t="inlineStr">
        <is>
          <t>PT. Sawit Mas Makmur,  Serdang Bedagai, Indonesia</t>
        </is>
      </c>
      <c r="B5562" t="inlineStr">
        <is>
          <t>Point of Origin</t>
        </is>
      </c>
      <c r="C5562" t="inlineStr">
        <is>
          <t>Trans Certification and Inspection Sdn Bhd, Kuantan, MY</t>
        </is>
      </c>
      <c r="D5562" t="inlineStr">
        <is>
          <t>08.04.2027</t>
        </is>
      </c>
      <c r="E5562" t="inlineStr">
        <is>
          <t>Indonesia</t>
        </is>
      </c>
    </row>
    <row r="5563">
      <c r="A5563" t="inlineStr">
        <is>
          <t>Grammenos F. Klaoudatos A. OE,  Agios Vasilios, Rio Patras, Greece</t>
        </is>
      </c>
      <c r="B5563" t="inlineStr">
        <is>
          <t>Collecting Point</t>
        </is>
      </c>
      <c r="C5563" t="inlineStr">
        <is>
          <t>Eurocert SA, Metamorfosi, Athens, GR</t>
        </is>
      </c>
      <c r="D5563" t="inlineStr">
        <is>
          <t>08.04.2027</t>
        </is>
      </c>
      <c r="E5563" t="inlineStr">
        <is>
          <t>Greece</t>
        </is>
      </c>
    </row>
    <row r="5564">
      <c r="A5564" t="inlineStr">
        <is>
          <t>Shandong Senneng Yisheng Bioenergy Co., Ltd.,  Weifang City, China</t>
        </is>
      </c>
      <c r="B5564" t="inlineStr">
        <is>
          <t>Collecting Point, Trader with Storage</t>
        </is>
      </c>
      <c r="C5564" t="inlineStr">
        <is>
          <t>RINA Services S.p.A., Genova, IT</t>
        </is>
      </c>
      <c r="D5564" t="inlineStr">
        <is>
          <t>08.04.2027</t>
        </is>
      </c>
      <c r="E5564" t="inlineStr">
        <is>
          <t>China</t>
        </is>
      </c>
    </row>
    <row r="5565">
      <c r="A5565" t="inlineStr">
        <is>
          <t>Hebei Dongru Biotechnology Co., Ltd.,  Handan, Hebei, China</t>
        </is>
      </c>
      <c r="B5565" t="inlineStr">
        <is>
          <t>Trader</t>
        </is>
      </c>
      <c r="C5565" t="inlineStr">
        <is>
          <t>RINA Services S.p.A., Genova, IT</t>
        </is>
      </c>
      <c r="D5565" t="inlineStr">
        <is>
          <t>08.04.2027</t>
        </is>
      </c>
      <c r="E5565" t="inlineStr">
        <is>
          <t>China</t>
        </is>
      </c>
    </row>
    <row r="5566">
      <c r="A5566" t="inlineStr">
        <is>
          <t>NINGBO JIESEN GREEN FUEL CO., LTD,  Ningbo, China</t>
        </is>
      </c>
      <c r="B5566" t="inlineStr">
        <is>
          <t>Processing Unit, Trader with Storage, Point of Origin</t>
        </is>
      </c>
      <c r="C5566" t="inlineStr">
        <is>
          <t>RINA Services S.p.A., Genova, IT</t>
        </is>
      </c>
      <c r="D5566" t="inlineStr">
        <is>
          <t>08.04.2027</t>
        </is>
      </c>
      <c r="E5566" t="inlineStr">
        <is>
          <t>China</t>
        </is>
      </c>
    </row>
    <row r="5567">
      <c r="A5567" t="inlineStr">
        <is>
          <t>Chinaoil Shanghai International Trading Co., Ltd.,  Pudong, Shanghai, China</t>
        </is>
      </c>
      <c r="B5567" t="inlineStr">
        <is>
          <t>Trader</t>
        </is>
      </c>
      <c r="C5567" t="inlineStr">
        <is>
          <t>SCS Global Services, Emeryville, CA, US</t>
        </is>
      </c>
      <c r="D5567" t="inlineStr">
        <is>
          <t>08.04.2027</t>
        </is>
      </c>
      <c r="E5567" t="inlineStr">
        <is>
          <t>China</t>
        </is>
      </c>
    </row>
    <row r="5568">
      <c r="A5568" t="inlineStr">
        <is>
          <t>Molino Rachello,  RONCADE, Italy</t>
        </is>
      </c>
      <c r="B5568" t="inlineStr">
        <is>
          <t>First Gathering Point, Processing Unit</t>
        </is>
      </c>
      <c r="C5568" t="inlineStr">
        <is>
          <t>CSQA Certificazioni Srl, Thiene, IT</t>
        </is>
      </c>
      <c r="D5568" t="inlineStr">
        <is>
          <t>08.04.2027</t>
        </is>
      </c>
      <c r="E5568" t="inlineStr">
        <is>
          <t>Italy</t>
        </is>
      </c>
    </row>
    <row r="5569">
      <c r="A5569" t="inlineStr">
        <is>
          <t>AGRO GRAINS INDEPENDENTA SRL,  CONSTANTA, Romania</t>
        </is>
      </c>
      <c r="B5569" t="inlineStr">
        <is>
          <t>First Gathering Point, Trader with Storage</t>
        </is>
      </c>
      <c r="C5569" t="inlineStr">
        <is>
          <t>SRAC Cert SRL, Bucharest, RO</t>
        </is>
      </c>
      <c r="D5569" t="inlineStr">
        <is>
          <t>08.04.2027</t>
        </is>
      </c>
      <c r="E5569" t="inlineStr">
        <is>
          <t>Romania</t>
        </is>
      </c>
    </row>
    <row r="5570">
      <c r="A5570" t="inlineStr">
        <is>
          <t>Jimei (Dongguan) New Materials Co, LTD,  Dongguan City, Guangdong Province, China</t>
        </is>
      </c>
      <c r="B5570" t="inlineStr">
        <is>
          <t>Processing Unit, Trader with Storage</t>
        </is>
      </c>
      <c r="C5570" t="inlineStr">
        <is>
          <t>China Quality Certification Centre Co., Ltd., Beijing, CN</t>
        </is>
      </c>
      <c r="D5570" t="inlineStr">
        <is>
          <t>08.04.2027</t>
        </is>
      </c>
      <c r="E5570" t="inlineStr">
        <is>
          <t>China</t>
        </is>
      </c>
    </row>
    <row r="5571">
      <c r="A5571" t="inlineStr">
        <is>
          <t>SD Guthrie Berhad,  Layang-Layang, Kluang, Malaysia</t>
        </is>
      </c>
      <c r="B5571" t="inlineStr">
        <is>
          <t>Point of Origin</t>
        </is>
      </c>
      <c r="C5571" t="inlineStr">
        <is>
          <t>Control Union Certifications Germany GmbH, Berlin, DE</t>
        </is>
      </c>
      <c r="D5571" t="inlineStr">
        <is>
          <t>08.04.2027</t>
        </is>
      </c>
      <c r="E5571" t="inlineStr">
        <is>
          <t>Malaysia</t>
        </is>
      </c>
    </row>
    <row r="5572">
      <c r="A5572" t="inlineStr">
        <is>
          <t>BJMonte-Energy,  Nikšić, Montenegro</t>
        </is>
      </c>
      <c r="B5572" t="inlineStr">
        <is>
          <t>Trader</t>
        </is>
      </c>
      <c r="C5572" t="inlineStr">
        <is>
          <t>Business Quality Verification Testing and Certification Services P.C. (BQV), Marousi, Athens, GR</t>
        </is>
      </c>
      <c r="D5572" t="inlineStr">
        <is>
          <t>08.04.2027</t>
        </is>
      </c>
      <c r="E5572" t="inlineStr">
        <is>
          <t>Montenegro</t>
        </is>
      </c>
    </row>
    <row r="5573">
      <c r="A5573" t="inlineStr">
        <is>
          <t>TotalEnergies Marketing Deutschland GmbH,  Berlin, Germany</t>
        </is>
      </c>
      <c r="B5573" t="inlineStr">
        <is>
          <t>Logistics Center, Trader with Storage</t>
        </is>
      </c>
      <c r="C5573" t="inlineStr">
        <is>
          <t>GUT Certifizierungsgesellschaft für Managementsysteme mbH Umweltgutachter, Berlin, DE</t>
        </is>
      </c>
      <c r="D5573" t="inlineStr">
        <is>
          <t>08.04.2027</t>
        </is>
      </c>
      <c r="E5573" t="inlineStr">
        <is>
          <t>Germany</t>
        </is>
      </c>
    </row>
    <row r="5574">
      <c r="A5574" t="inlineStr">
        <is>
          <t>Xinji Minghui Lvyou Oil Co., Ltd,  Xinji, Hebei, China</t>
        </is>
      </c>
      <c r="B5574" t="inlineStr">
        <is>
          <t>Processing Unit, Trader with Storage</t>
        </is>
      </c>
      <c r="C5574" t="inlineStr">
        <is>
          <t>RINA Services S.p.A., Genova, IT</t>
        </is>
      </c>
      <c r="D5574" t="inlineStr">
        <is>
          <t>08.04.2027</t>
        </is>
      </c>
      <c r="E5574" t="inlineStr">
        <is>
          <t>China</t>
        </is>
      </c>
    </row>
    <row r="5575">
      <c r="A5575" t="inlineStr">
        <is>
          <t>Eco Herbs EAD,  Varna, Bulgaria</t>
        </is>
      </c>
      <c r="B5575" t="inlineStr">
        <is>
          <t>First Gathering Point, Trader with Storage</t>
        </is>
      </c>
      <c r="C5575" t="inlineStr">
        <is>
          <t>Bureau Veritas Polska Sp. z o.o., Warsaw, PL</t>
        </is>
      </c>
      <c r="D5575" t="inlineStr">
        <is>
          <t>08.04.2027</t>
        </is>
      </c>
      <c r="E5575" t="inlineStr">
        <is>
          <t>Bulgaria</t>
        </is>
      </c>
    </row>
    <row r="5576">
      <c r="A5576" t="inlineStr">
        <is>
          <t>Shanghai Garson Petroleum &amp; Chemicals Co., Ltd,  Shanghai, China</t>
        </is>
      </c>
      <c r="B5576" t="inlineStr">
        <is>
          <t>Trader</t>
        </is>
      </c>
      <c r="C5576" t="inlineStr">
        <is>
          <t>SCS Global Services, Emeryville, CA, US</t>
        </is>
      </c>
      <c r="D5576" t="inlineStr">
        <is>
          <t>08.04.2027</t>
        </is>
      </c>
      <c r="E5576" t="inlineStr">
        <is>
          <t>China</t>
        </is>
      </c>
    </row>
    <row r="5577">
      <c r="A5577" t="inlineStr">
        <is>
          <t>TotalEnergies Marketing Deutschland GmbH,  Berlin, Germany</t>
        </is>
      </c>
      <c r="B5577" t="inlineStr">
        <is>
          <t>Logistics Center, Proof of Compliance Trader, Trader with Storage</t>
        </is>
      </c>
      <c r="C5577" t="inlineStr">
        <is>
          <t>GUT Certifizierungsgesellschaft für Managementsysteme mbH Umweltgutachter, Berlin, DE</t>
        </is>
      </c>
      <c r="D5577" t="inlineStr">
        <is>
          <t>08.04.2027</t>
        </is>
      </c>
      <c r="E5577" t="inlineStr">
        <is>
          <t>Germany</t>
        </is>
      </c>
    </row>
    <row r="5578">
      <c r="A5578" t="inlineStr">
        <is>
          <t>Manucor,  Sessa Aurunca, Italy</t>
        </is>
      </c>
      <c r="B5578" t="inlineStr">
        <is>
          <t>Processing Unit</t>
        </is>
      </c>
      <c r="C5578" t="inlineStr">
        <is>
          <t>DNV Business Assurance Sweden AB, Solna, SE</t>
        </is>
      </c>
      <c r="D5578" t="inlineStr">
        <is>
          <t>08.04.2027</t>
        </is>
      </c>
      <c r="E5578" t="inlineStr">
        <is>
          <t>Italy</t>
        </is>
      </c>
    </row>
    <row r="5579">
      <c r="A5579" t="inlineStr">
        <is>
          <t>RETRACAN,  Arrecife, Spain</t>
        </is>
      </c>
      <c r="B5579" t="inlineStr">
        <is>
          <t>Collecting Point, Trader with Storage</t>
        </is>
      </c>
      <c r="C5579" t="inlineStr">
        <is>
          <t>PT Intertek Utama Services, Jakarta, ID</t>
        </is>
      </c>
      <c r="D5579" t="inlineStr">
        <is>
          <t>08.04.2027</t>
        </is>
      </c>
      <c r="E5579" t="inlineStr">
        <is>
          <t>Spain</t>
        </is>
      </c>
    </row>
    <row r="5580">
      <c r="A5580" t="inlineStr">
        <is>
          <t>MAGIC PACK,  GADESCO PIEVE DELMONA (CR), Italy</t>
        </is>
      </c>
      <c r="B5580" t="inlineStr">
        <is>
          <t>Processing Unit</t>
        </is>
      </c>
      <c r="C5580" t="inlineStr">
        <is>
          <t>IIP S.r.l., Monza, IT</t>
        </is>
      </c>
      <c r="D5580" t="inlineStr">
        <is>
          <t>08.04.2027</t>
        </is>
      </c>
      <c r="E5580" t="inlineStr">
        <is>
          <t>Italy</t>
        </is>
      </c>
    </row>
    <row r="5581">
      <c r="A5581" t="inlineStr">
        <is>
          <t>FilMax Corporation,  Gumi-si, Gyeongsangbuk-do, Republic of Korea, Korea, Republic of</t>
        </is>
      </c>
      <c r="B5581" t="inlineStr">
        <is>
          <t>Processing Unit</t>
        </is>
      </c>
      <c r="C5581" t="inlineStr">
        <is>
          <t>Control Union Certifications Germany GmbH, Berlin, DE</t>
        </is>
      </c>
      <c r="D5581" t="inlineStr">
        <is>
          <t>08.04.2027</t>
        </is>
      </c>
      <c r="E5581" t="inlineStr">
        <is>
          <t>Republic of</t>
        </is>
      </c>
    </row>
    <row r="5582">
      <c r="A5582" t="inlineStr">
        <is>
          <t>HD Hyundai OCI Co.,Ltd.,  Daesan-eup, Seosan-si, Korea, Republic of</t>
        </is>
      </c>
      <c r="B5582" t="inlineStr">
        <is>
          <t>Processing Unit</t>
        </is>
      </c>
      <c r="C5582" t="inlineStr">
        <is>
          <t>Control Union Certifications Germany GmbH, Berlin, DE</t>
        </is>
      </c>
      <c r="D5582" t="inlineStr">
        <is>
          <t>08.04.2027</t>
        </is>
      </c>
      <c r="E5582" t="inlineStr">
        <is>
          <t>Republic of</t>
        </is>
      </c>
    </row>
    <row r="5583">
      <c r="A5583" t="inlineStr">
        <is>
          <t>Sojitz (Thailand) Co., Ltd.,  Sriracha, Chonburi, Thailand</t>
        </is>
      </c>
      <c r="B5583" t="inlineStr">
        <is>
          <t>Trader with Storage</t>
        </is>
      </c>
      <c r="C5583" t="inlineStr">
        <is>
          <t>SGS Germany GmbH, Emstek, DE</t>
        </is>
      </c>
      <c r="D5583" t="inlineStr">
        <is>
          <t>08.04.2027</t>
        </is>
      </c>
      <c r="E5583" t="inlineStr">
        <is>
          <t>Thailand</t>
        </is>
      </c>
    </row>
    <row r="5584">
      <c r="A5584" t="inlineStr">
        <is>
          <t>Sojitz (Thailand) Co., Ltd.,  Sriracha, Chonburi, Thailand</t>
        </is>
      </c>
      <c r="B5584" t="inlineStr">
        <is>
          <t>Trader</t>
        </is>
      </c>
      <c r="C5584" t="inlineStr">
        <is>
          <t>SGS Germany GmbH, Emstek, DE</t>
        </is>
      </c>
      <c r="D5584" t="inlineStr">
        <is>
          <t>08.04.2027</t>
        </is>
      </c>
      <c r="E5584" t="inlineStr">
        <is>
          <t>Thailand</t>
        </is>
      </c>
    </row>
    <row r="5585">
      <c r="A5585" t="inlineStr">
        <is>
          <t>Bioils Latam SpA,  Miraflores de Lipangue Comuna de Lampa, Chile</t>
        </is>
      </c>
      <c r="B5585" t="inlineStr">
        <is>
          <t>Collecting Point, Point of Origin, Processing Unit, Trader with Storage</t>
        </is>
      </c>
      <c r="C5585" t="inlineStr">
        <is>
          <t>SGS Germany GmbH, Emstek, DE</t>
        </is>
      </c>
      <c r="D5585" t="inlineStr">
        <is>
          <t>08.04.2027</t>
        </is>
      </c>
      <c r="E5585" t="inlineStr">
        <is>
          <t>Chile</t>
        </is>
      </c>
    </row>
    <row r="5586">
      <c r="A5586" t="inlineStr">
        <is>
          <t>Alföld Agrotrade Kft.,  Budapest, Hungary</t>
        </is>
      </c>
      <c r="B5586" t="inlineStr">
        <is>
          <t>First Gathering Point, Trader with Storage</t>
        </is>
      </c>
      <c r="C5586" t="inlineStr">
        <is>
          <t>BM Certification, Riga, LV</t>
        </is>
      </c>
      <c r="D5586" t="inlineStr">
        <is>
          <t>08.04.2027</t>
        </is>
      </c>
      <c r="E5586" t="inlineStr">
        <is>
          <t>Hungary</t>
        </is>
      </c>
    </row>
    <row r="5587">
      <c r="A5587" t="inlineStr">
        <is>
          <t>Omega Proteins Ltd,  Cottown, Kintore, Aberdeenshire, United Kingdom</t>
        </is>
      </c>
      <c r="B5587" t="inlineStr">
        <is>
          <t>Point of Origin</t>
        </is>
      </c>
      <c r="C5587" t="inlineStr">
        <is>
          <t>SGS Germany GmbH, Emstek, DE</t>
        </is>
      </c>
      <c r="D5587" t="inlineStr">
        <is>
          <t>08.04.2027</t>
        </is>
      </c>
      <c r="E5587" t="inlineStr">
        <is>
          <t>United Kingdom</t>
        </is>
      </c>
    </row>
    <row r="5588">
      <c r="A5588" t="inlineStr">
        <is>
          <t>Aster Chemicals and Energy Pte. Ltd.,  Singapore, Singapore</t>
        </is>
      </c>
      <c r="B5588" t="inlineStr">
        <is>
          <t>Processing Unit</t>
        </is>
      </c>
      <c r="C5588" t="inlineStr">
        <is>
          <t>SGS Germany GmbH, Emstek, DE</t>
        </is>
      </c>
      <c r="D5588" t="inlineStr">
        <is>
          <t>08.04.2027</t>
        </is>
      </c>
      <c r="E5588" t="inlineStr">
        <is>
          <t>Singapore</t>
        </is>
      </c>
    </row>
    <row r="5589">
      <c r="A5589" t="inlineStr">
        <is>
          <t>Nexbridge Loop Pte. Ltd.,  Singapore, Singapore</t>
        </is>
      </c>
      <c r="B5589" t="inlineStr">
        <is>
          <t>Trader</t>
        </is>
      </c>
      <c r="C5589" t="inlineStr">
        <is>
          <t>ISOQAR Ltd, Stretford, Manchester, GB</t>
        </is>
      </c>
      <c r="D5589" t="inlineStr">
        <is>
          <t>08.04.2027</t>
        </is>
      </c>
      <c r="E5589" t="inlineStr">
        <is>
          <t>Singapore</t>
        </is>
      </c>
    </row>
    <row r="5590">
      <c r="A5590" t="inlineStr">
        <is>
          <t>GZM Extraktionswerk AG,  Lyss, Switzerland</t>
        </is>
      </c>
      <c r="B5590" t="inlineStr">
        <is>
          <t>Point of Origin, Trader</t>
        </is>
      </c>
      <c r="C5590" t="inlineStr">
        <is>
          <t>RINA Services S.p.A., Genova, IT</t>
        </is>
      </c>
      <c r="D5590" t="inlineStr">
        <is>
          <t>08.04.2027</t>
        </is>
      </c>
      <c r="E5590" t="inlineStr">
        <is>
          <t>Switzerland</t>
        </is>
      </c>
    </row>
    <row r="5591">
      <c r="A5591" t="inlineStr">
        <is>
          <t>Fiskeby Board AB,  Norrköping, Sweden</t>
        </is>
      </c>
      <c r="B5591" t="inlineStr">
        <is>
          <t>Processing Unit</t>
        </is>
      </c>
      <c r="C5591" t="inlineStr">
        <is>
          <t>DNV Business Assurance Sweden AB, Solna, SE</t>
        </is>
      </c>
      <c r="D5591" t="inlineStr">
        <is>
          <t>08.04.2027</t>
        </is>
      </c>
      <c r="E5591" t="inlineStr">
        <is>
          <t>Sweden</t>
        </is>
      </c>
    </row>
    <row r="5592">
      <c r="A5592" t="inlineStr">
        <is>
          <t>AJMOLIRECICLA,  CONSTANTÍ, Spain</t>
        </is>
      </c>
      <c r="B5592" t="inlineStr">
        <is>
          <t>Collecting Point</t>
        </is>
      </c>
      <c r="C5592" t="inlineStr">
        <is>
          <t>RINA Services S.p.A., Genova, IT</t>
        </is>
      </c>
      <c r="D5592" t="inlineStr">
        <is>
          <t>08.04.2027</t>
        </is>
      </c>
      <c r="E5592" t="inlineStr">
        <is>
          <t>Spain</t>
        </is>
      </c>
    </row>
    <row r="5593">
      <c r="A5593" t="inlineStr">
        <is>
          <t>MALWA PETRO PRODUCTS PRIVATE LIMITED,  NEEMUCH, India</t>
        </is>
      </c>
      <c r="B5593" t="inlineStr">
        <is>
          <t>Collecting Point, Processing Unit</t>
        </is>
      </c>
      <c r="C5593" t="inlineStr">
        <is>
          <t>ISOQAR Ltd, Stretford, Manchester, GB</t>
        </is>
      </c>
      <c r="D5593" t="inlineStr">
        <is>
          <t>08.04.2027</t>
        </is>
      </c>
      <c r="E5593" t="inlineStr">
        <is>
          <t>India</t>
        </is>
      </c>
    </row>
    <row r="5594">
      <c r="A5594" t="inlineStr">
        <is>
          <t>MALWA PETRO PRODUCTS PRIVATE LIMITED,  NEEMUCH, India</t>
        </is>
      </c>
      <c r="B5594" t="inlineStr">
        <is>
          <t>Collecting Point, Processing Unit</t>
        </is>
      </c>
      <c r="C5594" t="inlineStr">
        <is>
          <t>ISOQAR Ltd, Stretford, Manchester, GB</t>
        </is>
      </c>
      <c r="D5594" t="inlineStr">
        <is>
          <t>08.04.2027</t>
        </is>
      </c>
      <c r="E5594" t="inlineStr">
        <is>
          <t>India</t>
        </is>
      </c>
    </row>
    <row r="5595">
      <c r="A5595" t="inlineStr">
        <is>
          <t>BLUE POWER SRL,  AIRASCA (TO), Italy</t>
        </is>
      </c>
      <c r="B5595" t="inlineStr">
        <is>
          <t>Processing Unit</t>
        </is>
      </c>
      <c r="C5595" t="inlineStr">
        <is>
          <t>RINA Services S.p.A., Genova, IT</t>
        </is>
      </c>
      <c r="D5595" t="inlineStr">
        <is>
          <t>08.04.2027</t>
        </is>
      </c>
      <c r="E5595" t="inlineStr">
        <is>
          <t>Italy</t>
        </is>
      </c>
    </row>
    <row r="5596">
      <c r="A5596" t="inlineStr">
        <is>
          <t>Gulf Star Capital LLC DBA RENOIL,  Houston, United States</t>
        </is>
      </c>
      <c r="B5596" t="inlineStr">
        <is>
          <t>Collecting Point</t>
        </is>
      </c>
      <c r="C5596" t="inlineStr">
        <is>
          <t>Amspec Iberia SL, Vilagarcia de Arousa-Pontevedra, ES</t>
        </is>
      </c>
      <c r="D5596" t="inlineStr">
        <is>
          <t>08.04.2027</t>
        </is>
      </c>
      <c r="E5596" t="inlineStr">
        <is>
          <t>United States</t>
        </is>
      </c>
    </row>
    <row r="5597">
      <c r="A5597" t="inlineStr">
        <is>
          <t>Gulf Star Capital LLC DBA RENOIL,  Houston, United States</t>
        </is>
      </c>
      <c r="B5597" t="inlineStr">
        <is>
          <t>Collecting Point</t>
        </is>
      </c>
      <c r="C5597" t="inlineStr">
        <is>
          <t>Amspec Iberia SL, Vilagarcia de Arousa-Pontevedra, ES</t>
        </is>
      </c>
      <c r="D5597" t="inlineStr">
        <is>
          <t>08.04.2027</t>
        </is>
      </c>
      <c r="E5597" t="inlineStr">
        <is>
          <t>United States</t>
        </is>
      </c>
    </row>
    <row r="5598">
      <c r="A5598" t="inlineStr">
        <is>
          <t>M.G.M.,  ORTE, Italy</t>
        </is>
      </c>
      <c r="B5598" t="inlineStr">
        <is>
          <t>Collecting Point</t>
        </is>
      </c>
      <c r="C5598" t="inlineStr">
        <is>
          <t>SI Cert Italy S.R.L., Parma, IT</t>
        </is>
      </c>
      <c r="D5598" t="inlineStr">
        <is>
          <t>08.04.2027</t>
        </is>
      </c>
      <c r="E5598" t="inlineStr">
        <is>
          <t>Italy</t>
        </is>
      </c>
    </row>
    <row r="5599">
      <c r="A5599" t="inlineStr">
        <is>
          <t>PETROBRAS BIOCOMBUSTIVEL S/A - Montes Claros,  Montes Claros, MG, Brazil</t>
        </is>
      </c>
      <c r="B5599" t="inlineStr">
        <is>
          <t>Collecting Point, Point of Origin, Processing Unit, Trader with Storage</t>
        </is>
      </c>
      <c r="C5599" t="inlineStr">
        <is>
          <t>SCS Global Services, Emeryville, CA, US</t>
        </is>
      </c>
      <c r="D5599" t="inlineStr">
        <is>
          <t>08.04.2027</t>
        </is>
      </c>
      <c r="E5599" t="inlineStr">
        <is>
          <t>Brazil</t>
        </is>
      </c>
    </row>
    <row r="5600">
      <c r="A5600" t="inlineStr">
        <is>
          <t>Twin Oaks Renewables,  Anderson, United States</t>
        </is>
      </c>
      <c r="B5600" t="inlineStr">
        <is>
          <t>Collecting Point, Processing Unit</t>
        </is>
      </c>
      <c r="C5600" t="inlineStr">
        <is>
          <t>SCS Global Services, Emeryville, CA, US</t>
        </is>
      </c>
      <c r="D5600" t="inlineStr">
        <is>
          <t>08.04.2027</t>
        </is>
      </c>
      <c r="E5600" t="inlineStr">
        <is>
          <t>United States</t>
        </is>
      </c>
    </row>
    <row r="5601">
      <c r="A5601" t="inlineStr">
        <is>
          <t>Twin Oaks Renewables,  Anderson, United States</t>
        </is>
      </c>
      <c r="B5601" t="inlineStr">
        <is>
          <t>Collecting Point, Processing Unit</t>
        </is>
      </c>
      <c r="C5601" t="inlineStr">
        <is>
          <t>SCS Global Services, Emeryville, CA, US</t>
        </is>
      </c>
      <c r="D5601" t="inlineStr">
        <is>
          <t>08.04.2027</t>
        </is>
      </c>
      <c r="E5601" t="inlineStr">
        <is>
          <t>United States</t>
        </is>
      </c>
    </row>
    <row r="5602">
      <c r="A5602" t="inlineStr">
        <is>
          <t>MOLINO BIGAZZI S.R.L,  PERUGIA, Italy</t>
        </is>
      </c>
      <c r="B5602" t="inlineStr">
        <is>
          <t>Processing Unit</t>
        </is>
      </c>
      <c r="C5602" t="inlineStr">
        <is>
          <t>RINA Services S.p.A., Genova, IT</t>
        </is>
      </c>
      <c r="D5602" t="inlineStr">
        <is>
          <t>08.04.2027</t>
        </is>
      </c>
      <c r="E5602" t="inlineStr">
        <is>
          <t>Italy</t>
        </is>
      </c>
    </row>
    <row r="5603">
      <c r="A5603" t="inlineStr">
        <is>
          <t>greiner packaging slušovice s.r.o.,  Slušovice, Czech Republic</t>
        </is>
      </c>
      <c r="B5603" t="inlineStr">
        <is>
          <t>Processing Unit</t>
        </is>
      </c>
      <c r="C5603" t="inlineStr">
        <is>
          <t>SGS Germany GmbH, Emstek, DE</t>
        </is>
      </c>
      <c r="D5603" t="inlineStr">
        <is>
          <t>08.04.2027</t>
        </is>
      </c>
      <c r="E5603" t="inlineStr">
        <is>
          <t>Czech Republic</t>
        </is>
      </c>
    </row>
    <row r="5604">
      <c r="A5604" t="inlineStr">
        <is>
          <t>Green Rubber &amp; Petroleum Sdn Bhd,  Pulau Indah, Klang, Malaysia</t>
        </is>
      </c>
      <c r="B5604" t="inlineStr">
        <is>
          <t>Collecting Point, Processing Unit</t>
        </is>
      </c>
      <c r="C5604" t="inlineStr">
        <is>
          <t>Trans Certification and Inspection Sdn Bhd, Kuantan, MY</t>
        </is>
      </c>
      <c r="D5604" t="inlineStr">
        <is>
          <t>08.04.2027</t>
        </is>
      </c>
      <c r="E5604" t="inlineStr">
        <is>
          <t>Malaysia</t>
        </is>
      </c>
    </row>
    <row r="5605">
      <c r="A5605" t="inlineStr">
        <is>
          <t>TMF Extraktionswerk AG,  Bazenheid, Switzerland</t>
        </is>
      </c>
      <c r="B5605" t="inlineStr">
        <is>
          <t>Point of Origin</t>
        </is>
      </c>
      <c r="C5605" t="inlineStr">
        <is>
          <t>RINA Services S.p.A., Genova, IT</t>
        </is>
      </c>
      <c r="D5605" t="inlineStr">
        <is>
          <t>08.04.2027</t>
        </is>
      </c>
      <c r="E5605" t="inlineStr">
        <is>
          <t>Switzerland</t>
        </is>
      </c>
    </row>
    <row r="5606">
      <c r="A5606" t="inlineStr">
        <is>
          <t>AGROTERMINAL Svitavy a.s.,  Svitavy, Czech Republic</t>
        </is>
      </c>
      <c r="B5606" t="inlineStr">
        <is>
          <t>First Gathering Point, Trader, Warehouse</t>
        </is>
      </c>
      <c r="C5606" t="inlineStr">
        <is>
          <t>TÜV SÜD Czech s.r.o., Praha 4, CZ</t>
        </is>
      </c>
      <c r="D5606" t="inlineStr">
        <is>
          <t>08.04.2027</t>
        </is>
      </c>
      <c r="E5606" t="inlineStr">
        <is>
          <t>Czech Republic</t>
        </is>
      </c>
    </row>
    <row r="5607">
      <c r="A5607" t="inlineStr">
        <is>
          <t>Tukalime Ventures LTD,  Nairobi, Kenya</t>
        </is>
      </c>
      <c r="B5607" t="inlineStr">
        <is>
          <t>First Gathering Point</t>
        </is>
      </c>
      <c r="C5607" t="inlineStr">
        <is>
          <t>RINA Services S.p.A., Genova, IT</t>
        </is>
      </c>
      <c r="D5607" t="inlineStr">
        <is>
          <t>07.04.2027</t>
        </is>
      </c>
      <c r="E5607" t="inlineStr">
        <is>
          <t>Kenya</t>
        </is>
      </c>
    </row>
    <row r="5608">
      <c r="A5608" t="inlineStr">
        <is>
          <t>Tanaka Production Co., Ltd.,  Sabae-city, Japan</t>
        </is>
      </c>
      <c r="B5608" t="inlineStr">
        <is>
          <t>Final Product Refinement</t>
        </is>
      </c>
      <c r="C5608" t="inlineStr">
        <is>
          <t>RINA Services S.p.A., Genova, IT</t>
        </is>
      </c>
      <c r="D5608" t="inlineStr">
        <is>
          <t>07.04.2027</t>
        </is>
      </c>
      <c r="E5608" t="inlineStr">
        <is>
          <t>Japan</t>
        </is>
      </c>
    </row>
    <row r="5609">
      <c r="A5609" t="inlineStr">
        <is>
          <t>Ten Kate GmbH &amp; Co. KG,  Sögel, Germany</t>
        </is>
      </c>
      <c r="B5609" t="inlineStr">
        <is>
          <t>Point of Origin</t>
        </is>
      </c>
      <c r="C5609" t="inlineStr">
        <is>
          <t>GUT Certifizierungsgesellschaft für Managementsysteme mbH Umweltgutachter, Berlin, DE</t>
        </is>
      </c>
      <c r="D5609" t="inlineStr">
        <is>
          <t>07.04.2027</t>
        </is>
      </c>
      <c r="E5609" t="inlineStr">
        <is>
          <t>Germany</t>
        </is>
      </c>
    </row>
    <row r="5610">
      <c r="A5610" t="inlineStr">
        <is>
          <t>Guangxi Jinfeng Oil Co., Ltd.,  Nanning City，Guangxi, China</t>
        </is>
      </c>
      <c r="B5610" t="inlineStr">
        <is>
          <t>Trader with Storage</t>
        </is>
      </c>
      <c r="C5610" t="inlineStr">
        <is>
          <t>SCS Global Services, Emeryville, CA, US</t>
        </is>
      </c>
      <c r="D5610" t="inlineStr">
        <is>
          <t>07.04.2027</t>
        </is>
      </c>
      <c r="E5610" t="inlineStr">
        <is>
          <t>China</t>
        </is>
      </c>
    </row>
    <row r="5611">
      <c r="A5611" t="inlineStr">
        <is>
          <t>CAST FILM JAPAN,  Satte City, Japan</t>
        </is>
      </c>
      <c r="B5611" t="inlineStr">
        <is>
          <t>Processing Unit</t>
        </is>
      </c>
      <c r="C5611" t="inlineStr">
        <is>
          <t>PT Intertek Utama Services, Jakarta, ID</t>
        </is>
      </c>
      <c r="D5611" t="inlineStr">
        <is>
          <t>07.04.2027</t>
        </is>
      </c>
      <c r="E5611" t="inlineStr">
        <is>
          <t>Japan</t>
        </is>
      </c>
    </row>
    <row r="5612">
      <c r="A5612" t="inlineStr">
        <is>
          <t>Tien Dat Trading &amp; Production Company Limited,  Hanoi, Vietnam</t>
        </is>
      </c>
      <c r="B5612" t="inlineStr">
        <is>
          <t>Collecting Point</t>
        </is>
      </c>
      <c r="C5612" t="inlineStr">
        <is>
          <t>PT Intertek Utama Services, Jakarta, ID</t>
        </is>
      </c>
      <c r="D5612" t="inlineStr">
        <is>
          <t>07.04.2027</t>
        </is>
      </c>
      <c r="E5612" t="inlineStr">
        <is>
          <t>Vietnam</t>
        </is>
      </c>
    </row>
    <row r="5613">
      <c r="A5613" t="inlineStr">
        <is>
          <t>Tien Dat Trading &amp; Production Company Limited,  Hanoi, Vietnam</t>
        </is>
      </c>
      <c r="B5613" t="inlineStr">
        <is>
          <t>Collecting Point</t>
        </is>
      </c>
      <c r="C5613" t="inlineStr">
        <is>
          <t>PT Intertek Utama Services, Jakarta, ID</t>
        </is>
      </c>
      <c r="D5613" t="inlineStr">
        <is>
          <t>07.04.2027</t>
        </is>
      </c>
      <c r="E5613" t="inlineStr">
        <is>
          <t>Vietnam</t>
        </is>
      </c>
    </row>
    <row r="5614">
      <c r="A5614" t="inlineStr">
        <is>
          <t>Kenmark Eyewear,  Louisville, KY, United States</t>
        </is>
      </c>
      <c r="B5614" t="inlineStr">
        <is>
          <t>Trader with Storage</t>
        </is>
      </c>
      <c r="C5614" t="inlineStr">
        <is>
          <t>SCS Global Services, Emeryville, CA, US</t>
        </is>
      </c>
      <c r="D5614" t="inlineStr">
        <is>
          <t>07.04.2027</t>
        </is>
      </c>
      <c r="E5614" t="inlineStr">
        <is>
          <t>United States</t>
        </is>
      </c>
    </row>
    <row r="5615">
      <c r="A5615" t="inlineStr">
        <is>
          <t>Nexeo Plastics, LLC,  The Woodlands, United States</t>
        </is>
      </c>
      <c r="B5615" t="inlineStr">
        <is>
          <t>Trader with Storage</t>
        </is>
      </c>
      <c r="C5615" t="inlineStr">
        <is>
          <t>SCS Global Services, Emeryville, CA, US</t>
        </is>
      </c>
      <c r="D5615" t="inlineStr">
        <is>
          <t>07.04.2027</t>
        </is>
      </c>
      <c r="E5615" t="inlineStr">
        <is>
          <t>United States</t>
        </is>
      </c>
    </row>
    <row r="5616">
      <c r="A5616" t="inlineStr">
        <is>
          <t>Bunge Polska,  Kruszwica, Poland</t>
        </is>
      </c>
      <c r="B5616" t="inlineStr">
        <is>
          <t>First Gathering Point, Trader with Storage</t>
        </is>
      </c>
      <c r="C5616" t="inlineStr">
        <is>
          <t>Bureau Veritas Polska Sp. z o.o., Warsaw, PL</t>
        </is>
      </c>
      <c r="D5616" t="inlineStr">
        <is>
          <t>07.04.2027</t>
        </is>
      </c>
      <c r="E5616" t="inlineStr">
        <is>
          <t>Poland</t>
        </is>
      </c>
    </row>
    <row r="5617">
      <c r="A5617" t="inlineStr">
        <is>
          <t>Nexeo Plastics Poland S.p. z o.o.,  Warszawa, Poland</t>
        </is>
      </c>
      <c r="B5617" t="inlineStr">
        <is>
          <t>Trader with Storage</t>
        </is>
      </c>
      <c r="C5617" t="inlineStr">
        <is>
          <t>Bureau Veritas Polska Sp. z o.o., Warsaw, PL</t>
        </is>
      </c>
      <c r="D5617" t="inlineStr">
        <is>
          <t>07.04.2027</t>
        </is>
      </c>
      <c r="E5617" t="inlineStr">
        <is>
          <t>Poland</t>
        </is>
      </c>
    </row>
    <row r="5618">
      <c r="A5618" t="inlineStr">
        <is>
          <t>LG Chem, Ltd. (HQ),  Seoul, Korea, Republic of</t>
        </is>
      </c>
      <c r="B5618" t="inlineStr">
        <is>
          <t>Trader with Storage</t>
        </is>
      </c>
      <c r="C5618" t="inlineStr">
        <is>
          <t>Control Union Certifications Germany GmbH, Berlin, DE</t>
        </is>
      </c>
      <c r="D5618" t="inlineStr">
        <is>
          <t>07.04.2027</t>
        </is>
      </c>
      <c r="E5618" t="inlineStr">
        <is>
          <t>Republic of</t>
        </is>
      </c>
    </row>
    <row r="5619">
      <c r="A5619" t="inlineStr">
        <is>
          <t>Freepoint Eco-Systems,  Hebron, Ohio, United States</t>
        </is>
      </c>
      <c r="B5619" t="inlineStr">
        <is>
          <t>Collecting Point, Processing Unit, Trader with Storage</t>
        </is>
      </c>
      <c r="C5619" t="inlineStr">
        <is>
          <t>SCS Global Services, Emeryville, CA, US</t>
        </is>
      </c>
      <c r="D5619" t="inlineStr">
        <is>
          <t>07.04.2027</t>
        </is>
      </c>
      <c r="E5619" t="inlineStr">
        <is>
          <t>United States</t>
        </is>
      </c>
    </row>
    <row r="5620">
      <c r="A5620" t="inlineStr">
        <is>
          <t>Masol Iberia Biofuel S.L.,  Castellon de la Plana, Spain</t>
        </is>
      </c>
      <c r="B5620" t="inlineStr">
        <is>
          <t>Point of Origin, Processing Unit, Warehouse</t>
        </is>
      </c>
      <c r="C5620" t="inlineStr">
        <is>
          <t>GUT Certifizierungsgesellschaft für Managementsysteme mbH Umweltgutachter, Berlin, DE</t>
        </is>
      </c>
      <c r="D5620" t="inlineStr">
        <is>
          <t>07.04.2027</t>
        </is>
      </c>
      <c r="E5620" t="inlineStr">
        <is>
          <t>Spain</t>
        </is>
      </c>
    </row>
    <row r="5621">
      <c r="A5621" t="inlineStr">
        <is>
          <t>Globinsky Processing Plant,  Globyne, Poltava region, Ukraine</t>
        </is>
      </c>
      <c r="B5621" t="inlineStr">
        <is>
          <t>Point of Origin, Processing Unit, Trader with Storage</t>
        </is>
      </c>
      <c r="C5621" t="inlineStr">
        <is>
          <t>Aciter Genelab LLC, Odessa, UA</t>
        </is>
      </c>
      <c r="D5621" t="inlineStr">
        <is>
          <t>07.04.2027</t>
        </is>
      </c>
      <c r="E5621" t="inlineStr">
        <is>
          <t>Ukraine</t>
        </is>
      </c>
    </row>
    <row r="5622">
      <c r="A5622" t="inlineStr">
        <is>
          <t>Globinsky Processing Plant,  Globyne, Poltava region, Ukraine</t>
        </is>
      </c>
      <c r="B5622" t="inlineStr">
        <is>
          <t>Point of Origin, Processing Unit, Trader with Storage</t>
        </is>
      </c>
      <c r="C5622" t="inlineStr">
        <is>
          <t>Aciter Genelab LLC, Odessa, UA</t>
        </is>
      </c>
      <c r="D5622" t="inlineStr">
        <is>
          <t>07.04.2027</t>
        </is>
      </c>
      <c r="E5622" t="inlineStr">
        <is>
          <t>Ukraine</t>
        </is>
      </c>
    </row>
    <row r="5623">
      <c r="A5623" t="inlineStr">
        <is>
          <t>Altium Packaging,  York, United States</t>
        </is>
      </c>
      <c r="B5623" t="inlineStr">
        <is>
          <t>Processing Unit</t>
        </is>
      </c>
      <c r="C5623" t="inlineStr">
        <is>
          <t>SCS Global Services, Emeryville, CA, US</t>
        </is>
      </c>
      <c r="D5623" t="inlineStr">
        <is>
          <t>07.04.2027</t>
        </is>
      </c>
      <c r="E5623" t="inlineStr">
        <is>
          <t>United States</t>
        </is>
      </c>
    </row>
    <row r="5624">
      <c r="A5624" t="inlineStr">
        <is>
          <t>Altium Packaging,  Newark, United States</t>
        </is>
      </c>
      <c r="B5624" t="inlineStr">
        <is>
          <t>Processing Unit</t>
        </is>
      </c>
      <c r="C5624" t="inlineStr">
        <is>
          <t>SCS Global Services, Emeryville, CA, US</t>
        </is>
      </c>
      <c r="D5624" t="inlineStr">
        <is>
          <t>07.04.2027</t>
        </is>
      </c>
      <c r="E5624" t="inlineStr">
        <is>
          <t>United States</t>
        </is>
      </c>
    </row>
    <row r="5625">
      <c r="A5625" t="inlineStr">
        <is>
          <t>VAROPreem AG,  Baar, Switzerland</t>
        </is>
      </c>
      <c r="B5625" t="inlineStr">
        <is>
          <t>Trader with Storage</t>
        </is>
      </c>
      <c r="C5625" t="inlineStr">
        <is>
          <t>Control Union Certifications Germany GmbH, Berlin, DE</t>
        </is>
      </c>
      <c r="D5625" t="inlineStr">
        <is>
          <t>07.04.2027</t>
        </is>
      </c>
      <c r="E5625" t="inlineStr">
        <is>
          <t>Switzerland</t>
        </is>
      </c>
    </row>
    <row r="5626">
      <c r="A5626" t="inlineStr">
        <is>
          <t>Zeon Europe GmbH,  Düsseldorf, Germany</t>
        </is>
      </c>
      <c r="B5626" t="inlineStr">
        <is>
          <t>Trader with Storage</t>
        </is>
      </c>
      <c r="C5626" t="inlineStr">
        <is>
          <t>Control Union Certifications Germany GmbH, Berlin, DE</t>
        </is>
      </c>
      <c r="D5626" t="inlineStr">
        <is>
          <t>07.04.2027</t>
        </is>
      </c>
      <c r="E5626" t="inlineStr">
        <is>
          <t>Germany</t>
        </is>
      </c>
    </row>
    <row r="5627">
      <c r="A5627" t="inlineStr">
        <is>
          <t>ROP,  Hof Hacarmel, Israel</t>
        </is>
      </c>
      <c r="B5627" t="inlineStr">
        <is>
          <t>Processing Unit</t>
        </is>
      </c>
      <c r="C5627" t="inlineStr">
        <is>
          <t>Control Union Certifications Germany GmbH, Berlin, DE</t>
        </is>
      </c>
      <c r="D5627" t="inlineStr">
        <is>
          <t>07.04.2027</t>
        </is>
      </c>
      <c r="E5627" t="inlineStr">
        <is>
          <t>Israel</t>
        </is>
      </c>
    </row>
    <row r="5628">
      <c r="A5628" t="inlineStr">
        <is>
          <t>DBA-Bilbao Port,  Bilbao, Spain</t>
        </is>
      </c>
      <c r="B5628" t="inlineStr">
        <is>
          <t>Warehouse</t>
        </is>
      </c>
      <c r="C5628" t="inlineStr">
        <is>
          <t>Amspec Iberia SL, Vilagarcia de Arousa-Pontevedra, ES</t>
        </is>
      </c>
      <c r="D5628" t="inlineStr">
        <is>
          <t>07.04.2027</t>
        </is>
      </c>
      <c r="E5628" t="inlineStr">
        <is>
          <t>Spain</t>
        </is>
      </c>
    </row>
    <row r="5629">
      <c r="A5629" t="inlineStr">
        <is>
          <t>PT JNS Green Indonesia,  KOTA ADM JAKARTA TIMUR, Indonesia</t>
        </is>
      </c>
      <c r="B5629" t="inlineStr">
        <is>
          <t>Collecting Point, Trader with Storage</t>
        </is>
      </c>
      <c r="C5629" t="inlineStr">
        <is>
          <t>Control Union Certifications Germany GmbH, Berlin, DE</t>
        </is>
      </c>
      <c r="D5629" t="inlineStr">
        <is>
          <t>07.04.2027</t>
        </is>
      </c>
      <c r="E5629" t="inlineStr">
        <is>
          <t>Indonesia</t>
        </is>
      </c>
    </row>
    <row r="5630">
      <c r="A5630" t="inlineStr">
        <is>
          <t>MYKITA GmbH,  Berlin, Germany</t>
        </is>
      </c>
      <c r="B5630" t="inlineStr">
        <is>
          <t>Final Product Refinement, Trader with Storage</t>
        </is>
      </c>
      <c r="C5630" t="inlineStr">
        <is>
          <t>GUT Certifizierungsgesellschaft für Managementsysteme mbH Umweltgutachter, Berlin, DE</t>
        </is>
      </c>
      <c r="D5630" t="inlineStr">
        <is>
          <t>07.04.2027</t>
        </is>
      </c>
      <c r="E5630" t="inlineStr">
        <is>
          <t>Germany</t>
        </is>
      </c>
    </row>
    <row r="5631">
      <c r="A5631" t="inlineStr">
        <is>
          <t>MYKITA Manufactory s.r.o.,  Domažlice, Czech Republic</t>
        </is>
      </c>
      <c r="B5631" t="inlineStr">
        <is>
          <t>Final Product Refinement</t>
        </is>
      </c>
      <c r="C5631" t="inlineStr">
        <is>
          <t>GUT Certifizierungsgesellschaft für Managementsysteme mbH Umweltgutachter, Berlin, DE</t>
        </is>
      </c>
      <c r="D5631" t="inlineStr">
        <is>
          <t>07.04.2027</t>
        </is>
      </c>
      <c r="E5631" t="inlineStr">
        <is>
          <t>Czech Republic</t>
        </is>
      </c>
    </row>
    <row r="5632">
      <c r="A5632" t="inlineStr">
        <is>
          <t>Marubeni ASEAN Pte Ltd,  Singapore, Singapore</t>
        </is>
      </c>
      <c r="B5632" t="inlineStr">
        <is>
          <t>Trader</t>
        </is>
      </c>
      <c r="C5632" t="inlineStr">
        <is>
          <t>Control Union Certifications Germany GmbH, Berlin, DE</t>
        </is>
      </c>
      <c r="D5632" t="inlineStr">
        <is>
          <t>07.04.2027</t>
        </is>
      </c>
      <c r="E5632" t="inlineStr">
        <is>
          <t>Singapore</t>
        </is>
      </c>
    </row>
    <row r="5633">
      <c r="A5633" t="inlineStr">
        <is>
          <t>Marubeni ASEAN Pte Ltd,  Singapore, Singapore</t>
        </is>
      </c>
      <c r="B5633" t="inlineStr">
        <is>
          <t>Trader</t>
        </is>
      </c>
      <c r="C5633" t="inlineStr">
        <is>
          <t>Control Union Certifications Germany GmbH, Berlin, DE</t>
        </is>
      </c>
      <c r="D5633" t="inlineStr">
        <is>
          <t>07.04.2027</t>
        </is>
      </c>
      <c r="E5633" t="inlineStr">
        <is>
          <t>Singapore</t>
        </is>
      </c>
    </row>
    <row r="5634">
      <c r="A5634" t="inlineStr">
        <is>
          <t>Sojitz (Shanghai) Co., Ltd.,  Shanghai, China</t>
        </is>
      </c>
      <c r="B5634" t="inlineStr">
        <is>
          <t>Trader</t>
        </is>
      </c>
      <c r="C5634" t="inlineStr">
        <is>
          <t>SGS Germany GmbH, Emstek, DE</t>
        </is>
      </c>
      <c r="D5634" t="inlineStr">
        <is>
          <t>07.04.2027</t>
        </is>
      </c>
      <c r="E5634" t="inlineStr">
        <is>
          <t>China</t>
        </is>
      </c>
    </row>
    <row r="5635">
      <c r="A5635" t="inlineStr">
        <is>
          <t>Sojitz (Shanghai) Co., Ltd.,  Shanghai, China</t>
        </is>
      </c>
      <c r="B5635" t="inlineStr">
        <is>
          <t>Trader</t>
        </is>
      </c>
      <c r="C5635" t="inlineStr">
        <is>
          <t>SGS Germany GmbH, Emstek, DE</t>
        </is>
      </c>
      <c r="D5635" t="inlineStr">
        <is>
          <t>07.04.2027</t>
        </is>
      </c>
      <c r="E5635" t="inlineStr">
        <is>
          <t>China</t>
        </is>
      </c>
    </row>
    <row r="5636">
      <c r="A5636" t="inlineStr">
        <is>
          <t>TOPEK - Oil.cz, a.s.,  Pardubice - Zelené předměstí, Czech Republic</t>
        </is>
      </c>
      <c r="B5636" t="inlineStr">
        <is>
          <t>Logistics Center, Trader with Storage</t>
        </is>
      </c>
      <c r="C5636" t="inlineStr">
        <is>
          <t>SGS Germany GmbH, Emstek, DE</t>
        </is>
      </c>
      <c r="D5636" t="inlineStr">
        <is>
          <t>07.04.2027</t>
        </is>
      </c>
      <c r="E5636" t="inlineStr">
        <is>
          <t>Czech Republic</t>
        </is>
      </c>
    </row>
    <row r="5637">
      <c r="A5637" t="inlineStr">
        <is>
          <t>Kanematsu Chemicals Corporation,  Chuo-ku, Tokyo, Japan</t>
        </is>
      </c>
      <c r="B5637" t="inlineStr">
        <is>
          <t>Trader with Storage</t>
        </is>
      </c>
      <c r="C5637" t="inlineStr">
        <is>
          <t>SGS Germany GmbH, Emstek, DE</t>
        </is>
      </c>
      <c r="D5637" t="inlineStr">
        <is>
          <t>07.04.2027</t>
        </is>
      </c>
      <c r="E5637" t="inlineStr">
        <is>
          <t>Japan</t>
        </is>
      </c>
    </row>
    <row r="5638">
      <c r="A5638" t="inlineStr">
        <is>
          <t>Akamatsu Kaseikougyou Co.,Ltd.,  Matsushige-cho, Itano-gun, Tokushima-ken, Japan</t>
        </is>
      </c>
      <c r="B5638" t="inlineStr">
        <is>
          <t>Processing Unit</t>
        </is>
      </c>
      <c r="C5638" t="inlineStr">
        <is>
          <t>SGS Germany GmbH, Emstek, DE</t>
        </is>
      </c>
      <c r="D5638" t="inlineStr">
        <is>
          <t>07.04.2027</t>
        </is>
      </c>
      <c r="E5638" t="inlineStr">
        <is>
          <t>Japan</t>
        </is>
      </c>
    </row>
    <row r="5639">
      <c r="A5639" t="inlineStr">
        <is>
          <t>Borneo Oil &amp; Fats Sdn Bhd,  MIRI, Malaysia</t>
        </is>
      </c>
      <c r="B5639" t="inlineStr">
        <is>
          <t>Collecting Point, Trader with Storage</t>
        </is>
      </c>
      <c r="C5639" t="inlineStr">
        <is>
          <t>PT. CBQA GLOBAL INDONESIA, JAKARTA SELATAN, ID</t>
        </is>
      </c>
      <c r="D5639" t="inlineStr">
        <is>
          <t>07.04.2027</t>
        </is>
      </c>
      <c r="E5639" t="inlineStr">
        <is>
          <t>Malaysia</t>
        </is>
      </c>
    </row>
    <row r="5640">
      <c r="A5640" t="inlineStr">
        <is>
          <t>Megatech Bio Energi,  Dumai, Indonesia</t>
        </is>
      </c>
      <c r="B5640" t="inlineStr">
        <is>
          <t>Trader</t>
        </is>
      </c>
      <c r="C5640" t="inlineStr">
        <is>
          <t>China Testing &amp; Certification International Group Co., Ltd., Beijing, CN</t>
        </is>
      </c>
      <c r="D5640" t="inlineStr">
        <is>
          <t>07.04.2027</t>
        </is>
      </c>
      <c r="E5640" t="inlineStr">
        <is>
          <t>Indonesia</t>
        </is>
      </c>
    </row>
    <row r="5641">
      <c r="A5641" t="inlineStr">
        <is>
          <t>HONG KONG JF AGRICULTURE COMPANY LIMITED,  Nanjing, Jiangsu, China</t>
        </is>
      </c>
      <c r="B5641" t="inlineStr">
        <is>
          <t>Trader</t>
        </is>
      </c>
      <c r="C5641" t="inlineStr">
        <is>
          <t>RINA Services S.p.A., Genova, IT</t>
        </is>
      </c>
      <c r="D5641" t="inlineStr">
        <is>
          <t>07.04.2027</t>
        </is>
      </c>
      <c r="E5641" t="inlineStr">
        <is>
          <t>China</t>
        </is>
      </c>
    </row>
    <row r="5642">
      <c r="A5642" t="inlineStr">
        <is>
          <t>Netherlands JY Supplychain B.V.,  Xiamen, Fujian, China</t>
        </is>
      </c>
      <c r="B5642" t="inlineStr">
        <is>
          <t>Trader</t>
        </is>
      </c>
      <c r="C5642" t="inlineStr">
        <is>
          <t>RINA Services S.p.A., Genova, IT</t>
        </is>
      </c>
      <c r="D5642" t="inlineStr">
        <is>
          <t>07.04.2027</t>
        </is>
      </c>
      <c r="E5642" t="inlineStr">
        <is>
          <t>China</t>
        </is>
      </c>
    </row>
    <row r="5643">
      <c r="A5643" t="inlineStr">
        <is>
          <t>SHK (SG) INTERNATIONAL PTE LTD,  SINGAPORE, Singapore</t>
        </is>
      </c>
      <c r="B5643" t="inlineStr">
        <is>
          <t>Trader</t>
        </is>
      </c>
      <c r="C5643" t="inlineStr">
        <is>
          <t>PT Intertek Utama Services, Jakarta, ID</t>
        </is>
      </c>
      <c r="D5643" t="inlineStr">
        <is>
          <t>07.04.2027</t>
        </is>
      </c>
      <c r="E5643" t="inlineStr">
        <is>
          <t>Singapore</t>
        </is>
      </c>
    </row>
    <row r="5644">
      <c r="A5644" t="inlineStr">
        <is>
          <t>SHK (SG) INTERNATIONAL PTE LTD,  SINGAPORE, Singapore</t>
        </is>
      </c>
      <c r="B5644" t="inlineStr">
        <is>
          <t>Trader</t>
        </is>
      </c>
      <c r="C5644" t="inlineStr">
        <is>
          <t>PT Intertek Utama Services, Jakarta, ID</t>
        </is>
      </c>
      <c r="D5644" t="inlineStr">
        <is>
          <t>07.04.2027</t>
        </is>
      </c>
      <c r="E5644" t="inlineStr">
        <is>
          <t>Singapore</t>
        </is>
      </c>
    </row>
    <row r="5645">
      <c r="A5645" t="inlineStr">
        <is>
          <t>SHK (SG) INTERNATIONAL PTE LTD,  SINGAPORE, Singapore</t>
        </is>
      </c>
      <c r="B5645" t="inlineStr">
        <is>
          <t>Trader</t>
        </is>
      </c>
      <c r="C5645" t="inlineStr">
        <is>
          <t>PT Intertek Utama Services, Jakarta, ID</t>
        </is>
      </c>
      <c r="D5645" t="inlineStr">
        <is>
          <t>07.04.2027</t>
        </is>
      </c>
      <c r="E5645" t="inlineStr">
        <is>
          <t>Singapore</t>
        </is>
      </c>
    </row>
    <row r="5646">
      <c r="A5646" t="inlineStr">
        <is>
          <t>Dongguan Boye Biotechnology Co., Ltd,  Shishuikou, Qiaotou Town, Dongguan City, China</t>
        </is>
      </c>
      <c r="B5646" t="inlineStr">
        <is>
          <t>Processing Unit</t>
        </is>
      </c>
      <c r="C5646" t="inlineStr">
        <is>
          <t>PT Intertek Utama Services, Jakarta, ID</t>
        </is>
      </c>
      <c r="D5646" t="inlineStr">
        <is>
          <t>07.04.2027</t>
        </is>
      </c>
      <c r="E5646" t="inlineStr">
        <is>
          <t>China</t>
        </is>
      </c>
    </row>
    <row r="5647">
      <c r="A5647" t="inlineStr">
        <is>
          <t>Vitol Inc.,  Houston, United States</t>
        </is>
      </c>
      <c r="B5647" t="inlineStr">
        <is>
          <t>Trader</t>
        </is>
      </c>
      <c r="C5647" t="inlineStr">
        <is>
          <t>DEKRA Certification B.V., Arnhem, NL</t>
        </is>
      </c>
      <c r="D5647" t="inlineStr">
        <is>
          <t>07.04.2027</t>
        </is>
      </c>
      <c r="E5647" t="inlineStr">
        <is>
          <t>United States</t>
        </is>
      </c>
    </row>
    <row r="5648">
      <c r="A5648" t="inlineStr">
        <is>
          <t>EPS Parelfabriek B.V.,  Culemborg, Netherlands</t>
        </is>
      </c>
      <c r="B5648" t="inlineStr">
        <is>
          <t>Processing Unit</t>
        </is>
      </c>
      <c r="C5648" t="inlineStr">
        <is>
          <t>SGS Germany GmbH, Emstek, DE</t>
        </is>
      </c>
      <c r="D5648" t="inlineStr">
        <is>
          <t>07.04.2027</t>
        </is>
      </c>
      <c r="E5648" t="inlineStr">
        <is>
          <t>Netherlands</t>
        </is>
      </c>
    </row>
    <row r="5649">
      <c r="A5649" t="inlineStr">
        <is>
          <t>Toray Films Europe,  Saint Maurice de Beynost, France</t>
        </is>
      </c>
      <c r="B5649" t="inlineStr">
        <is>
          <t>Processing Unit</t>
        </is>
      </c>
      <c r="C5649" t="inlineStr">
        <is>
          <t>Bureau Veritas Polska Sp. z o.o., Warsaw, PL</t>
        </is>
      </c>
      <c r="D5649" t="inlineStr">
        <is>
          <t>07.04.2027</t>
        </is>
      </c>
      <c r="E5649" t="inlineStr">
        <is>
          <t>France</t>
        </is>
      </c>
    </row>
    <row r="5650">
      <c r="A5650" t="inlineStr">
        <is>
          <t>FABO S.P.A,  Larciano - PT, Italy</t>
        </is>
      </c>
      <c r="B5650" t="inlineStr">
        <is>
          <t>Final Product Refinement, Processing Unit</t>
        </is>
      </c>
      <c r="C5650" t="inlineStr">
        <is>
          <t>ICIM SpA, sesto san giovanni, IT</t>
        </is>
      </c>
      <c r="D5650" t="inlineStr">
        <is>
          <t>07.04.2027</t>
        </is>
      </c>
      <c r="E5650" t="inlineStr">
        <is>
          <t>Italy</t>
        </is>
      </c>
    </row>
    <row r="5651">
      <c r="A5651" t="inlineStr">
        <is>
          <t>Cargill GmbH,  Riesa, Germany</t>
        </is>
      </c>
      <c r="B5651" t="inlineStr">
        <is>
          <t>First Gathering Point, Point of Origin, Processing Unit, Trader with Storage</t>
        </is>
      </c>
      <c r="C5651" t="inlineStr">
        <is>
          <t>SGS Germany GmbH, Emstek, DE</t>
        </is>
      </c>
      <c r="D5651" t="inlineStr">
        <is>
          <t>07.04.2027</t>
        </is>
      </c>
      <c r="E5651" t="inlineStr">
        <is>
          <t>Germany</t>
        </is>
      </c>
    </row>
    <row r="5652">
      <c r="A5652" t="inlineStr">
        <is>
          <t>PT CND International Trade Indonesia,  Jambi, Indonesia</t>
        </is>
      </c>
      <c r="B5652" t="inlineStr">
        <is>
          <t>Collecting Point, Trader with Storage</t>
        </is>
      </c>
      <c r="C5652" t="inlineStr">
        <is>
          <t>BM Certification, Riga, LV</t>
        </is>
      </c>
      <c r="D5652" t="inlineStr">
        <is>
          <t>07.04.2027</t>
        </is>
      </c>
      <c r="E5652" t="inlineStr">
        <is>
          <t>Indonesia</t>
        </is>
      </c>
    </row>
    <row r="5653">
      <c r="A5653" t="inlineStr">
        <is>
          <t>GNOIL,  CABRIES, France</t>
        </is>
      </c>
      <c r="B5653" t="inlineStr">
        <is>
          <t>Collecting Point</t>
        </is>
      </c>
      <c r="C5653" t="inlineStr">
        <is>
          <t>Control Union Certifications Germany GmbH, Berlin, DE</t>
        </is>
      </c>
      <c r="D5653" t="inlineStr">
        <is>
          <t>07.04.2027</t>
        </is>
      </c>
      <c r="E5653" t="inlineStr">
        <is>
          <t>France</t>
        </is>
      </c>
    </row>
    <row r="5654">
      <c r="A5654" t="inlineStr">
        <is>
          <t>LG Chem Ltd.,  Yeosu-si, Jeollanam-do, Republic of Korea, Korea, Republic of</t>
        </is>
      </c>
      <c r="B5654" t="inlineStr">
        <is>
          <t>Processing Unit</t>
        </is>
      </c>
      <c r="C5654" t="inlineStr">
        <is>
          <t>Control Union Certifications Germany GmbH, Berlin, DE</t>
        </is>
      </c>
      <c r="D5654" t="inlineStr">
        <is>
          <t>07.04.2027</t>
        </is>
      </c>
      <c r="E5654" t="inlineStr">
        <is>
          <t>Republic of</t>
        </is>
      </c>
    </row>
    <row r="5655">
      <c r="A5655" t="inlineStr">
        <is>
          <t>Orm Bergold Chemie GmbH &amp; Co. KG,  Bochum, Germany</t>
        </is>
      </c>
      <c r="B5655" t="inlineStr">
        <is>
          <t>Collecting Point, Processing Unit, Trader with Storage</t>
        </is>
      </c>
      <c r="C5655" t="inlineStr">
        <is>
          <t>DQS CFS GmbH - Deutsche Gesellschaft für Nachhaltigkeit, Frankfurt am Main, DE</t>
        </is>
      </c>
      <c r="D5655" t="inlineStr">
        <is>
          <t>07.04.2027</t>
        </is>
      </c>
      <c r="E5655" t="inlineStr">
        <is>
          <t>Germany</t>
        </is>
      </c>
    </row>
    <row r="5656">
      <c r="A5656" t="inlineStr">
        <is>
          <t>Repsol Fuels S.A.U.,  Puertollano (Ciudad Real), Spain</t>
        </is>
      </c>
      <c r="B5656" t="inlineStr">
        <is>
          <t>Processing Unit, Trader with Storage, Warehouse</t>
        </is>
      </c>
      <c r="C5656" t="inlineStr">
        <is>
          <t>Control Union Poland Sp. z o.o., Zielona Gora, PL</t>
        </is>
      </c>
      <c r="D5656" t="inlineStr">
        <is>
          <t>07.04.2027</t>
        </is>
      </c>
      <c r="E5656" t="inlineStr">
        <is>
          <t>Spain</t>
        </is>
      </c>
    </row>
    <row r="5657">
      <c r="A5657" t="inlineStr">
        <is>
          <t>Cargill NV,  Mechelen, Belgium</t>
        </is>
      </c>
      <c r="B5657" t="inlineStr">
        <is>
          <t>Trader</t>
        </is>
      </c>
      <c r="C5657" t="inlineStr">
        <is>
          <t>Control Union Certifications Germany GmbH, Berlin, DE</t>
        </is>
      </c>
      <c r="D5657" t="inlineStr">
        <is>
          <t>07.04.2027</t>
        </is>
      </c>
      <c r="E5657" t="inlineStr">
        <is>
          <t>Belgium</t>
        </is>
      </c>
    </row>
    <row r="5658">
      <c r="A5658" t="inlineStr">
        <is>
          <t>SUNRISE FOODS INTERNATIONAL TARIM URUNLERI TICARET ANONIM SIRKETI- CORUM SUBESI,  MERKEZ, Turkey</t>
        </is>
      </c>
      <c r="B5658" t="inlineStr">
        <is>
          <t>Processing Unit, Trader with Storage, Warehouse</t>
        </is>
      </c>
      <c r="C5658" t="inlineStr">
        <is>
          <t>PT Intertek Utama Services, Jakarta, ID</t>
        </is>
      </c>
      <c r="D5658" t="inlineStr">
        <is>
          <t>06.04.2027</t>
        </is>
      </c>
      <c r="E5658" t="inlineStr">
        <is>
          <t>Turkey</t>
        </is>
      </c>
    </row>
    <row r="5659">
      <c r="A5659" t="inlineStr">
        <is>
          <t>SUNRISE FOODS INTERNATIONAL TARIM URUNLERI TICARET ANONIM SIRKETI- CORUM SUBESI,  MERKEZ, Turkey</t>
        </is>
      </c>
      <c r="B5659" t="inlineStr">
        <is>
          <t>Point of Origin, Processing Unit, Trader with Storage, Warehouse</t>
        </is>
      </c>
      <c r="C5659" t="inlineStr">
        <is>
          <t>PT Intertek Utama Services, Jakarta, ID</t>
        </is>
      </c>
      <c r="D5659" t="inlineStr">
        <is>
          <t>06.04.2027</t>
        </is>
      </c>
      <c r="E5659" t="inlineStr">
        <is>
          <t>Turkey</t>
        </is>
      </c>
    </row>
    <row r="5660">
      <c r="A5660" t="inlineStr">
        <is>
          <t>Sichuan Jingu Environmental Protection Technology Co., Ltd.,  Guang'an City, Sichuan Province, China</t>
        </is>
      </c>
      <c r="B5660" t="inlineStr">
        <is>
          <t>Collecting Point, Processing Unit, Trader with Storage</t>
        </is>
      </c>
      <c r="C5660" t="inlineStr">
        <is>
          <t>China Standard Conformity Assessment Co. Ltd, Beijing, CN</t>
        </is>
      </c>
      <c r="D5660" t="inlineStr">
        <is>
          <t>06.04.2027</t>
        </is>
      </c>
      <c r="E5660" t="inlineStr">
        <is>
          <t>China</t>
        </is>
      </c>
    </row>
    <row r="5661">
      <c r="A5661" t="inlineStr">
        <is>
          <t>Extrusion Masters,  Albertville, AL, United States</t>
        </is>
      </c>
      <c r="B5661" t="inlineStr">
        <is>
          <t>Processing Unit</t>
        </is>
      </c>
      <c r="C5661" t="inlineStr">
        <is>
          <t>SCS Global Services, Emeryville, CA, US</t>
        </is>
      </c>
      <c r="D5661" t="inlineStr">
        <is>
          <t>06.04.2027</t>
        </is>
      </c>
      <c r="E5661" t="inlineStr">
        <is>
          <t>United States</t>
        </is>
      </c>
    </row>
    <row r="5662">
      <c r="A5662" t="inlineStr">
        <is>
          <t>Colormasters INC,  Albertville, United States</t>
        </is>
      </c>
      <c r="B5662" t="inlineStr">
        <is>
          <t>Processing Unit</t>
        </is>
      </c>
      <c r="C5662" t="inlineStr">
        <is>
          <t>SCS Global Services, Emeryville, CA, US</t>
        </is>
      </c>
      <c r="D5662" t="inlineStr">
        <is>
          <t>06.04.2027</t>
        </is>
      </c>
      <c r="E5662" t="inlineStr">
        <is>
          <t>United States</t>
        </is>
      </c>
    </row>
    <row r="5663">
      <c r="A5663" t="inlineStr">
        <is>
          <t>Société du Briquet Jetable 75 - B.J.75,  Redon, France</t>
        </is>
      </c>
      <c r="B5663" t="inlineStr">
        <is>
          <t>Processing Unit</t>
        </is>
      </c>
      <c r="C5663" t="inlineStr">
        <is>
          <t>Bureau Veritas Polska Sp. z o.o., Warsaw, PL</t>
        </is>
      </c>
      <c r="D5663" t="inlineStr">
        <is>
          <t>06.04.2027</t>
        </is>
      </c>
      <c r="E5663" t="inlineStr">
        <is>
          <t>France</t>
        </is>
      </c>
    </row>
    <row r="5664">
      <c r="A5664" t="inlineStr">
        <is>
          <t>ENERGY WORLD CORP. S.L.,  Malaga, Spain</t>
        </is>
      </c>
      <c r="B5664" t="inlineStr">
        <is>
          <t>Collecting Point, Trader</t>
        </is>
      </c>
      <c r="C5664" t="inlineStr">
        <is>
          <t>RINA Services S.p.A., Genova, IT</t>
        </is>
      </c>
      <c r="D5664" t="inlineStr">
        <is>
          <t>06.04.2027</t>
        </is>
      </c>
      <c r="E5664" t="inlineStr">
        <is>
          <t>Spain</t>
        </is>
      </c>
    </row>
    <row r="5665">
      <c r="A5665" t="inlineStr">
        <is>
          <t>Selena Industrial Technologies Sp. z o. o.,  Dzierzoniow, Poland</t>
        </is>
      </c>
      <c r="B5665" t="inlineStr">
        <is>
          <t>Processing Unit, Warehouse</t>
        </is>
      </c>
      <c r="C5665" t="inlineStr">
        <is>
          <t>Bureau Veritas Polska Sp. z o.o., Warsaw, PL</t>
        </is>
      </c>
      <c r="D5665" t="inlineStr">
        <is>
          <t>06.04.2027</t>
        </is>
      </c>
      <c r="E5665" t="inlineStr">
        <is>
          <t>Poland</t>
        </is>
      </c>
    </row>
    <row r="5666">
      <c r="A5666" t="inlineStr">
        <is>
          <t>BP Europa SE,  Bochum, Germany</t>
        </is>
      </c>
      <c r="B5666" t="inlineStr">
        <is>
          <t>Trader with Storage</t>
        </is>
      </c>
      <c r="C5666" t="inlineStr">
        <is>
          <t>Control Union Certifications Germany GmbH, Berlin, DE</t>
        </is>
      </c>
      <c r="D5666" t="inlineStr">
        <is>
          <t>06.04.2027</t>
        </is>
      </c>
      <c r="E5666" t="inlineStr">
        <is>
          <t>Germany</t>
        </is>
      </c>
    </row>
    <row r="5667">
      <c r="A5667" t="inlineStr">
        <is>
          <t>BP Europa SE,  Bochum, Germany</t>
        </is>
      </c>
      <c r="B5667" t="inlineStr">
        <is>
          <t>Trader with Storage, Proof of Compliance Trader</t>
        </is>
      </c>
      <c r="C5667" t="inlineStr">
        <is>
          <t>Control Union Certifications Germany GmbH, Berlin, DE</t>
        </is>
      </c>
      <c r="D5667" t="inlineStr">
        <is>
          <t>06.04.2027</t>
        </is>
      </c>
      <c r="E5667" t="inlineStr">
        <is>
          <t>Germany</t>
        </is>
      </c>
    </row>
    <row r="5668">
      <c r="A5668" t="inlineStr">
        <is>
          <t>PETROCHINA INTERNATIONAL SOUTH CHINA CO., LTD.,  GUANGZHOU CITY, GUANGDONG PROVINCE,, China</t>
        </is>
      </c>
      <c r="B5668" t="inlineStr">
        <is>
          <t>Trader with Storage</t>
        </is>
      </c>
      <c r="C5668" t="inlineStr">
        <is>
          <t>SCS Global Services, Emeryville, CA, US</t>
        </is>
      </c>
      <c r="D5668" t="inlineStr">
        <is>
          <t>06.04.2027</t>
        </is>
      </c>
      <c r="E5668" t="inlineStr">
        <is>
          <t>China</t>
        </is>
      </c>
    </row>
    <row r="5669">
      <c r="A5669" t="inlineStr">
        <is>
          <t>Oil2U NSW,  Mount Druitt, Australia</t>
        </is>
      </c>
      <c r="B5669" t="inlineStr">
        <is>
          <t>Collecting Point, Trader with Storage</t>
        </is>
      </c>
      <c r="C5669" t="inlineStr">
        <is>
          <t>Control Union Certifications Germany GmbH, Berlin, DE</t>
        </is>
      </c>
      <c r="D5669" t="inlineStr">
        <is>
          <t>06.04.2027</t>
        </is>
      </c>
      <c r="E5669" t="inlineStr">
        <is>
          <t>Australia</t>
        </is>
      </c>
    </row>
    <row r="5670">
      <c r="A5670" t="inlineStr">
        <is>
          <t>SHUN JUNG TRADING CO., LTD.,  Taichung City, Taiwan, Province of China</t>
        </is>
      </c>
      <c r="B5670" t="inlineStr">
        <is>
          <t>Trader with Storage</t>
        </is>
      </c>
      <c r="C5670" t="inlineStr">
        <is>
          <t>Control Union Certifications Germany GmbH, Berlin, DE</t>
        </is>
      </c>
      <c r="D5670" t="inlineStr">
        <is>
          <t>06.04.2027</t>
        </is>
      </c>
      <c r="E5670" t="inlineStr">
        <is>
          <t>Province of China</t>
        </is>
      </c>
    </row>
    <row r="5671">
      <c r="A5671" t="inlineStr">
        <is>
          <t>Marubeni Innovexis Corporation,  Chiyoda-ku, Japan</t>
        </is>
      </c>
      <c r="B5671" t="inlineStr">
        <is>
          <t>Trader with Storage</t>
        </is>
      </c>
      <c r="C5671" t="inlineStr">
        <is>
          <t>Control Union Certifications Germany GmbH, Berlin, DE</t>
        </is>
      </c>
      <c r="D5671" t="inlineStr">
        <is>
          <t>06.04.2027</t>
        </is>
      </c>
      <c r="E5671" t="inlineStr">
        <is>
          <t>Japan</t>
        </is>
      </c>
    </row>
    <row r="5672">
      <c r="A5672" t="inlineStr">
        <is>
          <t>Palmaju Edible Oil Sdn Bhd,  Kawasan Perindustrian Pasir Gudang, Malaysia</t>
        </is>
      </c>
      <c r="B5672" t="inlineStr">
        <is>
          <t>Point of Origin</t>
        </is>
      </c>
      <c r="C5672" t="inlineStr">
        <is>
          <t>Control Union Certifications Germany GmbH, Berlin, DE</t>
        </is>
      </c>
      <c r="D5672" t="inlineStr">
        <is>
          <t>06.04.2027</t>
        </is>
      </c>
      <c r="E5672" t="inlineStr">
        <is>
          <t>Malaysia</t>
        </is>
      </c>
    </row>
    <row r="5673">
      <c r="A5673" t="inlineStr">
        <is>
          <t>Molini Pivetti,  Frazione Renazzo - Cento (FE), Italy</t>
        </is>
      </c>
      <c r="B5673" t="inlineStr">
        <is>
          <t>First Gathering Point, Processing Unit</t>
        </is>
      </c>
      <c r="C5673" t="inlineStr">
        <is>
          <t>RINA Services S.p.A., Genova, IT</t>
        </is>
      </c>
      <c r="D5673" t="inlineStr">
        <is>
          <t>06.04.2027</t>
        </is>
      </c>
      <c r="E5673" t="inlineStr">
        <is>
          <t>Italy</t>
        </is>
      </c>
    </row>
    <row r="5674">
      <c r="A5674" t="inlineStr">
        <is>
          <t>Marubeni Innovexis Corporation,  Kita-ku, Osaka-shi, Japan</t>
        </is>
      </c>
      <c r="B5674" t="inlineStr">
        <is>
          <t>Trader with Storage</t>
        </is>
      </c>
      <c r="C5674" t="inlineStr">
        <is>
          <t>Control Union Certifications Germany GmbH, Berlin, DE</t>
        </is>
      </c>
      <c r="D5674" t="inlineStr">
        <is>
          <t>06.04.2027</t>
        </is>
      </c>
      <c r="E5674" t="inlineStr">
        <is>
          <t>Japan</t>
        </is>
      </c>
    </row>
    <row r="5675">
      <c r="A5675" t="inlineStr">
        <is>
          <t>Wing Fung Environmental Recycle Company,  TUEN MUN, Hong Kong, Hong Kong</t>
        </is>
      </c>
      <c r="B5675" t="inlineStr">
        <is>
          <t>Collecting Point, Trader with Storage</t>
        </is>
      </c>
      <c r="C5675" t="inlineStr">
        <is>
          <t>RINA Services S.p.A., Genova, IT</t>
        </is>
      </c>
      <c r="D5675" t="inlineStr">
        <is>
          <t>06.04.2027</t>
        </is>
      </c>
      <c r="E5675" t="inlineStr">
        <is>
          <t>Hong Kong</t>
        </is>
      </c>
    </row>
    <row r="5676">
      <c r="A5676" t="inlineStr">
        <is>
          <t>RKW SE,  Petersaurach, Germany</t>
        </is>
      </c>
      <c r="B5676" t="inlineStr">
        <is>
          <t>Processing Unit</t>
        </is>
      </c>
      <c r="C5676" t="inlineStr">
        <is>
          <t>GUT Certifizierungsgesellschaft für Managementsysteme mbH Umweltgutachter, Berlin, DE</t>
        </is>
      </c>
      <c r="D5676" t="inlineStr">
        <is>
          <t>06.04.2027</t>
        </is>
      </c>
      <c r="E5676" t="inlineStr">
        <is>
          <t>Germany</t>
        </is>
      </c>
    </row>
    <row r="5677">
      <c r="A5677" t="inlineStr">
        <is>
          <t>Kumho Petrochemical Co., Ltd. (Headquarters),  Jung-gu, Seoul, Korea, Republic of</t>
        </is>
      </c>
      <c r="B5677" t="inlineStr">
        <is>
          <t>Trader</t>
        </is>
      </c>
      <c r="C5677" t="inlineStr">
        <is>
          <t>Control Union Certifications Germany GmbH, Berlin, DE</t>
        </is>
      </c>
      <c r="D5677" t="inlineStr">
        <is>
          <t>06.04.2027</t>
        </is>
      </c>
      <c r="E5677" t="inlineStr">
        <is>
          <t>Republic of</t>
        </is>
      </c>
    </row>
    <row r="5678">
      <c r="A5678" t="inlineStr">
        <is>
          <t>W.A.G PAYMENT SOLUTIONS SPAIN SL,  LLERS, Spain</t>
        </is>
      </c>
      <c r="B5678" t="inlineStr">
        <is>
          <t>Trader with Storage</t>
        </is>
      </c>
      <c r="C5678" t="inlineStr">
        <is>
          <t>United Registrar of Systems Polska Sp. z o.o., Wrocław, PL</t>
        </is>
      </c>
      <c r="D5678" t="inlineStr">
        <is>
          <t>06.04.2027</t>
        </is>
      </c>
      <c r="E5678" t="inlineStr">
        <is>
          <t>Spain</t>
        </is>
      </c>
    </row>
    <row r="5679">
      <c r="A5679" t="inlineStr">
        <is>
          <t>ARRAIA OIL SL,  VITORIA, Spain</t>
        </is>
      </c>
      <c r="B5679" t="inlineStr">
        <is>
          <t>Trader with Storage</t>
        </is>
      </c>
      <c r="C5679" t="inlineStr">
        <is>
          <t>United Registrar of Systems Polska Sp. z o.o., Wrocław, PL</t>
        </is>
      </c>
      <c r="D5679" t="inlineStr">
        <is>
          <t>06.04.2027</t>
        </is>
      </c>
      <c r="E5679" t="inlineStr">
        <is>
          <t>Spain</t>
        </is>
      </c>
    </row>
    <row r="5680">
      <c r="A5680" t="inlineStr">
        <is>
          <t>Kumho Petrochemical Co., Ltd. (Yeosu Specialty Chemicals Plant),  Yeosu, Jeollanam-do, Korea, Republic of</t>
        </is>
      </c>
      <c r="B5680" t="inlineStr">
        <is>
          <t>Processing Unit</t>
        </is>
      </c>
      <c r="C5680" t="inlineStr">
        <is>
          <t>Control Union Certifications Germany GmbH, Berlin, DE</t>
        </is>
      </c>
      <c r="D5680" t="inlineStr">
        <is>
          <t>06.04.2027</t>
        </is>
      </c>
      <c r="E5680" t="inlineStr">
        <is>
          <t>Republic of</t>
        </is>
      </c>
    </row>
    <row r="5681">
      <c r="A5681" t="inlineStr">
        <is>
          <t>Kumho Petrochemical Co., Ltd. (Yeosu),  Yeosu-si, Jeollanam-do, Korea, Republic of</t>
        </is>
      </c>
      <c r="B5681" t="inlineStr">
        <is>
          <t>Processing Unit</t>
        </is>
      </c>
      <c r="C5681" t="inlineStr">
        <is>
          <t>Control Union Certifications Germany GmbH, Berlin, DE</t>
        </is>
      </c>
      <c r="D5681" t="inlineStr">
        <is>
          <t>06.04.2027</t>
        </is>
      </c>
      <c r="E5681" t="inlineStr">
        <is>
          <t>Republic of</t>
        </is>
      </c>
    </row>
    <row r="5682">
      <c r="A5682" t="inlineStr">
        <is>
          <t>Kumho Petrochemical Co., Ltd. (Ulsan Synthetic Resin Plant),  Nam-gu, Ulsan, Korea, Republic of</t>
        </is>
      </c>
      <c r="B5682" t="inlineStr">
        <is>
          <t>Processing Unit</t>
        </is>
      </c>
      <c r="C5682" t="inlineStr">
        <is>
          <t>Control Union Certifications Germany GmbH, Berlin, DE</t>
        </is>
      </c>
      <c r="D5682" t="inlineStr">
        <is>
          <t>06.04.2027</t>
        </is>
      </c>
      <c r="E5682" t="inlineStr">
        <is>
          <t>Republic of</t>
        </is>
      </c>
    </row>
    <row r="5683">
      <c r="A5683" t="inlineStr">
        <is>
          <t>Kumho Petrochemical Co., Ltd. (Ulsan Synthetic Rubber Plant),  Nam-gu, Ulsan, Korea, Republic of</t>
        </is>
      </c>
      <c r="B5683" t="inlineStr">
        <is>
          <t>Processing Unit</t>
        </is>
      </c>
      <c r="C5683" t="inlineStr">
        <is>
          <t>Control Union Certifications Germany GmbH, Berlin, DE</t>
        </is>
      </c>
      <c r="D5683" t="inlineStr">
        <is>
          <t>06.04.2027</t>
        </is>
      </c>
      <c r="E5683" t="inlineStr">
        <is>
          <t>Republic of</t>
        </is>
      </c>
    </row>
    <row r="5684">
      <c r="A5684" t="inlineStr">
        <is>
          <t>Prepack Thailand Co., Ltd.,  Samutsakhon, Thailand</t>
        </is>
      </c>
      <c r="B5684" t="inlineStr">
        <is>
          <t>Processing Unit</t>
        </is>
      </c>
      <c r="C5684" t="inlineStr">
        <is>
          <t>SGS Germany GmbH, Emstek, DE</t>
        </is>
      </c>
      <c r="D5684" t="inlineStr">
        <is>
          <t>06.04.2027</t>
        </is>
      </c>
      <c r="E5684" t="inlineStr">
        <is>
          <t>Thailand</t>
        </is>
      </c>
    </row>
    <row r="5685">
      <c r="A5685" t="inlineStr">
        <is>
          <t>Toray Composite Materials America, Inc. Decatur Plant,  Decatur, United States</t>
        </is>
      </c>
      <c r="B5685" t="inlineStr">
        <is>
          <t>Processing Unit</t>
        </is>
      </c>
      <c r="C5685" t="inlineStr">
        <is>
          <t>SGS Germany GmbH, Emstek, DE</t>
        </is>
      </c>
      <c r="D5685" t="inlineStr">
        <is>
          <t>06.04.2027</t>
        </is>
      </c>
      <c r="E5685" t="inlineStr">
        <is>
          <t>United States</t>
        </is>
      </c>
    </row>
    <row r="5686">
      <c r="A5686" t="inlineStr">
        <is>
          <t>Xing'an League Zhongneng Energy Technology Co., Ltd.,  Xing'an League, Inner Mongolia Autonomous Region, China</t>
        </is>
      </c>
      <c r="B5686" t="inlineStr">
        <is>
          <t>Processing Unit</t>
        </is>
      </c>
      <c r="C5686" t="inlineStr">
        <is>
          <t>CTI Certification Co. Ltd, Shenzhen, CN</t>
        </is>
      </c>
      <c r="D5686" t="inlineStr">
        <is>
          <t>06.04.2027</t>
        </is>
      </c>
      <c r="E5686" t="inlineStr">
        <is>
          <t>China</t>
        </is>
      </c>
    </row>
    <row r="5687">
      <c r="A5687" t="inlineStr">
        <is>
          <t>Kemas Indah Maju,  East Jakarta, DKI Jakarta, Indonesia</t>
        </is>
      </c>
      <c r="B5687" t="inlineStr">
        <is>
          <t>Processing Unit, Point of Origin</t>
        </is>
      </c>
      <c r="C5687" t="inlineStr">
        <is>
          <t>PT. Qualitas Sertifikasi Indonesia, Jakarta, ID</t>
        </is>
      </c>
      <c r="D5687" t="inlineStr">
        <is>
          <t>06.04.2027</t>
        </is>
      </c>
      <c r="E5687" t="inlineStr">
        <is>
          <t>Indonesia</t>
        </is>
      </c>
    </row>
    <row r="5688">
      <c r="A5688" t="inlineStr">
        <is>
          <t>Paul Fischer GmbH,  Untermarchtal, Germany</t>
        </is>
      </c>
      <c r="B5688" t="inlineStr">
        <is>
          <t>Trader with Storage</t>
        </is>
      </c>
      <c r="C5688" t="inlineStr">
        <is>
          <t>GUT Certifizierungsgesellschaft für Managementsysteme mbH Umweltgutachter, Berlin, DE</t>
        </is>
      </c>
      <c r="D5688" t="inlineStr">
        <is>
          <t>06.04.2027</t>
        </is>
      </c>
      <c r="E5688" t="inlineStr">
        <is>
          <t>Germany</t>
        </is>
      </c>
    </row>
    <row r="5689">
      <c r="A5689" t="inlineStr">
        <is>
          <t>Shree Rama Multi-Tech Limited,  Gandhinagar, India</t>
        </is>
      </c>
      <c r="B5689" t="inlineStr">
        <is>
          <t>Final Product Refinement, Processing Unit</t>
        </is>
      </c>
      <c r="C5689" t="inlineStr">
        <is>
          <t>Cotecna India Inspection Pvt Ltd, Kolkata, IN</t>
        </is>
      </c>
      <c r="D5689" t="inlineStr">
        <is>
          <t>06.04.2027</t>
        </is>
      </c>
      <c r="E5689" t="inlineStr">
        <is>
          <t>India</t>
        </is>
      </c>
    </row>
    <row r="5690">
      <c r="A5690" t="inlineStr">
        <is>
          <t>GEN PLASTİK KALIP İMALAT İTHALAT İHRACAT İNŞAAT SANAYİ VE TİCARET LİMİTED ŞİRKETİ,  İZMİR, Turkey</t>
        </is>
      </c>
      <c r="B5690" t="inlineStr">
        <is>
          <t>Processing Unit</t>
        </is>
      </c>
      <c r="C5690" t="inlineStr">
        <is>
          <t>BM Certification, Riga, LV</t>
        </is>
      </c>
      <c r="D5690" t="inlineStr">
        <is>
          <t>06.04.2027</t>
        </is>
      </c>
      <c r="E5690" t="inlineStr">
        <is>
          <t>Turkey</t>
        </is>
      </c>
    </row>
    <row r="5691">
      <c r="A5691" t="inlineStr">
        <is>
          <t>Södra Skogsägarna ekonomisk förening,  Mönsterås, Sweden</t>
        </is>
      </c>
      <c r="B5691" t="inlineStr">
        <is>
          <t>Point of Origin, Processing Unit</t>
        </is>
      </c>
      <c r="C5691" t="inlineStr">
        <is>
          <t>DNV Business Assurance Sweden AB, Solna, SE</t>
        </is>
      </c>
      <c r="D5691" t="inlineStr">
        <is>
          <t>06.04.2027</t>
        </is>
      </c>
      <c r="E5691" t="inlineStr">
        <is>
          <t>Sweden</t>
        </is>
      </c>
    </row>
    <row r="5692">
      <c r="A5692" t="inlineStr">
        <is>
          <t>BHG VIET NAM &amp; LUU DANH LIMITED LIABILITY COMPANY,  Phuoc Long Ward, Dong Nai Province, Vietnam</t>
        </is>
      </c>
      <c r="B5692" t="inlineStr">
        <is>
          <t>Collecting Point, Processing Unit, Trader with Storage</t>
        </is>
      </c>
      <c r="C5692" t="inlineStr">
        <is>
          <t>BM Certification, Riga, LV</t>
        </is>
      </c>
      <c r="D5692" t="inlineStr">
        <is>
          <t>06.04.2027</t>
        </is>
      </c>
      <c r="E5692" t="inlineStr">
        <is>
          <t>Vietnam</t>
        </is>
      </c>
    </row>
    <row r="5693">
      <c r="A5693" t="inlineStr">
        <is>
          <t>MOL Ceska republika,  Praha 5, Czech Republic</t>
        </is>
      </c>
      <c r="B5693" t="inlineStr">
        <is>
          <t>Trader, Proof of Compliance Trader</t>
        </is>
      </c>
      <c r="C5693" t="inlineStr">
        <is>
          <t>TÜV SÜD Czech s.r.o., Praha 4, CZ</t>
        </is>
      </c>
      <c r="D5693" t="inlineStr">
        <is>
          <t>06.04.2027</t>
        </is>
      </c>
      <c r="E5693" t="inlineStr">
        <is>
          <t>Czech Republic</t>
        </is>
      </c>
    </row>
    <row r="5694">
      <c r="A5694" t="inlineStr">
        <is>
          <t>PetroChina SIPG (ZhouShan) Energy Co., Ltd.,  Zhoushan City, Zhejiang Province, China</t>
        </is>
      </c>
      <c r="B5694" t="inlineStr">
        <is>
          <t>Trader</t>
        </is>
      </c>
      <c r="C5694" t="inlineStr">
        <is>
          <t>SCS Global Services, Emeryville, CA, US</t>
        </is>
      </c>
      <c r="D5694" t="inlineStr">
        <is>
          <t>06.04.2027</t>
        </is>
      </c>
      <c r="E5694" t="inlineStr">
        <is>
          <t>China</t>
        </is>
      </c>
    </row>
    <row r="5695">
      <c r="A5695" t="inlineStr">
        <is>
          <t>SHOWA BOEKI CO., LTD.,  Tokyo, Japan</t>
        </is>
      </c>
      <c r="B5695" t="inlineStr">
        <is>
          <t>Trader</t>
        </is>
      </c>
      <c r="C5695" t="inlineStr">
        <is>
          <t>SGS Germany GmbH, Emstek, DE</t>
        </is>
      </c>
      <c r="D5695" t="inlineStr">
        <is>
          <t>06.04.2027</t>
        </is>
      </c>
      <c r="E5695" t="inlineStr">
        <is>
          <t>Japan</t>
        </is>
      </c>
    </row>
    <row r="5696">
      <c r="A5696" t="inlineStr">
        <is>
          <t>Perstorp Industries India Private Limited,  Bharuch, India</t>
        </is>
      </c>
      <c r="B5696" t="inlineStr">
        <is>
          <t>Processing Unit</t>
        </is>
      </c>
      <c r="C5696" t="inlineStr">
        <is>
          <t>Cotecna India Inspection Pvt Ltd, Kolkata, IN</t>
        </is>
      </c>
      <c r="D5696" t="inlineStr">
        <is>
          <t>06.04.2027</t>
        </is>
      </c>
      <c r="E5696" t="inlineStr">
        <is>
          <t>India</t>
        </is>
      </c>
    </row>
    <row r="5697">
      <c r="A5697" t="inlineStr">
        <is>
          <t>OLIVEART,  sfax, Tunisia</t>
        </is>
      </c>
      <c r="B5697" t="inlineStr">
        <is>
          <t>First Gathering Point, Processing Unit</t>
        </is>
      </c>
      <c r="C5697" t="inlineStr">
        <is>
          <t>BM Certification, Riga, LV</t>
        </is>
      </c>
      <c r="D5697" t="inlineStr">
        <is>
          <t>06.04.2027</t>
        </is>
      </c>
      <c r="E5697" t="inlineStr">
        <is>
          <t>Tunisia</t>
        </is>
      </c>
    </row>
    <row r="5698">
      <c r="A5698" t="inlineStr">
        <is>
          <t>GEOMICO UCO PH INC.,  CITY OF CALAMBA, LAGUNA, REGION IV-A (CALABARZON), Philippines</t>
        </is>
      </c>
      <c r="B5698" t="inlineStr">
        <is>
          <t>Collecting Point, Trader with Storage</t>
        </is>
      </c>
      <c r="C5698" t="inlineStr">
        <is>
          <t>China Standard Conformity Assessment Co. Ltd, Beijing, CN</t>
        </is>
      </c>
      <c r="D5698" t="inlineStr">
        <is>
          <t>06.04.2027</t>
        </is>
      </c>
      <c r="E5698" t="inlineStr">
        <is>
          <t>Philippines</t>
        </is>
      </c>
    </row>
    <row r="5699">
      <c r="A5699" t="inlineStr">
        <is>
          <t>Avfuel Limited,  London, United Kingdom</t>
        </is>
      </c>
      <c r="B5699" t="inlineStr">
        <is>
          <t>Trader</t>
        </is>
      </c>
      <c r="C5699" t="inlineStr">
        <is>
          <t>SCS Global Services, Emeryville, CA, US</t>
        </is>
      </c>
      <c r="D5699" t="inlineStr">
        <is>
          <t>06.04.2027</t>
        </is>
      </c>
      <c r="E5699" t="inlineStr">
        <is>
          <t>United Kingdom</t>
        </is>
      </c>
    </row>
    <row r="5700">
      <c r="A5700" t="inlineStr">
        <is>
          <t>Avfuel Limited,  London, United Kingdom</t>
        </is>
      </c>
      <c r="B5700" t="inlineStr">
        <is>
          <t>Trader</t>
        </is>
      </c>
      <c r="C5700" t="inlineStr">
        <is>
          <t>SCS Global Services, Emeryville, CA, US</t>
        </is>
      </c>
      <c r="D5700" t="inlineStr">
        <is>
          <t>06.04.2027</t>
        </is>
      </c>
      <c r="E5700" t="inlineStr">
        <is>
          <t>United Kingdom</t>
        </is>
      </c>
    </row>
    <row r="5701">
      <c r="A5701" t="inlineStr">
        <is>
          <t>Avfuel Limited,  London, United Kingdom</t>
        </is>
      </c>
      <c r="B5701" t="inlineStr">
        <is>
          <t>Trader</t>
        </is>
      </c>
      <c r="C5701" t="inlineStr">
        <is>
          <t>SCS Global Services, Emeryville, CA, US</t>
        </is>
      </c>
      <c r="D5701" t="inlineStr">
        <is>
          <t>06.04.2027</t>
        </is>
      </c>
      <c r="E5701" t="inlineStr">
        <is>
          <t>United Kingdom</t>
        </is>
      </c>
    </row>
    <row r="5702">
      <c r="A5702" t="inlineStr">
        <is>
          <t>Avfuel Limited EU S.a.r.l.,  Luxembourg, Luxembourg</t>
        </is>
      </c>
      <c r="B5702" t="inlineStr">
        <is>
          <t>Trader</t>
        </is>
      </c>
      <c r="C5702" t="inlineStr">
        <is>
          <t>SCS Global Services, Emeryville, CA, US</t>
        </is>
      </c>
      <c r="D5702" t="inlineStr">
        <is>
          <t>06.04.2027</t>
        </is>
      </c>
      <c r="E5702" t="inlineStr">
        <is>
          <t>Luxembourg</t>
        </is>
      </c>
    </row>
    <row r="5703">
      <c r="A5703" t="inlineStr">
        <is>
          <t>Avfuel Limited EU S.a.r.l.,  Luxembourg, Luxembourg</t>
        </is>
      </c>
      <c r="B5703" t="inlineStr">
        <is>
          <t>Trader</t>
        </is>
      </c>
      <c r="C5703" t="inlineStr">
        <is>
          <t>SCS Global Services, Emeryville, CA, US</t>
        </is>
      </c>
      <c r="D5703" t="inlineStr">
        <is>
          <t>06.04.2027</t>
        </is>
      </c>
      <c r="E5703" t="inlineStr">
        <is>
          <t>Luxembourg</t>
        </is>
      </c>
    </row>
    <row r="5704">
      <c r="A5704" t="inlineStr">
        <is>
          <t>Avfuel Limited EU S.a.r.l.,  Luxembourg, Luxembourg</t>
        </is>
      </c>
      <c r="B5704" t="inlineStr">
        <is>
          <t>Trader</t>
        </is>
      </c>
      <c r="C5704" t="inlineStr">
        <is>
          <t>SCS Global Services, Emeryville, CA, US</t>
        </is>
      </c>
      <c r="D5704" t="inlineStr">
        <is>
          <t>06.04.2027</t>
        </is>
      </c>
      <c r="E5704" t="inlineStr">
        <is>
          <t>Luxembourg</t>
        </is>
      </c>
    </row>
    <row r="5705">
      <c r="A5705" t="inlineStr">
        <is>
          <t>Mainstream Pine Products, LLC,  North Charleston, United States</t>
        </is>
      </c>
      <c r="B5705" t="inlineStr">
        <is>
          <t>Point of Origin, Collecting Point, Processing Unit, Trader with Storage</t>
        </is>
      </c>
      <c r="C5705" t="inlineStr">
        <is>
          <t>SCS Global Services, Emeryville, CA, US</t>
        </is>
      </c>
      <c r="D5705" t="inlineStr">
        <is>
          <t>06.04.2027</t>
        </is>
      </c>
      <c r="E5705" t="inlineStr">
        <is>
          <t>United States</t>
        </is>
      </c>
    </row>
    <row r="5706">
      <c r="A5706" t="inlineStr">
        <is>
          <t>Qinhuangdao Kaisheng Eco-Protection Service Co., Ltd First Branch,  Economic and Technological Development Qinhuangdao, China</t>
        </is>
      </c>
      <c r="B5706" t="inlineStr">
        <is>
          <t>Collecting Point, Trader with Storage</t>
        </is>
      </c>
      <c r="C5706" t="inlineStr">
        <is>
          <t>RINA Services S.p.A., Genova, IT</t>
        </is>
      </c>
      <c r="D5706" t="inlineStr">
        <is>
          <t>06.04.2027</t>
        </is>
      </c>
      <c r="E5706" t="inlineStr">
        <is>
          <t>China</t>
        </is>
      </c>
    </row>
    <row r="5707">
      <c r="A5707" t="inlineStr">
        <is>
          <t>Hebei Zhuozun Grease Co., Ltd,  Xinji City, China</t>
        </is>
      </c>
      <c r="B5707" t="inlineStr">
        <is>
          <t>Trader with Storage</t>
        </is>
      </c>
      <c r="C5707" t="inlineStr">
        <is>
          <t>RINA Services S.p.A., Genova, IT</t>
        </is>
      </c>
      <c r="D5707" t="inlineStr">
        <is>
          <t>06.04.2027</t>
        </is>
      </c>
      <c r="E5707" t="inlineStr">
        <is>
          <t>China</t>
        </is>
      </c>
    </row>
    <row r="5708">
      <c r="A5708" t="inlineStr">
        <is>
          <t>Baoding Lvsheng Renewable Resources Recycling Co., Ltd,  Baoding City, China</t>
        </is>
      </c>
      <c r="B5708" t="inlineStr">
        <is>
          <t>Collecting Point</t>
        </is>
      </c>
      <c r="C5708" t="inlineStr">
        <is>
          <t>RINA Services S.p.A., Genova, IT</t>
        </is>
      </c>
      <c r="D5708" t="inlineStr">
        <is>
          <t>06.04.2027</t>
        </is>
      </c>
      <c r="E5708" t="inlineStr">
        <is>
          <t>China</t>
        </is>
      </c>
    </row>
    <row r="5709">
      <c r="A5709" t="inlineStr">
        <is>
          <t>Shandong Tianbang Energy Co., Ltd.,  Xintai City, Tai'an City, Shandong Province, China</t>
        </is>
      </c>
      <c r="B5709" t="inlineStr">
        <is>
          <t>Collecting Point, Trader</t>
        </is>
      </c>
      <c r="C5709" t="inlineStr">
        <is>
          <t>RINA Services S.p.A., Genova, IT</t>
        </is>
      </c>
      <c r="D5709" t="inlineStr">
        <is>
          <t>06.04.2027</t>
        </is>
      </c>
      <c r="E5709" t="inlineStr">
        <is>
          <t>China</t>
        </is>
      </c>
    </row>
    <row r="5710">
      <c r="A5710" t="inlineStr">
        <is>
          <t>Ameresco Roxana RNG LLC,  Edwardsville, United States</t>
        </is>
      </c>
      <c r="B5710" t="inlineStr">
        <is>
          <t>Collecting Point, Processing Unit</t>
        </is>
      </c>
      <c r="C5710" t="inlineStr">
        <is>
          <t>SCS Global Services, Emeryville, CA, US</t>
        </is>
      </c>
      <c r="D5710" t="inlineStr">
        <is>
          <t>06.04.2027</t>
        </is>
      </c>
      <c r="E5710" t="inlineStr">
        <is>
          <t>United States</t>
        </is>
      </c>
    </row>
    <row r="5711">
      <c r="A5711" t="inlineStr">
        <is>
          <t>Tongda Smart Tech (Shishi) Co., Ltd.,  Shishi, China</t>
        </is>
      </c>
      <c r="B5711" t="inlineStr">
        <is>
          <t>Processing Unit</t>
        </is>
      </c>
      <c r="C5711" t="inlineStr">
        <is>
          <t>Bureau Veritas Polska Sp. z o.o., Warsaw, PL</t>
        </is>
      </c>
      <c r="D5711" t="inlineStr">
        <is>
          <t>06.04.2027</t>
        </is>
      </c>
      <c r="E5711" t="inlineStr">
        <is>
          <t>China</t>
        </is>
      </c>
    </row>
    <row r="5712">
      <c r="A5712" t="inlineStr">
        <is>
          <t>Agrochema Latvia,  Dzimtmisa, Iecavas novads, Latvia</t>
        </is>
      </c>
      <c r="B5712" t="inlineStr">
        <is>
          <t>First Gathering Point, Trader with Storage</t>
        </is>
      </c>
      <c r="C5712" t="inlineStr">
        <is>
          <t>SGS Germany GmbH, Emstek, DE</t>
        </is>
      </c>
      <c r="D5712" t="inlineStr">
        <is>
          <t>06.04.2027</t>
        </is>
      </c>
      <c r="E5712" t="inlineStr">
        <is>
          <t>Latvia</t>
        </is>
      </c>
    </row>
    <row r="5713">
      <c r="A5713" t="inlineStr">
        <is>
          <t>Envalior Engineering Materials (Wuxi) Co., Ltd.,  Wuxi, China</t>
        </is>
      </c>
      <c r="B5713" t="inlineStr">
        <is>
          <t>Processing Unit, Trader</t>
        </is>
      </c>
      <c r="C5713" t="inlineStr">
        <is>
          <t>TÜV NORD CERT GmbH, Essen, DE</t>
        </is>
      </c>
      <c r="D5713" t="inlineStr">
        <is>
          <t>06.04.2027</t>
        </is>
      </c>
      <c r="E5713" t="inlineStr">
        <is>
          <t>China</t>
        </is>
      </c>
    </row>
    <row r="5714">
      <c r="A5714" t="inlineStr">
        <is>
          <t>Envalior Engineering Materials (Changzhou) Co., Ltd,  Changzhou, China</t>
        </is>
      </c>
      <c r="B5714" t="inlineStr">
        <is>
          <t>Processing Unit</t>
        </is>
      </c>
      <c r="C5714" t="inlineStr">
        <is>
          <t>TÜV NORD CERT GmbH, Essen, DE</t>
        </is>
      </c>
      <c r="D5714" t="inlineStr">
        <is>
          <t>06.04.2027</t>
        </is>
      </c>
      <c r="E5714" t="inlineStr">
        <is>
          <t>China</t>
        </is>
      </c>
    </row>
    <row r="5715">
      <c r="A5715" t="inlineStr">
        <is>
          <t>OILCO KUWAIT GENERAL TRADING,  Kuwait, Kuwait</t>
        </is>
      </c>
      <c r="B5715" t="inlineStr">
        <is>
          <t>Collecting Point, Trader with Storage</t>
        </is>
      </c>
      <c r="C5715" t="inlineStr">
        <is>
          <t>SGS Germany GmbH, Emstek, DE</t>
        </is>
      </c>
      <c r="D5715" t="inlineStr">
        <is>
          <t>06.04.2027</t>
        </is>
      </c>
      <c r="E5715" t="inlineStr">
        <is>
          <t>Kuwait</t>
        </is>
      </c>
    </row>
    <row r="5716">
      <c r="A5716" t="inlineStr">
        <is>
          <t>Südpack Medica SAS,  Coulmer, France</t>
        </is>
      </c>
      <c r="B5716" t="inlineStr">
        <is>
          <t>Final Product Refinement</t>
        </is>
      </c>
      <c r="C5716" t="inlineStr">
        <is>
          <t>SGS Germany GmbH, Emstek, DE</t>
        </is>
      </c>
      <c r="D5716" t="inlineStr">
        <is>
          <t>06.04.2027</t>
        </is>
      </c>
      <c r="E5716" t="inlineStr">
        <is>
          <t>France</t>
        </is>
      </c>
    </row>
    <row r="5717">
      <c r="A5717" t="inlineStr">
        <is>
          <t>Arkema Inc.,  Hahnville, United States</t>
        </is>
      </c>
      <c r="B5717" t="inlineStr">
        <is>
          <t>Processing Unit</t>
        </is>
      </c>
      <c r="C5717" t="inlineStr">
        <is>
          <t>DNV Business Assurance Sweden AB, Solna, SE</t>
        </is>
      </c>
      <c r="D5717" t="inlineStr">
        <is>
          <t>06.04.2027</t>
        </is>
      </c>
      <c r="E5717" t="inlineStr">
        <is>
          <t>United States</t>
        </is>
      </c>
    </row>
    <row r="5718">
      <c r="A5718" t="inlineStr">
        <is>
          <t>Ecovirea,  San Esteve Sesrovires, Spain</t>
        </is>
      </c>
      <c r="B5718" t="inlineStr">
        <is>
          <t>Collecting Point, Point of Origin, Trader with Storage</t>
        </is>
      </c>
      <c r="C5718" t="inlineStr">
        <is>
          <t>RINA Services S.p.A., Genova, IT</t>
        </is>
      </c>
      <c r="D5718" t="inlineStr">
        <is>
          <t>06.04.2027</t>
        </is>
      </c>
      <c r="E5718" t="inlineStr">
        <is>
          <t>Spain</t>
        </is>
      </c>
    </row>
    <row r="5719">
      <c r="A5719" t="inlineStr">
        <is>
          <t>Arampatzis Theofilos,  Rhodes, Xristou Tsigante, Greece</t>
        </is>
      </c>
      <c r="B5719" t="inlineStr">
        <is>
          <t>Collecting Point</t>
        </is>
      </c>
      <c r="C5719" t="inlineStr">
        <is>
          <t>Eurocert SA, Metamorfosi, Athens, GR</t>
        </is>
      </c>
      <c r="D5719" t="inlineStr">
        <is>
          <t>06.04.2027</t>
        </is>
      </c>
      <c r="E5719" t="inlineStr">
        <is>
          <t>Greece</t>
        </is>
      </c>
    </row>
    <row r="5720">
      <c r="A5720" t="inlineStr">
        <is>
          <t>SHANGHAI HUACHANG TRADING CO.,LTD.,  SHANGHAI, China</t>
        </is>
      </c>
      <c r="B5720" t="inlineStr">
        <is>
          <t>Trader with Storage</t>
        </is>
      </c>
      <c r="C5720" t="inlineStr">
        <is>
          <t>SGS Germany GmbH, Emstek, DE</t>
        </is>
      </c>
      <c r="D5720" t="inlineStr">
        <is>
          <t>05.04.2027</t>
        </is>
      </c>
      <c r="E5720" t="inlineStr">
        <is>
          <t>China</t>
        </is>
      </c>
    </row>
    <row r="5721">
      <c r="A5721" t="inlineStr">
        <is>
          <t>MGN EcoLogistic,  Bački Petrovac, Serbia</t>
        </is>
      </c>
      <c r="B5721" t="inlineStr">
        <is>
          <t>Collecting Point, Trader with Storage</t>
        </is>
      </c>
      <c r="C5721" t="inlineStr">
        <is>
          <t>Business Quality Verification Testing and Certification Services P.C. (BQV), Marousi, Athens, GR</t>
        </is>
      </c>
      <c r="D5721" t="inlineStr">
        <is>
          <t>05.04.2027</t>
        </is>
      </c>
      <c r="E5721" t="inlineStr">
        <is>
          <t>Serbia</t>
        </is>
      </c>
    </row>
    <row r="5722">
      <c r="A5722" t="inlineStr">
        <is>
          <t>MILJOJKO SEKULIĆ PR TRGOVINA NA VELIKO USLUGE PREVOZA I KONSULTANTSKE USLUGE KOSMOS SERVIS KAPIDŽIJA,  Kruševac, Serbia</t>
        </is>
      </c>
      <c r="B5722" t="inlineStr">
        <is>
          <t>Collecting Point</t>
        </is>
      </c>
      <c r="C5722" t="inlineStr">
        <is>
          <t>Business Quality Verification Testing and Certification Services P.C. (BQV), Marousi, Athens, GR</t>
        </is>
      </c>
      <c r="D5722" t="inlineStr">
        <is>
          <t>05.04.2027</t>
        </is>
      </c>
      <c r="E5722" t="inlineStr">
        <is>
          <t>Serbia</t>
        </is>
      </c>
    </row>
    <row r="5723">
      <c r="A5723" t="inlineStr">
        <is>
          <t>HPAE Holdings, LLC,  Ulysses, The United States of America</t>
        </is>
      </c>
      <c r="B5723" t="inlineStr">
        <is>
          <t>Collecting Point, Processing Unit</t>
        </is>
      </c>
      <c r="C5723" t="inlineStr">
        <is>
          <t>SCS Global Services, Emeryville, CA, US</t>
        </is>
      </c>
      <c r="D5723" t="inlineStr">
        <is>
          <t>05.04.2027</t>
        </is>
      </c>
      <c r="E5723" t="inlineStr">
        <is>
          <t>The United States of America</t>
        </is>
      </c>
    </row>
    <row r="5724">
      <c r="A5724" t="inlineStr">
        <is>
          <t>Dongguan Zhuosheng Optical Technology Co., Ltd.,  Dongguan City, Guangdong Province, China</t>
        </is>
      </c>
      <c r="B5724" t="inlineStr">
        <is>
          <t>Processing Unit, Trader with Storage</t>
        </is>
      </c>
      <c r="C5724" t="inlineStr">
        <is>
          <t>SCS Global Services, Emeryville, CA, US</t>
        </is>
      </c>
      <c r="D5724" t="inlineStr">
        <is>
          <t>05.04.2027</t>
        </is>
      </c>
      <c r="E5724" t="inlineStr">
        <is>
          <t>China</t>
        </is>
      </c>
    </row>
    <row r="5725">
      <c r="A5725" t="inlineStr">
        <is>
          <t>Dong Guan Aijie Optical Co., Ltd.,  Dongguan City, Guangdong Province, China</t>
        </is>
      </c>
      <c r="B5725" t="inlineStr">
        <is>
          <t>Processing Unit</t>
        </is>
      </c>
      <c r="C5725" t="inlineStr">
        <is>
          <t>SCS Global Services, Emeryville, CA, US</t>
        </is>
      </c>
      <c r="D5725" t="inlineStr">
        <is>
          <t>05.04.2027</t>
        </is>
      </c>
      <c r="E5725" t="inlineStr">
        <is>
          <t>China</t>
        </is>
      </c>
    </row>
    <row r="5726">
      <c r="A5726" t="inlineStr">
        <is>
          <t>China National Aviation Fuel Group Guizhou Petroleum Co., Ltd.,  Guiyang City, Guizhou Province, China</t>
        </is>
      </c>
      <c r="B5726" t="inlineStr">
        <is>
          <t>Trader with Storage</t>
        </is>
      </c>
      <c r="C5726" t="inlineStr">
        <is>
          <t>SCS Global Services, Emeryville, CA, US</t>
        </is>
      </c>
      <c r="D5726" t="inlineStr">
        <is>
          <t>05.04.2027</t>
        </is>
      </c>
      <c r="E5726" t="inlineStr">
        <is>
          <t>China</t>
        </is>
      </c>
    </row>
    <row r="5727">
      <c r="A5727" t="inlineStr">
        <is>
          <t>China National Aviation Fuel Group Guizhou Petroleum Co., Ltd.,  Guiyang City, Guizhou Province, China</t>
        </is>
      </c>
      <c r="B5727" t="inlineStr">
        <is>
          <t>Trader with Storage</t>
        </is>
      </c>
      <c r="C5727" t="inlineStr">
        <is>
          <t>SCS Global Services, Emeryville, CA, US</t>
        </is>
      </c>
      <c r="D5727" t="inlineStr">
        <is>
          <t>05.04.2027</t>
        </is>
      </c>
      <c r="E5727" t="inlineStr">
        <is>
          <t>China</t>
        </is>
      </c>
    </row>
    <row r="5728">
      <c r="A5728" t="inlineStr">
        <is>
          <t>HPAE Holdings, LLC,  Ulysses, The United States of America</t>
        </is>
      </c>
      <c r="B5728" t="inlineStr">
        <is>
          <t>Collecting Point, Processing Unit</t>
        </is>
      </c>
      <c r="C5728" t="inlineStr">
        <is>
          <t>SCS Global Services, Emeryville, CA, US</t>
        </is>
      </c>
      <c r="D5728" t="inlineStr">
        <is>
          <t>05.04.2027</t>
        </is>
      </c>
      <c r="E5728" t="inlineStr">
        <is>
          <t>The United States of America</t>
        </is>
      </c>
    </row>
    <row r="5729">
      <c r="A5729" t="inlineStr">
        <is>
          <t>HPAE Holdings, LLC,  Scott City, The United States of America</t>
        </is>
      </c>
      <c r="B5729" t="inlineStr">
        <is>
          <t>Collecting Point, Processing Unit</t>
        </is>
      </c>
      <c r="C5729" t="inlineStr">
        <is>
          <t>SCS Global Services, Emeryville, CA, US</t>
        </is>
      </c>
      <c r="D5729" t="inlineStr">
        <is>
          <t>05.04.2027</t>
        </is>
      </c>
      <c r="E5729" t="inlineStr">
        <is>
          <t>The United States of America</t>
        </is>
      </c>
    </row>
    <row r="5730">
      <c r="A5730" t="inlineStr">
        <is>
          <t>HPAE Holdings, LLC,  Scott City, The United States of America</t>
        </is>
      </c>
      <c r="B5730" t="inlineStr">
        <is>
          <t>Collecting Point, Processing Unit</t>
        </is>
      </c>
      <c r="C5730" t="inlineStr">
        <is>
          <t>SCS Global Services, Emeryville, CA, US</t>
        </is>
      </c>
      <c r="D5730" t="inlineStr">
        <is>
          <t>05.04.2027</t>
        </is>
      </c>
      <c r="E5730" t="inlineStr">
        <is>
          <t>The United States of America</t>
        </is>
      </c>
    </row>
    <row r="5731">
      <c r="A5731" t="inlineStr">
        <is>
          <t>GREEN OIL,  ROLDAN, Argentina</t>
        </is>
      </c>
      <c r="B5731" t="inlineStr">
        <is>
          <t>Collecting Point, Trader with Storage</t>
        </is>
      </c>
      <c r="C5731" t="inlineStr">
        <is>
          <t>Amspec Iberia SL, Vilagarcia de Arousa-Pontevedra, ES</t>
        </is>
      </c>
      <c r="D5731" t="inlineStr">
        <is>
          <t>05.04.2027</t>
        </is>
      </c>
      <c r="E5731" t="inlineStr">
        <is>
          <t>Argentina</t>
        </is>
      </c>
    </row>
    <row r="5732">
      <c r="A5732" t="inlineStr">
        <is>
          <t>VIP Plastic Packaging (NZ) Limited trading as PACT Packaging East Tamaki,  East Tamaki, New Zealand</t>
        </is>
      </c>
      <c r="B5732" t="inlineStr">
        <is>
          <t>Processing Unit</t>
        </is>
      </c>
      <c r="C5732" t="inlineStr">
        <is>
          <t>SGS Germany GmbH, Emstek, DE</t>
        </is>
      </c>
      <c r="D5732" t="inlineStr">
        <is>
          <t>05.04.2027</t>
        </is>
      </c>
      <c r="E5732" t="inlineStr">
        <is>
          <t>New Zealand</t>
        </is>
      </c>
    </row>
    <row r="5733">
      <c r="A5733" t="inlineStr">
        <is>
          <t>SARVAL DRY,  Illzach, France</t>
        </is>
      </c>
      <c r="B5733" t="inlineStr">
        <is>
          <t>Point of Origin</t>
        </is>
      </c>
      <c r="C5733" t="inlineStr">
        <is>
          <t>Control Union Certifications Germany GmbH, Berlin, DE</t>
        </is>
      </c>
      <c r="D5733" t="inlineStr">
        <is>
          <t>05.04.2027</t>
        </is>
      </c>
      <c r="E5733" t="inlineStr">
        <is>
          <t>France</t>
        </is>
      </c>
    </row>
    <row r="5734">
      <c r="A5734" t="inlineStr">
        <is>
          <t>China Resources Recycling Group International Investment(Shenzhen) Co., Ltd.,  Shenzhen, City Guangdong Province, China</t>
        </is>
      </c>
      <c r="B5734" t="inlineStr">
        <is>
          <t>Trader with Storage</t>
        </is>
      </c>
      <c r="C5734" t="inlineStr">
        <is>
          <t>RINA Services S.p.A., Genova, IT</t>
        </is>
      </c>
      <c r="D5734" t="inlineStr">
        <is>
          <t>05.04.2027</t>
        </is>
      </c>
      <c r="E5734" t="inlineStr">
        <is>
          <t>China</t>
        </is>
      </c>
    </row>
    <row r="5735">
      <c r="A5735" t="inlineStr">
        <is>
          <t>BAEKAN CHEMICAL COMPANY,  Daegu, South Korea</t>
        </is>
      </c>
      <c r="B5735" t="inlineStr">
        <is>
          <t>Collecting Point, Trader with Storage</t>
        </is>
      </c>
      <c r="C5735" t="inlineStr">
        <is>
          <t>PT. Qualitas Sertifikasi Indonesia, Jakarta, ID</t>
        </is>
      </c>
      <c r="D5735" t="inlineStr">
        <is>
          <t>05.04.2027</t>
        </is>
      </c>
      <c r="E5735" t="inlineStr">
        <is>
          <t>South Korea</t>
        </is>
      </c>
    </row>
    <row r="5736">
      <c r="A5736" t="inlineStr">
        <is>
          <t>Ghent renewables,  Ghent, Belgium</t>
        </is>
      </c>
      <c r="B5736" t="inlineStr">
        <is>
          <t>Processing Unit, Warehouse</t>
        </is>
      </c>
      <c r="C5736" t="inlineStr">
        <is>
          <t>Control Union Certifications Germany GmbH, Berlin, DE</t>
        </is>
      </c>
      <c r="D5736" t="inlineStr">
        <is>
          <t>05.04.2027</t>
        </is>
      </c>
      <c r="E5736" t="inlineStr">
        <is>
          <t>Belgium</t>
        </is>
      </c>
    </row>
    <row r="5737">
      <c r="A5737" t="inlineStr">
        <is>
          <t>Longyan Hongda Biotechnology Co., Ltd.,  Zhangping City, Fujian, China</t>
        </is>
      </c>
      <c r="B5737" t="inlineStr">
        <is>
          <t>Collecting Point, Processing Unit, Trader with Storage</t>
        </is>
      </c>
      <c r="C5737" t="inlineStr">
        <is>
          <t>China Standard Conformity Assessment Co. Ltd, Beijing, CN</t>
        </is>
      </c>
      <c r="D5737" t="inlineStr">
        <is>
          <t>05.04.2027</t>
        </is>
      </c>
      <c r="E5737" t="inlineStr">
        <is>
          <t>China</t>
        </is>
      </c>
    </row>
    <row r="5738">
      <c r="A5738" t="inlineStr">
        <is>
          <t>SEGYEYUJI,  Pyeongtaek-si, South Korea</t>
        </is>
      </c>
      <c r="B5738" t="inlineStr">
        <is>
          <t>Collecting Point</t>
        </is>
      </c>
      <c r="C5738" t="inlineStr">
        <is>
          <t>Korean Foundation for Quality, Songpa-gu, Seoul, KR</t>
        </is>
      </c>
      <c r="D5738" t="inlineStr">
        <is>
          <t>05.04.2027</t>
        </is>
      </c>
      <c r="E5738" t="inlineStr">
        <is>
          <t>South Korea</t>
        </is>
      </c>
    </row>
    <row r="5739">
      <c r="A5739" t="inlineStr">
        <is>
          <t>Trafigura Energy (Zhejiang) Co.,Ltd,  Pudong, Shanghai, China</t>
        </is>
      </c>
      <c r="B5739" t="inlineStr">
        <is>
          <t>Trader with Storage</t>
        </is>
      </c>
      <c r="C5739" t="inlineStr">
        <is>
          <t>China Standard Conformity Assessment Co. Ltd, Beijing, CN</t>
        </is>
      </c>
      <c r="D5739" t="inlineStr">
        <is>
          <t>05.04.2027</t>
        </is>
      </c>
      <c r="E5739" t="inlineStr">
        <is>
          <t>China</t>
        </is>
      </c>
    </row>
    <row r="5740">
      <c r="A5740" t="inlineStr">
        <is>
          <t>VIVID OPTICAL COMPANY LIMITED,  Hong Kong, Hong Kong, SAR, China</t>
        </is>
      </c>
      <c r="B5740" t="inlineStr">
        <is>
          <t>Trader</t>
        </is>
      </c>
      <c r="C5740" t="inlineStr">
        <is>
          <t>SCS Global Services, Emeryville, CA, US</t>
        </is>
      </c>
      <c r="D5740" t="inlineStr">
        <is>
          <t>05.04.2027</t>
        </is>
      </c>
      <c r="E5740" t="inlineStr">
        <is>
          <t>China</t>
        </is>
      </c>
    </row>
    <row r="5741">
      <c r="A5741" t="inlineStr">
        <is>
          <t>Mitsubishi Chemical Corporation,  Yahatanishi-ku, Kitakyushu-shi, Japan</t>
        </is>
      </c>
      <c r="B5741" t="inlineStr">
        <is>
          <t>Processing Unit</t>
        </is>
      </c>
      <c r="C5741" t="inlineStr">
        <is>
          <t>Control Union Certifications Germany GmbH, Berlin, DE</t>
        </is>
      </c>
      <c r="D5741" t="inlineStr">
        <is>
          <t>05.04.2027</t>
        </is>
      </c>
      <c r="E5741" t="inlineStr">
        <is>
          <t>Japan</t>
        </is>
      </c>
    </row>
    <row r="5742">
      <c r="A5742" t="inlineStr">
        <is>
          <t>Covestro (Taiwan) Ltd.,  Xianxi Township, Chang Hua County, Taiwan, Province of China</t>
        </is>
      </c>
      <c r="B5742" t="inlineStr">
        <is>
          <t>Processing Unit, Trader with Storage</t>
        </is>
      </c>
      <c r="C5742" t="inlineStr">
        <is>
          <t>DIN CERTCO GmbH, Berlin, DE</t>
        </is>
      </c>
      <c r="D5742" t="inlineStr">
        <is>
          <t>05.04.2027</t>
        </is>
      </c>
      <c r="E5742" t="inlineStr">
        <is>
          <t>Province of China</t>
        </is>
      </c>
    </row>
    <row r="5743">
      <c r="A5743" t="inlineStr">
        <is>
          <t>USINA SÃO LUIZ S/A,  OURINHOS, Brazil</t>
        </is>
      </c>
      <c r="B5743" t="inlineStr">
        <is>
          <t>First Gathering Point, Processing Unit</t>
        </is>
      </c>
      <c r="C5743" t="inlineStr">
        <is>
          <t>Control Union Poland Sp. z o.o., Zielona Gora, PL</t>
        </is>
      </c>
      <c r="D5743" t="inlineStr">
        <is>
          <t>05.04.2027</t>
        </is>
      </c>
      <c r="E5743" t="inlineStr">
        <is>
          <t>Brazil</t>
        </is>
      </c>
    </row>
    <row r="5744">
      <c r="A5744" t="inlineStr">
        <is>
          <t>Aceitera General Deheza (T6 facility),  Puerto General San Martin, Santa Fe, Argentina</t>
        </is>
      </c>
      <c r="B5744" t="inlineStr">
        <is>
          <t>Point of Origin, Processing Unit, Warehouse</t>
        </is>
      </c>
      <c r="C5744" t="inlineStr">
        <is>
          <t>Control Union Poland Sp. z o.o., Zielona Gora, PL</t>
        </is>
      </c>
      <c r="D5744" t="inlineStr">
        <is>
          <t>05.04.2027</t>
        </is>
      </c>
      <c r="E5744" t="inlineStr">
        <is>
          <t>Argentina</t>
        </is>
      </c>
    </row>
    <row r="5745">
      <c r="A5745" t="inlineStr">
        <is>
          <t>World Fuel Services (Singapore) Pte Ltd,  Novena Square Tower B, Singapore</t>
        </is>
      </c>
      <c r="B5745" t="inlineStr">
        <is>
          <t>Trader, Proof of Compliance Trader</t>
        </is>
      </c>
      <c r="C5745" t="inlineStr">
        <is>
          <t>Double Helix Tracking Technologies Pte Ltd, Singapore, SG</t>
        </is>
      </c>
      <c r="D5745" t="inlineStr">
        <is>
          <t>05.04.2027</t>
        </is>
      </c>
      <c r="E5745" t="inlineStr">
        <is>
          <t>Singapore</t>
        </is>
      </c>
    </row>
    <row r="5746">
      <c r="A5746" t="inlineStr">
        <is>
          <t>World Fuel Services (Singapore) Pte Ltd,  Novena Square Tower B, Singapore</t>
        </is>
      </c>
      <c r="B5746" t="inlineStr">
        <is>
          <t>Trader</t>
        </is>
      </c>
      <c r="C5746" t="inlineStr">
        <is>
          <t>Double Helix Tracking Technologies Pte Ltd, Singapore, SG</t>
        </is>
      </c>
      <c r="D5746" t="inlineStr">
        <is>
          <t>05.04.2027</t>
        </is>
      </c>
      <c r="E5746" t="inlineStr">
        <is>
          <t>Singapore</t>
        </is>
      </c>
    </row>
    <row r="5747">
      <c r="A5747" t="inlineStr">
        <is>
          <t>SERSALL95 S.L.,  Castelló d’Empúries, Spain</t>
        </is>
      </c>
      <c r="B5747" t="inlineStr">
        <is>
          <t>Collecting Point</t>
        </is>
      </c>
      <c r="C5747" t="inlineStr">
        <is>
          <t>RINA Services S.p.A., Genova, IT</t>
        </is>
      </c>
      <c r="D5747" t="inlineStr">
        <is>
          <t>05.04.2027</t>
        </is>
      </c>
      <c r="E5747" t="inlineStr">
        <is>
          <t>Spain</t>
        </is>
      </c>
    </row>
    <row r="5748">
      <c r="A5748" t="inlineStr">
        <is>
          <t>The Polyolefin Company (Singapore) Pte. Ltd.,  Singapore, Singapore</t>
        </is>
      </c>
      <c r="B5748" t="inlineStr">
        <is>
          <t>Processing Unit</t>
        </is>
      </c>
      <c r="C5748" t="inlineStr">
        <is>
          <t>Control Union Certifications Germany GmbH, Berlin, DE</t>
        </is>
      </c>
      <c r="D5748" t="inlineStr">
        <is>
          <t>05.04.2027</t>
        </is>
      </c>
      <c r="E5748" t="inlineStr">
        <is>
          <t>Singapore</t>
        </is>
      </c>
    </row>
    <row r="5749">
      <c r="A5749" t="inlineStr">
        <is>
          <t>The Polyolefin Company (Singapore) Pte. Ltd.,  Singapore, Singapore</t>
        </is>
      </c>
      <c r="B5749" t="inlineStr">
        <is>
          <t>Trader with Storage</t>
        </is>
      </c>
      <c r="C5749" t="inlineStr">
        <is>
          <t>Control Union Certifications Germany GmbH, Berlin, DE</t>
        </is>
      </c>
      <c r="D5749" t="inlineStr">
        <is>
          <t>05.04.2027</t>
        </is>
      </c>
      <c r="E5749" t="inlineStr">
        <is>
          <t>Singapore</t>
        </is>
      </c>
    </row>
    <row r="5750">
      <c r="A5750" t="inlineStr">
        <is>
          <t>INEOS Manufacturing Belgium,  Antwerp, Belgium</t>
        </is>
      </c>
      <c r="B5750" t="inlineStr">
        <is>
          <t>Processing Unit</t>
        </is>
      </c>
      <c r="C5750" t="inlineStr">
        <is>
          <t>SCS Global Services, Emeryville, CA, US</t>
        </is>
      </c>
      <c r="D5750" t="inlineStr">
        <is>
          <t>05.04.2027</t>
        </is>
      </c>
      <c r="E5750" t="inlineStr">
        <is>
          <t>Belgium</t>
        </is>
      </c>
    </row>
    <row r="5751">
      <c r="A5751" t="inlineStr">
        <is>
          <t>Neste Germany GmbH,  Düsseldorf, Germany</t>
        </is>
      </c>
      <c r="B5751" t="inlineStr">
        <is>
          <t>Trader</t>
        </is>
      </c>
      <c r="C5751" t="inlineStr">
        <is>
          <t>SGS Germany GmbH, Emstek, DE</t>
        </is>
      </c>
      <c r="D5751" t="inlineStr">
        <is>
          <t>05.04.2027</t>
        </is>
      </c>
      <c r="E5751" t="inlineStr">
        <is>
          <t>Germany</t>
        </is>
      </c>
    </row>
    <row r="5752">
      <c r="A5752" t="inlineStr">
        <is>
          <t>Neste Germany GmbH,  Düsseldorf, Germany</t>
        </is>
      </c>
      <c r="B5752" t="inlineStr">
        <is>
          <t>Trader with Storage</t>
        </is>
      </c>
      <c r="C5752" t="inlineStr">
        <is>
          <t>SGS Germany GmbH, Emstek, DE</t>
        </is>
      </c>
      <c r="D5752" t="inlineStr">
        <is>
          <t>05.04.2027</t>
        </is>
      </c>
      <c r="E5752" t="inlineStr">
        <is>
          <t>Germany</t>
        </is>
      </c>
    </row>
    <row r="5753">
      <c r="A5753" t="inlineStr">
        <is>
          <t>PT Semangat Baru Sejati,  Bandar Lampung, Indonesia</t>
        </is>
      </c>
      <c r="B5753" t="inlineStr">
        <is>
          <t>Trader with Storage</t>
        </is>
      </c>
      <c r="C5753" t="inlineStr">
        <is>
          <t>PT Intertek Utama Services, Jakarta, ID</t>
        </is>
      </c>
      <c r="D5753" t="inlineStr">
        <is>
          <t>05.04.2027</t>
        </is>
      </c>
      <c r="E5753" t="inlineStr">
        <is>
          <t>Indonesia</t>
        </is>
      </c>
    </row>
    <row r="5754">
      <c r="A5754" t="inlineStr">
        <is>
          <t>Ab Rani Plast Oy,  Terjärv, Finland</t>
        </is>
      </c>
      <c r="B5754" t="inlineStr">
        <is>
          <t>Processing Unit</t>
        </is>
      </c>
      <c r="C5754" t="inlineStr">
        <is>
          <t>DNV Business Assurance Sweden AB, Solna, SE</t>
        </is>
      </c>
      <c r="D5754" t="inlineStr">
        <is>
          <t>05.04.2027</t>
        </is>
      </c>
      <c r="E5754" t="inlineStr">
        <is>
          <t>Finland</t>
        </is>
      </c>
    </row>
    <row r="5755">
      <c r="A5755" t="inlineStr">
        <is>
          <t>Shen Zhen GRAND LI JING OPTICAL CO.，LTD,  Longgang District, Shenzhen City, China</t>
        </is>
      </c>
      <c r="B5755" t="inlineStr">
        <is>
          <t>Processing Unit</t>
        </is>
      </c>
      <c r="C5755" t="inlineStr">
        <is>
          <t>PT Intertek Utama Services, Jakarta, ID</t>
        </is>
      </c>
      <c r="D5755" t="inlineStr">
        <is>
          <t>05.04.2027</t>
        </is>
      </c>
      <c r="E5755" t="inlineStr">
        <is>
          <t>China</t>
        </is>
      </c>
    </row>
    <row r="5756">
      <c r="A5756" t="inlineStr">
        <is>
          <t>BRIDGESTONE POZNAŃ SP. Z O.O.,  Poznań, Poland</t>
        </is>
      </c>
      <c r="B5756" t="inlineStr">
        <is>
          <t>Processing Unit</t>
        </is>
      </c>
      <c r="C5756" t="inlineStr">
        <is>
          <t>SGS Germany GmbH, Emstek, DE</t>
        </is>
      </c>
      <c r="D5756" t="inlineStr">
        <is>
          <t>05.04.2027</t>
        </is>
      </c>
      <c r="E5756" t="inlineStr">
        <is>
          <t>Poland</t>
        </is>
      </c>
    </row>
    <row r="5757">
      <c r="A5757" t="inlineStr">
        <is>
          <t>MANOLET ALMONDS,  Elche, Spain</t>
        </is>
      </c>
      <c r="B5757" t="inlineStr">
        <is>
          <t>Point of Origin</t>
        </is>
      </c>
      <c r="C5757" t="inlineStr">
        <is>
          <t>Amspec Iberia SL, Vilagarcia de Arousa-Pontevedra, ES</t>
        </is>
      </c>
      <c r="D5757" t="inlineStr">
        <is>
          <t>05.04.2027</t>
        </is>
      </c>
      <c r="E5757" t="inlineStr">
        <is>
          <t>Spain</t>
        </is>
      </c>
    </row>
    <row r="5758">
      <c r="A5758" t="inlineStr">
        <is>
          <t>PT Farinda Bersaudara,  Kabupaten Kutai Barat, Indonesia</t>
        </is>
      </c>
      <c r="B5758" t="inlineStr">
        <is>
          <t>Point of Origin</t>
        </is>
      </c>
      <c r="C5758" t="inlineStr">
        <is>
          <t>Global Gateway Certifications Sdn Bhd, Ampang, MY</t>
        </is>
      </c>
      <c r="D5758" t="inlineStr">
        <is>
          <t>04.04.2027</t>
        </is>
      </c>
      <c r="E5758" t="inlineStr">
        <is>
          <t>Indonesia</t>
        </is>
      </c>
    </row>
    <row r="5759">
      <c r="A5759" t="inlineStr">
        <is>
          <t>PT Andalas Wahana Berjaya,  Kecamatan Koto Baru, Kabupaten Dharmasraya, Indonesia</t>
        </is>
      </c>
      <c r="B5759" t="inlineStr">
        <is>
          <t>Point of Origin</t>
        </is>
      </c>
      <c r="C5759" t="inlineStr">
        <is>
          <t>Global Gateway Certifications Sdn Bhd, Ampang, MY</t>
        </is>
      </c>
      <c r="D5759" t="inlineStr">
        <is>
          <t>04.04.2027</t>
        </is>
      </c>
      <c r="E5759" t="inlineStr">
        <is>
          <t>Indonesia</t>
        </is>
      </c>
    </row>
    <row r="5760">
      <c r="A5760" t="inlineStr">
        <is>
          <t>PT Andalas Agro Industri,  Pasaman Barat, Indonesia</t>
        </is>
      </c>
      <c r="B5760" t="inlineStr">
        <is>
          <t>Point of Origin</t>
        </is>
      </c>
      <c r="C5760" t="inlineStr">
        <is>
          <t>Global Gateway Certifications Sdn Bhd, Ampang, MY</t>
        </is>
      </c>
      <c r="D5760" t="inlineStr">
        <is>
          <t>04.04.2027</t>
        </is>
      </c>
      <c r="E5760" t="inlineStr">
        <is>
          <t>Indonesia</t>
        </is>
      </c>
    </row>
    <row r="5761">
      <c r="A5761" t="inlineStr">
        <is>
          <t>Silgan Plastic Food Containers,  Fort Smith, Arkansas, United States</t>
        </is>
      </c>
      <c r="B5761" t="inlineStr">
        <is>
          <t>Processing Unit</t>
        </is>
      </c>
      <c r="C5761" t="inlineStr">
        <is>
          <t>SCS Global Services, Emeryville, CA, US</t>
        </is>
      </c>
      <c r="D5761" t="inlineStr">
        <is>
          <t>04.04.2027</t>
        </is>
      </c>
      <c r="E5761" t="inlineStr">
        <is>
          <t>United States</t>
        </is>
      </c>
    </row>
    <row r="5762">
      <c r="A5762" t="inlineStr">
        <is>
          <t>PT Borneo Energi Biomas,  Kalimantan Tengah, Indonesia</t>
        </is>
      </c>
      <c r="B5762" t="inlineStr">
        <is>
          <t>Trader</t>
        </is>
      </c>
      <c r="C5762" t="inlineStr">
        <is>
          <t>PT Mutuagung Lestari, Depok, ID</t>
        </is>
      </c>
      <c r="D5762" t="inlineStr">
        <is>
          <t>04.04.2027</t>
        </is>
      </c>
      <c r="E5762" t="inlineStr">
        <is>
          <t>Indonesia</t>
        </is>
      </c>
    </row>
    <row r="5763">
      <c r="A5763" t="inlineStr">
        <is>
          <t>PT. Aditya Agroindo,  Desa Sekucing Labai, Kecamatan Simpang Hulu, Kabupaten Ketapang, Provinsi Kalimantan Barat, Indonesia</t>
        </is>
      </c>
      <c r="B5763" t="inlineStr">
        <is>
          <t>Point of Origin</t>
        </is>
      </c>
      <c r="C5763" t="inlineStr">
        <is>
          <t>PT. Qualitas Sertifikasi Indonesia, Jakarta, ID</t>
        </is>
      </c>
      <c r="D5763" t="inlineStr">
        <is>
          <t>04.04.2027</t>
        </is>
      </c>
      <c r="E5763" t="inlineStr">
        <is>
          <t>Indonesia</t>
        </is>
      </c>
    </row>
    <row r="5764">
      <c r="A5764" t="inlineStr">
        <is>
          <t>Silgan Plastic Food Containers,  Union, United States</t>
        </is>
      </c>
      <c r="B5764" t="inlineStr">
        <is>
          <t>Processing Unit</t>
        </is>
      </c>
      <c r="C5764" t="inlineStr">
        <is>
          <t>SCS Global Services, Emeryville, CA, US</t>
        </is>
      </c>
      <c r="D5764" t="inlineStr">
        <is>
          <t>04.04.2027</t>
        </is>
      </c>
      <c r="E5764" t="inlineStr">
        <is>
          <t>United States</t>
        </is>
      </c>
    </row>
    <row r="5765">
      <c r="A5765" t="inlineStr">
        <is>
          <t>WAGA ENERGY,  Saint Palais, France</t>
        </is>
      </c>
      <c r="B5765" t="inlineStr">
        <is>
          <t>Collecting Point, Processing Unit</t>
        </is>
      </c>
      <c r="C5765" t="inlineStr">
        <is>
          <t>Certi W Baltic SIA, Riga, LV</t>
        </is>
      </c>
      <c r="D5765" t="inlineStr">
        <is>
          <t>04.04.2027</t>
        </is>
      </c>
      <c r="E5765" t="inlineStr">
        <is>
          <t>France</t>
        </is>
      </c>
    </row>
    <row r="5766">
      <c r="A5766" t="inlineStr">
        <is>
          <t>Aceitera General Deheza S.A.,  General Deheza, Provincia de Cordoba, Argentina</t>
        </is>
      </c>
      <c r="B5766" t="inlineStr">
        <is>
          <t>First Gathering Point, Point of Origin, Processing Unit, Trader with Storage</t>
        </is>
      </c>
      <c r="C5766" t="inlineStr">
        <is>
          <t>Control Union Poland Sp. z o.o., Zielona Gora, PL</t>
        </is>
      </c>
      <c r="D5766" t="inlineStr">
        <is>
          <t>04.04.2027</t>
        </is>
      </c>
      <c r="E5766" t="inlineStr">
        <is>
          <t>Argentina</t>
        </is>
      </c>
    </row>
    <row r="5767">
      <c r="A5767" t="inlineStr">
        <is>
          <t>TKV Burgenland,  Unterfrauenhaid, Austria</t>
        </is>
      </c>
      <c r="B5767" t="inlineStr">
        <is>
          <t>Point of Origin</t>
        </is>
      </c>
      <c r="C5767" t="inlineStr">
        <is>
          <t>agroVet GmbH, Enzersfeld, AT</t>
        </is>
      </c>
      <c r="D5767" t="inlineStr">
        <is>
          <t>04.04.2027</t>
        </is>
      </c>
      <c r="E5767" t="inlineStr">
        <is>
          <t>Austria</t>
        </is>
      </c>
    </row>
    <row r="5768">
      <c r="A5768" t="inlineStr">
        <is>
          <t>LYB CLCS Sales NL B.V.,  Rotterdam, Netherlands</t>
        </is>
      </c>
      <c r="B5768" t="inlineStr">
        <is>
          <t>Trader with Storage</t>
        </is>
      </c>
      <c r="C5768" t="inlineStr">
        <is>
          <t>TÜV SÜD Industrie Service GmbH, München, DE</t>
        </is>
      </c>
      <c r="D5768" t="inlineStr">
        <is>
          <t>04.04.2027</t>
        </is>
      </c>
      <c r="E5768" t="inlineStr">
        <is>
          <t>Netherlands</t>
        </is>
      </c>
    </row>
    <row r="5769">
      <c r="A5769" t="inlineStr">
        <is>
          <t>Basell Sales and Marketing Company BV,  Rotterdam, Netherlands</t>
        </is>
      </c>
      <c r="B5769" t="inlineStr">
        <is>
          <t>Trader with Storage</t>
        </is>
      </c>
      <c r="C5769" t="inlineStr">
        <is>
          <t>TÜV SÜD Industrie Service GmbH, München, DE</t>
        </is>
      </c>
      <c r="D5769" t="inlineStr">
        <is>
          <t>04.04.2027</t>
        </is>
      </c>
      <c r="E5769" t="inlineStr">
        <is>
          <t>Netherlands</t>
        </is>
      </c>
    </row>
    <row r="5770">
      <c r="A5770" t="inlineStr">
        <is>
          <t>Charter Next Generation, Inc.,  Bloomer, United States</t>
        </is>
      </c>
      <c r="B5770" t="inlineStr">
        <is>
          <t>Processing Unit</t>
        </is>
      </c>
      <c r="C5770" t="inlineStr">
        <is>
          <t>SCS Global Services, Emeryville, CA, US</t>
        </is>
      </c>
      <c r="D5770" t="inlineStr">
        <is>
          <t>04.04.2027</t>
        </is>
      </c>
      <c r="E5770" t="inlineStr">
        <is>
          <t>United States</t>
        </is>
      </c>
    </row>
    <row r="5771">
      <c r="A5771" t="inlineStr">
        <is>
          <t>LOPS Corporation,  Chiyoda-ku, Tokyo, Japan</t>
        </is>
      </c>
      <c r="B5771" t="inlineStr">
        <is>
          <t>Collecting Point, Trader with Storage</t>
        </is>
      </c>
      <c r="C5771" t="inlineStr">
        <is>
          <t>PT TUV Rheinland Indonesia, Jakarta, ID</t>
        </is>
      </c>
      <c r="D5771" t="inlineStr">
        <is>
          <t>04.04.2027</t>
        </is>
      </c>
      <c r="E5771" t="inlineStr">
        <is>
          <t>Japan</t>
        </is>
      </c>
    </row>
    <row r="5772">
      <c r="A5772" t="inlineStr">
        <is>
          <t>LOPS Corporation,  Chiyoda-ku, Tokyo, Japan</t>
        </is>
      </c>
      <c r="B5772" t="inlineStr">
        <is>
          <t>Collecting Point, Trader with Storage</t>
        </is>
      </c>
      <c r="C5772" t="inlineStr">
        <is>
          <t>PT TUV Rheinland Indonesia, Jakarta, ID</t>
        </is>
      </c>
      <c r="D5772" t="inlineStr">
        <is>
          <t>04.04.2027</t>
        </is>
      </c>
      <c r="E5772" t="inlineStr">
        <is>
          <t>Japan</t>
        </is>
      </c>
    </row>
    <row r="5773">
      <c r="A5773" t="inlineStr">
        <is>
          <t>Suzuki Oil &amp; Fats Company Limited,  Isehara city, Japan</t>
        </is>
      </c>
      <c r="B5773" t="inlineStr">
        <is>
          <t>Collecting Point</t>
        </is>
      </c>
      <c r="C5773" t="inlineStr">
        <is>
          <t>PT TUV Rheinland Indonesia, Jakarta, ID</t>
        </is>
      </c>
      <c r="D5773" t="inlineStr">
        <is>
          <t>04.04.2027</t>
        </is>
      </c>
      <c r="E5773" t="inlineStr">
        <is>
          <t>Japan</t>
        </is>
      </c>
    </row>
    <row r="5774">
      <c r="A5774" t="inlineStr">
        <is>
          <t>Suzuki Oil &amp; Fats Company Limited,  Isehara city, Japan</t>
        </is>
      </c>
      <c r="B5774" t="inlineStr">
        <is>
          <t>Collecting Point</t>
        </is>
      </c>
      <c r="C5774" t="inlineStr">
        <is>
          <t>PT TUV Rheinland Indonesia, Jakarta, ID</t>
        </is>
      </c>
      <c r="D5774" t="inlineStr">
        <is>
          <t>04.04.2027</t>
        </is>
      </c>
      <c r="E5774" t="inlineStr">
        <is>
          <t>Japan</t>
        </is>
      </c>
    </row>
    <row r="5775">
      <c r="A5775" t="inlineStr">
        <is>
          <t>M.W. Beer &amp; Co. Ltd.,  Ingatestone, United Kingdom</t>
        </is>
      </c>
      <c r="B5775" t="inlineStr">
        <is>
          <t>Trader with Storage</t>
        </is>
      </c>
      <c r="C5775" t="inlineStr">
        <is>
          <t>Control Union Certifications Germany GmbH, Berlin, DE</t>
        </is>
      </c>
      <c r="D5775" t="inlineStr">
        <is>
          <t>04.04.2027</t>
        </is>
      </c>
      <c r="E5775" t="inlineStr">
        <is>
          <t>United Kingdom</t>
        </is>
      </c>
    </row>
    <row r="5776">
      <c r="A5776" t="inlineStr">
        <is>
          <t>PT JNS Green Indonesia,  KOTA ADM JAKARTA TIMUR, Indonesia</t>
        </is>
      </c>
      <c r="B5776" t="inlineStr">
        <is>
          <t>Collecting Point, Processing Unit, Trader with Storage</t>
        </is>
      </c>
      <c r="C5776" t="inlineStr">
        <is>
          <t>Control Union Certifications Germany GmbH, Berlin, DE</t>
        </is>
      </c>
      <c r="D5776" t="inlineStr">
        <is>
          <t>04.04.2027</t>
        </is>
      </c>
      <c r="E5776" t="inlineStr">
        <is>
          <t>Indonesia</t>
        </is>
      </c>
    </row>
    <row r="5777">
      <c r="A5777" t="inlineStr">
        <is>
          <t>Tokyo Rendering Cooperative,  Sumida-ku, Tokyo, Japan</t>
        </is>
      </c>
      <c r="B5777" t="inlineStr">
        <is>
          <t>Collecting Point</t>
        </is>
      </c>
      <c r="C5777" t="inlineStr">
        <is>
          <t>PT TUV Rheinland Indonesia, Jakarta, ID</t>
        </is>
      </c>
      <c r="D5777" t="inlineStr">
        <is>
          <t>04.04.2027</t>
        </is>
      </c>
      <c r="E5777" t="inlineStr">
        <is>
          <t>Japan</t>
        </is>
      </c>
    </row>
    <row r="5778">
      <c r="A5778" t="inlineStr">
        <is>
          <t>Tokyo Rendering Cooperative,  Sumida-ku, Tokyo, Japan</t>
        </is>
      </c>
      <c r="B5778" t="inlineStr">
        <is>
          <t>Collecting Point</t>
        </is>
      </c>
      <c r="C5778" t="inlineStr">
        <is>
          <t>PT TUV Rheinland Indonesia, Jakarta, ID</t>
        </is>
      </c>
      <c r="D5778" t="inlineStr">
        <is>
          <t>04.04.2027</t>
        </is>
      </c>
      <c r="E5778" t="inlineStr">
        <is>
          <t>Japan</t>
        </is>
      </c>
    </row>
    <row r="5779">
      <c r="A5779" t="inlineStr">
        <is>
          <t>MEIKO SHOJI CO., LTD,  CHUO-KU, KOBE, Japan</t>
        </is>
      </c>
      <c r="B5779" t="inlineStr">
        <is>
          <t>Trader</t>
        </is>
      </c>
      <c r="C5779" t="inlineStr">
        <is>
          <t>PT TUV Rheinland Indonesia, Jakarta, ID</t>
        </is>
      </c>
      <c r="D5779" t="inlineStr">
        <is>
          <t>04.04.2027</t>
        </is>
      </c>
      <c r="E5779" t="inlineStr">
        <is>
          <t>Japan</t>
        </is>
      </c>
    </row>
    <row r="5780">
      <c r="A5780" t="inlineStr">
        <is>
          <t>Kalimantan Ria Sejahtera,  Desa Sungai Ringin, Kecamatan Pasak Talawang, Indonesia</t>
        </is>
      </c>
      <c r="B5780" t="inlineStr">
        <is>
          <t>Point of Origin</t>
        </is>
      </c>
      <c r="C5780" t="inlineStr">
        <is>
          <t>PT. Qualitas Sertifikasi Indonesia, Jakarta, ID</t>
        </is>
      </c>
      <c r="D5780" t="inlineStr">
        <is>
          <t>04.04.2027</t>
        </is>
      </c>
      <c r="E5780" t="inlineStr">
        <is>
          <t>Indonesia</t>
        </is>
      </c>
    </row>
    <row r="5781">
      <c r="A5781" t="inlineStr">
        <is>
          <t>Samsung C&amp;T Deutschland GmbH,  Schwalbach am Taunus, Germany</t>
        </is>
      </c>
      <c r="B5781" t="inlineStr">
        <is>
          <t>Trader</t>
        </is>
      </c>
      <c r="C5781" t="inlineStr">
        <is>
          <t>Control Union Certifications Germany GmbH, Berlin, DE</t>
        </is>
      </c>
      <c r="D5781" t="inlineStr">
        <is>
          <t>04.04.2027</t>
        </is>
      </c>
      <c r="E5781" t="inlineStr">
        <is>
          <t>Germany</t>
        </is>
      </c>
    </row>
    <row r="5782">
      <c r="A5782" t="inlineStr">
        <is>
          <t>Dow Europe GmbH,  HE Farmsum, Netherlands</t>
        </is>
      </c>
      <c r="B5782" t="inlineStr">
        <is>
          <t>Processing Unit</t>
        </is>
      </c>
      <c r="C5782" t="inlineStr">
        <is>
          <t>SGS Germany GmbH, Emstek, DE</t>
        </is>
      </c>
      <c r="D5782" t="inlineStr">
        <is>
          <t>04.04.2027</t>
        </is>
      </c>
      <c r="E5782" t="inlineStr">
        <is>
          <t>Netherlands</t>
        </is>
      </c>
    </row>
    <row r="5783">
      <c r="A5783" t="inlineStr">
        <is>
          <t>Adamant Europe,  Amsterdam, Netherlands</t>
        </is>
      </c>
      <c r="B5783" t="inlineStr">
        <is>
          <t>Trader with Storage</t>
        </is>
      </c>
      <c r="C5783" t="inlineStr">
        <is>
          <t>SGS Germany GmbH, Emstek, DE</t>
        </is>
      </c>
      <c r="D5783" t="inlineStr">
        <is>
          <t>04.04.2027</t>
        </is>
      </c>
      <c r="E5783" t="inlineStr">
        <is>
          <t>Netherlands</t>
        </is>
      </c>
    </row>
    <row r="5784">
      <c r="A5784" t="inlineStr">
        <is>
          <t>Bio Grasas, s.l.,  Laguna de Duero, Spain</t>
        </is>
      </c>
      <c r="B5784" t="inlineStr">
        <is>
          <t>Collecting Point, Trader, Warehouse</t>
        </is>
      </c>
      <c r="C5784" t="inlineStr">
        <is>
          <t>RINA Services S.p.A., Genova, IT</t>
        </is>
      </c>
      <c r="D5784" t="inlineStr">
        <is>
          <t>03.04.2027</t>
        </is>
      </c>
      <c r="E5784" t="inlineStr">
        <is>
          <t>Spain</t>
        </is>
      </c>
    </row>
    <row r="5785">
      <c r="A5785" t="inlineStr">
        <is>
          <t>Dayf Energia S.L.,  Fuenlabrada (Madrid), Spain</t>
        </is>
      </c>
      <c r="B5785" t="inlineStr">
        <is>
          <t>Trader with Storage</t>
        </is>
      </c>
      <c r="C5785" t="inlineStr">
        <is>
          <t>Control Union Poland Sp. z o.o., Zielona Gora, PL</t>
        </is>
      </c>
      <c r="D5785" t="inlineStr">
        <is>
          <t>03.04.2027</t>
        </is>
      </c>
      <c r="E5785" t="inlineStr">
        <is>
          <t>Spain</t>
        </is>
      </c>
    </row>
    <row r="5786">
      <c r="A5786" t="inlineStr">
        <is>
          <t>Dayf Energia S.L.,  Fuenlabrada (Madrid), Spain</t>
        </is>
      </c>
      <c r="B5786" t="inlineStr">
        <is>
          <t>Trader with Storage</t>
        </is>
      </c>
      <c r="C5786" t="inlineStr">
        <is>
          <t>Control Union Poland Sp. z o.o., Zielona Gora, PL</t>
        </is>
      </c>
      <c r="D5786" t="inlineStr">
        <is>
          <t>03.04.2027</t>
        </is>
      </c>
      <c r="E5786" t="inlineStr">
        <is>
          <t>Spain</t>
        </is>
      </c>
    </row>
    <row r="5787">
      <c r="A5787" t="inlineStr">
        <is>
          <t>Di Mauro Officine Grafiche,  Cava dei tirreni, Italy</t>
        </is>
      </c>
      <c r="B5787" t="inlineStr">
        <is>
          <t>Processing Unit, Final Product Refinement</t>
        </is>
      </c>
      <c r="C5787" t="inlineStr">
        <is>
          <t>DNV Business Assurance Sweden AB, Solna, SE</t>
        </is>
      </c>
      <c r="D5787" t="inlineStr">
        <is>
          <t>03.04.2027</t>
        </is>
      </c>
      <c r="E5787" t="inlineStr">
        <is>
          <t>Italy</t>
        </is>
      </c>
    </row>
    <row r="5788">
      <c r="A5788" t="inlineStr">
        <is>
          <t>EKOBIH doo,  Gradiska, Bosnia and Herzegovina</t>
        </is>
      </c>
      <c r="B5788" t="inlineStr">
        <is>
          <t>Collecting Point</t>
        </is>
      </c>
      <c r="C5788" t="inlineStr">
        <is>
          <t>agroVet GmbH, Enzersfeld, AT</t>
        </is>
      </c>
      <c r="D5788" t="inlineStr">
        <is>
          <t>03.04.2027</t>
        </is>
      </c>
      <c r="E5788" t="inlineStr">
        <is>
          <t>Bosnia and Herzegovina</t>
        </is>
      </c>
    </row>
    <row r="5789">
      <c r="A5789" t="inlineStr">
        <is>
          <t>Butagaz,  Levallois-Perret, France</t>
        </is>
      </c>
      <c r="B5789" t="inlineStr">
        <is>
          <t>Logistics Center, Trader with Storage</t>
        </is>
      </c>
      <c r="C5789" t="inlineStr">
        <is>
          <t>Bureau Veritas Polska Sp. z o.o., Warsaw, PL</t>
        </is>
      </c>
      <c r="D5789" t="inlineStr">
        <is>
          <t>03.04.2027</t>
        </is>
      </c>
      <c r="E5789" t="inlineStr">
        <is>
          <t>France</t>
        </is>
      </c>
    </row>
    <row r="5790">
      <c r="A5790" t="inlineStr">
        <is>
          <t>Butagaz,  Levallois-Perret, France</t>
        </is>
      </c>
      <c r="B5790" t="inlineStr">
        <is>
          <t>Logistics Center, Trader with Storage</t>
        </is>
      </c>
      <c r="C5790" t="inlineStr">
        <is>
          <t>Bureau Veritas Polska Sp. z o.o., Warsaw, PL</t>
        </is>
      </c>
      <c r="D5790" t="inlineStr">
        <is>
          <t>03.04.2027</t>
        </is>
      </c>
      <c r="E5790" t="inlineStr">
        <is>
          <t>France</t>
        </is>
      </c>
    </row>
    <row r="5791">
      <c r="A5791" t="inlineStr">
        <is>
          <t>Green Biotrade,  Dubai, United Arab Emirates</t>
        </is>
      </c>
      <c r="B5791" t="inlineStr">
        <is>
          <t>Trader</t>
        </is>
      </c>
      <c r="C5791" t="inlineStr">
        <is>
          <t>SGS Germany GmbH, Emstek, DE</t>
        </is>
      </c>
      <c r="D5791" t="inlineStr">
        <is>
          <t>03.04.2027</t>
        </is>
      </c>
      <c r="E5791" t="inlineStr">
        <is>
          <t>United Arab Emirates</t>
        </is>
      </c>
    </row>
    <row r="5792">
      <c r="A5792" t="inlineStr">
        <is>
          <t>OCEAN ENERGY LIMITED,  KINGSTOWN, Saint Vincent and the Grenadines</t>
        </is>
      </c>
      <c r="B5792" t="inlineStr">
        <is>
          <t>Trader</t>
        </is>
      </c>
      <c r="C5792" t="inlineStr">
        <is>
          <t>Control Union Certifications Germany GmbH, Berlin, DE</t>
        </is>
      </c>
      <c r="D5792" t="inlineStr">
        <is>
          <t>03.04.2027</t>
        </is>
      </c>
      <c r="E5792" t="inlineStr">
        <is>
          <t>Saint Vincent and the Grenadines</t>
        </is>
      </c>
    </row>
    <row r="5793">
      <c r="A5793" t="inlineStr">
        <is>
          <t>Hanwha TotalEnergies Petrochemical Co. Ltd(HQ),  Seosan-si, Chungcheongnam-do, Korea, Republic of</t>
        </is>
      </c>
      <c r="B5793" t="inlineStr">
        <is>
          <t>Trader with Storage</t>
        </is>
      </c>
      <c r="C5793" t="inlineStr">
        <is>
          <t>Control Union Certifications Germany GmbH, Berlin, DE</t>
        </is>
      </c>
      <c r="D5793" t="inlineStr">
        <is>
          <t>03.04.2027</t>
        </is>
      </c>
      <c r="E5793" t="inlineStr">
        <is>
          <t>Republic of</t>
        </is>
      </c>
    </row>
    <row r="5794">
      <c r="A5794" t="inlineStr">
        <is>
          <t>Hanwha TotalEnergies Petrochemical Co. Ltd(HQ),  Seosan-si, Chungcheongnam-do, Korea, Republic of</t>
        </is>
      </c>
      <c r="B5794" t="inlineStr">
        <is>
          <t>Trader with Storage, Processing Unit</t>
        </is>
      </c>
      <c r="C5794" t="inlineStr">
        <is>
          <t>Control Union Certifications Germany GmbH, Berlin, DE</t>
        </is>
      </c>
      <c r="D5794" t="inlineStr">
        <is>
          <t>03.04.2027</t>
        </is>
      </c>
      <c r="E5794" t="inlineStr">
        <is>
          <t>Republic of</t>
        </is>
      </c>
    </row>
    <row r="5795">
      <c r="A5795" t="inlineStr">
        <is>
          <t>Jilin Hantai New Energy Co., Ltd. Daling Branch,  Industrial Park, Gongzhuling City, Changchun City, China</t>
        </is>
      </c>
      <c r="B5795" t="inlineStr">
        <is>
          <t>Collecting Point, Processing Unit, Trader</t>
        </is>
      </c>
      <c r="C5795" t="inlineStr">
        <is>
          <t>SCS Global Services, Emeryville, CA, US</t>
        </is>
      </c>
      <c r="D5795" t="inlineStr">
        <is>
          <t>03.04.2027</t>
        </is>
      </c>
      <c r="E5795" t="inlineStr">
        <is>
          <t>China</t>
        </is>
      </c>
    </row>
    <row r="5796">
      <c r="A5796" t="inlineStr">
        <is>
          <t>VIETNAM OUHAI GLASSES CO., LTD,  Bac Giang Province, Vietnam</t>
        </is>
      </c>
      <c r="B5796" t="inlineStr">
        <is>
          <t>Processing Unit</t>
        </is>
      </c>
      <c r="C5796" t="inlineStr">
        <is>
          <t>SCS Global Services, Emeryville, CA, US</t>
        </is>
      </c>
      <c r="D5796" t="inlineStr">
        <is>
          <t>03.04.2027</t>
        </is>
      </c>
      <c r="E5796" t="inlineStr">
        <is>
          <t>Vietnam</t>
        </is>
      </c>
    </row>
    <row r="5797">
      <c r="A5797" t="inlineStr">
        <is>
          <t>OLIVICOLTORI ITALIANI,  ROMA, Italy</t>
        </is>
      </c>
      <c r="B5797" t="inlineStr">
        <is>
          <t>Trader</t>
        </is>
      </c>
      <c r="C5797" t="inlineStr">
        <is>
          <t>CSQA Certificazioni Srl, Thiene, IT</t>
        </is>
      </c>
      <c r="D5797" t="inlineStr">
        <is>
          <t>03.04.2027</t>
        </is>
      </c>
      <c r="E5797" t="inlineStr">
        <is>
          <t>Italy</t>
        </is>
      </c>
    </row>
    <row r="5798">
      <c r="A5798" t="inlineStr">
        <is>
          <t>Bolder Industries,  Maryville, United States</t>
        </is>
      </c>
      <c r="B5798" t="inlineStr">
        <is>
          <t>Collecting Point, Processing Unit</t>
        </is>
      </c>
      <c r="C5798" t="inlineStr">
        <is>
          <t>SCS Global Services, Emeryville, CA, US</t>
        </is>
      </c>
      <c r="D5798" t="inlineStr">
        <is>
          <t>03.04.2027</t>
        </is>
      </c>
      <c r="E5798" t="inlineStr">
        <is>
          <t>United States</t>
        </is>
      </c>
    </row>
    <row r="5799">
      <c r="A5799" t="inlineStr">
        <is>
          <t>PT Guntung Idamannusa,  Kabupaten Indragiri Hilir, Provinsi Riau, Indonesia</t>
        </is>
      </c>
      <c r="B5799" t="inlineStr">
        <is>
          <t>Point of Origin, Farm / Plantation, Processing Unit</t>
        </is>
      </c>
      <c r="C5799" t="inlineStr">
        <is>
          <t>Control Union Certifications Germany GmbH, Berlin, DE</t>
        </is>
      </c>
      <c r="D5799" t="inlineStr">
        <is>
          <t>03.04.2027</t>
        </is>
      </c>
      <c r="E5799" t="inlineStr">
        <is>
          <t>Indonesia</t>
        </is>
      </c>
    </row>
    <row r="5800">
      <c r="A5800" t="inlineStr">
        <is>
          <t>PT Guntung Idamannusa,  Kabupaten Indragiri Hilir, Provinsi Riau, Indonesia</t>
        </is>
      </c>
      <c r="B5800" t="inlineStr">
        <is>
          <t>Farm / Plantation, Point of Origin, Processing Unit</t>
        </is>
      </c>
      <c r="C5800" t="inlineStr">
        <is>
          <t>Control Union Certifications Germany GmbH, Berlin, DE</t>
        </is>
      </c>
      <c r="D5800" t="inlineStr">
        <is>
          <t>03.04.2027</t>
        </is>
      </c>
      <c r="E5800" t="inlineStr">
        <is>
          <t>Indonesia</t>
        </is>
      </c>
    </row>
    <row r="5801">
      <c r="A5801" t="inlineStr">
        <is>
          <t>ALCOM PTE LTD,  SINGAPORE, Singapore</t>
        </is>
      </c>
      <c r="B5801" t="inlineStr">
        <is>
          <t>Trader</t>
        </is>
      </c>
      <c r="C5801" t="inlineStr">
        <is>
          <t>PT Intertek Utama Services, Jakarta, ID</t>
        </is>
      </c>
      <c r="D5801" t="inlineStr">
        <is>
          <t>03.04.2027</t>
        </is>
      </c>
      <c r="E5801" t="inlineStr">
        <is>
          <t>Singapore</t>
        </is>
      </c>
    </row>
    <row r="5802">
      <c r="A5802" t="inlineStr">
        <is>
          <t>Ark Intelligence Shipping and Portal Service (Qingdao) Co., Ltd.,  Qingdao, Shandong, China</t>
        </is>
      </c>
      <c r="B5802" t="inlineStr">
        <is>
          <t>Trader with Storage</t>
        </is>
      </c>
      <c r="C5802" t="inlineStr">
        <is>
          <t>Guardian Independent Certification Limited, Singapore, SG</t>
        </is>
      </c>
      <c r="D5802" t="inlineStr">
        <is>
          <t>03.04.2027</t>
        </is>
      </c>
      <c r="E5802" t="inlineStr">
        <is>
          <t>China</t>
        </is>
      </c>
    </row>
    <row r="5803">
      <c r="A5803" t="inlineStr">
        <is>
          <t>Cosmint SpA,  Olgiate Comasco (CO), Italy</t>
        </is>
      </c>
      <c r="B5803" t="inlineStr">
        <is>
          <t>Final Product Refinement</t>
        </is>
      </c>
      <c r="C5803" t="inlineStr">
        <is>
          <t>DNV Business Assurance Sweden AB, Solna, SE</t>
        </is>
      </c>
      <c r="D5803" t="inlineStr">
        <is>
          <t>03.04.2027</t>
        </is>
      </c>
      <c r="E5803" t="inlineStr">
        <is>
          <t>Italy</t>
        </is>
      </c>
    </row>
    <row r="5804">
      <c r="A5804" t="inlineStr">
        <is>
          <t>KOBAYASHI &amp; CO.,LTD.,  Miyagi, Japan</t>
        </is>
      </c>
      <c r="B5804" t="inlineStr">
        <is>
          <t>Final Product Refinement, Processing Unit, Trader with Storage</t>
        </is>
      </c>
      <c r="C5804" t="inlineStr">
        <is>
          <t>Control Union Certifications Germany GmbH, Berlin, DE</t>
        </is>
      </c>
      <c r="D5804" t="inlineStr">
        <is>
          <t>03.04.2027</t>
        </is>
      </c>
      <c r="E5804" t="inlineStr">
        <is>
          <t>Japan</t>
        </is>
      </c>
    </row>
    <row r="5805">
      <c r="A5805" t="inlineStr">
        <is>
          <t>KOBAYASHI &amp; CO.,LTD.,  Shizuoka, Japan</t>
        </is>
      </c>
      <c r="B5805" t="inlineStr">
        <is>
          <t>Trader with Storage, Final Product Refinement, Processing Unit</t>
        </is>
      </c>
      <c r="C5805" t="inlineStr">
        <is>
          <t>Control Union Certifications Germany GmbH, Berlin, DE</t>
        </is>
      </c>
      <c r="D5805" t="inlineStr">
        <is>
          <t>03.04.2027</t>
        </is>
      </c>
      <c r="E5805" t="inlineStr">
        <is>
          <t>Japan</t>
        </is>
      </c>
    </row>
    <row r="5806">
      <c r="A5806" t="inlineStr">
        <is>
          <t>Chevron (International) Trading Pte Ltd,  DUO Tower, Singapore</t>
        </is>
      </c>
      <c r="B5806" t="inlineStr">
        <is>
          <t>Trader with Storage</t>
        </is>
      </c>
      <c r="C5806" t="inlineStr">
        <is>
          <t>RINA Services S.p.A., Genova, IT</t>
        </is>
      </c>
      <c r="D5806" t="inlineStr">
        <is>
          <t>03.04.2027</t>
        </is>
      </c>
      <c r="E5806" t="inlineStr">
        <is>
          <t>Singapore</t>
        </is>
      </c>
    </row>
    <row r="5807">
      <c r="A5807" t="inlineStr">
        <is>
          <t>Linde,  Freeport, United States</t>
        </is>
      </c>
      <c r="B5807" t="inlineStr">
        <is>
          <t>Collecting Point, Processing Unit</t>
        </is>
      </c>
      <c r="C5807" t="inlineStr">
        <is>
          <t>SCS Global Services, Emeryville, CA, US</t>
        </is>
      </c>
      <c r="D5807" t="inlineStr">
        <is>
          <t>03.04.2027</t>
        </is>
      </c>
      <c r="E5807" t="inlineStr">
        <is>
          <t>United States</t>
        </is>
      </c>
    </row>
    <row r="5808">
      <c r="A5808" t="inlineStr">
        <is>
          <t>Linares Biodiesel Technology,  Linares, Spain</t>
        </is>
      </c>
      <c r="B5808" t="inlineStr">
        <is>
          <t>Point of Origin, Trader, Processing Unit</t>
        </is>
      </c>
      <c r="C5808" t="inlineStr">
        <is>
          <t>Amspec Iberia SL, Vilagarcia de Arousa-Pontevedra, ES</t>
        </is>
      </c>
      <c r="D5808" t="inlineStr">
        <is>
          <t>03.04.2027</t>
        </is>
      </c>
      <c r="E5808" t="inlineStr">
        <is>
          <t>Spain</t>
        </is>
      </c>
    </row>
    <row r="5809">
      <c r="A5809" t="inlineStr">
        <is>
          <t>Verve,  Vedano Olona, Italy</t>
        </is>
      </c>
      <c r="B5809" t="inlineStr">
        <is>
          <t>Processing Unit</t>
        </is>
      </c>
      <c r="C5809" t="inlineStr">
        <is>
          <t>IIP S.r.l., Monza, IT</t>
        </is>
      </c>
      <c r="D5809" t="inlineStr">
        <is>
          <t>03.04.2027</t>
        </is>
      </c>
      <c r="E5809" t="inlineStr">
        <is>
          <t>Italy</t>
        </is>
      </c>
    </row>
    <row r="5810">
      <c r="A5810" t="inlineStr">
        <is>
          <t>Moeve, S.A,  San Roque (Cádiz), Spain</t>
        </is>
      </c>
      <c r="B5810" t="inlineStr">
        <is>
          <t>Processing Unit, Trader with Storage, Warehouse</t>
        </is>
      </c>
      <c r="C5810" t="inlineStr">
        <is>
          <t>Control Union Poland Sp. z o.o., Zielona Gora, PL</t>
        </is>
      </c>
      <c r="D5810" t="inlineStr">
        <is>
          <t>03.04.2027</t>
        </is>
      </c>
      <c r="E5810" t="inlineStr">
        <is>
          <t>Spain</t>
        </is>
      </c>
    </row>
    <row r="5811">
      <c r="A5811" t="inlineStr">
        <is>
          <t>Samsung C&amp;T Corporation,  Jung-gu, Seoul, Korea, Republic of</t>
        </is>
      </c>
      <c r="B5811" t="inlineStr">
        <is>
          <t>Trader with Storage</t>
        </is>
      </c>
      <c r="C5811" t="inlineStr">
        <is>
          <t>Control Union Certifications Germany GmbH, Berlin, DE</t>
        </is>
      </c>
      <c r="D5811" t="inlineStr">
        <is>
          <t>03.04.2027</t>
        </is>
      </c>
      <c r="E5811" t="inlineStr">
        <is>
          <t>Republic of</t>
        </is>
      </c>
    </row>
    <row r="5812">
      <c r="A5812" t="inlineStr">
        <is>
          <t>Grässlin Süd GmbH,  Villingen-Schwenningen, Germany</t>
        </is>
      </c>
      <c r="B5812" t="inlineStr">
        <is>
          <t>Trader with Storage</t>
        </is>
      </c>
      <c r="C5812" t="inlineStr">
        <is>
          <t>SGS Germany GmbH, Emstek, DE</t>
        </is>
      </c>
      <c r="D5812" t="inlineStr">
        <is>
          <t>03.04.2027</t>
        </is>
      </c>
      <c r="E5812" t="inlineStr">
        <is>
          <t>Germany</t>
        </is>
      </c>
    </row>
    <row r="5813">
      <c r="A5813" t="inlineStr">
        <is>
          <t>NanKang (Zhangjiagang Free Trade Zone) Rubber Industrial Co. ,Ltd.,  Zhangjiagang, China</t>
        </is>
      </c>
      <c r="B5813" t="inlineStr">
        <is>
          <t>Processing Unit</t>
        </is>
      </c>
      <c r="C5813" t="inlineStr">
        <is>
          <t>SGS Germany GmbH, Emstek, DE</t>
        </is>
      </c>
      <c r="D5813" t="inlineStr">
        <is>
          <t>03.04.2027</t>
        </is>
      </c>
      <c r="E5813" t="inlineStr">
        <is>
          <t>China</t>
        </is>
      </c>
    </row>
    <row r="5814">
      <c r="A5814" t="inlineStr">
        <is>
          <t>WF Management Ltd,  London, United Kingdom</t>
        </is>
      </c>
      <c r="B5814" t="inlineStr">
        <is>
          <t>Collecting Point</t>
        </is>
      </c>
      <c r="C5814" t="inlineStr">
        <is>
          <t>SGS Germany GmbH, Emstek, DE</t>
        </is>
      </c>
      <c r="D5814" t="inlineStr">
        <is>
          <t>03.04.2027</t>
        </is>
      </c>
      <c r="E5814" t="inlineStr">
        <is>
          <t>United Kingdom</t>
        </is>
      </c>
    </row>
    <row r="5815">
      <c r="A5815" t="inlineStr">
        <is>
          <t>Sungei Kahang Palm Oil Sdn. Bhd.,  KLUANG, JOHOR, Malaysia</t>
        </is>
      </c>
      <c r="B5815" t="inlineStr">
        <is>
          <t>Point of Origin</t>
        </is>
      </c>
      <c r="C5815" t="inlineStr">
        <is>
          <t>PT. Qualitas Sertifikasi Indonesia, Jakarta, ID</t>
        </is>
      </c>
      <c r="D5815" t="inlineStr">
        <is>
          <t>03.04.2027</t>
        </is>
      </c>
      <c r="E5815" t="inlineStr">
        <is>
          <t>Malaysia</t>
        </is>
      </c>
    </row>
    <row r="5816">
      <c r="A5816" t="inlineStr">
        <is>
          <t>Rábapordányi Mezőgazdasági Zrt.,  Rábapordány, Hungary</t>
        </is>
      </c>
      <c r="B5816" t="inlineStr">
        <is>
          <t>First Gathering Point</t>
        </is>
      </c>
      <c r="C5816" t="inlineStr">
        <is>
          <t>SGS Germany GmbH, Emstek, DE</t>
        </is>
      </c>
      <c r="D5816" t="inlineStr">
        <is>
          <t>03.04.2027</t>
        </is>
      </c>
      <c r="E5816" t="inlineStr">
        <is>
          <t>Hungary</t>
        </is>
      </c>
    </row>
    <row r="5817">
      <c r="A5817" t="inlineStr">
        <is>
          <t>Nissan Chemical Corporation,  Sanyo-Onoda, Yamaguchi, Japan</t>
        </is>
      </c>
      <c r="B5817" t="inlineStr">
        <is>
          <t>Processing Unit</t>
        </is>
      </c>
      <c r="C5817" t="inlineStr">
        <is>
          <t>SGS Germany GmbH, Emstek, DE</t>
        </is>
      </c>
      <c r="D5817" t="inlineStr">
        <is>
          <t>03.04.2027</t>
        </is>
      </c>
      <c r="E5817" t="inlineStr">
        <is>
          <t>Japan</t>
        </is>
      </c>
    </row>
    <row r="5818">
      <c r="A5818" t="inlineStr">
        <is>
          <t>Perstorp Japan Co.,Ltd.,  Nishi Shimbashi, Minato ku, Tokyo, Japan</t>
        </is>
      </c>
      <c r="B5818" t="inlineStr">
        <is>
          <t>Trader with Storage</t>
        </is>
      </c>
      <c r="C5818" t="inlineStr">
        <is>
          <t>SGS Germany GmbH, Emstek, DE</t>
        </is>
      </c>
      <c r="D5818" t="inlineStr">
        <is>
          <t>03.04.2027</t>
        </is>
      </c>
      <c r="E5818" t="inlineStr">
        <is>
          <t>Japan</t>
        </is>
      </c>
    </row>
    <row r="5819">
      <c r="A5819" t="inlineStr">
        <is>
          <t>Alpha Trading SPA,  Genova, Italy</t>
        </is>
      </c>
      <c r="B5819" t="inlineStr">
        <is>
          <t>Trader with Storage</t>
        </is>
      </c>
      <c r="C5819" t="inlineStr">
        <is>
          <t>RINA Services S.p.A., Genova, IT</t>
        </is>
      </c>
      <c r="D5819" t="inlineStr">
        <is>
          <t>03.04.2027</t>
        </is>
      </c>
      <c r="E5819" t="inlineStr">
        <is>
          <t>Italy</t>
        </is>
      </c>
    </row>
    <row r="5820">
      <c r="A5820" t="inlineStr">
        <is>
          <t>ITOCHU CHEMICAL FRONTIER Corporation,  Nagoya, Japan</t>
        </is>
      </c>
      <c r="B5820" t="inlineStr">
        <is>
          <t>Trader</t>
        </is>
      </c>
      <c r="C5820" t="inlineStr">
        <is>
          <t>SGS Germany GmbH, Emstek, DE</t>
        </is>
      </c>
      <c r="D5820" t="inlineStr">
        <is>
          <t>03.04.2027</t>
        </is>
      </c>
      <c r="E5820" t="inlineStr">
        <is>
          <t>Japan</t>
        </is>
      </c>
    </row>
    <row r="5821">
      <c r="A5821" t="inlineStr">
        <is>
          <t>BROMAKE (HONGKONG) INVESTMENT LIMITED,  Suzhou City, Jiangsu Province, China</t>
        </is>
      </c>
      <c r="B5821" t="inlineStr">
        <is>
          <t>Trader</t>
        </is>
      </c>
      <c r="C5821" t="inlineStr">
        <is>
          <t>SGS Germany GmbH, Emstek, DE</t>
        </is>
      </c>
      <c r="D5821" t="inlineStr">
        <is>
          <t>03.04.2027</t>
        </is>
      </c>
      <c r="E5821" t="inlineStr">
        <is>
          <t>China</t>
        </is>
      </c>
    </row>
    <row r="5822">
      <c r="A5822" t="inlineStr">
        <is>
          <t>Top Pro Spółka Z Ograniczoną Odpowiedzialnością,  Biała Podlaska, Poland</t>
        </is>
      </c>
      <c r="B5822" t="inlineStr">
        <is>
          <t>Point of Origin</t>
        </is>
      </c>
      <c r="C5822" t="inlineStr">
        <is>
          <t>SGS Germany GmbH, Emstek, DE</t>
        </is>
      </c>
      <c r="D5822" t="inlineStr">
        <is>
          <t>03.04.2027</t>
        </is>
      </c>
      <c r="E5822" t="inlineStr">
        <is>
          <t>Poland</t>
        </is>
      </c>
    </row>
    <row r="5823">
      <c r="A5823" t="inlineStr">
        <is>
          <t>Horizon3 Sustainable Resource Management,  Hendrik-Ido-Ambacht, Netherlands</t>
        </is>
      </c>
      <c r="B5823" t="inlineStr">
        <is>
          <t>Collecting Point, Trader with Storage</t>
        </is>
      </c>
      <c r="C5823" t="inlineStr">
        <is>
          <t>Control Union Certifications Germany GmbH, Berlin, DE</t>
        </is>
      </c>
      <c r="D5823" t="inlineStr">
        <is>
          <t>03.04.2027</t>
        </is>
      </c>
      <c r="E5823" t="inlineStr">
        <is>
          <t>Netherlands</t>
        </is>
      </c>
    </row>
    <row r="5824">
      <c r="A5824" t="inlineStr">
        <is>
          <t>Hermanos Vidal Padin,  Cambados, Spain</t>
        </is>
      </c>
      <c r="B5824" t="inlineStr">
        <is>
          <t>Collecting Point</t>
        </is>
      </c>
      <c r="C5824" t="inlineStr">
        <is>
          <t>Control Union Poland Sp. z o.o., Zielona Gora, PL</t>
        </is>
      </c>
      <c r="D5824" t="inlineStr">
        <is>
          <t>03.04.2027</t>
        </is>
      </c>
      <c r="E5824" t="inlineStr">
        <is>
          <t>Spain</t>
        </is>
      </c>
    </row>
    <row r="5825">
      <c r="A5825" t="inlineStr">
        <is>
          <t>ESTEOLEO,  BARBASTRO, Spain</t>
        </is>
      </c>
      <c r="B5825" t="inlineStr">
        <is>
          <t>Trader</t>
        </is>
      </c>
      <c r="C5825" t="inlineStr">
        <is>
          <t>DNV Business Assurance Sweden AB, Solna, SE</t>
        </is>
      </c>
      <c r="D5825" t="inlineStr">
        <is>
          <t>03.04.2027</t>
        </is>
      </c>
      <c r="E5825" t="inlineStr">
        <is>
          <t>Spain</t>
        </is>
      </c>
    </row>
    <row r="5826">
      <c r="A5826" t="inlineStr">
        <is>
          <t>Companhia Industrial de Resinas Sintéticas, CIRES, Lda,  Avanca, Portugal</t>
        </is>
      </c>
      <c r="B5826" t="inlineStr">
        <is>
          <t>Processing Unit</t>
        </is>
      </c>
      <c r="C5826" t="inlineStr">
        <is>
          <t>SGS Germany GmbH, Emstek, DE</t>
        </is>
      </c>
      <c r="D5826" t="inlineStr">
        <is>
          <t>03.04.2027</t>
        </is>
      </c>
      <c r="E5826" t="inlineStr">
        <is>
          <t>Portugal</t>
        </is>
      </c>
    </row>
    <row r="5827">
      <c r="A5827" t="inlineStr">
        <is>
          <t>J G Pears (Newark) Ltd.,  Market Harborough, United Kingdom</t>
        </is>
      </c>
      <c r="B5827" t="inlineStr">
        <is>
          <t>Point of Origin</t>
        </is>
      </c>
      <c r="C5827" t="inlineStr">
        <is>
          <t>SGS Germany GmbH, Emstek, DE</t>
        </is>
      </c>
      <c r="D5827" t="inlineStr">
        <is>
          <t>03.04.2027</t>
        </is>
      </c>
      <c r="E5827" t="inlineStr">
        <is>
          <t>United Kingdom</t>
        </is>
      </c>
    </row>
    <row r="5828">
      <c r="A5828" t="inlineStr">
        <is>
          <t>H&amp;L GREEN ENERGY SDN. BHD.,  SIBU, Malaysia</t>
        </is>
      </c>
      <c r="B5828" t="inlineStr">
        <is>
          <t>Collecting Point, Trader with Storage</t>
        </is>
      </c>
      <c r="C5828" t="inlineStr">
        <is>
          <t>Trans Certification and Inspection Sdn Bhd, Kuantan, MY</t>
        </is>
      </c>
      <c r="D5828" t="inlineStr">
        <is>
          <t>02.04.2027</t>
        </is>
      </c>
      <c r="E5828" t="inlineStr">
        <is>
          <t>Malaysia</t>
        </is>
      </c>
    </row>
    <row r="5829">
      <c r="A5829" t="inlineStr">
        <is>
          <t>Agro Marketplace,  Kilamba Kiaxi, Angola</t>
        </is>
      </c>
      <c r="B5829" t="inlineStr">
        <is>
          <t>First Gathering Point, Trader</t>
        </is>
      </c>
      <c r="C5829" t="inlineStr">
        <is>
          <t>RINA Services S.p.A., Genova, IT</t>
        </is>
      </c>
      <c r="D5829" t="inlineStr">
        <is>
          <t>02.04.2027</t>
        </is>
      </c>
      <c r="E5829" t="inlineStr">
        <is>
          <t>Angola</t>
        </is>
      </c>
    </row>
    <row r="5830">
      <c r="A5830" t="inlineStr">
        <is>
          <t>Xiamen Benfang Material Technology Co., Ltd,  Xiamen City,Fujian Province, China</t>
        </is>
      </c>
      <c r="B5830" t="inlineStr">
        <is>
          <t>Final Product Refinement</t>
        </is>
      </c>
      <c r="C5830" t="inlineStr">
        <is>
          <t>SGS Germany GmbH, Emstek, DE</t>
        </is>
      </c>
      <c r="D5830" t="inlineStr">
        <is>
          <t>02.04.2027</t>
        </is>
      </c>
      <c r="E5830" t="inlineStr">
        <is>
          <t>China</t>
        </is>
      </c>
    </row>
    <row r="5831">
      <c r="A5831" t="inlineStr">
        <is>
          <t>Dongying Xinbo Biotechnology Co., Ltd.,  Dongying City Shandong Province, China</t>
        </is>
      </c>
      <c r="B5831" t="inlineStr">
        <is>
          <t>Collecting Point, Trader with Storage</t>
        </is>
      </c>
      <c r="C5831" t="inlineStr">
        <is>
          <t>RINA Services S.p.A., Genova, IT</t>
        </is>
      </c>
      <c r="D5831" t="inlineStr">
        <is>
          <t>02.04.2027</t>
        </is>
      </c>
      <c r="E5831" t="inlineStr">
        <is>
          <t>China</t>
        </is>
      </c>
    </row>
    <row r="5832">
      <c r="A5832" t="inlineStr">
        <is>
          <t>Maritime Bunkering,  Hull, United Kingdom</t>
        </is>
      </c>
      <c r="B5832" t="inlineStr">
        <is>
          <t>Trader with Storage</t>
        </is>
      </c>
      <c r="C5832" t="inlineStr">
        <is>
          <t>Double Helix Tracking Technologies Pte Ltd, Singapore, SG</t>
        </is>
      </c>
      <c r="D5832" t="inlineStr">
        <is>
          <t>02.04.2027</t>
        </is>
      </c>
      <c r="E5832" t="inlineStr">
        <is>
          <t>United Kingdom</t>
        </is>
      </c>
    </row>
    <row r="5833">
      <c r="A5833" t="inlineStr">
        <is>
          <t>TOKYO GAS CO.,LTD.,  Yokohama, Japan</t>
        </is>
      </c>
      <c r="B5833" t="inlineStr">
        <is>
          <t>Processing Unit</t>
        </is>
      </c>
      <c r="C5833" t="inlineStr">
        <is>
          <t>Control Union Certifications Germany GmbH, Berlin, DE</t>
        </is>
      </c>
      <c r="D5833" t="inlineStr">
        <is>
          <t>02.04.2027</t>
        </is>
      </c>
      <c r="E5833" t="inlineStr">
        <is>
          <t>Japan</t>
        </is>
      </c>
    </row>
    <row r="5834">
      <c r="A5834" t="inlineStr">
        <is>
          <t>Source One Plastics,  Eicklingen, Germany</t>
        </is>
      </c>
      <c r="B5834" t="inlineStr">
        <is>
          <t>Point of Origin, Processing Unit</t>
        </is>
      </c>
      <c r="C5834" t="inlineStr">
        <is>
          <t>TÜV NORD CERT GmbH, Essen, DE</t>
        </is>
      </c>
      <c r="D5834" t="inlineStr">
        <is>
          <t>02.04.2027</t>
        </is>
      </c>
      <c r="E5834" t="inlineStr">
        <is>
          <t>Germany</t>
        </is>
      </c>
    </row>
    <row r="5835">
      <c r="A5835" t="inlineStr">
        <is>
          <t>Bunge Romania S.R.L.,  Lehliu City, Calarasi County, Romania</t>
        </is>
      </c>
      <c r="B5835" t="inlineStr">
        <is>
          <t>First Gathering Point, Processing Unit, Trader with Storage</t>
        </is>
      </c>
      <c r="C5835" t="inlineStr">
        <is>
          <t>Control Union Certifications Germany GmbH, Berlin, DE</t>
        </is>
      </c>
      <c r="D5835" t="inlineStr">
        <is>
          <t>02.04.2027</t>
        </is>
      </c>
      <c r="E5835" t="inlineStr">
        <is>
          <t>Romania</t>
        </is>
      </c>
    </row>
    <row r="5836">
      <c r="A5836" t="inlineStr">
        <is>
          <t>W-Solutions OÜ,  Tallinn, Estonia</t>
        </is>
      </c>
      <c r="B5836" t="inlineStr">
        <is>
          <t>Trader</t>
        </is>
      </c>
      <c r="C5836" t="inlineStr">
        <is>
          <t>NCS Estonia OÜ, Tallinn, EE</t>
        </is>
      </c>
      <c r="D5836" t="inlineStr">
        <is>
          <t>02.04.2027</t>
        </is>
      </c>
      <c r="E5836" t="inlineStr">
        <is>
          <t>Estonia</t>
        </is>
      </c>
    </row>
    <row r="5837">
      <c r="A5837" t="inlineStr">
        <is>
          <t>WSL Energy OÜ,  Tallinn, Estonia</t>
        </is>
      </c>
      <c r="B5837" t="inlineStr">
        <is>
          <t>Trader with Storage</t>
        </is>
      </c>
      <c r="C5837" t="inlineStr">
        <is>
          <t>NCS Estonia OÜ, Tallinn, EE</t>
        </is>
      </c>
      <c r="D5837" t="inlineStr">
        <is>
          <t>02.04.2027</t>
        </is>
      </c>
      <c r="E5837" t="inlineStr">
        <is>
          <t>Estonia</t>
        </is>
      </c>
    </row>
    <row r="5838">
      <c r="A5838" t="inlineStr">
        <is>
          <t>Emax Solutions Co., Ltd. Jeongeup Branch,  Jeong-eup-si, Jeollabuk-do, Korea, Republic of</t>
        </is>
      </c>
      <c r="B5838" t="inlineStr">
        <is>
          <t>Point of Origin, Processing Unit, Trader with Storage, Collecting Point</t>
        </is>
      </c>
      <c r="C5838" t="inlineStr">
        <is>
          <t>Control Union Certifications Germany GmbH, Berlin, DE</t>
        </is>
      </c>
      <c r="D5838" t="inlineStr">
        <is>
          <t>02.04.2027</t>
        </is>
      </c>
      <c r="E5838" t="inlineStr">
        <is>
          <t>Republic of</t>
        </is>
      </c>
    </row>
    <row r="5839">
      <c r="A5839" t="inlineStr">
        <is>
          <t>RWE Generation SE,  Lingen, Germany</t>
        </is>
      </c>
      <c r="B5839" t="inlineStr">
        <is>
          <t>Processing Unit, Trader with Storage</t>
        </is>
      </c>
      <c r="C5839" t="inlineStr">
        <is>
          <t>TÜV SÜD Industrie Service GmbH, München, DE</t>
        </is>
      </c>
      <c r="D5839" t="inlineStr">
        <is>
          <t>02.04.2027</t>
        </is>
      </c>
      <c r="E5839" t="inlineStr">
        <is>
          <t>Germany</t>
        </is>
      </c>
    </row>
    <row r="5840">
      <c r="A5840" t="inlineStr">
        <is>
          <t>RWE Nukleus Green H2 GmbH,  Lingen, Germany</t>
        </is>
      </c>
      <c r="B5840" t="inlineStr">
        <is>
          <t>Processing Unit</t>
        </is>
      </c>
      <c r="C5840" t="inlineStr">
        <is>
          <t>TÜV SÜD Industrie Service GmbH, München, DE</t>
        </is>
      </c>
      <c r="D5840" t="inlineStr">
        <is>
          <t>02.04.2027</t>
        </is>
      </c>
      <c r="E5840" t="inlineStr">
        <is>
          <t>Germany</t>
        </is>
      </c>
    </row>
    <row r="5841">
      <c r="A5841" t="inlineStr">
        <is>
          <t>SINOPEC (QINGDAO) NEW ENERGY SALES CO., LTD.,  Qingdao City, Shandong Province, China</t>
        </is>
      </c>
      <c r="B5841" t="inlineStr">
        <is>
          <t>Trader</t>
        </is>
      </c>
      <c r="C5841" t="inlineStr">
        <is>
          <t>SCS Global Services, Emeryville, CA, US</t>
        </is>
      </c>
      <c r="D5841" t="inlineStr">
        <is>
          <t>02.04.2027</t>
        </is>
      </c>
      <c r="E5841" t="inlineStr">
        <is>
          <t>China</t>
        </is>
      </c>
    </row>
    <row r="5842">
      <c r="A5842" t="inlineStr">
        <is>
          <t>VIROSPACK,  Badalona, Spain</t>
        </is>
      </c>
      <c r="B5842" t="inlineStr">
        <is>
          <t>Processing Unit, Trader with Storage</t>
        </is>
      </c>
      <c r="C5842" t="inlineStr">
        <is>
          <t>PT Intertek Utama Services, Jakarta, ID</t>
        </is>
      </c>
      <c r="D5842" t="inlineStr">
        <is>
          <t>02.04.2027</t>
        </is>
      </c>
      <c r="E5842" t="inlineStr">
        <is>
          <t>Spain</t>
        </is>
      </c>
    </row>
    <row r="5843">
      <c r="A5843" t="inlineStr">
        <is>
          <t>ZZN Polabí, a.s.,  Kolín V, Czech Republic</t>
        </is>
      </c>
      <c r="B5843" t="inlineStr">
        <is>
          <t>First Gathering Point, Logistics Center, Trader</t>
        </is>
      </c>
      <c r="C5843" t="inlineStr">
        <is>
          <t>PT Intertek Utama Services, Jakarta, ID</t>
        </is>
      </c>
      <c r="D5843" t="inlineStr">
        <is>
          <t>02.04.2027</t>
        </is>
      </c>
      <c r="E5843" t="inlineStr">
        <is>
          <t>Czech Republic</t>
        </is>
      </c>
    </row>
    <row r="5844">
      <c r="A5844" t="inlineStr">
        <is>
          <t>Hebei Jingu Plasticizer Co. Ltd,  Xinji, Hebei Province, China</t>
        </is>
      </c>
      <c r="B5844" t="inlineStr">
        <is>
          <t>Processing Unit, Trader with Storage, Point of Origin</t>
        </is>
      </c>
      <c r="C5844" t="inlineStr">
        <is>
          <t>RINA Services S.p.A., Genova, IT</t>
        </is>
      </c>
      <c r="D5844" t="inlineStr">
        <is>
          <t>02.04.2027</t>
        </is>
      </c>
      <c r="E5844" t="inlineStr">
        <is>
          <t>China</t>
        </is>
      </c>
    </row>
    <row r="5845">
      <c r="A5845" t="inlineStr">
        <is>
          <t>Fintoil Hamina Oy,  Hamina, Finland</t>
        </is>
      </c>
      <c r="B5845" t="inlineStr">
        <is>
          <t>Collecting Point, Processing Unit, Trader with Storage</t>
        </is>
      </c>
      <c r="C5845" t="inlineStr">
        <is>
          <t>Control Union Certifications Germany GmbH, Berlin, DE</t>
        </is>
      </c>
      <c r="D5845" t="inlineStr">
        <is>
          <t>02.04.2027</t>
        </is>
      </c>
      <c r="E5845" t="inlineStr">
        <is>
          <t>Finland</t>
        </is>
      </c>
    </row>
    <row r="5846">
      <c r="A5846" t="inlineStr">
        <is>
          <t>Fintoil Hamina Oy,  Hamina, Finland</t>
        </is>
      </c>
      <c r="B5846" t="inlineStr">
        <is>
          <t>Collecting Point, Point of Origin, Processing Unit, Trader with Storage</t>
        </is>
      </c>
      <c r="C5846" t="inlineStr">
        <is>
          <t>Control Union Certifications Germany GmbH, Berlin, DE</t>
        </is>
      </c>
      <c r="D5846" t="inlineStr">
        <is>
          <t>02.04.2027</t>
        </is>
      </c>
      <c r="E5846" t="inlineStr">
        <is>
          <t>Finland</t>
        </is>
      </c>
    </row>
    <row r="5847">
      <c r="A5847" t="inlineStr">
        <is>
          <t>BIO EKO PALIVÁ s. r. o.,  Giraltovce, Slovakia</t>
        </is>
      </c>
      <c r="B5847" t="inlineStr">
        <is>
          <t>Trader</t>
        </is>
      </c>
      <c r="C5847" t="inlineStr">
        <is>
          <t>United Registrar of Systems Polska Sp. z o.o., Wrocław, PL</t>
        </is>
      </c>
      <c r="D5847" t="inlineStr">
        <is>
          <t>02.04.2027</t>
        </is>
      </c>
      <c r="E5847" t="inlineStr">
        <is>
          <t>Slovakia</t>
        </is>
      </c>
    </row>
    <row r="5848">
      <c r="A5848" t="inlineStr">
        <is>
          <t>Bunge Romania S.R.L.,  Lehliu City, Calarasi County, Romania</t>
        </is>
      </c>
      <c r="B5848" t="inlineStr">
        <is>
          <t>First Gathering Point, Processing Unit, Trader with Storage, Point of Origin</t>
        </is>
      </c>
      <c r="C5848" t="inlineStr">
        <is>
          <t>Control Union Certifications Germany GmbH, Berlin, DE</t>
        </is>
      </c>
      <c r="D5848" t="inlineStr">
        <is>
          <t>02.04.2027</t>
        </is>
      </c>
      <c r="E5848" t="inlineStr">
        <is>
          <t>Romania</t>
        </is>
      </c>
    </row>
    <row r="5849">
      <c r="A5849" t="inlineStr">
        <is>
          <t>Bunge Romania S.R.L.,  Buzau, Romania</t>
        </is>
      </c>
      <c r="B5849" t="inlineStr">
        <is>
          <t>First Gathering Point, Processing Unit, Trader with Storage, Point of Origin</t>
        </is>
      </c>
      <c r="C5849" t="inlineStr">
        <is>
          <t>Control Union Certifications Germany GmbH, Berlin, DE</t>
        </is>
      </c>
      <c r="D5849" t="inlineStr">
        <is>
          <t>02.04.2027</t>
        </is>
      </c>
      <c r="E5849" t="inlineStr">
        <is>
          <t>Romania</t>
        </is>
      </c>
    </row>
    <row r="5850">
      <c r="A5850" t="inlineStr">
        <is>
          <t>Cabot Switzerland GmbH,  Schaffhausen, Switzerland</t>
        </is>
      </c>
      <c r="B5850" t="inlineStr">
        <is>
          <t>Trader with Storage</t>
        </is>
      </c>
      <c r="C5850" t="inlineStr">
        <is>
          <t>SGS Germany GmbH, Emstek, DE</t>
        </is>
      </c>
      <c r="D5850" t="inlineStr">
        <is>
          <t>02.04.2027</t>
        </is>
      </c>
      <c r="E5850" t="inlineStr">
        <is>
          <t>Switzerland</t>
        </is>
      </c>
    </row>
    <row r="5851">
      <c r="A5851" t="inlineStr">
        <is>
          <t>Bunge Romania S.R.L.,  Buzau, Romania</t>
        </is>
      </c>
      <c r="B5851" t="inlineStr">
        <is>
          <t>First Gathering Point, Processing Unit, Trader with Storage, Point of Origin</t>
        </is>
      </c>
      <c r="C5851" t="inlineStr">
        <is>
          <t>Control Union Certifications Germany GmbH, Berlin, DE</t>
        </is>
      </c>
      <c r="D5851" t="inlineStr">
        <is>
          <t>02.04.2027</t>
        </is>
      </c>
      <c r="E5851" t="inlineStr">
        <is>
          <t>Romania</t>
        </is>
      </c>
    </row>
    <row r="5852">
      <c r="A5852" t="inlineStr">
        <is>
          <t>Cargill NV,  Izegem, Belgium</t>
        </is>
      </c>
      <c r="B5852" t="inlineStr">
        <is>
          <t>Point of Origin, Processing Unit</t>
        </is>
      </c>
      <c r="C5852" t="inlineStr">
        <is>
          <t>SGS Germany GmbH, Emstek, DE</t>
        </is>
      </c>
      <c r="D5852" t="inlineStr">
        <is>
          <t>02.04.2027</t>
        </is>
      </c>
      <c r="E5852" t="inlineStr">
        <is>
          <t>Belgium</t>
        </is>
      </c>
    </row>
    <row r="5853">
      <c r="A5853" t="inlineStr">
        <is>
          <t>GLOBAL POLYACETAL CO., LTD.,  Higashiｰshinbashi, Minato-ku,, Japan</t>
        </is>
      </c>
      <c r="B5853" t="inlineStr">
        <is>
          <t>Trader with Storage</t>
        </is>
      </c>
      <c r="C5853" t="inlineStr">
        <is>
          <t>SGS Germany GmbH, Emstek, DE</t>
        </is>
      </c>
      <c r="D5853" t="inlineStr">
        <is>
          <t>02.04.2027</t>
        </is>
      </c>
      <c r="E5853" t="inlineStr">
        <is>
          <t>Japan</t>
        </is>
      </c>
    </row>
    <row r="5854">
      <c r="A5854" t="inlineStr">
        <is>
          <t>NX SHOJI CO.,LTD.,  Minato-ku,Tokyo, Japan</t>
        </is>
      </c>
      <c r="B5854" t="inlineStr">
        <is>
          <t>Trader</t>
        </is>
      </c>
      <c r="C5854" t="inlineStr">
        <is>
          <t>SGS Germany GmbH, Emstek, DE</t>
        </is>
      </c>
      <c r="D5854" t="inlineStr">
        <is>
          <t>02.04.2027</t>
        </is>
      </c>
      <c r="E5854" t="inlineStr">
        <is>
          <t>Japan</t>
        </is>
      </c>
    </row>
    <row r="5855">
      <c r="A5855" t="inlineStr">
        <is>
          <t>NX SHOJI CO.,LTD.,  Minato-ku,Tokyo, Japan</t>
        </is>
      </c>
      <c r="B5855" t="inlineStr">
        <is>
          <t>Trader with Storage</t>
        </is>
      </c>
      <c r="C5855" t="inlineStr">
        <is>
          <t>SGS Germany GmbH, Emstek, DE</t>
        </is>
      </c>
      <c r="D5855" t="inlineStr">
        <is>
          <t>02.04.2027</t>
        </is>
      </c>
      <c r="E5855" t="inlineStr">
        <is>
          <t>Japan</t>
        </is>
      </c>
    </row>
    <row r="5856">
      <c r="A5856" t="inlineStr">
        <is>
          <t>Suzhou Linxean Intelligence Technology Co., Ltd.,  Suzhou City，Jiangsu Province, China</t>
        </is>
      </c>
      <c r="B5856" t="inlineStr">
        <is>
          <t>Final Product Refinement</t>
        </is>
      </c>
      <c r="C5856" t="inlineStr">
        <is>
          <t>SGS Germany GmbH, Emstek, DE</t>
        </is>
      </c>
      <c r="D5856" t="inlineStr">
        <is>
          <t>02.04.2027</t>
        </is>
      </c>
      <c r="E5856" t="inlineStr">
        <is>
          <t>China</t>
        </is>
      </c>
    </row>
    <row r="5857">
      <c r="A5857" t="inlineStr">
        <is>
          <t>Myungsung Bio-tech,  Pocheon-si, Gyeonggi-do, South Korea</t>
        </is>
      </c>
      <c r="B5857" t="inlineStr">
        <is>
          <t>Collecting Point, Trader with Storage</t>
        </is>
      </c>
      <c r="C5857" t="inlineStr">
        <is>
          <t>Korean Foundation for Quality, Songpa-gu, Seoul, KR</t>
        </is>
      </c>
      <c r="D5857" t="inlineStr">
        <is>
          <t>02.04.2027</t>
        </is>
      </c>
      <c r="E5857" t="inlineStr">
        <is>
          <t>South Korea</t>
        </is>
      </c>
    </row>
    <row r="5858">
      <c r="A5858" t="inlineStr">
        <is>
          <t>Haobo (Fujian) New Materials Technology Co. , Ltd.,  Quanzhou, Fujian, China</t>
        </is>
      </c>
      <c r="B5858" t="inlineStr">
        <is>
          <t>Processing Unit</t>
        </is>
      </c>
      <c r="C5858" t="inlineStr">
        <is>
          <t>CTI Certification Co. Ltd, Shenzhen, CN</t>
        </is>
      </c>
      <c r="D5858" t="inlineStr">
        <is>
          <t>02.04.2027</t>
        </is>
      </c>
      <c r="E5858" t="inlineStr">
        <is>
          <t>China</t>
        </is>
      </c>
    </row>
    <row r="5859">
      <c r="A5859" t="inlineStr">
        <is>
          <t>XIANGXIN Corporation,  Goyang-si, South Korea</t>
        </is>
      </c>
      <c r="B5859" t="inlineStr">
        <is>
          <t>Trader</t>
        </is>
      </c>
      <c r="C5859" t="inlineStr">
        <is>
          <t>Korean Foundation for Quality, Songpa-gu, Seoul, KR</t>
        </is>
      </c>
      <c r="D5859" t="inlineStr">
        <is>
          <t>02.04.2027</t>
        </is>
      </c>
      <c r="E5859" t="inlineStr">
        <is>
          <t>South Korea</t>
        </is>
      </c>
    </row>
    <row r="5860">
      <c r="A5860" t="inlineStr">
        <is>
          <t>FOLPLAST SPÓŁKA Z OGRANICZONĄ ODPOWIEDZIALNOŚCIĄ,  Kościan, Poland</t>
        </is>
      </c>
      <c r="B5860" t="inlineStr">
        <is>
          <t>Processing Unit</t>
        </is>
      </c>
      <c r="C5860" t="inlineStr">
        <is>
          <t>Bureau Veritas Polska Sp. z o.o., Warsaw, PL</t>
        </is>
      </c>
      <c r="D5860" t="inlineStr">
        <is>
          <t>02.04.2027</t>
        </is>
      </c>
      <c r="E5860" t="inlineStr">
        <is>
          <t>Poland</t>
        </is>
      </c>
    </row>
    <row r="5861">
      <c r="A5861" t="inlineStr">
        <is>
          <t>Albea Cosmetics France,  Plouhinec, France</t>
        </is>
      </c>
      <c r="B5861" t="inlineStr">
        <is>
          <t>Final Product Refinement, Processing Unit</t>
        </is>
      </c>
      <c r="C5861" t="inlineStr">
        <is>
          <t>Bureau Veritas Polska Sp. z o.o., Warsaw, PL</t>
        </is>
      </c>
      <c r="D5861" t="inlineStr">
        <is>
          <t>02.04.2027</t>
        </is>
      </c>
      <c r="E5861" t="inlineStr">
        <is>
          <t>France</t>
        </is>
      </c>
    </row>
    <row r="5862">
      <c r="A5862" t="inlineStr">
        <is>
          <t>ECO OIL TRADING AND SERVICES CO., LTD,  Tan Dinh Ward, Ho Chi Minh City, Vietnam</t>
        </is>
      </c>
      <c r="B5862" t="inlineStr">
        <is>
          <t>Collecting Point, Warehouse</t>
        </is>
      </c>
      <c r="C5862" t="inlineStr">
        <is>
          <t>BM Certification, Riga, LV</t>
        </is>
      </c>
      <c r="D5862" t="inlineStr">
        <is>
          <t>02.04.2027</t>
        </is>
      </c>
      <c r="E5862" t="inlineStr">
        <is>
          <t>Vietnam</t>
        </is>
      </c>
    </row>
    <row r="5863">
      <c r="A5863" t="inlineStr">
        <is>
          <t>Nobian Industrial Chemicals B.V.,  Frankfurt am Main, Germany</t>
        </is>
      </c>
      <c r="B5863" t="inlineStr">
        <is>
          <t>Processing Unit</t>
        </is>
      </c>
      <c r="C5863" t="inlineStr">
        <is>
          <t>Normec QS BV, Ede, NL</t>
        </is>
      </c>
      <c r="D5863" t="inlineStr">
        <is>
          <t>02.04.2027</t>
        </is>
      </c>
      <c r="E5863" t="inlineStr">
        <is>
          <t>Germany</t>
        </is>
      </c>
    </row>
    <row r="5864">
      <c r="A5864" t="inlineStr">
        <is>
          <t>ENERGEN RECYCLING,  Różanki, Poland</t>
        </is>
      </c>
      <c r="B5864" t="inlineStr">
        <is>
          <t>Collecting Point, Processing Unit</t>
        </is>
      </c>
      <c r="C5864" t="inlineStr">
        <is>
          <t>Bureau Veritas Polska Sp. z o.o., Warsaw, PL</t>
        </is>
      </c>
      <c r="D5864" t="inlineStr">
        <is>
          <t>02.04.2027</t>
        </is>
      </c>
      <c r="E5864" t="inlineStr">
        <is>
          <t>Poland</t>
        </is>
      </c>
    </row>
    <row r="5865">
      <c r="A5865" t="inlineStr">
        <is>
          <t>Shell Malaysia Trading Sdn Bhd,  Kuala Lumpur, Malaysia</t>
        </is>
      </c>
      <c r="B5865" t="inlineStr">
        <is>
          <t>Trader</t>
        </is>
      </c>
      <c r="C5865" t="inlineStr">
        <is>
          <t>Control Union Certifications Germany GmbH, Berlin, DE</t>
        </is>
      </c>
      <c r="D5865" t="inlineStr">
        <is>
          <t>02.04.2027</t>
        </is>
      </c>
      <c r="E5865" t="inlineStr">
        <is>
          <t>Malaysia</t>
        </is>
      </c>
    </row>
    <row r="5866">
      <c r="A5866" t="inlineStr">
        <is>
          <t>CEMAGRO BETON,  Sarighiol de Deal Village, Tulcea County, Romania</t>
        </is>
      </c>
      <c r="B5866" t="inlineStr">
        <is>
          <t>First Gathering Point, Trader with Storage</t>
        </is>
      </c>
      <c r="C5866" t="inlineStr">
        <is>
          <t>Control Union Certifications Germany GmbH, Berlin, DE</t>
        </is>
      </c>
      <c r="D5866" t="inlineStr">
        <is>
          <t>02.04.2027</t>
        </is>
      </c>
      <c r="E5866" t="inlineStr">
        <is>
          <t>Romania</t>
        </is>
      </c>
    </row>
    <row r="5867">
      <c r="A5867" t="inlineStr">
        <is>
          <t>Dél-Balaton Zrt.,  Balatonszentgyörgy, Hungary</t>
        </is>
      </c>
      <c r="B5867" t="inlineStr">
        <is>
          <t>First Gathering Point, Trader with Storage</t>
        </is>
      </c>
      <c r="C5867" t="inlineStr">
        <is>
          <t>Amspec Iberia SL, Vilagarcia de Arousa-Pontevedra, ES</t>
        </is>
      </c>
      <c r="D5867" t="inlineStr">
        <is>
          <t>01.04.2027</t>
        </is>
      </c>
      <c r="E5867" t="inlineStr">
        <is>
          <t>Hungary</t>
        </is>
      </c>
    </row>
    <row r="5868">
      <c r="A5868" t="inlineStr">
        <is>
          <t>Anhui Wenkong Biotechnology Co., Ltd.,  Bozhou City, China</t>
        </is>
      </c>
      <c r="B5868" t="inlineStr">
        <is>
          <t>Collecting Point, Trader</t>
        </is>
      </c>
      <c r="C5868" t="inlineStr">
        <is>
          <t>RINA Services S.p.A., Genova, IT</t>
        </is>
      </c>
      <c r="D5868" t="inlineStr">
        <is>
          <t>01.04.2027</t>
        </is>
      </c>
      <c r="E5868" t="inlineStr">
        <is>
          <t>China</t>
        </is>
      </c>
    </row>
    <row r="5869">
      <c r="A5869" t="inlineStr">
        <is>
          <t>Xinji Kerong New Energy Technology Co., Ltd,  Xinji, Hebei, China</t>
        </is>
      </c>
      <c r="B5869" t="inlineStr">
        <is>
          <t>Collecting Point, Trader with Storage</t>
        </is>
      </c>
      <c r="C5869" t="inlineStr">
        <is>
          <t>RINA Services S.p.A., Genova, IT</t>
        </is>
      </c>
      <c r="D5869" t="inlineStr">
        <is>
          <t>01.04.2027</t>
        </is>
      </c>
      <c r="E5869" t="inlineStr">
        <is>
          <t>China</t>
        </is>
      </c>
    </row>
    <row r="5870">
      <c r="A5870" t="inlineStr">
        <is>
          <t>MIDDLE EAST BIOTRADING COMPANY W.L.L.,  Central Manama Capital Governorate, Bahrain</t>
        </is>
      </c>
      <c r="B5870" t="inlineStr">
        <is>
          <t>Trader</t>
        </is>
      </c>
      <c r="C5870" t="inlineStr">
        <is>
          <t>SGS Germany GmbH, Emstek, DE</t>
        </is>
      </c>
      <c r="D5870" t="inlineStr">
        <is>
          <t>01.04.2027</t>
        </is>
      </c>
      <c r="E5870" t="inlineStr">
        <is>
          <t>Bahrain</t>
        </is>
      </c>
    </row>
    <row r="5871">
      <c r="A5871" t="inlineStr">
        <is>
          <t>ibios,  roma, Italy</t>
        </is>
      </c>
      <c r="B5871" t="inlineStr">
        <is>
          <t>Collecting Point, First Gathering Point, Trader with Storage</t>
        </is>
      </c>
      <c r="C5871" t="inlineStr">
        <is>
          <t>SI Cert Italy S.R.L., Parma, IT</t>
        </is>
      </c>
      <c r="D5871" t="inlineStr">
        <is>
          <t>01.04.2027</t>
        </is>
      </c>
      <c r="E5871" t="inlineStr">
        <is>
          <t>Italy</t>
        </is>
      </c>
    </row>
    <row r="5872">
      <c r="A5872" t="inlineStr">
        <is>
          <t>SOYA MILLS SA,  KORINTHOS, Greece</t>
        </is>
      </c>
      <c r="B5872" t="inlineStr">
        <is>
          <t>Point of Origin, Processing Unit, Trader with Storage</t>
        </is>
      </c>
      <c r="C5872" t="inlineStr">
        <is>
          <t>Business Quality Verification Testing and Certification Services P.C. (BQV), Marousi, Athens, GR</t>
        </is>
      </c>
      <c r="D5872" t="inlineStr">
        <is>
          <t>01.04.2027</t>
        </is>
      </c>
      <c r="E5872" t="inlineStr">
        <is>
          <t>Greece</t>
        </is>
      </c>
    </row>
    <row r="5873">
      <c r="A5873" t="inlineStr">
        <is>
          <t>Sirilertwanitch co.,ltd,  Klongsamwa , Bangkok, Thailand</t>
        </is>
      </c>
      <c r="B5873" t="inlineStr">
        <is>
          <t>Collecting Point</t>
        </is>
      </c>
      <c r="C5873" t="inlineStr">
        <is>
          <t>Control Union Poland Sp. z o.o., Zielona Gora, PL</t>
        </is>
      </c>
      <c r="D5873" t="inlineStr">
        <is>
          <t>01.04.2027</t>
        </is>
      </c>
      <c r="E5873" t="inlineStr">
        <is>
          <t>Thailand</t>
        </is>
      </c>
    </row>
    <row r="5874">
      <c r="A5874" t="inlineStr">
        <is>
          <t>GF ENERGY S.A.,  SOUSAKI, AGIOI THEODOROI, KORINTH, Greece</t>
        </is>
      </c>
      <c r="B5874" t="inlineStr">
        <is>
          <t>Point of Origin, Processing Unit, Trader with Storage</t>
        </is>
      </c>
      <c r="C5874" t="inlineStr">
        <is>
          <t>Business Quality Verification Testing and Certification Services P.C. (BQV), Marousi, Athens, GR</t>
        </is>
      </c>
      <c r="D5874" t="inlineStr">
        <is>
          <t>01.04.2027</t>
        </is>
      </c>
      <c r="E5874" t="inlineStr">
        <is>
          <t>Greece</t>
        </is>
      </c>
    </row>
    <row r="5875">
      <c r="A5875" t="inlineStr">
        <is>
          <t>Memphis Record Pressing,  Bartlett, TN, United States</t>
        </is>
      </c>
      <c r="B5875" t="inlineStr">
        <is>
          <t>Processing Unit</t>
        </is>
      </c>
      <c r="C5875" t="inlineStr">
        <is>
          <t>SCS Global Services, Emeryville, CA, US</t>
        </is>
      </c>
      <c r="D5875" t="inlineStr">
        <is>
          <t>01.04.2027</t>
        </is>
      </c>
      <c r="E5875" t="inlineStr">
        <is>
          <t>United States</t>
        </is>
      </c>
    </row>
    <row r="5876">
      <c r="A5876" t="inlineStr">
        <is>
          <t>AGRO TOTAL SOLUTIONS SRL,  CONSTANTA, Romania</t>
        </is>
      </c>
      <c r="B5876" t="inlineStr">
        <is>
          <t>First Gathering Point, Trader</t>
        </is>
      </c>
      <c r="C5876" t="inlineStr">
        <is>
          <t>SRAC Cert SRL, Bucharest, RO</t>
        </is>
      </c>
      <c r="D5876" t="inlineStr">
        <is>
          <t>01.04.2027</t>
        </is>
      </c>
      <c r="E5876" t="inlineStr">
        <is>
          <t>Romania</t>
        </is>
      </c>
    </row>
    <row r="5877">
      <c r="A5877" t="inlineStr">
        <is>
          <t>Wedlake Industries,  Hohenwald, United States</t>
        </is>
      </c>
      <c r="B5877" t="inlineStr">
        <is>
          <t>Processing Unit, Trader</t>
        </is>
      </c>
      <c r="C5877" t="inlineStr">
        <is>
          <t>SCS Global Services, Emeryville, CA, US</t>
        </is>
      </c>
      <c r="D5877" t="inlineStr">
        <is>
          <t>01.04.2027</t>
        </is>
      </c>
      <c r="E5877" t="inlineStr">
        <is>
          <t>United States</t>
        </is>
      </c>
    </row>
    <row r="5878">
      <c r="A5878" t="inlineStr">
        <is>
          <t>NASHVILLE RECORD PRESSING,  NASHVILLE, United States</t>
        </is>
      </c>
      <c r="B5878" t="inlineStr">
        <is>
          <t>Processing Unit</t>
        </is>
      </c>
      <c r="C5878" t="inlineStr">
        <is>
          <t>SCS Global Services, Emeryville, CA, US</t>
        </is>
      </c>
      <c r="D5878" t="inlineStr">
        <is>
          <t>01.04.2027</t>
        </is>
      </c>
      <c r="E5878" t="inlineStr">
        <is>
          <t>United States</t>
        </is>
      </c>
    </row>
    <row r="5879">
      <c r="A5879" t="inlineStr">
        <is>
          <t>British American Rubber Company, LLC,  Tallapoosa, United States</t>
        </is>
      </c>
      <c r="B5879" t="inlineStr">
        <is>
          <t>Collecting Point, Processing Unit</t>
        </is>
      </c>
      <c r="C5879" t="inlineStr">
        <is>
          <t>SCS Global Services, Emeryville, CA, US</t>
        </is>
      </c>
      <c r="D5879" t="inlineStr">
        <is>
          <t>01.04.2027</t>
        </is>
      </c>
      <c r="E5879" t="inlineStr">
        <is>
          <t>United States</t>
        </is>
      </c>
    </row>
    <row r="5880">
      <c r="A5880" t="inlineStr">
        <is>
          <t>British American Rubber Company, LLC,  Tallapoosa, United States</t>
        </is>
      </c>
      <c r="B5880" t="inlineStr">
        <is>
          <t>Collecting Point, Processing Unit</t>
        </is>
      </c>
      <c r="C5880" t="inlineStr">
        <is>
          <t>SCS Global Services, Emeryville, CA, US</t>
        </is>
      </c>
      <c r="D5880" t="inlineStr">
        <is>
          <t>01.04.2027</t>
        </is>
      </c>
      <c r="E5880" t="inlineStr">
        <is>
          <t>United States</t>
        </is>
      </c>
    </row>
    <row r="5881">
      <c r="A5881" t="inlineStr">
        <is>
          <t>Bunker One Combustíveis e Lubrificantes Ltda,  Rio de Janeiro, Brazil</t>
        </is>
      </c>
      <c r="B5881" t="inlineStr">
        <is>
          <t>Trader</t>
        </is>
      </c>
      <c r="C5881" t="inlineStr">
        <is>
          <t>Baltic Control Certification, Albertslund, DK</t>
        </is>
      </c>
      <c r="D5881" t="inlineStr">
        <is>
          <t>01.04.2027</t>
        </is>
      </c>
      <c r="E5881" t="inlineStr">
        <is>
          <t>Brazil</t>
        </is>
      </c>
    </row>
    <row r="5882">
      <c r="A5882" t="inlineStr">
        <is>
          <t>HELIVO s.r.o.,  Skalice nad svitavou, Czech Republic</t>
        </is>
      </c>
      <c r="B5882" t="inlineStr">
        <is>
          <t>Trader, First Gathering Point</t>
        </is>
      </c>
      <c r="C5882" t="inlineStr">
        <is>
          <t>Bureau Veritas Polska Sp. z o.o., Warsaw, PL</t>
        </is>
      </c>
      <c r="D5882" t="inlineStr">
        <is>
          <t>01.04.2027</t>
        </is>
      </c>
      <c r="E5882" t="inlineStr">
        <is>
          <t>Czech Republic</t>
        </is>
      </c>
    </row>
    <row r="5883">
      <c r="A5883" t="inlineStr">
        <is>
          <t>Agrovýkup, a.s.,  Moravské Budějovice, Czech Republic</t>
        </is>
      </c>
      <c r="B5883" t="inlineStr">
        <is>
          <t>First Gathering Point, Trader, Logistics Center</t>
        </is>
      </c>
      <c r="C5883" t="inlineStr">
        <is>
          <t>United Registrar of Systems Polska Sp. z o.o., Wrocław, PL</t>
        </is>
      </c>
      <c r="D5883" t="inlineStr">
        <is>
          <t>01.04.2027</t>
        </is>
      </c>
      <c r="E5883" t="inlineStr">
        <is>
          <t>Czech Republic</t>
        </is>
      </c>
    </row>
    <row r="5884">
      <c r="A5884" t="inlineStr">
        <is>
          <t>Air Liquide Deutschland GmbH,  Oberhausen, Germany</t>
        </is>
      </c>
      <c r="B5884" t="inlineStr">
        <is>
          <t>Processing Unit</t>
        </is>
      </c>
      <c r="C5884" t="inlineStr">
        <is>
          <t>DEKRA Certification GmbH, Stuttgart, DE</t>
        </is>
      </c>
      <c r="D5884" t="inlineStr">
        <is>
          <t>01.04.2027</t>
        </is>
      </c>
      <c r="E5884" t="inlineStr">
        <is>
          <t>Germany</t>
        </is>
      </c>
    </row>
    <row r="5885">
      <c r="A5885" t="inlineStr">
        <is>
          <t>PT. Kelantan Sakti,  Kabupaten Ogan Ilir, Provinsi Sumatera Selatan, Indonesia</t>
        </is>
      </c>
      <c r="B5885" t="inlineStr">
        <is>
          <t>Point of Origin</t>
        </is>
      </c>
      <c r="C5885" t="inlineStr">
        <is>
          <t>PT. Qualitas Sertifikasi Indonesia, Jakarta, ID</t>
        </is>
      </c>
      <c r="D5885" t="inlineStr">
        <is>
          <t>01.04.2027</t>
        </is>
      </c>
      <c r="E5885" t="inlineStr">
        <is>
          <t>Indonesia</t>
        </is>
      </c>
    </row>
    <row r="5886">
      <c r="A5886" t="inlineStr">
        <is>
          <t>PT. Kelantan Sakti,  Kabupaten Ogan Ilir, Provinsi Sumatera Selatan, Indonesia</t>
        </is>
      </c>
      <c r="B5886" t="inlineStr">
        <is>
          <t>Point of Origin</t>
        </is>
      </c>
      <c r="C5886" t="inlineStr">
        <is>
          <t>PT. Qualitas Sertifikasi Indonesia, Jakarta, ID</t>
        </is>
      </c>
      <c r="D5886" t="inlineStr">
        <is>
          <t>01.04.2027</t>
        </is>
      </c>
      <c r="E5886" t="inlineStr">
        <is>
          <t>Indonesia</t>
        </is>
      </c>
    </row>
    <row r="5887">
      <c r="A5887" t="inlineStr">
        <is>
          <t>Cleanaway Operations Pty Ltd.,  Riverstone NSW, Australia</t>
        </is>
      </c>
      <c r="B5887" t="inlineStr">
        <is>
          <t>Collecting Point</t>
        </is>
      </c>
      <c r="C5887" t="inlineStr">
        <is>
          <t>BM Certification, Riga, LV</t>
        </is>
      </c>
      <c r="D5887" t="inlineStr">
        <is>
          <t>01.04.2027</t>
        </is>
      </c>
      <c r="E5887" t="inlineStr">
        <is>
          <t>Australia</t>
        </is>
      </c>
    </row>
    <row r="5888">
      <c r="A5888" t="inlineStr">
        <is>
          <t>Indaver Plastic Recycling nv,  Willebroek, Belgium</t>
        </is>
      </c>
      <c r="B5888" t="inlineStr">
        <is>
          <t>Collecting Point, Processing Unit</t>
        </is>
      </c>
      <c r="C5888" t="inlineStr">
        <is>
          <t>SGS Germany GmbH, Emstek, DE</t>
        </is>
      </c>
      <c r="D5888" t="inlineStr">
        <is>
          <t>01.04.2027</t>
        </is>
      </c>
      <c r="E5888" t="inlineStr">
        <is>
          <t>Belgium</t>
        </is>
      </c>
    </row>
    <row r="5889">
      <c r="A5889" t="inlineStr">
        <is>
          <t>Bio-Venta,  Ventspils, Latvia</t>
        </is>
      </c>
      <c r="B5889" t="inlineStr">
        <is>
          <t>First Gathering Point, Point of Origin, Processing Unit, Trader with Storage</t>
        </is>
      </c>
      <c r="C5889" t="inlineStr">
        <is>
          <t>BM Certification, Riga, LV</t>
        </is>
      </c>
      <c r="D5889" t="inlineStr">
        <is>
          <t>01.04.2027</t>
        </is>
      </c>
      <c r="E5889" t="inlineStr">
        <is>
          <t>Latvia</t>
        </is>
      </c>
    </row>
    <row r="5890">
      <c r="A5890" t="inlineStr">
        <is>
          <t>Thai Polyethylene,  Muang District, Rayong,, Thailand</t>
        </is>
      </c>
      <c r="B5890" t="inlineStr">
        <is>
          <t>Processing Unit</t>
        </is>
      </c>
      <c r="C5890" t="inlineStr">
        <is>
          <t>SGS Germany GmbH, Emstek, DE</t>
        </is>
      </c>
      <c r="D5890" t="inlineStr">
        <is>
          <t>01.04.2027</t>
        </is>
      </c>
      <c r="E5890" t="inlineStr">
        <is>
          <t>Thailand</t>
        </is>
      </c>
    </row>
    <row r="5891">
      <c r="A5891" t="inlineStr">
        <is>
          <t>Miraplast Kunststoffverarbeitungs GmbH,  Würmla, Austria</t>
        </is>
      </c>
      <c r="B5891" t="inlineStr">
        <is>
          <t>Processing Unit</t>
        </is>
      </c>
      <c r="C5891" t="inlineStr">
        <is>
          <t>SGS Germany GmbH, Emstek, DE</t>
        </is>
      </c>
      <c r="D5891" t="inlineStr">
        <is>
          <t>01.04.2027</t>
        </is>
      </c>
      <c r="E5891" t="inlineStr">
        <is>
          <t>Austria</t>
        </is>
      </c>
    </row>
    <row r="5892">
      <c r="A5892" t="inlineStr">
        <is>
          <t>Valero Grain Marketing LLC,  San Antonio, Texas, United States</t>
        </is>
      </c>
      <c r="B5892" t="inlineStr">
        <is>
          <t>First Gathering Point</t>
        </is>
      </c>
      <c r="C5892" t="inlineStr">
        <is>
          <t>Control Union Poland Sp. z o.o., Zielona Gora, PL</t>
        </is>
      </c>
      <c r="D5892" t="inlineStr">
        <is>
          <t>01.04.2027</t>
        </is>
      </c>
      <c r="E5892" t="inlineStr">
        <is>
          <t>United States</t>
        </is>
      </c>
    </row>
    <row r="5893">
      <c r="A5893" t="inlineStr">
        <is>
          <t>Valero Grain Marketing LLC,  San Antonio, Texas, United States</t>
        </is>
      </c>
      <c r="B5893" t="inlineStr">
        <is>
          <t>First Gathering Point</t>
        </is>
      </c>
      <c r="C5893" t="inlineStr">
        <is>
          <t>Control Union Poland Sp. z o.o., Zielona Gora, PL</t>
        </is>
      </c>
      <c r="D5893" t="inlineStr">
        <is>
          <t>01.04.2027</t>
        </is>
      </c>
      <c r="E5893" t="inlineStr">
        <is>
          <t>United States</t>
        </is>
      </c>
    </row>
    <row r="5894">
      <c r="A5894" t="inlineStr">
        <is>
          <t>VALECOBOIS RHONE ALPES,  GIVORS, France</t>
        </is>
      </c>
      <c r="B5894" t="inlineStr">
        <is>
          <t>Collecting Point, Trader</t>
        </is>
      </c>
      <c r="C5894" t="inlineStr">
        <is>
          <t>PT Intertek Utama Services, Jakarta, ID</t>
        </is>
      </c>
      <c r="D5894" t="inlineStr">
        <is>
          <t>01.04.2027</t>
        </is>
      </c>
      <c r="E5894" t="inlineStr">
        <is>
          <t>France</t>
        </is>
      </c>
    </row>
    <row r="5895">
      <c r="A5895" t="inlineStr">
        <is>
          <t>HONEST,  Erdenet, Mongolia</t>
        </is>
      </c>
      <c r="B5895" t="inlineStr">
        <is>
          <t>Collecting Point, Trader</t>
        </is>
      </c>
      <c r="C5895" t="inlineStr">
        <is>
          <t>DNV Business Assurance Sweden AB, Solna, SE</t>
        </is>
      </c>
      <c r="D5895" t="inlineStr">
        <is>
          <t>01.04.2027</t>
        </is>
      </c>
      <c r="E5895" t="inlineStr">
        <is>
          <t>Mongolia</t>
        </is>
      </c>
    </row>
    <row r="5896">
      <c r="A5896" t="inlineStr">
        <is>
          <t>Nantong Jiangtian Chemical Co., Ltd.,  Nantong, Jiangsu Province, China</t>
        </is>
      </c>
      <c r="B5896" t="inlineStr">
        <is>
          <t>Point of Origin, Processing Unit</t>
        </is>
      </c>
      <c r="C5896" t="inlineStr">
        <is>
          <t>CTI Certification Co. Ltd, Shenzhen, CN</t>
        </is>
      </c>
      <c r="D5896" t="inlineStr">
        <is>
          <t>01.04.2027</t>
        </is>
      </c>
      <c r="E5896" t="inlineStr">
        <is>
          <t>China</t>
        </is>
      </c>
    </row>
    <row r="5897">
      <c r="A5897" t="inlineStr">
        <is>
          <t>Melangking Oil Palm Plantation SDN BHD,  SANDAKAN, Malaysia</t>
        </is>
      </c>
      <c r="B5897" t="inlineStr">
        <is>
          <t>Point of Origin</t>
        </is>
      </c>
      <c r="C5897" t="inlineStr">
        <is>
          <t>NIOSH Certification Sdn. Bhd., Selangor Darul Ehsan, MY</t>
        </is>
      </c>
      <c r="D5897" t="inlineStr">
        <is>
          <t>01.04.2027</t>
        </is>
      </c>
      <c r="E5897" t="inlineStr">
        <is>
          <t>Malaysia</t>
        </is>
      </c>
    </row>
    <row r="5898">
      <c r="A5898" t="inlineStr">
        <is>
          <t>SK incheon petrochem Co., Ltd.,  incheon, Korea, Republic of</t>
        </is>
      </c>
      <c r="B5898" t="inlineStr">
        <is>
          <t>Processing Unit, Biomarine Fuel Operator, Trader with Storage</t>
        </is>
      </c>
      <c r="C5898" t="inlineStr">
        <is>
          <t>Control Union Certifications Germany GmbH, Berlin, DE</t>
        </is>
      </c>
      <c r="D5898" t="inlineStr">
        <is>
          <t>01.04.2027</t>
        </is>
      </c>
      <c r="E5898" t="inlineStr">
        <is>
          <t>Republic of</t>
        </is>
      </c>
    </row>
    <row r="5899">
      <c r="A5899" t="inlineStr">
        <is>
          <t>Shenzhen Pro-vision optical Co., Ltd.,  Shenzhen City, China</t>
        </is>
      </c>
      <c r="B5899" t="inlineStr">
        <is>
          <t>Processing Unit</t>
        </is>
      </c>
      <c r="C5899" t="inlineStr">
        <is>
          <t>Bureau Veritas Consumer Products Services, Inc., Littleton, MA, US</t>
        </is>
      </c>
      <c r="D5899" t="inlineStr">
        <is>
          <t>01.04.2027</t>
        </is>
      </c>
      <c r="E5899" t="inlineStr">
        <is>
          <t>China</t>
        </is>
      </c>
    </row>
    <row r="5900">
      <c r="A5900" t="inlineStr">
        <is>
          <t>SK incheon petrochem Co., Ltd.,  incheon, Korea, Republic of</t>
        </is>
      </c>
      <c r="B5900" t="inlineStr">
        <is>
          <t>Processing Unit, Trader with Storage</t>
        </is>
      </c>
      <c r="C5900" t="inlineStr">
        <is>
          <t>Control Union Certifications Germany GmbH, Berlin, DE</t>
        </is>
      </c>
      <c r="D5900" t="inlineStr">
        <is>
          <t>01.04.2027</t>
        </is>
      </c>
      <c r="E5900" t="inlineStr">
        <is>
          <t>Republic of</t>
        </is>
      </c>
    </row>
    <row r="5901">
      <c r="A5901" t="inlineStr">
        <is>
          <t>Enterprise Energy Limited,  Aylesbury, Buckinghamshire, United Kingdom</t>
        </is>
      </c>
      <c r="B5901" t="inlineStr">
        <is>
          <t>Processing Unit, Collecting Point</t>
        </is>
      </c>
      <c r="C5901" t="inlineStr">
        <is>
          <t>Control Union Certifications Germany GmbH, Berlin, DE</t>
        </is>
      </c>
      <c r="D5901" t="inlineStr">
        <is>
          <t>01.04.2027</t>
        </is>
      </c>
      <c r="E5901" t="inlineStr">
        <is>
          <t>United Kingdom</t>
        </is>
      </c>
    </row>
    <row r="5902">
      <c r="A5902" t="inlineStr">
        <is>
          <t>URICO BIOENERGY LTD,  london, United Kingdom</t>
        </is>
      </c>
      <c r="B5902" t="inlineStr">
        <is>
          <t>Trader with Storage, Collecting Point</t>
        </is>
      </c>
      <c r="C5902" t="inlineStr">
        <is>
          <t>BM Certification, Riga, LV</t>
        </is>
      </c>
      <c r="D5902" t="inlineStr">
        <is>
          <t>01.04.2027</t>
        </is>
      </c>
      <c r="E5902" t="inlineStr">
        <is>
          <t>United Kingdom</t>
        </is>
      </c>
    </row>
    <row r="5903">
      <c r="A5903" t="inlineStr">
        <is>
          <t>Tuna Kimya San. Tic. A.S,  Havran, Turkey</t>
        </is>
      </c>
      <c r="B5903" t="inlineStr">
        <is>
          <t>Processing Unit, Trader with Storage</t>
        </is>
      </c>
      <c r="C5903" t="inlineStr">
        <is>
          <t>Business Quality Verification Testing and Certification Services P.C. (BQV), Marousi, Athens, GR</t>
        </is>
      </c>
      <c r="D5903" t="inlineStr">
        <is>
          <t>01.04.2027</t>
        </is>
      </c>
      <c r="E5903" t="inlineStr">
        <is>
          <t>Turkey</t>
        </is>
      </c>
    </row>
    <row r="5904">
      <c r="A5904" t="inlineStr">
        <is>
          <t>MACE GIDA SANAYİ VE TİCARET LİMİTED ŞİRKETİ BURHANİYE ŞUBESİ,  BALIKESIR, Turkey</t>
        </is>
      </c>
      <c r="B5904" t="inlineStr">
        <is>
          <t>Point of Origin</t>
        </is>
      </c>
      <c r="C5904" t="inlineStr">
        <is>
          <t>Business Quality Verification Testing and Certification Services P.C. (BQV), Marousi, Athens, GR</t>
        </is>
      </c>
      <c r="D5904" t="inlineStr">
        <is>
          <t>01.04.2027</t>
        </is>
      </c>
      <c r="E5904" t="inlineStr">
        <is>
          <t>Turkey</t>
        </is>
      </c>
    </row>
    <row r="5905">
      <c r="A5905" t="inlineStr">
        <is>
          <t>CELIKER YAG TARIM GIDA INSAAT TUR. NAK. ITH. IHR. SAN. TIC. LTD. STI.,  IZMIR, Turkey</t>
        </is>
      </c>
      <c r="B5905" t="inlineStr">
        <is>
          <t>Point of Origin</t>
        </is>
      </c>
      <c r="C5905" t="inlineStr">
        <is>
          <t>Business Quality Verification Testing and Certification Services P.C. (BQV), Marousi, Athens, GR</t>
        </is>
      </c>
      <c r="D5905" t="inlineStr">
        <is>
          <t>01.04.2027</t>
        </is>
      </c>
      <c r="E5905" t="inlineStr">
        <is>
          <t>Turkey</t>
        </is>
      </c>
    </row>
    <row r="5906">
      <c r="A5906" t="inlineStr">
        <is>
          <t>Air Liquide UK Limited,  Middlesbrough, United Kingdom</t>
        </is>
      </c>
      <c r="B5906" t="inlineStr">
        <is>
          <t>Processing Unit</t>
        </is>
      </c>
      <c r="C5906" t="inlineStr">
        <is>
          <t>Double Helix Tracking Technologies Pte Ltd, Singapore, SG</t>
        </is>
      </c>
      <c r="D5906" t="inlineStr">
        <is>
          <t>01.04.2027</t>
        </is>
      </c>
      <c r="E5906" t="inlineStr">
        <is>
          <t>United Kingdom</t>
        </is>
      </c>
    </row>
    <row r="5907">
      <c r="A5907" t="inlineStr">
        <is>
          <t>Duranta Teesside Ltd,  Middlesbrough, United Kingdom</t>
        </is>
      </c>
      <c r="B5907" t="inlineStr">
        <is>
          <t>Collecting Point, Processing Unit</t>
        </is>
      </c>
      <c r="C5907" t="inlineStr">
        <is>
          <t>Double Helix Tracking Technologies Pte Ltd, Singapore, SG</t>
        </is>
      </c>
      <c r="D5907" t="inlineStr">
        <is>
          <t>01.04.2027</t>
        </is>
      </c>
      <c r="E5907" t="inlineStr">
        <is>
          <t>United Kingdom</t>
        </is>
      </c>
    </row>
    <row r="5908">
      <c r="A5908" t="inlineStr">
        <is>
          <t>DUAL DUARTE ALBUQUERQUE COMERCIO E INDUSTRIA,  PEDRA PRETA, Brazil</t>
        </is>
      </c>
      <c r="B5908" t="inlineStr">
        <is>
          <t>Point of Origin, Processing Unit</t>
        </is>
      </c>
      <c r="C5908" t="inlineStr">
        <is>
          <t>Control Union Poland Sp. z o.o., Zielona Gora, PL</t>
        </is>
      </c>
      <c r="D5908" t="inlineStr">
        <is>
          <t>01.04.2027</t>
        </is>
      </c>
      <c r="E5908" t="inlineStr">
        <is>
          <t>Brazil</t>
        </is>
      </c>
    </row>
    <row r="5909">
      <c r="A5909" t="inlineStr">
        <is>
          <t>PSP LEGNO DI PONTIL SCALA PAOLO,  AURONZO DI CADORE, Italy</t>
        </is>
      </c>
      <c r="B5909" t="inlineStr">
        <is>
          <t>Collecting Point</t>
        </is>
      </c>
      <c r="C5909" t="inlineStr">
        <is>
          <t>RINA Services S.p.A., Genova, IT</t>
        </is>
      </c>
      <c r="D5909" t="inlineStr">
        <is>
          <t>01.04.2027</t>
        </is>
      </c>
      <c r="E5909" t="inlineStr">
        <is>
          <t>Italy</t>
        </is>
      </c>
    </row>
    <row r="5910">
      <c r="A5910" t="inlineStr">
        <is>
          <t>Osong Bio,  Cheongbuk-myeon, Pyeongtaek-si, Korea, Republic of</t>
        </is>
      </c>
      <c r="B5910" t="inlineStr">
        <is>
          <t>Collecting Point, Processing Unit, Trader with Storage</t>
        </is>
      </c>
      <c r="C5910" t="inlineStr">
        <is>
          <t>SGS Germany GmbH, Emstek, DE</t>
        </is>
      </c>
      <c r="D5910" t="inlineStr">
        <is>
          <t>01.04.2027</t>
        </is>
      </c>
      <c r="E5910" t="inlineStr">
        <is>
          <t>Republic of</t>
        </is>
      </c>
    </row>
    <row r="5911">
      <c r="A5911" t="inlineStr">
        <is>
          <t>Fortis Logistics Group Sp. z o.o.,  Sławków, Poland</t>
        </is>
      </c>
      <c r="B5911" t="inlineStr">
        <is>
          <t>Trader with Storage</t>
        </is>
      </c>
      <c r="C5911" t="inlineStr">
        <is>
          <t>United Registrar of Systems Polska Sp. z o.o., Wrocław, PL</t>
        </is>
      </c>
      <c r="D5911" t="inlineStr">
        <is>
          <t>01.04.2027</t>
        </is>
      </c>
      <c r="E5911" t="inlineStr">
        <is>
          <t>Poland</t>
        </is>
      </c>
    </row>
    <row r="5912">
      <c r="A5912" t="inlineStr">
        <is>
          <t>Gülsan Sentetik Dokuma Sanayi ve Ticaret A.Ş.,  Gaziantep, Turkey</t>
        </is>
      </c>
      <c r="B5912" t="inlineStr">
        <is>
          <t>Processing Unit</t>
        </is>
      </c>
      <c r="C5912" t="inlineStr">
        <is>
          <t>Control Union Certifications Germany GmbH, Berlin, DE</t>
        </is>
      </c>
      <c r="D5912" t="inlineStr">
        <is>
          <t>01.04.2027</t>
        </is>
      </c>
      <c r="E5912" t="inlineStr">
        <is>
          <t>Turkey</t>
        </is>
      </c>
    </row>
    <row r="5913">
      <c r="A5913" t="inlineStr">
        <is>
          <t>Gülsan Sentetik Dokuma Sanayi ve Ticaret A.Ş.,  Gaziantep, Turkey</t>
        </is>
      </c>
      <c r="B5913" t="inlineStr">
        <is>
          <t>Processing Unit</t>
        </is>
      </c>
      <c r="C5913" t="inlineStr">
        <is>
          <t>Control Union Certifications Germany GmbH, Berlin, DE</t>
        </is>
      </c>
      <c r="D5913" t="inlineStr">
        <is>
          <t>01.04.2027</t>
        </is>
      </c>
      <c r="E5913" t="inlineStr">
        <is>
          <t>Turkey</t>
        </is>
      </c>
    </row>
    <row r="5914">
      <c r="A5914" t="inlineStr">
        <is>
          <t>Thrace Plastics Pack,  Ioannina, Greece, Greece</t>
        </is>
      </c>
      <c r="B5914" t="inlineStr">
        <is>
          <t>Processing Unit, Trader with Storage</t>
        </is>
      </c>
      <c r="C5914" t="inlineStr">
        <is>
          <t>Business Quality Verification Testing and Certification Services P.C. (BQV), Marousi, Athens, GR</t>
        </is>
      </c>
      <c r="D5914" t="inlineStr">
        <is>
          <t>01.04.2027</t>
        </is>
      </c>
      <c r="E5914" t="inlineStr">
        <is>
          <t>Greece</t>
        </is>
      </c>
    </row>
    <row r="5915">
      <c r="A5915" t="inlineStr">
        <is>
          <t>Thrace Plastics Pack,  Xanthi, Greece, Greece</t>
        </is>
      </c>
      <c r="B5915" t="inlineStr">
        <is>
          <t>Processing Unit, Trader with Storage</t>
        </is>
      </c>
      <c r="C5915" t="inlineStr">
        <is>
          <t>Business Quality Verification Testing and Certification Services P.C. (BQV), Marousi, Athens, GR</t>
        </is>
      </c>
      <c r="D5915" t="inlineStr">
        <is>
          <t>01.04.2027</t>
        </is>
      </c>
      <c r="E5915" t="inlineStr">
        <is>
          <t>Greece</t>
        </is>
      </c>
    </row>
    <row r="5916">
      <c r="A5916" t="inlineStr">
        <is>
          <t>LENA PIO &amp; C. S.N.C.,  TAIBON AGORDINO, Italy</t>
        </is>
      </c>
      <c r="B5916" t="inlineStr">
        <is>
          <t>Collecting Point</t>
        </is>
      </c>
      <c r="C5916" t="inlineStr">
        <is>
          <t>RINA Services S.p.A., Genova, IT</t>
        </is>
      </c>
      <c r="D5916" t="inlineStr">
        <is>
          <t>01.04.2027</t>
        </is>
      </c>
      <c r="E5916" t="inlineStr">
        <is>
          <t>Italy</t>
        </is>
      </c>
    </row>
    <row r="5917">
      <c r="A5917" t="inlineStr">
        <is>
          <t>DA RIN SRL,  AURONZO DI CADORE, Italy</t>
        </is>
      </c>
      <c r="B5917" t="inlineStr">
        <is>
          <t>Collecting Point, First Gathering Point</t>
        </is>
      </c>
      <c r="C5917" t="inlineStr">
        <is>
          <t>RINA Services S.p.A., Genova, IT</t>
        </is>
      </c>
      <c r="D5917" t="inlineStr">
        <is>
          <t>01.04.2027</t>
        </is>
      </c>
      <c r="E5917" t="inlineStr">
        <is>
          <t>Italy</t>
        </is>
      </c>
    </row>
    <row r="5918">
      <c r="A5918" t="inlineStr">
        <is>
          <t>Electroplast Packaging doo,  Krusevac, Serbia</t>
        </is>
      </c>
      <c r="B5918" t="inlineStr">
        <is>
          <t>Processing Unit</t>
        </is>
      </c>
      <c r="C5918" t="inlineStr">
        <is>
          <t>agroVet GmbH, Enzersfeld, AT</t>
        </is>
      </c>
      <c r="D5918" t="inlineStr">
        <is>
          <t>01.04.2027</t>
        </is>
      </c>
      <c r="E5918" t="inlineStr">
        <is>
          <t>Serbia</t>
        </is>
      </c>
    </row>
    <row r="5919">
      <c r="A5919" t="inlineStr">
        <is>
          <t>SINOPEC CHEMICAL COMMERCIAL HOLDING （HONG KONG）COMPANY LIMITED,  WAN CHAI, Hong Kong, Hong Kong, SAR, China</t>
        </is>
      </c>
      <c r="B5919" t="inlineStr">
        <is>
          <t>Trader</t>
        </is>
      </c>
      <c r="C5919" t="inlineStr">
        <is>
          <t>China Classification Society Certification Co., Ltd, Dong Cheng District, Beijing, CN</t>
        </is>
      </c>
      <c r="D5919" t="inlineStr">
        <is>
          <t>01.04.2027</t>
        </is>
      </c>
      <c r="E5919" t="inlineStr">
        <is>
          <t>China</t>
        </is>
      </c>
    </row>
    <row r="5920">
      <c r="A5920" t="inlineStr">
        <is>
          <t>SINOPEC CHEMICAL COMMERCIAL HOLDING （HONG KONG）COMPANY LIMITED,  WAN CHAI, Hong Kong, Hong Kong, SAR, China</t>
        </is>
      </c>
      <c r="B5920" t="inlineStr">
        <is>
          <t>Trader</t>
        </is>
      </c>
      <c r="C5920" t="inlineStr">
        <is>
          <t>China Classification Society Certification Co., Ltd, Dong Cheng District, Beijing, CN</t>
        </is>
      </c>
      <c r="D5920" t="inlineStr">
        <is>
          <t>01.04.2027</t>
        </is>
      </c>
      <c r="E5920" t="inlineStr">
        <is>
          <t>China</t>
        </is>
      </c>
    </row>
    <row r="5921">
      <c r="A5921" t="inlineStr">
        <is>
          <t>Gallon ehf.,  Reykjavík, Iceland</t>
        </is>
      </c>
      <c r="B5921" t="inlineStr">
        <is>
          <t>Logistics Center</t>
        </is>
      </c>
      <c r="C5921" t="inlineStr">
        <is>
          <t>DNV Business Assurance Sweden AB, Solna, SE</t>
        </is>
      </c>
      <c r="D5921" t="inlineStr">
        <is>
          <t>01.04.2027</t>
        </is>
      </c>
      <c r="E5921" t="inlineStr">
        <is>
          <t>Iceland</t>
        </is>
      </c>
    </row>
    <row r="5922">
      <c r="A5922" t="inlineStr">
        <is>
          <t>AQUAMBIENTE, SERVICIOS PARA EL SECTOR DEL AGUA,  Madrid, Spain</t>
        </is>
      </c>
      <c r="B5922" t="inlineStr">
        <is>
          <t>Collecting Point, Processing Unit</t>
        </is>
      </c>
      <c r="C5922" t="inlineStr">
        <is>
          <t>Control Union Poland Sp. z o.o., Zielona Gora, PL</t>
        </is>
      </c>
      <c r="D5922" t="inlineStr">
        <is>
          <t>01.04.2027</t>
        </is>
      </c>
      <c r="E5922" t="inlineStr">
        <is>
          <t>Spain</t>
        </is>
      </c>
    </row>
    <row r="5923">
      <c r="A5923" t="inlineStr">
        <is>
          <t>Liaoning Changtian Bioenergy Co., Ltd.,  Shenyang City, Liaoning Province, China</t>
        </is>
      </c>
      <c r="B5923" t="inlineStr">
        <is>
          <t>Collecting Point, Trader</t>
        </is>
      </c>
      <c r="C5923" t="inlineStr">
        <is>
          <t>RINA Services S.p.A., Genova, IT</t>
        </is>
      </c>
      <c r="D5923" t="inlineStr">
        <is>
          <t>01.04.2027</t>
        </is>
      </c>
      <c r="E5923" t="inlineStr">
        <is>
          <t>China</t>
        </is>
      </c>
    </row>
    <row r="5924">
      <c r="A5924" t="inlineStr">
        <is>
          <t>Guangdong Dongshi Environment Co., Ltd.,  Dongguan City, Guangdong Province, China</t>
        </is>
      </c>
      <c r="B5924" t="inlineStr">
        <is>
          <t>Collecting Point, Processing Unit</t>
        </is>
      </c>
      <c r="C5924" t="inlineStr">
        <is>
          <t>RINA Services S.p.A., Genova, IT</t>
        </is>
      </c>
      <c r="D5924" t="inlineStr">
        <is>
          <t>01.04.2027</t>
        </is>
      </c>
      <c r="E5924" t="inlineStr">
        <is>
          <t>China</t>
        </is>
      </c>
    </row>
    <row r="5925">
      <c r="A5925" t="inlineStr">
        <is>
          <t>COJOYHILL TRADING LIMITED,  SHEUNG WAN HK, Hong Kong, SAR, China</t>
        </is>
      </c>
      <c r="B5925" t="inlineStr">
        <is>
          <t>Trader</t>
        </is>
      </c>
      <c r="C5925" t="inlineStr">
        <is>
          <t>Trans Certification and Inspection Sdn Bhd, Kuantan, MY</t>
        </is>
      </c>
      <c r="D5925" t="inlineStr">
        <is>
          <t>01.04.2027</t>
        </is>
      </c>
      <c r="E5925" t="inlineStr">
        <is>
          <t>China</t>
        </is>
      </c>
    </row>
    <row r="5926">
      <c r="A5926" t="inlineStr">
        <is>
          <t>NOMARKHOS TRADING LIMITED,  HONG KONG, Hong Kong, SAR, China</t>
        </is>
      </c>
      <c r="B5926" t="inlineStr">
        <is>
          <t>Trader</t>
        </is>
      </c>
      <c r="C5926" t="inlineStr">
        <is>
          <t>Trans Certification and Inspection Sdn Bhd, Kuantan, MY</t>
        </is>
      </c>
      <c r="D5926" t="inlineStr">
        <is>
          <t>01.04.2027</t>
        </is>
      </c>
      <c r="E5926" t="inlineStr">
        <is>
          <t>China</t>
        </is>
      </c>
    </row>
    <row r="5927">
      <c r="A5927" t="inlineStr">
        <is>
          <t>Youkuang Biotechnology (Hebei) Co., Ltd.,  Shijiazhuang, China</t>
        </is>
      </c>
      <c r="B5927" t="inlineStr">
        <is>
          <t>Collecting Point, Trader with Storage</t>
        </is>
      </c>
      <c r="C5927" t="inlineStr">
        <is>
          <t>RINA Services S.p.A., Genova, IT</t>
        </is>
      </c>
      <c r="D5927" t="inlineStr">
        <is>
          <t>31.03.2027</t>
        </is>
      </c>
      <c r="E5927" t="inlineStr">
        <is>
          <t>China</t>
        </is>
      </c>
    </row>
    <row r="5928">
      <c r="A5928" t="inlineStr">
        <is>
          <t>Enbridge (U.S.) Inc,  Rowlett, Texas, United States</t>
        </is>
      </c>
      <c r="B5928" t="inlineStr">
        <is>
          <t>Collecting Point, Processing Unit</t>
        </is>
      </c>
      <c r="C5928" t="inlineStr">
        <is>
          <t>SCS Global Services, Emeryville, CA, US</t>
        </is>
      </c>
      <c r="D5928" t="inlineStr">
        <is>
          <t>31.03.2027</t>
        </is>
      </c>
      <c r="E5928" t="inlineStr">
        <is>
          <t>United States</t>
        </is>
      </c>
    </row>
    <row r="5929">
      <c r="A5929" t="inlineStr">
        <is>
          <t>Enbridge (U.S.) Inc,  Rowlett, Texas, United States</t>
        </is>
      </c>
      <c r="B5929" t="inlineStr">
        <is>
          <t>Collecting Point, Processing Unit</t>
        </is>
      </c>
      <c r="C5929" t="inlineStr">
        <is>
          <t>SCS Global Services, Emeryville, CA, US</t>
        </is>
      </c>
      <c r="D5929" t="inlineStr">
        <is>
          <t>31.03.2027</t>
        </is>
      </c>
      <c r="E5929" t="inlineStr">
        <is>
          <t>United States</t>
        </is>
      </c>
    </row>
    <row r="5930">
      <c r="A5930" t="inlineStr">
        <is>
          <t>Bioetanol Galicia S.A.,  Teixeiro (A Coruña), Spain</t>
        </is>
      </c>
      <c r="B5930" t="inlineStr">
        <is>
          <t>Processing Unit, Trader with Storage, Warehouse</t>
        </is>
      </c>
      <c r="C5930" t="inlineStr">
        <is>
          <t>Control Union Poland Sp. z o.o., Zielona Gora, PL</t>
        </is>
      </c>
      <c r="D5930" t="inlineStr">
        <is>
          <t>31.03.2027</t>
        </is>
      </c>
      <c r="E5930" t="inlineStr">
        <is>
          <t>Spain</t>
        </is>
      </c>
    </row>
    <row r="5931">
      <c r="A5931" t="inlineStr">
        <is>
          <t>Genting Oil Mill Sdn. Bhd - Genting Ayer Item Oil Mill,  Ayer Hitam, Malaysia</t>
        </is>
      </c>
      <c r="B5931" t="inlineStr">
        <is>
          <t>First Gathering Point, Processing Unit</t>
        </is>
      </c>
      <c r="C5931" t="inlineStr">
        <is>
          <t>Global Gateway Certifications Sdn Bhd, Ampang, MY</t>
        </is>
      </c>
      <c r="D5931" t="inlineStr">
        <is>
          <t>31.03.2027</t>
        </is>
      </c>
      <c r="E5931" t="inlineStr">
        <is>
          <t>Malaysia</t>
        </is>
      </c>
    </row>
    <row r="5932">
      <c r="A5932" t="inlineStr">
        <is>
          <t>Bioénergie du Sud-Ouest,  Arance, France</t>
        </is>
      </c>
      <c r="B5932" t="inlineStr">
        <is>
          <t>Collecting Point, Point of Origin, Trader with Storage, Processing Unit</t>
        </is>
      </c>
      <c r="C5932" t="inlineStr">
        <is>
          <t>Control Union Poland Sp. z o.o., Zielona Gora, PL</t>
        </is>
      </c>
      <c r="D5932" t="inlineStr">
        <is>
          <t>31.03.2027</t>
        </is>
      </c>
      <c r="E5932" t="inlineStr">
        <is>
          <t>France</t>
        </is>
      </c>
    </row>
    <row r="5933">
      <c r="A5933" t="inlineStr">
        <is>
          <t>Bioetanol Galicia S.A.,  Teixeiro (A Coruña), Spain</t>
        </is>
      </c>
      <c r="B5933" t="inlineStr">
        <is>
          <t>Collecting Point, Point of Origin, Processing Unit, Trader with Storage, Warehouse</t>
        </is>
      </c>
      <c r="C5933" t="inlineStr">
        <is>
          <t>Control Union Poland Sp. z o.o., Zielona Gora, PL</t>
        </is>
      </c>
      <c r="D5933" t="inlineStr">
        <is>
          <t>31.03.2027</t>
        </is>
      </c>
      <c r="E5933" t="inlineStr">
        <is>
          <t>Spain</t>
        </is>
      </c>
    </row>
    <row r="5934">
      <c r="A5934" t="inlineStr">
        <is>
          <t>Ecocarburantes Españoles, S.A.,  Valle de Escombreras, Cartagena, Murcia, Spain</t>
        </is>
      </c>
      <c r="B5934" t="inlineStr">
        <is>
          <t>Processing Unit, Collecting Point, Trader with Storage, Warehouse</t>
        </is>
      </c>
      <c r="C5934" t="inlineStr">
        <is>
          <t>Control Union Poland Sp. z o.o., Zielona Gora, PL</t>
        </is>
      </c>
      <c r="D5934" t="inlineStr">
        <is>
          <t>31.03.2027</t>
        </is>
      </c>
      <c r="E5934" t="inlineStr">
        <is>
          <t>Spain</t>
        </is>
      </c>
    </row>
    <row r="5935">
      <c r="A5935" t="inlineStr">
        <is>
          <t>Biocarburantes de Castilla y León,  Salamanca, Babilafuente, Spain</t>
        </is>
      </c>
      <c r="B5935" t="inlineStr">
        <is>
          <t>Processing Unit, Trader with Storage</t>
        </is>
      </c>
      <c r="C5935" t="inlineStr">
        <is>
          <t>Control Union Poland Sp. z o.o., Zielona Gora, PL</t>
        </is>
      </c>
      <c r="D5935" t="inlineStr">
        <is>
          <t>31.03.2027</t>
        </is>
      </c>
      <c r="E5935" t="inlineStr">
        <is>
          <t>Spain</t>
        </is>
      </c>
    </row>
    <row r="5936">
      <c r="A5936" t="inlineStr">
        <is>
          <t>Biocarburantes de Castilla y León,  Salamanca, Babilafuente, Spain</t>
        </is>
      </c>
      <c r="B5936" t="inlineStr">
        <is>
          <t>Collecting Point, Warehouse, Point of Origin, Processing Unit, Trader with Storage</t>
        </is>
      </c>
      <c r="C5936" t="inlineStr">
        <is>
          <t>Control Union Poland Sp. z o.o., Zielona Gora, PL</t>
        </is>
      </c>
      <c r="D5936" t="inlineStr">
        <is>
          <t>31.03.2027</t>
        </is>
      </c>
      <c r="E5936" t="inlineStr">
        <is>
          <t>Spain</t>
        </is>
      </c>
    </row>
    <row r="5937">
      <c r="A5937" t="inlineStr">
        <is>
          <t>Ecocarburantes Españoles, S.A.,  Valle de Escombreras, Cartagena, Murcia, Spain</t>
        </is>
      </c>
      <c r="B5937" t="inlineStr">
        <is>
          <t>Collecting Point, Point of Origin, Processing Unit, Trader with Storage, Warehouse</t>
        </is>
      </c>
      <c r="C5937" t="inlineStr">
        <is>
          <t>Control Union Poland Sp. z o.o., Zielona Gora, PL</t>
        </is>
      </c>
      <c r="D5937" t="inlineStr">
        <is>
          <t>31.03.2027</t>
        </is>
      </c>
      <c r="E5937" t="inlineStr">
        <is>
          <t>Spain</t>
        </is>
      </c>
    </row>
    <row r="5938">
      <c r="A5938" t="inlineStr">
        <is>
          <t>Tereos TTD, a.s.,  Dobrovice, Czech Republic</t>
        </is>
      </c>
      <c r="B5938" t="inlineStr">
        <is>
          <t>Point of Origin, Collecting Point, First Gathering Point, Processing Unit</t>
        </is>
      </c>
      <c r="C5938" t="inlineStr">
        <is>
          <t>Bureau Veritas Polska Sp. z o.o., Warsaw, PL</t>
        </is>
      </c>
      <c r="D5938" t="inlineStr">
        <is>
          <t>31.03.2027</t>
        </is>
      </c>
      <c r="E5938" t="inlineStr">
        <is>
          <t>Czech Republic</t>
        </is>
      </c>
    </row>
    <row r="5939">
      <c r="A5939" t="inlineStr">
        <is>
          <t>Vitol (China) Energy Co., Ltd,  Jing'an District, Shanghai City, China</t>
        </is>
      </c>
      <c r="B5939" t="inlineStr">
        <is>
          <t>Trader with Storage</t>
        </is>
      </c>
      <c r="C5939" t="inlineStr">
        <is>
          <t>SCS Global Services, Emeryville, CA, US</t>
        </is>
      </c>
      <c r="D5939" t="inlineStr">
        <is>
          <t>31.03.2027</t>
        </is>
      </c>
      <c r="E5939" t="inlineStr">
        <is>
          <t>China</t>
        </is>
      </c>
    </row>
    <row r="5940">
      <c r="A5940" t="inlineStr">
        <is>
          <t>Lami Packaging (Kunshan) Co., Ltd.,  Kunshan City, Suzhou City, Jiangsu Province, China</t>
        </is>
      </c>
      <c r="B5940" t="inlineStr">
        <is>
          <t>Processing Unit</t>
        </is>
      </c>
      <c r="C5940" t="inlineStr">
        <is>
          <t>China Quality Certification Centre Co., Ltd., Beijing, CN</t>
        </is>
      </c>
      <c r="D5940" t="inlineStr">
        <is>
          <t>31.03.2027</t>
        </is>
      </c>
      <c r="E5940" t="inlineStr">
        <is>
          <t>China</t>
        </is>
      </c>
    </row>
    <row r="5941">
      <c r="A5941" t="inlineStr">
        <is>
          <t>PT EcoOils Jaya Indonesia,  Dumai, Indonesia</t>
        </is>
      </c>
      <c r="B5941" t="inlineStr">
        <is>
          <t>Processing Unit, Trader with Storage</t>
        </is>
      </c>
      <c r="C5941" t="inlineStr">
        <is>
          <t>Control Union Certifications Germany GmbH, Berlin, DE</t>
        </is>
      </c>
      <c r="D5941" t="inlineStr">
        <is>
          <t>31.03.2027</t>
        </is>
      </c>
      <c r="E5941" t="inlineStr">
        <is>
          <t>Indonesia</t>
        </is>
      </c>
    </row>
    <row r="5942">
      <c r="A5942" t="inlineStr">
        <is>
          <t>SFP Zeeland B.V.,  Westdorpe, Netherlands</t>
        </is>
      </c>
      <c r="B5942" t="inlineStr">
        <is>
          <t>Collecting Point, Processing Unit</t>
        </is>
      </c>
      <c r="C5942" t="inlineStr">
        <is>
          <t>Normec QS BV, Ede, NL</t>
        </is>
      </c>
      <c r="D5942" t="inlineStr">
        <is>
          <t>31.03.2027</t>
        </is>
      </c>
      <c r="E5942" t="inlineStr">
        <is>
          <t>Netherlands</t>
        </is>
      </c>
    </row>
    <row r="5943">
      <c r="A5943" t="inlineStr">
        <is>
          <t>XIAMEN JET MOLD &amp; PLASTIC CO., LTD.,  Xiamen, Fujian, China</t>
        </is>
      </c>
      <c r="B5943" t="inlineStr">
        <is>
          <t>Processing Unit</t>
        </is>
      </c>
      <c r="C5943" t="inlineStr">
        <is>
          <t>Bureau Veritas Polska Sp. z o.o., Warsaw, PL</t>
        </is>
      </c>
      <c r="D5943" t="inlineStr">
        <is>
          <t>31.03.2027</t>
        </is>
      </c>
      <c r="E5943" t="inlineStr">
        <is>
          <t>China</t>
        </is>
      </c>
    </row>
    <row r="5944">
      <c r="A5944" t="inlineStr">
        <is>
          <t>Tank Storage Moerdijk B.V.,  Moerdijk, Netherlands</t>
        </is>
      </c>
      <c r="B5944" t="inlineStr">
        <is>
          <t>Warehouse</t>
        </is>
      </c>
      <c r="C5944" t="inlineStr">
        <is>
          <t>Normec QS BV, Ede, NL</t>
        </is>
      </c>
      <c r="D5944" t="inlineStr">
        <is>
          <t>31.03.2027</t>
        </is>
      </c>
      <c r="E5944" t="inlineStr">
        <is>
          <t>Netherlands</t>
        </is>
      </c>
    </row>
    <row r="5945">
      <c r="A5945" t="inlineStr">
        <is>
          <t>Thermo Fisher Scientific,  Apodaca, Mexico</t>
        </is>
      </c>
      <c r="B5945" t="inlineStr">
        <is>
          <t>Processing Unit</t>
        </is>
      </c>
      <c r="C5945" t="inlineStr">
        <is>
          <t>SCS Global Services, Emeryville, CA, US</t>
        </is>
      </c>
      <c r="D5945" t="inlineStr">
        <is>
          <t>31.03.2027</t>
        </is>
      </c>
      <c r="E5945" t="inlineStr">
        <is>
          <t>Mexico</t>
        </is>
      </c>
    </row>
    <row r="5946">
      <c r="A5946" t="inlineStr">
        <is>
          <t>Archer Daniels Midland Company,  Decatur, United States</t>
        </is>
      </c>
      <c r="B5946" t="inlineStr">
        <is>
          <t>Point of Origin, Processing Unit</t>
        </is>
      </c>
      <c r="C5946" t="inlineStr">
        <is>
          <t>ASG Cert GmbH, Munich, DE</t>
        </is>
      </c>
      <c r="D5946" t="inlineStr">
        <is>
          <t>31.03.2027</t>
        </is>
      </c>
      <c r="E5946" t="inlineStr">
        <is>
          <t>United States</t>
        </is>
      </c>
    </row>
    <row r="5947">
      <c r="A5947" t="inlineStr">
        <is>
          <t>Atlantis Bitumen and Energy,  Thessaloniki, Greece</t>
        </is>
      </c>
      <c r="B5947" t="inlineStr">
        <is>
          <t>Trader</t>
        </is>
      </c>
      <c r="C5947" t="inlineStr">
        <is>
          <t>QMSCERT S.A., Pylaia, Thessaloniki, GR</t>
        </is>
      </c>
      <c r="D5947" t="inlineStr">
        <is>
          <t>31.03.2027</t>
        </is>
      </c>
      <c r="E5947" t="inlineStr">
        <is>
          <t>Greece</t>
        </is>
      </c>
    </row>
    <row r="5948">
      <c r="A5948" t="inlineStr">
        <is>
          <t>HOKR, spol. s r.o.,  Pardubice, Czech Republic</t>
        </is>
      </c>
      <c r="B5948" t="inlineStr">
        <is>
          <t>First Gathering Point, Trader with Storage</t>
        </is>
      </c>
      <c r="C5948" t="inlineStr">
        <is>
          <t>Bureau Veritas Polska Sp. z o.o., Warsaw, PL</t>
        </is>
      </c>
      <c r="D5948" t="inlineStr">
        <is>
          <t>31.03.2027</t>
        </is>
      </c>
      <c r="E5948" t="inlineStr">
        <is>
          <t>Czech Republic</t>
        </is>
      </c>
    </row>
    <row r="5949">
      <c r="A5949" t="inlineStr">
        <is>
          <t>SPC Biodiesel Sdn Bhd,  Lahad Datu, Malaysia</t>
        </is>
      </c>
      <c r="B5949" t="inlineStr">
        <is>
          <t>Processing Unit, Trader with Storage, Warehouse</t>
        </is>
      </c>
      <c r="C5949" t="inlineStr">
        <is>
          <t>Global Gateway Certifications Sdn Bhd, Ampang, MY</t>
        </is>
      </c>
      <c r="D5949" t="inlineStr">
        <is>
          <t>31.03.2027</t>
        </is>
      </c>
      <c r="E5949" t="inlineStr">
        <is>
          <t>Malaysia</t>
        </is>
      </c>
    </row>
    <row r="5950">
      <c r="A5950" t="inlineStr">
        <is>
          <t>Genting Biorefinery Sdn Bhd,  Lahad Datu, Malaysia</t>
        </is>
      </c>
      <c r="B5950" t="inlineStr">
        <is>
          <t>Processing Unit, Trader with Storage, Warehouse</t>
        </is>
      </c>
      <c r="C5950" t="inlineStr">
        <is>
          <t>Global Gateway Certifications Sdn Bhd, Ampang, MY</t>
        </is>
      </c>
      <c r="D5950" t="inlineStr">
        <is>
          <t>31.03.2027</t>
        </is>
      </c>
      <c r="E5950" t="inlineStr">
        <is>
          <t>Malaysia</t>
        </is>
      </c>
    </row>
    <row r="5951">
      <c r="A5951" t="inlineStr">
        <is>
          <t>Genting MusimMas Refinery Sdn Bhd,  Lahad Datu, Malaysia</t>
        </is>
      </c>
      <c r="B5951" t="inlineStr">
        <is>
          <t>Point of Origin, Processing Unit, Trader, Warehouse</t>
        </is>
      </c>
      <c r="C5951" t="inlineStr">
        <is>
          <t>Global Gateway Certifications Sdn Bhd, Ampang, MY</t>
        </is>
      </c>
      <c r="D5951" t="inlineStr">
        <is>
          <t>31.03.2027</t>
        </is>
      </c>
      <c r="E5951" t="inlineStr">
        <is>
          <t>Malaysia</t>
        </is>
      </c>
    </row>
    <row r="5952">
      <c r="A5952" t="inlineStr">
        <is>
          <t>Enbridge (U.S.) Inc,  Melissa, Texas, United States</t>
        </is>
      </c>
      <c r="B5952" t="inlineStr">
        <is>
          <t>Collecting Point, Processing Unit</t>
        </is>
      </c>
      <c r="C5952" t="inlineStr">
        <is>
          <t>SCS Global Services, Emeryville, CA, US</t>
        </is>
      </c>
      <c r="D5952" t="inlineStr">
        <is>
          <t>31.03.2027</t>
        </is>
      </c>
      <c r="E5952" t="inlineStr">
        <is>
          <t>United States</t>
        </is>
      </c>
    </row>
    <row r="5953">
      <c r="A5953" t="inlineStr">
        <is>
          <t>Enbridge (U.S.) Inc,  Melissa, Texas, United States</t>
        </is>
      </c>
      <c r="B5953" t="inlineStr">
        <is>
          <t>Collecting Point, Processing Unit</t>
        </is>
      </c>
      <c r="C5953" t="inlineStr">
        <is>
          <t>SCS Global Services, Emeryville, CA, US</t>
        </is>
      </c>
      <c r="D5953" t="inlineStr">
        <is>
          <t>31.03.2027</t>
        </is>
      </c>
      <c r="E5953" t="inlineStr">
        <is>
          <t>United States</t>
        </is>
      </c>
    </row>
    <row r="5954">
      <c r="A5954" t="inlineStr">
        <is>
          <t>Grain Plus Kft.,  Tataháza, Hungary</t>
        </is>
      </c>
      <c r="B5954" t="inlineStr">
        <is>
          <t>First Gathering Point, Trader with Storage</t>
        </is>
      </c>
      <c r="C5954" t="inlineStr">
        <is>
          <t>BM Certification, Riga, LV</t>
        </is>
      </c>
      <c r="D5954" t="inlineStr">
        <is>
          <t>31.03.2027</t>
        </is>
      </c>
      <c r="E5954" t="inlineStr">
        <is>
          <t>Hungary</t>
        </is>
      </c>
    </row>
    <row r="5955">
      <c r="A5955" t="inlineStr">
        <is>
          <t>Seong Jin Suji,  Hyangnam-eup, Hwaseong-si, Korea, Republic of</t>
        </is>
      </c>
      <c r="B5955" t="inlineStr">
        <is>
          <t>Collecting Point, Processing Unit</t>
        </is>
      </c>
      <c r="C5955" t="inlineStr">
        <is>
          <t>Control Union Certifications Germany GmbH, Berlin, DE</t>
        </is>
      </c>
      <c r="D5955" t="inlineStr">
        <is>
          <t>31.03.2027</t>
        </is>
      </c>
      <c r="E5955" t="inlineStr">
        <is>
          <t>Republic of</t>
        </is>
      </c>
    </row>
    <row r="5956">
      <c r="A5956" t="inlineStr">
        <is>
          <t>Den Hartog bv,  Groot-Ammers, Netherlands</t>
        </is>
      </c>
      <c r="B5956" t="inlineStr">
        <is>
          <t>Trader with Storage</t>
        </is>
      </c>
      <c r="C5956" t="inlineStr">
        <is>
          <t>SGS Germany GmbH, Emstek, DE</t>
        </is>
      </c>
      <c r="D5956" t="inlineStr">
        <is>
          <t>31.03.2027</t>
        </is>
      </c>
      <c r="E5956" t="inlineStr">
        <is>
          <t>Netherlands</t>
        </is>
      </c>
    </row>
    <row r="5957">
      <c r="A5957" t="inlineStr">
        <is>
          <t>HBT BATI GERI DONUSUM SANAYI VE TICARET ANONIM SIRKETI,  IZMIR, Turkey</t>
        </is>
      </c>
      <c r="B5957" t="inlineStr">
        <is>
          <t>Collecting Point</t>
        </is>
      </c>
      <c r="C5957" t="inlineStr">
        <is>
          <t>Trans Certification and Inspection Sdn Bhd, Kuantan, MY</t>
        </is>
      </c>
      <c r="D5957" t="inlineStr">
        <is>
          <t>31.03.2027</t>
        </is>
      </c>
      <c r="E5957" t="inlineStr">
        <is>
          <t>Turkey</t>
        </is>
      </c>
    </row>
    <row r="5958">
      <c r="A5958" t="inlineStr">
        <is>
          <t>J G Pears Commodities Ltd.,  Newark, United Kingdom</t>
        </is>
      </c>
      <c r="B5958" t="inlineStr">
        <is>
          <t>Trader with Storage</t>
        </is>
      </c>
      <c r="C5958" t="inlineStr">
        <is>
          <t>SGS Germany GmbH, Emstek, DE</t>
        </is>
      </c>
      <c r="D5958" t="inlineStr">
        <is>
          <t>31.03.2027</t>
        </is>
      </c>
      <c r="E5958" t="inlineStr">
        <is>
          <t>United Kingdom</t>
        </is>
      </c>
    </row>
    <row r="5959">
      <c r="A5959" t="inlineStr">
        <is>
          <t>J G Pears Commodities Ltd.,  Newark, United Kingdom</t>
        </is>
      </c>
      <c r="B5959" t="inlineStr">
        <is>
          <t>Trader with Storage</t>
        </is>
      </c>
      <c r="C5959" t="inlineStr">
        <is>
          <t>SGS Germany GmbH, Emstek, DE</t>
        </is>
      </c>
      <c r="D5959" t="inlineStr">
        <is>
          <t>31.03.2027</t>
        </is>
      </c>
      <c r="E5959" t="inlineStr">
        <is>
          <t>United Kingdom</t>
        </is>
      </c>
    </row>
    <row r="5960">
      <c r="A5960" t="inlineStr">
        <is>
          <t>Ronly Ltd,  London, United Kingdom</t>
        </is>
      </c>
      <c r="B5960" t="inlineStr">
        <is>
          <t>Collecting Point, Trader with Storage</t>
        </is>
      </c>
      <c r="C5960" t="inlineStr">
        <is>
          <t>BM Certification, Riga, LV</t>
        </is>
      </c>
      <c r="D5960" t="inlineStr">
        <is>
          <t>31.03.2027</t>
        </is>
      </c>
      <c r="E5960" t="inlineStr">
        <is>
          <t>United Kingdom</t>
        </is>
      </c>
    </row>
    <row r="5961">
      <c r="A5961" t="inlineStr">
        <is>
          <t>Choeimay Miss Nantha,  Sparti, Greece</t>
        </is>
      </c>
      <c r="B5961" t="inlineStr">
        <is>
          <t>Collecting Point</t>
        </is>
      </c>
      <c r="C5961" t="inlineStr">
        <is>
          <t>Eurocert SA, Metamorfosi, Athens, GR</t>
        </is>
      </c>
      <c r="D5961" t="inlineStr">
        <is>
          <t>31.03.2027</t>
        </is>
      </c>
      <c r="E5961" t="inlineStr">
        <is>
          <t>Greece</t>
        </is>
      </c>
    </row>
    <row r="5962">
      <c r="A5962" t="inlineStr">
        <is>
          <t>PT. Inti Indosawit Subur,  Kuantan Singingi Regency, Riau, Indonesia</t>
        </is>
      </c>
      <c r="B5962" t="inlineStr">
        <is>
          <t>Point of Origin</t>
        </is>
      </c>
      <c r="C5962" t="inlineStr">
        <is>
          <t>SGS Germany GmbH, Emstek, DE</t>
        </is>
      </c>
      <c r="D5962" t="inlineStr">
        <is>
          <t>31.03.2027</t>
        </is>
      </c>
      <c r="E5962" t="inlineStr">
        <is>
          <t>Indonesia</t>
        </is>
      </c>
    </row>
    <row r="5963">
      <c r="A5963" t="inlineStr">
        <is>
          <t>Sheedom Co., Ltd.,  Kamigori-cho, Ako-gun, Hyogo, Japan</t>
        </is>
      </c>
      <c r="B5963" t="inlineStr">
        <is>
          <t>Processing Unit</t>
        </is>
      </c>
      <c r="C5963" t="inlineStr">
        <is>
          <t>SGS Germany GmbH, Emstek, DE</t>
        </is>
      </c>
      <c r="D5963" t="inlineStr">
        <is>
          <t>31.03.2027</t>
        </is>
      </c>
      <c r="E5963" t="inlineStr">
        <is>
          <t>Japan</t>
        </is>
      </c>
    </row>
    <row r="5964">
      <c r="A5964" t="inlineStr">
        <is>
          <t>miraesian-eco,Ltd,  Paju-si, South Korea</t>
        </is>
      </c>
      <c r="B5964" t="inlineStr">
        <is>
          <t>Collecting Point, Processing Unit</t>
        </is>
      </c>
      <c r="C5964" t="inlineStr">
        <is>
          <t>Control Union Certifications Germany GmbH, Berlin, DE</t>
        </is>
      </c>
      <c r="D5964" t="inlineStr">
        <is>
          <t>31.03.2027</t>
        </is>
      </c>
      <c r="E5964" t="inlineStr">
        <is>
          <t>South Korea</t>
        </is>
      </c>
    </row>
    <row r="5965">
      <c r="A5965" t="inlineStr">
        <is>
          <t>GEOMICO UCO PH INC.,  CITY OF CALAMBA, LAGUNA, REGION IV-A (CALABARZON), Philippines</t>
        </is>
      </c>
      <c r="B5965" t="inlineStr">
        <is>
          <t>Collecting Point, Trader with Storage</t>
        </is>
      </c>
      <c r="C5965" t="inlineStr">
        <is>
          <t>China Standard Conformity Assessment Co. Ltd, Beijing, CN</t>
        </is>
      </c>
      <c r="D5965" t="inlineStr">
        <is>
          <t>31.03.2027</t>
        </is>
      </c>
      <c r="E5965" t="inlineStr">
        <is>
          <t>Philippines</t>
        </is>
      </c>
    </row>
    <row r="5966">
      <c r="A5966" t="inlineStr">
        <is>
          <t>CAPITOL RESOURCES INTERNATIONAL LIMITED,  HONG KONG, Hong Kong, SAR, China</t>
        </is>
      </c>
      <c r="B5966" t="inlineStr">
        <is>
          <t>Trader</t>
        </is>
      </c>
      <c r="C5966" t="inlineStr">
        <is>
          <t>SCS Global Services, Emeryville, CA, US</t>
        </is>
      </c>
      <c r="D5966" t="inlineStr">
        <is>
          <t>31.03.2027</t>
        </is>
      </c>
      <c r="E5966" t="inlineStr">
        <is>
          <t>China</t>
        </is>
      </c>
    </row>
    <row r="5967">
      <c r="A5967" t="inlineStr">
        <is>
          <t>CAPITOL RESOURCES INTERNATIONAL LIMITED,  HONG KONG, Hong Kong, SAR, China</t>
        </is>
      </c>
      <c r="B5967" t="inlineStr">
        <is>
          <t>Trader</t>
        </is>
      </c>
      <c r="C5967" t="inlineStr">
        <is>
          <t>SCS Global Services, Emeryville, CA, US</t>
        </is>
      </c>
      <c r="D5967" t="inlineStr">
        <is>
          <t>31.03.2027</t>
        </is>
      </c>
      <c r="E5967" t="inlineStr">
        <is>
          <t>China</t>
        </is>
      </c>
    </row>
    <row r="5968">
      <c r="A5968" t="inlineStr">
        <is>
          <t>ADM Grain River System, Inc,  Decatur, United States</t>
        </is>
      </c>
      <c r="B5968" t="inlineStr">
        <is>
          <t>First Gathering Point, Trader with Storage</t>
        </is>
      </c>
      <c r="C5968" t="inlineStr">
        <is>
          <t>ASG Cert GmbH, Munich, DE</t>
        </is>
      </c>
      <c r="D5968" t="inlineStr">
        <is>
          <t>31.03.2027</t>
        </is>
      </c>
      <c r="E5968" t="inlineStr">
        <is>
          <t>United States</t>
        </is>
      </c>
    </row>
    <row r="5969">
      <c r="A5969" t="inlineStr">
        <is>
          <t>ADM Grain River System, Inc,  Decatur, United States</t>
        </is>
      </c>
      <c r="B5969" t="inlineStr">
        <is>
          <t>First Gathering Point, Trader with Storage</t>
        </is>
      </c>
      <c r="C5969" t="inlineStr">
        <is>
          <t>ASG Cert GmbH, Munich, DE</t>
        </is>
      </c>
      <c r="D5969" t="inlineStr">
        <is>
          <t>31.03.2027</t>
        </is>
      </c>
      <c r="E5969" t="inlineStr">
        <is>
          <t>United States</t>
        </is>
      </c>
    </row>
    <row r="5970">
      <c r="A5970" t="inlineStr">
        <is>
          <t>ARBOR,  LAINO BORGO, Italy</t>
        </is>
      </c>
      <c r="B5970" t="inlineStr">
        <is>
          <t>Collecting Point, First Gathering Point, Processing Unit</t>
        </is>
      </c>
      <c r="C5970" t="inlineStr">
        <is>
          <t>RINA Services S.p.A., Genova, IT</t>
        </is>
      </c>
      <c r="D5970" t="inlineStr">
        <is>
          <t>31.03.2027</t>
        </is>
      </c>
      <c r="E5970" t="inlineStr">
        <is>
          <t>Italy</t>
        </is>
      </c>
    </row>
    <row r="5971">
      <c r="A5971" t="inlineStr">
        <is>
          <t>Kuwait Petroleum Aviation Switzerland,  Zurich, Switzerland</t>
        </is>
      </c>
      <c r="B5971" t="inlineStr">
        <is>
          <t>Trader with Storage, Proof of Compliance Trader</t>
        </is>
      </c>
      <c r="C5971" t="inlineStr">
        <is>
          <t>Double Helix Tracking Technologies Pte Ltd, Singapore, SG</t>
        </is>
      </c>
      <c r="D5971" t="inlineStr">
        <is>
          <t>31.03.2027</t>
        </is>
      </c>
      <c r="E5971" t="inlineStr">
        <is>
          <t>Switzerland</t>
        </is>
      </c>
    </row>
    <row r="5972">
      <c r="A5972" t="inlineStr">
        <is>
          <t>GALASERVICE RECYCLING S.R.L.,  ARCO, Italy</t>
        </is>
      </c>
      <c r="B5972" t="inlineStr">
        <is>
          <t>Collecting Point, Processing Unit</t>
        </is>
      </c>
      <c r="C5972" t="inlineStr">
        <is>
          <t>RINA Services S.p.A., Genova, IT</t>
        </is>
      </c>
      <c r="D5972" t="inlineStr">
        <is>
          <t>31.03.2027</t>
        </is>
      </c>
      <c r="E5972" t="inlineStr">
        <is>
          <t>Italy</t>
        </is>
      </c>
    </row>
    <row r="5973">
      <c r="A5973" t="inlineStr">
        <is>
          <t>Berkel AHK Alkoholhandel GmbH &amp; Co. KG,  Ludwigshafen, Germany</t>
        </is>
      </c>
      <c r="B5973" t="inlineStr">
        <is>
          <t>Collecting Point, Processing Unit, Trader with Storage</t>
        </is>
      </c>
      <c r="C5973" t="inlineStr">
        <is>
          <t>SGS Germany GmbH, Emstek, DE</t>
        </is>
      </c>
      <c r="D5973" t="inlineStr">
        <is>
          <t>31.03.2027</t>
        </is>
      </c>
      <c r="E5973" t="inlineStr">
        <is>
          <t>Germany</t>
        </is>
      </c>
    </row>
    <row r="5974">
      <c r="A5974" t="inlineStr">
        <is>
          <t>ALBA COMMERCIO SRL,  ZUGLIANO, Italy</t>
        </is>
      </c>
      <c r="B5974" t="inlineStr">
        <is>
          <t>Collecting Point, Processing Unit</t>
        </is>
      </c>
      <c r="C5974" t="inlineStr">
        <is>
          <t>RINA Services S.p.A., Genova, IT</t>
        </is>
      </c>
      <c r="D5974" t="inlineStr">
        <is>
          <t>31.03.2027</t>
        </is>
      </c>
      <c r="E5974" t="inlineStr">
        <is>
          <t>Italy</t>
        </is>
      </c>
    </row>
    <row r="5975">
      <c r="A5975" t="inlineStr">
        <is>
          <t>Berkel AHK Alkoholhandel GmbH &amp; Co. KG,  Ludwigshafen, Germany</t>
        </is>
      </c>
      <c r="B5975" t="inlineStr">
        <is>
          <t>Collecting Point, Processing Unit, Trader with Storage</t>
        </is>
      </c>
      <c r="C5975" t="inlineStr">
        <is>
          <t>SGS Germany GmbH, Emstek, DE</t>
        </is>
      </c>
      <c r="D5975" t="inlineStr">
        <is>
          <t>31.03.2027</t>
        </is>
      </c>
      <c r="E5975" t="inlineStr">
        <is>
          <t>Germany</t>
        </is>
      </c>
    </row>
    <row r="5976">
      <c r="A5976" t="inlineStr">
        <is>
          <t>Energie des Mascareignes Limitée,  Riche Terre, Mauritius</t>
        </is>
      </c>
      <c r="B5976" t="inlineStr">
        <is>
          <t>Collecting Point, Processing Unit</t>
        </is>
      </c>
      <c r="C5976" t="inlineStr">
        <is>
          <t>Double Helix Tracking Technologies Pte Ltd, Singapore, SG</t>
        </is>
      </c>
      <c r="D5976" t="inlineStr">
        <is>
          <t>31.03.2027</t>
        </is>
      </c>
      <c r="E5976" t="inlineStr">
        <is>
          <t>Mauritius</t>
        </is>
      </c>
    </row>
    <row r="5977">
      <c r="A5977" t="inlineStr">
        <is>
          <t>TM TRUCIOLO SRL,  COLOGNOLA AI COLLI, Italy</t>
        </is>
      </c>
      <c r="B5977" t="inlineStr">
        <is>
          <t>Collecting Point, Processing Unit</t>
        </is>
      </c>
      <c r="C5977" t="inlineStr">
        <is>
          <t>RINA Services S.p.A., Genova, IT</t>
        </is>
      </c>
      <c r="D5977" t="inlineStr">
        <is>
          <t>31.03.2027</t>
        </is>
      </c>
      <c r="E5977" t="inlineStr">
        <is>
          <t>Italy</t>
        </is>
      </c>
    </row>
    <row r="5978">
      <c r="A5978" t="inlineStr">
        <is>
          <t>Energie des Mascareignes Limitée,  Riche Terre, Mauritius</t>
        </is>
      </c>
      <c r="B5978" t="inlineStr">
        <is>
          <t>Collecting Point, Processing Unit</t>
        </is>
      </c>
      <c r="C5978" t="inlineStr">
        <is>
          <t>Double Helix Tracking Technologies Pte Ltd, Singapore, SG</t>
        </is>
      </c>
      <c r="D5978" t="inlineStr">
        <is>
          <t>31.03.2027</t>
        </is>
      </c>
      <c r="E5978" t="inlineStr">
        <is>
          <t>Mauritius</t>
        </is>
      </c>
    </row>
    <row r="5979">
      <c r="A5979" t="inlineStr">
        <is>
          <t>Matzonox Proprietary Limited,  Rustenburg , Johannesburg, South Africa</t>
        </is>
      </c>
      <c r="B5979" t="inlineStr">
        <is>
          <t>Collecting Point, Processing Unit</t>
        </is>
      </c>
      <c r="C5979" t="inlineStr">
        <is>
          <t>Double Helix Tracking Technologies Pte Ltd, Singapore, SG</t>
        </is>
      </c>
      <c r="D5979" t="inlineStr">
        <is>
          <t>31.03.2027</t>
        </is>
      </c>
      <c r="E5979" t="inlineStr">
        <is>
          <t>South Africa</t>
        </is>
      </c>
    </row>
    <row r="5980">
      <c r="A5980" t="inlineStr">
        <is>
          <t>Matzonox Proprietary Limited,  Rustenburg , Johannesburg, South Africa</t>
        </is>
      </c>
      <c r="B5980" t="inlineStr">
        <is>
          <t>Collecting Point, Processing Unit</t>
        </is>
      </c>
      <c r="C5980" t="inlineStr">
        <is>
          <t>Double Helix Tracking Technologies Pte Ltd, Singapore, SG</t>
        </is>
      </c>
      <c r="D5980" t="inlineStr">
        <is>
          <t>31.03.2027</t>
        </is>
      </c>
      <c r="E5980" t="inlineStr">
        <is>
          <t>South Africa</t>
        </is>
      </c>
    </row>
    <row r="5981">
      <c r="A5981" t="inlineStr">
        <is>
          <t>Xiamen Luxinghai Trade Co.,Ltd,  Xiamen City, Fujian Province, China</t>
        </is>
      </c>
      <c r="B5981" t="inlineStr">
        <is>
          <t>Trader</t>
        </is>
      </c>
      <c r="C5981" t="inlineStr">
        <is>
          <t>RINA Services S.p.A., Genova, IT</t>
        </is>
      </c>
      <c r="D5981" t="inlineStr">
        <is>
          <t>31.03.2027</t>
        </is>
      </c>
      <c r="E5981" t="inlineStr">
        <is>
          <t>China</t>
        </is>
      </c>
    </row>
    <row r="5982">
      <c r="A5982" t="inlineStr">
        <is>
          <t>Matzonox Proprietary Limited,  Worcester, Western Cape, South Africa</t>
        </is>
      </c>
      <c r="B5982" t="inlineStr">
        <is>
          <t>Collecting Point, Processing Unit</t>
        </is>
      </c>
      <c r="C5982" t="inlineStr">
        <is>
          <t>Double Helix Tracking Technologies Pte Ltd, Singapore, SG</t>
        </is>
      </c>
      <c r="D5982" t="inlineStr">
        <is>
          <t>31.03.2027</t>
        </is>
      </c>
      <c r="E5982" t="inlineStr">
        <is>
          <t>South Africa</t>
        </is>
      </c>
    </row>
    <row r="5983">
      <c r="A5983" t="inlineStr">
        <is>
          <t>Matzonox Proprietary Limited,  Worcester, Western Cape, South Africa</t>
        </is>
      </c>
      <c r="B5983" t="inlineStr">
        <is>
          <t>Collecting Point, Processing Unit</t>
        </is>
      </c>
      <c r="C5983" t="inlineStr">
        <is>
          <t>Double Helix Tracking Technologies Pte Ltd, Singapore, SG</t>
        </is>
      </c>
      <c r="D5983" t="inlineStr">
        <is>
          <t>31.03.2027</t>
        </is>
      </c>
      <c r="E5983" t="inlineStr">
        <is>
          <t>South Africa</t>
        </is>
      </c>
    </row>
    <row r="5984">
      <c r="A5984" t="inlineStr">
        <is>
          <t>Dass Nordeste Calçados e Artigos Esportivos SA,  VITÓRIA DA CONQUISTA, Brazil</t>
        </is>
      </c>
      <c r="B5984" t="inlineStr">
        <is>
          <t>Processing Unit</t>
        </is>
      </c>
      <c r="C5984" t="inlineStr">
        <is>
          <t>QIMA, Centro, Botucatu - SP, CEP, BR</t>
        </is>
      </c>
      <c r="D5984" t="inlineStr">
        <is>
          <t>31.03.2027</t>
        </is>
      </c>
      <c r="E5984" t="inlineStr">
        <is>
          <t>Brazil</t>
        </is>
      </c>
    </row>
    <row r="5985">
      <c r="A5985" t="inlineStr">
        <is>
          <t>OMV Hungária Kft.,  Budapest, Hungary</t>
        </is>
      </c>
      <c r="B5985" t="inlineStr">
        <is>
          <t>Trader with Storage</t>
        </is>
      </c>
      <c r="C5985" t="inlineStr">
        <is>
          <t>Bureau Veritas Polska Sp. z o.o., Warsaw, PL</t>
        </is>
      </c>
      <c r="D5985" t="inlineStr">
        <is>
          <t>31.03.2027</t>
        </is>
      </c>
      <c r="E5985" t="inlineStr">
        <is>
          <t>Hungary</t>
        </is>
      </c>
    </row>
    <row r="5986">
      <c r="A5986" t="inlineStr">
        <is>
          <t>Dass Nordeste Calçados e Artigos Esportivos (SEST),  Santo Estêvão, Brazil</t>
        </is>
      </c>
      <c r="B5986" t="inlineStr">
        <is>
          <t>Processing Unit</t>
        </is>
      </c>
      <c r="C5986" t="inlineStr">
        <is>
          <t>QIMA, Centro, Botucatu - SP, CEP, BR</t>
        </is>
      </c>
      <c r="D5986" t="inlineStr">
        <is>
          <t>31.03.2027</t>
        </is>
      </c>
      <c r="E5986" t="inlineStr">
        <is>
          <t>Brazil</t>
        </is>
      </c>
    </row>
    <row r="5987">
      <c r="A5987" t="inlineStr">
        <is>
          <t>ALULINE PORTUGAL - DRENAGEM E TRATAMENTO DE ÁGUAS UNIPESSOAL LDA,  Zona Industrial Seixal II – Paio Pires, Portugal</t>
        </is>
      </c>
      <c r="B5987" t="inlineStr">
        <is>
          <t>Collecting Point</t>
        </is>
      </c>
      <c r="C5987" t="inlineStr">
        <is>
          <t>Control Union Poland Sp. z o.o., Zielona Gora, PL</t>
        </is>
      </c>
      <c r="D5987" t="inlineStr">
        <is>
          <t>31.03.2027</t>
        </is>
      </c>
      <c r="E5987" t="inlineStr">
        <is>
          <t>Portugal</t>
        </is>
      </c>
    </row>
    <row r="5988">
      <c r="A5988" t="inlineStr">
        <is>
          <t>Multisac - Embalagens Flexíveis S.A,  Vouzela, Portugal</t>
        </is>
      </c>
      <c r="B5988" t="inlineStr">
        <is>
          <t>Processing Unit</t>
        </is>
      </c>
      <c r="C5988" t="inlineStr">
        <is>
          <t>Control Union Poland Sp. z o.o., Zielona Gora, PL</t>
        </is>
      </c>
      <c r="D5988" t="inlineStr">
        <is>
          <t>31.03.2027</t>
        </is>
      </c>
      <c r="E5988" t="inlineStr">
        <is>
          <t>Portugal</t>
        </is>
      </c>
    </row>
    <row r="5989">
      <c r="A5989" t="inlineStr">
        <is>
          <t>Sunoco GmbH &amp; Co. KG,  Speyer, Germany</t>
        </is>
      </c>
      <c r="B5989" t="inlineStr">
        <is>
          <t>Warehouse</t>
        </is>
      </c>
      <c r="C5989" t="inlineStr">
        <is>
          <t>TÜV NORD CERT GmbH, Essen, DE</t>
        </is>
      </c>
      <c r="D5989" t="inlineStr">
        <is>
          <t>31.03.2027</t>
        </is>
      </c>
      <c r="E5989" t="inlineStr">
        <is>
          <t>Germany</t>
        </is>
      </c>
    </row>
    <row r="5990">
      <c r="A5990" t="inlineStr">
        <is>
          <t>Taein Industry Co., Ltd.,  Jeongeup-si, South Korea</t>
        </is>
      </c>
      <c r="B5990" t="inlineStr">
        <is>
          <t>Point of Origin, Trader with Storage</t>
        </is>
      </c>
      <c r="C5990" t="inlineStr">
        <is>
          <t>Korean Foundation for Quality, Songpa-gu, Seoul, KR</t>
        </is>
      </c>
      <c r="D5990" t="inlineStr">
        <is>
          <t>31.03.2027</t>
        </is>
      </c>
      <c r="E5990" t="inlineStr">
        <is>
          <t>South Korea</t>
        </is>
      </c>
    </row>
    <row r="5991">
      <c r="A5991" t="inlineStr">
        <is>
          <t>VALECOBOIS PROVENCE,  VITROLLES, France</t>
        </is>
      </c>
      <c r="B5991" t="inlineStr">
        <is>
          <t>Collecting Point, Trader</t>
        </is>
      </c>
      <c r="C5991" t="inlineStr">
        <is>
          <t>PT Intertek Utama Services, Jakarta, ID</t>
        </is>
      </c>
      <c r="D5991" t="inlineStr">
        <is>
          <t>31.03.2027</t>
        </is>
      </c>
      <c r="E5991" t="inlineStr">
        <is>
          <t>France</t>
        </is>
      </c>
    </row>
    <row r="5992">
      <c r="A5992" t="inlineStr">
        <is>
          <t>FAJAR PRATAMA JAYA,  Indragiri Hilir, Indonesia</t>
        </is>
      </c>
      <c r="B5992" t="inlineStr">
        <is>
          <t>Point of Origin</t>
        </is>
      </c>
      <c r="C5992" t="inlineStr">
        <is>
          <t>PT Mutuagung Lestari, Depok, ID</t>
        </is>
      </c>
      <c r="D5992" t="inlineStr">
        <is>
          <t>31.03.2027</t>
        </is>
      </c>
      <c r="E5992" t="inlineStr">
        <is>
          <t>Indonesia</t>
        </is>
      </c>
    </row>
    <row r="5993">
      <c r="A5993" t="inlineStr">
        <is>
          <t>Karatau Gifts,  Karaganda, Kazakhstan</t>
        </is>
      </c>
      <c r="B5993" t="inlineStr">
        <is>
          <t>Collecting Point, Trader with Storage</t>
        </is>
      </c>
      <c r="C5993" t="inlineStr">
        <is>
          <t>TÜV NORD CERT GmbH, Essen, DE</t>
        </is>
      </c>
      <c r="D5993" t="inlineStr">
        <is>
          <t>31.03.2027</t>
        </is>
      </c>
      <c r="E5993" t="inlineStr">
        <is>
          <t>Kazakhstan</t>
        </is>
      </c>
    </row>
    <row r="5994">
      <c r="A5994" t="inlineStr">
        <is>
          <t>Archer Daniels Midland Company,  Decatur, United States</t>
        </is>
      </c>
      <c r="B5994" t="inlineStr">
        <is>
          <t>First Gathering Point, Trader with Storage</t>
        </is>
      </c>
      <c r="C5994" t="inlineStr">
        <is>
          <t>ASG Cert GmbH, Munich, DE</t>
        </is>
      </c>
      <c r="D5994" t="inlineStr">
        <is>
          <t>31.03.2027</t>
        </is>
      </c>
      <c r="E5994" t="inlineStr">
        <is>
          <t>United States</t>
        </is>
      </c>
    </row>
    <row r="5995">
      <c r="A5995" t="inlineStr">
        <is>
          <t>Sustane Chester,  Sherwood, Nova Scotia, Canada</t>
        </is>
      </c>
      <c r="B5995" t="inlineStr">
        <is>
          <t>Collecting Point, Processing Unit</t>
        </is>
      </c>
      <c r="C5995" t="inlineStr">
        <is>
          <t>SCS Global Services, Emeryville, CA, US</t>
        </is>
      </c>
      <c r="D5995" t="inlineStr">
        <is>
          <t>31.03.2027</t>
        </is>
      </c>
      <c r="E5995" t="inlineStr">
        <is>
          <t>Canada</t>
        </is>
      </c>
    </row>
    <row r="5996">
      <c r="A5996" t="inlineStr">
        <is>
          <t>BASF Integrated Site (Guangdong) Co. Ltd,  Zhanjiang, China</t>
        </is>
      </c>
      <c r="B5996" t="inlineStr">
        <is>
          <t>Processing Unit</t>
        </is>
      </c>
      <c r="C5996" t="inlineStr">
        <is>
          <t>TÜV NORD CERT GmbH, Essen, DE</t>
        </is>
      </c>
      <c r="D5996" t="inlineStr">
        <is>
          <t>31.03.2027</t>
        </is>
      </c>
      <c r="E5996" t="inlineStr">
        <is>
          <t>China</t>
        </is>
      </c>
    </row>
    <row r="5997">
      <c r="A5997" t="inlineStr">
        <is>
          <t>MS GLOBAL INDUSTRY,  KULAI, Johor, Malaysia</t>
        </is>
      </c>
      <c r="B5997" t="inlineStr">
        <is>
          <t>Collecting Point, Trader with Storage</t>
        </is>
      </c>
      <c r="C5997" t="inlineStr">
        <is>
          <t>PT Mutuagung Lestari, Depok, ID</t>
        </is>
      </c>
      <c r="D5997" t="inlineStr">
        <is>
          <t>31.03.2027</t>
        </is>
      </c>
      <c r="E5997" t="inlineStr">
        <is>
          <t>Malaysia</t>
        </is>
      </c>
    </row>
    <row r="5998">
      <c r="A5998" t="inlineStr">
        <is>
          <t>MSN TRADING &amp; TRANSPORT,  KULAI, Johor, Malaysia</t>
        </is>
      </c>
      <c r="B5998" t="inlineStr">
        <is>
          <t>Collecting Point, Trader with Storage</t>
        </is>
      </c>
      <c r="C5998" t="inlineStr">
        <is>
          <t>PT Mutuagung Lestari, Depok, ID</t>
        </is>
      </c>
      <c r="D5998" t="inlineStr">
        <is>
          <t>31.03.2027</t>
        </is>
      </c>
      <c r="E5998" t="inlineStr">
        <is>
          <t>Malaysia</t>
        </is>
      </c>
    </row>
    <row r="5999">
      <c r="A5999" t="inlineStr">
        <is>
          <t>Obex Power srl,  Zoppola (Pn), Italy</t>
        </is>
      </c>
      <c r="B5999" t="inlineStr">
        <is>
          <t>Trader with Storage</t>
        </is>
      </c>
      <c r="C5999" t="inlineStr">
        <is>
          <t>ICIM SpA, sesto san giovanni, IT</t>
        </is>
      </c>
      <c r="D5999" t="inlineStr">
        <is>
          <t>31.03.2027</t>
        </is>
      </c>
      <c r="E5999" t="inlineStr">
        <is>
          <t>Italy</t>
        </is>
      </c>
    </row>
    <row r="6000">
      <c r="A6000" t="inlineStr">
        <is>
          <t>CADÈS PENEDÈS, S.A.,  Avinyonet del Penedès (BARCELONA), Spain</t>
        </is>
      </c>
      <c r="B6000" t="inlineStr">
        <is>
          <t>Collecting Point, Processing Unit</t>
        </is>
      </c>
      <c r="C6000" t="inlineStr">
        <is>
          <t>Bureau Veritas Polska Sp. z o.o., Warsaw, PL</t>
        </is>
      </c>
      <c r="D6000" t="inlineStr">
        <is>
          <t>31.03.2027</t>
        </is>
      </c>
      <c r="E6000" t="inlineStr">
        <is>
          <t>Spain</t>
        </is>
      </c>
    </row>
    <row r="6001">
      <c r="A6001" t="inlineStr">
        <is>
          <t>AGRI OILS RENEWABLES PTE LTD,  Singapore, Singapore</t>
        </is>
      </c>
      <c r="B6001" t="inlineStr">
        <is>
          <t>Trader</t>
        </is>
      </c>
      <c r="C6001" t="inlineStr">
        <is>
          <t>Trans Certification and Inspection Sdn Bhd, Kuantan, MY</t>
        </is>
      </c>
      <c r="D6001" t="inlineStr">
        <is>
          <t>31.03.2027</t>
        </is>
      </c>
      <c r="E6001" t="inlineStr">
        <is>
          <t>Singapore</t>
        </is>
      </c>
    </row>
    <row r="6002">
      <c r="A6002" t="inlineStr">
        <is>
          <t>GA Plastics,  City and Suburban, Johannesburg, South Africa</t>
        </is>
      </c>
      <c r="B6002" t="inlineStr">
        <is>
          <t>Processing Unit</t>
        </is>
      </c>
      <c r="C6002" t="inlineStr">
        <is>
          <t>Aardvark Certification Ltd, Wiveliscombe, Somerset, GB</t>
        </is>
      </c>
      <c r="D6002" t="inlineStr">
        <is>
          <t>31.03.2027</t>
        </is>
      </c>
      <c r="E6002" t="inlineStr">
        <is>
          <t>South Africa</t>
        </is>
      </c>
    </row>
    <row r="6003">
      <c r="A6003" t="inlineStr">
        <is>
          <t>Archer Daniels Midland Company,  Decatur, United States</t>
        </is>
      </c>
      <c r="B6003" t="inlineStr">
        <is>
          <t>First Gathering Point, Trader with Storage</t>
        </is>
      </c>
      <c r="C6003" t="inlineStr">
        <is>
          <t>ASG Cert GmbH, Munich, DE</t>
        </is>
      </c>
      <c r="D6003" t="inlineStr">
        <is>
          <t>31.03.2027</t>
        </is>
      </c>
      <c r="E6003" t="inlineStr">
        <is>
          <t>United States</t>
        </is>
      </c>
    </row>
    <row r="6004">
      <c r="A6004" t="inlineStr">
        <is>
          <t>F.G. Oils,  Leeds, United Kingdom</t>
        </is>
      </c>
      <c r="B6004" t="inlineStr">
        <is>
          <t>Collecting Point</t>
        </is>
      </c>
      <c r="C6004" t="inlineStr">
        <is>
          <t>SGS Germany GmbH, Emstek, DE</t>
        </is>
      </c>
      <c r="D6004" t="inlineStr">
        <is>
          <t>31.03.2027</t>
        </is>
      </c>
      <c r="E6004" t="inlineStr">
        <is>
          <t>United Kingdom</t>
        </is>
      </c>
    </row>
    <row r="6005">
      <c r="A6005" t="inlineStr">
        <is>
          <t>PT. Gerbang Mulia Lestari,  Kel. Jatimulya, Kec. Kosambi, Tangerang, Banten, Indonesia</t>
        </is>
      </c>
      <c r="B6005" t="inlineStr">
        <is>
          <t>Trader with Storage, Collecting Point</t>
        </is>
      </c>
      <c r="C6005" t="inlineStr">
        <is>
          <t>Trans Certification and Inspection Sdn Bhd, Kuantan, MY</t>
        </is>
      </c>
      <c r="D6005" t="inlineStr">
        <is>
          <t>31.03.2027</t>
        </is>
      </c>
      <c r="E6005" t="inlineStr">
        <is>
          <t>Indonesia</t>
        </is>
      </c>
    </row>
    <row r="6006">
      <c r="A6006" t="inlineStr">
        <is>
          <t>KH MARQUE PTE LTD,  Singapore, Singapore</t>
        </is>
      </c>
      <c r="B6006" t="inlineStr">
        <is>
          <t>Collecting Point, Trader with Storage</t>
        </is>
      </c>
      <c r="C6006" t="inlineStr">
        <is>
          <t>Trans Certification and Inspection Sdn Bhd, Kuantan, MY</t>
        </is>
      </c>
      <c r="D6006" t="inlineStr">
        <is>
          <t>31.03.2027</t>
        </is>
      </c>
      <c r="E6006" t="inlineStr">
        <is>
          <t>Singapore</t>
        </is>
      </c>
    </row>
    <row r="6007">
      <c r="A6007" t="inlineStr">
        <is>
          <t>FASA COMERCIAL EXPORTADORA,  CRUZEIRO DO SUL, Brazil</t>
        </is>
      </c>
      <c r="B6007" t="inlineStr">
        <is>
          <t>Collecting Point, Trader with Storage</t>
        </is>
      </c>
      <c r="C6007" t="inlineStr">
        <is>
          <t>Control Union Poland Sp. z o.o., Zielona Gora, PL</t>
        </is>
      </c>
      <c r="D6007" t="inlineStr">
        <is>
          <t>30.03.2027</t>
        </is>
      </c>
      <c r="E6007" t="inlineStr">
        <is>
          <t>Brazil</t>
        </is>
      </c>
    </row>
    <row r="6008">
      <c r="A6008" t="inlineStr">
        <is>
          <t>Eni Trade &amp; Biofuels SpA,  London, United Kingdom</t>
        </is>
      </c>
      <c r="B6008" t="inlineStr">
        <is>
          <t>Trader with Storage, Proof of Compliance Trader</t>
        </is>
      </c>
      <c r="C6008" t="inlineStr">
        <is>
          <t>RINA Services S.p.A., Genova, IT</t>
        </is>
      </c>
      <c r="D6008" t="inlineStr">
        <is>
          <t>30.03.2027</t>
        </is>
      </c>
      <c r="E6008" t="inlineStr">
        <is>
          <t>United Kingdom</t>
        </is>
      </c>
    </row>
    <row r="6009">
      <c r="A6009" t="inlineStr">
        <is>
          <t>NMC SA,  Eynatten, Belgium</t>
        </is>
      </c>
      <c r="B6009" t="inlineStr">
        <is>
          <t>Processing Unit</t>
        </is>
      </c>
      <c r="C6009" t="inlineStr">
        <is>
          <t>TÜV NORD CERT GmbH, Essen, DE</t>
        </is>
      </c>
      <c r="D6009" t="inlineStr">
        <is>
          <t>30.03.2027</t>
        </is>
      </c>
      <c r="E6009" t="inlineStr">
        <is>
          <t>Belgium</t>
        </is>
      </c>
    </row>
    <row r="6010">
      <c r="A6010" t="inlineStr">
        <is>
          <t>Domsjö Fabriker AB,  Örnsköldsvik, Sweden</t>
        </is>
      </c>
      <c r="B6010" t="inlineStr">
        <is>
          <t>Point of Origin, Processing Unit</t>
        </is>
      </c>
      <c r="C6010" t="inlineStr">
        <is>
          <t>Bureau Veritas Polska Sp. z o.o., Warsaw, PL</t>
        </is>
      </c>
      <c r="D6010" t="inlineStr">
        <is>
          <t>30.03.2027</t>
        </is>
      </c>
      <c r="E6010" t="inlineStr">
        <is>
          <t>Sweden</t>
        </is>
      </c>
    </row>
    <row r="6011">
      <c r="A6011" t="inlineStr">
        <is>
          <t>Heze Fuda Biotechnology Co., Ltd.,  Heze City, Shandong Province, China</t>
        </is>
      </c>
      <c r="B6011" t="inlineStr">
        <is>
          <t>Processing Unit</t>
        </is>
      </c>
      <c r="C6011" t="inlineStr">
        <is>
          <t>SCS Global Services, Emeryville, CA, US</t>
        </is>
      </c>
      <c r="D6011" t="inlineStr">
        <is>
          <t>30.03.2027</t>
        </is>
      </c>
      <c r="E6011" t="inlineStr">
        <is>
          <t>China</t>
        </is>
      </c>
    </row>
    <row r="6012">
      <c r="A6012" t="inlineStr">
        <is>
          <t>Sojitz Corporation,  Chiyoda-ku, Tokyo, Japan, Japan</t>
        </is>
      </c>
      <c r="B6012" t="inlineStr">
        <is>
          <t>Trader with Storage</t>
        </is>
      </c>
      <c r="C6012" t="inlineStr">
        <is>
          <t>SGS Germany GmbH, Emstek, DE</t>
        </is>
      </c>
      <c r="D6012" t="inlineStr">
        <is>
          <t>30.03.2027</t>
        </is>
      </c>
      <c r="E6012" t="inlineStr">
        <is>
          <t>Japan</t>
        </is>
      </c>
    </row>
    <row r="6013">
      <c r="A6013" t="inlineStr">
        <is>
          <t>All Time Plastics Ltd.,  Silvassa, India</t>
        </is>
      </c>
      <c r="B6013" t="inlineStr">
        <is>
          <t>Processing Unit</t>
        </is>
      </c>
      <c r="C6013" t="inlineStr">
        <is>
          <t>Cotecna India Inspection Pvt Ltd, Kolkata, IN</t>
        </is>
      </c>
      <c r="D6013" t="inlineStr">
        <is>
          <t>30.03.2027</t>
        </is>
      </c>
      <c r="E6013" t="inlineStr">
        <is>
          <t>India</t>
        </is>
      </c>
    </row>
    <row r="6014">
      <c r="A6014" t="inlineStr">
        <is>
          <t>Silhouette International Schmied AG,  Linz, Austria</t>
        </is>
      </c>
      <c r="B6014" t="inlineStr">
        <is>
          <t>Trader with Storage, Final Product Refinement</t>
        </is>
      </c>
      <c r="C6014" t="inlineStr">
        <is>
          <t>agroVet GmbH, Enzersfeld, AT</t>
        </is>
      </c>
      <c r="D6014" t="inlineStr">
        <is>
          <t>30.03.2027</t>
        </is>
      </c>
      <c r="E6014" t="inlineStr">
        <is>
          <t>Austria</t>
        </is>
      </c>
    </row>
    <row r="6015">
      <c r="A6015" t="inlineStr">
        <is>
          <t>Binh Son Refining and Petrochemical Joint Stock Company,  Van Tuong Commune, Quang Ngai Province, Vietnam</t>
        </is>
      </c>
      <c r="B6015" t="inlineStr">
        <is>
          <t>Trader with Storage</t>
        </is>
      </c>
      <c r="C6015" t="inlineStr">
        <is>
          <t>SGS Germany GmbH, Emstek, DE</t>
        </is>
      </c>
      <c r="D6015" t="inlineStr">
        <is>
          <t>30.03.2027</t>
        </is>
      </c>
      <c r="E6015" t="inlineStr">
        <is>
          <t>Vietnam</t>
        </is>
      </c>
    </row>
    <row r="6016">
      <c r="A6016" t="inlineStr">
        <is>
          <t>WELLE (Jinzhou) Biofuel Co., Ltd.,  Linghai City, Jinzhou City, Liaoning Province, China</t>
        </is>
      </c>
      <c r="B6016" t="inlineStr">
        <is>
          <t>Collecting Point, Trader with Storage</t>
        </is>
      </c>
      <c r="C6016" t="inlineStr">
        <is>
          <t>RINA Services S.p.A., Genova, IT</t>
        </is>
      </c>
      <c r="D6016" t="inlineStr">
        <is>
          <t>30.03.2027</t>
        </is>
      </c>
      <c r="E6016" t="inlineStr">
        <is>
          <t>China</t>
        </is>
      </c>
    </row>
    <row r="6017">
      <c r="A6017" t="inlineStr">
        <is>
          <t>Jade Biofuels Private Limited,  Kheda, Gujarat, India</t>
        </is>
      </c>
      <c r="B6017" t="inlineStr">
        <is>
          <t>Collecting Point, Point of Origin, Processing Unit</t>
        </is>
      </c>
      <c r="C6017" t="inlineStr">
        <is>
          <t>SGS Germany GmbH, Emstek, DE</t>
        </is>
      </c>
      <c r="D6017" t="inlineStr">
        <is>
          <t>30.03.2027</t>
        </is>
      </c>
      <c r="E6017" t="inlineStr">
        <is>
          <t>India</t>
        </is>
      </c>
    </row>
    <row r="6018">
      <c r="A6018" t="inlineStr">
        <is>
          <t>COCEDA,  El Prat de Llobregat, Spain</t>
        </is>
      </c>
      <c r="B6018" t="inlineStr">
        <is>
          <t>Point of Origin, Processing Unit</t>
        </is>
      </c>
      <c r="C6018" t="inlineStr">
        <is>
          <t>Bureau Veritas Polska Sp. z o.o., Warsaw, PL</t>
        </is>
      </c>
      <c r="D6018" t="inlineStr">
        <is>
          <t>30.03.2027</t>
        </is>
      </c>
      <c r="E6018" t="inlineStr">
        <is>
          <t>Spain</t>
        </is>
      </c>
    </row>
    <row r="6019">
      <c r="A6019" t="inlineStr">
        <is>
          <t>Bridgestone Logistics Co., Ltd.,  Chuo-Ku, Tokyo, Japan</t>
        </is>
      </c>
      <c r="B6019" t="inlineStr">
        <is>
          <t>Trader with Storage</t>
        </is>
      </c>
      <c r="C6019" t="inlineStr">
        <is>
          <t>SGS Germany GmbH, Emstek, DE</t>
        </is>
      </c>
      <c r="D6019" t="inlineStr">
        <is>
          <t>30.03.2027</t>
        </is>
      </c>
      <c r="E6019" t="inlineStr">
        <is>
          <t>Japan</t>
        </is>
      </c>
    </row>
    <row r="6020">
      <c r="A6020" t="inlineStr">
        <is>
          <t>New Fuel A/S,  Thisted, Denmark</t>
        </is>
      </c>
      <c r="B6020" t="inlineStr">
        <is>
          <t>Trader with Storage, Warehouse</t>
        </is>
      </c>
      <c r="C6020" t="inlineStr">
        <is>
          <t>Bureau Veritas Polska Sp. z o.o., Warsaw, PL</t>
        </is>
      </c>
      <c r="D6020" t="inlineStr">
        <is>
          <t>30.03.2027</t>
        </is>
      </c>
      <c r="E6020" t="inlineStr">
        <is>
          <t>Denmark</t>
        </is>
      </c>
    </row>
    <row r="6021">
      <c r="A6021" t="inlineStr">
        <is>
          <t>W O C Management,  Hornchurch, Essex, United Kingdom</t>
        </is>
      </c>
      <c r="B6021" t="inlineStr">
        <is>
          <t>Collecting Point</t>
        </is>
      </c>
      <c r="C6021" t="inlineStr">
        <is>
          <t>SGS Germany GmbH, Emstek, DE</t>
        </is>
      </c>
      <c r="D6021" t="inlineStr">
        <is>
          <t>30.03.2027</t>
        </is>
      </c>
      <c r="E6021" t="inlineStr">
        <is>
          <t>United Kingdom</t>
        </is>
      </c>
    </row>
    <row r="6022">
      <c r="A6022" t="inlineStr">
        <is>
          <t>Sojitz Corporation,  Chiyoda-ku, Tokyo, Japan, Japan</t>
        </is>
      </c>
      <c r="B6022" t="inlineStr">
        <is>
          <t>Collecting Point, Trader with Storage</t>
        </is>
      </c>
      <c r="C6022" t="inlineStr">
        <is>
          <t>SGS Germany GmbH, Emstek, DE</t>
        </is>
      </c>
      <c r="D6022" t="inlineStr">
        <is>
          <t>30.03.2027</t>
        </is>
      </c>
      <c r="E6022" t="inlineStr">
        <is>
          <t>Japan</t>
        </is>
      </c>
    </row>
    <row r="6023">
      <c r="A6023" t="inlineStr">
        <is>
          <t>ADECOAGRO VALE DO IVINHEMA S.A.,  ANGELICA, MATO GROSSO DO SUL, Brazil</t>
        </is>
      </c>
      <c r="B6023" t="inlineStr">
        <is>
          <t>First Gathering Point, Processing Unit</t>
        </is>
      </c>
      <c r="C6023" t="inlineStr">
        <is>
          <t>Control Union Poland Sp. z o.o., Zielona Gora, PL</t>
        </is>
      </c>
      <c r="D6023" t="inlineStr">
        <is>
          <t>30.03.2027</t>
        </is>
      </c>
      <c r="E6023" t="inlineStr">
        <is>
          <t>Brazil</t>
        </is>
      </c>
    </row>
    <row r="6024">
      <c r="A6024" t="inlineStr">
        <is>
          <t>ECO FUELS AGRO S.A.S.,  Malambo, Atlantico, Colombia</t>
        </is>
      </c>
      <c r="B6024" t="inlineStr">
        <is>
          <t>Point of Origin, Processing Unit</t>
        </is>
      </c>
      <c r="C6024" t="inlineStr">
        <is>
          <t>Amspec Iberia SL, Vilagarcia de Arousa-Pontevedra, ES</t>
        </is>
      </c>
      <c r="D6024" t="inlineStr">
        <is>
          <t>30.03.2027</t>
        </is>
      </c>
      <c r="E6024" t="inlineStr">
        <is>
          <t>Colombia</t>
        </is>
      </c>
    </row>
    <row r="6025">
      <c r="A6025" t="inlineStr">
        <is>
          <t>GREENOIL,  Putignano, Italy</t>
        </is>
      </c>
      <c r="B6025" t="inlineStr">
        <is>
          <t>Collecting Point, Processing Unit, Trader with Storage</t>
        </is>
      </c>
      <c r="C6025" t="inlineStr">
        <is>
          <t>SGS Germany GmbH, Emstek, DE</t>
        </is>
      </c>
      <c r="D6025" t="inlineStr">
        <is>
          <t>30.03.2027</t>
        </is>
      </c>
      <c r="E6025" t="inlineStr">
        <is>
          <t>Italy</t>
        </is>
      </c>
    </row>
    <row r="6026">
      <c r="A6026" t="inlineStr">
        <is>
          <t>Zhejiang Innoadir Industry &amp; Trade Co.,Ltd.,  JINHUA CITY, ZHEJIANG PROVINCE,, China</t>
        </is>
      </c>
      <c r="B6026" t="inlineStr">
        <is>
          <t>Processing Unit</t>
        </is>
      </c>
      <c r="C6026" t="inlineStr">
        <is>
          <t>RINA Services S.p.A., Genova, IT</t>
        </is>
      </c>
      <c r="D6026" t="inlineStr">
        <is>
          <t>30.03.2027</t>
        </is>
      </c>
      <c r="E6026" t="inlineStr">
        <is>
          <t>China</t>
        </is>
      </c>
    </row>
    <row r="6027">
      <c r="A6027" t="inlineStr">
        <is>
          <t>Hyundai Oilbank (Shanghai) Co.,Ltd.,  Shanghai, Pudong New district, China</t>
        </is>
      </c>
      <c r="B6027" t="inlineStr">
        <is>
          <t>Trader</t>
        </is>
      </c>
      <c r="C6027" t="inlineStr">
        <is>
          <t>RINA Services S.p.A., Genova, IT</t>
        </is>
      </c>
      <c r="D6027" t="inlineStr">
        <is>
          <t>30.03.2027</t>
        </is>
      </c>
      <c r="E6027" t="inlineStr">
        <is>
          <t>China</t>
        </is>
      </c>
    </row>
    <row r="6028">
      <c r="A6028" t="inlineStr">
        <is>
          <t>Thales DIS Singapore Pte Ltd,  Singapore, Singapore</t>
        </is>
      </c>
      <c r="B6028" t="inlineStr">
        <is>
          <t>Processing Unit</t>
        </is>
      </c>
      <c r="C6028" t="inlineStr">
        <is>
          <t>Bureau Veritas Polska Sp. z o.o., Warsaw, PL</t>
        </is>
      </c>
      <c r="D6028" t="inlineStr">
        <is>
          <t>30.03.2027</t>
        </is>
      </c>
      <c r="E6028" t="inlineStr">
        <is>
          <t>Singapore</t>
        </is>
      </c>
    </row>
    <row r="6029">
      <c r="A6029" t="inlineStr">
        <is>
          <t>TIRYAKI TAHIL VE YEM TICARET ANONIM SIRKETI,  ÜSKÜDAR/ ISTANBUL, Turkey</t>
        </is>
      </c>
      <c r="B6029" t="inlineStr">
        <is>
          <t>First Gathering Point</t>
        </is>
      </c>
      <c r="C6029" t="inlineStr">
        <is>
          <t>Trans Certification and Inspection Sdn Bhd, Kuantan, MY</t>
        </is>
      </c>
      <c r="D6029" t="inlineStr">
        <is>
          <t>30.03.2027</t>
        </is>
      </c>
      <c r="E6029" t="inlineStr">
        <is>
          <t>Turkey</t>
        </is>
      </c>
    </row>
    <row r="6030">
      <c r="A6030" t="inlineStr">
        <is>
          <t>C.S. Srl,  VILLANOVA DI CAMPOSAMPIERO, Italy</t>
        </is>
      </c>
      <c r="B6030" t="inlineStr">
        <is>
          <t>Processing Unit</t>
        </is>
      </c>
      <c r="C6030" t="inlineStr">
        <is>
          <t>CSQA Certificazioni Srl, Thiene, IT</t>
        </is>
      </c>
      <c r="D6030" t="inlineStr">
        <is>
          <t>30.03.2027</t>
        </is>
      </c>
      <c r="E6030" t="inlineStr">
        <is>
          <t>Italy</t>
        </is>
      </c>
    </row>
    <row r="6031">
      <c r="A6031" t="inlineStr">
        <is>
          <t>Johor Plantations Group (JPG) Greenergy Ventures Sdn Bhd,  Kulai, Malaysia</t>
        </is>
      </c>
      <c r="B6031" t="inlineStr">
        <is>
          <t>Collecting Point, Processing Unit</t>
        </is>
      </c>
      <c r="C6031" t="inlineStr">
        <is>
          <t>ASG Cert GmbH, Munich, DE</t>
        </is>
      </c>
      <c r="D6031" t="inlineStr">
        <is>
          <t>30.03.2027</t>
        </is>
      </c>
      <c r="E6031" t="inlineStr">
        <is>
          <t>Malaysia</t>
        </is>
      </c>
    </row>
    <row r="6032">
      <c r="A6032" t="inlineStr">
        <is>
          <t>Johor Plantations Group (JPG) Greenergy Ventures Sdn Bhd,  Kulai, Malaysia</t>
        </is>
      </c>
      <c r="B6032" t="inlineStr">
        <is>
          <t>Processing Unit</t>
        </is>
      </c>
      <c r="C6032" t="inlineStr">
        <is>
          <t>ASG Cert GmbH, Munich, DE</t>
        </is>
      </c>
      <c r="D6032" t="inlineStr">
        <is>
          <t>30.03.2027</t>
        </is>
      </c>
      <c r="E6032" t="inlineStr">
        <is>
          <t>Malaysia</t>
        </is>
      </c>
    </row>
    <row r="6033">
      <c r="A6033" t="inlineStr">
        <is>
          <t>IMCD Benelux,  Rotterdam, Netherlands</t>
        </is>
      </c>
      <c r="B6033" t="inlineStr">
        <is>
          <t>Trader with Storage</t>
        </is>
      </c>
      <c r="C6033" t="inlineStr">
        <is>
          <t>TÜV NORD CERT GmbH, Essen, DE</t>
        </is>
      </c>
      <c r="D6033" t="inlineStr">
        <is>
          <t>30.03.2027</t>
        </is>
      </c>
      <c r="E6033" t="inlineStr">
        <is>
          <t>Netherlands</t>
        </is>
      </c>
    </row>
    <row r="6034">
      <c r="A6034" t="inlineStr">
        <is>
          <t>JSC Energy,  Copenhagen V, Denmark</t>
        </is>
      </c>
      <c r="B6034" t="inlineStr">
        <is>
          <t>Trader</t>
        </is>
      </c>
      <c r="C6034" t="inlineStr">
        <is>
          <t>Baltic Control Certification, Albertslund, DK</t>
        </is>
      </c>
      <c r="D6034" t="inlineStr">
        <is>
          <t>30.03.2027</t>
        </is>
      </c>
      <c r="E6034" t="inlineStr">
        <is>
          <t>Denmark</t>
        </is>
      </c>
    </row>
    <row r="6035">
      <c r="A6035" t="inlineStr">
        <is>
          <t>JSC Energy,  Copenhagen V, Denmark</t>
        </is>
      </c>
      <c r="B6035" t="inlineStr">
        <is>
          <t>Trader</t>
        </is>
      </c>
      <c r="C6035" t="inlineStr">
        <is>
          <t>Baltic Control Certification, Albertslund, DK</t>
        </is>
      </c>
      <c r="D6035" t="inlineStr">
        <is>
          <t>30.03.2027</t>
        </is>
      </c>
      <c r="E6035" t="inlineStr">
        <is>
          <t>Denmark</t>
        </is>
      </c>
    </row>
    <row r="6036">
      <c r="A6036" t="inlineStr">
        <is>
          <t>Heyuan Lixin Optical Products Co., Ltd.,  Heyuan, Guangdong, China</t>
        </is>
      </c>
      <c r="B6036" t="inlineStr">
        <is>
          <t>Processing Unit</t>
        </is>
      </c>
      <c r="C6036" t="inlineStr">
        <is>
          <t>SCS Global Services, Emeryville, CA, US</t>
        </is>
      </c>
      <c r="D6036" t="inlineStr">
        <is>
          <t>30.03.2027</t>
        </is>
      </c>
      <c r="E6036" t="inlineStr">
        <is>
          <t>China</t>
        </is>
      </c>
    </row>
    <row r="6037">
      <c r="A6037" t="inlineStr">
        <is>
          <t>HAFESA ENERGIA,  Madrid, Spain</t>
        </is>
      </c>
      <c r="B6037" t="inlineStr">
        <is>
          <t>Trader with Storage</t>
        </is>
      </c>
      <c r="C6037" t="inlineStr">
        <is>
          <t>Amspec Iberia SL, Vilagarcia de Arousa-Pontevedra, ES</t>
        </is>
      </c>
      <c r="D6037" t="inlineStr">
        <is>
          <t>30.03.2027</t>
        </is>
      </c>
      <c r="E6037" t="inlineStr">
        <is>
          <t>Spain</t>
        </is>
      </c>
    </row>
    <row r="6038">
      <c r="A6038" t="inlineStr">
        <is>
          <t>Tarragona Poliolefinas Iberica,  Tarragona, Spain</t>
        </is>
      </c>
      <c r="B6038" t="inlineStr">
        <is>
          <t>Processing Unit</t>
        </is>
      </c>
      <c r="C6038" t="inlineStr">
        <is>
          <t>TÜV SÜD Industrie Service GmbH, München, DE</t>
        </is>
      </c>
      <c r="D6038" t="inlineStr">
        <is>
          <t>30.03.2027</t>
        </is>
      </c>
      <c r="E6038" t="inlineStr">
        <is>
          <t>Spain</t>
        </is>
      </c>
    </row>
    <row r="6039">
      <c r="A6039" t="inlineStr">
        <is>
          <t>Hebei Zhaozhi Renewable Resources Co., Ltd,  Xinji City, Hebei Province, China</t>
        </is>
      </c>
      <c r="B6039" t="inlineStr">
        <is>
          <t>Collecting Point, Trader</t>
        </is>
      </c>
      <c r="C6039" t="inlineStr">
        <is>
          <t>RINA Services S.p.A., Genova, IT</t>
        </is>
      </c>
      <c r="D6039" t="inlineStr">
        <is>
          <t>30.03.2027</t>
        </is>
      </c>
      <c r="E6039" t="inlineStr">
        <is>
          <t>China</t>
        </is>
      </c>
    </row>
    <row r="6040">
      <c r="A6040" t="inlineStr">
        <is>
          <t>FORMOSA INDUSTRIES (NINGBO) CO., LTD,  Ningbo, China</t>
        </is>
      </c>
      <c r="B6040" t="inlineStr">
        <is>
          <t>Processing Unit</t>
        </is>
      </c>
      <c r="C6040" t="inlineStr">
        <is>
          <t>SGS Germany GmbH, Emstek, DE</t>
        </is>
      </c>
      <c r="D6040" t="inlineStr">
        <is>
          <t>30.03.2027</t>
        </is>
      </c>
      <c r="E6040" t="inlineStr">
        <is>
          <t>China</t>
        </is>
      </c>
    </row>
    <row r="6041">
      <c r="A6041" t="inlineStr">
        <is>
          <t>J G Pears (Newark) Ltd.,  Newark, United Kingdom</t>
        </is>
      </c>
      <c r="B6041" t="inlineStr">
        <is>
          <t>Point of Origin</t>
        </is>
      </c>
      <c r="C6041" t="inlineStr">
        <is>
          <t>SGS Germany GmbH, Emstek, DE</t>
        </is>
      </c>
      <c r="D6041" t="inlineStr">
        <is>
          <t>30.03.2027</t>
        </is>
      </c>
      <c r="E6041" t="inlineStr">
        <is>
          <t>United Kingdom</t>
        </is>
      </c>
    </row>
    <row r="6042">
      <c r="A6042" t="inlineStr">
        <is>
          <t>Senoplast Klepsch &amp; Co. GmbH,  Piesendorf, Austria</t>
        </is>
      </c>
      <c r="B6042" t="inlineStr">
        <is>
          <t>Processing Unit, Point of Origin</t>
        </is>
      </c>
      <c r="C6042" t="inlineStr">
        <is>
          <t>SGS Germany GmbH, Emstek, DE</t>
        </is>
      </c>
      <c r="D6042" t="inlineStr">
        <is>
          <t>30.03.2027</t>
        </is>
      </c>
      <c r="E6042" t="inlineStr">
        <is>
          <t>Austria</t>
        </is>
      </c>
    </row>
    <row r="6043">
      <c r="A6043" t="inlineStr">
        <is>
          <t>Prime Polymer Co., Ltd.,  Chuo-ku, Tokyo, Japan</t>
        </is>
      </c>
      <c r="B6043" t="inlineStr">
        <is>
          <t>Trader with Storage</t>
        </is>
      </c>
      <c r="C6043" t="inlineStr">
        <is>
          <t>SGS Germany GmbH, Emstek, DE</t>
        </is>
      </c>
      <c r="D6043" t="inlineStr">
        <is>
          <t>30.03.2027</t>
        </is>
      </c>
      <c r="E6043" t="inlineStr">
        <is>
          <t>Japan</t>
        </is>
      </c>
    </row>
    <row r="6044">
      <c r="A6044" t="inlineStr">
        <is>
          <t>Tokuyama Polypro Co., Ltd.,  Shunan-shi,Yamaguchi-ken, Japan</t>
        </is>
      </c>
      <c r="B6044" t="inlineStr">
        <is>
          <t>Processing Unit</t>
        </is>
      </c>
      <c r="C6044" t="inlineStr">
        <is>
          <t>SGS Germany GmbH, Emstek, DE</t>
        </is>
      </c>
      <c r="D6044" t="inlineStr">
        <is>
          <t>30.03.2027</t>
        </is>
      </c>
      <c r="E6044" t="inlineStr">
        <is>
          <t>Japan</t>
        </is>
      </c>
    </row>
    <row r="6045">
      <c r="A6045" t="inlineStr">
        <is>
          <t>CHAMPION GLORY TRADING LIMITED,  Dong Thap Province, Vietnam</t>
        </is>
      </c>
      <c r="B6045" t="inlineStr">
        <is>
          <t>Trader</t>
        </is>
      </c>
      <c r="C6045" t="inlineStr">
        <is>
          <t>SGS Germany GmbH, Emstek, DE</t>
        </is>
      </c>
      <c r="D6045" t="inlineStr">
        <is>
          <t>30.03.2027</t>
        </is>
      </c>
      <c r="E6045" t="inlineStr">
        <is>
          <t>Vietnam</t>
        </is>
      </c>
    </row>
    <row r="6046">
      <c r="A6046" t="inlineStr">
        <is>
          <t>Methanex Fuels Europe B.V.,  Amsterdam, Noord Holland, Netherlands</t>
        </is>
      </c>
      <c r="B6046" t="inlineStr">
        <is>
          <t>Trader with Storage</t>
        </is>
      </c>
      <c r="C6046" t="inlineStr">
        <is>
          <t>SGS Germany GmbH, Emstek, DE</t>
        </is>
      </c>
      <c r="D6046" t="inlineStr">
        <is>
          <t>30.03.2027</t>
        </is>
      </c>
      <c r="E6046" t="inlineStr">
        <is>
          <t>Netherlands</t>
        </is>
      </c>
    </row>
    <row r="6047">
      <c r="A6047" t="inlineStr">
        <is>
          <t>Methanex Fuels Europe B.V.,  Amsterdam, Noord Holland, Netherlands</t>
        </is>
      </c>
      <c r="B6047" t="inlineStr">
        <is>
          <t>Trader with Storage, Proof of Compliance Trader</t>
        </is>
      </c>
      <c r="C6047" t="inlineStr">
        <is>
          <t>SGS Germany GmbH, Emstek, DE</t>
        </is>
      </c>
      <c r="D6047" t="inlineStr">
        <is>
          <t>30.03.2027</t>
        </is>
      </c>
      <c r="E6047" t="inlineStr">
        <is>
          <t>Netherlands</t>
        </is>
      </c>
    </row>
    <row r="6048">
      <c r="A6048" t="inlineStr">
        <is>
          <t>Sojitz Corporation,  Chiyoda-ku, Tokyo, Japan, Japan</t>
        </is>
      </c>
      <c r="B6048" t="inlineStr">
        <is>
          <t>Collecting Point, Trader with Storage</t>
        </is>
      </c>
      <c r="C6048" t="inlineStr">
        <is>
          <t>SGS Germany GmbH, Emstek, DE</t>
        </is>
      </c>
      <c r="D6048" t="inlineStr">
        <is>
          <t>30.03.2027</t>
        </is>
      </c>
      <c r="E6048" t="inlineStr">
        <is>
          <t>Japan</t>
        </is>
      </c>
    </row>
    <row r="6049">
      <c r="A6049" t="inlineStr">
        <is>
          <t>Samyang Innochem co., Ltd,  Gunsan-si, Jeollabuk-do, Korea, Republic of</t>
        </is>
      </c>
      <c r="B6049" t="inlineStr">
        <is>
          <t>Processing Unit</t>
        </is>
      </c>
      <c r="C6049" t="inlineStr">
        <is>
          <t>Control Union Certifications Germany GmbH, Berlin, DE</t>
        </is>
      </c>
      <c r="D6049" t="inlineStr">
        <is>
          <t>30.03.2027</t>
        </is>
      </c>
      <c r="E6049" t="inlineStr">
        <is>
          <t>Republic of</t>
        </is>
      </c>
    </row>
    <row r="6050">
      <c r="A6050" t="inlineStr">
        <is>
          <t>SINOBIO RESOURCES SDN. BHD.,  PEKAN NENAS, Malaysia</t>
        </is>
      </c>
      <c r="B6050" t="inlineStr">
        <is>
          <t>Trader with Storage</t>
        </is>
      </c>
      <c r="C6050" t="inlineStr">
        <is>
          <t>SCS Global Services, Emeryville, CA, US</t>
        </is>
      </c>
      <c r="D6050" t="inlineStr">
        <is>
          <t>30.03.2027</t>
        </is>
      </c>
      <c r="E6050" t="inlineStr">
        <is>
          <t>Malaysia</t>
        </is>
      </c>
    </row>
    <row r="6051">
      <c r="A6051" t="inlineStr">
        <is>
          <t>Agropodnik, akciová společnost, Jihlava,  Dobronín, Czech Republic</t>
        </is>
      </c>
      <c r="B6051" t="inlineStr">
        <is>
          <t>Processing Unit</t>
        </is>
      </c>
      <c r="C6051" t="inlineStr">
        <is>
          <t>PT Intertek Utama Services, Jakarta, ID</t>
        </is>
      </c>
      <c r="D6051" t="inlineStr">
        <is>
          <t>30.03.2027</t>
        </is>
      </c>
      <c r="E6051" t="inlineStr">
        <is>
          <t>Czech Republic</t>
        </is>
      </c>
    </row>
    <row r="6052">
      <c r="A6052" t="inlineStr">
        <is>
          <t>Sunningdale Tech,  Singapore, Singapore</t>
        </is>
      </c>
      <c r="B6052" t="inlineStr">
        <is>
          <t>Trader</t>
        </is>
      </c>
      <c r="C6052" t="inlineStr">
        <is>
          <t>PT Intertek Utama Services, Jakarta, ID</t>
        </is>
      </c>
      <c r="D6052" t="inlineStr">
        <is>
          <t>30.03.2027</t>
        </is>
      </c>
      <c r="E6052" t="inlineStr">
        <is>
          <t>Singapore</t>
        </is>
      </c>
    </row>
    <row r="6053">
      <c r="A6053" t="inlineStr">
        <is>
          <t>PT. Sunningdale Tech Batam,  Batam, Indonesia</t>
        </is>
      </c>
      <c r="B6053" t="inlineStr">
        <is>
          <t>Processing Unit</t>
        </is>
      </c>
      <c r="C6053" t="inlineStr">
        <is>
          <t>PT Intertek Utama Services, Jakarta, ID</t>
        </is>
      </c>
      <c r="D6053" t="inlineStr">
        <is>
          <t>30.03.2027</t>
        </is>
      </c>
      <c r="E6053" t="inlineStr">
        <is>
          <t>Indonesia</t>
        </is>
      </c>
    </row>
    <row r="6054">
      <c r="A6054" t="inlineStr">
        <is>
          <t>Amber Bio Oil,  Riga, Latvia</t>
        </is>
      </c>
      <c r="B6054" t="inlineStr">
        <is>
          <t>Collecting Point, Trader with Storage</t>
        </is>
      </c>
      <c r="C6054" t="inlineStr">
        <is>
          <t>BM Certification, Riga, LV</t>
        </is>
      </c>
      <c r="D6054" t="inlineStr">
        <is>
          <t>30.03.2027</t>
        </is>
      </c>
      <c r="E6054" t="inlineStr">
        <is>
          <t>Latvia</t>
        </is>
      </c>
    </row>
    <row r="6055">
      <c r="A6055" t="inlineStr">
        <is>
          <t>Hankook Tire China Co., Ltd.,  Zhejiang, China</t>
        </is>
      </c>
      <c r="B6055" t="inlineStr">
        <is>
          <t>Processing Unit</t>
        </is>
      </c>
      <c r="C6055" t="inlineStr">
        <is>
          <t>PT Intertek Utama Services, Jakarta, ID</t>
        </is>
      </c>
      <c r="D6055" t="inlineStr">
        <is>
          <t>30.03.2027</t>
        </is>
      </c>
      <c r="E6055" t="inlineStr">
        <is>
          <t>China</t>
        </is>
      </c>
    </row>
    <row r="6056">
      <c r="A6056" t="inlineStr">
        <is>
          <t>IMCD Deutschland,  Köln, Germany</t>
        </is>
      </c>
      <c r="B6056" t="inlineStr">
        <is>
          <t>Final Product Refinement, Trader with Storage</t>
        </is>
      </c>
      <c r="C6056" t="inlineStr">
        <is>
          <t>TÜV NORD CERT GmbH, Essen, DE</t>
        </is>
      </c>
      <c r="D6056" t="inlineStr">
        <is>
          <t>30.03.2027</t>
        </is>
      </c>
      <c r="E6056" t="inlineStr">
        <is>
          <t>Germany</t>
        </is>
      </c>
    </row>
    <row r="6057">
      <c r="A6057" t="inlineStr">
        <is>
          <t>Emad Energy,  Geneva, Switzerland</t>
        </is>
      </c>
      <c r="B6057" t="inlineStr">
        <is>
          <t>Trader</t>
        </is>
      </c>
      <c r="C6057" t="inlineStr">
        <is>
          <t>Eurocert SA, Metamorfosi, Athens, GR</t>
        </is>
      </c>
      <c r="D6057" t="inlineStr">
        <is>
          <t>30.03.2027</t>
        </is>
      </c>
      <c r="E6057" t="inlineStr">
        <is>
          <t>Switzerland</t>
        </is>
      </c>
    </row>
    <row r="6058">
      <c r="A6058" t="inlineStr">
        <is>
          <t>Dezhou Rongguang Bio-Technology Co., Ltd.,  Decheng District, Dezhou City, Shandong Province, China</t>
        </is>
      </c>
      <c r="B6058" t="inlineStr">
        <is>
          <t>Collecting Point, Trader with Storage, Processing Unit</t>
        </is>
      </c>
      <c r="C6058" t="inlineStr">
        <is>
          <t>SCS Global Services, Emeryville, CA, US</t>
        </is>
      </c>
      <c r="D6058" t="inlineStr">
        <is>
          <t>30.03.2027</t>
        </is>
      </c>
      <c r="E6058" t="inlineStr">
        <is>
          <t>China</t>
        </is>
      </c>
    </row>
    <row r="6059">
      <c r="A6059" t="inlineStr">
        <is>
          <t>Bangkok Fuel Pipeline and Logistics Co., Ltd.,  Phra Nakhon Si Ayutthaya, Thailand</t>
        </is>
      </c>
      <c r="B6059" t="inlineStr">
        <is>
          <t>Collecting Point, Trader with Storage</t>
        </is>
      </c>
      <c r="C6059" t="inlineStr">
        <is>
          <t>SGS Germany GmbH, Emstek, DE</t>
        </is>
      </c>
      <c r="D6059" t="inlineStr">
        <is>
          <t>30.03.2027</t>
        </is>
      </c>
      <c r="E6059" t="inlineStr">
        <is>
          <t>Thailand</t>
        </is>
      </c>
    </row>
    <row r="6060">
      <c r="A6060" t="inlineStr">
        <is>
          <t>Eni Trade &amp; Biofuels SpA,  London, United Kingdom</t>
        </is>
      </c>
      <c r="B6060" t="inlineStr">
        <is>
          <t>Trader with Storage</t>
        </is>
      </c>
      <c r="C6060" t="inlineStr">
        <is>
          <t>RINA Services S.p.A., Genova, IT</t>
        </is>
      </c>
      <c r="D6060" t="inlineStr">
        <is>
          <t>30.03.2027</t>
        </is>
      </c>
      <c r="E6060" t="inlineStr">
        <is>
          <t>United Kingdom</t>
        </is>
      </c>
    </row>
    <row r="6061">
      <c r="A6061" t="inlineStr">
        <is>
          <t>Bangkok Fuel Pipeline and Logistics Co., Ltd.,  Phra Nakhon Si Ayutthaya, Thailand</t>
        </is>
      </c>
      <c r="B6061" t="inlineStr">
        <is>
          <t>Collecting Point, Trader with Storage</t>
        </is>
      </c>
      <c r="C6061" t="inlineStr">
        <is>
          <t>SGS Germany GmbH, Emstek, DE</t>
        </is>
      </c>
      <c r="D6061" t="inlineStr">
        <is>
          <t>30.03.2027</t>
        </is>
      </c>
      <c r="E6061" t="inlineStr">
        <is>
          <t>Thailand</t>
        </is>
      </c>
    </row>
    <row r="6062">
      <c r="A6062" t="inlineStr">
        <is>
          <t>Bangkok Fuel Pipeline and Logistics Co., Ltd.,  Phra Nakhon Si Ayutthaya, Thailand</t>
        </is>
      </c>
      <c r="B6062" t="inlineStr">
        <is>
          <t>Collecting Point, Trader with Storage</t>
        </is>
      </c>
      <c r="C6062" t="inlineStr">
        <is>
          <t>SGS Germany GmbH, Emstek, DE</t>
        </is>
      </c>
      <c r="D6062" t="inlineStr">
        <is>
          <t>30.03.2027</t>
        </is>
      </c>
      <c r="E6062" t="inlineStr">
        <is>
          <t>Thailand</t>
        </is>
      </c>
    </row>
    <row r="6063">
      <c r="A6063" t="inlineStr">
        <is>
          <t>Pelagia AS,  Bergen, Norway</t>
        </is>
      </c>
      <c r="B6063" t="inlineStr">
        <is>
          <t>Collecting Point, Trader</t>
        </is>
      </c>
      <c r="C6063" t="inlineStr">
        <is>
          <t>DEKRA Certification B.V., Arnhem, NL</t>
        </is>
      </c>
      <c r="D6063" t="inlineStr">
        <is>
          <t>30.03.2027</t>
        </is>
      </c>
      <c r="E6063" t="inlineStr">
        <is>
          <t>Norway</t>
        </is>
      </c>
    </row>
    <row r="6064">
      <c r="A6064" t="inlineStr">
        <is>
          <t>Shandong Hongwei Textile Co., Ltd.,  JINING, China</t>
        </is>
      </c>
      <c r="B6064" t="inlineStr">
        <is>
          <t>Processing Unit</t>
        </is>
      </c>
      <c r="C6064" t="inlineStr">
        <is>
          <t>Control Union Certifications Germany GmbH, Berlin, DE</t>
        </is>
      </c>
      <c r="D6064" t="inlineStr">
        <is>
          <t>30.03.2027</t>
        </is>
      </c>
      <c r="E6064" t="inlineStr">
        <is>
          <t>China</t>
        </is>
      </c>
    </row>
    <row r="6065">
      <c r="A6065" t="inlineStr">
        <is>
          <t>Binh Son Refining and Petrochemical Joint Stock Company,  Van Tuong Commune, Quang Ngai Province, Vietnam</t>
        </is>
      </c>
      <c r="B6065" t="inlineStr">
        <is>
          <t>Trader with Storage</t>
        </is>
      </c>
      <c r="C6065" t="inlineStr">
        <is>
          <t>SGS Germany GmbH, Emstek, DE</t>
        </is>
      </c>
      <c r="D6065" t="inlineStr">
        <is>
          <t>30.03.2027</t>
        </is>
      </c>
      <c r="E6065" t="inlineStr">
        <is>
          <t>Vietnam</t>
        </is>
      </c>
    </row>
    <row r="6066">
      <c r="A6066" t="inlineStr">
        <is>
          <t>TICINOPLAST S.p.A.,  Pogliano Milanese, Italy</t>
        </is>
      </c>
      <c r="B6066" t="inlineStr">
        <is>
          <t>Processing Unit</t>
        </is>
      </c>
      <c r="C6066" t="inlineStr">
        <is>
          <t>ICIM SpA, sesto san giovanni, IT</t>
        </is>
      </c>
      <c r="D6066" t="inlineStr">
        <is>
          <t>29.03.2027</t>
        </is>
      </c>
      <c r="E6066" t="inlineStr">
        <is>
          <t>Italy</t>
        </is>
      </c>
    </row>
    <row r="6067">
      <c r="A6067" t="inlineStr">
        <is>
          <t>Chant Oil Co., Ltd.,  Sanxia Dist., New Taipei City, Taiwan, Province of China</t>
        </is>
      </c>
      <c r="B6067" t="inlineStr">
        <is>
          <t>Point of Origin, Processing Unit, Trader with Storage</t>
        </is>
      </c>
      <c r="C6067" t="inlineStr">
        <is>
          <t>RINA Services S.p.A., Genova, IT</t>
        </is>
      </c>
      <c r="D6067" t="inlineStr">
        <is>
          <t>29.03.2027</t>
        </is>
      </c>
      <c r="E6067" t="inlineStr">
        <is>
          <t>Province of China</t>
        </is>
      </c>
    </row>
    <row r="6068">
      <c r="A6068" t="inlineStr">
        <is>
          <t>Chant Oil Co., Ltd.,  Sanxia Dist., New Taipei City, Taiwan, Province of China</t>
        </is>
      </c>
      <c r="B6068" t="inlineStr">
        <is>
          <t>Processing Unit, Trader with Storage</t>
        </is>
      </c>
      <c r="C6068" t="inlineStr">
        <is>
          <t>RINA Services S.p.A., Genova, IT</t>
        </is>
      </c>
      <c r="D6068" t="inlineStr">
        <is>
          <t>29.03.2027</t>
        </is>
      </c>
      <c r="E6068" t="inlineStr">
        <is>
          <t>Province of China</t>
        </is>
      </c>
    </row>
    <row r="6069">
      <c r="A6069" t="inlineStr">
        <is>
          <t>Cogetrina logistics,  Froyennes, Belgium</t>
        </is>
      </c>
      <c r="B6069" t="inlineStr">
        <is>
          <t>Collecting Point, Processing Unit</t>
        </is>
      </c>
      <c r="C6069" t="inlineStr">
        <is>
          <t>SGS Germany GmbH, Emstek, DE</t>
        </is>
      </c>
      <c r="D6069" t="inlineStr">
        <is>
          <t>29.03.2027</t>
        </is>
      </c>
      <c r="E6069" t="inlineStr">
        <is>
          <t>Belgium</t>
        </is>
      </c>
    </row>
    <row r="6070">
      <c r="A6070" t="inlineStr">
        <is>
          <t>Shaily Engineering Plastics Ltd.,  Baroda, India</t>
        </is>
      </c>
      <c r="B6070" t="inlineStr">
        <is>
          <t>Processing Unit</t>
        </is>
      </c>
      <c r="C6070" t="inlineStr">
        <is>
          <t>ISOQAR Ltd, Stretford, Manchester, GB</t>
        </is>
      </c>
      <c r="D6070" t="inlineStr">
        <is>
          <t>29.03.2027</t>
        </is>
      </c>
      <c r="E6070" t="inlineStr">
        <is>
          <t>India</t>
        </is>
      </c>
    </row>
    <row r="6071">
      <c r="A6071" t="inlineStr">
        <is>
          <t>Pactiv Evergreen,  Bridgeview IL, United States</t>
        </is>
      </c>
      <c r="B6071" t="inlineStr">
        <is>
          <t>Trader with Storage, Processing Unit, Final Product Refinement</t>
        </is>
      </c>
      <c r="C6071" t="inlineStr">
        <is>
          <t>SCS Global Services, Emeryville, CA, US</t>
        </is>
      </c>
      <c r="D6071" t="inlineStr">
        <is>
          <t>29.03.2027</t>
        </is>
      </c>
      <c r="E6071" t="inlineStr">
        <is>
          <t>United States</t>
        </is>
      </c>
    </row>
    <row r="6072">
      <c r="A6072" t="inlineStr">
        <is>
          <t>CLEAN &amp; RECYCLE,  Alexandria, Greece</t>
        </is>
      </c>
      <c r="B6072" t="inlineStr">
        <is>
          <t>Collecting Point</t>
        </is>
      </c>
      <c r="C6072" t="inlineStr">
        <is>
          <t>QMSCERT S.A., Pylaia, Thessaloniki, GR</t>
        </is>
      </c>
      <c r="D6072" t="inlineStr">
        <is>
          <t>29.03.2027</t>
        </is>
      </c>
      <c r="E6072" t="inlineStr">
        <is>
          <t>Greece</t>
        </is>
      </c>
    </row>
    <row r="6073">
      <c r="A6073" t="inlineStr">
        <is>
          <t>Moeve, S.A,  Palos de la Frontera (Huelva), Spain</t>
        </is>
      </c>
      <c r="B6073" t="inlineStr">
        <is>
          <t>Processing Unit</t>
        </is>
      </c>
      <c r="C6073" t="inlineStr">
        <is>
          <t>Control Union Poland Sp. z o.o., Zielona Gora, PL</t>
        </is>
      </c>
      <c r="D6073" t="inlineStr">
        <is>
          <t>29.03.2027</t>
        </is>
      </c>
      <c r="E6073" t="inlineStr">
        <is>
          <t>Spain</t>
        </is>
      </c>
    </row>
    <row r="6074">
      <c r="A6074" t="inlineStr">
        <is>
          <t>Maoming Hongyu Energy Technology Co.,Ltd.,  Maoming City, Guangdong Province, China</t>
        </is>
      </c>
      <c r="B6074" t="inlineStr">
        <is>
          <t>Point of Origin, Processing Unit, Trader with Storage</t>
        </is>
      </c>
      <c r="C6074" t="inlineStr">
        <is>
          <t>RINA Services S.p.A., Genova, IT</t>
        </is>
      </c>
      <c r="D6074" t="inlineStr">
        <is>
          <t>29.03.2027</t>
        </is>
      </c>
      <c r="E6074" t="inlineStr">
        <is>
          <t>China</t>
        </is>
      </c>
    </row>
    <row r="6075">
      <c r="A6075" t="inlineStr">
        <is>
          <t>Arkad International,  Singapore, Singapore</t>
        </is>
      </c>
      <c r="B6075" t="inlineStr">
        <is>
          <t>Trader</t>
        </is>
      </c>
      <c r="C6075" t="inlineStr">
        <is>
          <t>PT Intertek Utama Services, Jakarta, ID</t>
        </is>
      </c>
      <c r="D6075" t="inlineStr">
        <is>
          <t>29.03.2027</t>
        </is>
      </c>
      <c r="E6075" t="inlineStr">
        <is>
          <t>Singapore</t>
        </is>
      </c>
    </row>
    <row r="6076">
      <c r="A6076" t="inlineStr">
        <is>
          <t>Arkad International,  Singapore, Singapore</t>
        </is>
      </c>
      <c r="B6076" t="inlineStr">
        <is>
          <t>Trader</t>
        </is>
      </c>
      <c r="C6076" t="inlineStr">
        <is>
          <t>PT Intertek Utama Services, Jakarta, ID</t>
        </is>
      </c>
      <c r="D6076" t="inlineStr">
        <is>
          <t>29.03.2027</t>
        </is>
      </c>
      <c r="E6076" t="inlineStr">
        <is>
          <t>Singapore</t>
        </is>
      </c>
    </row>
    <row r="6077">
      <c r="A6077" t="inlineStr">
        <is>
          <t>Trafigura Asia Trading Pte. Ltd.,  Singapore, Singapore</t>
        </is>
      </c>
      <c r="B6077" t="inlineStr">
        <is>
          <t>Trader with Storage</t>
        </is>
      </c>
      <c r="C6077" t="inlineStr">
        <is>
          <t>ASG Cert GmbH, Munich, DE</t>
        </is>
      </c>
      <c r="D6077" t="inlineStr">
        <is>
          <t>29.03.2027</t>
        </is>
      </c>
      <c r="E6077" t="inlineStr">
        <is>
          <t>Singapore</t>
        </is>
      </c>
    </row>
    <row r="6078">
      <c r="A6078" t="inlineStr">
        <is>
          <t>Trafigura Asia Trading Pte. Ltd.,  Singapore, Singapore</t>
        </is>
      </c>
      <c r="B6078" t="inlineStr">
        <is>
          <t>Trader with Storage</t>
        </is>
      </c>
      <c r="C6078" t="inlineStr">
        <is>
          <t>ASG Cert GmbH, Munich, DE</t>
        </is>
      </c>
      <c r="D6078" t="inlineStr">
        <is>
          <t>29.03.2027</t>
        </is>
      </c>
      <c r="E6078" t="inlineStr">
        <is>
          <t>Singapore</t>
        </is>
      </c>
    </row>
    <row r="6079">
      <c r="A6079" t="inlineStr">
        <is>
          <t>Trafigura PTE LTD,  Singapore, Singapore</t>
        </is>
      </c>
      <c r="B6079" t="inlineStr">
        <is>
          <t>Trader with Storage</t>
        </is>
      </c>
      <c r="C6079" t="inlineStr">
        <is>
          <t>ASG Cert GmbH, Munich, DE</t>
        </is>
      </c>
      <c r="D6079" t="inlineStr">
        <is>
          <t>29.03.2027</t>
        </is>
      </c>
      <c r="E6079" t="inlineStr">
        <is>
          <t>Singapore</t>
        </is>
      </c>
    </row>
    <row r="6080">
      <c r="A6080" t="inlineStr">
        <is>
          <t>Trafigura PTE LTD,  Singapore, Singapore</t>
        </is>
      </c>
      <c r="B6080" t="inlineStr">
        <is>
          <t>Trader with Storage</t>
        </is>
      </c>
      <c r="C6080" t="inlineStr">
        <is>
          <t>ASG Cert GmbH, Munich, DE</t>
        </is>
      </c>
      <c r="D6080" t="inlineStr">
        <is>
          <t>29.03.2027</t>
        </is>
      </c>
      <c r="E6080" t="inlineStr">
        <is>
          <t>Singapore</t>
        </is>
      </c>
    </row>
    <row r="6081">
      <c r="A6081" t="inlineStr">
        <is>
          <t>Cargill, Inc.,  Ft. Dodge, IA, United States</t>
        </is>
      </c>
      <c r="B6081" t="inlineStr">
        <is>
          <t>First Gathering Point, Processing Unit</t>
        </is>
      </c>
      <c r="C6081" t="inlineStr">
        <is>
          <t>Control Union Poland Sp. z o.o., Zielona Gora, PL</t>
        </is>
      </c>
      <c r="D6081" t="inlineStr">
        <is>
          <t>29.03.2027</t>
        </is>
      </c>
      <c r="E6081" t="inlineStr">
        <is>
          <t>United States</t>
        </is>
      </c>
    </row>
    <row r="6082">
      <c r="A6082" t="inlineStr">
        <is>
          <t>HIGH PERFORMANCE PLASTICS MANUFACTURING MÉXICO S. DE R.L. DE C.V.,  San Luis Potosi, Mexico</t>
        </is>
      </c>
      <c r="B6082" t="inlineStr">
        <is>
          <t>Processing Unit</t>
        </is>
      </c>
      <c r="C6082" t="inlineStr">
        <is>
          <t>TÜV NORD CERT GmbH, Essen, DE</t>
        </is>
      </c>
      <c r="D6082" t="inlineStr">
        <is>
          <t>29.03.2027</t>
        </is>
      </c>
      <c r="E6082" t="inlineStr">
        <is>
          <t>Mexico</t>
        </is>
      </c>
    </row>
    <row r="6083">
      <c r="A6083" t="inlineStr">
        <is>
          <t>SHPP US LLC,  Columbus, United States</t>
        </is>
      </c>
      <c r="B6083" t="inlineStr">
        <is>
          <t>Processing Unit</t>
        </is>
      </c>
      <c r="C6083" t="inlineStr">
        <is>
          <t>TÜV NORD CERT GmbH, Essen, DE</t>
        </is>
      </c>
      <c r="D6083" t="inlineStr">
        <is>
          <t>29.03.2027</t>
        </is>
      </c>
      <c r="E6083" t="inlineStr">
        <is>
          <t>United States</t>
        </is>
      </c>
    </row>
    <row r="6084">
      <c r="A6084" t="inlineStr">
        <is>
          <t>Bunge Polska Sp. z.o.o.,  Kruszwica, Poland</t>
        </is>
      </c>
      <c r="B6084" t="inlineStr">
        <is>
          <t>Point of Origin, Processing Unit, Warehouse</t>
        </is>
      </c>
      <c r="C6084" t="inlineStr">
        <is>
          <t>Bureau Veritas Polska Sp. z o.o., Warsaw, PL</t>
        </is>
      </c>
      <c r="D6084" t="inlineStr">
        <is>
          <t>29.03.2027</t>
        </is>
      </c>
      <c r="E6084" t="inlineStr">
        <is>
          <t>Poland</t>
        </is>
      </c>
    </row>
    <row r="6085">
      <c r="A6085" t="inlineStr">
        <is>
          <t>Fratelli Polli Srl,  Monsummano Terme (PT), Italy</t>
        </is>
      </c>
      <c r="B6085" t="inlineStr">
        <is>
          <t>Point of Origin</t>
        </is>
      </c>
      <c r="C6085" t="inlineStr">
        <is>
          <t>SGS Germany GmbH, Emstek, DE</t>
        </is>
      </c>
      <c r="D6085" t="inlineStr">
        <is>
          <t>29.03.2027</t>
        </is>
      </c>
      <c r="E6085" t="inlineStr">
        <is>
          <t>Italy</t>
        </is>
      </c>
    </row>
    <row r="6086">
      <c r="A6086" t="inlineStr">
        <is>
          <t>Aster Chemicals and Energy Pte. Ltd.,  Singapore, Singapore</t>
        </is>
      </c>
      <c r="B6086" t="inlineStr">
        <is>
          <t>Processing Unit</t>
        </is>
      </c>
      <c r="C6086" t="inlineStr">
        <is>
          <t>SGS Germany GmbH, Emstek, DE</t>
        </is>
      </c>
      <c r="D6086" t="inlineStr">
        <is>
          <t>29.03.2027</t>
        </is>
      </c>
      <c r="E6086" t="inlineStr">
        <is>
          <t>Singapore</t>
        </is>
      </c>
    </row>
    <row r="6087">
      <c r="A6087" t="inlineStr">
        <is>
          <t>ASAHI CARBON CO.,LTD,  Higashi-ku,Niigata, Japan</t>
        </is>
      </c>
      <c r="B6087" t="inlineStr">
        <is>
          <t>Processing Unit</t>
        </is>
      </c>
      <c r="C6087" t="inlineStr">
        <is>
          <t>SGS Germany GmbH, Emstek, DE</t>
        </is>
      </c>
      <c r="D6087" t="inlineStr">
        <is>
          <t>29.03.2027</t>
        </is>
      </c>
      <c r="E6087" t="inlineStr">
        <is>
          <t>Japan</t>
        </is>
      </c>
    </row>
    <row r="6088">
      <c r="A6088" t="inlineStr">
        <is>
          <t>Wenzhou Redlucky Optical Co.,Ltd,  Wenzhou City, Zhejiang Province, China</t>
        </is>
      </c>
      <c r="B6088" t="inlineStr">
        <is>
          <t>Trader</t>
        </is>
      </c>
      <c r="C6088" t="inlineStr">
        <is>
          <t>SCS Global Services, Emeryville, CA, US</t>
        </is>
      </c>
      <c r="D6088" t="inlineStr">
        <is>
          <t>29.03.2027</t>
        </is>
      </c>
      <c r="E6088" t="inlineStr">
        <is>
          <t>China</t>
        </is>
      </c>
    </row>
    <row r="6089">
      <c r="A6089" t="inlineStr">
        <is>
          <t>LG Chem(Tianjin) Engineering Plastics Co., Ltd,  Tianjin, China</t>
        </is>
      </c>
      <c r="B6089" t="inlineStr">
        <is>
          <t>Processing Unit</t>
        </is>
      </c>
      <c r="C6089" t="inlineStr">
        <is>
          <t>CTI Certification Co. Ltd, Shenzhen, CN</t>
        </is>
      </c>
      <c r="D6089" t="inlineStr">
        <is>
          <t>29.03.2027</t>
        </is>
      </c>
      <c r="E6089" t="inlineStr">
        <is>
          <t>China</t>
        </is>
      </c>
    </row>
    <row r="6090">
      <c r="A6090" t="inlineStr">
        <is>
          <t>eFuels Rotterdam B.V.,  Amsterdam, Netherlands</t>
        </is>
      </c>
      <c r="B6090" t="inlineStr">
        <is>
          <t>Trader with Storage</t>
        </is>
      </c>
      <c r="C6090" t="inlineStr">
        <is>
          <t>TÜV SÜD Industrie Service GmbH, München, DE</t>
        </is>
      </c>
      <c r="D6090" t="inlineStr">
        <is>
          <t>29.03.2027</t>
        </is>
      </c>
      <c r="E6090" t="inlineStr">
        <is>
          <t>Netherlands</t>
        </is>
      </c>
    </row>
    <row r="6091">
      <c r="A6091" t="inlineStr">
        <is>
          <t>eFuels Rotterdam B.V.,  Amsterdam, Netherlands</t>
        </is>
      </c>
      <c r="B6091" t="inlineStr">
        <is>
          <t>Trader with Storage</t>
        </is>
      </c>
      <c r="C6091" t="inlineStr">
        <is>
          <t>TÜV SÜD Industrie Service GmbH, München, DE</t>
        </is>
      </c>
      <c r="D6091" t="inlineStr">
        <is>
          <t>29.03.2027</t>
        </is>
      </c>
      <c r="E6091" t="inlineStr">
        <is>
          <t>Netherlands</t>
        </is>
      </c>
    </row>
    <row r="6092">
      <c r="A6092" t="inlineStr">
        <is>
          <t>DORIGUZZI ENERGY S.R.L.,  SAN NICOLO' DI COMELICO, Italy</t>
        </is>
      </c>
      <c r="B6092" t="inlineStr">
        <is>
          <t>Collecting Point, First Gathering Point, Processing Unit</t>
        </is>
      </c>
      <c r="C6092" t="inlineStr">
        <is>
          <t>CSQA Certificazioni Srl, Thiene, IT</t>
        </is>
      </c>
      <c r="D6092" t="inlineStr">
        <is>
          <t>29.03.2027</t>
        </is>
      </c>
      <c r="E6092" t="inlineStr">
        <is>
          <t>Italy</t>
        </is>
      </c>
    </row>
    <row r="6093">
      <c r="A6093" t="inlineStr">
        <is>
          <t>Grasas de la Sabana,  Cota, Cundinamarca, Colombia</t>
        </is>
      </c>
      <c r="B6093" t="inlineStr">
        <is>
          <t>Collecting Point</t>
        </is>
      </c>
      <c r="C6093" t="inlineStr">
        <is>
          <t>Amspec Iberia SL, Vilagarcia de Arousa-Pontevedra, ES</t>
        </is>
      </c>
      <c r="D6093" t="inlineStr">
        <is>
          <t>29.03.2027</t>
        </is>
      </c>
      <c r="E6093" t="inlineStr">
        <is>
          <t>Colombia</t>
        </is>
      </c>
    </row>
    <row r="6094">
      <c r="A6094" t="inlineStr">
        <is>
          <t>Harkány-Trade Kft.,  Harkány, Hungary</t>
        </is>
      </c>
      <c r="B6094" t="inlineStr">
        <is>
          <t>First Gathering Point, Trader</t>
        </is>
      </c>
      <c r="C6094" t="inlineStr">
        <is>
          <t>Amspec Iberia SL, Vilagarcia de Arousa-Pontevedra, ES</t>
        </is>
      </c>
      <c r="D6094" t="inlineStr">
        <is>
          <t>29.03.2027</t>
        </is>
      </c>
      <c r="E6094" t="inlineStr">
        <is>
          <t>Hungary</t>
        </is>
      </c>
    </row>
    <row r="6095">
      <c r="A6095" t="inlineStr">
        <is>
          <t>The Pinus,  Singapore, Singapore</t>
        </is>
      </c>
      <c r="B6095" t="inlineStr">
        <is>
          <t>Trader</t>
        </is>
      </c>
      <c r="C6095" t="inlineStr">
        <is>
          <t>Control Union Certifications Germany GmbH, Berlin, DE</t>
        </is>
      </c>
      <c r="D6095" t="inlineStr">
        <is>
          <t>29.03.2027</t>
        </is>
      </c>
      <c r="E6095" t="inlineStr">
        <is>
          <t>Singapore</t>
        </is>
      </c>
    </row>
    <row r="6096">
      <c r="A6096" t="inlineStr">
        <is>
          <t>Chianyu UCO CO.,  CHIAYI COUNTY, Taiwan, Province of China</t>
        </is>
      </c>
      <c r="B6096" t="inlineStr">
        <is>
          <t>Collecting Point, Trader with Storage</t>
        </is>
      </c>
      <c r="C6096" t="inlineStr">
        <is>
          <t>Bureau Veritas Polska Sp. z o.o., Warsaw, PL</t>
        </is>
      </c>
      <c r="D6096" t="inlineStr">
        <is>
          <t>29.03.2027</t>
        </is>
      </c>
      <c r="E6096" t="inlineStr">
        <is>
          <t>Province of China</t>
        </is>
      </c>
    </row>
    <row r="6097">
      <c r="A6097" t="inlineStr">
        <is>
          <t>Egesil Kimya Sanayi ve Ticaret A.S,  Sakarya, Turkey</t>
        </is>
      </c>
      <c r="B6097" t="inlineStr">
        <is>
          <t>Processing Unit</t>
        </is>
      </c>
      <c r="C6097" t="inlineStr">
        <is>
          <t>BM Certification, Riga, LV</t>
        </is>
      </c>
      <c r="D6097" t="inlineStr">
        <is>
          <t>29.03.2027</t>
        </is>
      </c>
      <c r="E6097" t="inlineStr">
        <is>
          <t>Turkey</t>
        </is>
      </c>
    </row>
    <row r="6098">
      <c r="A6098" t="inlineStr">
        <is>
          <t>IVAAZ LIMITED,  Manchester, United Kingdom</t>
        </is>
      </c>
      <c r="B6098" t="inlineStr">
        <is>
          <t>Collecting Point</t>
        </is>
      </c>
      <c r="C6098" t="inlineStr">
        <is>
          <t>SGS Germany GmbH, Emstek, DE</t>
        </is>
      </c>
      <c r="D6098" t="inlineStr">
        <is>
          <t>29.03.2027</t>
        </is>
      </c>
      <c r="E6098" t="inlineStr">
        <is>
          <t>United Kingdom</t>
        </is>
      </c>
    </row>
    <row r="6099">
      <c r="A6099" t="inlineStr">
        <is>
          <t>Georgiou Flexible Packaging SA,  Avlonas, Attika, Greece</t>
        </is>
      </c>
      <c r="B6099" t="inlineStr">
        <is>
          <t>Processing Unit</t>
        </is>
      </c>
      <c r="C6099" t="inlineStr">
        <is>
          <t>Eurocert SA, Metamorfosi, Athens, GR</t>
        </is>
      </c>
      <c r="D6099" t="inlineStr">
        <is>
          <t>29.03.2027</t>
        </is>
      </c>
      <c r="E6099" t="inlineStr">
        <is>
          <t>Greece</t>
        </is>
      </c>
    </row>
    <row r="6100">
      <c r="A6100" t="inlineStr">
        <is>
          <t>EAST BORNEO VENTURES SDN BHD,  PETALING JAYA, Malaysia</t>
        </is>
      </c>
      <c r="B6100" t="inlineStr">
        <is>
          <t>Trader with Storage</t>
        </is>
      </c>
      <c r="C6100" t="inlineStr">
        <is>
          <t>Trans Certification and Inspection Sdn Bhd, Kuantan, MY</t>
        </is>
      </c>
      <c r="D6100" t="inlineStr">
        <is>
          <t>29.03.2027</t>
        </is>
      </c>
      <c r="E6100" t="inlineStr">
        <is>
          <t>Malaysia</t>
        </is>
      </c>
    </row>
    <row r="6101">
      <c r="A6101" t="inlineStr">
        <is>
          <t>SET INDUSTRIES CO., LTD.,  Phanatnikhom Chonburi, Thailand</t>
        </is>
      </c>
      <c r="B6101" t="inlineStr">
        <is>
          <t>Collecting Point, Processing Unit</t>
        </is>
      </c>
      <c r="C6101" t="inlineStr">
        <is>
          <t>Trans Certification and Inspection Sdn Bhd, Kuantan, MY</t>
        </is>
      </c>
      <c r="D6101" t="inlineStr">
        <is>
          <t>29.03.2027</t>
        </is>
      </c>
      <c r="E6101" t="inlineStr">
        <is>
          <t>Thailand</t>
        </is>
      </c>
    </row>
    <row r="6102">
      <c r="A6102" t="inlineStr">
        <is>
          <t>Hirsch France,  Beziers, France</t>
        </is>
      </c>
      <c r="B6102" t="inlineStr">
        <is>
          <t>Processing Unit</t>
        </is>
      </c>
      <c r="C6102" t="inlineStr">
        <is>
          <t>Bureau Veritas Polska Sp. z o.o., Warsaw, PL</t>
        </is>
      </c>
      <c r="D6102" t="inlineStr">
        <is>
          <t>29.03.2027</t>
        </is>
      </c>
      <c r="E6102" t="inlineStr">
        <is>
          <t>France</t>
        </is>
      </c>
    </row>
    <row r="6103">
      <c r="A6103" t="inlineStr">
        <is>
          <t>PT. YEAKIN PLASTIC INDUSTRY,  BATAM, Indonesia</t>
        </is>
      </c>
      <c r="B6103" t="inlineStr">
        <is>
          <t>Processing Unit</t>
        </is>
      </c>
      <c r="C6103" t="inlineStr">
        <is>
          <t>SGS Germany GmbH, Emstek, DE</t>
        </is>
      </c>
      <c r="D6103" t="inlineStr">
        <is>
          <t>29.03.2027</t>
        </is>
      </c>
      <c r="E6103" t="inlineStr">
        <is>
          <t>Indonesia</t>
        </is>
      </c>
    </row>
    <row r="6104">
      <c r="A6104" t="inlineStr">
        <is>
          <t>Equinor Refining Norway AS,  Mongstad, Norway</t>
        </is>
      </c>
      <c r="B6104" t="inlineStr">
        <is>
          <t>Processing Unit, Warehouse</t>
        </is>
      </c>
      <c r="C6104" t="inlineStr">
        <is>
          <t>SGS Germany GmbH, Emstek, DE</t>
        </is>
      </c>
      <c r="D6104" t="inlineStr">
        <is>
          <t>28.03.2027</t>
        </is>
      </c>
      <c r="E6104" t="inlineStr">
        <is>
          <t>Norway</t>
        </is>
      </c>
    </row>
    <row r="6105">
      <c r="A6105" t="inlineStr">
        <is>
          <t>ADM Ukraine,  Kiev, Ukraine</t>
        </is>
      </c>
      <c r="B6105" t="inlineStr">
        <is>
          <t>First Gathering Point, Trader with Storage</t>
        </is>
      </c>
      <c r="C6105" t="inlineStr">
        <is>
          <t>Control Union Certifications Germany GmbH, Berlin, DE</t>
        </is>
      </c>
      <c r="D6105" t="inlineStr">
        <is>
          <t>28.03.2027</t>
        </is>
      </c>
      <c r="E6105" t="inlineStr">
        <is>
          <t>Ukraine</t>
        </is>
      </c>
    </row>
    <row r="6106">
      <c r="A6106" t="inlineStr">
        <is>
          <t>MO.CEL ,  Belfiore, Italy</t>
        </is>
      </c>
      <c r="B6106" t="inlineStr">
        <is>
          <t>Final Product Refinement</t>
        </is>
      </c>
      <c r="C6106" t="inlineStr">
        <is>
          <t>ICIM SpA, sesto san giovanni, IT</t>
        </is>
      </c>
      <c r="D6106" t="inlineStr">
        <is>
          <t>28.03.2027</t>
        </is>
      </c>
      <c r="E6106" t="inlineStr">
        <is>
          <t>Italy</t>
        </is>
      </c>
    </row>
    <row r="6107">
      <c r="A6107" t="inlineStr">
        <is>
          <t>Nexis Fibers a.s.,  Humenne, Slovakia</t>
        </is>
      </c>
      <c r="B6107" t="inlineStr">
        <is>
          <t>Processing Unit, Trader with Storage</t>
        </is>
      </c>
      <c r="C6107" t="inlineStr">
        <is>
          <t>Bureau Veritas Polska Sp. z o.o., Warsaw, PL</t>
        </is>
      </c>
      <c r="D6107" t="inlineStr">
        <is>
          <t>28.03.2027</t>
        </is>
      </c>
      <c r="E6107" t="inlineStr">
        <is>
          <t>Slovakia</t>
        </is>
      </c>
    </row>
    <row r="6108">
      <c r="A6108" t="inlineStr">
        <is>
          <t>Mercuria Biofuels Brunsbüttel GmbH &amp; Co. KG,  Brunsbüttel, Germany</t>
        </is>
      </c>
      <c r="B6108" t="inlineStr">
        <is>
          <t>Point of Origin, Processing Unit</t>
        </is>
      </c>
      <c r="C6108" t="inlineStr">
        <is>
          <t>Control Union Certifications Germany GmbH, Berlin, DE</t>
        </is>
      </c>
      <c r="D6108" t="inlineStr">
        <is>
          <t>28.03.2027</t>
        </is>
      </c>
      <c r="E6108" t="inlineStr">
        <is>
          <t>Germany</t>
        </is>
      </c>
    </row>
    <row r="6109">
      <c r="A6109" t="inlineStr">
        <is>
          <t>ESTACIONES DE SERVICIO DE GUIPUZCOA, S.A.,  Zierbena-Bizkaia, Spain</t>
        </is>
      </c>
      <c r="B6109" t="inlineStr">
        <is>
          <t>Trader with Storage, Warehouse</t>
        </is>
      </c>
      <c r="C6109" t="inlineStr">
        <is>
          <t>Amspec Iberia SL, Vilagarcia de Arousa-Pontevedra, ES</t>
        </is>
      </c>
      <c r="D6109" t="inlineStr">
        <is>
          <t>28.03.2027</t>
        </is>
      </c>
      <c r="E6109" t="inlineStr">
        <is>
          <t>Spain</t>
        </is>
      </c>
    </row>
    <row r="6110">
      <c r="A6110" t="inlineStr">
        <is>
          <t>Tangreen Commodities Limited,  Sandbach, United Kingdom</t>
        </is>
      </c>
      <c r="B6110" t="inlineStr">
        <is>
          <t>Trader</t>
        </is>
      </c>
      <c r="C6110" t="inlineStr">
        <is>
          <t>Control Union Certifications Germany GmbH, Berlin, DE</t>
        </is>
      </c>
      <c r="D6110" t="inlineStr">
        <is>
          <t>28.03.2027</t>
        </is>
      </c>
      <c r="E6110" t="inlineStr">
        <is>
          <t>United Kingdom</t>
        </is>
      </c>
    </row>
    <row r="6111">
      <c r="A6111" t="inlineStr">
        <is>
          <t>Guangdong Xinyi Optical Co., Ltd,  Qingyuan, China</t>
        </is>
      </c>
      <c r="B6111" t="inlineStr">
        <is>
          <t>Processing Unit</t>
        </is>
      </c>
      <c r="C6111" t="inlineStr">
        <is>
          <t>Extensive Standard Technical Services Co., Ltd., Hong Kong, CN</t>
        </is>
      </c>
      <c r="D6111" t="inlineStr">
        <is>
          <t>28.03.2027</t>
        </is>
      </c>
      <c r="E6111" t="inlineStr">
        <is>
          <t>China</t>
        </is>
      </c>
    </row>
    <row r="6112">
      <c r="A6112" t="inlineStr">
        <is>
          <t>Equinor Refining Norway AS,  Mongstad, Norway</t>
        </is>
      </c>
      <c r="B6112" t="inlineStr">
        <is>
          <t>Processing Unit, Warehouse</t>
        </is>
      </c>
      <c r="C6112" t="inlineStr">
        <is>
          <t>SGS Germany GmbH, Emstek, DE</t>
        </is>
      </c>
      <c r="D6112" t="inlineStr">
        <is>
          <t>28.03.2027</t>
        </is>
      </c>
      <c r="E6112" t="inlineStr">
        <is>
          <t>Norway</t>
        </is>
      </c>
    </row>
    <row r="6113">
      <c r="A6113" t="inlineStr">
        <is>
          <t>TotalEnergies Petrochemicals France,  FEYZIN, France</t>
        </is>
      </c>
      <c r="B6113" t="inlineStr">
        <is>
          <t>Processing Unit, Warehouse</t>
        </is>
      </c>
      <c r="C6113" t="inlineStr">
        <is>
          <t>Bureau Veritas Polska Sp. z o.o., Warsaw, PL</t>
        </is>
      </c>
      <c r="D6113" t="inlineStr">
        <is>
          <t>28.03.2027</t>
        </is>
      </c>
      <c r="E6113" t="inlineStr">
        <is>
          <t>France</t>
        </is>
      </c>
    </row>
    <row r="6114">
      <c r="A6114" t="inlineStr">
        <is>
          <t>Sino Renewables (Shanghai) Ltd,  Shanghai City, China</t>
        </is>
      </c>
      <c r="B6114" t="inlineStr">
        <is>
          <t>Trader with Storage</t>
        </is>
      </c>
      <c r="C6114" t="inlineStr">
        <is>
          <t>SCS Global Services, Emeryville, CA, US</t>
        </is>
      </c>
      <c r="D6114" t="inlineStr">
        <is>
          <t>28.03.2027</t>
        </is>
      </c>
      <c r="E6114" t="inlineStr">
        <is>
          <t>China</t>
        </is>
      </c>
    </row>
    <row r="6115">
      <c r="A6115" t="inlineStr">
        <is>
          <t>Lanxess Deutschland GmbH,  Leverkusen, Germany</t>
        </is>
      </c>
      <c r="B6115" t="inlineStr">
        <is>
          <t>Processing Unit</t>
        </is>
      </c>
      <c r="C6115" t="inlineStr">
        <is>
          <t>TÜV NORD CERT GmbH, Essen, DE</t>
        </is>
      </c>
      <c r="D6115" t="inlineStr">
        <is>
          <t>28.03.2027</t>
        </is>
      </c>
      <c r="E6115" t="inlineStr">
        <is>
          <t>Germany</t>
        </is>
      </c>
    </row>
    <row r="6116">
      <c r="A6116" t="inlineStr">
        <is>
          <t>Vitafoam,  Manchester, United Kingdom</t>
        </is>
      </c>
      <c r="B6116" t="inlineStr">
        <is>
          <t>Processing Unit</t>
        </is>
      </c>
      <c r="C6116" t="inlineStr">
        <is>
          <t>SGS Germany GmbH, Emstek, DE</t>
        </is>
      </c>
      <c r="D6116" t="inlineStr">
        <is>
          <t>28.03.2027</t>
        </is>
      </c>
      <c r="E6116" t="inlineStr">
        <is>
          <t>United Kingdom</t>
        </is>
      </c>
    </row>
    <row r="6117">
      <c r="A6117" t="inlineStr">
        <is>
          <t>Sichuan Humei Energy Technology Co., Ltd.,  Guang’an City, Sichuan Province, China</t>
        </is>
      </c>
      <c r="B6117" t="inlineStr">
        <is>
          <t>Collecting Point, Trader</t>
        </is>
      </c>
      <c r="C6117" t="inlineStr">
        <is>
          <t>SCS Global Services, Emeryville, CA, US</t>
        </is>
      </c>
      <c r="D6117" t="inlineStr">
        <is>
          <t>28.03.2027</t>
        </is>
      </c>
      <c r="E6117" t="inlineStr">
        <is>
          <t>China</t>
        </is>
      </c>
    </row>
    <row r="6118">
      <c r="A6118" t="inlineStr">
        <is>
          <t>BP Plastics Sdn. Bhd.,  Batu Pahat, Johor, Malaysia</t>
        </is>
      </c>
      <c r="B6118" t="inlineStr">
        <is>
          <t>Processing Unit</t>
        </is>
      </c>
      <c r="C6118" t="inlineStr">
        <is>
          <t>SGS Germany GmbH, Emstek, DE</t>
        </is>
      </c>
      <c r="D6118" t="inlineStr">
        <is>
          <t>28.03.2027</t>
        </is>
      </c>
      <c r="E6118" t="inlineStr">
        <is>
          <t>Malaysia</t>
        </is>
      </c>
    </row>
    <row r="6119">
      <c r="A6119" t="inlineStr">
        <is>
          <t>Saehan Recycle,  Buk-myeon, Jeongeup-si, Jeonbuk-do, Korea, Republic of</t>
        </is>
      </c>
      <c r="B6119" t="inlineStr">
        <is>
          <t>Collecting Point, Processing Unit</t>
        </is>
      </c>
      <c r="C6119" t="inlineStr">
        <is>
          <t>Control Union Certifications Germany GmbH, Berlin, DE</t>
        </is>
      </c>
      <c r="D6119" t="inlineStr">
        <is>
          <t>28.03.2027</t>
        </is>
      </c>
      <c r="E6119" t="inlineStr">
        <is>
          <t>Republic of</t>
        </is>
      </c>
    </row>
    <row r="6120">
      <c r="A6120" t="inlineStr">
        <is>
          <t>Kemilau Indah Nusantara,  Muara Bengalon, Bengalon, Kutai Timur, Indonesia</t>
        </is>
      </c>
      <c r="B6120" t="inlineStr">
        <is>
          <t>Point of Origin</t>
        </is>
      </c>
      <c r="C6120" t="inlineStr">
        <is>
          <t>PT. Qualitas Sertifikasi Indonesia, Jakarta, ID</t>
        </is>
      </c>
      <c r="D6120" t="inlineStr">
        <is>
          <t>28.03.2027</t>
        </is>
      </c>
      <c r="E6120" t="inlineStr">
        <is>
          <t>Indonesia</t>
        </is>
      </c>
    </row>
    <row r="6121">
      <c r="A6121" t="inlineStr">
        <is>
          <t>Envases Plasticos del Ter,  Torroella de Montgrí, Spain</t>
        </is>
      </c>
      <c r="B6121" t="inlineStr">
        <is>
          <t>Processing Unit, Trader with Storage, Final Product Refinement</t>
        </is>
      </c>
      <c r="C6121" t="inlineStr">
        <is>
          <t>SGS Germany GmbH, Emstek, DE</t>
        </is>
      </c>
      <c r="D6121" t="inlineStr">
        <is>
          <t>28.03.2027</t>
        </is>
      </c>
      <c r="E6121" t="inlineStr">
        <is>
          <t>Spain</t>
        </is>
      </c>
    </row>
    <row r="6122">
      <c r="A6122" t="inlineStr">
        <is>
          <t>SOYBEAN AND MAYS PROD COOPERATIVA AGRICOLA,  BROSCAUTI, Romania</t>
        </is>
      </c>
      <c r="B6122" t="inlineStr">
        <is>
          <t>First Gathering Point</t>
        </is>
      </c>
      <c r="C6122" t="inlineStr">
        <is>
          <t>SGS Germany GmbH, Emstek, DE</t>
        </is>
      </c>
      <c r="D6122" t="inlineStr">
        <is>
          <t>28.03.2027</t>
        </is>
      </c>
      <c r="E6122" t="inlineStr">
        <is>
          <t>Romania</t>
        </is>
      </c>
    </row>
    <row r="6123">
      <c r="A6123" t="inlineStr">
        <is>
          <t>Gangrim Fueltech,  Hamyang-gun, South Korea</t>
        </is>
      </c>
      <c r="B6123" t="inlineStr">
        <is>
          <t>Collecting Point, Processing Unit, Trader with Storage</t>
        </is>
      </c>
      <c r="C6123" t="inlineStr">
        <is>
          <t>Korean Foundation for Quality, Songpa-gu, Seoul, KR</t>
        </is>
      </c>
      <c r="D6123" t="inlineStr">
        <is>
          <t>28.03.2027</t>
        </is>
      </c>
      <c r="E6123" t="inlineStr">
        <is>
          <t>South Korea</t>
        </is>
      </c>
    </row>
    <row r="6124">
      <c r="A6124" t="inlineStr">
        <is>
          <t>Ecosan,  Seregno (MB), Italy</t>
        </is>
      </c>
      <c r="B6124" t="inlineStr">
        <is>
          <t>Collecting Point</t>
        </is>
      </c>
      <c r="C6124" t="inlineStr">
        <is>
          <t>ICIM SpA, sesto san giovanni, IT</t>
        </is>
      </c>
      <c r="D6124" t="inlineStr">
        <is>
          <t>28.03.2027</t>
        </is>
      </c>
      <c r="E6124" t="inlineStr">
        <is>
          <t>Italy</t>
        </is>
      </c>
    </row>
    <row r="6125">
      <c r="A6125" t="inlineStr">
        <is>
          <t>JANGKWANG CORPORATION,  SEOUL, South Korea</t>
        </is>
      </c>
      <c r="B6125" t="inlineStr">
        <is>
          <t>Trader</t>
        </is>
      </c>
      <c r="C6125" t="inlineStr">
        <is>
          <t>Bureau Veritas Polska Sp. z o.o., Warsaw, PL</t>
        </is>
      </c>
      <c r="D6125" t="inlineStr">
        <is>
          <t>28.03.2027</t>
        </is>
      </c>
      <c r="E6125" t="inlineStr">
        <is>
          <t>South Korea</t>
        </is>
      </c>
    </row>
    <row r="6126">
      <c r="A6126" t="inlineStr">
        <is>
          <t>ZM SILESIA SA,  Oława;, Poland</t>
        </is>
      </c>
      <c r="B6126" t="inlineStr">
        <is>
          <t>Point of Origin, Collecting Point, Processing Unit</t>
        </is>
      </c>
      <c r="C6126" t="inlineStr">
        <is>
          <t>Bureau Veritas Polska Sp. z o.o., Warsaw, PL</t>
        </is>
      </c>
      <c r="D6126" t="inlineStr">
        <is>
          <t>28.03.2027</t>
        </is>
      </c>
      <c r="E6126" t="inlineStr">
        <is>
          <t>Poland</t>
        </is>
      </c>
    </row>
    <row r="6127">
      <c r="A6127" t="inlineStr">
        <is>
          <t>SECANIM - Etablissement de Bayet,  Bayet, France</t>
        </is>
      </c>
      <c r="B6127" t="inlineStr">
        <is>
          <t>Point of Origin, Processing Unit</t>
        </is>
      </c>
      <c r="C6127" t="inlineStr">
        <is>
          <t>Control Union Certifications Germany GmbH, Berlin, DE</t>
        </is>
      </c>
      <c r="D6127" t="inlineStr">
        <is>
          <t>28.03.2027</t>
        </is>
      </c>
      <c r="E6127" t="inlineStr">
        <is>
          <t>France</t>
        </is>
      </c>
    </row>
    <row r="6128">
      <c r="A6128" t="inlineStr">
        <is>
          <t>EXTRUPLAST,  17000 LA ROCHELLE, France</t>
        </is>
      </c>
      <c r="B6128" t="inlineStr">
        <is>
          <t>Trader with Storage, Warehouse</t>
        </is>
      </c>
      <c r="C6128" t="inlineStr">
        <is>
          <t>Bureau Veritas Polska Sp. z o.o., Warsaw, PL</t>
        </is>
      </c>
      <c r="D6128" t="inlineStr">
        <is>
          <t>28.03.2027</t>
        </is>
      </c>
      <c r="E6128" t="inlineStr">
        <is>
          <t>France</t>
        </is>
      </c>
    </row>
    <row r="6129">
      <c r="A6129" t="inlineStr">
        <is>
          <t>Nexeo Plastics UK,  London, United Kingdom</t>
        </is>
      </c>
      <c r="B6129" t="inlineStr">
        <is>
          <t>Trader with Storage</t>
        </is>
      </c>
      <c r="C6129" t="inlineStr">
        <is>
          <t>Bureau Veritas Polska Sp. z o.o., Warsaw, PL</t>
        </is>
      </c>
      <c r="D6129" t="inlineStr">
        <is>
          <t>28.03.2027</t>
        </is>
      </c>
      <c r="E6129" t="inlineStr">
        <is>
          <t>United Kingdom</t>
        </is>
      </c>
    </row>
    <row r="6130">
      <c r="A6130" t="inlineStr">
        <is>
          <t>Henry Lamotte Oils GmbH,  Bremen, Germany</t>
        </is>
      </c>
      <c r="B6130" t="inlineStr">
        <is>
          <t>Trader with Storage, Warehouse</t>
        </is>
      </c>
      <c r="C6130" t="inlineStr">
        <is>
          <t>SGS Germany GmbH, Emstek, DE</t>
        </is>
      </c>
      <c r="D6130" t="inlineStr">
        <is>
          <t>27.03.2027</t>
        </is>
      </c>
      <c r="E6130" t="inlineStr">
        <is>
          <t>Germany</t>
        </is>
      </c>
    </row>
    <row r="6131">
      <c r="A6131" t="inlineStr">
        <is>
          <t>Sirilertwanitch co.,ltd,  Klongsamwa , Bangkok, Thailand</t>
        </is>
      </c>
      <c r="B6131" t="inlineStr">
        <is>
          <t>Collecting Point</t>
        </is>
      </c>
      <c r="C6131" t="inlineStr">
        <is>
          <t>Control Union Poland Sp. z o.o., Zielona Gora, PL</t>
        </is>
      </c>
      <c r="D6131" t="inlineStr">
        <is>
          <t>27.03.2027</t>
        </is>
      </c>
      <c r="E6131" t="inlineStr">
        <is>
          <t>Thailand</t>
        </is>
      </c>
    </row>
    <row r="6132">
      <c r="A6132" t="inlineStr">
        <is>
          <t>Heze Zhongding Renewable Resources Recycling Co., Ltd.,  Heze City, Shandong Province, China</t>
        </is>
      </c>
      <c r="B6132" t="inlineStr">
        <is>
          <t>Collecting Point, Trader</t>
        </is>
      </c>
      <c r="C6132" t="inlineStr">
        <is>
          <t>RINA Services S.p.A., Genova, IT</t>
        </is>
      </c>
      <c r="D6132" t="inlineStr">
        <is>
          <t>27.03.2027</t>
        </is>
      </c>
      <c r="E6132" t="inlineStr">
        <is>
          <t>China</t>
        </is>
      </c>
    </row>
    <row r="6133">
      <c r="A6133" t="inlineStr">
        <is>
          <t>G.K.X. Ltd,  Sofia, Bulgaria</t>
        </is>
      </c>
      <c r="B6133" t="inlineStr">
        <is>
          <t>Trader</t>
        </is>
      </c>
      <c r="C6133" t="inlineStr">
        <is>
          <t>QMSCERT S.A., Pylaia, Thessaloniki, GR</t>
        </is>
      </c>
      <c r="D6133" t="inlineStr">
        <is>
          <t>27.03.2027</t>
        </is>
      </c>
      <c r="E6133" t="inlineStr">
        <is>
          <t>Bulgaria</t>
        </is>
      </c>
    </row>
    <row r="6134">
      <c r="A6134" t="inlineStr">
        <is>
          <t>Octaviano Palomo, S.L.U.,  Segovia, Spain</t>
        </is>
      </c>
      <c r="B6134" t="inlineStr">
        <is>
          <t>First Gathering Point, Trader with Storage</t>
        </is>
      </c>
      <c r="C6134" t="inlineStr">
        <is>
          <t>Control Union Poland Sp. z o.o., Zielona Gora, PL</t>
        </is>
      </c>
      <c r="D6134" t="inlineStr">
        <is>
          <t>27.03.2027</t>
        </is>
      </c>
      <c r="E6134" t="inlineStr">
        <is>
          <t>Spain</t>
        </is>
      </c>
    </row>
    <row r="6135">
      <c r="A6135" t="inlineStr">
        <is>
          <t>Lyst-Ruchky,  Ruchky village, Myrhorod distr., Poltava reg.,, Ukraine</t>
        </is>
      </c>
      <c r="B6135" t="inlineStr">
        <is>
          <t>Farm / Plantation</t>
        </is>
      </c>
      <c r="C6135" t="inlineStr">
        <is>
          <t>Organic Standard Ltd, Kyiv, UA</t>
        </is>
      </c>
      <c r="D6135" t="inlineStr">
        <is>
          <t>27.03.2027</t>
        </is>
      </c>
      <c r="E6135" t="inlineStr">
        <is>
          <t>Ukraine</t>
        </is>
      </c>
    </row>
    <row r="6136">
      <c r="A6136" t="inlineStr">
        <is>
          <t>Enerjipro Danismanlik Petrol &amp; Proje Ltd Sti,  Istanbul, Turkey</t>
        </is>
      </c>
      <c r="B6136" t="inlineStr">
        <is>
          <t>Trader</t>
        </is>
      </c>
      <c r="C6136" t="inlineStr">
        <is>
          <t>PT Intertek Utama Services, Jakarta, ID</t>
        </is>
      </c>
      <c r="D6136" t="inlineStr">
        <is>
          <t>27.03.2027</t>
        </is>
      </c>
      <c r="E6136" t="inlineStr">
        <is>
          <t>Turkey</t>
        </is>
      </c>
    </row>
    <row r="6137">
      <c r="A6137" t="inlineStr">
        <is>
          <t>Nouryon Surface Chemistry,  Stenungsund, Sweden</t>
        </is>
      </c>
      <c r="B6137" t="inlineStr">
        <is>
          <t>Processing Unit</t>
        </is>
      </c>
      <c r="C6137" t="inlineStr">
        <is>
          <t>DNV Business Assurance Sweden AB, Solna, SE</t>
        </is>
      </c>
      <c r="D6137" t="inlineStr">
        <is>
          <t>27.03.2027</t>
        </is>
      </c>
      <c r="E6137" t="inlineStr">
        <is>
          <t>Sweden</t>
        </is>
      </c>
    </row>
    <row r="6138">
      <c r="A6138" t="inlineStr">
        <is>
          <t>Nouryon Chemicals Finland,  Äänekoski, Finland</t>
        </is>
      </c>
      <c r="B6138" t="inlineStr">
        <is>
          <t>Processing Unit</t>
        </is>
      </c>
      <c r="C6138" t="inlineStr">
        <is>
          <t>DNV Business Assurance Sweden AB, Solna, SE</t>
        </is>
      </c>
      <c r="D6138" t="inlineStr">
        <is>
          <t>27.03.2027</t>
        </is>
      </c>
      <c r="E6138" t="inlineStr">
        <is>
          <t>Finland</t>
        </is>
      </c>
    </row>
    <row r="6139">
      <c r="A6139" t="inlineStr">
        <is>
          <t>TOAGOSEI Co., Ltd.,  Oita, Japan</t>
        </is>
      </c>
      <c r="B6139" t="inlineStr">
        <is>
          <t>Processing Unit</t>
        </is>
      </c>
      <c r="C6139" t="inlineStr">
        <is>
          <t>Control Union Certifications Germany GmbH, Berlin, DE</t>
        </is>
      </c>
      <c r="D6139" t="inlineStr">
        <is>
          <t>27.03.2027</t>
        </is>
      </c>
      <c r="E6139" t="inlineStr">
        <is>
          <t>Japan</t>
        </is>
      </c>
    </row>
    <row r="6140">
      <c r="A6140" t="inlineStr">
        <is>
          <t>China Merchants Energy Trading (Singapore) Pte. Ltd,  Singapore, Singapore</t>
        </is>
      </c>
      <c r="B6140" t="inlineStr">
        <is>
          <t>Trader</t>
        </is>
      </c>
      <c r="C6140" t="inlineStr">
        <is>
          <t>Control Union Certifications Germany GmbH, Berlin, DE</t>
        </is>
      </c>
      <c r="D6140" t="inlineStr">
        <is>
          <t>27.03.2027</t>
        </is>
      </c>
      <c r="E6140" t="inlineStr">
        <is>
          <t>Singapore</t>
        </is>
      </c>
    </row>
    <row r="6141">
      <c r="A6141" t="inlineStr">
        <is>
          <t>Aptar Freyung GmbH,  Freyung, Germany</t>
        </is>
      </c>
      <c r="B6141" t="inlineStr">
        <is>
          <t>Processing Unit</t>
        </is>
      </c>
      <c r="C6141" t="inlineStr">
        <is>
          <t>DNV Business Assurance Sweden AB, Solna, SE</t>
        </is>
      </c>
      <c r="D6141" t="inlineStr">
        <is>
          <t>27.03.2027</t>
        </is>
      </c>
      <c r="E6141" t="inlineStr">
        <is>
          <t>Germany</t>
        </is>
      </c>
    </row>
    <row r="6142">
      <c r="A6142" t="inlineStr">
        <is>
          <t>HD Commodity s.r.o.,  Praha 4, Czech Republic</t>
        </is>
      </c>
      <c r="B6142" t="inlineStr">
        <is>
          <t>First Gathering Point, Trader</t>
        </is>
      </c>
      <c r="C6142" t="inlineStr">
        <is>
          <t>Bureau Veritas Polska Sp. z o.o., Warsaw, PL</t>
        </is>
      </c>
      <c r="D6142" t="inlineStr">
        <is>
          <t>27.03.2027</t>
        </is>
      </c>
      <c r="E6142" t="inlineStr">
        <is>
          <t>Czech Republic</t>
        </is>
      </c>
    </row>
    <row r="6143">
      <c r="A6143" t="inlineStr">
        <is>
          <t>Chin Mou Co., LTD.,  New Taipei City, Taiwan</t>
        </is>
      </c>
      <c r="B6143" t="inlineStr">
        <is>
          <t>Trader with Storage</t>
        </is>
      </c>
      <c r="C6143" t="inlineStr">
        <is>
          <t>Bureau Veritas Polska Sp. z o.o., Warsaw, PL</t>
        </is>
      </c>
      <c r="D6143" t="inlineStr">
        <is>
          <t>27.03.2027</t>
        </is>
      </c>
      <c r="E6143" t="inlineStr">
        <is>
          <t>Taiwan</t>
        </is>
      </c>
    </row>
    <row r="6144">
      <c r="A6144" t="inlineStr">
        <is>
          <t>OIA GLOBAL LOGISTICS-SCM, INC.,  Portland, United States</t>
        </is>
      </c>
      <c r="B6144" t="inlineStr">
        <is>
          <t>Trader</t>
        </is>
      </c>
      <c r="C6144" t="inlineStr">
        <is>
          <t>PT Intertek Utama Services, Jakarta, ID</t>
        </is>
      </c>
      <c r="D6144" t="inlineStr">
        <is>
          <t>27.03.2027</t>
        </is>
      </c>
      <c r="E6144" t="inlineStr">
        <is>
          <t>United States</t>
        </is>
      </c>
    </row>
    <row r="6145">
      <c r="A6145" t="inlineStr">
        <is>
          <t>Olmmer Sp. z o.o.,  Pionki, Poland</t>
        </is>
      </c>
      <c r="B6145" t="inlineStr">
        <is>
          <t>Processing Unit</t>
        </is>
      </c>
      <c r="C6145" t="inlineStr">
        <is>
          <t>Bureau Veritas Polska Sp. z o.o., Warsaw, PL</t>
        </is>
      </c>
      <c r="D6145" t="inlineStr">
        <is>
          <t>27.03.2027</t>
        </is>
      </c>
      <c r="E6145" t="inlineStr">
        <is>
          <t>Poland</t>
        </is>
      </c>
    </row>
    <row r="6146">
      <c r="A6146" t="inlineStr">
        <is>
          <t>Bakcycle Geri Dönüşüm San. ve Tic. A.Ş.,  İzmir, Turkey</t>
        </is>
      </c>
      <c r="B6146" t="inlineStr">
        <is>
          <t>Collecting Point, Processing Unit</t>
        </is>
      </c>
      <c r="C6146" t="inlineStr">
        <is>
          <t>Control Union Certifications Germany GmbH, Berlin, DE</t>
        </is>
      </c>
      <c r="D6146" t="inlineStr">
        <is>
          <t>27.03.2027</t>
        </is>
      </c>
      <c r="E6146" t="inlineStr">
        <is>
          <t>Turkey</t>
        </is>
      </c>
    </row>
    <row r="6147">
      <c r="A6147" t="inlineStr">
        <is>
          <t>JMAX BIO CO., LTD,  Bundang-gu, Seongnam-si,, Korea, Republic of</t>
        </is>
      </c>
      <c r="B6147" t="inlineStr">
        <is>
          <t>Trader with Storage</t>
        </is>
      </c>
      <c r="C6147" t="inlineStr">
        <is>
          <t>BM Certification, Riga, LV</t>
        </is>
      </c>
      <c r="D6147" t="inlineStr">
        <is>
          <t>27.03.2027</t>
        </is>
      </c>
      <c r="E6147" t="inlineStr">
        <is>
          <t>Republic of</t>
        </is>
      </c>
    </row>
    <row r="6148">
      <c r="A6148" t="inlineStr">
        <is>
          <t>New Italgrassi,  Paderno Dugnano, Milano, Italy</t>
        </is>
      </c>
      <c r="B6148" t="inlineStr">
        <is>
          <t>Collecting Point, Processing Unit, Trader with Storage</t>
        </is>
      </c>
      <c r="C6148" t="inlineStr">
        <is>
          <t>SGS Germany GmbH, Emstek, DE</t>
        </is>
      </c>
      <c r="D6148" t="inlineStr">
        <is>
          <t>27.03.2027</t>
        </is>
      </c>
      <c r="E6148" t="inlineStr">
        <is>
          <t>Italy</t>
        </is>
      </c>
    </row>
    <row r="6149">
      <c r="A6149" t="inlineStr">
        <is>
          <t>Bunge Polska Sp z o.o.,  Brzeg, Poland</t>
        </is>
      </c>
      <c r="B6149" t="inlineStr">
        <is>
          <t>Processing Unit, Warehouse</t>
        </is>
      </c>
      <c r="C6149" t="inlineStr">
        <is>
          <t>Bureau Veritas Polska Sp. z o.o., Warsaw, PL</t>
        </is>
      </c>
      <c r="D6149" t="inlineStr">
        <is>
          <t>27.03.2027</t>
        </is>
      </c>
      <c r="E6149" t="inlineStr">
        <is>
          <t>Poland</t>
        </is>
      </c>
    </row>
    <row r="6150">
      <c r="A6150" t="inlineStr">
        <is>
          <t>GLS Poly films PVT LTD,  Gurawara, Sub Tehsil- Palhawas, Rewari, India</t>
        </is>
      </c>
      <c r="B6150" t="inlineStr">
        <is>
          <t>Processing Unit</t>
        </is>
      </c>
      <c r="C6150" t="inlineStr">
        <is>
          <t>ISOQAR Ltd, Stretford, Manchester, GB</t>
        </is>
      </c>
      <c r="D6150" t="inlineStr">
        <is>
          <t>27.03.2027</t>
        </is>
      </c>
      <c r="E6150" t="inlineStr">
        <is>
          <t>India</t>
        </is>
      </c>
    </row>
    <row r="6151">
      <c r="A6151" t="inlineStr">
        <is>
          <t>BSA Sourcing,  Parque Ind. MTY Technology Park, Cienega de Flores, Mexico</t>
        </is>
      </c>
      <c r="B6151" t="inlineStr">
        <is>
          <t>Processing Unit</t>
        </is>
      </c>
      <c r="C6151" t="inlineStr">
        <is>
          <t>SCS Global Services, Emeryville, CA, US</t>
        </is>
      </c>
      <c r="D6151" t="inlineStr">
        <is>
          <t>27.03.2027</t>
        </is>
      </c>
      <c r="E6151" t="inlineStr">
        <is>
          <t>Mexico</t>
        </is>
      </c>
    </row>
    <row r="6152">
      <c r="A6152" t="inlineStr">
        <is>
          <t>Hoffmann Neopac,  Oberdiessbach, Switzerland</t>
        </is>
      </c>
      <c r="B6152" t="inlineStr">
        <is>
          <t>Processing Unit</t>
        </is>
      </c>
      <c r="C6152" t="inlineStr">
        <is>
          <t>Control Union Certifications Germany GmbH, Berlin, DE</t>
        </is>
      </c>
      <c r="D6152" t="inlineStr">
        <is>
          <t>27.03.2027</t>
        </is>
      </c>
      <c r="E6152" t="inlineStr">
        <is>
          <t>Switzerland</t>
        </is>
      </c>
    </row>
    <row r="6153">
      <c r="A6153" t="inlineStr">
        <is>
          <t>Ulsan PP Co., Ltd.,  Ulsan, Korea, Republic of</t>
        </is>
      </c>
      <c r="B6153" t="inlineStr">
        <is>
          <t>Processing Unit</t>
        </is>
      </c>
      <c r="C6153" t="inlineStr">
        <is>
          <t>Control Union Certifications Germany GmbH, Berlin, DE</t>
        </is>
      </c>
      <c r="D6153" t="inlineStr">
        <is>
          <t>27.03.2027</t>
        </is>
      </c>
      <c r="E6153" t="inlineStr">
        <is>
          <t>Republic of</t>
        </is>
      </c>
    </row>
    <row r="6154">
      <c r="A6154" t="inlineStr">
        <is>
          <t>ROX GmbH,  Dresden, Germany</t>
        </is>
      </c>
      <c r="B6154" t="inlineStr">
        <is>
          <t>Trader with Storage</t>
        </is>
      </c>
      <c r="C6154" t="inlineStr">
        <is>
          <t>GUT Certifizierungsgesellschaft für Managementsysteme mbH Umweltgutachter, Berlin, DE</t>
        </is>
      </c>
      <c r="D6154" t="inlineStr">
        <is>
          <t>27.03.2027</t>
        </is>
      </c>
      <c r="E6154" t="inlineStr">
        <is>
          <t>Germany</t>
        </is>
      </c>
    </row>
    <row r="6155">
      <c r="A6155" t="inlineStr">
        <is>
          <t>Scandagra Latvia,  Rīga, Latvia</t>
        </is>
      </c>
      <c r="B6155" t="inlineStr">
        <is>
          <t>First Gathering Point, Trader with Storage</t>
        </is>
      </c>
      <c r="C6155" t="inlineStr">
        <is>
          <t>BM Certification, Riga, LV</t>
        </is>
      </c>
      <c r="D6155" t="inlineStr">
        <is>
          <t>27.03.2027</t>
        </is>
      </c>
      <c r="E6155" t="inlineStr">
        <is>
          <t>Latvia</t>
        </is>
      </c>
    </row>
    <row r="6156">
      <c r="A6156" t="inlineStr">
        <is>
          <t>Victor Enterprises Pte Ltd,  Singapore, Singapore</t>
        </is>
      </c>
      <c r="B6156" t="inlineStr">
        <is>
          <t>Trader with Storage</t>
        </is>
      </c>
      <c r="C6156" t="inlineStr">
        <is>
          <t>Control Union Certifications Germany GmbH, Berlin, DE</t>
        </is>
      </c>
      <c r="D6156" t="inlineStr">
        <is>
          <t>27.03.2027</t>
        </is>
      </c>
      <c r="E6156" t="inlineStr">
        <is>
          <t>Singapore</t>
        </is>
      </c>
    </row>
    <row r="6157">
      <c r="A6157" t="inlineStr">
        <is>
          <t>HK Cosmetic Packaging,  Coburg-Creidlitz, Germany</t>
        </is>
      </c>
      <c r="B6157" t="inlineStr">
        <is>
          <t>Processing Unit, Trader with Storage</t>
        </is>
      </c>
      <c r="C6157" t="inlineStr">
        <is>
          <t>SGS Germany GmbH, Emstek, DE</t>
        </is>
      </c>
      <c r="D6157" t="inlineStr">
        <is>
          <t>27.03.2027</t>
        </is>
      </c>
      <c r="E6157" t="inlineStr">
        <is>
          <t>Germany</t>
        </is>
      </c>
    </row>
    <row r="6158">
      <c r="A6158" t="inlineStr">
        <is>
          <t>NIPPON STEEL Chemical &amp; Material Co.,Ltd.,  Tahara-shi,Aichi, Japan</t>
        </is>
      </c>
      <c r="B6158" t="inlineStr">
        <is>
          <t>Processing Unit</t>
        </is>
      </c>
      <c r="C6158" t="inlineStr">
        <is>
          <t>SGS Germany GmbH, Emstek, DE</t>
        </is>
      </c>
      <c r="D6158" t="inlineStr">
        <is>
          <t>27.03.2027</t>
        </is>
      </c>
      <c r="E6158" t="inlineStr">
        <is>
          <t>Japan</t>
        </is>
      </c>
    </row>
    <row r="6159">
      <c r="A6159" t="inlineStr">
        <is>
          <t>GLS ELOPAK PRIVATE LIMITED,  Rewari, India</t>
        </is>
      </c>
      <c r="B6159" t="inlineStr">
        <is>
          <t>Final Product Refinement, Processing Unit</t>
        </is>
      </c>
      <c r="C6159" t="inlineStr">
        <is>
          <t>Cotecna India Inspection Pvt Ltd, Kolkata, IN</t>
        </is>
      </c>
      <c r="D6159" t="inlineStr">
        <is>
          <t>27.03.2027</t>
        </is>
      </c>
      <c r="E6159" t="inlineStr">
        <is>
          <t>India</t>
        </is>
      </c>
    </row>
    <row r="6160">
      <c r="A6160" t="inlineStr">
        <is>
          <t>KoreaPetroleum,  Seoul, South Korea</t>
        </is>
      </c>
      <c r="B6160" t="inlineStr">
        <is>
          <t>Trader</t>
        </is>
      </c>
      <c r="C6160" t="inlineStr">
        <is>
          <t>Korean Foundation for Quality, Songpa-gu, Seoul, KR</t>
        </is>
      </c>
      <c r="D6160" t="inlineStr">
        <is>
          <t>27.03.2027</t>
        </is>
      </c>
      <c r="E6160" t="inlineStr">
        <is>
          <t>South Korea</t>
        </is>
      </c>
    </row>
    <row r="6161">
      <c r="A6161" t="inlineStr">
        <is>
          <t>Cordless Filter Machine,  Woodridge, Australia</t>
        </is>
      </c>
      <c r="B6161" t="inlineStr">
        <is>
          <t>Collecting Point, Trader with Storage</t>
        </is>
      </c>
      <c r="C6161" t="inlineStr">
        <is>
          <t>Control Union Certifications Germany GmbH, Berlin, DE</t>
        </is>
      </c>
      <c r="D6161" t="inlineStr">
        <is>
          <t>27.03.2027</t>
        </is>
      </c>
      <c r="E6161" t="inlineStr">
        <is>
          <t>Australia</t>
        </is>
      </c>
    </row>
    <row r="6162">
      <c r="A6162" t="inlineStr">
        <is>
          <t>Holborn European Marketing Co. Ltd.,  Larnaca, Cyprus</t>
        </is>
      </c>
      <c r="B6162" t="inlineStr">
        <is>
          <t>Trader with Storage</t>
        </is>
      </c>
      <c r="C6162" t="inlineStr">
        <is>
          <t>GUT Certifizierungsgesellschaft für Managementsysteme mbH Umweltgutachter, Berlin, DE</t>
        </is>
      </c>
      <c r="D6162" t="inlineStr">
        <is>
          <t>27.03.2027</t>
        </is>
      </c>
      <c r="E6162" t="inlineStr">
        <is>
          <t>Cyprus</t>
        </is>
      </c>
    </row>
    <row r="6163">
      <c r="A6163" t="inlineStr">
        <is>
          <t>Ameresco Brickyard RNG LLC,  Danville, United States</t>
        </is>
      </c>
      <c r="B6163" t="inlineStr">
        <is>
          <t>Processing Unit, Collecting Point</t>
        </is>
      </c>
      <c r="C6163" t="inlineStr">
        <is>
          <t>SCS Global Services, Emeryville, CA, US</t>
        </is>
      </c>
      <c r="D6163" t="inlineStr">
        <is>
          <t>27.03.2027</t>
        </is>
      </c>
      <c r="E6163" t="inlineStr">
        <is>
          <t>United States</t>
        </is>
      </c>
    </row>
    <row r="6164">
      <c r="A6164" t="inlineStr">
        <is>
          <t>Ameresco Brickyard RNG LLC,  Danville, United States</t>
        </is>
      </c>
      <c r="B6164" t="inlineStr">
        <is>
          <t>Processing Unit, Collecting Point</t>
        </is>
      </c>
      <c r="C6164" t="inlineStr">
        <is>
          <t>SCS Global Services, Emeryville, CA, US</t>
        </is>
      </c>
      <c r="D6164" t="inlineStr">
        <is>
          <t>27.03.2027</t>
        </is>
      </c>
      <c r="E6164" t="inlineStr">
        <is>
          <t>United States</t>
        </is>
      </c>
    </row>
    <row r="6165">
      <c r="A6165" t="inlineStr">
        <is>
          <t>ENGIE SA,  La Garenne-Colombes, France</t>
        </is>
      </c>
      <c r="B6165" t="inlineStr">
        <is>
          <t>Trader with Storage</t>
        </is>
      </c>
      <c r="C6165" t="inlineStr">
        <is>
          <t>Double Helix Tracking Technologies Pte Ltd, Singapore, SG</t>
        </is>
      </c>
      <c r="D6165" t="inlineStr">
        <is>
          <t>27.03.2027</t>
        </is>
      </c>
      <c r="E6165" t="inlineStr">
        <is>
          <t>France</t>
        </is>
      </c>
    </row>
    <row r="6166">
      <c r="A6166" t="inlineStr">
        <is>
          <t>Selle Royal Group,  Pozzoleone, Italy</t>
        </is>
      </c>
      <c r="B6166" t="inlineStr">
        <is>
          <t>Processing Unit</t>
        </is>
      </c>
      <c r="C6166" t="inlineStr">
        <is>
          <t>IIP S.r.l., Monza, IT</t>
        </is>
      </c>
      <c r="D6166" t="inlineStr">
        <is>
          <t>27.03.2027</t>
        </is>
      </c>
      <c r="E6166" t="inlineStr">
        <is>
          <t>Italy</t>
        </is>
      </c>
    </row>
    <row r="6167">
      <c r="A6167" t="inlineStr">
        <is>
          <t>New Deal Plast,  Borso del Grappa, Italy</t>
        </is>
      </c>
      <c r="B6167" t="inlineStr">
        <is>
          <t>Processing Unit</t>
        </is>
      </c>
      <c r="C6167" t="inlineStr">
        <is>
          <t>IIP S.r.l., Monza, IT</t>
        </is>
      </c>
      <c r="D6167" t="inlineStr">
        <is>
          <t>27.03.2027</t>
        </is>
      </c>
      <c r="E6167" t="inlineStr">
        <is>
          <t>Italy</t>
        </is>
      </c>
    </row>
    <row r="6168">
      <c r="A6168" t="inlineStr">
        <is>
          <t>German Waste Management GmbH,  Wolfsburg, Germany</t>
        </is>
      </c>
      <c r="B6168" t="inlineStr">
        <is>
          <t>Collecting Point, Trader with Storage</t>
        </is>
      </c>
      <c r="C6168" t="inlineStr">
        <is>
          <t>BM Certification, Riga, LV</t>
        </is>
      </c>
      <c r="D6168" t="inlineStr">
        <is>
          <t>27.03.2027</t>
        </is>
      </c>
      <c r="E6168" t="inlineStr">
        <is>
          <t>Germany</t>
        </is>
      </c>
    </row>
    <row r="6169">
      <c r="A6169" t="inlineStr">
        <is>
          <t>Quatra Deutschland,  Bergisch Gladbach, Germany</t>
        </is>
      </c>
      <c r="B6169" t="inlineStr">
        <is>
          <t>Collecting Point, Trader with Storage</t>
        </is>
      </c>
      <c r="C6169" t="inlineStr">
        <is>
          <t>Control Union Certifications Germany GmbH, Berlin, DE</t>
        </is>
      </c>
      <c r="D6169" t="inlineStr">
        <is>
          <t>27.03.2027</t>
        </is>
      </c>
      <c r="E6169" t="inlineStr">
        <is>
          <t>Germany</t>
        </is>
      </c>
    </row>
    <row r="6170">
      <c r="A6170" t="inlineStr">
        <is>
          <t>Hubei Ouchi Environmental Technology Co., Ltd.,  Daye City, Huangshi City, Hubei Province, China</t>
        </is>
      </c>
      <c r="B6170" t="inlineStr">
        <is>
          <t>Collecting Point, Trader</t>
        </is>
      </c>
      <c r="C6170" t="inlineStr">
        <is>
          <t>RINA Services S.p.A., Genova, IT</t>
        </is>
      </c>
      <c r="D6170" t="inlineStr">
        <is>
          <t>27.03.2027</t>
        </is>
      </c>
      <c r="E6170" t="inlineStr">
        <is>
          <t>China</t>
        </is>
      </c>
    </row>
    <row r="6171">
      <c r="A6171" t="inlineStr">
        <is>
          <t>DH BIO Co., Ltd.,  Goesan-gun, Chungcheongbuk-do, Korea, Republic of</t>
        </is>
      </c>
      <c r="B6171" t="inlineStr">
        <is>
          <t>Collecting Point, Trader with Storage</t>
        </is>
      </c>
      <c r="C6171" t="inlineStr">
        <is>
          <t>Control Union Certifications Germany GmbH, Berlin, DE</t>
        </is>
      </c>
      <c r="D6171" t="inlineStr">
        <is>
          <t>27.03.2027</t>
        </is>
      </c>
      <c r="E6171" t="inlineStr">
        <is>
          <t>Republic of</t>
        </is>
      </c>
    </row>
    <row r="6172">
      <c r="A6172" t="inlineStr">
        <is>
          <t>Oil Drop (PTY) Ltd,  Maitland, South Africa</t>
        </is>
      </c>
      <c r="B6172" t="inlineStr">
        <is>
          <t>Collecting Point, Trader with Storage</t>
        </is>
      </c>
      <c r="C6172" t="inlineStr">
        <is>
          <t>Control Union Certifications Germany GmbH, Berlin, DE</t>
        </is>
      </c>
      <c r="D6172" t="inlineStr">
        <is>
          <t>26.03.2027</t>
        </is>
      </c>
      <c r="E6172" t="inlineStr">
        <is>
          <t>South Africa</t>
        </is>
      </c>
    </row>
    <row r="6173">
      <c r="A6173" t="inlineStr">
        <is>
          <t>GreenMantra Technologies,  BRANTFORD, Canada</t>
        </is>
      </c>
      <c r="B6173" t="inlineStr">
        <is>
          <t>Collecting Point, Processing Unit</t>
        </is>
      </c>
      <c r="C6173" t="inlineStr">
        <is>
          <t>SCS Global Services, Emeryville, CA, US</t>
        </is>
      </c>
      <c r="D6173" t="inlineStr">
        <is>
          <t>26.03.2027</t>
        </is>
      </c>
      <c r="E6173" t="inlineStr">
        <is>
          <t>Canada</t>
        </is>
      </c>
    </row>
    <row r="6174">
      <c r="A6174" t="inlineStr">
        <is>
          <t>Toyotsu Chemiplas Corporation,  Minato-ku, Tokyo,, Japan</t>
        </is>
      </c>
      <c r="B6174" t="inlineStr">
        <is>
          <t>Trader with Storage</t>
        </is>
      </c>
      <c r="C6174" t="inlineStr">
        <is>
          <t>Control Union Certifications Germany GmbH, Berlin, DE</t>
        </is>
      </c>
      <c r="D6174" t="inlineStr">
        <is>
          <t>26.03.2027</t>
        </is>
      </c>
      <c r="E6174" t="inlineStr">
        <is>
          <t>Japan</t>
        </is>
      </c>
    </row>
    <row r="6175">
      <c r="A6175" t="inlineStr">
        <is>
          <t>Toyotsu Chemiplas Corporation,  Chuo-ku, Osaka-shi, Osaka, Japan</t>
        </is>
      </c>
      <c r="B6175" t="inlineStr">
        <is>
          <t>Trader with Storage</t>
        </is>
      </c>
      <c r="C6175" t="inlineStr">
        <is>
          <t>Control Union Certifications Germany GmbH, Berlin, DE</t>
        </is>
      </c>
      <c r="D6175" t="inlineStr">
        <is>
          <t>26.03.2027</t>
        </is>
      </c>
      <c r="E6175" t="inlineStr">
        <is>
          <t>Japan</t>
        </is>
      </c>
    </row>
    <row r="6176">
      <c r="A6176" t="inlineStr">
        <is>
          <t>GREASE RECYCLERS LLC,  Houston, United States</t>
        </is>
      </c>
      <c r="B6176" t="inlineStr">
        <is>
          <t>Collecting Point</t>
        </is>
      </c>
      <c r="C6176" t="inlineStr">
        <is>
          <t>Amspec Iberia SL, Vilagarcia de Arousa-Pontevedra, ES</t>
        </is>
      </c>
      <c r="D6176" t="inlineStr">
        <is>
          <t>26.03.2027</t>
        </is>
      </c>
      <c r="E6176" t="inlineStr">
        <is>
          <t>United States</t>
        </is>
      </c>
    </row>
    <row r="6177">
      <c r="A6177" t="inlineStr">
        <is>
          <t>GREASE RECYCLERS LLC,  Houston, United States</t>
        </is>
      </c>
      <c r="B6177" t="inlineStr">
        <is>
          <t>Collecting Point</t>
        </is>
      </c>
      <c r="C6177" t="inlineStr">
        <is>
          <t>Amspec Iberia SL, Vilagarcia de Arousa-Pontevedra, ES</t>
        </is>
      </c>
      <c r="D6177" t="inlineStr">
        <is>
          <t>26.03.2027</t>
        </is>
      </c>
      <c r="E6177" t="inlineStr">
        <is>
          <t>United States</t>
        </is>
      </c>
    </row>
    <row r="6178">
      <c r="A6178" t="inlineStr">
        <is>
          <t>Chia Tsun Metal Enterprise Co., Ltd.,  New Taipei City, Taiwan</t>
        </is>
      </c>
      <c r="B6178" t="inlineStr">
        <is>
          <t>Processing Unit</t>
        </is>
      </c>
      <c r="C6178" t="inlineStr">
        <is>
          <t>Control Union Certifications Germany GmbH, Berlin, DE</t>
        </is>
      </c>
      <c r="D6178" t="inlineStr">
        <is>
          <t>26.03.2027</t>
        </is>
      </c>
      <c r="E6178" t="inlineStr">
        <is>
          <t>Taiwan</t>
        </is>
      </c>
    </row>
    <row r="6179">
      <c r="A6179" t="inlineStr">
        <is>
          <t>Jiangxi Hongtai New Energy Co., Ltd,  Shangrao City, Jiangxi Province, China</t>
        </is>
      </c>
      <c r="B6179" t="inlineStr">
        <is>
          <t>Trader</t>
        </is>
      </c>
      <c r="C6179" t="inlineStr">
        <is>
          <t>RINA Services S.p.A., Genova, IT</t>
        </is>
      </c>
      <c r="D6179" t="inlineStr">
        <is>
          <t>26.03.2027</t>
        </is>
      </c>
      <c r="E6179" t="inlineStr">
        <is>
          <t>China</t>
        </is>
      </c>
    </row>
    <row r="6180">
      <c r="A6180" t="inlineStr">
        <is>
          <t>Purefield Ingredients,  Russell, KS, United States</t>
        </is>
      </c>
      <c r="B6180" t="inlineStr">
        <is>
          <t>Point of Origin, Collecting Point, Processing Unit, Trader</t>
        </is>
      </c>
      <c r="C6180" t="inlineStr">
        <is>
          <t>SCS Global Services, Emeryville, CA, US</t>
        </is>
      </c>
      <c r="D6180" t="inlineStr">
        <is>
          <t>26.03.2027</t>
        </is>
      </c>
      <c r="E6180" t="inlineStr">
        <is>
          <t>United States</t>
        </is>
      </c>
    </row>
    <row r="6181">
      <c r="A6181" t="inlineStr">
        <is>
          <t>Rohe Solutions Oy,  Hamina, Finland</t>
        </is>
      </c>
      <c r="B6181" t="inlineStr">
        <is>
          <t>Processing Unit</t>
        </is>
      </c>
      <c r="C6181" t="inlineStr">
        <is>
          <t>Normec QS BV, Ede, NL</t>
        </is>
      </c>
      <c r="D6181" t="inlineStr">
        <is>
          <t>26.03.2027</t>
        </is>
      </c>
      <c r="E6181" t="inlineStr">
        <is>
          <t>Finland</t>
        </is>
      </c>
    </row>
    <row r="6182">
      <c r="A6182" t="inlineStr">
        <is>
          <t>Rohe Solutions Oy,  Hyvinkää, Finland</t>
        </is>
      </c>
      <c r="B6182" t="inlineStr">
        <is>
          <t>Trader</t>
        </is>
      </c>
      <c r="C6182" t="inlineStr">
        <is>
          <t>Normec QS BV, Ede, NL</t>
        </is>
      </c>
      <c r="D6182" t="inlineStr">
        <is>
          <t>26.03.2027</t>
        </is>
      </c>
      <c r="E6182" t="inlineStr">
        <is>
          <t>Finland</t>
        </is>
      </c>
    </row>
    <row r="6183">
      <c r="A6183" t="inlineStr">
        <is>
          <t>DS DANSUK CO., Ltd. (Pyeongtaek 1 Factory),  Poseung-eup, Pyeongtaek-si, Gyeonggi-do, Korea, Republic of</t>
        </is>
      </c>
      <c r="B6183" t="inlineStr">
        <is>
          <t>Trader with Storage, Processing Unit</t>
        </is>
      </c>
      <c r="C6183" t="inlineStr">
        <is>
          <t>Control Union Certifications Germany GmbH, Berlin, DE</t>
        </is>
      </c>
      <c r="D6183" t="inlineStr">
        <is>
          <t>26.03.2027</t>
        </is>
      </c>
      <c r="E6183" t="inlineStr">
        <is>
          <t>Republic of</t>
        </is>
      </c>
    </row>
    <row r="6184">
      <c r="A6184" t="inlineStr">
        <is>
          <t>Hamina LNG Oy,  Hamina, Finland</t>
        </is>
      </c>
      <c r="B6184" t="inlineStr">
        <is>
          <t>Warehouse</t>
        </is>
      </c>
      <c r="C6184" t="inlineStr">
        <is>
          <t>Normec QS BV, Ede, NL</t>
        </is>
      </c>
      <c r="D6184" t="inlineStr">
        <is>
          <t>26.03.2027</t>
        </is>
      </c>
      <c r="E6184" t="inlineStr">
        <is>
          <t>Finland</t>
        </is>
      </c>
    </row>
    <row r="6185">
      <c r="A6185" t="inlineStr">
        <is>
          <t>Tropic Plastic &amp; Packaging Industry (Pty) Limited,  Jacobs, Durban, South Africa</t>
        </is>
      </c>
      <c r="B6185" t="inlineStr">
        <is>
          <t>Final Product Refinement, Processing Unit</t>
        </is>
      </c>
      <c r="C6185" t="inlineStr">
        <is>
          <t>Cotecna India Inspection Pvt Ltd, Kolkata, IN</t>
        </is>
      </c>
      <c r="D6185" t="inlineStr">
        <is>
          <t>26.03.2027</t>
        </is>
      </c>
      <c r="E6185" t="inlineStr">
        <is>
          <t>South Africa</t>
        </is>
      </c>
    </row>
    <row r="6186">
      <c r="A6186" t="inlineStr">
        <is>
          <t>Warrens Emerald Biogas,  Newton Aycliffe, United Kingdom</t>
        </is>
      </c>
      <c r="B6186" t="inlineStr">
        <is>
          <t>Collecting Point, Processing Unit</t>
        </is>
      </c>
      <c r="C6186" t="inlineStr">
        <is>
          <t>BM Certification, Riga, LV</t>
        </is>
      </c>
      <c r="D6186" t="inlineStr">
        <is>
          <t>26.03.2027</t>
        </is>
      </c>
      <c r="E6186" t="inlineStr">
        <is>
          <t>United Kingdom</t>
        </is>
      </c>
    </row>
    <row r="6187">
      <c r="A6187" t="inlineStr">
        <is>
          <t>Shanghai Lian Yun International Trade Co.,Ltd,  Hongkou District, Shanghai, China</t>
        </is>
      </c>
      <c r="B6187" t="inlineStr">
        <is>
          <t>Trader</t>
        </is>
      </c>
      <c r="C6187" t="inlineStr">
        <is>
          <t>RINA Services S.p.A., Genova, IT</t>
        </is>
      </c>
      <c r="D6187" t="inlineStr">
        <is>
          <t>26.03.2027</t>
        </is>
      </c>
      <c r="E6187" t="inlineStr">
        <is>
          <t>China</t>
        </is>
      </c>
    </row>
    <row r="6188">
      <c r="A6188" t="inlineStr">
        <is>
          <t>DS DANSUK CO., Ltd.,  Siheung, Korea, Republic of</t>
        </is>
      </c>
      <c r="B6188" t="inlineStr">
        <is>
          <t>Collecting Point, Processing Unit, Trader with Storage</t>
        </is>
      </c>
      <c r="C6188" t="inlineStr">
        <is>
          <t>Control Union Certifications Germany GmbH, Berlin, DE</t>
        </is>
      </c>
      <c r="D6188" t="inlineStr">
        <is>
          <t>26.03.2027</t>
        </is>
      </c>
      <c r="E6188" t="inlineStr">
        <is>
          <t>Republic of</t>
        </is>
      </c>
    </row>
    <row r="6189">
      <c r="A6189" t="inlineStr">
        <is>
          <t>RSS Motors,  Vilnius, Lithuania</t>
        </is>
      </c>
      <c r="B6189" t="inlineStr">
        <is>
          <t>Proof of Compliance Trader, Trader with Storage</t>
        </is>
      </c>
      <c r="C6189" t="inlineStr">
        <is>
          <t>BM Certification, Riga, LV</t>
        </is>
      </c>
      <c r="D6189" t="inlineStr">
        <is>
          <t>26.03.2027</t>
        </is>
      </c>
      <c r="E6189" t="inlineStr">
        <is>
          <t>Lithuania</t>
        </is>
      </c>
    </row>
    <row r="6190">
      <c r="A6190" t="inlineStr">
        <is>
          <t>Purefield Ingredients,  Russell, KS, United States</t>
        </is>
      </c>
      <c r="B6190" t="inlineStr">
        <is>
          <t>Point of Origin, Collecting Point, Processing Unit, Trader</t>
        </is>
      </c>
      <c r="C6190" t="inlineStr">
        <is>
          <t>SCS Global Services, Emeryville, CA, US</t>
        </is>
      </c>
      <c r="D6190" t="inlineStr">
        <is>
          <t>26.03.2027</t>
        </is>
      </c>
      <c r="E6190" t="inlineStr">
        <is>
          <t>United States</t>
        </is>
      </c>
    </row>
    <row r="6191">
      <c r="A6191" t="inlineStr">
        <is>
          <t>ProAmpac Holdings Inc.,  Neenah, United States</t>
        </is>
      </c>
      <c r="B6191" t="inlineStr">
        <is>
          <t>Processing Unit</t>
        </is>
      </c>
      <c r="C6191" t="inlineStr">
        <is>
          <t>SCS Global Services, Emeryville, CA, US</t>
        </is>
      </c>
      <c r="D6191" t="inlineStr">
        <is>
          <t>26.03.2027</t>
        </is>
      </c>
      <c r="E6191" t="inlineStr">
        <is>
          <t>United States</t>
        </is>
      </c>
    </row>
    <row r="6192">
      <c r="A6192" t="inlineStr">
        <is>
          <t>DS DANSUK CO., Ltd. (Pyeongtaek 1 Factory),  Poseung-eup, Pyeongtaek-si, Gyeonggi-do, Korea, Republic of</t>
        </is>
      </c>
      <c r="B6192" t="inlineStr">
        <is>
          <t>Point of Origin, Processing Unit, Trader with Storage, Biomarine Fuel Operator</t>
        </is>
      </c>
      <c r="C6192" t="inlineStr">
        <is>
          <t>Control Union Certifications Germany GmbH, Berlin, DE</t>
        </is>
      </c>
      <c r="D6192" t="inlineStr">
        <is>
          <t>26.03.2027</t>
        </is>
      </c>
      <c r="E6192" t="inlineStr">
        <is>
          <t>Republic of</t>
        </is>
      </c>
    </row>
    <row r="6193">
      <c r="A6193" t="inlineStr">
        <is>
          <t>GREASE RECYCLERS LLC,  Houston, United States</t>
        </is>
      </c>
      <c r="B6193" t="inlineStr">
        <is>
          <t>Collecting Point</t>
        </is>
      </c>
      <c r="C6193" t="inlineStr">
        <is>
          <t>Amspec Iberia SL, Vilagarcia de Arousa-Pontevedra, ES</t>
        </is>
      </c>
      <c r="D6193" t="inlineStr">
        <is>
          <t>26.03.2027</t>
        </is>
      </c>
      <c r="E6193" t="inlineStr">
        <is>
          <t>United States</t>
        </is>
      </c>
    </row>
    <row r="6194">
      <c r="A6194" t="inlineStr">
        <is>
          <t>Vegetable Oil Production,  Divo, Ivory Coast</t>
        </is>
      </c>
      <c r="B6194" t="inlineStr">
        <is>
          <t>Point of Origin</t>
        </is>
      </c>
      <c r="C6194" t="inlineStr">
        <is>
          <t>PT Intertek Utama Services, Jakarta, ID</t>
        </is>
      </c>
      <c r="D6194" t="inlineStr">
        <is>
          <t>26.03.2027</t>
        </is>
      </c>
      <c r="E6194" t="inlineStr">
        <is>
          <t>Ivory Coast</t>
        </is>
      </c>
    </row>
    <row r="6195">
      <c r="A6195" t="inlineStr">
        <is>
          <t>United Oil Company,  Koumassi, Ivory Coast</t>
        </is>
      </c>
      <c r="B6195" t="inlineStr">
        <is>
          <t>Point of Origin</t>
        </is>
      </c>
      <c r="C6195" t="inlineStr">
        <is>
          <t>PT Intertek Utama Services, Jakarta, ID</t>
        </is>
      </c>
      <c r="D6195" t="inlineStr">
        <is>
          <t>26.03.2027</t>
        </is>
      </c>
      <c r="E6195" t="inlineStr">
        <is>
          <t>Ivory Coast</t>
        </is>
      </c>
    </row>
    <row r="6196">
      <c r="A6196" t="inlineStr">
        <is>
          <t>United Oil Company,  Bolo, Ivory Coast</t>
        </is>
      </c>
      <c r="B6196" t="inlineStr">
        <is>
          <t>Point of Origin</t>
        </is>
      </c>
      <c r="C6196" t="inlineStr">
        <is>
          <t>PT Intertek Utama Services, Jakarta, ID</t>
        </is>
      </c>
      <c r="D6196" t="inlineStr">
        <is>
          <t>26.03.2027</t>
        </is>
      </c>
      <c r="E6196" t="inlineStr">
        <is>
          <t>Ivory Coast</t>
        </is>
      </c>
    </row>
    <row r="6197">
      <c r="A6197" t="inlineStr">
        <is>
          <t>Supraci,  Fresco, Ivory Coast</t>
        </is>
      </c>
      <c r="B6197" t="inlineStr">
        <is>
          <t>Point of Origin</t>
        </is>
      </c>
      <c r="C6197" t="inlineStr">
        <is>
          <t>PT Intertek Utama Services, Jakarta, ID</t>
        </is>
      </c>
      <c r="D6197" t="inlineStr">
        <is>
          <t>26.03.2027</t>
        </is>
      </c>
      <c r="E6197" t="inlineStr">
        <is>
          <t>Ivory Coast</t>
        </is>
      </c>
    </row>
    <row r="6198">
      <c r="A6198" t="inlineStr">
        <is>
          <t>Palm Ivoire,  Guitry, Ivory Coast</t>
        </is>
      </c>
      <c r="B6198" t="inlineStr">
        <is>
          <t>Point of Origin</t>
        </is>
      </c>
      <c r="C6198" t="inlineStr">
        <is>
          <t>PT Intertek Utama Services, Jakarta, ID</t>
        </is>
      </c>
      <c r="D6198" t="inlineStr">
        <is>
          <t>26.03.2027</t>
        </is>
      </c>
      <c r="E6198" t="inlineStr">
        <is>
          <t>Ivory Coast</t>
        </is>
      </c>
    </row>
    <row r="6199">
      <c r="A6199" t="inlineStr">
        <is>
          <t>PT Trias Sentosa Tbk,  Sidoarjo, Indonesia</t>
        </is>
      </c>
      <c r="B6199" t="inlineStr">
        <is>
          <t>Collecting Point, Point of Origin, Processing Unit</t>
        </is>
      </c>
      <c r="C6199" t="inlineStr">
        <is>
          <t>PT Intertek Utama Services, Jakarta, ID</t>
        </is>
      </c>
      <c r="D6199" t="inlineStr">
        <is>
          <t>26.03.2027</t>
        </is>
      </c>
      <c r="E6199" t="inlineStr">
        <is>
          <t>Indonesia</t>
        </is>
      </c>
    </row>
    <row r="6200">
      <c r="A6200" t="inlineStr">
        <is>
          <t>Alfa Trading Oil Extraction,  Soumieh, Ivory Coast</t>
        </is>
      </c>
      <c r="B6200" t="inlineStr">
        <is>
          <t>Point of Origin</t>
        </is>
      </c>
      <c r="C6200" t="inlineStr">
        <is>
          <t>PT Intertek Utama Services, Jakarta, ID</t>
        </is>
      </c>
      <c r="D6200" t="inlineStr">
        <is>
          <t>26.03.2027</t>
        </is>
      </c>
      <c r="E6200" t="inlineStr">
        <is>
          <t>Ivory Coast</t>
        </is>
      </c>
    </row>
    <row r="6201">
      <c r="A6201" t="inlineStr">
        <is>
          <t>Bioganix Ltd,  Bonby, United Kingdom</t>
        </is>
      </c>
      <c r="B6201" t="inlineStr">
        <is>
          <t>Collecting Point, Trader with Storage</t>
        </is>
      </c>
      <c r="C6201" t="inlineStr">
        <is>
          <t>SGS Germany GmbH, Emstek, DE</t>
        </is>
      </c>
      <c r="D6201" t="inlineStr">
        <is>
          <t>26.03.2027</t>
        </is>
      </c>
      <c r="E6201" t="inlineStr">
        <is>
          <t>United Kingdom</t>
        </is>
      </c>
    </row>
    <row r="6202">
      <c r="A6202" t="inlineStr">
        <is>
          <t>PT. Shoetown Ligung Indonesia,  Majalengka, Indonesia</t>
        </is>
      </c>
      <c r="B6202" t="inlineStr">
        <is>
          <t>Final Product Refinement, Processing Unit</t>
        </is>
      </c>
      <c r="C6202" t="inlineStr">
        <is>
          <t>PT Intertek Utama Services, Jakarta, ID</t>
        </is>
      </c>
      <c r="D6202" t="inlineStr">
        <is>
          <t>26.03.2027</t>
        </is>
      </c>
      <c r="E6202" t="inlineStr">
        <is>
          <t>Indonesia</t>
        </is>
      </c>
    </row>
    <row r="6203">
      <c r="A6203" t="inlineStr">
        <is>
          <t>Powerplast Italia,  Trezzano sul Naviglio, Italy</t>
        </is>
      </c>
      <c r="B6203" t="inlineStr">
        <is>
          <t>Processing Unit</t>
        </is>
      </c>
      <c r="C6203" t="inlineStr">
        <is>
          <t>RINA Services S.p.A., Genova, IT</t>
        </is>
      </c>
      <c r="D6203" t="inlineStr">
        <is>
          <t>26.03.2027</t>
        </is>
      </c>
      <c r="E6203" t="inlineStr">
        <is>
          <t>Italy</t>
        </is>
      </c>
    </row>
    <row r="6204">
      <c r="A6204" t="inlineStr">
        <is>
          <t>SHENZHEN BAOJIE OPTICAL CO., LTD.,  Shenzhen, China</t>
        </is>
      </c>
      <c r="B6204" t="inlineStr">
        <is>
          <t>Processing Unit</t>
        </is>
      </c>
      <c r="C6204" t="inlineStr">
        <is>
          <t>SCS Global Services, Emeryville, CA, US</t>
        </is>
      </c>
      <c r="D6204" t="inlineStr">
        <is>
          <t>26.03.2027</t>
        </is>
      </c>
      <c r="E6204" t="inlineStr">
        <is>
          <t>China</t>
        </is>
      </c>
    </row>
    <row r="6205">
      <c r="A6205" t="inlineStr">
        <is>
          <t>Cornille SAS,  Cornille, France</t>
        </is>
      </c>
      <c r="B6205" t="inlineStr">
        <is>
          <t>Point of Origin</t>
        </is>
      </c>
      <c r="C6205" t="inlineStr">
        <is>
          <t>Control Union Certifications Germany GmbH, Berlin, DE</t>
        </is>
      </c>
      <c r="D6205" t="inlineStr">
        <is>
          <t>26.03.2027</t>
        </is>
      </c>
      <c r="E6205" t="inlineStr">
        <is>
          <t>France</t>
        </is>
      </c>
    </row>
    <row r="6206">
      <c r="A6206" t="inlineStr">
        <is>
          <t>DS DANSUK CO., Ltd.,  Siheung, The Republic of Korea</t>
        </is>
      </c>
      <c r="B6206" t="inlineStr">
        <is>
          <t>Point of Origin, Collecting Point, Processing Unit, Trader with Storage, Biomarine Fuel Operator</t>
        </is>
      </c>
      <c r="C6206" t="inlineStr">
        <is>
          <t>Control Union Certifications Germany GmbH, Berlin, DE</t>
        </is>
      </c>
      <c r="D6206" t="inlineStr">
        <is>
          <t>26.03.2027</t>
        </is>
      </c>
      <c r="E6206" t="inlineStr">
        <is>
          <t>The Republic of Korea</t>
        </is>
      </c>
    </row>
    <row r="6207">
      <c r="A6207" t="inlineStr">
        <is>
          <t>Avient Colorants Singapore Pte. Ltd.,  Singapore, Singapore</t>
        </is>
      </c>
      <c r="B6207" t="inlineStr">
        <is>
          <t>Processing Unit, Trader with Storage</t>
        </is>
      </c>
      <c r="C6207" t="inlineStr">
        <is>
          <t>SCS Global Services, Emeryville, CA, US</t>
        </is>
      </c>
      <c r="D6207" t="inlineStr">
        <is>
          <t>26.03.2027</t>
        </is>
      </c>
      <c r="E6207" t="inlineStr">
        <is>
          <t>Singapore</t>
        </is>
      </c>
    </row>
    <row r="6208">
      <c r="A6208" t="inlineStr">
        <is>
          <t>BP France,  Cergy Pontoise, France</t>
        </is>
      </c>
      <c r="B6208" t="inlineStr">
        <is>
          <t>Trader with Storage, Proof of Compliance Trader</t>
        </is>
      </c>
      <c r="C6208" t="inlineStr">
        <is>
          <t>Control Union Certifications Germany GmbH, Berlin, DE</t>
        </is>
      </c>
      <c r="D6208" t="inlineStr">
        <is>
          <t>26.03.2027</t>
        </is>
      </c>
      <c r="E6208" t="inlineStr">
        <is>
          <t>France</t>
        </is>
      </c>
    </row>
    <row r="6209">
      <c r="A6209" t="inlineStr">
        <is>
          <t>Aclaris GmbH,  9445 Rebstein, Switzerland</t>
        </is>
      </c>
      <c r="B6209" t="inlineStr">
        <is>
          <t>Processing Unit</t>
        </is>
      </c>
      <c r="C6209" t="inlineStr">
        <is>
          <t>DQS CFS GmbH - Deutsche Gesellschaft für Nachhaltigkeit, Frankfurt am Main, DE</t>
        </is>
      </c>
      <c r="D6209" t="inlineStr">
        <is>
          <t>26.03.2027</t>
        </is>
      </c>
      <c r="E6209" t="inlineStr">
        <is>
          <t>Switzerland</t>
        </is>
      </c>
    </row>
    <row r="6210">
      <c r="A6210" t="inlineStr">
        <is>
          <t>Sukses Gemilang Palem,  Kabupaten Sarolangun, Provinsi Jambi, Indonesia, Indonesia</t>
        </is>
      </c>
      <c r="B6210" t="inlineStr">
        <is>
          <t>Point of Origin</t>
        </is>
      </c>
      <c r="C6210" t="inlineStr">
        <is>
          <t>PT. Qualitas Sertifikasi Indonesia, Jakarta, ID</t>
        </is>
      </c>
      <c r="D6210" t="inlineStr">
        <is>
          <t>26.03.2027</t>
        </is>
      </c>
      <c r="E6210" t="inlineStr">
        <is>
          <t>Indonesia</t>
        </is>
      </c>
    </row>
    <row r="6211">
      <c r="A6211" t="inlineStr">
        <is>
          <t>Sukses Gemilang Palem,  Kabupaten Sarolangun, Provinsi Jambi, Indonesia, Indonesia</t>
        </is>
      </c>
      <c r="B6211" t="inlineStr">
        <is>
          <t>Point of Origin</t>
        </is>
      </c>
      <c r="C6211" t="inlineStr">
        <is>
          <t>PT. Qualitas Sertifikasi Indonesia, Jakarta, ID</t>
        </is>
      </c>
      <c r="D6211" t="inlineStr">
        <is>
          <t>26.03.2027</t>
        </is>
      </c>
      <c r="E6211" t="inlineStr">
        <is>
          <t>Indonesia</t>
        </is>
      </c>
    </row>
    <row r="6212">
      <c r="A6212" t="inlineStr">
        <is>
          <t>KLK Kolb Specialties B.V.,  Delden, Netherlands</t>
        </is>
      </c>
      <c r="B6212" t="inlineStr">
        <is>
          <t>Processing Unit</t>
        </is>
      </c>
      <c r="C6212" t="inlineStr">
        <is>
          <t>SGS Germany GmbH, Emstek, DE</t>
        </is>
      </c>
      <c r="D6212" t="inlineStr">
        <is>
          <t>26.03.2027</t>
        </is>
      </c>
      <c r="E6212" t="inlineStr">
        <is>
          <t>Netherlands</t>
        </is>
      </c>
    </row>
    <row r="6213">
      <c r="A6213" t="inlineStr">
        <is>
          <t>Tokai Carbon Co., Ltd. Chita Plant,  Chita-gun, Aichi, Japan</t>
        </is>
      </c>
      <c r="B6213" t="inlineStr">
        <is>
          <t>Processing Unit</t>
        </is>
      </c>
      <c r="C6213" t="inlineStr">
        <is>
          <t>SGS Germany GmbH, Emstek, DE</t>
        </is>
      </c>
      <c r="D6213" t="inlineStr">
        <is>
          <t>26.03.2027</t>
        </is>
      </c>
      <c r="E6213" t="inlineStr">
        <is>
          <t>Japan</t>
        </is>
      </c>
    </row>
    <row r="6214">
      <c r="A6214" t="inlineStr">
        <is>
          <t>Izumi Corporation LTD,  Fujioka-shi-Gunma, Japan</t>
        </is>
      </c>
      <c r="B6214" t="inlineStr">
        <is>
          <t>Processing Unit</t>
        </is>
      </c>
      <c r="C6214" t="inlineStr">
        <is>
          <t>SGS Germany GmbH, Emstek, DE</t>
        </is>
      </c>
      <c r="D6214" t="inlineStr">
        <is>
          <t>26.03.2027</t>
        </is>
      </c>
      <c r="E6214" t="inlineStr">
        <is>
          <t>Japan</t>
        </is>
      </c>
    </row>
    <row r="6215">
      <c r="A6215" t="inlineStr">
        <is>
          <t>Branch company “Yareskivsky sugar plant” of LLC “Tsukoragroprom”,  Yareski, Poltava Region, Ukraine</t>
        </is>
      </c>
      <c r="B6215" t="inlineStr">
        <is>
          <t>Processing Unit</t>
        </is>
      </c>
      <c r="C6215" t="inlineStr">
        <is>
          <t>SGS Germany GmbH, Emstek, DE</t>
        </is>
      </c>
      <c r="D6215" t="inlineStr">
        <is>
          <t>26.03.2027</t>
        </is>
      </c>
      <c r="E6215" t="inlineStr">
        <is>
          <t>Ukraine</t>
        </is>
      </c>
    </row>
    <row r="6216">
      <c r="A6216" t="inlineStr">
        <is>
          <t>Branch company “Zhdanivsky sugar plant” of LLC “Tsukoragroprom”,  Viitivtsi village, Vinnytsia region, Ukraine</t>
        </is>
      </c>
      <c r="B6216" t="inlineStr">
        <is>
          <t>Processing Unit</t>
        </is>
      </c>
      <c r="C6216" t="inlineStr">
        <is>
          <t>SGS Germany GmbH, Emstek, DE</t>
        </is>
      </c>
      <c r="D6216" t="inlineStr">
        <is>
          <t>26.03.2027</t>
        </is>
      </c>
      <c r="E6216" t="inlineStr">
        <is>
          <t>Ukraine</t>
        </is>
      </c>
    </row>
    <row r="6217">
      <c r="A6217" t="inlineStr">
        <is>
          <t>Pyro Energie,  Moo 6 , Na Phra Lan, Cha Lerm Phra Kiet, Saraburi, Thailand</t>
        </is>
      </c>
      <c r="B6217" t="inlineStr">
        <is>
          <t>Collecting Point, Processing Unit, Trader with Storage</t>
        </is>
      </c>
      <c r="C6217" t="inlineStr">
        <is>
          <t>SGS Germany GmbH, Emstek, DE</t>
        </is>
      </c>
      <c r="D6217" t="inlineStr">
        <is>
          <t>26.03.2027</t>
        </is>
      </c>
      <c r="E6217" t="inlineStr">
        <is>
          <t>Thailand</t>
        </is>
      </c>
    </row>
    <row r="6218">
      <c r="A6218" t="inlineStr">
        <is>
          <t>Pyro Energie,  Moo 6 , Na Phra Lan, Cha Lerm Phra Kiet, Saraburi, Thailand</t>
        </is>
      </c>
      <c r="B6218" t="inlineStr">
        <is>
          <t>Collecting Point, Processing Unit, Trader with Storage</t>
        </is>
      </c>
      <c r="C6218" t="inlineStr">
        <is>
          <t>SGS Germany GmbH, Emstek, DE</t>
        </is>
      </c>
      <c r="D6218" t="inlineStr">
        <is>
          <t>26.03.2027</t>
        </is>
      </c>
      <c r="E6218" t="inlineStr">
        <is>
          <t>Thailand</t>
        </is>
      </c>
    </row>
    <row r="6219">
      <c r="A6219" t="inlineStr">
        <is>
          <t>Resonac Corporation Basic Chemicals Business Unit Kawasaki Plant (Chidori),  Kawasaki-ku, Kawasaki, KANAGAWA, Japan</t>
        </is>
      </c>
      <c r="B6219" t="inlineStr">
        <is>
          <t>Processing Unit</t>
        </is>
      </c>
      <c r="C6219" t="inlineStr">
        <is>
          <t>SGS Germany GmbH, Emstek, DE</t>
        </is>
      </c>
      <c r="D6219" t="inlineStr">
        <is>
          <t>26.03.2027</t>
        </is>
      </c>
      <c r="E6219" t="inlineStr">
        <is>
          <t>Japan</t>
        </is>
      </c>
    </row>
    <row r="6220">
      <c r="A6220" t="inlineStr">
        <is>
          <t>Lianyungang Handian Supply Chain Management Co., Ltd.,  Lianyungang City, Jiangsu Province, China</t>
        </is>
      </c>
      <c r="B6220" t="inlineStr">
        <is>
          <t>Trader</t>
        </is>
      </c>
      <c r="C6220" t="inlineStr">
        <is>
          <t>SCS Global Services, Emeryville, CA, US</t>
        </is>
      </c>
      <c r="D6220" t="inlineStr">
        <is>
          <t>26.03.2027</t>
        </is>
      </c>
      <c r="E6220" t="inlineStr">
        <is>
          <t>China</t>
        </is>
      </c>
    </row>
    <row r="6221">
      <c r="A6221" t="inlineStr">
        <is>
          <t>Lianyungang Handian Supply Chain Management Co., Ltd.,  Lianyungang City, Jiangsu Province, China</t>
        </is>
      </c>
      <c r="B6221" t="inlineStr">
        <is>
          <t>Trader</t>
        </is>
      </c>
      <c r="C6221" t="inlineStr">
        <is>
          <t>SCS Global Services, Emeryville, CA, US</t>
        </is>
      </c>
      <c r="D6221" t="inlineStr">
        <is>
          <t>26.03.2027</t>
        </is>
      </c>
      <c r="E6221" t="inlineStr">
        <is>
          <t>China</t>
        </is>
      </c>
    </row>
    <row r="6222">
      <c r="A6222" t="inlineStr">
        <is>
          <t>CellMark AB,  Gothenburg, Sweden</t>
        </is>
      </c>
      <c r="B6222" t="inlineStr">
        <is>
          <t>Trader</t>
        </is>
      </c>
      <c r="C6222" t="inlineStr">
        <is>
          <t>DNV Business Assurance Sweden AB, Solna, SE</t>
        </is>
      </c>
      <c r="D6222" t="inlineStr">
        <is>
          <t>26.03.2027</t>
        </is>
      </c>
      <c r="E6222" t="inlineStr">
        <is>
          <t>Sweden</t>
        </is>
      </c>
    </row>
    <row r="6223">
      <c r="A6223" t="inlineStr">
        <is>
          <t>PRODEX GENERAL SRL,  CONSTANTA, CONSTANTA COUNTY, Romania</t>
        </is>
      </c>
      <c r="B6223" t="inlineStr">
        <is>
          <t>Trader</t>
        </is>
      </c>
      <c r="C6223" t="inlineStr">
        <is>
          <t>SRAC Cert SRL, Bucharest, RO</t>
        </is>
      </c>
      <c r="D6223" t="inlineStr">
        <is>
          <t>26.03.2027</t>
        </is>
      </c>
      <c r="E6223" t="inlineStr">
        <is>
          <t>Romania</t>
        </is>
      </c>
    </row>
    <row r="6224">
      <c r="A6224" t="inlineStr">
        <is>
          <t>AGRO DRACEA COOPERATIVA AGRICOLA,  CRANGU, Romania</t>
        </is>
      </c>
      <c r="B6224" t="inlineStr">
        <is>
          <t>First Gathering Point</t>
        </is>
      </c>
      <c r="C6224" t="inlineStr">
        <is>
          <t>SRAC Cert SRL, Bucharest, RO</t>
        </is>
      </c>
      <c r="D6224" t="inlineStr">
        <is>
          <t>26.03.2027</t>
        </is>
      </c>
      <c r="E6224" t="inlineStr">
        <is>
          <t>Romania</t>
        </is>
      </c>
    </row>
    <row r="6225">
      <c r="A6225" t="inlineStr">
        <is>
          <t>SANTA MARIYA CORP,  Bilyaivka, Ukraine</t>
        </is>
      </c>
      <c r="B6225" t="inlineStr">
        <is>
          <t>Collecting Point, Trader</t>
        </is>
      </c>
      <c r="C6225" t="inlineStr">
        <is>
          <t>Organic Standard Ltd, Kyiv, UA</t>
        </is>
      </c>
      <c r="D6225" t="inlineStr">
        <is>
          <t>26.03.2027</t>
        </is>
      </c>
      <c r="E6225" t="inlineStr">
        <is>
          <t>Ukraine</t>
        </is>
      </c>
    </row>
    <row r="6226">
      <c r="A6226" t="inlineStr">
        <is>
          <t>Corona Energy Retail 4,  Watford, United Kingdom</t>
        </is>
      </c>
      <c r="B6226" t="inlineStr">
        <is>
          <t>Trader</t>
        </is>
      </c>
      <c r="C6226" t="inlineStr">
        <is>
          <t>Double Helix Tracking Technologies Pte Ltd, Singapore, SG</t>
        </is>
      </c>
      <c r="D6226" t="inlineStr">
        <is>
          <t>26.03.2027</t>
        </is>
      </c>
      <c r="E6226" t="inlineStr">
        <is>
          <t>United Kingdom</t>
        </is>
      </c>
    </row>
    <row r="6227">
      <c r="A6227" t="inlineStr">
        <is>
          <t>INEOS Nitriles at INEOS Manufacturing Deutschland GmbH,  Köln, Germany</t>
        </is>
      </c>
      <c r="B6227" t="inlineStr">
        <is>
          <t>Processing Unit, Trader with Storage</t>
        </is>
      </c>
      <c r="C6227" t="inlineStr">
        <is>
          <t>SCS Global Services, Emeryville, CA, US</t>
        </is>
      </c>
      <c r="D6227" t="inlineStr">
        <is>
          <t>26.03.2027</t>
        </is>
      </c>
      <c r="E6227" t="inlineStr">
        <is>
          <t>Germany</t>
        </is>
      </c>
    </row>
    <row r="6228">
      <c r="A6228" t="inlineStr">
        <is>
          <t>Samec,  Samer, France</t>
        </is>
      </c>
      <c r="B6228" t="inlineStr">
        <is>
          <t>Final Product Refinement</t>
        </is>
      </c>
      <c r="C6228" t="inlineStr">
        <is>
          <t>Control Union Certifications Germany GmbH, Berlin, DE</t>
        </is>
      </c>
      <c r="D6228" t="inlineStr">
        <is>
          <t>26.03.2027</t>
        </is>
      </c>
      <c r="E6228" t="inlineStr">
        <is>
          <t>France</t>
        </is>
      </c>
    </row>
    <row r="6229">
      <c r="A6229" t="inlineStr">
        <is>
          <t>FASA COMERCIAL EXPORTADORA,  CRUZEIRO DO SUL, Brazil</t>
        </is>
      </c>
      <c r="B6229" t="inlineStr">
        <is>
          <t>Collecting Point, Trader with Storage</t>
        </is>
      </c>
      <c r="C6229" t="inlineStr">
        <is>
          <t>Control Union Poland Sp. z o.o., Zielona Gora, PL</t>
        </is>
      </c>
      <c r="D6229" t="inlineStr">
        <is>
          <t>26.03.2027</t>
        </is>
      </c>
      <c r="E6229" t="inlineStr">
        <is>
          <t>Brazil</t>
        </is>
      </c>
    </row>
    <row r="6230">
      <c r="A6230" t="inlineStr">
        <is>
          <t>Turkey Creek Renewables, LLC,  Alvarado, Texas, United States</t>
        </is>
      </c>
      <c r="B6230" t="inlineStr">
        <is>
          <t>Processing Unit</t>
        </is>
      </c>
      <c r="C6230" t="inlineStr">
        <is>
          <t>SCS Global Services, Emeryville, CA, US</t>
        </is>
      </c>
      <c r="D6230" t="inlineStr">
        <is>
          <t>26.03.2027</t>
        </is>
      </c>
      <c r="E6230" t="inlineStr">
        <is>
          <t>United States</t>
        </is>
      </c>
    </row>
    <row r="6231">
      <c r="A6231" t="inlineStr">
        <is>
          <t>Turkey Creek Renewables, LLC,  Alvarado, Texas, United States</t>
        </is>
      </c>
      <c r="B6231" t="inlineStr">
        <is>
          <t>Processing Unit</t>
        </is>
      </c>
      <c r="C6231" t="inlineStr">
        <is>
          <t>SCS Global Services, Emeryville, CA, US</t>
        </is>
      </c>
      <c r="D6231" t="inlineStr">
        <is>
          <t>26.03.2027</t>
        </is>
      </c>
      <c r="E6231" t="inlineStr">
        <is>
          <t>United States</t>
        </is>
      </c>
    </row>
    <row r="6232">
      <c r="A6232" t="inlineStr">
        <is>
          <t>PANCAMAS ALAM SAWIT,  Kota Tebing Tinggi, Indonesia</t>
        </is>
      </c>
      <c r="B6232" t="inlineStr">
        <is>
          <t>Point of Origin</t>
        </is>
      </c>
      <c r="C6232" t="inlineStr">
        <is>
          <t>PT Mutuagung Lestari, Depok, ID</t>
        </is>
      </c>
      <c r="D6232" t="inlineStr">
        <is>
          <t>26.03.2027</t>
        </is>
      </c>
      <c r="E6232" t="inlineStr">
        <is>
          <t>Indonesia</t>
        </is>
      </c>
    </row>
    <row r="6233">
      <c r="A6233" t="inlineStr">
        <is>
          <t>La Città Verde Soc. Coop. Sociale a r.l.,  Crevalcore (Bo), Italy</t>
        </is>
      </c>
      <c r="B6233" t="inlineStr">
        <is>
          <t>Collecting Point, Processing Unit</t>
        </is>
      </c>
      <c r="C6233" t="inlineStr">
        <is>
          <t>SGS Germany GmbH, Emstek, DE</t>
        </is>
      </c>
      <c r="D6233" t="inlineStr">
        <is>
          <t>26.03.2027</t>
        </is>
      </c>
      <c r="E6233" t="inlineStr">
        <is>
          <t>Italy</t>
        </is>
      </c>
    </row>
    <row r="6234">
      <c r="A6234" t="inlineStr">
        <is>
          <t>Hanplast Sp. z o.o.,  Bydgoszcz, Poland</t>
        </is>
      </c>
      <c r="B6234" t="inlineStr">
        <is>
          <t>Processing Unit</t>
        </is>
      </c>
      <c r="C6234" t="inlineStr">
        <is>
          <t>Control Union Poland Sp. z o.o., Zielona Gora, PL</t>
        </is>
      </c>
      <c r="D6234" t="inlineStr">
        <is>
          <t>26.03.2027</t>
        </is>
      </c>
      <c r="E6234" t="inlineStr">
        <is>
          <t>Poland</t>
        </is>
      </c>
    </row>
    <row r="6235">
      <c r="A6235" t="inlineStr">
        <is>
          <t>Tepsa Iberia,  Barcelona, Spain</t>
        </is>
      </c>
      <c r="B6235" t="inlineStr">
        <is>
          <t>Logistics Center</t>
        </is>
      </c>
      <c r="C6235" t="inlineStr">
        <is>
          <t>Bureau Veritas Polska Sp. z o.o., Warsaw, PL</t>
        </is>
      </c>
      <c r="D6235" t="inlineStr">
        <is>
          <t>26.03.2027</t>
        </is>
      </c>
      <c r="E6235" t="inlineStr">
        <is>
          <t>Spain</t>
        </is>
      </c>
    </row>
    <row r="6236">
      <c r="A6236" t="inlineStr">
        <is>
          <t>Tepsa Iberia,  Barcelona, Spain</t>
        </is>
      </c>
      <c r="B6236" t="inlineStr">
        <is>
          <t>Logistics Center</t>
        </is>
      </c>
      <c r="C6236" t="inlineStr">
        <is>
          <t>Bureau Veritas Polska Sp. z o.o., Warsaw, PL</t>
        </is>
      </c>
      <c r="D6236" t="inlineStr">
        <is>
          <t>26.03.2027</t>
        </is>
      </c>
      <c r="E6236" t="inlineStr">
        <is>
          <t>Spain</t>
        </is>
      </c>
    </row>
    <row r="6237">
      <c r="A6237" t="inlineStr">
        <is>
          <t>Biomasa Energy Poland Sp. z o.o.,  Warszawa, Poland</t>
        </is>
      </c>
      <c r="B6237" t="inlineStr">
        <is>
          <t>Trader</t>
        </is>
      </c>
      <c r="C6237" t="inlineStr">
        <is>
          <t>United Registrar of Systems Polska Sp. z o.o., Wrocław, PL</t>
        </is>
      </c>
      <c r="D6237" t="inlineStr">
        <is>
          <t>26.03.2027</t>
        </is>
      </c>
      <c r="E6237" t="inlineStr">
        <is>
          <t>Poland</t>
        </is>
      </c>
    </row>
    <row r="6238">
      <c r="A6238" t="inlineStr">
        <is>
          <t>UPCYCLE INC.,  Fangliao Township, Pingtung County, Taiwan, Province of China</t>
        </is>
      </c>
      <c r="B6238" t="inlineStr">
        <is>
          <t>Processing Unit</t>
        </is>
      </c>
      <c r="C6238" t="inlineStr">
        <is>
          <t>Bureau Veritas Polska Sp. z o.o., Warsaw, PL</t>
        </is>
      </c>
      <c r="D6238" t="inlineStr">
        <is>
          <t>26.03.2027</t>
        </is>
      </c>
      <c r="E6238" t="inlineStr">
        <is>
          <t>Province of China</t>
        </is>
      </c>
    </row>
    <row r="6239">
      <c r="A6239" t="inlineStr">
        <is>
          <t>DAICEL HPP MEXICO,  QUERETARO, Mexico</t>
        </is>
      </c>
      <c r="B6239" t="inlineStr">
        <is>
          <t>Trader with Storage</t>
        </is>
      </c>
      <c r="C6239" t="inlineStr">
        <is>
          <t>SGS Germany GmbH, Emstek, DE</t>
        </is>
      </c>
      <c r="D6239" t="inlineStr">
        <is>
          <t>26.03.2027</t>
        </is>
      </c>
      <c r="E6239" t="inlineStr">
        <is>
          <t>Mexico</t>
        </is>
      </c>
    </row>
    <row r="6240">
      <c r="A6240" t="inlineStr">
        <is>
          <t>AGRI OILS RENEWABLES PTE LTD,  Singapore, Singapore</t>
        </is>
      </c>
      <c r="B6240" t="inlineStr">
        <is>
          <t>Trader</t>
        </is>
      </c>
      <c r="C6240" t="inlineStr">
        <is>
          <t>Trans Certification and Inspection Sdn Bhd, Kuantan, MY</t>
        </is>
      </c>
      <c r="D6240" t="inlineStr">
        <is>
          <t>26.03.2027</t>
        </is>
      </c>
      <c r="E6240" t="inlineStr">
        <is>
          <t>Singapore</t>
        </is>
      </c>
    </row>
    <row r="6241">
      <c r="A6241" t="inlineStr">
        <is>
          <t>OLAM PALM GABON SA,  Ayame Bokue Village, Kango Town, Gabon</t>
        </is>
      </c>
      <c r="B6241" t="inlineStr">
        <is>
          <t>Point of Origin</t>
        </is>
      </c>
      <c r="C6241" t="inlineStr">
        <is>
          <t>Trans Certification and Inspection Sdn Bhd, Kuantan, MY</t>
        </is>
      </c>
      <c r="D6241" t="inlineStr">
        <is>
          <t>26.03.2027</t>
        </is>
      </c>
      <c r="E6241" t="inlineStr">
        <is>
          <t>Gabon</t>
        </is>
      </c>
    </row>
    <row r="6242">
      <c r="A6242" t="inlineStr">
        <is>
          <t>OLAM PALM GABON SA,  Mboukou Village, Gabon</t>
        </is>
      </c>
      <c r="B6242" t="inlineStr">
        <is>
          <t>Point of Origin</t>
        </is>
      </c>
      <c r="C6242" t="inlineStr">
        <is>
          <t>Trans Certification and Inspection Sdn Bhd, Kuantan, MY</t>
        </is>
      </c>
      <c r="D6242" t="inlineStr">
        <is>
          <t>26.03.2027</t>
        </is>
      </c>
      <c r="E6242" t="inlineStr">
        <is>
          <t>Gabon</t>
        </is>
      </c>
    </row>
    <row r="6243">
      <c r="A6243" t="inlineStr">
        <is>
          <t>OLAM PALM GABON SA,  Lambaréné, Gabon</t>
        </is>
      </c>
      <c r="B6243" t="inlineStr">
        <is>
          <t>Point of Origin</t>
        </is>
      </c>
      <c r="C6243" t="inlineStr">
        <is>
          <t>Trans Certification and Inspection Sdn Bhd, Kuantan, MY</t>
        </is>
      </c>
      <c r="D6243" t="inlineStr">
        <is>
          <t>26.03.2027</t>
        </is>
      </c>
      <c r="E6243" t="inlineStr">
        <is>
          <t>Gabon</t>
        </is>
      </c>
    </row>
    <row r="6244">
      <c r="A6244" t="inlineStr">
        <is>
          <t>Sociètè de Gestion des Boues d'Huileries de Palm Gabon ZIS,  Nkok, Gabon</t>
        </is>
      </c>
      <c r="B6244" t="inlineStr">
        <is>
          <t>Trader with Storage</t>
        </is>
      </c>
      <c r="C6244" t="inlineStr">
        <is>
          <t>Trans Certification and Inspection Sdn Bhd, Kuantan, MY</t>
        </is>
      </c>
      <c r="D6244" t="inlineStr">
        <is>
          <t>26.03.2027</t>
        </is>
      </c>
      <c r="E6244" t="inlineStr">
        <is>
          <t>Gabon</t>
        </is>
      </c>
    </row>
    <row r="6245">
      <c r="A6245" t="inlineStr">
        <is>
          <t>Heineken ESPAÑA, S.A.,  QUART DE POBLET, Spain</t>
        </is>
      </c>
      <c r="B6245" t="inlineStr">
        <is>
          <t>Point of Origin, Processing Unit</t>
        </is>
      </c>
      <c r="C6245" t="inlineStr">
        <is>
          <t>Bureau Veritas Polska Sp. z o.o., Warsaw, PL</t>
        </is>
      </c>
      <c r="D6245" t="inlineStr">
        <is>
          <t>26.03.2027</t>
        </is>
      </c>
      <c r="E6245" t="inlineStr">
        <is>
          <t>Spain</t>
        </is>
      </c>
    </row>
    <row r="6246">
      <c r="A6246" t="inlineStr">
        <is>
          <t>DS DANSUK CO., Ltd. (Pyeongtaek 2 Factory),  Poseunggongdansunhwan-ro 11, Pyeongtaek-si, Korea, Republic of</t>
        </is>
      </c>
      <c r="B6246" t="inlineStr">
        <is>
          <t>Point of Origin, Processing Unit, Biomarine Fuel Operator, Trader with Storage</t>
        </is>
      </c>
      <c r="C6246" t="inlineStr">
        <is>
          <t>Control Union Certifications Germany GmbH, Berlin, DE</t>
        </is>
      </c>
      <c r="D6246" t="inlineStr">
        <is>
          <t>26.03.2027</t>
        </is>
      </c>
      <c r="E6246" t="inlineStr">
        <is>
          <t>Republic of</t>
        </is>
      </c>
    </row>
    <row r="6247">
      <c r="A6247" t="inlineStr">
        <is>
          <t>Tha Chang Oil Palm Industries Co., Ltd.,  Suratthani, Thailand</t>
        </is>
      </c>
      <c r="B6247" t="inlineStr">
        <is>
          <t>Trader with Storage, Collecting Point, Point of Origin</t>
        </is>
      </c>
      <c r="C6247" t="inlineStr">
        <is>
          <t>Bureau Veritas Polska Sp. z o.o., Warsaw, PL</t>
        </is>
      </c>
      <c r="D6247" t="inlineStr">
        <is>
          <t>26.03.2027</t>
        </is>
      </c>
      <c r="E6247" t="inlineStr">
        <is>
          <t>Thailand</t>
        </is>
      </c>
    </row>
    <row r="6248">
      <c r="A6248" t="inlineStr">
        <is>
          <t>Tha Chang Oil Palm Industries Co., Ltd.,  Suratthani, Thailand</t>
        </is>
      </c>
      <c r="B6248" t="inlineStr">
        <is>
          <t>Point of Origin, Collecting Point, Trader with Storage</t>
        </is>
      </c>
      <c r="C6248" t="inlineStr">
        <is>
          <t>Bureau Veritas Polska Sp. z o.o., Warsaw, PL</t>
        </is>
      </c>
      <c r="D6248" t="inlineStr">
        <is>
          <t>26.03.2027</t>
        </is>
      </c>
      <c r="E6248" t="inlineStr">
        <is>
          <t>Thailand</t>
        </is>
      </c>
    </row>
    <row r="6249">
      <c r="A6249" t="inlineStr">
        <is>
          <t>SAM ROMANO ENERGY,  Monaco, Monaco</t>
        </is>
      </c>
      <c r="B6249" t="inlineStr">
        <is>
          <t>Trader with Storage</t>
        </is>
      </c>
      <c r="C6249" t="inlineStr">
        <is>
          <t>Control Union Certifications Germany GmbH, Berlin, DE</t>
        </is>
      </c>
      <c r="D6249" t="inlineStr">
        <is>
          <t>25.03.2027</t>
        </is>
      </c>
      <c r="E6249" t="inlineStr">
        <is>
          <t>Monaco</t>
        </is>
      </c>
    </row>
    <row r="6250">
      <c r="A6250" t="inlineStr">
        <is>
          <t>Baltic Agro AS,  Rae vald, Harjumaa, Estonia</t>
        </is>
      </c>
      <c r="B6250" t="inlineStr">
        <is>
          <t>First Gathering Point</t>
        </is>
      </c>
      <c r="C6250" t="inlineStr">
        <is>
          <t>SGS Germany GmbH, Emstek, DE</t>
        </is>
      </c>
      <c r="D6250" t="inlineStr">
        <is>
          <t>25.03.2027</t>
        </is>
      </c>
      <c r="E6250" t="inlineStr">
        <is>
          <t>Estonia</t>
        </is>
      </c>
    </row>
    <row r="6251">
      <c r="A6251" t="inlineStr">
        <is>
          <t>Idemitsu Unitech Co.,Ltd.,  Sanbu-gun, Chiba, Japan</t>
        </is>
      </c>
      <c r="B6251" t="inlineStr">
        <is>
          <t>Processing Unit</t>
        </is>
      </c>
      <c r="C6251" t="inlineStr">
        <is>
          <t>SGS Germany GmbH, Emstek, DE</t>
        </is>
      </c>
      <c r="D6251" t="inlineStr">
        <is>
          <t>25.03.2027</t>
        </is>
      </c>
      <c r="E6251" t="inlineStr">
        <is>
          <t>Japan</t>
        </is>
      </c>
    </row>
    <row r="6252">
      <c r="A6252" t="inlineStr">
        <is>
          <t>PT Sumber Hijau Utama,  Jakarta Utara, Indonesia</t>
        </is>
      </c>
      <c r="B6252" t="inlineStr">
        <is>
          <t>Collecting Point, Trader with Storage</t>
        </is>
      </c>
      <c r="C6252" t="inlineStr">
        <is>
          <t>PT. Qualitas Sertifikasi Indonesia, Jakarta, ID</t>
        </is>
      </c>
      <c r="D6252" t="inlineStr">
        <is>
          <t>25.03.2027</t>
        </is>
      </c>
      <c r="E6252" t="inlineStr">
        <is>
          <t>Indonesia</t>
        </is>
      </c>
    </row>
    <row r="6253">
      <c r="A6253" t="inlineStr">
        <is>
          <t>Xuwen County Yihua Recycled Resources Co., Ltd.,  Zhanjiang City,, China</t>
        </is>
      </c>
      <c r="B6253" t="inlineStr">
        <is>
          <t>Collecting Point, Processing Unit</t>
        </is>
      </c>
      <c r="C6253" t="inlineStr">
        <is>
          <t>SCS Global Services, Emeryville, CA, US</t>
        </is>
      </c>
      <c r="D6253" t="inlineStr">
        <is>
          <t>25.03.2027</t>
        </is>
      </c>
      <c r="E6253" t="inlineStr">
        <is>
          <t>China</t>
        </is>
      </c>
    </row>
    <row r="6254">
      <c r="A6254" t="inlineStr">
        <is>
          <t>E.ON Energie, a.s.,  České Budejovice, Czech Republic</t>
        </is>
      </c>
      <c r="B6254" t="inlineStr">
        <is>
          <t>Trader</t>
        </is>
      </c>
      <c r="C6254" t="inlineStr">
        <is>
          <t>TÜV SÜD Czech s.r.o., Praha 4, CZ</t>
        </is>
      </c>
      <c r="D6254" t="inlineStr">
        <is>
          <t>25.03.2027</t>
        </is>
      </c>
      <c r="E6254" t="inlineStr">
        <is>
          <t>Czech Republic</t>
        </is>
      </c>
    </row>
    <row r="6255">
      <c r="A6255" t="inlineStr">
        <is>
          <t>Kolmar Singapore Pte. Ltd.,  Singapore, Singapore</t>
        </is>
      </c>
      <c r="B6255" t="inlineStr">
        <is>
          <t>Trader with Storage</t>
        </is>
      </c>
      <c r="C6255" t="inlineStr">
        <is>
          <t>SGS Germany GmbH, Emstek, DE</t>
        </is>
      </c>
      <c r="D6255" t="inlineStr">
        <is>
          <t>25.03.2027</t>
        </is>
      </c>
      <c r="E6255" t="inlineStr">
        <is>
          <t>Singapore</t>
        </is>
      </c>
    </row>
    <row r="6256">
      <c r="A6256" t="inlineStr">
        <is>
          <t>Kolmar Singapore Pte. Ltd.,  Singapore, Singapore</t>
        </is>
      </c>
      <c r="B6256" t="inlineStr">
        <is>
          <t>Trader with Storage</t>
        </is>
      </c>
      <c r="C6256" t="inlineStr">
        <is>
          <t>SGS Germany GmbH, Emstek, DE</t>
        </is>
      </c>
      <c r="D6256" t="inlineStr">
        <is>
          <t>25.03.2027</t>
        </is>
      </c>
      <c r="E6256" t="inlineStr">
        <is>
          <t>Singapore</t>
        </is>
      </c>
    </row>
    <row r="6257">
      <c r="A6257" t="inlineStr">
        <is>
          <t>STANDARD RE-OIL COMPANY,  Ivano-Frankivsk region, village of Yamnytsia, Ukraine</t>
        </is>
      </c>
      <c r="B6257" t="inlineStr">
        <is>
          <t>Collecting Point, Processing Unit</t>
        </is>
      </c>
      <c r="C6257" t="inlineStr">
        <is>
          <t>BM Certification, Riga, LV</t>
        </is>
      </c>
      <c r="D6257" t="inlineStr">
        <is>
          <t>25.03.2027</t>
        </is>
      </c>
      <c r="E6257" t="inlineStr">
        <is>
          <t>Ukraine</t>
        </is>
      </c>
    </row>
    <row r="6258">
      <c r="A6258" t="inlineStr">
        <is>
          <t>NAVABHARAT LIMITED,  Jangareddygudem, Eluru District, India</t>
        </is>
      </c>
      <c r="B6258" t="inlineStr">
        <is>
          <t>Processing Unit</t>
        </is>
      </c>
      <c r="C6258" t="inlineStr">
        <is>
          <t>SGS Germany GmbH, Emstek, DE</t>
        </is>
      </c>
      <c r="D6258" t="inlineStr">
        <is>
          <t>25.03.2027</t>
        </is>
      </c>
      <c r="E6258" t="inlineStr">
        <is>
          <t>India</t>
        </is>
      </c>
    </row>
    <row r="6259">
      <c r="A6259" t="inlineStr">
        <is>
          <t>Sasol South Africa,  Secunda, South Africa</t>
        </is>
      </c>
      <c r="B6259" t="inlineStr">
        <is>
          <t>Processing Unit</t>
        </is>
      </c>
      <c r="C6259" t="inlineStr">
        <is>
          <t>TÜV SÜD Industrie Service GmbH, München, DE</t>
        </is>
      </c>
      <c r="D6259" t="inlineStr">
        <is>
          <t>25.03.2027</t>
        </is>
      </c>
      <c r="E6259" t="inlineStr">
        <is>
          <t>South Africa</t>
        </is>
      </c>
    </row>
    <row r="6260">
      <c r="A6260" t="inlineStr">
        <is>
          <t>LPKS Saimnieks-V,  Codes pagasts, Bauskas novads, Latvia</t>
        </is>
      </c>
      <c r="B6260" t="inlineStr">
        <is>
          <t>First Gathering Point</t>
        </is>
      </c>
      <c r="C6260" t="inlineStr">
        <is>
          <t>SGS Germany GmbH, Emstek, DE</t>
        </is>
      </c>
      <c r="D6260" t="inlineStr">
        <is>
          <t>25.03.2027</t>
        </is>
      </c>
      <c r="E6260" t="inlineStr">
        <is>
          <t>Latvia</t>
        </is>
      </c>
    </row>
    <row r="6261">
      <c r="A6261" t="inlineStr">
        <is>
          <t>AGRO-EXPORT,  Sfax, Tunisia</t>
        </is>
      </c>
      <c r="B6261" t="inlineStr">
        <is>
          <t>Point of Origin</t>
        </is>
      </c>
      <c r="C6261" t="inlineStr">
        <is>
          <t>BM Certification, Riga, LV</t>
        </is>
      </c>
      <c r="D6261" t="inlineStr">
        <is>
          <t>25.03.2027</t>
        </is>
      </c>
      <c r="E6261" t="inlineStr">
        <is>
          <t>Tunisia</t>
        </is>
      </c>
    </row>
    <row r="6262">
      <c r="A6262" t="inlineStr">
        <is>
          <t>Steel Mont GmbH,  Dusseldorf, Germany</t>
        </is>
      </c>
      <c r="B6262" t="inlineStr">
        <is>
          <t>Trader</t>
        </is>
      </c>
      <c r="C6262" t="inlineStr">
        <is>
          <t>ASG Cert GmbH, Munich, DE</t>
        </is>
      </c>
      <c r="D6262" t="inlineStr">
        <is>
          <t>25.03.2027</t>
        </is>
      </c>
      <c r="E6262" t="inlineStr">
        <is>
          <t>Germany</t>
        </is>
      </c>
    </row>
    <row r="6263">
      <c r="A6263" t="inlineStr">
        <is>
          <t>Sasol Oil,  Sasolburg, South Africa</t>
        </is>
      </c>
      <c r="B6263" t="inlineStr">
        <is>
          <t>Processing Unit, Trader with Storage</t>
        </is>
      </c>
      <c r="C6263" t="inlineStr">
        <is>
          <t>TÜV SÜD Industrie Service GmbH, München, DE</t>
        </is>
      </c>
      <c r="D6263" t="inlineStr">
        <is>
          <t>25.03.2027</t>
        </is>
      </c>
      <c r="E6263" t="inlineStr">
        <is>
          <t>South Africa</t>
        </is>
      </c>
    </row>
    <row r="6264">
      <c r="A6264" t="inlineStr">
        <is>
          <t>Guangzhou Bolisen Environmental Protection Waste Oil Technology Co., Ltd,  Guangzhou City, Guangdong Province, China</t>
        </is>
      </c>
      <c r="B6264" t="inlineStr">
        <is>
          <t>Collecting Point, Trader with Storage</t>
        </is>
      </c>
      <c r="C6264" t="inlineStr">
        <is>
          <t>RINA Services S.p.A., Genova, IT</t>
        </is>
      </c>
      <c r="D6264" t="inlineStr">
        <is>
          <t>25.03.2027</t>
        </is>
      </c>
      <c r="E6264" t="inlineStr">
        <is>
          <t>China</t>
        </is>
      </c>
    </row>
    <row r="6265">
      <c r="A6265" t="inlineStr">
        <is>
          <t>POU CHEN VIETNAM ENTERPRISE LIMITED,  Biên Hòa, Vietnam</t>
        </is>
      </c>
      <c r="B6265" t="inlineStr">
        <is>
          <t>Final Product Refinement, Processing Unit</t>
        </is>
      </c>
      <c r="C6265" t="inlineStr">
        <is>
          <t>Bureau Veritas Polska Sp. z o.o., Warsaw, PL</t>
        </is>
      </c>
      <c r="D6265" t="inlineStr">
        <is>
          <t>25.03.2027</t>
        </is>
      </c>
      <c r="E6265" t="inlineStr">
        <is>
          <t>Vietnam</t>
        </is>
      </c>
    </row>
    <row r="6266">
      <c r="A6266" t="inlineStr">
        <is>
          <t>DLG a.m.b.a,  Fredericia, Denmark</t>
        </is>
      </c>
      <c r="B6266" t="inlineStr">
        <is>
          <t>First Gathering Point</t>
        </is>
      </c>
      <c r="C6266" t="inlineStr">
        <is>
          <t>DNV Business Assurance Sweden AB, Solna, SE</t>
        </is>
      </c>
      <c r="D6266" t="inlineStr">
        <is>
          <t>25.03.2027</t>
        </is>
      </c>
      <c r="E6266" t="inlineStr">
        <is>
          <t>Denmark</t>
        </is>
      </c>
    </row>
    <row r="6267">
      <c r="A6267" t="inlineStr">
        <is>
          <t>Beijing Haixin Energy Technology Co., Ltd.,  Haidian District, Beijing, China</t>
        </is>
      </c>
      <c r="B6267" t="inlineStr">
        <is>
          <t>Processing Unit, Trader with Storage</t>
        </is>
      </c>
      <c r="C6267" t="inlineStr">
        <is>
          <t>TÜV NORD CERT GmbH, Essen, DE</t>
        </is>
      </c>
      <c r="D6267" t="inlineStr">
        <is>
          <t>25.03.2027</t>
        </is>
      </c>
      <c r="E6267" t="inlineStr">
        <is>
          <t>China</t>
        </is>
      </c>
    </row>
    <row r="6268">
      <c r="A6268" t="inlineStr">
        <is>
          <t>BELL BIOCHEM SDN BHD,  YONG PENG, Malaysia</t>
        </is>
      </c>
      <c r="B6268" t="inlineStr">
        <is>
          <t>Processing Unit</t>
        </is>
      </c>
      <c r="C6268" t="inlineStr">
        <is>
          <t>PT. Qualitas Sertifikasi Indonesia, Jakarta, ID</t>
        </is>
      </c>
      <c r="D6268" t="inlineStr">
        <is>
          <t>25.03.2027</t>
        </is>
      </c>
      <c r="E6268" t="inlineStr">
        <is>
          <t>Malaysia</t>
        </is>
      </c>
    </row>
    <row r="6269">
      <c r="A6269" t="inlineStr">
        <is>
          <t>Reciclados Par, SL,  Lucena, Córdoba, Spain</t>
        </is>
      </c>
      <c r="B6269" t="inlineStr">
        <is>
          <t>Collecting Point, Point of Origin, Trader with Storage</t>
        </is>
      </c>
      <c r="C6269" t="inlineStr">
        <is>
          <t>RINA Services S.p.A., Genova, IT</t>
        </is>
      </c>
      <c r="D6269" t="inlineStr">
        <is>
          <t>25.03.2027</t>
        </is>
      </c>
      <c r="E6269" t="inlineStr">
        <is>
          <t>Spain</t>
        </is>
      </c>
    </row>
    <row r="6270">
      <c r="A6270" t="inlineStr">
        <is>
          <t>Hunan Machinery and Equipment Import and Export Corporation,  Changsha City, Hunan Province, China</t>
        </is>
      </c>
      <c r="B6270" t="inlineStr">
        <is>
          <t>Trader</t>
        </is>
      </c>
      <c r="C6270" t="inlineStr">
        <is>
          <t>RINA Services S.p.A., Genova, IT</t>
        </is>
      </c>
      <c r="D6270" t="inlineStr">
        <is>
          <t>25.03.2027</t>
        </is>
      </c>
      <c r="E6270" t="inlineStr">
        <is>
          <t>China</t>
        </is>
      </c>
    </row>
    <row r="6271">
      <c r="A6271" t="inlineStr">
        <is>
          <t>WR Energia,  Rzeszow, Poland</t>
        </is>
      </c>
      <c r="B6271" t="inlineStr">
        <is>
          <t>Trader</t>
        </is>
      </c>
      <c r="C6271" t="inlineStr">
        <is>
          <t>Control Union Poland Sp. z o.o., Zielona Gora, PL</t>
        </is>
      </c>
      <c r="D6271" t="inlineStr">
        <is>
          <t>25.03.2027</t>
        </is>
      </c>
      <c r="E6271" t="inlineStr">
        <is>
          <t>Poland</t>
        </is>
      </c>
    </row>
    <row r="6272">
      <c r="A6272" t="inlineStr">
        <is>
          <t>Bio Energie Nordhessen GmbH,  Friedewald, Germany</t>
        </is>
      </c>
      <c r="B6272" t="inlineStr">
        <is>
          <t>Point of Origin, Trader with Storage, Processing Unit</t>
        </is>
      </c>
      <c r="C6272" t="inlineStr">
        <is>
          <t>RINA Services S.p.A., Genova, IT</t>
        </is>
      </c>
      <c r="D6272" t="inlineStr">
        <is>
          <t>25.03.2027</t>
        </is>
      </c>
      <c r="E6272" t="inlineStr">
        <is>
          <t>Germany</t>
        </is>
      </c>
    </row>
    <row r="6273">
      <c r="A6273" t="inlineStr">
        <is>
          <t>KECK SENG(MALAYSIA) BERHAD,  MASAI, Malaysia</t>
        </is>
      </c>
      <c r="B6273" t="inlineStr">
        <is>
          <t>Point of Origin, Trader with Storage</t>
        </is>
      </c>
      <c r="C6273" t="inlineStr">
        <is>
          <t>Trans Certification and Inspection Sdn Bhd, Kuantan, MY</t>
        </is>
      </c>
      <c r="D6273" t="inlineStr">
        <is>
          <t>25.03.2027</t>
        </is>
      </c>
      <c r="E6273" t="inlineStr">
        <is>
          <t>Malaysia</t>
        </is>
      </c>
    </row>
    <row r="6274">
      <c r="A6274" t="inlineStr">
        <is>
          <t>Sinopec (Hong Kong) Fuel Oil Company Limited,  Hong Kong, Hong Kong (SAR)</t>
        </is>
      </c>
      <c r="B6274" t="inlineStr">
        <is>
          <t>Trader with Storage</t>
        </is>
      </c>
      <c r="C6274" t="inlineStr">
        <is>
          <t>RINA Services S.p.A., Genova, IT</t>
        </is>
      </c>
      <c r="D6274" t="inlineStr">
        <is>
          <t>25.03.2027</t>
        </is>
      </c>
      <c r="E6274" t="inlineStr">
        <is>
          <t>Hong Kong (SAR)</t>
        </is>
      </c>
    </row>
    <row r="6275">
      <c r="A6275" t="inlineStr">
        <is>
          <t>Evódium Agrár Kft.,  Baja, Hungary</t>
        </is>
      </c>
      <c r="B6275" t="inlineStr">
        <is>
          <t>First Gathering Point, Trader with Storage</t>
        </is>
      </c>
      <c r="C6275" t="inlineStr">
        <is>
          <t>BM Certification, Riga, LV</t>
        </is>
      </c>
      <c r="D6275" t="inlineStr">
        <is>
          <t>25.03.2027</t>
        </is>
      </c>
      <c r="E6275" t="inlineStr">
        <is>
          <t>Hungary</t>
        </is>
      </c>
    </row>
    <row r="6276">
      <c r="A6276" t="inlineStr">
        <is>
          <t>PROEX SPA,  San Francisco de Mostazal, Chile</t>
        </is>
      </c>
      <c r="B6276" t="inlineStr">
        <is>
          <t>Central Office (Group of Point of Origin)</t>
        </is>
      </c>
      <c r="C6276" t="inlineStr">
        <is>
          <t>SGS Germany GmbH, Emstek, DE</t>
        </is>
      </c>
      <c r="D6276" t="inlineStr">
        <is>
          <t>25.03.2027</t>
        </is>
      </c>
      <c r="E6276" t="inlineStr">
        <is>
          <t>Chile</t>
        </is>
      </c>
    </row>
    <row r="6277">
      <c r="A6277" t="inlineStr">
        <is>
          <t>DVA Renewable Energy,  Ho Chi Minh City, Vietnam</t>
        </is>
      </c>
      <c r="B6277" t="inlineStr">
        <is>
          <t>Collecting Point, Trader with Storage, Processing Unit</t>
        </is>
      </c>
      <c r="C6277" t="inlineStr">
        <is>
          <t>Trans Certification and Inspection Sdn Bhd, Kuantan, MY</t>
        </is>
      </c>
      <c r="D6277" t="inlineStr">
        <is>
          <t>25.03.2027</t>
        </is>
      </c>
      <c r="E6277" t="inlineStr">
        <is>
          <t>Vietnam</t>
        </is>
      </c>
    </row>
    <row r="6278">
      <c r="A6278" t="inlineStr">
        <is>
          <t>Rashmi 6 Paradigm Limited,  Kharagpur, India</t>
        </is>
      </c>
      <c r="B6278" t="inlineStr">
        <is>
          <t>Collecting Point, Processing Unit</t>
        </is>
      </c>
      <c r="C6278" t="inlineStr">
        <is>
          <t>Trans Certification and Inspection Sdn Bhd, Kuantan, MY</t>
        </is>
      </c>
      <c r="D6278" t="inlineStr">
        <is>
          <t>25.03.2027</t>
        </is>
      </c>
      <c r="E6278" t="inlineStr">
        <is>
          <t>India</t>
        </is>
      </c>
    </row>
    <row r="6279">
      <c r="A6279" t="inlineStr">
        <is>
          <t>INHWA Co., Ltd.,  Gangnam-gu, Seoul, South Korea</t>
        </is>
      </c>
      <c r="B6279" t="inlineStr">
        <is>
          <t>Trader with Storage</t>
        </is>
      </c>
      <c r="C6279" t="inlineStr">
        <is>
          <t>Control Union Certifications Germany GmbH, Berlin, DE</t>
        </is>
      </c>
      <c r="D6279" t="inlineStr">
        <is>
          <t>25.03.2027</t>
        </is>
      </c>
      <c r="E6279" t="inlineStr">
        <is>
          <t>South Korea</t>
        </is>
      </c>
    </row>
    <row r="6280">
      <c r="A6280" t="inlineStr">
        <is>
          <t>Villapana Spa,  Faenza, Italy</t>
        </is>
      </c>
      <c r="B6280" t="inlineStr">
        <is>
          <t>Collecting Point, Processing Unit</t>
        </is>
      </c>
      <c r="C6280" t="inlineStr">
        <is>
          <t>Bureau Veritas Polska Sp. z o.o., Warsaw, PL</t>
        </is>
      </c>
      <c r="D6280" t="inlineStr">
        <is>
          <t>25.03.2027</t>
        </is>
      </c>
      <c r="E6280" t="inlineStr">
        <is>
          <t>Italy</t>
        </is>
      </c>
    </row>
    <row r="6281">
      <c r="A6281" t="inlineStr">
        <is>
          <t>Cartor Security Printers Limited,  Wolverhampton, United Kingdom</t>
        </is>
      </c>
      <c r="B6281" t="inlineStr">
        <is>
          <t>Processing Unit</t>
        </is>
      </c>
      <c r="C6281" t="inlineStr">
        <is>
          <t>Aardvark Certification Ltd, Wiveliscombe, Somerset, GB</t>
        </is>
      </c>
      <c r="D6281" t="inlineStr">
        <is>
          <t>25.03.2027</t>
        </is>
      </c>
      <c r="E6281" t="inlineStr">
        <is>
          <t>United Kingdom</t>
        </is>
      </c>
    </row>
    <row r="6282">
      <c r="A6282" t="inlineStr">
        <is>
          <t>MOLLAR PATRICK,  AIX EN PROVENCE, France</t>
        </is>
      </c>
      <c r="B6282" t="inlineStr">
        <is>
          <t>Trader with Storage</t>
        </is>
      </c>
      <c r="C6282" t="inlineStr">
        <is>
          <t>Control Union Certifications Germany GmbH, Berlin, DE</t>
        </is>
      </c>
      <c r="D6282" t="inlineStr">
        <is>
          <t>25.03.2027</t>
        </is>
      </c>
      <c r="E6282" t="inlineStr">
        <is>
          <t>France</t>
        </is>
      </c>
    </row>
    <row r="6283">
      <c r="A6283" t="inlineStr">
        <is>
          <t>TOMIKURA INDUSTRY CO.,LTD.,  HIMEJI-SHI,HYOGO,, Japan</t>
        </is>
      </c>
      <c r="B6283" t="inlineStr">
        <is>
          <t>Trader</t>
        </is>
      </c>
      <c r="C6283" t="inlineStr">
        <is>
          <t>Control Union Certifications Germany GmbH, Berlin, DE</t>
        </is>
      </c>
      <c r="D6283" t="inlineStr">
        <is>
          <t>25.03.2027</t>
        </is>
      </c>
      <c r="E6283" t="inlineStr">
        <is>
          <t>Japan</t>
        </is>
      </c>
    </row>
    <row r="6284">
      <c r="A6284" t="inlineStr">
        <is>
          <t>Lucan Cereale SRL,  Lehliu Gara,Judet Calarasi, Romania</t>
        </is>
      </c>
      <c r="B6284" t="inlineStr">
        <is>
          <t>First Gathering Point, Trader</t>
        </is>
      </c>
      <c r="C6284" t="inlineStr">
        <is>
          <t>Control Union Certifications Germany GmbH, Berlin, DE</t>
        </is>
      </c>
      <c r="D6284" t="inlineStr">
        <is>
          <t>24.03.2027</t>
        </is>
      </c>
      <c r="E6284" t="inlineStr">
        <is>
          <t>Romania</t>
        </is>
      </c>
    </row>
    <row r="6285">
      <c r="A6285" t="inlineStr">
        <is>
          <t>Shijiazhuang Yingxin Renewable Resources Trading Co., Ltd,  Shijiazhuang, China</t>
        </is>
      </c>
      <c r="B6285" t="inlineStr">
        <is>
          <t>Collecting Point</t>
        </is>
      </c>
      <c r="C6285" t="inlineStr">
        <is>
          <t>RINA Services S.p.A., Genova, IT</t>
        </is>
      </c>
      <c r="D6285" t="inlineStr">
        <is>
          <t>24.03.2027</t>
        </is>
      </c>
      <c r="E6285" t="inlineStr">
        <is>
          <t>China</t>
        </is>
      </c>
    </row>
    <row r="6286">
      <c r="A6286" t="inlineStr">
        <is>
          <t>Chengdu Lijing Recycling Resources Co., Ltd,  Chengdu City, Sichuan Province, China</t>
        </is>
      </c>
      <c r="B6286" t="inlineStr">
        <is>
          <t>Collecting Point, Trader with Storage</t>
        </is>
      </c>
      <c r="C6286" t="inlineStr">
        <is>
          <t>RINA Services S.p.A., Genova, IT</t>
        </is>
      </c>
      <c r="D6286" t="inlineStr">
        <is>
          <t>24.03.2027</t>
        </is>
      </c>
      <c r="E6286" t="inlineStr">
        <is>
          <t>China</t>
        </is>
      </c>
    </row>
    <row r="6287">
      <c r="A6287" t="inlineStr">
        <is>
          <t>PT INNABRIDGE SELARAS ENERGI,  Medan Timur Sumatera Utara, Indonesia</t>
        </is>
      </c>
      <c r="B6287" t="inlineStr">
        <is>
          <t>Trader with Storage</t>
        </is>
      </c>
      <c r="C6287" t="inlineStr">
        <is>
          <t>PT. CBQA GLOBAL INDONESIA, JAKARTA SELATAN, ID</t>
        </is>
      </c>
      <c r="D6287" t="inlineStr">
        <is>
          <t>24.03.2027</t>
        </is>
      </c>
      <c r="E6287" t="inlineStr">
        <is>
          <t>Indonesia</t>
        </is>
      </c>
    </row>
    <row r="6288">
      <c r="A6288" t="inlineStr">
        <is>
          <t>Grain Flex Ltd,  Odessa, Ukraine</t>
        </is>
      </c>
      <c r="B6288" t="inlineStr">
        <is>
          <t>First Gathering Point, Trader</t>
        </is>
      </c>
      <c r="C6288" t="inlineStr">
        <is>
          <t>Bureau Veritas Polska Sp. z o.o., Warsaw, PL</t>
        </is>
      </c>
      <c r="D6288" t="inlineStr">
        <is>
          <t>24.03.2027</t>
        </is>
      </c>
      <c r="E6288" t="inlineStr">
        <is>
          <t>Ukraine</t>
        </is>
      </c>
    </row>
    <row r="6289">
      <c r="A6289" t="inlineStr">
        <is>
          <t>Marex Trading International Limited,  London, United Kingdom</t>
        </is>
      </c>
      <c r="B6289" t="inlineStr">
        <is>
          <t>Trader</t>
        </is>
      </c>
      <c r="C6289" t="inlineStr">
        <is>
          <t>Double Helix Tracking Technologies Pte Ltd, Singapore, SG</t>
        </is>
      </c>
      <c r="D6289" t="inlineStr">
        <is>
          <t>24.03.2027</t>
        </is>
      </c>
      <c r="E6289" t="inlineStr">
        <is>
          <t>United Kingdom</t>
        </is>
      </c>
    </row>
    <row r="6290">
      <c r="A6290" t="inlineStr">
        <is>
          <t>RECICLAGEM DE RESIDUOS DOMESTICOS E INDUSTRIAIS (Reciclimpa),  Lagoa, Portugal</t>
        </is>
      </c>
      <c r="B6290" t="inlineStr">
        <is>
          <t>Collecting Point</t>
        </is>
      </c>
      <c r="C6290" t="inlineStr">
        <is>
          <t>Amspec Iberia SL, Vilagarcia de Arousa-Pontevedra, ES</t>
        </is>
      </c>
      <c r="D6290" t="inlineStr">
        <is>
          <t>24.03.2027</t>
        </is>
      </c>
      <c r="E6290" t="inlineStr">
        <is>
          <t>Portugal</t>
        </is>
      </c>
    </row>
    <row r="6291">
      <c r="A6291" t="inlineStr">
        <is>
          <t>Ludoil Energia Srl,  Civitavecchia, Italy</t>
        </is>
      </c>
      <c r="B6291" t="inlineStr">
        <is>
          <t>Proof of Compliance Trader, Trader with Storage</t>
        </is>
      </c>
      <c r="C6291" t="inlineStr">
        <is>
          <t>SGS Germany GmbH, Emstek, DE</t>
        </is>
      </c>
      <c r="D6291" t="inlineStr">
        <is>
          <t>24.03.2027</t>
        </is>
      </c>
      <c r="E6291" t="inlineStr">
        <is>
          <t>Italy</t>
        </is>
      </c>
    </row>
    <row r="6292">
      <c r="A6292" t="inlineStr">
        <is>
          <t>Euro Jet Intercontinental Limited,  Douglas, Isle of Man</t>
        </is>
      </c>
      <c r="B6292" t="inlineStr">
        <is>
          <t>Trader</t>
        </is>
      </c>
      <c r="C6292" t="inlineStr">
        <is>
          <t>TÜV SÜD Czech s.r.o., Praha 4, CZ</t>
        </is>
      </c>
      <c r="D6292" t="inlineStr">
        <is>
          <t>24.03.2027</t>
        </is>
      </c>
      <c r="E6292" t="inlineStr">
        <is>
          <t>Isle of Man</t>
        </is>
      </c>
    </row>
    <row r="6293">
      <c r="A6293" t="inlineStr">
        <is>
          <t>Eni Spa,  Taranto, Italy</t>
        </is>
      </c>
      <c r="B6293" t="inlineStr">
        <is>
          <t>Processing Unit, Warehouse</t>
        </is>
      </c>
      <c r="C6293" t="inlineStr">
        <is>
          <t>RINA Services S.p.A., Genova, IT</t>
        </is>
      </c>
      <c r="D6293" t="inlineStr">
        <is>
          <t>24.03.2027</t>
        </is>
      </c>
      <c r="E6293" t="inlineStr">
        <is>
          <t>Italy</t>
        </is>
      </c>
    </row>
    <row r="6294">
      <c r="A6294" t="inlineStr">
        <is>
          <t>SINOPEC CHEMICAL COMMERCIAL INTERNATIONAL CO., LTD.,  Pudong New Area, Shanghai, China</t>
        </is>
      </c>
      <c r="B6294" t="inlineStr">
        <is>
          <t>Trader</t>
        </is>
      </c>
      <c r="C6294" t="inlineStr">
        <is>
          <t>China Classification Society Certification Co., Ltd, Dong Cheng District, Beijing, CN</t>
        </is>
      </c>
      <c r="D6294" t="inlineStr">
        <is>
          <t>24.03.2027</t>
        </is>
      </c>
      <c r="E6294" t="inlineStr">
        <is>
          <t>China</t>
        </is>
      </c>
    </row>
    <row r="6295">
      <c r="A6295" t="inlineStr">
        <is>
          <t>Anonsi LTD,  SOFIA, Bulgaria</t>
        </is>
      </c>
      <c r="B6295" t="inlineStr">
        <is>
          <t>Trader</t>
        </is>
      </c>
      <c r="C6295" t="inlineStr">
        <is>
          <t>RINA Services S.p.A., Genova, IT</t>
        </is>
      </c>
      <c r="D6295" t="inlineStr">
        <is>
          <t>24.03.2027</t>
        </is>
      </c>
      <c r="E6295" t="inlineStr">
        <is>
          <t>Bulgaria</t>
        </is>
      </c>
    </row>
    <row r="6296">
      <c r="A6296" t="inlineStr">
        <is>
          <t>Agri Oils Pte Ltd,  Singapore, Singapore</t>
        </is>
      </c>
      <c r="B6296" t="inlineStr">
        <is>
          <t>Trader</t>
        </is>
      </c>
      <c r="C6296" t="inlineStr">
        <is>
          <t>Trans Certification and Inspection Sdn Bhd, Kuantan, MY</t>
        </is>
      </c>
      <c r="D6296" t="inlineStr">
        <is>
          <t>24.03.2027</t>
        </is>
      </c>
      <c r="E6296" t="inlineStr">
        <is>
          <t>Singapore</t>
        </is>
      </c>
    </row>
    <row r="6297">
      <c r="A6297" t="inlineStr">
        <is>
          <t>Shin-Etsu Silicones of America,  Akron, Ohio, United States</t>
        </is>
      </c>
      <c r="B6297" t="inlineStr">
        <is>
          <t>Trader with Storage</t>
        </is>
      </c>
      <c r="C6297" t="inlineStr">
        <is>
          <t>SCS Global Services, Emeryville, CA, US</t>
        </is>
      </c>
      <c r="D6297" t="inlineStr">
        <is>
          <t>24.03.2027</t>
        </is>
      </c>
      <c r="E6297" t="inlineStr">
        <is>
          <t>United States</t>
        </is>
      </c>
    </row>
    <row r="6298">
      <c r="A6298" t="inlineStr">
        <is>
          <t>KVALITAPLUS s.r.o.,  Praha, Czech Republic</t>
        </is>
      </c>
      <c r="B6298" t="inlineStr">
        <is>
          <t>Trader</t>
        </is>
      </c>
      <c r="C6298" t="inlineStr">
        <is>
          <t>TÜV SÜD Czech s.r.o., Praha 4, CZ</t>
        </is>
      </c>
      <c r="D6298" t="inlineStr">
        <is>
          <t>24.03.2027</t>
        </is>
      </c>
      <c r="E6298" t="inlineStr">
        <is>
          <t>Czech Republic</t>
        </is>
      </c>
    </row>
    <row r="6299">
      <c r="A6299" t="inlineStr">
        <is>
          <t>XXL AGRO TRANSPORT SRL,  Giurgiu, Romania</t>
        </is>
      </c>
      <c r="B6299" t="inlineStr">
        <is>
          <t>First Gathering Point, Trader</t>
        </is>
      </c>
      <c r="C6299" t="inlineStr">
        <is>
          <t>SRAC Cert SRL, Bucharest, RO</t>
        </is>
      </c>
      <c r="D6299" t="inlineStr">
        <is>
          <t>24.03.2027</t>
        </is>
      </c>
      <c r="E6299" t="inlineStr">
        <is>
          <t>Romania</t>
        </is>
      </c>
    </row>
    <row r="6300">
      <c r="A6300" t="inlineStr">
        <is>
          <t>BP International Limited,  London, United Kingdom</t>
        </is>
      </c>
      <c r="B6300" t="inlineStr">
        <is>
          <t>Trader with Storage, Proof of Compliance Trader</t>
        </is>
      </c>
      <c r="C6300" t="inlineStr">
        <is>
          <t>Control Union Certifications Germany GmbH, Berlin, DE</t>
        </is>
      </c>
      <c r="D6300" t="inlineStr">
        <is>
          <t>24.03.2027</t>
        </is>
      </c>
      <c r="E6300" t="inlineStr">
        <is>
          <t>United Kingdom</t>
        </is>
      </c>
    </row>
    <row r="6301">
      <c r="A6301" t="inlineStr">
        <is>
          <t>Sirmax S.p.A.,  Cittadella, Italy</t>
        </is>
      </c>
      <c r="B6301" t="inlineStr">
        <is>
          <t>Trader with Storage, Warehouse</t>
        </is>
      </c>
      <c r="C6301" t="inlineStr">
        <is>
          <t>IIP S.r.l., Monza, IT</t>
        </is>
      </c>
      <c r="D6301" t="inlineStr">
        <is>
          <t>24.03.2027</t>
        </is>
      </c>
      <c r="E6301" t="inlineStr">
        <is>
          <t>Italy</t>
        </is>
      </c>
    </row>
    <row r="6302">
      <c r="A6302" t="inlineStr">
        <is>
          <t>NUDEC, S.A.U.,  Polinyà, Spain</t>
        </is>
      </c>
      <c r="B6302" t="inlineStr">
        <is>
          <t>Processing Unit</t>
        </is>
      </c>
      <c r="C6302" t="inlineStr">
        <is>
          <t>Amspec Iberia SL, Vilagarcia de Arousa-Pontevedra, ES</t>
        </is>
      </c>
      <c r="D6302" t="inlineStr">
        <is>
          <t>24.03.2027</t>
        </is>
      </c>
      <c r="E6302" t="inlineStr">
        <is>
          <t>Spain</t>
        </is>
      </c>
    </row>
    <row r="6303">
      <c r="A6303" t="inlineStr">
        <is>
          <t>CHANGSHIN REKSA JAYA,  Garut, Indonesia</t>
        </is>
      </c>
      <c r="B6303" t="inlineStr">
        <is>
          <t>Final Product Refinement, Processing Unit</t>
        </is>
      </c>
      <c r="C6303" t="inlineStr">
        <is>
          <t>PT Intertek Utama Services, Jakarta, ID</t>
        </is>
      </c>
      <c r="D6303" t="inlineStr">
        <is>
          <t>24.03.2027</t>
        </is>
      </c>
      <c r="E6303" t="inlineStr">
        <is>
          <t>Indonesia</t>
        </is>
      </c>
    </row>
    <row r="6304">
      <c r="A6304" t="inlineStr">
        <is>
          <t>Axereal Hungary Kft.,  Budapest, Hungary</t>
        </is>
      </c>
      <c r="B6304" t="inlineStr">
        <is>
          <t>First Gathering Point, Trader with Storage</t>
        </is>
      </c>
      <c r="C6304" t="inlineStr">
        <is>
          <t>Amspec Iberia SL, Vilagarcia de Arousa-Pontevedra, ES</t>
        </is>
      </c>
      <c r="D6304" t="inlineStr">
        <is>
          <t>24.03.2027</t>
        </is>
      </c>
      <c r="E6304" t="inlineStr">
        <is>
          <t>Hungary</t>
        </is>
      </c>
    </row>
    <row r="6305">
      <c r="A6305" t="inlineStr">
        <is>
          <t>Calor Teoranta,  Dublin, Ireland</t>
        </is>
      </c>
      <c r="B6305" t="inlineStr">
        <is>
          <t>Trader with Storage</t>
        </is>
      </c>
      <c r="C6305" t="inlineStr">
        <is>
          <t>SGS Germany GmbH, Emstek, DE</t>
        </is>
      </c>
      <c r="D6305" t="inlineStr">
        <is>
          <t>24.03.2027</t>
        </is>
      </c>
      <c r="E6305" t="inlineStr">
        <is>
          <t>Ireland</t>
        </is>
      </c>
    </row>
    <row r="6306">
      <c r="A6306" t="inlineStr">
        <is>
          <t>Jan Bakker Mesthandel B.V.,  Hattemerbroek, Netherlands</t>
        </is>
      </c>
      <c r="B6306" t="inlineStr">
        <is>
          <t>Collecting Point</t>
        </is>
      </c>
      <c r="C6306" t="inlineStr">
        <is>
          <t>Normec QS BV, Ede, NL</t>
        </is>
      </c>
      <c r="D6306" t="inlineStr">
        <is>
          <t>24.03.2027</t>
        </is>
      </c>
      <c r="E6306" t="inlineStr">
        <is>
          <t>Netherlands</t>
        </is>
      </c>
    </row>
    <row r="6307">
      <c r="A6307" t="inlineStr">
        <is>
          <t>EUROTEC TECNOPOLIMERI,  VAZZOLA-FRAZ. TEZZE, Italy</t>
        </is>
      </c>
      <c r="B6307" t="inlineStr">
        <is>
          <t>Trader with Storage</t>
        </is>
      </c>
      <c r="C6307" t="inlineStr">
        <is>
          <t>RINA Services S.p.A., Genova, IT</t>
        </is>
      </c>
      <c r="D6307" t="inlineStr">
        <is>
          <t>24.03.2027</t>
        </is>
      </c>
      <c r="E6307" t="inlineStr">
        <is>
          <t>Italy</t>
        </is>
      </c>
    </row>
    <row r="6308">
      <c r="A6308" t="inlineStr">
        <is>
          <t>POPAL TECHNOLOGY LIMITED,  Guangzhou City, China</t>
        </is>
      </c>
      <c r="B6308" t="inlineStr">
        <is>
          <t>Trader</t>
        </is>
      </c>
      <c r="C6308" t="inlineStr">
        <is>
          <t>Extensive Standard Technical Services Co., Ltd., Hong Kong, CN</t>
        </is>
      </c>
      <c r="D6308" t="inlineStr">
        <is>
          <t>24.03.2027</t>
        </is>
      </c>
      <c r="E6308" t="inlineStr">
        <is>
          <t>China</t>
        </is>
      </c>
    </row>
    <row r="6309">
      <c r="A6309" t="inlineStr">
        <is>
          <t>Elevator Bud Invest,  Adampil Village, Khmelnitsk Region, Ukraine</t>
        </is>
      </c>
      <c r="B6309" t="inlineStr">
        <is>
          <t>First Gathering Point, Processing Unit, Trader with Storage</t>
        </is>
      </c>
      <c r="C6309" t="inlineStr">
        <is>
          <t>Aciter Genelab LLC, Odessa, UA</t>
        </is>
      </c>
      <c r="D6309" t="inlineStr">
        <is>
          <t>24.03.2027</t>
        </is>
      </c>
      <c r="E6309" t="inlineStr">
        <is>
          <t>Ukraine</t>
        </is>
      </c>
    </row>
    <row r="6310">
      <c r="A6310" t="inlineStr">
        <is>
          <t>Tetra Pak India Pvt. Ltd.,  Pune, India</t>
        </is>
      </c>
      <c r="B6310" t="inlineStr">
        <is>
          <t>Processing Unit</t>
        </is>
      </c>
      <c r="C6310" t="inlineStr">
        <is>
          <t>SCS Global Services, Emeryville, CA, US</t>
        </is>
      </c>
      <c r="D6310" t="inlineStr">
        <is>
          <t>24.03.2027</t>
        </is>
      </c>
      <c r="E6310" t="inlineStr">
        <is>
          <t>India</t>
        </is>
      </c>
    </row>
    <row r="6311">
      <c r="A6311" t="inlineStr">
        <is>
          <t>Treston Oy,  Turku, Finland</t>
        </is>
      </c>
      <c r="B6311" t="inlineStr">
        <is>
          <t>Processing Unit</t>
        </is>
      </c>
      <c r="C6311" t="inlineStr">
        <is>
          <t>DNV Business Assurance Sweden AB, Solna, SE</t>
        </is>
      </c>
      <c r="D6311" t="inlineStr">
        <is>
          <t>24.03.2027</t>
        </is>
      </c>
      <c r="E6311" t="inlineStr">
        <is>
          <t>Finland</t>
        </is>
      </c>
    </row>
    <row r="6312">
      <c r="A6312" t="inlineStr">
        <is>
          <t>Interimpex Ltd.,  Sofia, Sredets Region, Bulgaria</t>
        </is>
      </c>
      <c r="B6312" t="inlineStr">
        <is>
          <t>First Gathering Point</t>
        </is>
      </c>
      <c r="C6312" t="inlineStr">
        <is>
          <t>Baltic Control Certification, Albertslund, DK</t>
        </is>
      </c>
      <c r="D6312" t="inlineStr">
        <is>
          <t>24.03.2027</t>
        </is>
      </c>
      <c r="E6312" t="inlineStr">
        <is>
          <t>Bulgaria</t>
        </is>
      </c>
    </row>
    <row r="6313">
      <c r="A6313" t="inlineStr">
        <is>
          <t>Lianyungang Jialefeng Import and Export Trading Co., Ltd.,  Lianyungang City, Jiangsu Province, China</t>
        </is>
      </c>
      <c r="B6313" t="inlineStr">
        <is>
          <t>Trader</t>
        </is>
      </c>
      <c r="C6313" t="inlineStr">
        <is>
          <t>SCS Global Services, Emeryville, CA, US</t>
        </is>
      </c>
      <c r="D6313" t="inlineStr">
        <is>
          <t>24.03.2027</t>
        </is>
      </c>
      <c r="E6313" t="inlineStr">
        <is>
          <t>China</t>
        </is>
      </c>
    </row>
    <row r="6314">
      <c r="A6314" t="inlineStr">
        <is>
          <t>PETROLIMEX SINGAPORE PTE LTD,  SINGAPORE, Singapore</t>
        </is>
      </c>
      <c r="B6314" t="inlineStr">
        <is>
          <t>Trader</t>
        </is>
      </c>
      <c r="C6314" t="inlineStr">
        <is>
          <t>SGS Germany GmbH, Emstek, DE</t>
        </is>
      </c>
      <c r="D6314" t="inlineStr">
        <is>
          <t>24.03.2027</t>
        </is>
      </c>
      <c r="E6314" t="inlineStr">
        <is>
          <t>Singapore</t>
        </is>
      </c>
    </row>
    <row r="6315">
      <c r="A6315" t="inlineStr">
        <is>
          <t>PolyMelt Manufacturing,  Missouri City, Texas, United States</t>
        </is>
      </c>
      <c r="B6315" t="inlineStr">
        <is>
          <t>Processing Unit</t>
        </is>
      </c>
      <c r="C6315" t="inlineStr">
        <is>
          <t>SCS Global Services, Emeryville, CA, US</t>
        </is>
      </c>
      <c r="D6315" t="inlineStr">
        <is>
          <t>24.03.2027</t>
        </is>
      </c>
      <c r="E6315" t="inlineStr">
        <is>
          <t>United States</t>
        </is>
      </c>
    </row>
    <row r="6316">
      <c r="A6316" t="inlineStr">
        <is>
          <t>BASF Company Ltd.,  Yesan-Gun, South Korea</t>
        </is>
      </c>
      <c r="B6316" t="inlineStr">
        <is>
          <t>Processing Unit</t>
        </is>
      </c>
      <c r="C6316" t="inlineStr">
        <is>
          <t>TÜV NORD CERT GmbH, Essen, DE</t>
        </is>
      </c>
      <c r="D6316" t="inlineStr">
        <is>
          <t>24.03.2027</t>
        </is>
      </c>
      <c r="E6316" t="inlineStr">
        <is>
          <t>South Korea</t>
        </is>
      </c>
    </row>
    <row r="6317">
      <c r="A6317" t="inlineStr">
        <is>
          <t>Varga-Farm Kft.,  Soponya, Hungary</t>
        </is>
      </c>
      <c r="B6317" t="inlineStr">
        <is>
          <t>First Gathering Point, Trader with Storage</t>
        </is>
      </c>
      <c r="C6317" t="inlineStr">
        <is>
          <t>Certificadora Gallega del Noroeste SL, Vilagarcia de Arousa-Pontevedra, ES</t>
        </is>
      </c>
      <c r="D6317" t="inlineStr">
        <is>
          <t>24.03.2027</t>
        </is>
      </c>
      <c r="E6317" t="inlineStr">
        <is>
          <t>Hungary</t>
        </is>
      </c>
    </row>
    <row r="6318">
      <c r="A6318" t="inlineStr">
        <is>
          <t>Química Atlántica, LDA.,  Lisboa, Portugal</t>
        </is>
      </c>
      <c r="B6318" t="inlineStr">
        <is>
          <t>Trader</t>
        </is>
      </c>
      <c r="C6318" t="inlineStr">
        <is>
          <t>Certificadora Gallega del Noroeste SL, Vilagarcia de Arousa-Pontevedra, ES</t>
        </is>
      </c>
      <c r="D6318" t="inlineStr">
        <is>
          <t>24.03.2027</t>
        </is>
      </c>
      <c r="E6318" t="inlineStr">
        <is>
          <t>Portugal</t>
        </is>
      </c>
    </row>
    <row r="6319">
      <c r="A6319" t="inlineStr">
        <is>
          <t>Denta Bross,  Stützengrün, Germany</t>
        </is>
      </c>
      <c r="B6319" t="inlineStr">
        <is>
          <t>Processing Unit, Warehouse</t>
        </is>
      </c>
      <c r="C6319" t="inlineStr">
        <is>
          <t>GUT Certifizierungsgesellschaft für Managementsysteme mbH Umweltgutachter, Berlin, DE</t>
        </is>
      </c>
      <c r="D6319" t="inlineStr">
        <is>
          <t>24.03.2027</t>
        </is>
      </c>
      <c r="E6319" t="inlineStr">
        <is>
          <t>Germany</t>
        </is>
      </c>
    </row>
    <row r="6320">
      <c r="A6320" t="inlineStr">
        <is>
          <t>KWANTAS OIL SDN BHD,  LAHAD DATU, Malaysia</t>
        </is>
      </c>
      <c r="B6320" t="inlineStr">
        <is>
          <t>Point of Origin, Trader with Storage</t>
        </is>
      </c>
      <c r="C6320" t="inlineStr">
        <is>
          <t>NIOSH Certification Sdn. Bhd., Selangor Darul Ehsan, MY</t>
        </is>
      </c>
      <c r="D6320" t="inlineStr">
        <is>
          <t>24.03.2027</t>
        </is>
      </c>
      <c r="E6320" t="inlineStr">
        <is>
          <t>Malaysia</t>
        </is>
      </c>
    </row>
    <row r="6321">
      <c r="A6321" t="inlineStr">
        <is>
          <t>KWANTAS OIL SDN BHD,  LAHAD DATU, Malaysia</t>
        </is>
      </c>
      <c r="B6321" t="inlineStr">
        <is>
          <t>Point of Origin</t>
        </is>
      </c>
      <c r="C6321" t="inlineStr">
        <is>
          <t>NIOSH Certification Sdn. Bhd., Selangor Darul Ehsan, MY</t>
        </is>
      </c>
      <c r="D6321" t="inlineStr">
        <is>
          <t>24.03.2027</t>
        </is>
      </c>
      <c r="E6321" t="inlineStr">
        <is>
          <t>Malaysia</t>
        </is>
      </c>
    </row>
    <row r="6322">
      <c r="A6322" t="inlineStr">
        <is>
          <t>KWANTAS OIL SDN BHD,  LAHAD DATU, Malaysia</t>
        </is>
      </c>
      <c r="B6322" t="inlineStr">
        <is>
          <t>Point of Origin</t>
        </is>
      </c>
      <c r="C6322" t="inlineStr">
        <is>
          <t>NIOSH Certification Sdn. Bhd., Selangor Darul Ehsan, MY</t>
        </is>
      </c>
      <c r="D6322" t="inlineStr">
        <is>
          <t>24.03.2027</t>
        </is>
      </c>
      <c r="E6322" t="inlineStr">
        <is>
          <t>Malaysia</t>
        </is>
      </c>
    </row>
    <row r="6323">
      <c r="A6323" t="inlineStr">
        <is>
          <t>Undoz Ventures Limited,  Riga, Latvia</t>
        </is>
      </c>
      <c r="B6323" t="inlineStr">
        <is>
          <t>Trader with Storage</t>
        </is>
      </c>
      <c r="C6323" t="inlineStr">
        <is>
          <t>BM Certification, Riga, LV</t>
        </is>
      </c>
      <c r="D6323" t="inlineStr">
        <is>
          <t>24.03.2027</t>
        </is>
      </c>
      <c r="E6323" t="inlineStr">
        <is>
          <t>Latvia</t>
        </is>
      </c>
    </row>
    <row r="6324">
      <c r="A6324" t="inlineStr">
        <is>
          <t>StarPak,  Houston, United States</t>
        </is>
      </c>
      <c r="B6324" t="inlineStr">
        <is>
          <t>Processing Unit</t>
        </is>
      </c>
      <c r="C6324" t="inlineStr">
        <is>
          <t>SCS Global Services, Emeryville, CA, US</t>
        </is>
      </c>
      <c r="D6324" t="inlineStr">
        <is>
          <t>24.03.2027</t>
        </is>
      </c>
      <c r="E6324" t="inlineStr">
        <is>
          <t>United States</t>
        </is>
      </c>
    </row>
    <row r="6325">
      <c r="A6325" t="inlineStr">
        <is>
          <t>PETROLIMEX SINGAPORE PTE LTD,  SINGAPORE, Singapore</t>
        </is>
      </c>
      <c r="B6325" t="inlineStr">
        <is>
          <t>Trader</t>
        </is>
      </c>
      <c r="C6325" t="inlineStr">
        <is>
          <t>SGS Germany GmbH, Emstek, DE</t>
        </is>
      </c>
      <c r="D6325" t="inlineStr">
        <is>
          <t>24.03.2027</t>
        </is>
      </c>
      <c r="E6325" t="inlineStr">
        <is>
          <t>Singapore</t>
        </is>
      </c>
    </row>
    <row r="6326">
      <c r="A6326" t="inlineStr">
        <is>
          <t>KEIYO POLYETHYLENE CO., LTD.,  Chuo-ku, Tokyo, Japan</t>
        </is>
      </c>
      <c r="B6326" t="inlineStr">
        <is>
          <t>Trader with Storage</t>
        </is>
      </c>
      <c r="C6326" t="inlineStr">
        <is>
          <t>SGS Germany GmbH, Emstek, DE</t>
        </is>
      </c>
      <c r="D6326" t="inlineStr">
        <is>
          <t>24.03.2027</t>
        </is>
      </c>
      <c r="E6326" t="inlineStr">
        <is>
          <t>Japan</t>
        </is>
      </c>
    </row>
    <row r="6327">
      <c r="A6327" t="inlineStr">
        <is>
          <t>Soós-Gabona Kft,  Sárbogárd, Hungary</t>
        </is>
      </c>
      <c r="B6327" t="inlineStr">
        <is>
          <t>First Gathering Point</t>
        </is>
      </c>
      <c r="C6327" t="inlineStr">
        <is>
          <t>SGS Germany GmbH, Emstek, DE</t>
        </is>
      </c>
      <c r="D6327" t="inlineStr">
        <is>
          <t>24.03.2027</t>
        </is>
      </c>
      <c r="E6327" t="inlineStr">
        <is>
          <t>Hungary</t>
        </is>
      </c>
    </row>
    <row r="6328">
      <c r="A6328" t="inlineStr">
        <is>
          <t>Lautus,  Ķekavas nov., Latvia</t>
        </is>
      </c>
      <c r="B6328" t="inlineStr">
        <is>
          <t>Collecting Point</t>
        </is>
      </c>
      <c r="C6328" t="inlineStr">
        <is>
          <t>BM Certification, Riga, LV</t>
        </is>
      </c>
      <c r="D6328" t="inlineStr">
        <is>
          <t>24.03.2027</t>
        </is>
      </c>
      <c r="E6328" t="inlineStr">
        <is>
          <t>Latvia</t>
        </is>
      </c>
    </row>
    <row r="6329">
      <c r="A6329" t="inlineStr">
        <is>
          <t>XIAMEN ITG AGRICULTURE AND FORESTRY CO., LTD.,  Xiamen City, Fujian Province, China</t>
        </is>
      </c>
      <c r="B6329" t="inlineStr">
        <is>
          <t>Trader</t>
        </is>
      </c>
      <c r="C6329" t="inlineStr">
        <is>
          <t>SCS Global Services, Emeryville, CA, US</t>
        </is>
      </c>
      <c r="D6329" t="inlineStr">
        <is>
          <t>24.03.2027</t>
        </is>
      </c>
      <c r="E6329" t="inlineStr">
        <is>
          <t>China</t>
        </is>
      </c>
    </row>
    <row r="6330">
      <c r="A6330" t="inlineStr">
        <is>
          <t>DEWA RENCANA PERANGIN ANGIN,  PROVINSI SUMATERA UTARA, Indonesia</t>
        </is>
      </c>
      <c r="B6330" t="inlineStr">
        <is>
          <t>Point of Origin</t>
        </is>
      </c>
      <c r="C6330" t="inlineStr">
        <is>
          <t>China Testing &amp; Certification International Group Co., Ltd., Beijing, CN</t>
        </is>
      </c>
      <c r="D6330" t="inlineStr">
        <is>
          <t>24.03.2027</t>
        </is>
      </c>
      <c r="E6330" t="inlineStr">
        <is>
          <t>Indonesia</t>
        </is>
      </c>
    </row>
    <row r="6331">
      <c r="A6331" t="inlineStr">
        <is>
          <t>TENERA SERGAI PERKASA,  PROVINSI SUMATERA UTARA, Indonesia</t>
        </is>
      </c>
      <c r="B6331" t="inlineStr">
        <is>
          <t>Point of Origin</t>
        </is>
      </c>
      <c r="C6331" t="inlineStr">
        <is>
          <t>China Testing &amp; Certification International Group Co., Ltd., Beijing, CN</t>
        </is>
      </c>
      <c r="D6331" t="inlineStr">
        <is>
          <t>24.03.2027</t>
        </is>
      </c>
      <c r="E6331" t="inlineStr">
        <is>
          <t>Indonesia</t>
        </is>
      </c>
    </row>
    <row r="6332">
      <c r="A6332" t="inlineStr">
        <is>
          <t>Biomar Trading FZC,  Hamriyah Free Zone, United Arab Emirates</t>
        </is>
      </c>
      <c r="B6332" t="inlineStr">
        <is>
          <t>Processing Unit, Trader with Storage</t>
        </is>
      </c>
      <c r="C6332" t="inlineStr">
        <is>
          <t>China Testing &amp; Certification International Group Co., Ltd., Beijing, CN</t>
        </is>
      </c>
      <c r="D6332" t="inlineStr">
        <is>
          <t>24.03.2027</t>
        </is>
      </c>
      <c r="E6332" t="inlineStr">
        <is>
          <t>United Arab Emirates</t>
        </is>
      </c>
    </row>
    <row r="6333">
      <c r="A6333" t="inlineStr">
        <is>
          <t>Ningxia Shoulang Jiyuan New Energy Technology Co., Ltd,  Shizuishan, China</t>
        </is>
      </c>
      <c r="B6333" t="inlineStr">
        <is>
          <t>Collecting Point, Processing Unit, Trader with Storage</t>
        </is>
      </c>
      <c r="C6333" t="inlineStr">
        <is>
          <t>SCS Global Services, Emeryville, CA, US</t>
        </is>
      </c>
      <c r="D6333" t="inlineStr">
        <is>
          <t>24.03.2027</t>
        </is>
      </c>
      <c r="E6333" t="inlineStr">
        <is>
          <t>China</t>
        </is>
      </c>
    </row>
    <row r="6334">
      <c r="A6334" t="inlineStr">
        <is>
          <t>Ningxia Shoulang Jiyuan New Energy Technology Co., Ltd,  Shizuishan, China</t>
        </is>
      </c>
      <c r="B6334" t="inlineStr">
        <is>
          <t>Collecting Point, Processing Unit, Trader with Storage</t>
        </is>
      </c>
      <c r="C6334" t="inlineStr">
        <is>
          <t>SCS Global Services, Emeryville, CA, US</t>
        </is>
      </c>
      <c r="D6334" t="inlineStr">
        <is>
          <t>24.03.2027</t>
        </is>
      </c>
      <c r="E6334" t="inlineStr">
        <is>
          <t>China</t>
        </is>
      </c>
    </row>
    <row r="6335">
      <c r="A6335" t="inlineStr">
        <is>
          <t>Lianyungang City Chenghetong Trading Co., Ltd,  Lianyungang City, Jiangsu Province, China</t>
        </is>
      </c>
      <c r="B6335" t="inlineStr">
        <is>
          <t>Trader</t>
        </is>
      </c>
      <c r="C6335" t="inlineStr">
        <is>
          <t>SCS Global Services, Emeryville, CA, US</t>
        </is>
      </c>
      <c r="D6335" t="inlineStr">
        <is>
          <t>24.03.2027</t>
        </is>
      </c>
      <c r="E6335" t="inlineStr">
        <is>
          <t>China</t>
        </is>
      </c>
    </row>
    <row r="6336">
      <c r="A6336" t="inlineStr">
        <is>
          <t>Lianyungang City Chenghetong Trading Co., Ltd,  Lianyungang City, Jiangsu Province, China</t>
        </is>
      </c>
      <c r="B6336" t="inlineStr">
        <is>
          <t>Trader</t>
        </is>
      </c>
      <c r="C6336" t="inlineStr">
        <is>
          <t>SCS Global Services, Emeryville, CA, US</t>
        </is>
      </c>
      <c r="D6336" t="inlineStr">
        <is>
          <t>24.03.2027</t>
        </is>
      </c>
      <c r="E6336" t="inlineStr">
        <is>
          <t>China</t>
        </is>
      </c>
    </row>
    <row r="6337">
      <c r="A6337" t="inlineStr">
        <is>
          <t>Volyn Trade,  Lutsk, Ukraine</t>
        </is>
      </c>
      <c r="B6337" t="inlineStr">
        <is>
          <t>Collecting Point, Trader</t>
        </is>
      </c>
      <c r="C6337" t="inlineStr">
        <is>
          <t>BM Certification, Riga, LV</t>
        </is>
      </c>
      <c r="D6337" t="inlineStr">
        <is>
          <t>24.03.2027</t>
        </is>
      </c>
      <c r="E6337" t="inlineStr">
        <is>
          <t>Ukraine</t>
        </is>
      </c>
    </row>
    <row r="6338">
      <c r="A6338" t="inlineStr">
        <is>
          <t>Procesadora Gestion de Desechos Progede Oil-Natura Cia Ltda,  Sector fincas Delia,Guayaquil, Ecuador</t>
        </is>
      </c>
      <c r="B6338" t="inlineStr">
        <is>
          <t>Collecting Point</t>
        </is>
      </c>
      <c r="C6338" t="inlineStr">
        <is>
          <t>Certificadora Gallega del Noroeste SL, Vilagarcia de Arousa-Pontevedra, ES</t>
        </is>
      </c>
      <c r="D6338" t="inlineStr">
        <is>
          <t>24.03.2027</t>
        </is>
      </c>
      <c r="E6338" t="inlineStr">
        <is>
          <t>Ecuador</t>
        </is>
      </c>
    </row>
    <row r="6339">
      <c r="A6339" t="inlineStr">
        <is>
          <t>CONTINORA AG,  Kyiv, Ukraine</t>
        </is>
      </c>
      <c r="B6339" t="inlineStr">
        <is>
          <t>Trader</t>
        </is>
      </c>
      <c r="C6339" t="inlineStr">
        <is>
          <t>BM Certification, Riga, LV</t>
        </is>
      </c>
      <c r="D6339" t="inlineStr">
        <is>
          <t>24.03.2027</t>
        </is>
      </c>
      <c r="E6339" t="inlineStr">
        <is>
          <t>Ukraine</t>
        </is>
      </c>
    </row>
    <row r="6340">
      <c r="A6340" t="inlineStr">
        <is>
          <t>Eni Spa,  Taranto, Italy</t>
        </is>
      </c>
      <c r="B6340" t="inlineStr">
        <is>
          <t>Processing Unit, Warehouse</t>
        </is>
      </c>
      <c r="C6340" t="inlineStr">
        <is>
          <t>RINA Services S.p.A., Genova, IT</t>
        </is>
      </c>
      <c r="D6340" t="inlineStr">
        <is>
          <t>24.03.2027</t>
        </is>
      </c>
      <c r="E6340" t="inlineStr">
        <is>
          <t>Italy</t>
        </is>
      </c>
    </row>
    <row r="6341">
      <c r="A6341" t="inlineStr">
        <is>
          <t>SINOPEC CHEMICAL COMMERCIAL INTERNATIONAL CO., LTD.,  Pudong New Area, Shanghai, China</t>
        </is>
      </c>
      <c r="B6341" t="inlineStr">
        <is>
          <t>Trader</t>
        </is>
      </c>
      <c r="C6341" t="inlineStr">
        <is>
          <t>China Classification Society Certification Co., Ltd, Dong Cheng District, Beijing, CN</t>
        </is>
      </c>
      <c r="D6341" t="inlineStr">
        <is>
          <t>24.03.2027</t>
        </is>
      </c>
      <c r="E6341" t="inlineStr">
        <is>
          <t>China</t>
        </is>
      </c>
    </row>
    <row r="6342">
      <c r="A6342" t="inlineStr">
        <is>
          <t>Eni Spa,  Taranto, Italy</t>
        </is>
      </c>
      <c r="B6342" t="inlineStr">
        <is>
          <t>Processing Unit, Warehouse</t>
        </is>
      </c>
      <c r="C6342" t="inlineStr">
        <is>
          <t>RINA Services S.p.A., Genova, IT</t>
        </is>
      </c>
      <c r="D6342" t="inlineStr">
        <is>
          <t>24.03.2027</t>
        </is>
      </c>
      <c r="E6342" t="inlineStr">
        <is>
          <t>Italy</t>
        </is>
      </c>
    </row>
    <row r="6343">
      <c r="A6343" t="inlineStr">
        <is>
          <t>Dourogás Renovável - Produtora de Gás,  Mirandela, Portugal</t>
        </is>
      </c>
      <c r="B6343" t="inlineStr">
        <is>
          <t>Processing Unit</t>
        </is>
      </c>
      <c r="C6343" t="inlineStr">
        <is>
          <t>SGS Germany GmbH, Emstek, DE</t>
        </is>
      </c>
      <c r="D6343" t="inlineStr">
        <is>
          <t>24.03.2027</t>
        </is>
      </c>
      <c r="E6343" t="inlineStr">
        <is>
          <t>Portugal</t>
        </is>
      </c>
    </row>
    <row r="6344">
      <c r="A6344" t="inlineStr">
        <is>
          <t>tag bologna srl,  Bologna, Italy</t>
        </is>
      </c>
      <c r="B6344" t="inlineStr">
        <is>
          <t>Trader with Storage, Proof of Compliance Trader</t>
        </is>
      </c>
      <c r="C6344" t="inlineStr">
        <is>
          <t>RINA Services S.p.A., Genova, IT</t>
        </is>
      </c>
      <c r="D6344" t="inlineStr">
        <is>
          <t>24.03.2027</t>
        </is>
      </c>
      <c r="E6344" t="inlineStr">
        <is>
          <t>Italy</t>
        </is>
      </c>
    </row>
    <row r="6345">
      <c r="A6345" t="inlineStr">
        <is>
          <t>ADECOAGRO VALE DO IVINHEMA S.A,  IVINHEMA, Brazil</t>
        </is>
      </c>
      <c r="B6345" t="inlineStr">
        <is>
          <t>First Gathering Point, Processing Unit</t>
        </is>
      </c>
      <c r="C6345" t="inlineStr">
        <is>
          <t>Control Union Poland Sp. z o.o., Zielona Gora, PL</t>
        </is>
      </c>
      <c r="D6345" t="inlineStr">
        <is>
          <t>24.03.2027</t>
        </is>
      </c>
      <c r="E6345" t="inlineStr">
        <is>
          <t>Brazil</t>
        </is>
      </c>
    </row>
    <row r="6346">
      <c r="A6346" t="inlineStr">
        <is>
          <t>Brökelmann + Co Oelmühle GmbH + Co,  Hamm, Germany</t>
        </is>
      </c>
      <c r="B6346" t="inlineStr">
        <is>
          <t>Processing Unit, Trader with Storage</t>
        </is>
      </c>
      <c r="C6346" t="inlineStr">
        <is>
          <t>SGS Germany GmbH, Emstek, DE</t>
        </is>
      </c>
      <c r="D6346" t="inlineStr">
        <is>
          <t>23.03.2027</t>
        </is>
      </c>
      <c r="E6346" t="inlineStr">
        <is>
          <t>Germany</t>
        </is>
      </c>
    </row>
    <row r="6347">
      <c r="A6347" t="inlineStr">
        <is>
          <t>Shanghai Tangchen Energy Technology Co., Ltd.,  Shanghai, China</t>
        </is>
      </c>
      <c r="B6347" t="inlineStr">
        <is>
          <t>Trader</t>
        </is>
      </c>
      <c r="C6347" t="inlineStr">
        <is>
          <t>RINA Services S.p.A., Genova, IT</t>
        </is>
      </c>
      <c r="D6347" t="inlineStr">
        <is>
          <t>23.03.2027</t>
        </is>
      </c>
      <c r="E6347" t="inlineStr">
        <is>
          <t>China</t>
        </is>
      </c>
    </row>
    <row r="6348">
      <c r="A6348" t="inlineStr">
        <is>
          <t>Brökelmann + Co Oelmühle GmbH + Co,  Hamm, Germany</t>
        </is>
      </c>
      <c r="B6348" t="inlineStr">
        <is>
          <t>Processing Unit</t>
        </is>
      </c>
      <c r="C6348" t="inlineStr">
        <is>
          <t>SGS Germany GmbH, Emstek, DE</t>
        </is>
      </c>
      <c r="D6348" t="inlineStr">
        <is>
          <t>23.03.2027</t>
        </is>
      </c>
      <c r="E6348" t="inlineStr">
        <is>
          <t>Germany</t>
        </is>
      </c>
    </row>
    <row r="6349">
      <c r="A6349" t="inlineStr">
        <is>
          <t>Jiangsu Dafeng Energy Technology Co., Ltd.,  Liyang City, China</t>
        </is>
      </c>
      <c r="B6349" t="inlineStr">
        <is>
          <t>Collecting Point, Trader with Storage</t>
        </is>
      </c>
      <c r="C6349" t="inlineStr">
        <is>
          <t>RINA Services S.p.A., Genova, IT</t>
        </is>
      </c>
      <c r="D6349" t="inlineStr">
        <is>
          <t>23.03.2027</t>
        </is>
      </c>
      <c r="E6349" t="inlineStr">
        <is>
          <t>China</t>
        </is>
      </c>
    </row>
    <row r="6350">
      <c r="A6350" t="inlineStr">
        <is>
          <t>Qualipac Aurillac,  Aurillac, France</t>
        </is>
      </c>
      <c r="B6350" t="inlineStr">
        <is>
          <t>Processing Unit</t>
        </is>
      </c>
      <c r="C6350" t="inlineStr">
        <is>
          <t>Bureau Veritas Polska Sp. z o.o., Warsaw, PL</t>
        </is>
      </c>
      <c r="D6350" t="inlineStr">
        <is>
          <t>23.03.2027</t>
        </is>
      </c>
      <c r="E6350" t="inlineStr">
        <is>
          <t>France</t>
        </is>
      </c>
    </row>
    <row r="6351">
      <c r="A6351" t="inlineStr">
        <is>
          <t>ADM Hamburg,  Hamburg, Germany</t>
        </is>
      </c>
      <c r="B6351" t="inlineStr">
        <is>
          <t>Collecting Point, Point of Origin, Trader with Storage, Processing Unit</t>
        </is>
      </c>
      <c r="C6351" t="inlineStr">
        <is>
          <t>ASG Cert GmbH, Munich, DE</t>
        </is>
      </c>
      <c r="D6351" t="inlineStr">
        <is>
          <t>23.03.2027</t>
        </is>
      </c>
      <c r="E6351" t="inlineStr">
        <is>
          <t>Germany</t>
        </is>
      </c>
    </row>
    <row r="6352">
      <c r="A6352" t="inlineStr">
        <is>
          <t>PT Kutai Refinery Nusantara,  Kelurahan Kariangau, Kecamatan Balikpapan Barat-Kota Balikpapan, Indonesia</t>
        </is>
      </c>
      <c r="B6352" t="inlineStr">
        <is>
          <t>Point of Origin, Processing Unit, Trader with Storage</t>
        </is>
      </c>
      <c r="C6352" t="inlineStr">
        <is>
          <t>SGS Germany GmbH, Emstek, DE</t>
        </is>
      </c>
      <c r="D6352" t="inlineStr">
        <is>
          <t>23.03.2027</t>
        </is>
      </c>
      <c r="E6352" t="inlineStr">
        <is>
          <t>Indonesia</t>
        </is>
      </c>
    </row>
    <row r="6353">
      <c r="A6353" t="inlineStr">
        <is>
          <t>S.C. FINPROJECT ROMANIA,  VALEA LUI MIHAI (BH), Romania</t>
        </is>
      </c>
      <c r="B6353" t="inlineStr">
        <is>
          <t>Processing Unit</t>
        </is>
      </c>
      <c r="C6353" t="inlineStr">
        <is>
          <t>RINA Services S.p.A., Genova, IT</t>
        </is>
      </c>
      <c r="D6353" t="inlineStr">
        <is>
          <t>23.03.2027</t>
        </is>
      </c>
      <c r="E6353" t="inlineStr">
        <is>
          <t>Romania</t>
        </is>
      </c>
    </row>
    <row r="6354">
      <c r="A6354" t="inlineStr">
        <is>
          <t>SHALEM INVESTMENT,  Meru, Kenya</t>
        </is>
      </c>
      <c r="B6354" t="inlineStr">
        <is>
          <t>First Gathering Point, Trader with Storage</t>
        </is>
      </c>
      <c r="C6354" t="inlineStr">
        <is>
          <t>RINA Services S.p.A., Genova, IT</t>
        </is>
      </c>
      <c r="D6354" t="inlineStr">
        <is>
          <t>23.03.2027</t>
        </is>
      </c>
      <c r="E6354" t="inlineStr">
        <is>
          <t>Kenya</t>
        </is>
      </c>
    </row>
    <row r="6355">
      <c r="A6355" t="inlineStr">
        <is>
          <t>Hallingplast,  ÅL, Norway</t>
        </is>
      </c>
      <c r="B6355" t="inlineStr">
        <is>
          <t>Trader, Processing Unit</t>
        </is>
      </c>
      <c r="C6355" t="inlineStr">
        <is>
          <t>Baltic Control Certification, Albertslund, DK</t>
        </is>
      </c>
      <c r="D6355" t="inlineStr">
        <is>
          <t>23.03.2027</t>
        </is>
      </c>
      <c r="E6355" t="inlineStr">
        <is>
          <t>Norway</t>
        </is>
      </c>
    </row>
    <row r="6356">
      <c r="A6356" t="inlineStr">
        <is>
          <t>Olenex Edible Oils,  Hamburg, Germany</t>
        </is>
      </c>
      <c r="B6356" t="inlineStr">
        <is>
          <t>Point of Origin, Trader with Storage</t>
        </is>
      </c>
      <c r="C6356" t="inlineStr">
        <is>
          <t>ASG Cert GmbH, Munich, DE</t>
        </is>
      </c>
      <c r="D6356" t="inlineStr">
        <is>
          <t>23.03.2027</t>
        </is>
      </c>
      <c r="E6356" t="inlineStr">
        <is>
          <t>Germany</t>
        </is>
      </c>
    </row>
    <row r="6357">
      <c r="A6357" t="inlineStr">
        <is>
          <t>XIAMEN XINHONGZHOU PRECISION TECHNOLOGY CO., LTD.,  XinCun,Houxi Town,Jimei,Xiamen,China, China</t>
        </is>
      </c>
      <c r="B6357" t="inlineStr">
        <is>
          <t>Processing Unit</t>
        </is>
      </c>
      <c r="C6357" t="inlineStr">
        <is>
          <t>Bureau Veritas Polska Sp. z o.o., Warsaw, PL</t>
        </is>
      </c>
      <c r="D6357" t="inlineStr">
        <is>
          <t>23.03.2027</t>
        </is>
      </c>
      <c r="E6357" t="inlineStr">
        <is>
          <t>China</t>
        </is>
      </c>
    </row>
    <row r="6358">
      <c r="A6358" t="inlineStr">
        <is>
          <t>Extena AB,  Norsjö, Sweden</t>
        </is>
      </c>
      <c r="B6358" t="inlineStr">
        <is>
          <t>Processing Unit, Trader with Storage</t>
        </is>
      </c>
      <c r="C6358" t="inlineStr">
        <is>
          <t>DNV Business Assurance Sweden AB, Solna, SE</t>
        </is>
      </c>
      <c r="D6358" t="inlineStr">
        <is>
          <t>23.03.2027</t>
        </is>
      </c>
      <c r="E6358" t="inlineStr">
        <is>
          <t>Sweden</t>
        </is>
      </c>
    </row>
    <row r="6359">
      <c r="A6359" t="inlineStr">
        <is>
          <t>TD «BELTRANS»,  Bilyaivka, Ukraine</t>
        </is>
      </c>
      <c r="B6359" t="inlineStr">
        <is>
          <t>Processing Unit</t>
        </is>
      </c>
      <c r="C6359" t="inlineStr">
        <is>
          <t>Organic Standard Ltd, Kyiv, UA</t>
        </is>
      </c>
      <c r="D6359" t="inlineStr">
        <is>
          <t>23.03.2027</t>
        </is>
      </c>
      <c r="E6359" t="inlineStr">
        <is>
          <t>Ukraine</t>
        </is>
      </c>
    </row>
    <row r="6360">
      <c r="A6360" t="inlineStr">
        <is>
          <t>IMPORT AGRI OIL,  Bilyaivka, Ukraine</t>
        </is>
      </c>
      <c r="B6360" t="inlineStr">
        <is>
          <t>Trader</t>
        </is>
      </c>
      <c r="C6360" t="inlineStr">
        <is>
          <t>Organic Standard Ltd, Kyiv, UA</t>
        </is>
      </c>
      <c r="D6360" t="inlineStr">
        <is>
          <t>23.03.2027</t>
        </is>
      </c>
      <c r="E6360" t="inlineStr">
        <is>
          <t>Ukraine</t>
        </is>
      </c>
    </row>
    <row r="6361">
      <c r="A6361" t="inlineStr">
        <is>
          <t>Mattel Asia Pacific Sourcing Limited,  Tsim Sha Tsui, Hong Kong, SAR, China</t>
        </is>
      </c>
      <c r="B6361" t="inlineStr">
        <is>
          <t>Trader with Storage</t>
        </is>
      </c>
      <c r="C6361" t="inlineStr">
        <is>
          <t>SCS Global Services, Emeryville, CA, US</t>
        </is>
      </c>
      <c r="D6361" t="inlineStr">
        <is>
          <t>23.03.2027</t>
        </is>
      </c>
      <c r="E6361" t="inlineStr">
        <is>
          <t>China</t>
        </is>
      </c>
    </row>
    <row r="6362">
      <c r="A6362" t="inlineStr">
        <is>
          <t>Raiffeisen Lagerhaus Horitschon - Mattersburg,  Unterpullendorf, Austria</t>
        </is>
      </c>
      <c r="B6362" t="inlineStr">
        <is>
          <t>First Gathering Point</t>
        </is>
      </c>
      <c r="C6362" t="inlineStr">
        <is>
          <t>agroVet GmbH, Enzersfeld, AT</t>
        </is>
      </c>
      <c r="D6362" t="inlineStr">
        <is>
          <t>23.03.2027</t>
        </is>
      </c>
      <c r="E6362" t="inlineStr">
        <is>
          <t>Austria</t>
        </is>
      </c>
    </row>
    <row r="6363">
      <c r="A6363" t="inlineStr">
        <is>
          <t>Westlake Compounds Germany GmbH,  Eilenburg, Germany</t>
        </is>
      </c>
      <c r="B6363" t="inlineStr">
        <is>
          <t>Processing Unit</t>
        </is>
      </c>
      <c r="C6363" t="inlineStr">
        <is>
          <t>TÜV SÜD Industrie Service GmbH, München, DE</t>
        </is>
      </c>
      <c r="D6363" t="inlineStr">
        <is>
          <t>23.03.2027</t>
        </is>
      </c>
      <c r="E6363" t="inlineStr">
        <is>
          <t>Germany</t>
        </is>
      </c>
    </row>
    <row r="6364">
      <c r="A6364" t="inlineStr">
        <is>
          <t>TAI FUNG TRADING CO., LTD.,  TAIPEI, Taiwan, Province of China</t>
        </is>
      </c>
      <c r="B6364" t="inlineStr">
        <is>
          <t>Trader</t>
        </is>
      </c>
      <c r="C6364" t="inlineStr">
        <is>
          <t>Bureau Veritas Polska Sp. z o.o., Warsaw, PL</t>
        </is>
      </c>
      <c r="D6364" t="inlineStr">
        <is>
          <t>23.03.2027</t>
        </is>
      </c>
      <c r="E6364" t="inlineStr">
        <is>
          <t>Province of China</t>
        </is>
      </c>
    </row>
    <row r="6365">
      <c r="A6365" t="inlineStr">
        <is>
          <t>Sollesta - Nielsen Corporation,  Santa Barbara, Philippines</t>
        </is>
      </c>
      <c r="B6365" t="inlineStr">
        <is>
          <t>Collecting Point, Warehouse</t>
        </is>
      </c>
      <c r="C6365" t="inlineStr">
        <is>
          <t>PT TUV Rheinland Indonesia, Jakarta, ID</t>
        </is>
      </c>
      <c r="D6365" t="inlineStr">
        <is>
          <t>23.03.2027</t>
        </is>
      </c>
      <c r="E6365" t="inlineStr">
        <is>
          <t>Philippines</t>
        </is>
      </c>
    </row>
    <row r="6366">
      <c r="A6366" t="inlineStr">
        <is>
          <t>Goodyear Germany,  Wittlich, Germany</t>
        </is>
      </c>
      <c r="B6366" t="inlineStr">
        <is>
          <t>Processing Unit</t>
        </is>
      </c>
      <c r="C6366" t="inlineStr">
        <is>
          <t>DQS CFS GmbH - Deutsche Gesellschaft für Nachhaltigkeit, Frankfurt am Main, DE</t>
        </is>
      </c>
      <c r="D6366" t="inlineStr">
        <is>
          <t>23.03.2027</t>
        </is>
      </c>
      <c r="E6366" t="inlineStr">
        <is>
          <t>Germany</t>
        </is>
      </c>
    </row>
    <row r="6367">
      <c r="A6367" t="inlineStr">
        <is>
          <t>Sealed Air Corporation,  Simpsonville, United States</t>
        </is>
      </c>
      <c r="B6367" t="inlineStr">
        <is>
          <t>Processing Unit</t>
        </is>
      </c>
      <c r="C6367" t="inlineStr">
        <is>
          <t>SCS Global Services, Emeryville, CA, US</t>
        </is>
      </c>
      <c r="D6367" t="inlineStr">
        <is>
          <t>23.03.2027</t>
        </is>
      </c>
      <c r="E6367" t="inlineStr">
        <is>
          <t>United States</t>
        </is>
      </c>
    </row>
    <row r="6368">
      <c r="A6368" t="inlineStr">
        <is>
          <t>Merkanta International spol. s r.o.,  Bratislava, Slovakia</t>
        </is>
      </c>
      <c r="B6368" t="inlineStr">
        <is>
          <t>Trader</t>
        </is>
      </c>
      <c r="C6368" t="inlineStr">
        <is>
          <t>United Registrar of Systems Polska Sp. z o.o., Wrocław, PL</t>
        </is>
      </c>
      <c r="D6368" t="inlineStr">
        <is>
          <t>23.03.2027</t>
        </is>
      </c>
      <c r="E6368" t="inlineStr">
        <is>
          <t>Slovakia</t>
        </is>
      </c>
    </row>
    <row r="6369">
      <c r="A6369" t="inlineStr">
        <is>
          <t>Topwin Toy (Chongqing) Limited,  Fuling District, Chongqing, China</t>
        </is>
      </c>
      <c r="B6369" t="inlineStr">
        <is>
          <t>Processing Unit</t>
        </is>
      </c>
      <c r="C6369" t="inlineStr">
        <is>
          <t>DIN CERTCO GmbH, Berlin, DE</t>
        </is>
      </c>
      <c r="D6369" t="inlineStr">
        <is>
          <t>23.03.2027</t>
        </is>
      </c>
      <c r="E6369" t="inlineStr">
        <is>
          <t>China</t>
        </is>
      </c>
    </row>
    <row r="6370">
      <c r="A6370" t="inlineStr">
        <is>
          <t>TRIOWORLD Saint-Ouen SAS,  Saint Ouen, France</t>
        </is>
      </c>
      <c r="B6370" t="inlineStr">
        <is>
          <t>Processing Unit</t>
        </is>
      </c>
      <c r="C6370" t="inlineStr">
        <is>
          <t>SGS Germany GmbH, Emstek, DE</t>
        </is>
      </c>
      <c r="D6370" t="inlineStr">
        <is>
          <t>23.03.2027</t>
        </is>
      </c>
      <c r="E6370" t="inlineStr">
        <is>
          <t>France</t>
        </is>
      </c>
    </row>
    <row r="6371">
      <c r="A6371" t="inlineStr">
        <is>
          <t>Cosmo Oil International Pte. Ltd.,  Singapore, Singapore</t>
        </is>
      </c>
      <c r="B6371" t="inlineStr">
        <is>
          <t>Trader</t>
        </is>
      </c>
      <c r="C6371" t="inlineStr">
        <is>
          <t>SGS Germany GmbH, Emstek, DE</t>
        </is>
      </c>
      <c r="D6371" t="inlineStr">
        <is>
          <t>23.03.2027</t>
        </is>
      </c>
      <c r="E6371" t="inlineStr">
        <is>
          <t>Singapore</t>
        </is>
      </c>
    </row>
    <row r="6372">
      <c r="A6372" t="inlineStr">
        <is>
          <t>ITOCHU CHEMICAL FRONTIER Corporation,  Minato-Ku, Tokyo, Japan</t>
        </is>
      </c>
      <c r="B6372" t="inlineStr">
        <is>
          <t>Trader</t>
        </is>
      </c>
      <c r="C6372" t="inlineStr">
        <is>
          <t>SGS Germany GmbH, Emstek, DE</t>
        </is>
      </c>
      <c r="D6372" t="inlineStr">
        <is>
          <t>23.03.2027</t>
        </is>
      </c>
      <c r="E6372" t="inlineStr">
        <is>
          <t>Japan</t>
        </is>
      </c>
    </row>
    <row r="6373">
      <c r="A6373" t="inlineStr">
        <is>
          <t>Lux Resources,  Ras al Khaimah, United Arab Emirates</t>
        </is>
      </c>
      <c r="B6373" t="inlineStr">
        <is>
          <t>Trader</t>
        </is>
      </c>
      <c r="C6373" t="inlineStr">
        <is>
          <t>Eurocert SA, Metamorfosi, Athens, GR</t>
        </is>
      </c>
      <c r="D6373" t="inlineStr">
        <is>
          <t>23.03.2027</t>
        </is>
      </c>
      <c r="E6373" t="inlineStr">
        <is>
          <t>United Arab Emirates</t>
        </is>
      </c>
    </row>
    <row r="6374">
      <c r="A6374" t="inlineStr">
        <is>
          <t>Braskem Netherlands B.V.,  Rotterdam, Netherlands</t>
        </is>
      </c>
      <c r="B6374" t="inlineStr">
        <is>
          <t>Trader with Storage</t>
        </is>
      </c>
      <c r="C6374" t="inlineStr">
        <is>
          <t>Control Union Certifications Germany GmbH, Berlin, DE</t>
        </is>
      </c>
      <c r="D6374" t="inlineStr">
        <is>
          <t>23.03.2027</t>
        </is>
      </c>
      <c r="E6374" t="inlineStr">
        <is>
          <t>Netherlands</t>
        </is>
      </c>
    </row>
    <row r="6375">
      <c r="A6375" t="inlineStr">
        <is>
          <t>Lootah Biofuels LLC,  Industrial Area 4, Dubai, United Arab Emirates</t>
        </is>
      </c>
      <c r="B6375" t="inlineStr">
        <is>
          <t>Collecting Point, Processing Unit</t>
        </is>
      </c>
      <c r="C6375" t="inlineStr">
        <is>
          <t>PT Intertek Utama Services, Jakarta, ID</t>
        </is>
      </c>
      <c r="D6375" t="inlineStr">
        <is>
          <t>23.03.2027</t>
        </is>
      </c>
      <c r="E6375" t="inlineStr">
        <is>
          <t>United Arab Emirates</t>
        </is>
      </c>
    </row>
    <row r="6376">
      <c r="A6376" t="inlineStr">
        <is>
          <t>Tamoil Nederland B.V.,  Groningen, Netherlands</t>
        </is>
      </c>
      <c r="B6376" t="inlineStr">
        <is>
          <t>Trader with Storage, Proof of Compliance Trader</t>
        </is>
      </c>
      <c r="C6376" t="inlineStr">
        <is>
          <t>DEKRA Certification B.V., Arnhem, NL</t>
        </is>
      </c>
      <c r="D6376" t="inlineStr">
        <is>
          <t>23.03.2027</t>
        </is>
      </c>
      <c r="E6376" t="inlineStr">
        <is>
          <t>Netherlands</t>
        </is>
      </c>
    </row>
    <row r="6377">
      <c r="A6377" t="inlineStr">
        <is>
          <t>PONEZ Werkzeugbau &amp; Kunststofftechnik GmbH,  Kopfstetten, Austria</t>
        </is>
      </c>
      <c r="B6377" t="inlineStr">
        <is>
          <t>Point of Origin, Processing Unit</t>
        </is>
      </c>
      <c r="C6377" t="inlineStr">
        <is>
          <t>agroVet GmbH, Enzersfeld, AT</t>
        </is>
      </c>
      <c r="D6377" t="inlineStr">
        <is>
          <t>23.03.2027</t>
        </is>
      </c>
      <c r="E6377" t="inlineStr">
        <is>
          <t>Austria</t>
        </is>
      </c>
    </row>
    <row r="6378">
      <c r="A6378" t="inlineStr">
        <is>
          <t>BOULIAS,  Thessaloniki, Greece</t>
        </is>
      </c>
      <c r="B6378" t="inlineStr">
        <is>
          <t>Trader</t>
        </is>
      </c>
      <c r="C6378" t="inlineStr">
        <is>
          <t>QMSCERT S.A., Pylaia, Thessaloniki, GR</t>
        </is>
      </c>
      <c r="D6378" t="inlineStr">
        <is>
          <t>23.03.2027</t>
        </is>
      </c>
      <c r="E6378" t="inlineStr">
        <is>
          <t>Greece</t>
        </is>
      </c>
    </row>
    <row r="6379">
      <c r="A6379" t="inlineStr">
        <is>
          <t>Bemis Packaging Mexico,  Zacapu, Mexico</t>
        </is>
      </c>
      <c r="B6379" t="inlineStr">
        <is>
          <t>Processing Unit</t>
        </is>
      </c>
      <c r="C6379" t="inlineStr">
        <is>
          <t>Control Union Poland Sp. z o.o., Zielona Gora, PL</t>
        </is>
      </c>
      <c r="D6379" t="inlineStr">
        <is>
          <t>23.03.2027</t>
        </is>
      </c>
      <c r="E6379" t="inlineStr">
        <is>
          <t>Mexico</t>
        </is>
      </c>
    </row>
    <row r="6380">
      <c r="A6380" t="inlineStr">
        <is>
          <t>SURVFERM SRL,  BRAILA, Romania</t>
        </is>
      </c>
      <c r="B6380" t="inlineStr">
        <is>
          <t>First Gathering Point, Trader</t>
        </is>
      </c>
      <c r="C6380" t="inlineStr">
        <is>
          <t>Control Union Certifications Germany GmbH, Berlin, DE</t>
        </is>
      </c>
      <c r="D6380" t="inlineStr">
        <is>
          <t>23.03.2027</t>
        </is>
      </c>
      <c r="E6380" t="inlineStr">
        <is>
          <t>Romania</t>
        </is>
      </c>
    </row>
    <row r="6381">
      <c r="A6381" t="inlineStr">
        <is>
          <t>Global Energy Trading Pte Ltd,  Singapore, Singapore</t>
        </is>
      </c>
      <c r="B6381" t="inlineStr">
        <is>
          <t>Trader with Storage</t>
        </is>
      </c>
      <c r="C6381" t="inlineStr">
        <is>
          <t>Control Union Certifications Germany GmbH, Berlin, DE</t>
        </is>
      </c>
      <c r="D6381" t="inlineStr">
        <is>
          <t>23.03.2027</t>
        </is>
      </c>
      <c r="E6381" t="inlineStr">
        <is>
          <t>Singapore</t>
        </is>
      </c>
    </row>
    <row r="6382">
      <c r="A6382" t="inlineStr">
        <is>
          <t>Extractora Central S.A.,  Puerto Wilches, Santander, Colombia</t>
        </is>
      </c>
      <c r="B6382" t="inlineStr">
        <is>
          <t>First Gathering Point, Processing Unit</t>
        </is>
      </c>
      <c r="C6382" t="inlineStr">
        <is>
          <t>SCS Global Services, Emeryville, CA, US</t>
        </is>
      </c>
      <c r="D6382" t="inlineStr">
        <is>
          <t>23.03.2027</t>
        </is>
      </c>
      <c r="E6382" t="inlineStr">
        <is>
          <t>Colombia</t>
        </is>
      </c>
    </row>
    <row r="6383">
      <c r="A6383" t="inlineStr">
        <is>
          <t>Extractora Central S.A.,  Puerto Wilches, Santander, Colombia</t>
        </is>
      </c>
      <c r="B6383" t="inlineStr">
        <is>
          <t>First Gathering Point, Processing Unit</t>
        </is>
      </c>
      <c r="C6383" t="inlineStr">
        <is>
          <t>SCS Global Services, Emeryville, CA, US</t>
        </is>
      </c>
      <c r="D6383" t="inlineStr">
        <is>
          <t>23.03.2027</t>
        </is>
      </c>
      <c r="E6383" t="inlineStr">
        <is>
          <t>Colombia</t>
        </is>
      </c>
    </row>
    <row r="6384">
      <c r="A6384" t="inlineStr">
        <is>
          <t>ADM Hamburg,  Hamburg, Germany</t>
        </is>
      </c>
      <c r="B6384" t="inlineStr">
        <is>
          <t>Collecting Point, Point of Origin, Processing Unit, Trader with Storage, Installation consuming RFNBOs</t>
        </is>
      </c>
      <c r="C6384" t="inlineStr">
        <is>
          <t>ASG Cert GmbH, Munich, DE</t>
        </is>
      </c>
      <c r="D6384" t="inlineStr">
        <is>
          <t>23.03.2027</t>
        </is>
      </c>
      <c r="E6384" t="inlineStr">
        <is>
          <t>Germany</t>
        </is>
      </c>
    </row>
    <row r="6385">
      <c r="A6385" t="inlineStr">
        <is>
          <t>GUAJARDO INDUSTRIAL SA DE CV,  GOMEZ PALACIO, Mexico</t>
        </is>
      </c>
      <c r="B6385" t="inlineStr">
        <is>
          <t>Point of Origin</t>
        </is>
      </c>
      <c r="C6385" t="inlineStr">
        <is>
          <t>SCS Global Services, Emeryville, CA, US</t>
        </is>
      </c>
      <c r="D6385" t="inlineStr">
        <is>
          <t>23.03.2027</t>
        </is>
      </c>
      <c r="E6385" t="inlineStr">
        <is>
          <t>Mexico</t>
        </is>
      </c>
    </row>
    <row r="6386">
      <c r="A6386" t="inlineStr">
        <is>
          <t>GUANGDONG BIHAI YUNTIAN BIOENERGY TECHNOLOGY CO. LTD.,  Huizhou City, Guangdong Province, China</t>
        </is>
      </c>
      <c r="B6386" t="inlineStr">
        <is>
          <t>Trader with Storage, Processing Unit</t>
        </is>
      </c>
      <c r="C6386" t="inlineStr">
        <is>
          <t>RINA Services S.p.A., Genova, IT</t>
        </is>
      </c>
      <c r="D6386" t="inlineStr">
        <is>
          <t>23.03.2027</t>
        </is>
      </c>
      <c r="E6386" t="inlineStr">
        <is>
          <t>China</t>
        </is>
      </c>
    </row>
    <row r="6387">
      <c r="A6387" t="inlineStr">
        <is>
          <t>Global Energy Trading Pte Ltd,  Singapore, Singapore</t>
        </is>
      </c>
      <c r="B6387" t="inlineStr">
        <is>
          <t>Trader with Storage</t>
        </is>
      </c>
      <c r="C6387" t="inlineStr">
        <is>
          <t>Control Union Certifications Germany GmbH, Berlin, DE</t>
        </is>
      </c>
      <c r="D6387" t="inlineStr">
        <is>
          <t>23.03.2027</t>
        </is>
      </c>
      <c r="E6387" t="inlineStr">
        <is>
          <t>Singapore</t>
        </is>
      </c>
    </row>
    <row r="6388">
      <c r="A6388" t="inlineStr">
        <is>
          <t>LANXESS Deutschland GmbH,  Krefeld-Uerdingen, Germany</t>
        </is>
      </c>
      <c r="B6388" t="inlineStr">
        <is>
          <t>Processing Unit</t>
        </is>
      </c>
      <c r="C6388" t="inlineStr">
        <is>
          <t>TÜV NORD CERT GmbH, Essen, DE</t>
        </is>
      </c>
      <c r="D6388" t="inlineStr">
        <is>
          <t>23.03.2027</t>
        </is>
      </c>
      <c r="E6388" t="inlineStr">
        <is>
          <t>Germany</t>
        </is>
      </c>
    </row>
    <row r="6389">
      <c r="A6389" t="inlineStr">
        <is>
          <t>TERMINAL MARITIMA DE CARTAGENA,  Cartagena (Murcia), Spain</t>
        </is>
      </c>
      <c r="B6389" t="inlineStr">
        <is>
          <t>Warehouse</t>
        </is>
      </c>
      <c r="C6389" t="inlineStr">
        <is>
          <t>Amspec Iberia SL, Vilagarcia de Arousa-Pontevedra, ES</t>
        </is>
      </c>
      <c r="D6389" t="inlineStr">
        <is>
          <t>23.03.2027</t>
        </is>
      </c>
      <c r="E6389" t="inlineStr">
        <is>
          <t>Spain</t>
        </is>
      </c>
    </row>
    <row r="6390">
      <c r="A6390" t="inlineStr">
        <is>
          <t>RATTPACK Flexibles GmbH,  6922, Austria</t>
        </is>
      </c>
      <c r="B6390" t="inlineStr">
        <is>
          <t>Processing Unit</t>
        </is>
      </c>
      <c r="C6390" t="inlineStr">
        <is>
          <t>agroVet GmbH, Enzersfeld, AT</t>
        </is>
      </c>
      <c r="D6390" t="inlineStr">
        <is>
          <t>22.03.2027</t>
        </is>
      </c>
      <c r="E6390" t="inlineStr">
        <is>
          <t>Austria</t>
        </is>
      </c>
    </row>
    <row r="6391">
      <c r="A6391" t="inlineStr">
        <is>
          <t>Cereal Kft.,  Halmajugra, Hungary</t>
        </is>
      </c>
      <c r="B6391" t="inlineStr">
        <is>
          <t>First Gathering Point, Processing Unit, Trader with Storage</t>
        </is>
      </c>
      <c r="C6391" t="inlineStr">
        <is>
          <t>SGS Germany GmbH, Emstek, DE</t>
        </is>
      </c>
      <c r="D6391" t="inlineStr">
        <is>
          <t>22.03.2027</t>
        </is>
      </c>
      <c r="E6391" t="inlineStr">
        <is>
          <t>Hungary</t>
        </is>
      </c>
    </row>
    <row r="6392">
      <c r="A6392" t="inlineStr">
        <is>
          <t>Coryton Advanced Fuels Ltd,  Stanford Le Hope, United Kingdom</t>
        </is>
      </c>
      <c r="B6392" t="inlineStr">
        <is>
          <t>Trader with Storage</t>
        </is>
      </c>
      <c r="C6392" t="inlineStr">
        <is>
          <t>DNV Business Assurance Sweden AB, Solna, SE</t>
        </is>
      </c>
      <c r="D6392" t="inlineStr">
        <is>
          <t>22.03.2027</t>
        </is>
      </c>
      <c r="E6392" t="inlineStr">
        <is>
          <t>United Kingdom</t>
        </is>
      </c>
    </row>
    <row r="6393">
      <c r="A6393" t="inlineStr">
        <is>
          <t>Shinto Trading Co., Ltd.,  Saitama, Japan</t>
        </is>
      </c>
      <c r="B6393" t="inlineStr">
        <is>
          <t>Trader</t>
        </is>
      </c>
      <c r="C6393" t="inlineStr">
        <is>
          <t>Control Union Certifications Germany GmbH, Berlin, DE</t>
        </is>
      </c>
      <c r="D6393" t="inlineStr">
        <is>
          <t>22.03.2027</t>
        </is>
      </c>
      <c r="E6393" t="inlineStr">
        <is>
          <t>Japan</t>
        </is>
      </c>
    </row>
    <row r="6394">
      <c r="A6394" t="inlineStr">
        <is>
          <t>Liaoning Humei Biology Science and Technology Co., Ltd.,  Shenyang City, Liaoning Province, China</t>
        </is>
      </c>
      <c r="B6394" t="inlineStr">
        <is>
          <t>Collecting Point, Trader</t>
        </is>
      </c>
      <c r="C6394" t="inlineStr">
        <is>
          <t>SCS Global Services, Emeryville, CA, US</t>
        </is>
      </c>
      <c r="D6394" t="inlineStr">
        <is>
          <t>22.03.2027</t>
        </is>
      </c>
      <c r="E6394" t="inlineStr">
        <is>
          <t>China</t>
        </is>
      </c>
    </row>
    <row r="6395">
      <c r="A6395" t="inlineStr">
        <is>
          <t>Schatz Glanz Co., Ltd.,  Kanagawa, Japan</t>
        </is>
      </c>
      <c r="B6395" t="inlineStr">
        <is>
          <t>Processing Unit</t>
        </is>
      </c>
      <c r="C6395" t="inlineStr">
        <is>
          <t>Control Union Certifications Germany GmbH, Berlin, DE</t>
        </is>
      </c>
      <c r="D6395" t="inlineStr">
        <is>
          <t>22.03.2027</t>
        </is>
      </c>
      <c r="E6395" t="inlineStr">
        <is>
          <t>Japan</t>
        </is>
      </c>
    </row>
    <row r="6396">
      <c r="A6396" t="inlineStr">
        <is>
          <t>FukumaruCo.,ltd,  Fukuoka-Shi Higashi-Ku, Fukuoka, Japan</t>
        </is>
      </c>
      <c r="B6396" t="inlineStr">
        <is>
          <t>Final Product Refinement, Trader with Storage</t>
        </is>
      </c>
      <c r="C6396" t="inlineStr">
        <is>
          <t>Control Union Certifications Germany GmbH, Berlin, DE</t>
        </is>
      </c>
      <c r="D6396" t="inlineStr">
        <is>
          <t>22.03.2027</t>
        </is>
      </c>
      <c r="E6396" t="inlineStr">
        <is>
          <t>Japan</t>
        </is>
      </c>
    </row>
    <row r="6397">
      <c r="A6397" t="inlineStr">
        <is>
          <t>ITOCHU PLASTICS Inc.,  Chiyoda-ku, Tokyo, Japan, Japan</t>
        </is>
      </c>
      <c r="B6397" t="inlineStr">
        <is>
          <t>Trader with Storage</t>
        </is>
      </c>
      <c r="C6397" t="inlineStr">
        <is>
          <t>Control Union Certifications Germany GmbH, Berlin, DE</t>
        </is>
      </c>
      <c r="D6397" t="inlineStr">
        <is>
          <t>22.03.2027</t>
        </is>
      </c>
      <c r="E6397" t="inlineStr">
        <is>
          <t>Japan</t>
        </is>
      </c>
    </row>
    <row r="6398">
      <c r="A6398" t="inlineStr">
        <is>
          <t>Qualipac CT-C,  Nogent le Phaye, France</t>
        </is>
      </c>
      <c r="B6398" t="inlineStr">
        <is>
          <t>Final Product Refinement, Processing Unit</t>
        </is>
      </c>
      <c r="C6398" t="inlineStr">
        <is>
          <t>Bureau Veritas Polska Sp. z o.o., Warsaw, PL</t>
        </is>
      </c>
      <c r="D6398" t="inlineStr">
        <is>
          <t>22.03.2027</t>
        </is>
      </c>
      <c r="E6398" t="inlineStr">
        <is>
          <t>France</t>
        </is>
      </c>
    </row>
    <row r="6399">
      <c r="A6399" t="inlineStr">
        <is>
          <t>Megadana Palm Oil (Malaysia) Sdn. Bhd.,  Lahad Datu, Malaysia</t>
        </is>
      </c>
      <c r="B6399" t="inlineStr">
        <is>
          <t>Trader</t>
        </is>
      </c>
      <c r="C6399" t="inlineStr">
        <is>
          <t>Trans Certification and Inspection Sdn Bhd, Kuantan, MY</t>
        </is>
      </c>
      <c r="D6399" t="inlineStr">
        <is>
          <t>22.03.2027</t>
        </is>
      </c>
      <c r="E6399" t="inlineStr">
        <is>
          <t>Malaysia</t>
        </is>
      </c>
    </row>
    <row r="6400">
      <c r="A6400" t="inlineStr">
        <is>
          <t>Basell Poliolefine Italia,  Brindisi, Italy</t>
        </is>
      </c>
      <c r="B6400" t="inlineStr">
        <is>
          <t>Processing Unit</t>
        </is>
      </c>
      <c r="C6400" t="inlineStr">
        <is>
          <t>TÜV SÜD Industrie Service GmbH, München, DE</t>
        </is>
      </c>
      <c r="D6400" t="inlineStr">
        <is>
          <t>22.03.2027</t>
        </is>
      </c>
      <c r="E6400" t="inlineStr">
        <is>
          <t>Italy</t>
        </is>
      </c>
    </row>
    <row r="6401">
      <c r="A6401" t="inlineStr">
        <is>
          <t>PT SMART Tbk,  Surabaya, Indonesia</t>
        </is>
      </c>
      <c r="B6401" t="inlineStr">
        <is>
          <t>Point of Origin, Processing Unit</t>
        </is>
      </c>
      <c r="C6401" t="inlineStr">
        <is>
          <t>PT Intertek Utama Services, Jakarta, ID</t>
        </is>
      </c>
      <c r="D6401" t="inlineStr">
        <is>
          <t>22.03.2027</t>
        </is>
      </c>
      <c r="E6401" t="inlineStr">
        <is>
          <t>Indonesia</t>
        </is>
      </c>
    </row>
    <row r="6402">
      <c r="A6402" t="inlineStr">
        <is>
          <t>Americas Styrenics (AmSty),  Gales Ferry, United States</t>
        </is>
      </c>
      <c r="B6402" t="inlineStr">
        <is>
          <t>Collecting Point, Point of Origin, Processing Unit, Trader with Storage</t>
        </is>
      </c>
      <c r="C6402" t="inlineStr">
        <is>
          <t>DQS CFS GmbH - Deutsche Gesellschaft für Nachhaltigkeit, Frankfurt am Main, DE</t>
        </is>
      </c>
      <c r="D6402" t="inlineStr">
        <is>
          <t>22.03.2027</t>
        </is>
      </c>
      <c r="E6402" t="inlineStr">
        <is>
          <t>United States</t>
        </is>
      </c>
    </row>
    <row r="6403">
      <c r="A6403" t="inlineStr">
        <is>
          <t>Elatic a.s.,  Hradec nad Moravicí, Czech Republic</t>
        </is>
      </c>
      <c r="B6403" t="inlineStr">
        <is>
          <t>Trader</t>
        </is>
      </c>
      <c r="C6403" t="inlineStr">
        <is>
          <t>United Registrar of Systems Polska Sp. z o.o., Wrocław, PL</t>
        </is>
      </c>
      <c r="D6403" t="inlineStr">
        <is>
          <t>22.03.2027</t>
        </is>
      </c>
      <c r="E6403" t="inlineStr">
        <is>
          <t>Czech Republic</t>
        </is>
      </c>
    </row>
    <row r="6404">
      <c r="A6404" t="inlineStr">
        <is>
          <t>Dow Europe GmbH,  Stade, Germany</t>
        </is>
      </c>
      <c r="B6404" t="inlineStr">
        <is>
          <t>Processing Unit, Trader with Storage</t>
        </is>
      </c>
      <c r="C6404" t="inlineStr">
        <is>
          <t>SGS Germany GmbH, Emstek, DE</t>
        </is>
      </c>
      <c r="D6404" t="inlineStr">
        <is>
          <t>22.03.2027</t>
        </is>
      </c>
      <c r="E6404" t="inlineStr">
        <is>
          <t>Germany</t>
        </is>
      </c>
    </row>
    <row r="6405">
      <c r="A6405" t="inlineStr">
        <is>
          <t>Karya Dewi Putra,  Desa Tumbang Marak, Kecamatan Katingan Tengah, Kabupaten Katingan, Provinsi Kalimantan Tengah, Indonesia</t>
        </is>
      </c>
      <c r="B6405" t="inlineStr">
        <is>
          <t>Point of Origin</t>
        </is>
      </c>
      <c r="C6405" t="inlineStr">
        <is>
          <t>PT. Qualitas Sertifikasi Indonesia, Jakarta, ID</t>
        </is>
      </c>
      <c r="D6405" t="inlineStr">
        <is>
          <t>22.03.2027</t>
        </is>
      </c>
      <c r="E6405" t="inlineStr">
        <is>
          <t>Indonesia</t>
        </is>
      </c>
    </row>
    <row r="6406">
      <c r="A6406" t="inlineStr">
        <is>
          <t>Senosan GmbH,  Piesendorf, Austria</t>
        </is>
      </c>
      <c r="B6406" t="inlineStr">
        <is>
          <t>Processing Unit</t>
        </is>
      </c>
      <c r="C6406" t="inlineStr">
        <is>
          <t>SGS Germany GmbH, Emstek, DE</t>
        </is>
      </c>
      <c r="D6406" t="inlineStr">
        <is>
          <t>22.03.2027</t>
        </is>
      </c>
      <c r="E6406" t="inlineStr">
        <is>
          <t>Austria</t>
        </is>
      </c>
    </row>
    <row r="6407">
      <c r="A6407" t="inlineStr">
        <is>
          <t>Bamonaft,  Ostrava, Czech Republic</t>
        </is>
      </c>
      <c r="B6407" t="inlineStr">
        <is>
          <t>Trader</t>
        </is>
      </c>
      <c r="C6407" t="inlineStr">
        <is>
          <t>SGS Germany GmbH, Emstek, DE</t>
        </is>
      </c>
      <c r="D6407" t="inlineStr">
        <is>
          <t>22.03.2027</t>
        </is>
      </c>
      <c r="E6407" t="inlineStr">
        <is>
          <t>Czech Republic</t>
        </is>
      </c>
    </row>
    <row r="6408">
      <c r="A6408" t="inlineStr">
        <is>
          <t>Astra Bioplant Trading,  Geneva, Switzerland</t>
        </is>
      </c>
      <c r="B6408" t="inlineStr">
        <is>
          <t>Trader with Storage</t>
        </is>
      </c>
      <c r="C6408" t="inlineStr">
        <is>
          <t>SGS Germany GmbH, Emstek, DE</t>
        </is>
      </c>
      <c r="D6408" t="inlineStr">
        <is>
          <t>22.03.2027</t>
        </is>
      </c>
      <c r="E6408" t="inlineStr">
        <is>
          <t>Switzerland</t>
        </is>
      </c>
    </row>
    <row r="6409">
      <c r="A6409" t="inlineStr">
        <is>
          <t>Sumitomo Corporation Asia &amp; Oceania Pte. Ltd.,  Singapore, Singapore</t>
        </is>
      </c>
      <c r="B6409" t="inlineStr">
        <is>
          <t>Trader with Storage</t>
        </is>
      </c>
      <c r="C6409" t="inlineStr">
        <is>
          <t>Control Union Certifications Germany GmbH, Berlin, DE</t>
        </is>
      </c>
      <c r="D6409" t="inlineStr">
        <is>
          <t>22.03.2027</t>
        </is>
      </c>
      <c r="E6409" t="inlineStr">
        <is>
          <t>Singapore</t>
        </is>
      </c>
    </row>
    <row r="6410">
      <c r="A6410" t="inlineStr">
        <is>
          <t>JFE Virton srl,  Virton, Belgium</t>
        </is>
      </c>
      <c r="B6410" t="inlineStr">
        <is>
          <t>Logistics Center, Processing Unit</t>
        </is>
      </c>
      <c r="C6410" t="inlineStr">
        <is>
          <t>Bureau Veritas Polska Sp. z o.o., Warsaw, PL</t>
        </is>
      </c>
      <c r="D6410" t="inlineStr">
        <is>
          <t>22.03.2027</t>
        </is>
      </c>
      <c r="E6410" t="inlineStr">
        <is>
          <t>Belgium</t>
        </is>
      </c>
    </row>
    <row r="6411">
      <c r="A6411" t="inlineStr">
        <is>
          <t>Franchini Spa Servizi Ecologici,  Bolgare, Italy</t>
        </is>
      </c>
      <c r="B6411" t="inlineStr">
        <is>
          <t>Collecting Point</t>
        </is>
      </c>
      <c r="C6411" t="inlineStr">
        <is>
          <t>DNV Business Assurance Sweden AB, Solna, SE</t>
        </is>
      </c>
      <c r="D6411" t="inlineStr">
        <is>
          <t>22.03.2027</t>
        </is>
      </c>
      <c r="E6411" t="inlineStr">
        <is>
          <t>Italy</t>
        </is>
      </c>
    </row>
    <row r="6412">
      <c r="A6412" t="inlineStr">
        <is>
          <t>MANALI PETROCHEMICALS LIMITED,  MANALI, India</t>
        </is>
      </c>
      <c r="B6412" t="inlineStr">
        <is>
          <t>Processing Unit</t>
        </is>
      </c>
      <c r="C6412" t="inlineStr">
        <is>
          <t>SGS Germany GmbH, Emstek, DE</t>
        </is>
      </c>
      <c r="D6412" t="inlineStr">
        <is>
          <t>22.03.2027</t>
        </is>
      </c>
      <c r="E6412" t="inlineStr">
        <is>
          <t>India</t>
        </is>
      </c>
    </row>
    <row r="6413">
      <c r="A6413" t="inlineStr">
        <is>
          <t>MANALI PETROCHEMICALS LIMITED PLANT II,  MANALI, CHENNAI, India</t>
        </is>
      </c>
      <c r="B6413" t="inlineStr">
        <is>
          <t>Processing Unit</t>
        </is>
      </c>
      <c r="C6413" t="inlineStr">
        <is>
          <t>SGS Germany GmbH, Emstek, DE</t>
        </is>
      </c>
      <c r="D6413" t="inlineStr">
        <is>
          <t>22.03.2027</t>
        </is>
      </c>
      <c r="E6413" t="inlineStr">
        <is>
          <t>India</t>
        </is>
      </c>
    </row>
    <row r="6414">
      <c r="A6414" t="inlineStr">
        <is>
          <t>Dollmar,  CALEPPIO DI SETTALA, Italy</t>
        </is>
      </c>
      <c r="B6414" t="inlineStr">
        <is>
          <t>Trader with Storage</t>
        </is>
      </c>
      <c r="C6414" t="inlineStr">
        <is>
          <t>Certiquality srl, Milano, IT</t>
        </is>
      </c>
      <c r="D6414" t="inlineStr">
        <is>
          <t>22.03.2027</t>
        </is>
      </c>
      <c r="E6414" t="inlineStr">
        <is>
          <t>Italy</t>
        </is>
      </c>
    </row>
    <row r="6415">
      <c r="A6415" t="inlineStr">
        <is>
          <t>Swiss Nutrivalor AG,  Oensingen, Switzerland</t>
        </is>
      </c>
      <c r="B6415" t="inlineStr">
        <is>
          <t>Trader</t>
        </is>
      </c>
      <c r="C6415" t="inlineStr">
        <is>
          <t>RINA Services S.p.A., Genova, IT</t>
        </is>
      </c>
      <c r="D6415" t="inlineStr">
        <is>
          <t>22.03.2027</t>
        </is>
      </c>
      <c r="E6415" t="inlineStr">
        <is>
          <t>Switzerland</t>
        </is>
      </c>
    </row>
    <row r="6416">
      <c r="A6416" t="inlineStr">
        <is>
          <t>Italgas Reti,  Sestu, Italy</t>
        </is>
      </c>
      <c r="B6416" t="inlineStr">
        <is>
          <t>Processing Unit</t>
        </is>
      </c>
      <c r="C6416" t="inlineStr">
        <is>
          <t>DNV Business Assurance Sweden AB, Solna, SE</t>
        </is>
      </c>
      <c r="D6416" t="inlineStr">
        <is>
          <t>22.03.2027</t>
        </is>
      </c>
      <c r="E6416" t="inlineStr">
        <is>
          <t>Italy</t>
        </is>
      </c>
    </row>
    <row r="6417">
      <c r="A6417" t="inlineStr">
        <is>
          <t>Oliveri Group srl,  Caltagirone Catania, Italy</t>
        </is>
      </c>
      <c r="B6417" t="inlineStr">
        <is>
          <t>Point of Origin</t>
        </is>
      </c>
      <c r="C6417" t="inlineStr">
        <is>
          <t>Bureau Veritas Polska Sp. z o.o., Warsaw, PL</t>
        </is>
      </c>
      <c r="D6417" t="inlineStr">
        <is>
          <t>22.03.2027</t>
        </is>
      </c>
      <c r="E6417" t="inlineStr">
        <is>
          <t>Italy</t>
        </is>
      </c>
    </row>
    <row r="6418">
      <c r="A6418" t="inlineStr">
        <is>
          <t>Taiwan Free Radical P.M. Co., Ltd.,  Nantou City Nantou County, Taiwan, Province of China</t>
        </is>
      </c>
      <c r="B6418" t="inlineStr">
        <is>
          <t>Processing Unit</t>
        </is>
      </c>
      <c r="C6418" t="inlineStr">
        <is>
          <t>Bureau Veritas Polska Sp. z o.o., Warsaw, PL</t>
        </is>
      </c>
      <c r="D6418" t="inlineStr">
        <is>
          <t>22.03.2027</t>
        </is>
      </c>
      <c r="E6418" t="inlineStr">
        <is>
          <t>Province of China</t>
        </is>
      </c>
    </row>
    <row r="6419">
      <c r="A6419" t="inlineStr">
        <is>
          <t>GOLDEN OAKWOOD COMPANY LIMITED,  Yangon, Myanmar</t>
        </is>
      </c>
      <c r="B6419" t="inlineStr">
        <is>
          <t>Collecting Point</t>
        </is>
      </c>
      <c r="C6419" t="inlineStr">
        <is>
          <t>Control Union Poland Sp. z o.o., Zielona Gora, PL</t>
        </is>
      </c>
      <c r="D6419" t="inlineStr">
        <is>
          <t>22.03.2027</t>
        </is>
      </c>
      <c r="E6419" t="inlineStr">
        <is>
          <t>Myanmar</t>
        </is>
      </c>
    </row>
    <row r="6420">
      <c r="A6420" t="inlineStr">
        <is>
          <t>Coryton Advanced Fuels Ltd,  Stanford Le Hope, United Kingdom</t>
        </is>
      </c>
      <c r="B6420" t="inlineStr">
        <is>
          <t>Trader with Storage</t>
        </is>
      </c>
      <c r="C6420" t="inlineStr">
        <is>
          <t>DNV Business Assurance Sweden AB, Solna, SE</t>
        </is>
      </c>
      <c r="D6420" t="inlineStr">
        <is>
          <t>22.03.2027</t>
        </is>
      </c>
      <c r="E6420" t="inlineStr">
        <is>
          <t>United Kingdom</t>
        </is>
      </c>
    </row>
    <row r="6421">
      <c r="A6421" t="inlineStr">
        <is>
          <t>Selig UK,  Slough, United Kingdom</t>
        </is>
      </c>
      <c r="B6421" t="inlineStr">
        <is>
          <t>Final Product Refinement</t>
        </is>
      </c>
      <c r="C6421" t="inlineStr">
        <is>
          <t>ASG Cert GmbH, Munich, DE</t>
        </is>
      </c>
      <c r="D6421" t="inlineStr">
        <is>
          <t>22.03.2027</t>
        </is>
      </c>
      <c r="E6421" t="inlineStr">
        <is>
          <t>United Kingdom</t>
        </is>
      </c>
    </row>
    <row r="6422">
      <c r="A6422" t="inlineStr">
        <is>
          <t>Peel Plastic Products Limited,  Brampton, Canada</t>
        </is>
      </c>
      <c r="B6422" t="inlineStr">
        <is>
          <t>Processing Unit</t>
        </is>
      </c>
      <c r="C6422" t="inlineStr">
        <is>
          <t>SCS Global Services, Emeryville, CA, US</t>
        </is>
      </c>
      <c r="D6422" t="inlineStr">
        <is>
          <t>21.03.2027</t>
        </is>
      </c>
      <c r="E6422" t="inlineStr">
        <is>
          <t>Canada</t>
        </is>
      </c>
    </row>
    <row r="6423">
      <c r="A6423" t="inlineStr">
        <is>
          <t>Peel Plastic Products Limited,  Brampton, Canada</t>
        </is>
      </c>
      <c r="B6423" t="inlineStr">
        <is>
          <t>Processing Unit</t>
        </is>
      </c>
      <c r="C6423" t="inlineStr">
        <is>
          <t>SCS Global Services, Emeryville, CA, US</t>
        </is>
      </c>
      <c r="D6423" t="inlineStr">
        <is>
          <t>21.03.2027</t>
        </is>
      </c>
      <c r="E6423" t="inlineStr">
        <is>
          <t>Canada</t>
        </is>
      </c>
    </row>
    <row r="6424">
      <c r="A6424" t="inlineStr">
        <is>
          <t>RECYOIL ENERGY, S.L.,  Vitoria (Álava), Spain</t>
        </is>
      </c>
      <c r="B6424" t="inlineStr">
        <is>
          <t>Collecting Point, Trader</t>
        </is>
      </c>
      <c r="C6424" t="inlineStr">
        <is>
          <t>Control Union Poland Sp. z o.o., Zielona Gora, PL</t>
        </is>
      </c>
      <c r="D6424" t="inlineStr">
        <is>
          <t>21.03.2027</t>
        </is>
      </c>
      <c r="E6424" t="inlineStr">
        <is>
          <t>Spain</t>
        </is>
      </c>
    </row>
    <row r="6425">
      <c r="A6425" t="inlineStr">
        <is>
          <t>RAFRINOR, S.L.,  Ortuella (Vizcaya), Spain</t>
        </is>
      </c>
      <c r="B6425" t="inlineStr">
        <is>
          <t>Collecting Point, Trader</t>
        </is>
      </c>
      <c r="C6425" t="inlineStr">
        <is>
          <t>Control Union Poland Sp. z o.o., Zielona Gora, PL</t>
        </is>
      </c>
      <c r="D6425" t="inlineStr">
        <is>
          <t>21.03.2027</t>
        </is>
      </c>
      <c r="E6425" t="inlineStr">
        <is>
          <t>Spain</t>
        </is>
      </c>
    </row>
    <row r="6426">
      <c r="A6426" t="inlineStr">
        <is>
          <t>Teesside International Airport Limited,  Darlington, United Kingdom</t>
        </is>
      </c>
      <c r="B6426" t="inlineStr">
        <is>
          <t>Trader with Storage</t>
        </is>
      </c>
      <c r="C6426" t="inlineStr">
        <is>
          <t>Aardvark Certification Ltd, Wiveliscombe, Somerset, GB</t>
        </is>
      </c>
      <c r="D6426" t="inlineStr">
        <is>
          <t>21.03.2027</t>
        </is>
      </c>
      <c r="E6426" t="inlineStr">
        <is>
          <t>United Kingdom</t>
        </is>
      </c>
    </row>
    <row r="6427">
      <c r="A6427" t="inlineStr">
        <is>
          <t>CARBOWEST GmbH,  Ennigerloh, Germany</t>
        </is>
      </c>
      <c r="B6427" t="inlineStr">
        <is>
          <t>Collecting Point, Processing Unit</t>
        </is>
      </c>
      <c r="C6427" t="inlineStr">
        <is>
          <t>DQS CFS GmbH - Deutsche Gesellschaft für Nachhaltigkeit, Frankfurt am Main, DE</t>
        </is>
      </c>
      <c r="D6427" t="inlineStr">
        <is>
          <t>21.03.2027</t>
        </is>
      </c>
      <c r="E6427" t="inlineStr">
        <is>
          <t>Germany</t>
        </is>
      </c>
    </row>
    <row r="6428">
      <c r="A6428" t="inlineStr">
        <is>
          <t>Wipak OY,  Nastola, Finland</t>
        </is>
      </c>
      <c r="B6428" t="inlineStr">
        <is>
          <t>Processing Unit</t>
        </is>
      </c>
      <c r="C6428" t="inlineStr">
        <is>
          <t>DNV Business Assurance Sweden AB, Solna, SE</t>
        </is>
      </c>
      <c r="D6428" t="inlineStr">
        <is>
          <t>21.03.2027</t>
        </is>
      </c>
      <c r="E6428" t="inlineStr">
        <is>
          <t>Finland</t>
        </is>
      </c>
    </row>
    <row r="6429">
      <c r="A6429" t="inlineStr">
        <is>
          <t>VERMONT MARINE BUNKERING LIMITED,  KWAI CHUNG, Hong Kong</t>
        </is>
      </c>
      <c r="B6429" t="inlineStr">
        <is>
          <t>Trader with Storage</t>
        </is>
      </c>
      <c r="C6429" t="inlineStr">
        <is>
          <t>RINA Services S.p.A., Genova, IT</t>
        </is>
      </c>
      <c r="D6429" t="inlineStr">
        <is>
          <t>21.03.2027</t>
        </is>
      </c>
      <c r="E6429" t="inlineStr">
        <is>
          <t>Hong Kong</t>
        </is>
      </c>
    </row>
    <row r="6430">
      <c r="A6430" t="inlineStr">
        <is>
          <t>Kazmunaygas Trading,  Paradiso, Switzerland</t>
        </is>
      </c>
      <c r="B6430" t="inlineStr">
        <is>
          <t>Trader</t>
        </is>
      </c>
      <c r="C6430" t="inlineStr">
        <is>
          <t>CertRom SRL, Bucuresti, RO</t>
        </is>
      </c>
      <c r="D6430" t="inlineStr">
        <is>
          <t>21.03.2027</t>
        </is>
      </c>
      <c r="E6430" t="inlineStr">
        <is>
          <t>Switzerland</t>
        </is>
      </c>
    </row>
    <row r="6431">
      <c r="A6431" t="inlineStr">
        <is>
          <t>YC-TEC VIETNAM CORPORATION,  Ho Chi Minh City, Vietnam</t>
        </is>
      </c>
      <c r="B6431" t="inlineStr">
        <is>
          <t>Processing Unit</t>
        </is>
      </c>
      <c r="C6431" t="inlineStr">
        <is>
          <t>Control Union Certifications Germany GmbH, Berlin, DE</t>
        </is>
      </c>
      <c r="D6431" t="inlineStr">
        <is>
          <t>21.03.2027</t>
        </is>
      </c>
      <c r="E6431" t="inlineStr">
        <is>
          <t>Vietnam</t>
        </is>
      </c>
    </row>
    <row r="6432">
      <c r="A6432" t="inlineStr">
        <is>
          <t>Renes AGF Services B.V.,  Barendrecht, Netherlands</t>
        </is>
      </c>
      <c r="B6432" t="inlineStr">
        <is>
          <t>Collecting Point, Processing Unit</t>
        </is>
      </c>
      <c r="C6432" t="inlineStr">
        <is>
          <t>Normec QS BV, Ede, NL</t>
        </is>
      </c>
      <c r="D6432" t="inlineStr">
        <is>
          <t>21.03.2027</t>
        </is>
      </c>
      <c r="E6432" t="inlineStr">
        <is>
          <t>Netherlands</t>
        </is>
      </c>
    </row>
    <row r="6433">
      <c r="A6433" t="inlineStr">
        <is>
          <t>ZHE JIANG OVER SEA OIL TRADING COMPANY LIMITED,  DAXIE DEVELOPMENT ZONE, BEILUN, NINGBO, CHINA, China</t>
        </is>
      </c>
      <c r="B6433" t="inlineStr">
        <is>
          <t>Trader</t>
        </is>
      </c>
      <c r="C6433" t="inlineStr">
        <is>
          <t>SCS Global Services, Emeryville, CA, US</t>
        </is>
      </c>
      <c r="D6433" t="inlineStr">
        <is>
          <t>21.03.2027</t>
        </is>
      </c>
      <c r="E6433" t="inlineStr">
        <is>
          <t>China</t>
        </is>
      </c>
    </row>
    <row r="6434">
      <c r="A6434" t="inlineStr">
        <is>
          <t>Bioenergo - Komplex, s.r.o.,  Kolín, Czech Republic</t>
        </is>
      </c>
      <c r="B6434" t="inlineStr">
        <is>
          <t>First Gathering Point, Processing Unit, Trader with Storage</t>
        </is>
      </c>
      <c r="C6434" t="inlineStr">
        <is>
          <t>United Registrar of Systems Polska Sp. z o.o., Wrocław, PL</t>
        </is>
      </c>
      <c r="D6434" t="inlineStr">
        <is>
          <t>21.03.2027</t>
        </is>
      </c>
      <c r="E6434" t="inlineStr">
        <is>
          <t>Czech Republic</t>
        </is>
      </c>
    </row>
    <row r="6435">
      <c r="A6435" t="inlineStr">
        <is>
          <t>PT Sinar Sawit Sentosa,  Jakarta Pusat, DKI Jakarta, Indonesia</t>
        </is>
      </c>
      <c r="B6435" t="inlineStr">
        <is>
          <t>Trader</t>
        </is>
      </c>
      <c r="C6435" t="inlineStr">
        <is>
          <t>SGS Germany GmbH, Emstek, DE</t>
        </is>
      </c>
      <c r="D6435" t="inlineStr">
        <is>
          <t>21.03.2027</t>
        </is>
      </c>
      <c r="E6435" t="inlineStr">
        <is>
          <t>Indonesia</t>
        </is>
      </c>
    </row>
    <row r="6436">
      <c r="A6436" t="inlineStr">
        <is>
          <t>Gunvor Singapore Pte Ltd,  Singapore, Singapore</t>
        </is>
      </c>
      <c r="B6436" t="inlineStr">
        <is>
          <t>Trader with Storage</t>
        </is>
      </c>
      <c r="C6436" t="inlineStr">
        <is>
          <t>SGS Germany GmbH, Emstek, DE</t>
        </is>
      </c>
      <c r="D6436" t="inlineStr">
        <is>
          <t>21.03.2027</t>
        </is>
      </c>
      <c r="E6436" t="inlineStr">
        <is>
          <t>Singapore</t>
        </is>
      </c>
    </row>
    <row r="6437">
      <c r="A6437" t="inlineStr">
        <is>
          <t>Gunvor Singapore Pte Ltd,  Singapore, Singapore</t>
        </is>
      </c>
      <c r="B6437" t="inlineStr">
        <is>
          <t>Trader with Storage</t>
        </is>
      </c>
      <c r="C6437" t="inlineStr">
        <is>
          <t>SGS Germany GmbH, Emstek, DE</t>
        </is>
      </c>
      <c r="D6437" t="inlineStr">
        <is>
          <t>21.03.2027</t>
        </is>
      </c>
      <c r="E6437" t="inlineStr">
        <is>
          <t>Singapore</t>
        </is>
      </c>
    </row>
    <row r="6438">
      <c r="A6438" t="inlineStr">
        <is>
          <t>Nouryon Functional Chemicals,  Stenungsund, Sweden</t>
        </is>
      </c>
      <c r="B6438" t="inlineStr">
        <is>
          <t>Processing Unit</t>
        </is>
      </c>
      <c r="C6438" t="inlineStr">
        <is>
          <t>DNV Business Assurance Sweden AB, Solna, SE</t>
        </is>
      </c>
      <c r="D6438" t="inlineStr">
        <is>
          <t>21.03.2027</t>
        </is>
      </c>
      <c r="E6438" t="inlineStr">
        <is>
          <t>Sweden</t>
        </is>
      </c>
    </row>
    <row r="6439">
      <c r="A6439" t="inlineStr">
        <is>
          <t>Local Generation Ltd,  March, United Kingdom</t>
        </is>
      </c>
      <c r="B6439" t="inlineStr">
        <is>
          <t>Collecting Point, Processing Unit</t>
        </is>
      </c>
      <c r="C6439" t="inlineStr">
        <is>
          <t>Double Helix Tracking Technologies Pte Ltd, Singapore, SG</t>
        </is>
      </c>
      <c r="D6439" t="inlineStr">
        <is>
          <t>20.03.2027</t>
        </is>
      </c>
      <c r="E6439" t="inlineStr">
        <is>
          <t>United Kingdom</t>
        </is>
      </c>
    </row>
    <row r="6440">
      <c r="A6440" t="inlineStr">
        <is>
          <t>TotalEnergies Gas&amp;Power Limited, London, Meyrin-Geneva branch,  GENEVA, Switzerland</t>
        </is>
      </c>
      <c r="B6440" t="inlineStr">
        <is>
          <t>Processing Unit, Trader</t>
        </is>
      </c>
      <c r="C6440" t="inlineStr">
        <is>
          <t>SGS Germany GmbH, Emstek, DE</t>
        </is>
      </c>
      <c r="D6440" t="inlineStr">
        <is>
          <t>20.03.2027</t>
        </is>
      </c>
      <c r="E6440" t="inlineStr">
        <is>
          <t>Switzerland</t>
        </is>
      </c>
    </row>
    <row r="6441">
      <c r="A6441" t="inlineStr">
        <is>
          <t>TotalEnergies Gas&amp;Power Limited, London, Meyrin-Geneva branch,  GENEVA, Switzerland</t>
        </is>
      </c>
      <c r="B6441" t="inlineStr">
        <is>
          <t>Trader</t>
        </is>
      </c>
      <c r="C6441" t="inlineStr">
        <is>
          <t>SGS Germany GmbH, Emstek, DE</t>
        </is>
      </c>
      <c r="D6441" t="inlineStr">
        <is>
          <t>20.03.2027</t>
        </is>
      </c>
      <c r="E6441" t="inlineStr">
        <is>
          <t>Switzerland</t>
        </is>
      </c>
    </row>
    <row r="6442">
      <c r="A6442" t="inlineStr">
        <is>
          <t>Szabó Vince e.v.,  Biharkeresztes, Hungary</t>
        </is>
      </c>
      <c r="B6442" t="inlineStr">
        <is>
          <t>First Gathering Point</t>
        </is>
      </c>
      <c r="C6442" t="inlineStr">
        <is>
          <t>Amspec Iberia SL, Vilagarcia de Arousa-Pontevedra, ES</t>
        </is>
      </c>
      <c r="D6442" t="inlineStr">
        <is>
          <t>20.03.2027</t>
        </is>
      </c>
      <c r="E6442" t="inlineStr">
        <is>
          <t>Hungary</t>
        </is>
      </c>
    </row>
    <row r="6443">
      <c r="A6443" t="inlineStr">
        <is>
          <t>Biaofa Ecology (Juye) Co., Ltd,  Heze, Shandong Province, China</t>
        </is>
      </c>
      <c r="B6443" t="inlineStr">
        <is>
          <t>Collecting Point, Processing Unit</t>
        </is>
      </c>
      <c r="C6443" t="inlineStr">
        <is>
          <t>RINA Services S.p.A., Genova, IT</t>
        </is>
      </c>
      <c r="D6443" t="inlineStr">
        <is>
          <t>20.03.2027</t>
        </is>
      </c>
      <c r="E6443" t="inlineStr">
        <is>
          <t>China</t>
        </is>
      </c>
    </row>
    <row r="6444">
      <c r="A6444" t="inlineStr">
        <is>
          <t>KÖBER SRL,  Sat Turturesti, Com Girov, jud Neamt, Romania</t>
        </is>
      </c>
      <c r="B6444" t="inlineStr">
        <is>
          <t>Processing Unit</t>
        </is>
      </c>
      <c r="C6444" t="inlineStr">
        <is>
          <t>SRAC Cert SRL, Bucharest, RO</t>
        </is>
      </c>
      <c r="D6444" t="inlineStr">
        <is>
          <t>20.03.2027</t>
        </is>
      </c>
      <c r="E6444" t="inlineStr">
        <is>
          <t>Romania</t>
        </is>
      </c>
    </row>
    <row r="6445">
      <c r="A6445" t="inlineStr">
        <is>
          <t>Nippon Dyneema Co., Ltd.,  Tsuruga, Fukui, Japan</t>
        </is>
      </c>
      <c r="B6445" t="inlineStr">
        <is>
          <t>Processing Unit</t>
        </is>
      </c>
      <c r="C6445" t="inlineStr">
        <is>
          <t>Control Union Certifications Germany GmbH, Berlin, DE</t>
        </is>
      </c>
      <c r="D6445" t="inlineStr">
        <is>
          <t>20.03.2027</t>
        </is>
      </c>
      <c r="E6445" t="inlineStr">
        <is>
          <t>Japan</t>
        </is>
      </c>
    </row>
    <row r="6446">
      <c r="A6446" t="inlineStr">
        <is>
          <t>KÖBER SRL,  Sat Dumbrava Rosie, Com Dumbrava Rosie, jud Neamt, Romania</t>
        </is>
      </c>
      <c r="B6446" t="inlineStr">
        <is>
          <t>Processing Unit</t>
        </is>
      </c>
      <c r="C6446" t="inlineStr">
        <is>
          <t>SRAC Cert SRL, Bucharest, RO</t>
        </is>
      </c>
      <c r="D6446" t="inlineStr">
        <is>
          <t>20.03.2027</t>
        </is>
      </c>
      <c r="E6446" t="inlineStr">
        <is>
          <t>Romania</t>
        </is>
      </c>
    </row>
    <row r="6447">
      <c r="A6447" t="inlineStr">
        <is>
          <t>Biaofa Ecology (Juancheng) Co., Ltd,  Heze, Shandong Province, China</t>
        </is>
      </c>
      <c r="B6447" t="inlineStr">
        <is>
          <t>Collecting Point, Processing Unit</t>
        </is>
      </c>
      <c r="C6447" t="inlineStr">
        <is>
          <t>RINA Services S.p.A., Genova, IT</t>
        </is>
      </c>
      <c r="D6447" t="inlineStr">
        <is>
          <t>20.03.2027</t>
        </is>
      </c>
      <c r="E6447" t="inlineStr">
        <is>
          <t>China</t>
        </is>
      </c>
    </row>
    <row r="6448">
      <c r="A6448" t="inlineStr">
        <is>
          <t>Gemidan A/S,  Holsted, Denmark</t>
        </is>
      </c>
      <c r="B6448" t="inlineStr">
        <is>
          <t>Processing Unit, Collecting Point</t>
        </is>
      </c>
      <c r="C6448" t="inlineStr">
        <is>
          <t>DNV Business Assurance Sweden AB, Solna, SE</t>
        </is>
      </c>
      <c r="D6448" t="inlineStr">
        <is>
          <t>20.03.2027</t>
        </is>
      </c>
      <c r="E6448" t="inlineStr">
        <is>
          <t>Denmark</t>
        </is>
      </c>
    </row>
    <row r="6449">
      <c r="A6449" t="inlineStr">
        <is>
          <t>Tianjin Welcome Petrochemical Co.,Ltd,  Tianjin City, China</t>
        </is>
      </c>
      <c r="B6449" t="inlineStr">
        <is>
          <t>Warehouse</t>
        </is>
      </c>
      <c r="C6449" t="inlineStr">
        <is>
          <t>SCS Global Services, Emeryville, CA, US</t>
        </is>
      </c>
      <c r="D6449" t="inlineStr">
        <is>
          <t>20.03.2027</t>
        </is>
      </c>
      <c r="E6449" t="inlineStr">
        <is>
          <t>China</t>
        </is>
      </c>
    </row>
    <row r="6450">
      <c r="A6450" t="inlineStr">
        <is>
          <t>DH BIO Co., Ltd.,  Goesan-gun, Chungcheongbuk-do, Korea, Republic of</t>
        </is>
      </c>
      <c r="B6450" t="inlineStr">
        <is>
          <t>Collecting Point, Trader with Storage</t>
        </is>
      </c>
      <c r="C6450" t="inlineStr">
        <is>
          <t>Control Union Certifications Germany GmbH, Berlin, DE</t>
        </is>
      </c>
      <c r="D6450" t="inlineStr">
        <is>
          <t>20.03.2027</t>
        </is>
      </c>
      <c r="E6450" t="inlineStr">
        <is>
          <t>Republic of</t>
        </is>
      </c>
    </row>
    <row r="6451">
      <c r="A6451" t="inlineStr">
        <is>
          <t>Kuwait Petroleum International Aviation Company UK,  Woking, United Kingdom</t>
        </is>
      </c>
      <c r="B6451" t="inlineStr">
        <is>
          <t>Trader with Storage, Proof of Compliance Trader</t>
        </is>
      </c>
      <c r="C6451" t="inlineStr">
        <is>
          <t>SCS Global Services, Emeryville, CA, US</t>
        </is>
      </c>
      <c r="D6451" t="inlineStr">
        <is>
          <t>20.03.2027</t>
        </is>
      </c>
      <c r="E6451" t="inlineStr">
        <is>
          <t>United Kingdom</t>
        </is>
      </c>
    </row>
    <row r="6452">
      <c r="A6452" t="inlineStr">
        <is>
          <t>Protein Invest,  Dunaivtsi, Ukraine</t>
        </is>
      </c>
      <c r="B6452" t="inlineStr">
        <is>
          <t>First Gathering Point, Processing Unit</t>
        </is>
      </c>
      <c r="C6452" t="inlineStr">
        <is>
          <t>Aciter Genelab LLC, Odessa, UA</t>
        </is>
      </c>
      <c r="D6452" t="inlineStr">
        <is>
          <t>20.03.2027</t>
        </is>
      </c>
      <c r="E6452" t="inlineStr">
        <is>
          <t>Ukraine</t>
        </is>
      </c>
    </row>
    <row r="6453">
      <c r="A6453" t="inlineStr">
        <is>
          <t>Jurong Guocai Animal and Plant Waste Oil Recycling Co., Ltd,  Jurong City Jiangsu Province, China</t>
        </is>
      </c>
      <c r="B6453" t="inlineStr">
        <is>
          <t>Collecting Point, Trader</t>
        </is>
      </c>
      <c r="C6453" t="inlineStr">
        <is>
          <t>RINA Services S.p.A., Genova, IT</t>
        </is>
      </c>
      <c r="D6453" t="inlineStr">
        <is>
          <t>20.03.2027</t>
        </is>
      </c>
      <c r="E6453" t="inlineStr">
        <is>
          <t>China</t>
        </is>
      </c>
    </row>
    <row r="6454">
      <c r="A6454" t="inlineStr">
        <is>
          <t>Matic Plast Milano SRL,  Carugate, Italy</t>
        </is>
      </c>
      <c r="B6454" t="inlineStr">
        <is>
          <t>Processing Unit</t>
        </is>
      </c>
      <c r="C6454" t="inlineStr">
        <is>
          <t>IIP S.r.l., Monza, IT</t>
        </is>
      </c>
      <c r="D6454" t="inlineStr">
        <is>
          <t>20.03.2027</t>
        </is>
      </c>
      <c r="E6454" t="inlineStr">
        <is>
          <t>Italy</t>
        </is>
      </c>
    </row>
    <row r="6455">
      <c r="A6455" t="inlineStr">
        <is>
          <t>SD Guthrie Berhad,  Kuala Kurau, Perak, Malaysia</t>
        </is>
      </c>
      <c r="B6455" t="inlineStr">
        <is>
          <t>Point of Origin</t>
        </is>
      </c>
      <c r="C6455" t="inlineStr">
        <is>
          <t>TÜV NORD CERT GmbH, Essen, DE</t>
        </is>
      </c>
      <c r="D6455" t="inlineStr">
        <is>
          <t>20.03.2027</t>
        </is>
      </c>
      <c r="E6455" t="inlineStr">
        <is>
          <t>Malaysia</t>
        </is>
      </c>
    </row>
    <row r="6456">
      <c r="A6456" t="inlineStr">
        <is>
          <t>Kiraz Kimya Sanayi Dıs Ticaret,  Mersin, Turkey</t>
        </is>
      </c>
      <c r="B6456" t="inlineStr">
        <is>
          <t>Warehouse</t>
        </is>
      </c>
      <c r="C6456" t="inlineStr">
        <is>
          <t>PT Intertek Utama Services, Jakarta, ID</t>
        </is>
      </c>
      <c r="D6456" t="inlineStr">
        <is>
          <t>20.03.2027</t>
        </is>
      </c>
      <c r="E6456" t="inlineStr">
        <is>
          <t>Turkey</t>
        </is>
      </c>
    </row>
    <row r="6457">
      <c r="A6457" t="inlineStr">
        <is>
          <t>Kiraz Depolama ve Lojistik A.S.,  MERSIN, Turkey</t>
        </is>
      </c>
      <c r="B6457" t="inlineStr">
        <is>
          <t>Warehouse</t>
        </is>
      </c>
      <c r="C6457" t="inlineStr">
        <is>
          <t>PT Intertek Utama Services, Jakarta, ID</t>
        </is>
      </c>
      <c r="D6457" t="inlineStr">
        <is>
          <t>20.03.2027</t>
        </is>
      </c>
      <c r="E6457" t="inlineStr">
        <is>
          <t>Turkey</t>
        </is>
      </c>
    </row>
    <row r="6458">
      <c r="A6458" t="inlineStr">
        <is>
          <t>Hemswell Biogas Limited,  Hemswell Cliff, Gainsborough, United Kingdom</t>
        </is>
      </c>
      <c r="B6458" t="inlineStr">
        <is>
          <t>Collecting Point, Processing Unit</t>
        </is>
      </c>
      <c r="C6458" t="inlineStr">
        <is>
          <t>Double Helix Tracking Technologies Pte Ltd, Singapore, SG</t>
        </is>
      </c>
      <c r="D6458" t="inlineStr">
        <is>
          <t>20.03.2027</t>
        </is>
      </c>
      <c r="E6458" t="inlineStr">
        <is>
          <t>United Kingdom</t>
        </is>
      </c>
    </row>
    <row r="6459">
      <c r="A6459" t="inlineStr">
        <is>
          <t>Kaynemaile,  Petone, New Zealand</t>
        </is>
      </c>
      <c r="B6459" t="inlineStr">
        <is>
          <t>Processing Unit</t>
        </is>
      </c>
      <c r="C6459" t="inlineStr">
        <is>
          <t>SGS Germany GmbH, Emstek, DE</t>
        </is>
      </c>
      <c r="D6459" t="inlineStr">
        <is>
          <t>20.03.2027</t>
        </is>
      </c>
      <c r="E6459" t="inlineStr">
        <is>
          <t>New Zealand</t>
        </is>
      </c>
    </row>
    <row r="6460">
      <c r="A6460" t="inlineStr">
        <is>
          <t>Nemera,  Le Tréport, France</t>
        </is>
      </c>
      <c r="B6460" t="inlineStr">
        <is>
          <t>Processing Unit</t>
        </is>
      </c>
      <c r="C6460" t="inlineStr">
        <is>
          <t>SGS Germany GmbH, Emstek, DE</t>
        </is>
      </c>
      <c r="D6460" t="inlineStr">
        <is>
          <t>20.03.2027</t>
        </is>
      </c>
      <c r="E6460" t="inlineStr">
        <is>
          <t>France</t>
        </is>
      </c>
    </row>
    <row r="6461">
      <c r="A6461" t="inlineStr">
        <is>
          <t>Resonac Corporation Basic Chemicals Business Unit Kawasaki Plant (Ogimachi),  Kawasaki-ku, Kawasaki, KANAGAWA, Japan</t>
        </is>
      </c>
      <c r="B6461" t="inlineStr">
        <is>
          <t>Collecting Point, Processing Unit</t>
        </is>
      </c>
      <c r="C6461" t="inlineStr">
        <is>
          <t>SGS Germany GmbH, Emstek, DE</t>
        </is>
      </c>
      <c r="D6461" t="inlineStr">
        <is>
          <t>20.03.2027</t>
        </is>
      </c>
      <c r="E6461" t="inlineStr">
        <is>
          <t>Japan</t>
        </is>
      </c>
    </row>
    <row r="6462">
      <c r="A6462" t="inlineStr">
        <is>
          <t>Jindal Films Singapore,  Singapore, Singapore</t>
        </is>
      </c>
      <c r="B6462" t="inlineStr">
        <is>
          <t>Trader</t>
        </is>
      </c>
      <c r="C6462" t="inlineStr">
        <is>
          <t>Bureau Veritas Polska Sp. z o.o., Warsaw, PL</t>
        </is>
      </c>
      <c r="D6462" t="inlineStr">
        <is>
          <t>20.03.2027</t>
        </is>
      </c>
      <c r="E6462" t="inlineStr">
        <is>
          <t>Singapore</t>
        </is>
      </c>
    </row>
    <row r="6463">
      <c r="A6463" t="inlineStr">
        <is>
          <t>SOLOGAS VALORIZACION Y ENERGIA, S.L.,  As Somozas, Spain</t>
        </is>
      </c>
      <c r="B6463" t="inlineStr">
        <is>
          <t>Collecting Point, Processing Unit</t>
        </is>
      </c>
      <c r="C6463" t="inlineStr">
        <is>
          <t>Amspec Iberia SL, Vilagarcia de Arousa-Pontevedra, ES</t>
        </is>
      </c>
      <c r="D6463" t="inlineStr">
        <is>
          <t>20.03.2027</t>
        </is>
      </c>
      <c r="E6463" t="inlineStr">
        <is>
          <t>Spain</t>
        </is>
      </c>
    </row>
    <row r="6464">
      <c r="A6464" t="inlineStr">
        <is>
          <t>Dansk Biofiber og Gødning A/S,  Nibe, Denmark</t>
        </is>
      </c>
      <c r="B6464" t="inlineStr">
        <is>
          <t>Collecting Point</t>
        </is>
      </c>
      <c r="C6464" t="inlineStr">
        <is>
          <t>Baltic Control Certification, Albertslund, DK</t>
        </is>
      </c>
      <c r="D6464" t="inlineStr">
        <is>
          <t>20.03.2027</t>
        </is>
      </c>
      <c r="E6464" t="inlineStr">
        <is>
          <t>Denmark</t>
        </is>
      </c>
    </row>
    <row r="6465">
      <c r="A6465" t="inlineStr">
        <is>
          <t>Iperione,  Vignate, Italy</t>
        </is>
      </c>
      <c r="B6465" t="inlineStr">
        <is>
          <t>Collecting Point, Processing Unit</t>
        </is>
      </c>
      <c r="C6465" t="inlineStr">
        <is>
          <t>SGS Germany GmbH, Emstek, DE</t>
        </is>
      </c>
      <c r="D6465" t="inlineStr">
        <is>
          <t>20.03.2027</t>
        </is>
      </c>
      <c r="E6465" t="inlineStr">
        <is>
          <t>Italy</t>
        </is>
      </c>
    </row>
    <row r="6466">
      <c r="A6466" t="inlineStr">
        <is>
          <t>PC Oliyar,  Stavchany villige, Lviv Region, Ukraine</t>
        </is>
      </c>
      <c r="B6466" t="inlineStr">
        <is>
          <t>First Gathering Point, Point of Origin, Processing Unit</t>
        </is>
      </c>
      <c r="C6466" t="inlineStr">
        <is>
          <t>Control Union Poland Sp. z o.o., Zielona Gora, PL</t>
        </is>
      </c>
      <c r="D6466" t="inlineStr">
        <is>
          <t>20.03.2027</t>
        </is>
      </c>
      <c r="E6466" t="inlineStr">
        <is>
          <t>Ukraine</t>
        </is>
      </c>
    </row>
    <row r="6467">
      <c r="A6467" t="inlineStr">
        <is>
          <t>Société du Terminal de Dunkerque,  Dunkerque, France</t>
        </is>
      </c>
      <c r="B6467" t="inlineStr">
        <is>
          <t>Warehouse</t>
        </is>
      </c>
      <c r="C6467" t="inlineStr">
        <is>
          <t>Bureau Veritas Polska Sp. z o.o., Warsaw, PL</t>
        </is>
      </c>
      <c r="D6467" t="inlineStr">
        <is>
          <t>20.03.2027</t>
        </is>
      </c>
      <c r="E6467" t="inlineStr">
        <is>
          <t>France</t>
        </is>
      </c>
    </row>
    <row r="6468">
      <c r="A6468" t="inlineStr">
        <is>
          <t>Société du Terminal de Dunkerque,  Dunkerque, France</t>
        </is>
      </c>
      <c r="B6468" t="inlineStr">
        <is>
          <t>Warehouse</t>
        </is>
      </c>
      <c r="C6468" t="inlineStr">
        <is>
          <t>Bureau Veritas Polska Sp. z o.o., Warsaw, PL</t>
        </is>
      </c>
      <c r="D6468" t="inlineStr">
        <is>
          <t>20.03.2027</t>
        </is>
      </c>
      <c r="E6468" t="inlineStr">
        <is>
          <t>France</t>
        </is>
      </c>
    </row>
    <row r="6469">
      <c r="A6469" t="inlineStr">
        <is>
          <t>Rábca Agrártechnika Kft.,  Abda, Hungary</t>
        </is>
      </c>
      <c r="B6469" t="inlineStr">
        <is>
          <t>First Gathering Point, Trader with Storage</t>
        </is>
      </c>
      <c r="C6469" t="inlineStr">
        <is>
          <t>Certificadora Gallega del Noroeste SL, Vilagarcia de Arousa-Pontevedra, ES</t>
        </is>
      </c>
      <c r="D6469" t="inlineStr">
        <is>
          <t>20.03.2027</t>
        </is>
      </c>
      <c r="E6469" t="inlineStr">
        <is>
          <t>Hungary</t>
        </is>
      </c>
    </row>
    <row r="6470">
      <c r="A6470" t="inlineStr">
        <is>
          <t>PT ICHIKO AGRO LESTARI,  Kab. Kubu Raya, Kalimantan Barat, Indonesia</t>
        </is>
      </c>
      <c r="B6470" t="inlineStr">
        <is>
          <t>Point of Origin</t>
        </is>
      </c>
      <c r="C6470" t="inlineStr">
        <is>
          <t>PT Mutuagung Lestari, Depok, ID</t>
        </is>
      </c>
      <c r="D6470" t="inlineStr">
        <is>
          <t>20.03.2027</t>
        </is>
      </c>
      <c r="E6470" t="inlineStr">
        <is>
          <t>Indonesia</t>
        </is>
      </c>
    </row>
    <row r="6471">
      <c r="A6471" t="inlineStr">
        <is>
          <t>Emad Energy,  Geneva, Switzerland</t>
        </is>
      </c>
      <c r="B6471" t="inlineStr">
        <is>
          <t>Trader</t>
        </is>
      </c>
      <c r="C6471" t="inlineStr">
        <is>
          <t>Eurocert SA, Metamorfosi, Athens, GR</t>
        </is>
      </c>
      <c r="D6471" t="inlineStr">
        <is>
          <t>20.03.2027</t>
        </is>
      </c>
      <c r="E6471" t="inlineStr">
        <is>
          <t>Switzerland</t>
        </is>
      </c>
    </row>
    <row r="6472">
      <c r="A6472" t="inlineStr">
        <is>
          <t>Rain Carbon Germany GmbH,  Duisburg, Germany</t>
        </is>
      </c>
      <c r="B6472" t="inlineStr">
        <is>
          <t>Processing Unit, Trader with Storage, Point of Origin</t>
        </is>
      </c>
      <c r="C6472" t="inlineStr">
        <is>
          <t>Control Union Certifications Germany GmbH, Berlin, DE</t>
        </is>
      </c>
      <c r="D6472" t="inlineStr">
        <is>
          <t>19.03.2027</t>
        </is>
      </c>
      <c r="E6472" t="inlineStr">
        <is>
          <t>Germany</t>
        </is>
      </c>
    </row>
    <row r="6473">
      <c r="A6473" t="inlineStr">
        <is>
          <t>PT Musim Mas,  Medan, Indonesia</t>
        </is>
      </c>
      <c r="B6473" t="inlineStr">
        <is>
          <t>Processing Unit</t>
        </is>
      </c>
      <c r="C6473" t="inlineStr">
        <is>
          <t>Control Union Certifications Germany GmbH, Berlin, DE</t>
        </is>
      </c>
      <c r="D6473" t="inlineStr">
        <is>
          <t>19.03.2027</t>
        </is>
      </c>
      <c r="E6473" t="inlineStr">
        <is>
          <t>Indonesia</t>
        </is>
      </c>
    </row>
    <row r="6474">
      <c r="A6474" t="inlineStr">
        <is>
          <t>ITOCHU PLASTICS PTE LTD,  Singapore, Singapore</t>
        </is>
      </c>
      <c r="B6474" t="inlineStr">
        <is>
          <t>Trader</t>
        </is>
      </c>
      <c r="C6474" t="inlineStr">
        <is>
          <t>Control Union Certifications Germany GmbH, Berlin, DE</t>
        </is>
      </c>
      <c r="D6474" t="inlineStr">
        <is>
          <t>19.03.2027</t>
        </is>
      </c>
      <c r="E6474" t="inlineStr">
        <is>
          <t>Singapore</t>
        </is>
      </c>
    </row>
    <row r="6475">
      <c r="A6475" t="inlineStr">
        <is>
          <t>DECAL ESPAÑA,  Barcelona, Spain</t>
        </is>
      </c>
      <c r="B6475" t="inlineStr">
        <is>
          <t>Logistics Center</t>
        </is>
      </c>
      <c r="C6475" t="inlineStr">
        <is>
          <t>Control Union Poland Sp. z o.o., Zielona Gora, PL</t>
        </is>
      </c>
      <c r="D6475" t="inlineStr">
        <is>
          <t>19.03.2027</t>
        </is>
      </c>
      <c r="E6475" t="inlineStr">
        <is>
          <t>Spain</t>
        </is>
      </c>
    </row>
    <row r="6476">
      <c r="A6476" t="inlineStr">
        <is>
          <t>Agro-Tár Mezőgazdasági Termelő és Kereskedelmi Korlátolt Felelősségű Társaság,  Alsódobsza, Hungary</t>
        </is>
      </c>
      <c r="B6476" t="inlineStr">
        <is>
          <t>First Gathering Point</t>
        </is>
      </c>
      <c r="C6476" t="inlineStr">
        <is>
          <t>Certificadora Gallega del Noroeste SL, Vilagarcia de Arousa-Pontevedra, ES</t>
        </is>
      </c>
      <c r="D6476" t="inlineStr">
        <is>
          <t>19.03.2027</t>
        </is>
      </c>
      <c r="E6476" t="inlineStr">
        <is>
          <t>Hungary</t>
        </is>
      </c>
    </row>
    <row r="6477">
      <c r="A6477" t="inlineStr">
        <is>
          <t>LG Paper Distribution,  Haskovo, Bulgaria</t>
        </is>
      </c>
      <c r="B6477" t="inlineStr">
        <is>
          <t>Trader</t>
        </is>
      </c>
      <c r="C6477" t="inlineStr">
        <is>
          <t>Bureau Veritas Polska Sp. z o.o., Warsaw, PL</t>
        </is>
      </c>
      <c r="D6477" t="inlineStr">
        <is>
          <t>19.03.2027</t>
        </is>
      </c>
      <c r="E6477" t="inlineStr">
        <is>
          <t>Bulgaria</t>
        </is>
      </c>
    </row>
    <row r="6478">
      <c r="A6478" t="inlineStr">
        <is>
          <t>TMG - Tecidos Plastificados e Outros Revestimentos para a Indústria Automóvel,  S. Cosme do Vale - V.N. Famalicão, Portugal</t>
        </is>
      </c>
      <c r="B6478" t="inlineStr">
        <is>
          <t>Processing Unit</t>
        </is>
      </c>
      <c r="C6478" t="inlineStr">
        <is>
          <t>SCS Global Services, Emeryville, CA, US</t>
        </is>
      </c>
      <c r="D6478" t="inlineStr">
        <is>
          <t>19.03.2027</t>
        </is>
      </c>
      <c r="E6478" t="inlineStr">
        <is>
          <t>Portugal</t>
        </is>
      </c>
    </row>
    <row r="6479">
      <c r="A6479" t="inlineStr">
        <is>
          <t>TMG - Tecidos Plastificados e Outros Revestimentos para a Indústria Automóvel,  Ponte - Guimarães, Portugal</t>
        </is>
      </c>
      <c r="B6479" t="inlineStr">
        <is>
          <t>Processing Unit</t>
        </is>
      </c>
      <c r="C6479" t="inlineStr">
        <is>
          <t>SCS Global Services, Emeryville, CA, US</t>
        </is>
      </c>
      <c r="D6479" t="inlineStr">
        <is>
          <t>19.03.2027</t>
        </is>
      </c>
      <c r="E6479" t="inlineStr">
        <is>
          <t>Portugal</t>
        </is>
      </c>
    </row>
    <row r="6480">
      <c r="A6480" t="inlineStr">
        <is>
          <t>Lederplast,  Pessinetto (TO), Italy</t>
        </is>
      </c>
      <c r="B6480" t="inlineStr">
        <is>
          <t>Processing Unit</t>
        </is>
      </c>
      <c r="C6480" t="inlineStr">
        <is>
          <t>ICIM SpA, sesto san giovanni, IT</t>
        </is>
      </c>
      <c r="D6480" t="inlineStr">
        <is>
          <t>19.03.2027</t>
        </is>
      </c>
      <c r="E6480" t="inlineStr">
        <is>
          <t>Italy</t>
        </is>
      </c>
    </row>
    <row r="6481">
      <c r="A6481" t="inlineStr">
        <is>
          <t>AKT ENERJİ AŞ AKHİSAR FACİLİTY,  HASANPAŞALI CAD., Turkey</t>
        </is>
      </c>
      <c r="B6481" t="inlineStr">
        <is>
          <t>Collecting Point, Processing Unit</t>
        </is>
      </c>
      <c r="C6481" t="inlineStr">
        <is>
          <t>PT Intertek Utama Services, Jakarta, ID</t>
        </is>
      </c>
      <c r="D6481" t="inlineStr">
        <is>
          <t>19.03.2027</t>
        </is>
      </c>
      <c r="E6481" t="inlineStr">
        <is>
          <t>Turkey</t>
        </is>
      </c>
    </row>
    <row r="6482">
      <c r="A6482" t="inlineStr">
        <is>
          <t>Zhejiang Huangyan Dafu Plastics Co.,Ltd.,,  Taizhou City, Zhejiang, China</t>
        </is>
      </c>
      <c r="B6482" t="inlineStr">
        <is>
          <t>Processing Unit</t>
        </is>
      </c>
      <c r="C6482" t="inlineStr">
        <is>
          <t>SCS Global Services, Emeryville, CA, US</t>
        </is>
      </c>
      <c r="D6482" t="inlineStr">
        <is>
          <t>19.03.2027</t>
        </is>
      </c>
      <c r="E6482" t="inlineStr">
        <is>
          <t>China</t>
        </is>
      </c>
    </row>
    <row r="6483">
      <c r="A6483" t="inlineStr">
        <is>
          <t>PT Gunung Andalan Sukses,  Bombana, Indonesia</t>
        </is>
      </c>
      <c r="B6483" t="inlineStr">
        <is>
          <t>Point of Origin</t>
        </is>
      </c>
      <c r="C6483" t="inlineStr">
        <is>
          <t>PT. Qualitas Sertifikasi Indonesia, Jakarta, ID</t>
        </is>
      </c>
      <c r="D6483" t="inlineStr">
        <is>
          <t>19.03.2027</t>
        </is>
      </c>
      <c r="E6483" t="inlineStr">
        <is>
          <t>Indonesia</t>
        </is>
      </c>
    </row>
    <row r="6484">
      <c r="A6484" t="inlineStr">
        <is>
          <t>Marvesa Oils and Fats B.V.,  Den Haag, Netherlands</t>
        </is>
      </c>
      <c r="B6484" t="inlineStr">
        <is>
          <t>Trader with Storage</t>
        </is>
      </c>
      <c r="C6484" t="inlineStr">
        <is>
          <t>DEKRA Certification B.V., Arnhem, NL</t>
        </is>
      </c>
      <c r="D6484" t="inlineStr">
        <is>
          <t>19.03.2027</t>
        </is>
      </c>
      <c r="E6484" t="inlineStr">
        <is>
          <t>Netherlands</t>
        </is>
      </c>
    </row>
    <row r="6485">
      <c r="A6485" t="inlineStr">
        <is>
          <t>Shell Trading Canada,  Calgary, Alberta, Canada</t>
        </is>
      </c>
      <c r="B6485" t="inlineStr">
        <is>
          <t>Trader with Storage</t>
        </is>
      </c>
      <c r="C6485" t="inlineStr">
        <is>
          <t>SGS Germany GmbH, Emstek, DE</t>
        </is>
      </c>
      <c r="D6485" t="inlineStr">
        <is>
          <t>19.03.2027</t>
        </is>
      </c>
      <c r="E6485" t="inlineStr">
        <is>
          <t>Canada</t>
        </is>
      </c>
    </row>
    <row r="6486">
      <c r="A6486" t="inlineStr">
        <is>
          <t>ENVIQ PTE LTD,  SUNTEC TOWER THREE, Singapore</t>
        </is>
      </c>
      <c r="B6486" t="inlineStr">
        <is>
          <t>Trader</t>
        </is>
      </c>
      <c r="C6486" t="inlineStr">
        <is>
          <t>PT. Qualitas Sertifikasi Indonesia, Jakarta, ID</t>
        </is>
      </c>
      <c r="D6486" t="inlineStr">
        <is>
          <t>19.03.2027</t>
        </is>
      </c>
      <c r="E6486" t="inlineStr">
        <is>
          <t>Singapore</t>
        </is>
      </c>
    </row>
    <row r="6487">
      <c r="A6487" t="inlineStr">
        <is>
          <t>RIXJET,  Marupe, Riga, Latvia</t>
        </is>
      </c>
      <c r="B6487" t="inlineStr">
        <is>
          <t>Proof of Compliance Trader, Trader with Storage</t>
        </is>
      </c>
      <c r="C6487" t="inlineStr">
        <is>
          <t>BM Certification, Riga, LV</t>
        </is>
      </c>
      <c r="D6487" t="inlineStr">
        <is>
          <t>19.03.2027</t>
        </is>
      </c>
      <c r="E6487" t="inlineStr">
        <is>
          <t>Latvia</t>
        </is>
      </c>
    </row>
    <row r="6488">
      <c r="A6488" t="inlineStr">
        <is>
          <t>contrade italiane,  sorrento, Italy</t>
        </is>
      </c>
      <c r="B6488" t="inlineStr">
        <is>
          <t>Trader</t>
        </is>
      </c>
      <c r="C6488" t="inlineStr">
        <is>
          <t>SGS Germany GmbH, Emstek, DE</t>
        </is>
      </c>
      <c r="D6488" t="inlineStr">
        <is>
          <t>19.03.2027</t>
        </is>
      </c>
      <c r="E6488" t="inlineStr">
        <is>
          <t>Italy</t>
        </is>
      </c>
    </row>
    <row r="6489">
      <c r="A6489" t="inlineStr">
        <is>
          <t>FitcoGrass,  Oostende, Belgium</t>
        </is>
      </c>
      <c r="B6489" t="inlineStr">
        <is>
          <t>Processing Unit</t>
        </is>
      </c>
      <c r="C6489" t="inlineStr">
        <is>
          <t>SGS Germany GmbH, Emstek, DE</t>
        </is>
      </c>
      <c r="D6489" t="inlineStr">
        <is>
          <t>19.03.2027</t>
        </is>
      </c>
      <c r="E6489" t="inlineStr">
        <is>
          <t>Belgium</t>
        </is>
      </c>
    </row>
    <row r="6490">
      <c r="A6490" t="inlineStr">
        <is>
          <t>Amcor Flexibles Winterbourne Ltd,  Bristol, United Kingdom</t>
        </is>
      </c>
      <c r="B6490" t="inlineStr">
        <is>
          <t>Processing Unit</t>
        </is>
      </c>
      <c r="C6490" t="inlineStr">
        <is>
          <t>SGS Germany GmbH, Emstek, DE</t>
        </is>
      </c>
      <c r="D6490" t="inlineStr">
        <is>
          <t>19.03.2027</t>
        </is>
      </c>
      <c r="E6490" t="inlineStr">
        <is>
          <t>United Kingdom</t>
        </is>
      </c>
    </row>
    <row r="6491">
      <c r="A6491" t="inlineStr">
        <is>
          <t>Cosmo First Limited,  Near Inox, Karjan, Vadodara, Gujarat, India</t>
        </is>
      </c>
      <c r="B6491" t="inlineStr">
        <is>
          <t>Processing Unit</t>
        </is>
      </c>
      <c r="C6491" t="inlineStr">
        <is>
          <t>SGS Germany GmbH, Emstek, DE</t>
        </is>
      </c>
      <c r="D6491" t="inlineStr">
        <is>
          <t>19.03.2027</t>
        </is>
      </c>
      <c r="E6491" t="inlineStr">
        <is>
          <t>India</t>
        </is>
      </c>
    </row>
    <row r="6492">
      <c r="A6492" t="inlineStr">
        <is>
          <t>Evos Ghent,  Ghent, Belgium</t>
        </is>
      </c>
      <c r="B6492" t="inlineStr">
        <is>
          <t>Warehouse</t>
        </is>
      </c>
      <c r="C6492" t="inlineStr">
        <is>
          <t>SGS Germany GmbH, Emstek, DE</t>
        </is>
      </c>
      <c r="D6492" t="inlineStr">
        <is>
          <t>19.03.2027</t>
        </is>
      </c>
      <c r="E6492" t="inlineStr">
        <is>
          <t>Belgium</t>
        </is>
      </c>
    </row>
    <row r="6493">
      <c r="A6493" t="inlineStr">
        <is>
          <t>Evos Ghent,  Ghent, Belgium</t>
        </is>
      </c>
      <c r="B6493" t="inlineStr">
        <is>
          <t>Warehouse</t>
        </is>
      </c>
      <c r="C6493" t="inlineStr">
        <is>
          <t>SGS Germany GmbH, Emstek, DE</t>
        </is>
      </c>
      <c r="D6493" t="inlineStr">
        <is>
          <t>19.03.2027</t>
        </is>
      </c>
      <c r="E6493" t="inlineStr">
        <is>
          <t>Belgium</t>
        </is>
      </c>
    </row>
    <row r="6494">
      <c r="A6494" t="inlineStr">
        <is>
          <t>NOVACEL,  Déville-lès-Rouen, France</t>
        </is>
      </c>
      <c r="B6494" t="inlineStr">
        <is>
          <t>Final Product Refinement</t>
        </is>
      </c>
      <c r="C6494" t="inlineStr">
        <is>
          <t>SGS Germany GmbH, Emstek, DE</t>
        </is>
      </c>
      <c r="D6494" t="inlineStr">
        <is>
          <t>19.03.2027</t>
        </is>
      </c>
      <c r="E6494" t="inlineStr">
        <is>
          <t>France</t>
        </is>
      </c>
    </row>
    <row r="6495">
      <c r="A6495" t="inlineStr">
        <is>
          <t>FORESIGHT OPTICAL LTD. TIAN-HUI PLANT,  Tainan City, Taiwan</t>
        </is>
      </c>
      <c r="B6495" t="inlineStr">
        <is>
          <t>Processing Unit</t>
        </is>
      </c>
      <c r="C6495" t="inlineStr">
        <is>
          <t>Bureau Veritas Consumer Products Services, Inc., Littleton, MA, US</t>
        </is>
      </c>
      <c r="D6495" t="inlineStr">
        <is>
          <t>19.03.2027</t>
        </is>
      </c>
      <c r="E6495" t="inlineStr">
        <is>
          <t>Taiwan</t>
        </is>
      </c>
    </row>
    <row r="6496">
      <c r="A6496" t="inlineStr">
        <is>
          <t>Lianyungang Suhai Supply Chain Management Co., Ltd.,  Lianyungang City, Jiangsu Province, China</t>
        </is>
      </c>
      <c r="B6496" t="inlineStr">
        <is>
          <t>Trader</t>
        </is>
      </c>
      <c r="C6496" t="inlineStr">
        <is>
          <t>SCS Global Services, Emeryville, CA, US</t>
        </is>
      </c>
      <c r="D6496" t="inlineStr">
        <is>
          <t>19.03.2027</t>
        </is>
      </c>
      <c r="E6496" t="inlineStr">
        <is>
          <t>China</t>
        </is>
      </c>
    </row>
    <row r="6497">
      <c r="A6497" t="inlineStr">
        <is>
          <t>Lianyungang Suhai Supply Chain Management Co., Ltd.,  Lianyungang City, Jiangsu Province, China</t>
        </is>
      </c>
      <c r="B6497" t="inlineStr">
        <is>
          <t>Trader</t>
        </is>
      </c>
      <c r="C6497" t="inlineStr">
        <is>
          <t>SCS Global Services, Emeryville, CA, US</t>
        </is>
      </c>
      <c r="D6497" t="inlineStr">
        <is>
          <t>19.03.2027</t>
        </is>
      </c>
      <c r="E6497" t="inlineStr">
        <is>
          <t>China</t>
        </is>
      </c>
    </row>
    <row r="6498">
      <c r="A6498" t="inlineStr">
        <is>
          <t>G-Bio Ishinomaki Sue,  Tokyo.Chiyodaku, Japan</t>
        </is>
      </c>
      <c r="B6498" t="inlineStr">
        <is>
          <t>Trader</t>
        </is>
      </c>
      <c r="C6498" t="inlineStr">
        <is>
          <t>Control Union Certifications Germany GmbH, Berlin, DE</t>
        </is>
      </c>
      <c r="D6498" t="inlineStr">
        <is>
          <t>19.03.2027</t>
        </is>
      </c>
      <c r="E6498" t="inlineStr">
        <is>
          <t>Japan</t>
        </is>
      </c>
    </row>
    <row r="6499">
      <c r="A6499" t="inlineStr">
        <is>
          <t>Green Power Development Corporation of Japan,  Tokyo, Japan</t>
        </is>
      </c>
      <c r="B6499" t="inlineStr">
        <is>
          <t>Trader</t>
        </is>
      </c>
      <c r="C6499" t="inlineStr">
        <is>
          <t>Control Union Certifications Germany GmbH, Berlin, DE</t>
        </is>
      </c>
      <c r="D6499" t="inlineStr">
        <is>
          <t>19.03.2027</t>
        </is>
      </c>
      <c r="E6499" t="inlineStr">
        <is>
          <t>Japan</t>
        </is>
      </c>
    </row>
    <row r="6500">
      <c r="A6500" t="inlineStr">
        <is>
          <t>Paradigm Energy Supply,  Zug, Switzerland</t>
        </is>
      </c>
      <c r="B6500" t="inlineStr">
        <is>
          <t>Trader</t>
        </is>
      </c>
      <c r="C6500" t="inlineStr">
        <is>
          <t>Baltic Control Certification, Albertslund, DK</t>
        </is>
      </c>
      <c r="D6500" t="inlineStr">
        <is>
          <t>19.03.2027</t>
        </is>
      </c>
      <c r="E6500" t="inlineStr">
        <is>
          <t>Switzerland</t>
        </is>
      </c>
    </row>
    <row r="6501">
      <c r="A6501" t="inlineStr">
        <is>
          <t>PETROBRAS BIOCOMBUSTIVEL S/A - Candeias,  Candeias, Bahia, Brazil</t>
        </is>
      </c>
      <c r="B6501" t="inlineStr">
        <is>
          <t>Point of Origin, Processing Unit, Trader with Storage</t>
        </is>
      </c>
      <c r="C6501" t="inlineStr">
        <is>
          <t>SCS Global Services, Emeryville, CA, US</t>
        </is>
      </c>
      <c r="D6501" t="inlineStr">
        <is>
          <t>19.03.2027</t>
        </is>
      </c>
      <c r="E6501" t="inlineStr">
        <is>
          <t>Brazil</t>
        </is>
      </c>
    </row>
    <row r="6502">
      <c r="A6502" t="inlineStr">
        <is>
          <t>SABIC (Shanghai) Trading Co. Ltd.,  Shanghai, China</t>
        </is>
      </c>
      <c r="B6502" t="inlineStr">
        <is>
          <t>Trader</t>
        </is>
      </c>
      <c r="C6502" t="inlineStr">
        <is>
          <t>TÜV NORD CERT GmbH, Essen, DE</t>
        </is>
      </c>
      <c r="D6502" t="inlineStr">
        <is>
          <t>19.03.2027</t>
        </is>
      </c>
      <c r="E6502" t="inlineStr">
        <is>
          <t>China</t>
        </is>
      </c>
    </row>
    <row r="6503">
      <c r="A6503" t="inlineStr">
        <is>
          <t>SABIC (China) Holding Co., Ltd.,  China (Shanghai) Pilot Free Trade Zone, China</t>
        </is>
      </c>
      <c r="B6503" t="inlineStr">
        <is>
          <t>Trader</t>
        </is>
      </c>
      <c r="C6503" t="inlineStr">
        <is>
          <t>TÜV NORD CERT GmbH, Essen, DE</t>
        </is>
      </c>
      <c r="D6503" t="inlineStr">
        <is>
          <t>19.03.2027</t>
        </is>
      </c>
      <c r="E6503" t="inlineStr">
        <is>
          <t>China</t>
        </is>
      </c>
    </row>
    <row r="6504">
      <c r="A6504" t="inlineStr">
        <is>
          <t>GrainsConnect Canada Operations Inc.,  Calgary, Canada</t>
        </is>
      </c>
      <c r="B6504" t="inlineStr">
        <is>
          <t>First Gathering Point</t>
        </is>
      </c>
      <c r="C6504" t="inlineStr">
        <is>
          <t>SGS Germany GmbH, Emstek, DE</t>
        </is>
      </c>
      <c r="D6504" t="inlineStr">
        <is>
          <t>19.03.2027</t>
        </is>
      </c>
      <c r="E6504" t="inlineStr">
        <is>
          <t>Canada</t>
        </is>
      </c>
    </row>
    <row r="6505">
      <c r="A6505" t="inlineStr">
        <is>
          <t>Radius Packaging,  Delavan, United States</t>
        </is>
      </c>
      <c r="B6505" t="inlineStr">
        <is>
          <t>Processing Unit</t>
        </is>
      </c>
      <c r="C6505" t="inlineStr">
        <is>
          <t>SCS Global Services, Emeryville, CA, US</t>
        </is>
      </c>
      <c r="D6505" t="inlineStr">
        <is>
          <t>19.03.2027</t>
        </is>
      </c>
      <c r="E6505" t="inlineStr">
        <is>
          <t>United States</t>
        </is>
      </c>
    </row>
    <row r="6506">
      <c r="A6506" t="inlineStr">
        <is>
          <t>Transformaciones Químico-Industriales S.L.,  Barberà del Vallès, Spain</t>
        </is>
      </c>
      <c r="B6506" t="inlineStr">
        <is>
          <t>Processing Unit</t>
        </is>
      </c>
      <c r="C6506" t="inlineStr">
        <is>
          <t>Bureau Veritas Polska Sp. z o.o., Warsaw, PL</t>
        </is>
      </c>
      <c r="D6506" t="inlineStr">
        <is>
          <t>19.03.2027</t>
        </is>
      </c>
      <c r="E6506" t="inlineStr">
        <is>
          <t>Spain</t>
        </is>
      </c>
    </row>
    <row r="6507">
      <c r="A6507" t="inlineStr">
        <is>
          <t>HEINEKEN ESPAÑA S.A.,  SEVILLA, Spain</t>
        </is>
      </c>
      <c r="B6507" t="inlineStr">
        <is>
          <t>Point of Origin, Processing Unit</t>
        </is>
      </c>
      <c r="C6507" t="inlineStr">
        <is>
          <t>Bureau Veritas Polska Sp. z o.o., Warsaw, PL</t>
        </is>
      </c>
      <c r="D6507" t="inlineStr">
        <is>
          <t>19.03.2027</t>
        </is>
      </c>
      <c r="E6507" t="inlineStr">
        <is>
          <t>Spain</t>
        </is>
      </c>
    </row>
    <row r="6508">
      <c r="A6508" t="inlineStr">
        <is>
          <t>PanaSystem Handels GmbH,  Vienna, Austria</t>
        </is>
      </c>
      <c r="B6508" t="inlineStr">
        <is>
          <t>Trader with Storage</t>
        </is>
      </c>
      <c r="C6508" t="inlineStr">
        <is>
          <t>Bureau Veritas Polska Sp. z o.o., Warsaw, PL</t>
        </is>
      </c>
      <c r="D6508" t="inlineStr">
        <is>
          <t>19.03.2027</t>
        </is>
      </c>
      <c r="E6508" t="inlineStr">
        <is>
          <t>Austria</t>
        </is>
      </c>
    </row>
    <row r="6509">
      <c r="A6509" t="inlineStr">
        <is>
          <t>Anhui Yucheng Technology Development Co., Ltd.,  Yongqiao District,Suzhou City, Anhui Province, China</t>
        </is>
      </c>
      <c r="B6509" t="inlineStr">
        <is>
          <t>Trader</t>
        </is>
      </c>
      <c r="C6509" t="inlineStr">
        <is>
          <t>RINA Services S.p.A., Genova, IT</t>
        </is>
      </c>
      <c r="D6509" t="inlineStr">
        <is>
          <t>19.03.2027</t>
        </is>
      </c>
      <c r="E6509" t="inlineStr">
        <is>
          <t>China</t>
        </is>
      </c>
    </row>
    <row r="6510">
      <c r="A6510" t="inlineStr">
        <is>
          <t>Huizhou Excellent and Innovation Bioenergy Technology Co., Ltd.,  Huizhou City, China</t>
        </is>
      </c>
      <c r="B6510" t="inlineStr">
        <is>
          <t>Processing Unit, Trader with Storage</t>
        </is>
      </c>
      <c r="C6510" t="inlineStr">
        <is>
          <t>RINA Services S.p.A., Genova, IT</t>
        </is>
      </c>
      <c r="D6510" t="inlineStr">
        <is>
          <t>19.03.2027</t>
        </is>
      </c>
      <c r="E6510" t="inlineStr">
        <is>
          <t>China</t>
        </is>
      </c>
    </row>
    <row r="6511">
      <c r="A6511" t="inlineStr">
        <is>
          <t>CSK ENERGY GROUP INC,  Newark,, United States</t>
        </is>
      </c>
      <c r="B6511" t="inlineStr">
        <is>
          <t>Collecting Point</t>
        </is>
      </c>
      <c r="C6511" t="inlineStr">
        <is>
          <t>Certificadora Gallega del Noroeste SL, Vilagarcia de Arousa-Pontevedra, ES</t>
        </is>
      </c>
      <c r="D6511" t="inlineStr">
        <is>
          <t>19.03.2027</t>
        </is>
      </c>
      <c r="E6511" t="inlineStr">
        <is>
          <t>United States</t>
        </is>
      </c>
    </row>
    <row r="6512">
      <c r="A6512" t="inlineStr">
        <is>
          <t>CSK ENERGY GROUP INC,  Newark,, United States</t>
        </is>
      </c>
      <c r="B6512" t="inlineStr">
        <is>
          <t>Collecting Point</t>
        </is>
      </c>
      <c r="C6512" t="inlineStr">
        <is>
          <t>Amspec Iberia SL, Vilagarcia de Arousa-Pontevedra, ES</t>
        </is>
      </c>
      <c r="D6512" t="inlineStr">
        <is>
          <t>19.03.2027</t>
        </is>
      </c>
      <c r="E6512" t="inlineStr">
        <is>
          <t>United States</t>
        </is>
      </c>
    </row>
    <row r="6513">
      <c r="A6513" t="inlineStr">
        <is>
          <t>MOL Petrochemicals,  Tiszaújváros, Hungary</t>
        </is>
      </c>
      <c r="B6513" t="inlineStr">
        <is>
          <t>MTBE plant</t>
        </is>
      </c>
      <c r="C6513" t="inlineStr">
        <is>
          <t>SGS Germany GmbH, Emstek, DE</t>
        </is>
      </c>
      <c r="D6513" t="inlineStr">
        <is>
          <t>19.03.2027</t>
        </is>
      </c>
      <c r="E6513" t="inlineStr">
        <is>
          <t>Hungary</t>
        </is>
      </c>
    </row>
    <row r="6514">
      <c r="A6514" t="inlineStr">
        <is>
          <t>FABRIKA ULJA DUNAVKA DOO,  Veliko Gradiste, Serbia</t>
        </is>
      </c>
      <c r="B6514" t="inlineStr">
        <is>
          <t>Processing Unit, Trader with Storage</t>
        </is>
      </c>
      <c r="C6514" t="inlineStr">
        <is>
          <t>Bureau Veritas Polska Sp. z o.o., Warsaw, PL</t>
        </is>
      </c>
      <c r="D6514" t="inlineStr">
        <is>
          <t>19.03.2027</t>
        </is>
      </c>
      <c r="E6514" t="inlineStr">
        <is>
          <t>Serbia</t>
        </is>
      </c>
    </row>
    <row r="6515">
      <c r="A6515" t="inlineStr">
        <is>
          <t>Panthera Energy Trading GmbH,  Hamburg, Germany</t>
        </is>
      </c>
      <c r="B6515" t="inlineStr">
        <is>
          <t>Trader</t>
        </is>
      </c>
      <c r="C6515" t="inlineStr">
        <is>
          <t>SGS Germany GmbH, Emstek, DE</t>
        </is>
      </c>
      <c r="D6515" t="inlineStr">
        <is>
          <t>19.03.2027</t>
        </is>
      </c>
      <c r="E6515" t="inlineStr">
        <is>
          <t>Germany</t>
        </is>
      </c>
    </row>
    <row r="6516">
      <c r="A6516" t="inlineStr">
        <is>
          <t>Moeve, S.A,  Palos de la Frontera (Huelva), Spain</t>
        </is>
      </c>
      <c r="B6516" t="inlineStr">
        <is>
          <t>Processing Unit, Trader with Storage</t>
        </is>
      </c>
      <c r="C6516" t="inlineStr">
        <is>
          <t>Control Union Poland Sp. z o.o., Zielona Gora, PL</t>
        </is>
      </c>
      <c r="D6516" t="inlineStr">
        <is>
          <t>19.03.2027</t>
        </is>
      </c>
      <c r="E6516" t="inlineStr">
        <is>
          <t>Spain</t>
        </is>
      </c>
    </row>
    <row r="6517">
      <c r="A6517" t="inlineStr">
        <is>
          <t>Moeve, S.A,  San Roque (Cádiz), Spain</t>
        </is>
      </c>
      <c r="B6517" t="inlineStr">
        <is>
          <t>Trader with Storage, Processing Unit</t>
        </is>
      </c>
      <c r="C6517" t="inlineStr">
        <is>
          <t>Control Union Poland Sp. z o.o., Zielona Gora, PL</t>
        </is>
      </c>
      <c r="D6517" t="inlineStr">
        <is>
          <t>19.03.2027</t>
        </is>
      </c>
      <c r="E6517" t="inlineStr">
        <is>
          <t>Spain</t>
        </is>
      </c>
    </row>
    <row r="6518">
      <c r="A6518" t="inlineStr">
        <is>
          <t>Pitak Palm Oil,  Tumbol Kalasae, Amphur Sikao, Trang Province, Thailand</t>
        </is>
      </c>
      <c r="B6518" t="inlineStr">
        <is>
          <t>Point of Origin, Trader with Storage</t>
        </is>
      </c>
      <c r="C6518" t="inlineStr">
        <is>
          <t>TÜV NORD CERT GmbH, Essen, DE</t>
        </is>
      </c>
      <c r="D6518" t="inlineStr">
        <is>
          <t>18.03.2027</t>
        </is>
      </c>
      <c r="E6518" t="inlineStr">
        <is>
          <t>Thailand</t>
        </is>
      </c>
    </row>
    <row r="6519">
      <c r="A6519" t="inlineStr">
        <is>
          <t>OLEOGINOSA MARINA SAC,  CALLAO, Peru</t>
        </is>
      </c>
      <c r="B6519" t="inlineStr">
        <is>
          <t>Collecting Point</t>
        </is>
      </c>
      <c r="C6519" t="inlineStr">
        <is>
          <t>Control Union Poland Sp. z o.o., Zielona Gora, PL</t>
        </is>
      </c>
      <c r="D6519" t="inlineStr">
        <is>
          <t>18.03.2027</t>
        </is>
      </c>
      <c r="E6519" t="inlineStr">
        <is>
          <t>Peru</t>
        </is>
      </c>
    </row>
    <row r="6520">
      <c r="A6520" t="inlineStr">
        <is>
          <t>Eneco Energy Trade,  Rotterdam, Netherlands</t>
        </is>
      </c>
      <c r="B6520" t="inlineStr">
        <is>
          <t>Trader with Storage</t>
        </is>
      </c>
      <c r="C6520" t="inlineStr">
        <is>
          <t>Normec QS BV, Ede, NL</t>
        </is>
      </c>
      <c r="D6520" t="inlineStr">
        <is>
          <t>18.03.2027</t>
        </is>
      </c>
      <c r="E6520" t="inlineStr">
        <is>
          <t>Netherlands</t>
        </is>
      </c>
    </row>
    <row r="6521">
      <c r="A6521" t="inlineStr">
        <is>
          <t>AGUAS RIOJA MEDIOAMBIENTE S.L.U.,  Alfaro, Spain</t>
        </is>
      </c>
      <c r="B6521" t="inlineStr">
        <is>
          <t>Collecting Point</t>
        </is>
      </c>
      <c r="C6521" t="inlineStr">
        <is>
          <t>Control Union Poland Sp. z o.o., Zielona Gora, PL</t>
        </is>
      </c>
      <c r="D6521" t="inlineStr">
        <is>
          <t>18.03.2027</t>
        </is>
      </c>
      <c r="E6521" t="inlineStr">
        <is>
          <t>Spain</t>
        </is>
      </c>
    </row>
    <row r="6522">
      <c r="A6522" t="inlineStr">
        <is>
          <t>China National Aviation Fuel Group Chongqing Petroleum Co., Ltd.,  Chonqing City, China</t>
        </is>
      </c>
      <c r="B6522" t="inlineStr">
        <is>
          <t>Trader</t>
        </is>
      </c>
      <c r="C6522" t="inlineStr">
        <is>
          <t>SCS Global Services, Emeryville, CA, US</t>
        </is>
      </c>
      <c r="D6522" t="inlineStr">
        <is>
          <t>18.03.2027</t>
        </is>
      </c>
      <c r="E6522" t="inlineStr">
        <is>
          <t>China</t>
        </is>
      </c>
    </row>
    <row r="6523">
      <c r="A6523" t="inlineStr">
        <is>
          <t>Juyoubao Environment Tech (Jiangsu) Co., LTD,  zhangjiagang, Jiangsu, China</t>
        </is>
      </c>
      <c r="B6523" t="inlineStr">
        <is>
          <t>Collecting Point, Trader with Storage</t>
        </is>
      </c>
      <c r="C6523" t="inlineStr">
        <is>
          <t>SCS Global Services, Emeryville, CA, US</t>
        </is>
      </c>
      <c r="D6523" t="inlineStr">
        <is>
          <t>18.03.2027</t>
        </is>
      </c>
      <c r="E6523" t="inlineStr">
        <is>
          <t>China</t>
        </is>
      </c>
    </row>
    <row r="6524">
      <c r="A6524" t="inlineStr">
        <is>
          <t>Taicang Shenjie Oil Utilization Co., Ltd.,  Taicang City Jiangsu Province, China</t>
        </is>
      </c>
      <c r="B6524" t="inlineStr">
        <is>
          <t>Collecting Point, Trader with Storage</t>
        </is>
      </c>
      <c r="C6524" t="inlineStr">
        <is>
          <t>RINA Services S.p.A., Genova, IT</t>
        </is>
      </c>
      <c r="D6524" t="inlineStr">
        <is>
          <t>18.03.2027</t>
        </is>
      </c>
      <c r="E6524" t="inlineStr">
        <is>
          <t>China</t>
        </is>
      </c>
    </row>
    <row r="6525">
      <c r="A6525" t="inlineStr">
        <is>
          <t>GERROM Invest - Ukraine,  Khmelnytski region, Derazhnia district, Kalnia, Ukraine</t>
        </is>
      </c>
      <c r="B6525" t="inlineStr">
        <is>
          <t>Farm / Plantation</t>
        </is>
      </c>
      <c r="C6525" t="inlineStr">
        <is>
          <t>Bureau Veritas Polska Sp. z o.o., Warsaw, PL</t>
        </is>
      </c>
      <c r="D6525" t="inlineStr">
        <is>
          <t>18.03.2027</t>
        </is>
      </c>
      <c r="E6525" t="inlineStr">
        <is>
          <t>Ukraine</t>
        </is>
      </c>
    </row>
    <row r="6526">
      <c r="A6526" t="inlineStr">
        <is>
          <t>GERROM Invest - Yarmolyntsi,  Khmelnytski region, Yarmolyntsi district,Tarasivka, Ukraine</t>
        </is>
      </c>
      <c r="B6526" t="inlineStr">
        <is>
          <t>Farm / Plantation</t>
        </is>
      </c>
      <c r="C6526" t="inlineStr">
        <is>
          <t>Bureau Veritas Polska Sp. z o.o., Warsaw, PL</t>
        </is>
      </c>
      <c r="D6526" t="inlineStr">
        <is>
          <t>18.03.2027</t>
        </is>
      </c>
      <c r="E6526" t="inlineStr">
        <is>
          <t>Ukraine</t>
        </is>
      </c>
    </row>
    <row r="6527">
      <c r="A6527" t="inlineStr">
        <is>
          <t>Qualipac CT-C,  Chateau-Thierry, France</t>
        </is>
      </c>
      <c r="B6527" t="inlineStr">
        <is>
          <t>Final Product Refinement, Processing Unit</t>
        </is>
      </c>
      <c r="C6527" t="inlineStr">
        <is>
          <t>Bureau Veritas Polska Sp. z o.o., Warsaw, PL</t>
        </is>
      </c>
      <c r="D6527" t="inlineStr">
        <is>
          <t>18.03.2027</t>
        </is>
      </c>
      <c r="E6527" t="inlineStr">
        <is>
          <t>France</t>
        </is>
      </c>
    </row>
    <row r="6528">
      <c r="A6528" t="inlineStr">
        <is>
          <t>Graincorp Nutrition and Energy Australia Pty Ltd,  West Footscray Melbourne, Australia</t>
        </is>
      </c>
      <c r="B6528" t="inlineStr">
        <is>
          <t>Point of Origin, Processing Unit, Trader with Storage</t>
        </is>
      </c>
      <c r="C6528" t="inlineStr">
        <is>
          <t>Control Union Certifications Germany GmbH, Berlin, DE</t>
        </is>
      </c>
      <c r="D6528" t="inlineStr">
        <is>
          <t>18.03.2027</t>
        </is>
      </c>
      <c r="E6528" t="inlineStr">
        <is>
          <t>Australia</t>
        </is>
      </c>
    </row>
    <row r="6529">
      <c r="A6529" t="inlineStr">
        <is>
          <t>Selena Industrial Technologies Sp. z o.o.,  Nowa Ruda, Poland</t>
        </is>
      </c>
      <c r="B6529" t="inlineStr">
        <is>
          <t>Processing Unit</t>
        </is>
      </c>
      <c r="C6529" t="inlineStr">
        <is>
          <t>Bureau Veritas Polska Sp. z o.o., Warsaw, PL</t>
        </is>
      </c>
      <c r="D6529" t="inlineStr">
        <is>
          <t>18.03.2027</t>
        </is>
      </c>
      <c r="E6529" t="inlineStr">
        <is>
          <t>Poland</t>
        </is>
      </c>
    </row>
    <row r="6530">
      <c r="A6530" t="inlineStr">
        <is>
          <t>Shinwoo Co., Ltd,  Uiwang-si. Gyeonggi-do, South Korea</t>
        </is>
      </c>
      <c r="B6530" t="inlineStr">
        <is>
          <t>Processing Unit</t>
        </is>
      </c>
      <c r="C6530" t="inlineStr">
        <is>
          <t>Bureau Veritas Polska Sp. z o.o., Warsaw, PL</t>
        </is>
      </c>
      <c r="D6530" t="inlineStr">
        <is>
          <t>18.03.2027</t>
        </is>
      </c>
      <c r="E6530" t="inlineStr">
        <is>
          <t>South Korea</t>
        </is>
      </c>
    </row>
    <row r="6531">
      <c r="A6531" t="inlineStr">
        <is>
          <t>EXXONMOBIL CHEMICAL SERVICES (SHANGHAI) CO., LTD.,  Minhang District Shanghai, China</t>
        </is>
      </c>
      <c r="B6531" t="inlineStr">
        <is>
          <t>Trader</t>
        </is>
      </c>
      <c r="C6531" t="inlineStr">
        <is>
          <t>Control Union Certifications Germany GmbH, Berlin, DE</t>
        </is>
      </c>
      <c r="D6531" t="inlineStr">
        <is>
          <t>18.03.2027</t>
        </is>
      </c>
      <c r="E6531" t="inlineStr">
        <is>
          <t>China</t>
        </is>
      </c>
    </row>
    <row r="6532">
      <c r="A6532" t="inlineStr">
        <is>
          <t>SA Oil Sdn Bhd,  BINTULU, SARAWAK, Malaysia</t>
        </is>
      </c>
      <c r="B6532" t="inlineStr">
        <is>
          <t>Collecting Point, Processing Unit, Trader with Storage</t>
        </is>
      </c>
      <c r="C6532" t="inlineStr">
        <is>
          <t>TÜV NORD CERT GmbH, Essen, DE</t>
        </is>
      </c>
      <c r="D6532" t="inlineStr">
        <is>
          <t>18.03.2027</t>
        </is>
      </c>
      <c r="E6532" t="inlineStr">
        <is>
          <t>Malaysia</t>
        </is>
      </c>
    </row>
    <row r="6533">
      <c r="A6533" t="inlineStr">
        <is>
          <t>Hood Bumi Resources Sdn Bhd,  BOTA, Malaysia</t>
        </is>
      </c>
      <c r="B6533" t="inlineStr">
        <is>
          <t>Point of Origin</t>
        </is>
      </c>
      <c r="C6533" t="inlineStr">
        <is>
          <t>Trans Certification and Inspection Sdn Bhd, Kuantan, MY</t>
        </is>
      </c>
      <c r="D6533" t="inlineStr">
        <is>
          <t>18.03.2027</t>
        </is>
      </c>
      <c r="E6533" t="inlineStr">
        <is>
          <t>Malaysia</t>
        </is>
      </c>
    </row>
    <row r="6534">
      <c r="A6534" t="inlineStr">
        <is>
          <t>Moeve, S.A,  Palos de la Frontera (Huelva), Spain</t>
        </is>
      </c>
      <c r="B6534" t="inlineStr">
        <is>
          <t>ETBE plant, MTBE plant, Processing Unit, Proof of Compliance Trader, Trader with Storage, Warehouse</t>
        </is>
      </c>
      <c r="C6534" t="inlineStr">
        <is>
          <t>Control Union Poland Sp. z o.o., Zielona Gora, PL</t>
        </is>
      </c>
      <c r="D6534" t="inlineStr">
        <is>
          <t>18.03.2027</t>
        </is>
      </c>
      <c r="E6534" t="inlineStr">
        <is>
          <t>Spain</t>
        </is>
      </c>
    </row>
    <row r="6535">
      <c r="A6535" t="inlineStr">
        <is>
          <t>Taghleef Industries Spa,  San Giorgio di Nogaro, Italy</t>
        </is>
      </c>
      <c r="B6535" t="inlineStr">
        <is>
          <t>Trader with Storage, Processing Unit</t>
        </is>
      </c>
      <c r="C6535" t="inlineStr">
        <is>
          <t>Bureau Veritas Polska Sp. z o.o., Warsaw, PL</t>
        </is>
      </c>
      <c r="D6535" t="inlineStr">
        <is>
          <t>18.03.2027</t>
        </is>
      </c>
      <c r="E6535" t="inlineStr">
        <is>
          <t>Italy</t>
        </is>
      </c>
    </row>
    <row r="6536">
      <c r="A6536" t="inlineStr">
        <is>
          <t>Stimpex ,  Tvarditsa, Bulgaria</t>
        </is>
      </c>
      <c r="B6536" t="inlineStr">
        <is>
          <t>Trader</t>
        </is>
      </c>
      <c r="C6536" t="inlineStr">
        <is>
          <t>Bureau Veritas Polska Sp. z o.o., Warsaw, PL</t>
        </is>
      </c>
      <c r="D6536" t="inlineStr">
        <is>
          <t>18.03.2027</t>
        </is>
      </c>
      <c r="E6536" t="inlineStr">
        <is>
          <t>Bulgaria</t>
        </is>
      </c>
    </row>
    <row r="6537">
      <c r="A6537" t="inlineStr">
        <is>
          <t>Moeve, S.A,  San Roque (Cádiz), Spain</t>
        </is>
      </c>
      <c r="B6537" t="inlineStr">
        <is>
          <t>ETBE plant, MTBE plant, Processing Unit, Proof of Compliance Trader, Trader with Storage, Warehouse</t>
        </is>
      </c>
      <c r="C6537" t="inlineStr">
        <is>
          <t>Control Union Poland Sp. z o.o., Zielona Gora, PL</t>
        </is>
      </c>
      <c r="D6537" t="inlineStr">
        <is>
          <t>18.03.2027</t>
        </is>
      </c>
      <c r="E6537" t="inlineStr">
        <is>
          <t>Spain</t>
        </is>
      </c>
    </row>
    <row r="6538">
      <c r="A6538" t="inlineStr">
        <is>
          <t>FGV Refineries Sdn. Bhd,  TAWAU, Malaysia</t>
        </is>
      </c>
      <c r="B6538" t="inlineStr">
        <is>
          <t>Point of Origin</t>
        </is>
      </c>
      <c r="C6538" t="inlineStr">
        <is>
          <t>Trans Certification and Inspection Sdn Bhd, Kuantan, MY</t>
        </is>
      </c>
      <c r="D6538" t="inlineStr">
        <is>
          <t>18.03.2027</t>
        </is>
      </c>
      <c r="E6538" t="inlineStr">
        <is>
          <t>Malaysia</t>
        </is>
      </c>
    </row>
    <row r="6539">
      <c r="A6539" t="inlineStr">
        <is>
          <t>WINDGRANMA TRADING PTE. LTD.,  SINGAPORE, Singapore</t>
        </is>
      </c>
      <c r="B6539" t="inlineStr">
        <is>
          <t>Trader</t>
        </is>
      </c>
      <c r="C6539" t="inlineStr">
        <is>
          <t>China Standard Conformity Assessment Co. Ltd, Beijing, CN</t>
        </is>
      </c>
      <c r="D6539" t="inlineStr">
        <is>
          <t>18.03.2027</t>
        </is>
      </c>
      <c r="E6539" t="inlineStr">
        <is>
          <t>Singapore</t>
        </is>
      </c>
    </row>
    <row r="6540">
      <c r="A6540" t="inlineStr">
        <is>
          <t>Moeve, S.A,  Santa Cruz de Tenerife, Spain</t>
        </is>
      </c>
      <c r="B6540" t="inlineStr">
        <is>
          <t>Trader with Storage, Warehouse, Proof of Compliance Trader</t>
        </is>
      </c>
      <c r="C6540" t="inlineStr">
        <is>
          <t>Control Union Poland Sp. z o.o., Zielona Gora, PL</t>
        </is>
      </c>
      <c r="D6540" t="inlineStr">
        <is>
          <t>18.03.2027</t>
        </is>
      </c>
      <c r="E6540" t="inlineStr">
        <is>
          <t>Spain</t>
        </is>
      </c>
    </row>
    <row r="6541">
      <c r="A6541" t="inlineStr">
        <is>
          <t>Eco Mission Ghana LTD,  Accra, Ghana</t>
        </is>
      </c>
      <c r="B6541" t="inlineStr">
        <is>
          <t>Collecting Point, Trader with Storage</t>
        </is>
      </c>
      <c r="C6541" t="inlineStr">
        <is>
          <t>PT Intertek Utama Services, Jakarta, ID</t>
        </is>
      </c>
      <c r="D6541" t="inlineStr">
        <is>
          <t>18.03.2027</t>
        </is>
      </c>
      <c r="E6541" t="inlineStr">
        <is>
          <t>Ghana</t>
        </is>
      </c>
    </row>
    <row r="6542">
      <c r="A6542" t="inlineStr">
        <is>
          <t>SHANGHAI FUYUAN FUEL OIL CO., LTD.,  Pudong New Area,Shanghai, China</t>
        </is>
      </c>
      <c r="B6542" t="inlineStr">
        <is>
          <t>Trader</t>
        </is>
      </c>
      <c r="C6542" t="inlineStr">
        <is>
          <t>SCS Global Services, Emeryville, CA, US</t>
        </is>
      </c>
      <c r="D6542" t="inlineStr">
        <is>
          <t>18.03.2027</t>
        </is>
      </c>
      <c r="E6542" t="inlineStr">
        <is>
          <t>China</t>
        </is>
      </c>
    </row>
    <row r="6543">
      <c r="A6543" t="inlineStr">
        <is>
          <t>PT Satya Kisma Usaha,  Kabupaten Tebo, Provinsi Jambi, Indonesia</t>
        </is>
      </c>
      <c r="B6543" t="inlineStr">
        <is>
          <t>First Gathering Point, Processing Unit, Point of Origin</t>
        </is>
      </c>
      <c r="C6543" t="inlineStr">
        <is>
          <t>PT Intertek Utama Services, Jakarta, ID</t>
        </is>
      </c>
      <c r="D6543" t="inlineStr">
        <is>
          <t>18.03.2027</t>
        </is>
      </c>
      <c r="E6543" t="inlineStr">
        <is>
          <t>Indonesia</t>
        </is>
      </c>
    </row>
    <row r="6544">
      <c r="A6544" t="inlineStr">
        <is>
          <t>PT Satya Kisma Usaha,  Kabupaten Tebo, Provinsi Jambi, Indonesia</t>
        </is>
      </c>
      <c r="B6544" t="inlineStr">
        <is>
          <t>Central Office (Farms/Plantations)</t>
        </is>
      </c>
      <c r="C6544" t="inlineStr">
        <is>
          <t>PT Intertek Utama Services, Jakarta, ID</t>
        </is>
      </c>
      <c r="D6544" t="inlineStr">
        <is>
          <t>18.03.2027</t>
        </is>
      </c>
      <c r="E6544" t="inlineStr">
        <is>
          <t>Indonesia</t>
        </is>
      </c>
    </row>
    <row r="6545">
      <c r="A6545" t="inlineStr">
        <is>
          <t>Guerra Spa,  Pomezia, Italy</t>
        </is>
      </c>
      <c r="B6545" t="inlineStr">
        <is>
          <t>Processing Unit</t>
        </is>
      </c>
      <c r="C6545" t="inlineStr">
        <is>
          <t>RINA Services S.p.A., Genova, IT</t>
        </is>
      </c>
      <c r="D6545" t="inlineStr">
        <is>
          <t>18.03.2027</t>
        </is>
      </c>
      <c r="E6545" t="inlineStr">
        <is>
          <t>Italy</t>
        </is>
      </c>
    </row>
    <row r="6546">
      <c r="A6546" t="inlineStr">
        <is>
          <t>Graincorp Nutrition and Energy Australia Pty Ltd,  West Footscray Melbourne, Australia</t>
        </is>
      </c>
      <c r="B6546" t="inlineStr">
        <is>
          <t>Point of Origin, Processing Unit, Trader with Storage</t>
        </is>
      </c>
      <c r="C6546" t="inlineStr">
        <is>
          <t>Control Union Certifications Germany GmbH, Berlin, DE</t>
        </is>
      </c>
      <c r="D6546" t="inlineStr">
        <is>
          <t>18.03.2027</t>
        </is>
      </c>
      <c r="E6546" t="inlineStr">
        <is>
          <t>Australia</t>
        </is>
      </c>
    </row>
    <row r="6547">
      <c r="A6547" t="inlineStr">
        <is>
          <t>Revo International Inc.,  Oaza-tachikawa, Ujitawara-cho, Tsuzuki-gun, Kyoto, Japan</t>
        </is>
      </c>
      <c r="B6547" t="inlineStr">
        <is>
          <t>Collecting Point, Trader with Storage</t>
        </is>
      </c>
      <c r="C6547" t="inlineStr">
        <is>
          <t>Control Union Certifications Germany GmbH, Berlin, DE</t>
        </is>
      </c>
      <c r="D6547" t="inlineStr">
        <is>
          <t>18.03.2027</t>
        </is>
      </c>
      <c r="E6547" t="inlineStr">
        <is>
          <t>Japan</t>
        </is>
      </c>
    </row>
    <row r="6548">
      <c r="A6548" t="inlineStr">
        <is>
          <t>Danai Impian Trading,  Shah Alam, Selangor, Malaysia</t>
        </is>
      </c>
      <c r="B6548" t="inlineStr">
        <is>
          <t>Collecting Point, Trader</t>
        </is>
      </c>
      <c r="C6548" t="inlineStr">
        <is>
          <t>TÜV NORD CERT GmbH, Essen, DE</t>
        </is>
      </c>
      <c r="D6548" t="inlineStr">
        <is>
          <t>18.03.2027</t>
        </is>
      </c>
      <c r="E6548" t="inlineStr">
        <is>
          <t>Malaysia</t>
        </is>
      </c>
    </row>
    <row r="6549">
      <c r="A6549" t="inlineStr">
        <is>
          <t>Longyan Zhuoyue New Energy Biotechnology Co., Ltd.,  Longyan City,Fujian Province, China</t>
        </is>
      </c>
      <c r="B6549" t="inlineStr">
        <is>
          <t>Processing Unit, Trader with Storage</t>
        </is>
      </c>
      <c r="C6549" t="inlineStr">
        <is>
          <t>TÜV NORD CERT GmbH, Essen, DE</t>
        </is>
      </c>
      <c r="D6549" t="inlineStr">
        <is>
          <t>18.03.2027</t>
        </is>
      </c>
      <c r="E6549" t="inlineStr">
        <is>
          <t>China</t>
        </is>
      </c>
    </row>
    <row r="6550">
      <c r="A6550" t="inlineStr">
        <is>
          <t>Ladi &amp; Energeia E.E.,  Melissia, Athens, Greece</t>
        </is>
      </c>
      <c r="B6550" t="inlineStr">
        <is>
          <t>Collecting Point</t>
        </is>
      </c>
      <c r="C6550" t="inlineStr">
        <is>
          <t>Eurocert SA, Metamorfosi, Athens, GR</t>
        </is>
      </c>
      <c r="D6550" t="inlineStr">
        <is>
          <t>18.03.2027</t>
        </is>
      </c>
      <c r="E6550" t="inlineStr">
        <is>
          <t>Greece</t>
        </is>
      </c>
    </row>
    <row r="6551">
      <c r="A6551" t="inlineStr">
        <is>
          <t>5 R Ecogestglobal Srl,  Verolanuova (BS), Italy</t>
        </is>
      </c>
      <c r="B6551" t="inlineStr">
        <is>
          <t>Collecting Point</t>
        </is>
      </c>
      <c r="C6551" t="inlineStr">
        <is>
          <t>SGS Germany GmbH, Emstek, DE</t>
        </is>
      </c>
      <c r="D6551" t="inlineStr">
        <is>
          <t>17.03.2027</t>
        </is>
      </c>
      <c r="E6551" t="inlineStr">
        <is>
          <t>Italy</t>
        </is>
      </c>
    </row>
    <row r="6552">
      <c r="A6552" t="inlineStr">
        <is>
          <t>Ecosole srl Unipersonale,  Sommacampagna, Italy</t>
        </is>
      </c>
      <c r="B6552" t="inlineStr">
        <is>
          <t>Collecting Point, Processing Unit</t>
        </is>
      </c>
      <c r="C6552" t="inlineStr">
        <is>
          <t>SGS Germany GmbH, Emstek, DE</t>
        </is>
      </c>
      <c r="D6552" t="inlineStr">
        <is>
          <t>17.03.2027</t>
        </is>
      </c>
      <c r="E6552" t="inlineStr">
        <is>
          <t>Italy</t>
        </is>
      </c>
    </row>
    <row r="6553">
      <c r="A6553" t="inlineStr">
        <is>
          <t>YLL Trading Sdn. Bhd.,  Miri Sarawak, Malaysia</t>
        </is>
      </c>
      <c r="B6553" t="inlineStr">
        <is>
          <t>Trader with Storage</t>
        </is>
      </c>
      <c r="C6553" t="inlineStr">
        <is>
          <t>TÜV NORD CERT GmbH, Essen, DE</t>
        </is>
      </c>
      <c r="D6553" t="inlineStr">
        <is>
          <t>17.03.2027</t>
        </is>
      </c>
      <c r="E6553" t="inlineStr">
        <is>
          <t>Malaysia</t>
        </is>
      </c>
    </row>
    <row r="6554">
      <c r="A6554" t="inlineStr">
        <is>
          <t>Thélios Spa,  Martignacco, Italy</t>
        </is>
      </c>
      <c r="B6554" t="inlineStr">
        <is>
          <t>Final Product Refinement, Processing Unit</t>
        </is>
      </c>
      <c r="C6554" t="inlineStr">
        <is>
          <t>Bureau Veritas Polska Sp. z o.o., Warsaw, PL</t>
        </is>
      </c>
      <c r="D6554" t="inlineStr">
        <is>
          <t>17.03.2027</t>
        </is>
      </c>
      <c r="E6554" t="inlineStr">
        <is>
          <t>Italy</t>
        </is>
      </c>
    </row>
    <row r="6555">
      <c r="A6555" t="inlineStr">
        <is>
          <t>BPS Rakvice s.r.o.,  Rakvice, Czech Republic</t>
        </is>
      </c>
      <c r="B6555" t="inlineStr">
        <is>
          <t>Collecting Point, First Gathering Point, Processing Unit</t>
        </is>
      </c>
      <c r="C6555" t="inlineStr">
        <is>
          <t>TÜV SÜD Czech s.r.o., Praha 4, CZ</t>
        </is>
      </c>
      <c r="D6555" t="inlineStr">
        <is>
          <t>17.03.2027</t>
        </is>
      </c>
      <c r="E6555" t="inlineStr">
        <is>
          <t>Czech Republic</t>
        </is>
      </c>
    </row>
    <row r="6556">
      <c r="A6556" t="inlineStr">
        <is>
          <t>Trinity Verd,  Machakos, Kenya</t>
        </is>
      </c>
      <c r="B6556" t="inlineStr">
        <is>
          <t>First Gathering Point, Trader with Storage</t>
        </is>
      </c>
      <c r="C6556" t="inlineStr">
        <is>
          <t>RINA Services S.p.A., Genova, IT</t>
        </is>
      </c>
      <c r="D6556" t="inlineStr">
        <is>
          <t>17.03.2027</t>
        </is>
      </c>
      <c r="E6556" t="inlineStr">
        <is>
          <t>Kenya</t>
        </is>
      </c>
    </row>
    <row r="6557">
      <c r="A6557" t="inlineStr">
        <is>
          <t>Runlong International Group (Viet Nam) Co.,Ltd,  Can Tho City, Vietnam</t>
        </is>
      </c>
      <c r="B6557" t="inlineStr">
        <is>
          <t>Trader with Storage</t>
        </is>
      </c>
      <c r="C6557" t="inlineStr">
        <is>
          <t>RINA Services S.p.A., Genova, IT</t>
        </is>
      </c>
      <c r="D6557" t="inlineStr">
        <is>
          <t>17.03.2027</t>
        </is>
      </c>
      <c r="E6557" t="inlineStr">
        <is>
          <t>Vietnam</t>
        </is>
      </c>
    </row>
    <row r="6558">
      <c r="A6558" t="inlineStr">
        <is>
          <t>CTY TNHH SX THUY SAN PHUONG NAM PHAT,  Phuong Thoi An Dong, Can Tho City, Vietnam</t>
        </is>
      </c>
      <c r="B6558" t="inlineStr">
        <is>
          <t>Collecting Point</t>
        </is>
      </c>
      <c r="C6558" t="inlineStr">
        <is>
          <t>RINA Services S.p.A., Genova, IT</t>
        </is>
      </c>
      <c r="D6558" t="inlineStr">
        <is>
          <t>17.03.2027</t>
        </is>
      </c>
      <c r="E6558" t="inlineStr">
        <is>
          <t>Vietnam</t>
        </is>
      </c>
    </row>
    <row r="6559">
      <c r="A6559" t="inlineStr">
        <is>
          <t>HALO IMPORT EXPORT JOINT STOCK COMPANY,  Can Tho City, Vietnam</t>
        </is>
      </c>
      <c r="B6559" t="inlineStr">
        <is>
          <t>Collecting Point</t>
        </is>
      </c>
      <c r="C6559" t="inlineStr">
        <is>
          <t>RINA Services S.p.A., Genova, IT</t>
        </is>
      </c>
      <c r="D6559" t="inlineStr">
        <is>
          <t>17.03.2027</t>
        </is>
      </c>
      <c r="E6559" t="inlineStr">
        <is>
          <t>Vietnam</t>
        </is>
      </c>
    </row>
    <row r="6560">
      <c r="A6560" t="inlineStr">
        <is>
          <t>HALO IMPORT EXPORT JOINT STOCK COMPANY,  Can Tho City, Vietnam</t>
        </is>
      </c>
      <c r="B6560" t="inlineStr">
        <is>
          <t>Collecting Point</t>
        </is>
      </c>
      <c r="C6560" t="inlineStr">
        <is>
          <t>RINA Services S.p.A., Genova, IT</t>
        </is>
      </c>
      <c r="D6560" t="inlineStr">
        <is>
          <t>17.03.2027</t>
        </is>
      </c>
      <c r="E6560" t="inlineStr">
        <is>
          <t>Vietnam</t>
        </is>
      </c>
    </row>
    <row r="6561">
      <c r="A6561" t="inlineStr">
        <is>
          <t>I.MA.P,  SEDICO, Italy</t>
        </is>
      </c>
      <c r="B6561" t="inlineStr">
        <is>
          <t>Processing Unit</t>
        </is>
      </c>
      <c r="C6561" t="inlineStr">
        <is>
          <t>ICIM SpA, sesto san giovanni, IT</t>
        </is>
      </c>
      <c r="D6561" t="inlineStr">
        <is>
          <t>17.03.2027</t>
        </is>
      </c>
      <c r="E6561" t="inlineStr">
        <is>
          <t>Italy</t>
        </is>
      </c>
    </row>
    <row r="6562">
      <c r="A6562" t="inlineStr">
        <is>
          <t>DECAL ESPAÑA,  Barcelona, Spain</t>
        </is>
      </c>
      <c r="B6562" t="inlineStr">
        <is>
          <t>Logistics Center</t>
        </is>
      </c>
      <c r="C6562" t="inlineStr">
        <is>
          <t>Control Union Poland Sp. z o.o., Zielona Gora, PL</t>
        </is>
      </c>
      <c r="D6562" t="inlineStr">
        <is>
          <t>17.03.2027</t>
        </is>
      </c>
      <c r="E6562" t="inlineStr">
        <is>
          <t>Spain</t>
        </is>
      </c>
    </row>
    <row r="6563">
      <c r="A6563" t="inlineStr">
        <is>
          <t>Heilongjiang Kanglai Biomedical Technology Co.,Ltd.,  Anda City, Suihua City, Heilongjiang Province, China</t>
        </is>
      </c>
      <c r="B6563" t="inlineStr">
        <is>
          <t>Collecting Point, Processing Unit</t>
        </is>
      </c>
      <c r="C6563" t="inlineStr">
        <is>
          <t>SCS Global Services, Emeryville, CA, US</t>
        </is>
      </c>
      <c r="D6563" t="inlineStr">
        <is>
          <t>17.03.2027</t>
        </is>
      </c>
      <c r="E6563" t="inlineStr">
        <is>
          <t>China</t>
        </is>
      </c>
    </row>
    <row r="6564">
      <c r="A6564" t="inlineStr">
        <is>
          <t>ALLSU Co.,Ltd.(Si-heung Branch),  Siheung-si, Korea, Republic of</t>
        </is>
      </c>
      <c r="B6564" t="inlineStr">
        <is>
          <t>Collecting Point</t>
        </is>
      </c>
      <c r="C6564" t="inlineStr">
        <is>
          <t>Control Union Certifications Germany GmbH, Berlin, DE</t>
        </is>
      </c>
      <c r="D6564" t="inlineStr">
        <is>
          <t>17.03.2027</t>
        </is>
      </c>
      <c r="E6564" t="inlineStr">
        <is>
          <t>Republic of</t>
        </is>
      </c>
    </row>
    <row r="6565">
      <c r="A6565" t="inlineStr">
        <is>
          <t>Lotus Footwear Enterprises Private Limited (India Branch) Unit-2,  Tiruvannamalai, India</t>
        </is>
      </c>
      <c r="B6565" t="inlineStr">
        <is>
          <t>Processing Unit, Final Product Refinement, Trader</t>
        </is>
      </c>
      <c r="C6565" t="inlineStr">
        <is>
          <t>Alcumus ISOQAR Ltd, Stretford, Manchester, GB</t>
        </is>
      </c>
      <c r="D6565" t="inlineStr">
        <is>
          <t>17.03.2027</t>
        </is>
      </c>
      <c r="E6565" t="inlineStr">
        <is>
          <t>India</t>
        </is>
      </c>
    </row>
    <row r="6566">
      <c r="A6566" t="inlineStr">
        <is>
          <t>Karya Alam Perdana,  Konawe Selatan, Selawesi Tenggara, Indonesia</t>
        </is>
      </c>
      <c r="B6566" t="inlineStr">
        <is>
          <t>Point of Origin</t>
        </is>
      </c>
      <c r="C6566" t="inlineStr">
        <is>
          <t>PT. Qualitas Sertifikasi Indonesia, Jakarta, ID</t>
        </is>
      </c>
      <c r="D6566" t="inlineStr">
        <is>
          <t>17.03.2027</t>
        </is>
      </c>
      <c r="E6566" t="inlineStr">
        <is>
          <t>Indonesia</t>
        </is>
      </c>
    </row>
    <row r="6567">
      <c r="A6567" t="inlineStr">
        <is>
          <t>Karya Alam Perdana,  Konawe Selatan, Selawesi Tenggara, Indonesia</t>
        </is>
      </c>
      <c r="B6567" t="inlineStr">
        <is>
          <t>Point of Origin</t>
        </is>
      </c>
      <c r="C6567" t="inlineStr">
        <is>
          <t>PT. Qualitas Sertifikasi Indonesia, Jakarta, ID</t>
        </is>
      </c>
      <c r="D6567" t="inlineStr">
        <is>
          <t>17.03.2027</t>
        </is>
      </c>
      <c r="E6567" t="inlineStr">
        <is>
          <t>Indonesia</t>
        </is>
      </c>
    </row>
    <row r="6568">
      <c r="A6568" t="inlineStr">
        <is>
          <t>Phoenix Contact GmbH &amp; Co. KG,  Blomberg, Germany</t>
        </is>
      </c>
      <c r="B6568" t="inlineStr">
        <is>
          <t>Processing Unit</t>
        </is>
      </c>
      <c r="C6568" t="inlineStr">
        <is>
          <t>DQS CFS GmbH - Deutsche Gesellschaft für Nachhaltigkeit, Frankfurt am Main, DE</t>
        </is>
      </c>
      <c r="D6568" t="inlineStr">
        <is>
          <t>17.03.2027</t>
        </is>
      </c>
      <c r="E6568" t="inlineStr">
        <is>
          <t>Germany</t>
        </is>
      </c>
    </row>
    <row r="6569">
      <c r="A6569" t="inlineStr">
        <is>
          <t>Benecke Changshun Eco Trim (Changzhou) Co., Ltd.,  changzhou, China</t>
        </is>
      </c>
      <c r="B6569" t="inlineStr">
        <is>
          <t>Processing Unit</t>
        </is>
      </c>
      <c r="C6569" t="inlineStr">
        <is>
          <t>DQS CFS GmbH - Deutsche Gesellschaft für Nachhaltigkeit, Frankfurt am Main, DE</t>
        </is>
      </c>
      <c r="D6569" t="inlineStr">
        <is>
          <t>17.03.2027</t>
        </is>
      </c>
      <c r="E6569" t="inlineStr">
        <is>
          <t>China</t>
        </is>
      </c>
    </row>
    <row r="6570">
      <c r="A6570" t="inlineStr">
        <is>
          <t>ADOS FRESH,  Crevedia, Dambovita, Romania</t>
        </is>
      </c>
      <c r="B6570" t="inlineStr">
        <is>
          <t>First Gathering Point, Trader</t>
        </is>
      </c>
      <c r="C6570" t="inlineStr">
        <is>
          <t>PT Intertek Utama Services, Jakarta, ID</t>
        </is>
      </c>
      <c r="D6570" t="inlineStr">
        <is>
          <t>17.03.2027</t>
        </is>
      </c>
      <c r="E6570" t="inlineStr">
        <is>
          <t>Romania</t>
        </is>
      </c>
    </row>
    <row r="6571">
      <c r="A6571" t="inlineStr">
        <is>
          <t>LÍPIDOS SANTIGA HUELVA,  Palos de la Frontera (Huelva), Spain</t>
        </is>
      </c>
      <c r="B6571" t="inlineStr">
        <is>
          <t>Point of Origin, Processing Unit, Trader with Storage</t>
        </is>
      </c>
      <c r="C6571" t="inlineStr">
        <is>
          <t>Amspec Iberia SL, Vilagarcia de Arousa-Pontevedra, ES</t>
        </is>
      </c>
      <c r="D6571" t="inlineStr">
        <is>
          <t>17.03.2027</t>
        </is>
      </c>
      <c r="E6571" t="inlineStr">
        <is>
          <t>Spain</t>
        </is>
      </c>
    </row>
    <row r="6572">
      <c r="A6572" t="inlineStr">
        <is>
          <t>Lípidos Santiga,  SANTA PERPETUA DE MOGODA, BARCELONA, Spain</t>
        </is>
      </c>
      <c r="B6572" t="inlineStr">
        <is>
          <t>Processing Unit, Trader with Storage</t>
        </is>
      </c>
      <c r="C6572" t="inlineStr">
        <is>
          <t>Certificadora Gallega del Noroeste SL, Vilagarcia de Arousa-Pontevedra, ES</t>
        </is>
      </c>
      <c r="D6572" t="inlineStr">
        <is>
          <t>17.03.2027</t>
        </is>
      </c>
      <c r="E6572" t="inlineStr">
        <is>
          <t>Spain</t>
        </is>
      </c>
    </row>
    <row r="6573">
      <c r="A6573" t="inlineStr">
        <is>
          <t>Lípidos Santiga,  SANTA PERPETUA DE MOGODA, BARCELONA, Spain</t>
        </is>
      </c>
      <c r="B6573" t="inlineStr">
        <is>
          <t>Collecting Point, Point of Origin, Processing Unit, Trader with Storage</t>
        </is>
      </c>
      <c r="C6573" t="inlineStr">
        <is>
          <t>Amspec Iberia SL, Vilagarcia de Arousa-Pontevedra, ES</t>
        </is>
      </c>
      <c r="D6573" t="inlineStr">
        <is>
          <t>17.03.2027</t>
        </is>
      </c>
      <c r="E6573" t="inlineStr">
        <is>
          <t>Spain</t>
        </is>
      </c>
    </row>
    <row r="6574">
      <c r="A6574" t="inlineStr">
        <is>
          <t>PT INTAN SEJATI ANDALAN,  Desa/Kelurahan Bathin Sobanga, Kec. Bathin Solapan, Indonesia</t>
        </is>
      </c>
      <c r="B6574" t="inlineStr">
        <is>
          <t>Point of Origin</t>
        </is>
      </c>
      <c r="C6574" t="inlineStr">
        <is>
          <t>PT. Qualitas Sertifikasi Indonesia, Jakarta, ID</t>
        </is>
      </c>
      <c r="D6574" t="inlineStr">
        <is>
          <t>17.03.2027</t>
        </is>
      </c>
      <c r="E6574" t="inlineStr">
        <is>
          <t>Indonesia</t>
        </is>
      </c>
    </row>
    <row r="6575">
      <c r="A6575" t="inlineStr">
        <is>
          <t>NatureRenew Co Ltd,  SARABURI, Thailand</t>
        </is>
      </c>
      <c r="B6575" t="inlineStr">
        <is>
          <t>Collecting Point</t>
        </is>
      </c>
      <c r="C6575" t="inlineStr">
        <is>
          <t>PT. Qualitas Sertifikasi Indonesia, Jakarta, ID</t>
        </is>
      </c>
      <c r="D6575" t="inlineStr">
        <is>
          <t>17.03.2027</t>
        </is>
      </c>
      <c r="E6575" t="inlineStr">
        <is>
          <t>Thailand</t>
        </is>
      </c>
    </row>
    <row r="6576">
      <c r="A6576" t="inlineStr">
        <is>
          <t>ECO RSM LLC,  Bishkek, Voenno-Antonovka, Kyrgyzstan</t>
        </is>
      </c>
      <c r="B6576" t="inlineStr">
        <is>
          <t>Collecting Point, Trader</t>
        </is>
      </c>
      <c r="C6576" t="inlineStr">
        <is>
          <t>BM Certification, Riga, LV</t>
        </is>
      </c>
      <c r="D6576" t="inlineStr">
        <is>
          <t>17.03.2027</t>
        </is>
      </c>
      <c r="E6576" t="inlineStr">
        <is>
          <t>Kyrgyzstan</t>
        </is>
      </c>
    </row>
    <row r="6577">
      <c r="A6577" t="inlineStr">
        <is>
          <t>Repsol Trading Singapore Pte Ltd,  Singapore, Singapore</t>
        </is>
      </c>
      <c r="B6577" t="inlineStr">
        <is>
          <t>Trader with Storage</t>
        </is>
      </c>
      <c r="C6577" t="inlineStr">
        <is>
          <t>DEKRA Certification B.V., Arnhem, NL</t>
        </is>
      </c>
      <c r="D6577" t="inlineStr">
        <is>
          <t>17.03.2027</t>
        </is>
      </c>
      <c r="E6577" t="inlineStr">
        <is>
          <t>Singapore</t>
        </is>
      </c>
    </row>
    <row r="6578">
      <c r="A6578" t="inlineStr">
        <is>
          <t>Repsol Trading Singapore Pte Ltd,  Singapore, Singapore</t>
        </is>
      </c>
      <c r="B6578" t="inlineStr">
        <is>
          <t>Trader with Storage</t>
        </is>
      </c>
      <c r="C6578" t="inlineStr">
        <is>
          <t>DEKRA Certification B.V., Arnhem, NL</t>
        </is>
      </c>
      <c r="D6578" t="inlineStr">
        <is>
          <t>17.03.2027</t>
        </is>
      </c>
      <c r="E6578" t="inlineStr">
        <is>
          <t>Singapore</t>
        </is>
      </c>
    </row>
    <row r="6579">
      <c r="A6579" t="inlineStr">
        <is>
          <t>Repsol Trading Singapore Pte Ltd,  Singapore, Singapore</t>
        </is>
      </c>
      <c r="B6579" t="inlineStr">
        <is>
          <t>Trader with Storage</t>
        </is>
      </c>
      <c r="C6579" t="inlineStr">
        <is>
          <t>DEKRA Certification B.V., Arnhem, NL</t>
        </is>
      </c>
      <c r="D6579" t="inlineStr">
        <is>
          <t>17.03.2027</t>
        </is>
      </c>
      <c r="E6579" t="inlineStr">
        <is>
          <t>Singapore</t>
        </is>
      </c>
    </row>
    <row r="6580">
      <c r="A6580" t="inlineStr">
        <is>
          <t>ECAE S.A.S.,  Mendoza, Argentina</t>
        </is>
      </c>
      <c r="B6580" t="inlineStr">
        <is>
          <t>Collecting Point, Trader with Storage</t>
        </is>
      </c>
      <c r="C6580" t="inlineStr">
        <is>
          <t>SGS Germany GmbH, Emstek, DE</t>
        </is>
      </c>
      <c r="D6580" t="inlineStr">
        <is>
          <t>17.03.2027</t>
        </is>
      </c>
      <c r="E6580" t="inlineStr">
        <is>
          <t>Argentina</t>
        </is>
      </c>
    </row>
    <row r="6581">
      <c r="A6581" t="inlineStr">
        <is>
          <t>Blue Ocean International Oil Trading Singapore Pte.Ltd.,  Singapore, Singapore</t>
        </is>
      </c>
      <c r="B6581" t="inlineStr">
        <is>
          <t>Trader with Storage</t>
        </is>
      </c>
      <c r="C6581" t="inlineStr">
        <is>
          <t>BM Certification, Riga, LV</t>
        </is>
      </c>
      <c r="D6581" t="inlineStr">
        <is>
          <t>17.03.2027</t>
        </is>
      </c>
      <c r="E6581" t="inlineStr">
        <is>
          <t>Singapore</t>
        </is>
      </c>
    </row>
    <row r="6582">
      <c r="A6582" t="inlineStr">
        <is>
          <t>Blue Ocean International Oil Trading Singapore Pte.Ltd.,  Singapore, Singapore</t>
        </is>
      </c>
      <c r="B6582" t="inlineStr">
        <is>
          <t>Trader with Storage</t>
        </is>
      </c>
      <c r="C6582" t="inlineStr">
        <is>
          <t>BM Certification, Riga, LV</t>
        </is>
      </c>
      <c r="D6582" t="inlineStr">
        <is>
          <t>17.03.2027</t>
        </is>
      </c>
      <c r="E6582" t="inlineStr">
        <is>
          <t>Singapore</t>
        </is>
      </c>
    </row>
    <row r="6583">
      <c r="A6583" t="inlineStr">
        <is>
          <t>Techno-UMG Co., Ltd. Ube Plant,  Ube, Yamaguchi, Japan</t>
        </is>
      </c>
      <c r="B6583" t="inlineStr">
        <is>
          <t>Processing Unit</t>
        </is>
      </c>
      <c r="C6583" t="inlineStr">
        <is>
          <t>SGS Germany GmbH, Emstek, DE</t>
        </is>
      </c>
      <c r="D6583" t="inlineStr">
        <is>
          <t>17.03.2027</t>
        </is>
      </c>
      <c r="E6583" t="inlineStr">
        <is>
          <t>Japan</t>
        </is>
      </c>
    </row>
    <row r="6584">
      <c r="A6584" t="inlineStr">
        <is>
          <t>Bunge Netherlands Agri B.V.,  Rotterdam, Netherlands</t>
        </is>
      </c>
      <c r="B6584" t="inlineStr">
        <is>
          <t>Trader with Storage</t>
        </is>
      </c>
      <c r="C6584" t="inlineStr">
        <is>
          <t>SGS Germany GmbH, Emstek, DE</t>
        </is>
      </c>
      <c r="D6584" t="inlineStr">
        <is>
          <t>17.03.2027</t>
        </is>
      </c>
      <c r="E6584" t="inlineStr">
        <is>
          <t>Netherlands</t>
        </is>
      </c>
    </row>
    <row r="6585">
      <c r="A6585" t="inlineStr">
        <is>
          <t>Bunge Netherlands Agri B.V.,  Rotterdam, Netherlands</t>
        </is>
      </c>
      <c r="B6585" t="inlineStr">
        <is>
          <t>Trader with Storage</t>
        </is>
      </c>
      <c r="C6585" t="inlineStr">
        <is>
          <t>SGS Germany GmbH, Emstek, DE</t>
        </is>
      </c>
      <c r="D6585" t="inlineStr">
        <is>
          <t>17.03.2027</t>
        </is>
      </c>
      <c r="E6585" t="inlineStr">
        <is>
          <t>Netherlands</t>
        </is>
      </c>
    </row>
    <row r="6586">
      <c r="A6586" t="inlineStr">
        <is>
          <t>JAPAN COLORING CO.,LTD.,  YOKKAICHI-SHI, MIE-KEN, Japan</t>
        </is>
      </c>
      <c r="B6586" t="inlineStr">
        <is>
          <t>Processing Unit</t>
        </is>
      </c>
      <c r="C6586" t="inlineStr">
        <is>
          <t>SGS Germany GmbH, Emstek, DE</t>
        </is>
      </c>
      <c r="D6586" t="inlineStr">
        <is>
          <t>17.03.2027</t>
        </is>
      </c>
      <c r="E6586" t="inlineStr">
        <is>
          <t>Japan</t>
        </is>
      </c>
    </row>
    <row r="6587">
      <c r="A6587" t="inlineStr">
        <is>
          <t>LOTTE Fine Chemical,  Teheran-ro, Gangnam-gu, Korea, Republic of</t>
        </is>
      </c>
      <c r="B6587" t="inlineStr">
        <is>
          <t>Trader with Storage</t>
        </is>
      </c>
      <c r="C6587" t="inlineStr">
        <is>
          <t>Control Union Certifications Germany GmbH, Berlin, DE</t>
        </is>
      </c>
      <c r="D6587" t="inlineStr">
        <is>
          <t>17.03.2027</t>
        </is>
      </c>
      <c r="E6587" t="inlineStr">
        <is>
          <t>Republic of</t>
        </is>
      </c>
    </row>
    <row r="6588">
      <c r="A6588" t="inlineStr">
        <is>
          <t>LG Chemical (guangzhou) Engineering Plastics Co.,Ltd,  Guangzhou city, China</t>
        </is>
      </c>
      <c r="B6588" t="inlineStr">
        <is>
          <t>Processing Unit</t>
        </is>
      </c>
      <c r="C6588" t="inlineStr">
        <is>
          <t>CTI Certification Co. Ltd, Shenzhen, CN</t>
        </is>
      </c>
      <c r="D6588" t="inlineStr">
        <is>
          <t>17.03.2027</t>
        </is>
      </c>
      <c r="E6588" t="inlineStr">
        <is>
          <t>China</t>
        </is>
      </c>
    </row>
    <row r="6589">
      <c r="A6589" t="inlineStr">
        <is>
          <t>Heartychem Corp.,  SEOUL, South Korea</t>
        </is>
      </c>
      <c r="B6589" t="inlineStr">
        <is>
          <t>Trader</t>
        </is>
      </c>
      <c r="C6589" t="inlineStr">
        <is>
          <t>Control Union Certifications Germany GmbH, Berlin, DE</t>
        </is>
      </c>
      <c r="D6589" t="inlineStr">
        <is>
          <t>17.03.2027</t>
        </is>
      </c>
      <c r="E6589" t="inlineStr">
        <is>
          <t>South Korea</t>
        </is>
      </c>
    </row>
    <row r="6590">
      <c r="A6590" t="inlineStr">
        <is>
          <t>GREEN RING BIODIESELS FEEDSTOCKS PTE. LTD.,  PAYA LEBAR SQUARE, SINGAPORE, Singapore</t>
        </is>
      </c>
      <c r="B6590" t="inlineStr">
        <is>
          <t>Trader</t>
        </is>
      </c>
      <c r="C6590" t="inlineStr">
        <is>
          <t>PT TSI Sertifikasi Internasional, Jakarta Selatang, ID</t>
        </is>
      </c>
      <c r="D6590" t="inlineStr">
        <is>
          <t>17.03.2027</t>
        </is>
      </c>
      <c r="E6590" t="inlineStr">
        <is>
          <t>Singapore</t>
        </is>
      </c>
    </row>
    <row r="6591">
      <c r="A6591" t="inlineStr">
        <is>
          <t>Ege Kimya,  Sakarya, Turkey</t>
        </is>
      </c>
      <c r="B6591" t="inlineStr">
        <is>
          <t>Collecting Point, Processing Unit</t>
        </is>
      </c>
      <c r="C6591" t="inlineStr">
        <is>
          <t>BM Certification, Riga, LV</t>
        </is>
      </c>
      <c r="D6591" t="inlineStr">
        <is>
          <t>17.03.2027</t>
        </is>
      </c>
      <c r="E6591" t="inlineStr">
        <is>
          <t>Turkey</t>
        </is>
      </c>
    </row>
    <row r="6592">
      <c r="A6592" t="inlineStr">
        <is>
          <t>DITALI PALM OIL MILL SDN BHD,  LAHAD DATU, Malaysia</t>
        </is>
      </c>
      <c r="B6592" t="inlineStr">
        <is>
          <t>Point of Origin</t>
        </is>
      </c>
      <c r="C6592" t="inlineStr">
        <is>
          <t>Trans Certification and Inspection Sdn Bhd, Kuantan, MY</t>
        </is>
      </c>
      <c r="D6592" t="inlineStr">
        <is>
          <t>17.03.2027</t>
        </is>
      </c>
      <c r="E6592" t="inlineStr">
        <is>
          <t>Malaysia</t>
        </is>
      </c>
    </row>
    <row r="6593">
      <c r="A6593" t="inlineStr">
        <is>
          <t>THANG LONG GREEN ENERGY JOINT STOCK COMPANY,  Hong Van Commune, Ha Noi City, Vietnam</t>
        </is>
      </c>
      <c r="B6593" t="inlineStr">
        <is>
          <t>Collecting Point, Processing Unit</t>
        </is>
      </c>
      <c r="C6593" t="inlineStr">
        <is>
          <t>BM Certification, Riga, LV</t>
        </is>
      </c>
      <c r="D6593" t="inlineStr">
        <is>
          <t>17.03.2027</t>
        </is>
      </c>
      <c r="E6593" t="inlineStr">
        <is>
          <t>Vietnam</t>
        </is>
      </c>
    </row>
    <row r="6594">
      <c r="A6594" t="inlineStr">
        <is>
          <t>Alexandria Company For Vegetable Oils Extraction,  Alexandria, Egypt</t>
        </is>
      </c>
      <c r="B6594" t="inlineStr">
        <is>
          <t>Point of Origin</t>
        </is>
      </c>
      <c r="C6594" t="inlineStr">
        <is>
          <t>SGS Germany GmbH, Emstek, DE</t>
        </is>
      </c>
      <c r="D6594" t="inlineStr">
        <is>
          <t>17.03.2027</t>
        </is>
      </c>
      <c r="E6594" t="inlineStr">
        <is>
          <t>Egypt</t>
        </is>
      </c>
    </row>
    <row r="6595">
      <c r="A6595" t="inlineStr">
        <is>
          <t>GREEN ENERGY INVESTMENT PRODUCTION JOINT STOCK COMPANY,  Trung An Ward, Dong Thap Province, Vietnam</t>
        </is>
      </c>
      <c r="B6595" t="inlineStr">
        <is>
          <t>Collecting Point, Processing Unit, Warehouse</t>
        </is>
      </c>
      <c r="C6595" t="inlineStr">
        <is>
          <t>BM Certification, Riga, LV</t>
        </is>
      </c>
      <c r="D6595" t="inlineStr">
        <is>
          <t>17.03.2027</t>
        </is>
      </c>
      <c r="E6595" t="inlineStr">
        <is>
          <t>Vietnam</t>
        </is>
      </c>
    </row>
    <row r="6596">
      <c r="A6596" t="inlineStr">
        <is>
          <t>INOVYN Europe Limited,  Martorell, Spain</t>
        </is>
      </c>
      <c r="B6596" t="inlineStr">
        <is>
          <t>Processing Unit</t>
        </is>
      </c>
      <c r="C6596" t="inlineStr">
        <is>
          <t>SCS Global Services, Emeryville, CA, US</t>
        </is>
      </c>
      <c r="D6596" t="inlineStr">
        <is>
          <t>17.03.2027</t>
        </is>
      </c>
      <c r="E6596" t="inlineStr">
        <is>
          <t>Spain</t>
        </is>
      </c>
    </row>
    <row r="6597">
      <c r="A6597" t="inlineStr">
        <is>
          <t>CLOVER PRODUCTION AND TRADING COMPANY LIMITED,  Dong Nai Province, Vietnam</t>
        </is>
      </c>
      <c r="B6597" t="inlineStr">
        <is>
          <t>Processing Unit, Trader</t>
        </is>
      </c>
      <c r="C6597" t="inlineStr">
        <is>
          <t>BM Certification, Riga, LV</t>
        </is>
      </c>
      <c r="D6597" t="inlineStr">
        <is>
          <t>17.03.2027</t>
        </is>
      </c>
      <c r="E6597" t="inlineStr">
        <is>
          <t>Vietnam</t>
        </is>
      </c>
    </row>
    <row r="6598">
      <c r="A6598" t="inlineStr">
        <is>
          <t>Shede Spirits Co., Ltd.,  Shehong City, China</t>
        </is>
      </c>
      <c r="B6598" t="inlineStr">
        <is>
          <t>Collecting Point, Processing Unit</t>
        </is>
      </c>
      <c r="C6598" t="inlineStr">
        <is>
          <t>Bureau Veritas Polska Sp. z o.o., Warsaw, PL</t>
        </is>
      </c>
      <c r="D6598" t="inlineStr">
        <is>
          <t>17.03.2027</t>
        </is>
      </c>
      <c r="E6598" t="inlineStr">
        <is>
          <t>China</t>
        </is>
      </c>
    </row>
    <row r="6599">
      <c r="A6599" t="inlineStr">
        <is>
          <t>WestECOil,  Turiisk, Ukraine</t>
        </is>
      </c>
      <c r="B6599" t="inlineStr">
        <is>
          <t>Collecting Point, Trader</t>
        </is>
      </c>
      <c r="C6599" t="inlineStr">
        <is>
          <t>BM Certification, Riga, LV</t>
        </is>
      </c>
      <c r="D6599" t="inlineStr">
        <is>
          <t>17.03.2027</t>
        </is>
      </c>
      <c r="E6599" t="inlineStr">
        <is>
          <t>Ukraine</t>
        </is>
      </c>
    </row>
    <row r="6600">
      <c r="A6600" t="inlineStr">
        <is>
          <t>Fratelli Cosulich USA,  Hoboken, United States</t>
        </is>
      </c>
      <c r="B6600" t="inlineStr">
        <is>
          <t>Trader</t>
        </is>
      </c>
      <c r="C6600" t="inlineStr">
        <is>
          <t>SCS Global Services, Emeryville, CA, US</t>
        </is>
      </c>
      <c r="D6600" t="inlineStr">
        <is>
          <t>17.03.2027</t>
        </is>
      </c>
      <c r="E6600" t="inlineStr">
        <is>
          <t>United States</t>
        </is>
      </c>
    </row>
    <row r="6601">
      <c r="A6601" t="inlineStr">
        <is>
          <t>Oil2U,  Hamilton Hill, Australia</t>
        </is>
      </c>
      <c r="B6601" t="inlineStr">
        <is>
          <t>Collecting Point</t>
        </is>
      </c>
      <c r="C6601" t="inlineStr">
        <is>
          <t>SGS Germany GmbH, Emstek, DE</t>
        </is>
      </c>
      <c r="D6601" t="inlineStr">
        <is>
          <t>17.03.2027</t>
        </is>
      </c>
      <c r="E6601" t="inlineStr">
        <is>
          <t>Australia</t>
        </is>
      </c>
    </row>
    <row r="6602">
      <c r="A6602" t="inlineStr">
        <is>
          <t>EOL POLSKA,  Szamotuly, Poland</t>
        </is>
      </c>
      <c r="B6602" t="inlineStr">
        <is>
          <t>Warehouse</t>
        </is>
      </c>
      <c r="C6602" t="inlineStr">
        <is>
          <t>SGS Germany GmbH, Emstek, DE</t>
        </is>
      </c>
      <c r="D6602" t="inlineStr">
        <is>
          <t>17.03.2027</t>
        </is>
      </c>
      <c r="E6602" t="inlineStr">
        <is>
          <t>Poland</t>
        </is>
      </c>
    </row>
    <row r="6603">
      <c r="A6603" t="inlineStr">
        <is>
          <t>Lianyungang Dashitong Industrial Co., Ltd.,  Lianyungang City, Jiangsu Province, China</t>
        </is>
      </c>
      <c r="B6603" t="inlineStr">
        <is>
          <t>Trader with Storage</t>
        </is>
      </c>
      <c r="C6603" t="inlineStr">
        <is>
          <t>SCS Global Services, Emeryville, CA, US</t>
        </is>
      </c>
      <c r="D6603" t="inlineStr">
        <is>
          <t>17.03.2027</t>
        </is>
      </c>
      <c r="E6603" t="inlineStr">
        <is>
          <t>China</t>
        </is>
      </c>
    </row>
    <row r="6604">
      <c r="A6604" t="inlineStr">
        <is>
          <t>Lianyungang Dashitong Industrial Co., Ltd.,  Lianyungang City, Jiangsu Province, China</t>
        </is>
      </c>
      <c r="B6604" t="inlineStr">
        <is>
          <t>Trader with Storage</t>
        </is>
      </c>
      <c r="C6604" t="inlineStr">
        <is>
          <t>SCS Global Services, Emeryville, CA, US</t>
        </is>
      </c>
      <c r="D6604" t="inlineStr">
        <is>
          <t>17.03.2027</t>
        </is>
      </c>
      <c r="E6604" t="inlineStr">
        <is>
          <t>China</t>
        </is>
      </c>
    </row>
    <row r="6605">
      <c r="A6605" t="inlineStr">
        <is>
          <t>ORLEN S.A.,  Płock, Poland</t>
        </is>
      </c>
      <c r="B6605" t="inlineStr">
        <is>
          <t>Processing Unit</t>
        </is>
      </c>
      <c r="C6605" t="inlineStr">
        <is>
          <t>Bureau Veritas Polska Sp. z o.o., Warsaw, PL</t>
        </is>
      </c>
      <c r="D6605" t="inlineStr">
        <is>
          <t>17.03.2027</t>
        </is>
      </c>
      <c r="E6605" t="inlineStr">
        <is>
          <t>Poland</t>
        </is>
      </c>
    </row>
    <row r="6606">
      <c r="A6606" t="inlineStr">
        <is>
          <t>TOYOTSU ENERGY,  NAKAMURA-KU,NAGOYA-CITY,AICHI, Japan</t>
        </is>
      </c>
      <c r="B6606" t="inlineStr">
        <is>
          <t>Trader</t>
        </is>
      </c>
      <c r="C6606" t="inlineStr">
        <is>
          <t>SGS Germany GmbH, Emstek, DE</t>
        </is>
      </c>
      <c r="D6606" t="inlineStr">
        <is>
          <t>17.03.2027</t>
        </is>
      </c>
      <c r="E6606" t="inlineStr">
        <is>
          <t>Japan</t>
        </is>
      </c>
    </row>
    <row r="6607">
      <c r="A6607" t="inlineStr">
        <is>
          <t>CFP ENERGY (FR),  Reims, France</t>
        </is>
      </c>
      <c r="B6607" t="inlineStr">
        <is>
          <t>Trader with Storage</t>
        </is>
      </c>
      <c r="C6607" t="inlineStr">
        <is>
          <t>Control Union Certifications Germany GmbH, Berlin, DE</t>
        </is>
      </c>
      <c r="D6607" t="inlineStr">
        <is>
          <t>17.03.2027</t>
        </is>
      </c>
      <c r="E6607" t="inlineStr">
        <is>
          <t>France</t>
        </is>
      </c>
    </row>
    <row r="6608">
      <c r="A6608" t="inlineStr">
        <is>
          <t>AS Eesti Varude Keskus,  Tallinn, Estonia</t>
        </is>
      </c>
      <c r="B6608" t="inlineStr">
        <is>
          <t>Trader with Storage</t>
        </is>
      </c>
      <c r="C6608" t="inlineStr">
        <is>
          <t>Bureau Veritas Polska Sp. z o.o., Warsaw, PL</t>
        </is>
      </c>
      <c r="D6608" t="inlineStr">
        <is>
          <t>17.03.2027</t>
        </is>
      </c>
      <c r="E6608" t="inlineStr">
        <is>
          <t>Estonia</t>
        </is>
      </c>
    </row>
    <row r="6609">
      <c r="A6609" t="inlineStr">
        <is>
          <t>PT Sri Indrapura Sawit Lestari,  Kerinci Kiri, Kerinci Kanan, Siak, Riau, Indonesia</t>
        </is>
      </c>
      <c r="B6609" t="inlineStr">
        <is>
          <t>Point of Origin</t>
        </is>
      </c>
      <c r="C6609" t="inlineStr">
        <is>
          <t>SGS Germany GmbH, Emstek, DE</t>
        </is>
      </c>
      <c r="D6609" t="inlineStr">
        <is>
          <t>16.03.2027</t>
        </is>
      </c>
      <c r="E6609" t="inlineStr">
        <is>
          <t>Indonesia</t>
        </is>
      </c>
    </row>
    <row r="6610">
      <c r="A6610" t="inlineStr">
        <is>
          <t>PT Sri Indrapura Sawit Lestari,  Kerinci Kiri, Kerinci Kanan, Siak, Riau, Indonesia</t>
        </is>
      </c>
      <c r="B6610" t="inlineStr">
        <is>
          <t>Point of Origin</t>
        </is>
      </c>
      <c r="C6610" t="inlineStr">
        <is>
          <t>SGS Germany GmbH, Emstek, DE</t>
        </is>
      </c>
      <c r="D6610" t="inlineStr">
        <is>
          <t>16.03.2027</t>
        </is>
      </c>
      <c r="E6610" t="inlineStr">
        <is>
          <t>Indonesia</t>
        </is>
      </c>
    </row>
    <row r="6611">
      <c r="A6611" t="inlineStr">
        <is>
          <t>Thachana Palm Oil Industrial,  Thachana District, Thailand</t>
        </is>
      </c>
      <c r="B6611" t="inlineStr">
        <is>
          <t>Point of Origin, Trader with Storage</t>
        </is>
      </c>
      <c r="C6611" t="inlineStr">
        <is>
          <t>Control Union Poland Sp. z o.o., Zielona Gora, PL</t>
        </is>
      </c>
      <c r="D6611" t="inlineStr">
        <is>
          <t>16.03.2027</t>
        </is>
      </c>
      <c r="E6611" t="inlineStr">
        <is>
          <t>Thailand</t>
        </is>
      </c>
    </row>
    <row r="6612">
      <c r="A6612" t="inlineStr">
        <is>
          <t>Classic Bioenergy,  Port Klang, Malaysia</t>
        </is>
      </c>
      <c r="B6612" t="inlineStr">
        <is>
          <t>Collecting Point, Trader with Storage</t>
        </is>
      </c>
      <c r="C6612" t="inlineStr">
        <is>
          <t>RINA Services S.p.A., Genova, IT</t>
        </is>
      </c>
      <c r="D6612" t="inlineStr">
        <is>
          <t>16.03.2027</t>
        </is>
      </c>
      <c r="E6612" t="inlineStr">
        <is>
          <t>Malaysia</t>
        </is>
      </c>
    </row>
    <row r="6613">
      <c r="A6613" t="inlineStr">
        <is>
          <t>Shell (Switzerland) AG,  Steinhausen, Switzerland</t>
        </is>
      </c>
      <c r="B6613" t="inlineStr">
        <is>
          <t>Proof of Compliance Trader, Trader with Storage</t>
        </is>
      </c>
      <c r="C6613" t="inlineStr">
        <is>
          <t>TÜV SÜD Industrie Service GmbH, München, DE</t>
        </is>
      </c>
      <c r="D6613" t="inlineStr">
        <is>
          <t>16.03.2027</t>
        </is>
      </c>
      <c r="E6613" t="inlineStr">
        <is>
          <t>Switzerland</t>
        </is>
      </c>
    </row>
    <row r="6614">
      <c r="A6614" t="inlineStr">
        <is>
          <t>Wilderhof Biogas B.V.,  Tjuchem, Netherlands</t>
        </is>
      </c>
      <c r="B6614" t="inlineStr">
        <is>
          <t>Collecting Point, Processing Unit</t>
        </is>
      </c>
      <c r="C6614" t="inlineStr">
        <is>
          <t>Normec QS BV, Ede, NL</t>
        </is>
      </c>
      <c r="D6614" t="inlineStr">
        <is>
          <t>16.03.2027</t>
        </is>
      </c>
      <c r="E6614" t="inlineStr">
        <is>
          <t>Netherlands</t>
        </is>
      </c>
    </row>
    <row r="6615">
      <c r="A6615" t="inlineStr">
        <is>
          <t>TotalEnergies Petrochemicals &amp; Refining,  Antwerpen, Belgium</t>
        </is>
      </c>
      <c r="B6615" t="inlineStr">
        <is>
          <t>Processing Unit</t>
        </is>
      </c>
      <c r="C6615" t="inlineStr">
        <is>
          <t>Bureau Veritas Polska Sp. z o.o., Warsaw, PL</t>
        </is>
      </c>
      <c r="D6615" t="inlineStr">
        <is>
          <t>16.03.2027</t>
        </is>
      </c>
      <c r="E6615" t="inlineStr">
        <is>
          <t>Belgium</t>
        </is>
      </c>
    </row>
    <row r="6616">
      <c r="A6616" t="inlineStr">
        <is>
          <t>JUTEC,  higashiosakasi, Japan</t>
        </is>
      </c>
      <c r="B6616" t="inlineStr">
        <is>
          <t>Trader with Storage</t>
        </is>
      </c>
      <c r="C6616" t="inlineStr">
        <is>
          <t>Control Union Certifications Germany GmbH, Berlin, DE</t>
        </is>
      </c>
      <c r="D6616" t="inlineStr">
        <is>
          <t>16.03.2027</t>
        </is>
      </c>
      <c r="E6616" t="inlineStr">
        <is>
          <t>Japan</t>
        </is>
      </c>
    </row>
    <row r="6617">
      <c r="A6617" t="inlineStr">
        <is>
          <t>Petraco Oil Company SA,  Lugano, Switzerland</t>
        </is>
      </c>
      <c r="B6617" t="inlineStr">
        <is>
          <t>Trader with Storage</t>
        </is>
      </c>
      <c r="C6617" t="inlineStr">
        <is>
          <t>PT Intertek Utama Services, Jakarta, ID</t>
        </is>
      </c>
      <c r="D6617" t="inlineStr">
        <is>
          <t>16.03.2027</t>
        </is>
      </c>
      <c r="E6617" t="inlineStr">
        <is>
          <t>Switzerland</t>
        </is>
      </c>
    </row>
    <row r="6618">
      <c r="A6618" t="inlineStr">
        <is>
          <t>Petraco Energies DMCC,  Dubai, United Arab Emirates</t>
        </is>
      </c>
      <c r="B6618" t="inlineStr">
        <is>
          <t>Trader with Storage</t>
        </is>
      </c>
      <c r="C6618" t="inlineStr">
        <is>
          <t>PT Intertek Utama Services, Jakarta, ID</t>
        </is>
      </c>
      <c r="D6618" t="inlineStr">
        <is>
          <t>16.03.2027</t>
        </is>
      </c>
      <c r="E6618" t="inlineStr">
        <is>
          <t>United Arab Emirates</t>
        </is>
      </c>
    </row>
    <row r="6619">
      <c r="A6619" t="inlineStr">
        <is>
          <t>Pyrocell AB,  Gävle, Sweden</t>
        </is>
      </c>
      <c r="B6619" t="inlineStr">
        <is>
          <t>Processing Unit, Collecting Point</t>
        </is>
      </c>
      <c r="C6619" t="inlineStr">
        <is>
          <t>DNV Business Assurance Sweden AB, Solna, SE</t>
        </is>
      </c>
      <c r="D6619" t="inlineStr">
        <is>
          <t>16.03.2027</t>
        </is>
      </c>
      <c r="E6619" t="inlineStr">
        <is>
          <t>Sweden</t>
        </is>
      </c>
    </row>
    <row r="6620">
      <c r="A6620" t="inlineStr">
        <is>
          <t>Pyrocell AB,  Gävle, Sweden</t>
        </is>
      </c>
      <c r="B6620" t="inlineStr">
        <is>
          <t>Collecting Point, Processing Unit</t>
        </is>
      </c>
      <c r="C6620" t="inlineStr">
        <is>
          <t>DNV Business Assurance Sweden AB, Solna, SE</t>
        </is>
      </c>
      <c r="D6620" t="inlineStr">
        <is>
          <t>16.03.2027</t>
        </is>
      </c>
      <c r="E6620" t="inlineStr">
        <is>
          <t>Sweden</t>
        </is>
      </c>
    </row>
    <row r="6621">
      <c r="A6621" t="inlineStr">
        <is>
          <t>Oy Orthex Finland Ab,  Lohja, Finland</t>
        </is>
      </c>
      <c r="B6621" t="inlineStr">
        <is>
          <t>Processing Unit</t>
        </is>
      </c>
      <c r="C6621" t="inlineStr">
        <is>
          <t>DNV Business Assurance Sweden AB, Solna, SE</t>
        </is>
      </c>
      <c r="D6621" t="inlineStr">
        <is>
          <t>16.03.2027</t>
        </is>
      </c>
      <c r="E6621" t="inlineStr">
        <is>
          <t>Finland</t>
        </is>
      </c>
    </row>
    <row r="6622">
      <c r="A6622" t="inlineStr">
        <is>
          <t>ENZO RESOURCE MANAGEMENT SDN BHD,  KUCHING, Malaysia</t>
        </is>
      </c>
      <c r="B6622" t="inlineStr">
        <is>
          <t>Trader</t>
        </is>
      </c>
      <c r="C6622" t="inlineStr">
        <is>
          <t>TÜV NORD CERT GmbH, Essen, DE</t>
        </is>
      </c>
      <c r="D6622" t="inlineStr">
        <is>
          <t>16.03.2027</t>
        </is>
      </c>
      <c r="E6622" t="inlineStr">
        <is>
          <t>Malaysia</t>
        </is>
      </c>
    </row>
    <row r="6623">
      <c r="A6623" t="inlineStr">
        <is>
          <t>GUANGZHOU DONGSUNG CHEMICAL CO., LTD,  Guangzhou, China</t>
        </is>
      </c>
      <c r="B6623" t="inlineStr">
        <is>
          <t>Processing Unit</t>
        </is>
      </c>
      <c r="C6623" t="inlineStr">
        <is>
          <t>Bureau Veritas Polska Sp. z o.o., Warsaw, PL</t>
        </is>
      </c>
      <c r="D6623" t="inlineStr">
        <is>
          <t>16.03.2027</t>
        </is>
      </c>
      <c r="E6623" t="inlineStr">
        <is>
          <t>China</t>
        </is>
      </c>
    </row>
    <row r="6624">
      <c r="A6624" t="inlineStr">
        <is>
          <t>PT Palma Lestari Jaya,  Buol, Indonesia</t>
        </is>
      </c>
      <c r="B6624" t="inlineStr">
        <is>
          <t>Point of Origin</t>
        </is>
      </c>
      <c r="C6624" t="inlineStr">
        <is>
          <t>PT. Qualitas Sertifikasi Indonesia, Jakarta, ID</t>
        </is>
      </c>
      <c r="D6624" t="inlineStr">
        <is>
          <t>16.03.2027</t>
        </is>
      </c>
      <c r="E6624" t="inlineStr">
        <is>
          <t>Indonesia</t>
        </is>
      </c>
    </row>
    <row r="6625">
      <c r="A6625" t="inlineStr">
        <is>
          <t>Megoldás 3000 Kft.,  Szentes, Hungary</t>
        </is>
      </c>
      <c r="B6625" t="inlineStr">
        <is>
          <t>First Gathering Point</t>
        </is>
      </c>
      <c r="C6625" t="inlineStr">
        <is>
          <t>Certificadora Gallega del Noroeste SL, Vilagarcia de Arousa-Pontevedra, ES</t>
        </is>
      </c>
      <c r="D6625" t="inlineStr">
        <is>
          <t>16.03.2027</t>
        </is>
      </c>
      <c r="E6625" t="inlineStr">
        <is>
          <t>Hungary</t>
        </is>
      </c>
    </row>
    <row r="6626">
      <c r="A6626" t="inlineStr">
        <is>
          <t>La Fonte Ardennaise,  Vivier au Court, France</t>
        </is>
      </c>
      <c r="B6626" t="inlineStr">
        <is>
          <t>Point of Origin, Processing Unit</t>
        </is>
      </c>
      <c r="C6626" t="inlineStr">
        <is>
          <t>DQS CFS GmbH - Deutsche Gesellschaft für Nachhaltigkeit, Frankfurt am Main, DE</t>
        </is>
      </c>
      <c r="D6626" t="inlineStr">
        <is>
          <t>16.03.2027</t>
        </is>
      </c>
      <c r="E6626" t="inlineStr">
        <is>
          <t>France</t>
        </is>
      </c>
    </row>
    <row r="6627">
      <c r="A6627" t="inlineStr">
        <is>
          <t>Agrimass,  Raalte, Netherlands</t>
        </is>
      </c>
      <c r="B6627" t="inlineStr">
        <is>
          <t>Collecting Point, Trader with Storage</t>
        </is>
      </c>
      <c r="C6627" t="inlineStr">
        <is>
          <t>DEKRA Certification B.V., Arnhem, NL</t>
        </is>
      </c>
      <c r="D6627" t="inlineStr">
        <is>
          <t>16.03.2027</t>
        </is>
      </c>
      <c r="E6627" t="inlineStr">
        <is>
          <t>Netherlands</t>
        </is>
      </c>
    </row>
    <row r="6628">
      <c r="A6628" t="inlineStr">
        <is>
          <t>Risavika Production,  Tananger, Norway</t>
        </is>
      </c>
      <c r="B6628" t="inlineStr">
        <is>
          <t>Processing Unit</t>
        </is>
      </c>
      <c r="C6628" t="inlineStr">
        <is>
          <t>DEKRA Certification B.V., Arnhem, NL</t>
        </is>
      </c>
      <c r="D6628" t="inlineStr">
        <is>
          <t>16.03.2027</t>
        </is>
      </c>
      <c r="E6628" t="inlineStr">
        <is>
          <t>Norway</t>
        </is>
      </c>
    </row>
    <row r="6629">
      <c r="A6629" t="inlineStr">
        <is>
          <t>NatureRenew Co Ltd,  SARABURI, Thailand</t>
        </is>
      </c>
      <c r="B6629" t="inlineStr">
        <is>
          <t>Collecting Point</t>
        </is>
      </c>
      <c r="C6629" t="inlineStr">
        <is>
          <t>PT. Qualitas Sertifikasi Indonesia, Jakarta, ID</t>
        </is>
      </c>
      <c r="D6629" t="inlineStr">
        <is>
          <t>16.03.2027</t>
        </is>
      </c>
      <c r="E6629" t="inlineStr">
        <is>
          <t>Thailand</t>
        </is>
      </c>
    </row>
    <row r="6630">
      <c r="A6630" t="inlineStr">
        <is>
          <t>Shanghai Inoue Xin Yi Plastics Co., LTD,  Shanghai City, China</t>
        </is>
      </c>
      <c r="B6630" t="inlineStr">
        <is>
          <t>Processing Unit</t>
        </is>
      </c>
      <c r="C6630" t="inlineStr">
        <is>
          <t>DIN CERTCO GmbH, Berlin, DE</t>
        </is>
      </c>
      <c r="D6630" t="inlineStr">
        <is>
          <t>16.03.2027</t>
        </is>
      </c>
      <c r="E6630" t="inlineStr">
        <is>
          <t>China</t>
        </is>
      </c>
    </row>
    <row r="6631">
      <c r="A6631" t="inlineStr">
        <is>
          <t>Plastoplan Kunststoffhandel GmbH,  Vienna, Austria</t>
        </is>
      </c>
      <c r="B6631" t="inlineStr">
        <is>
          <t>Trader with Storage</t>
        </is>
      </c>
      <c r="C6631" t="inlineStr">
        <is>
          <t>SGS Germany GmbH, Emstek, DE</t>
        </is>
      </c>
      <c r="D6631" t="inlineStr">
        <is>
          <t>16.03.2027</t>
        </is>
      </c>
      <c r="E6631" t="inlineStr">
        <is>
          <t>Austria</t>
        </is>
      </c>
    </row>
    <row r="6632">
      <c r="A6632" t="inlineStr">
        <is>
          <t>Phillips 66 Energy GmbH (UK Branch),  London, United Kingdom</t>
        </is>
      </c>
      <c r="B6632" t="inlineStr">
        <is>
          <t>Trader with Storage</t>
        </is>
      </c>
      <c r="C6632" t="inlineStr">
        <is>
          <t>SGS Germany GmbH, Emstek, DE</t>
        </is>
      </c>
      <c r="D6632" t="inlineStr">
        <is>
          <t>16.03.2027</t>
        </is>
      </c>
      <c r="E6632" t="inlineStr">
        <is>
          <t>United Kingdom</t>
        </is>
      </c>
    </row>
    <row r="6633">
      <c r="A6633" t="inlineStr">
        <is>
          <t>Cosmo Tecnologie Ambientali,  Noale, Italy</t>
        </is>
      </c>
      <c r="B6633" t="inlineStr">
        <is>
          <t>Collecting Point</t>
        </is>
      </c>
      <c r="C6633" t="inlineStr">
        <is>
          <t>Certiquality srl, Milano, IT</t>
        </is>
      </c>
      <c r="D6633" t="inlineStr">
        <is>
          <t>16.03.2027</t>
        </is>
      </c>
      <c r="E6633" t="inlineStr">
        <is>
          <t>Italy</t>
        </is>
      </c>
    </row>
    <row r="6634">
      <c r="A6634" t="inlineStr">
        <is>
          <t>Phillips 66 Energy GmbH (UK Branch),  London, United Kingdom</t>
        </is>
      </c>
      <c r="B6634" t="inlineStr">
        <is>
          <t>Trader with Storage</t>
        </is>
      </c>
      <c r="C6634" t="inlineStr">
        <is>
          <t>SGS Germany GmbH, Emstek, DE</t>
        </is>
      </c>
      <c r="D6634" t="inlineStr">
        <is>
          <t>16.03.2027</t>
        </is>
      </c>
      <c r="E6634" t="inlineStr">
        <is>
          <t>United Kingdom</t>
        </is>
      </c>
    </row>
    <row r="6635">
      <c r="A6635" t="inlineStr">
        <is>
          <t>Dongseo Renewable Energy,  Tongyeong-si, Gyeongsangnam-do, South Korea</t>
        </is>
      </c>
      <c r="B6635" t="inlineStr">
        <is>
          <t>Collecting Point, Processing Unit</t>
        </is>
      </c>
      <c r="C6635" t="inlineStr">
        <is>
          <t>Control Union Certifications Germany GmbH, Berlin, DE</t>
        </is>
      </c>
      <c r="D6635" t="inlineStr">
        <is>
          <t>16.03.2027</t>
        </is>
      </c>
      <c r="E6635" t="inlineStr">
        <is>
          <t>South Korea</t>
        </is>
      </c>
    </row>
    <row r="6636">
      <c r="A6636" t="inlineStr">
        <is>
          <t>Dongseo Renewable Energy,  Eumseong-gun, Chungcheongbuk-do, South Korea</t>
        </is>
      </c>
      <c r="B6636" t="inlineStr">
        <is>
          <t>Trader</t>
        </is>
      </c>
      <c r="C6636" t="inlineStr">
        <is>
          <t>Control Union Certifications Germany GmbH, Berlin, DE</t>
        </is>
      </c>
      <c r="D6636" t="inlineStr">
        <is>
          <t>16.03.2027</t>
        </is>
      </c>
      <c r="E6636" t="inlineStr">
        <is>
          <t>South Korea</t>
        </is>
      </c>
    </row>
    <row r="6637">
      <c r="A6637" t="inlineStr">
        <is>
          <t>PT Gunung Andalan Sukses,  Bombana, Indonesia</t>
        </is>
      </c>
      <c r="B6637" t="inlineStr">
        <is>
          <t>Point of Origin</t>
        </is>
      </c>
      <c r="C6637" t="inlineStr">
        <is>
          <t>PT. Qualitas Sertifikasi Indonesia, Jakarta, ID</t>
        </is>
      </c>
      <c r="D6637" t="inlineStr">
        <is>
          <t>16.03.2027</t>
        </is>
      </c>
      <c r="E6637" t="inlineStr">
        <is>
          <t>Indonesia</t>
        </is>
      </c>
    </row>
    <row r="6638">
      <c r="A6638" t="inlineStr">
        <is>
          <t>Syarikat Perusahaan Kelapa Sawit Sdn. Bhd.,  Yong Peng, Malaysia</t>
        </is>
      </c>
      <c r="B6638" t="inlineStr">
        <is>
          <t>Point of Origin</t>
        </is>
      </c>
      <c r="C6638" t="inlineStr">
        <is>
          <t>PT. Qualitas Sertifikasi Indonesia, Jakarta, ID</t>
        </is>
      </c>
      <c r="D6638" t="inlineStr">
        <is>
          <t>16.03.2027</t>
        </is>
      </c>
      <c r="E6638" t="inlineStr">
        <is>
          <t>Malaysia</t>
        </is>
      </c>
    </row>
    <row r="6639">
      <c r="A6639" t="inlineStr">
        <is>
          <t>MARSHALL (XIAMEN）TRADING CO., LTD,  Xiamen, Fujian Province, China</t>
        </is>
      </c>
      <c r="B6639" t="inlineStr">
        <is>
          <t>Trader</t>
        </is>
      </c>
      <c r="C6639" t="inlineStr">
        <is>
          <t>SCS Global Services, Emeryville, CA, US</t>
        </is>
      </c>
      <c r="D6639" t="inlineStr">
        <is>
          <t>16.03.2027</t>
        </is>
      </c>
      <c r="E6639" t="inlineStr">
        <is>
          <t>China</t>
        </is>
      </c>
    </row>
    <row r="6640">
      <c r="A6640" t="inlineStr">
        <is>
          <t>Bonsen Electronics Limited,  Hou Jie Town, Dong Guan, China</t>
        </is>
      </c>
      <c r="B6640" t="inlineStr">
        <is>
          <t>Processing Unit</t>
        </is>
      </c>
      <c r="C6640" t="inlineStr">
        <is>
          <t>Extensive Standard Technical Services Co., Ltd., Hong Kong, CN</t>
        </is>
      </c>
      <c r="D6640" t="inlineStr">
        <is>
          <t>16.03.2027</t>
        </is>
      </c>
      <c r="E6640" t="inlineStr">
        <is>
          <t>China</t>
        </is>
      </c>
    </row>
    <row r="6641">
      <c r="A6641" t="inlineStr">
        <is>
          <t>PT Sawit Unggul Agro Niaga - POM SUAN,  Desa Muara Badak Ulu, Kecamatan Muara Badak, Kabupaten Kutai Kartanegara, Indonesia</t>
        </is>
      </c>
      <c r="B6641" t="inlineStr">
        <is>
          <t>Point of Origin</t>
        </is>
      </c>
      <c r="C6641" t="inlineStr">
        <is>
          <t>PT SBC Asia Sertifikasi, Kebumen, ID</t>
        </is>
      </c>
      <c r="D6641" t="inlineStr">
        <is>
          <t>16.03.2027</t>
        </is>
      </c>
      <c r="E6641" t="inlineStr">
        <is>
          <t>Indonesia</t>
        </is>
      </c>
    </row>
    <row r="6642">
      <c r="A6642" t="inlineStr">
        <is>
          <t>Super Oil Mills,  Marble Hall, South Africa</t>
        </is>
      </c>
      <c r="B6642" t="inlineStr">
        <is>
          <t>First Gathering Point, Processing Unit, Trader with Storage</t>
        </is>
      </c>
      <c r="C6642" t="inlineStr">
        <is>
          <t>RINA Services S.p.A., Genova, IT</t>
        </is>
      </c>
      <c r="D6642" t="inlineStr">
        <is>
          <t>16.03.2027</t>
        </is>
      </c>
      <c r="E6642" t="inlineStr">
        <is>
          <t>South Africa</t>
        </is>
      </c>
    </row>
    <row r="6643">
      <c r="A6643" t="inlineStr">
        <is>
          <t>Hainan Ausca International Grains and Oils Co., Ltd.,  Hainan Province, China</t>
        </is>
      </c>
      <c r="B6643" t="inlineStr">
        <is>
          <t>Processing Unit</t>
        </is>
      </c>
      <c r="C6643" t="inlineStr">
        <is>
          <t>CTI Certification Co. Ltd, Shenzhen, CN</t>
        </is>
      </c>
      <c r="D6643" t="inlineStr">
        <is>
          <t>16.03.2027</t>
        </is>
      </c>
      <c r="E6643" t="inlineStr">
        <is>
          <t>China</t>
        </is>
      </c>
    </row>
    <row r="6644">
      <c r="A6644" t="inlineStr">
        <is>
          <t>Ambiental Campana,  Zarate, Argentina</t>
        </is>
      </c>
      <c r="B6644" t="inlineStr">
        <is>
          <t>Collecting Point, Point of Origin, Processing Unit, Trader with Storage</t>
        </is>
      </c>
      <c r="C6644" t="inlineStr">
        <is>
          <t>PT Intertek Utama Services, Jakarta, ID</t>
        </is>
      </c>
      <c r="D6644" t="inlineStr">
        <is>
          <t>16.03.2027</t>
        </is>
      </c>
      <c r="E6644" t="inlineStr">
        <is>
          <t>Argentina</t>
        </is>
      </c>
    </row>
    <row r="6645">
      <c r="A6645" t="inlineStr">
        <is>
          <t>Cargill, Inc. - Bioenergy,  Fort Dodge, United States</t>
        </is>
      </c>
      <c r="B6645" t="inlineStr">
        <is>
          <t>Processing Unit, Point of Origin</t>
        </is>
      </c>
      <c r="C6645" t="inlineStr">
        <is>
          <t>TÜV NORD CERT GmbH, Essen, DE</t>
        </is>
      </c>
      <c r="D6645" t="inlineStr">
        <is>
          <t>16.03.2027</t>
        </is>
      </c>
      <c r="E6645" t="inlineStr">
        <is>
          <t>United States</t>
        </is>
      </c>
    </row>
    <row r="6646">
      <c r="A6646" t="inlineStr">
        <is>
          <t>Cargill, Inc. - Bioenergy,  Blair, United States</t>
        </is>
      </c>
      <c r="B6646" t="inlineStr">
        <is>
          <t>Point of Origin, Processing Unit</t>
        </is>
      </c>
      <c r="C6646" t="inlineStr">
        <is>
          <t>TÜV NORD CERT GmbH, Essen, DE</t>
        </is>
      </c>
      <c r="D6646" t="inlineStr">
        <is>
          <t>16.03.2027</t>
        </is>
      </c>
      <c r="E6646" t="inlineStr">
        <is>
          <t>United States</t>
        </is>
      </c>
    </row>
    <row r="6647">
      <c r="A6647" t="inlineStr">
        <is>
          <t>BIORED ALMAZAN,  Almazán, Spain</t>
        </is>
      </c>
      <c r="B6647" t="inlineStr">
        <is>
          <t>Collecting Point, Processing Unit</t>
        </is>
      </c>
      <c r="C6647" t="inlineStr">
        <is>
          <t>Amspec Iberia SL, Vilagarcia de Arousa-Pontevedra, ES</t>
        </is>
      </c>
      <c r="D6647" t="inlineStr">
        <is>
          <t>16.03.2027</t>
        </is>
      </c>
      <c r="E6647" t="inlineStr">
        <is>
          <t>Spain</t>
        </is>
      </c>
    </row>
    <row r="6648">
      <c r="A6648" t="inlineStr">
        <is>
          <t>RKW SE,  Saultain, France</t>
        </is>
      </c>
      <c r="B6648" t="inlineStr">
        <is>
          <t>Processing Unit</t>
        </is>
      </c>
      <c r="C6648" t="inlineStr">
        <is>
          <t>PT Intertek Utama Services, Jakarta, ID</t>
        </is>
      </c>
      <c r="D6648" t="inlineStr">
        <is>
          <t>16.03.2027</t>
        </is>
      </c>
      <c r="E6648" t="inlineStr">
        <is>
          <t>France</t>
        </is>
      </c>
    </row>
    <row r="6649">
      <c r="A6649" t="inlineStr">
        <is>
          <t>PlastEco,  Lahti, Finland</t>
        </is>
      </c>
      <c r="B6649" t="inlineStr">
        <is>
          <t>Collecting Point, Processing Unit, Trader with Storage</t>
        </is>
      </c>
      <c r="C6649" t="inlineStr">
        <is>
          <t>GUT Certifizierungsgesellschaft für Managementsysteme mbH Umweltgutachter, Berlin, DE</t>
        </is>
      </c>
      <c r="D6649" t="inlineStr">
        <is>
          <t>16.03.2027</t>
        </is>
      </c>
      <c r="E6649" t="inlineStr">
        <is>
          <t>Finland</t>
        </is>
      </c>
    </row>
    <row r="6650">
      <c r="A6650" t="inlineStr">
        <is>
          <t>IDHAN PRIVATE LIMITED,  VISAKHAPATNAM, India</t>
        </is>
      </c>
      <c r="B6650" t="inlineStr">
        <is>
          <t>Processing Unit</t>
        </is>
      </c>
      <c r="C6650" t="inlineStr">
        <is>
          <t>Control Union Certifications Germany GmbH, Berlin, DE</t>
        </is>
      </c>
      <c r="D6650" t="inlineStr">
        <is>
          <t>16.03.2027</t>
        </is>
      </c>
      <c r="E6650" t="inlineStr">
        <is>
          <t>India</t>
        </is>
      </c>
    </row>
    <row r="6651">
      <c r="A6651" t="inlineStr">
        <is>
          <t>Kautex Textron GmbH &amp; Co.KG,  Avilla, United States</t>
        </is>
      </c>
      <c r="B6651" t="inlineStr">
        <is>
          <t>Processing Unit</t>
        </is>
      </c>
      <c r="C6651" t="inlineStr">
        <is>
          <t>SCS Global Services, Emeryville, CA, US</t>
        </is>
      </c>
      <c r="D6651" t="inlineStr">
        <is>
          <t>16.03.2027</t>
        </is>
      </c>
      <c r="E6651" t="inlineStr">
        <is>
          <t>United States</t>
        </is>
      </c>
    </row>
    <row r="6652">
      <c r="A6652" t="inlineStr">
        <is>
          <t>PT Mitra Unggul Pusaka,  Pelalawan Regency, Riau Province, Indonesia</t>
        </is>
      </c>
      <c r="B6652" t="inlineStr">
        <is>
          <t>Point of Origin, Processing Unit</t>
        </is>
      </c>
      <c r="C6652" t="inlineStr">
        <is>
          <t>SGS Germany GmbH, Emstek, DE</t>
        </is>
      </c>
      <c r="D6652" t="inlineStr">
        <is>
          <t>16.03.2027</t>
        </is>
      </c>
      <c r="E6652" t="inlineStr">
        <is>
          <t>Indonesia</t>
        </is>
      </c>
    </row>
    <row r="6653">
      <c r="A6653" t="inlineStr">
        <is>
          <t>LanzaJet,  Soperton, GA, United States</t>
        </is>
      </c>
      <c r="B6653" t="inlineStr">
        <is>
          <t>Processing Unit</t>
        </is>
      </c>
      <c r="C6653" t="inlineStr">
        <is>
          <t>SCS Global Services, Emeryville, CA, US</t>
        </is>
      </c>
      <c r="D6653" t="inlineStr">
        <is>
          <t>16.03.2027</t>
        </is>
      </c>
      <c r="E6653" t="inlineStr">
        <is>
          <t>United States</t>
        </is>
      </c>
    </row>
    <row r="6654">
      <c r="A6654" t="inlineStr">
        <is>
          <t>LanzaJet,  Soperton, GA, United States</t>
        </is>
      </c>
      <c r="B6654" t="inlineStr">
        <is>
          <t>Processing Unit</t>
        </is>
      </c>
      <c r="C6654" t="inlineStr">
        <is>
          <t>SCS Global Services, Emeryville, CA, US</t>
        </is>
      </c>
      <c r="D6654" t="inlineStr">
        <is>
          <t>16.03.2027</t>
        </is>
      </c>
      <c r="E6654" t="inlineStr">
        <is>
          <t>United States</t>
        </is>
      </c>
    </row>
    <row r="6655">
      <c r="A6655" t="inlineStr">
        <is>
          <t>LanzaJet,  Deerfield, United States</t>
        </is>
      </c>
      <c r="B6655" t="inlineStr">
        <is>
          <t>Trader</t>
        </is>
      </c>
      <c r="C6655" t="inlineStr">
        <is>
          <t>SCS Global Services, Emeryville, CA, US</t>
        </is>
      </c>
      <c r="D6655" t="inlineStr">
        <is>
          <t>16.03.2027</t>
        </is>
      </c>
      <c r="E6655" t="inlineStr">
        <is>
          <t>United States</t>
        </is>
      </c>
    </row>
    <row r="6656">
      <c r="A6656" t="inlineStr">
        <is>
          <t>LanzaJet,  Deerfield, United States</t>
        </is>
      </c>
      <c r="B6656" t="inlineStr">
        <is>
          <t>Trader</t>
        </is>
      </c>
      <c r="C6656" t="inlineStr">
        <is>
          <t>SCS Global Services, Emeryville, CA, US</t>
        </is>
      </c>
      <c r="D6656" t="inlineStr">
        <is>
          <t>16.03.2027</t>
        </is>
      </c>
      <c r="E6656" t="inlineStr">
        <is>
          <t>United States</t>
        </is>
      </c>
    </row>
    <row r="6657">
      <c r="A6657" t="inlineStr">
        <is>
          <t>LanzaJet,  Deerfield, United States</t>
        </is>
      </c>
      <c r="B6657" t="inlineStr">
        <is>
          <t>Trader</t>
        </is>
      </c>
      <c r="C6657" t="inlineStr">
        <is>
          <t>SCS Global Services, Emeryville, CA, US</t>
        </is>
      </c>
      <c r="D6657" t="inlineStr">
        <is>
          <t>16.03.2027</t>
        </is>
      </c>
      <c r="E6657" t="inlineStr">
        <is>
          <t>United States</t>
        </is>
      </c>
    </row>
    <row r="6658">
      <c r="A6658" t="inlineStr">
        <is>
          <t>POLYPLEX (THAILAND) PUBLIC CO., LTD.,  Rayong, Thailand</t>
        </is>
      </c>
      <c r="B6658" t="inlineStr">
        <is>
          <t>Processing Unit</t>
        </is>
      </c>
      <c r="C6658" t="inlineStr">
        <is>
          <t>Trans Certification and Inspection Sdn Bhd, Kuantan, MY</t>
        </is>
      </c>
      <c r="D6658" t="inlineStr">
        <is>
          <t>16.03.2027</t>
        </is>
      </c>
      <c r="E6658" t="inlineStr">
        <is>
          <t>Thailand</t>
        </is>
      </c>
    </row>
    <row r="6659">
      <c r="A6659" t="inlineStr">
        <is>
          <t>PT. Asiapalm Oleo Jaya,  Cilincing, North Jakarta City, Jakarta, Indonesia</t>
        </is>
      </c>
      <c r="B6659" t="inlineStr">
        <is>
          <t>Processing Unit</t>
        </is>
      </c>
      <c r="C6659" t="inlineStr">
        <is>
          <t>Trans Certification and Inspection Sdn Bhd, Kuantan, MY</t>
        </is>
      </c>
      <c r="D6659" t="inlineStr">
        <is>
          <t>16.03.2027</t>
        </is>
      </c>
      <c r="E6659" t="inlineStr">
        <is>
          <t>Indonesia</t>
        </is>
      </c>
    </row>
    <row r="6660">
      <c r="A6660" t="inlineStr">
        <is>
          <t>DIAMOND CASHEW PRODUCTS PVT LTD,  Thuthipet, India</t>
        </is>
      </c>
      <c r="B6660" t="inlineStr">
        <is>
          <t>Collecting Point, Trader with Storage, Processing Unit</t>
        </is>
      </c>
      <c r="C6660" t="inlineStr">
        <is>
          <t>Trans Certification and Inspection Sdn Bhd, Kuantan, MY</t>
        </is>
      </c>
      <c r="D6660" t="inlineStr">
        <is>
          <t>16.03.2027</t>
        </is>
      </c>
      <c r="E6660" t="inlineStr">
        <is>
          <t>India</t>
        </is>
      </c>
    </row>
    <row r="6661">
      <c r="A6661" t="inlineStr">
        <is>
          <t>Zhumadian Runtai Bioenergy Co., Ltd,  Zhumadian City, Henan Province, China</t>
        </is>
      </c>
      <c r="B6661" t="inlineStr">
        <is>
          <t>Collecting Point, Trader</t>
        </is>
      </c>
      <c r="C6661" t="inlineStr">
        <is>
          <t>RINA Services S.p.A., Genova, IT</t>
        </is>
      </c>
      <c r="D6661" t="inlineStr">
        <is>
          <t>16.03.2027</t>
        </is>
      </c>
      <c r="E6661" t="inlineStr">
        <is>
          <t>China</t>
        </is>
      </c>
    </row>
    <row r="6662">
      <c r="A6662" t="inlineStr">
        <is>
          <t>MEDICOS IZERNORE,  IZERNORE, France</t>
        </is>
      </c>
      <c r="B6662" t="inlineStr">
        <is>
          <t>Final Product Refinement, Processing Unit</t>
        </is>
      </c>
      <c r="C6662" t="inlineStr">
        <is>
          <t>Bureau Veritas Polska Sp. z o.o., Warsaw, PL</t>
        </is>
      </c>
      <c r="D6662" t="inlineStr">
        <is>
          <t>16.03.2027</t>
        </is>
      </c>
      <c r="E6662" t="inlineStr">
        <is>
          <t>France</t>
        </is>
      </c>
    </row>
    <row r="6663">
      <c r="A6663" t="inlineStr">
        <is>
          <t>WAOLIA ENVIRONMENTAL SERVICES,  THESSALONIKI, Greece</t>
        </is>
      </c>
      <c r="B6663" t="inlineStr">
        <is>
          <t>Trader with Storage</t>
        </is>
      </c>
      <c r="C6663" t="inlineStr">
        <is>
          <t>Eurocert SA, Metamorfosi, Athens, GR</t>
        </is>
      </c>
      <c r="D6663" t="inlineStr">
        <is>
          <t>16.03.2027</t>
        </is>
      </c>
      <c r="E6663" t="inlineStr">
        <is>
          <t>Greece</t>
        </is>
      </c>
    </row>
    <row r="6664">
      <c r="A6664" t="inlineStr">
        <is>
          <t>APR ChemCycle,  Dandenong South, Australia</t>
        </is>
      </c>
      <c r="B6664" t="inlineStr">
        <is>
          <t>Collecting Point, Point of Origin</t>
        </is>
      </c>
      <c r="C6664" t="inlineStr">
        <is>
          <t>SGS Germany GmbH, Emstek, DE</t>
        </is>
      </c>
      <c r="D6664" t="inlineStr">
        <is>
          <t>15.03.2027</t>
        </is>
      </c>
      <c r="E6664" t="inlineStr">
        <is>
          <t>Australia</t>
        </is>
      </c>
    </row>
    <row r="6665">
      <c r="A6665" t="inlineStr">
        <is>
          <t>Polyteam,  Daegot-myeon, Gimpo-si, Gyeonggi-do, Korea, Republic of</t>
        </is>
      </c>
      <c r="B6665" t="inlineStr">
        <is>
          <t>Trader with Storage</t>
        </is>
      </c>
      <c r="C6665" t="inlineStr">
        <is>
          <t>Control Union Certifications Germany GmbH, Berlin, DE</t>
        </is>
      </c>
      <c r="D6665" t="inlineStr">
        <is>
          <t>15.03.2027</t>
        </is>
      </c>
      <c r="E6665" t="inlineStr">
        <is>
          <t>Republic of</t>
        </is>
      </c>
    </row>
    <row r="6666">
      <c r="A6666" t="inlineStr">
        <is>
          <t>Eazy Grease,  Opa Locka, United States</t>
        </is>
      </c>
      <c r="B6666" t="inlineStr">
        <is>
          <t>Collecting Point</t>
        </is>
      </c>
      <c r="C6666" t="inlineStr">
        <is>
          <t>ASG Cert GmbH, Munich, DE</t>
        </is>
      </c>
      <c r="D6666" t="inlineStr">
        <is>
          <t>15.03.2027</t>
        </is>
      </c>
      <c r="E6666" t="inlineStr">
        <is>
          <t>United States</t>
        </is>
      </c>
    </row>
    <row r="6667">
      <c r="A6667" t="inlineStr">
        <is>
          <t>adapa Italy Florence S.r.l.,  Gambassi Terme (FI), Italy</t>
        </is>
      </c>
      <c r="B6667" t="inlineStr">
        <is>
          <t>Processing Unit</t>
        </is>
      </c>
      <c r="C6667" t="inlineStr">
        <is>
          <t>DNV Business Assurance Sweden AB, Solna, SE</t>
        </is>
      </c>
      <c r="D6667" t="inlineStr">
        <is>
          <t>15.03.2027</t>
        </is>
      </c>
      <c r="E6667" t="inlineStr">
        <is>
          <t>Italy</t>
        </is>
      </c>
    </row>
    <row r="6668">
      <c r="A6668" t="inlineStr">
        <is>
          <t>HAINAN YANGPU CONTINENT AND OCEAN ENERGY DEVELOPMENT CO.,LTD.,  Danzhou City, Hainan Province, China</t>
        </is>
      </c>
      <c r="B6668" t="inlineStr">
        <is>
          <t>Trader</t>
        </is>
      </c>
      <c r="C6668" t="inlineStr">
        <is>
          <t>China Classification Society Certification Co., Ltd, Dong Cheng District, Beijing, CN</t>
        </is>
      </c>
      <c r="D6668" t="inlineStr">
        <is>
          <t>15.03.2027</t>
        </is>
      </c>
      <c r="E6668" t="inlineStr">
        <is>
          <t>China</t>
        </is>
      </c>
    </row>
    <row r="6669">
      <c r="A6669" t="inlineStr">
        <is>
          <t>Matyó Agrártermelő Zrt.,  Mezőkövesd, Hungary</t>
        </is>
      </c>
      <c r="B6669" t="inlineStr">
        <is>
          <t>First Gathering Point</t>
        </is>
      </c>
      <c r="C6669" t="inlineStr">
        <is>
          <t>Bureau Veritas Polska Sp. z o.o., Warsaw, PL</t>
        </is>
      </c>
      <c r="D6669" t="inlineStr">
        <is>
          <t>15.03.2027</t>
        </is>
      </c>
      <c r="E6669" t="inlineStr">
        <is>
          <t>Hungary</t>
        </is>
      </c>
    </row>
    <row r="6670">
      <c r="A6670" t="inlineStr">
        <is>
          <t>Wenzhou Brilliant Vision Co., Ltd.,  Wenzhou, Zhejiang Province, China</t>
        </is>
      </c>
      <c r="B6670" t="inlineStr">
        <is>
          <t>Processing Unit</t>
        </is>
      </c>
      <c r="C6670" t="inlineStr">
        <is>
          <t>SCS Global Services, Emeryville, CA, US</t>
        </is>
      </c>
      <c r="D6670" t="inlineStr">
        <is>
          <t>15.03.2027</t>
        </is>
      </c>
      <c r="E6670" t="inlineStr">
        <is>
          <t>China</t>
        </is>
      </c>
    </row>
    <row r="6671">
      <c r="A6671" t="inlineStr">
        <is>
          <t>C&amp;S ENERGY CO.,  Seoul, Korea, Republic of</t>
        </is>
      </c>
      <c r="B6671" t="inlineStr">
        <is>
          <t>Trader</t>
        </is>
      </c>
      <c r="C6671" t="inlineStr">
        <is>
          <t>Control Union Certifications Germany GmbH, Berlin, DE</t>
        </is>
      </c>
      <c r="D6671" t="inlineStr">
        <is>
          <t>15.03.2027</t>
        </is>
      </c>
      <c r="E6671" t="inlineStr">
        <is>
          <t>Republic of</t>
        </is>
      </c>
    </row>
    <row r="6672">
      <c r="A6672" t="inlineStr">
        <is>
          <t>ADM Paraguay S.R.L.,  Villeta, Paraguay</t>
        </is>
      </c>
      <c r="B6672" t="inlineStr">
        <is>
          <t>Processing Unit</t>
        </is>
      </c>
      <c r="C6672" t="inlineStr">
        <is>
          <t>Control Union Poland Sp. z o.o., Zielona Gora, PL</t>
        </is>
      </c>
      <c r="D6672" t="inlineStr">
        <is>
          <t>15.03.2027</t>
        </is>
      </c>
      <c r="E6672" t="inlineStr">
        <is>
          <t>Paraguay</t>
        </is>
      </c>
    </row>
    <row r="6673">
      <c r="A6673" t="inlineStr">
        <is>
          <t>Shenzhen huasheng glasses technology Co., Ltd.,  Shenzhen, Guangdong Province, China</t>
        </is>
      </c>
      <c r="B6673" t="inlineStr">
        <is>
          <t>Processing Unit</t>
        </is>
      </c>
      <c r="C6673" t="inlineStr">
        <is>
          <t>SCS Global Services, Emeryville, CA, US</t>
        </is>
      </c>
      <c r="D6673" t="inlineStr">
        <is>
          <t>15.03.2027</t>
        </is>
      </c>
      <c r="E6673" t="inlineStr">
        <is>
          <t>China</t>
        </is>
      </c>
    </row>
    <row r="6674">
      <c r="A6674" t="inlineStr">
        <is>
          <t>Bunge Argentina S.A.,  PGSM, Argentina</t>
        </is>
      </c>
      <c r="B6674" t="inlineStr">
        <is>
          <t>Point of Origin, Trader with Storage</t>
        </is>
      </c>
      <c r="C6674" t="inlineStr">
        <is>
          <t>Control Union Poland Sp. z o.o., Zielona Gora, PL</t>
        </is>
      </c>
      <c r="D6674" t="inlineStr">
        <is>
          <t>15.03.2027</t>
        </is>
      </c>
      <c r="E6674" t="inlineStr">
        <is>
          <t>Argentina</t>
        </is>
      </c>
    </row>
    <row r="6675">
      <c r="A6675" t="inlineStr">
        <is>
          <t>SK Energy Co., Ltd.,  Seoul, Korea, Republic of</t>
        </is>
      </c>
      <c r="B6675" t="inlineStr">
        <is>
          <t>Trader with Storage</t>
        </is>
      </c>
      <c r="C6675" t="inlineStr">
        <is>
          <t>Control Union Certifications Germany GmbH, Berlin, DE</t>
        </is>
      </c>
      <c r="D6675" t="inlineStr">
        <is>
          <t>15.03.2027</t>
        </is>
      </c>
      <c r="E6675" t="inlineStr">
        <is>
          <t>Republic of</t>
        </is>
      </c>
    </row>
    <row r="6676">
      <c r="A6676" t="inlineStr">
        <is>
          <t>Mitsubishi Gas Chemical Trading, Inc.,  Chiyoda-ku, Tokyo, Japan</t>
        </is>
      </c>
      <c r="B6676" t="inlineStr">
        <is>
          <t>Trader</t>
        </is>
      </c>
      <c r="C6676" t="inlineStr">
        <is>
          <t>SGS Germany GmbH, Emstek, DE</t>
        </is>
      </c>
      <c r="D6676" t="inlineStr">
        <is>
          <t>15.03.2027</t>
        </is>
      </c>
      <c r="E6676" t="inlineStr">
        <is>
          <t>Japan</t>
        </is>
      </c>
    </row>
    <row r="6677">
      <c r="A6677" t="inlineStr">
        <is>
          <t>Neptune Nova (Pvt) Ltd,  Colombo 15, Sri Lanka</t>
        </is>
      </c>
      <c r="B6677" t="inlineStr">
        <is>
          <t>Collecting Point</t>
        </is>
      </c>
      <c r="C6677" t="inlineStr">
        <is>
          <t>ASG Cert GmbH, Munich, DE</t>
        </is>
      </c>
      <c r="D6677" t="inlineStr">
        <is>
          <t>15.03.2027</t>
        </is>
      </c>
      <c r="E6677" t="inlineStr">
        <is>
          <t>Sri Lanka</t>
        </is>
      </c>
    </row>
    <row r="6678">
      <c r="A6678" t="inlineStr">
        <is>
          <t>PT. Salim Ivomas Pratama Tbk,  Surabaya, Indonesia</t>
        </is>
      </c>
      <c r="B6678" t="inlineStr">
        <is>
          <t>Point of Origin</t>
        </is>
      </c>
      <c r="C6678" t="inlineStr">
        <is>
          <t>PT SBC Asia Sertifikasi, Kebumen, ID</t>
        </is>
      </c>
      <c r="D6678" t="inlineStr">
        <is>
          <t>15.03.2027</t>
        </is>
      </c>
      <c r="E6678" t="inlineStr">
        <is>
          <t>Indonesia</t>
        </is>
      </c>
    </row>
    <row r="6679">
      <c r="A6679" t="inlineStr">
        <is>
          <t>OleGreen,  Vantaa, Finland</t>
        </is>
      </c>
      <c r="B6679" t="inlineStr">
        <is>
          <t>Trader</t>
        </is>
      </c>
      <c r="C6679" t="inlineStr">
        <is>
          <t>BM Certification, Riga, LV</t>
        </is>
      </c>
      <c r="D6679" t="inlineStr">
        <is>
          <t>15.03.2027</t>
        </is>
      </c>
      <c r="E6679" t="inlineStr">
        <is>
          <t>Finland</t>
        </is>
      </c>
    </row>
    <row r="6680">
      <c r="A6680" t="inlineStr">
        <is>
          <t>TAEWOONGBIO,  Yeoncheon-gun, South Korea</t>
        </is>
      </c>
      <c r="B6680" t="inlineStr">
        <is>
          <t>Processing Unit</t>
        </is>
      </c>
      <c r="C6680" t="inlineStr">
        <is>
          <t>Korean Foundation for Quality, Songpa-gu, Seoul, KR</t>
        </is>
      </c>
      <c r="D6680" t="inlineStr">
        <is>
          <t>15.03.2027</t>
        </is>
      </c>
      <c r="E6680" t="inlineStr">
        <is>
          <t>South Korea</t>
        </is>
      </c>
    </row>
    <row r="6681">
      <c r="A6681" t="inlineStr">
        <is>
          <t>STX Commodities GmbH,  Hamburg, Germany</t>
        </is>
      </c>
      <c r="B6681" t="inlineStr">
        <is>
          <t>Trader</t>
        </is>
      </c>
      <c r="C6681" t="inlineStr">
        <is>
          <t>DEKRA Certification B.V., Arnhem, NL</t>
        </is>
      </c>
      <c r="D6681" t="inlineStr">
        <is>
          <t>15.03.2027</t>
        </is>
      </c>
      <c r="E6681" t="inlineStr">
        <is>
          <t>Germany</t>
        </is>
      </c>
    </row>
    <row r="6682">
      <c r="A6682" t="inlineStr">
        <is>
          <t>Agroproducts BV,  Niebert, Netherlands</t>
        </is>
      </c>
      <c r="B6682" t="inlineStr">
        <is>
          <t>Collecting Point, Trader</t>
        </is>
      </c>
      <c r="C6682" t="inlineStr">
        <is>
          <t>DEKRA Certification B.V., Arnhem, NL</t>
        </is>
      </c>
      <c r="D6682" t="inlineStr">
        <is>
          <t>15.03.2027</t>
        </is>
      </c>
      <c r="E6682" t="inlineStr">
        <is>
          <t>Netherlands</t>
        </is>
      </c>
    </row>
    <row r="6683">
      <c r="A6683" t="inlineStr">
        <is>
          <t>Naftimpeks,  Riga, Latvia</t>
        </is>
      </c>
      <c r="B6683" t="inlineStr">
        <is>
          <t>Trader with Storage</t>
        </is>
      </c>
      <c r="C6683" t="inlineStr">
        <is>
          <t>BM Certification, Riga, LV</t>
        </is>
      </c>
      <c r="D6683" t="inlineStr">
        <is>
          <t>15.03.2027</t>
        </is>
      </c>
      <c r="E6683" t="inlineStr">
        <is>
          <t>Latvia</t>
        </is>
      </c>
    </row>
    <row r="6684">
      <c r="A6684" t="inlineStr">
        <is>
          <t>Carbon Black Kft.,  Nyírmada, Hungary</t>
        </is>
      </c>
      <c r="B6684" t="inlineStr">
        <is>
          <t>Processing Unit, Trader with Storage</t>
        </is>
      </c>
      <c r="C6684" t="inlineStr">
        <is>
          <t>BM Certification, Riga, LV</t>
        </is>
      </c>
      <c r="D6684" t="inlineStr">
        <is>
          <t>15.03.2027</t>
        </is>
      </c>
      <c r="E6684" t="inlineStr">
        <is>
          <t>Hungary</t>
        </is>
      </c>
    </row>
    <row r="6685">
      <c r="A6685" t="inlineStr">
        <is>
          <t>MPREIS Hydrogen,  Völs, Austria</t>
        </is>
      </c>
      <c r="B6685" t="inlineStr">
        <is>
          <t>Processing Unit, Trader with Storage</t>
        </is>
      </c>
      <c r="C6685" t="inlineStr">
        <is>
          <t>TÜV SÜD Industrie Service GmbH, München, DE</t>
        </is>
      </c>
      <c r="D6685" t="inlineStr">
        <is>
          <t>15.03.2027</t>
        </is>
      </c>
      <c r="E6685" t="inlineStr">
        <is>
          <t>Austria</t>
        </is>
      </c>
    </row>
    <row r="6686">
      <c r="A6686" t="inlineStr">
        <is>
          <t>Allseeds Switzerland SA,  Chene-Bourg, Switzerland</t>
        </is>
      </c>
      <c r="B6686" t="inlineStr">
        <is>
          <t>Collecting Point, Trader with Storage</t>
        </is>
      </c>
      <c r="C6686" t="inlineStr">
        <is>
          <t>Aciter Genelab LLC, Odessa, UA</t>
        </is>
      </c>
      <c r="D6686" t="inlineStr">
        <is>
          <t>15.03.2027</t>
        </is>
      </c>
      <c r="E6686" t="inlineStr">
        <is>
          <t>Switzerland</t>
        </is>
      </c>
    </row>
    <row r="6687">
      <c r="A6687" t="inlineStr">
        <is>
          <t>Allseeds Switzerland SA,  Chene-Bourg, Switzerland</t>
        </is>
      </c>
      <c r="B6687" t="inlineStr">
        <is>
          <t>Collecting Point, Trader with Storage</t>
        </is>
      </c>
      <c r="C6687" t="inlineStr">
        <is>
          <t>Aciter Genelab LLC, Odessa, UA</t>
        </is>
      </c>
      <c r="D6687" t="inlineStr">
        <is>
          <t>15.03.2027</t>
        </is>
      </c>
      <c r="E6687" t="inlineStr">
        <is>
          <t>Switzerland</t>
        </is>
      </c>
    </row>
    <row r="6688">
      <c r="A6688" t="inlineStr">
        <is>
          <t>DMV PETROL,  MARTEN, Bulgaria</t>
        </is>
      </c>
      <c r="B6688" t="inlineStr">
        <is>
          <t>Trader with Storage</t>
        </is>
      </c>
      <c r="C6688" t="inlineStr">
        <is>
          <t>Baltic Control Certification, Risskov, DK</t>
        </is>
      </c>
      <c r="D6688" t="inlineStr">
        <is>
          <t>15.03.2027</t>
        </is>
      </c>
      <c r="E6688" t="inlineStr">
        <is>
          <t>Bulgaria</t>
        </is>
      </c>
    </row>
    <row r="6689">
      <c r="A6689" t="inlineStr">
        <is>
          <t>Reliance Industries Limited,  Raigad, India</t>
        </is>
      </c>
      <c r="B6689" t="inlineStr">
        <is>
          <t>Processing Unit</t>
        </is>
      </c>
      <c r="C6689" t="inlineStr">
        <is>
          <t>Cotecna India Inspection Pvt Ltd, Kolkata, IN</t>
        </is>
      </c>
      <c r="D6689" t="inlineStr">
        <is>
          <t>15.03.2027</t>
        </is>
      </c>
      <c r="E6689" t="inlineStr">
        <is>
          <t>India</t>
        </is>
      </c>
    </row>
    <row r="6690">
      <c r="A6690" t="inlineStr">
        <is>
          <t>Sabic Petrochemicals B.V.,  Geleen, Netherlands</t>
        </is>
      </c>
      <c r="B6690" t="inlineStr">
        <is>
          <t>Processing Unit, Trader with Storage</t>
        </is>
      </c>
      <c r="C6690" t="inlineStr">
        <is>
          <t>TÜV NORD CERT GmbH, Essen, DE</t>
        </is>
      </c>
      <c r="D6690" t="inlineStr">
        <is>
          <t>15.03.2027</t>
        </is>
      </c>
      <c r="E6690" t="inlineStr">
        <is>
          <t>Netherlands</t>
        </is>
      </c>
    </row>
    <row r="6691">
      <c r="A6691" t="inlineStr">
        <is>
          <t>SABIC Polyolefine GmbH,  Gelsenkirchen, Germany</t>
        </is>
      </c>
      <c r="B6691" t="inlineStr">
        <is>
          <t>Processing Unit</t>
        </is>
      </c>
      <c r="C6691" t="inlineStr">
        <is>
          <t>TÜV NORD CERT GmbH, Essen, DE</t>
        </is>
      </c>
      <c r="D6691" t="inlineStr">
        <is>
          <t>15.03.2027</t>
        </is>
      </c>
      <c r="E6691" t="inlineStr">
        <is>
          <t>Germany</t>
        </is>
      </c>
    </row>
    <row r="6692">
      <c r="A6692" t="inlineStr">
        <is>
          <t>SABIC Belgium N.V.,  Genk, Belgium</t>
        </is>
      </c>
      <c r="B6692" t="inlineStr">
        <is>
          <t>Processing Unit</t>
        </is>
      </c>
      <c r="C6692" t="inlineStr">
        <is>
          <t>TÜV NORD CERT GmbH, Essen, DE</t>
        </is>
      </c>
      <c r="D6692" t="inlineStr">
        <is>
          <t>15.03.2027</t>
        </is>
      </c>
      <c r="E6692" t="inlineStr">
        <is>
          <t>Belgium</t>
        </is>
      </c>
    </row>
    <row r="6693">
      <c r="A6693" t="inlineStr">
        <is>
          <t>Hebei Kemai New Material Technology Co., Ltd.,  Cangzhou City, Hebei Province, China</t>
        </is>
      </c>
      <c r="B6693" t="inlineStr">
        <is>
          <t>Processing Unit</t>
        </is>
      </c>
      <c r="C6693" t="inlineStr">
        <is>
          <t>SCS Global Services, Emeryville, CA, US</t>
        </is>
      </c>
      <c r="D6693" t="inlineStr">
        <is>
          <t>15.03.2027</t>
        </is>
      </c>
      <c r="E6693" t="inlineStr">
        <is>
          <t>China</t>
        </is>
      </c>
    </row>
    <row r="6694">
      <c r="A6694" t="inlineStr">
        <is>
          <t>JP GLOBAL, INC.,  Houston, United States</t>
        </is>
      </c>
      <c r="B6694" t="inlineStr">
        <is>
          <t>Trader</t>
        </is>
      </c>
      <c r="C6694" t="inlineStr">
        <is>
          <t>SGS Germany GmbH, Emstek, DE</t>
        </is>
      </c>
      <c r="D6694" t="inlineStr">
        <is>
          <t>15.03.2027</t>
        </is>
      </c>
      <c r="E6694" t="inlineStr">
        <is>
          <t>United States</t>
        </is>
      </c>
    </row>
    <row r="6695">
      <c r="A6695" t="inlineStr">
        <is>
          <t>Nanjing Yantai Grease Co., Ltd,  Nanjiang, Jiangsu, China</t>
        </is>
      </c>
      <c r="B6695" t="inlineStr">
        <is>
          <t>Collecting Point</t>
        </is>
      </c>
      <c r="C6695" t="inlineStr">
        <is>
          <t>RINA Services S.p.A., Genova, IT</t>
        </is>
      </c>
      <c r="D6695" t="inlineStr">
        <is>
          <t>15.03.2027</t>
        </is>
      </c>
      <c r="E6695" t="inlineStr">
        <is>
          <t>China</t>
        </is>
      </c>
    </row>
    <row r="6696">
      <c r="A6696" t="inlineStr">
        <is>
          <t>Maatschap van Ommeren,  Lunteren, Netherlands</t>
        </is>
      </c>
      <c r="B6696" t="inlineStr">
        <is>
          <t>Collecting Point, Processing Unit</t>
        </is>
      </c>
      <c r="C6696" t="inlineStr">
        <is>
          <t>DEKRA Certification B.V., Arnhem, NL</t>
        </is>
      </c>
      <c r="D6696" t="inlineStr">
        <is>
          <t>15.03.2027</t>
        </is>
      </c>
      <c r="E6696" t="inlineStr">
        <is>
          <t>Netherlands</t>
        </is>
      </c>
    </row>
    <row r="6697">
      <c r="A6697" t="inlineStr">
        <is>
          <t>AEP Group,  Saint Pal de Mons, France</t>
        </is>
      </c>
      <c r="B6697" t="inlineStr">
        <is>
          <t>Processing Unit, Final Product Refinement</t>
        </is>
      </c>
      <c r="C6697" t="inlineStr">
        <is>
          <t>Bureau Veritas Polska Sp. z o.o., Warsaw, PL</t>
        </is>
      </c>
      <c r="D6697" t="inlineStr">
        <is>
          <t>15.03.2027</t>
        </is>
      </c>
      <c r="E6697" t="inlineStr">
        <is>
          <t>France</t>
        </is>
      </c>
    </row>
    <row r="6698">
      <c r="A6698" t="inlineStr">
        <is>
          <t>ITOCHU Deutschland GmbH,  Düsseldorf, Germany</t>
        </is>
      </c>
      <c r="B6698" t="inlineStr">
        <is>
          <t>Trader</t>
        </is>
      </c>
      <c r="C6698" t="inlineStr">
        <is>
          <t>TÜV NORD CERT GmbH, Essen, DE</t>
        </is>
      </c>
      <c r="D6698" t="inlineStr">
        <is>
          <t>15.03.2027</t>
        </is>
      </c>
      <c r="E6698" t="inlineStr">
        <is>
          <t>Germany</t>
        </is>
      </c>
    </row>
    <row r="6699">
      <c r="A6699" t="inlineStr">
        <is>
          <t>Faerch Bydgoszcz Sp. z o.o.,  Bydgoszcz, Poland, Poland</t>
        </is>
      </c>
      <c r="B6699" t="inlineStr">
        <is>
          <t>Processing Unit</t>
        </is>
      </c>
      <c r="C6699" t="inlineStr">
        <is>
          <t>Bureau Veritas Polska Sp. z o.o., Warsaw, PL</t>
        </is>
      </c>
      <c r="D6699" t="inlineStr">
        <is>
          <t>15.03.2027</t>
        </is>
      </c>
      <c r="E6699" t="inlineStr">
        <is>
          <t>Poland</t>
        </is>
      </c>
    </row>
    <row r="6700">
      <c r="A6700" t="inlineStr">
        <is>
          <t>Granger Freres,  Sainte-Sigolene, France</t>
        </is>
      </c>
      <c r="B6700" t="inlineStr">
        <is>
          <t>Processing Unit, Trader with Storage</t>
        </is>
      </c>
      <c r="C6700" t="inlineStr">
        <is>
          <t>Bureau Veritas Polska Sp. z o.o., Warsaw, PL</t>
        </is>
      </c>
      <c r="D6700" t="inlineStr">
        <is>
          <t>15.03.2027</t>
        </is>
      </c>
      <c r="E6700" t="inlineStr">
        <is>
          <t>France</t>
        </is>
      </c>
    </row>
    <row r="6701">
      <c r="A6701" t="inlineStr">
        <is>
          <t>Panama Petrochem Ltd,  Bharuch, Gujarat, India</t>
        </is>
      </c>
      <c r="B6701" t="inlineStr">
        <is>
          <t>Processing Unit, Trader with Storage</t>
        </is>
      </c>
      <c r="C6701" t="inlineStr">
        <is>
          <t>DNV Business Assurance Sweden AB, Solna, SE</t>
        </is>
      </c>
      <c r="D6701" t="inlineStr">
        <is>
          <t>15.03.2027</t>
        </is>
      </c>
      <c r="E6701" t="inlineStr">
        <is>
          <t>India</t>
        </is>
      </c>
    </row>
    <row r="6702">
      <c r="A6702" t="inlineStr">
        <is>
          <t>Les Camions Verts,  Saint Loubes, France</t>
        </is>
      </c>
      <c r="B6702" t="inlineStr">
        <is>
          <t>Collecting Point</t>
        </is>
      </c>
      <c r="C6702" t="inlineStr">
        <is>
          <t>SGS Germany GmbH, Emstek, DE</t>
        </is>
      </c>
      <c r="D6702" t="inlineStr">
        <is>
          <t>15.03.2027</t>
        </is>
      </c>
      <c r="E6702" t="inlineStr">
        <is>
          <t>France</t>
        </is>
      </c>
    </row>
    <row r="6703">
      <c r="A6703" t="inlineStr">
        <is>
          <t>Biological Care,  Granarolo dell'Emilia, Italy</t>
        </is>
      </c>
      <c r="B6703" t="inlineStr">
        <is>
          <t>Collecting Point, Trader with Storage</t>
        </is>
      </c>
      <c r="C6703" t="inlineStr">
        <is>
          <t>Bureau Veritas Polska Sp. z o.o., Warsaw, PL</t>
        </is>
      </c>
      <c r="D6703" t="inlineStr">
        <is>
          <t>15.03.2027</t>
        </is>
      </c>
      <c r="E6703" t="inlineStr">
        <is>
          <t>Italy</t>
        </is>
      </c>
    </row>
    <row r="6704">
      <c r="A6704" t="inlineStr">
        <is>
          <t>POU SUNG VIETNAM CO., LTD,  DONG NAI PROVINCE, Vietnam</t>
        </is>
      </c>
      <c r="B6704" t="inlineStr">
        <is>
          <t>Final Product Refinement, Processing Unit</t>
        </is>
      </c>
      <c r="C6704" t="inlineStr">
        <is>
          <t>Bureau Veritas Polska Sp. z o.o., Warsaw, PL</t>
        </is>
      </c>
      <c r="D6704" t="inlineStr">
        <is>
          <t>15.03.2027</t>
        </is>
      </c>
      <c r="E6704" t="inlineStr">
        <is>
          <t>Vietnam</t>
        </is>
      </c>
    </row>
    <row r="6705">
      <c r="A6705" t="inlineStr">
        <is>
          <t>Superxant,  2018 Strovolos, Nicosia, Cyprus</t>
        </is>
      </c>
      <c r="B6705" t="inlineStr">
        <is>
          <t>Trader</t>
        </is>
      </c>
      <c r="C6705" t="inlineStr">
        <is>
          <t>Global-Creative-Energy GmbH, Berlin, DE</t>
        </is>
      </c>
      <c r="D6705" t="inlineStr">
        <is>
          <t>15.03.2027</t>
        </is>
      </c>
      <c r="E6705" t="inlineStr">
        <is>
          <t>Cyprus</t>
        </is>
      </c>
    </row>
    <row r="6706">
      <c r="A6706" t="inlineStr">
        <is>
          <t>Aramco Trading Limited,  London, United Kingdom</t>
        </is>
      </c>
      <c r="B6706" t="inlineStr">
        <is>
          <t>Trader</t>
        </is>
      </c>
      <c r="C6706" t="inlineStr">
        <is>
          <t>SGS Germany GmbH, Emstek, DE</t>
        </is>
      </c>
      <c r="D6706" t="inlineStr">
        <is>
          <t>15.03.2027</t>
        </is>
      </c>
      <c r="E6706" t="inlineStr">
        <is>
          <t>United Kingdom</t>
        </is>
      </c>
    </row>
    <row r="6707">
      <c r="A6707" t="inlineStr">
        <is>
          <t>Sustainable Atlantic Fuels SL,  Madrid, Spain</t>
        </is>
      </c>
      <c r="B6707" t="inlineStr">
        <is>
          <t>Trader</t>
        </is>
      </c>
      <c r="C6707" t="inlineStr">
        <is>
          <t>RINA Services S.p.A., Genova, IT</t>
        </is>
      </c>
      <c r="D6707" t="inlineStr">
        <is>
          <t>15.03.2027</t>
        </is>
      </c>
      <c r="E6707" t="inlineStr">
        <is>
          <t>Spain</t>
        </is>
      </c>
    </row>
    <row r="6708">
      <c r="A6708" t="inlineStr">
        <is>
          <t>Sustainable Atlantic Fuels SL,  Madrid, Spain</t>
        </is>
      </c>
      <c r="B6708" t="inlineStr">
        <is>
          <t>Trader</t>
        </is>
      </c>
      <c r="C6708" t="inlineStr">
        <is>
          <t>RINA Services S.p.A., Genova, IT</t>
        </is>
      </c>
      <c r="D6708" t="inlineStr">
        <is>
          <t>15.03.2027</t>
        </is>
      </c>
      <c r="E6708" t="inlineStr">
        <is>
          <t>Spain</t>
        </is>
      </c>
    </row>
    <row r="6709">
      <c r="A6709" t="inlineStr">
        <is>
          <t>JENERGY S.P.A.,  Roma, Italy</t>
        </is>
      </c>
      <c r="B6709" t="inlineStr">
        <is>
          <t>Trader with Storage, Proof of Compliance Trader</t>
        </is>
      </c>
      <c r="C6709" t="inlineStr">
        <is>
          <t>RINA Services S.p.A., Genova, IT</t>
        </is>
      </c>
      <c r="D6709" t="inlineStr">
        <is>
          <t>15.03.2027</t>
        </is>
      </c>
      <c r="E6709" t="inlineStr">
        <is>
          <t>Italy</t>
        </is>
      </c>
    </row>
    <row r="6710">
      <c r="A6710" t="inlineStr">
        <is>
          <t>Panama Petrochem Ltd,  Bharuch, Gujarat, India</t>
        </is>
      </c>
      <c r="B6710" t="inlineStr">
        <is>
          <t>Trader with Storage</t>
        </is>
      </c>
      <c r="C6710" t="inlineStr">
        <is>
          <t>DNV Business Assurance Sweden AB, Solna, SE</t>
        </is>
      </c>
      <c r="D6710" t="inlineStr">
        <is>
          <t>15.03.2027</t>
        </is>
      </c>
      <c r="E6710" t="inlineStr">
        <is>
          <t>India</t>
        </is>
      </c>
    </row>
    <row r="6711">
      <c r="A6711" t="inlineStr">
        <is>
          <t>Valero Renewable Fuels Company,  Aurora, South Dakota, United States</t>
        </is>
      </c>
      <c r="B6711" t="inlineStr">
        <is>
          <t>Processing Unit</t>
        </is>
      </c>
      <c r="C6711" t="inlineStr">
        <is>
          <t>SCS Global Services, Emeryville, CA, US</t>
        </is>
      </c>
      <c r="D6711" t="inlineStr">
        <is>
          <t>14.03.2027</t>
        </is>
      </c>
      <c r="E6711" t="inlineStr">
        <is>
          <t>United States</t>
        </is>
      </c>
    </row>
    <row r="6712">
      <c r="A6712" t="inlineStr">
        <is>
          <t>Valero Renewable Fuels Company,  Albion, Nebraska, United States</t>
        </is>
      </c>
      <c r="B6712" t="inlineStr">
        <is>
          <t>Processing Unit</t>
        </is>
      </c>
      <c r="C6712" t="inlineStr">
        <is>
          <t>SCS Global Services, Emeryville, CA, US</t>
        </is>
      </c>
      <c r="D6712" t="inlineStr">
        <is>
          <t>14.03.2027</t>
        </is>
      </c>
      <c r="E6712" t="inlineStr">
        <is>
          <t>United States</t>
        </is>
      </c>
    </row>
    <row r="6713">
      <c r="A6713" t="inlineStr">
        <is>
          <t>Valero Renewable Fuels Company,  Albert City, Iowa, United States</t>
        </is>
      </c>
      <c r="B6713" t="inlineStr">
        <is>
          <t>Processing Unit</t>
        </is>
      </c>
      <c r="C6713" t="inlineStr">
        <is>
          <t>SCS Global Services, Emeryville, CA, US</t>
        </is>
      </c>
      <c r="D6713" t="inlineStr">
        <is>
          <t>14.03.2027</t>
        </is>
      </c>
      <c r="E6713" t="inlineStr">
        <is>
          <t>United States</t>
        </is>
      </c>
    </row>
    <row r="6714">
      <c r="A6714" t="inlineStr">
        <is>
          <t>Valero Renewable Fuels Company,  Albert City, Iowa, United States</t>
        </is>
      </c>
      <c r="B6714" t="inlineStr">
        <is>
          <t>Processing Unit</t>
        </is>
      </c>
      <c r="C6714" t="inlineStr">
        <is>
          <t>SCS Global Services, Emeryville, CA, US</t>
        </is>
      </c>
      <c r="D6714" t="inlineStr">
        <is>
          <t>14.03.2027</t>
        </is>
      </c>
      <c r="E6714" t="inlineStr">
        <is>
          <t>United States</t>
        </is>
      </c>
    </row>
    <row r="6715">
      <c r="A6715" t="inlineStr">
        <is>
          <t>Valero Renewable Fuels Company,  Albion, Nebraska, United States</t>
        </is>
      </c>
      <c r="B6715" t="inlineStr">
        <is>
          <t>Processing Unit</t>
        </is>
      </c>
      <c r="C6715" t="inlineStr">
        <is>
          <t>SCS Global Services, Emeryville, CA, US</t>
        </is>
      </c>
      <c r="D6715" t="inlineStr">
        <is>
          <t>14.03.2027</t>
        </is>
      </c>
      <c r="E6715" t="inlineStr">
        <is>
          <t>United States</t>
        </is>
      </c>
    </row>
    <row r="6716">
      <c r="A6716" t="inlineStr">
        <is>
          <t>Masterpack SpA,  Gattico-Veruno, Italy</t>
        </is>
      </c>
      <c r="B6716" t="inlineStr">
        <is>
          <t>Final Product Refinement, Processing Unit</t>
        </is>
      </c>
      <c r="C6716" t="inlineStr">
        <is>
          <t>DNV Business Assurance Sweden AB, Solna, SE</t>
        </is>
      </c>
      <c r="D6716" t="inlineStr">
        <is>
          <t>14.03.2027</t>
        </is>
      </c>
      <c r="E6716" t="inlineStr">
        <is>
          <t>Italy</t>
        </is>
      </c>
    </row>
    <row r="6717">
      <c r="A6717" t="inlineStr">
        <is>
          <t>Valenz Pte. Ltd.,  Singapore, Singapore</t>
        </is>
      </c>
      <c r="B6717" t="inlineStr">
        <is>
          <t>Trader with Storage</t>
        </is>
      </c>
      <c r="C6717" t="inlineStr">
        <is>
          <t>Double Helix Tracking Technologies Pte Ltd, Singapore, SG</t>
        </is>
      </c>
      <c r="D6717" t="inlineStr">
        <is>
          <t>14.03.2027</t>
        </is>
      </c>
      <c r="E6717" t="inlineStr">
        <is>
          <t>Singapore</t>
        </is>
      </c>
    </row>
    <row r="6718">
      <c r="A6718" t="inlineStr">
        <is>
          <t>Valenz Pte. Ltd.,  Singapore, Singapore</t>
        </is>
      </c>
      <c r="B6718" t="inlineStr">
        <is>
          <t>Trader with Storage</t>
        </is>
      </c>
      <c r="C6718" t="inlineStr">
        <is>
          <t>Double Helix Tracking Technologies Pte Ltd, Singapore, SG</t>
        </is>
      </c>
      <c r="D6718" t="inlineStr">
        <is>
          <t>14.03.2027</t>
        </is>
      </c>
      <c r="E6718" t="inlineStr">
        <is>
          <t>Singapore</t>
        </is>
      </c>
    </row>
    <row r="6719">
      <c r="A6719" t="inlineStr">
        <is>
          <t>Dading Petroleum Logistics Co. , LTD,  Zhoushan City, Zhejiang Province, China</t>
        </is>
      </c>
      <c r="B6719" t="inlineStr">
        <is>
          <t>Warehouse</t>
        </is>
      </c>
      <c r="C6719" t="inlineStr">
        <is>
          <t>China Standard Conformity Assessment Co. Ltd, Beijing, CN</t>
        </is>
      </c>
      <c r="D6719" t="inlineStr">
        <is>
          <t>14.03.2027</t>
        </is>
      </c>
      <c r="E6719" t="inlineStr">
        <is>
          <t>China</t>
        </is>
      </c>
    </row>
    <row r="6720">
      <c r="A6720" t="inlineStr">
        <is>
          <t>Sinomax (Zhejiang) Polyurethane Technology Limited,  Jiaxing City, Zhejiang Province, China</t>
        </is>
      </c>
      <c r="B6720" t="inlineStr">
        <is>
          <t>Processing Unit</t>
        </is>
      </c>
      <c r="C6720" t="inlineStr">
        <is>
          <t>China Quality Certification Centre Co., Ltd., Beijing, CN</t>
        </is>
      </c>
      <c r="D6720" t="inlineStr">
        <is>
          <t>14.03.2027</t>
        </is>
      </c>
      <c r="E6720" t="inlineStr">
        <is>
          <t>China</t>
        </is>
      </c>
    </row>
    <row r="6721">
      <c r="A6721" t="inlineStr">
        <is>
          <t>AS Alexela,  Tallinn, Estonia</t>
        </is>
      </c>
      <c r="B6721" t="inlineStr">
        <is>
          <t>Trader with Storage</t>
        </is>
      </c>
      <c r="C6721" t="inlineStr">
        <is>
          <t>NCS Estonia OÜ, Tallinn, EE</t>
        </is>
      </c>
      <c r="D6721" t="inlineStr">
        <is>
          <t>14.03.2027</t>
        </is>
      </c>
      <c r="E6721" t="inlineStr">
        <is>
          <t>Estonia</t>
        </is>
      </c>
    </row>
    <row r="6722">
      <c r="A6722" t="inlineStr">
        <is>
          <t>Dongguan Sinohome Limited.,  Dongguan, China</t>
        </is>
      </c>
      <c r="B6722" t="inlineStr">
        <is>
          <t>Processing Unit</t>
        </is>
      </c>
      <c r="C6722" t="inlineStr">
        <is>
          <t>China Quality Certification Centre Co., Ltd., Beijing, CN</t>
        </is>
      </c>
      <c r="D6722" t="inlineStr">
        <is>
          <t>14.03.2027</t>
        </is>
      </c>
      <c r="E6722" t="inlineStr">
        <is>
          <t>China</t>
        </is>
      </c>
    </row>
    <row r="6723">
      <c r="A6723" t="inlineStr">
        <is>
          <t>Valero Renewable Fuels Company,  Lakota, United States</t>
        </is>
      </c>
      <c r="B6723" t="inlineStr">
        <is>
          <t>Processing Unit</t>
        </is>
      </c>
      <c r="C6723" t="inlineStr">
        <is>
          <t>SCS Global Services, Emeryville, CA, US</t>
        </is>
      </c>
      <c r="D6723" t="inlineStr">
        <is>
          <t>14.03.2027</t>
        </is>
      </c>
      <c r="E6723" t="inlineStr">
        <is>
          <t>United States</t>
        </is>
      </c>
    </row>
    <row r="6724">
      <c r="A6724" t="inlineStr">
        <is>
          <t>Valero Renewable Fuels Company,  Lakota, United States</t>
        </is>
      </c>
      <c r="B6724" t="inlineStr">
        <is>
          <t>Processing Unit</t>
        </is>
      </c>
      <c r="C6724" t="inlineStr">
        <is>
          <t>SCS Global Services, Emeryville, CA, US</t>
        </is>
      </c>
      <c r="D6724" t="inlineStr">
        <is>
          <t>14.03.2027</t>
        </is>
      </c>
      <c r="E6724" t="inlineStr">
        <is>
          <t>United States</t>
        </is>
      </c>
    </row>
    <row r="6725">
      <c r="A6725" t="inlineStr">
        <is>
          <t>M&amp;H Plastics,  Beccles, United Kingdom</t>
        </is>
      </c>
      <c r="B6725" t="inlineStr">
        <is>
          <t>Final Product Refinement, Processing Unit</t>
        </is>
      </c>
      <c r="C6725" t="inlineStr">
        <is>
          <t>Bureau Veritas Polska Sp. z o.o., Warsaw, PL</t>
        </is>
      </c>
      <c r="D6725" t="inlineStr">
        <is>
          <t>14.03.2027</t>
        </is>
      </c>
      <c r="E6725" t="inlineStr">
        <is>
          <t>United Kingdom</t>
        </is>
      </c>
    </row>
    <row r="6726">
      <c r="A6726" t="inlineStr">
        <is>
          <t>INSA OIL,  Rafinery Belozem, village Belozem, Bulgaria</t>
        </is>
      </c>
      <c r="B6726" t="inlineStr">
        <is>
          <t>Trader with Storage</t>
        </is>
      </c>
      <c r="C6726" t="inlineStr">
        <is>
          <t>Bureau Veritas Polska Sp. z o.o., Warsaw, PL</t>
        </is>
      </c>
      <c r="D6726" t="inlineStr">
        <is>
          <t>14.03.2027</t>
        </is>
      </c>
      <c r="E6726" t="inlineStr">
        <is>
          <t>Bulgaria</t>
        </is>
      </c>
    </row>
    <row r="6727">
      <c r="A6727" t="inlineStr">
        <is>
          <t>Eurovetrocap Srl,  Trezzano sul Naviglio, Italy</t>
        </is>
      </c>
      <c r="B6727" t="inlineStr">
        <is>
          <t>Trader with Storage</t>
        </is>
      </c>
      <c r="C6727" t="inlineStr">
        <is>
          <t>RINA Services S.p.A., Genova, IT</t>
        </is>
      </c>
      <c r="D6727" t="inlineStr">
        <is>
          <t>14.03.2027</t>
        </is>
      </c>
      <c r="E6727" t="inlineStr">
        <is>
          <t>Italy</t>
        </is>
      </c>
    </row>
    <row r="6728">
      <c r="A6728" t="inlineStr">
        <is>
          <t>Röhm GmbH,  Worms, Germany</t>
        </is>
      </c>
      <c r="B6728" t="inlineStr">
        <is>
          <t>Processing Unit, Trader with Storage</t>
        </is>
      </c>
      <c r="C6728" t="inlineStr">
        <is>
          <t>DQS CFS GmbH - Deutsche Gesellschaft für Nachhaltigkeit, Frankfurt am Main, DE</t>
        </is>
      </c>
      <c r="D6728" t="inlineStr">
        <is>
          <t>14.03.2027</t>
        </is>
      </c>
      <c r="E6728" t="inlineStr">
        <is>
          <t>Germany</t>
        </is>
      </c>
    </row>
    <row r="6729">
      <c r="A6729" t="inlineStr">
        <is>
          <t>Chimbusco Europe BV,  Rotterdam, Netherlands</t>
        </is>
      </c>
      <c r="B6729" t="inlineStr">
        <is>
          <t>Trader</t>
        </is>
      </c>
      <c r="C6729" t="inlineStr">
        <is>
          <t>Normec QS BV, Ede, NL</t>
        </is>
      </c>
      <c r="D6729" t="inlineStr">
        <is>
          <t>14.03.2027</t>
        </is>
      </c>
      <c r="E6729" t="inlineStr">
        <is>
          <t>Netherlands</t>
        </is>
      </c>
    </row>
    <row r="6730">
      <c r="A6730" t="inlineStr">
        <is>
          <t>Flexico Verpackungen GmbH,  Altdorf, Germany</t>
        </is>
      </c>
      <c r="B6730" t="inlineStr">
        <is>
          <t>Final Product Refinement, Processing Unit</t>
        </is>
      </c>
      <c r="C6730" t="inlineStr">
        <is>
          <t>GUT Certifizierungsgesellschaft für Managementsysteme mbH Umweltgutachter, Berlin, DE</t>
        </is>
      </c>
      <c r="D6730" t="inlineStr">
        <is>
          <t>14.03.2027</t>
        </is>
      </c>
      <c r="E6730" t="inlineStr">
        <is>
          <t>Germany</t>
        </is>
      </c>
    </row>
    <row r="6731">
      <c r="A6731" t="inlineStr">
        <is>
          <t>SUMITOMO SEIKA POLYMERS KOREA,  Yeosu-si, Jeollanam-do, Korea, Republic of</t>
        </is>
      </c>
      <c r="B6731" t="inlineStr">
        <is>
          <t>Processing Unit</t>
        </is>
      </c>
      <c r="C6731" t="inlineStr">
        <is>
          <t>Control Union Certifications Germany GmbH, Berlin, DE</t>
        </is>
      </c>
      <c r="D6731" t="inlineStr">
        <is>
          <t>14.03.2027</t>
        </is>
      </c>
      <c r="E6731" t="inlineStr">
        <is>
          <t>Republic of</t>
        </is>
      </c>
    </row>
    <row r="6732">
      <c r="A6732" t="inlineStr">
        <is>
          <t>BM Holding,  Jelgavas county, Latvia</t>
        </is>
      </c>
      <c r="B6732" t="inlineStr">
        <is>
          <t>Processing Unit</t>
        </is>
      </c>
      <c r="C6732" t="inlineStr">
        <is>
          <t>BM Certification, Riga, LV</t>
        </is>
      </c>
      <c r="D6732" t="inlineStr">
        <is>
          <t>14.03.2027</t>
        </is>
      </c>
      <c r="E6732" t="inlineStr">
        <is>
          <t>Latvia</t>
        </is>
      </c>
    </row>
    <row r="6733">
      <c r="A6733" t="inlineStr">
        <is>
          <t>HARTING Electric Stiftung &amp; Co. KG,  Espelkamp, Germany</t>
        </is>
      </c>
      <c r="B6733" t="inlineStr">
        <is>
          <t>Final Product Refinement, Processing Unit, Trader with Storage</t>
        </is>
      </c>
      <c r="C6733" t="inlineStr">
        <is>
          <t>GUT Certifizierungsgesellschaft für Managementsysteme mbH Umweltgutachter, Berlin, DE</t>
        </is>
      </c>
      <c r="D6733" t="inlineStr">
        <is>
          <t>14.03.2027</t>
        </is>
      </c>
      <c r="E6733" t="inlineStr">
        <is>
          <t>Germany</t>
        </is>
      </c>
    </row>
    <row r="6734">
      <c r="A6734" t="inlineStr">
        <is>
          <t>Asahi Kasei POM (Zhangjiagang) Co., Ltd,  Zhangjiagang, Jiangsu, China</t>
        </is>
      </c>
      <c r="B6734" t="inlineStr">
        <is>
          <t>Processing Unit</t>
        </is>
      </c>
      <c r="C6734" t="inlineStr">
        <is>
          <t>SGS Germany GmbH, Emstek, DE</t>
        </is>
      </c>
      <c r="D6734" t="inlineStr">
        <is>
          <t>14.03.2027</t>
        </is>
      </c>
      <c r="E6734" t="inlineStr">
        <is>
          <t>China</t>
        </is>
      </c>
    </row>
    <row r="6735">
      <c r="A6735" t="inlineStr">
        <is>
          <t>H&amp;K Müller GmbH &amp; Co. KG,  Engelskirchen, Germany</t>
        </is>
      </c>
      <c r="B6735" t="inlineStr">
        <is>
          <t>Processing Unit</t>
        </is>
      </c>
      <c r="C6735" t="inlineStr">
        <is>
          <t>SGS Germany GmbH, Emstek, DE</t>
        </is>
      </c>
      <c r="D6735" t="inlineStr">
        <is>
          <t>14.03.2027</t>
        </is>
      </c>
      <c r="E6735" t="inlineStr">
        <is>
          <t>Germany</t>
        </is>
      </c>
    </row>
    <row r="6736">
      <c r="A6736" t="inlineStr">
        <is>
          <t>P Tech Resources,  Pasir Gudang, Johor, Malaysia, Malaysia</t>
        </is>
      </c>
      <c r="B6736" t="inlineStr">
        <is>
          <t>Processing Unit</t>
        </is>
      </c>
      <c r="C6736" t="inlineStr">
        <is>
          <t>SGS Germany GmbH, Emstek, DE</t>
        </is>
      </c>
      <c r="D6736" t="inlineStr">
        <is>
          <t>14.03.2027</t>
        </is>
      </c>
      <c r="E6736" t="inlineStr">
        <is>
          <t>Malaysia</t>
        </is>
      </c>
    </row>
    <row r="6737">
      <c r="A6737" t="inlineStr">
        <is>
          <t>P Tech Resources,  Pasir Gudang, Johor, Malaysia, Malaysia</t>
        </is>
      </c>
      <c r="B6737" t="inlineStr">
        <is>
          <t>Processing Unit</t>
        </is>
      </c>
      <c r="C6737" t="inlineStr">
        <is>
          <t>SGS Germany GmbH, Emstek, DE</t>
        </is>
      </c>
      <c r="D6737" t="inlineStr">
        <is>
          <t>14.03.2027</t>
        </is>
      </c>
      <c r="E6737" t="inlineStr">
        <is>
          <t>Malaysia</t>
        </is>
      </c>
    </row>
    <row r="6738">
      <c r="A6738" t="inlineStr">
        <is>
          <t>Arca Etichette SpA,  Marcallo con Casone, Italy</t>
        </is>
      </c>
      <c r="B6738" t="inlineStr">
        <is>
          <t>Final Product Refinement</t>
        </is>
      </c>
      <c r="C6738" t="inlineStr">
        <is>
          <t>ICIM SpA, sesto san giovanni, IT</t>
        </is>
      </c>
      <c r="D6738" t="inlineStr">
        <is>
          <t>14.03.2027</t>
        </is>
      </c>
      <c r="E6738" t="inlineStr">
        <is>
          <t>Italy</t>
        </is>
      </c>
    </row>
    <row r="6739">
      <c r="A6739" t="inlineStr">
        <is>
          <t>PLASTIGRAF TREVIGIANA,  CARBONERA, Italy</t>
        </is>
      </c>
      <c r="B6739" t="inlineStr">
        <is>
          <t>Processing Unit</t>
        </is>
      </c>
      <c r="C6739" t="inlineStr">
        <is>
          <t>Bureau Veritas Polska Sp. z o.o., Warsaw, PL</t>
        </is>
      </c>
      <c r="D6739" t="inlineStr">
        <is>
          <t>14.03.2027</t>
        </is>
      </c>
      <c r="E6739" t="inlineStr">
        <is>
          <t>Italy</t>
        </is>
      </c>
    </row>
    <row r="6740">
      <c r="A6740" t="inlineStr">
        <is>
          <t>SHPP (Shanghai) Co. Ltd.,  Pilot Free Trade Zone Shanghai, China</t>
        </is>
      </c>
      <c r="B6740" t="inlineStr">
        <is>
          <t>Processing Unit, Warehouse</t>
        </is>
      </c>
      <c r="C6740" t="inlineStr">
        <is>
          <t>TÜV NORD CERT GmbH, Essen, DE</t>
        </is>
      </c>
      <c r="D6740" t="inlineStr">
        <is>
          <t>14.03.2027</t>
        </is>
      </c>
      <c r="E6740" t="inlineStr">
        <is>
          <t>China</t>
        </is>
      </c>
    </row>
    <row r="6741">
      <c r="A6741" t="inlineStr">
        <is>
          <t>SABIC Innovative Plastics (China) Co., Ltd,  Guangzhou, Guangdong Province, China</t>
        </is>
      </c>
      <c r="B6741" t="inlineStr">
        <is>
          <t>Processing Unit, Trader</t>
        </is>
      </c>
      <c r="C6741" t="inlineStr">
        <is>
          <t>TÜV NORD CERT GmbH, Essen, DE</t>
        </is>
      </c>
      <c r="D6741" t="inlineStr">
        <is>
          <t>14.03.2027</t>
        </is>
      </c>
      <c r="E6741" t="inlineStr">
        <is>
          <t>China</t>
        </is>
      </c>
    </row>
    <row r="6742">
      <c r="A6742" t="inlineStr">
        <is>
          <t>DBA Motril Port,  Motril, Spain</t>
        </is>
      </c>
      <c r="B6742" t="inlineStr">
        <is>
          <t>Warehouse</t>
        </is>
      </c>
      <c r="C6742" t="inlineStr">
        <is>
          <t>Certificadora Gallega del Noroeste SL, Vilagarcia de Arousa-Pontevedra, ES</t>
        </is>
      </c>
      <c r="D6742" t="inlineStr">
        <is>
          <t>14.03.2027</t>
        </is>
      </c>
      <c r="E6742" t="inlineStr">
        <is>
          <t>Spain</t>
        </is>
      </c>
    </row>
    <row r="6743">
      <c r="A6743" t="inlineStr">
        <is>
          <t>CA NA NEGRETA,  Santa Eularia Del Rio. Baleares, Spain</t>
        </is>
      </c>
      <c r="B6743" t="inlineStr">
        <is>
          <t>Collecting Point</t>
        </is>
      </c>
      <c r="C6743" t="inlineStr">
        <is>
          <t>Bureau Veritas Polska Sp. z o.o., Warsaw, PL</t>
        </is>
      </c>
      <c r="D6743" t="inlineStr">
        <is>
          <t>14.03.2027</t>
        </is>
      </c>
      <c r="E6743" t="inlineStr">
        <is>
          <t>Spain</t>
        </is>
      </c>
    </row>
    <row r="6744">
      <c r="A6744" t="inlineStr">
        <is>
          <t>Beaulieu Fibres International,  Kruisem, Belgium</t>
        </is>
      </c>
      <c r="B6744" t="inlineStr">
        <is>
          <t>Processing Unit</t>
        </is>
      </c>
      <c r="C6744" t="inlineStr">
        <is>
          <t>Control Union Certifications Germany GmbH, Berlin, DE</t>
        </is>
      </c>
      <c r="D6744" t="inlineStr">
        <is>
          <t>14.03.2027</t>
        </is>
      </c>
      <c r="E6744" t="inlineStr">
        <is>
          <t>Belgium</t>
        </is>
      </c>
    </row>
    <row r="6745">
      <c r="A6745" t="inlineStr">
        <is>
          <t>Beaulieu Fibres International,  Wielsbeke, Belgium</t>
        </is>
      </c>
      <c r="B6745" t="inlineStr">
        <is>
          <t>Processing Unit</t>
        </is>
      </c>
      <c r="C6745" t="inlineStr">
        <is>
          <t>Control Union Certifications Germany GmbH, Berlin, DE</t>
        </is>
      </c>
      <c r="D6745" t="inlineStr">
        <is>
          <t>14.03.2027</t>
        </is>
      </c>
      <c r="E6745" t="inlineStr">
        <is>
          <t>Belgium</t>
        </is>
      </c>
    </row>
    <row r="6746">
      <c r="A6746" t="inlineStr">
        <is>
          <t>BMP Harderwijk B.V.,  Harderwijk, Netherlands</t>
        </is>
      </c>
      <c r="B6746" t="inlineStr">
        <is>
          <t>Collecting Point, Processing Unit</t>
        </is>
      </c>
      <c r="C6746" t="inlineStr">
        <is>
          <t>Normec QS BV, Ede, NL</t>
        </is>
      </c>
      <c r="D6746" t="inlineStr">
        <is>
          <t>13.03.2027</t>
        </is>
      </c>
      <c r="E6746" t="inlineStr">
        <is>
          <t>Netherlands</t>
        </is>
      </c>
    </row>
    <row r="6747">
      <c r="A6747" t="inlineStr">
        <is>
          <t>Heinrich Wegener &amp; Sohn Bunkergesellschaft mbH,  Hamburg, Germany</t>
        </is>
      </c>
      <c r="B6747" t="inlineStr">
        <is>
          <t>Trader</t>
        </is>
      </c>
      <c r="C6747" t="inlineStr">
        <is>
          <t>RINA Services S.p.A., Genova, IT</t>
        </is>
      </c>
      <c r="D6747" t="inlineStr">
        <is>
          <t>13.03.2027</t>
        </is>
      </c>
      <c r="E6747" t="inlineStr">
        <is>
          <t>Germany</t>
        </is>
      </c>
    </row>
    <row r="6748">
      <c r="A6748" t="inlineStr">
        <is>
          <t>Vitop Moulding srl,  Alessandria, Italy</t>
        </is>
      </c>
      <c r="B6748" t="inlineStr">
        <is>
          <t>Processing Unit</t>
        </is>
      </c>
      <c r="C6748" t="inlineStr">
        <is>
          <t>DNV Business Assurance Sweden AB, Solna, SE</t>
        </is>
      </c>
      <c r="D6748" t="inlineStr">
        <is>
          <t>13.03.2027</t>
        </is>
      </c>
      <c r="E6748" t="inlineStr">
        <is>
          <t>Italy</t>
        </is>
      </c>
    </row>
    <row r="6749">
      <c r="A6749" t="inlineStr">
        <is>
          <t>HS Hyosung Chemical Fiber (Jiaxing) Co., Ltd.,  Jiaxing, China</t>
        </is>
      </c>
      <c r="B6749" t="inlineStr">
        <is>
          <t>Processing Unit</t>
        </is>
      </c>
      <c r="C6749" t="inlineStr">
        <is>
          <t>SCS Global Services, Emeryville, CA, US</t>
        </is>
      </c>
      <c r="D6749" t="inlineStr">
        <is>
          <t>13.03.2027</t>
        </is>
      </c>
      <c r="E6749" t="inlineStr">
        <is>
          <t>China</t>
        </is>
      </c>
    </row>
    <row r="6750">
      <c r="A6750" t="inlineStr">
        <is>
          <t>UPM-Kymmene Seven Seas Oy,  Helsinki, Finland</t>
        </is>
      </c>
      <c r="B6750" t="inlineStr">
        <is>
          <t>Collecting Point, Trader with Storage</t>
        </is>
      </c>
      <c r="C6750" t="inlineStr">
        <is>
          <t>SCS Global Services, Emeryville, CA, US</t>
        </is>
      </c>
      <c r="D6750" t="inlineStr">
        <is>
          <t>13.03.2027</t>
        </is>
      </c>
      <c r="E6750" t="inlineStr">
        <is>
          <t>Finland</t>
        </is>
      </c>
    </row>
    <row r="6751">
      <c r="A6751" t="inlineStr">
        <is>
          <t>Toppan Inc.,  Fukusaki-cho Kanzaki-gun, Japan</t>
        </is>
      </c>
      <c r="B6751" t="inlineStr">
        <is>
          <t>Processing Unit</t>
        </is>
      </c>
      <c r="C6751" t="inlineStr">
        <is>
          <t>Control Union Certifications Germany GmbH, Berlin, DE</t>
        </is>
      </c>
      <c r="D6751" t="inlineStr">
        <is>
          <t>13.03.2027</t>
        </is>
      </c>
      <c r="E6751" t="inlineStr">
        <is>
          <t>Japan</t>
        </is>
      </c>
    </row>
    <row r="6752">
      <c r="A6752" t="inlineStr">
        <is>
          <t>PT Dongsung Chemical Indonesia,  Kab. Karawang Provinsi Jawa Barat, Indonesia</t>
        </is>
      </c>
      <c r="B6752" t="inlineStr">
        <is>
          <t>Processing Unit</t>
        </is>
      </c>
      <c r="C6752" t="inlineStr">
        <is>
          <t>Bureau Veritas Polska Sp. z o.o., Warsaw, PL</t>
        </is>
      </c>
      <c r="D6752" t="inlineStr">
        <is>
          <t>13.03.2027</t>
        </is>
      </c>
      <c r="E6752" t="inlineStr">
        <is>
          <t>Indonesia</t>
        </is>
      </c>
    </row>
    <row r="6753">
      <c r="A6753" t="inlineStr">
        <is>
          <t>Sunseeds,  Vidin, North industrial zone, Bulgaria</t>
        </is>
      </c>
      <c r="B6753" t="inlineStr">
        <is>
          <t>Point of Origin, Processing Unit</t>
        </is>
      </c>
      <c r="C6753" t="inlineStr">
        <is>
          <t>Bureau Veritas Polska Sp. z o.o., Warsaw, PL</t>
        </is>
      </c>
      <c r="D6753" t="inlineStr">
        <is>
          <t>13.03.2027</t>
        </is>
      </c>
      <c r="E6753" t="inlineStr">
        <is>
          <t>Bulgaria</t>
        </is>
      </c>
    </row>
    <row r="6754">
      <c r="A6754" t="inlineStr">
        <is>
          <t>UPM-Kymmene Seven Seas Oy,  Helsinki, Finland</t>
        </is>
      </c>
      <c r="B6754" t="inlineStr">
        <is>
          <t>Collecting Point, Trader with Storage</t>
        </is>
      </c>
      <c r="C6754" t="inlineStr">
        <is>
          <t>SCS Global Services, Emeryville, CA, US</t>
        </is>
      </c>
      <c r="D6754" t="inlineStr">
        <is>
          <t>13.03.2027</t>
        </is>
      </c>
      <c r="E6754" t="inlineStr">
        <is>
          <t>Finland</t>
        </is>
      </c>
    </row>
    <row r="6755">
      <c r="A6755" t="inlineStr">
        <is>
          <t>Manava s.r.o.,  Nevidzany, Slovakia</t>
        </is>
      </c>
      <c r="B6755" t="inlineStr">
        <is>
          <t>First Gathering Point, Trader</t>
        </is>
      </c>
      <c r="C6755" t="inlineStr">
        <is>
          <t>United Registrar of Systems Polska Sp. z o.o., Wrocław, PL</t>
        </is>
      </c>
      <c r="D6755" t="inlineStr">
        <is>
          <t>13.03.2027</t>
        </is>
      </c>
      <c r="E6755" t="inlineStr">
        <is>
          <t>Slovakia</t>
        </is>
      </c>
    </row>
    <row r="6756">
      <c r="A6756" t="inlineStr">
        <is>
          <t>Foshan Gaofu Petrochina Fuel &amp; Asphalt Co., Ltd.,  Foshan City, Guangdong Province, China</t>
        </is>
      </c>
      <c r="B6756" t="inlineStr">
        <is>
          <t>Trader with Storage</t>
        </is>
      </c>
      <c r="C6756" t="inlineStr">
        <is>
          <t>SCS Global Services, Emeryville, CA, US</t>
        </is>
      </c>
      <c r="D6756" t="inlineStr">
        <is>
          <t>13.03.2027</t>
        </is>
      </c>
      <c r="E6756" t="inlineStr">
        <is>
          <t>China</t>
        </is>
      </c>
    </row>
    <row r="6757">
      <c r="A6757" t="inlineStr">
        <is>
          <t>Habo Plast,  Habo, Sweden</t>
        </is>
      </c>
      <c r="B6757" t="inlineStr">
        <is>
          <t>Processing Unit</t>
        </is>
      </c>
      <c r="C6757" t="inlineStr">
        <is>
          <t>DNV Business Assurance Sweden AB, Solna, SE</t>
        </is>
      </c>
      <c r="D6757" t="inlineStr">
        <is>
          <t>13.03.2027</t>
        </is>
      </c>
      <c r="E6757" t="inlineStr">
        <is>
          <t>Sweden</t>
        </is>
      </c>
    </row>
    <row r="6758">
      <c r="A6758" t="inlineStr">
        <is>
          <t>MOEVE TRADING,  Madrid, Spain</t>
        </is>
      </c>
      <c r="B6758" t="inlineStr">
        <is>
          <t>Trader with Storage</t>
        </is>
      </c>
      <c r="C6758" t="inlineStr">
        <is>
          <t>Control Union Poland Sp. z o.o., Zielona Gora, PL</t>
        </is>
      </c>
      <c r="D6758" t="inlineStr">
        <is>
          <t>13.03.2027</t>
        </is>
      </c>
      <c r="E6758" t="inlineStr">
        <is>
          <t>Spain</t>
        </is>
      </c>
    </row>
    <row r="6759">
      <c r="A6759" t="inlineStr">
        <is>
          <t>MOEVE TRADING,  Madrid, Spain</t>
        </is>
      </c>
      <c r="B6759" t="inlineStr">
        <is>
          <t>Trader with Storage</t>
        </is>
      </c>
      <c r="C6759" t="inlineStr">
        <is>
          <t>Control Union Poland Sp. z o.o., Zielona Gora, PL</t>
        </is>
      </c>
      <c r="D6759" t="inlineStr">
        <is>
          <t>13.03.2027</t>
        </is>
      </c>
      <c r="E6759" t="inlineStr">
        <is>
          <t>Spain</t>
        </is>
      </c>
    </row>
    <row r="6760">
      <c r="A6760" t="inlineStr">
        <is>
          <t>HINDAR OPTICAL VIETNAM CO., LIMITED,  Tu Lan Ward, Vietnam</t>
        </is>
      </c>
      <c r="B6760" t="inlineStr">
        <is>
          <t>Final Product Refinement</t>
        </is>
      </c>
      <c r="C6760" t="inlineStr">
        <is>
          <t>PT Intertek Utama Services, Jakarta, ID</t>
        </is>
      </c>
      <c r="D6760" t="inlineStr">
        <is>
          <t>13.03.2027</t>
        </is>
      </c>
      <c r="E6760" t="inlineStr">
        <is>
          <t>Vietnam</t>
        </is>
      </c>
    </row>
    <row r="6761">
      <c r="A6761" t="inlineStr">
        <is>
          <t>UPM-Kymmene Oyj,  Lappeenranta, Finland</t>
        </is>
      </c>
      <c r="B6761" t="inlineStr">
        <is>
          <t>Point of Origin, Processing Unit, Trader with Storage</t>
        </is>
      </c>
      <c r="C6761" t="inlineStr">
        <is>
          <t>SCS Global Services, Emeryville, CA, US</t>
        </is>
      </c>
      <c r="D6761" t="inlineStr">
        <is>
          <t>13.03.2027</t>
        </is>
      </c>
      <c r="E6761" t="inlineStr">
        <is>
          <t>Finland</t>
        </is>
      </c>
    </row>
    <row r="6762">
      <c r="A6762" t="inlineStr">
        <is>
          <t>UPM-Kymmene Oyj,  Lappeenranta, Finland</t>
        </is>
      </c>
      <c r="B6762" t="inlineStr">
        <is>
          <t>Point of Origin, Processing Unit, Trader with Storage</t>
        </is>
      </c>
      <c r="C6762" t="inlineStr">
        <is>
          <t>SCS Global Services, Emeryville, CA, US</t>
        </is>
      </c>
      <c r="D6762" t="inlineStr">
        <is>
          <t>13.03.2027</t>
        </is>
      </c>
      <c r="E6762" t="inlineStr">
        <is>
          <t>Finland</t>
        </is>
      </c>
    </row>
    <row r="6763">
      <c r="A6763" t="inlineStr">
        <is>
          <t>Mil Oil Hellas,  Serres, Greece</t>
        </is>
      </c>
      <c r="B6763" t="inlineStr">
        <is>
          <t>First Gathering Point, Processing Unit, Trader with Storage, Point of Origin</t>
        </is>
      </c>
      <c r="C6763" t="inlineStr">
        <is>
          <t>QMSCERT S.A., Pylaia, Thessaloniki, GR</t>
        </is>
      </c>
      <c r="D6763" t="inlineStr">
        <is>
          <t>13.03.2027</t>
        </is>
      </c>
      <c r="E6763" t="inlineStr">
        <is>
          <t>Greece</t>
        </is>
      </c>
    </row>
    <row r="6764">
      <c r="A6764" t="inlineStr">
        <is>
          <t>Rhodia Operations,  Collonges au Mont d'Or, France</t>
        </is>
      </c>
      <c r="B6764" t="inlineStr">
        <is>
          <t>Processing Unit</t>
        </is>
      </c>
      <c r="C6764" t="inlineStr">
        <is>
          <t>DQS CFS GmbH - Deutsche Gesellschaft für Nachhaltigkeit, Frankfurt am Main, DE</t>
        </is>
      </c>
      <c r="D6764" t="inlineStr">
        <is>
          <t>13.03.2027</t>
        </is>
      </c>
      <c r="E6764" t="inlineStr">
        <is>
          <t>France</t>
        </is>
      </c>
    </row>
    <row r="6765">
      <c r="A6765" t="inlineStr">
        <is>
          <t>Marvesa Biogas Feedstock B.V.,  Den Haag, Netherlands</t>
        </is>
      </c>
      <c r="B6765" t="inlineStr">
        <is>
          <t>Trader, Collecting Point</t>
        </is>
      </c>
      <c r="C6765" t="inlineStr">
        <is>
          <t>DEKRA Certification B.V., Arnhem, NL</t>
        </is>
      </c>
      <c r="D6765" t="inlineStr">
        <is>
          <t>13.03.2027</t>
        </is>
      </c>
      <c r="E6765" t="inlineStr">
        <is>
          <t>Netherlands</t>
        </is>
      </c>
    </row>
    <row r="6766">
      <c r="A6766" t="inlineStr">
        <is>
          <t>Cootamundra Oilseeds Pty Ltd,  Cootamundra, Australia</t>
        </is>
      </c>
      <c r="B6766" t="inlineStr">
        <is>
          <t>Processing Unit</t>
        </is>
      </c>
      <c r="C6766" t="inlineStr">
        <is>
          <t>Control Union Certifications Germany GmbH, Berlin, DE</t>
        </is>
      </c>
      <c r="D6766" t="inlineStr">
        <is>
          <t>13.03.2027</t>
        </is>
      </c>
      <c r="E6766" t="inlineStr">
        <is>
          <t>Australia</t>
        </is>
      </c>
    </row>
    <row r="6767">
      <c r="A6767" t="inlineStr">
        <is>
          <t>Homyeong Chemical Industrial Co., Ltd,  Gasan-myeon, Pocheon-si, Gyeonggi - do, Korea, Republic of</t>
        </is>
      </c>
      <c r="B6767" t="inlineStr">
        <is>
          <t>Processing Unit</t>
        </is>
      </c>
      <c r="C6767" t="inlineStr">
        <is>
          <t>Control Union Certifications Germany GmbH, Berlin, DE</t>
        </is>
      </c>
      <c r="D6767" t="inlineStr">
        <is>
          <t>13.03.2027</t>
        </is>
      </c>
      <c r="E6767" t="inlineStr">
        <is>
          <t>Republic of</t>
        </is>
      </c>
    </row>
    <row r="6768">
      <c r="A6768" t="inlineStr">
        <is>
          <t>Biesterfeld France,  Rueil-Malmaison, France</t>
        </is>
      </c>
      <c r="B6768" t="inlineStr">
        <is>
          <t>Trader with Storage</t>
        </is>
      </c>
      <c r="C6768" t="inlineStr">
        <is>
          <t>GUT Certifizierungsgesellschaft für Managementsysteme mbH Umweltgutachter, Berlin, DE</t>
        </is>
      </c>
      <c r="D6768" t="inlineStr">
        <is>
          <t>13.03.2027</t>
        </is>
      </c>
      <c r="E6768" t="inlineStr">
        <is>
          <t>France</t>
        </is>
      </c>
    </row>
    <row r="6769">
      <c r="A6769" t="inlineStr">
        <is>
          <t>KOREA ECO ENERGY., LTD,  Yeongcheon-si, Gyeongsangbuk-do, South Korea</t>
        </is>
      </c>
      <c r="B6769" t="inlineStr">
        <is>
          <t>Collecting Point, Processing Unit</t>
        </is>
      </c>
      <c r="C6769" t="inlineStr">
        <is>
          <t>SGS Germany GmbH, Emstek, DE</t>
        </is>
      </c>
      <c r="D6769" t="inlineStr">
        <is>
          <t>13.03.2027</t>
        </is>
      </c>
      <c r="E6769" t="inlineStr">
        <is>
          <t>South Korea</t>
        </is>
      </c>
    </row>
    <row r="6770">
      <c r="A6770" t="inlineStr">
        <is>
          <t>TOYODA GOSEI CO., LTD.,  Shuchi-Gun Morimachi, Shizuoka Prefecture, Japan</t>
        </is>
      </c>
      <c r="B6770" t="inlineStr">
        <is>
          <t>Point of Origin, Processing Unit, Collecting Point</t>
        </is>
      </c>
      <c r="C6770" t="inlineStr">
        <is>
          <t>SGS Germany GmbH, Emstek, DE</t>
        </is>
      </c>
      <c r="D6770" t="inlineStr">
        <is>
          <t>13.03.2027</t>
        </is>
      </c>
      <c r="E6770" t="inlineStr">
        <is>
          <t>Japan</t>
        </is>
      </c>
    </row>
    <row r="6771">
      <c r="A6771" t="inlineStr">
        <is>
          <t>Rimowa North America,  Cambridge, Canada</t>
        </is>
      </c>
      <c r="B6771" t="inlineStr">
        <is>
          <t>Final Product Refinement</t>
        </is>
      </c>
      <c r="C6771" t="inlineStr">
        <is>
          <t>SGS Germany GmbH, Emstek, DE</t>
        </is>
      </c>
      <c r="D6771" t="inlineStr">
        <is>
          <t>13.03.2027</t>
        </is>
      </c>
      <c r="E6771" t="inlineStr">
        <is>
          <t>Canada</t>
        </is>
      </c>
    </row>
    <row r="6772">
      <c r="A6772" t="inlineStr">
        <is>
          <t>ADAPA FLEXIBLES DENMARK BJERT A/S,  Bjert, Denmark</t>
        </is>
      </c>
      <c r="B6772" t="inlineStr">
        <is>
          <t>Processing Unit</t>
        </is>
      </c>
      <c r="C6772" t="inlineStr">
        <is>
          <t>Baltic Control Certification, Albertslund, DK</t>
        </is>
      </c>
      <c r="D6772" t="inlineStr">
        <is>
          <t>13.03.2027</t>
        </is>
      </c>
      <c r="E6772" t="inlineStr">
        <is>
          <t>Denmark</t>
        </is>
      </c>
    </row>
    <row r="6773">
      <c r="A6773" t="inlineStr">
        <is>
          <t>Inabata Malaysia Sdn Bhd,  Kuala Lumpur, Malaysia</t>
        </is>
      </c>
      <c r="B6773" t="inlineStr">
        <is>
          <t>Trader with Storage</t>
        </is>
      </c>
      <c r="C6773" t="inlineStr">
        <is>
          <t>Trans Certification and Inspection Sdn Bhd, Kuantan, MY</t>
        </is>
      </c>
      <c r="D6773" t="inlineStr">
        <is>
          <t>13.03.2027</t>
        </is>
      </c>
      <c r="E6773" t="inlineStr">
        <is>
          <t>Malaysia</t>
        </is>
      </c>
    </row>
    <row r="6774">
      <c r="A6774" t="inlineStr">
        <is>
          <t>LLC"OILFRITURE",  Lviv, Ukraine</t>
        </is>
      </c>
      <c r="B6774" t="inlineStr">
        <is>
          <t>Collecting Point</t>
        </is>
      </c>
      <c r="C6774" t="inlineStr">
        <is>
          <t>SGS Germany GmbH, Emstek, DE</t>
        </is>
      </c>
      <c r="D6774" t="inlineStr">
        <is>
          <t>13.03.2027</t>
        </is>
      </c>
      <c r="E6774" t="inlineStr">
        <is>
          <t>Ukraine</t>
        </is>
      </c>
    </row>
    <row r="6775">
      <c r="A6775" t="inlineStr">
        <is>
          <t>COVA Sud (Collecte Valorisation Sud),  Cannes la Bocca, France</t>
        </is>
      </c>
      <c r="B6775" t="inlineStr">
        <is>
          <t>Collecting Point, Trader with Storage</t>
        </is>
      </c>
      <c r="C6775" t="inlineStr">
        <is>
          <t>Control Union Certifications Germany GmbH, Berlin, DE</t>
        </is>
      </c>
      <c r="D6775" t="inlineStr">
        <is>
          <t>13.03.2027</t>
        </is>
      </c>
      <c r="E6775" t="inlineStr">
        <is>
          <t>France</t>
        </is>
      </c>
    </row>
    <row r="6776">
      <c r="A6776" t="inlineStr">
        <is>
          <t>Marubeni International (Europe) GmbH, London Branch,  London, United Kingdom</t>
        </is>
      </c>
      <c r="B6776" t="inlineStr">
        <is>
          <t>Trader</t>
        </is>
      </c>
      <c r="C6776" t="inlineStr">
        <is>
          <t>SGS Germany GmbH, Emstek, DE</t>
        </is>
      </c>
      <c r="D6776" t="inlineStr">
        <is>
          <t>12.03.2027</t>
        </is>
      </c>
      <c r="E6776" t="inlineStr">
        <is>
          <t>United Kingdom</t>
        </is>
      </c>
    </row>
    <row r="6777">
      <c r="A6777" t="inlineStr">
        <is>
          <t>Talchem Trading,  Delporton, Krugersdorp, South Africa</t>
        </is>
      </c>
      <c r="B6777" t="inlineStr">
        <is>
          <t>Processing Unit</t>
        </is>
      </c>
      <c r="C6777" t="inlineStr">
        <is>
          <t>SGS Germany GmbH, Emstek, DE</t>
        </is>
      </c>
      <c r="D6777" t="inlineStr">
        <is>
          <t>12.03.2027</t>
        </is>
      </c>
      <c r="E6777" t="inlineStr">
        <is>
          <t>South Africa</t>
        </is>
      </c>
    </row>
    <row r="6778">
      <c r="A6778" t="inlineStr">
        <is>
          <t>Agrograin Ltd - Sucursal Uruguay,  Montevideo, Uruguay</t>
        </is>
      </c>
      <c r="B6778" t="inlineStr">
        <is>
          <t>Trader with Storage</t>
        </is>
      </c>
      <c r="C6778" t="inlineStr">
        <is>
          <t>Control Union Poland Sp. z o.o., Zielona Gora, PL</t>
        </is>
      </c>
      <c r="D6778" t="inlineStr">
        <is>
          <t>12.03.2027</t>
        </is>
      </c>
      <c r="E6778" t="inlineStr">
        <is>
          <t>Uruguay</t>
        </is>
      </c>
    </row>
    <row r="6779">
      <c r="A6779" t="inlineStr">
        <is>
          <t>Johann Dettendorfer Spedition Ferntrans GmbH &amp; Co. KG,  Nussdorf/Inn, Germany</t>
        </is>
      </c>
      <c r="B6779" t="inlineStr">
        <is>
          <t>Trader with Storage</t>
        </is>
      </c>
      <c r="C6779" t="inlineStr">
        <is>
          <t>ASG Cert GmbH, Munich, DE</t>
        </is>
      </c>
      <c r="D6779" t="inlineStr">
        <is>
          <t>12.03.2027</t>
        </is>
      </c>
      <c r="E6779" t="inlineStr">
        <is>
          <t>Germany</t>
        </is>
      </c>
    </row>
    <row r="6780">
      <c r="A6780" t="inlineStr">
        <is>
          <t>Rhombic Corporation,  Mie, Japan</t>
        </is>
      </c>
      <c r="B6780" t="inlineStr">
        <is>
          <t>Trader</t>
        </is>
      </c>
      <c r="C6780" t="inlineStr">
        <is>
          <t>Control Union Certifications Germany GmbH, Berlin, DE</t>
        </is>
      </c>
      <c r="D6780" t="inlineStr">
        <is>
          <t>12.03.2027</t>
        </is>
      </c>
      <c r="E6780" t="inlineStr">
        <is>
          <t>Japan</t>
        </is>
      </c>
    </row>
    <row r="6781">
      <c r="A6781" t="inlineStr">
        <is>
          <t>ECOFILT SOLUCIONES AMBIENTALES, S.L.,  SANT VICENÇ DELS HORTS, Spain</t>
        </is>
      </c>
      <c r="B6781" t="inlineStr">
        <is>
          <t>Collecting Point</t>
        </is>
      </c>
      <c r="C6781" t="inlineStr">
        <is>
          <t>Control Union Poland Sp. z o.o., Zielona Gora, PL</t>
        </is>
      </c>
      <c r="D6781" t="inlineStr">
        <is>
          <t>12.03.2027</t>
        </is>
      </c>
      <c r="E6781" t="inlineStr">
        <is>
          <t>Spain</t>
        </is>
      </c>
    </row>
    <row r="6782">
      <c r="A6782" t="inlineStr">
        <is>
          <t>ELITE NATURAL OILS &amp; FUELS PRIVATE LIMITED,  Chendurthi,Gollaprolu Mandal, India</t>
        </is>
      </c>
      <c r="B6782" t="inlineStr">
        <is>
          <t>Processing Unit</t>
        </is>
      </c>
      <c r="C6782" t="inlineStr">
        <is>
          <t>SGS Germany GmbH, Emstek, DE</t>
        </is>
      </c>
      <c r="D6782" t="inlineStr">
        <is>
          <t>12.03.2027</t>
        </is>
      </c>
      <c r="E6782" t="inlineStr">
        <is>
          <t>India</t>
        </is>
      </c>
    </row>
    <row r="6783">
      <c r="A6783" t="inlineStr">
        <is>
          <t>Havi Logistics s.r.l.,  Bomporto - MO, Italy</t>
        </is>
      </c>
      <c r="B6783" t="inlineStr">
        <is>
          <t>Collecting Point, Logistics Center</t>
        </is>
      </c>
      <c r="C6783" t="inlineStr">
        <is>
          <t>SGS Germany GmbH, Emstek, DE</t>
        </is>
      </c>
      <c r="D6783" t="inlineStr">
        <is>
          <t>12.03.2027</t>
        </is>
      </c>
      <c r="E6783" t="inlineStr">
        <is>
          <t>Italy</t>
        </is>
      </c>
    </row>
    <row r="6784">
      <c r="A6784" t="inlineStr">
        <is>
          <t>Ges-Agro SA,  Abidjan, Ivory Coast</t>
        </is>
      </c>
      <c r="B6784" t="inlineStr">
        <is>
          <t>Trader</t>
        </is>
      </c>
      <c r="C6784" t="inlineStr">
        <is>
          <t>PT Intertek Utama Services, Jakarta, ID</t>
        </is>
      </c>
      <c r="D6784" t="inlineStr">
        <is>
          <t>12.03.2027</t>
        </is>
      </c>
      <c r="E6784" t="inlineStr">
        <is>
          <t>Ivory Coast</t>
        </is>
      </c>
    </row>
    <row r="6785">
      <c r="A6785" t="inlineStr">
        <is>
          <t>PT. Palem Segar Lestari,  Sembakung, Nunukan, Indonesia</t>
        </is>
      </c>
      <c r="B6785" t="inlineStr">
        <is>
          <t>Point of Origin</t>
        </is>
      </c>
      <c r="C6785" t="inlineStr">
        <is>
          <t>PT Mutuagung Lestari, Depok, ID</t>
        </is>
      </c>
      <c r="D6785" t="inlineStr">
        <is>
          <t>12.03.2027</t>
        </is>
      </c>
      <c r="E6785" t="inlineStr">
        <is>
          <t>Indonesia</t>
        </is>
      </c>
    </row>
    <row r="6786">
      <c r="A6786" t="inlineStr">
        <is>
          <t>USV-Representacoes, Consultoria Em Metalurgia E Energias Renovaveis, LDA,  Lordelo-Paredes, Portugal</t>
        </is>
      </c>
      <c r="B6786" t="inlineStr">
        <is>
          <t>Collecting Point, Trader with Storage</t>
        </is>
      </c>
      <c r="C6786" t="inlineStr">
        <is>
          <t>Certificadora Gallega del Noroeste SL, Vilagarcia de Arousa-Pontevedra, ES</t>
        </is>
      </c>
      <c r="D6786" t="inlineStr">
        <is>
          <t>12.03.2027</t>
        </is>
      </c>
      <c r="E6786" t="inlineStr">
        <is>
          <t>Portugal</t>
        </is>
      </c>
    </row>
    <row r="6787">
      <c r="A6787" t="inlineStr">
        <is>
          <t>MLÉKO.CZ družstvo,  Hradec Králové, Czech Republic</t>
        </is>
      </c>
      <c r="B6787" t="inlineStr">
        <is>
          <t>First Gathering Point</t>
        </is>
      </c>
      <c r="C6787" t="inlineStr">
        <is>
          <t>Bureau Veritas Polska Sp. z o.o., Warsaw, PL</t>
        </is>
      </c>
      <c r="D6787" t="inlineStr">
        <is>
          <t>12.03.2027</t>
        </is>
      </c>
      <c r="E6787" t="inlineStr">
        <is>
          <t>Czech Republic</t>
        </is>
      </c>
    </row>
    <row r="6788">
      <c r="A6788" t="inlineStr">
        <is>
          <t>Importazione Materie Prime spa,  Soresina, Italy</t>
        </is>
      </c>
      <c r="B6788" t="inlineStr">
        <is>
          <t>Trader</t>
        </is>
      </c>
      <c r="C6788" t="inlineStr">
        <is>
          <t>Bureau Veritas Polska Sp. z o.o., Warsaw, PL</t>
        </is>
      </c>
      <c r="D6788" t="inlineStr">
        <is>
          <t>12.03.2027</t>
        </is>
      </c>
      <c r="E6788" t="inlineStr">
        <is>
          <t>Italy</t>
        </is>
      </c>
    </row>
    <row r="6789">
      <c r="A6789" t="inlineStr">
        <is>
          <t>PUP - Saubermacher d.o.o.,  Velenje, Slovenia</t>
        </is>
      </c>
      <c r="B6789" t="inlineStr">
        <is>
          <t>Collecting Point</t>
        </is>
      </c>
      <c r="C6789" t="inlineStr">
        <is>
          <t>Bureau Veritas Polska Sp. z o.o., Warsaw, PL</t>
        </is>
      </c>
      <c r="D6789" t="inlineStr">
        <is>
          <t>12.03.2027</t>
        </is>
      </c>
      <c r="E6789" t="inlineStr">
        <is>
          <t>Slovenia</t>
        </is>
      </c>
    </row>
    <row r="6790">
      <c r="A6790" t="inlineStr">
        <is>
          <t>Flame Asia Resources Pte. Ltd.,  Singapore, Singapore</t>
        </is>
      </c>
      <c r="B6790" t="inlineStr">
        <is>
          <t>Trader</t>
        </is>
      </c>
      <c r="C6790" t="inlineStr">
        <is>
          <t>Trans Certification and Inspection Sdn Bhd, Kuantan, MY</t>
        </is>
      </c>
      <c r="D6790" t="inlineStr">
        <is>
          <t>12.03.2027</t>
        </is>
      </c>
      <c r="E6790" t="inlineStr">
        <is>
          <t>Singapore</t>
        </is>
      </c>
    </row>
    <row r="6791">
      <c r="A6791" t="inlineStr">
        <is>
          <t>FREETREND INDUSTRIAL (VIETNAM) CO., LTD,  Ho Chi Minh City, Vietnam</t>
        </is>
      </c>
      <c r="B6791" t="inlineStr">
        <is>
          <t>Final Product Refinement, Processing Unit</t>
        </is>
      </c>
      <c r="C6791" t="inlineStr">
        <is>
          <t>SGS Germany GmbH, Emstek, DE</t>
        </is>
      </c>
      <c r="D6791" t="inlineStr">
        <is>
          <t>12.03.2027</t>
        </is>
      </c>
      <c r="E6791" t="inlineStr">
        <is>
          <t>Vietnam</t>
        </is>
      </c>
    </row>
    <row r="6792">
      <c r="A6792" t="inlineStr">
        <is>
          <t>Prisma Comercial Exportadora de Oleoquímicos Ltda,  Sumaré, Centro, Brazil</t>
        </is>
      </c>
      <c r="B6792" t="inlineStr">
        <is>
          <t>Collecting Point, Processing Unit, Trader with Storage, Point of Origin</t>
        </is>
      </c>
      <c r="C6792" t="inlineStr">
        <is>
          <t>SCS Global Services, Emeryville, CA, US</t>
        </is>
      </c>
      <c r="D6792" t="inlineStr">
        <is>
          <t>12.03.2027</t>
        </is>
      </c>
      <c r="E6792" t="inlineStr">
        <is>
          <t>Brazil</t>
        </is>
      </c>
    </row>
    <row r="6793">
      <c r="A6793" t="inlineStr">
        <is>
          <t>Greenex Energy FZCO,  Dubai, United Arab Emirates</t>
        </is>
      </c>
      <c r="B6793" t="inlineStr">
        <is>
          <t>Trader</t>
        </is>
      </c>
      <c r="C6793" t="inlineStr">
        <is>
          <t>Bureau Veritas Polska Sp. z o.o., Warsaw, PL</t>
        </is>
      </c>
      <c r="D6793" t="inlineStr">
        <is>
          <t>12.03.2027</t>
        </is>
      </c>
      <c r="E6793" t="inlineStr">
        <is>
          <t>United Arab Emirates</t>
        </is>
      </c>
    </row>
    <row r="6794">
      <c r="A6794" t="inlineStr">
        <is>
          <t>Zhaoqing Hsieh Da Company Ltd.,  Zhaoqing, Guangdong, China</t>
        </is>
      </c>
      <c r="B6794" t="inlineStr">
        <is>
          <t>Processing Unit, Final Product Refinement, Trader with Storage</t>
        </is>
      </c>
      <c r="C6794" t="inlineStr">
        <is>
          <t>China Quality Certification Centre Co., Ltd., Beijing, CN</t>
        </is>
      </c>
      <c r="D6794" t="inlineStr">
        <is>
          <t>12.03.2027</t>
        </is>
      </c>
      <c r="E6794" t="inlineStr">
        <is>
          <t>China</t>
        </is>
      </c>
    </row>
    <row r="6795">
      <c r="A6795" t="inlineStr">
        <is>
          <t>ADM Export Co.,  Decatur, United States</t>
        </is>
      </c>
      <c r="B6795" t="inlineStr">
        <is>
          <t>Trader with Storage</t>
        </is>
      </c>
      <c r="C6795" t="inlineStr">
        <is>
          <t>ASG Cert GmbH, Munich, DE</t>
        </is>
      </c>
      <c r="D6795" t="inlineStr">
        <is>
          <t>12.03.2027</t>
        </is>
      </c>
      <c r="E6795" t="inlineStr">
        <is>
          <t>United States</t>
        </is>
      </c>
    </row>
    <row r="6796">
      <c r="A6796" t="inlineStr">
        <is>
          <t>Shandong Mingying Biotechnology Co., Ltd.,  Linyi (SD), China</t>
        </is>
      </c>
      <c r="B6796" t="inlineStr">
        <is>
          <t>Collecting Point, Processing Unit</t>
        </is>
      </c>
      <c r="C6796" t="inlineStr">
        <is>
          <t>RINA Services S.p.A., Genova, IT</t>
        </is>
      </c>
      <c r="D6796" t="inlineStr">
        <is>
          <t>12.03.2027</t>
        </is>
      </c>
      <c r="E6796" t="inlineStr">
        <is>
          <t>China</t>
        </is>
      </c>
    </row>
    <row r="6797">
      <c r="A6797" t="inlineStr">
        <is>
          <t>ADM Export Co.,  Decatur, United States</t>
        </is>
      </c>
      <c r="B6797" t="inlineStr">
        <is>
          <t>Trader with Storage</t>
        </is>
      </c>
      <c r="C6797" t="inlineStr">
        <is>
          <t>ASG Cert GmbH, Munich, DE</t>
        </is>
      </c>
      <c r="D6797" t="inlineStr">
        <is>
          <t>12.03.2027</t>
        </is>
      </c>
      <c r="E6797" t="inlineStr">
        <is>
          <t>United States</t>
        </is>
      </c>
    </row>
    <row r="6798">
      <c r="A6798" t="inlineStr">
        <is>
          <t>Bluestone Trading LLC,  Accra, Ghana</t>
        </is>
      </c>
      <c r="B6798" t="inlineStr">
        <is>
          <t>Trader</t>
        </is>
      </c>
      <c r="C6798" t="inlineStr">
        <is>
          <t>PT Intertek Utama Services, Jakarta, ID</t>
        </is>
      </c>
      <c r="D6798" t="inlineStr">
        <is>
          <t>12.03.2027</t>
        </is>
      </c>
      <c r="E6798" t="inlineStr">
        <is>
          <t>Ghana</t>
        </is>
      </c>
    </row>
    <row r="6799">
      <c r="A6799" t="inlineStr">
        <is>
          <t>Future Energy Holdings Co., Ltd,  Gwangmyeong-si, Gyeonggi-do, Korea, Republic of</t>
        </is>
      </c>
      <c r="B6799" t="inlineStr">
        <is>
          <t>Trader</t>
        </is>
      </c>
      <c r="C6799" t="inlineStr">
        <is>
          <t>Bureau Veritas Polska Sp. z o.o., Warsaw, PL</t>
        </is>
      </c>
      <c r="D6799" t="inlineStr">
        <is>
          <t>12.03.2027</t>
        </is>
      </c>
      <c r="E6799" t="inlineStr">
        <is>
          <t>Republic of</t>
        </is>
      </c>
    </row>
    <row r="6800">
      <c r="A6800" t="inlineStr">
        <is>
          <t>Kao Chemicals GmbH,  Emmerich am Rhein, Germany</t>
        </is>
      </c>
      <c r="B6800" t="inlineStr">
        <is>
          <t>Processing Unit</t>
        </is>
      </c>
      <c r="C6800" t="inlineStr">
        <is>
          <t>DNV Business Assurance Sweden AB, Solna, SE</t>
        </is>
      </c>
      <c r="D6800" t="inlineStr">
        <is>
          <t>12.03.2027</t>
        </is>
      </c>
      <c r="E6800" t="inlineStr">
        <is>
          <t>Germany</t>
        </is>
      </c>
    </row>
    <row r="6801">
      <c r="A6801" t="inlineStr">
        <is>
          <t>Adient Mandling GmbH &amp; Co OG,  Mandling, Austria</t>
        </is>
      </c>
      <c r="B6801" t="inlineStr">
        <is>
          <t>Processing Unit</t>
        </is>
      </c>
      <c r="C6801" t="inlineStr">
        <is>
          <t>ASG Cert GmbH, Munich, DE</t>
        </is>
      </c>
      <c r="D6801" t="inlineStr">
        <is>
          <t>12.03.2027</t>
        </is>
      </c>
      <c r="E6801" t="inlineStr">
        <is>
          <t>Austria</t>
        </is>
      </c>
    </row>
    <row r="6802">
      <c r="A6802" t="inlineStr">
        <is>
          <t>Adient Slovakia,  Lučenec, Slovakia</t>
        </is>
      </c>
      <c r="B6802" t="inlineStr">
        <is>
          <t>Processing Unit</t>
        </is>
      </c>
      <c r="C6802" t="inlineStr">
        <is>
          <t>ASG Cert GmbH, Munich, DE</t>
        </is>
      </c>
      <c r="D6802" t="inlineStr">
        <is>
          <t>12.03.2027</t>
        </is>
      </c>
      <c r="E6802" t="inlineStr">
        <is>
          <t>Slovakia</t>
        </is>
      </c>
    </row>
    <row r="6803">
      <c r="A6803" t="inlineStr">
        <is>
          <t>Green Rubber Energy Company Limited,  Bangpu, Thailand</t>
        </is>
      </c>
      <c r="B6803" t="inlineStr">
        <is>
          <t>Collecting Point, Processing Unit</t>
        </is>
      </c>
      <c r="C6803" t="inlineStr">
        <is>
          <t>SGS Germany GmbH, Emstek, DE</t>
        </is>
      </c>
      <c r="D6803" t="inlineStr">
        <is>
          <t>12.03.2027</t>
        </is>
      </c>
      <c r="E6803" t="inlineStr">
        <is>
          <t>Thailand</t>
        </is>
      </c>
    </row>
    <row r="6804">
      <c r="A6804" t="inlineStr">
        <is>
          <t>Cremer Oleo Paraguay S.A.,  Villeta, Paraguay</t>
        </is>
      </c>
      <c r="B6804" t="inlineStr">
        <is>
          <t>Point of Origin, Processing Unit, Trader with Storage</t>
        </is>
      </c>
      <c r="C6804" t="inlineStr">
        <is>
          <t>Control Union Poland Sp. z o.o., Zielona Gora, PL</t>
        </is>
      </c>
      <c r="D6804" t="inlineStr">
        <is>
          <t>12.03.2027</t>
        </is>
      </c>
      <c r="E6804" t="inlineStr">
        <is>
          <t>Paraguay</t>
        </is>
      </c>
    </row>
    <row r="6805">
      <c r="A6805" t="inlineStr">
        <is>
          <t>MITSUI &amp; CO., LTD.,  Chiyoda-ku, Tokyo, Japan</t>
        </is>
      </c>
      <c r="B6805" t="inlineStr">
        <is>
          <t>Trader with Storage</t>
        </is>
      </c>
      <c r="C6805" t="inlineStr">
        <is>
          <t>Control Union Certifications Germany GmbH, Berlin, DE</t>
        </is>
      </c>
      <c r="D6805" t="inlineStr">
        <is>
          <t>12.03.2027</t>
        </is>
      </c>
      <c r="E6805" t="inlineStr">
        <is>
          <t>Japan</t>
        </is>
      </c>
    </row>
    <row r="6806">
      <c r="A6806" t="inlineStr">
        <is>
          <t>Cabot Italiana Spa,  Ravenna, Italy</t>
        </is>
      </c>
      <c r="B6806" t="inlineStr">
        <is>
          <t>Final Product Refinement, Processing Unit, Warehouse</t>
        </is>
      </c>
      <c r="C6806" t="inlineStr">
        <is>
          <t>SGS Germany GmbH, Emstek, DE</t>
        </is>
      </c>
      <c r="D6806" t="inlineStr">
        <is>
          <t>12.03.2027</t>
        </is>
      </c>
      <c r="E6806" t="inlineStr">
        <is>
          <t>Italy</t>
        </is>
      </c>
    </row>
    <row r="6807">
      <c r="A6807" t="inlineStr">
        <is>
          <t>DUNAGRICOL CARGO SRL,  CALAFAT DOLJ, Romania</t>
        </is>
      </c>
      <c r="B6807" t="inlineStr">
        <is>
          <t>First Gathering Point, Trader with Storage</t>
        </is>
      </c>
      <c r="C6807" t="inlineStr">
        <is>
          <t>BM Certification, Riga, LV</t>
        </is>
      </c>
      <c r="D6807" t="inlineStr">
        <is>
          <t>12.03.2027</t>
        </is>
      </c>
      <c r="E6807" t="inlineStr">
        <is>
          <t>Romania</t>
        </is>
      </c>
    </row>
    <row r="6808">
      <c r="A6808" t="inlineStr">
        <is>
          <t>ProAmpac Holdings, Inc.,  Westfield, United States</t>
        </is>
      </c>
      <c r="B6808" t="inlineStr">
        <is>
          <t>Processing Unit, Trader with Storage</t>
        </is>
      </c>
      <c r="C6808" t="inlineStr">
        <is>
          <t>SCS Global Services, Emeryville, CA, US</t>
        </is>
      </c>
      <c r="D6808" t="inlineStr">
        <is>
          <t>12.03.2027</t>
        </is>
      </c>
      <c r="E6808" t="inlineStr">
        <is>
          <t>United States</t>
        </is>
      </c>
    </row>
    <row r="6809">
      <c r="A6809" t="inlineStr">
        <is>
          <t>Ercros, S.A.,  Tortosa, Spain</t>
        </is>
      </c>
      <c r="B6809" t="inlineStr">
        <is>
          <t>Processing Unit</t>
        </is>
      </c>
      <c r="C6809" t="inlineStr">
        <is>
          <t>SGS Germany GmbH, Emstek, DE</t>
        </is>
      </c>
      <c r="D6809" t="inlineStr">
        <is>
          <t>12.03.2027</t>
        </is>
      </c>
      <c r="E6809" t="inlineStr">
        <is>
          <t>Spain</t>
        </is>
      </c>
    </row>
    <row r="6810">
      <c r="A6810" t="inlineStr">
        <is>
          <t>Japan Polypropylene Corporation, Mizushima Plant,  Kurashiki-shi, Okayama, Japan</t>
        </is>
      </c>
      <c r="B6810" t="inlineStr">
        <is>
          <t>Processing Unit</t>
        </is>
      </c>
      <c r="C6810" t="inlineStr">
        <is>
          <t>SGS Germany GmbH, Emstek, DE</t>
        </is>
      </c>
      <c r="D6810" t="inlineStr">
        <is>
          <t>12.03.2027</t>
        </is>
      </c>
      <c r="E6810" t="inlineStr">
        <is>
          <t>Japan</t>
        </is>
      </c>
    </row>
    <row r="6811">
      <c r="A6811" t="inlineStr">
        <is>
          <t>SK Chemicals (Shanghai) Co., Ltd.,  Shanghai, Changning, China</t>
        </is>
      </c>
      <c r="B6811" t="inlineStr">
        <is>
          <t>Trader with Storage</t>
        </is>
      </c>
      <c r="C6811" t="inlineStr">
        <is>
          <t>SGS Germany GmbH, Emstek, DE</t>
        </is>
      </c>
      <c r="D6811" t="inlineStr">
        <is>
          <t>12.03.2027</t>
        </is>
      </c>
      <c r="E6811" t="inlineStr">
        <is>
          <t>China</t>
        </is>
      </c>
    </row>
    <row r="6812">
      <c r="A6812" t="inlineStr">
        <is>
          <t>Bespack Co., Ltd. Kantou Factory,  Kasama-shi, Ibaraki-ken, Japan</t>
        </is>
      </c>
      <c r="B6812" t="inlineStr">
        <is>
          <t>Processing Unit</t>
        </is>
      </c>
      <c r="C6812" t="inlineStr">
        <is>
          <t>SGS Germany GmbH, Emstek, DE</t>
        </is>
      </c>
      <c r="D6812" t="inlineStr">
        <is>
          <t>12.03.2027</t>
        </is>
      </c>
      <c r="E6812" t="inlineStr">
        <is>
          <t>Japan</t>
        </is>
      </c>
    </row>
    <row r="6813">
      <c r="A6813" t="inlineStr">
        <is>
          <t>NADICER SRL,  GALATI, Romania</t>
        </is>
      </c>
      <c r="B6813" t="inlineStr">
        <is>
          <t>First Gathering Point, Trader with Storage</t>
        </is>
      </c>
      <c r="C6813" t="inlineStr">
        <is>
          <t>SGS Germany GmbH, Emstek, DE</t>
        </is>
      </c>
      <c r="D6813" t="inlineStr">
        <is>
          <t>12.03.2027</t>
        </is>
      </c>
      <c r="E6813" t="inlineStr">
        <is>
          <t>Romania</t>
        </is>
      </c>
    </row>
    <row r="6814">
      <c r="A6814" t="inlineStr">
        <is>
          <t>Borealis GmbH,  Schwechat-Mannswörth, Austria</t>
        </is>
      </c>
      <c r="B6814" t="inlineStr">
        <is>
          <t>Processing Unit, Trader with Storage</t>
        </is>
      </c>
      <c r="C6814" t="inlineStr">
        <is>
          <t>SGS Germany GmbH, Emstek, DE</t>
        </is>
      </c>
      <c r="D6814" t="inlineStr">
        <is>
          <t>12.03.2027</t>
        </is>
      </c>
      <c r="E6814" t="inlineStr">
        <is>
          <t>Austria</t>
        </is>
      </c>
    </row>
    <row r="6815">
      <c r="A6815" t="inlineStr">
        <is>
          <t>Steinmaßl GmbH,  Nußbach, Austria</t>
        </is>
      </c>
      <c r="B6815" t="inlineStr">
        <is>
          <t>Collecting Point, Trader with Storage, Point of Origin</t>
        </is>
      </c>
      <c r="C6815" t="inlineStr">
        <is>
          <t>agroVet GmbH, Enzersfeld, AT</t>
        </is>
      </c>
      <c r="D6815" t="inlineStr">
        <is>
          <t>12.03.2027</t>
        </is>
      </c>
      <c r="E6815" t="inlineStr">
        <is>
          <t>Austria</t>
        </is>
      </c>
    </row>
    <row r="6816">
      <c r="A6816" t="inlineStr">
        <is>
          <t>Comagrin, a.s.,  Praha 5 Jinonice, Czech Republic</t>
        </is>
      </c>
      <c r="B6816" t="inlineStr">
        <is>
          <t>First Gathering Point, Logistics Center, Trader with Storage</t>
        </is>
      </c>
      <c r="C6816" t="inlineStr">
        <is>
          <t>Bureau Veritas Polska Sp. z o.o., Warsaw, PL</t>
        </is>
      </c>
      <c r="D6816" t="inlineStr">
        <is>
          <t>12.03.2027</t>
        </is>
      </c>
      <c r="E6816" t="inlineStr">
        <is>
          <t>Czech Republic</t>
        </is>
      </c>
    </row>
    <row r="6817">
      <c r="A6817" t="inlineStr">
        <is>
          <t>Nouryon Surface Chemistry,  Salisbury, United States</t>
        </is>
      </c>
      <c r="B6817" t="inlineStr">
        <is>
          <t>Processing Unit</t>
        </is>
      </c>
      <c r="C6817" t="inlineStr">
        <is>
          <t>DNV Business Assurance Sweden AB, Solna, SE</t>
        </is>
      </c>
      <c r="D6817" t="inlineStr">
        <is>
          <t>12.03.2027</t>
        </is>
      </c>
      <c r="E6817" t="inlineStr">
        <is>
          <t>United States</t>
        </is>
      </c>
    </row>
    <row r="6818">
      <c r="A6818" t="inlineStr">
        <is>
          <t>UNIGREEN,  MILANO, Italy</t>
        </is>
      </c>
      <c r="B6818" t="inlineStr">
        <is>
          <t>Trader with Storage</t>
        </is>
      </c>
      <c r="C6818" t="inlineStr">
        <is>
          <t>Control Union Poland Sp. z o.o., Zielona Gora, PL</t>
        </is>
      </c>
      <c r="D6818" t="inlineStr">
        <is>
          <t>12.03.2027</t>
        </is>
      </c>
      <c r="E6818" t="inlineStr">
        <is>
          <t>Italy</t>
        </is>
      </c>
    </row>
    <row r="6819">
      <c r="A6819" t="inlineStr">
        <is>
          <t>Borbély Istvánné ev.,  Solt, Hungary</t>
        </is>
      </c>
      <c r="B6819" t="inlineStr">
        <is>
          <t>First Gathering Point</t>
        </is>
      </c>
      <c r="C6819" t="inlineStr">
        <is>
          <t>Certificadora Gallega del Noroeste SL, Vilagarcia de Arousa-Pontevedra, ES</t>
        </is>
      </c>
      <c r="D6819" t="inlineStr">
        <is>
          <t>12.03.2027</t>
        </is>
      </c>
      <c r="E6819" t="inlineStr">
        <is>
          <t>Hungary</t>
        </is>
      </c>
    </row>
    <row r="6820">
      <c r="A6820" t="inlineStr">
        <is>
          <t>Tetra Pak (Thailand) Ltd.,  Pluakdaeng, Thailand</t>
        </is>
      </c>
      <c r="B6820" t="inlineStr">
        <is>
          <t>Processing Unit</t>
        </is>
      </c>
      <c r="C6820" t="inlineStr">
        <is>
          <t>SCS Global Services, Emeryville, CA, US</t>
        </is>
      </c>
      <c r="D6820" t="inlineStr">
        <is>
          <t>12.03.2027</t>
        </is>
      </c>
      <c r="E6820" t="inlineStr">
        <is>
          <t>Thailand</t>
        </is>
      </c>
    </row>
    <row r="6821">
      <c r="A6821" t="inlineStr">
        <is>
          <t>Distrupol Limited,  Surrey, United Kingdom</t>
        </is>
      </c>
      <c r="B6821" t="inlineStr">
        <is>
          <t>Trader with Storage</t>
        </is>
      </c>
      <c r="C6821" t="inlineStr">
        <is>
          <t>Certificadora Gallega del Noroeste SL, Vilagarcia de Arousa-Pontevedra, ES</t>
        </is>
      </c>
      <c r="D6821" t="inlineStr">
        <is>
          <t>12.03.2027</t>
        </is>
      </c>
      <c r="E6821" t="inlineStr">
        <is>
          <t>United Kingdom</t>
        </is>
      </c>
    </row>
    <row r="6822">
      <c r="A6822" t="inlineStr">
        <is>
          <t>Distrupol Nordic AB,  Chertsey, United Kingdom</t>
        </is>
      </c>
      <c r="B6822" t="inlineStr">
        <is>
          <t>Trader with Storage</t>
        </is>
      </c>
      <c r="C6822" t="inlineStr">
        <is>
          <t>Certificadora Gallega del Noroeste SL, Vilagarcia de Arousa-Pontevedra, ES</t>
        </is>
      </c>
      <c r="D6822" t="inlineStr">
        <is>
          <t>12.03.2027</t>
        </is>
      </c>
      <c r="E6822" t="inlineStr">
        <is>
          <t>United Kingdom</t>
        </is>
      </c>
    </row>
    <row r="6823">
      <c r="A6823" t="inlineStr">
        <is>
          <t>Distrupol Nordic Aktiebolag Filial Finland,  Chertsey, United Kingdom</t>
        </is>
      </c>
      <c r="B6823" t="inlineStr">
        <is>
          <t>Trader with Storage</t>
        </is>
      </c>
      <c r="C6823" t="inlineStr">
        <is>
          <t>Certificadora Gallega del Noroeste SL, Vilagarcia de Arousa-Pontevedra, ES</t>
        </is>
      </c>
      <c r="D6823" t="inlineStr">
        <is>
          <t>12.03.2027</t>
        </is>
      </c>
      <c r="E6823" t="inlineStr">
        <is>
          <t>United Kingdom</t>
        </is>
      </c>
    </row>
    <row r="6824">
      <c r="A6824" t="inlineStr">
        <is>
          <t>Extractie Agricultura,  Medgidia, Romania</t>
        </is>
      </c>
      <c r="B6824" t="inlineStr">
        <is>
          <t>Processing Unit</t>
        </is>
      </c>
      <c r="C6824" t="inlineStr">
        <is>
          <t>BM Certification, Riga, LV</t>
        </is>
      </c>
      <c r="D6824" t="inlineStr">
        <is>
          <t>12.03.2027</t>
        </is>
      </c>
      <c r="E6824" t="inlineStr">
        <is>
          <t>Romania</t>
        </is>
      </c>
    </row>
    <row r="6825">
      <c r="A6825" t="inlineStr">
        <is>
          <t>Distrupol BV,  Chertsey, United Kingdom</t>
        </is>
      </c>
      <c r="B6825" t="inlineStr">
        <is>
          <t>Trader with Storage</t>
        </is>
      </c>
      <c r="C6825" t="inlineStr">
        <is>
          <t>Certificadora Gallega del Noroeste SL, Vilagarcia de Arousa-Pontevedra, ES</t>
        </is>
      </c>
      <c r="D6825" t="inlineStr">
        <is>
          <t>12.03.2027</t>
        </is>
      </c>
      <c r="E6825" t="inlineStr">
        <is>
          <t>United Kingdom</t>
        </is>
      </c>
    </row>
    <row r="6826">
      <c r="A6826" t="inlineStr">
        <is>
          <t>Sealedair,  Passirana di Rho, Italy</t>
        </is>
      </c>
      <c r="B6826" t="inlineStr">
        <is>
          <t>Processing Unit, Trader with Storage</t>
        </is>
      </c>
      <c r="C6826" t="inlineStr">
        <is>
          <t>DNV Business Assurance Sweden AB, Solna, SE</t>
        </is>
      </c>
      <c r="D6826" t="inlineStr">
        <is>
          <t>11.03.2027</t>
        </is>
      </c>
      <c r="E6826" t="inlineStr">
        <is>
          <t>Italy</t>
        </is>
      </c>
    </row>
    <row r="6827">
      <c r="A6827" t="inlineStr">
        <is>
          <t>VERDE YAĞ BESİN MADDELERİ SAN. VE TİC. A.Ş.,  İZMİR, Turkey</t>
        </is>
      </c>
      <c r="B6827" t="inlineStr">
        <is>
          <t>Point of Origin</t>
        </is>
      </c>
      <c r="C6827" t="inlineStr">
        <is>
          <t>Trans Certification and Inspection Sdn Bhd, Kuantan, MY</t>
        </is>
      </c>
      <c r="D6827" t="inlineStr">
        <is>
          <t>11.03.2027</t>
        </is>
      </c>
      <c r="E6827" t="inlineStr">
        <is>
          <t>Turkey</t>
        </is>
      </c>
    </row>
    <row r="6828">
      <c r="A6828" t="inlineStr">
        <is>
          <t>Abwasserverband Hall in Tirol - Fritzens,  Fritzens, Austria</t>
        </is>
      </c>
      <c r="B6828" t="inlineStr">
        <is>
          <t>Collecting Point, Trader with Storage</t>
        </is>
      </c>
      <c r="C6828" t="inlineStr">
        <is>
          <t>agroVet GmbH, Enzersfeld, AT</t>
        </is>
      </c>
      <c r="D6828" t="inlineStr">
        <is>
          <t>11.03.2027</t>
        </is>
      </c>
      <c r="E6828" t="inlineStr">
        <is>
          <t>Austria</t>
        </is>
      </c>
    </row>
    <row r="6829">
      <c r="A6829" t="inlineStr">
        <is>
          <t>Hansin Gıda Amb. Mak. Ener. İml. İth. İhr. San. ve Tic. A.Ş.,  Toroslar, Turkey</t>
        </is>
      </c>
      <c r="B6829" t="inlineStr">
        <is>
          <t>Trader with Storage</t>
        </is>
      </c>
      <c r="C6829" t="inlineStr">
        <is>
          <t>Trans Certification and Inspection Sdn Bhd, Kuantan, MY</t>
        </is>
      </c>
      <c r="D6829" t="inlineStr">
        <is>
          <t>11.03.2027</t>
        </is>
      </c>
      <c r="E6829" t="inlineStr">
        <is>
          <t>Turkey</t>
        </is>
      </c>
    </row>
    <row r="6830">
      <c r="A6830" t="inlineStr">
        <is>
          <t>Shanghai BASF Polyurethane Co., Ltd.,  Shanghai, China</t>
        </is>
      </c>
      <c r="B6830" t="inlineStr">
        <is>
          <t>Processing Unit</t>
        </is>
      </c>
      <c r="C6830" t="inlineStr">
        <is>
          <t>TÜV NORD CERT GmbH, Essen, DE</t>
        </is>
      </c>
      <c r="D6830" t="inlineStr">
        <is>
          <t>11.03.2027</t>
        </is>
      </c>
      <c r="E6830" t="inlineStr">
        <is>
          <t>China</t>
        </is>
      </c>
    </row>
    <row r="6831">
      <c r="A6831" t="inlineStr">
        <is>
          <t>Greenjoules Pvt Ltd,  Pune, India</t>
        </is>
      </c>
      <c r="B6831" t="inlineStr">
        <is>
          <t>Collecting Point, Processing Unit</t>
        </is>
      </c>
      <c r="C6831" t="inlineStr">
        <is>
          <t>Cotecna India Inspection Pvt Ltd, Kolkata, IN</t>
        </is>
      </c>
      <c r="D6831" t="inlineStr">
        <is>
          <t>11.03.2027</t>
        </is>
      </c>
      <c r="E6831" t="inlineStr">
        <is>
          <t>India</t>
        </is>
      </c>
    </row>
    <row r="6832">
      <c r="A6832" t="inlineStr">
        <is>
          <t>Vaškai biomethane, ŽŪB,  Daičiūnai, Vašku sen., Pasvalio r. sav., Lithuania</t>
        </is>
      </c>
      <c r="B6832" t="inlineStr">
        <is>
          <t>Collecting Point, Processing Unit</t>
        </is>
      </c>
      <c r="C6832" t="inlineStr">
        <is>
          <t>Bureau Veritas Polska Sp. z o.o., Warsaw, PL</t>
        </is>
      </c>
      <c r="D6832" t="inlineStr">
        <is>
          <t>11.03.2027</t>
        </is>
      </c>
      <c r="E6832" t="inlineStr">
        <is>
          <t>Lithuania</t>
        </is>
      </c>
    </row>
    <row r="6833">
      <c r="A6833" t="inlineStr">
        <is>
          <t>Commander s.r.o.,  Leopoldov, Slovakia</t>
        </is>
      </c>
      <c r="B6833" t="inlineStr">
        <is>
          <t>Processing Unit, Trader</t>
        </is>
      </c>
      <c r="C6833" t="inlineStr">
        <is>
          <t>United Registrar of Systems Polska Sp. z o.o., Wrocław, PL</t>
        </is>
      </c>
      <c r="D6833" t="inlineStr">
        <is>
          <t>11.03.2027</t>
        </is>
      </c>
      <c r="E6833" t="inlineStr">
        <is>
          <t>Slovakia</t>
        </is>
      </c>
    </row>
    <row r="6834">
      <c r="A6834" t="inlineStr">
        <is>
          <t>KIM YEE INTERNATIONAL TRADING PTE. LTD.,  Changsha City, Hunan Province, China</t>
        </is>
      </c>
      <c r="B6834" t="inlineStr">
        <is>
          <t>Trader</t>
        </is>
      </c>
      <c r="C6834" t="inlineStr">
        <is>
          <t>RINA Services S.p.A., Genova, IT</t>
        </is>
      </c>
      <c r="D6834" t="inlineStr">
        <is>
          <t>11.03.2027</t>
        </is>
      </c>
      <c r="E6834" t="inlineStr">
        <is>
          <t>China</t>
        </is>
      </c>
    </row>
    <row r="6835">
      <c r="A6835" t="inlineStr">
        <is>
          <t>INEOS Olefins &amp; Polymers USA,  Alvin, TX, United States</t>
        </is>
      </c>
      <c r="B6835" t="inlineStr">
        <is>
          <t>Collecting Point, Processing Unit</t>
        </is>
      </c>
      <c r="C6835" t="inlineStr">
        <is>
          <t>SCS Global Services, Emeryville, CA, US</t>
        </is>
      </c>
      <c r="D6835" t="inlineStr">
        <is>
          <t>11.03.2027</t>
        </is>
      </c>
      <c r="E6835" t="inlineStr">
        <is>
          <t>United States</t>
        </is>
      </c>
    </row>
    <row r="6836">
      <c r="A6836" t="inlineStr">
        <is>
          <t>INEOS Olefins &amp; Polymers USA,  Long Beach, CA, United States</t>
        </is>
      </c>
      <c r="B6836" t="inlineStr">
        <is>
          <t>Collecting Point, Processing Unit</t>
        </is>
      </c>
      <c r="C6836" t="inlineStr">
        <is>
          <t>SCS Global Services, Emeryville, CA, US</t>
        </is>
      </c>
      <c r="D6836" t="inlineStr">
        <is>
          <t>11.03.2027</t>
        </is>
      </c>
      <c r="E6836" t="inlineStr">
        <is>
          <t>United States</t>
        </is>
      </c>
    </row>
    <row r="6837">
      <c r="A6837" t="inlineStr">
        <is>
          <t>Vikan,  Skive, Denmark</t>
        </is>
      </c>
      <c r="B6837" t="inlineStr">
        <is>
          <t>Trader with Storage</t>
        </is>
      </c>
      <c r="C6837" t="inlineStr">
        <is>
          <t>Baltic Control Certification, Risskov, DK</t>
        </is>
      </c>
      <c r="D6837" t="inlineStr">
        <is>
          <t>11.03.2027</t>
        </is>
      </c>
      <c r="E6837" t="inlineStr">
        <is>
          <t>Denmark</t>
        </is>
      </c>
    </row>
    <row r="6838">
      <c r="A6838" t="inlineStr">
        <is>
          <t>innogy Energie,  Strasnice, Praha 10, Czech Republic</t>
        </is>
      </c>
      <c r="B6838" t="inlineStr">
        <is>
          <t>Trader</t>
        </is>
      </c>
      <c r="C6838" t="inlineStr">
        <is>
          <t>TÜV SÜD Czech s.r.o., Praha 4, CZ</t>
        </is>
      </c>
      <c r="D6838" t="inlineStr">
        <is>
          <t>11.03.2027</t>
        </is>
      </c>
      <c r="E6838" t="inlineStr">
        <is>
          <t>Czech Republic</t>
        </is>
      </c>
    </row>
    <row r="6839">
      <c r="A6839" t="inlineStr">
        <is>
          <t>Ership SAU,  VALENCIA, Spain</t>
        </is>
      </c>
      <c r="B6839" t="inlineStr">
        <is>
          <t>Logistics Center</t>
        </is>
      </c>
      <c r="C6839" t="inlineStr">
        <is>
          <t>PT Intertek Utama Services, Jakarta, ID</t>
        </is>
      </c>
      <c r="D6839" t="inlineStr">
        <is>
          <t>11.03.2027</t>
        </is>
      </c>
      <c r="E6839" t="inlineStr">
        <is>
          <t>Spain</t>
        </is>
      </c>
    </row>
    <row r="6840">
      <c r="A6840" t="inlineStr">
        <is>
          <t>Hangzhou Zhongben Trading Co Ltd.,  Hangzhou City, Zhejiang Province,, China</t>
        </is>
      </c>
      <c r="B6840" t="inlineStr">
        <is>
          <t>Trader</t>
        </is>
      </c>
      <c r="C6840" t="inlineStr">
        <is>
          <t>SCS Global Services, Emeryville, CA, US</t>
        </is>
      </c>
      <c r="D6840" t="inlineStr">
        <is>
          <t>11.03.2027</t>
        </is>
      </c>
      <c r="E6840" t="inlineStr">
        <is>
          <t>China</t>
        </is>
      </c>
    </row>
    <row r="6841">
      <c r="A6841" t="inlineStr">
        <is>
          <t>INEOS Olefins &amp; Polymers USA,  La Porte, TX, United States</t>
        </is>
      </c>
      <c r="B6841" t="inlineStr">
        <is>
          <t>Collecting Point, Processing Unit</t>
        </is>
      </c>
      <c r="C6841" t="inlineStr">
        <is>
          <t>SCS Global Services, Emeryville, CA, US</t>
        </is>
      </c>
      <c r="D6841" t="inlineStr">
        <is>
          <t>11.03.2027</t>
        </is>
      </c>
      <c r="E6841" t="inlineStr">
        <is>
          <t>United States</t>
        </is>
      </c>
    </row>
    <row r="6842">
      <c r="A6842" t="inlineStr">
        <is>
          <t>PT Berkat Sawit Sejati,  Kabupaten Musi Banyuasin,Provinsi Sumatera Selatan, Indonesia</t>
        </is>
      </c>
      <c r="B6842" t="inlineStr">
        <is>
          <t>Point of Origin</t>
        </is>
      </c>
      <c r="C6842" t="inlineStr">
        <is>
          <t>Control Union Certifications Germany GmbH, Berlin, DE</t>
        </is>
      </c>
      <c r="D6842" t="inlineStr">
        <is>
          <t>11.03.2027</t>
        </is>
      </c>
      <c r="E6842" t="inlineStr">
        <is>
          <t>Indonesia</t>
        </is>
      </c>
    </row>
    <row r="6843">
      <c r="A6843" t="inlineStr">
        <is>
          <t>Avient Colorants Sweden AB,  Malmö, Sweden</t>
        </is>
      </c>
      <c r="B6843" t="inlineStr">
        <is>
          <t>Processing Unit</t>
        </is>
      </c>
      <c r="C6843" t="inlineStr">
        <is>
          <t>DNV Business Assurance Sweden AB, Solna, SE</t>
        </is>
      </c>
      <c r="D6843" t="inlineStr">
        <is>
          <t>11.03.2027</t>
        </is>
      </c>
      <c r="E6843" t="inlineStr">
        <is>
          <t>Sweden</t>
        </is>
      </c>
    </row>
    <row r="6844">
      <c r="A6844" t="inlineStr">
        <is>
          <t>Andekærgaard Biogas,  Svendborg, Denmark</t>
        </is>
      </c>
      <c r="B6844" t="inlineStr">
        <is>
          <t>Collecting Point, First Gathering Point, Processing Unit</t>
        </is>
      </c>
      <c r="C6844" t="inlineStr">
        <is>
          <t>NCS Estonia OÜ, Tallinn, EE</t>
        </is>
      </c>
      <c r="D6844" t="inlineStr">
        <is>
          <t>11.03.2027</t>
        </is>
      </c>
      <c r="E6844" t="inlineStr">
        <is>
          <t>Denmark</t>
        </is>
      </c>
    </row>
    <row r="6845">
      <c r="A6845" t="inlineStr">
        <is>
          <t>Orom-Imexpo,  Orhei, Moldova, Moldova</t>
        </is>
      </c>
      <c r="B6845" t="inlineStr">
        <is>
          <t>First Gathering Point, Trader with Storage</t>
        </is>
      </c>
      <c r="C6845" t="inlineStr">
        <is>
          <t>Aciter Genelab LLC, Odessa, UA</t>
        </is>
      </c>
      <c r="D6845" t="inlineStr">
        <is>
          <t>11.03.2027</t>
        </is>
      </c>
      <c r="E6845" t="inlineStr">
        <is>
          <t>Moldova</t>
        </is>
      </c>
    </row>
    <row r="6846">
      <c r="A6846" t="inlineStr">
        <is>
          <t>Fujian Refining &amp; Petrochemical Company Limited,  Quanzhou City, Fujian Province, China</t>
        </is>
      </c>
      <c r="B6846" t="inlineStr">
        <is>
          <t>Processing Unit</t>
        </is>
      </c>
      <c r="C6846" t="inlineStr">
        <is>
          <t>SCS Global Services, Emeryville, CA, US</t>
        </is>
      </c>
      <c r="D6846" t="inlineStr">
        <is>
          <t>11.03.2027</t>
        </is>
      </c>
      <c r="E6846" t="inlineStr">
        <is>
          <t>China</t>
        </is>
      </c>
    </row>
    <row r="6847">
      <c r="A6847" t="inlineStr">
        <is>
          <t>Alquimia Inc.,  Miami, United States</t>
        </is>
      </c>
      <c r="B6847" t="inlineStr">
        <is>
          <t>Trader</t>
        </is>
      </c>
      <c r="C6847" t="inlineStr">
        <is>
          <t>Control Union Poland Sp. z o.o., Zielona Gora, PL</t>
        </is>
      </c>
      <c r="D6847" t="inlineStr">
        <is>
          <t>11.03.2027</t>
        </is>
      </c>
      <c r="E6847" t="inlineStr">
        <is>
          <t>United States</t>
        </is>
      </c>
    </row>
    <row r="6848">
      <c r="A6848" t="inlineStr">
        <is>
          <t>BP Gas Marketing ltd,  London, United Kingdom</t>
        </is>
      </c>
      <c r="B6848" t="inlineStr">
        <is>
          <t>Trader</t>
        </is>
      </c>
      <c r="C6848" t="inlineStr">
        <is>
          <t>Control Union Certifications Germany GmbH, Berlin, DE</t>
        </is>
      </c>
      <c r="D6848" t="inlineStr">
        <is>
          <t>11.03.2027</t>
        </is>
      </c>
      <c r="E6848" t="inlineStr">
        <is>
          <t>United Kingdom</t>
        </is>
      </c>
    </row>
    <row r="6849">
      <c r="A6849" t="inlineStr">
        <is>
          <t>UAB Neste Lietuva,  Vilnius, Lithuania</t>
        </is>
      </c>
      <c r="B6849" t="inlineStr">
        <is>
          <t>Trader</t>
        </is>
      </c>
      <c r="C6849" t="inlineStr">
        <is>
          <t>SGS Germany GmbH, Emstek, DE</t>
        </is>
      </c>
      <c r="D6849" t="inlineStr">
        <is>
          <t>11.03.2027</t>
        </is>
      </c>
      <c r="E6849" t="inlineStr">
        <is>
          <t>Lithuania</t>
        </is>
      </c>
    </row>
    <row r="6850">
      <c r="A6850" t="inlineStr">
        <is>
          <t>Euro Premium Energy SA,  Geneva, Switzerland</t>
        </is>
      </c>
      <c r="B6850" t="inlineStr">
        <is>
          <t>Trader with Storage</t>
        </is>
      </c>
      <c r="C6850" t="inlineStr">
        <is>
          <t>BM Certification, Riga, LV</t>
        </is>
      </c>
      <c r="D6850" t="inlineStr">
        <is>
          <t>11.03.2027</t>
        </is>
      </c>
      <c r="E6850" t="inlineStr">
        <is>
          <t>Switzerland</t>
        </is>
      </c>
    </row>
    <row r="6851">
      <c r="A6851" t="inlineStr">
        <is>
          <t>Chimbusco International Petroleum (Singapore) Pte Ltd,  Singapore, Singapore</t>
        </is>
      </c>
      <c r="B6851" t="inlineStr">
        <is>
          <t>Trader</t>
        </is>
      </c>
      <c r="C6851" t="inlineStr">
        <is>
          <t>Double Helix Tracking Technologies Pte Ltd, Singapore, SG</t>
        </is>
      </c>
      <c r="D6851" t="inlineStr">
        <is>
          <t>11.03.2027</t>
        </is>
      </c>
      <c r="E6851" t="inlineStr">
        <is>
          <t>Singapore</t>
        </is>
      </c>
    </row>
    <row r="6852">
      <c r="A6852" t="inlineStr">
        <is>
          <t>Chimbusco International Petroleum (Singapore) Pte Ltd,  Singapore, Singapore</t>
        </is>
      </c>
      <c r="B6852" t="inlineStr">
        <is>
          <t>Trader</t>
        </is>
      </c>
      <c r="C6852" t="inlineStr">
        <is>
          <t>Double Helix Tracking Technologies Pte Ltd, Singapore, SG</t>
        </is>
      </c>
      <c r="D6852" t="inlineStr">
        <is>
          <t>11.03.2027</t>
        </is>
      </c>
      <c r="E6852" t="inlineStr">
        <is>
          <t>Singapore</t>
        </is>
      </c>
    </row>
    <row r="6853">
      <c r="A6853" t="inlineStr">
        <is>
          <t>GIA HUNG LAOS CO, LTD.,  Vientiane Capital, Laos</t>
        </is>
      </c>
      <c r="B6853" t="inlineStr">
        <is>
          <t>Collecting Point</t>
        </is>
      </c>
      <c r="C6853" t="inlineStr">
        <is>
          <t>PT Intertek Utama Services, Jakarta, ID</t>
        </is>
      </c>
      <c r="D6853" t="inlineStr">
        <is>
          <t>11.03.2027</t>
        </is>
      </c>
      <c r="E6853" t="inlineStr">
        <is>
          <t>Laos</t>
        </is>
      </c>
    </row>
    <row r="6854">
      <c r="A6854" t="inlineStr">
        <is>
          <t>PT Ciliandra Perkasa,  Kawasan Industri Dumai - Pelintung, Dumai City, Riau Province, Indonesia</t>
        </is>
      </c>
      <c r="B6854" t="inlineStr">
        <is>
          <t>Point of Origin, Trader with Storage</t>
        </is>
      </c>
      <c r="C6854" t="inlineStr">
        <is>
          <t>PT SBC Asia Sertifikasi, Kebumen, ID</t>
        </is>
      </c>
      <c r="D6854" t="inlineStr">
        <is>
          <t>11.03.2027</t>
        </is>
      </c>
      <c r="E6854" t="inlineStr">
        <is>
          <t>Indonesia</t>
        </is>
      </c>
    </row>
    <row r="6855">
      <c r="A6855" t="inlineStr">
        <is>
          <t>SINO COAST LIMITED,  Shanghai, China</t>
        </is>
      </c>
      <c r="B6855" t="inlineStr">
        <is>
          <t>Trader</t>
        </is>
      </c>
      <c r="C6855" t="inlineStr">
        <is>
          <t>RINA Services S.p.A., Genova, IT</t>
        </is>
      </c>
      <c r="D6855" t="inlineStr">
        <is>
          <t>11.03.2027</t>
        </is>
      </c>
      <c r="E6855" t="inlineStr">
        <is>
          <t>China</t>
        </is>
      </c>
    </row>
    <row r="6856">
      <c r="A6856" t="inlineStr">
        <is>
          <t>EBIO Energy Solutions,  Pasir Gudang, Malaysia</t>
        </is>
      </c>
      <c r="B6856" t="inlineStr">
        <is>
          <t>Collecting Point, Trader with Storage</t>
        </is>
      </c>
      <c r="C6856" t="inlineStr">
        <is>
          <t>Trans Certification and Inspection Sdn Bhd, Kuantan, MY</t>
        </is>
      </c>
      <c r="D6856" t="inlineStr">
        <is>
          <t>11.03.2027</t>
        </is>
      </c>
      <c r="E6856" t="inlineStr">
        <is>
          <t>Malaysia</t>
        </is>
      </c>
    </row>
    <row r="6857">
      <c r="A6857" t="inlineStr">
        <is>
          <t>PT Palma Lestari Jaya,  Buol, Indonesia</t>
        </is>
      </c>
      <c r="B6857" t="inlineStr">
        <is>
          <t>Point of Origin</t>
        </is>
      </c>
      <c r="C6857" t="inlineStr">
        <is>
          <t>PT. Qualitas Sertifikasi Indonesia, Jakarta, ID</t>
        </is>
      </c>
      <c r="D6857" t="inlineStr">
        <is>
          <t>11.03.2027</t>
        </is>
      </c>
      <c r="E6857" t="inlineStr">
        <is>
          <t>Indonesia</t>
        </is>
      </c>
    </row>
    <row r="6858">
      <c r="A6858" t="inlineStr">
        <is>
          <t>Ampol Australia Petroleum Pty Ltd,  Alexandria, New South Wales, Australia</t>
        </is>
      </c>
      <c r="B6858" t="inlineStr">
        <is>
          <t>Logistics Center, Trader with Storage</t>
        </is>
      </c>
      <c r="C6858" t="inlineStr">
        <is>
          <t>SGS Germany GmbH, Emstek, DE</t>
        </is>
      </c>
      <c r="D6858" t="inlineStr">
        <is>
          <t>11.03.2027</t>
        </is>
      </c>
      <c r="E6858" t="inlineStr">
        <is>
          <t>Australia</t>
        </is>
      </c>
    </row>
    <row r="6859">
      <c r="A6859" t="inlineStr">
        <is>
          <t>Challenger Turf, Inc.,  Dalton, United States</t>
        </is>
      </c>
      <c r="B6859" t="inlineStr">
        <is>
          <t>Processing Unit, Warehouse</t>
        </is>
      </c>
      <c r="C6859" t="inlineStr">
        <is>
          <t>DEKRA Certification B.V., Arnhem, NL</t>
        </is>
      </c>
      <c r="D6859" t="inlineStr">
        <is>
          <t>11.03.2027</t>
        </is>
      </c>
      <c r="E6859" t="inlineStr">
        <is>
          <t>United States</t>
        </is>
      </c>
    </row>
    <row r="6860">
      <c r="A6860" t="inlineStr">
        <is>
          <t>Spurghi F.lli Terzi,  Grassobbio, Italy</t>
        </is>
      </c>
      <c r="B6860" t="inlineStr">
        <is>
          <t>Collecting Point, Trader</t>
        </is>
      </c>
      <c r="C6860" t="inlineStr">
        <is>
          <t>Bureau Veritas Polska Sp. z o.o., Warsaw, PL</t>
        </is>
      </c>
      <c r="D6860" t="inlineStr">
        <is>
          <t>11.03.2027</t>
        </is>
      </c>
      <c r="E6860" t="inlineStr">
        <is>
          <t>Italy</t>
        </is>
      </c>
    </row>
    <row r="6861">
      <c r="A6861" t="inlineStr">
        <is>
          <t>SHIZUOKA YOSHIDA INDUSTRIES Co., Ltd.,  Shizuoka, Japan</t>
        </is>
      </c>
      <c r="B6861" t="inlineStr">
        <is>
          <t>Processing Unit</t>
        </is>
      </c>
      <c r="C6861" t="inlineStr">
        <is>
          <t>Control Union Certifications Germany GmbH, Berlin, DE</t>
        </is>
      </c>
      <c r="D6861" t="inlineStr">
        <is>
          <t>11.03.2027</t>
        </is>
      </c>
      <c r="E6861" t="inlineStr">
        <is>
          <t>Japan</t>
        </is>
      </c>
    </row>
    <row r="6862">
      <c r="A6862" t="inlineStr">
        <is>
          <t>Chemical Recycle Japan,  Ichihara-city, Chiba, Japan</t>
        </is>
      </c>
      <c r="B6862" t="inlineStr">
        <is>
          <t>Collecting Point, Processing Unit</t>
        </is>
      </c>
      <c r="C6862" t="inlineStr">
        <is>
          <t>SCS Global Services, Emeryville, CA, US</t>
        </is>
      </c>
      <c r="D6862" t="inlineStr">
        <is>
          <t>10.03.2027</t>
        </is>
      </c>
      <c r="E6862" t="inlineStr">
        <is>
          <t>Japan</t>
        </is>
      </c>
    </row>
    <row r="6863">
      <c r="A6863" t="inlineStr">
        <is>
          <t>Malik Energy A/S,  Aalborg SV, Denmark</t>
        </is>
      </c>
      <c r="B6863" t="inlineStr">
        <is>
          <t>Trader with Storage</t>
        </is>
      </c>
      <c r="C6863" t="inlineStr">
        <is>
          <t>Baltic Control Certification, Albertslund, DK</t>
        </is>
      </c>
      <c r="D6863" t="inlineStr">
        <is>
          <t>10.03.2027</t>
        </is>
      </c>
      <c r="E6863" t="inlineStr">
        <is>
          <t>Denmark</t>
        </is>
      </c>
    </row>
    <row r="6864">
      <c r="A6864" t="inlineStr">
        <is>
          <t>You&amp;I Distribution co.,Ltd.,  Namdong-gu, Incheon,, South Korea</t>
        </is>
      </c>
      <c r="B6864" t="inlineStr">
        <is>
          <t>Collecting Point</t>
        </is>
      </c>
      <c r="C6864" t="inlineStr">
        <is>
          <t>Control Union Certifications Germany GmbH, Berlin, DE</t>
        </is>
      </c>
      <c r="D6864" t="inlineStr">
        <is>
          <t>10.03.2027</t>
        </is>
      </c>
      <c r="E6864" t="inlineStr">
        <is>
          <t>South Korea</t>
        </is>
      </c>
    </row>
    <row r="6865">
      <c r="A6865" t="inlineStr">
        <is>
          <t>ENI NATURAL ENERGIES KENYA EPZ LTD,  Nairobi, Kenya</t>
        </is>
      </c>
      <c r="B6865" t="inlineStr">
        <is>
          <t>Collecting Point, Trader with Storage</t>
        </is>
      </c>
      <c r="C6865" t="inlineStr">
        <is>
          <t>RINA Services S.p.A., Genova, IT</t>
        </is>
      </c>
      <c r="D6865" t="inlineStr">
        <is>
          <t>10.03.2027</t>
        </is>
      </c>
      <c r="E6865" t="inlineStr">
        <is>
          <t>Kenya</t>
        </is>
      </c>
    </row>
    <row r="6866">
      <c r="A6866" t="inlineStr">
        <is>
          <t>Malik Energy A/S,  Aalborg SV, Denmark</t>
        </is>
      </c>
      <c r="B6866" t="inlineStr">
        <is>
          <t>Trader with Storage, Proof of Compliance Trader</t>
        </is>
      </c>
      <c r="C6866" t="inlineStr">
        <is>
          <t>Baltic Control Certification, Albertslund, DK</t>
        </is>
      </c>
      <c r="D6866" t="inlineStr">
        <is>
          <t>10.03.2027</t>
        </is>
      </c>
      <c r="E6866" t="inlineStr">
        <is>
          <t>Denmark</t>
        </is>
      </c>
    </row>
    <row r="6867">
      <c r="A6867" t="inlineStr">
        <is>
          <t>Fer.Ol.Met,  FILIGHERA, Italy</t>
        </is>
      </c>
      <c r="B6867" t="inlineStr">
        <is>
          <t>Collecting Point, Trader with Storage</t>
        </is>
      </c>
      <c r="C6867" t="inlineStr">
        <is>
          <t>ICIM SpA, sesto san giovanni, IT</t>
        </is>
      </c>
      <c r="D6867" t="inlineStr">
        <is>
          <t>10.03.2027</t>
        </is>
      </c>
      <c r="E6867" t="inlineStr">
        <is>
          <t>Italy</t>
        </is>
      </c>
    </row>
    <row r="6868">
      <c r="A6868" t="inlineStr">
        <is>
          <t>Solar Park Kassø ApS,  Sdr Ønlev, Denmark</t>
        </is>
      </c>
      <c r="B6868" t="inlineStr">
        <is>
          <t>Processing Unit</t>
        </is>
      </c>
      <c r="C6868" t="inlineStr">
        <is>
          <t>Baltic Control Certification, Risskov, DK</t>
        </is>
      </c>
      <c r="D6868" t="inlineStr">
        <is>
          <t>10.03.2027</t>
        </is>
      </c>
      <c r="E6868" t="inlineStr">
        <is>
          <t>Denmark</t>
        </is>
      </c>
    </row>
    <row r="6869">
      <c r="A6869" t="inlineStr">
        <is>
          <t>Saremas Sdn. Bhd.,  Miri, Malaysia</t>
        </is>
      </c>
      <c r="B6869" t="inlineStr">
        <is>
          <t>Point of Origin</t>
        </is>
      </c>
      <c r="C6869" t="inlineStr">
        <is>
          <t>Trans Certification and Inspection Sdn Bhd, Kuantan, MY</t>
        </is>
      </c>
      <c r="D6869" t="inlineStr">
        <is>
          <t>10.03.2027</t>
        </is>
      </c>
      <c r="E6869" t="inlineStr">
        <is>
          <t>Malaysia</t>
        </is>
      </c>
    </row>
    <row r="6870">
      <c r="A6870" t="inlineStr">
        <is>
          <t>Saremas Sdn. Bhd.,  Miri, Malaysia</t>
        </is>
      </c>
      <c r="B6870" t="inlineStr">
        <is>
          <t>Point of Origin</t>
        </is>
      </c>
      <c r="C6870" t="inlineStr">
        <is>
          <t>Trans Certification and Inspection Sdn Bhd, Kuantan, MY</t>
        </is>
      </c>
      <c r="D6870" t="inlineStr">
        <is>
          <t>10.03.2027</t>
        </is>
      </c>
      <c r="E6870" t="inlineStr">
        <is>
          <t>Malaysia</t>
        </is>
      </c>
    </row>
    <row r="6871">
      <c r="A6871" t="inlineStr">
        <is>
          <t>Valero Energy Ltd,  London, United Kingdom</t>
        </is>
      </c>
      <c r="B6871" t="inlineStr">
        <is>
          <t>Trader with Storage</t>
        </is>
      </c>
      <c r="C6871" t="inlineStr">
        <is>
          <t>PT Intertek Utama Services, Jakarta, ID</t>
        </is>
      </c>
      <c r="D6871" t="inlineStr">
        <is>
          <t>10.03.2027</t>
        </is>
      </c>
      <c r="E6871" t="inlineStr">
        <is>
          <t>United Kingdom</t>
        </is>
      </c>
    </row>
    <row r="6872">
      <c r="A6872" t="inlineStr">
        <is>
          <t>Korea Petrochemical Ind. Co.,  Ulsan, Korea, Republic of</t>
        </is>
      </c>
      <c r="B6872" t="inlineStr">
        <is>
          <t>Processing Unit</t>
        </is>
      </c>
      <c r="C6872" t="inlineStr">
        <is>
          <t>Control Union Certifications Germany GmbH, Berlin, DE</t>
        </is>
      </c>
      <c r="D6872" t="inlineStr">
        <is>
          <t>10.03.2027</t>
        </is>
      </c>
      <c r="E6872" t="inlineStr">
        <is>
          <t>Republic of</t>
        </is>
      </c>
    </row>
    <row r="6873">
      <c r="A6873" t="inlineStr">
        <is>
          <t>Korea Petrochemical Ind.,  Jongno-gu, Seoul, Korea, Republic of</t>
        </is>
      </c>
      <c r="B6873" t="inlineStr">
        <is>
          <t>Trader</t>
        </is>
      </c>
      <c r="C6873" t="inlineStr">
        <is>
          <t>Control Union Certifications Germany GmbH, Berlin, DE</t>
        </is>
      </c>
      <c r="D6873" t="inlineStr">
        <is>
          <t>10.03.2027</t>
        </is>
      </c>
      <c r="E6873" t="inlineStr">
        <is>
          <t>Republic of</t>
        </is>
      </c>
    </row>
    <row r="6874">
      <c r="A6874" t="inlineStr">
        <is>
          <t>Polytechs,  Cany-Barville, France</t>
        </is>
      </c>
      <c r="B6874" t="inlineStr">
        <is>
          <t>Processing Unit</t>
        </is>
      </c>
      <c r="C6874" t="inlineStr">
        <is>
          <t>Control Union Certifications Germany GmbH, Berlin, DE</t>
        </is>
      </c>
      <c r="D6874" t="inlineStr">
        <is>
          <t>10.03.2027</t>
        </is>
      </c>
      <c r="E6874" t="inlineStr">
        <is>
          <t>France</t>
        </is>
      </c>
    </row>
    <row r="6875">
      <c r="A6875" t="inlineStr">
        <is>
          <t>SK eco prime Co.,Ltd.,  Nam-gu, Ulsan, The Republic of Korea</t>
        </is>
      </c>
      <c r="B6875" t="inlineStr">
        <is>
          <t>Processing Unit, Point of Origin, Trader with Storage, Biomarine Fuel Operator</t>
        </is>
      </c>
      <c r="C6875" t="inlineStr">
        <is>
          <t>Control Union Certifications Germany GmbH, Berlin, DE</t>
        </is>
      </c>
      <c r="D6875" t="inlineStr">
        <is>
          <t>10.03.2027</t>
        </is>
      </c>
      <c r="E6875" t="inlineStr">
        <is>
          <t>The Republic of Korea</t>
        </is>
      </c>
    </row>
    <row r="6876">
      <c r="A6876" t="inlineStr">
        <is>
          <t>SK eco prime Co.,Ltd.,  Nam-gu, Ulsan, South Korea</t>
        </is>
      </c>
      <c r="B6876" t="inlineStr">
        <is>
          <t>Trader</t>
        </is>
      </c>
      <c r="C6876" t="inlineStr">
        <is>
          <t>Control Union Certifications Germany GmbH, Berlin, DE</t>
        </is>
      </c>
      <c r="D6876" t="inlineStr">
        <is>
          <t>10.03.2027</t>
        </is>
      </c>
      <c r="E6876" t="inlineStr">
        <is>
          <t>South Korea</t>
        </is>
      </c>
    </row>
    <row r="6877">
      <c r="A6877" t="inlineStr">
        <is>
          <t>SK eco prime Co.,Ltd.,  Nam-gu, Ulsan, South Korea</t>
        </is>
      </c>
      <c r="B6877" t="inlineStr">
        <is>
          <t>Processing Unit, Trader with Storage</t>
        </is>
      </c>
      <c r="C6877" t="inlineStr">
        <is>
          <t>Control Union Certifications Germany GmbH, Berlin, DE</t>
        </is>
      </c>
      <c r="D6877" t="inlineStr">
        <is>
          <t>10.03.2027</t>
        </is>
      </c>
      <c r="E6877" t="inlineStr">
        <is>
          <t>South Korea</t>
        </is>
      </c>
    </row>
    <row r="6878">
      <c r="A6878" t="inlineStr">
        <is>
          <t>Gillman Biogas Limited,  London, United Kingdom</t>
        </is>
      </c>
      <c r="B6878" t="inlineStr">
        <is>
          <t>Trader</t>
        </is>
      </c>
      <c r="C6878" t="inlineStr">
        <is>
          <t>Double Helix Tracking Technologies Pte Ltd, Singapore, SG</t>
        </is>
      </c>
      <c r="D6878" t="inlineStr">
        <is>
          <t>10.03.2027</t>
        </is>
      </c>
      <c r="E6878" t="inlineStr">
        <is>
          <t>United Kingdom</t>
        </is>
      </c>
    </row>
    <row r="6879">
      <c r="A6879" t="inlineStr">
        <is>
          <t>Southwind Plantation Sdn. Bhd.,  Miri, Malaysia</t>
        </is>
      </c>
      <c r="B6879" t="inlineStr">
        <is>
          <t>Point of Origin</t>
        </is>
      </c>
      <c r="C6879" t="inlineStr">
        <is>
          <t>NIOSH Certification Sdn. Bhd., Selangor Darul Ehsan, MY</t>
        </is>
      </c>
      <c r="D6879" t="inlineStr">
        <is>
          <t>10.03.2027</t>
        </is>
      </c>
      <c r="E6879" t="inlineStr">
        <is>
          <t>Malaysia</t>
        </is>
      </c>
    </row>
    <row r="6880">
      <c r="A6880" t="inlineStr">
        <is>
          <t>WTK OIL MILL SDN. BHD.,  BINTULU, Malaysia</t>
        </is>
      </c>
      <c r="B6880" t="inlineStr">
        <is>
          <t>Point of Origin</t>
        </is>
      </c>
      <c r="C6880" t="inlineStr">
        <is>
          <t>NIOSH Certification Sdn. Bhd., Selangor Darul Ehsan, MY</t>
        </is>
      </c>
      <c r="D6880" t="inlineStr">
        <is>
          <t>10.03.2027</t>
        </is>
      </c>
      <c r="E6880" t="inlineStr">
        <is>
          <t>Malaysia</t>
        </is>
      </c>
    </row>
    <row r="6881">
      <c r="A6881" t="inlineStr">
        <is>
          <t>Lombardi Design &amp; Manufacturing,  Freeport, NY, United States</t>
        </is>
      </c>
      <c r="B6881" t="inlineStr">
        <is>
          <t>Processing Unit</t>
        </is>
      </c>
      <c r="C6881" t="inlineStr">
        <is>
          <t>SCS Global Services, Emeryville, CA, US</t>
        </is>
      </c>
      <c r="D6881" t="inlineStr">
        <is>
          <t>10.03.2027</t>
        </is>
      </c>
      <c r="E6881" t="inlineStr">
        <is>
          <t>United States</t>
        </is>
      </c>
    </row>
    <row r="6882">
      <c r="A6882" t="inlineStr">
        <is>
          <t>J + K Mělník,  Mělník, Czech Republic</t>
        </is>
      </c>
      <c r="B6882" t="inlineStr">
        <is>
          <t>First Gathering Point, Trader</t>
        </is>
      </c>
      <c r="C6882" t="inlineStr">
        <is>
          <t>United Registrar of Systems Polska Sp. z o.o., Wrocław, PL</t>
        </is>
      </c>
      <c r="D6882" t="inlineStr">
        <is>
          <t>10.03.2027</t>
        </is>
      </c>
      <c r="E6882" t="inlineStr">
        <is>
          <t>Czech Republic</t>
        </is>
      </c>
    </row>
    <row r="6883">
      <c r="A6883" t="inlineStr">
        <is>
          <t>PT Palmina Utama,  Kabupaten Banjar, Kalimantan Selatan, Indonesia</t>
        </is>
      </c>
      <c r="B6883" t="inlineStr">
        <is>
          <t>Point of Origin</t>
        </is>
      </c>
      <c r="C6883" t="inlineStr">
        <is>
          <t>SGS Germany GmbH, Emstek, DE</t>
        </is>
      </c>
      <c r="D6883" t="inlineStr">
        <is>
          <t>10.03.2027</t>
        </is>
      </c>
      <c r="E6883" t="inlineStr">
        <is>
          <t>Indonesia</t>
        </is>
      </c>
    </row>
    <row r="6884">
      <c r="A6884" t="inlineStr">
        <is>
          <t>Dow Europe GmbH,  La Pobla de Mafumet, Spain</t>
        </is>
      </c>
      <c r="B6884" t="inlineStr">
        <is>
          <t>Processing Unit</t>
        </is>
      </c>
      <c r="C6884" t="inlineStr">
        <is>
          <t>SGS Germany GmbH, Emstek, DE</t>
        </is>
      </c>
      <c r="D6884" t="inlineStr">
        <is>
          <t>10.03.2027</t>
        </is>
      </c>
      <c r="E6884" t="inlineStr">
        <is>
          <t>Spain</t>
        </is>
      </c>
    </row>
    <row r="6885">
      <c r="A6885" t="inlineStr">
        <is>
          <t>Dow Europe GmbH,  La Canonja, Spain</t>
        </is>
      </c>
      <c r="B6885" t="inlineStr">
        <is>
          <t>Processing Unit</t>
        </is>
      </c>
      <c r="C6885" t="inlineStr">
        <is>
          <t>SGS Germany GmbH, Emstek, DE</t>
        </is>
      </c>
      <c r="D6885" t="inlineStr">
        <is>
          <t>10.03.2027</t>
        </is>
      </c>
      <c r="E6885" t="inlineStr">
        <is>
          <t>Spain</t>
        </is>
      </c>
    </row>
    <row r="6886">
      <c r="A6886" t="inlineStr">
        <is>
          <t>BM Holding,  Augsdaugavas county, Latvia</t>
        </is>
      </c>
      <c r="B6886" t="inlineStr">
        <is>
          <t>Processing Unit</t>
        </is>
      </c>
      <c r="C6886" t="inlineStr">
        <is>
          <t>BM Certification, Riga, LV</t>
        </is>
      </c>
      <c r="D6886" t="inlineStr">
        <is>
          <t>10.03.2027</t>
        </is>
      </c>
      <c r="E6886" t="inlineStr">
        <is>
          <t>Latvia</t>
        </is>
      </c>
    </row>
    <row r="6887">
      <c r="A6887" t="inlineStr">
        <is>
          <t>BM Holding,  Iecava, Latvia</t>
        </is>
      </c>
      <c r="B6887" t="inlineStr">
        <is>
          <t>Processing Unit, Collecting Point</t>
        </is>
      </c>
      <c r="C6887" t="inlineStr">
        <is>
          <t>BM Certification, Riga, LV</t>
        </is>
      </c>
      <c r="D6887" t="inlineStr">
        <is>
          <t>10.03.2027</t>
        </is>
      </c>
      <c r="E6887" t="inlineStr">
        <is>
          <t>Latvia</t>
        </is>
      </c>
    </row>
    <row r="6888">
      <c r="A6888" t="inlineStr">
        <is>
          <t>BIOBRAS BIODIESEL S/A,  NOVA ESPERANÇA, Brazil</t>
        </is>
      </c>
      <c r="B6888" t="inlineStr">
        <is>
          <t>Collecting Point, Point of Origin, Processing Unit, Trader with Storage</t>
        </is>
      </c>
      <c r="C6888" t="inlineStr">
        <is>
          <t>RINA Services S.p.A., Genova, IT</t>
        </is>
      </c>
      <c r="D6888" t="inlineStr">
        <is>
          <t>10.03.2027</t>
        </is>
      </c>
      <c r="E6888" t="inlineStr">
        <is>
          <t>Brazil</t>
        </is>
      </c>
    </row>
    <row r="6889">
      <c r="A6889" t="inlineStr">
        <is>
          <t>Talchem Trading,  Delporton, Krugersdorp, South Africa</t>
        </is>
      </c>
      <c r="B6889" t="inlineStr">
        <is>
          <t>Processing Unit, Trader with Storage</t>
        </is>
      </c>
      <c r="C6889" t="inlineStr">
        <is>
          <t>SGS Germany GmbH, Emstek, DE</t>
        </is>
      </c>
      <c r="D6889" t="inlineStr">
        <is>
          <t>10.03.2027</t>
        </is>
      </c>
      <c r="E6889" t="inlineStr">
        <is>
          <t>South Africa</t>
        </is>
      </c>
    </row>
    <row r="6890">
      <c r="A6890" t="inlineStr">
        <is>
          <t>Chsinc Iberica,  Barcelona, Spain</t>
        </is>
      </c>
      <c r="B6890" t="inlineStr">
        <is>
          <t>Trader with Storage</t>
        </is>
      </c>
      <c r="C6890" t="inlineStr">
        <is>
          <t>Control Union Poland Sp. z o.o., Zielona Gora, PL</t>
        </is>
      </c>
      <c r="D6890" t="inlineStr">
        <is>
          <t>10.03.2027</t>
        </is>
      </c>
      <c r="E6890" t="inlineStr">
        <is>
          <t>Spain</t>
        </is>
      </c>
    </row>
    <row r="6891">
      <c r="A6891" t="inlineStr">
        <is>
          <t>SC Esperandza Com Impex SRL,  Ploiesti, Romania</t>
        </is>
      </c>
      <c r="B6891" t="inlineStr">
        <is>
          <t>First Gathering Point, Trader with Storage</t>
        </is>
      </c>
      <c r="C6891" t="inlineStr">
        <is>
          <t>SGS Germany GmbH, Emstek, DE</t>
        </is>
      </c>
      <c r="D6891" t="inlineStr">
        <is>
          <t>10.03.2027</t>
        </is>
      </c>
      <c r="E6891" t="inlineStr">
        <is>
          <t>Romania</t>
        </is>
      </c>
    </row>
    <row r="6892">
      <c r="A6892" t="inlineStr">
        <is>
          <t>Nobian Industrial Chemicals B.V.,  Farmsum, Netherlands</t>
        </is>
      </c>
      <c r="B6892" t="inlineStr">
        <is>
          <t>Processing Unit</t>
        </is>
      </c>
      <c r="C6892" t="inlineStr">
        <is>
          <t>SGS Germany GmbH, Emstek, DE</t>
        </is>
      </c>
      <c r="D6892" t="inlineStr">
        <is>
          <t>10.03.2027</t>
        </is>
      </c>
      <c r="E6892" t="inlineStr">
        <is>
          <t>Netherlands</t>
        </is>
      </c>
    </row>
    <row r="6893">
      <c r="A6893" t="inlineStr">
        <is>
          <t>Servus Abfall Dienstleistungs GmbH,  Graz, Austria</t>
        </is>
      </c>
      <c r="B6893" t="inlineStr">
        <is>
          <t>Collecting Point, Trader</t>
        </is>
      </c>
      <c r="C6893" t="inlineStr">
        <is>
          <t>agroVet GmbH, Enzersfeld, AT</t>
        </is>
      </c>
      <c r="D6893" t="inlineStr">
        <is>
          <t>10.03.2027</t>
        </is>
      </c>
      <c r="E6893" t="inlineStr">
        <is>
          <t>Austria</t>
        </is>
      </c>
    </row>
    <row r="6894">
      <c r="A6894" t="inlineStr">
        <is>
          <t>Ester Industries Limited,  Udham Singh Nagar, India</t>
        </is>
      </c>
      <c r="B6894" t="inlineStr">
        <is>
          <t>Processing Unit, Trader</t>
        </is>
      </c>
      <c r="C6894" t="inlineStr">
        <is>
          <t>Cotecna India Inspection Pvt Ltd, Kolkata, IN</t>
        </is>
      </c>
      <c r="D6894" t="inlineStr">
        <is>
          <t>10.03.2027</t>
        </is>
      </c>
      <c r="E6894" t="inlineStr">
        <is>
          <t>India</t>
        </is>
      </c>
    </row>
    <row r="6895">
      <c r="A6895" t="inlineStr">
        <is>
          <t>INDIAN OIL CORPORATION LIMITED, PANIPAT REFINERY,  Panipat, India</t>
        </is>
      </c>
      <c r="B6895" t="inlineStr">
        <is>
          <t>First Gathering Point, Point of Origin, Processing Unit</t>
        </is>
      </c>
      <c r="C6895" t="inlineStr">
        <is>
          <t>Alcumus ISOQAR Ltd, Stretford, Manchester, GB</t>
        </is>
      </c>
      <c r="D6895" t="inlineStr">
        <is>
          <t>10.03.2027</t>
        </is>
      </c>
      <c r="E6895" t="inlineStr">
        <is>
          <t>India</t>
        </is>
      </c>
    </row>
    <row r="6896">
      <c r="A6896" t="inlineStr">
        <is>
          <t>Danish Agro,  Karise, Denmark</t>
        </is>
      </c>
      <c r="B6896" t="inlineStr">
        <is>
          <t>Collecting Point, Trader with Storage</t>
        </is>
      </c>
      <c r="C6896" t="inlineStr">
        <is>
          <t>SGS Germany GmbH, Emstek, DE</t>
        </is>
      </c>
      <c r="D6896" t="inlineStr">
        <is>
          <t>10.03.2027</t>
        </is>
      </c>
      <c r="E6896" t="inlineStr">
        <is>
          <t>Denmark</t>
        </is>
      </c>
    </row>
    <row r="6897">
      <c r="A6897" t="inlineStr">
        <is>
          <t>SILGAN DISPENSING SYSTEMS LE TREPORT,  Le Treport, France</t>
        </is>
      </c>
      <c r="B6897" t="inlineStr">
        <is>
          <t>Final Product Refinement, Processing Unit</t>
        </is>
      </c>
      <c r="C6897" t="inlineStr">
        <is>
          <t>Bureau Veritas Polska Sp. z o.o., Warsaw, PL</t>
        </is>
      </c>
      <c r="D6897" t="inlineStr">
        <is>
          <t>10.03.2027</t>
        </is>
      </c>
      <c r="E6897" t="inlineStr">
        <is>
          <t>France</t>
        </is>
      </c>
    </row>
    <row r="6898">
      <c r="A6898" t="inlineStr">
        <is>
          <t>LH Sugar Factories Limited (Distillery Division),  Pilibhit, India</t>
        </is>
      </c>
      <c r="B6898" t="inlineStr">
        <is>
          <t>Processing Unit, Collecting Point</t>
        </is>
      </c>
      <c r="C6898" t="inlineStr">
        <is>
          <t>SGS Germany GmbH, Emstek, DE</t>
        </is>
      </c>
      <c r="D6898" t="inlineStr">
        <is>
          <t>10.03.2027</t>
        </is>
      </c>
      <c r="E6898" t="inlineStr">
        <is>
          <t>India</t>
        </is>
      </c>
    </row>
    <row r="6899">
      <c r="A6899" t="inlineStr">
        <is>
          <t>Destildouro-Destilações do Douro, S.A,  Armamar, Portugal</t>
        </is>
      </c>
      <c r="B6899" t="inlineStr">
        <is>
          <t>Collecting Point, Processing Unit</t>
        </is>
      </c>
      <c r="C6899" t="inlineStr">
        <is>
          <t>Control Union Poland Sp. z o.o., Zielona Gora, PL</t>
        </is>
      </c>
      <c r="D6899" t="inlineStr">
        <is>
          <t>10.03.2027</t>
        </is>
      </c>
      <c r="E6899" t="inlineStr">
        <is>
          <t>Portugal</t>
        </is>
      </c>
    </row>
    <row r="6900">
      <c r="A6900" t="inlineStr">
        <is>
          <t>bor biyokütle enerji yatırım a.ş.,  Davulga, Emirdağ, Afyonkarahisar, Turkey</t>
        </is>
      </c>
      <c r="B6900" t="inlineStr">
        <is>
          <t>Collecting Point, Processing Unit</t>
        </is>
      </c>
      <c r="C6900" t="inlineStr">
        <is>
          <t>BM Certification, Riga, LV</t>
        </is>
      </c>
      <c r="D6900" t="inlineStr">
        <is>
          <t>10.03.2027</t>
        </is>
      </c>
      <c r="E6900" t="inlineStr">
        <is>
          <t>Turkey</t>
        </is>
      </c>
    </row>
    <row r="6901">
      <c r="A6901" t="inlineStr">
        <is>
          <t>CHOMARAT Textiles Industries,  Mariac, France</t>
        </is>
      </c>
      <c r="B6901" t="inlineStr">
        <is>
          <t>Trader with Storage, Processing Unit</t>
        </is>
      </c>
      <c r="C6901" t="inlineStr">
        <is>
          <t>DNV Business Assurance Sweden AB, Solna, SE</t>
        </is>
      </c>
      <c r="D6901" t="inlineStr">
        <is>
          <t>10.03.2027</t>
        </is>
      </c>
      <c r="E6901" t="inlineStr">
        <is>
          <t>France</t>
        </is>
      </c>
    </row>
    <row r="6902">
      <c r="A6902" t="inlineStr">
        <is>
          <t>Chomarat Textiles Industries,  Le Cheylard, France</t>
        </is>
      </c>
      <c r="B6902" t="inlineStr">
        <is>
          <t>Processing Unit</t>
        </is>
      </c>
      <c r="C6902" t="inlineStr">
        <is>
          <t>DNV Business Assurance Sweden AB, Solna, SE</t>
        </is>
      </c>
      <c r="D6902" t="inlineStr">
        <is>
          <t>10.03.2027</t>
        </is>
      </c>
      <c r="E6902" t="inlineStr">
        <is>
          <t>France</t>
        </is>
      </c>
    </row>
    <row r="6903">
      <c r="A6903" t="inlineStr">
        <is>
          <t>IJ Oil Traders CC,  Krugersdorp, South Africa</t>
        </is>
      </c>
      <c r="B6903" t="inlineStr">
        <is>
          <t>Collecting Point</t>
        </is>
      </c>
      <c r="C6903" t="inlineStr">
        <is>
          <t>DEKRA Certification B.V., Arnhem, NL</t>
        </is>
      </c>
      <c r="D6903" t="inlineStr">
        <is>
          <t>10.03.2027</t>
        </is>
      </c>
      <c r="E6903" t="inlineStr">
        <is>
          <t>South Africa</t>
        </is>
      </c>
    </row>
    <row r="6904">
      <c r="A6904" t="inlineStr">
        <is>
          <t>Bharat Environmental Solutions,  Tehsil Dabwali, Sirsa, India</t>
        </is>
      </c>
      <c r="B6904" t="inlineStr">
        <is>
          <t>Collecting Point, Processing Unit, Trader with Storage</t>
        </is>
      </c>
      <c r="C6904" t="inlineStr">
        <is>
          <t>Cotecna India Inspection Pvt Ltd, Kolkata, IN</t>
        </is>
      </c>
      <c r="D6904" t="inlineStr">
        <is>
          <t>10.03.2027</t>
        </is>
      </c>
      <c r="E6904" t="inlineStr">
        <is>
          <t>India</t>
        </is>
      </c>
    </row>
    <row r="6905">
      <c r="A6905" t="inlineStr">
        <is>
          <t>Shell Chemicals Europe B.V.,  Moerdijk, Netherlands</t>
        </is>
      </c>
      <c r="B6905" t="inlineStr">
        <is>
          <t>Processing Unit</t>
        </is>
      </c>
      <c r="C6905" t="inlineStr">
        <is>
          <t>SGS Germany GmbH, Emstek, DE</t>
        </is>
      </c>
      <c r="D6905" t="inlineStr">
        <is>
          <t>10.03.2027</t>
        </is>
      </c>
      <c r="E6905" t="inlineStr">
        <is>
          <t>Netherlands</t>
        </is>
      </c>
    </row>
    <row r="6906">
      <c r="A6906" t="inlineStr">
        <is>
          <t>REDO Boutique GmbH,  Vienna, Austria</t>
        </is>
      </c>
      <c r="B6906" t="inlineStr">
        <is>
          <t>Collecting Point</t>
        </is>
      </c>
      <c r="C6906" t="inlineStr">
        <is>
          <t>agroVet GmbH, Enzersfeld, AT</t>
        </is>
      </c>
      <c r="D6906" t="inlineStr">
        <is>
          <t>10.03.2027</t>
        </is>
      </c>
      <c r="E6906" t="inlineStr">
        <is>
          <t>Austria</t>
        </is>
      </c>
    </row>
    <row r="6907">
      <c r="A6907" t="inlineStr">
        <is>
          <t>Celanese US Holdings,  Pasadena, TX, United States</t>
        </is>
      </c>
      <c r="B6907" t="inlineStr">
        <is>
          <t>Processing Unit</t>
        </is>
      </c>
      <c r="C6907" t="inlineStr">
        <is>
          <t>SCS Global Services, Emeryville, CA, US</t>
        </is>
      </c>
      <c r="D6907" t="inlineStr">
        <is>
          <t>10.03.2027</t>
        </is>
      </c>
      <c r="E6907" t="inlineStr">
        <is>
          <t>United States</t>
        </is>
      </c>
    </row>
    <row r="6908">
      <c r="A6908" t="inlineStr">
        <is>
          <t>Fornari Umberto,  Collecchio, Italy</t>
        </is>
      </c>
      <c r="B6908" t="inlineStr">
        <is>
          <t>Farm / Plantation</t>
        </is>
      </c>
      <c r="C6908" t="inlineStr">
        <is>
          <t>RINA Services S.p.A., Genova, IT</t>
        </is>
      </c>
      <c r="D6908" t="inlineStr">
        <is>
          <t>10.03.2027</t>
        </is>
      </c>
      <c r="E6908" t="inlineStr">
        <is>
          <t>Italy</t>
        </is>
      </c>
    </row>
    <row r="6909">
      <c r="A6909" t="inlineStr">
        <is>
          <t>JIA RU SDN BHD,  KUALA LUMPUR, Malaysia</t>
        </is>
      </c>
      <c r="B6909" t="inlineStr">
        <is>
          <t>Trader with Storage</t>
        </is>
      </c>
      <c r="C6909" t="inlineStr">
        <is>
          <t>Trans Certification and Inspection Sdn Bhd, Kuantan, MY</t>
        </is>
      </c>
      <c r="D6909" t="inlineStr">
        <is>
          <t>10.03.2027</t>
        </is>
      </c>
      <c r="E6909" t="inlineStr">
        <is>
          <t>Malaysia</t>
        </is>
      </c>
    </row>
    <row r="6910">
      <c r="A6910" t="inlineStr">
        <is>
          <t>Etimex Primary Packaging,  Dietenheim, Germany</t>
        </is>
      </c>
      <c r="B6910" t="inlineStr">
        <is>
          <t>Processing Unit</t>
        </is>
      </c>
      <c r="C6910" t="inlineStr">
        <is>
          <t>SGS Germany GmbH, Emstek, DE</t>
        </is>
      </c>
      <c r="D6910" t="inlineStr">
        <is>
          <t>10.03.2027</t>
        </is>
      </c>
      <c r="E6910" t="inlineStr">
        <is>
          <t>Germany</t>
        </is>
      </c>
    </row>
    <row r="6911">
      <c r="A6911" t="inlineStr">
        <is>
          <t>Stamplast S.r.l.,  Pontecurone (AL), Italy</t>
        </is>
      </c>
      <c r="B6911" t="inlineStr">
        <is>
          <t>Processing Unit</t>
        </is>
      </c>
      <c r="C6911" t="inlineStr">
        <is>
          <t>SGS Germany GmbH, Emstek, DE</t>
        </is>
      </c>
      <c r="D6911" t="inlineStr">
        <is>
          <t>10.03.2027</t>
        </is>
      </c>
      <c r="E6911" t="inlineStr">
        <is>
          <t>Italy</t>
        </is>
      </c>
    </row>
    <row r="6912">
      <c r="A6912" t="inlineStr">
        <is>
          <t>Multisac,  CHASPUZAC, France</t>
        </is>
      </c>
      <c r="B6912" t="inlineStr">
        <is>
          <t>Final Product Refinement, Processing Unit</t>
        </is>
      </c>
      <c r="C6912" t="inlineStr">
        <is>
          <t>Bureau Veritas Polska Sp. z o.o., Warsaw, PL</t>
        </is>
      </c>
      <c r="D6912" t="inlineStr">
        <is>
          <t>10.03.2027</t>
        </is>
      </c>
      <c r="E6912" t="inlineStr">
        <is>
          <t>France</t>
        </is>
      </c>
    </row>
    <row r="6913">
      <c r="A6913" t="inlineStr">
        <is>
          <t>THANH KHOI COMPANY LIMITED,  CAN THO, Vietnam</t>
        </is>
      </c>
      <c r="B6913" t="inlineStr">
        <is>
          <t>Collecting Point, Point of Origin</t>
        </is>
      </c>
      <c r="C6913" t="inlineStr">
        <is>
          <t>Bureau Veritas Polska Sp. z o.o., Warsaw, PL</t>
        </is>
      </c>
      <c r="D6913" t="inlineStr">
        <is>
          <t>10.03.2027</t>
        </is>
      </c>
      <c r="E6913" t="inlineStr">
        <is>
          <t>Vietnam</t>
        </is>
      </c>
    </row>
    <row r="6914">
      <c r="A6914" t="inlineStr">
        <is>
          <t>Kilang Minyak Sawit Kamunting,  Kamunting, Malaysia</t>
        </is>
      </c>
      <c r="B6914" t="inlineStr">
        <is>
          <t>Point of Origin</t>
        </is>
      </c>
      <c r="C6914" t="inlineStr">
        <is>
          <t>Trans Certification and Inspection Sdn Bhd, Kuantan, MY</t>
        </is>
      </c>
      <c r="D6914" t="inlineStr">
        <is>
          <t>10.03.2027</t>
        </is>
      </c>
      <c r="E6914" t="inlineStr">
        <is>
          <t>Malaysia</t>
        </is>
      </c>
    </row>
    <row r="6915">
      <c r="A6915" t="inlineStr">
        <is>
          <t>Kilang Minyak Sawit Tg Tualang (1997),  Kinta, Malaysia</t>
        </is>
      </c>
      <c r="B6915" t="inlineStr">
        <is>
          <t>Point of Origin</t>
        </is>
      </c>
      <c r="C6915" t="inlineStr">
        <is>
          <t>Trans Certification and Inspection Sdn Bhd, Kuantan, MY</t>
        </is>
      </c>
      <c r="D6915" t="inlineStr">
        <is>
          <t>10.03.2027</t>
        </is>
      </c>
      <c r="E6915" t="inlineStr">
        <is>
          <t>Malaysia</t>
        </is>
      </c>
    </row>
    <row r="6916">
      <c r="A6916" t="inlineStr">
        <is>
          <t>Selama Oil Mill,  Selama, Malaysia</t>
        </is>
      </c>
      <c r="B6916" t="inlineStr">
        <is>
          <t>Point of Origin</t>
        </is>
      </c>
      <c r="C6916" t="inlineStr">
        <is>
          <t>Trans Certification and Inspection Sdn Bhd, Kuantan, MY</t>
        </is>
      </c>
      <c r="D6916" t="inlineStr">
        <is>
          <t>10.03.2027</t>
        </is>
      </c>
      <c r="E6916" t="inlineStr">
        <is>
          <t>Malaysia</t>
        </is>
      </c>
    </row>
    <row r="6917">
      <c r="A6917" t="inlineStr">
        <is>
          <t>Sungai Kerang Development,  Bota, Malaysia</t>
        </is>
      </c>
      <c r="B6917" t="inlineStr">
        <is>
          <t>Point of Origin</t>
        </is>
      </c>
      <c r="C6917" t="inlineStr">
        <is>
          <t>Trans Certification and Inspection Sdn Bhd, Kuantan, MY</t>
        </is>
      </c>
      <c r="D6917" t="inlineStr">
        <is>
          <t>10.03.2027</t>
        </is>
      </c>
      <c r="E6917" t="inlineStr">
        <is>
          <t>Malaysia</t>
        </is>
      </c>
    </row>
    <row r="6918">
      <c r="A6918" t="inlineStr">
        <is>
          <t>EBIO Energy Solutions,  Pasir Gudang, Malaysia</t>
        </is>
      </c>
      <c r="B6918" t="inlineStr">
        <is>
          <t>Collecting Point, Trader with Storage</t>
        </is>
      </c>
      <c r="C6918" t="inlineStr">
        <is>
          <t>Trans Certification and Inspection Sdn Bhd, Kuantan, MY</t>
        </is>
      </c>
      <c r="D6918" t="inlineStr">
        <is>
          <t>10.03.2027</t>
        </is>
      </c>
      <c r="E6918" t="inlineStr">
        <is>
          <t>Malaysia</t>
        </is>
      </c>
    </row>
    <row r="6919">
      <c r="A6919" t="inlineStr">
        <is>
          <t>Louis Dreyfus Company Espana S.A.,  Madrid, Spain</t>
        </is>
      </c>
      <c r="B6919" t="inlineStr">
        <is>
          <t>Trader with Storage</t>
        </is>
      </c>
      <c r="C6919" t="inlineStr">
        <is>
          <t>SGS Germany GmbH, Emstek, DE</t>
        </is>
      </c>
      <c r="D6919" t="inlineStr">
        <is>
          <t>10.03.2027</t>
        </is>
      </c>
      <c r="E6919" t="inlineStr">
        <is>
          <t>Spain</t>
        </is>
      </c>
    </row>
    <row r="6920">
      <c r="A6920" t="inlineStr">
        <is>
          <t>Jokey Praha CZ s.r.o.,  Mochov, Czech Republic</t>
        </is>
      </c>
      <c r="B6920" t="inlineStr">
        <is>
          <t>Processing Unit</t>
        </is>
      </c>
      <c r="C6920" t="inlineStr">
        <is>
          <t>Control Union Certifications Germany GmbH, Berlin, DE</t>
        </is>
      </c>
      <c r="D6920" t="inlineStr">
        <is>
          <t>09.03.2027</t>
        </is>
      </c>
      <c r="E6920" t="inlineStr">
        <is>
          <t>Czech Republic</t>
        </is>
      </c>
    </row>
    <row r="6921">
      <c r="A6921" t="inlineStr">
        <is>
          <t>THREE MAIDS GREEN ENERGY LIMITED,  Winchester, United Kingdom</t>
        </is>
      </c>
      <c r="B6921" t="inlineStr">
        <is>
          <t>Collecting Point, First Gathering Point, Processing Unit</t>
        </is>
      </c>
      <c r="C6921" t="inlineStr">
        <is>
          <t>Double Helix Tracking Technologies Pte Ltd, Singapore, SG</t>
        </is>
      </c>
      <c r="D6921" t="inlineStr">
        <is>
          <t>09.03.2027</t>
        </is>
      </c>
      <c r="E6921" t="inlineStr">
        <is>
          <t>United Kingdom</t>
        </is>
      </c>
    </row>
    <row r="6922">
      <c r="A6922" t="inlineStr">
        <is>
          <t>Jokey Poland SP. z.o.o.,  Kędzierzyn-Koźle, Poland</t>
        </is>
      </c>
      <c r="B6922" t="inlineStr">
        <is>
          <t>Processing Unit</t>
        </is>
      </c>
      <c r="C6922" t="inlineStr">
        <is>
          <t>Control Union Certifications Germany GmbH, Berlin, DE</t>
        </is>
      </c>
      <c r="D6922" t="inlineStr">
        <is>
          <t>09.03.2027</t>
        </is>
      </c>
      <c r="E6922" t="inlineStr">
        <is>
          <t>Poland</t>
        </is>
      </c>
    </row>
    <row r="6923">
      <c r="A6923" t="inlineStr">
        <is>
          <t>Sunoco Marine LTD,  Wilmington, United States</t>
        </is>
      </c>
      <c r="B6923" t="inlineStr">
        <is>
          <t>Trader</t>
        </is>
      </c>
      <c r="C6923" t="inlineStr">
        <is>
          <t>Control Union Poland Sp. z o.o., Zielona Gora, PL</t>
        </is>
      </c>
      <c r="D6923" t="inlineStr">
        <is>
          <t>09.03.2027</t>
        </is>
      </c>
      <c r="E6923" t="inlineStr">
        <is>
          <t>United States</t>
        </is>
      </c>
    </row>
    <row r="6924">
      <c r="A6924" t="inlineStr">
        <is>
          <t>Sunoco LLC,  Newtown Square, United States</t>
        </is>
      </c>
      <c r="B6924" t="inlineStr">
        <is>
          <t>Trader with Storage</t>
        </is>
      </c>
      <c r="C6924" t="inlineStr">
        <is>
          <t>Control Union Poland Sp. z o.o., Zielona Gora, PL</t>
        </is>
      </c>
      <c r="D6924" t="inlineStr">
        <is>
          <t>09.03.2027</t>
        </is>
      </c>
      <c r="E6924" t="inlineStr">
        <is>
          <t>United States</t>
        </is>
      </c>
    </row>
    <row r="6925">
      <c r="A6925" t="inlineStr">
        <is>
          <t>Przedsiębiorstwo EKONAKS Sp. z o. o.,  Skarżysko-Kamienna, Poland</t>
        </is>
      </c>
      <c r="B6925" t="inlineStr">
        <is>
          <t>Collecting Point, Processing Unit</t>
        </is>
      </c>
      <c r="C6925" t="inlineStr">
        <is>
          <t>Control Union Poland Sp. z o.o., Zielona Gora, PL</t>
        </is>
      </c>
      <c r="D6925" t="inlineStr">
        <is>
          <t>09.03.2027</t>
        </is>
      </c>
      <c r="E6925" t="inlineStr">
        <is>
          <t>Poland</t>
        </is>
      </c>
    </row>
    <row r="6926">
      <c r="A6926" t="inlineStr">
        <is>
          <t>Fritex s.r.o.,  Markvartice, Czech Republic</t>
        </is>
      </c>
      <c r="B6926" t="inlineStr">
        <is>
          <t>Collecting Point, Trader with Storage</t>
        </is>
      </c>
      <c r="C6926" t="inlineStr">
        <is>
          <t>United Registrar of Systems Polska Sp. z o.o., Wrocław, PL</t>
        </is>
      </c>
      <c r="D6926" t="inlineStr">
        <is>
          <t>09.03.2027</t>
        </is>
      </c>
      <c r="E6926" t="inlineStr">
        <is>
          <t>Czech Republic</t>
        </is>
      </c>
    </row>
    <row r="6927">
      <c r="A6927" t="inlineStr">
        <is>
          <t>Jokey Ibérica S.L.U.,  Sangonera La Seca, Spain</t>
        </is>
      </c>
      <c r="B6927" t="inlineStr">
        <is>
          <t>Processing Unit, Trader with Storage</t>
        </is>
      </c>
      <c r="C6927" t="inlineStr">
        <is>
          <t>Control Union Certifications Germany GmbH, Berlin, DE</t>
        </is>
      </c>
      <c r="D6927" t="inlineStr">
        <is>
          <t>09.03.2027</t>
        </is>
      </c>
      <c r="E6927" t="inlineStr">
        <is>
          <t>Spain</t>
        </is>
      </c>
    </row>
    <row r="6928">
      <c r="A6928" t="inlineStr">
        <is>
          <t>ZHEJIANG HAERS VACUUM CONTAINERS CO., LTD.,  Yongkang, China</t>
        </is>
      </c>
      <c r="B6928" t="inlineStr">
        <is>
          <t>Processing Unit</t>
        </is>
      </c>
      <c r="C6928" t="inlineStr">
        <is>
          <t>Bureau Veritas Consumer Products Services, Inc., Littleton, MA, US</t>
        </is>
      </c>
      <c r="D6928" t="inlineStr">
        <is>
          <t>09.03.2027</t>
        </is>
      </c>
      <c r="E6928" t="inlineStr">
        <is>
          <t>China</t>
        </is>
      </c>
    </row>
    <row r="6929">
      <c r="A6929" t="inlineStr">
        <is>
          <t>Jokey Gummersbach SE,  Gummersbach, Germany</t>
        </is>
      </c>
      <c r="B6929" t="inlineStr">
        <is>
          <t>Processing Unit, Trader with Storage</t>
        </is>
      </c>
      <c r="C6929" t="inlineStr">
        <is>
          <t>Control Union Certifications Germany GmbH, Berlin, DE</t>
        </is>
      </c>
      <c r="D6929" t="inlineStr">
        <is>
          <t>09.03.2027</t>
        </is>
      </c>
      <c r="E6929" t="inlineStr">
        <is>
          <t>Germany</t>
        </is>
      </c>
    </row>
    <row r="6930">
      <c r="A6930" t="inlineStr">
        <is>
          <t>Jokey France,  Labourse, France</t>
        </is>
      </c>
      <c r="B6930" t="inlineStr">
        <is>
          <t>Processing Unit</t>
        </is>
      </c>
      <c r="C6930" t="inlineStr">
        <is>
          <t>Control Union Certifications Germany GmbH, Berlin, DE</t>
        </is>
      </c>
      <c r="D6930" t="inlineStr">
        <is>
          <t>09.03.2027</t>
        </is>
      </c>
      <c r="E6930" t="inlineStr">
        <is>
          <t>France</t>
        </is>
      </c>
    </row>
    <row r="6931">
      <c r="A6931" t="inlineStr">
        <is>
          <t>OIL &amp; GAS EXPORT,  El Yaqui, Cuajimalpa de Morelos, Mexico</t>
        </is>
      </c>
      <c r="B6931" t="inlineStr">
        <is>
          <t>Trader</t>
        </is>
      </c>
      <c r="C6931" t="inlineStr">
        <is>
          <t>SCS Global Services, Emeryville, CA, US</t>
        </is>
      </c>
      <c r="D6931" t="inlineStr">
        <is>
          <t>09.03.2027</t>
        </is>
      </c>
      <c r="E6931" t="inlineStr">
        <is>
          <t>Mexico</t>
        </is>
      </c>
    </row>
    <row r="6932">
      <c r="A6932" t="inlineStr">
        <is>
          <t>Jokey SE,  Wipperfürth, Germany</t>
        </is>
      </c>
      <c r="B6932" t="inlineStr">
        <is>
          <t>Processing Unit, Trader with Storage</t>
        </is>
      </c>
      <c r="C6932" t="inlineStr">
        <is>
          <t>Control Union Certifications Germany GmbH, Berlin, DE</t>
        </is>
      </c>
      <c r="D6932" t="inlineStr">
        <is>
          <t>09.03.2027</t>
        </is>
      </c>
      <c r="E6932" t="inlineStr">
        <is>
          <t>Germany</t>
        </is>
      </c>
    </row>
    <row r="6933">
      <c r="A6933" t="inlineStr">
        <is>
          <t>Jokey Sohland,  Sohland / Spree, Germany</t>
        </is>
      </c>
      <c r="B6933" t="inlineStr">
        <is>
          <t>Trader with Storage</t>
        </is>
      </c>
      <c r="C6933" t="inlineStr">
        <is>
          <t>Control Union Certifications Germany GmbH, Berlin, DE</t>
        </is>
      </c>
      <c r="D6933" t="inlineStr">
        <is>
          <t>09.03.2027</t>
        </is>
      </c>
      <c r="E6933" t="inlineStr">
        <is>
          <t>Germany</t>
        </is>
      </c>
    </row>
    <row r="6934">
      <c r="A6934" t="inlineStr">
        <is>
          <t>Jokey Sohland Kunststofftechnik,  Sohland / Spree, Germany</t>
        </is>
      </c>
      <c r="B6934" t="inlineStr">
        <is>
          <t>Processing Unit</t>
        </is>
      </c>
      <c r="C6934" t="inlineStr">
        <is>
          <t>Control Union Certifications Germany GmbH, Berlin, DE</t>
        </is>
      </c>
      <c r="D6934" t="inlineStr">
        <is>
          <t>09.03.2027</t>
        </is>
      </c>
      <c r="E6934" t="inlineStr">
        <is>
          <t>Germany</t>
        </is>
      </c>
    </row>
    <row r="6935">
      <c r="A6935" t="inlineStr">
        <is>
          <t>Jokey SE,  Wipperfürth, Germany</t>
        </is>
      </c>
      <c r="B6935" t="inlineStr">
        <is>
          <t>Processing Unit, Trader with Storage</t>
        </is>
      </c>
      <c r="C6935" t="inlineStr">
        <is>
          <t>Control Union Certifications Germany GmbH, Berlin, DE</t>
        </is>
      </c>
      <c r="D6935" t="inlineStr">
        <is>
          <t>09.03.2027</t>
        </is>
      </c>
      <c r="E6935" t="inlineStr">
        <is>
          <t>Germany</t>
        </is>
      </c>
    </row>
    <row r="6936">
      <c r="A6936" t="inlineStr">
        <is>
          <t>MGI International,  Melville, NY, United States</t>
        </is>
      </c>
      <c r="B6936" t="inlineStr">
        <is>
          <t>Trader with Storage</t>
        </is>
      </c>
      <c r="C6936" t="inlineStr">
        <is>
          <t>SCS Global Services, Emeryville, CA, US</t>
        </is>
      </c>
      <c r="D6936" t="inlineStr">
        <is>
          <t>09.03.2027</t>
        </is>
      </c>
      <c r="E6936" t="inlineStr">
        <is>
          <t>United States</t>
        </is>
      </c>
    </row>
    <row r="6937">
      <c r="A6937" t="inlineStr">
        <is>
          <t>Ying De Best Top Toys Co., Ltd.,  Ying De City, Guang Dong Province, China</t>
        </is>
      </c>
      <c r="B6937" t="inlineStr">
        <is>
          <t>Processing Unit</t>
        </is>
      </c>
      <c r="C6937" t="inlineStr">
        <is>
          <t>DIN CERTCO GmbH, Berlin, DE</t>
        </is>
      </c>
      <c r="D6937" t="inlineStr">
        <is>
          <t>09.03.2027</t>
        </is>
      </c>
      <c r="E6937" t="inlineStr">
        <is>
          <t>China</t>
        </is>
      </c>
    </row>
    <row r="6938">
      <c r="A6938" t="inlineStr">
        <is>
          <t>Engie Energy Marketing Singapore PTE. LTD.,  Singapore, Singapore</t>
        </is>
      </c>
      <c r="B6938" t="inlineStr">
        <is>
          <t>Trader</t>
        </is>
      </c>
      <c r="C6938" t="inlineStr">
        <is>
          <t>Control Union Certifications Germany GmbH, Berlin, DE</t>
        </is>
      </c>
      <c r="D6938" t="inlineStr">
        <is>
          <t>09.03.2027</t>
        </is>
      </c>
      <c r="E6938" t="inlineStr">
        <is>
          <t>Singapore</t>
        </is>
      </c>
    </row>
    <row r="6939">
      <c r="A6939" t="inlineStr">
        <is>
          <t>DM Bio CO., LTD,  haeundae-gu, Busan, South Korea</t>
        </is>
      </c>
      <c r="B6939" t="inlineStr">
        <is>
          <t>Trader</t>
        </is>
      </c>
      <c r="C6939" t="inlineStr">
        <is>
          <t>Control Union Certifications Germany GmbH, Berlin, DE</t>
        </is>
      </c>
      <c r="D6939" t="inlineStr">
        <is>
          <t>09.03.2027</t>
        </is>
      </c>
      <c r="E6939" t="inlineStr">
        <is>
          <t>South Korea</t>
        </is>
      </c>
    </row>
    <row r="6940">
      <c r="A6940" t="inlineStr">
        <is>
          <t>Cosmo Oil International Pte. Ltd.,  Singapore, Singapore</t>
        </is>
      </c>
      <c r="B6940" t="inlineStr">
        <is>
          <t>Trader</t>
        </is>
      </c>
      <c r="C6940" t="inlineStr">
        <is>
          <t>SGS Germany GmbH, Emstek, DE</t>
        </is>
      </c>
      <c r="D6940" t="inlineStr">
        <is>
          <t>09.03.2027</t>
        </is>
      </c>
      <c r="E6940" t="inlineStr">
        <is>
          <t>Singapore</t>
        </is>
      </c>
    </row>
    <row r="6941">
      <c r="A6941" t="inlineStr">
        <is>
          <t>Röchling Industrial SE &amp; Co. KG,  Troisdorf, Germany</t>
        </is>
      </c>
      <c r="B6941" t="inlineStr">
        <is>
          <t>Processing Unit</t>
        </is>
      </c>
      <c r="C6941" t="inlineStr">
        <is>
          <t>SGS Germany GmbH, Emstek, DE</t>
        </is>
      </c>
      <c r="D6941" t="inlineStr">
        <is>
          <t>09.03.2027</t>
        </is>
      </c>
      <c r="E6941" t="inlineStr">
        <is>
          <t>Germany</t>
        </is>
      </c>
    </row>
    <row r="6942">
      <c r="A6942" t="inlineStr">
        <is>
          <t>Synthomer Specialty Resins S.r.l,  Sant' Albano Stura, Italy</t>
        </is>
      </c>
      <c r="B6942" t="inlineStr">
        <is>
          <t>Processing Unit, Trader with Storage</t>
        </is>
      </c>
      <c r="C6942" t="inlineStr">
        <is>
          <t>SGS Germany GmbH, Emstek, DE</t>
        </is>
      </c>
      <c r="D6942" t="inlineStr">
        <is>
          <t>09.03.2027</t>
        </is>
      </c>
      <c r="E6942" t="inlineStr">
        <is>
          <t>Italy</t>
        </is>
      </c>
    </row>
    <row r="6943">
      <c r="A6943" t="inlineStr">
        <is>
          <t>Piberplast SpA,  Voghera (PV), Italy</t>
        </is>
      </c>
      <c r="B6943" t="inlineStr">
        <is>
          <t>Processing Unit</t>
        </is>
      </c>
      <c r="C6943" t="inlineStr">
        <is>
          <t>SGS Germany GmbH, Emstek, DE</t>
        </is>
      </c>
      <c r="D6943" t="inlineStr">
        <is>
          <t>09.03.2027</t>
        </is>
      </c>
      <c r="E6943" t="inlineStr">
        <is>
          <t>Italy</t>
        </is>
      </c>
    </row>
    <row r="6944">
      <c r="A6944" t="inlineStr">
        <is>
          <t>Hawaii Renewables LLC,  Kapolei, United States</t>
        </is>
      </c>
      <c r="B6944" t="inlineStr">
        <is>
          <t>Processing Unit, Trader with Storage</t>
        </is>
      </c>
      <c r="C6944" t="inlineStr">
        <is>
          <t>SCS Global Services, Emeryville, CA, US</t>
        </is>
      </c>
      <c r="D6944" t="inlineStr">
        <is>
          <t>09.03.2027</t>
        </is>
      </c>
      <c r="E6944" t="inlineStr">
        <is>
          <t>United States</t>
        </is>
      </c>
    </row>
    <row r="6945">
      <c r="A6945" t="inlineStr">
        <is>
          <t>Hawaii Renewables LLC,  Kapolei, United States</t>
        </is>
      </c>
      <c r="B6945" t="inlineStr">
        <is>
          <t>Processing Unit, Trader with Storage</t>
        </is>
      </c>
      <c r="C6945" t="inlineStr">
        <is>
          <t>SCS Global Services, Emeryville, CA, US</t>
        </is>
      </c>
      <c r="D6945" t="inlineStr">
        <is>
          <t>09.03.2027</t>
        </is>
      </c>
      <c r="E6945" t="inlineStr">
        <is>
          <t>United States</t>
        </is>
      </c>
    </row>
    <row r="6946">
      <c r="A6946" t="inlineStr">
        <is>
          <t>Hawaii Renewables LLC,  Kapolei, United States</t>
        </is>
      </c>
      <c r="B6946" t="inlineStr">
        <is>
          <t>Processing Unit, Trader with Storage</t>
        </is>
      </c>
      <c r="C6946" t="inlineStr">
        <is>
          <t>SCS Global Services, Emeryville, CA, US</t>
        </is>
      </c>
      <c r="D6946" t="inlineStr">
        <is>
          <t>09.03.2027</t>
        </is>
      </c>
      <c r="E6946" t="inlineStr">
        <is>
          <t>United States</t>
        </is>
      </c>
    </row>
    <row r="6947">
      <c r="A6947" t="inlineStr">
        <is>
          <t>Par Hawaii Refining LLC,  Kapolei, United States</t>
        </is>
      </c>
      <c r="B6947" t="inlineStr">
        <is>
          <t>Trader with Storage</t>
        </is>
      </c>
      <c r="C6947" t="inlineStr">
        <is>
          <t>SCS Global Services, Emeryville, CA, US</t>
        </is>
      </c>
      <c r="D6947" t="inlineStr">
        <is>
          <t>09.03.2027</t>
        </is>
      </c>
      <c r="E6947" t="inlineStr">
        <is>
          <t>United States</t>
        </is>
      </c>
    </row>
    <row r="6948">
      <c r="A6948" t="inlineStr">
        <is>
          <t>Par Hawaii Refining LLC,  Kapolei, United States</t>
        </is>
      </c>
      <c r="B6948" t="inlineStr">
        <is>
          <t>Trader with Storage</t>
        </is>
      </c>
      <c r="C6948" t="inlineStr">
        <is>
          <t>SCS Global Services, Emeryville, CA, US</t>
        </is>
      </c>
      <c r="D6948" t="inlineStr">
        <is>
          <t>09.03.2027</t>
        </is>
      </c>
      <c r="E6948" t="inlineStr">
        <is>
          <t>United States</t>
        </is>
      </c>
    </row>
    <row r="6949">
      <c r="A6949" t="inlineStr">
        <is>
          <t>Par Hawaii Refining LLC,  Kapolei, United States</t>
        </is>
      </c>
      <c r="B6949" t="inlineStr">
        <is>
          <t>Trader with Storage</t>
        </is>
      </c>
      <c r="C6949" t="inlineStr">
        <is>
          <t>SCS Global Services, Emeryville, CA, US</t>
        </is>
      </c>
      <c r="D6949" t="inlineStr">
        <is>
          <t>09.03.2027</t>
        </is>
      </c>
      <c r="E6949" t="inlineStr">
        <is>
          <t>United States</t>
        </is>
      </c>
    </row>
    <row r="6950">
      <c r="A6950" t="inlineStr">
        <is>
          <t>U.S. Oil &amp; Refining CO.,  Tacoma, United States</t>
        </is>
      </c>
      <c r="B6950" t="inlineStr">
        <is>
          <t>Trader with Storage</t>
        </is>
      </c>
      <c r="C6950" t="inlineStr">
        <is>
          <t>SCS Global Services, Emeryville, CA, US</t>
        </is>
      </c>
      <c r="D6950" t="inlineStr">
        <is>
          <t>09.03.2027</t>
        </is>
      </c>
      <c r="E6950" t="inlineStr">
        <is>
          <t>United States</t>
        </is>
      </c>
    </row>
    <row r="6951">
      <c r="A6951" t="inlineStr">
        <is>
          <t>U.S. Oil &amp; Refining CO.,  Tacoma, United States</t>
        </is>
      </c>
      <c r="B6951" t="inlineStr">
        <is>
          <t>Trader with Storage</t>
        </is>
      </c>
      <c r="C6951" t="inlineStr">
        <is>
          <t>SCS Global Services, Emeryville, CA, US</t>
        </is>
      </c>
      <c r="D6951" t="inlineStr">
        <is>
          <t>09.03.2027</t>
        </is>
      </c>
      <c r="E6951" t="inlineStr">
        <is>
          <t>United States</t>
        </is>
      </c>
    </row>
    <row r="6952">
      <c r="A6952" t="inlineStr">
        <is>
          <t>U.S. Oil &amp; Refining CO.,  Tacoma, United States</t>
        </is>
      </c>
      <c r="B6952" t="inlineStr">
        <is>
          <t>Trader with Storage</t>
        </is>
      </c>
      <c r="C6952" t="inlineStr">
        <is>
          <t>SCS Global Services, Emeryville, CA, US</t>
        </is>
      </c>
      <c r="D6952" t="inlineStr">
        <is>
          <t>09.03.2027</t>
        </is>
      </c>
      <c r="E6952" t="inlineStr">
        <is>
          <t>United States</t>
        </is>
      </c>
    </row>
    <row r="6953">
      <c r="A6953" t="inlineStr">
        <is>
          <t>MAJU BERSAMA,  Binjai, Indonesia</t>
        </is>
      </c>
      <c r="B6953" t="inlineStr">
        <is>
          <t>Point of Origin</t>
        </is>
      </c>
      <c r="C6953" t="inlineStr">
        <is>
          <t>PT. Qualitas Sertifikasi Indonesia, Jakarta, ID</t>
        </is>
      </c>
      <c r="D6953" t="inlineStr">
        <is>
          <t>09.03.2027</t>
        </is>
      </c>
      <c r="E6953" t="inlineStr">
        <is>
          <t>Indonesia</t>
        </is>
      </c>
    </row>
    <row r="6954">
      <c r="A6954" t="inlineStr">
        <is>
          <t>Solar Park Kassø ApS,  Sdr Ønlev, Denmark</t>
        </is>
      </c>
      <c r="B6954" t="inlineStr">
        <is>
          <t>Processing Unit</t>
        </is>
      </c>
      <c r="C6954" t="inlineStr">
        <is>
          <t>Baltic Control Certification, Risskov, DK</t>
        </is>
      </c>
      <c r="D6954" t="inlineStr">
        <is>
          <t>09.03.2027</t>
        </is>
      </c>
      <c r="E6954" t="inlineStr">
        <is>
          <t>Denmark</t>
        </is>
      </c>
    </row>
    <row r="6955">
      <c r="A6955" t="inlineStr">
        <is>
          <t>DONGSUNG CHEMICAL (VIETNAM) CO., LTD.,  _, DONG NAI PROVINCE, Vietnam</t>
        </is>
      </c>
      <c r="B6955" t="inlineStr">
        <is>
          <t>Processing Unit</t>
        </is>
      </c>
      <c r="C6955" t="inlineStr">
        <is>
          <t>Bureau Veritas Polska Sp. z o.o., Warsaw, PL</t>
        </is>
      </c>
      <c r="D6955" t="inlineStr">
        <is>
          <t>09.03.2027</t>
        </is>
      </c>
      <c r="E6955" t="inlineStr">
        <is>
          <t>Vietnam</t>
        </is>
      </c>
    </row>
    <row r="6956">
      <c r="A6956" t="inlineStr">
        <is>
          <t>FCG (Flight Consulting Group),  Paphos,, Cyprus</t>
        </is>
      </c>
      <c r="B6956" t="inlineStr">
        <is>
          <t>Proof of Compliance Trader, Trader</t>
        </is>
      </c>
      <c r="C6956" t="inlineStr">
        <is>
          <t>BM Certification, Riga, LV</t>
        </is>
      </c>
      <c r="D6956" t="inlineStr">
        <is>
          <t>09.03.2027</t>
        </is>
      </c>
      <c r="E6956" t="inlineStr">
        <is>
          <t>Cyprus</t>
        </is>
      </c>
    </row>
    <row r="6957">
      <c r="A6957" t="inlineStr">
        <is>
          <t>ACH-AVIATION CLEARING HOUSE,  Paphos, Cyprus</t>
        </is>
      </c>
      <c r="B6957" t="inlineStr">
        <is>
          <t>Proof of Compliance Trader, Trader</t>
        </is>
      </c>
      <c r="C6957" t="inlineStr">
        <is>
          <t>BM Certification, Riga, LV</t>
        </is>
      </c>
      <c r="D6957" t="inlineStr">
        <is>
          <t>09.03.2027</t>
        </is>
      </c>
      <c r="E6957" t="inlineStr">
        <is>
          <t>Cyprus</t>
        </is>
      </c>
    </row>
    <row r="6958">
      <c r="A6958" t="inlineStr">
        <is>
          <t>Masquelack France SARL,  Ayguemorte Les Graves, France</t>
        </is>
      </c>
      <c r="B6958" t="inlineStr">
        <is>
          <t>Processing Unit</t>
        </is>
      </c>
      <c r="C6958" t="inlineStr">
        <is>
          <t>Control Union Certifications Germany GmbH, Berlin, DE</t>
        </is>
      </c>
      <c r="D6958" t="inlineStr">
        <is>
          <t>09.03.2027</t>
        </is>
      </c>
      <c r="E6958" t="inlineStr">
        <is>
          <t>France</t>
        </is>
      </c>
    </row>
    <row r="6959">
      <c r="A6959" t="inlineStr">
        <is>
          <t>PPT. Biotrade Co., Ltd.,  Muang Samut Sakhon District, Samut Sakhon Province, Thailand</t>
        </is>
      </c>
      <c r="B6959" t="inlineStr">
        <is>
          <t>Collecting Point, Trader with Storage</t>
        </is>
      </c>
      <c r="C6959" t="inlineStr">
        <is>
          <t>Control Union Poland Sp. z o.o., Zielona Gora, PL</t>
        </is>
      </c>
      <c r="D6959" t="inlineStr">
        <is>
          <t>09.03.2027</t>
        </is>
      </c>
      <c r="E6959" t="inlineStr">
        <is>
          <t>Thailand</t>
        </is>
      </c>
    </row>
    <row r="6960">
      <c r="A6960" t="inlineStr">
        <is>
          <t>HAVANT BIOGAS LIMITED,  London, United Kingdom</t>
        </is>
      </c>
      <c r="B6960" t="inlineStr">
        <is>
          <t>Trader</t>
        </is>
      </c>
      <c r="C6960" t="inlineStr">
        <is>
          <t>Double Helix Tracking Technologies Pte Ltd, Singapore, SG</t>
        </is>
      </c>
      <c r="D6960" t="inlineStr">
        <is>
          <t>09.03.2027</t>
        </is>
      </c>
      <c r="E6960" t="inlineStr">
        <is>
          <t>United Kingdom</t>
        </is>
      </c>
    </row>
    <row r="6961">
      <c r="A6961" t="inlineStr">
        <is>
          <t>THORNEY BIOGAS LIMITED,  London, United Kingdom</t>
        </is>
      </c>
      <c r="B6961" t="inlineStr">
        <is>
          <t>Trader</t>
        </is>
      </c>
      <c r="C6961" t="inlineStr">
        <is>
          <t>Double Helix Tracking Technologies Pte Ltd, Singapore, SG</t>
        </is>
      </c>
      <c r="D6961" t="inlineStr">
        <is>
          <t>09.03.2027</t>
        </is>
      </c>
      <c r="E6961" t="inlineStr">
        <is>
          <t>United Kingdom</t>
        </is>
      </c>
    </row>
    <row r="6962">
      <c r="A6962" t="inlineStr">
        <is>
          <t>NELSON BIOGAS LIMITED,  London, United Kingdom</t>
        </is>
      </c>
      <c r="B6962" t="inlineStr">
        <is>
          <t>Trader</t>
        </is>
      </c>
      <c r="C6962" t="inlineStr">
        <is>
          <t>Double Helix Tracking Technologies Pte Ltd, Singapore, SG</t>
        </is>
      </c>
      <c r="D6962" t="inlineStr">
        <is>
          <t>09.03.2027</t>
        </is>
      </c>
      <c r="E6962" t="inlineStr">
        <is>
          <t>United Kingdom</t>
        </is>
      </c>
    </row>
    <row r="6963">
      <c r="A6963" t="inlineStr">
        <is>
          <t>PURBROOK BIOGAS LIMITED,  London, United Kingdom</t>
        </is>
      </c>
      <c r="B6963" t="inlineStr">
        <is>
          <t>Trader</t>
        </is>
      </c>
      <c r="C6963" t="inlineStr">
        <is>
          <t>Double Helix Tracking Technologies Pte Ltd, Singapore, SG</t>
        </is>
      </c>
      <c r="D6963" t="inlineStr">
        <is>
          <t>09.03.2027</t>
        </is>
      </c>
      <c r="E6963" t="inlineStr">
        <is>
          <t>United Kingdom</t>
        </is>
      </c>
    </row>
    <row r="6964">
      <c r="A6964" t="inlineStr">
        <is>
          <t>RWE Supply &amp; Trading GmbH,  Swindon, United Kingdom</t>
        </is>
      </c>
      <c r="B6964" t="inlineStr">
        <is>
          <t>Trader with Storage</t>
        </is>
      </c>
      <c r="C6964" t="inlineStr">
        <is>
          <t>Control Union Certifications Germany GmbH, Berlin, DE</t>
        </is>
      </c>
      <c r="D6964" t="inlineStr">
        <is>
          <t>09.03.2027</t>
        </is>
      </c>
      <c r="E6964" t="inlineStr">
        <is>
          <t>United Kingdom</t>
        </is>
      </c>
    </row>
    <row r="6965">
      <c r="A6965" t="inlineStr">
        <is>
          <t>NIHON SANGYOU SHIZAI,  Akashi City, Japan</t>
        </is>
      </c>
      <c r="B6965" t="inlineStr">
        <is>
          <t>Processing Unit</t>
        </is>
      </c>
      <c r="C6965" t="inlineStr">
        <is>
          <t>SCS Global Services, Emeryville, CA, US</t>
        </is>
      </c>
      <c r="D6965" t="inlineStr">
        <is>
          <t>09.03.2027</t>
        </is>
      </c>
      <c r="E6965" t="inlineStr">
        <is>
          <t>Japan</t>
        </is>
      </c>
    </row>
    <row r="6966">
      <c r="A6966" t="inlineStr">
        <is>
          <t>Green Dreams Pte. Ltd.,  Singapore, Singapore</t>
        </is>
      </c>
      <c r="B6966" t="inlineStr">
        <is>
          <t>Trader</t>
        </is>
      </c>
      <c r="C6966" t="inlineStr">
        <is>
          <t>RINA Services S.p.A., Genova, IT</t>
        </is>
      </c>
      <c r="D6966" t="inlineStr">
        <is>
          <t>09.03.2027</t>
        </is>
      </c>
      <c r="E6966" t="inlineStr">
        <is>
          <t>Singapore</t>
        </is>
      </c>
    </row>
    <row r="6967">
      <c r="A6967" t="inlineStr">
        <is>
          <t>GREEN DRAMAS SINGLE MEMBER P.C.,  Drama, Greece</t>
        </is>
      </c>
      <c r="B6967" t="inlineStr">
        <is>
          <t>Collecting Point</t>
        </is>
      </c>
      <c r="C6967" t="inlineStr">
        <is>
          <t>Eurocert SA, Metamorfosi, Athens, GR</t>
        </is>
      </c>
      <c r="D6967" t="inlineStr">
        <is>
          <t>09.03.2027</t>
        </is>
      </c>
      <c r="E6967" t="inlineStr">
        <is>
          <t>Greece</t>
        </is>
      </c>
    </row>
    <row r="6968">
      <c r="A6968" t="inlineStr">
        <is>
          <t>JIANGSU SOHO HONRY IMPORT &amp; EXPORT CO.,LTD.,  Nanjing City, China</t>
        </is>
      </c>
      <c r="B6968" t="inlineStr">
        <is>
          <t>Trader</t>
        </is>
      </c>
      <c r="C6968" t="inlineStr">
        <is>
          <t>RINA Services S.p.A., Genova, IT</t>
        </is>
      </c>
      <c r="D6968" t="inlineStr">
        <is>
          <t>09.03.2027</t>
        </is>
      </c>
      <c r="E6968" t="inlineStr">
        <is>
          <t>China</t>
        </is>
      </c>
    </row>
    <row r="6969">
      <c r="A6969" t="inlineStr">
        <is>
          <t>Hunan Jutuan Environmental Protection Technology Co., Ltd.,  Hengyang City, Hunan Province, China</t>
        </is>
      </c>
      <c r="B6969" t="inlineStr">
        <is>
          <t>Trader with Storage</t>
        </is>
      </c>
      <c r="C6969" t="inlineStr">
        <is>
          <t>RINA Services S.p.A., Genova, IT</t>
        </is>
      </c>
      <c r="D6969" t="inlineStr">
        <is>
          <t>09.03.2027</t>
        </is>
      </c>
      <c r="E6969" t="inlineStr">
        <is>
          <t>China</t>
        </is>
      </c>
    </row>
    <row r="6970">
      <c r="A6970" t="inlineStr">
        <is>
          <t>SYMICEIS 2014,  Lourenzá, Lugo, Spain</t>
        </is>
      </c>
      <c r="B6970" t="inlineStr">
        <is>
          <t>Trader</t>
        </is>
      </c>
      <c r="C6970" t="inlineStr">
        <is>
          <t>DNV Business Assurance Sweden AB, Solna, SE</t>
        </is>
      </c>
      <c r="D6970" t="inlineStr">
        <is>
          <t>09.03.2027</t>
        </is>
      </c>
      <c r="E6970" t="inlineStr">
        <is>
          <t>Spain</t>
        </is>
      </c>
    </row>
    <row r="6971">
      <c r="A6971" t="inlineStr">
        <is>
          <t>Skyven Energy Sdn Bhd,  Masai, Malaysia</t>
        </is>
      </c>
      <c r="B6971" t="inlineStr">
        <is>
          <t>Collecting Point, Trader with Storage</t>
        </is>
      </c>
      <c r="C6971" t="inlineStr">
        <is>
          <t>RINA Services S.p.A., Genova, IT</t>
        </is>
      </c>
      <c r="D6971" t="inlineStr">
        <is>
          <t>09.03.2027</t>
        </is>
      </c>
      <c r="E6971" t="inlineStr">
        <is>
          <t>Malaysia</t>
        </is>
      </c>
    </row>
    <row r="6972">
      <c r="A6972" t="inlineStr">
        <is>
          <t>New Agric Alliance Limited,  Najjanankumbi, Uganda</t>
        </is>
      </c>
      <c r="B6972" t="inlineStr">
        <is>
          <t>First Gathering Point, Trader with Storage</t>
        </is>
      </c>
      <c r="C6972" t="inlineStr">
        <is>
          <t>RINA Services S.p.A., Genova, IT</t>
        </is>
      </c>
      <c r="D6972" t="inlineStr">
        <is>
          <t>09.03.2027</t>
        </is>
      </c>
      <c r="E6972" t="inlineStr">
        <is>
          <t>Uganda</t>
        </is>
      </c>
    </row>
    <row r="6973">
      <c r="A6973" t="inlineStr">
        <is>
          <t>Innovative Polymer Compounds Ltd.,  Kilbeggan, Ireland</t>
        </is>
      </c>
      <c r="B6973" t="inlineStr">
        <is>
          <t>Processing Unit</t>
        </is>
      </c>
      <c r="C6973" t="inlineStr">
        <is>
          <t>Aardvark Certification Ltd, Wiveliscombe, Somerset, GB</t>
        </is>
      </c>
      <c r="D6973" t="inlineStr">
        <is>
          <t>09.03.2027</t>
        </is>
      </c>
      <c r="E6973" t="inlineStr">
        <is>
          <t>Ireland</t>
        </is>
      </c>
    </row>
    <row r="6974">
      <c r="A6974" t="inlineStr">
        <is>
          <t>Biogen Diesel Kenya,  Nairobi, Kenya</t>
        </is>
      </c>
      <c r="B6974" t="inlineStr">
        <is>
          <t>Collecting Point, Trader with Storage</t>
        </is>
      </c>
      <c r="C6974" t="inlineStr">
        <is>
          <t>RINA Services S.p.A., Genova, IT</t>
        </is>
      </c>
      <c r="D6974" t="inlineStr">
        <is>
          <t>09.03.2027</t>
        </is>
      </c>
      <c r="E6974" t="inlineStr">
        <is>
          <t>Kenya</t>
        </is>
      </c>
    </row>
    <row r="6975">
      <c r="A6975" t="inlineStr">
        <is>
          <t>Metalurllical Corporation,  Arenys de Munt, Spain</t>
        </is>
      </c>
      <c r="B6975" t="inlineStr">
        <is>
          <t>Trader</t>
        </is>
      </c>
      <c r="C6975" t="inlineStr">
        <is>
          <t>DNV Business Assurance Sweden AB, Solna, SE</t>
        </is>
      </c>
      <c r="D6975" t="inlineStr">
        <is>
          <t>09.03.2027</t>
        </is>
      </c>
      <c r="E6975" t="inlineStr">
        <is>
          <t>Spain</t>
        </is>
      </c>
    </row>
    <row r="6976">
      <c r="A6976" t="inlineStr">
        <is>
          <t>LUU DANH IMPORT EXPORT COMPANY LIMITED,  Phuoc Long Ward, Vietnam</t>
        </is>
      </c>
      <c r="B6976" t="inlineStr">
        <is>
          <t>Collecting Point, Processing Unit, Point of Origin</t>
        </is>
      </c>
      <c r="C6976" t="inlineStr">
        <is>
          <t>BM Certification, Riga, LV</t>
        </is>
      </c>
      <c r="D6976" t="inlineStr">
        <is>
          <t>09.03.2027</t>
        </is>
      </c>
      <c r="E6976" t="inlineStr">
        <is>
          <t>Vietnam</t>
        </is>
      </c>
    </row>
    <row r="6977">
      <c r="A6977" t="inlineStr">
        <is>
          <t>Archer Daniels Midland Company,  Clinton, United States</t>
        </is>
      </c>
      <c r="B6977" t="inlineStr">
        <is>
          <t>Point of Origin, Processing Unit, Trader with Storage</t>
        </is>
      </c>
      <c r="C6977" t="inlineStr">
        <is>
          <t>ASG Cert GmbH, Munich, DE</t>
        </is>
      </c>
      <c r="D6977" t="inlineStr">
        <is>
          <t>08.03.2027</t>
        </is>
      </c>
      <c r="E6977" t="inlineStr">
        <is>
          <t>United States</t>
        </is>
      </c>
    </row>
    <row r="6978">
      <c r="A6978" t="inlineStr">
        <is>
          <t>Archer Daniels Midland Company,  Clinton, United States</t>
        </is>
      </c>
      <c r="B6978" t="inlineStr">
        <is>
          <t>Point of Origin, Processing Unit, Trader with Storage</t>
        </is>
      </c>
      <c r="C6978" t="inlineStr">
        <is>
          <t>ASG Cert GmbH, Munich, DE</t>
        </is>
      </c>
      <c r="D6978" t="inlineStr">
        <is>
          <t>08.03.2027</t>
        </is>
      </c>
      <c r="E6978" t="inlineStr">
        <is>
          <t>United States</t>
        </is>
      </c>
    </row>
    <row r="6979">
      <c r="A6979" t="inlineStr">
        <is>
          <t>Hong Kong Plastics (Guangzhou) Ltd,  Guangzhou, Guangdong Province, China</t>
        </is>
      </c>
      <c r="B6979" t="inlineStr">
        <is>
          <t>Trader with Storage</t>
        </is>
      </c>
      <c r="C6979" t="inlineStr">
        <is>
          <t>PT Intertek Utama Services, Jakarta, ID</t>
        </is>
      </c>
      <c r="D6979" t="inlineStr">
        <is>
          <t>08.03.2027</t>
        </is>
      </c>
      <c r="E6979" t="inlineStr">
        <is>
          <t>China</t>
        </is>
      </c>
    </row>
    <row r="6980">
      <c r="A6980" t="inlineStr">
        <is>
          <t>Anhui Axi Green Technology Co., Ltd.,  Chuzhou City,Anhui Province, China</t>
        </is>
      </c>
      <c r="B6980" t="inlineStr">
        <is>
          <t>Collecting Point, Point of Origin, Processing Unit</t>
        </is>
      </c>
      <c r="C6980" t="inlineStr">
        <is>
          <t>RINA Services S.p.A., Genova, IT</t>
        </is>
      </c>
      <c r="D6980" t="inlineStr">
        <is>
          <t>08.03.2027</t>
        </is>
      </c>
      <c r="E6980" t="inlineStr">
        <is>
          <t>China</t>
        </is>
      </c>
    </row>
    <row r="6981">
      <c r="A6981" t="inlineStr">
        <is>
          <t>Borealis GmbH,  Geleen, Netherlands</t>
        </is>
      </c>
      <c r="B6981" t="inlineStr">
        <is>
          <t>Processing Unit</t>
        </is>
      </c>
      <c r="C6981" t="inlineStr">
        <is>
          <t>SGS Germany GmbH, Emstek, DE</t>
        </is>
      </c>
      <c r="D6981" t="inlineStr">
        <is>
          <t>08.03.2027</t>
        </is>
      </c>
      <c r="E6981" t="inlineStr">
        <is>
          <t>Netherlands</t>
        </is>
      </c>
    </row>
    <row r="6982">
      <c r="A6982" t="inlineStr">
        <is>
          <t>BIOS Energiemacher GmbH,  Böheimkirchen, Austria</t>
        </is>
      </c>
      <c r="B6982" t="inlineStr">
        <is>
          <t>Collecting Point</t>
        </is>
      </c>
      <c r="C6982" t="inlineStr">
        <is>
          <t>agroVet GmbH, Enzersfeld, AT</t>
        </is>
      </c>
      <c r="D6982" t="inlineStr">
        <is>
          <t>08.03.2027</t>
        </is>
      </c>
      <c r="E6982" t="inlineStr">
        <is>
          <t>Austria</t>
        </is>
      </c>
    </row>
    <row r="6983">
      <c r="A6983" t="inlineStr">
        <is>
          <t>PT MAYUANDA INDUSTRIAL INDONESIA,  KARANGANYARREGENCY, Indonesia</t>
        </is>
      </c>
      <c r="B6983" t="inlineStr">
        <is>
          <t>Processing Unit</t>
        </is>
      </c>
      <c r="C6983" t="inlineStr">
        <is>
          <t>Bureau Veritas Consumer Products Services, Inc., Littleton, MA, US</t>
        </is>
      </c>
      <c r="D6983" t="inlineStr">
        <is>
          <t>08.03.2027</t>
        </is>
      </c>
      <c r="E6983" t="inlineStr">
        <is>
          <t>Indonesia</t>
        </is>
      </c>
    </row>
    <row r="6984">
      <c r="A6984" t="inlineStr">
        <is>
          <t>Shandong Joash Biotechnology Co., Ltd.,  Linyi City,Shandong Province., China</t>
        </is>
      </c>
      <c r="B6984" t="inlineStr">
        <is>
          <t>Point of Origin, Trader</t>
        </is>
      </c>
      <c r="C6984" t="inlineStr">
        <is>
          <t>SCS Global Services, Emeryville, CA, US</t>
        </is>
      </c>
      <c r="D6984" t="inlineStr">
        <is>
          <t>08.03.2027</t>
        </is>
      </c>
      <c r="E6984" t="inlineStr">
        <is>
          <t>China</t>
        </is>
      </c>
    </row>
    <row r="6985">
      <c r="A6985" t="inlineStr">
        <is>
          <t>CV BANGUNAN RAHMAT,  Kab Pasaman Barat, Indonesia</t>
        </is>
      </c>
      <c r="B6985" t="inlineStr">
        <is>
          <t>Point of Origin</t>
        </is>
      </c>
      <c r="C6985" t="inlineStr">
        <is>
          <t>China Testing &amp; Certification International Group Co., Ltd., Beijing, CN</t>
        </is>
      </c>
      <c r="D6985" t="inlineStr">
        <is>
          <t>08.03.2027</t>
        </is>
      </c>
      <c r="E6985" t="inlineStr">
        <is>
          <t>Indonesia</t>
        </is>
      </c>
    </row>
    <row r="6986">
      <c r="A6986" t="inlineStr">
        <is>
          <t>CV ADIFA MEKA HARA,  Kabupaten Kuantan Singingi, Provinsi Riau, Indonesia</t>
        </is>
      </c>
      <c r="B6986" t="inlineStr">
        <is>
          <t>Point of Origin</t>
        </is>
      </c>
      <c r="C6986" t="inlineStr">
        <is>
          <t>China Testing &amp; Certification International Group Co., Ltd., Beijing, CN</t>
        </is>
      </c>
      <c r="D6986" t="inlineStr">
        <is>
          <t>08.03.2027</t>
        </is>
      </c>
      <c r="E6986" t="inlineStr">
        <is>
          <t>Indonesia</t>
        </is>
      </c>
    </row>
    <row r="6987">
      <c r="A6987" t="inlineStr">
        <is>
          <t>BioCirc Blåbjerg Biogas,  Nørre Nebel, Denmark</t>
        </is>
      </c>
      <c r="B6987" t="inlineStr">
        <is>
          <t>Collecting Point, Processing Unit</t>
        </is>
      </c>
      <c r="C6987" t="inlineStr">
        <is>
          <t>Baltic Control Certification, Albertslund, DK</t>
        </is>
      </c>
      <c r="D6987" t="inlineStr">
        <is>
          <t>08.03.2027</t>
        </is>
      </c>
      <c r="E6987" t="inlineStr">
        <is>
          <t>Denmark</t>
        </is>
      </c>
    </row>
    <row r="6988">
      <c r="A6988" t="inlineStr">
        <is>
          <t>Gamalux Oleochemicals,  Bin Qasim Industrial Area, Pakistan</t>
        </is>
      </c>
      <c r="B6988" t="inlineStr">
        <is>
          <t>Collecting Point, Processing Unit, Trader with Storage</t>
        </is>
      </c>
      <c r="C6988" t="inlineStr">
        <is>
          <t>PT Intertek Utama Services, Jakarta, ID</t>
        </is>
      </c>
      <c r="D6988" t="inlineStr">
        <is>
          <t>08.03.2027</t>
        </is>
      </c>
      <c r="E6988" t="inlineStr">
        <is>
          <t>Pakistan</t>
        </is>
      </c>
    </row>
    <row r="6989">
      <c r="A6989" t="inlineStr">
        <is>
          <t>Arkema Inc. - Chatham Plant,  Chatham, United States</t>
        </is>
      </c>
      <c r="B6989" t="inlineStr">
        <is>
          <t>Processing Unit</t>
        </is>
      </c>
      <c r="C6989" t="inlineStr">
        <is>
          <t>DNV Business Assurance Sweden AB, Solna, SE</t>
        </is>
      </c>
      <c r="D6989" t="inlineStr">
        <is>
          <t>08.03.2027</t>
        </is>
      </c>
      <c r="E6989" t="inlineStr">
        <is>
          <t>United States</t>
        </is>
      </c>
    </row>
    <row r="6990">
      <c r="A6990" t="inlineStr">
        <is>
          <t>Lukoil Belgium N.V.,  Neder-Over-Heembeek, Belgium</t>
        </is>
      </c>
      <c r="B6990" t="inlineStr">
        <is>
          <t>Trader with Storage, Warehouse</t>
        </is>
      </c>
      <c r="C6990" t="inlineStr">
        <is>
          <t>Control Union Certifications Germany GmbH, Berlin, DE</t>
        </is>
      </c>
      <c r="D6990" t="inlineStr">
        <is>
          <t>08.03.2027</t>
        </is>
      </c>
      <c r="E6990" t="inlineStr">
        <is>
          <t>Belgium</t>
        </is>
      </c>
    </row>
    <row r="6991">
      <c r="A6991" t="inlineStr">
        <is>
          <t>Revalyu Recycling (India) Limited.,  Nashik, India</t>
        </is>
      </c>
      <c r="B6991" t="inlineStr">
        <is>
          <t>Processing Unit</t>
        </is>
      </c>
      <c r="C6991" t="inlineStr">
        <is>
          <t>Control Union Certifications Germany GmbH, Berlin, DE</t>
        </is>
      </c>
      <c r="D6991" t="inlineStr">
        <is>
          <t>08.03.2027</t>
        </is>
      </c>
      <c r="E6991" t="inlineStr">
        <is>
          <t>India</t>
        </is>
      </c>
    </row>
    <row r="6992">
      <c r="A6992" t="inlineStr">
        <is>
          <t>Tetra Pak Binh Duong Join Stock Company,  Ho Chi Minh, Vietnam</t>
        </is>
      </c>
      <c r="B6992" t="inlineStr">
        <is>
          <t>Processing Unit</t>
        </is>
      </c>
      <c r="C6992" t="inlineStr">
        <is>
          <t>SCS Global Services, Emeryville, CA, US</t>
        </is>
      </c>
      <c r="D6992" t="inlineStr">
        <is>
          <t>08.03.2027</t>
        </is>
      </c>
      <c r="E6992" t="inlineStr">
        <is>
          <t>Vietnam</t>
        </is>
      </c>
    </row>
    <row r="6993">
      <c r="A6993" t="inlineStr">
        <is>
          <t>MG. Produkt Kft.,  Kaposvár, Hungary</t>
        </is>
      </c>
      <c r="B6993" t="inlineStr">
        <is>
          <t>First Gathering Point, Trader with Storage</t>
        </is>
      </c>
      <c r="C6993" t="inlineStr">
        <is>
          <t>Certificadora Gallega del Noroeste SL, Vilagarcia de Arousa-Pontevedra, ES</t>
        </is>
      </c>
      <c r="D6993" t="inlineStr">
        <is>
          <t>08.03.2027</t>
        </is>
      </c>
      <c r="E6993" t="inlineStr">
        <is>
          <t>Hungary</t>
        </is>
      </c>
    </row>
    <row r="6994">
      <c r="A6994" t="inlineStr">
        <is>
          <t>Mitsubishi Gas Chemical Singapore Pte Ltd,  Singapore, Singapore</t>
        </is>
      </c>
      <c r="B6994" t="inlineStr">
        <is>
          <t>Trader with Storage</t>
        </is>
      </c>
      <c r="C6994" t="inlineStr">
        <is>
          <t>SGS Germany GmbH, Emstek, DE</t>
        </is>
      </c>
      <c r="D6994" t="inlineStr">
        <is>
          <t>08.03.2027</t>
        </is>
      </c>
      <c r="E6994" t="inlineStr">
        <is>
          <t>Singapore</t>
        </is>
      </c>
    </row>
    <row r="6995">
      <c r="A6995" t="inlineStr">
        <is>
          <t>Malik Supply A/S,  Aalborg, Denmark</t>
        </is>
      </c>
      <c r="B6995" t="inlineStr">
        <is>
          <t>Trader</t>
        </is>
      </c>
      <c r="C6995" t="inlineStr">
        <is>
          <t>Baltic Control Certification, Risskov, DK</t>
        </is>
      </c>
      <c r="D6995" t="inlineStr">
        <is>
          <t>08.03.2027</t>
        </is>
      </c>
      <c r="E6995" t="inlineStr">
        <is>
          <t>Denmark</t>
        </is>
      </c>
    </row>
    <row r="6996">
      <c r="A6996" t="inlineStr">
        <is>
          <t>TECNO OIL,  VIBO VALENTIA, Italy</t>
        </is>
      </c>
      <c r="B6996" t="inlineStr">
        <is>
          <t>Collecting Point, Processing Unit</t>
        </is>
      </c>
      <c r="C6996" t="inlineStr">
        <is>
          <t>SGS Germany GmbH, Emstek, DE</t>
        </is>
      </c>
      <c r="D6996" t="inlineStr">
        <is>
          <t>08.03.2027</t>
        </is>
      </c>
      <c r="E6996" t="inlineStr">
        <is>
          <t>Italy</t>
        </is>
      </c>
    </row>
    <row r="6997">
      <c r="A6997" t="inlineStr">
        <is>
          <t>Canada Clean Fuels Inc.,  Toronto, Canada</t>
        </is>
      </c>
      <c r="B6997" t="inlineStr">
        <is>
          <t>Trader with Storage</t>
        </is>
      </c>
      <c r="C6997" t="inlineStr">
        <is>
          <t>SCS Global Services, Emeryville, CA, US</t>
        </is>
      </c>
      <c r="D6997" t="inlineStr">
        <is>
          <t>08.03.2027</t>
        </is>
      </c>
      <c r="E6997" t="inlineStr">
        <is>
          <t>Canada</t>
        </is>
      </c>
    </row>
    <row r="6998">
      <c r="A6998" t="inlineStr">
        <is>
          <t>Saropack AG,  Rorschacherberg, Switzerland</t>
        </is>
      </c>
      <c r="B6998" t="inlineStr">
        <is>
          <t>Trader with Storage</t>
        </is>
      </c>
      <c r="C6998" t="inlineStr">
        <is>
          <t>TÜV NORD CERT GmbH, Essen, DE</t>
        </is>
      </c>
      <c r="D6998" t="inlineStr">
        <is>
          <t>08.03.2027</t>
        </is>
      </c>
      <c r="E6998" t="inlineStr">
        <is>
          <t>Switzerland</t>
        </is>
      </c>
    </row>
    <row r="6999">
      <c r="A6999" t="inlineStr">
        <is>
          <t>Waste2Energy PTE LTD,  Singapore, Singapore</t>
        </is>
      </c>
      <c r="B6999" t="inlineStr">
        <is>
          <t>Collecting Point, Trader with Storage</t>
        </is>
      </c>
      <c r="C6999" t="inlineStr">
        <is>
          <t>SCS Global Services, Emeryville, CA, US</t>
        </is>
      </c>
      <c r="D6999" t="inlineStr">
        <is>
          <t>08.03.2027</t>
        </is>
      </c>
      <c r="E6999" t="inlineStr">
        <is>
          <t>Singapore</t>
        </is>
      </c>
    </row>
    <row r="7000">
      <c r="A7000" t="inlineStr">
        <is>
          <t>Waste2Energy PTE LTD,  Singapore, Singapore</t>
        </is>
      </c>
      <c r="B7000" t="inlineStr">
        <is>
          <t>Collecting Point, Trader with Storage</t>
        </is>
      </c>
      <c r="C7000" t="inlineStr">
        <is>
          <t>SCS Global Services, Emeryville, CA, US</t>
        </is>
      </c>
      <c r="D7000" t="inlineStr">
        <is>
          <t>08.03.2027</t>
        </is>
      </c>
      <c r="E7000" t="inlineStr">
        <is>
          <t>Singapore</t>
        </is>
      </c>
    </row>
    <row r="7001">
      <c r="A7001" t="inlineStr">
        <is>
          <t>FGV Johor Bulkers Sdn Bhd,  Johor Port Area, Pasir Gudang, Malaysia</t>
        </is>
      </c>
      <c r="B7001" t="inlineStr">
        <is>
          <t>Logistics Center</t>
        </is>
      </c>
      <c r="C7001" t="inlineStr">
        <is>
          <t>Trans Certification and Inspection Sdn Bhd, Kuantan, MY</t>
        </is>
      </c>
      <c r="D7001" t="inlineStr">
        <is>
          <t>08.03.2027</t>
        </is>
      </c>
      <c r="E7001" t="inlineStr">
        <is>
          <t>Malaysia</t>
        </is>
      </c>
    </row>
    <row r="7002">
      <c r="A7002" t="inlineStr">
        <is>
          <t>CHIMBUSCO MARINE BUNKER(ZHOUSHAN)CO.,LTD.,  XIAOGAN ISLAND ZHOUSHAN, China</t>
        </is>
      </c>
      <c r="B7002" t="inlineStr">
        <is>
          <t>Trader with Storage</t>
        </is>
      </c>
      <c r="C7002" t="inlineStr">
        <is>
          <t>SGS Germany GmbH, Emstek, DE</t>
        </is>
      </c>
      <c r="D7002" t="inlineStr">
        <is>
          <t>08.03.2027</t>
        </is>
      </c>
      <c r="E7002" t="inlineStr">
        <is>
          <t>China</t>
        </is>
      </c>
    </row>
    <row r="7003">
      <c r="A7003" t="inlineStr">
        <is>
          <t>PT Asia Sawit Makmur Jaya,  Jake, Kuantan Tengah, Kuantan Sengingi, Riau, Indonesia</t>
        </is>
      </c>
      <c r="B7003" t="inlineStr">
        <is>
          <t>Point of Origin</t>
        </is>
      </c>
      <c r="C7003" t="inlineStr">
        <is>
          <t>SGS Germany GmbH, Emstek, DE</t>
        </is>
      </c>
      <c r="D7003" t="inlineStr">
        <is>
          <t>08.03.2027</t>
        </is>
      </c>
      <c r="E7003" t="inlineStr">
        <is>
          <t>Indonesia</t>
        </is>
      </c>
    </row>
    <row r="7004">
      <c r="A7004" t="inlineStr">
        <is>
          <t>PT Asia Sawit Makmur Jaya,  Jake, Kuantan Tengah, Kuantan Sengingi, Riau, Indonesia</t>
        </is>
      </c>
      <c r="B7004" t="inlineStr">
        <is>
          <t>Point of Origin, Processing Unit</t>
        </is>
      </c>
      <c r="C7004" t="inlineStr">
        <is>
          <t>SGS Germany GmbH, Emstek, DE</t>
        </is>
      </c>
      <c r="D7004" t="inlineStr">
        <is>
          <t>08.03.2027</t>
        </is>
      </c>
      <c r="E7004" t="inlineStr">
        <is>
          <t>Indonesia</t>
        </is>
      </c>
    </row>
    <row r="7005">
      <c r="A7005" t="inlineStr">
        <is>
          <t>United Petroleum International Holdings,  Singapore, Singapore</t>
        </is>
      </c>
      <c r="B7005" t="inlineStr">
        <is>
          <t>Trader</t>
        </is>
      </c>
      <c r="C7005" t="inlineStr">
        <is>
          <t>RINA Services S.p.A., Genova, IT</t>
        </is>
      </c>
      <c r="D7005" t="inlineStr">
        <is>
          <t>08.03.2027</t>
        </is>
      </c>
      <c r="E7005" t="inlineStr">
        <is>
          <t>Singapore</t>
        </is>
      </c>
    </row>
    <row r="7006">
      <c r="A7006" t="inlineStr">
        <is>
          <t>United Petroleum International Holdings,  Singapore, Singapore</t>
        </is>
      </c>
      <c r="B7006" t="inlineStr">
        <is>
          <t>Trader</t>
        </is>
      </c>
      <c r="C7006" t="inlineStr">
        <is>
          <t>RINA Services S.p.A., Genova, IT</t>
        </is>
      </c>
      <c r="D7006" t="inlineStr">
        <is>
          <t>08.03.2027</t>
        </is>
      </c>
      <c r="E7006" t="inlineStr">
        <is>
          <t>Singapore</t>
        </is>
      </c>
    </row>
    <row r="7007">
      <c r="A7007" t="inlineStr">
        <is>
          <t>Tricon Energy Netherlands B.V.,  Rotterdam, Netherlands</t>
        </is>
      </c>
      <c r="B7007" t="inlineStr">
        <is>
          <t>Trader with Storage</t>
        </is>
      </c>
      <c r="C7007" t="inlineStr">
        <is>
          <t>SGS Germany GmbH, Emstek, DE</t>
        </is>
      </c>
      <c r="D7007" t="inlineStr">
        <is>
          <t>08.03.2027</t>
        </is>
      </c>
      <c r="E7007" t="inlineStr">
        <is>
          <t>Netherlands</t>
        </is>
      </c>
    </row>
    <row r="7008">
      <c r="A7008" t="inlineStr">
        <is>
          <t>Tricon Energy Netherlands B.V.,  Rotterdam, Netherlands</t>
        </is>
      </c>
      <c r="B7008" t="inlineStr">
        <is>
          <t>Trader with Storage</t>
        </is>
      </c>
      <c r="C7008" t="inlineStr">
        <is>
          <t>SGS Germany GmbH, Emstek, DE</t>
        </is>
      </c>
      <c r="D7008" t="inlineStr">
        <is>
          <t>08.03.2027</t>
        </is>
      </c>
      <c r="E7008" t="inlineStr">
        <is>
          <t>Netherlands</t>
        </is>
      </c>
    </row>
    <row r="7009">
      <c r="A7009" t="inlineStr">
        <is>
          <t>Malik Supply A/S,  Aalborg, Denmark</t>
        </is>
      </c>
      <c r="B7009" t="inlineStr">
        <is>
          <t>Proof of Compliance Trader, Trader</t>
        </is>
      </c>
      <c r="C7009" t="inlineStr">
        <is>
          <t>Baltic Control Certification, Albertslund, DK</t>
        </is>
      </c>
      <c r="D7009" t="inlineStr">
        <is>
          <t>08.03.2027</t>
        </is>
      </c>
      <c r="E7009" t="inlineStr">
        <is>
          <t>Denmark</t>
        </is>
      </c>
    </row>
    <row r="7010">
      <c r="A7010" t="inlineStr">
        <is>
          <t>NINGBO CHANGYA PLASTIC (VIETNAM) CO.,LTD,  An Hoa Ward, Trang Bang Town, Vietnam</t>
        </is>
      </c>
      <c r="B7010" t="inlineStr">
        <is>
          <t>Processing Unit</t>
        </is>
      </c>
      <c r="C7010" t="inlineStr">
        <is>
          <t>NSF International, Ann Arbor, MI, US</t>
        </is>
      </c>
      <c r="D7010" t="inlineStr">
        <is>
          <t>08.03.2027</t>
        </is>
      </c>
      <c r="E7010" t="inlineStr">
        <is>
          <t>Vietnam</t>
        </is>
      </c>
    </row>
    <row r="7011">
      <c r="A7011" t="inlineStr">
        <is>
          <t>Snij-Unie HiFi,  Einkhuizen, Netherlands</t>
        </is>
      </c>
      <c r="B7011" t="inlineStr">
        <is>
          <t>Processing Unit</t>
        </is>
      </c>
      <c r="C7011" t="inlineStr">
        <is>
          <t>TÜV NORD CERT GmbH, Essen, DE</t>
        </is>
      </c>
      <c r="D7011" t="inlineStr">
        <is>
          <t>08.03.2027</t>
        </is>
      </c>
      <c r="E7011" t="inlineStr">
        <is>
          <t>Netherlands</t>
        </is>
      </c>
    </row>
    <row r="7012">
      <c r="A7012" t="inlineStr">
        <is>
          <t>Blu Plast,  Pagani, Salerno, Italy</t>
        </is>
      </c>
      <c r="B7012" t="inlineStr">
        <is>
          <t>Processing Unit</t>
        </is>
      </c>
      <c r="C7012" t="inlineStr">
        <is>
          <t>IIP S.r.l., Monza, IT</t>
        </is>
      </c>
      <c r="D7012" t="inlineStr">
        <is>
          <t>08.03.2027</t>
        </is>
      </c>
      <c r="E7012" t="inlineStr">
        <is>
          <t>Italy</t>
        </is>
      </c>
    </row>
    <row r="7013">
      <c r="A7013" t="inlineStr">
        <is>
          <t>Blu Plast,  Castel San Giorgio, Italy</t>
        </is>
      </c>
      <c r="B7013" t="inlineStr">
        <is>
          <t>Processing Unit</t>
        </is>
      </c>
      <c r="C7013" t="inlineStr">
        <is>
          <t>IIP S.r.l., Monza, IT</t>
        </is>
      </c>
      <c r="D7013" t="inlineStr">
        <is>
          <t>08.03.2027</t>
        </is>
      </c>
      <c r="E7013" t="inlineStr">
        <is>
          <t>Italy</t>
        </is>
      </c>
    </row>
    <row r="7014">
      <c r="A7014" t="inlineStr">
        <is>
          <t>PT Bumi Mentari Karya,  Desa Pantai Cermin, Tapung, Kabupaten Kampar, Riau, Indonesia</t>
        </is>
      </c>
      <c r="B7014" t="inlineStr">
        <is>
          <t>Point of Origin, Processing Unit</t>
        </is>
      </c>
      <c r="C7014" t="inlineStr">
        <is>
          <t>SGS Germany GmbH, Emstek, DE</t>
        </is>
      </c>
      <c r="D7014" t="inlineStr">
        <is>
          <t>08.03.2027</t>
        </is>
      </c>
      <c r="E7014" t="inlineStr">
        <is>
          <t>Indonesia</t>
        </is>
      </c>
    </row>
    <row r="7015">
      <c r="A7015" t="inlineStr">
        <is>
          <t>PT Bumi Mentari Karya,  Tapung, Indonesia</t>
        </is>
      </c>
      <c r="B7015" t="inlineStr">
        <is>
          <t>Point of Origin</t>
        </is>
      </c>
      <c r="C7015" t="inlineStr">
        <is>
          <t>SGS Germany GmbH, Emstek, DE</t>
        </is>
      </c>
      <c r="D7015" t="inlineStr">
        <is>
          <t>08.03.2027</t>
        </is>
      </c>
      <c r="E7015" t="inlineStr">
        <is>
          <t>Indonesia</t>
        </is>
      </c>
    </row>
    <row r="7016">
      <c r="A7016" t="inlineStr">
        <is>
          <t>ARKEMA Inc, West Chester Plant,  West Chester, United States</t>
        </is>
      </c>
      <c r="B7016" t="inlineStr">
        <is>
          <t>Processing Unit</t>
        </is>
      </c>
      <c r="C7016" t="inlineStr">
        <is>
          <t>DNV Business Assurance Sweden AB, Solna, SE</t>
        </is>
      </c>
      <c r="D7016" t="inlineStr">
        <is>
          <t>08.03.2027</t>
        </is>
      </c>
      <c r="E7016" t="inlineStr">
        <is>
          <t>United States</t>
        </is>
      </c>
    </row>
    <row r="7017">
      <c r="A7017" t="inlineStr">
        <is>
          <t>Daekyung Oil &amp; Transportation co., ltd.,  Yangsan-si, South Korea</t>
        </is>
      </c>
      <c r="B7017" t="inlineStr">
        <is>
          <t>Trader with Storage</t>
        </is>
      </c>
      <c r="C7017" t="inlineStr">
        <is>
          <t>Control Union Certifications Germany GmbH, Berlin, DE</t>
        </is>
      </c>
      <c r="D7017" t="inlineStr">
        <is>
          <t>08.03.2027</t>
        </is>
      </c>
      <c r="E7017" t="inlineStr">
        <is>
          <t>South Korea</t>
        </is>
      </c>
    </row>
    <row r="7018">
      <c r="A7018" t="inlineStr">
        <is>
          <t>Grand Terra,  Kyiv, Ukraine</t>
        </is>
      </c>
      <c r="B7018" t="inlineStr">
        <is>
          <t>First Gathering Point, Trader with Storage</t>
        </is>
      </c>
      <c r="C7018" t="inlineStr">
        <is>
          <t>Bureau Veritas Polska Sp. z o.o., Warsaw, PL</t>
        </is>
      </c>
      <c r="D7018" t="inlineStr">
        <is>
          <t>08.03.2027</t>
        </is>
      </c>
      <c r="E7018" t="inlineStr">
        <is>
          <t>Ukraine</t>
        </is>
      </c>
    </row>
    <row r="7019">
      <c r="A7019" t="inlineStr">
        <is>
          <t>Grand Terra,  Kyiv, Ukraine</t>
        </is>
      </c>
      <c r="B7019" t="inlineStr">
        <is>
          <t>First Gathering Point, Trader with Storage</t>
        </is>
      </c>
      <c r="C7019" t="inlineStr">
        <is>
          <t>Bureau Veritas Polska Sp. z o.o., Warsaw, PL</t>
        </is>
      </c>
      <c r="D7019" t="inlineStr">
        <is>
          <t>08.03.2027</t>
        </is>
      </c>
      <c r="E7019" t="inlineStr">
        <is>
          <t>Ukraine</t>
        </is>
      </c>
    </row>
    <row r="7020">
      <c r="A7020" t="inlineStr">
        <is>
          <t>Safilo Eyewear Industries Suzhou ltd.,  Suzhou, China</t>
        </is>
      </c>
      <c r="B7020" t="inlineStr">
        <is>
          <t>Processing Unit</t>
        </is>
      </c>
      <c r="C7020" t="inlineStr">
        <is>
          <t>PT Intertek Utama Services, Jakarta, ID</t>
        </is>
      </c>
      <c r="D7020" t="inlineStr">
        <is>
          <t>07.03.2027</t>
        </is>
      </c>
      <c r="E7020" t="inlineStr">
        <is>
          <t>China</t>
        </is>
      </c>
    </row>
    <row r="7021">
      <c r="A7021" t="inlineStr">
        <is>
          <t>INOVYN ChlorVinyls Limited,  Newton Aycliffe, County Durham, United Kingdom</t>
        </is>
      </c>
      <c r="B7021" t="inlineStr">
        <is>
          <t>Processing Unit</t>
        </is>
      </c>
      <c r="C7021" t="inlineStr">
        <is>
          <t>SCS Global Services, Emeryville, CA, US</t>
        </is>
      </c>
      <c r="D7021" t="inlineStr">
        <is>
          <t>07.03.2027</t>
        </is>
      </c>
      <c r="E7021" t="inlineStr">
        <is>
          <t>United Kingdom</t>
        </is>
      </c>
    </row>
    <row r="7022">
      <c r="A7022" t="inlineStr">
        <is>
          <t>Record Industry bv,  Haarlem, Netherlands</t>
        </is>
      </c>
      <c r="B7022" t="inlineStr">
        <is>
          <t>Processing Unit, Final Product Refinement</t>
        </is>
      </c>
      <c r="C7022" t="inlineStr">
        <is>
          <t>DEKRA Certification B.V., Arnhem, NL</t>
        </is>
      </c>
      <c r="D7022" t="inlineStr">
        <is>
          <t>07.03.2027</t>
        </is>
      </c>
      <c r="E7022" t="inlineStr">
        <is>
          <t>Netherlands</t>
        </is>
      </c>
    </row>
    <row r="7023">
      <c r="A7023" t="inlineStr">
        <is>
          <t>Medara Trading,  Bolzano, Italy</t>
        </is>
      </c>
      <c r="B7023" t="inlineStr">
        <is>
          <t>Trader</t>
        </is>
      </c>
      <c r="C7023" t="inlineStr">
        <is>
          <t>SGS Germany GmbH, Emstek, DE</t>
        </is>
      </c>
      <c r="D7023" t="inlineStr">
        <is>
          <t>07.03.2027</t>
        </is>
      </c>
      <c r="E7023" t="inlineStr">
        <is>
          <t>Italy</t>
        </is>
      </c>
    </row>
    <row r="7024">
      <c r="A7024" t="inlineStr">
        <is>
          <t>Olearia Val D'illasi di Filippozzi Alessandro &amp; c.,  Colognola ai Colli (VR), Italy</t>
        </is>
      </c>
      <c r="B7024" t="inlineStr">
        <is>
          <t>Collecting Point</t>
        </is>
      </c>
      <c r="C7024" t="inlineStr">
        <is>
          <t>RINA Services S.p.A., Genova, IT</t>
        </is>
      </c>
      <c r="D7024" t="inlineStr">
        <is>
          <t>07.03.2027</t>
        </is>
      </c>
      <c r="E7024" t="inlineStr">
        <is>
          <t>Italy</t>
        </is>
      </c>
    </row>
    <row r="7025">
      <c r="A7025" t="inlineStr">
        <is>
          <t>PT LUX AGRO ENERGI,  MEDAN, Indonesia</t>
        </is>
      </c>
      <c r="B7025" t="inlineStr">
        <is>
          <t>Trader</t>
        </is>
      </c>
      <c r="C7025" t="inlineStr">
        <is>
          <t>RINA Services S.p.A., Genova, IT</t>
        </is>
      </c>
      <c r="D7025" t="inlineStr">
        <is>
          <t>07.03.2027</t>
        </is>
      </c>
      <c r="E7025" t="inlineStr">
        <is>
          <t>Indonesia</t>
        </is>
      </c>
    </row>
    <row r="7026">
      <c r="A7026" t="inlineStr">
        <is>
          <t>Sustainable Projects Company for General Trading &amp; Industrial Investments (SPC Iraq),  Baghdad, Iraq</t>
        </is>
      </c>
      <c r="B7026" t="inlineStr">
        <is>
          <t>Collecting Point</t>
        </is>
      </c>
      <c r="C7026" t="inlineStr">
        <is>
          <t>ICIM SpA, sesto san giovanni, IT</t>
        </is>
      </c>
      <c r="D7026" t="inlineStr">
        <is>
          <t>07.03.2027</t>
        </is>
      </c>
      <c r="E7026" t="inlineStr">
        <is>
          <t>Iraq</t>
        </is>
      </c>
    </row>
    <row r="7027">
      <c r="A7027" t="inlineStr">
        <is>
          <t>Ampack AG,  Rorschacherberg, Switzerland</t>
        </is>
      </c>
      <c r="B7027" t="inlineStr">
        <is>
          <t>Trader with Storage</t>
        </is>
      </c>
      <c r="C7027" t="inlineStr">
        <is>
          <t>SGS Germany GmbH, Emstek, DE</t>
        </is>
      </c>
      <c r="D7027" t="inlineStr">
        <is>
          <t>07.03.2027</t>
        </is>
      </c>
      <c r="E7027" t="inlineStr">
        <is>
          <t>Switzerland</t>
        </is>
      </c>
    </row>
    <row r="7028">
      <c r="A7028" t="inlineStr">
        <is>
          <t>BASF Polyurethanes GmbH,  Lemförde, Germany</t>
        </is>
      </c>
      <c r="B7028" t="inlineStr">
        <is>
          <t>Collecting Point, Point of Origin, Processing Unit</t>
        </is>
      </c>
      <c r="C7028" t="inlineStr">
        <is>
          <t>TÜV NORD CERT GmbH, Essen, DE</t>
        </is>
      </c>
      <c r="D7028" t="inlineStr">
        <is>
          <t>07.03.2027</t>
        </is>
      </c>
      <c r="E7028" t="inlineStr">
        <is>
          <t>Germany</t>
        </is>
      </c>
    </row>
    <row r="7029">
      <c r="A7029" t="inlineStr">
        <is>
          <t>VACMET INDIA LIMITED,  UJJAINI, DHAR (M.P.), India</t>
        </is>
      </c>
      <c r="B7029" t="inlineStr">
        <is>
          <t>Collecting Point, Processing Unit</t>
        </is>
      </c>
      <c r="C7029" t="inlineStr">
        <is>
          <t>Cotecna India Inspection Pvt Ltd, Kolkata, IN</t>
        </is>
      </c>
      <c r="D7029" t="inlineStr">
        <is>
          <t>07.03.2027</t>
        </is>
      </c>
      <c r="E7029" t="inlineStr">
        <is>
          <t>India</t>
        </is>
      </c>
    </row>
    <row r="7030">
      <c r="A7030" t="inlineStr">
        <is>
          <t>Respira Verde,  Cazanesti, Ialomita county, Romania</t>
        </is>
      </c>
      <c r="B7030" t="inlineStr">
        <is>
          <t>Collecting Point, Trader with Storage</t>
        </is>
      </c>
      <c r="C7030" t="inlineStr">
        <is>
          <t>CertRom SRL, Bucuresti, RO</t>
        </is>
      </c>
      <c r="D7030" t="inlineStr">
        <is>
          <t>07.03.2027</t>
        </is>
      </c>
      <c r="E7030" t="inlineStr">
        <is>
          <t>Romania</t>
        </is>
      </c>
    </row>
    <row r="7031">
      <c r="A7031" t="inlineStr">
        <is>
          <t>Manor Farm Green Energy,  Alderton Road, United Kingdom</t>
        </is>
      </c>
      <c r="B7031" t="inlineStr">
        <is>
          <t>First Gathering Point, Processing Unit, Collecting Point</t>
        </is>
      </c>
      <c r="C7031" t="inlineStr">
        <is>
          <t>Double Helix Tracking Technologies Pte Ltd, Singapore, SG</t>
        </is>
      </c>
      <c r="D7031" t="inlineStr">
        <is>
          <t>07.03.2027</t>
        </is>
      </c>
      <c r="E7031" t="inlineStr">
        <is>
          <t>United Kingdom</t>
        </is>
      </c>
    </row>
    <row r="7032">
      <c r="A7032" t="inlineStr">
        <is>
          <t>Esso Nederland B.V.,  Rotterdam, Netherlands</t>
        </is>
      </c>
      <c r="B7032" t="inlineStr">
        <is>
          <t>Proof of Compliance Trader, Trader with Storage</t>
        </is>
      </c>
      <c r="C7032" t="inlineStr">
        <is>
          <t>Control Union Certifications Germany GmbH, Berlin, DE</t>
        </is>
      </c>
      <c r="D7032" t="inlineStr">
        <is>
          <t>06.03.2027</t>
        </is>
      </c>
      <c r="E7032" t="inlineStr">
        <is>
          <t>Netherlands</t>
        </is>
      </c>
    </row>
    <row r="7033">
      <c r="A7033" t="inlineStr">
        <is>
          <t>Thomas Nevola,  Ghaxaq, Malta</t>
        </is>
      </c>
      <c r="B7033" t="inlineStr">
        <is>
          <t>Collecting Point</t>
        </is>
      </c>
      <c r="C7033" t="inlineStr">
        <is>
          <t>SGS Germany GmbH, Emstek, DE</t>
        </is>
      </c>
      <c r="D7033" t="inlineStr">
        <is>
          <t>06.03.2027</t>
        </is>
      </c>
      <c r="E7033" t="inlineStr">
        <is>
          <t>Malta</t>
        </is>
      </c>
    </row>
    <row r="7034">
      <c r="A7034" t="inlineStr">
        <is>
          <t>Mewah-Oils SDN BHD,  Pulau Indah, Selangor, Malaysia</t>
        </is>
      </c>
      <c r="B7034" t="inlineStr">
        <is>
          <t>Point of Origin, Trader with Storage, Processing Unit</t>
        </is>
      </c>
      <c r="C7034" t="inlineStr">
        <is>
          <t>Trans Certification and Inspection Sdn Bhd, Kuantan, MY</t>
        </is>
      </c>
      <c r="D7034" t="inlineStr">
        <is>
          <t>06.03.2027</t>
        </is>
      </c>
      <c r="E7034" t="inlineStr">
        <is>
          <t>Malaysia</t>
        </is>
      </c>
    </row>
    <row r="7035">
      <c r="A7035" t="inlineStr">
        <is>
          <t>Sarawak Oil Palms Bhd,  Miri, Sarawak, Malaysia</t>
        </is>
      </c>
      <c r="B7035" t="inlineStr">
        <is>
          <t>Point of Origin</t>
        </is>
      </c>
      <c r="C7035" t="inlineStr">
        <is>
          <t>ASG Cert GmbH, Munich, DE</t>
        </is>
      </c>
      <c r="D7035" t="inlineStr">
        <is>
          <t>06.03.2027</t>
        </is>
      </c>
      <c r="E7035" t="inlineStr">
        <is>
          <t>Malaysia</t>
        </is>
      </c>
    </row>
    <row r="7036">
      <c r="A7036" t="inlineStr">
        <is>
          <t>Cargill Agricultura SRL,  Bucharest, Romania</t>
        </is>
      </c>
      <c r="B7036" t="inlineStr">
        <is>
          <t>First Gathering Point, Trader with Storage</t>
        </is>
      </c>
      <c r="C7036" t="inlineStr">
        <is>
          <t>Control Union Certifications Germany GmbH, Berlin, DE</t>
        </is>
      </c>
      <c r="D7036" t="inlineStr">
        <is>
          <t>06.03.2027</t>
        </is>
      </c>
      <c r="E7036" t="inlineStr">
        <is>
          <t>Romania</t>
        </is>
      </c>
    </row>
    <row r="7037">
      <c r="A7037" t="inlineStr">
        <is>
          <t>Kera Energy OÜ,  Tallinn, Estonia</t>
        </is>
      </c>
      <c r="B7037" t="inlineStr">
        <is>
          <t>Trader</t>
        </is>
      </c>
      <c r="C7037" t="inlineStr">
        <is>
          <t>SGS Germany GmbH, Emstek, DE</t>
        </is>
      </c>
      <c r="D7037" t="inlineStr">
        <is>
          <t>06.03.2027</t>
        </is>
      </c>
      <c r="E7037" t="inlineStr">
        <is>
          <t>Estonia</t>
        </is>
      </c>
    </row>
    <row r="7038">
      <c r="A7038" t="inlineStr">
        <is>
          <t>ENGIE Gas,  Leeds, United Kingdom</t>
        </is>
      </c>
      <c r="B7038" t="inlineStr">
        <is>
          <t>Trader</t>
        </is>
      </c>
      <c r="C7038" t="inlineStr">
        <is>
          <t>Double Helix Tracking Technologies Pte Ltd, Singapore, SG</t>
        </is>
      </c>
      <c r="D7038" t="inlineStr">
        <is>
          <t>06.03.2027</t>
        </is>
      </c>
      <c r="E7038" t="inlineStr">
        <is>
          <t>United Kingdom</t>
        </is>
      </c>
    </row>
    <row r="7039">
      <c r="A7039" t="inlineStr">
        <is>
          <t>PARAKH AGRO INDUSTRIES LIMITED,  PUNE, India</t>
        </is>
      </c>
      <c r="B7039" t="inlineStr">
        <is>
          <t>Final Product Refinement, Processing Unit</t>
        </is>
      </c>
      <c r="C7039" t="inlineStr">
        <is>
          <t>Cotecna India Inspection Pvt Ltd, Kolkata, IN</t>
        </is>
      </c>
      <c r="D7039" t="inlineStr">
        <is>
          <t>06.03.2027</t>
        </is>
      </c>
      <c r="E7039" t="inlineStr">
        <is>
          <t>India</t>
        </is>
      </c>
    </row>
    <row r="7040">
      <c r="A7040" t="inlineStr">
        <is>
          <t>Dongsung Chemical Co.,Ltd.,  Busan, South Korea</t>
        </is>
      </c>
      <c r="B7040" t="inlineStr">
        <is>
          <t>Trader with Storage</t>
        </is>
      </c>
      <c r="C7040" t="inlineStr">
        <is>
          <t>Bureau Veritas Polska Sp. z o.o., Warsaw, PL</t>
        </is>
      </c>
      <c r="D7040" t="inlineStr">
        <is>
          <t>06.03.2027</t>
        </is>
      </c>
      <c r="E7040" t="inlineStr">
        <is>
          <t>South Korea</t>
        </is>
      </c>
    </row>
    <row r="7041">
      <c r="A7041" t="inlineStr">
        <is>
          <t>TUQUAN COUNTY RUIER BIOMASS ENERGY DEVELOPMENT CO.,LTD.,  HINGGAN LEAGUE,INNER MONGOLIA AUTONOMOUS REGION, China</t>
        </is>
      </c>
      <c r="B7041" t="inlineStr">
        <is>
          <t>First Gathering Point, Processing Unit</t>
        </is>
      </c>
      <c r="C7041" t="inlineStr">
        <is>
          <t>SCS Global Services, Emeryville, CA, US</t>
        </is>
      </c>
      <c r="D7041" t="inlineStr">
        <is>
          <t>06.03.2027</t>
        </is>
      </c>
      <c r="E7041" t="inlineStr">
        <is>
          <t>China</t>
        </is>
      </c>
    </row>
    <row r="7042">
      <c r="A7042" t="inlineStr">
        <is>
          <t>Valero Energy Inc,  Montreal, Canada</t>
        </is>
      </c>
      <c r="B7042" t="inlineStr">
        <is>
          <t>Trader with Storage</t>
        </is>
      </c>
      <c r="C7042" t="inlineStr">
        <is>
          <t>SCS Global Services, Emeryville, CA, US</t>
        </is>
      </c>
      <c r="D7042" t="inlineStr">
        <is>
          <t>06.03.2027</t>
        </is>
      </c>
      <c r="E7042" t="inlineStr">
        <is>
          <t>Canada</t>
        </is>
      </c>
    </row>
    <row r="7043">
      <c r="A7043" t="inlineStr">
        <is>
          <t>Produttori Olivicoli Bitonto Società Cooperativa,  Bitonto, Bari, Italy</t>
        </is>
      </c>
      <c r="B7043" t="inlineStr">
        <is>
          <t>First Gathering Point, Processing Unit</t>
        </is>
      </c>
      <c r="C7043" t="inlineStr">
        <is>
          <t>CSQA Certificazioni Srl, Thiene, IT</t>
        </is>
      </c>
      <c r="D7043" t="inlineStr">
        <is>
          <t>06.03.2027</t>
        </is>
      </c>
      <c r="E7043" t="inlineStr">
        <is>
          <t>Italy</t>
        </is>
      </c>
    </row>
    <row r="7044">
      <c r="A7044" t="inlineStr">
        <is>
          <t>Oliveti Terra di Bari O.P. Olivicoli Soc. Coop. Agricola,  bitonto, Italy</t>
        </is>
      </c>
      <c r="B7044" t="inlineStr">
        <is>
          <t>Trader with Storage</t>
        </is>
      </c>
      <c r="C7044" t="inlineStr">
        <is>
          <t>CSQA Certificazioni Srl, Thiene, IT</t>
        </is>
      </c>
      <c r="D7044" t="inlineStr">
        <is>
          <t>06.03.2027</t>
        </is>
      </c>
      <c r="E7044" t="inlineStr">
        <is>
          <t>Italy</t>
        </is>
      </c>
    </row>
    <row r="7045">
      <c r="A7045" t="inlineStr">
        <is>
          <t>Bunge Biocombustibil S.R.L.,  Lehliu Gara, Romania</t>
        </is>
      </c>
      <c r="B7045" t="inlineStr">
        <is>
          <t>Processing Unit, Trader</t>
        </is>
      </c>
      <c r="C7045" t="inlineStr">
        <is>
          <t>Control Union Certifications Germany GmbH, Berlin, DE</t>
        </is>
      </c>
      <c r="D7045" t="inlineStr">
        <is>
          <t>06.03.2027</t>
        </is>
      </c>
      <c r="E7045" t="inlineStr">
        <is>
          <t>Romania</t>
        </is>
      </c>
    </row>
    <row r="7046">
      <c r="A7046" t="inlineStr">
        <is>
          <t>Wenzhou Qiangjun Manufacture and Trade Co.,LTD.,  Ouhai,Wenzhou,Zhejiang Province, China</t>
        </is>
      </c>
      <c r="B7046" t="inlineStr">
        <is>
          <t>Trader with Storage</t>
        </is>
      </c>
      <c r="C7046" t="inlineStr">
        <is>
          <t>PT Intertek Utama Services, Jakarta, ID</t>
        </is>
      </c>
      <c r="D7046" t="inlineStr">
        <is>
          <t>06.03.2027</t>
        </is>
      </c>
      <c r="E7046" t="inlineStr">
        <is>
          <t>China</t>
        </is>
      </c>
    </row>
    <row r="7047">
      <c r="A7047" t="inlineStr">
        <is>
          <t>Sarawak Oil Palms Bhd,  Miri, Sarawak, Malaysia</t>
        </is>
      </c>
      <c r="B7047" t="inlineStr">
        <is>
          <t>Point of Origin</t>
        </is>
      </c>
      <c r="C7047" t="inlineStr">
        <is>
          <t>ASG Cert GmbH, Munich, DE</t>
        </is>
      </c>
      <c r="D7047" t="inlineStr">
        <is>
          <t>06.03.2027</t>
        </is>
      </c>
      <c r="E7047" t="inlineStr">
        <is>
          <t>Malaysia</t>
        </is>
      </c>
    </row>
    <row r="7048">
      <c r="A7048" t="inlineStr">
        <is>
          <t>Sarawak Oil Palms Bhd,  Bintulu, Sarawak, Malaysia</t>
        </is>
      </c>
      <c r="B7048" t="inlineStr">
        <is>
          <t>Point of Origin</t>
        </is>
      </c>
      <c r="C7048" t="inlineStr">
        <is>
          <t>ASG Cert GmbH, Munich, DE</t>
        </is>
      </c>
      <c r="D7048" t="inlineStr">
        <is>
          <t>06.03.2027</t>
        </is>
      </c>
      <c r="E7048" t="inlineStr">
        <is>
          <t>Malaysia</t>
        </is>
      </c>
    </row>
    <row r="7049">
      <c r="A7049" t="inlineStr">
        <is>
          <t>Zhuhai Xunfeng Special Plastics Co., Ltd.,  Zhuhai City, China</t>
        </is>
      </c>
      <c r="B7049" t="inlineStr">
        <is>
          <t>Processing Unit, Trader with Storage</t>
        </is>
      </c>
      <c r="C7049" t="inlineStr">
        <is>
          <t>CTI Certification Co. Ltd, Shenzhen, CN</t>
        </is>
      </c>
      <c r="D7049" t="inlineStr">
        <is>
          <t>06.03.2027</t>
        </is>
      </c>
      <c r="E7049" t="inlineStr">
        <is>
          <t>China</t>
        </is>
      </c>
    </row>
    <row r="7050">
      <c r="A7050" t="inlineStr">
        <is>
          <t>Wonlim Busan Factory,  Yangsan city, Gyeongsangnam-do, Korea, Republic of</t>
        </is>
      </c>
      <c r="B7050" t="inlineStr">
        <is>
          <t>Processing Unit</t>
        </is>
      </c>
      <c r="C7050" t="inlineStr">
        <is>
          <t>Control Union Certifications Germany GmbH, Berlin, DE</t>
        </is>
      </c>
      <c r="D7050" t="inlineStr">
        <is>
          <t>06.03.2027</t>
        </is>
      </c>
      <c r="E7050" t="inlineStr">
        <is>
          <t>Republic of</t>
        </is>
      </c>
    </row>
    <row r="7051">
      <c r="A7051" t="inlineStr">
        <is>
          <t>Shiraishi Calcium (Singapore) Pte. Ltd.,  Singapore, Singapore</t>
        </is>
      </c>
      <c r="B7051" t="inlineStr">
        <is>
          <t>Trader</t>
        </is>
      </c>
      <c r="C7051" t="inlineStr">
        <is>
          <t>Control Union Certifications Germany GmbH, Berlin, DE</t>
        </is>
      </c>
      <c r="D7051" t="inlineStr">
        <is>
          <t>06.03.2027</t>
        </is>
      </c>
      <c r="E7051" t="inlineStr">
        <is>
          <t>Singapore</t>
        </is>
      </c>
    </row>
    <row r="7052">
      <c r="A7052" t="inlineStr">
        <is>
          <t>Maersk Oil Trading Spain S.L,  Cadiz, Spain</t>
        </is>
      </c>
      <c r="B7052" t="inlineStr">
        <is>
          <t>Trader with Storage</t>
        </is>
      </c>
      <c r="C7052" t="inlineStr">
        <is>
          <t>Control Union Poland Sp. z o.o., Zielona Gora, PL</t>
        </is>
      </c>
      <c r="D7052" t="inlineStr">
        <is>
          <t>06.03.2027</t>
        </is>
      </c>
      <c r="E7052" t="inlineStr">
        <is>
          <t>Spain</t>
        </is>
      </c>
    </row>
    <row r="7053">
      <c r="A7053" t="inlineStr">
        <is>
          <t>Cowman International,  Seongnam-si, Korea, Republic of</t>
        </is>
      </c>
      <c r="B7053" t="inlineStr">
        <is>
          <t>Trader with Storage</t>
        </is>
      </c>
      <c r="C7053" t="inlineStr">
        <is>
          <t>Control Union Certifications Germany GmbH, Berlin, DE</t>
        </is>
      </c>
      <c r="D7053" t="inlineStr">
        <is>
          <t>06.03.2027</t>
        </is>
      </c>
      <c r="E7053" t="inlineStr">
        <is>
          <t>Republic of</t>
        </is>
      </c>
    </row>
    <row r="7054">
      <c r="A7054" t="inlineStr">
        <is>
          <t>Sarawak Oil Palms Bhd,  Balingian, Sarawak, Malaysia</t>
        </is>
      </c>
      <c r="B7054" t="inlineStr">
        <is>
          <t>Point of Origin</t>
        </is>
      </c>
      <c r="C7054" t="inlineStr">
        <is>
          <t>ASG Cert GmbH, Munich, DE</t>
        </is>
      </c>
      <c r="D7054" t="inlineStr">
        <is>
          <t>06.03.2027</t>
        </is>
      </c>
      <c r="E7054" t="inlineStr">
        <is>
          <t>Malaysia</t>
        </is>
      </c>
    </row>
    <row r="7055">
      <c r="A7055" t="inlineStr">
        <is>
          <t>Sarawak Oil Palms Bhd,  Kapit, Sarawak, Malaysia</t>
        </is>
      </c>
      <c r="B7055" t="inlineStr">
        <is>
          <t>Point of Origin</t>
        </is>
      </c>
      <c r="C7055" t="inlineStr">
        <is>
          <t>ASG Cert GmbH, Munich, DE</t>
        </is>
      </c>
      <c r="D7055" t="inlineStr">
        <is>
          <t>06.03.2027</t>
        </is>
      </c>
      <c r="E7055" t="inlineStr">
        <is>
          <t>Malaysia</t>
        </is>
      </c>
    </row>
    <row r="7056">
      <c r="A7056" t="inlineStr">
        <is>
          <t>Union Industries S.p.A.,  Masserano (BI), Italy</t>
        </is>
      </c>
      <c r="B7056" t="inlineStr">
        <is>
          <t>Processing Unit</t>
        </is>
      </c>
      <c r="C7056" t="inlineStr">
        <is>
          <t>IIP S.r.l., Monza, IT</t>
        </is>
      </c>
      <c r="D7056" t="inlineStr">
        <is>
          <t>06.03.2027</t>
        </is>
      </c>
      <c r="E7056" t="inlineStr">
        <is>
          <t>Italy</t>
        </is>
      </c>
    </row>
    <row r="7057">
      <c r="A7057" t="inlineStr">
        <is>
          <t>THIEN KIM BIO ENERGY COMPANY LIMITED,  Vam Quarter, Trang Dai Ward, Dong Nai Province, Vietnam</t>
        </is>
      </c>
      <c r="B7057" t="inlineStr">
        <is>
          <t>Processing Unit, Trader</t>
        </is>
      </c>
      <c r="C7057" t="inlineStr">
        <is>
          <t>BM Certification, Riga, LV</t>
        </is>
      </c>
      <c r="D7057" t="inlineStr">
        <is>
          <t>06.03.2027</t>
        </is>
      </c>
      <c r="E7057" t="inlineStr">
        <is>
          <t>Vietnam</t>
        </is>
      </c>
    </row>
    <row r="7058">
      <c r="A7058" t="inlineStr">
        <is>
          <t>Wolf Weil,  Limburg, Germany</t>
        </is>
      </c>
      <c r="B7058" t="inlineStr">
        <is>
          <t>Collecting Point</t>
        </is>
      </c>
      <c r="C7058" t="inlineStr">
        <is>
          <t>BM Certification, Riga, LV</t>
        </is>
      </c>
      <c r="D7058" t="inlineStr">
        <is>
          <t>06.03.2027</t>
        </is>
      </c>
      <c r="E7058" t="inlineStr">
        <is>
          <t>Germany</t>
        </is>
      </c>
    </row>
    <row r="7059">
      <c r="A7059" t="inlineStr">
        <is>
          <t>TOTSA TotalEnergies Trading SA,  Geneva, Switzerland</t>
        </is>
      </c>
      <c r="B7059" t="inlineStr">
        <is>
          <t>Trader with Storage</t>
        </is>
      </c>
      <c r="C7059" t="inlineStr">
        <is>
          <t>SGS Germany GmbH, Emstek, DE</t>
        </is>
      </c>
      <c r="D7059" t="inlineStr">
        <is>
          <t>06.03.2027</t>
        </is>
      </c>
      <c r="E7059" t="inlineStr">
        <is>
          <t>Switzerland</t>
        </is>
      </c>
    </row>
    <row r="7060">
      <c r="A7060" t="inlineStr">
        <is>
          <t>Topres Bulgaria,  Sliven, Bulgaria</t>
        </is>
      </c>
      <c r="B7060" t="inlineStr">
        <is>
          <t>First Gathering Point, Trader with Storage</t>
        </is>
      </c>
      <c r="C7060" t="inlineStr">
        <is>
          <t>SGS Germany GmbH, Emstek, DE</t>
        </is>
      </c>
      <c r="D7060" t="inlineStr">
        <is>
          <t>06.03.2027</t>
        </is>
      </c>
      <c r="E7060" t="inlineStr">
        <is>
          <t>Bulgaria</t>
        </is>
      </c>
    </row>
    <row r="7061">
      <c r="A7061" t="inlineStr">
        <is>
          <t>Kera Energy OÜ,  Tallinn, Estonia</t>
        </is>
      </c>
      <c r="B7061" t="inlineStr">
        <is>
          <t>Trader</t>
        </is>
      </c>
      <c r="C7061" t="inlineStr">
        <is>
          <t>SGS Germany GmbH, Emstek, DE</t>
        </is>
      </c>
      <c r="D7061" t="inlineStr">
        <is>
          <t>06.03.2027</t>
        </is>
      </c>
      <c r="E7061" t="inlineStr">
        <is>
          <t>Estonia</t>
        </is>
      </c>
    </row>
    <row r="7062">
      <c r="A7062" t="inlineStr">
        <is>
          <t>Gemilang Sawit Lestari,  Desa Lebuh Lurus, Pasar Inuman, Kelurahan Inuman, Indonesia</t>
        </is>
      </c>
      <c r="B7062" t="inlineStr">
        <is>
          <t>Point of Origin</t>
        </is>
      </c>
      <c r="C7062" t="inlineStr">
        <is>
          <t>PT. Qualitas Sertifikasi Indonesia, Jakarta, ID</t>
        </is>
      </c>
      <c r="D7062" t="inlineStr">
        <is>
          <t>06.03.2027</t>
        </is>
      </c>
      <c r="E7062" t="inlineStr">
        <is>
          <t>Indonesia</t>
        </is>
      </c>
    </row>
    <row r="7063">
      <c r="A7063" t="inlineStr">
        <is>
          <t>TEGUHKARSA WANALESTARI,  KECAMATAN SIAK, KABUPATEN SIAK, PROVINSI RAIU, Indonesia</t>
        </is>
      </c>
      <c r="B7063" t="inlineStr">
        <is>
          <t>Point of Origin</t>
        </is>
      </c>
      <c r="C7063" t="inlineStr">
        <is>
          <t>PT. Qualitas Sertifikasi Indonesia, Jakarta, ID</t>
        </is>
      </c>
      <c r="D7063" t="inlineStr">
        <is>
          <t>06.03.2027</t>
        </is>
      </c>
      <c r="E7063" t="inlineStr">
        <is>
          <t>Indonesia</t>
        </is>
      </c>
    </row>
    <row r="7064">
      <c r="A7064" t="inlineStr">
        <is>
          <t>Perkasa Sawit Permai,  Kabupaten Barito Utara, Provinsi Kalimantan Tengah, Indonesia</t>
        </is>
      </c>
      <c r="B7064" t="inlineStr">
        <is>
          <t>Point of Origin</t>
        </is>
      </c>
      <c r="C7064" t="inlineStr">
        <is>
          <t>PT. CBQA GLOBAL INDONESIA, JAKARTA SELATAN, ID</t>
        </is>
      </c>
      <c r="D7064" t="inlineStr">
        <is>
          <t>06.03.2027</t>
        </is>
      </c>
      <c r="E7064" t="inlineStr">
        <is>
          <t>Indonesia</t>
        </is>
      </c>
    </row>
    <row r="7065">
      <c r="A7065" t="inlineStr">
        <is>
          <t>Certas Energy UK Limited,  Birchwood, United Kingdom</t>
        </is>
      </c>
      <c r="B7065" t="inlineStr">
        <is>
          <t>Trader with Storage</t>
        </is>
      </c>
      <c r="C7065" t="inlineStr">
        <is>
          <t>ASG Cert GmbH, Munich, DE</t>
        </is>
      </c>
      <c r="D7065" t="inlineStr">
        <is>
          <t>05.03.2027</t>
        </is>
      </c>
      <c r="E7065" t="inlineStr">
        <is>
          <t>United Kingdom</t>
        </is>
      </c>
    </row>
    <row r="7066">
      <c r="A7066" t="inlineStr">
        <is>
          <t>Artecona,  Klaipeda, Lithuania</t>
        </is>
      </c>
      <c r="B7066" t="inlineStr">
        <is>
          <t>Trader with Storage</t>
        </is>
      </c>
      <c r="C7066" t="inlineStr">
        <is>
          <t>Bureau Veritas Polska Sp. z o.o., Warsaw, PL</t>
        </is>
      </c>
      <c r="D7066" t="inlineStr">
        <is>
          <t>05.03.2027</t>
        </is>
      </c>
      <c r="E7066" t="inlineStr">
        <is>
          <t>Lithuania</t>
        </is>
      </c>
    </row>
    <row r="7067">
      <c r="A7067" t="inlineStr">
        <is>
          <t>Rosso Energia Srls,  Bolzano, Italy</t>
        </is>
      </c>
      <c r="B7067" t="inlineStr">
        <is>
          <t>Trader</t>
        </is>
      </c>
      <c r="C7067" t="inlineStr">
        <is>
          <t>SGS Germany GmbH, Emstek, DE</t>
        </is>
      </c>
      <c r="D7067" t="inlineStr">
        <is>
          <t>05.03.2027</t>
        </is>
      </c>
      <c r="E7067" t="inlineStr">
        <is>
          <t>Italy</t>
        </is>
      </c>
    </row>
    <row r="7068">
      <c r="A7068" t="inlineStr">
        <is>
          <t>Boso oil &amp; fat,  Funabashi-city, Japan</t>
        </is>
      </c>
      <c r="B7068" t="inlineStr">
        <is>
          <t>Point of Origin</t>
        </is>
      </c>
      <c r="C7068" t="inlineStr">
        <is>
          <t>Trans Certification and Inspection Sdn Bhd, Kuantan, MY</t>
        </is>
      </c>
      <c r="D7068" t="inlineStr">
        <is>
          <t>05.03.2027</t>
        </is>
      </c>
      <c r="E7068" t="inlineStr">
        <is>
          <t>Japan</t>
        </is>
      </c>
    </row>
    <row r="7069">
      <c r="A7069" t="inlineStr">
        <is>
          <t>Sichuan Humei Energy Technology Co., Ltd.,  Guang’an City, Sichuan Province, China</t>
        </is>
      </c>
      <c r="B7069" t="inlineStr">
        <is>
          <t>Collecting Point, Trader</t>
        </is>
      </c>
      <c r="C7069" t="inlineStr">
        <is>
          <t>SCS Global Services, Emeryville, CA, US</t>
        </is>
      </c>
      <c r="D7069" t="inlineStr">
        <is>
          <t>05.03.2027</t>
        </is>
      </c>
      <c r="E7069" t="inlineStr">
        <is>
          <t>China</t>
        </is>
      </c>
    </row>
    <row r="7070">
      <c r="A7070" t="inlineStr">
        <is>
          <t>Bakker Energie B.V.,  Hattemerbroek, The Netherlands</t>
        </is>
      </c>
      <c r="B7070" t="inlineStr">
        <is>
          <t>Collecting Point, Trader with Storage</t>
        </is>
      </c>
      <c r="C7070" t="inlineStr">
        <is>
          <t>Normec QS BV, Ede, NL</t>
        </is>
      </c>
      <c r="D7070" t="inlineStr">
        <is>
          <t>05.03.2027</t>
        </is>
      </c>
      <c r="E7070" t="inlineStr">
        <is>
          <t>The Netherlands</t>
        </is>
      </c>
    </row>
    <row r="7071">
      <c r="A7071" t="inlineStr">
        <is>
          <t>AEG Fuels Ireland Limited,  GLOBAL HOUSE, United Kingdom</t>
        </is>
      </c>
      <c r="B7071" t="inlineStr">
        <is>
          <t>Trader, Proof of Compliance Trader</t>
        </is>
      </c>
      <c r="C7071" t="inlineStr">
        <is>
          <t>TÜV SÜD Industrie Service GmbH, München, DE</t>
        </is>
      </c>
      <c r="D7071" t="inlineStr">
        <is>
          <t>05.03.2027</t>
        </is>
      </c>
      <c r="E7071" t="inlineStr">
        <is>
          <t>United Kingdom</t>
        </is>
      </c>
    </row>
    <row r="7072">
      <c r="A7072" t="inlineStr">
        <is>
          <t>Eurodelta,  Tallinn, Estonia</t>
        </is>
      </c>
      <c r="B7072" t="inlineStr">
        <is>
          <t>Trader with Storage</t>
        </is>
      </c>
      <c r="C7072" t="inlineStr">
        <is>
          <t>NCS Estonia OÜ, Tallinn, EE</t>
        </is>
      </c>
      <c r="D7072" t="inlineStr">
        <is>
          <t>05.03.2027</t>
        </is>
      </c>
      <c r="E7072" t="inlineStr">
        <is>
          <t>Estonia</t>
        </is>
      </c>
    </row>
    <row r="7073">
      <c r="A7073" t="inlineStr">
        <is>
          <t>C &amp; D (SINGAPORE) BUSINESS PTE. LTD,  Xiamen City, Fujian Province, China</t>
        </is>
      </c>
      <c r="B7073" t="inlineStr">
        <is>
          <t>Trader with Storage</t>
        </is>
      </c>
      <c r="C7073" t="inlineStr">
        <is>
          <t>SCS Global Services, Emeryville, CA, US</t>
        </is>
      </c>
      <c r="D7073" t="inlineStr">
        <is>
          <t>05.03.2027</t>
        </is>
      </c>
      <c r="E7073" t="inlineStr">
        <is>
          <t>China</t>
        </is>
      </c>
    </row>
    <row r="7074">
      <c r="A7074" t="inlineStr">
        <is>
          <t>SELIT Dämmtechnik GmbH,  Erbes-Büdesheim, Germany</t>
        </is>
      </c>
      <c r="B7074" t="inlineStr">
        <is>
          <t>Processing Unit</t>
        </is>
      </c>
      <c r="C7074" t="inlineStr">
        <is>
          <t>TÜV NORD CERT GmbH, Essen, DE</t>
        </is>
      </c>
      <c r="D7074" t="inlineStr">
        <is>
          <t>05.03.2027</t>
        </is>
      </c>
      <c r="E7074" t="inlineStr">
        <is>
          <t>Germany</t>
        </is>
      </c>
    </row>
    <row r="7075">
      <c r="A7075" t="inlineStr">
        <is>
          <t>Tereos Grain Alcohols France,  Mesnil saint Nicaise, France</t>
        </is>
      </c>
      <c r="B7075" t="inlineStr">
        <is>
          <t>Point of Origin, Processing Unit</t>
        </is>
      </c>
      <c r="C7075" t="inlineStr">
        <is>
          <t>Control Union Certifications Germany GmbH, Berlin, DE</t>
        </is>
      </c>
      <c r="D7075" t="inlineStr">
        <is>
          <t>05.03.2027</t>
        </is>
      </c>
      <c r="E7075" t="inlineStr">
        <is>
          <t>France</t>
        </is>
      </c>
    </row>
    <row r="7076">
      <c r="A7076" t="inlineStr">
        <is>
          <t>Tianjin Weierhao Petrochemical Co., Ltd,  Tianjin City,, China</t>
        </is>
      </c>
      <c r="B7076" t="inlineStr">
        <is>
          <t>Warehouse</t>
        </is>
      </c>
      <c r="C7076" t="inlineStr">
        <is>
          <t>SCS Global Services, Emeryville, CA, US</t>
        </is>
      </c>
      <c r="D7076" t="inlineStr">
        <is>
          <t>05.03.2027</t>
        </is>
      </c>
      <c r="E7076" t="inlineStr">
        <is>
          <t>China</t>
        </is>
      </c>
    </row>
    <row r="7077">
      <c r="A7077" t="inlineStr">
        <is>
          <t>Guangdong Dongyue Chemical Technology Co., Ltd.,  Jieyang City, Guangdong Province, China</t>
        </is>
      </c>
      <c r="B7077" t="inlineStr">
        <is>
          <t>Processing Unit, Trader with Storage</t>
        </is>
      </c>
      <c r="C7077" t="inlineStr">
        <is>
          <t>SCS Global Services, Emeryville, CA, US</t>
        </is>
      </c>
      <c r="D7077" t="inlineStr">
        <is>
          <t>05.03.2027</t>
        </is>
      </c>
      <c r="E7077" t="inlineStr">
        <is>
          <t>China</t>
        </is>
      </c>
    </row>
    <row r="7078">
      <c r="A7078" t="inlineStr">
        <is>
          <t>Olleco Ireland Unlimited Company,  Liverpool, United Kingdom</t>
        </is>
      </c>
      <c r="B7078" t="inlineStr">
        <is>
          <t>Collecting Point</t>
        </is>
      </c>
      <c r="C7078" t="inlineStr">
        <is>
          <t>Control Union Certifications Germany GmbH, Berlin, DE</t>
        </is>
      </c>
      <c r="D7078" t="inlineStr">
        <is>
          <t>05.03.2027</t>
        </is>
      </c>
      <c r="E7078" t="inlineStr">
        <is>
          <t>United Kingdom</t>
        </is>
      </c>
    </row>
    <row r="7079">
      <c r="A7079" t="inlineStr">
        <is>
          <t>SEPAŞ PLASTİK AMBALAJ SAN. VE TİC. A.Ş.,  Adana, Turkey</t>
        </is>
      </c>
      <c r="B7079" t="inlineStr">
        <is>
          <t>Processing Unit</t>
        </is>
      </c>
      <c r="C7079" t="inlineStr">
        <is>
          <t>Control Union Certifications Germany GmbH, Berlin, DE</t>
        </is>
      </c>
      <c r="D7079" t="inlineStr">
        <is>
          <t>05.03.2027</t>
        </is>
      </c>
      <c r="E7079" t="inlineStr">
        <is>
          <t>Turkey</t>
        </is>
      </c>
    </row>
    <row r="7080">
      <c r="A7080" t="inlineStr">
        <is>
          <t>Binzhou Xinhe Grease Co., Ltd.,  Binzhou City, Shandong Province, China</t>
        </is>
      </c>
      <c r="B7080" t="inlineStr">
        <is>
          <t>Collecting Point, Trader with Storage</t>
        </is>
      </c>
      <c r="C7080" t="inlineStr">
        <is>
          <t>SCS Global Services, Emeryville, CA, US</t>
        </is>
      </c>
      <c r="D7080" t="inlineStr">
        <is>
          <t>05.03.2027</t>
        </is>
      </c>
      <c r="E7080" t="inlineStr">
        <is>
          <t>China</t>
        </is>
      </c>
    </row>
    <row r="7081">
      <c r="A7081" t="inlineStr">
        <is>
          <t>EVERTREE HONGKONG LIMITED,  Shenzhen City, Guangdong Province, China</t>
        </is>
      </c>
      <c r="B7081" t="inlineStr">
        <is>
          <t>Trader</t>
        </is>
      </c>
      <c r="C7081" t="inlineStr">
        <is>
          <t>SCS Global Services, Emeryville, CA, US</t>
        </is>
      </c>
      <c r="D7081" t="inlineStr">
        <is>
          <t>05.03.2027</t>
        </is>
      </c>
      <c r="E7081" t="inlineStr">
        <is>
          <t>China</t>
        </is>
      </c>
    </row>
    <row r="7082">
      <c r="A7082" t="inlineStr">
        <is>
          <t>PT SMART Tbk,  Belawan II, Indonesia</t>
        </is>
      </c>
      <c r="B7082" t="inlineStr">
        <is>
          <t>Processing Unit, Point of Origin</t>
        </is>
      </c>
      <c r="C7082" t="inlineStr">
        <is>
          <t>PT Intertek Utama Services, Jakarta, ID</t>
        </is>
      </c>
      <c r="D7082" t="inlineStr">
        <is>
          <t>05.03.2027</t>
        </is>
      </c>
      <c r="E7082" t="inlineStr">
        <is>
          <t>Indonesia</t>
        </is>
      </c>
    </row>
    <row r="7083">
      <c r="A7083" t="inlineStr">
        <is>
          <t>Shenzhen Worbolly Supply Chain Co.,Ltd,  Shenzhen City, Guangdong Province, China</t>
        </is>
      </c>
      <c r="B7083" t="inlineStr">
        <is>
          <t>Trader</t>
        </is>
      </c>
      <c r="C7083" t="inlineStr">
        <is>
          <t>SCS Global Services, Emeryville, CA, US</t>
        </is>
      </c>
      <c r="D7083" t="inlineStr">
        <is>
          <t>05.03.2027</t>
        </is>
      </c>
      <c r="E7083" t="inlineStr">
        <is>
          <t>China</t>
        </is>
      </c>
    </row>
    <row r="7084">
      <c r="A7084" t="inlineStr">
        <is>
          <t>Taiyo Oil Company, Limited,  Chiyoda-ku, Japan</t>
        </is>
      </c>
      <c r="B7084" t="inlineStr">
        <is>
          <t>Trader with Storage</t>
        </is>
      </c>
      <c r="C7084" t="inlineStr">
        <is>
          <t>Control Union Certifications Germany GmbH, Berlin, DE</t>
        </is>
      </c>
      <c r="D7084" t="inlineStr">
        <is>
          <t>05.03.2027</t>
        </is>
      </c>
      <c r="E7084" t="inlineStr">
        <is>
          <t>Japan</t>
        </is>
      </c>
    </row>
    <row r="7085">
      <c r="A7085" t="inlineStr">
        <is>
          <t>Taiyo Oil Company, Limited,  Chiyoda-ku, Japan</t>
        </is>
      </c>
      <c r="B7085" t="inlineStr">
        <is>
          <t>Trader with Storage</t>
        </is>
      </c>
      <c r="C7085" t="inlineStr">
        <is>
          <t>Control Union Certifications Germany GmbH, Berlin, DE</t>
        </is>
      </c>
      <c r="D7085" t="inlineStr">
        <is>
          <t>05.03.2027</t>
        </is>
      </c>
      <c r="E7085" t="inlineStr">
        <is>
          <t>Japan</t>
        </is>
      </c>
    </row>
    <row r="7086">
      <c r="A7086" t="inlineStr">
        <is>
          <t>Nytex Composites Co., Ltd.,  Pitou Township, Changhua County, Taiwan (Province of China)</t>
        </is>
      </c>
      <c r="B7086" t="inlineStr">
        <is>
          <t>Processing Unit</t>
        </is>
      </c>
      <c r="C7086" t="inlineStr">
        <is>
          <t>Control Union Certifications Germany GmbH, Berlin, DE</t>
        </is>
      </c>
      <c r="D7086" t="inlineStr">
        <is>
          <t>05.03.2027</t>
        </is>
      </c>
      <c r="E7086" t="inlineStr">
        <is>
          <t>Taiwan (Province of China)</t>
        </is>
      </c>
    </row>
    <row r="7087">
      <c r="A7087" t="inlineStr">
        <is>
          <t>SHELL (ZHEJIANG) PETROLEUM TRADING LIMITED,  Tongxiang City, Jiaxing, Zhejiang Province, China</t>
        </is>
      </c>
      <c r="B7087" t="inlineStr">
        <is>
          <t>Trader with Storage</t>
        </is>
      </c>
      <c r="C7087" t="inlineStr">
        <is>
          <t>China Quality Certification Centre Co., Ltd., Beijing, CN</t>
        </is>
      </c>
      <c r="D7087" t="inlineStr">
        <is>
          <t>05.03.2027</t>
        </is>
      </c>
      <c r="E7087" t="inlineStr">
        <is>
          <t>China</t>
        </is>
      </c>
    </row>
    <row r="7088">
      <c r="A7088" t="inlineStr">
        <is>
          <t>Guangzhou Zhenghe Chemical Co., Ltd.,  Guangzhou, Guangdong, China</t>
        </is>
      </c>
      <c r="B7088" t="inlineStr">
        <is>
          <t>Trader</t>
        </is>
      </c>
      <c r="C7088" t="inlineStr">
        <is>
          <t>SCS Global Services, Emeryville, CA, US</t>
        </is>
      </c>
      <c r="D7088" t="inlineStr">
        <is>
          <t>05.03.2027</t>
        </is>
      </c>
      <c r="E7088" t="inlineStr">
        <is>
          <t>China</t>
        </is>
      </c>
    </row>
    <row r="7089">
      <c r="A7089" t="inlineStr">
        <is>
          <t>Xiamen CYH Environmental Technology Co., Ltd,  Xiamen City, Fujian Province, China</t>
        </is>
      </c>
      <c r="B7089" t="inlineStr">
        <is>
          <t>Collecting Point</t>
        </is>
      </c>
      <c r="C7089" t="inlineStr">
        <is>
          <t>RINA Services S.p.A., Genova, IT</t>
        </is>
      </c>
      <c r="D7089" t="inlineStr">
        <is>
          <t>05.03.2027</t>
        </is>
      </c>
      <c r="E7089" t="inlineStr">
        <is>
          <t>China</t>
        </is>
      </c>
    </row>
    <row r="7090">
      <c r="A7090" t="inlineStr">
        <is>
          <t>ESOL INDUSTRY,  Pyeongtaek-si, South Korea</t>
        </is>
      </c>
      <c r="B7090" t="inlineStr">
        <is>
          <t>Processing Unit</t>
        </is>
      </c>
      <c r="C7090" t="inlineStr">
        <is>
          <t>Korean Foundation for Quality, Songpa-gu, Seoul, KR</t>
        </is>
      </c>
      <c r="D7090" t="inlineStr">
        <is>
          <t>05.03.2027</t>
        </is>
      </c>
      <c r="E7090" t="inlineStr">
        <is>
          <t>South Korea</t>
        </is>
      </c>
    </row>
    <row r="7091">
      <c r="A7091" t="inlineStr">
        <is>
          <t>GaleMed (Xiamen) Co., Ltd.,  Xiamen, China</t>
        </is>
      </c>
      <c r="B7091" t="inlineStr">
        <is>
          <t>Processing Unit</t>
        </is>
      </c>
      <c r="C7091" t="inlineStr">
        <is>
          <t>DIN CERTCO GmbH, Berlin, DE</t>
        </is>
      </c>
      <c r="D7091" t="inlineStr">
        <is>
          <t>05.03.2027</t>
        </is>
      </c>
      <c r="E7091" t="inlineStr">
        <is>
          <t>China</t>
        </is>
      </c>
    </row>
    <row r="7092">
      <c r="A7092" t="inlineStr">
        <is>
          <t>Resonac Europe,  Munich, Germany</t>
        </is>
      </c>
      <c r="B7092" t="inlineStr">
        <is>
          <t>Trader</t>
        </is>
      </c>
      <c r="C7092" t="inlineStr">
        <is>
          <t>SGS Germany GmbH, Emstek, DE</t>
        </is>
      </c>
      <c r="D7092" t="inlineStr">
        <is>
          <t>05.03.2027</t>
        </is>
      </c>
      <c r="E7092" t="inlineStr">
        <is>
          <t>Germany</t>
        </is>
      </c>
    </row>
    <row r="7093">
      <c r="A7093" t="inlineStr">
        <is>
          <t>Adamant BioNRG AG,  ZUG, Switzerland</t>
        </is>
      </c>
      <c r="B7093" t="inlineStr">
        <is>
          <t>Trader with Storage</t>
        </is>
      </c>
      <c r="C7093" t="inlineStr">
        <is>
          <t>SGS Germany GmbH, Emstek, DE</t>
        </is>
      </c>
      <c r="D7093" t="inlineStr">
        <is>
          <t>05.03.2027</t>
        </is>
      </c>
      <c r="E7093" t="inlineStr">
        <is>
          <t>Switzerland</t>
        </is>
      </c>
    </row>
    <row r="7094">
      <c r="A7094" t="inlineStr">
        <is>
          <t>HeFei Sunsso Carbon Fiber Tech Co., Ltd.,  Suzhou City, Jiangsu Province, China</t>
        </is>
      </c>
      <c r="B7094" t="inlineStr">
        <is>
          <t>Trader</t>
        </is>
      </c>
      <c r="C7094" t="inlineStr">
        <is>
          <t>SGS Germany GmbH, Emstek, DE</t>
        </is>
      </c>
      <c r="D7094" t="inlineStr">
        <is>
          <t>05.03.2027</t>
        </is>
      </c>
      <c r="E7094" t="inlineStr">
        <is>
          <t>China</t>
        </is>
      </c>
    </row>
    <row r="7095">
      <c r="A7095" t="inlineStr">
        <is>
          <t>Pantank Terminals n.v.,  kallo, Beveren, Belgium</t>
        </is>
      </c>
      <c r="B7095" t="inlineStr">
        <is>
          <t>Warehouse</t>
        </is>
      </c>
      <c r="C7095" t="inlineStr">
        <is>
          <t>DEKRA Certification B.V., Arnhem, NL</t>
        </is>
      </c>
      <c r="D7095" t="inlineStr">
        <is>
          <t>05.03.2027</t>
        </is>
      </c>
      <c r="E7095" t="inlineStr">
        <is>
          <t>Belgium</t>
        </is>
      </c>
    </row>
    <row r="7096">
      <c r="A7096" t="inlineStr">
        <is>
          <t>NS Styrene Monomer Co., Ltd.,  Oita, Japan</t>
        </is>
      </c>
      <c r="B7096" t="inlineStr">
        <is>
          <t>Processing Unit</t>
        </is>
      </c>
      <c r="C7096" t="inlineStr">
        <is>
          <t>SGS Germany GmbH, Emstek, DE</t>
        </is>
      </c>
      <c r="D7096" t="inlineStr">
        <is>
          <t>05.03.2027</t>
        </is>
      </c>
      <c r="E7096" t="inlineStr">
        <is>
          <t>Japan</t>
        </is>
      </c>
    </row>
    <row r="7097">
      <c r="A7097" t="inlineStr">
        <is>
          <t>TSI Bioproducts (Xuzhou) Co., Ltd,  Xuzhou, China</t>
        </is>
      </c>
      <c r="B7097" t="inlineStr">
        <is>
          <t>Processing Unit, Warehouse</t>
        </is>
      </c>
      <c r="C7097" t="inlineStr">
        <is>
          <t>NSF International, Ann Arbor, MI, US</t>
        </is>
      </c>
      <c r="D7097" t="inlineStr">
        <is>
          <t>05.03.2027</t>
        </is>
      </c>
      <c r="E7097" t="inlineStr">
        <is>
          <t>China</t>
        </is>
      </c>
    </row>
    <row r="7098">
      <c r="A7098" t="inlineStr">
        <is>
          <t>Sernfran Cerdanya S.L.,  Gerona, Spain</t>
        </is>
      </c>
      <c r="B7098" t="inlineStr">
        <is>
          <t>Collecting Point</t>
        </is>
      </c>
      <c r="C7098" t="inlineStr">
        <is>
          <t>RINA Services S.p.A., Genova, IT</t>
        </is>
      </c>
      <c r="D7098" t="inlineStr">
        <is>
          <t>05.03.2027</t>
        </is>
      </c>
      <c r="E7098" t="inlineStr">
        <is>
          <t>Spain</t>
        </is>
      </c>
    </row>
    <row r="7099">
      <c r="A7099" t="inlineStr">
        <is>
          <t>Huhtamaki Flexible Packaging Germany GmbH &amp; Co.KG,  Carbonara Scrivia (AL), Italy</t>
        </is>
      </c>
      <c r="B7099" t="inlineStr">
        <is>
          <t>Processing Unit</t>
        </is>
      </c>
      <c r="C7099" t="inlineStr">
        <is>
          <t>TÜV NORD CERT GmbH, Essen, DE</t>
        </is>
      </c>
      <c r="D7099" t="inlineStr">
        <is>
          <t>05.03.2027</t>
        </is>
      </c>
      <c r="E7099" t="inlineStr">
        <is>
          <t>Italy</t>
        </is>
      </c>
    </row>
    <row r="7100">
      <c r="A7100" t="inlineStr">
        <is>
          <t>Hydroxy Energy GmbH,  Ochsenfurt, Germany</t>
        </is>
      </c>
      <c r="B7100" t="inlineStr">
        <is>
          <t>Point of Origin</t>
        </is>
      </c>
      <c r="C7100" t="inlineStr">
        <is>
          <t>ICIM SpA, sesto san giovanni, IT</t>
        </is>
      </c>
      <c r="D7100" t="inlineStr">
        <is>
          <t>05.03.2027</t>
        </is>
      </c>
      <c r="E7100" t="inlineStr">
        <is>
          <t>Germany</t>
        </is>
      </c>
    </row>
    <row r="7101">
      <c r="A7101" t="inlineStr">
        <is>
          <t>Ukraina 2001,  Teofipol, Ukraine</t>
        </is>
      </c>
      <c r="B7101" t="inlineStr">
        <is>
          <t>Farm / Plantation, Collecting Point, Processing Unit, Trader with Storage</t>
        </is>
      </c>
      <c r="C7101" t="inlineStr">
        <is>
          <t>United Registrar of Systems Polska Sp. z o.o., Wrocław, PL</t>
        </is>
      </c>
      <c r="D7101" t="inlineStr">
        <is>
          <t>05.03.2027</t>
        </is>
      </c>
      <c r="E7101" t="inlineStr">
        <is>
          <t>Ukraine</t>
        </is>
      </c>
    </row>
    <row r="7102">
      <c r="A7102" t="inlineStr">
        <is>
          <t>Wangkui Juneng Bio-Natural Gas Co., Ltd.,  Suihua City, Heilongjiang Province, China</t>
        </is>
      </c>
      <c r="B7102" t="inlineStr">
        <is>
          <t>Collecting Point, Processing Unit</t>
        </is>
      </c>
      <c r="C7102" t="inlineStr">
        <is>
          <t>SCS Global Services, Emeryville, CA, US</t>
        </is>
      </c>
      <c r="D7102" t="inlineStr">
        <is>
          <t>05.03.2027</t>
        </is>
      </c>
      <c r="E7102" t="inlineStr">
        <is>
          <t>China</t>
        </is>
      </c>
    </row>
    <row r="7103">
      <c r="A7103" t="inlineStr">
        <is>
          <t>Philips Austria GmbH,  Klagenfurt, Austria</t>
        </is>
      </c>
      <c r="B7103" t="inlineStr">
        <is>
          <t>Processing Unit, Trader</t>
        </is>
      </c>
      <c r="C7103" t="inlineStr">
        <is>
          <t>Control Union Certifications Germany GmbH, Berlin, DE</t>
        </is>
      </c>
      <c r="D7103" t="inlineStr">
        <is>
          <t>05.03.2027</t>
        </is>
      </c>
      <c r="E7103" t="inlineStr">
        <is>
          <t>Austria</t>
        </is>
      </c>
    </row>
    <row r="7104">
      <c r="A7104" t="inlineStr">
        <is>
          <t>Kuraray Europe GmbH,  Trosidorf, Germany</t>
        </is>
      </c>
      <c r="B7104" t="inlineStr">
        <is>
          <t>Processing Unit</t>
        </is>
      </c>
      <c r="C7104" t="inlineStr">
        <is>
          <t>Control Union Certifications Germany GmbH, Berlin, DE</t>
        </is>
      </c>
      <c r="D7104" t="inlineStr">
        <is>
          <t>05.03.2027</t>
        </is>
      </c>
      <c r="E7104" t="inlineStr">
        <is>
          <t>Germany</t>
        </is>
      </c>
    </row>
    <row r="7105">
      <c r="A7105" t="inlineStr">
        <is>
          <t>F&amp;S B.V. - POLYVANTIS,  Bergen op Zoom, Netherlands</t>
        </is>
      </c>
      <c r="B7105" t="inlineStr">
        <is>
          <t>Processing Unit</t>
        </is>
      </c>
      <c r="C7105" t="inlineStr">
        <is>
          <t>TÜV NORD CERT GmbH, Essen, DE</t>
        </is>
      </c>
      <c r="D7105" t="inlineStr">
        <is>
          <t>05.03.2027</t>
        </is>
      </c>
      <c r="E7105" t="inlineStr">
        <is>
          <t>Netherlands</t>
        </is>
      </c>
    </row>
    <row r="7106">
      <c r="A7106" t="inlineStr">
        <is>
          <t>LD Packaging(Foshan) Co.,LTD.,  Foshan City, Guangdong Province, China</t>
        </is>
      </c>
      <c r="B7106" t="inlineStr">
        <is>
          <t>Processing Unit</t>
        </is>
      </c>
      <c r="C7106" t="inlineStr">
        <is>
          <t>DQS CFS GmbH - Deutsche Gesellschaft für Nachhaltigkeit, Frankfurt am Main, DE</t>
        </is>
      </c>
      <c r="D7106" t="inlineStr">
        <is>
          <t>05.03.2027</t>
        </is>
      </c>
      <c r="E7106" t="inlineStr">
        <is>
          <t>China</t>
        </is>
      </c>
    </row>
    <row r="7107">
      <c r="A7107" t="inlineStr">
        <is>
          <t>ProAmpac Holdings,  Cheektowaga, United States</t>
        </is>
      </c>
      <c r="B7107" t="inlineStr">
        <is>
          <t>Processing Unit, Final Product Refinement</t>
        </is>
      </c>
      <c r="C7107" t="inlineStr">
        <is>
          <t>SCS Global Services, Emeryville, CA, US</t>
        </is>
      </c>
      <c r="D7107" t="inlineStr">
        <is>
          <t>05.03.2027</t>
        </is>
      </c>
      <c r="E7107" t="inlineStr">
        <is>
          <t>United States</t>
        </is>
      </c>
    </row>
    <row r="7108">
      <c r="A7108" t="inlineStr">
        <is>
          <t>Supertherm (Pty) Ltd,  Randvaal ,Gauteng, South Africa</t>
        </is>
      </c>
      <c r="B7108" t="inlineStr">
        <is>
          <t>Collecting Point, Processing Unit, Trader with Storage</t>
        </is>
      </c>
      <c r="C7108" t="inlineStr">
        <is>
          <t>SCS Global Services, Emeryville, CA, US</t>
        </is>
      </c>
      <c r="D7108" t="inlineStr">
        <is>
          <t>05.03.2027</t>
        </is>
      </c>
      <c r="E7108" t="inlineStr">
        <is>
          <t>South Africa</t>
        </is>
      </c>
    </row>
    <row r="7109">
      <c r="A7109" t="inlineStr">
        <is>
          <t>Seaboard Energy Kansas, LLC,  Hugoton, United States</t>
        </is>
      </c>
      <c r="B7109" t="inlineStr">
        <is>
          <t>Collecting Point, Processing Unit</t>
        </is>
      </c>
      <c r="C7109" t="inlineStr">
        <is>
          <t>SCS Global Services, Emeryville, CA, US</t>
        </is>
      </c>
      <c r="D7109" t="inlineStr">
        <is>
          <t>05.03.2027</t>
        </is>
      </c>
      <c r="E7109" t="inlineStr">
        <is>
          <t>United States</t>
        </is>
      </c>
    </row>
    <row r="7110">
      <c r="A7110" t="inlineStr">
        <is>
          <t>Seaboard Energy Kansas, LLC,  Hugoton, United States</t>
        </is>
      </c>
      <c r="B7110" t="inlineStr">
        <is>
          <t>Collecting Point, Processing Unit</t>
        </is>
      </c>
      <c r="C7110" t="inlineStr">
        <is>
          <t>SCS Global Services, Emeryville, CA, US</t>
        </is>
      </c>
      <c r="D7110" t="inlineStr">
        <is>
          <t>05.03.2027</t>
        </is>
      </c>
      <c r="E7110" t="inlineStr">
        <is>
          <t>United States</t>
        </is>
      </c>
    </row>
    <row r="7111">
      <c r="A7111" t="inlineStr">
        <is>
          <t>TUAHTA MAJU ERSADA,  Provinsi Sumatera Utara, Indonesia</t>
        </is>
      </c>
      <c r="B7111" t="inlineStr">
        <is>
          <t>Point of Origin</t>
        </is>
      </c>
      <c r="C7111" t="inlineStr">
        <is>
          <t>PT. Qualitas Sertifikasi Indonesia, Jakarta, ID</t>
        </is>
      </c>
      <c r="D7111" t="inlineStr">
        <is>
          <t>05.03.2027</t>
        </is>
      </c>
      <c r="E7111" t="inlineStr">
        <is>
          <t>Indonesia</t>
        </is>
      </c>
    </row>
    <row r="7112">
      <c r="A7112" t="inlineStr">
        <is>
          <t>AERA,  Bouxwiller, France</t>
        </is>
      </c>
      <c r="B7112" t="inlineStr">
        <is>
          <t>Final Product Refinement</t>
        </is>
      </c>
      <c r="C7112" t="inlineStr">
        <is>
          <t>Control Union Certifications Germany GmbH, Berlin, DE</t>
        </is>
      </c>
      <c r="D7112" t="inlineStr">
        <is>
          <t>04.03.2027</t>
        </is>
      </c>
      <c r="E7112" t="inlineStr">
        <is>
          <t>France</t>
        </is>
      </c>
    </row>
    <row r="7113">
      <c r="A7113" t="inlineStr">
        <is>
          <t>NATGAS FRANCE,  Paris, France</t>
        </is>
      </c>
      <c r="B7113" t="inlineStr">
        <is>
          <t>Trader</t>
        </is>
      </c>
      <c r="C7113" t="inlineStr">
        <is>
          <t>Bureau Veritas Polska Sp. z o.o., Warsaw, PL</t>
        </is>
      </c>
      <c r="D7113" t="inlineStr">
        <is>
          <t>04.03.2027</t>
        </is>
      </c>
      <c r="E7113" t="inlineStr">
        <is>
          <t>France</t>
        </is>
      </c>
    </row>
    <row r="7114">
      <c r="A7114" t="inlineStr">
        <is>
          <t>Nimo Iniciativas,  Puertollano, Spain</t>
        </is>
      </c>
      <c r="B7114" t="inlineStr">
        <is>
          <t>Processing Unit</t>
        </is>
      </c>
      <c r="C7114" t="inlineStr">
        <is>
          <t>Control Union Poland Sp. z o.o., Zielona Gora, PL</t>
        </is>
      </c>
      <c r="D7114" t="inlineStr">
        <is>
          <t>04.03.2027</t>
        </is>
      </c>
      <c r="E7114" t="inlineStr">
        <is>
          <t>Spain</t>
        </is>
      </c>
    </row>
    <row r="7115">
      <c r="A7115" t="inlineStr">
        <is>
          <t>HUNAN PENGHUI NEW ENERGY TECHNOLOGY CO., LTD.,  Changsha Area, China (Hunan) Pilot Trade Zone, China</t>
        </is>
      </c>
      <c r="B7115" t="inlineStr">
        <is>
          <t>Trader</t>
        </is>
      </c>
      <c r="C7115" t="inlineStr">
        <is>
          <t>Trans Certification and Inspection Sdn Bhd, Kuantan, MY</t>
        </is>
      </c>
      <c r="D7115" t="inlineStr">
        <is>
          <t>04.03.2027</t>
        </is>
      </c>
      <c r="E7115" t="inlineStr">
        <is>
          <t>China</t>
        </is>
      </c>
    </row>
    <row r="7116">
      <c r="A7116" t="inlineStr">
        <is>
          <t>RUMSFELD SRL,  Braila, Romania</t>
        </is>
      </c>
      <c r="B7116" t="inlineStr">
        <is>
          <t>First Gathering Point, Trader with Storage</t>
        </is>
      </c>
      <c r="C7116" t="inlineStr">
        <is>
          <t>SGS Germany GmbH, Emstek, DE</t>
        </is>
      </c>
      <c r="D7116" t="inlineStr">
        <is>
          <t>04.03.2027</t>
        </is>
      </c>
      <c r="E7116" t="inlineStr">
        <is>
          <t>Romania</t>
        </is>
      </c>
    </row>
    <row r="7117">
      <c r="A7117" t="inlineStr">
        <is>
          <t>Roadgas,  Nottingham, United Kingdom</t>
        </is>
      </c>
      <c r="B7117" t="inlineStr">
        <is>
          <t>Trader</t>
        </is>
      </c>
      <c r="C7117" t="inlineStr">
        <is>
          <t>Aardvark Certification Ltd, Wiveliscombe, Somerset, GB</t>
        </is>
      </c>
      <c r="D7117" t="inlineStr">
        <is>
          <t>04.03.2027</t>
        </is>
      </c>
      <c r="E7117" t="inlineStr">
        <is>
          <t>United Kingdom</t>
        </is>
      </c>
    </row>
    <row r="7118">
      <c r="A7118" t="inlineStr">
        <is>
          <t>ECO USA,  Parkersburg, West Virginia, United States</t>
        </is>
      </c>
      <c r="B7118" t="inlineStr">
        <is>
          <t>Collecting Point, Processing Unit</t>
        </is>
      </c>
      <c r="C7118" t="inlineStr">
        <is>
          <t>SCS Global Services, Emeryville, CA, US</t>
        </is>
      </c>
      <c r="D7118" t="inlineStr">
        <is>
          <t>04.03.2027</t>
        </is>
      </c>
      <c r="E7118" t="inlineStr">
        <is>
          <t>United States</t>
        </is>
      </c>
    </row>
    <row r="7119">
      <c r="A7119" t="inlineStr">
        <is>
          <t>Revo International Inc.,  Oaza-tachikawa, Ujitawara-cho, Tsuzuki-gun, Kyoto, Japan</t>
        </is>
      </c>
      <c r="B7119" t="inlineStr">
        <is>
          <t>Collecting Point, Processing Unit, Trader with Storage</t>
        </is>
      </c>
      <c r="C7119" t="inlineStr">
        <is>
          <t>Control Union Certifications Germany GmbH, Berlin, DE</t>
        </is>
      </c>
      <c r="D7119" t="inlineStr">
        <is>
          <t>04.03.2027</t>
        </is>
      </c>
      <c r="E7119" t="inlineStr">
        <is>
          <t>Japan</t>
        </is>
      </c>
    </row>
    <row r="7120">
      <c r="A7120" t="inlineStr">
        <is>
          <t>Qi County Luoouwang Oil Co.,Ltd,  Kaifeng City, Henan Province, China</t>
        </is>
      </c>
      <c r="B7120" t="inlineStr">
        <is>
          <t>Collecting Point, Trader</t>
        </is>
      </c>
      <c r="C7120" t="inlineStr">
        <is>
          <t>SCS Global Services, Emeryville, CA, US</t>
        </is>
      </c>
      <c r="D7120" t="inlineStr">
        <is>
          <t>04.03.2027</t>
        </is>
      </c>
      <c r="E7120" t="inlineStr">
        <is>
          <t>China</t>
        </is>
      </c>
    </row>
    <row r="7121">
      <c r="A7121" t="inlineStr">
        <is>
          <t>Eco-Energy LLC,  Franklin, United States</t>
        </is>
      </c>
      <c r="B7121" t="inlineStr">
        <is>
          <t>Trader with Storage, Collecting Point</t>
        </is>
      </c>
      <c r="C7121" t="inlineStr">
        <is>
          <t>SCS Global Services, Emeryville, CA, US</t>
        </is>
      </c>
      <c r="D7121" t="inlineStr">
        <is>
          <t>04.03.2027</t>
        </is>
      </c>
      <c r="E7121" t="inlineStr">
        <is>
          <t>United States</t>
        </is>
      </c>
    </row>
    <row r="7122">
      <c r="A7122" t="inlineStr">
        <is>
          <t>Eco-Energy LLC,  Franklin, United States</t>
        </is>
      </c>
      <c r="B7122" t="inlineStr">
        <is>
          <t>Trader with Storage, Collecting Point</t>
        </is>
      </c>
      <c r="C7122" t="inlineStr">
        <is>
          <t>SCS Global Services, Emeryville, CA, US</t>
        </is>
      </c>
      <c r="D7122" t="inlineStr">
        <is>
          <t>04.03.2027</t>
        </is>
      </c>
      <c r="E7122" t="inlineStr">
        <is>
          <t>United States</t>
        </is>
      </c>
    </row>
    <row r="7123">
      <c r="A7123" t="inlineStr">
        <is>
          <t>Eco-Energy LLC,  Franklin, United States</t>
        </is>
      </c>
      <c r="B7123" t="inlineStr">
        <is>
          <t>Trader with Storage, Collecting Point</t>
        </is>
      </c>
      <c r="C7123" t="inlineStr">
        <is>
          <t>SCS Global Services, Emeryville, CA, US</t>
        </is>
      </c>
      <c r="D7123" t="inlineStr">
        <is>
          <t>04.03.2027</t>
        </is>
      </c>
      <c r="E7123" t="inlineStr">
        <is>
          <t>United States</t>
        </is>
      </c>
    </row>
    <row r="7124">
      <c r="A7124" t="inlineStr">
        <is>
          <t>Vattenfall Sales Nederland NV,  Amsterdam, Netherlands</t>
        </is>
      </c>
      <c r="B7124" t="inlineStr">
        <is>
          <t>Trader</t>
        </is>
      </c>
      <c r="C7124" t="inlineStr">
        <is>
          <t>Normec QS BV, Ede, NL</t>
        </is>
      </c>
      <c r="D7124" t="inlineStr">
        <is>
          <t>04.03.2027</t>
        </is>
      </c>
      <c r="E7124" t="inlineStr">
        <is>
          <t>Netherlands</t>
        </is>
      </c>
    </row>
    <row r="7125">
      <c r="A7125" t="inlineStr">
        <is>
          <t>Shin-Etsu Silicone Taiwan Co., Ltd.,  Fenghuang Vil., Hukou Township, Hsinchu County, Taiwan</t>
        </is>
      </c>
      <c r="B7125" t="inlineStr">
        <is>
          <t>Processing Unit, Trader with Storage</t>
        </is>
      </c>
      <c r="C7125" t="inlineStr">
        <is>
          <t>Bureau Veritas Polska Sp. z o.o., Warsaw, PL</t>
        </is>
      </c>
      <c r="D7125" t="inlineStr">
        <is>
          <t>04.03.2027</t>
        </is>
      </c>
      <c r="E7125" t="inlineStr">
        <is>
          <t>Taiwan</t>
        </is>
      </c>
    </row>
    <row r="7126">
      <c r="A7126" t="inlineStr">
        <is>
          <t>Swan Malaysia Sdn. Bhd.,  Senai, Malaysia</t>
        </is>
      </c>
      <c r="B7126" t="inlineStr">
        <is>
          <t>Final Product Refinement, Processing Unit</t>
        </is>
      </c>
      <c r="C7126" t="inlineStr">
        <is>
          <t>Trans Certification and Inspection Sdn Bhd, Kuantan, MY</t>
        </is>
      </c>
      <c r="D7126" t="inlineStr">
        <is>
          <t>04.03.2027</t>
        </is>
      </c>
      <c r="E7126" t="inlineStr">
        <is>
          <t>Malaysia</t>
        </is>
      </c>
    </row>
    <row r="7127">
      <c r="A7127" t="inlineStr">
        <is>
          <t>ENDESA ENERGIA,  MADRID, Spain</t>
        </is>
      </c>
      <c r="B7127" t="inlineStr">
        <is>
          <t>Logistics Center, Trader with Storage</t>
        </is>
      </c>
      <c r="C7127" t="inlineStr">
        <is>
          <t>Bureau Veritas Polska Sp. z o.o., Warsaw, PL</t>
        </is>
      </c>
      <c r="D7127" t="inlineStr">
        <is>
          <t>04.03.2027</t>
        </is>
      </c>
      <c r="E7127" t="inlineStr">
        <is>
          <t>Spain</t>
        </is>
      </c>
    </row>
    <row r="7128">
      <c r="A7128" t="inlineStr">
        <is>
          <t>Spies Kunststoffe GmbH,  Melle, Germany</t>
        </is>
      </c>
      <c r="B7128" t="inlineStr">
        <is>
          <t>Processing Unit</t>
        </is>
      </c>
      <c r="C7128" t="inlineStr">
        <is>
          <t>GUT Certifizierungsgesellschaft für Managementsysteme mbH Umweltgutachter, Berlin, DE</t>
        </is>
      </c>
      <c r="D7128" t="inlineStr">
        <is>
          <t>04.03.2027</t>
        </is>
      </c>
      <c r="E7128" t="inlineStr">
        <is>
          <t>Germany</t>
        </is>
      </c>
    </row>
    <row r="7129">
      <c r="A7129" t="inlineStr">
        <is>
          <t>Guangzhou C and T Industry Company Ltd,  Guangzhou, China</t>
        </is>
      </c>
      <c r="B7129" t="inlineStr">
        <is>
          <t>Processing Unit</t>
        </is>
      </c>
      <c r="C7129" t="inlineStr">
        <is>
          <t>DIN CERTCO GmbH, Berlin, DE</t>
        </is>
      </c>
      <c r="D7129" t="inlineStr">
        <is>
          <t>04.03.2027</t>
        </is>
      </c>
      <c r="E7129" t="inlineStr">
        <is>
          <t>China</t>
        </is>
      </c>
    </row>
    <row r="7130">
      <c r="A7130" t="inlineStr">
        <is>
          <t>Yparex B.V.,  Enschede, Netherlands</t>
        </is>
      </c>
      <c r="B7130" t="inlineStr">
        <is>
          <t>Trader with Storage, Processing Unit</t>
        </is>
      </c>
      <c r="C7130" t="inlineStr">
        <is>
          <t>DEKRA Certification B.V., Arnhem, NL</t>
        </is>
      </c>
      <c r="D7130" t="inlineStr">
        <is>
          <t>04.03.2027</t>
        </is>
      </c>
      <c r="E7130" t="inlineStr">
        <is>
          <t>Netherlands</t>
        </is>
      </c>
    </row>
    <row r="7131">
      <c r="A7131" t="inlineStr">
        <is>
          <t>Cargill BV,  Zaandam, Netherlands</t>
        </is>
      </c>
      <c r="B7131" t="inlineStr">
        <is>
          <t>Point of Origin</t>
        </is>
      </c>
      <c r="C7131" t="inlineStr">
        <is>
          <t>DEKRA Certification B.V., Arnhem, NL</t>
        </is>
      </c>
      <c r="D7131" t="inlineStr">
        <is>
          <t>04.03.2027</t>
        </is>
      </c>
      <c r="E7131" t="inlineStr">
        <is>
          <t>Netherlands</t>
        </is>
      </c>
    </row>
    <row r="7132">
      <c r="A7132" t="inlineStr">
        <is>
          <t>Eesti Aviokütuse Teenuste,  Tallinn, Estonia</t>
        </is>
      </c>
      <c r="B7132" t="inlineStr">
        <is>
          <t>Proof of Compliance Trader, Trader with Storage, Warehouse</t>
        </is>
      </c>
      <c r="C7132" t="inlineStr">
        <is>
          <t>BM Certification, Riga, LV</t>
        </is>
      </c>
      <c r="D7132" t="inlineStr">
        <is>
          <t>04.03.2027</t>
        </is>
      </c>
      <c r="E7132" t="inlineStr">
        <is>
          <t>Estonia</t>
        </is>
      </c>
    </row>
    <row r="7133">
      <c r="A7133" t="inlineStr">
        <is>
          <t>BA-Trading BV,  Sittard, Netherlands</t>
        </is>
      </c>
      <c r="B7133" t="inlineStr">
        <is>
          <t>Trader</t>
        </is>
      </c>
      <c r="C7133" t="inlineStr">
        <is>
          <t>DEKRA Certification B.V., Arnhem, NL</t>
        </is>
      </c>
      <c r="D7133" t="inlineStr">
        <is>
          <t>04.03.2027</t>
        </is>
      </c>
      <c r="E7133" t="inlineStr">
        <is>
          <t>Netherlands</t>
        </is>
      </c>
    </row>
    <row r="7134">
      <c r="A7134" t="inlineStr">
        <is>
          <t>BA-Trading BV,  Sittard, Netherlands</t>
        </is>
      </c>
      <c r="B7134" t="inlineStr">
        <is>
          <t>Trader</t>
        </is>
      </c>
      <c r="C7134" t="inlineStr">
        <is>
          <t>DEKRA Certification B.V., Arnhem, NL</t>
        </is>
      </c>
      <c r="D7134" t="inlineStr">
        <is>
          <t>04.03.2027</t>
        </is>
      </c>
      <c r="E7134" t="inlineStr">
        <is>
          <t>Netherlands</t>
        </is>
      </c>
    </row>
    <row r="7135">
      <c r="A7135" t="inlineStr">
        <is>
          <t>Nordmann Japan Limited,  Chuo-ku, Tokyo, Japan</t>
        </is>
      </c>
      <c r="B7135" t="inlineStr">
        <is>
          <t>Trader</t>
        </is>
      </c>
      <c r="C7135" t="inlineStr">
        <is>
          <t>SGS Germany GmbH, Emstek, DE</t>
        </is>
      </c>
      <c r="D7135" t="inlineStr">
        <is>
          <t>04.03.2027</t>
        </is>
      </c>
      <c r="E7135" t="inlineStr">
        <is>
          <t>Japan</t>
        </is>
      </c>
    </row>
    <row r="7136">
      <c r="A7136" t="inlineStr">
        <is>
          <t>Veplastic,  Vergiate, Italy</t>
        </is>
      </c>
      <c r="B7136" t="inlineStr">
        <is>
          <t>Processing Unit, Warehouse</t>
        </is>
      </c>
      <c r="C7136" t="inlineStr">
        <is>
          <t>PT Intertek Utama Services, Jakarta, ID</t>
        </is>
      </c>
      <c r="D7136" t="inlineStr">
        <is>
          <t>04.03.2027</t>
        </is>
      </c>
      <c r="E7136" t="inlineStr">
        <is>
          <t>Italy</t>
        </is>
      </c>
    </row>
    <row r="7137">
      <c r="A7137" t="inlineStr">
        <is>
          <t>SHENZHEN QIANZHAO GLASSES MANUFACTURE CO., LTD,  SHENZHEN CITY，GUANGDONG PROVINCE,, China</t>
        </is>
      </c>
      <c r="B7137" t="inlineStr">
        <is>
          <t>Processing Unit</t>
        </is>
      </c>
      <c r="C7137" t="inlineStr">
        <is>
          <t>SCS Global Services, Emeryville, CA, US</t>
        </is>
      </c>
      <c r="D7137" t="inlineStr">
        <is>
          <t>04.03.2027</t>
        </is>
      </c>
      <c r="E7137" t="inlineStr">
        <is>
          <t>China</t>
        </is>
      </c>
    </row>
    <row r="7138">
      <c r="A7138" t="inlineStr">
        <is>
          <t>IKEA Components AB,  Älmhult, Sweden</t>
        </is>
      </c>
      <c r="B7138" t="inlineStr">
        <is>
          <t>Trader</t>
        </is>
      </c>
      <c r="C7138" t="inlineStr">
        <is>
          <t>Bureau Veritas Polska Sp. z o.o., Warsaw, PL</t>
        </is>
      </c>
      <c r="D7138" t="inlineStr">
        <is>
          <t>04.03.2027</t>
        </is>
      </c>
      <c r="E7138" t="inlineStr">
        <is>
          <t>Sweden</t>
        </is>
      </c>
    </row>
    <row r="7139">
      <c r="A7139" t="inlineStr">
        <is>
          <t>APF Trading B.V.,  Uden, Netherlands</t>
        </is>
      </c>
      <c r="B7139" t="inlineStr">
        <is>
          <t>Trader</t>
        </is>
      </c>
      <c r="C7139" t="inlineStr">
        <is>
          <t>Normec QS BV, Ede, NL</t>
        </is>
      </c>
      <c r="D7139" t="inlineStr">
        <is>
          <t>04.03.2027</t>
        </is>
      </c>
      <c r="E7139" t="inlineStr">
        <is>
          <t>Netherlands</t>
        </is>
      </c>
    </row>
    <row r="7140">
      <c r="A7140" t="inlineStr">
        <is>
          <t>Innovia Films Limited,  Wigton, United Kingdom</t>
        </is>
      </c>
      <c r="B7140" t="inlineStr">
        <is>
          <t>Processing Unit, Trader with Storage</t>
        </is>
      </c>
      <c r="C7140" t="inlineStr">
        <is>
          <t>SGS Germany GmbH, Emstek, DE</t>
        </is>
      </c>
      <c r="D7140" t="inlineStr">
        <is>
          <t>04.03.2027</t>
        </is>
      </c>
      <c r="E7140" t="inlineStr">
        <is>
          <t>United Kingdom</t>
        </is>
      </c>
    </row>
    <row r="7141">
      <c r="A7141" t="inlineStr">
        <is>
          <t>Apex Chem (PTY) LTD,  Durban, South Africa</t>
        </is>
      </c>
      <c r="B7141" t="inlineStr">
        <is>
          <t>Trader with Storage, Collecting Point, Processing Unit</t>
        </is>
      </c>
      <c r="C7141" t="inlineStr">
        <is>
          <t>DEKRA Certification B.V., Arnhem, NL</t>
        </is>
      </c>
      <c r="D7141" t="inlineStr">
        <is>
          <t>04.03.2027</t>
        </is>
      </c>
      <c r="E7141" t="inlineStr">
        <is>
          <t>South Africa</t>
        </is>
      </c>
    </row>
    <row r="7142">
      <c r="A7142" t="inlineStr">
        <is>
          <t>Apex Chem (PTY) LTD,  Durban, South Africa</t>
        </is>
      </c>
      <c r="B7142" t="inlineStr">
        <is>
          <t>Trader with Storage, Collecting Point</t>
        </is>
      </c>
      <c r="C7142" t="inlineStr">
        <is>
          <t>DEKRA Certification B.V., Arnhem, NL</t>
        </is>
      </c>
      <c r="D7142" t="inlineStr">
        <is>
          <t>04.03.2027</t>
        </is>
      </c>
      <c r="E7142" t="inlineStr">
        <is>
          <t>South Africa</t>
        </is>
      </c>
    </row>
    <row r="7143">
      <c r="A7143" t="inlineStr">
        <is>
          <t>takiron-rowland limited,  hyogo, Japan</t>
        </is>
      </c>
      <c r="B7143" t="inlineStr">
        <is>
          <t>Processing Unit</t>
        </is>
      </c>
      <c r="C7143" t="inlineStr">
        <is>
          <t>SGS Germany GmbH, Emstek, DE</t>
        </is>
      </c>
      <c r="D7143" t="inlineStr">
        <is>
          <t>04.03.2027</t>
        </is>
      </c>
      <c r="E7143" t="inlineStr">
        <is>
          <t>Japan</t>
        </is>
      </c>
    </row>
    <row r="7144">
      <c r="A7144" t="inlineStr">
        <is>
          <t>THE K S CORPORATION,  Onsan-eup, Ulju-gun, Ulsan, South Korea</t>
        </is>
      </c>
      <c r="B7144" t="inlineStr">
        <is>
          <t>Processing Unit</t>
        </is>
      </c>
      <c r="C7144" t="inlineStr">
        <is>
          <t>Control Union Certifications Germany GmbH, Berlin, DE</t>
        </is>
      </c>
      <c r="D7144" t="inlineStr">
        <is>
          <t>04.03.2027</t>
        </is>
      </c>
      <c r="E7144" t="inlineStr">
        <is>
          <t>South Korea</t>
        </is>
      </c>
    </row>
    <row r="7145">
      <c r="A7145" t="inlineStr">
        <is>
          <t>COOPERATIVA UNION DE PALMICULTORES DE LA COSTA DE CHIAPAS,  ACAPETAHUA, Mexico</t>
        </is>
      </c>
      <c r="B7145" t="inlineStr">
        <is>
          <t>Point of Origin</t>
        </is>
      </c>
      <c r="C7145" t="inlineStr">
        <is>
          <t>Control Union Poland Sp. z o.o., Zielona Gora, PL</t>
        </is>
      </c>
      <c r="D7145" t="inlineStr">
        <is>
          <t>04.03.2027</t>
        </is>
      </c>
      <c r="E7145" t="inlineStr">
        <is>
          <t>Mexico</t>
        </is>
      </c>
    </row>
    <row r="7146">
      <c r="A7146" t="inlineStr">
        <is>
          <t>Rybjerg Biogas,  Roslev, Denmark</t>
        </is>
      </c>
      <c r="B7146" t="inlineStr">
        <is>
          <t>Collecting Point, First Gathering Point, Processing Unit</t>
        </is>
      </c>
      <c r="C7146" t="inlineStr">
        <is>
          <t>Baltic Control Certification, Risskov, DK</t>
        </is>
      </c>
      <c r="D7146" t="inlineStr">
        <is>
          <t>04.03.2027</t>
        </is>
      </c>
      <c r="E7146" t="inlineStr">
        <is>
          <t>Denmark</t>
        </is>
      </c>
    </row>
    <row r="7147">
      <c r="A7147" t="inlineStr">
        <is>
          <t>EXSTO,  Romans sur Isère, France</t>
        </is>
      </c>
      <c r="B7147" t="inlineStr">
        <is>
          <t>Processing Unit</t>
        </is>
      </c>
      <c r="C7147" t="inlineStr">
        <is>
          <t>Bureau Veritas Polska Sp. z o.o., Warsaw, PL</t>
        </is>
      </c>
      <c r="D7147" t="inlineStr">
        <is>
          <t>04.03.2027</t>
        </is>
      </c>
      <c r="E7147" t="inlineStr">
        <is>
          <t>France</t>
        </is>
      </c>
    </row>
    <row r="7148">
      <c r="A7148" t="inlineStr">
        <is>
          <t>Jiangsu Haiqi Ganghua Gas Corp.,Ltd,  Nanjing, China</t>
        </is>
      </c>
      <c r="B7148" t="inlineStr">
        <is>
          <t>Trader</t>
        </is>
      </c>
      <c r="C7148" t="inlineStr">
        <is>
          <t>RINA Services S.p.A., Genova, IT</t>
        </is>
      </c>
      <c r="D7148" t="inlineStr">
        <is>
          <t>04.03.2027</t>
        </is>
      </c>
      <c r="E7148" t="inlineStr">
        <is>
          <t>China</t>
        </is>
      </c>
    </row>
    <row r="7149">
      <c r="A7149" t="inlineStr">
        <is>
          <t>TAKT Co., Ltd.,  Nakhorn Ratchasima, Thailand</t>
        </is>
      </c>
      <c r="B7149" t="inlineStr">
        <is>
          <t>Collecting Point, Point of Origin, Processing Unit</t>
        </is>
      </c>
      <c r="C7149" t="inlineStr">
        <is>
          <t>SGS Germany GmbH, Emstek, DE</t>
        </is>
      </c>
      <c r="D7149" t="inlineStr">
        <is>
          <t>04.03.2027</t>
        </is>
      </c>
      <c r="E7149" t="inlineStr">
        <is>
          <t>Thailand</t>
        </is>
      </c>
    </row>
    <row r="7150">
      <c r="A7150" t="inlineStr">
        <is>
          <t>Japan Waste Tokai Co., Ltd.,  Kawagoe-cho, Japan</t>
        </is>
      </c>
      <c r="B7150" t="inlineStr">
        <is>
          <t>Collecting Point, Processing Unit, Warehouse</t>
        </is>
      </c>
      <c r="C7150" t="inlineStr">
        <is>
          <t>SGS Germany GmbH, Emstek, DE</t>
        </is>
      </c>
      <c r="D7150" t="inlineStr">
        <is>
          <t>04.03.2027</t>
        </is>
      </c>
      <c r="E7150" t="inlineStr">
        <is>
          <t>Japan</t>
        </is>
      </c>
    </row>
    <row r="7151">
      <c r="A7151" t="inlineStr">
        <is>
          <t>ECO VAJ Sh.p.k,  Peze-Helms, Tirane, Albania</t>
        </is>
      </c>
      <c r="B7151" t="inlineStr">
        <is>
          <t>Collecting Point</t>
        </is>
      </c>
      <c r="C7151" t="inlineStr">
        <is>
          <t>RINA Services S.p.A., Genova, IT</t>
        </is>
      </c>
      <c r="D7151" t="inlineStr">
        <is>
          <t>04.03.2027</t>
        </is>
      </c>
      <c r="E7151" t="inlineStr">
        <is>
          <t>Albania</t>
        </is>
      </c>
    </row>
    <row r="7152">
      <c r="A7152" t="inlineStr">
        <is>
          <t>Pretoria Energy (Mepal 2) Ltd,  Ely, United Kingdom</t>
        </is>
      </c>
      <c r="B7152" t="inlineStr">
        <is>
          <t>Collecting Point, Processing Unit</t>
        </is>
      </c>
      <c r="C7152" t="inlineStr">
        <is>
          <t>Aardvark Certification Ltd, Wiveliscombe, Somerset, GB</t>
        </is>
      </c>
      <c r="D7152" t="inlineStr">
        <is>
          <t>04.03.2027</t>
        </is>
      </c>
      <c r="E7152" t="inlineStr">
        <is>
          <t>United Kingdom</t>
        </is>
      </c>
    </row>
    <row r="7153">
      <c r="A7153" t="inlineStr">
        <is>
          <t>Keyouqianqi Eti Grain Depot Co., Ltd.,  Inner Mongolia, China</t>
        </is>
      </c>
      <c r="B7153" t="inlineStr">
        <is>
          <t>First Gathering Point</t>
        </is>
      </c>
      <c r="C7153" t="inlineStr">
        <is>
          <t>China Classification Society Certification Co., Ltd, Dong Cheng District, Beijing, CN</t>
        </is>
      </c>
      <c r="D7153" t="inlineStr">
        <is>
          <t>03.03.2027</t>
        </is>
      </c>
      <c r="E7153" t="inlineStr">
        <is>
          <t>China</t>
        </is>
      </c>
    </row>
    <row r="7154">
      <c r="A7154" t="inlineStr">
        <is>
          <t>Grainstore Trading,  Sofia, Bulgaria</t>
        </is>
      </c>
      <c r="B7154" t="inlineStr">
        <is>
          <t>First Gathering Point, Trader with Storage</t>
        </is>
      </c>
      <c r="C7154" t="inlineStr">
        <is>
          <t>Baltic Control Certification, Risskov, DK</t>
        </is>
      </c>
      <c r="D7154" t="inlineStr">
        <is>
          <t>03.03.2027</t>
        </is>
      </c>
      <c r="E7154" t="inlineStr">
        <is>
          <t>Bulgaria</t>
        </is>
      </c>
    </row>
    <row r="7155">
      <c r="A7155" t="inlineStr">
        <is>
          <t>OLEOPLAN S.A. OLEOS VEGETAIS PLANALTO,  Veranópolis, RS, Brazil</t>
        </is>
      </c>
      <c r="B7155" t="inlineStr">
        <is>
          <t>Collecting Point, Point of Origin, Processing Unit</t>
        </is>
      </c>
      <c r="C7155" t="inlineStr">
        <is>
          <t>SCS Global Services, Emeryville, CA, US</t>
        </is>
      </c>
      <c r="D7155" t="inlineStr">
        <is>
          <t>03.03.2027</t>
        </is>
      </c>
      <c r="E7155" t="inlineStr">
        <is>
          <t>Brazil</t>
        </is>
      </c>
    </row>
    <row r="7156">
      <c r="A7156" t="inlineStr">
        <is>
          <t>SETI 2024,  Malaga, Spain</t>
        </is>
      </c>
      <c r="B7156" t="inlineStr">
        <is>
          <t>Trader</t>
        </is>
      </c>
      <c r="C7156" t="inlineStr">
        <is>
          <t>Control Union Poland Sp. z o.o., Zielona Gora, PL</t>
        </is>
      </c>
      <c r="D7156" t="inlineStr">
        <is>
          <t>03.03.2027</t>
        </is>
      </c>
      <c r="E7156" t="inlineStr">
        <is>
          <t>Spain</t>
        </is>
      </c>
    </row>
    <row r="7157">
      <c r="A7157" t="inlineStr">
        <is>
          <t>Power Oil Rostock GmbH,  Rostock, Germany</t>
        </is>
      </c>
      <c r="B7157" t="inlineStr">
        <is>
          <t>First Gathering Point, Processing Unit, Trader with Storage</t>
        </is>
      </c>
      <c r="C7157" t="inlineStr">
        <is>
          <t>DEKRA Certification GmbH, Stuttgart, DE</t>
        </is>
      </c>
      <c r="D7157" t="inlineStr">
        <is>
          <t>03.03.2027</t>
        </is>
      </c>
      <c r="E7157" t="inlineStr">
        <is>
          <t>Germany</t>
        </is>
      </c>
    </row>
    <row r="7158">
      <c r="A7158" t="inlineStr">
        <is>
          <t>Aceites Del Sur Coosur, S.A. ,  Vilches (Jaen), Spain</t>
        </is>
      </c>
      <c r="B7158" t="inlineStr">
        <is>
          <t>Point of Origin</t>
        </is>
      </c>
      <c r="C7158" t="inlineStr">
        <is>
          <t>Control Union Poland Sp. z o.o., Zielona Gora, PL</t>
        </is>
      </c>
      <c r="D7158" t="inlineStr">
        <is>
          <t>03.03.2027</t>
        </is>
      </c>
      <c r="E7158" t="inlineStr">
        <is>
          <t>Spain</t>
        </is>
      </c>
    </row>
    <row r="7159">
      <c r="A7159" t="inlineStr">
        <is>
          <t>Power Oil Rostock GmbH,  Rostock, Germany</t>
        </is>
      </c>
      <c r="B7159" t="inlineStr">
        <is>
          <t>First Gathering Point, Processing Unit, Trader with Storage</t>
        </is>
      </c>
      <c r="C7159" t="inlineStr">
        <is>
          <t>DEKRA Certification GmbH, Stuttgart, DE</t>
        </is>
      </c>
      <c r="D7159" t="inlineStr">
        <is>
          <t>03.03.2027</t>
        </is>
      </c>
      <c r="E7159" t="inlineStr">
        <is>
          <t>Germany</t>
        </is>
      </c>
    </row>
    <row r="7160">
      <c r="A7160" t="inlineStr">
        <is>
          <t>Kraton Chemical BV,  Niort, France</t>
        </is>
      </c>
      <c r="B7160" t="inlineStr">
        <is>
          <t>Processing Unit</t>
        </is>
      </c>
      <c r="C7160" t="inlineStr">
        <is>
          <t>TÜV SÜD Industrie Service GmbH, München, DE</t>
        </is>
      </c>
      <c r="D7160" t="inlineStr">
        <is>
          <t>03.03.2027</t>
        </is>
      </c>
      <c r="E7160" t="inlineStr">
        <is>
          <t>France</t>
        </is>
      </c>
    </row>
    <row r="7161">
      <c r="A7161" t="inlineStr">
        <is>
          <t>CHINA SHIPPING&amp;SINOPEC SUPPLIERS CO.,LTD.LIAONING BRANCH,  DALIAN CITY, China</t>
        </is>
      </c>
      <c r="B7161" t="inlineStr">
        <is>
          <t>Trader with Storage</t>
        </is>
      </c>
      <c r="C7161" t="inlineStr">
        <is>
          <t>Guardian Independent Certification Limited, Singapore, SG</t>
        </is>
      </c>
      <c r="D7161" t="inlineStr">
        <is>
          <t>03.03.2027</t>
        </is>
      </c>
      <c r="E7161" t="inlineStr">
        <is>
          <t>China</t>
        </is>
      </c>
    </row>
    <row r="7162">
      <c r="A7162" t="inlineStr">
        <is>
          <t>Yongkang new start electronic technology co.,ltd,  Yongkang City, Jinhua City, China</t>
        </is>
      </c>
      <c r="B7162" t="inlineStr">
        <is>
          <t>Final Product Refinement</t>
        </is>
      </c>
      <c r="C7162" t="inlineStr">
        <is>
          <t>Extensive Standard Technical Services Co., Ltd., Hong Kong, CN</t>
        </is>
      </c>
      <c r="D7162" t="inlineStr">
        <is>
          <t>03.03.2027</t>
        </is>
      </c>
      <c r="E7162" t="inlineStr">
        <is>
          <t>China</t>
        </is>
      </c>
    </row>
    <row r="7163">
      <c r="A7163" t="inlineStr">
        <is>
          <t>Kim Huang Enterprise,  Kuching, Malaysia</t>
        </is>
      </c>
      <c r="B7163" t="inlineStr">
        <is>
          <t>Collecting Point, Trader with Storage</t>
        </is>
      </c>
      <c r="C7163" t="inlineStr">
        <is>
          <t>PT Mutuagung Lestari, Depok, ID</t>
        </is>
      </c>
      <c r="D7163" t="inlineStr">
        <is>
          <t>03.03.2027</t>
        </is>
      </c>
      <c r="E7163" t="inlineStr">
        <is>
          <t>Malaysia</t>
        </is>
      </c>
    </row>
    <row r="7164">
      <c r="A7164" t="inlineStr">
        <is>
          <t>Shell International Eastern Trading Company,  Singapore, Singapore</t>
        </is>
      </c>
      <c r="B7164" t="inlineStr">
        <is>
          <t>Trader with Storage</t>
        </is>
      </c>
      <c r="C7164" t="inlineStr">
        <is>
          <t>Control Union Certifications Germany GmbH, Berlin, DE</t>
        </is>
      </c>
      <c r="D7164" t="inlineStr">
        <is>
          <t>03.03.2027</t>
        </is>
      </c>
      <c r="E7164" t="inlineStr">
        <is>
          <t>Singapore</t>
        </is>
      </c>
    </row>
    <row r="7165">
      <c r="A7165" t="inlineStr">
        <is>
          <t>SILMET Příbram a.s.,  Příbram III, Czech Republic</t>
        </is>
      </c>
      <c r="B7165" t="inlineStr">
        <is>
          <t>Trader</t>
        </is>
      </c>
      <c r="C7165" t="inlineStr">
        <is>
          <t>TÜV SÜD Czech s.r.o., Praha 4, CZ</t>
        </is>
      </c>
      <c r="D7165" t="inlineStr">
        <is>
          <t>03.03.2027</t>
        </is>
      </c>
      <c r="E7165" t="inlineStr">
        <is>
          <t>Czech Republic</t>
        </is>
      </c>
    </row>
    <row r="7166">
      <c r="A7166" t="inlineStr">
        <is>
          <t>Faerch Finland Oy,  Hämeenlinna, Finland</t>
        </is>
      </c>
      <c r="B7166" t="inlineStr">
        <is>
          <t>Processing Unit</t>
        </is>
      </c>
      <c r="C7166" t="inlineStr">
        <is>
          <t>DNV Business Assurance Sweden AB, Solna, SE</t>
        </is>
      </c>
      <c r="D7166" t="inlineStr">
        <is>
          <t>03.03.2027</t>
        </is>
      </c>
      <c r="E7166" t="inlineStr">
        <is>
          <t>Finland</t>
        </is>
      </c>
    </row>
    <row r="7167">
      <c r="A7167" t="inlineStr">
        <is>
          <t>Mulleres Colleiteiras, S. Coop. Galega,  Iñás, Oleiros, Spain</t>
        </is>
      </c>
      <c r="B7167" t="inlineStr">
        <is>
          <t>Collecting Point</t>
        </is>
      </c>
      <c r="C7167" t="inlineStr">
        <is>
          <t>Bureau Veritas Polska Sp. z o.o., Warsaw, PL</t>
        </is>
      </c>
      <c r="D7167" t="inlineStr">
        <is>
          <t>03.03.2027</t>
        </is>
      </c>
      <c r="E7167" t="inlineStr">
        <is>
          <t>Spain</t>
        </is>
      </c>
    </row>
    <row r="7168">
      <c r="A7168" t="inlineStr">
        <is>
          <t>Gemidan A/S,  Frederikshavn, Denmark</t>
        </is>
      </c>
      <c r="B7168" t="inlineStr">
        <is>
          <t>Collecting Point, Processing Unit</t>
        </is>
      </c>
      <c r="C7168" t="inlineStr">
        <is>
          <t>DNV Business Assurance Sweden AB, Solna, SE</t>
        </is>
      </c>
      <c r="D7168" t="inlineStr">
        <is>
          <t>03.03.2027</t>
        </is>
      </c>
      <c r="E7168" t="inlineStr">
        <is>
          <t>Denmark</t>
        </is>
      </c>
    </row>
    <row r="7169">
      <c r="A7169" t="inlineStr">
        <is>
          <t>Gemidan A/S,  Ølstykke, Denmark</t>
        </is>
      </c>
      <c r="B7169" t="inlineStr">
        <is>
          <t>Processing Unit, Collecting Point</t>
        </is>
      </c>
      <c r="C7169" t="inlineStr">
        <is>
          <t>DNV Business Assurance Sweden AB, Solna, SE</t>
        </is>
      </c>
      <c r="D7169" t="inlineStr">
        <is>
          <t>03.03.2027</t>
        </is>
      </c>
      <c r="E7169" t="inlineStr">
        <is>
          <t>Denmark</t>
        </is>
      </c>
    </row>
    <row r="7170">
      <c r="A7170" t="inlineStr">
        <is>
          <t>Jiangsu Hsintai Chemical S&amp;T Co., Ltd,  Taixing, Jiangsu, China</t>
        </is>
      </c>
      <c r="B7170" t="inlineStr">
        <is>
          <t>Trader</t>
        </is>
      </c>
      <c r="C7170" t="inlineStr">
        <is>
          <t>SCS Global Services, Emeryville, CA, US</t>
        </is>
      </c>
      <c r="D7170" t="inlineStr">
        <is>
          <t>03.03.2027</t>
        </is>
      </c>
      <c r="E7170" t="inlineStr">
        <is>
          <t>China</t>
        </is>
      </c>
    </row>
    <row r="7171">
      <c r="A7171" t="inlineStr">
        <is>
          <t>Astrafarm Ltd,  Thessaloniki, Greece</t>
        </is>
      </c>
      <c r="B7171" t="inlineStr">
        <is>
          <t>Trader</t>
        </is>
      </c>
      <c r="C7171" t="inlineStr">
        <is>
          <t>QMSCERT S.A., Pylaia, Thessaloniki, GR</t>
        </is>
      </c>
      <c r="D7171" t="inlineStr">
        <is>
          <t>03.03.2027</t>
        </is>
      </c>
      <c r="E7171" t="inlineStr">
        <is>
          <t>Greece</t>
        </is>
      </c>
    </row>
    <row r="7172">
      <c r="A7172" t="inlineStr">
        <is>
          <t>PLIXXENT S.L.,  La Canonja (Tarragona), Spain</t>
        </is>
      </c>
      <c r="B7172" t="inlineStr">
        <is>
          <t>Processing Unit, Trader with Storage</t>
        </is>
      </c>
      <c r="C7172" t="inlineStr">
        <is>
          <t>GUT Certifizierungsgesellschaft für Managementsysteme mbH Umweltgutachter, Berlin, DE</t>
        </is>
      </c>
      <c r="D7172" t="inlineStr">
        <is>
          <t>03.03.2027</t>
        </is>
      </c>
      <c r="E7172" t="inlineStr">
        <is>
          <t>Spain</t>
        </is>
      </c>
    </row>
    <row r="7173">
      <c r="A7173" t="inlineStr">
        <is>
          <t>Agrifirm NWE bv,  Apeldoorn, Netherlands</t>
        </is>
      </c>
      <c r="B7173" t="inlineStr">
        <is>
          <t>Trader, Collecting Point</t>
        </is>
      </c>
      <c r="C7173" t="inlineStr">
        <is>
          <t>DEKRA Certification B.V., Arnhem, NL</t>
        </is>
      </c>
      <c r="D7173" t="inlineStr">
        <is>
          <t>03.03.2027</t>
        </is>
      </c>
      <c r="E7173" t="inlineStr">
        <is>
          <t>Netherlands</t>
        </is>
      </c>
    </row>
    <row r="7174">
      <c r="A7174" t="inlineStr">
        <is>
          <t>FEET BIT INTERNATIONAL COMPANY LIMITED,  Linh Trung commune, Thu Duc City, Ho Chi Minh City, Vietnam</t>
        </is>
      </c>
      <c r="B7174" t="inlineStr">
        <is>
          <t>Trader</t>
        </is>
      </c>
      <c r="C7174" t="inlineStr">
        <is>
          <t>SGS Germany GmbH, Emstek, DE</t>
        </is>
      </c>
      <c r="D7174" t="inlineStr">
        <is>
          <t>03.03.2027</t>
        </is>
      </c>
      <c r="E7174" t="inlineStr">
        <is>
          <t>Vietnam</t>
        </is>
      </c>
    </row>
    <row r="7175">
      <c r="A7175" t="inlineStr">
        <is>
          <t>Changyuan Hongxin Renewable Resources Co., Ltd.,  Xinxiang City, China</t>
        </is>
      </c>
      <c r="B7175" t="inlineStr">
        <is>
          <t>Trader</t>
        </is>
      </c>
      <c r="C7175" t="inlineStr">
        <is>
          <t>RINA Services S.p.A., Genova, IT</t>
        </is>
      </c>
      <c r="D7175" t="inlineStr">
        <is>
          <t>03.03.2027</t>
        </is>
      </c>
      <c r="E7175" t="inlineStr">
        <is>
          <t>China</t>
        </is>
      </c>
    </row>
    <row r="7176">
      <c r="A7176" t="inlineStr">
        <is>
          <t>PT Pacrim Nusantara Lestari Foods,  Lampung, Indonesia</t>
        </is>
      </c>
      <c r="B7176" t="inlineStr">
        <is>
          <t>Point of Origin</t>
        </is>
      </c>
      <c r="C7176" t="inlineStr">
        <is>
          <t>SGS Germany GmbH, Emstek, DE</t>
        </is>
      </c>
      <c r="D7176" t="inlineStr">
        <is>
          <t>03.03.2027</t>
        </is>
      </c>
      <c r="E7176" t="inlineStr">
        <is>
          <t>Indonesia</t>
        </is>
      </c>
    </row>
    <row r="7177">
      <c r="A7177" t="inlineStr">
        <is>
          <t>Jiangsu Gangjin Technology Co. Ltd.,  Taixing City, Jiangsu Province, China</t>
        </is>
      </c>
      <c r="B7177" t="inlineStr">
        <is>
          <t>Collecting Point, Trader with Storage, Warehouse</t>
        </is>
      </c>
      <c r="C7177" t="inlineStr">
        <is>
          <t>SCS Global Services, Emeryville, CA, US</t>
        </is>
      </c>
      <c r="D7177" t="inlineStr">
        <is>
          <t>03.03.2027</t>
        </is>
      </c>
      <c r="E7177" t="inlineStr">
        <is>
          <t>China</t>
        </is>
      </c>
    </row>
    <row r="7178">
      <c r="A7178" t="inlineStr">
        <is>
          <t>China-Malaysia Qinzhou-Kuantan (Guangxi) Industrial Services Co., Ltd.,  Qinzhou, Guangxi, China</t>
        </is>
      </c>
      <c r="B7178" t="inlineStr">
        <is>
          <t>Trader</t>
        </is>
      </c>
      <c r="C7178" t="inlineStr">
        <is>
          <t>SCS Global Services, Emeryville, CA, US</t>
        </is>
      </c>
      <c r="D7178" t="inlineStr">
        <is>
          <t>03.03.2027</t>
        </is>
      </c>
      <c r="E7178" t="inlineStr">
        <is>
          <t>China</t>
        </is>
      </c>
    </row>
    <row r="7179">
      <c r="A7179" t="inlineStr">
        <is>
          <t>Shangqiu Jinheng Biotechnology Co., Ltd,  Shangqiu City, Henan Province, China</t>
        </is>
      </c>
      <c r="B7179" t="inlineStr">
        <is>
          <t>Collecting Point, Point of Origin, Processing Unit</t>
        </is>
      </c>
      <c r="C7179" t="inlineStr">
        <is>
          <t>SCS Global Services, Emeryville, CA, US</t>
        </is>
      </c>
      <c r="D7179" t="inlineStr">
        <is>
          <t>03.03.2027</t>
        </is>
      </c>
      <c r="E7179" t="inlineStr">
        <is>
          <t>China</t>
        </is>
      </c>
    </row>
    <row r="7180">
      <c r="A7180" t="inlineStr">
        <is>
          <t>PT Bahana Karya Semesta,  Jambi, Indonesia</t>
        </is>
      </c>
      <c r="B7180" t="inlineStr">
        <is>
          <t>Point of Origin</t>
        </is>
      </c>
      <c r="C7180" t="inlineStr">
        <is>
          <t>PT Mutuagung Lestari, Depok, ID</t>
        </is>
      </c>
      <c r="D7180" t="inlineStr">
        <is>
          <t>03.03.2027</t>
        </is>
      </c>
      <c r="E7180" t="inlineStr">
        <is>
          <t>Indonesia</t>
        </is>
      </c>
    </row>
    <row r="7181">
      <c r="A7181" t="inlineStr">
        <is>
          <t>SELS AGRO SRL,  BUCURESTI, Romania</t>
        </is>
      </c>
      <c r="B7181" t="inlineStr">
        <is>
          <t>First Gathering Point</t>
        </is>
      </c>
      <c r="C7181" t="inlineStr">
        <is>
          <t>BM Certification, Riga, LV</t>
        </is>
      </c>
      <c r="D7181" t="inlineStr">
        <is>
          <t>03.03.2027</t>
        </is>
      </c>
      <c r="E7181" t="inlineStr">
        <is>
          <t>Romania</t>
        </is>
      </c>
    </row>
    <row r="7182">
      <c r="A7182" t="inlineStr">
        <is>
          <t>HCS A/S Transport &amp; Spedition,  Trige, Denmark</t>
        </is>
      </c>
      <c r="B7182" t="inlineStr">
        <is>
          <t>Collecting Point, Processing Unit</t>
        </is>
      </c>
      <c r="C7182" t="inlineStr">
        <is>
          <t>Baltic Control Certification, Albertslund, DK</t>
        </is>
      </c>
      <c r="D7182" t="inlineStr">
        <is>
          <t>03.03.2027</t>
        </is>
      </c>
      <c r="E7182" t="inlineStr">
        <is>
          <t>Denmark</t>
        </is>
      </c>
    </row>
    <row r="7183">
      <c r="A7183" t="inlineStr">
        <is>
          <t>TOSOH CORPORATION,  Shunan, Japan</t>
        </is>
      </c>
      <c r="B7183" t="inlineStr">
        <is>
          <t>Processing Unit</t>
        </is>
      </c>
      <c r="C7183" t="inlineStr">
        <is>
          <t>SGS Germany GmbH, Emstek, DE</t>
        </is>
      </c>
      <c r="D7183" t="inlineStr">
        <is>
          <t>03.03.2027</t>
        </is>
      </c>
      <c r="E7183" t="inlineStr">
        <is>
          <t>Japan</t>
        </is>
      </c>
    </row>
    <row r="7184">
      <c r="A7184" t="inlineStr">
        <is>
          <t>BERKAT DOMINASI SDN BHD,  LAHAD DATU, Malaysia</t>
        </is>
      </c>
      <c r="B7184" t="inlineStr">
        <is>
          <t>Collecting Point, Trader with Storage</t>
        </is>
      </c>
      <c r="C7184" t="inlineStr">
        <is>
          <t>NIOSH Certification Sdn. Bhd., Selangor Darul Ehsan, MY</t>
        </is>
      </c>
      <c r="D7184" t="inlineStr">
        <is>
          <t>03.03.2027</t>
        </is>
      </c>
      <c r="E7184" t="inlineStr">
        <is>
          <t>Malaysia</t>
        </is>
      </c>
    </row>
    <row r="7185">
      <c r="A7185" t="inlineStr">
        <is>
          <t>Fairfields Farm Energy,  Colchester, United Kingdom</t>
        </is>
      </c>
      <c r="B7185" t="inlineStr">
        <is>
          <t>First Gathering Point, Processing Unit</t>
        </is>
      </c>
      <c r="C7185" t="inlineStr">
        <is>
          <t>Double Helix Tracking Technologies Pte Ltd, Singapore, SG</t>
        </is>
      </c>
      <c r="D7185" t="inlineStr">
        <is>
          <t>03.03.2027</t>
        </is>
      </c>
      <c r="E7185" t="inlineStr">
        <is>
          <t>United Kingdom</t>
        </is>
      </c>
    </row>
    <row r="7186">
      <c r="A7186" t="inlineStr">
        <is>
          <t>RAIZEN ENERGIA S.A,  São Paulo, Brazil</t>
        </is>
      </c>
      <c r="B7186" t="inlineStr">
        <is>
          <t>Trader with Storage</t>
        </is>
      </c>
      <c r="C7186" t="inlineStr">
        <is>
          <t>SCS Global Services, Emeryville, CA, US</t>
        </is>
      </c>
      <c r="D7186" t="inlineStr">
        <is>
          <t>03.03.2027</t>
        </is>
      </c>
      <c r="E7186" t="inlineStr">
        <is>
          <t>Brazil</t>
        </is>
      </c>
    </row>
    <row r="7187">
      <c r="A7187" t="inlineStr">
        <is>
          <t>SDIC Advance Biomass Fuel (Hailun) CO.,LTD,  Hailun, Heilongjiang Province, China</t>
        </is>
      </c>
      <c r="B7187" t="inlineStr">
        <is>
          <t>Processing Unit, Trader</t>
        </is>
      </c>
      <c r="C7187" t="inlineStr">
        <is>
          <t>TÜV NORD CERT GmbH, Essen, DE</t>
        </is>
      </c>
      <c r="D7187" t="inlineStr">
        <is>
          <t>03.03.2027</t>
        </is>
      </c>
      <c r="E7187" t="inlineStr">
        <is>
          <t>China</t>
        </is>
      </c>
    </row>
    <row r="7188">
      <c r="A7188" t="inlineStr">
        <is>
          <t>SFA Packaging BV,  Middelharnis, Netherlands</t>
        </is>
      </c>
      <c r="B7188" t="inlineStr">
        <is>
          <t>Trader</t>
        </is>
      </c>
      <c r="C7188" t="inlineStr">
        <is>
          <t>SGS Germany GmbH, Emstek, DE</t>
        </is>
      </c>
      <c r="D7188" t="inlineStr">
        <is>
          <t>03.03.2027</t>
        </is>
      </c>
      <c r="E7188" t="inlineStr">
        <is>
          <t>Netherlands</t>
        </is>
      </c>
    </row>
    <row r="7189">
      <c r="A7189" t="inlineStr">
        <is>
          <t>Deqing Jiahe Environmental Protection Technology Co., Ltd.,  Qianyuan Town, Deqing County, Huzhou, Zhejiang, China</t>
        </is>
      </c>
      <c r="B7189" t="inlineStr">
        <is>
          <t>Collecting Point</t>
        </is>
      </c>
      <c r="C7189" t="inlineStr">
        <is>
          <t>RINA Services S.p.A., Genova, IT</t>
        </is>
      </c>
      <c r="D7189" t="inlineStr">
        <is>
          <t>03.03.2027</t>
        </is>
      </c>
      <c r="E7189" t="inlineStr">
        <is>
          <t>China</t>
        </is>
      </c>
    </row>
    <row r="7190">
      <c r="A7190" t="inlineStr">
        <is>
          <t>Future Energy,  Yerevan, Armenia</t>
        </is>
      </c>
      <c r="B7190" t="inlineStr">
        <is>
          <t>Trader with Storage</t>
        </is>
      </c>
      <c r="C7190" t="inlineStr">
        <is>
          <t>SGS Germany GmbH, Emstek, DE</t>
        </is>
      </c>
      <c r="D7190" t="inlineStr">
        <is>
          <t>03.03.2027</t>
        </is>
      </c>
      <c r="E7190" t="inlineStr">
        <is>
          <t>Armenia</t>
        </is>
      </c>
    </row>
    <row r="7191">
      <c r="A7191" t="inlineStr">
        <is>
          <t>Baltkonta, UAB,  Klaipeda, Lithuania</t>
        </is>
      </c>
      <c r="B7191" t="inlineStr">
        <is>
          <t>Trader</t>
        </is>
      </c>
      <c r="C7191" t="inlineStr">
        <is>
          <t>Bureau Veritas Polska Sp. z o.o., Warsaw, PL</t>
        </is>
      </c>
      <c r="D7191" t="inlineStr">
        <is>
          <t>03.03.2027</t>
        </is>
      </c>
      <c r="E7191" t="inlineStr">
        <is>
          <t>Lithuania</t>
        </is>
      </c>
    </row>
    <row r="7192">
      <c r="A7192" t="inlineStr">
        <is>
          <t>BOLLORE PACKAGING FILMS,  ERGUE GABERIC, France</t>
        </is>
      </c>
      <c r="B7192" t="inlineStr">
        <is>
          <t>Final Product Refinement, Processing Unit</t>
        </is>
      </c>
      <c r="C7192" t="inlineStr">
        <is>
          <t>Control Union Certifications Germany GmbH, Berlin, DE</t>
        </is>
      </c>
      <c r="D7192" t="inlineStr">
        <is>
          <t>03.03.2027</t>
        </is>
      </c>
      <c r="E7192" t="inlineStr">
        <is>
          <t>France</t>
        </is>
      </c>
    </row>
    <row r="7193">
      <c r="A7193" t="inlineStr">
        <is>
          <t>Industrias Motegui, S.L,  Alboraya Valencia, Spain</t>
        </is>
      </c>
      <c r="B7193" t="inlineStr">
        <is>
          <t>Processing Unit</t>
        </is>
      </c>
      <c r="C7193" t="inlineStr">
        <is>
          <t>SGS Germany GmbH, Emstek, DE</t>
        </is>
      </c>
      <c r="D7193" t="inlineStr">
        <is>
          <t>03.03.2027</t>
        </is>
      </c>
      <c r="E7193" t="inlineStr">
        <is>
          <t>Spain</t>
        </is>
      </c>
    </row>
    <row r="7194">
      <c r="A7194" t="inlineStr">
        <is>
          <t>CARECOS Kosmetik GmbH,  Kehl, Germany</t>
        </is>
      </c>
      <c r="B7194" t="inlineStr">
        <is>
          <t>Final Product Refinement</t>
        </is>
      </c>
      <c r="C7194" t="inlineStr">
        <is>
          <t>DQS CFS GmbH - Deutsche Gesellschaft für Nachhaltigkeit, Frankfurt am Main, DE</t>
        </is>
      </c>
      <c r="D7194" t="inlineStr">
        <is>
          <t>02.03.2027</t>
        </is>
      </c>
      <c r="E7194" t="inlineStr">
        <is>
          <t>Germany</t>
        </is>
      </c>
    </row>
    <row r="7195">
      <c r="A7195" t="inlineStr">
        <is>
          <t>CTO Polyolefins UK Limited,  Urmston, Manchester, United Kingdom</t>
        </is>
      </c>
      <c r="B7195" t="inlineStr">
        <is>
          <t>Processing Unit</t>
        </is>
      </c>
      <c r="C7195" t="inlineStr">
        <is>
          <t>TÜV SÜD Industrie Service GmbH, München, DE</t>
        </is>
      </c>
      <c r="D7195" t="inlineStr">
        <is>
          <t>02.03.2027</t>
        </is>
      </c>
      <c r="E7195" t="inlineStr">
        <is>
          <t>United Kingdom</t>
        </is>
      </c>
    </row>
    <row r="7196">
      <c r="A7196" t="inlineStr">
        <is>
          <t>SRF Limited,  Pithampur, Distt. Dhar, India</t>
        </is>
      </c>
      <c r="B7196" t="inlineStr">
        <is>
          <t>Collecting Point, Processing Unit</t>
        </is>
      </c>
      <c r="C7196" t="inlineStr">
        <is>
          <t>Cotecna India Inspection Pvt Ltd, Kolkata, IN</t>
        </is>
      </c>
      <c r="D7196" t="inlineStr">
        <is>
          <t>02.03.2027</t>
        </is>
      </c>
      <c r="E7196" t="inlineStr">
        <is>
          <t>India</t>
        </is>
      </c>
    </row>
    <row r="7197">
      <c r="A7197" t="inlineStr">
        <is>
          <t>SRF Limited,  Pithampur, District-Dhar, India</t>
        </is>
      </c>
      <c r="B7197" t="inlineStr">
        <is>
          <t>Processing Unit</t>
        </is>
      </c>
      <c r="C7197" t="inlineStr">
        <is>
          <t>Cotecna India Inspection Pvt Ltd, Kolkata, IN</t>
        </is>
      </c>
      <c r="D7197" t="inlineStr">
        <is>
          <t>02.03.2027</t>
        </is>
      </c>
      <c r="E7197" t="inlineStr">
        <is>
          <t>India</t>
        </is>
      </c>
    </row>
    <row r="7198">
      <c r="A7198" t="inlineStr">
        <is>
          <t>Taghleef Industries,  Alcalá la Real, Spain</t>
        </is>
      </c>
      <c r="B7198" t="inlineStr">
        <is>
          <t>Final Product Refinement, Processing Unit</t>
        </is>
      </c>
      <c r="C7198" t="inlineStr">
        <is>
          <t>Control Union Poland Sp. z o.o., Zielona Gora, PL</t>
        </is>
      </c>
      <c r="D7198" t="inlineStr">
        <is>
          <t>02.03.2027</t>
        </is>
      </c>
      <c r="E7198" t="inlineStr">
        <is>
          <t>Spain</t>
        </is>
      </c>
    </row>
    <row r="7199">
      <c r="A7199" t="inlineStr">
        <is>
          <t>Guangzhou Shengke Technology Limited,  Panyu District, Guangzhou City, China</t>
        </is>
      </c>
      <c r="B7199" t="inlineStr">
        <is>
          <t>Final Product Refinement</t>
        </is>
      </c>
      <c r="C7199" t="inlineStr">
        <is>
          <t>Extensive Standard Technical Services Co., Ltd., Hong Kong, CN</t>
        </is>
      </c>
      <c r="D7199" t="inlineStr">
        <is>
          <t>02.03.2027</t>
        </is>
      </c>
      <c r="E7199" t="inlineStr">
        <is>
          <t>China</t>
        </is>
      </c>
    </row>
    <row r="7200">
      <c r="A7200" t="inlineStr">
        <is>
          <t>ITOCHU (Thailand) Ltd.,  Silom, Bangrak, Bangkok, Thailand</t>
        </is>
      </c>
      <c r="B7200" t="inlineStr">
        <is>
          <t>Trader</t>
        </is>
      </c>
      <c r="C7200" t="inlineStr">
        <is>
          <t>Control Union Poland Sp. z o.o., Zielona Gora, PL</t>
        </is>
      </c>
      <c r="D7200" t="inlineStr">
        <is>
          <t>02.03.2027</t>
        </is>
      </c>
      <c r="E7200" t="inlineStr">
        <is>
          <t>Thailand</t>
        </is>
      </c>
    </row>
    <row r="7201">
      <c r="A7201" t="inlineStr">
        <is>
          <t>ITOCHU (Thailand) Ltd.,  Silom, Bangrak, Bangkok, Thailand</t>
        </is>
      </c>
      <c r="B7201" t="inlineStr">
        <is>
          <t>Trader with Storage</t>
        </is>
      </c>
      <c r="C7201" t="inlineStr">
        <is>
          <t>Control Union Poland Sp. z o.o., Zielona Gora, PL</t>
        </is>
      </c>
      <c r="D7201" t="inlineStr">
        <is>
          <t>02.03.2027</t>
        </is>
      </c>
      <c r="E7201" t="inlineStr">
        <is>
          <t>Thailand</t>
        </is>
      </c>
    </row>
    <row r="7202">
      <c r="A7202" t="inlineStr">
        <is>
          <t>ITOCHU (Thailand) Ltd.,  Silom, Bangrak, Bangkok, Thailand</t>
        </is>
      </c>
      <c r="B7202" t="inlineStr">
        <is>
          <t>Trader</t>
        </is>
      </c>
      <c r="C7202" t="inlineStr">
        <is>
          <t>Control Union Poland Sp. z o.o., Zielona Gora, PL</t>
        </is>
      </c>
      <c r="D7202" t="inlineStr">
        <is>
          <t>02.03.2027</t>
        </is>
      </c>
      <c r="E7202" t="inlineStr">
        <is>
          <t>Thailand</t>
        </is>
      </c>
    </row>
    <row r="7203">
      <c r="A7203" t="inlineStr">
        <is>
          <t>Chengkang Hydrogen Carbon (Hubei) New Material Technology Co., Ltd.,  Xiangyang City, Hubei Province, China</t>
        </is>
      </c>
      <c r="B7203" t="inlineStr">
        <is>
          <t>Collecting Point, Processing Unit, Trader with Storage</t>
        </is>
      </c>
      <c r="C7203" t="inlineStr">
        <is>
          <t>RINA Services S.p.A., Genova, IT</t>
        </is>
      </c>
      <c r="D7203" t="inlineStr">
        <is>
          <t>02.03.2027</t>
        </is>
      </c>
      <c r="E7203" t="inlineStr">
        <is>
          <t>China</t>
        </is>
      </c>
    </row>
    <row r="7204">
      <c r="A7204" t="inlineStr">
        <is>
          <t>SYENSQO (SHANGHAI) INTERNATIONAL TRADING CO., LTD.,  Minhang District, China</t>
        </is>
      </c>
      <c r="B7204" t="inlineStr">
        <is>
          <t>Trader with Storage</t>
        </is>
      </c>
      <c r="C7204" t="inlineStr">
        <is>
          <t>SCS Global Services, Emeryville, CA, US</t>
        </is>
      </c>
      <c r="D7204" t="inlineStr">
        <is>
          <t>02.03.2027</t>
        </is>
      </c>
      <c r="E7204" t="inlineStr">
        <is>
          <t>China</t>
        </is>
      </c>
    </row>
    <row r="7205">
      <c r="A7205" t="inlineStr">
        <is>
          <t>Syensqo SPECIALTY POLYMERS (CHANGSHU) CO., LTD,  Haiyu Town, Changshu, China</t>
        </is>
      </c>
      <c r="B7205" t="inlineStr">
        <is>
          <t>Processing Unit</t>
        </is>
      </c>
      <c r="C7205" t="inlineStr">
        <is>
          <t>SCS Global Services, Emeryville, CA, US</t>
        </is>
      </c>
      <c r="D7205" t="inlineStr">
        <is>
          <t>02.03.2027</t>
        </is>
      </c>
      <c r="E7205" t="inlineStr">
        <is>
          <t>China</t>
        </is>
      </c>
    </row>
    <row r="7206">
      <c r="A7206" t="inlineStr">
        <is>
          <t>San Marco Petroli Spa,  Marghera, Venice, Italy</t>
        </is>
      </c>
      <c r="B7206" t="inlineStr">
        <is>
          <t>Trader with Storage, Warehouse, Proof of Compliance Trader</t>
        </is>
      </c>
      <c r="C7206" t="inlineStr">
        <is>
          <t>SGS Germany GmbH, Emstek, DE</t>
        </is>
      </c>
      <c r="D7206" t="inlineStr">
        <is>
          <t>02.03.2027</t>
        </is>
      </c>
      <c r="E7206" t="inlineStr">
        <is>
          <t>Italy</t>
        </is>
      </c>
    </row>
    <row r="7207">
      <c r="A7207" t="inlineStr">
        <is>
          <t>Shenzhen Bromake New Material Co., Ltd.,  Xiamen City,Fujian Province, China</t>
        </is>
      </c>
      <c r="B7207" t="inlineStr">
        <is>
          <t>Trader</t>
        </is>
      </c>
      <c r="C7207" t="inlineStr">
        <is>
          <t>SGS Germany GmbH, Emstek, DE</t>
        </is>
      </c>
      <c r="D7207" t="inlineStr">
        <is>
          <t>02.03.2027</t>
        </is>
      </c>
      <c r="E7207" t="inlineStr">
        <is>
          <t>China</t>
        </is>
      </c>
    </row>
    <row r="7208">
      <c r="A7208" t="inlineStr">
        <is>
          <t>Cargill GmbH,  Salzgitter, Germany</t>
        </is>
      </c>
      <c r="B7208" t="inlineStr">
        <is>
          <t>Point of Origin, Processing Unit, Trader with Storage</t>
        </is>
      </c>
      <c r="C7208" t="inlineStr">
        <is>
          <t>SGS Germany GmbH, Emstek, DE</t>
        </is>
      </c>
      <c r="D7208" t="inlineStr">
        <is>
          <t>02.03.2027</t>
        </is>
      </c>
      <c r="E7208" t="inlineStr">
        <is>
          <t>Germany</t>
        </is>
      </c>
    </row>
    <row r="7209">
      <c r="A7209" t="inlineStr">
        <is>
          <t>Sempex EOOD,  Razgrad, Bulgaria</t>
        </is>
      </c>
      <c r="B7209" t="inlineStr">
        <is>
          <t>First Gathering Point, Trader with Storage</t>
        </is>
      </c>
      <c r="C7209" t="inlineStr">
        <is>
          <t>SGS Germany GmbH, Emstek, DE</t>
        </is>
      </c>
      <c r="D7209" t="inlineStr">
        <is>
          <t>02.03.2027</t>
        </is>
      </c>
      <c r="E7209" t="inlineStr">
        <is>
          <t>Bulgaria</t>
        </is>
      </c>
    </row>
    <row r="7210">
      <c r="A7210" t="inlineStr">
        <is>
          <t>Idemitsu Unitech Co.,Ltd. Hyogo Plant,  Himeji-shi, Hyogo, Japan</t>
        </is>
      </c>
      <c r="B7210" t="inlineStr">
        <is>
          <t>Processing Unit</t>
        </is>
      </c>
      <c r="C7210" t="inlineStr">
        <is>
          <t>SGS Germany GmbH, Emstek, DE</t>
        </is>
      </c>
      <c r="D7210" t="inlineStr">
        <is>
          <t>02.03.2027</t>
        </is>
      </c>
      <c r="E7210" t="inlineStr">
        <is>
          <t>Japan</t>
        </is>
      </c>
    </row>
    <row r="7211">
      <c r="A7211" t="inlineStr">
        <is>
          <t>Idemitsu Kosan,  Ichihara City, Chiba, Japan</t>
        </is>
      </c>
      <c r="B7211" t="inlineStr">
        <is>
          <t>Processing Unit, Trader with Storage, Warehouse</t>
        </is>
      </c>
      <c r="C7211" t="inlineStr">
        <is>
          <t>SCS Global Services, Emeryville, CA, US</t>
        </is>
      </c>
      <c r="D7211" t="inlineStr">
        <is>
          <t>02.03.2027</t>
        </is>
      </c>
      <c r="E7211" t="inlineStr">
        <is>
          <t>Japan</t>
        </is>
      </c>
    </row>
    <row r="7212">
      <c r="A7212" t="inlineStr">
        <is>
          <t>ELBOIL SINGAPORE PTE. LTD.,  singapore, Singapore</t>
        </is>
      </c>
      <c r="B7212" t="inlineStr">
        <is>
          <t>Trader</t>
        </is>
      </c>
      <c r="C7212" t="inlineStr">
        <is>
          <t>CTI Certification Co. Ltd, Shenzhen, CN</t>
        </is>
      </c>
      <c r="D7212" t="inlineStr">
        <is>
          <t>02.03.2027</t>
        </is>
      </c>
      <c r="E7212" t="inlineStr">
        <is>
          <t>Singapore</t>
        </is>
      </c>
    </row>
    <row r="7213">
      <c r="A7213" t="inlineStr">
        <is>
          <t>Maverick Travaux Et Logistique,  Plateau, Abidjan, Ivory Coast</t>
        </is>
      </c>
      <c r="B7213" t="inlineStr">
        <is>
          <t>Collecting Point, Trader with Storage</t>
        </is>
      </c>
      <c r="C7213" t="inlineStr">
        <is>
          <t>PT Intertek Utama Services, Jakarta, ID</t>
        </is>
      </c>
      <c r="D7213" t="inlineStr">
        <is>
          <t>02.03.2027</t>
        </is>
      </c>
      <c r="E7213" t="inlineStr">
        <is>
          <t>Ivory Coast</t>
        </is>
      </c>
    </row>
    <row r="7214">
      <c r="A7214" t="inlineStr">
        <is>
          <t>Pacific Textiles Limited,  Kwai Chung, Hong Kong, SAR, China</t>
        </is>
      </c>
      <c r="B7214" t="inlineStr">
        <is>
          <t>Trader</t>
        </is>
      </c>
      <c r="C7214" t="inlineStr">
        <is>
          <t>PT Intertek Utama Services, Jakarta, ID</t>
        </is>
      </c>
      <c r="D7214" t="inlineStr">
        <is>
          <t>02.03.2027</t>
        </is>
      </c>
      <c r="E7214" t="inlineStr">
        <is>
          <t>China</t>
        </is>
      </c>
    </row>
    <row r="7215">
      <c r="A7215" t="inlineStr">
        <is>
          <t>Polylex, Inc,  La Jolla, United States</t>
        </is>
      </c>
      <c r="B7215" t="inlineStr">
        <is>
          <t>Trader</t>
        </is>
      </c>
      <c r="C7215" t="inlineStr">
        <is>
          <t>Control Union Certifications Germany GmbH, Berlin, DE</t>
        </is>
      </c>
      <c r="D7215" t="inlineStr">
        <is>
          <t>02.03.2027</t>
        </is>
      </c>
      <c r="E7215" t="inlineStr">
        <is>
          <t>United States</t>
        </is>
      </c>
    </row>
    <row r="7216">
      <c r="A7216" t="inlineStr">
        <is>
          <t>LG CHEM MEXICO,  Ciudad de Mexico, Mexico</t>
        </is>
      </c>
      <c r="B7216" t="inlineStr">
        <is>
          <t>Trader with Storage</t>
        </is>
      </c>
      <c r="C7216" t="inlineStr">
        <is>
          <t>Control Union Certifications Germany GmbH, Berlin, DE</t>
        </is>
      </c>
      <c r="D7216" t="inlineStr">
        <is>
          <t>02.03.2027</t>
        </is>
      </c>
      <c r="E7216" t="inlineStr">
        <is>
          <t>Mexico</t>
        </is>
      </c>
    </row>
    <row r="7217">
      <c r="A7217" t="inlineStr">
        <is>
          <t>Polylex S.A. DE C.V.,  LA PRESA RODRIGUEZ, TIJUANA, Mexico</t>
        </is>
      </c>
      <c r="B7217" t="inlineStr">
        <is>
          <t>Processing Unit</t>
        </is>
      </c>
      <c r="C7217" t="inlineStr">
        <is>
          <t>Control Union Certifications Germany GmbH, Berlin, DE</t>
        </is>
      </c>
      <c r="D7217" t="inlineStr">
        <is>
          <t>02.03.2027</t>
        </is>
      </c>
      <c r="E7217" t="inlineStr">
        <is>
          <t>Mexico</t>
        </is>
      </c>
    </row>
    <row r="7218">
      <c r="A7218" t="inlineStr">
        <is>
          <t>GREENKASHI BIO ENERGY PRIVATE LIMITED,  Mirzapur, India</t>
        </is>
      </c>
      <c r="B7218" t="inlineStr">
        <is>
          <t>Collecting Point, Processing Unit</t>
        </is>
      </c>
      <c r="C7218" t="inlineStr">
        <is>
          <t>SGS Germany GmbH, Emstek, DE</t>
        </is>
      </c>
      <c r="D7218" t="inlineStr">
        <is>
          <t>02.03.2027</t>
        </is>
      </c>
      <c r="E7218" t="inlineStr">
        <is>
          <t>India</t>
        </is>
      </c>
    </row>
    <row r="7219">
      <c r="A7219" t="inlineStr">
        <is>
          <t>Centrica LNG Company Limited,  Windsor, The United Kingdom</t>
        </is>
      </c>
      <c r="B7219" t="inlineStr">
        <is>
          <t>Trader with Storage</t>
        </is>
      </c>
      <c r="C7219" t="inlineStr">
        <is>
          <t>TÜV SÜD Industrie Service GmbH, München, DE</t>
        </is>
      </c>
      <c r="D7219" t="inlineStr">
        <is>
          <t>02.03.2027</t>
        </is>
      </c>
      <c r="E7219" t="inlineStr">
        <is>
          <t>The United Kingdom</t>
        </is>
      </c>
    </row>
    <row r="7220">
      <c r="A7220" t="inlineStr">
        <is>
          <t>Desiderio Zerial,  Sarandi, Argentina</t>
        </is>
      </c>
      <c r="B7220" t="inlineStr">
        <is>
          <t>Processing Unit</t>
        </is>
      </c>
      <c r="C7220" t="inlineStr">
        <is>
          <t>Certificadora Gallega del Noroeste SL, Vilagarcia de Arousa-Pontevedra, ES</t>
        </is>
      </c>
      <c r="D7220" t="inlineStr">
        <is>
          <t>02.03.2027</t>
        </is>
      </c>
      <c r="E7220" t="inlineStr">
        <is>
          <t>Argentina</t>
        </is>
      </c>
    </row>
    <row r="7221">
      <c r="A7221" t="inlineStr">
        <is>
          <t>Mt-Gép-Ker Kft.,  Bácsbokod, Hungary</t>
        </is>
      </c>
      <c r="B7221" t="inlineStr">
        <is>
          <t>First Gathering Point</t>
        </is>
      </c>
      <c r="C7221" t="inlineStr">
        <is>
          <t>Certificadora Gallega del Noroeste SL, Vilagarcia de Arousa-Pontevedra, ES</t>
        </is>
      </c>
      <c r="D7221" t="inlineStr">
        <is>
          <t>02.03.2027</t>
        </is>
      </c>
      <c r="E7221" t="inlineStr">
        <is>
          <t>Hungary</t>
        </is>
      </c>
    </row>
    <row r="7222">
      <c r="A7222" t="inlineStr">
        <is>
          <t>INDEN PHARMA PACKAGING S.L.,  IBI, Spain</t>
        </is>
      </c>
      <c r="B7222" t="inlineStr">
        <is>
          <t>Processing Unit</t>
        </is>
      </c>
      <c r="C7222" t="inlineStr">
        <is>
          <t>Control Union Poland Sp. z o.o., Zielona Gora, PL</t>
        </is>
      </c>
      <c r="D7222" t="inlineStr">
        <is>
          <t>02.03.2027</t>
        </is>
      </c>
      <c r="E7222" t="inlineStr">
        <is>
          <t>Spain</t>
        </is>
      </c>
    </row>
    <row r="7223">
      <c r="A7223" t="inlineStr">
        <is>
          <t>China Aviation Oil (Shanghai) Petrochemical Co., Ltd.,  Shanghai, China</t>
        </is>
      </c>
      <c r="B7223" t="inlineStr">
        <is>
          <t>Trader</t>
        </is>
      </c>
      <c r="C7223" t="inlineStr">
        <is>
          <t>SGS Germany GmbH, Emstek, DE</t>
        </is>
      </c>
      <c r="D7223" t="inlineStr">
        <is>
          <t>02.03.2027</t>
        </is>
      </c>
      <c r="E7223" t="inlineStr">
        <is>
          <t>China</t>
        </is>
      </c>
    </row>
    <row r="7224">
      <c r="A7224" t="inlineStr">
        <is>
          <t>China Aviation Oil (Shanghai) Petrochemical Co., Ltd.,  Shanghai, China</t>
        </is>
      </c>
      <c r="B7224" t="inlineStr">
        <is>
          <t>Trader</t>
        </is>
      </c>
      <c r="C7224" t="inlineStr">
        <is>
          <t>SGS Germany GmbH, Emstek, DE</t>
        </is>
      </c>
      <c r="D7224" t="inlineStr">
        <is>
          <t>02.03.2027</t>
        </is>
      </c>
      <c r="E7224" t="inlineStr">
        <is>
          <t>China</t>
        </is>
      </c>
    </row>
    <row r="7225">
      <c r="A7225" t="inlineStr">
        <is>
          <t>SANKYO JITSUGYO,  Chiyoda-ku, Japan</t>
        </is>
      </c>
      <c r="B7225" t="inlineStr">
        <is>
          <t>Trader</t>
        </is>
      </c>
      <c r="C7225" t="inlineStr">
        <is>
          <t>SCS Global Services, Emeryville, CA, US</t>
        </is>
      </c>
      <c r="D7225" t="inlineStr">
        <is>
          <t>02.03.2027</t>
        </is>
      </c>
      <c r="E7225" t="inlineStr">
        <is>
          <t>Japan</t>
        </is>
      </c>
    </row>
    <row r="7226">
      <c r="A7226" t="inlineStr">
        <is>
          <t>Mister Oil,  Ashton under Lyne, The United Kingdom</t>
        </is>
      </c>
      <c r="B7226" t="inlineStr">
        <is>
          <t>Collecting Point</t>
        </is>
      </c>
      <c r="C7226" t="inlineStr">
        <is>
          <t>SGS Germany GmbH, Emstek, DE</t>
        </is>
      </c>
      <c r="D7226" t="inlineStr">
        <is>
          <t>02.03.2027</t>
        </is>
      </c>
      <c r="E7226" t="inlineStr">
        <is>
          <t>The United Kingdom</t>
        </is>
      </c>
    </row>
    <row r="7227">
      <c r="A7227" t="inlineStr">
        <is>
          <t>Genan A/S,  Viborg, Denmark</t>
        </is>
      </c>
      <c r="B7227" t="inlineStr">
        <is>
          <t>Collecting Point, Processing Unit</t>
        </is>
      </c>
      <c r="C7227" t="inlineStr">
        <is>
          <t>GUT Certifizierungsgesellschaft für Managementsysteme mbH Umweltgutachter, Berlin, DE</t>
        </is>
      </c>
      <c r="D7227" t="inlineStr">
        <is>
          <t>02.03.2027</t>
        </is>
      </c>
      <c r="E7227" t="inlineStr">
        <is>
          <t>Denmark</t>
        </is>
      </c>
    </row>
    <row r="7228">
      <c r="A7228" t="inlineStr">
        <is>
          <t>Idemitsu Unitech Co.,Ltd.,  Sammu-shi,Chiba, Japan</t>
        </is>
      </c>
      <c r="B7228" t="inlineStr">
        <is>
          <t>Processing Unit</t>
        </is>
      </c>
      <c r="C7228" t="inlineStr">
        <is>
          <t>SGS Germany GmbH, Emstek, DE</t>
        </is>
      </c>
      <c r="D7228" t="inlineStr">
        <is>
          <t>02.03.2027</t>
        </is>
      </c>
      <c r="E7228" t="inlineStr">
        <is>
          <t>Japan</t>
        </is>
      </c>
    </row>
    <row r="7229">
      <c r="A7229" t="inlineStr">
        <is>
          <t>Gunvor International,  Geneva, Switzerland</t>
        </is>
      </c>
      <c r="B7229" t="inlineStr">
        <is>
          <t>Trader with Storage</t>
        </is>
      </c>
      <c r="C7229" t="inlineStr">
        <is>
          <t>Certificadora Gallega del Noroeste SL, Vilagarcia de Arousa-Pontevedra, ES</t>
        </is>
      </c>
      <c r="D7229" t="inlineStr">
        <is>
          <t>01.03.2027</t>
        </is>
      </c>
      <c r="E7229" t="inlineStr">
        <is>
          <t>Switzerland</t>
        </is>
      </c>
    </row>
    <row r="7230">
      <c r="A7230" t="inlineStr">
        <is>
          <t>Gunvor International,  Geneva, Switzerland</t>
        </is>
      </c>
      <c r="B7230" t="inlineStr">
        <is>
          <t>Trader with Storage</t>
        </is>
      </c>
      <c r="C7230" t="inlineStr">
        <is>
          <t>Certificadora Gallega del Noroeste SL, Vilagarcia de Arousa-Pontevedra, ES</t>
        </is>
      </c>
      <c r="D7230" t="inlineStr">
        <is>
          <t>01.03.2027</t>
        </is>
      </c>
      <c r="E7230" t="inlineStr">
        <is>
          <t>Switzerland</t>
        </is>
      </c>
    </row>
    <row r="7231">
      <c r="A7231" t="inlineStr">
        <is>
          <t>Gunvor International B.V.,  Geneva, Switzerland</t>
        </is>
      </c>
      <c r="B7231" t="inlineStr">
        <is>
          <t>Trader with Storage</t>
        </is>
      </c>
      <c r="C7231" t="inlineStr">
        <is>
          <t>Certificadora Gallega del Noroeste SL, Vilagarcia de Arousa-Pontevedra, ES</t>
        </is>
      </c>
      <c r="D7231" t="inlineStr">
        <is>
          <t>01.03.2027</t>
        </is>
      </c>
      <c r="E7231" t="inlineStr">
        <is>
          <t>Switzerland</t>
        </is>
      </c>
    </row>
    <row r="7232">
      <c r="A7232" t="inlineStr">
        <is>
          <t>Gemidan A/S,  Odense N, Denmark</t>
        </is>
      </c>
      <c r="B7232" t="inlineStr">
        <is>
          <t>Collecting Point, Processing Unit</t>
        </is>
      </c>
      <c r="C7232" t="inlineStr">
        <is>
          <t>DNV Business Assurance Sweden AB, Solna, SE</t>
        </is>
      </c>
      <c r="D7232" t="inlineStr">
        <is>
          <t>01.03.2027</t>
        </is>
      </c>
      <c r="E7232" t="inlineStr">
        <is>
          <t>Denmark</t>
        </is>
      </c>
    </row>
    <row r="7233">
      <c r="A7233" t="inlineStr">
        <is>
          <t>Démétér Biosystems Kft.,  Nyírtura, Hungary</t>
        </is>
      </c>
      <c r="B7233" t="inlineStr">
        <is>
          <t>Trader</t>
        </is>
      </c>
      <c r="C7233" t="inlineStr">
        <is>
          <t>Bureau Veritas Polska Sp. z o.o., Warsaw, PL</t>
        </is>
      </c>
      <c r="D7233" t="inlineStr">
        <is>
          <t>01.03.2027</t>
        </is>
      </c>
      <c r="E7233" t="inlineStr">
        <is>
          <t>Hungary</t>
        </is>
      </c>
    </row>
    <row r="7234">
      <c r="A7234" t="inlineStr">
        <is>
          <t>Hebei Jingu Recycling Resources Development Co.,Ltd,  Xinji City, Hebei Province, China</t>
        </is>
      </c>
      <c r="B7234" t="inlineStr">
        <is>
          <t>Point of Origin, Processing Unit, Trader with Storage</t>
        </is>
      </c>
      <c r="C7234" t="inlineStr">
        <is>
          <t>RINA Services S.p.A., Genova, IT</t>
        </is>
      </c>
      <c r="D7234" t="inlineStr">
        <is>
          <t>01.03.2027</t>
        </is>
      </c>
      <c r="E7234" t="inlineStr">
        <is>
          <t>China</t>
        </is>
      </c>
    </row>
    <row r="7235">
      <c r="A7235" t="inlineStr">
        <is>
          <t>Balocco,  Fossano, Italy</t>
        </is>
      </c>
      <c r="B7235" t="inlineStr">
        <is>
          <t>Processing Unit</t>
        </is>
      </c>
      <c r="C7235" t="inlineStr">
        <is>
          <t>SGS Germany GmbH, Emstek, DE</t>
        </is>
      </c>
      <c r="D7235" t="inlineStr">
        <is>
          <t>01.03.2027</t>
        </is>
      </c>
      <c r="E7235" t="inlineStr">
        <is>
          <t>Italy</t>
        </is>
      </c>
    </row>
    <row r="7236">
      <c r="A7236" t="inlineStr">
        <is>
          <t>PT. Niaga Makmur Sejati,  Cimone, Tangerang, Indonesia</t>
        </is>
      </c>
      <c r="B7236" t="inlineStr">
        <is>
          <t>Trader with Storage, Collecting Point</t>
        </is>
      </c>
      <c r="C7236" t="inlineStr">
        <is>
          <t>Trans Certification and Inspection Sdn Bhd, Kuantan, MY</t>
        </is>
      </c>
      <c r="D7236" t="inlineStr">
        <is>
          <t>01.03.2027</t>
        </is>
      </c>
      <c r="E7236" t="inlineStr">
        <is>
          <t>Indonesia</t>
        </is>
      </c>
    </row>
    <row r="7237">
      <c r="A7237" t="inlineStr">
        <is>
          <t>Pacific (Panyu) Textiles Ltd,  Nansha, Guangzhou, China</t>
        </is>
      </c>
      <c r="B7237" t="inlineStr">
        <is>
          <t>Processing Unit</t>
        </is>
      </c>
      <c r="C7237" t="inlineStr">
        <is>
          <t>PT Intertek Utama Services, Jakarta, ID</t>
        </is>
      </c>
      <c r="D7237" t="inlineStr">
        <is>
          <t>01.03.2027</t>
        </is>
      </c>
      <c r="E7237" t="inlineStr">
        <is>
          <t>China</t>
        </is>
      </c>
    </row>
    <row r="7238">
      <c r="A7238" t="inlineStr">
        <is>
          <t>Jiangxi Chengjiyuan Industrial Co.,Ltd.,  Xinyu City,Jiangxi Province, China</t>
        </is>
      </c>
      <c r="B7238" t="inlineStr">
        <is>
          <t>Trader</t>
        </is>
      </c>
      <c r="C7238" t="inlineStr">
        <is>
          <t>SCS Global Services, Emeryville, CA, US</t>
        </is>
      </c>
      <c r="D7238" t="inlineStr">
        <is>
          <t>01.03.2027</t>
        </is>
      </c>
      <c r="E7238" t="inlineStr">
        <is>
          <t>China</t>
        </is>
      </c>
    </row>
    <row r="7239">
      <c r="A7239" t="inlineStr">
        <is>
          <t>Qinzhou Qinnan District Haifu Waste Processing Factory,  Qinnan District, Qinzhou City, Guangxi, China</t>
        </is>
      </c>
      <c r="B7239" t="inlineStr">
        <is>
          <t>Collecting Point</t>
        </is>
      </c>
      <c r="C7239" t="inlineStr">
        <is>
          <t>RINA Services S.p.A., Genova, IT</t>
        </is>
      </c>
      <c r="D7239" t="inlineStr">
        <is>
          <t>01.03.2027</t>
        </is>
      </c>
      <c r="E7239" t="inlineStr">
        <is>
          <t>China</t>
        </is>
      </c>
    </row>
    <row r="7240">
      <c r="A7240" t="inlineStr">
        <is>
          <t>Bunker Partner OÜ,  Tallinn, Estonia</t>
        </is>
      </c>
      <c r="B7240" t="inlineStr">
        <is>
          <t>Trader</t>
        </is>
      </c>
      <c r="C7240" t="inlineStr">
        <is>
          <t>NCS Estonia OÜ, Tallinn, EE</t>
        </is>
      </c>
      <c r="D7240" t="inlineStr">
        <is>
          <t>01.03.2027</t>
        </is>
      </c>
      <c r="E7240" t="inlineStr">
        <is>
          <t>Estonia</t>
        </is>
      </c>
    </row>
    <row r="7241">
      <c r="A7241" t="inlineStr">
        <is>
          <t>China Marine Bunker Qingdao Co., Ltd.,  Shibei District, Qingdao,, China</t>
        </is>
      </c>
      <c r="B7241" t="inlineStr">
        <is>
          <t>Trader</t>
        </is>
      </c>
      <c r="C7241" t="inlineStr">
        <is>
          <t>Guardian Independent Certification Limited, Singapore, SG</t>
        </is>
      </c>
      <c r="D7241" t="inlineStr">
        <is>
          <t>01.03.2027</t>
        </is>
      </c>
      <c r="E7241" t="inlineStr">
        <is>
          <t>China</t>
        </is>
      </c>
    </row>
    <row r="7242">
      <c r="A7242" t="inlineStr">
        <is>
          <t>SAIF,  Genova, Italy</t>
        </is>
      </c>
      <c r="B7242" t="inlineStr">
        <is>
          <t>Trader</t>
        </is>
      </c>
      <c r="C7242" t="inlineStr">
        <is>
          <t>Control Union Poland Sp. z o.o., Zielona Gora, PL</t>
        </is>
      </c>
      <c r="D7242" t="inlineStr">
        <is>
          <t>01.03.2027</t>
        </is>
      </c>
      <c r="E7242" t="inlineStr">
        <is>
          <t>Italy</t>
        </is>
      </c>
    </row>
    <row r="7243">
      <c r="A7243" t="inlineStr">
        <is>
          <t>We Seal,  Leeds, United Kingdom</t>
        </is>
      </c>
      <c r="B7243" t="inlineStr">
        <is>
          <t>Final Product Refinement</t>
        </is>
      </c>
      <c r="C7243" t="inlineStr">
        <is>
          <t>SGS Germany GmbH, Emstek, DE</t>
        </is>
      </c>
      <c r="D7243" t="inlineStr">
        <is>
          <t>01.03.2027</t>
        </is>
      </c>
      <c r="E7243" t="inlineStr">
        <is>
          <t>United Kingdom</t>
        </is>
      </c>
    </row>
    <row r="7244">
      <c r="A7244" t="inlineStr">
        <is>
          <t>Lindsay Blee and Co Ltd,  Henley on Thames, United Kingdom</t>
        </is>
      </c>
      <c r="B7244" t="inlineStr">
        <is>
          <t>Proof of Compliance Trader, Trader</t>
        </is>
      </c>
      <c r="C7244" t="inlineStr">
        <is>
          <t>Aardvark Certification Ltd, Wiveliscombe, Somerset, GB</t>
        </is>
      </c>
      <c r="D7244" t="inlineStr">
        <is>
          <t>01.03.2027</t>
        </is>
      </c>
      <c r="E7244" t="inlineStr">
        <is>
          <t>United Kingdom</t>
        </is>
      </c>
    </row>
    <row r="7245">
      <c r="A7245" t="inlineStr">
        <is>
          <t>Sartorius Stedim Filters,  Yauco, Puerto Rico</t>
        </is>
      </c>
      <c r="B7245" t="inlineStr">
        <is>
          <t>Final Product Refinement, Warehouse</t>
        </is>
      </c>
      <c r="C7245" t="inlineStr">
        <is>
          <t>Aardvark Certification Ltd, Wiveliscombe, Somerset, GB</t>
        </is>
      </c>
      <c r="D7245" t="inlineStr">
        <is>
          <t>01.03.2027</t>
        </is>
      </c>
      <c r="E7245" t="inlineStr">
        <is>
          <t>Puerto Rico</t>
        </is>
      </c>
    </row>
    <row r="7246">
      <c r="A7246" t="inlineStr">
        <is>
          <t>Alporit AG,  Boswil, Switzerland</t>
        </is>
      </c>
      <c r="B7246" t="inlineStr">
        <is>
          <t>Collecting Point, Processing Unit</t>
        </is>
      </c>
      <c r="C7246" t="inlineStr">
        <is>
          <t>DQS CFS GmbH - Deutsche Gesellschaft für Nachhaltigkeit, Frankfurt am Main, DE</t>
        </is>
      </c>
      <c r="D7246" t="inlineStr">
        <is>
          <t>01.03.2027</t>
        </is>
      </c>
      <c r="E7246" t="inlineStr">
        <is>
          <t>Switzerland</t>
        </is>
      </c>
    </row>
    <row r="7247">
      <c r="A7247" t="inlineStr">
        <is>
          <t>Mi oskrba d.o.o.,  Postojna, Slovenia</t>
        </is>
      </c>
      <c r="B7247" t="inlineStr">
        <is>
          <t>Trader with Storage</t>
        </is>
      </c>
      <c r="C7247" t="inlineStr">
        <is>
          <t>Bureau Veritas Polska Sp. z o.o., Warsaw, PL</t>
        </is>
      </c>
      <c r="D7247" t="inlineStr">
        <is>
          <t>01.03.2027</t>
        </is>
      </c>
      <c r="E7247" t="inlineStr">
        <is>
          <t>Slovenia</t>
        </is>
      </c>
    </row>
    <row r="7248">
      <c r="A7248" t="inlineStr">
        <is>
          <t>Modern Meadow Inc.,  Nutley, United States</t>
        </is>
      </c>
      <c r="B7248" t="inlineStr">
        <is>
          <t>Trader with Storage</t>
        </is>
      </c>
      <c r="C7248" t="inlineStr">
        <is>
          <t>TÜV NORD CERT GmbH, Essen, DE</t>
        </is>
      </c>
      <c r="D7248" t="inlineStr">
        <is>
          <t>01.03.2027</t>
        </is>
      </c>
      <c r="E7248" t="inlineStr">
        <is>
          <t>United States</t>
        </is>
      </c>
    </row>
    <row r="7249">
      <c r="A7249" t="inlineStr">
        <is>
          <t>ITAL GREEN ENERGY S.R.L.,  Monopoli, Italy</t>
        </is>
      </c>
      <c r="B7249" t="inlineStr">
        <is>
          <t>Collecting Point, Processing Unit</t>
        </is>
      </c>
      <c r="C7249" t="inlineStr">
        <is>
          <t>RINA Services S.p.A., Genova, IT</t>
        </is>
      </c>
      <c r="D7249" t="inlineStr">
        <is>
          <t>01.03.2027</t>
        </is>
      </c>
      <c r="E7249" t="inlineStr">
        <is>
          <t>Italy</t>
        </is>
      </c>
    </row>
    <row r="7250">
      <c r="A7250" t="inlineStr">
        <is>
          <t>Modern Meadow Inc.,  Taunton,, United States</t>
        </is>
      </c>
      <c r="B7250" t="inlineStr">
        <is>
          <t>Processing Unit</t>
        </is>
      </c>
      <c r="C7250" t="inlineStr">
        <is>
          <t>TÜV NORD CERT GmbH, Essen, DE</t>
        </is>
      </c>
      <c r="D7250" t="inlineStr">
        <is>
          <t>01.03.2027</t>
        </is>
      </c>
      <c r="E7250" t="inlineStr">
        <is>
          <t>United States</t>
        </is>
      </c>
    </row>
    <row r="7251">
      <c r="A7251" t="inlineStr">
        <is>
          <t>Hangzhou Fuyang Yi Ao Agricultural Co., Ltd,  Hangzhou, Zhejiang, China</t>
        </is>
      </c>
      <c r="B7251" t="inlineStr">
        <is>
          <t>Collecting Point, Trader</t>
        </is>
      </c>
      <c r="C7251" t="inlineStr">
        <is>
          <t>RINA Services S.p.A., Genova, IT</t>
        </is>
      </c>
      <c r="D7251" t="inlineStr">
        <is>
          <t>01.03.2027</t>
        </is>
      </c>
      <c r="E7251" t="inlineStr">
        <is>
          <t>China</t>
        </is>
      </c>
    </row>
    <row r="7252">
      <c r="A7252" t="inlineStr">
        <is>
          <t>Shell Singapore Pte Ltd (SSPL),  The Metropolis Tower 1, Singapore</t>
        </is>
      </c>
      <c r="B7252" t="inlineStr">
        <is>
          <t>Trader with Storage</t>
        </is>
      </c>
      <c r="C7252" t="inlineStr">
        <is>
          <t>Control Union Poland Sp. z o.o., Zielona Gora, PL</t>
        </is>
      </c>
      <c r="D7252" t="inlineStr">
        <is>
          <t>01.03.2027</t>
        </is>
      </c>
      <c r="E7252" t="inlineStr">
        <is>
          <t>Singapore</t>
        </is>
      </c>
    </row>
    <row r="7253">
      <c r="A7253" t="inlineStr">
        <is>
          <t>Shell Singapore Pte Ltd (SSPL),  The Metropolis Tower 1, Singapore</t>
        </is>
      </c>
      <c r="B7253" t="inlineStr">
        <is>
          <t>Trader with Storage</t>
        </is>
      </c>
      <c r="C7253" t="inlineStr">
        <is>
          <t>Control Union Poland Sp. z o.o., Zielona Gora, PL</t>
        </is>
      </c>
      <c r="D7253" t="inlineStr">
        <is>
          <t>01.03.2027</t>
        </is>
      </c>
      <c r="E7253" t="inlineStr">
        <is>
          <t>Singapore</t>
        </is>
      </c>
    </row>
    <row r="7254">
      <c r="A7254" t="inlineStr">
        <is>
          <t>Hebei Jinrui Lvyuan Biological Technology Co.,Ltd,  Xinji City, Hebei Province, China</t>
        </is>
      </c>
      <c r="B7254" t="inlineStr">
        <is>
          <t>Trader with Storage</t>
        </is>
      </c>
      <c r="C7254" t="inlineStr">
        <is>
          <t>RINA Services S.p.A., Genova, IT</t>
        </is>
      </c>
      <c r="D7254" t="inlineStr">
        <is>
          <t>01.03.2027</t>
        </is>
      </c>
      <c r="E7254" t="inlineStr">
        <is>
          <t>China</t>
        </is>
      </c>
    </row>
    <row r="7255">
      <c r="A7255" t="inlineStr">
        <is>
          <t>Duynie Renewables B.V.,  Nijmegen, Netherlands</t>
        </is>
      </c>
      <c r="B7255" t="inlineStr">
        <is>
          <t>Collecting Point, Trader</t>
        </is>
      </c>
      <c r="C7255" t="inlineStr">
        <is>
          <t>DEKRA Certification B.V., Arnhem, NL</t>
        </is>
      </c>
      <c r="D7255" t="inlineStr">
        <is>
          <t>01.03.2027</t>
        </is>
      </c>
      <c r="E7255" t="inlineStr">
        <is>
          <t>Netherlands</t>
        </is>
      </c>
    </row>
    <row r="7256">
      <c r="A7256" t="inlineStr">
        <is>
          <t>Bio Oil Equity GmbH,  Wien, Austria</t>
        </is>
      </c>
      <c r="B7256" t="inlineStr">
        <is>
          <t>Trader with Storage</t>
        </is>
      </c>
      <c r="C7256" t="inlineStr">
        <is>
          <t>agroVet GmbH, Enzersfeld, AT</t>
        </is>
      </c>
      <c r="D7256" t="inlineStr">
        <is>
          <t>01.03.2027</t>
        </is>
      </c>
      <c r="E7256" t="inlineStr">
        <is>
          <t>Austria</t>
        </is>
      </c>
    </row>
    <row r="7257">
      <c r="A7257" t="inlineStr">
        <is>
          <t>Casillo,  Corato, Italy</t>
        </is>
      </c>
      <c r="B7257" t="inlineStr">
        <is>
          <t>Processing Unit</t>
        </is>
      </c>
      <c r="C7257" t="inlineStr">
        <is>
          <t>RINA Services S.p.A., Genova, IT</t>
        </is>
      </c>
      <c r="D7257" t="inlineStr">
        <is>
          <t>01.03.2027</t>
        </is>
      </c>
      <c r="E7257" t="inlineStr">
        <is>
          <t>Italy</t>
        </is>
      </c>
    </row>
    <row r="7258">
      <c r="A7258" t="inlineStr">
        <is>
          <t>PT Ino Alam Nusa,  Kabupaten Deli Serdang, Indonesia</t>
        </is>
      </c>
      <c r="B7258" t="inlineStr">
        <is>
          <t>Processing Unit</t>
        </is>
      </c>
      <c r="C7258" t="inlineStr">
        <is>
          <t>Control Union Certifications Germany GmbH, Berlin, DE</t>
        </is>
      </c>
      <c r="D7258" t="inlineStr">
        <is>
          <t>01.03.2027</t>
        </is>
      </c>
      <c r="E7258" t="inlineStr">
        <is>
          <t>Indonesia</t>
        </is>
      </c>
    </row>
    <row r="7259">
      <c r="A7259" t="inlineStr">
        <is>
          <t>Gunvor International,  Geneva, Switzerland</t>
        </is>
      </c>
      <c r="B7259" t="inlineStr">
        <is>
          <t>Trader with Storage</t>
        </is>
      </c>
      <c r="C7259" t="inlineStr">
        <is>
          <t>Amspec Iberia SL, Vilagarcia de Arousa-Pontevedra, ES</t>
        </is>
      </c>
      <c r="D7259" t="inlineStr">
        <is>
          <t>01.03.2027</t>
        </is>
      </c>
      <c r="E7259" t="inlineStr">
        <is>
          <t>Switzerland</t>
        </is>
      </c>
    </row>
    <row r="7260">
      <c r="A7260" t="inlineStr">
        <is>
          <t>AI ENERGY PUBLIC COMPANY LIMITED,  KHLONG MADUEA, KRATHUM BAEN, SAMUT SAKHON, Thailand</t>
        </is>
      </c>
      <c r="B7260" t="inlineStr">
        <is>
          <t>Point of Origin, Processing Unit</t>
        </is>
      </c>
      <c r="C7260" t="inlineStr">
        <is>
          <t>Control Union Poland Sp. z o.o., Zielona Gora, PL</t>
        </is>
      </c>
      <c r="D7260" t="inlineStr">
        <is>
          <t>28.02.2027</t>
        </is>
      </c>
      <c r="E7260" t="inlineStr">
        <is>
          <t>Thailand</t>
        </is>
      </c>
    </row>
    <row r="7261">
      <c r="A7261" t="inlineStr">
        <is>
          <t>AI ENERGY PUBLIC COMPANY LIMITED,  KHLONG MADUEA, KRATHUM BAEN, SAMUT SAKHON, Thailand</t>
        </is>
      </c>
      <c r="B7261" t="inlineStr">
        <is>
          <t>Point of Origin, Processing Unit</t>
        </is>
      </c>
      <c r="C7261" t="inlineStr">
        <is>
          <t>Control Union Poland Sp. z o.o., Zielona Gora, PL</t>
        </is>
      </c>
      <c r="D7261" t="inlineStr">
        <is>
          <t>28.02.2027</t>
        </is>
      </c>
      <c r="E7261" t="inlineStr">
        <is>
          <t>Thailand</t>
        </is>
      </c>
    </row>
    <row r="7262">
      <c r="A7262" t="inlineStr">
        <is>
          <t>Gunvor España SL,  Palos de la Frontera (Huelva), Spain</t>
        </is>
      </c>
      <c r="B7262" t="inlineStr">
        <is>
          <t>Point of Origin, Processing Unit, Trader with Storage</t>
        </is>
      </c>
      <c r="C7262" t="inlineStr">
        <is>
          <t>ASG Cert GmbH, Munich, DE</t>
        </is>
      </c>
      <c r="D7262" t="inlineStr">
        <is>
          <t>28.02.2027</t>
        </is>
      </c>
      <c r="E7262" t="inlineStr">
        <is>
          <t>Spain</t>
        </is>
      </c>
    </row>
    <row r="7263">
      <c r="A7263" t="inlineStr">
        <is>
          <t>Dong Nai River Cashew Oil Company Limited,  Xuan Loc commune, Dong Nai Province, Vietnam</t>
        </is>
      </c>
      <c r="B7263" t="inlineStr">
        <is>
          <t>Processing Unit</t>
        </is>
      </c>
      <c r="C7263" t="inlineStr">
        <is>
          <t>Control Union Certifications Germany GmbH, Berlin, DE</t>
        </is>
      </c>
      <c r="D7263" t="inlineStr">
        <is>
          <t>28.02.2027</t>
        </is>
      </c>
      <c r="E7263" t="inlineStr">
        <is>
          <t>Vietnam</t>
        </is>
      </c>
    </row>
    <row r="7264">
      <c r="A7264" t="inlineStr">
        <is>
          <t>UPM GmbH - CEWS,  Augsburg, Germany</t>
        </is>
      </c>
      <c r="B7264" t="inlineStr">
        <is>
          <t>Trader, First Gathering Point</t>
        </is>
      </c>
      <c r="C7264" t="inlineStr">
        <is>
          <t>Control Union Certifications Germany GmbH, Berlin, DE</t>
        </is>
      </c>
      <c r="D7264" t="inlineStr">
        <is>
          <t>28.02.2027</t>
        </is>
      </c>
      <c r="E7264" t="inlineStr">
        <is>
          <t>Germany</t>
        </is>
      </c>
    </row>
    <row r="7265">
      <c r="A7265" t="inlineStr">
        <is>
          <t>UAB „Viada LT“,  Avizieniai., Vilniaus r. sav., Lithuania</t>
        </is>
      </c>
      <c r="B7265" t="inlineStr">
        <is>
          <t>Trader</t>
        </is>
      </c>
      <c r="C7265" t="inlineStr">
        <is>
          <t>Bureau Veritas Polska Sp. z o.o., Warsaw, PL</t>
        </is>
      </c>
      <c r="D7265" t="inlineStr">
        <is>
          <t>28.02.2027</t>
        </is>
      </c>
      <c r="E7265" t="inlineStr">
        <is>
          <t>Lithuania</t>
        </is>
      </c>
    </row>
    <row r="7266">
      <c r="A7266" t="inlineStr">
        <is>
          <t>PETRO &amp; BULK SOLUTIONS d.o.o.,  Opatija, Croatia</t>
        </is>
      </c>
      <c r="B7266" t="inlineStr">
        <is>
          <t>Trader</t>
        </is>
      </c>
      <c r="C7266" t="inlineStr">
        <is>
          <t>Bureau Veritas Polska Sp. z o.o., Warsaw, PL</t>
        </is>
      </c>
      <c r="D7266" t="inlineStr">
        <is>
          <t>28.02.2027</t>
        </is>
      </c>
      <c r="E7266" t="inlineStr">
        <is>
          <t>Croatia</t>
        </is>
      </c>
    </row>
    <row r="7267">
      <c r="A7267" t="inlineStr">
        <is>
          <t>UAB "AGAT-A Trading",  Klaipeda, Lithuania</t>
        </is>
      </c>
      <c r="B7267" t="inlineStr">
        <is>
          <t>Trader with Storage</t>
        </is>
      </c>
      <c r="C7267" t="inlineStr">
        <is>
          <t>Bureau Veritas Polska Sp. z o.o., Warsaw, PL</t>
        </is>
      </c>
      <c r="D7267" t="inlineStr">
        <is>
          <t>28.02.2027</t>
        </is>
      </c>
      <c r="E7267" t="inlineStr">
        <is>
          <t>Lithuania</t>
        </is>
      </c>
    </row>
    <row r="7268">
      <c r="A7268" t="inlineStr">
        <is>
          <t>Bunge Zrt.,  Martfű, Hungary</t>
        </is>
      </c>
      <c r="B7268" t="inlineStr">
        <is>
          <t>First Gathering Point, Trader with Storage, Processing Unit</t>
        </is>
      </c>
      <c r="C7268" t="inlineStr">
        <is>
          <t>Bureau Veritas Polska Sp. z o.o., Warsaw, PL</t>
        </is>
      </c>
      <c r="D7268" t="inlineStr">
        <is>
          <t>28.02.2027</t>
        </is>
      </c>
      <c r="E7268" t="inlineStr">
        <is>
          <t>Hungary</t>
        </is>
      </c>
    </row>
    <row r="7269">
      <c r="A7269" t="inlineStr">
        <is>
          <t>Bunge Zrt.,  Martfű, Hungary</t>
        </is>
      </c>
      <c r="B7269" t="inlineStr">
        <is>
          <t>First Gathering Point, Trader with Storage, Processing Unit</t>
        </is>
      </c>
      <c r="C7269" t="inlineStr">
        <is>
          <t>Bureau Veritas Polska Sp. z o.o., Warsaw, PL</t>
        </is>
      </c>
      <c r="D7269" t="inlineStr">
        <is>
          <t>28.02.2027</t>
        </is>
      </c>
      <c r="E7269" t="inlineStr">
        <is>
          <t>Hungary</t>
        </is>
      </c>
    </row>
    <row r="7270">
      <c r="A7270" t="inlineStr">
        <is>
          <t>SD Guthrie International Langat Refinery Sdn Bhd,  Telok Panglima Garang, Malaysia</t>
        </is>
      </c>
      <c r="B7270" t="inlineStr">
        <is>
          <t>Point of Origin</t>
        </is>
      </c>
      <c r="C7270" t="inlineStr">
        <is>
          <t>Control Union Certifications Germany GmbH, Berlin, DE</t>
        </is>
      </c>
      <c r="D7270" t="inlineStr">
        <is>
          <t>28.02.2027</t>
        </is>
      </c>
      <c r="E7270" t="inlineStr">
        <is>
          <t>Malaysia</t>
        </is>
      </c>
    </row>
    <row r="7271">
      <c r="A7271" t="inlineStr">
        <is>
          <t>Bio Oil Recycling,  Brugge, Belgium</t>
        </is>
      </c>
      <c r="B7271" t="inlineStr">
        <is>
          <t>Collecting Point, Trader with Storage</t>
        </is>
      </c>
      <c r="C7271" t="inlineStr">
        <is>
          <t>Control Union Certifications Germany GmbH, Berlin, DE</t>
        </is>
      </c>
      <c r="D7271" t="inlineStr">
        <is>
          <t>28.02.2027</t>
        </is>
      </c>
      <c r="E7271" t="inlineStr">
        <is>
          <t>Belgium</t>
        </is>
      </c>
    </row>
    <row r="7272">
      <c r="A7272" t="inlineStr">
        <is>
          <t>Sydney Recycling Services Pty,  Sydney, Smithfield, Australia</t>
        </is>
      </c>
      <c r="B7272" t="inlineStr">
        <is>
          <t>Collecting Point</t>
        </is>
      </c>
      <c r="C7272" t="inlineStr">
        <is>
          <t>Control Union Certifications Germany GmbH, Berlin, DE</t>
        </is>
      </c>
      <c r="D7272" t="inlineStr">
        <is>
          <t>28.02.2027</t>
        </is>
      </c>
      <c r="E7272" t="inlineStr">
        <is>
          <t>Australia</t>
        </is>
      </c>
    </row>
    <row r="7273">
      <c r="A7273" t="inlineStr">
        <is>
          <t>Seabreeze Energy Producers, LLC,  Angleton, Texas, United States</t>
        </is>
      </c>
      <c r="B7273" t="inlineStr">
        <is>
          <t>Collecting Point, Processing Unit</t>
        </is>
      </c>
      <c r="C7273" t="inlineStr">
        <is>
          <t>SCS Global Services, Emeryville, CA, US</t>
        </is>
      </c>
      <c r="D7273" t="inlineStr">
        <is>
          <t>28.02.2027</t>
        </is>
      </c>
      <c r="E7273" t="inlineStr">
        <is>
          <t>United States</t>
        </is>
      </c>
    </row>
    <row r="7274">
      <c r="A7274" t="inlineStr">
        <is>
          <t>Seabreeze Energy Producers, LLC,  Angleton, Texas, United States</t>
        </is>
      </c>
      <c r="B7274" t="inlineStr">
        <is>
          <t>Collecting Point, Processing Unit</t>
        </is>
      </c>
      <c r="C7274" t="inlineStr">
        <is>
          <t>SCS Global Services, Emeryville, CA, US</t>
        </is>
      </c>
      <c r="D7274" t="inlineStr">
        <is>
          <t>28.02.2027</t>
        </is>
      </c>
      <c r="E7274" t="inlineStr">
        <is>
          <t>United States</t>
        </is>
      </c>
    </row>
    <row r="7275">
      <c r="A7275" t="inlineStr">
        <is>
          <t>Peter Cremer Brasil LTDA,  Joinville, Brazil</t>
        </is>
      </c>
      <c r="B7275" t="inlineStr">
        <is>
          <t>Collecting Point, Trader</t>
        </is>
      </c>
      <c r="C7275" t="inlineStr">
        <is>
          <t>SCS Global Services, Emeryville, CA, US</t>
        </is>
      </c>
      <c r="D7275" t="inlineStr">
        <is>
          <t>28.02.2027</t>
        </is>
      </c>
      <c r="E7275" t="inlineStr">
        <is>
          <t>Brazil</t>
        </is>
      </c>
    </row>
    <row r="7276">
      <c r="A7276" t="inlineStr">
        <is>
          <t>Wilmar Oleochemicals B.V.,  Botlek Rotterdam, Netherlands</t>
        </is>
      </c>
      <c r="B7276" t="inlineStr">
        <is>
          <t>Point of Origin</t>
        </is>
      </c>
      <c r="C7276" t="inlineStr">
        <is>
          <t>Control Union Certifications Germany GmbH, Berlin, DE</t>
        </is>
      </c>
      <c r="D7276" t="inlineStr">
        <is>
          <t>28.02.2027</t>
        </is>
      </c>
      <c r="E7276" t="inlineStr">
        <is>
          <t>Netherlands</t>
        </is>
      </c>
    </row>
    <row r="7277">
      <c r="A7277" t="inlineStr">
        <is>
          <t>Vilma Oil Med SL,  Madrid, Spain</t>
        </is>
      </c>
      <c r="B7277" t="inlineStr">
        <is>
          <t>Trader with Storage</t>
        </is>
      </c>
      <c r="C7277" t="inlineStr">
        <is>
          <t>Certificadora Gallega del Noroeste SL, Vilagarcia de Arousa-Pontevedra, ES</t>
        </is>
      </c>
      <c r="D7277" t="inlineStr">
        <is>
          <t>28.02.2027</t>
        </is>
      </c>
      <c r="E7277" t="inlineStr">
        <is>
          <t>Spain</t>
        </is>
      </c>
    </row>
    <row r="7278">
      <c r="A7278" t="inlineStr">
        <is>
          <t>DELTA PREG SPA,  SANT'EGIDIO ALLA VIBRATA (TE), Italy</t>
        </is>
      </c>
      <c r="B7278" t="inlineStr">
        <is>
          <t>Processing Unit</t>
        </is>
      </c>
      <c r="C7278" t="inlineStr">
        <is>
          <t>Bureau Veritas Polska Sp. z o.o., Warsaw, PL</t>
        </is>
      </c>
      <c r="D7278" t="inlineStr">
        <is>
          <t>28.02.2027</t>
        </is>
      </c>
      <c r="E7278" t="inlineStr">
        <is>
          <t>Italy</t>
        </is>
      </c>
    </row>
    <row r="7279">
      <c r="A7279" t="inlineStr">
        <is>
          <t>TUNG FUNG INTERNATIONAL (HK) LIMITED,  HONG KONG S.A.R., Hong Kong, SAR, China</t>
        </is>
      </c>
      <c r="B7279" t="inlineStr">
        <is>
          <t>Trader with Storage</t>
        </is>
      </c>
      <c r="C7279" t="inlineStr">
        <is>
          <t>SCS Global Services, Emeryville, CA, US</t>
        </is>
      </c>
      <c r="D7279" t="inlineStr">
        <is>
          <t>28.02.2027</t>
        </is>
      </c>
      <c r="E7279" t="inlineStr">
        <is>
          <t>China</t>
        </is>
      </c>
    </row>
    <row r="7280">
      <c r="A7280" t="inlineStr">
        <is>
          <t>Charter Next Generation, Inc.,  Blythewood, United States</t>
        </is>
      </c>
      <c r="B7280" t="inlineStr">
        <is>
          <t>Processing Unit</t>
        </is>
      </c>
      <c r="C7280" t="inlineStr">
        <is>
          <t>SCS Global Services, Emeryville, CA, US</t>
        </is>
      </c>
      <c r="D7280" t="inlineStr">
        <is>
          <t>28.02.2027</t>
        </is>
      </c>
      <c r="E7280" t="inlineStr">
        <is>
          <t>United States</t>
        </is>
      </c>
    </row>
    <row r="7281">
      <c r="A7281" t="inlineStr">
        <is>
          <t>Envalior Performance Materials,  Gastonia, United States</t>
        </is>
      </c>
      <c r="B7281" t="inlineStr">
        <is>
          <t>Processing Unit</t>
        </is>
      </c>
      <c r="C7281" t="inlineStr">
        <is>
          <t>TÜV NORD CERT GmbH, Essen, DE</t>
        </is>
      </c>
      <c r="D7281" t="inlineStr">
        <is>
          <t>28.02.2027</t>
        </is>
      </c>
      <c r="E7281" t="inlineStr">
        <is>
          <t>United States</t>
        </is>
      </c>
    </row>
    <row r="7282">
      <c r="A7282" t="inlineStr">
        <is>
          <t>SPP Mobilita s. r. o.,  Bratislava - mestská časť Ružinov, Slovakia</t>
        </is>
      </c>
      <c r="B7282" t="inlineStr">
        <is>
          <t>Trader with Storage, Proof of Compliance Trader, Logistics Center</t>
        </is>
      </c>
      <c r="C7282" t="inlineStr">
        <is>
          <t>TÜV SÜD Czech s.r.o., Praha 4, CZ</t>
        </is>
      </c>
      <c r="D7282" t="inlineStr">
        <is>
          <t>28.02.2027</t>
        </is>
      </c>
      <c r="E7282" t="inlineStr">
        <is>
          <t>Slovakia</t>
        </is>
      </c>
    </row>
    <row r="7283">
      <c r="A7283" t="inlineStr">
        <is>
          <t>Dong Feng International Trading (Shenzhen) Co., Ltd.,  Shenzhen, Guangdong, China</t>
        </is>
      </c>
      <c r="B7283" t="inlineStr">
        <is>
          <t>Trader with Storage</t>
        </is>
      </c>
      <c r="C7283" t="inlineStr">
        <is>
          <t>SCS Global Services, Emeryville, CA, US</t>
        </is>
      </c>
      <c r="D7283" t="inlineStr">
        <is>
          <t>28.02.2027</t>
        </is>
      </c>
      <c r="E7283" t="inlineStr">
        <is>
          <t>China</t>
        </is>
      </c>
    </row>
    <row r="7284">
      <c r="A7284" t="inlineStr">
        <is>
          <t>Aceites, Vinos y Alcoholes, S.A. (AVIALSA),  Villarrobledo Albacete, Spain</t>
        </is>
      </c>
      <c r="B7284" t="inlineStr">
        <is>
          <t>Collecting Point, Processing Unit</t>
        </is>
      </c>
      <c r="C7284" t="inlineStr">
        <is>
          <t>Control Union Poland Sp. z o.o., Zielona Gora, PL</t>
        </is>
      </c>
      <c r="D7284" t="inlineStr">
        <is>
          <t>28.02.2027</t>
        </is>
      </c>
      <c r="E7284" t="inlineStr">
        <is>
          <t>Spain</t>
        </is>
      </c>
    </row>
    <row r="7285">
      <c r="A7285" t="inlineStr">
        <is>
          <t>Fongyuan Incorporation,  Changhua County, Taiwan (Province of China)</t>
        </is>
      </c>
      <c r="B7285" t="inlineStr">
        <is>
          <t>Collecting Point</t>
        </is>
      </c>
      <c r="C7285" t="inlineStr">
        <is>
          <t>RINA Services S.p.A., Genova, IT</t>
        </is>
      </c>
      <c r="D7285" t="inlineStr">
        <is>
          <t>28.02.2027</t>
        </is>
      </c>
      <c r="E7285" t="inlineStr">
        <is>
          <t>Taiwan (Province of China)</t>
        </is>
      </c>
    </row>
    <row r="7286">
      <c r="A7286" t="inlineStr">
        <is>
          <t>Jin Lin Oil Co., Ltd.,  Kaohsiung City, Taiwan (Province of China)</t>
        </is>
      </c>
      <c r="B7286" t="inlineStr">
        <is>
          <t>Collecting Point</t>
        </is>
      </c>
      <c r="C7286" t="inlineStr">
        <is>
          <t>RINA Services S.p.A., Genova, IT</t>
        </is>
      </c>
      <c r="D7286" t="inlineStr">
        <is>
          <t>28.02.2027</t>
        </is>
      </c>
      <c r="E7286" t="inlineStr">
        <is>
          <t>Taiwan (Province of China)</t>
        </is>
      </c>
    </row>
    <row r="7287">
      <c r="A7287" t="inlineStr">
        <is>
          <t>Chin Young Enterprise Co., Ltd.,  Kaohsiung City, Taiwan (Province of China)</t>
        </is>
      </c>
      <c r="B7287" t="inlineStr">
        <is>
          <t>Collecting Point</t>
        </is>
      </c>
      <c r="C7287" t="inlineStr">
        <is>
          <t>RINA Services S.p.A., Genova, IT</t>
        </is>
      </c>
      <c r="D7287" t="inlineStr">
        <is>
          <t>28.02.2027</t>
        </is>
      </c>
      <c r="E7287" t="inlineStr">
        <is>
          <t>Taiwan (Province of China)</t>
        </is>
      </c>
    </row>
    <row r="7288">
      <c r="A7288" t="inlineStr">
        <is>
          <t>Chin Young Enterprise Co., Ltd.,  Kaohsiung City, Taiwan (Province of China)</t>
        </is>
      </c>
      <c r="B7288" t="inlineStr">
        <is>
          <t>Collecting Point</t>
        </is>
      </c>
      <c r="C7288" t="inlineStr">
        <is>
          <t>RINA Services S.p.A., Genova, IT</t>
        </is>
      </c>
      <c r="D7288" t="inlineStr">
        <is>
          <t>28.02.2027</t>
        </is>
      </c>
      <c r="E7288" t="inlineStr">
        <is>
          <t>Taiwan (Province of China)</t>
        </is>
      </c>
    </row>
    <row r="7289">
      <c r="A7289" t="inlineStr">
        <is>
          <t>Leiji Environmental Protection Co., Ltd.,  Yunlin County, Taiwan (Province of China)</t>
        </is>
      </c>
      <c r="B7289" t="inlineStr">
        <is>
          <t>Collecting Point</t>
        </is>
      </c>
      <c r="C7289" t="inlineStr">
        <is>
          <t>RINA Services S.p.A., Genova, IT</t>
        </is>
      </c>
      <c r="D7289" t="inlineStr">
        <is>
          <t>28.02.2027</t>
        </is>
      </c>
      <c r="E7289" t="inlineStr">
        <is>
          <t>Taiwan (Province of China)</t>
        </is>
      </c>
    </row>
    <row r="7290">
      <c r="A7290" t="inlineStr">
        <is>
          <t>BEI CHEN ENVIRONMENTAL ENTERPRISE CO.,  Taoyuan City, Taiwan, Province of China</t>
        </is>
      </c>
      <c r="B7290" t="inlineStr">
        <is>
          <t>Collecting Point</t>
        </is>
      </c>
      <c r="C7290" t="inlineStr">
        <is>
          <t>RINA Services S.p.A., Genova, IT</t>
        </is>
      </c>
      <c r="D7290" t="inlineStr">
        <is>
          <t>28.02.2027</t>
        </is>
      </c>
      <c r="E7290" t="inlineStr">
        <is>
          <t>Province of China</t>
        </is>
      </c>
    </row>
    <row r="7291">
      <c r="A7291" t="inlineStr">
        <is>
          <t>Biesterfeld Plastic Suisse,  Liestal, Switzerland</t>
        </is>
      </c>
      <c r="B7291" t="inlineStr">
        <is>
          <t>Trader with Storage</t>
        </is>
      </c>
      <c r="C7291" t="inlineStr">
        <is>
          <t>GUT Certifizierungsgesellschaft für Managementsysteme mbH Umweltgutachter, Berlin, DE</t>
        </is>
      </c>
      <c r="D7291" t="inlineStr">
        <is>
          <t>28.02.2027</t>
        </is>
      </c>
      <c r="E7291" t="inlineStr">
        <is>
          <t>Switzerland</t>
        </is>
      </c>
    </row>
    <row r="7292">
      <c r="A7292" t="inlineStr">
        <is>
          <t>Kanadevia Inova Biogas Cothen B.V.,  Cothen, Netherlands</t>
        </is>
      </c>
      <c r="B7292" t="inlineStr">
        <is>
          <t>Processing Unit</t>
        </is>
      </c>
      <c r="C7292" t="inlineStr">
        <is>
          <t>Normec QS BV, Ede, NL</t>
        </is>
      </c>
      <c r="D7292" t="inlineStr">
        <is>
          <t>28.02.2027</t>
        </is>
      </c>
      <c r="E7292" t="inlineStr">
        <is>
          <t>Netherlands</t>
        </is>
      </c>
    </row>
    <row r="7293">
      <c r="A7293" t="inlineStr">
        <is>
          <t>Tianjin Stolthaven Lingang Terminal Company,  Tianjin, China</t>
        </is>
      </c>
      <c r="B7293" t="inlineStr">
        <is>
          <t>Warehouse</t>
        </is>
      </c>
      <c r="C7293" t="inlineStr">
        <is>
          <t>SGS Germany GmbH, Emstek, DE</t>
        </is>
      </c>
      <c r="D7293" t="inlineStr">
        <is>
          <t>28.02.2027</t>
        </is>
      </c>
      <c r="E7293" t="inlineStr">
        <is>
          <t>China</t>
        </is>
      </c>
    </row>
    <row r="7294">
      <c r="A7294" t="inlineStr">
        <is>
          <t>HDC Hyundai Engineering Plastics Co., Ltd (Dangjin Plant),  Dangjin, Chungcheongnam-do, Korea, Republic of</t>
        </is>
      </c>
      <c r="B7294" t="inlineStr">
        <is>
          <t>Processing Unit, Trader</t>
        </is>
      </c>
      <c r="C7294" t="inlineStr">
        <is>
          <t>Control Union Certifications Germany GmbH, Berlin, DE</t>
        </is>
      </c>
      <c r="D7294" t="inlineStr">
        <is>
          <t>28.02.2027</t>
        </is>
      </c>
      <c r="E7294" t="inlineStr">
        <is>
          <t>Republic of</t>
        </is>
      </c>
    </row>
    <row r="7295">
      <c r="A7295" t="inlineStr">
        <is>
          <t>AquaMinerals B.V.,  Nieuwegein, Netherlands</t>
        </is>
      </c>
      <c r="B7295" t="inlineStr">
        <is>
          <t>Trader</t>
        </is>
      </c>
      <c r="C7295" t="inlineStr">
        <is>
          <t>DEKRA Certification B.V., Arnhem, NL</t>
        </is>
      </c>
      <c r="D7295" t="inlineStr">
        <is>
          <t>27.02.2027</t>
        </is>
      </c>
      <c r="E7295" t="inlineStr">
        <is>
          <t>Netherlands</t>
        </is>
      </c>
    </row>
    <row r="7296">
      <c r="A7296" t="inlineStr">
        <is>
          <t>Zhangzhou Haiyi Energy Chemical Co., Ltd,  Zhangpu County,Fujian Province, China</t>
        </is>
      </c>
      <c r="B7296" t="inlineStr">
        <is>
          <t>Processing Unit, Trader with Storage</t>
        </is>
      </c>
      <c r="C7296" t="inlineStr">
        <is>
          <t>RINA Services S.p.A., Genova, IT</t>
        </is>
      </c>
      <c r="D7296" t="inlineStr">
        <is>
          <t>27.02.2027</t>
        </is>
      </c>
      <c r="E7296" t="inlineStr">
        <is>
          <t>China</t>
        </is>
      </c>
    </row>
    <row r="7297">
      <c r="A7297" t="inlineStr">
        <is>
          <t>Triacastelo, S.L.,  Maqueda, Spain</t>
        </is>
      </c>
      <c r="B7297" t="inlineStr">
        <is>
          <t>Point of Origin</t>
        </is>
      </c>
      <c r="C7297" t="inlineStr">
        <is>
          <t>Certificadora Gallega del Noroeste SL, Vilagarcia de Arousa-Pontevedra, ES</t>
        </is>
      </c>
      <c r="D7297" t="inlineStr">
        <is>
          <t>27.02.2027</t>
        </is>
      </c>
      <c r="E7297" t="inlineStr">
        <is>
          <t>Spain</t>
        </is>
      </c>
    </row>
    <row r="7298">
      <c r="A7298" t="inlineStr">
        <is>
          <t>Nupi Industrie Italiane,  Busto Arsizio, Italy</t>
        </is>
      </c>
      <c r="B7298" t="inlineStr">
        <is>
          <t>Processing Unit</t>
        </is>
      </c>
      <c r="C7298" t="inlineStr">
        <is>
          <t>RINA Services S.p.A., Genova, IT</t>
        </is>
      </c>
      <c r="D7298" t="inlineStr">
        <is>
          <t>27.02.2027</t>
        </is>
      </c>
      <c r="E7298" t="inlineStr">
        <is>
          <t>Italy</t>
        </is>
      </c>
    </row>
    <row r="7299">
      <c r="A7299" t="inlineStr">
        <is>
          <t>COMPAG MLADÁ BOLESLAV s.r.o.,  Mladá Boleslav, Czech Republic</t>
        </is>
      </c>
      <c r="B7299" t="inlineStr">
        <is>
          <t>Collecting Point, Processing Unit, Trader with Storage</t>
        </is>
      </c>
      <c r="C7299" t="inlineStr">
        <is>
          <t>TÜV SÜD Czech s.r.o., Praha 4, CZ</t>
        </is>
      </c>
      <c r="D7299" t="inlineStr">
        <is>
          <t>27.02.2027</t>
        </is>
      </c>
      <c r="E7299" t="inlineStr">
        <is>
          <t>Czech Republic</t>
        </is>
      </c>
    </row>
    <row r="7300">
      <c r="A7300" t="inlineStr">
        <is>
          <t>Oilux MENA LTD,  Nicosia, Cyprus</t>
        </is>
      </c>
      <c r="B7300" t="inlineStr">
        <is>
          <t>Trader</t>
        </is>
      </c>
      <c r="C7300" t="inlineStr">
        <is>
          <t>Eurocert SA, Metamorfosi, Athens, GR</t>
        </is>
      </c>
      <c r="D7300" t="inlineStr">
        <is>
          <t>27.02.2027</t>
        </is>
      </c>
      <c r="E7300" t="inlineStr">
        <is>
          <t>Cyprus</t>
        </is>
      </c>
    </row>
    <row r="7301">
      <c r="A7301" t="inlineStr">
        <is>
          <t>CAPP PLAST,  PRATO, Italy</t>
        </is>
      </c>
      <c r="B7301" t="inlineStr">
        <is>
          <t>Processing Unit</t>
        </is>
      </c>
      <c r="C7301" t="inlineStr">
        <is>
          <t>IIP S.r.l., Monza, IT</t>
        </is>
      </c>
      <c r="D7301" t="inlineStr">
        <is>
          <t>27.02.2027</t>
        </is>
      </c>
      <c r="E7301" t="inlineStr">
        <is>
          <t>Italy</t>
        </is>
      </c>
    </row>
    <row r="7302">
      <c r="A7302" t="inlineStr">
        <is>
          <t>Envalior Engineering Materials (Jiangsu) Co., Ltd,  Jiangyin, Jiangsu, China</t>
        </is>
      </c>
      <c r="B7302" t="inlineStr">
        <is>
          <t>Processing Unit, Trader with Storage</t>
        </is>
      </c>
      <c r="C7302" t="inlineStr">
        <is>
          <t>TÜV NORD CERT GmbH, Essen, DE</t>
        </is>
      </c>
      <c r="D7302" t="inlineStr">
        <is>
          <t>27.02.2027</t>
        </is>
      </c>
      <c r="E7302" t="inlineStr">
        <is>
          <t>China</t>
        </is>
      </c>
    </row>
    <row r="7303">
      <c r="A7303" t="inlineStr">
        <is>
          <t>Wave jeongeup,  Jeongeup-si, South Korea</t>
        </is>
      </c>
      <c r="B7303" t="inlineStr">
        <is>
          <t>Collecting Point, Processing Unit</t>
        </is>
      </c>
      <c r="C7303" t="inlineStr">
        <is>
          <t>Korean Foundation for Quality, Songpa-gu, Seoul, KR</t>
        </is>
      </c>
      <c r="D7303" t="inlineStr">
        <is>
          <t>27.02.2027</t>
        </is>
      </c>
      <c r="E7303" t="inlineStr">
        <is>
          <t>South Korea</t>
        </is>
      </c>
    </row>
    <row r="7304">
      <c r="A7304" t="inlineStr">
        <is>
          <t>Chengdu Hui Xiang Energy Co.,Ltd.,  Qionglai City, Chengdu, China</t>
        </is>
      </c>
      <c r="B7304" t="inlineStr">
        <is>
          <t>Collecting Point, Trader with Storage</t>
        </is>
      </c>
      <c r="C7304" t="inlineStr">
        <is>
          <t>RINA Services S.p.A., Genova, IT</t>
        </is>
      </c>
      <c r="D7304" t="inlineStr">
        <is>
          <t>27.02.2027</t>
        </is>
      </c>
      <c r="E7304" t="inlineStr">
        <is>
          <t>China</t>
        </is>
      </c>
    </row>
    <row r="7305">
      <c r="A7305" t="inlineStr">
        <is>
          <t>Samyang Kasei Corporation,  Jeonju-si, Korea, Republic of</t>
        </is>
      </c>
      <c r="B7305" t="inlineStr">
        <is>
          <t>Processing Unit</t>
        </is>
      </c>
      <c r="C7305" t="inlineStr">
        <is>
          <t>Control Union Certifications Germany GmbH, Berlin, DE</t>
        </is>
      </c>
      <c r="D7305" t="inlineStr">
        <is>
          <t>27.02.2027</t>
        </is>
      </c>
      <c r="E7305" t="inlineStr">
        <is>
          <t>Republic of</t>
        </is>
      </c>
    </row>
    <row r="7306">
      <c r="A7306" t="inlineStr">
        <is>
          <t>ZENCE MATERIAL MANUFACTURING (DONGGUAN）CO., LTD.,  Dalang Town, Dongguan City, Guangdong Province, China</t>
        </is>
      </c>
      <c r="B7306" t="inlineStr">
        <is>
          <t>Processing Unit</t>
        </is>
      </c>
      <c r="C7306" t="inlineStr">
        <is>
          <t>SCS Global Services, Emeryville, CA, US</t>
        </is>
      </c>
      <c r="D7306" t="inlineStr">
        <is>
          <t>27.02.2027</t>
        </is>
      </c>
      <c r="E7306" t="inlineStr">
        <is>
          <t>China</t>
        </is>
      </c>
    </row>
    <row r="7307">
      <c r="A7307" t="inlineStr">
        <is>
          <t>WM Renewable Energy,  Morrisville, United States</t>
        </is>
      </c>
      <c r="B7307" t="inlineStr">
        <is>
          <t>Collecting Point, Processing Unit</t>
        </is>
      </c>
      <c r="C7307" t="inlineStr">
        <is>
          <t>SCS Global Services, Emeryville, CA, US</t>
        </is>
      </c>
      <c r="D7307" t="inlineStr">
        <is>
          <t>27.02.2027</t>
        </is>
      </c>
      <c r="E7307" t="inlineStr">
        <is>
          <t>United States</t>
        </is>
      </c>
    </row>
    <row r="7308">
      <c r="A7308" t="inlineStr">
        <is>
          <t>WM Renewable Energy,  Morrisville, United States</t>
        </is>
      </c>
      <c r="B7308" t="inlineStr">
        <is>
          <t>Collecting Point, Processing Unit</t>
        </is>
      </c>
      <c r="C7308" t="inlineStr">
        <is>
          <t>SCS Global Services, Emeryville, CA, US</t>
        </is>
      </c>
      <c r="D7308" t="inlineStr">
        <is>
          <t>27.02.2027</t>
        </is>
      </c>
      <c r="E7308" t="inlineStr">
        <is>
          <t>United States</t>
        </is>
      </c>
    </row>
    <row r="7309">
      <c r="A7309" t="inlineStr">
        <is>
          <t>SCA Energy AB,  Sundsvall, Sweden</t>
        </is>
      </c>
      <c r="B7309" t="inlineStr">
        <is>
          <t>Trader</t>
        </is>
      </c>
      <c r="C7309" t="inlineStr">
        <is>
          <t>Bureau Veritas Polska Sp. z o.o., Warsaw, PL</t>
        </is>
      </c>
      <c r="D7309" t="inlineStr">
        <is>
          <t>27.02.2027</t>
        </is>
      </c>
      <c r="E7309" t="inlineStr">
        <is>
          <t>Sweden</t>
        </is>
      </c>
    </row>
    <row r="7310">
      <c r="A7310" t="inlineStr">
        <is>
          <t>SERVCOR LOGISTICS,  DOÑINOS DE SALAMANCA, Spain</t>
        </is>
      </c>
      <c r="B7310" t="inlineStr">
        <is>
          <t>Central Office (Group of Point of Origin), Point of Origin</t>
        </is>
      </c>
      <c r="C7310" t="inlineStr">
        <is>
          <t>Certificadora Gallega del Noroeste SL, Vilagarcia de Arousa-Pontevedra, ES</t>
        </is>
      </c>
      <c r="D7310" t="inlineStr">
        <is>
          <t>27.02.2027</t>
        </is>
      </c>
      <c r="E7310" t="inlineStr">
        <is>
          <t>Spain</t>
        </is>
      </c>
    </row>
    <row r="7311">
      <c r="A7311" t="inlineStr">
        <is>
          <t>GRUPO CORRAL RENDERING,  Doniños de Salamanca, Spain</t>
        </is>
      </c>
      <c r="B7311" t="inlineStr">
        <is>
          <t>Trader with Storage</t>
        </is>
      </c>
      <c r="C7311" t="inlineStr">
        <is>
          <t>Certificadora Gallega del Noroeste SL, Vilagarcia de Arousa-Pontevedra, ES</t>
        </is>
      </c>
      <c r="D7311" t="inlineStr">
        <is>
          <t>27.02.2027</t>
        </is>
      </c>
      <c r="E7311" t="inlineStr">
        <is>
          <t>Spain</t>
        </is>
      </c>
    </row>
    <row r="7312">
      <c r="A7312" t="inlineStr">
        <is>
          <t>Lantos Kft.,  Jászberény, Hungary</t>
        </is>
      </c>
      <c r="B7312" t="inlineStr">
        <is>
          <t>First Gathering Point, Trader with Storage</t>
        </is>
      </c>
      <c r="C7312" t="inlineStr">
        <is>
          <t>Certificadora Gallega del Noroeste SL, Vilagarcia de Arousa-Pontevedra, ES</t>
        </is>
      </c>
      <c r="D7312" t="inlineStr">
        <is>
          <t>27.02.2027</t>
        </is>
      </c>
      <c r="E7312" t="inlineStr">
        <is>
          <t>Hungary</t>
        </is>
      </c>
    </row>
    <row r="7313">
      <c r="A7313" t="inlineStr">
        <is>
          <t>Americas Styrenics (AmSty),  Marietta, United States</t>
        </is>
      </c>
      <c r="B7313" t="inlineStr">
        <is>
          <t>Collecting Point, Processing Unit</t>
        </is>
      </c>
      <c r="C7313" t="inlineStr">
        <is>
          <t>DQS CFS GmbH - Deutsche Gesellschaft für Nachhaltigkeit, Frankfurt am Main, DE</t>
        </is>
      </c>
      <c r="D7313" t="inlineStr">
        <is>
          <t>27.02.2027</t>
        </is>
      </c>
      <c r="E7313" t="inlineStr">
        <is>
          <t>United States</t>
        </is>
      </c>
    </row>
    <row r="7314">
      <c r="A7314" t="inlineStr">
        <is>
          <t>JOOWON TECH CO., LTD,  Gangseo-gu, Busan, Korea, Republic of</t>
        </is>
      </c>
      <c r="B7314" t="inlineStr">
        <is>
          <t>Processing Unit, Trader</t>
        </is>
      </c>
      <c r="C7314" t="inlineStr">
        <is>
          <t>Control Union Certifications Germany GmbH, Berlin, DE</t>
        </is>
      </c>
      <c r="D7314" t="inlineStr">
        <is>
          <t>27.02.2027</t>
        </is>
      </c>
      <c r="E7314" t="inlineStr">
        <is>
          <t>Republic of</t>
        </is>
      </c>
    </row>
    <row r="7315">
      <c r="A7315" t="inlineStr">
        <is>
          <t>Electroroute Energy Trading Limited,  London, United Kingdom</t>
        </is>
      </c>
      <c r="B7315" t="inlineStr">
        <is>
          <t>Trader</t>
        </is>
      </c>
      <c r="C7315" t="inlineStr">
        <is>
          <t>Double Helix Tracking Technologies Pte Ltd, Singapore, SG</t>
        </is>
      </c>
      <c r="D7315" t="inlineStr">
        <is>
          <t>27.02.2027</t>
        </is>
      </c>
      <c r="E7315" t="inlineStr">
        <is>
          <t>United Kingdom</t>
        </is>
      </c>
    </row>
    <row r="7316">
      <c r="A7316" t="inlineStr">
        <is>
          <t>TAN SON NHAT PETROL COMMERCIAL JOINT STOCK COMPANY,  Ho Chi Minh City, Vietnam</t>
        </is>
      </c>
      <c r="B7316" t="inlineStr">
        <is>
          <t>Trader with Storage</t>
        </is>
      </c>
      <c r="C7316" t="inlineStr">
        <is>
          <t>BM Certification, Riga, LV</t>
        </is>
      </c>
      <c r="D7316" t="inlineStr">
        <is>
          <t>27.02.2027</t>
        </is>
      </c>
      <c r="E7316" t="inlineStr">
        <is>
          <t>Vietnam</t>
        </is>
      </c>
    </row>
    <row r="7317">
      <c r="A7317" t="inlineStr">
        <is>
          <t>TAN SON NHAT PETROL COMMERCIAL JOINT STOCK COMPANY,  Ho Chi Minh City, Vietnam</t>
        </is>
      </c>
      <c r="B7317" t="inlineStr">
        <is>
          <t>Trader with Storage</t>
        </is>
      </c>
      <c r="C7317" t="inlineStr">
        <is>
          <t>BM Certification, Riga, LV</t>
        </is>
      </c>
      <c r="D7317" t="inlineStr">
        <is>
          <t>27.02.2027</t>
        </is>
      </c>
      <c r="E7317" t="inlineStr">
        <is>
          <t>Vietnam</t>
        </is>
      </c>
    </row>
    <row r="7318">
      <c r="A7318" t="inlineStr">
        <is>
          <t>TAN SON NHAT PETROL COMMERCIAL JOINT STOCK COMPANY,  Ho Chi Minh City, Vietnam</t>
        </is>
      </c>
      <c r="B7318" t="inlineStr">
        <is>
          <t>Trader with Storage</t>
        </is>
      </c>
      <c r="C7318" t="inlineStr">
        <is>
          <t>BM Certification, Riga, LV</t>
        </is>
      </c>
      <c r="D7318" t="inlineStr">
        <is>
          <t>27.02.2027</t>
        </is>
      </c>
      <c r="E7318" t="inlineStr">
        <is>
          <t>Vietnam</t>
        </is>
      </c>
    </row>
    <row r="7319">
      <c r="A7319" t="inlineStr">
        <is>
          <t>INTERCEREAL TRADING SRL,  Bucuresti, Sector 1, Romania</t>
        </is>
      </c>
      <c r="B7319" t="inlineStr">
        <is>
          <t>First Gathering Point, Trader with Storage</t>
        </is>
      </c>
      <c r="C7319" t="inlineStr">
        <is>
          <t>SGS Germany GmbH, Emstek, DE</t>
        </is>
      </c>
      <c r="D7319" t="inlineStr">
        <is>
          <t>27.02.2027</t>
        </is>
      </c>
      <c r="E7319" t="inlineStr">
        <is>
          <t>Romania</t>
        </is>
      </c>
    </row>
    <row r="7320">
      <c r="A7320" t="inlineStr">
        <is>
          <t>Atlas Roofing RWI Division,  Etobicoke, Canada</t>
        </is>
      </c>
      <c r="B7320" t="inlineStr">
        <is>
          <t>Processing Unit</t>
        </is>
      </c>
      <c r="C7320" t="inlineStr">
        <is>
          <t>SCS Global Services, Emeryville, CA, US</t>
        </is>
      </c>
      <c r="D7320" t="inlineStr">
        <is>
          <t>27.02.2027</t>
        </is>
      </c>
      <c r="E7320" t="inlineStr">
        <is>
          <t>Canada</t>
        </is>
      </c>
    </row>
    <row r="7321">
      <c r="A7321" t="inlineStr">
        <is>
          <t>Kraiburg Austria GmbH &amp; Co KG,  Geretsberg, Austria</t>
        </is>
      </c>
      <c r="B7321" t="inlineStr">
        <is>
          <t>Processing Unit</t>
        </is>
      </c>
      <c r="C7321" t="inlineStr">
        <is>
          <t>GUT Certifizierungsgesellschaft für Managementsysteme mbH Umweltgutachter, Berlin, DE</t>
        </is>
      </c>
      <c r="D7321" t="inlineStr">
        <is>
          <t>27.02.2027</t>
        </is>
      </c>
      <c r="E7321" t="inlineStr">
        <is>
          <t>Austria</t>
        </is>
      </c>
    </row>
    <row r="7322">
      <c r="A7322" t="inlineStr">
        <is>
          <t>Kolb Distribution Ltd.,  RT Klundert, Netherlands</t>
        </is>
      </c>
      <c r="B7322" t="inlineStr">
        <is>
          <t>Processing Unit</t>
        </is>
      </c>
      <c r="C7322" t="inlineStr">
        <is>
          <t>SGS Germany GmbH, Emstek, DE</t>
        </is>
      </c>
      <c r="D7322" t="inlineStr">
        <is>
          <t>27.02.2027</t>
        </is>
      </c>
      <c r="E7322" t="inlineStr">
        <is>
          <t>Netherlands</t>
        </is>
      </c>
    </row>
    <row r="7323">
      <c r="A7323" t="inlineStr">
        <is>
          <t>Prime Polymer Co., Ltd. Anesaki Works,  Ichihara-shi, Chiba, Japan</t>
        </is>
      </c>
      <c r="B7323" t="inlineStr">
        <is>
          <t>Processing Unit</t>
        </is>
      </c>
      <c r="C7323" t="inlineStr">
        <is>
          <t>SGS Germany GmbH, Emstek, DE</t>
        </is>
      </c>
      <c r="D7323" t="inlineStr">
        <is>
          <t>27.02.2027</t>
        </is>
      </c>
      <c r="E7323" t="inlineStr">
        <is>
          <t>Japan</t>
        </is>
      </c>
    </row>
    <row r="7324">
      <c r="A7324" t="inlineStr">
        <is>
          <t>Phibro rCB,  Alvin, United States</t>
        </is>
      </c>
      <c r="B7324" t="inlineStr">
        <is>
          <t>Processing Unit</t>
        </is>
      </c>
      <c r="C7324" t="inlineStr">
        <is>
          <t>SCS Global Services, Emeryville, CA, US</t>
        </is>
      </c>
      <c r="D7324" t="inlineStr">
        <is>
          <t>27.02.2027</t>
        </is>
      </c>
      <c r="E7324" t="inlineStr">
        <is>
          <t>United States</t>
        </is>
      </c>
    </row>
    <row r="7325">
      <c r="A7325" t="inlineStr">
        <is>
          <t>Oil Refineries,  Haifa, Israel</t>
        </is>
      </c>
      <c r="B7325" t="inlineStr">
        <is>
          <t>Processing Unit</t>
        </is>
      </c>
      <c r="C7325" t="inlineStr">
        <is>
          <t>Control Union Certifications Germany GmbH, Berlin, DE</t>
        </is>
      </c>
      <c r="D7325" t="inlineStr">
        <is>
          <t>26.02.2027</t>
        </is>
      </c>
      <c r="E7325" t="inlineStr">
        <is>
          <t>Israel</t>
        </is>
      </c>
    </row>
    <row r="7326">
      <c r="A7326" t="inlineStr">
        <is>
          <t>KOROZO AMBALAJ SAN. VE TİC. A.Ş.,  KIRAÇ ESENYURT ISTANBUL, Turkey</t>
        </is>
      </c>
      <c r="B7326" t="inlineStr">
        <is>
          <t>Processing Unit</t>
        </is>
      </c>
      <c r="C7326" t="inlineStr">
        <is>
          <t>RINA Services S.p.A., Genova, IT</t>
        </is>
      </c>
      <c r="D7326" t="inlineStr">
        <is>
          <t>26.02.2027</t>
        </is>
      </c>
      <c r="E7326" t="inlineStr">
        <is>
          <t>Turkey</t>
        </is>
      </c>
    </row>
    <row r="7327">
      <c r="A7327" t="inlineStr">
        <is>
          <t>HELIOS,  Périers, France</t>
        </is>
      </c>
      <c r="B7327" t="inlineStr">
        <is>
          <t>Final Product Refinement, Processing Unit</t>
        </is>
      </c>
      <c r="C7327" t="inlineStr">
        <is>
          <t>Bureau Veritas Polska Sp. z o.o., Warsaw, PL</t>
        </is>
      </c>
      <c r="D7327" t="inlineStr">
        <is>
          <t>26.02.2027</t>
        </is>
      </c>
      <c r="E7327" t="inlineStr">
        <is>
          <t>France</t>
        </is>
      </c>
    </row>
    <row r="7328">
      <c r="A7328" t="inlineStr">
        <is>
          <t>Logoplaste Consultores Técnicos España S.L.,  Marchamalo, Polígono Industrial del Henares, Spain</t>
        </is>
      </c>
      <c r="B7328" t="inlineStr">
        <is>
          <t>Processing Unit, Trader with Storage</t>
        </is>
      </c>
      <c r="C7328" t="inlineStr">
        <is>
          <t>SGS Germany GmbH, Emstek, DE</t>
        </is>
      </c>
      <c r="D7328" t="inlineStr">
        <is>
          <t>26.02.2027</t>
        </is>
      </c>
      <c r="E7328" t="inlineStr">
        <is>
          <t>Spain</t>
        </is>
      </c>
    </row>
    <row r="7329">
      <c r="A7329" t="inlineStr">
        <is>
          <t>Cytec Engineered Materials,  Heanor, United Kingdom</t>
        </is>
      </c>
      <c r="B7329" t="inlineStr">
        <is>
          <t>Processing Unit</t>
        </is>
      </c>
      <c r="C7329" t="inlineStr">
        <is>
          <t>Aardvark Certification Ltd, Wiveliscombe, Somerset, GB</t>
        </is>
      </c>
      <c r="D7329" t="inlineStr">
        <is>
          <t>26.02.2027</t>
        </is>
      </c>
      <c r="E7329" t="inlineStr">
        <is>
          <t>United Kingdom</t>
        </is>
      </c>
    </row>
    <row r="7330">
      <c r="A7330" t="inlineStr">
        <is>
          <t>Hernández Bello S.L.,  Santa Cruz de Tenerife, Spain</t>
        </is>
      </c>
      <c r="B7330" t="inlineStr">
        <is>
          <t>Collecting Point</t>
        </is>
      </c>
      <c r="C7330" t="inlineStr">
        <is>
          <t>RINA Services S.p.A., Genova, IT</t>
        </is>
      </c>
      <c r="D7330" t="inlineStr">
        <is>
          <t>26.02.2027</t>
        </is>
      </c>
      <c r="E7330" t="inlineStr">
        <is>
          <t>Spain</t>
        </is>
      </c>
    </row>
    <row r="7331">
      <c r="A7331" t="inlineStr">
        <is>
          <t>Carmel Olefins ltd.,  Haifa, Israel</t>
        </is>
      </c>
      <c r="B7331" t="inlineStr">
        <is>
          <t>Processing Unit</t>
        </is>
      </c>
      <c r="C7331" t="inlineStr">
        <is>
          <t>Control Union Certifications Germany GmbH, Berlin, DE</t>
        </is>
      </c>
      <c r="D7331" t="inlineStr">
        <is>
          <t>26.02.2027</t>
        </is>
      </c>
      <c r="E7331" t="inlineStr">
        <is>
          <t>Israel</t>
        </is>
      </c>
    </row>
    <row r="7332">
      <c r="A7332" t="inlineStr">
        <is>
          <t>CVFuel S.à r.l.,  SANDWEILER, Luxembourg</t>
        </is>
      </c>
      <c r="B7332" t="inlineStr">
        <is>
          <t>Trader with Storage, Proof of Compliance Trader</t>
        </is>
      </c>
      <c r="C7332" t="inlineStr">
        <is>
          <t>SGS Germany GmbH, Emstek, DE</t>
        </is>
      </c>
      <c r="D7332" t="inlineStr">
        <is>
          <t>26.02.2027</t>
        </is>
      </c>
      <c r="E7332" t="inlineStr">
        <is>
          <t>Luxembourg</t>
        </is>
      </c>
    </row>
    <row r="7333">
      <c r="A7333" t="inlineStr">
        <is>
          <t>HUMATY TRADE GROUP,  Ostrov, Czech Republic</t>
        </is>
      </c>
      <c r="B7333" t="inlineStr">
        <is>
          <t>First Gathering Point, Trader</t>
        </is>
      </c>
      <c r="C7333" t="inlineStr">
        <is>
          <t>Bureau Veritas Polska Sp. z o.o., Warsaw, PL</t>
        </is>
      </c>
      <c r="D7333" t="inlineStr">
        <is>
          <t>26.02.2027</t>
        </is>
      </c>
      <c r="E7333" t="inlineStr">
        <is>
          <t>Czech Republic</t>
        </is>
      </c>
    </row>
    <row r="7334">
      <c r="A7334" t="inlineStr">
        <is>
          <t>PT. JAYA BERSINAR SEJAHTERA,  Riau, Indonesia</t>
        </is>
      </c>
      <c r="B7334" t="inlineStr">
        <is>
          <t>Point of Origin</t>
        </is>
      </c>
      <c r="C7334" t="inlineStr">
        <is>
          <t>PT Mutuagung Lestari, Depok, ID</t>
        </is>
      </c>
      <c r="D7334" t="inlineStr">
        <is>
          <t>26.02.2027</t>
        </is>
      </c>
      <c r="E7334" t="inlineStr">
        <is>
          <t>Indonesia</t>
        </is>
      </c>
    </row>
    <row r="7335">
      <c r="A7335" t="inlineStr">
        <is>
          <t>Tauber Oil Company,  Houston, TX, United States</t>
        </is>
      </c>
      <c r="B7335" t="inlineStr">
        <is>
          <t>Trader</t>
        </is>
      </c>
      <c r="C7335" t="inlineStr">
        <is>
          <t>SCS Global Services, Emeryville, CA, US</t>
        </is>
      </c>
      <c r="D7335" t="inlineStr">
        <is>
          <t>26.02.2027</t>
        </is>
      </c>
      <c r="E7335" t="inlineStr">
        <is>
          <t>United States</t>
        </is>
      </c>
    </row>
    <row r="7336">
      <c r="A7336" t="inlineStr">
        <is>
          <t>ENCORN TRADE Kft.,  Dunaújváros, Hungary</t>
        </is>
      </c>
      <c r="B7336" t="inlineStr">
        <is>
          <t>First Gathering Point, Trader with Storage</t>
        </is>
      </c>
      <c r="C7336" t="inlineStr">
        <is>
          <t>Certificadora Gallega del Noroeste SL, Vilagarcia de Arousa-Pontevedra, ES</t>
        </is>
      </c>
      <c r="D7336" t="inlineStr">
        <is>
          <t>26.02.2027</t>
        </is>
      </c>
      <c r="E7336" t="inlineStr">
        <is>
          <t>Hungary</t>
        </is>
      </c>
    </row>
    <row r="7337">
      <c r="A7337" t="inlineStr">
        <is>
          <t>SHENZHEN HGM GLASSES MANUFACTURE CO., LTD,  Shenzhen City, Guangdong Province, China</t>
        </is>
      </c>
      <c r="B7337" t="inlineStr">
        <is>
          <t>Processing Unit</t>
        </is>
      </c>
      <c r="C7337" t="inlineStr">
        <is>
          <t>SCS Global Services, Emeryville, CA, US</t>
        </is>
      </c>
      <c r="D7337" t="inlineStr">
        <is>
          <t>26.02.2027</t>
        </is>
      </c>
      <c r="E7337" t="inlineStr">
        <is>
          <t>China</t>
        </is>
      </c>
    </row>
    <row r="7338">
      <c r="A7338" t="inlineStr">
        <is>
          <t>B.V. Esbro,  Wehl, Netherlands</t>
        </is>
      </c>
      <c r="B7338" t="inlineStr">
        <is>
          <t>Point of Origin, Processing Unit</t>
        </is>
      </c>
      <c r="C7338" t="inlineStr">
        <is>
          <t>GUT Certifizierungsgesellschaft für Managementsysteme mbH Umweltgutachter, Berlin, DE</t>
        </is>
      </c>
      <c r="D7338" t="inlineStr">
        <is>
          <t>26.02.2027</t>
        </is>
      </c>
      <c r="E7338" t="inlineStr">
        <is>
          <t>Netherlands</t>
        </is>
      </c>
    </row>
    <row r="7339">
      <c r="A7339" t="inlineStr">
        <is>
          <t>MG Fuel Solutions, Sdn. Bhd.,  Klang, Selangor, Malaysia</t>
        </is>
      </c>
      <c r="B7339" t="inlineStr">
        <is>
          <t>Collecting Point, Trader with Storage</t>
        </is>
      </c>
      <c r="C7339" t="inlineStr">
        <is>
          <t>SCS Global Services, Emeryville, CA, US</t>
        </is>
      </c>
      <c r="D7339" t="inlineStr">
        <is>
          <t>26.02.2027</t>
        </is>
      </c>
      <c r="E7339" t="inlineStr">
        <is>
          <t>Malaysia</t>
        </is>
      </c>
    </row>
    <row r="7340">
      <c r="A7340" t="inlineStr">
        <is>
          <t>Hyosung Japan Co., Ltd.,  Tokyo, Japan</t>
        </is>
      </c>
      <c r="B7340" t="inlineStr">
        <is>
          <t>Trader with Storage</t>
        </is>
      </c>
      <c r="C7340" t="inlineStr">
        <is>
          <t>Control Union Certifications Germany GmbH, Berlin, DE</t>
        </is>
      </c>
      <c r="D7340" t="inlineStr">
        <is>
          <t>26.02.2027</t>
        </is>
      </c>
      <c r="E7340" t="inlineStr">
        <is>
          <t>Japan</t>
        </is>
      </c>
    </row>
    <row r="7341">
      <c r="A7341" t="inlineStr">
        <is>
          <t>Lubrizol Advanced Materials Europe BV,  Oevel, Belgium</t>
        </is>
      </c>
      <c r="B7341" t="inlineStr">
        <is>
          <t>Processing Unit</t>
        </is>
      </c>
      <c r="C7341" t="inlineStr">
        <is>
          <t>DIN CERTCO GmbH, Berlin, DE</t>
        </is>
      </c>
      <c r="D7341" t="inlineStr">
        <is>
          <t>26.02.2027</t>
        </is>
      </c>
      <c r="E7341" t="inlineStr">
        <is>
          <t>Belgium</t>
        </is>
      </c>
    </row>
    <row r="7342">
      <c r="A7342" t="inlineStr">
        <is>
          <t>MHService,  Deknepollen, Norway</t>
        </is>
      </c>
      <c r="B7342" t="inlineStr">
        <is>
          <t>Trader with Storage</t>
        </is>
      </c>
      <c r="C7342" t="inlineStr">
        <is>
          <t>ASG Cert GmbH, Munich, DE</t>
        </is>
      </c>
      <c r="D7342" t="inlineStr">
        <is>
          <t>26.02.2027</t>
        </is>
      </c>
      <c r="E7342" t="inlineStr">
        <is>
          <t>Norway</t>
        </is>
      </c>
    </row>
    <row r="7343">
      <c r="A7343" t="inlineStr">
        <is>
          <t>Targray Markets Europe SA,  Geneva, Switzerland</t>
        </is>
      </c>
      <c r="B7343" t="inlineStr">
        <is>
          <t>Trader</t>
        </is>
      </c>
      <c r="C7343" t="inlineStr">
        <is>
          <t>SGS Germany GmbH, Emstek, DE</t>
        </is>
      </c>
      <c r="D7343" t="inlineStr">
        <is>
          <t>26.02.2027</t>
        </is>
      </c>
      <c r="E7343" t="inlineStr">
        <is>
          <t>Switzerland</t>
        </is>
      </c>
    </row>
    <row r="7344">
      <c r="A7344" t="inlineStr">
        <is>
          <t>Targray Markets Europe SA,  Geneva, Switzerland</t>
        </is>
      </c>
      <c r="B7344" t="inlineStr">
        <is>
          <t>Trader</t>
        </is>
      </c>
      <c r="C7344" t="inlineStr">
        <is>
          <t>SGS Germany GmbH, Emstek, DE</t>
        </is>
      </c>
      <c r="D7344" t="inlineStr">
        <is>
          <t>26.02.2027</t>
        </is>
      </c>
      <c r="E7344" t="inlineStr">
        <is>
          <t>Switzerland</t>
        </is>
      </c>
    </row>
    <row r="7345">
      <c r="A7345" t="inlineStr">
        <is>
          <t>Targray Markets Europe SA,  Geneva, Switzerland</t>
        </is>
      </c>
      <c r="B7345" t="inlineStr">
        <is>
          <t>Trader</t>
        </is>
      </c>
      <c r="C7345" t="inlineStr">
        <is>
          <t>SGS Germany GmbH, Emstek, DE</t>
        </is>
      </c>
      <c r="D7345" t="inlineStr">
        <is>
          <t>26.02.2027</t>
        </is>
      </c>
      <c r="E7345" t="inlineStr">
        <is>
          <t>Switzerland</t>
        </is>
      </c>
    </row>
    <row r="7346">
      <c r="A7346" t="inlineStr">
        <is>
          <t>Amcor Flexibles España,  Logroño, La Rioja, Spain</t>
        </is>
      </c>
      <c r="B7346" t="inlineStr">
        <is>
          <t>Processing Unit</t>
        </is>
      </c>
      <c r="C7346" t="inlineStr">
        <is>
          <t>SGS Germany GmbH, Emstek, DE</t>
        </is>
      </c>
      <c r="D7346" t="inlineStr">
        <is>
          <t>26.02.2027</t>
        </is>
      </c>
      <c r="E7346" t="inlineStr">
        <is>
          <t>Spain</t>
        </is>
      </c>
    </row>
    <row r="7347">
      <c r="A7347" t="inlineStr">
        <is>
          <t>CBC Co., Ltd.,  Chuo-ku, Osaka, Japan</t>
        </is>
      </c>
      <c r="B7347" t="inlineStr">
        <is>
          <t>Trader</t>
        </is>
      </c>
      <c r="C7347" t="inlineStr">
        <is>
          <t>SGS Germany GmbH, Emstek, DE</t>
        </is>
      </c>
      <c r="D7347" t="inlineStr">
        <is>
          <t>26.02.2027</t>
        </is>
      </c>
      <c r="E7347" t="inlineStr">
        <is>
          <t>Japan</t>
        </is>
      </c>
    </row>
    <row r="7348">
      <c r="A7348" t="inlineStr">
        <is>
          <t>Valency International Pte Ltd,  Internatinal Plaza, Singapore</t>
        </is>
      </c>
      <c r="B7348" t="inlineStr">
        <is>
          <t>Trader</t>
        </is>
      </c>
      <c r="C7348" t="inlineStr">
        <is>
          <t>Alcumus ISOQAR Ltd, Stretford, Manchester, GB</t>
        </is>
      </c>
      <c r="D7348" t="inlineStr">
        <is>
          <t>26.02.2027</t>
        </is>
      </c>
      <c r="E7348" t="inlineStr">
        <is>
          <t>Singapore</t>
        </is>
      </c>
    </row>
    <row r="7349">
      <c r="A7349" t="inlineStr">
        <is>
          <t>7seas BV, Rotterdam, Geneva Branch,  Geneva, Switzerland</t>
        </is>
      </c>
      <c r="B7349" t="inlineStr">
        <is>
          <t>Trader</t>
        </is>
      </c>
      <c r="C7349" t="inlineStr">
        <is>
          <t>Certificadora Gallega del Noroeste SL, Vilagarcia de Arousa-Pontevedra, ES</t>
        </is>
      </c>
      <c r="D7349" t="inlineStr">
        <is>
          <t>26.02.2027</t>
        </is>
      </c>
      <c r="E7349" t="inlineStr">
        <is>
          <t>Switzerland</t>
        </is>
      </c>
    </row>
    <row r="7350">
      <c r="A7350" t="inlineStr">
        <is>
          <t>Domenico De Lucia,  San Felice a Cancello (CE), Italy</t>
        </is>
      </c>
      <c r="B7350" t="inlineStr">
        <is>
          <t>Final Product Refinement, Processing Unit</t>
        </is>
      </c>
      <c r="C7350" t="inlineStr">
        <is>
          <t>SGS Germany GmbH, Emstek, DE</t>
        </is>
      </c>
      <c r="D7350" t="inlineStr">
        <is>
          <t>26.02.2027</t>
        </is>
      </c>
      <c r="E7350" t="inlineStr">
        <is>
          <t>Italy</t>
        </is>
      </c>
    </row>
    <row r="7351">
      <c r="A7351" t="inlineStr">
        <is>
          <t>ECO SAI GON ENERGY COMPANY LIMITED,  HO CHI MINH CITY, Vietnam</t>
        </is>
      </c>
      <c r="B7351" t="inlineStr">
        <is>
          <t>Collecting Point, Trader with Storage</t>
        </is>
      </c>
      <c r="C7351" t="inlineStr">
        <is>
          <t>BM Certification, Riga, LV</t>
        </is>
      </c>
      <c r="D7351" t="inlineStr">
        <is>
          <t>26.02.2027</t>
        </is>
      </c>
      <c r="E7351" t="inlineStr">
        <is>
          <t>Vietnam</t>
        </is>
      </c>
    </row>
    <row r="7352">
      <c r="A7352" t="inlineStr">
        <is>
          <t>EXCELLENCE NEW ENERGY (THAILAND) CO., LTD.,  Bang Phli District, Samut Prakan Province, Thailand</t>
        </is>
      </c>
      <c r="B7352" t="inlineStr">
        <is>
          <t>Collecting Point, Trader with Storage</t>
        </is>
      </c>
      <c r="C7352" t="inlineStr">
        <is>
          <t>SGS Germany GmbH, Emstek, DE</t>
        </is>
      </c>
      <c r="D7352" t="inlineStr">
        <is>
          <t>26.02.2027</t>
        </is>
      </c>
      <c r="E7352" t="inlineStr">
        <is>
          <t>Thailand</t>
        </is>
      </c>
    </row>
    <row r="7353">
      <c r="A7353" t="inlineStr">
        <is>
          <t>Bemis Packaging Mexico,  Tlaquepaque, Mexico</t>
        </is>
      </c>
      <c r="B7353" t="inlineStr">
        <is>
          <t>Processing Unit</t>
        </is>
      </c>
      <c r="C7353" t="inlineStr">
        <is>
          <t>Control Union Poland Sp. z o.o., Zielona Gora, PL</t>
        </is>
      </c>
      <c r="D7353" t="inlineStr">
        <is>
          <t>26.02.2027</t>
        </is>
      </c>
      <c r="E7353" t="inlineStr">
        <is>
          <t>Mexico</t>
        </is>
      </c>
    </row>
    <row r="7354">
      <c r="A7354" t="inlineStr">
        <is>
          <t>Polifilm Osterburken GmbH,  Osterburken, Germany</t>
        </is>
      </c>
      <c r="B7354" t="inlineStr">
        <is>
          <t>Processing Unit</t>
        </is>
      </c>
      <c r="C7354" t="inlineStr">
        <is>
          <t>SGS Germany GmbH, Emstek, DE</t>
        </is>
      </c>
      <c r="D7354" t="inlineStr">
        <is>
          <t>26.02.2027</t>
        </is>
      </c>
      <c r="E7354" t="inlineStr">
        <is>
          <t>Germany</t>
        </is>
      </c>
    </row>
    <row r="7355">
      <c r="A7355" t="inlineStr">
        <is>
          <t>AIR LIQUIDE INDUSTRIES BELGIUM S.A.,  Zaventem, Belgium</t>
        </is>
      </c>
      <c r="B7355" t="inlineStr">
        <is>
          <t>Trader</t>
        </is>
      </c>
      <c r="C7355" t="inlineStr">
        <is>
          <t>ASG Cert GmbH, Munich, DE</t>
        </is>
      </c>
      <c r="D7355" t="inlineStr">
        <is>
          <t>26.02.2027</t>
        </is>
      </c>
      <c r="E7355" t="inlineStr">
        <is>
          <t>Belgium</t>
        </is>
      </c>
    </row>
    <row r="7356">
      <c r="A7356" t="inlineStr">
        <is>
          <t>ERDETEK,  OPOLE, Poland</t>
        </is>
      </c>
      <c r="B7356" t="inlineStr">
        <is>
          <t>Trader</t>
        </is>
      </c>
      <c r="C7356" t="inlineStr">
        <is>
          <t>Control Union Poland Sp. z o.o., Zielona Gora, PL</t>
        </is>
      </c>
      <c r="D7356" t="inlineStr">
        <is>
          <t>26.02.2027</t>
        </is>
      </c>
      <c r="E7356" t="inlineStr">
        <is>
          <t>Poland</t>
        </is>
      </c>
    </row>
    <row r="7357">
      <c r="A7357" t="inlineStr">
        <is>
          <t>ADM International Sàrl,  Bucharest, Romania</t>
        </is>
      </c>
      <c r="B7357" t="inlineStr">
        <is>
          <t>First Gathering Point, Trader with Storage</t>
        </is>
      </c>
      <c r="C7357" t="inlineStr">
        <is>
          <t>ASG Cert GmbH, Munich, DE</t>
        </is>
      </c>
      <c r="D7357" t="inlineStr">
        <is>
          <t>26.02.2027</t>
        </is>
      </c>
      <c r="E7357" t="inlineStr">
        <is>
          <t>Romania</t>
        </is>
      </c>
    </row>
    <row r="7358">
      <c r="A7358" t="inlineStr">
        <is>
          <t>BP (China) HOLDINGS Limited,  Shanghai, China</t>
        </is>
      </c>
      <c r="B7358" t="inlineStr">
        <is>
          <t>Trader</t>
        </is>
      </c>
      <c r="C7358" t="inlineStr">
        <is>
          <t>TÜV NORD CERT GmbH, Essen, DE</t>
        </is>
      </c>
      <c r="D7358" t="inlineStr">
        <is>
          <t>26.02.2027</t>
        </is>
      </c>
      <c r="E7358" t="inlineStr">
        <is>
          <t>China</t>
        </is>
      </c>
    </row>
    <row r="7359">
      <c r="A7359" t="inlineStr">
        <is>
          <t>BIOFUEL COMPANY LTD,  JUBAIL, Saudi Arabia</t>
        </is>
      </c>
      <c r="B7359" t="inlineStr">
        <is>
          <t>Collecting Point, Processing Unit</t>
        </is>
      </c>
      <c r="C7359" t="inlineStr">
        <is>
          <t>Trans Certification and Inspection Sdn Bhd, Kuantan, MY</t>
        </is>
      </c>
      <c r="D7359" t="inlineStr">
        <is>
          <t>26.02.2027</t>
        </is>
      </c>
      <c r="E7359" t="inlineStr">
        <is>
          <t>Saudi Arabia</t>
        </is>
      </c>
    </row>
    <row r="7360">
      <c r="A7360" t="inlineStr">
        <is>
          <t>Excel Lubricants,  Kalamata, Greece</t>
        </is>
      </c>
      <c r="B7360" t="inlineStr">
        <is>
          <t>Trader with Storage</t>
        </is>
      </c>
      <c r="C7360" t="inlineStr">
        <is>
          <t>Eurocert SA, Metamorfosi, Athens, GR</t>
        </is>
      </c>
      <c r="D7360" t="inlineStr">
        <is>
          <t>26.02.2027</t>
        </is>
      </c>
      <c r="E7360" t="inlineStr">
        <is>
          <t>Greece</t>
        </is>
      </c>
    </row>
    <row r="7361">
      <c r="A7361" t="inlineStr">
        <is>
          <t>Ecovirea,  Barcelona, Spain</t>
        </is>
      </c>
      <c r="B7361" t="inlineStr">
        <is>
          <t>Trader with Storage</t>
        </is>
      </c>
      <c r="C7361" t="inlineStr">
        <is>
          <t>RINA Services S.p.A., Genova, IT</t>
        </is>
      </c>
      <c r="D7361" t="inlineStr">
        <is>
          <t>25.02.2027</t>
        </is>
      </c>
      <c r="E7361" t="inlineStr">
        <is>
          <t>Spain</t>
        </is>
      </c>
    </row>
    <row r="7362">
      <c r="A7362" t="inlineStr">
        <is>
          <t>Saubermacher Komunala Murska Sobota D.O.O.,  Murska Sobota, Slovenia</t>
        </is>
      </c>
      <c r="B7362" t="inlineStr">
        <is>
          <t>Collecting Point</t>
        </is>
      </c>
      <c r="C7362" t="inlineStr">
        <is>
          <t>Bureau Veritas Polska Sp. z o.o., Warsaw, PL</t>
        </is>
      </c>
      <c r="D7362" t="inlineStr">
        <is>
          <t>25.02.2027</t>
        </is>
      </c>
      <c r="E7362" t="inlineStr">
        <is>
          <t>Slovenia</t>
        </is>
      </c>
    </row>
    <row r="7363">
      <c r="A7363" t="inlineStr">
        <is>
          <t>AGRICOOP AGROMAR COOPERATIVA AGRICOLA,  FRUMOASA, Romania</t>
        </is>
      </c>
      <c r="B7363" t="inlineStr">
        <is>
          <t>First Gathering Point</t>
        </is>
      </c>
      <c r="C7363" t="inlineStr">
        <is>
          <t>SRAC Cert SRL, Bucharest, RO</t>
        </is>
      </c>
      <c r="D7363" t="inlineStr">
        <is>
          <t>25.02.2027</t>
        </is>
      </c>
      <c r="E7363" t="inlineStr">
        <is>
          <t>Romania</t>
        </is>
      </c>
    </row>
    <row r="7364">
      <c r="A7364" t="inlineStr">
        <is>
          <t>Duff Produkt DOO,  Simanovci, Serbia</t>
        </is>
      </c>
      <c r="B7364" t="inlineStr">
        <is>
          <t>Collecting Point, Trader with Storage</t>
        </is>
      </c>
      <c r="C7364" t="inlineStr">
        <is>
          <t>Bureau Veritas Polska Sp. z o.o., Warsaw, PL</t>
        </is>
      </c>
      <c r="D7364" t="inlineStr">
        <is>
          <t>25.02.2027</t>
        </is>
      </c>
      <c r="E7364" t="inlineStr">
        <is>
          <t>Serbia</t>
        </is>
      </c>
    </row>
    <row r="7365">
      <c r="A7365" t="inlineStr">
        <is>
          <t>Eurofat NV,  Moen, Belgium</t>
        </is>
      </c>
      <c r="B7365" t="inlineStr">
        <is>
          <t>Collecting Point, Trader with Storage</t>
        </is>
      </c>
      <c r="C7365" t="inlineStr">
        <is>
          <t>Control Union Certifications Germany GmbH, Berlin, DE</t>
        </is>
      </c>
      <c r="D7365" t="inlineStr">
        <is>
          <t>25.02.2027</t>
        </is>
      </c>
      <c r="E7365" t="inlineStr">
        <is>
          <t>Belgium</t>
        </is>
      </c>
    </row>
    <row r="7366">
      <c r="A7366" t="inlineStr">
        <is>
          <t>Agro Blatná a.s.,  Lnáře, Czech Republic, Czech Republic</t>
        </is>
      </c>
      <c r="B7366" t="inlineStr">
        <is>
          <t>First Gathering Point, Trader with Storage</t>
        </is>
      </c>
      <c r="C7366" t="inlineStr">
        <is>
          <t>Bureau Veritas Polska Sp. z o.o., Warsaw, PL</t>
        </is>
      </c>
      <c r="D7366" t="inlineStr">
        <is>
          <t>25.02.2027</t>
        </is>
      </c>
      <c r="E7366" t="inlineStr">
        <is>
          <t>Czech Republic</t>
        </is>
      </c>
    </row>
    <row r="7367">
      <c r="A7367" t="inlineStr">
        <is>
          <t>M11 ENERGY TRANSITION PRIVATE LIMITED,  NANDIKOORU VILLAGE, India</t>
        </is>
      </c>
      <c r="B7367" t="inlineStr">
        <is>
          <t>Collecting Point, Point of Origin, Processing Unit, Trader with Storage</t>
        </is>
      </c>
      <c r="C7367" t="inlineStr">
        <is>
          <t>PT Intertek Utama Services, Jakarta, ID</t>
        </is>
      </c>
      <c r="D7367" t="inlineStr">
        <is>
          <t>25.02.2027</t>
        </is>
      </c>
      <c r="E7367" t="inlineStr">
        <is>
          <t>India</t>
        </is>
      </c>
    </row>
    <row r="7368">
      <c r="A7368" t="inlineStr">
        <is>
          <t>BIOMETANO SB SRL,  RONCO ALL'ADIGE (VR), Italy</t>
        </is>
      </c>
      <c r="B7368" t="inlineStr">
        <is>
          <t>Collecting Point, Processing Unit</t>
        </is>
      </c>
      <c r="C7368" t="inlineStr">
        <is>
          <t>ICIM SpA, sesto san giovanni, IT</t>
        </is>
      </c>
      <c r="D7368" t="inlineStr">
        <is>
          <t>25.02.2027</t>
        </is>
      </c>
      <c r="E7368" t="inlineStr">
        <is>
          <t>Italy</t>
        </is>
      </c>
    </row>
    <row r="7369">
      <c r="A7369" t="inlineStr">
        <is>
          <t>M11 ENERGY TRANSITION PRIVATE LIMITED,  NANDIKOORU VILLAGE, India</t>
        </is>
      </c>
      <c r="B7369" t="inlineStr">
        <is>
          <t>Collecting Point, Trader with Storage, Processing Unit</t>
        </is>
      </c>
      <c r="C7369" t="inlineStr">
        <is>
          <t>PT Intertek Utama Services, Jakarta, ID</t>
        </is>
      </c>
      <c r="D7369" t="inlineStr">
        <is>
          <t>25.02.2027</t>
        </is>
      </c>
      <c r="E7369" t="inlineStr">
        <is>
          <t>India</t>
        </is>
      </c>
    </row>
    <row r="7370">
      <c r="A7370" t="inlineStr">
        <is>
          <t>DAŇHEL AGRO a.s.,  Tyn nad Vltavou, Czech Republic</t>
        </is>
      </c>
      <c r="B7370" t="inlineStr">
        <is>
          <t>First Gathering Point, Trader with Storage</t>
        </is>
      </c>
      <c r="C7370" t="inlineStr">
        <is>
          <t>TÜV SÜD Czech s.r.o., Praha 4, CZ</t>
        </is>
      </c>
      <c r="D7370" t="inlineStr">
        <is>
          <t>25.02.2027</t>
        </is>
      </c>
      <c r="E7370" t="inlineStr">
        <is>
          <t>Czech Republic</t>
        </is>
      </c>
    </row>
    <row r="7371">
      <c r="A7371" t="inlineStr">
        <is>
          <t>Permata Timur Lestari,  Seruyan, Kalimantan Tengah, Indonesia</t>
        </is>
      </c>
      <c r="B7371" t="inlineStr">
        <is>
          <t>Point of Origin</t>
        </is>
      </c>
      <c r="C7371" t="inlineStr">
        <is>
          <t>PT. Qualitas Sertifikasi Indonesia, Jakarta, ID</t>
        </is>
      </c>
      <c r="D7371" t="inlineStr">
        <is>
          <t>25.02.2027</t>
        </is>
      </c>
      <c r="E7371" t="inlineStr">
        <is>
          <t>Indonesia</t>
        </is>
      </c>
    </row>
    <row r="7372">
      <c r="A7372" t="inlineStr">
        <is>
          <t>Walki GmbH,  Steinfurt, Germany</t>
        </is>
      </c>
      <c r="B7372" t="inlineStr">
        <is>
          <t>Processing Unit</t>
        </is>
      </c>
      <c r="C7372" t="inlineStr">
        <is>
          <t>SGS Germany GmbH, Emstek, DE</t>
        </is>
      </c>
      <c r="D7372" t="inlineStr">
        <is>
          <t>25.02.2027</t>
        </is>
      </c>
      <c r="E7372" t="inlineStr">
        <is>
          <t>Germany</t>
        </is>
      </c>
    </row>
    <row r="7373">
      <c r="A7373" t="inlineStr">
        <is>
          <t>ALAM IMPIAN BIOENERGY SDN BHD,  RAWANG, Malaysia</t>
        </is>
      </c>
      <c r="B7373" t="inlineStr">
        <is>
          <t>Collecting Point, Trader with Storage</t>
        </is>
      </c>
      <c r="C7373" t="inlineStr">
        <is>
          <t>PT SBC Asia Sertifikasi, Kebumen, ID</t>
        </is>
      </c>
      <c r="D7373" t="inlineStr">
        <is>
          <t>25.02.2027</t>
        </is>
      </c>
      <c r="E7373" t="inlineStr">
        <is>
          <t>Malaysia</t>
        </is>
      </c>
    </row>
    <row r="7374">
      <c r="A7374" t="inlineStr">
        <is>
          <t>BEST PALM OIL PACKAGING ENTERPRISE,  SHAH ALAM, Malaysia</t>
        </is>
      </c>
      <c r="B7374" t="inlineStr">
        <is>
          <t>Collecting Point, Trader with Storage</t>
        </is>
      </c>
      <c r="C7374" t="inlineStr">
        <is>
          <t>PT SBC Asia Sertifikasi, Kebumen, ID</t>
        </is>
      </c>
      <c r="D7374" t="inlineStr">
        <is>
          <t>25.02.2027</t>
        </is>
      </c>
      <c r="E7374" t="inlineStr">
        <is>
          <t>Malaysia</t>
        </is>
      </c>
    </row>
    <row r="7375">
      <c r="A7375" t="inlineStr">
        <is>
          <t>Polyloom Corporation of America,  Dayton, United States</t>
        </is>
      </c>
      <c r="B7375" t="inlineStr">
        <is>
          <t>Processing Unit, Warehouse</t>
        </is>
      </c>
      <c r="C7375" t="inlineStr">
        <is>
          <t>DEKRA Certification B.V., Arnhem, NL</t>
        </is>
      </c>
      <c r="D7375" t="inlineStr">
        <is>
          <t>25.02.2027</t>
        </is>
      </c>
      <c r="E7375" t="inlineStr">
        <is>
          <t>United States</t>
        </is>
      </c>
    </row>
    <row r="7376">
      <c r="A7376" t="inlineStr">
        <is>
          <t>BIOPOINT INDIA PRIVATE LIMITED,  CHITRADURGA DISTRICT, India</t>
        </is>
      </c>
      <c r="B7376" t="inlineStr">
        <is>
          <t>Collecting Point, Trader with Storage, Processing Unit, Point of Origin</t>
        </is>
      </c>
      <c r="C7376" t="inlineStr">
        <is>
          <t>PT TSI Sertifikasi Internasional, Jakarta Selatang, ID</t>
        </is>
      </c>
      <c r="D7376" t="inlineStr">
        <is>
          <t>25.02.2027</t>
        </is>
      </c>
      <c r="E7376" t="inlineStr">
        <is>
          <t>India</t>
        </is>
      </c>
    </row>
    <row r="7377">
      <c r="A7377" t="inlineStr">
        <is>
          <t>Fenghai (Lianyungang) Rice Biotechnology Co.,Ltd,  Lianyungang,City, Jiangsu Province, China</t>
        </is>
      </c>
      <c r="B7377" t="inlineStr">
        <is>
          <t>Collecting Point, Processing Unit</t>
        </is>
      </c>
      <c r="C7377" t="inlineStr">
        <is>
          <t>SGS Germany GmbH, Emstek, DE</t>
        </is>
      </c>
      <c r="D7377" t="inlineStr">
        <is>
          <t>25.02.2027</t>
        </is>
      </c>
      <c r="E7377" t="inlineStr">
        <is>
          <t>China</t>
        </is>
      </c>
    </row>
    <row r="7378">
      <c r="A7378" t="inlineStr">
        <is>
          <t>SYNERGY RECYCLE GROUP SRL,  Sat Buciumeni, Oras Budesti, Romania</t>
        </is>
      </c>
      <c r="B7378" t="inlineStr">
        <is>
          <t>Collecting Point, First Gathering Point, Processing Unit</t>
        </is>
      </c>
      <c r="C7378" t="inlineStr">
        <is>
          <t>SRAC Cert SRL, Bucharest, RO</t>
        </is>
      </c>
      <c r="D7378" t="inlineStr">
        <is>
          <t>25.02.2027</t>
        </is>
      </c>
      <c r="E7378" t="inlineStr">
        <is>
          <t>Romania</t>
        </is>
      </c>
    </row>
    <row r="7379">
      <c r="A7379" t="inlineStr">
        <is>
          <t>EKT Ecobio OÜ,  Maardu, Estonia</t>
        </is>
      </c>
      <c r="B7379" t="inlineStr">
        <is>
          <t>Collecting Point, Processing Unit</t>
        </is>
      </c>
      <c r="C7379" t="inlineStr">
        <is>
          <t>Bureau Veritas Polska Sp. z o.o., Warsaw, PL</t>
        </is>
      </c>
      <c r="D7379" t="inlineStr">
        <is>
          <t>25.02.2027</t>
        </is>
      </c>
      <c r="E7379" t="inlineStr">
        <is>
          <t>Estonia</t>
        </is>
      </c>
    </row>
    <row r="7380">
      <c r="A7380" t="inlineStr">
        <is>
          <t>Bunkeroil,  Livorno, Italy</t>
        </is>
      </c>
      <c r="B7380" t="inlineStr">
        <is>
          <t>Trader with Storage, Proof of Compliance Trader</t>
        </is>
      </c>
      <c r="C7380" t="inlineStr">
        <is>
          <t>RINA Services S.p.A., Genova, IT</t>
        </is>
      </c>
      <c r="D7380" t="inlineStr">
        <is>
          <t>25.02.2027</t>
        </is>
      </c>
      <c r="E7380" t="inlineStr">
        <is>
          <t>Italy</t>
        </is>
      </c>
    </row>
    <row r="7381">
      <c r="A7381" t="inlineStr">
        <is>
          <t>Magic Flame LTD.,  Dobrich, Bulgaria</t>
        </is>
      </c>
      <c r="B7381" t="inlineStr">
        <is>
          <t>Processing Unit, First Gathering Point</t>
        </is>
      </c>
      <c r="C7381" t="inlineStr">
        <is>
          <t>Baltic Control Certification, Risskov, DK</t>
        </is>
      </c>
      <c r="D7381" t="inlineStr">
        <is>
          <t>25.02.2027</t>
        </is>
      </c>
      <c r="E7381" t="inlineStr">
        <is>
          <t>Bulgaria</t>
        </is>
      </c>
    </row>
    <row r="7382">
      <c r="A7382" t="inlineStr">
        <is>
          <t>Prairie Malt,  Biggar, Canada</t>
        </is>
      </c>
      <c r="B7382" t="inlineStr">
        <is>
          <t>Processing Unit, First Gathering Point</t>
        </is>
      </c>
      <c r="C7382" t="inlineStr">
        <is>
          <t>SGS Germany GmbH, Emstek, DE</t>
        </is>
      </c>
      <c r="D7382" t="inlineStr">
        <is>
          <t>25.02.2027</t>
        </is>
      </c>
      <c r="E7382" t="inlineStr">
        <is>
          <t>Canada</t>
        </is>
      </c>
    </row>
    <row r="7383">
      <c r="A7383" t="inlineStr">
        <is>
          <t>NV Bekaert SA,  Burgos, Spain</t>
        </is>
      </c>
      <c r="B7383" t="inlineStr">
        <is>
          <t>Processing Unit</t>
        </is>
      </c>
      <c r="C7383" t="inlineStr">
        <is>
          <t>TÜV NORD CERT GmbH, Essen, DE</t>
        </is>
      </c>
      <c r="D7383" t="inlineStr">
        <is>
          <t>25.02.2027</t>
        </is>
      </c>
      <c r="E7383" t="inlineStr">
        <is>
          <t>Spain</t>
        </is>
      </c>
    </row>
    <row r="7384">
      <c r="A7384" t="inlineStr">
        <is>
          <t>ADM Illichivsk,  Cheromorsk, Odessa reg, Ukraine</t>
        </is>
      </c>
      <c r="B7384" t="inlineStr">
        <is>
          <t>Processing Unit</t>
        </is>
      </c>
      <c r="C7384" t="inlineStr">
        <is>
          <t>Control Union Certifications Germany GmbH, Berlin, DE</t>
        </is>
      </c>
      <c r="D7384" t="inlineStr">
        <is>
          <t>25.02.2027</t>
        </is>
      </c>
      <c r="E7384" t="inlineStr">
        <is>
          <t>Ukraine</t>
        </is>
      </c>
    </row>
    <row r="7385">
      <c r="A7385" t="inlineStr">
        <is>
          <t>Berry Global,  Madisonville, United States</t>
        </is>
      </c>
      <c r="B7385" t="inlineStr">
        <is>
          <t>Processing Unit</t>
        </is>
      </c>
      <c r="C7385" t="inlineStr">
        <is>
          <t>SCS Global Services, Emeryville, CA, US</t>
        </is>
      </c>
      <c r="D7385" t="inlineStr">
        <is>
          <t>25.02.2027</t>
        </is>
      </c>
      <c r="E7385" t="inlineStr">
        <is>
          <t>United States</t>
        </is>
      </c>
    </row>
    <row r="7386">
      <c r="A7386" t="inlineStr">
        <is>
          <t>Roslin Enterprises Inc.,  Princeton, Canada</t>
        </is>
      </c>
      <c r="B7386" t="inlineStr">
        <is>
          <t>Collecting Point, Trader with Storage</t>
        </is>
      </c>
      <c r="C7386" t="inlineStr">
        <is>
          <t>SCS Global Services, Emeryville, CA, US</t>
        </is>
      </c>
      <c r="D7386" t="inlineStr">
        <is>
          <t>25.02.2027</t>
        </is>
      </c>
      <c r="E7386" t="inlineStr">
        <is>
          <t>Canada</t>
        </is>
      </c>
    </row>
    <row r="7387">
      <c r="A7387" t="inlineStr">
        <is>
          <t>Roslin Enterprises Inc.,  Princeton, Canada</t>
        </is>
      </c>
      <c r="B7387" t="inlineStr">
        <is>
          <t>Collecting Point, Trader with Storage</t>
        </is>
      </c>
      <c r="C7387" t="inlineStr">
        <is>
          <t>SCS Global Services, Emeryville, CA, US</t>
        </is>
      </c>
      <c r="D7387" t="inlineStr">
        <is>
          <t>25.02.2027</t>
        </is>
      </c>
      <c r="E7387" t="inlineStr">
        <is>
          <t>Canada</t>
        </is>
      </c>
    </row>
    <row r="7388">
      <c r="A7388" t="inlineStr">
        <is>
          <t>Roslin Enterprises Inc.,  Princeton, Canada</t>
        </is>
      </c>
      <c r="B7388" t="inlineStr">
        <is>
          <t>Collecting Point, Trader with Storage</t>
        </is>
      </c>
      <c r="C7388" t="inlineStr">
        <is>
          <t>SCS Global Services, Emeryville, CA, US</t>
        </is>
      </c>
      <c r="D7388" t="inlineStr">
        <is>
          <t>25.02.2027</t>
        </is>
      </c>
      <c r="E7388" t="inlineStr">
        <is>
          <t>Canada</t>
        </is>
      </c>
    </row>
    <row r="7389">
      <c r="A7389" t="inlineStr">
        <is>
          <t>Guangdong Banfert New Materials Co., LTD.,  Shaoguan City, China</t>
        </is>
      </c>
      <c r="B7389" t="inlineStr">
        <is>
          <t>Processing Unit</t>
        </is>
      </c>
      <c r="C7389" t="inlineStr">
        <is>
          <t>SGS Germany GmbH, Emstek, DE</t>
        </is>
      </c>
      <c r="D7389" t="inlineStr">
        <is>
          <t>25.02.2027</t>
        </is>
      </c>
      <c r="E7389" t="inlineStr">
        <is>
          <t>China</t>
        </is>
      </c>
    </row>
    <row r="7390">
      <c r="A7390" t="inlineStr">
        <is>
          <t>VITAL PALM OIL VENTURES (M) SDN BHD,  PASIR GUDANG, Malaysia</t>
        </is>
      </c>
      <c r="B7390" t="inlineStr">
        <is>
          <t>Trader with Storage</t>
        </is>
      </c>
      <c r="C7390" t="inlineStr">
        <is>
          <t>Trans Certification and Inspection Sdn Bhd, Kuantan, MY</t>
        </is>
      </c>
      <c r="D7390" t="inlineStr">
        <is>
          <t>25.02.2027</t>
        </is>
      </c>
      <c r="E7390" t="inlineStr">
        <is>
          <t>Malaysia</t>
        </is>
      </c>
    </row>
    <row r="7391">
      <c r="A7391" t="inlineStr">
        <is>
          <t>COOPERATIVA AGRICOLA FORESTALE ENERGETICA SOCIETA' AGRICOLA COOPERATIVA,  OFFIDA (AP), Italy</t>
        </is>
      </c>
      <c r="B7391" t="inlineStr">
        <is>
          <t>First Gathering Point</t>
        </is>
      </c>
      <c r="C7391" t="inlineStr">
        <is>
          <t>RINA Services S.p.A., Genova, IT</t>
        </is>
      </c>
      <c r="D7391" t="inlineStr">
        <is>
          <t>25.02.2027</t>
        </is>
      </c>
      <c r="E7391" t="inlineStr">
        <is>
          <t>Italy</t>
        </is>
      </c>
    </row>
    <row r="7392">
      <c r="A7392" t="inlineStr">
        <is>
          <t>TotalEnergies Raffinage France,  Feyzin, France</t>
        </is>
      </c>
      <c r="B7392" t="inlineStr">
        <is>
          <t>Trader with Storage, ETBE plant</t>
        </is>
      </c>
      <c r="C7392" t="inlineStr">
        <is>
          <t>Bureau Veritas Polska Sp. z o.o., Warsaw, PL</t>
        </is>
      </c>
      <c r="D7392" t="inlineStr">
        <is>
          <t>24.02.2027</t>
        </is>
      </c>
      <c r="E7392" t="inlineStr">
        <is>
          <t>France</t>
        </is>
      </c>
    </row>
    <row r="7393">
      <c r="A7393" t="inlineStr">
        <is>
          <t>TotalEnergies Raffinage France,  Feyzin, France</t>
        </is>
      </c>
      <c r="B7393" t="inlineStr">
        <is>
          <t>Warehouse, Trader with Storage, ETBE plant</t>
        </is>
      </c>
      <c r="C7393" t="inlineStr">
        <is>
          <t>Bureau Veritas Polska Sp. z o.o., Warsaw, PL</t>
        </is>
      </c>
      <c r="D7393" t="inlineStr">
        <is>
          <t>24.02.2027</t>
        </is>
      </c>
      <c r="E7393" t="inlineStr">
        <is>
          <t>France</t>
        </is>
      </c>
    </row>
    <row r="7394">
      <c r="A7394" t="inlineStr">
        <is>
          <t>TGB SUPPLYCHAIN CO., LIMITED,  Xiamen, Fujian, China</t>
        </is>
      </c>
      <c r="B7394" t="inlineStr">
        <is>
          <t>Trader</t>
        </is>
      </c>
      <c r="C7394" t="inlineStr">
        <is>
          <t>RINA Services S.p.A., Genova, IT</t>
        </is>
      </c>
      <c r="D7394" t="inlineStr">
        <is>
          <t>24.02.2027</t>
        </is>
      </c>
      <c r="E7394" t="inlineStr">
        <is>
          <t>China</t>
        </is>
      </c>
    </row>
    <row r="7395">
      <c r="A7395" t="inlineStr">
        <is>
          <t>Din Fon Environment Limited,  TAOYUAN CITY, Taiwan, Province of China</t>
        </is>
      </c>
      <c r="B7395" t="inlineStr">
        <is>
          <t>Collecting Point, Trader with Storage</t>
        </is>
      </c>
      <c r="C7395" t="inlineStr">
        <is>
          <t>Control Union Certifications Germany GmbH, Berlin, DE</t>
        </is>
      </c>
      <c r="D7395" t="inlineStr">
        <is>
          <t>24.02.2027</t>
        </is>
      </c>
      <c r="E7395" t="inlineStr">
        <is>
          <t>Province of China</t>
        </is>
      </c>
    </row>
    <row r="7396">
      <c r="A7396" t="inlineStr">
        <is>
          <t>Lactalis Nestlé Productos Lácteos Refrigerados,  Marchamalo, Spain</t>
        </is>
      </c>
      <c r="B7396" t="inlineStr">
        <is>
          <t>Trader with Storage</t>
        </is>
      </c>
      <c r="C7396" t="inlineStr">
        <is>
          <t>Control Union Poland Sp. z o.o., Zielona Gora, PL</t>
        </is>
      </c>
      <c r="D7396" t="inlineStr">
        <is>
          <t>24.02.2027</t>
        </is>
      </c>
      <c r="E7396" t="inlineStr">
        <is>
          <t>Spain</t>
        </is>
      </c>
    </row>
    <row r="7397">
      <c r="A7397" t="inlineStr">
        <is>
          <t>Tereos Starch &amp; Sweeteners Belgium,  Aalst, Belgium</t>
        </is>
      </c>
      <c r="B7397" t="inlineStr">
        <is>
          <t>Point of Origin, Processing Unit</t>
        </is>
      </c>
      <c r="C7397" t="inlineStr">
        <is>
          <t>Control Union Certifications Germany GmbH, Berlin, DE</t>
        </is>
      </c>
      <c r="D7397" t="inlineStr">
        <is>
          <t>24.02.2027</t>
        </is>
      </c>
      <c r="E7397" t="inlineStr">
        <is>
          <t>Belgium</t>
        </is>
      </c>
    </row>
    <row r="7398">
      <c r="A7398" t="inlineStr">
        <is>
          <t>Ionmed Esterilizacion SAU,  Tarancón, Spain</t>
        </is>
      </c>
      <c r="B7398" t="inlineStr">
        <is>
          <t>Final Product Refinement</t>
        </is>
      </c>
      <c r="C7398" t="inlineStr">
        <is>
          <t>IIP S.r.l., Monza, IT</t>
        </is>
      </c>
      <c r="D7398" t="inlineStr">
        <is>
          <t>24.02.2027</t>
        </is>
      </c>
      <c r="E7398" t="inlineStr">
        <is>
          <t>Spain</t>
        </is>
      </c>
    </row>
    <row r="7399">
      <c r="A7399" t="inlineStr">
        <is>
          <t>Fong Chen Plastic Technology IND.(Suzhou) Co. , Ltd.,  Suzhou City , Jiangsu province, China</t>
        </is>
      </c>
      <c r="B7399" t="inlineStr">
        <is>
          <t>Processing Unit</t>
        </is>
      </c>
      <c r="C7399" t="inlineStr">
        <is>
          <t>China Quality Certification Centre Co., Ltd., Beijing, CN</t>
        </is>
      </c>
      <c r="D7399" t="inlineStr">
        <is>
          <t>24.02.2027</t>
        </is>
      </c>
      <c r="E7399" t="inlineStr">
        <is>
          <t>China</t>
        </is>
      </c>
    </row>
    <row r="7400">
      <c r="A7400" t="inlineStr">
        <is>
          <t>PT Adis Dimension Footwear,  Banten, Indonesia</t>
        </is>
      </c>
      <c r="B7400" t="inlineStr">
        <is>
          <t>Final Product Refinement, Processing Unit</t>
        </is>
      </c>
      <c r="C7400" t="inlineStr">
        <is>
          <t>PT Intertek Utama Services, Jakarta, ID</t>
        </is>
      </c>
      <c r="D7400" t="inlineStr">
        <is>
          <t>24.02.2027</t>
        </is>
      </c>
      <c r="E7400" t="inlineStr">
        <is>
          <t>Indonesia</t>
        </is>
      </c>
    </row>
    <row r="7401">
      <c r="A7401" t="inlineStr">
        <is>
          <t>Gunvor Deutschland GmbH,  Ingolstadt, Germany</t>
        </is>
      </c>
      <c r="B7401" t="inlineStr">
        <is>
          <t>Trader</t>
        </is>
      </c>
      <c r="C7401" t="inlineStr">
        <is>
          <t>TÜV SÜD Industrie Service GmbH, München, DE</t>
        </is>
      </c>
      <c r="D7401" t="inlineStr">
        <is>
          <t>24.02.2027</t>
        </is>
      </c>
      <c r="E7401" t="inlineStr">
        <is>
          <t>Germany</t>
        </is>
      </c>
    </row>
    <row r="7402">
      <c r="A7402" t="inlineStr">
        <is>
          <t>ALPLA Werke Alwin Lehner GmbH &amp; Co KG,  St Peters, United States</t>
        </is>
      </c>
      <c r="B7402" t="inlineStr">
        <is>
          <t>Processing Unit</t>
        </is>
      </c>
      <c r="C7402" t="inlineStr">
        <is>
          <t>Control Union Poland Sp. z o.o., Zielona Gora, PL</t>
        </is>
      </c>
      <c r="D7402" t="inlineStr">
        <is>
          <t>24.02.2027</t>
        </is>
      </c>
      <c r="E7402" t="inlineStr">
        <is>
          <t>United States</t>
        </is>
      </c>
    </row>
    <row r="7403">
      <c r="A7403" t="inlineStr">
        <is>
          <t>SBK Co.,Ltd.,  Gunsan-si, Jeollabuk-do, South Korea</t>
        </is>
      </c>
      <c r="B7403" t="inlineStr">
        <is>
          <t>Processing Unit, Trader with Storage</t>
        </is>
      </c>
      <c r="C7403" t="inlineStr">
        <is>
          <t>Control Union Certifications Germany GmbH, Berlin, DE</t>
        </is>
      </c>
      <c r="D7403" t="inlineStr">
        <is>
          <t>24.02.2027</t>
        </is>
      </c>
      <c r="E7403" t="inlineStr">
        <is>
          <t>South Korea</t>
        </is>
      </c>
    </row>
    <row r="7404">
      <c r="A7404" t="inlineStr">
        <is>
          <t>BIOPLYN BIEROVCE 2 s.r.o.,  Velke Bierovce, Slovakia</t>
        </is>
      </c>
      <c r="B7404" t="inlineStr">
        <is>
          <t>Collecting Point, First Gathering Point, Processing Unit, Trader with Storage</t>
        </is>
      </c>
      <c r="C7404" t="inlineStr">
        <is>
          <t>United Registrar of Systems Polska Sp. z o.o., Wrocław, PL</t>
        </is>
      </c>
      <c r="D7404" t="inlineStr">
        <is>
          <t>24.02.2027</t>
        </is>
      </c>
      <c r="E7404" t="inlineStr">
        <is>
          <t>Slovakia</t>
        </is>
      </c>
    </row>
    <row r="7405">
      <c r="A7405" t="inlineStr">
        <is>
          <t>BIOPLYN BIEROVCE s.r.o.,  Velke Bierovce, Slovakia</t>
        </is>
      </c>
      <c r="B7405" t="inlineStr">
        <is>
          <t>Collecting Point, Processing Unit, Trader with Storage, First Gathering Point</t>
        </is>
      </c>
      <c r="C7405" t="inlineStr">
        <is>
          <t>United Registrar of Systems Polska Sp. z o.o., Wrocław, PL</t>
        </is>
      </c>
      <c r="D7405" t="inlineStr">
        <is>
          <t>24.02.2027</t>
        </is>
      </c>
      <c r="E7405" t="inlineStr">
        <is>
          <t>Slovakia</t>
        </is>
      </c>
    </row>
    <row r="7406">
      <c r="A7406" t="inlineStr">
        <is>
          <t>VIALO TRENTO TRADE S.R.L.,  LAVIS, Italy</t>
        </is>
      </c>
      <c r="B7406" t="inlineStr">
        <is>
          <t>Collecting Point</t>
        </is>
      </c>
      <c r="C7406" t="inlineStr">
        <is>
          <t>SGS Germany GmbH, Emstek, DE</t>
        </is>
      </c>
      <c r="D7406" t="inlineStr">
        <is>
          <t>24.02.2027</t>
        </is>
      </c>
      <c r="E7406" t="inlineStr">
        <is>
          <t>Italy</t>
        </is>
      </c>
    </row>
    <row r="7407">
      <c r="A7407" t="inlineStr">
        <is>
          <t>Decarbonise Fuel Limited,  Guildford, Surrey, United Kingdom</t>
        </is>
      </c>
      <c r="B7407" t="inlineStr">
        <is>
          <t>Trader</t>
        </is>
      </c>
      <c r="C7407" t="inlineStr">
        <is>
          <t>SGS Germany GmbH, Emstek, DE</t>
        </is>
      </c>
      <c r="D7407" t="inlineStr">
        <is>
          <t>24.02.2027</t>
        </is>
      </c>
      <c r="E7407" t="inlineStr">
        <is>
          <t>United Kingdom</t>
        </is>
      </c>
    </row>
    <row r="7408">
      <c r="A7408" t="inlineStr">
        <is>
          <t>Westfalen,  Münster, Germany</t>
        </is>
      </c>
      <c r="B7408" t="inlineStr">
        <is>
          <t>Trader with Storage</t>
        </is>
      </c>
      <c r="C7408" t="inlineStr">
        <is>
          <t>GUT Certifizierungsgesellschaft für Managementsysteme mbH Umweltgutachter, Berlin, DE</t>
        </is>
      </c>
      <c r="D7408" t="inlineStr">
        <is>
          <t>24.02.2027</t>
        </is>
      </c>
      <c r="E7408" t="inlineStr">
        <is>
          <t>Germany</t>
        </is>
      </c>
    </row>
    <row r="7409">
      <c r="A7409" t="inlineStr">
        <is>
          <t>Evos Terneuzen,  Terneuzen, Netherlands</t>
        </is>
      </c>
      <c r="B7409" t="inlineStr">
        <is>
          <t>Warehouse</t>
        </is>
      </c>
      <c r="C7409" t="inlineStr">
        <is>
          <t>SGS Germany GmbH, Emstek, DE</t>
        </is>
      </c>
      <c r="D7409" t="inlineStr">
        <is>
          <t>24.02.2027</t>
        </is>
      </c>
      <c r="E7409" t="inlineStr">
        <is>
          <t>Netherlands</t>
        </is>
      </c>
    </row>
    <row r="7410">
      <c r="A7410" t="inlineStr">
        <is>
          <t>Evos Terneuzen,  Terneuzen, Netherlands</t>
        </is>
      </c>
      <c r="B7410" t="inlineStr">
        <is>
          <t>Warehouse</t>
        </is>
      </c>
      <c r="C7410" t="inlineStr">
        <is>
          <t>SGS Germany GmbH, Emstek, DE</t>
        </is>
      </c>
      <c r="D7410" t="inlineStr">
        <is>
          <t>24.02.2027</t>
        </is>
      </c>
      <c r="E7410" t="inlineStr">
        <is>
          <t>Netherlands</t>
        </is>
      </c>
    </row>
    <row r="7411">
      <c r="A7411" t="inlineStr">
        <is>
          <t>Valenz AG,  Wollerau, Switzerland</t>
        </is>
      </c>
      <c r="B7411" t="inlineStr">
        <is>
          <t>Trader with Storage</t>
        </is>
      </c>
      <c r="C7411" t="inlineStr">
        <is>
          <t>SGS Germany GmbH, Emstek, DE</t>
        </is>
      </c>
      <c r="D7411" t="inlineStr">
        <is>
          <t>24.02.2027</t>
        </is>
      </c>
      <c r="E7411" t="inlineStr">
        <is>
          <t>Switzerland</t>
        </is>
      </c>
    </row>
    <row r="7412">
      <c r="A7412" t="inlineStr">
        <is>
          <t>Valenz AG,  Wollerau, Switzerland</t>
        </is>
      </c>
      <c r="B7412" t="inlineStr">
        <is>
          <t>Trader with Storage</t>
        </is>
      </c>
      <c r="C7412" t="inlineStr">
        <is>
          <t>SGS Germany GmbH, Emstek, DE</t>
        </is>
      </c>
      <c r="D7412" t="inlineStr">
        <is>
          <t>24.02.2027</t>
        </is>
      </c>
      <c r="E7412" t="inlineStr">
        <is>
          <t>Switzerland</t>
        </is>
      </c>
    </row>
    <row r="7413">
      <c r="A7413" t="inlineStr">
        <is>
          <t>Intercontinental Bunkering (Rotterdam) B.V.,  Capelle aan den IJssel, Netherlands</t>
        </is>
      </c>
      <c r="B7413" t="inlineStr">
        <is>
          <t>Proof of Compliance Trader, Trader</t>
        </is>
      </c>
      <c r="C7413" t="inlineStr">
        <is>
          <t>DEKRA Certification B.V., Arnhem, NL</t>
        </is>
      </c>
      <c r="D7413" t="inlineStr">
        <is>
          <t>24.02.2027</t>
        </is>
      </c>
      <c r="E7413" t="inlineStr">
        <is>
          <t>Netherlands</t>
        </is>
      </c>
    </row>
    <row r="7414">
      <c r="A7414" t="inlineStr">
        <is>
          <t>PT Sawit Jambi Lestari,  Batanghari Regency, Jambi Province, Indonesia</t>
        </is>
      </c>
      <c r="B7414" t="inlineStr">
        <is>
          <t>Point of Origin</t>
        </is>
      </c>
      <c r="C7414" t="inlineStr">
        <is>
          <t>SGS Germany GmbH, Emstek, DE</t>
        </is>
      </c>
      <c r="D7414" t="inlineStr">
        <is>
          <t>24.02.2027</t>
        </is>
      </c>
      <c r="E7414" t="inlineStr">
        <is>
          <t>Indonesia</t>
        </is>
      </c>
    </row>
    <row r="7415">
      <c r="A7415" t="inlineStr">
        <is>
          <t>Berry Superfos Lidkoping AB,  Lidkoping, Sweden</t>
        </is>
      </c>
      <c r="B7415" t="inlineStr">
        <is>
          <t>Processing Unit, Trader with Storage</t>
        </is>
      </c>
      <c r="C7415" t="inlineStr">
        <is>
          <t>SGS Germany GmbH, Emstek, DE</t>
        </is>
      </c>
      <c r="D7415" t="inlineStr">
        <is>
          <t>24.02.2027</t>
        </is>
      </c>
      <c r="E7415" t="inlineStr">
        <is>
          <t>Sweden</t>
        </is>
      </c>
    </row>
    <row r="7416">
      <c r="A7416" t="inlineStr">
        <is>
          <t>NET ZERO COMMODITIES FZC,  Sharjah, The United Arab Emirates</t>
        </is>
      </c>
      <c r="B7416" t="inlineStr">
        <is>
          <t>Trader</t>
        </is>
      </c>
      <c r="C7416" t="inlineStr">
        <is>
          <t>PT Intertek Utama Services, Jakarta, ID</t>
        </is>
      </c>
      <c r="D7416" t="inlineStr">
        <is>
          <t>24.02.2027</t>
        </is>
      </c>
      <c r="E7416" t="inlineStr">
        <is>
          <t>The United Arab Emirates</t>
        </is>
      </c>
    </row>
    <row r="7417">
      <c r="A7417" t="inlineStr">
        <is>
          <t>Ardor Wood s.r.o.,  Bratislava- mestska cast Raca, Slovakia</t>
        </is>
      </c>
      <c r="B7417" t="inlineStr">
        <is>
          <t>Collecting Point, Trader</t>
        </is>
      </c>
      <c r="C7417" t="inlineStr">
        <is>
          <t>United Registrar of Systems Polska Sp. z o.o., Wrocław, PL</t>
        </is>
      </c>
      <c r="D7417" t="inlineStr">
        <is>
          <t>24.02.2027</t>
        </is>
      </c>
      <c r="E7417" t="inlineStr">
        <is>
          <t>Slovakia</t>
        </is>
      </c>
    </row>
    <row r="7418">
      <c r="A7418" t="inlineStr">
        <is>
          <t>Azienda Pubbliservizi Brunico,  Brunico, Italy</t>
        </is>
      </c>
      <c r="B7418" t="inlineStr">
        <is>
          <t>Collecting Point, First Gathering Point, Processing Unit</t>
        </is>
      </c>
      <c r="C7418" t="inlineStr">
        <is>
          <t>SGS Germany GmbH, Emstek, DE</t>
        </is>
      </c>
      <c r="D7418" t="inlineStr">
        <is>
          <t>24.02.2027</t>
        </is>
      </c>
      <c r="E7418" t="inlineStr">
        <is>
          <t>Italy</t>
        </is>
      </c>
    </row>
    <row r="7419">
      <c r="A7419" t="inlineStr">
        <is>
          <t>Jugra Renewables,  Telok Panglima Garang, Malaysia</t>
        </is>
      </c>
      <c r="B7419" t="inlineStr">
        <is>
          <t>Trader with Storage</t>
        </is>
      </c>
      <c r="C7419" t="inlineStr">
        <is>
          <t>Control Union Certifications Germany GmbH, Berlin, DE</t>
        </is>
      </c>
      <c r="D7419" t="inlineStr">
        <is>
          <t>24.02.2027</t>
        </is>
      </c>
      <c r="E7419" t="inlineStr">
        <is>
          <t>Malaysia</t>
        </is>
      </c>
    </row>
    <row r="7420">
      <c r="A7420" t="inlineStr">
        <is>
          <t>Itelyum Regeneration S.p.A.,  Ceccano, Italy</t>
        </is>
      </c>
      <c r="B7420" t="inlineStr">
        <is>
          <t>Processing Unit</t>
        </is>
      </c>
      <c r="C7420" t="inlineStr">
        <is>
          <t>Certiquality srl, Milano, IT</t>
        </is>
      </c>
      <c r="D7420" t="inlineStr">
        <is>
          <t>24.02.2027</t>
        </is>
      </c>
      <c r="E7420" t="inlineStr">
        <is>
          <t>Italy</t>
        </is>
      </c>
    </row>
    <row r="7421">
      <c r="A7421" t="inlineStr">
        <is>
          <t>PT Parawood,  Sadao, Thailand</t>
        </is>
      </c>
      <c r="B7421" t="inlineStr">
        <is>
          <t>Collecting Point, Warehouse, Processing Unit</t>
        </is>
      </c>
      <c r="C7421" t="inlineStr">
        <is>
          <t>Control Union Poland Sp. z o.o., Zielona Gora, PL</t>
        </is>
      </c>
      <c r="D7421" t="inlineStr">
        <is>
          <t>24.02.2027</t>
        </is>
      </c>
      <c r="E7421" t="inlineStr">
        <is>
          <t>Thailand</t>
        </is>
      </c>
    </row>
    <row r="7422">
      <c r="A7422" t="inlineStr">
        <is>
          <t>A.T.E.D.I.A FILMS,  DAX, France</t>
        </is>
      </c>
      <c r="B7422" t="inlineStr">
        <is>
          <t>Processing Unit</t>
        </is>
      </c>
      <c r="C7422" t="inlineStr">
        <is>
          <t>SGS Germany GmbH, Emstek, DE</t>
        </is>
      </c>
      <c r="D7422" t="inlineStr">
        <is>
          <t>24.02.2027</t>
        </is>
      </c>
      <c r="E7422" t="inlineStr">
        <is>
          <t>France</t>
        </is>
      </c>
    </row>
    <row r="7423">
      <c r="A7423" t="inlineStr">
        <is>
          <t>Avery Dennison Materials Europe,  Gotha, Germany</t>
        </is>
      </c>
      <c r="B7423" t="inlineStr">
        <is>
          <t>Final Product Refinement, Processing Unit</t>
        </is>
      </c>
      <c r="C7423" t="inlineStr">
        <is>
          <t>Bureau Veritas Polska Sp. z o.o., Warsaw, PL</t>
        </is>
      </c>
      <c r="D7423" t="inlineStr">
        <is>
          <t>24.02.2027</t>
        </is>
      </c>
      <c r="E7423" t="inlineStr">
        <is>
          <t>Germany</t>
        </is>
      </c>
    </row>
    <row r="7424">
      <c r="A7424" t="inlineStr">
        <is>
          <t>NOCIL LIMITED,  PAWNE VILLAGE, NAVI MUMBAI, India</t>
        </is>
      </c>
      <c r="B7424" t="inlineStr">
        <is>
          <t>Processing Unit</t>
        </is>
      </c>
      <c r="C7424" t="inlineStr">
        <is>
          <t>SGS Germany GmbH, Emstek, DE</t>
        </is>
      </c>
      <c r="D7424" t="inlineStr">
        <is>
          <t>24.02.2027</t>
        </is>
      </c>
      <c r="E7424" t="inlineStr">
        <is>
          <t>India</t>
        </is>
      </c>
    </row>
    <row r="7425">
      <c r="A7425" t="inlineStr">
        <is>
          <t>AUGUSTA,  NOVI LIGURE, Italy</t>
        </is>
      </c>
      <c r="B7425" t="inlineStr">
        <is>
          <t>Collecting Point, Trader</t>
        </is>
      </c>
      <c r="C7425" t="inlineStr">
        <is>
          <t>ICIM SpA, sesto san giovanni, IT</t>
        </is>
      </c>
      <c r="D7425" t="inlineStr">
        <is>
          <t>24.02.2027</t>
        </is>
      </c>
      <c r="E7425" t="inlineStr">
        <is>
          <t>Italy</t>
        </is>
      </c>
    </row>
    <row r="7426">
      <c r="A7426" t="inlineStr">
        <is>
          <t>Lixin Ziqi Grease Co., LTD.,  Bozhou City, China</t>
        </is>
      </c>
      <c r="B7426" t="inlineStr">
        <is>
          <t>Collecting Point, Trader with Storage</t>
        </is>
      </c>
      <c r="C7426" t="inlineStr">
        <is>
          <t>RINA Services S.p.A., Genova, IT</t>
        </is>
      </c>
      <c r="D7426" t="inlineStr">
        <is>
          <t>24.02.2027</t>
        </is>
      </c>
      <c r="E7426" t="inlineStr">
        <is>
          <t>China</t>
        </is>
      </c>
    </row>
    <row r="7427">
      <c r="A7427" t="inlineStr">
        <is>
          <t>KL Agri Sdn Bhd,  Kuala Lumpur, Malaysia</t>
        </is>
      </c>
      <c r="B7427" t="inlineStr">
        <is>
          <t>Trader with Storage, Collecting Point</t>
        </is>
      </c>
      <c r="C7427" t="inlineStr">
        <is>
          <t>Trans Certification and Inspection Sdn Bhd, Kuantan, MY</t>
        </is>
      </c>
      <c r="D7427" t="inlineStr">
        <is>
          <t>24.02.2027</t>
        </is>
      </c>
      <c r="E7427" t="inlineStr">
        <is>
          <t>Malaysia</t>
        </is>
      </c>
    </row>
    <row r="7428">
      <c r="A7428" t="inlineStr">
        <is>
          <t>Biolynk Renewables Limited,  Dublin, Ireland</t>
        </is>
      </c>
      <c r="B7428" t="inlineStr">
        <is>
          <t>Trader</t>
        </is>
      </c>
      <c r="C7428" t="inlineStr">
        <is>
          <t>Double Helix Tracking Technologies Pte Ltd, Singapore, SG</t>
        </is>
      </c>
      <c r="D7428" t="inlineStr">
        <is>
          <t>24.02.2027</t>
        </is>
      </c>
      <c r="E7428" t="inlineStr">
        <is>
          <t>Ireland</t>
        </is>
      </c>
    </row>
    <row r="7429">
      <c r="A7429" t="inlineStr">
        <is>
          <t>Brenntag International Chemicals,  Duisburg, Germany</t>
        </is>
      </c>
      <c r="B7429" t="inlineStr">
        <is>
          <t>Trader</t>
        </is>
      </c>
      <c r="C7429" t="inlineStr">
        <is>
          <t>SGS Germany GmbH, Emstek, DE</t>
        </is>
      </c>
      <c r="D7429" t="inlineStr">
        <is>
          <t>24.02.2027</t>
        </is>
      </c>
      <c r="E7429" t="inlineStr">
        <is>
          <t>Germany</t>
        </is>
      </c>
    </row>
    <row r="7430">
      <c r="A7430" t="inlineStr">
        <is>
          <t>Okia Vietnam Optical Company Limited,  Tay Ninh Province, Vietnam</t>
        </is>
      </c>
      <c r="B7430" t="inlineStr">
        <is>
          <t>Processing Unit</t>
        </is>
      </c>
      <c r="C7430" t="inlineStr">
        <is>
          <t>SGS Germany GmbH, Emstek, DE</t>
        </is>
      </c>
      <c r="D7430" t="inlineStr">
        <is>
          <t>24.02.2027</t>
        </is>
      </c>
      <c r="E7430" t="inlineStr">
        <is>
          <t>Vietnam</t>
        </is>
      </c>
    </row>
    <row r="7431">
      <c r="A7431" t="inlineStr">
        <is>
          <t>Fox Energy GmbH,  Bonn, Germany</t>
        </is>
      </c>
      <c r="B7431" t="inlineStr">
        <is>
          <t>Trader with Storage, Proof of Compliance Trader</t>
        </is>
      </c>
      <c r="C7431" t="inlineStr">
        <is>
          <t>Baltic Control Certification, Risskov, DK</t>
        </is>
      </c>
      <c r="D7431" t="inlineStr">
        <is>
          <t>24.02.2027</t>
        </is>
      </c>
      <c r="E7431" t="inlineStr">
        <is>
          <t>Germany</t>
        </is>
      </c>
    </row>
    <row r="7432">
      <c r="A7432" t="inlineStr">
        <is>
          <t>Xiamen Zhuoyue Biomass Energy Co.,Ltd,  Xiamen, Fujian Province, China</t>
        </is>
      </c>
      <c r="B7432" t="inlineStr">
        <is>
          <t>Collecting Point, Trader with Storage, Processing Unit</t>
        </is>
      </c>
      <c r="C7432" t="inlineStr">
        <is>
          <t>TÜV NORD CERT GmbH, Essen, DE</t>
        </is>
      </c>
      <c r="D7432" t="inlineStr">
        <is>
          <t>24.02.2027</t>
        </is>
      </c>
      <c r="E7432" t="inlineStr">
        <is>
          <t>China</t>
        </is>
      </c>
    </row>
    <row r="7433">
      <c r="A7433" t="inlineStr">
        <is>
          <t>SARI,  Borgo Valbelluna, Italy</t>
        </is>
      </c>
      <c r="B7433" t="inlineStr">
        <is>
          <t>Processing Unit</t>
        </is>
      </c>
      <c r="C7433" t="inlineStr">
        <is>
          <t>RINA Services S.p.A., Genova, IT</t>
        </is>
      </c>
      <c r="D7433" t="inlineStr">
        <is>
          <t>24.02.2027</t>
        </is>
      </c>
      <c r="E7433" t="inlineStr">
        <is>
          <t>Italy</t>
        </is>
      </c>
    </row>
    <row r="7434">
      <c r="A7434" t="inlineStr">
        <is>
          <t>Spectacles,  Borgo Valbelluna, Italy</t>
        </is>
      </c>
      <c r="B7434" t="inlineStr">
        <is>
          <t>Processing Unit</t>
        </is>
      </c>
      <c r="C7434" t="inlineStr">
        <is>
          <t>RINA Services S.p.A., Genova, IT</t>
        </is>
      </c>
      <c r="D7434" t="inlineStr">
        <is>
          <t>24.02.2027</t>
        </is>
      </c>
      <c r="E7434" t="inlineStr">
        <is>
          <t>Italy</t>
        </is>
      </c>
    </row>
    <row r="7435">
      <c r="A7435" t="inlineStr">
        <is>
          <t>SHI FU DA ENTERPRISE CO., LTD.,  Xinshi Dist., Tainan City, Taiwan, Province of China</t>
        </is>
      </c>
      <c r="B7435" t="inlineStr">
        <is>
          <t>Collecting Point, Trader with Storage</t>
        </is>
      </c>
      <c r="C7435" t="inlineStr">
        <is>
          <t>Control Union Certifications Germany GmbH, Berlin, DE</t>
        </is>
      </c>
      <c r="D7435" t="inlineStr">
        <is>
          <t>24.02.2027</t>
        </is>
      </c>
      <c r="E7435" t="inlineStr">
        <is>
          <t>Province of China</t>
        </is>
      </c>
    </row>
    <row r="7436">
      <c r="A7436" t="inlineStr">
        <is>
          <t>Japan Polypropylene Corporation, Goi Plant,  Ichihara-shi, Japan</t>
        </is>
      </c>
      <c r="B7436" t="inlineStr">
        <is>
          <t>Processing Unit</t>
        </is>
      </c>
      <c r="C7436" t="inlineStr">
        <is>
          <t>SGS Germany GmbH, Emstek, DE</t>
        </is>
      </c>
      <c r="D7436" t="inlineStr">
        <is>
          <t>23.02.2027</t>
        </is>
      </c>
      <c r="E7436" t="inlineStr">
        <is>
          <t>Japan</t>
        </is>
      </c>
    </row>
    <row r="7437">
      <c r="A7437" t="inlineStr">
        <is>
          <t>Bintulu Edible Oils Sdn Bhd,  Bintulu, Malaysia</t>
        </is>
      </c>
      <c r="B7437" t="inlineStr">
        <is>
          <t>Point of Origin, Trader with Storage, Processing Unit, Warehouse</t>
        </is>
      </c>
      <c r="C7437" t="inlineStr">
        <is>
          <t>Control Union Certifications Germany GmbH, Berlin, DE</t>
        </is>
      </c>
      <c r="D7437" t="inlineStr">
        <is>
          <t>23.02.2027</t>
        </is>
      </c>
      <c r="E7437" t="inlineStr">
        <is>
          <t>Malaysia</t>
        </is>
      </c>
    </row>
    <row r="7438">
      <c r="A7438" t="inlineStr">
        <is>
          <t>KUCHING PALM OIL INDUSTRIES SDN. BHD.,  KUCHING, SARAWAK, Malaysia</t>
        </is>
      </c>
      <c r="B7438" t="inlineStr">
        <is>
          <t>Point of Origin</t>
        </is>
      </c>
      <c r="C7438" t="inlineStr">
        <is>
          <t>Control Union Certifications Germany GmbH, Berlin, DE</t>
        </is>
      </c>
      <c r="D7438" t="inlineStr">
        <is>
          <t>23.02.2027</t>
        </is>
      </c>
      <c r="E7438" t="inlineStr">
        <is>
          <t>Malaysia</t>
        </is>
      </c>
    </row>
    <row r="7439">
      <c r="A7439" t="inlineStr">
        <is>
          <t>EVOS ALGECIRAS, SAU,  Algeciras, Spain</t>
        </is>
      </c>
      <c r="B7439" t="inlineStr">
        <is>
          <t>Warehouse</t>
        </is>
      </c>
      <c r="C7439" t="inlineStr">
        <is>
          <t>Certificadora Gallega del Noroeste SL, Vilagarcia de Arousa-Pontevedra, ES</t>
        </is>
      </c>
      <c r="D7439" t="inlineStr">
        <is>
          <t>23.02.2027</t>
        </is>
      </c>
      <c r="E7439" t="inlineStr">
        <is>
          <t>Spain</t>
        </is>
      </c>
    </row>
    <row r="7440">
      <c r="A7440" t="inlineStr">
        <is>
          <t>Lyondell Chemie Nederland B.V.,  Botlek, The Netherlands</t>
        </is>
      </c>
      <c r="B7440" t="inlineStr">
        <is>
          <t>Processing Unit, Trader with Storage</t>
        </is>
      </c>
      <c r="C7440" t="inlineStr">
        <is>
          <t>Control Union Certifications Germany GmbH, Berlin, DE</t>
        </is>
      </c>
      <c r="D7440" t="inlineStr">
        <is>
          <t>23.02.2027</t>
        </is>
      </c>
      <c r="E7440" t="inlineStr">
        <is>
          <t>The Netherlands</t>
        </is>
      </c>
    </row>
    <row r="7441">
      <c r="A7441" t="inlineStr">
        <is>
          <t>KOLON INDUSTRIES, INC. (HQ),  Seoul, Korea, Republic of</t>
        </is>
      </c>
      <c r="B7441" t="inlineStr">
        <is>
          <t>Trader</t>
        </is>
      </c>
      <c r="C7441" t="inlineStr">
        <is>
          <t>Control Union Certifications Germany GmbH, Berlin, DE</t>
        </is>
      </c>
      <c r="D7441" t="inlineStr">
        <is>
          <t>23.02.2027</t>
        </is>
      </c>
      <c r="E7441" t="inlineStr">
        <is>
          <t>Republic of</t>
        </is>
      </c>
    </row>
    <row r="7442">
      <c r="A7442" t="inlineStr">
        <is>
          <t>FIRST FOUNDATION (SHANGHAI) LIMITED,  Fengxian, Shanghai, China</t>
        </is>
      </c>
      <c r="B7442" t="inlineStr">
        <is>
          <t>Trader with Storage</t>
        </is>
      </c>
      <c r="C7442" t="inlineStr">
        <is>
          <t>Bureau Veritas Polska Sp. z o.o., Warsaw, PL</t>
        </is>
      </c>
      <c r="D7442" t="inlineStr">
        <is>
          <t>23.02.2027</t>
        </is>
      </c>
      <c r="E7442" t="inlineStr">
        <is>
          <t>China</t>
        </is>
      </c>
    </row>
    <row r="7443">
      <c r="A7443" t="inlineStr">
        <is>
          <t>ARLANXEO Netherlands B.V.,  Geleen, The Netherlands</t>
        </is>
      </c>
      <c r="B7443" t="inlineStr">
        <is>
          <t>Processing Unit</t>
        </is>
      </c>
      <c r="C7443" t="inlineStr">
        <is>
          <t>DQS CFS GmbH - Deutsche Gesellschaft für Nachhaltigkeit, Frankfurt am Main, DE</t>
        </is>
      </c>
      <c r="D7443" t="inlineStr">
        <is>
          <t>23.02.2027</t>
        </is>
      </c>
      <c r="E7443" t="inlineStr">
        <is>
          <t>The Netherlands</t>
        </is>
      </c>
    </row>
    <row r="7444">
      <c r="A7444" t="inlineStr">
        <is>
          <t>BVPV Styrenics,  Painesville, United States</t>
        </is>
      </c>
      <c r="B7444" t="inlineStr">
        <is>
          <t>Processing Unit</t>
        </is>
      </c>
      <c r="C7444" t="inlineStr">
        <is>
          <t>SCS Global Services, Emeryville, CA, US</t>
        </is>
      </c>
      <c r="D7444" t="inlineStr">
        <is>
          <t>23.02.2027</t>
        </is>
      </c>
      <c r="E7444" t="inlineStr">
        <is>
          <t>United States</t>
        </is>
      </c>
    </row>
    <row r="7445">
      <c r="A7445" t="inlineStr">
        <is>
          <t>Berry Global,  Sioux Falls, United States</t>
        </is>
      </c>
      <c r="B7445" t="inlineStr">
        <is>
          <t>Processing Unit</t>
        </is>
      </c>
      <c r="C7445" t="inlineStr">
        <is>
          <t>SCS Global Services, Emeryville, CA, US</t>
        </is>
      </c>
      <c r="D7445" t="inlineStr">
        <is>
          <t>23.02.2027</t>
        </is>
      </c>
      <c r="E7445" t="inlineStr">
        <is>
          <t>United States</t>
        </is>
      </c>
    </row>
    <row r="7446">
      <c r="A7446" t="inlineStr">
        <is>
          <t>Kumho P&amp;B Chemicals., Inc(Yeosu Plant 1, Headquarter),  Yeosu-si, Jeollanam-do, Korea, Republic of</t>
        </is>
      </c>
      <c r="B7446" t="inlineStr">
        <is>
          <t>Processing Unit</t>
        </is>
      </c>
      <c r="C7446" t="inlineStr">
        <is>
          <t>Control Union Certifications Germany GmbH, Berlin, DE</t>
        </is>
      </c>
      <c r="D7446" t="inlineStr">
        <is>
          <t>23.02.2027</t>
        </is>
      </c>
      <c r="E7446" t="inlineStr">
        <is>
          <t>Republic of</t>
        </is>
      </c>
    </row>
    <row r="7447">
      <c r="A7447" t="inlineStr">
        <is>
          <t>ADM Global Trade Benelux,  Rotterdam, Netherlands</t>
        </is>
      </c>
      <c r="B7447" t="inlineStr">
        <is>
          <t>Trader with Storage</t>
        </is>
      </c>
      <c r="C7447" t="inlineStr">
        <is>
          <t>ASG Cert GmbH, Munich, DE</t>
        </is>
      </c>
      <c r="D7447" t="inlineStr">
        <is>
          <t>23.02.2027</t>
        </is>
      </c>
      <c r="E7447" t="inlineStr">
        <is>
          <t>Netherlands</t>
        </is>
      </c>
    </row>
    <row r="7448">
      <c r="A7448" t="inlineStr">
        <is>
          <t>Flaga spol. s r.o.,  Bratislava, Slovakia</t>
        </is>
      </c>
      <c r="B7448" t="inlineStr">
        <is>
          <t>Trader with Storage</t>
        </is>
      </c>
      <c r="C7448" t="inlineStr">
        <is>
          <t>Double Helix Tracking Technologies Pte Ltd, Singapore, SG</t>
        </is>
      </c>
      <c r="D7448" t="inlineStr">
        <is>
          <t>23.02.2027</t>
        </is>
      </c>
      <c r="E7448" t="inlineStr">
        <is>
          <t>Slovakia</t>
        </is>
      </c>
    </row>
    <row r="7449">
      <c r="A7449" t="inlineStr">
        <is>
          <t>Polypiù,  Vittuone, Italy</t>
        </is>
      </c>
      <c r="B7449" t="inlineStr">
        <is>
          <t>Processing Unit</t>
        </is>
      </c>
      <c r="C7449" t="inlineStr">
        <is>
          <t>ICIM SpA, sesto san giovanni, IT</t>
        </is>
      </c>
      <c r="D7449" t="inlineStr">
        <is>
          <t>23.02.2027</t>
        </is>
      </c>
      <c r="E7449" t="inlineStr">
        <is>
          <t>Italy</t>
        </is>
      </c>
    </row>
    <row r="7450">
      <c r="A7450" t="inlineStr">
        <is>
          <t>Flaga spol. s r.o.,  Bratislava, Slovakia</t>
        </is>
      </c>
      <c r="B7450" t="inlineStr">
        <is>
          <t>Trader with Storage</t>
        </is>
      </c>
      <c r="C7450" t="inlineStr">
        <is>
          <t>Double Helix Tracking Technologies Pte Ltd, Singapore, SG</t>
        </is>
      </c>
      <c r="D7450" t="inlineStr">
        <is>
          <t>23.02.2027</t>
        </is>
      </c>
      <c r="E7450" t="inlineStr">
        <is>
          <t>Slovakia</t>
        </is>
      </c>
    </row>
    <row r="7451">
      <c r="A7451" t="inlineStr">
        <is>
          <t>FLAGA Hungária PB-gáz Kereskedelmi és Szolgáltató,  Budaörs, Hungary</t>
        </is>
      </c>
      <c r="B7451" t="inlineStr">
        <is>
          <t>Trader with Storage</t>
        </is>
      </c>
      <c r="C7451" t="inlineStr">
        <is>
          <t>Double Helix Tracking Technologies Pte Ltd, Singapore, SG</t>
        </is>
      </c>
      <c r="D7451" t="inlineStr">
        <is>
          <t>23.02.2027</t>
        </is>
      </c>
      <c r="E7451" t="inlineStr">
        <is>
          <t>Hungary</t>
        </is>
      </c>
    </row>
    <row r="7452">
      <c r="A7452" t="inlineStr">
        <is>
          <t>FLAGA Hungária PB-gáz Kereskedelmi és Szolgáltató,  Budaörs, Hungary</t>
        </is>
      </c>
      <c r="B7452" t="inlineStr">
        <is>
          <t>Trader with Storage</t>
        </is>
      </c>
      <c r="C7452" t="inlineStr">
        <is>
          <t>Double Helix Tracking Technologies Pte Ltd, Singapore, SG</t>
        </is>
      </c>
      <c r="D7452" t="inlineStr">
        <is>
          <t>23.02.2027</t>
        </is>
      </c>
      <c r="E7452" t="inlineStr">
        <is>
          <t>Hungary</t>
        </is>
      </c>
    </row>
    <row r="7453">
      <c r="A7453" t="inlineStr">
        <is>
          <t>Flaga s.r.o.,  Hustopeče, Czech Republic</t>
        </is>
      </c>
      <c r="B7453" t="inlineStr">
        <is>
          <t>Trader with Storage</t>
        </is>
      </c>
      <c r="C7453" t="inlineStr">
        <is>
          <t>Double Helix Tracking Technologies Pte Ltd, Singapore, SG</t>
        </is>
      </c>
      <c r="D7453" t="inlineStr">
        <is>
          <t>23.02.2027</t>
        </is>
      </c>
      <c r="E7453" t="inlineStr">
        <is>
          <t>Czech Republic</t>
        </is>
      </c>
    </row>
    <row r="7454">
      <c r="A7454" t="inlineStr">
        <is>
          <t>Flaga s.r.o.,  Hustopeče, Czech Republic</t>
        </is>
      </c>
      <c r="B7454" t="inlineStr">
        <is>
          <t>Trader with Storage</t>
        </is>
      </c>
      <c r="C7454" t="inlineStr">
        <is>
          <t>Double Helix Tracking Technologies Pte Ltd, Singapore, SG</t>
        </is>
      </c>
      <c r="D7454" t="inlineStr">
        <is>
          <t>23.02.2027</t>
        </is>
      </c>
      <c r="E7454" t="inlineStr">
        <is>
          <t>Czech Republic</t>
        </is>
      </c>
    </row>
    <row r="7455">
      <c r="A7455" t="inlineStr">
        <is>
          <t>PT Karya Indorata Persada,  Kebun Durian, Gunung Sahilan, Kampar, Riau, Indonesia</t>
        </is>
      </c>
      <c r="B7455" t="inlineStr">
        <is>
          <t>Point of Origin, Processing Unit</t>
        </is>
      </c>
      <c r="C7455" t="inlineStr">
        <is>
          <t>SGS Germany GmbH, Emstek, DE</t>
        </is>
      </c>
      <c r="D7455" t="inlineStr">
        <is>
          <t>23.02.2027</t>
        </is>
      </c>
      <c r="E7455" t="inlineStr">
        <is>
          <t>Indonesia</t>
        </is>
      </c>
    </row>
    <row r="7456">
      <c r="A7456" t="inlineStr">
        <is>
          <t>Valmet Technologies,  Ovar, Portugal</t>
        </is>
      </c>
      <c r="B7456" t="inlineStr">
        <is>
          <t>Processing Unit</t>
        </is>
      </c>
      <c r="C7456" t="inlineStr">
        <is>
          <t>BM Certification, Riga, LV</t>
        </is>
      </c>
      <c r="D7456" t="inlineStr">
        <is>
          <t>23.02.2027</t>
        </is>
      </c>
      <c r="E7456" t="inlineStr">
        <is>
          <t>Portugal</t>
        </is>
      </c>
    </row>
    <row r="7457">
      <c r="A7457" t="inlineStr">
        <is>
          <t>AGRO VALORIZACIONES,  La Calahorra, Spain</t>
        </is>
      </c>
      <c r="B7457" t="inlineStr">
        <is>
          <t>Collecting Point, Processing Unit</t>
        </is>
      </c>
      <c r="C7457" t="inlineStr">
        <is>
          <t>PT Intertek Utama Services, Jakarta, ID</t>
        </is>
      </c>
      <c r="D7457" t="inlineStr">
        <is>
          <t>23.02.2027</t>
        </is>
      </c>
      <c r="E7457" t="inlineStr">
        <is>
          <t>Spain</t>
        </is>
      </c>
    </row>
    <row r="7458">
      <c r="A7458" t="inlineStr">
        <is>
          <t>UAB TREVION Group,  Vilnius, Lithuania</t>
        </is>
      </c>
      <c r="B7458" t="inlineStr">
        <is>
          <t>Trader</t>
        </is>
      </c>
      <c r="C7458" t="inlineStr">
        <is>
          <t>BM Certification, Riga, LV</t>
        </is>
      </c>
      <c r="D7458" t="inlineStr">
        <is>
          <t>23.02.2027</t>
        </is>
      </c>
      <c r="E7458" t="inlineStr">
        <is>
          <t>Lithuania</t>
        </is>
      </c>
    </row>
    <row r="7459">
      <c r="A7459" t="inlineStr">
        <is>
          <t>Trillion Trading Macao Limited,  Macau, Macau, China</t>
        </is>
      </c>
      <c r="B7459" t="inlineStr">
        <is>
          <t>Trader</t>
        </is>
      </c>
      <c r="C7459" t="inlineStr">
        <is>
          <t>PT Intertek Utama Services, Jakarta, ID</t>
        </is>
      </c>
      <c r="D7459" t="inlineStr">
        <is>
          <t>23.02.2027</t>
        </is>
      </c>
      <c r="E7459" t="inlineStr">
        <is>
          <t>China</t>
        </is>
      </c>
    </row>
    <row r="7460">
      <c r="A7460" t="inlineStr">
        <is>
          <t>Van Wijk &amp; Olthuis BV,  Dronten, Netherlands</t>
        </is>
      </c>
      <c r="B7460" t="inlineStr">
        <is>
          <t>Collecting Point, Trader with Storage, Processing Unit</t>
        </is>
      </c>
      <c r="C7460" t="inlineStr">
        <is>
          <t>Control Union Certifications Germany GmbH, Berlin, DE</t>
        </is>
      </c>
      <c r="D7460" t="inlineStr">
        <is>
          <t>23.02.2027</t>
        </is>
      </c>
      <c r="E7460" t="inlineStr">
        <is>
          <t>Netherlands</t>
        </is>
      </c>
    </row>
    <row r="7461">
      <c r="A7461" t="inlineStr">
        <is>
          <t>Brenntag UK Limited,  Leeds, United Kingdom</t>
        </is>
      </c>
      <c r="B7461" t="inlineStr">
        <is>
          <t>Trader with Storage</t>
        </is>
      </c>
      <c r="C7461" t="inlineStr">
        <is>
          <t>DIN CERTCO GmbH, Berlin, DE</t>
        </is>
      </c>
      <c r="D7461" t="inlineStr">
        <is>
          <t>23.02.2027</t>
        </is>
      </c>
      <c r="E7461" t="inlineStr">
        <is>
          <t>United Kingdom</t>
        </is>
      </c>
    </row>
    <row r="7462">
      <c r="A7462" t="inlineStr">
        <is>
          <t>Lytton SA,  Geneva, Switzerland</t>
        </is>
      </c>
      <c r="B7462" t="inlineStr">
        <is>
          <t>Trader with Storage</t>
        </is>
      </c>
      <c r="C7462" t="inlineStr">
        <is>
          <t>SGS Germany GmbH, Emstek, DE</t>
        </is>
      </c>
      <c r="D7462" t="inlineStr">
        <is>
          <t>23.02.2027</t>
        </is>
      </c>
      <c r="E7462" t="inlineStr">
        <is>
          <t>Switzerland</t>
        </is>
      </c>
    </row>
    <row r="7463">
      <c r="A7463" t="inlineStr">
        <is>
          <t>RPC Containers limited,  Blackburn, Lancashire, United Kingdom</t>
        </is>
      </c>
      <c r="B7463" t="inlineStr">
        <is>
          <t>Processing Unit, Trader with Storage</t>
        </is>
      </c>
      <c r="C7463" t="inlineStr">
        <is>
          <t>Aardvark Certification Ltd, Wiveliscombe, Somerset, GB</t>
        </is>
      </c>
      <c r="D7463" t="inlineStr">
        <is>
          <t>23.02.2027</t>
        </is>
      </c>
      <c r="E7463" t="inlineStr">
        <is>
          <t>United Kingdom</t>
        </is>
      </c>
    </row>
    <row r="7464">
      <c r="A7464" t="inlineStr">
        <is>
          <t>RPC Containers limited,  Oakham, Rutland, United Kingdom</t>
        </is>
      </c>
      <c r="B7464" t="inlineStr">
        <is>
          <t>Processing Unit, Trader with Storage</t>
        </is>
      </c>
      <c r="C7464" t="inlineStr">
        <is>
          <t>Aardvark Certification Ltd, Wiveliscombe, Somerset, GB</t>
        </is>
      </c>
      <c r="D7464" t="inlineStr">
        <is>
          <t>23.02.2027</t>
        </is>
      </c>
      <c r="E7464" t="inlineStr">
        <is>
          <t>United Kingdom</t>
        </is>
      </c>
    </row>
    <row r="7465">
      <c r="A7465" t="inlineStr">
        <is>
          <t>MSC RUBBER RECYCLING SRL,  Fundulea, Romania</t>
        </is>
      </c>
      <c r="B7465" t="inlineStr">
        <is>
          <t>Collecting Point, Processing Unit</t>
        </is>
      </c>
      <c r="C7465" t="inlineStr">
        <is>
          <t>SRAC Cert SRL, Bucharest, RO</t>
        </is>
      </c>
      <c r="D7465" t="inlineStr">
        <is>
          <t>23.02.2027</t>
        </is>
      </c>
      <c r="E7465" t="inlineStr">
        <is>
          <t>Romania</t>
        </is>
      </c>
    </row>
    <row r="7466">
      <c r="A7466" t="inlineStr">
        <is>
          <t>vS Plastics,  Hilden, Germany</t>
        </is>
      </c>
      <c r="B7466" t="inlineStr">
        <is>
          <t>Trader with Storage</t>
        </is>
      </c>
      <c r="C7466" t="inlineStr">
        <is>
          <t>TÜV NORD CERT GmbH, Essen, DE</t>
        </is>
      </c>
      <c r="D7466" t="inlineStr">
        <is>
          <t>23.02.2027</t>
        </is>
      </c>
      <c r="E7466" t="inlineStr">
        <is>
          <t>Germany</t>
        </is>
      </c>
    </row>
    <row r="7467">
      <c r="A7467" t="inlineStr">
        <is>
          <t>vS Plastics,  Krefeld, Germany</t>
        </is>
      </c>
      <c r="B7467" t="inlineStr">
        <is>
          <t>Processing Unit, Warehouse</t>
        </is>
      </c>
      <c r="C7467" t="inlineStr">
        <is>
          <t>TÜV NORD CERT GmbH, Essen, DE</t>
        </is>
      </c>
      <c r="D7467" t="inlineStr">
        <is>
          <t>23.02.2027</t>
        </is>
      </c>
      <c r="E7467" t="inlineStr">
        <is>
          <t>Germany</t>
        </is>
      </c>
    </row>
    <row r="7468">
      <c r="A7468" t="inlineStr">
        <is>
          <t>HEILONGJIANG EPPEN NEW MATERIAL CO., LTD,  DAQING CITY, HEILONGJIANG, China</t>
        </is>
      </c>
      <c r="B7468" t="inlineStr">
        <is>
          <t>Processing Unit</t>
        </is>
      </c>
      <c r="C7468" t="inlineStr">
        <is>
          <t>RINA Services S.p.A., Genova, IT</t>
        </is>
      </c>
      <c r="D7468" t="inlineStr">
        <is>
          <t>23.02.2027</t>
        </is>
      </c>
      <c r="E7468" t="inlineStr">
        <is>
          <t>China</t>
        </is>
      </c>
    </row>
    <row r="7469">
      <c r="A7469" t="inlineStr">
        <is>
          <t>Mondi Poznań,  Dopiewo, Poland</t>
        </is>
      </c>
      <c r="B7469" t="inlineStr">
        <is>
          <t>Final Product Refinement, Processing Unit</t>
        </is>
      </c>
      <c r="C7469" t="inlineStr">
        <is>
          <t>Bureau Veritas Polska Sp. z o.o., Warsaw, PL</t>
        </is>
      </c>
      <c r="D7469" t="inlineStr">
        <is>
          <t>23.02.2027</t>
        </is>
      </c>
      <c r="E7469" t="inlineStr">
        <is>
          <t>Poland</t>
        </is>
      </c>
    </row>
    <row r="7470">
      <c r="A7470" t="inlineStr">
        <is>
          <t>KIM PAI TUBA d.o.o.,  Škofja Loka, Slovenia</t>
        </is>
      </c>
      <c r="B7470" t="inlineStr">
        <is>
          <t>Final Product Refinement</t>
        </is>
      </c>
      <c r="C7470" t="inlineStr">
        <is>
          <t>Bureau Veritas Polska Sp. z o.o., Warsaw, PL</t>
        </is>
      </c>
      <c r="D7470" t="inlineStr">
        <is>
          <t>23.02.2027</t>
        </is>
      </c>
      <c r="E7470" t="inlineStr">
        <is>
          <t>Slovenia</t>
        </is>
      </c>
    </row>
    <row r="7471">
      <c r="A7471" t="inlineStr">
        <is>
          <t>Agrosorai Cooperativa Agricola,  Sat Foltești, Comuna Foltești, Romania</t>
        </is>
      </c>
      <c r="B7471" t="inlineStr">
        <is>
          <t>First Gathering Point, Trader</t>
        </is>
      </c>
      <c r="C7471" t="inlineStr">
        <is>
          <t>Control Union Certifications Germany GmbH, Berlin, DE</t>
        </is>
      </c>
      <c r="D7471" t="inlineStr">
        <is>
          <t>23.02.2027</t>
        </is>
      </c>
      <c r="E7471" t="inlineStr">
        <is>
          <t>Romania</t>
        </is>
      </c>
    </row>
    <row r="7472">
      <c r="A7472" t="inlineStr">
        <is>
          <t>YPPH Palm Oil Mill,  PEKAN, Malaysia</t>
        </is>
      </c>
      <c r="B7472" t="inlineStr">
        <is>
          <t>Point of Origin</t>
        </is>
      </c>
      <c r="C7472" t="inlineStr">
        <is>
          <t>Trans Certification and Inspection Sdn Bhd, Kuantan, MY</t>
        </is>
      </c>
      <c r="D7472" t="inlineStr">
        <is>
          <t>23.02.2027</t>
        </is>
      </c>
      <c r="E7472" t="inlineStr">
        <is>
          <t>Malaysia</t>
        </is>
      </c>
    </row>
    <row r="7473">
      <c r="A7473" t="inlineStr">
        <is>
          <t>Temerloh Mill,  Pantai Remis, Truong, Malaysia</t>
        </is>
      </c>
      <c r="B7473" t="inlineStr">
        <is>
          <t>Point of Origin</t>
        </is>
      </c>
      <c r="C7473" t="inlineStr">
        <is>
          <t>Trans Certification and Inspection Sdn Bhd, Kuantan, MY</t>
        </is>
      </c>
      <c r="D7473" t="inlineStr">
        <is>
          <t>23.02.2027</t>
        </is>
      </c>
      <c r="E7473" t="inlineStr">
        <is>
          <t>Malaysia</t>
        </is>
      </c>
    </row>
    <row r="7474">
      <c r="A7474" t="inlineStr">
        <is>
          <t>My Protech Sdn Bhd,  Subang Jaya, Malaysia</t>
        </is>
      </c>
      <c r="B7474" t="inlineStr">
        <is>
          <t>Collecting Point, Trader with Storage</t>
        </is>
      </c>
      <c r="C7474" t="inlineStr">
        <is>
          <t>Trans Certification and Inspection Sdn Bhd, Kuantan, MY</t>
        </is>
      </c>
      <c r="D7474" t="inlineStr">
        <is>
          <t>23.02.2027</t>
        </is>
      </c>
      <c r="E7474" t="inlineStr">
        <is>
          <t>Malaysia</t>
        </is>
      </c>
    </row>
    <row r="7475">
      <c r="A7475" t="inlineStr">
        <is>
          <t>itelyum Purification SpA,  Landriano, Italy</t>
        </is>
      </c>
      <c r="B7475" t="inlineStr">
        <is>
          <t>Collecting Point, Processing Unit, Trader with Storage</t>
        </is>
      </c>
      <c r="C7475" t="inlineStr">
        <is>
          <t>Certiquality srl, Milano, IT</t>
        </is>
      </c>
      <c r="D7475" t="inlineStr">
        <is>
          <t>23.02.2027</t>
        </is>
      </c>
      <c r="E7475" t="inlineStr">
        <is>
          <t>Italy</t>
        </is>
      </c>
    </row>
    <row r="7476">
      <c r="A7476" t="inlineStr">
        <is>
          <t>AmeriGas Polska Sp. z o.o.,  Warszawa, Poland</t>
        </is>
      </c>
      <c r="B7476" t="inlineStr">
        <is>
          <t>Trader with Storage</t>
        </is>
      </c>
      <c r="C7476" t="inlineStr">
        <is>
          <t>Double Helix Tracking Technologies Pte Ltd, Singapore, SG</t>
        </is>
      </c>
      <c r="D7476" t="inlineStr">
        <is>
          <t>23.02.2027</t>
        </is>
      </c>
      <c r="E7476" t="inlineStr">
        <is>
          <t>Poland</t>
        </is>
      </c>
    </row>
    <row r="7477">
      <c r="A7477" t="inlineStr">
        <is>
          <t>AmeriGas Polska Sp. z o.o.,  Warszawa, Poland</t>
        </is>
      </c>
      <c r="B7477" t="inlineStr">
        <is>
          <t>Trader with Storage</t>
        </is>
      </c>
      <c r="C7477" t="inlineStr">
        <is>
          <t>Double Helix Tracking Technologies Pte Ltd, Singapore, SG</t>
        </is>
      </c>
      <c r="D7477" t="inlineStr">
        <is>
          <t>23.02.2027</t>
        </is>
      </c>
      <c r="E7477" t="inlineStr">
        <is>
          <t>Poland</t>
        </is>
      </c>
    </row>
    <row r="7478">
      <c r="A7478" t="inlineStr">
        <is>
          <t>Vest Recycling A/S,  Tarm, Denmark</t>
        </is>
      </c>
      <c r="B7478" t="inlineStr">
        <is>
          <t>Collecting Point, First Gathering Point</t>
        </is>
      </c>
      <c r="C7478" t="inlineStr">
        <is>
          <t>Baltic Control Certification, Albertslund, DK</t>
        </is>
      </c>
      <c r="D7478" t="inlineStr">
        <is>
          <t>23.02.2027</t>
        </is>
      </c>
      <c r="E7478" t="inlineStr">
        <is>
          <t>Denmark</t>
        </is>
      </c>
    </row>
    <row r="7479">
      <c r="A7479" t="inlineStr">
        <is>
          <t>Sacme,  Malo, Italy</t>
        </is>
      </c>
      <c r="B7479" t="inlineStr">
        <is>
          <t>Trader with Storage</t>
        </is>
      </c>
      <c r="C7479" t="inlineStr">
        <is>
          <t>RINA Services S.p.A., Genova, IT</t>
        </is>
      </c>
      <c r="D7479" t="inlineStr">
        <is>
          <t>23.02.2027</t>
        </is>
      </c>
      <c r="E7479" t="inlineStr">
        <is>
          <t>Italy</t>
        </is>
      </c>
    </row>
    <row r="7480">
      <c r="A7480" t="inlineStr">
        <is>
          <t>Enerol Consulting LLC dba. Entrade,  Coral Gables, Florida, United States</t>
        </is>
      </c>
      <c r="B7480" t="inlineStr">
        <is>
          <t>Trader</t>
        </is>
      </c>
      <c r="C7480" t="inlineStr">
        <is>
          <t>Certificadora Gallega del Noroeste SL, Vilagarcia de Arousa-Pontevedra, ES</t>
        </is>
      </c>
      <c r="D7480" t="inlineStr">
        <is>
          <t>22.02.2027</t>
        </is>
      </c>
      <c r="E7480" t="inlineStr">
        <is>
          <t>United States</t>
        </is>
      </c>
    </row>
    <row r="7481">
      <c r="A7481" t="inlineStr">
        <is>
          <t>Biolvegas,  Olvega, Spain</t>
        </is>
      </c>
      <c r="B7481" t="inlineStr">
        <is>
          <t>Collecting Point, Processing Unit</t>
        </is>
      </c>
      <c r="C7481" t="inlineStr">
        <is>
          <t>Amspec Iberia SL, Vilagarcia de Arousa-Pontevedra, ES</t>
        </is>
      </c>
      <c r="D7481" t="inlineStr">
        <is>
          <t>22.02.2027</t>
        </is>
      </c>
      <c r="E7481" t="inlineStr">
        <is>
          <t>Spain</t>
        </is>
      </c>
    </row>
    <row r="7482">
      <c r="A7482" t="inlineStr">
        <is>
          <t>Agro-Lőrinc Kft.,  Szentlőrinc, Hungary</t>
        </is>
      </c>
      <c r="B7482" t="inlineStr">
        <is>
          <t>First Gathering Point, Trader with Storage</t>
        </is>
      </c>
      <c r="C7482" t="inlineStr">
        <is>
          <t>Amspec Iberia SL, Vilagarcia de Arousa-Pontevedra, ES</t>
        </is>
      </c>
      <c r="D7482" t="inlineStr">
        <is>
          <t>22.02.2027</t>
        </is>
      </c>
      <c r="E7482" t="inlineStr">
        <is>
          <t>Hungary</t>
        </is>
      </c>
    </row>
    <row r="7483">
      <c r="A7483" t="inlineStr">
        <is>
          <t>Melspring International B.V.,  Velp, Netherlands</t>
        </is>
      </c>
      <c r="B7483" t="inlineStr">
        <is>
          <t>Trader</t>
        </is>
      </c>
      <c r="C7483" t="inlineStr">
        <is>
          <t>DEKRA Certification B.V., Arnhem, NL</t>
        </is>
      </c>
      <c r="D7483" t="inlineStr">
        <is>
          <t>22.02.2027</t>
        </is>
      </c>
      <c r="E7483" t="inlineStr">
        <is>
          <t>Netherlands</t>
        </is>
      </c>
    </row>
    <row r="7484">
      <c r="A7484" t="inlineStr">
        <is>
          <t>Cemerlang Tegas Modal Sdn Bhd,  Shah Alam, Malaysia</t>
        </is>
      </c>
      <c r="B7484" t="inlineStr">
        <is>
          <t>Trader</t>
        </is>
      </c>
      <c r="C7484" t="inlineStr">
        <is>
          <t>PT. CBQA GLOBAL INDONESIA, JAKARTA SELATAN, ID</t>
        </is>
      </c>
      <c r="D7484" t="inlineStr">
        <is>
          <t>22.02.2027</t>
        </is>
      </c>
      <c r="E7484" t="inlineStr">
        <is>
          <t>Malaysia</t>
        </is>
      </c>
    </row>
    <row r="7485">
      <c r="A7485" t="inlineStr">
        <is>
          <t>Airbus Opérations,  TOULOUSE, France</t>
        </is>
      </c>
      <c r="B7485" t="inlineStr">
        <is>
          <t>Trader</t>
        </is>
      </c>
      <c r="C7485" t="inlineStr">
        <is>
          <t>SGS Germany GmbH, Emstek, DE</t>
        </is>
      </c>
      <c r="D7485" t="inlineStr">
        <is>
          <t>22.02.2027</t>
        </is>
      </c>
      <c r="E7485" t="inlineStr">
        <is>
          <t>France</t>
        </is>
      </c>
    </row>
    <row r="7486">
      <c r="A7486" t="inlineStr">
        <is>
          <t>VAS s.r.o.,  Zilina, Slovakia</t>
        </is>
      </c>
      <c r="B7486" t="inlineStr">
        <is>
          <t>Point of Origin</t>
        </is>
      </c>
      <c r="C7486" t="inlineStr">
        <is>
          <t>TÜV SÜD Czech s.r.o., Praha 4, CZ</t>
        </is>
      </c>
      <c r="D7486" t="inlineStr">
        <is>
          <t>22.02.2027</t>
        </is>
      </c>
      <c r="E7486" t="inlineStr">
        <is>
          <t>Slovakia</t>
        </is>
      </c>
    </row>
    <row r="7487">
      <c r="A7487" t="inlineStr">
        <is>
          <t>Harada Corporation,  Chuo-ku, Osaka, Japan</t>
        </is>
      </c>
      <c r="B7487" t="inlineStr">
        <is>
          <t>Collecting Point</t>
        </is>
      </c>
      <c r="C7487" t="inlineStr">
        <is>
          <t>SGS Germany GmbH, Emstek, DE</t>
        </is>
      </c>
      <c r="D7487" t="inlineStr">
        <is>
          <t>22.02.2027</t>
        </is>
      </c>
      <c r="E7487" t="inlineStr">
        <is>
          <t>Japan</t>
        </is>
      </c>
    </row>
    <row r="7488">
      <c r="A7488" t="inlineStr">
        <is>
          <t>Alcoplast,  Vercelli, Italy</t>
        </is>
      </c>
      <c r="B7488" t="inlineStr">
        <is>
          <t>Processing Unit</t>
        </is>
      </c>
      <c r="C7488" t="inlineStr">
        <is>
          <t>SGS Germany GmbH, Emstek, DE</t>
        </is>
      </c>
      <c r="D7488" t="inlineStr">
        <is>
          <t>22.02.2027</t>
        </is>
      </c>
      <c r="E7488" t="inlineStr">
        <is>
          <t>Italy</t>
        </is>
      </c>
    </row>
    <row r="7489">
      <c r="A7489" t="inlineStr">
        <is>
          <t>NILIT,  Migdal HaEmek, Israel</t>
        </is>
      </c>
      <c r="B7489" t="inlineStr">
        <is>
          <t>Processing Unit</t>
        </is>
      </c>
      <c r="C7489" t="inlineStr">
        <is>
          <t>Control Union Certifications Germany GmbH, Berlin, DE</t>
        </is>
      </c>
      <c r="D7489" t="inlineStr">
        <is>
          <t>22.02.2027</t>
        </is>
      </c>
      <c r="E7489" t="inlineStr">
        <is>
          <t>Israel</t>
        </is>
      </c>
    </row>
    <row r="7490">
      <c r="A7490" t="inlineStr">
        <is>
          <t>UKKO CORPORATION,  Neihu Dist., Taipei City, Taiwan</t>
        </is>
      </c>
      <c r="B7490" t="inlineStr">
        <is>
          <t>Trader with Storage</t>
        </is>
      </c>
      <c r="C7490" t="inlineStr">
        <is>
          <t>Bureau Veritas Polska Sp. z o.o., Warsaw, PL</t>
        </is>
      </c>
      <c r="D7490" t="inlineStr">
        <is>
          <t>22.02.2027</t>
        </is>
      </c>
      <c r="E7490" t="inlineStr">
        <is>
          <t>Taiwan</t>
        </is>
      </c>
    </row>
    <row r="7491">
      <c r="A7491" t="inlineStr">
        <is>
          <t>DZV NOVA, a.s.,  Bystřice, Czech Republic</t>
        </is>
      </c>
      <c r="B7491" t="inlineStr">
        <is>
          <t>Farm / Plantation, Point of Origin, Processing Unit</t>
        </is>
      </c>
      <c r="C7491" t="inlineStr">
        <is>
          <t>Bureau Veritas Polska Sp. z o.o., Warsaw, PL</t>
        </is>
      </c>
      <c r="D7491" t="inlineStr">
        <is>
          <t>22.02.2027</t>
        </is>
      </c>
      <c r="E7491" t="inlineStr">
        <is>
          <t>Czech Republic</t>
        </is>
      </c>
    </row>
    <row r="7492">
      <c r="A7492" t="inlineStr">
        <is>
          <t>Grand Dynasty Industrial Co., Ltd.,  Xinzhuang Dist., New Taipei City, Taiwan, Taiwan, Province of China</t>
        </is>
      </c>
      <c r="B7492" t="inlineStr">
        <is>
          <t>Processing Unit</t>
        </is>
      </c>
      <c r="C7492" t="inlineStr">
        <is>
          <t>Bureau Veritas Polska Sp. z o.o., Warsaw, PL</t>
        </is>
      </c>
      <c r="D7492" t="inlineStr">
        <is>
          <t>22.02.2027</t>
        </is>
      </c>
      <c r="E7492" t="inlineStr">
        <is>
          <t>Province of China</t>
        </is>
      </c>
    </row>
    <row r="7493">
      <c r="A7493" t="inlineStr">
        <is>
          <t>Winfield Marine Services Company Limited,  Tsuen Wan, Hong Kong, Hong Kong, SAR, China</t>
        </is>
      </c>
      <c r="B7493" t="inlineStr">
        <is>
          <t>Trader with Storage</t>
        </is>
      </c>
      <c r="C7493" t="inlineStr">
        <is>
          <t>Bureau Veritas Polska Sp. z o.o., Warsaw, PL</t>
        </is>
      </c>
      <c r="D7493" t="inlineStr">
        <is>
          <t>22.02.2027</t>
        </is>
      </c>
      <c r="E7493" t="inlineStr">
        <is>
          <t>China</t>
        </is>
      </c>
    </row>
    <row r="7494">
      <c r="A7494" t="inlineStr">
        <is>
          <t>Imballplast SpA,  Arzano, Italy</t>
        </is>
      </c>
      <c r="B7494" t="inlineStr">
        <is>
          <t>Processing Unit</t>
        </is>
      </c>
      <c r="C7494" t="inlineStr">
        <is>
          <t>SGS Germany GmbH, Emstek, DE</t>
        </is>
      </c>
      <c r="D7494" t="inlineStr">
        <is>
          <t>22.02.2027</t>
        </is>
      </c>
      <c r="E7494" t="inlineStr">
        <is>
          <t>Italy</t>
        </is>
      </c>
    </row>
    <row r="7495">
      <c r="A7495" t="inlineStr">
        <is>
          <t>BAIKSAN CO.,LTD,  Siheung-si, Gyeonggi-do, South Korea</t>
        </is>
      </c>
      <c r="B7495" t="inlineStr">
        <is>
          <t>Processing Unit</t>
        </is>
      </c>
      <c r="C7495" t="inlineStr">
        <is>
          <t>Bureau Veritas Polska Sp. z o.o., Warsaw, PL</t>
        </is>
      </c>
      <c r="D7495" t="inlineStr">
        <is>
          <t>22.02.2027</t>
        </is>
      </c>
      <c r="E7495" t="inlineStr">
        <is>
          <t>South Korea</t>
        </is>
      </c>
    </row>
    <row r="7496">
      <c r="A7496" t="inlineStr">
        <is>
          <t>Green Brokerage for Oil W.L.L,  Doha, Qatar, Qatar</t>
        </is>
      </c>
      <c r="B7496" t="inlineStr">
        <is>
          <t>Collecting Point</t>
        </is>
      </c>
      <c r="C7496" t="inlineStr">
        <is>
          <t>ICIM SpA, sesto san giovanni, IT</t>
        </is>
      </c>
      <c r="D7496" t="inlineStr">
        <is>
          <t>22.02.2027</t>
        </is>
      </c>
      <c r="E7496" t="inlineStr">
        <is>
          <t>Qatar</t>
        </is>
      </c>
    </row>
    <row r="7497">
      <c r="A7497" t="inlineStr">
        <is>
          <t>BMT Bunker und Mineralöltransport GmbH,  Cuxhaven, Germany</t>
        </is>
      </c>
      <c r="B7497" t="inlineStr">
        <is>
          <t>Proof of Compliance Trader, Trader with Storage</t>
        </is>
      </c>
      <c r="C7497" t="inlineStr">
        <is>
          <t>SGS Germany GmbH, Emstek, DE</t>
        </is>
      </c>
      <c r="D7497" t="inlineStr">
        <is>
          <t>22.02.2027</t>
        </is>
      </c>
      <c r="E7497" t="inlineStr">
        <is>
          <t>Germany</t>
        </is>
      </c>
    </row>
    <row r="7498">
      <c r="A7498" t="inlineStr">
        <is>
          <t>e-FORMULA TRADING INC.,  Taipei City, Taiwan, Province of China</t>
        </is>
      </c>
      <c r="B7498" t="inlineStr">
        <is>
          <t>Trader with Storage</t>
        </is>
      </c>
      <c r="C7498" t="inlineStr">
        <is>
          <t>Bureau Veritas Polska Sp. z o.o., Warsaw, PL</t>
        </is>
      </c>
      <c r="D7498" t="inlineStr">
        <is>
          <t>22.02.2027</t>
        </is>
      </c>
      <c r="E7498" t="inlineStr">
        <is>
          <t>Province of China</t>
        </is>
      </c>
    </row>
    <row r="7499">
      <c r="A7499" t="inlineStr">
        <is>
          <t>UAB Agrochema,  Jonavos sen., Jonavos raj., Lithuania</t>
        </is>
      </c>
      <c r="B7499" t="inlineStr">
        <is>
          <t>First Gathering Point, Trader with Storage</t>
        </is>
      </c>
      <c r="C7499" t="inlineStr">
        <is>
          <t>Bureau Veritas Polska Sp. z o.o., Warsaw, PL</t>
        </is>
      </c>
      <c r="D7499" t="inlineStr">
        <is>
          <t>22.02.2027</t>
        </is>
      </c>
      <c r="E7499" t="inlineStr">
        <is>
          <t>Lithuania</t>
        </is>
      </c>
    </row>
    <row r="7500">
      <c r="A7500" t="inlineStr">
        <is>
          <t>Reciclado de Aceite Usado SLL,  Illescas-Toledo, Spain</t>
        </is>
      </c>
      <c r="B7500" t="inlineStr">
        <is>
          <t>Collecting Point</t>
        </is>
      </c>
      <c r="C7500" t="inlineStr">
        <is>
          <t>Bureau Veritas Polska Sp. z o.o., Warsaw, PL</t>
        </is>
      </c>
      <c r="D7500" t="inlineStr">
        <is>
          <t>22.02.2027</t>
        </is>
      </c>
      <c r="E7500" t="inlineStr">
        <is>
          <t>Spain</t>
        </is>
      </c>
    </row>
    <row r="7501">
      <c r="A7501" t="inlineStr">
        <is>
          <t>KEYTRADING CO., LTD.,  Fujiidera-City, Japan</t>
        </is>
      </c>
      <c r="B7501" t="inlineStr">
        <is>
          <t>Processing Unit, Trader with Storage</t>
        </is>
      </c>
      <c r="C7501" t="inlineStr">
        <is>
          <t>Bureau Veritas Polska Sp. z o.o., Warsaw, PL</t>
        </is>
      </c>
      <c r="D7501" t="inlineStr">
        <is>
          <t>22.02.2027</t>
        </is>
      </c>
      <c r="E7501" t="inlineStr">
        <is>
          <t>Japan</t>
        </is>
      </c>
    </row>
    <row r="7502">
      <c r="A7502" t="inlineStr">
        <is>
          <t>Pick-Up S.r.l.,  Fontanafredda, Italy</t>
        </is>
      </c>
      <c r="B7502" t="inlineStr">
        <is>
          <t>Processing Unit, Trader with Storage</t>
        </is>
      </c>
      <c r="C7502" t="inlineStr">
        <is>
          <t>IIP S.r.l., Monza, IT</t>
        </is>
      </c>
      <c r="D7502" t="inlineStr">
        <is>
          <t>22.02.2027</t>
        </is>
      </c>
      <c r="E7502" t="inlineStr">
        <is>
          <t>Italy</t>
        </is>
      </c>
    </row>
    <row r="7503">
      <c r="A7503" t="inlineStr">
        <is>
          <t>BioUrja Trading LLC,  Houston, United States</t>
        </is>
      </c>
      <c r="B7503" t="inlineStr">
        <is>
          <t>Trader with Storage</t>
        </is>
      </c>
      <c r="C7503" t="inlineStr">
        <is>
          <t>TÜV NORD CERT GmbH, Essen, DE</t>
        </is>
      </c>
      <c r="D7503" t="inlineStr">
        <is>
          <t>22.02.2027</t>
        </is>
      </c>
      <c r="E7503" t="inlineStr">
        <is>
          <t>United States</t>
        </is>
      </c>
    </row>
    <row r="7504">
      <c r="A7504" t="inlineStr">
        <is>
          <t>BioUrja Renewables, LLC,  Peoria, Illinois, United States</t>
        </is>
      </c>
      <c r="B7504" t="inlineStr">
        <is>
          <t>Point of Origin, Processing Unit</t>
        </is>
      </c>
      <c r="C7504" t="inlineStr">
        <is>
          <t>TÜV NORD CERT GmbH, Essen, DE</t>
        </is>
      </c>
      <c r="D7504" t="inlineStr">
        <is>
          <t>22.02.2027</t>
        </is>
      </c>
      <c r="E7504" t="inlineStr">
        <is>
          <t>United States</t>
        </is>
      </c>
    </row>
    <row r="7505">
      <c r="A7505" t="inlineStr">
        <is>
          <t>Alliance Ag and Grain, LLC,  Spearville, United States</t>
        </is>
      </c>
      <c r="B7505" t="inlineStr">
        <is>
          <t>First Gathering Point</t>
        </is>
      </c>
      <c r="C7505" t="inlineStr">
        <is>
          <t>SCS Global Services, Emeryville, CA, US</t>
        </is>
      </c>
      <c r="D7505" t="inlineStr">
        <is>
          <t>22.02.2027</t>
        </is>
      </c>
      <c r="E7505" t="inlineStr">
        <is>
          <t>United States</t>
        </is>
      </c>
    </row>
    <row r="7506">
      <c r="A7506" t="inlineStr">
        <is>
          <t>Alliance Ag and Grain, LLC,  Spearville, United States</t>
        </is>
      </c>
      <c r="B7506" t="inlineStr">
        <is>
          <t>First Gathering Point</t>
        </is>
      </c>
      <c r="C7506" t="inlineStr">
        <is>
          <t>SCS Global Services, Emeryville, CA, US</t>
        </is>
      </c>
      <c r="D7506" t="inlineStr">
        <is>
          <t>22.02.2027</t>
        </is>
      </c>
      <c r="E7506" t="inlineStr">
        <is>
          <t>United States</t>
        </is>
      </c>
    </row>
    <row r="7507">
      <c r="A7507" t="inlineStr">
        <is>
          <t>Arkema France,  MARSEILLE cedex11, France</t>
        </is>
      </c>
      <c r="B7507" t="inlineStr">
        <is>
          <t>Point of Origin, Processing Unit</t>
        </is>
      </c>
      <c r="C7507" t="inlineStr">
        <is>
          <t>Control Union Certifications Germany GmbH, Berlin, DE</t>
        </is>
      </c>
      <c r="D7507" t="inlineStr">
        <is>
          <t>22.02.2027</t>
        </is>
      </c>
      <c r="E7507" t="inlineStr">
        <is>
          <t>France</t>
        </is>
      </c>
    </row>
    <row r="7508">
      <c r="A7508" t="inlineStr">
        <is>
          <t>Inteplast Group Corporation,  Gray Court, United States</t>
        </is>
      </c>
      <c r="B7508" t="inlineStr">
        <is>
          <t>Processing Unit</t>
        </is>
      </c>
      <c r="C7508" t="inlineStr">
        <is>
          <t>SCS Global Services, Emeryville, CA, US</t>
        </is>
      </c>
      <c r="D7508" t="inlineStr">
        <is>
          <t>22.02.2027</t>
        </is>
      </c>
      <c r="E7508" t="inlineStr">
        <is>
          <t>United States</t>
        </is>
      </c>
    </row>
    <row r="7509">
      <c r="A7509" t="inlineStr">
        <is>
          <t>La Fabril,  Montecristi, Ecuador, Ecuador</t>
        </is>
      </c>
      <c r="B7509" t="inlineStr">
        <is>
          <t>Point of Origin</t>
        </is>
      </c>
      <c r="C7509" t="inlineStr">
        <is>
          <t>SCS Global Services, Emeryville, CA, US</t>
        </is>
      </c>
      <c r="D7509" t="inlineStr">
        <is>
          <t>22.02.2027</t>
        </is>
      </c>
      <c r="E7509" t="inlineStr">
        <is>
          <t>Ecuador</t>
        </is>
      </c>
    </row>
    <row r="7510">
      <c r="A7510" t="inlineStr">
        <is>
          <t>Mena Jaya PTE LTD,  Singapore, Singapore</t>
        </is>
      </c>
      <c r="B7510" t="inlineStr">
        <is>
          <t>Trader</t>
        </is>
      </c>
      <c r="C7510" t="inlineStr">
        <is>
          <t>China Standard Conformity Assessment Co. Ltd, Beijing, CN</t>
        </is>
      </c>
      <c r="D7510" t="inlineStr">
        <is>
          <t>22.02.2027</t>
        </is>
      </c>
      <c r="E7510" t="inlineStr">
        <is>
          <t>Singapore</t>
        </is>
      </c>
    </row>
    <row r="7511">
      <c r="A7511" t="inlineStr">
        <is>
          <t>Yoshida Cosmeworks Co., Ltd.,  Tokyo, Japan</t>
        </is>
      </c>
      <c r="B7511" t="inlineStr">
        <is>
          <t>Trader</t>
        </is>
      </c>
      <c r="C7511" t="inlineStr">
        <is>
          <t>Control Union Certifications Germany GmbH, Berlin, DE</t>
        </is>
      </c>
      <c r="D7511" t="inlineStr">
        <is>
          <t>22.02.2027</t>
        </is>
      </c>
      <c r="E7511" t="inlineStr">
        <is>
          <t>Japan</t>
        </is>
      </c>
    </row>
    <row r="7512">
      <c r="A7512" t="inlineStr">
        <is>
          <t>RYK Mills Limited,  DISTRICT RAHIM YAR KHAN, Pakistan</t>
        </is>
      </c>
      <c r="B7512" t="inlineStr">
        <is>
          <t>Processing Unit</t>
        </is>
      </c>
      <c r="C7512" t="inlineStr">
        <is>
          <t>PT Intertek Utama Services, Jakarta, ID</t>
        </is>
      </c>
      <c r="D7512" t="inlineStr">
        <is>
          <t>22.02.2027</t>
        </is>
      </c>
      <c r="E7512" t="inlineStr">
        <is>
          <t>Pakistan</t>
        </is>
      </c>
    </row>
    <row r="7513">
      <c r="A7513" t="inlineStr">
        <is>
          <t>VRKS OILS,  White House, Hyderabad, Telangana, India</t>
        </is>
      </c>
      <c r="B7513" t="inlineStr">
        <is>
          <t>Collecting Point, Trader with Storage</t>
        </is>
      </c>
      <c r="C7513" t="inlineStr">
        <is>
          <t>PT TSI Sertifikasi Internasional, Jakarta Selatang, ID</t>
        </is>
      </c>
      <c r="D7513" t="inlineStr">
        <is>
          <t>22.02.2027</t>
        </is>
      </c>
      <c r="E7513" t="inlineStr">
        <is>
          <t>India</t>
        </is>
      </c>
    </row>
    <row r="7514">
      <c r="A7514" t="inlineStr">
        <is>
          <t>Stylers International Limited,  Lahore, Pakistan</t>
        </is>
      </c>
      <c r="B7514" t="inlineStr">
        <is>
          <t>Processing Unit</t>
        </is>
      </c>
      <c r="C7514" t="inlineStr">
        <is>
          <t>PT Intertek Utama Services, Jakarta, ID</t>
        </is>
      </c>
      <c r="D7514" t="inlineStr">
        <is>
          <t>22.02.2027</t>
        </is>
      </c>
      <c r="E7514" t="inlineStr">
        <is>
          <t>Pakistan</t>
        </is>
      </c>
    </row>
    <row r="7515">
      <c r="A7515" t="inlineStr">
        <is>
          <t>G K N CHEMICAL INDIA PRIVATE LIMITED,  GANDHIDHAM KACHCHH, India</t>
        </is>
      </c>
      <c r="B7515" t="inlineStr">
        <is>
          <t>Trader with Storage, Warehouse</t>
        </is>
      </c>
      <c r="C7515" t="inlineStr">
        <is>
          <t>PT TSI Sertifikasi Internasional, Jakarta Selatang, ID</t>
        </is>
      </c>
      <c r="D7515" t="inlineStr">
        <is>
          <t>22.02.2027</t>
        </is>
      </c>
      <c r="E7515" t="inlineStr">
        <is>
          <t>India</t>
        </is>
      </c>
    </row>
    <row r="7516">
      <c r="A7516" t="inlineStr">
        <is>
          <t>EVOS ALGECIRAS, SAU,  Algeciras, Spain</t>
        </is>
      </c>
      <c r="B7516" t="inlineStr">
        <is>
          <t>Warehouse</t>
        </is>
      </c>
      <c r="C7516" t="inlineStr">
        <is>
          <t>Certificadora Gallega del Noroeste SL, Vilagarcia de Arousa-Pontevedra, ES</t>
        </is>
      </c>
      <c r="D7516" t="inlineStr">
        <is>
          <t>21.02.2027</t>
        </is>
      </c>
      <c r="E7516" t="inlineStr">
        <is>
          <t>Spain</t>
        </is>
      </c>
    </row>
    <row r="7517">
      <c r="A7517" t="inlineStr">
        <is>
          <t>NEEMANN LiteFlexPACKAGING GmbH &amp; Co. KG,  Leer, Germany</t>
        </is>
      </c>
      <c r="B7517" t="inlineStr">
        <is>
          <t>Final Product Refinement, Processing Unit</t>
        </is>
      </c>
      <c r="C7517" t="inlineStr">
        <is>
          <t>SGS Germany GmbH, Emstek, DE</t>
        </is>
      </c>
      <c r="D7517" t="inlineStr">
        <is>
          <t>21.02.2027</t>
        </is>
      </c>
      <c r="E7517" t="inlineStr">
        <is>
          <t>Germany</t>
        </is>
      </c>
    </row>
    <row r="7518">
      <c r="A7518" t="inlineStr">
        <is>
          <t>Brassica odbytové družstvo,  Lovosice, Czech Republic, Czech Republic</t>
        </is>
      </c>
      <c r="B7518" t="inlineStr">
        <is>
          <t>First Gathering Point, Warehouse</t>
        </is>
      </c>
      <c r="C7518" t="inlineStr">
        <is>
          <t>Bureau Veritas Polska Sp. z o.o., Warsaw, PL</t>
        </is>
      </c>
      <c r="D7518" t="inlineStr">
        <is>
          <t>21.02.2027</t>
        </is>
      </c>
      <c r="E7518" t="inlineStr">
        <is>
          <t>Czech Republic</t>
        </is>
      </c>
    </row>
    <row r="7519">
      <c r="A7519" t="inlineStr">
        <is>
          <t>Quatra France,  Lokeren, Belgium</t>
        </is>
      </c>
      <c r="B7519" t="inlineStr">
        <is>
          <t>Collecting Point</t>
        </is>
      </c>
      <c r="C7519" t="inlineStr">
        <is>
          <t>Control Union Certifications Germany GmbH, Berlin, DE</t>
        </is>
      </c>
      <c r="D7519" t="inlineStr">
        <is>
          <t>21.02.2027</t>
        </is>
      </c>
      <c r="E7519" t="inlineStr">
        <is>
          <t>Belgium</t>
        </is>
      </c>
    </row>
    <row r="7520">
      <c r="A7520" t="inlineStr">
        <is>
          <t>PT Cabot Indonesia,  Cilegon, Indonesia</t>
        </is>
      </c>
      <c r="B7520" t="inlineStr">
        <is>
          <t>Processing Unit, Trader with Storage</t>
        </is>
      </c>
      <c r="C7520" t="inlineStr">
        <is>
          <t>Bureau Veritas Polska Sp. z o.o., Warsaw, PL</t>
        </is>
      </c>
      <c r="D7520" t="inlineStr">
        <is>
          <t>21.02.2027</t>
        </is>
      </c>
      <c r="E7520" t="inlineStr">
        <is>
          <t>Indonesia</t>
        </is>
      </c>
    </row>
    <row r="7521">
      <c r="A7521" t="inlineStr">
        <is>
          <t>SNETOR France,  Courbevoie, Cedex, France</t>
        </is>
      </c>
      <c r="B7521" t="inlineStr">
        <is>
          <t>Trader with Storage</t>
        </is>
      </c>
      <c r="C7521" t="inlineStr">
        <is>
          <t>Bureau Veritas Polska Sp. z o.o., Warsaw, PL</t>
        </is>
      </c>
      <c r="D7521" t="inlineStr">
        <is>
          <t>21.02.2027</t>
        </is>
      </c>
      <c r="E7521" t="inlineStr">
        <is>
          <t>France</t>
        </is>
      </c>
    </row>
    <row r="7522">
      <c r="A7522" t="inlineStr">
        <is>
          <t>R100 Energy Limited,  Spaldington, Howden, United Kingdom</t>
        </is>
      </c>
      <c r="B7522" t="inlineStr">
        <is>
          <t>Processing Unit</t>
        </is>
      </c>
      <c r="C7522" t="inlineStr">
        <is>
          <t>Double Helix Tracking Technologies Pte Ltd, Singapore, SG</t>
        </is>
      </c>
      <c r="D7522" t="inlineStr">
        <is>
          <t>21.02.2027</t>
        </is>
      </c>
      <c r="E7522" t="inlineStr">
        <is>
          <t>United Kingdom</t>
        </is>
      </c>
    </row>
    <row r="7523">
      <c r="A7523" t="inlineStr">
        <is>
          <t>Gatti SRL,  Montaletto Di Cervia, Italy</t>
        </is>
      </c>
      <c r="B7523" t="inlineStr">
        <is>
          <t>Collecting Point, Processing Unit, Warehouse</t>
        </is>
      </c>
      <c r="C7523" t="inlineStr">
        <is>
          <t>SGS Germany GmbH, Emstek, DE</t>
        </is>
      </c>
      <c r="D7523" t="inlineStr">
        <is>
          <t>21.02.2027</t>
        </is>
      </c>
      <c r="E7523" t="inlineStr">
        <is>
          <t>Italy</t>
        </is>
      </c>
    </row>
    <row r="7524">
      <c r="A7524" t="inlineStr">
        <is>
          <t>Gatti SRL,  Castelnuovo Rangone (MO), Italy</t>
        </is>
      </c>
      <c r="B7524" t="inlineStr">
        <is>
          <t>Collecting Point, Processing Unit, Trader with Storage, Warehouse</t>
        </is>
      </c>
      <c r="C7524" t="inlineStr">
        <is>
          <t>SGS Germany GmbH, Emstek, DE</t>
        </is>
      </c>
      <c r="D7524" t="inlineStr">
        <is>
          <t>21.02.2027</t>
        </is>
      </c>
      <c r="E7524" t="inlineStr">
        <is>
          <t>Italy</t>
        </is>
      </c>
    </row>
    <row r="7525">
      <c r="A7525" t="inlineStr">
        <is>
          <t>Nordische Oelwerke Walther Carroux GmbH &amp; Co KG,  Hamburg, Germany</t>
        </is>
      </c>
      <c r="B7525" t="inlineStr">
        <is>
          <t>Point of Origin, Processing Unit</t>
        </is>
      </c>
      <c r="C7525" t="inlineStr">
        <is>
          <t>RINA Services S.p.A., Genova, IT</t>
        </is>
      </c>
      <c r="D7525" t="inlineStr">
        <is>
          <t>21.02.2027</t>
        </is>
      </c>
      <c r="E7525" t="inlineStr">
        <is>
          <t>Germany</t>
        </is>
      </c>
    </row>
    <row r="7526">
      <c r="A7526" t="inlineStr">
        <is>
          <t>Veolia Italia,  Milano, Italy</t>
        </is>
      </c>
      <c r="B7526" t="inlineStr">
        <is>
          <t>Trader</t>
        </is>
      </c>
      <c r="C7526" t="inlineStr">
        <is>
          <t>Bureau Veritas Polska Sp. z o.o., Warsaw, PL</t>
        </is>
      </c>
      <c r="D7526" t="inlineStr">
        <is>
          <t>21.02.2027</t>
        </is>
      </c>
      <c r="E7526" t="inlineStr">
        <is>
          <t>Italy</t>
        </is>
      </c>
    </row>
    <row r="7527">
      <c r="A7527" t="inlineStr">
        <is>
          <t>NORDSJÆLLANDS ANDELS GROVVAREFORENING A.M.B.A.,  Helsinge, Denmark</t>
        </is>
      </c>
      <c r="B7527" t="inlineStr">
        <is>
          <t>First Gathering Point</t>
        </is>
      </c>
      <c r="C7527" t="inlineStr">
        <is>
          <t>Baltic Control Certification, Albertslund, DK</t>
        </is>
      </c>
      <c r="D7527" t="inlineStr">
        <is>
          <t>21.02.2027</t>
        </is>
      </c>
      <c r="E7527" t="inlineStr">
        <is>
          <t>Denmark</t>
        </is>
      </c>
    </row>
    <row r="7528">
      <c r="A7528" t="inlineStr">
        <is>
          <t>Stavrogiannis S. - Tsoukalos N. O.E.,  Lamia Fthiotis, Greece</t>
        </is>
      </c>
      <c r="B7528" t="inlineStr">
        <is>
          <t>Collecting Point</t>
        </is>
      </c>
      <c r="C7528" t="inlineStr">
        <is>
          <t>Eurocert SA, Metamorfosi, Athens, GR</t>
        </is>
      </c>
      <c r="D7528" t="inlineStr">
        <is>
          <t>21.02.2027</t>
        </is>
      </c>
      <c r="E7528" t="inlineStr">
        <is>
          <t>Greece</t>
        </is>
      </c>
    </row>
    <row r="7529">
      <c r="A7529" t="inlineStr">
        <is>
          <t>Crocco Spa,  Cornedo Vicentino, Italy</t>
        </is>
      </c>
      <c r="B7529" t="inlineStr">
        <is>
          <t>Processing Unit</t>
        </is>
      </c>
      <c r="C7529" t="inlineStr">
        <is>
          <t>ICIM SpA, sesto san giovanni, IT</t>
        </is>
      </c>
      <c r="D7529" t="inlineStr">
        <is>
          <t>21.02.2027</t>
        </is>
      </c>
      <c r="E7529" t="inlineStr">
        <is>
          <t>Italy</t>
        </is>
      </c>
    </row>
    <row r="7530">
      <c r="A7530" t="inlineStr">
        <is>
          <t>Berry Global Sarasota,  Sarasota, United States</t>
        </is>
      </c>
      <c r="B7530" t="inlineStr">
        <is>
          <t>Processing Unit</t>
        </is>
      </c>
      <c r="C7530" t="inlineStr">
        <is>
          <t>SCS Global Services, Emeryville, CA, US</t>
        </is>
      </c>
      <c r="D7530" t="inlineStr">
        <is>
          <t>21.02.2027</t>
        </is>
      </c>
      <c r="E7530" t="inlineStr">
        <is>
          <t>United States</t>
        </is>
      </c>
    </row>
    <row r="7531">
      <c r="A7531" t="inlineStr">
        <is>
          <t>Elopak GmbH,  Mannheim, Germany</t>
        </is>
      </c>
      <c r="B7531" t="inlineStr">
        <is>
          <t>Trader with Storage</t>
        </is>
      </c>
      <c r="C7531" t="inlineStr">
        <is>
          <t>Control Union Certifications Germany GmbH, Berlin, DE</t>
        </is>
      </c>
      <c r="D7531" t="inlineStr">
        <is>
          <t>21.02.2027</t>
        </is>
      </c>
      <c r="E7531" t="inlineStr">
        <is>
          <t>Germany</t>
        </is>
      </c>
    </row>
    <row r="7532">
      <c r="A7532" t="inlineStr">
        <is>
          <t>Elopak ASA,  Lystrup, Denmark</t>
        </is>
      </c>
      <c r="B7532" t="inlineStr">
        <is>
          <t>Processing Unit</t>
        </is>
      </c>
      <c r="C7532" t="inlineStr">
        <is>
          <t>Control Union Certifications Germany GmbH, Berlin, DE</t>
        </is>
      </c>
      <c r="D7532" t="inlineStr">
        <is>
          <t>21.02.2027</t>
        </is>
      </c>
      <c r="E7532" t="inlineStr">
        <is>
          <t>Denmark</t>
        </is>
      </c>
    </row>
    <row r="7533">
      <c r="A7533" t="inlineStr">
        <is>
          <t>Xiamen C&amp;D Commodity Trading Co., Ltd.,  Xiamen, China</t>
        </is>
      </c>
      <c r="B7533" t="inlineStr">
        <is>
          <t>Trader with Storage</t>
        </is>
      </c>
      <c r="C7533" t="inlineStr">
        <is>
          <t>RINA Services S.p.A., Genova, IT</t>
        </is>
      </c>
      <c r="D7533" t="inlineStr">
        <is>
          <t>21.02.2027</t>
        </is>
      </c>
      <c r="E7533" t="inlineStr">
        <is>
          <t>China</t>
        </is>
      </c>
    </row>
    <row r="7534">
      <c r="A7534" t="inlineStr">
        <is>
          <t>Agroindustria Palmera San Román, S. A.,  SAYAXCHE, Guatemala</t>
        </is>
      </c>
      <c r="B7534" t="inlineStr">
        <is>
          <t>Point of Origin</t>
        </is>
      </c>
      <c r="C7534" t="inlineStr">
        <is>
          <t>Control Union Poland Sp. z o.o., Zielona Gora, PL</t>
        </is>
      </c>
      <c r="D7534" t="inlineStr">
        <is>
          <t>21.02.2027</t>
        </is>
      </c>
      <c r="E7534" t="inlineStr">
        <is>
          <t>Guatemala</t>
        </is>
      </c>
    </row>
    <row r="7535">
      <c r="A7535" t="inlineStr">
        <is>
          <t>Sembradios de Palma Africana, S.A. DE C.V.,  EL CARMEN, Mexico</t>
        </is>
      </c>
      <c r="B7535" t="inlineStr">
        <is>
          <t>Point of Origin</t>
        </is>
      </c>
      <c r="C7535" t="inlineStr">
        <is>
          <t>Control Union Poland Sp. z o.o., Zielona Gora, PL</t>
        </is>
      </c>
      <c r="D7535" t="inlineStr">
        <is>
          <t>21.02.2027</t>
        </is>
      </c>
      <c r="E7535" t="inlineStr">
        <is>
          <t>Mexico</t>
        </is>
      </c>
    </row>
    <row r="7536">
      <c r="A7536" t="inlineStr">
        <is>
          <t>Toms AG s.r.o.,  Strakonice, Czech Republic</t>
        </is>
      </c>
      <c r="B7536" t="inlineStr">
        <is>
          <t>First Gathering Point, Trader with Storage</t>
        </is>
      </c>
      <c r="C7536" t="inlineStr">
        <is>
          <t>United Registrar of Systems Polska Sp. z o.o., Wrocław, PL</t>
        </is>
      </c>
      <c r="D7536" t="inlineStr">
        <is>
          <t>21.02.2027</t>
        </is>
      </c>
      <c r="E7536" t="inlineStr">
        <is>
          <t>Czech Republic</t>
        </is>
      </c>
    </row>
    <row r="7537">
      <c r="A7537" t="inlineStr">
        <is>
          <t>BP Australia,  Docklands, Australia</t>
        </is>
      </c>
      <c r="B7537" t="inlineStr">
        <is>
          <t>Trader</t>
        </is>
      </c>
      <c r="C7537" t="inlineStr">
        <is>
          <t>Control Union Certifications Germany GmbH, Berlin, DE</t>
        </is>
      </c>
      <c r="D7537" t="inlineStr">
        <is>
          <t>21.02.2027</t>
        </is>
      </c>
      <c r="E7537" t="inlineStr">
        <is>
          <t>Australia</t>
        </is>
      </c>
    </row>
    <row r="7538">
      <c r="A7538" t="inlineStr">
        <is>
          <t>BP Australia,  Docklands, Australia</t>
        </is>
      </c>
      <c r="B7538" t="inlineStr">
        <is>
          <t>Trader</t>
        </is>
      </c>
      <c r="C7538" t="inlineStr">
        <is>
          <t>Control Union Certifications Germany GmbH, Berlin, DE</t>
        </is>
      </c>
      <c r="D7538" t="inlineStr">
        <is>
          <t>21.02.2027</t>
        </is>
      </c>
      <c r="E7538" t="inlineStr">
        <is>
          <t>Australia</t>
        </is>
      </c>
    </row>
    <row r="7539">
      <c r="A7539" t="inlineStr">
        <is>
          <t>Mitra Andalan Sawit,  Mamuju Tengah, Sulawesi Barat, Indonesia</t>
        </is>
      </c>
      <c r="B7539" t="inlineStr">
        <is>
          <t>Point of Origin</t>
        </is>
      </c>
      <c r="C7539" t="inlineStr">
        <is>
          <t>PT. Qualitas Sertifikasi Indonesia, Jakarta, ID</t>
        </is>
      </c>
      <c r="D7539" t="inlineStr">
        <is>
          <t>21.02.2027</t>
        </is>
      </c>
      <c r="E7539" t="inlineStr">
        <is>
          <t>Indonesia</t>
        </is>
      </c>
    </row>
    <row r="7540">
      <c r="A7540" t="inlineStr">
        <is>
          <t>Mitra Andalan Sawit,  Mamuju Tengah, Sulawesi Barat, Indonesia</t>
        </is>
      </c>
      <c r="B7540" t="inlineStr">
        <is>
          <t>Point of Origin</t>
        </is>
      </c>
      <c r="C7540" t="inlineStr">
        <is>
          <t>PT. Qualitas Sertifikasi Indonesia, Jakarta, ID</t>
        </is>
      </c>
      <c r="D7540" t="inlineStr">
        <is>
          <t>21.02.2027</t>
        </is>
      </c>
      <c r="E7540" t="inlineStr">
        <is>
          <t>Indonesia</t>
        </is>
      </c>
    </row>
    <row r="7541">
      <c r="A7541" t="inlineStr">
        <is>
          <t>Far East Commodities SA,  Geneva, Switzerland</t>
        </is>
      </c>
      <c r="B7541" t="inlineStr">
        <is>
          <t>Trader</t>
        </is>
      </c>
      <c r="C7541" t="inlineStr">
        <is>
          <t>SGS Germany GmbH, Emstek, DE</t>
        </is>
      </c>
      <c r="D7541" t="inlineStr">
        <is>
          <t>21.02.2027</t>
        </is>
      </c>
      <c r="E7541" t="inlineStr">
        <is>
          <t>Switzerland</t>
        </is>
      </c>
    </row>
    <row r="7542">
      <c r="A7542" t="inlineStr">
        <is>
          <t>Nanjing Julong Science &amp; Technology Co., Ltd.,  Nanjing City,Jiangsu Province, China</t>
        </is>
      </c>
      <c r="B7542" t="inlineStr">
        <is>
          <t>Processing Unit</t>
        </is>
      </c>
      <c r="C7542" t="inlineStr">
        <is>
          <t>DIN CERTCO GmbH, Berlin, DE</t>
        </is>
      </c>
      <c r="D7542" t="inlineStr">
        <is>
          <t>21.02.2027</t>
        </is>
      </c>
      <c r="E7542" t="inlineStr">
        <is>
          <t>China</t>
        </is>
      </c>
    </row>
    <row r="7543">
      <c r="A7543" t="inlineStr">
        <is>
          <t>Gatti SRL,  Castelnuovo Rangone, Italy</t>
        </is>
      </c>
      <c r="B7543" t="inlineStr">
        <is>
          <t>Point of Origin, Trader with Storage, Warehouse</t>
        </is>
      </c>
      <c r="C7543" t="inlineStr">
        <is>
          <t>SGS Germany GmbH, Emstek, DE</t>
        </is>
      </c>
      <c r="D7543" t="inlineStr">
        <is>
          <t>21.02.2027</t>
        </is>
      </c>
      <c r="E7543" t="inlineStr">
        <is>
          <t>Italy</t>
        </is>
      </c>
    </row>
    <row r="7544">
      <c r="A7544" t="inlineStr">
        <is>
          <t>Ecoinenergy,  Chungchungnam-do, South Korea</t>
        </is>
      </c>
      <c r="B7544" t="inlineStr">
        <is>
          <t>Collecting Point, Processing Unit</t>
        </is>
      </c>
      <c r="C7544" t="inlineStr">
        <is>
          <t>Korean Foundation for Quality, Songpa-gu, Seoul, KR</t>
        </is>
      </c>
      <c r="D7544" t="inlineStr">
        <is>
          <t>21.02.2027</t>
        </is>
      </c>
      <c r="E7544" t="inlineStr">
        <is>
          <t>South Korea</t>
        </is>
      </c>
    </row>
    <row r="7545">
      <c r="A7545" t="inlineStr">
        <is>
          <t>Kilang Kelapa Sawit Lekir Sdn. Bhd.,  Sitiawan, Malaysia</t>
        </is>
      </c>
      <c r="B7545" t="inlineStr">
        <is>
          <t>Point of Origin</t>
        </is>
      </c>
      <c r="C7545" t="inlineStr">
        <is>
          <t>Trans Certification and Inspection Sdn Bhd, Kuantan, MY</t>
        </is>
      </c>
      <c r="D7545" t="inlineStr">
        <is>
          <t>21.02.2027</t>
        </is>
      </c>
      <c r="E7545" t="inlineStr">
        <is>
          <t>Malaysia</t>
        </is>
      </c>
    </row>
    <row r="7546">
      <c r="A7546" t="inlineStr">
        <is>
          <t>Wang Bo Co., Limited,  Kwun Tong, Kowloon, Hong Kong, Hong Kong</t>
        </is>
      </c>
      <c r="B7546" t="inlineStr">
        <is>
          <t>Collecting Point, Trader with Storage</t>
        </is>
      </c>
      <c r="C7546" t="inlineStr">
        <is>
          <t>Trans Certification and Inspection Sdn Bhd, Kuantan, MY</t>
        </is>
      </c>
      <c r="D7546" t="inlineStr">
        <is>
          <t>20.02.2027</t>
        </is>
      </c>
      <c r="E7546" t="inlineStr">
        <is>
          <t>Hong Kong</t>
        </is>
      </c>
    </row>
    <row r="7547">
      <c r="A7547" t="inlineStr">
        <is>
          <t>STRUGA Sp. z o.o.,  Rojewo, Poland</t>
        </is>
      </c>
      <c r="B7547" t="inlineStr">
        <is>
          <t>Point of Origin</t>
        </is>
      </c>
      <c r="C7547" t="inlineStr">
        <is>
          <t>Control Union Poland Sp. z o.o., Zielona Gora, PL</t>
        </is>
      </c>
      <c r="D7547" t="inlineStr">
        <is>
          <t>20.02.2027</t>
        </is>
      </c>
      <c r="E7547" t="inlineStr">
        <is>
          <t>Poland</t>
        </is>
      </c>
    </row>
    <row r="7548">
      <c r="A7548" t="inlineStr">
        <is>
          <t>Grasasbio S.A.S,  Bogota, Colombia</t>
        </is>
      </c>
      <c r="B7548" t="inlineStr">
        <is>
          <t>Collecting Point, Trader with Storage</t>
        </is>
      </c>
      <c r="C7548" t="inlineStr">
        <is>
          <t>Certificadora Gallega del Noroeste SL, Vilagarcia de Arousa-Pontevedra, ES</t>
        </is>
      </c>
      <c r="D7548" t="inlineStr">
        <is>
          <t>20.02.2027</t>
        </is>
      </c>
      <c r="E7548" t="inlineStr">
        <is>
          <t>Colombia</t>
        </is>
      </c>
    </row>
    <row r="7549">
      <c r="A7549" t="inlineStr">
        <is>
          <t>Braskem Europe GmbH,  Schkopau, Germany</t>
        </is>
      </c>
      <c r="B7549" t="inlineStr">
        <is>
          <t>Processing Unit</t>
        </is>
      </c>
      <c r="C7549" t="inlineStr">
        <is>
          <t>Control Union Certifications Germany GmbH, Berlin, DE</t>
        </is>
      </c>
      <c r="D7549" t="inlineStr">
        <is>
          <t>20.02.2027</t>
        </is>
      </c>
      <c r="E7549" t="inlineStr">
        <is>
          <t>Germany</t>
        </is>
      </c>
    </row>
    <row r="7550">
      <c r="A7550" t="inlineStr">
        <is>
          <t>Plastic Ingenuity,  Mazomanie, WI, United States</t>
        </is>
      </c>
      <c r="B7550" t="inlineStr">
        <is>
          <t>Processing Unit</t>
        </is>
      </c>
      <c r="C7550" t="inlineStr">
        <is>
          <t>SCS Global Services, Emeryville, CA, US</t>
        </is>
      </c>
      <c r="D7550" t="inlineStr">
        <is>
          <t>20.02.2027</t>
        </is>
      </c>
      <c r="E7550" t="inlineStr">
        <is>
          <t>United States</t>
        </is>
      </c>
    </row>
    <row r="7551">
      <c r="A7551" t="inlineStr">
        <is>
          <t>Galaxy Surfactants Limited,  Bharuch, India</t>
        </is>
      </c>
      <c r="B7551" t="inlineStr">
        <is>
          <t>Processing Unit</t>
        </is>
      </c>
      <c r="C7551" t="inlineStr">
        <is>
          <t>Control Union Certifications Germany GmbH, Berlin, DE</t>
        </is>
      </c>
      <c r="D7551" t="inlineStr">
        <is>
          <t>20.02.2027</t>
        </is>
      </c>
      <c r="E7551" t="inlineStr">
        <is>
          <t>India</t>
        </is>
      </c>
    </row>
    <row r="7552">
      <c r="A7552" t="inlineStr">
        <is>
          <t>Quatra NV,  Lokeren, Belgium</t>
        </is>
      </c>
      <c r="B7552" t="inlineStr">
        <is>
          <t>Trader with Storage</t>
        </is>
      </c>
      <c r="C7552" t="inlineStr">
        <is>
          <t>Control Union Certifications Germany GmbH, Berlin, DE</t>
        </is>
      </c>
      <c r="D7552" t="inlineStr">
        <is>
          <t>20.02.2027</t>
        </is>
      </c>
      <c r="E7552" t="inlineStr">
        <is>
          <t>Belgium</t>
        </is>
      </c>
    </row>
    <row r="7553">
      <c r="A7553" t="inlineStr">
        <is>
          <t>Quatra NV,  Lokeren, Belgium</t>
        </is>
      </c>
      <c r="B7553" t="inlineStr">
        <is>
          <t>Collecting Point, Point of Origin, Trader with Storage</t>
        </is>
      </c>
      <c r="C7553" t="inlineStr">
        <is>
          <t>Control Union Certifications Germany GmbH, Berlin, DE</t>
        </is>
      </c>
      <c r="D7553" t="inlineStr">
        <is>
          <t>20.02.2027</t>
        </is>
      </c>
      <c r="E7553" t="inlineStr">
        <is>
          <t>Belgium</t>
        </is>
      </c>
    </row>
    <row r="7554">
      <c r="A7554" t="inlineStr">
        <is>
          <t>Plastic Ingenuity,  Cross Plains, WI, United States</t>
        </is>
      </c>
      <c r="B7554" t="inlineStr">
        <is>
          <t>Processing Unit</t>
        </is>
      </c>
      <c r="C7554" t="inlineStr">
        <is>
          <t>SCS Global Services, Emeryville, CA, US</t>
        </is>
      </c>
      <c r="D7554" t="inlineStr">
        <is>
          <t>20.02.2027</t>
        </is>
      </c>
      <c r="E7554" t="inlineStr">
        <is>
          <t>United States</t>
        </is>
      </c>
    </row>
    <row r="7555">
      <c r="A7555" t="inlineStr">
        <is>
          <t>Braskem Europe GmbH,  Wesseling, Germany</t>
        </is>
      </c>
      <c r="B7555" t="inlineStr">
        <is>
          <t>Processing Unit</t>
        </is>
      </c>
      <c r="C7555" t="inlineStr">
        <is>
          <t>Control Union Certifications Germany GmbH, Berlin, DE</t>
        </is>
      </c>
      <c r="D7555" t="inlineStr">
        <is>
          <t>20.02.2027</t>
        </is>
      </c>
      <c r="E7555" t="inlineStr">
        <is>
          <t>Germany</t>
        </is>
      </c>
    </row>
    <row r="7556">
      <c r="A7556" t="inlineStr">
        <is>
          <t>Aldesko Co.,Ltd.,  Jongno-gu, Seoul, Korea, Republic of</t>
        </is>
      </c>
      <c r="B7556" t="inlineStr">
        <is>
          <t>Trader</t>
        </is>
      </c>
      <c r="C7556" t="inlineStr">
        <is>
          <t>Control Union Certifications Germany GmbH, Berlin, DE</t>
        </is>
      </c>
      <c r="D7556" t="inlineStr">
        <is>
          <t>20.02.2027</t>
        </is>
      </c>
      <c r="E7556" t="inlineStr">
        <is>
          <t>Republic of</t>
        </is>
      </c>
    </row>
    <row r="7557">
      <c r="A7557" t="inlineStr">
        <is>
          <t>Atlántida, S.A.,  AYUTLA, Guatemala</t>
        </is>
      </c>
      <c r="B7557" t="inlineStr">
        <is>
          <t>Point of Origin</t>
        </is>
      </c>
      <c r="C7557" t="inlineStr">
        <is>
          <t>Control Union Poland Sp. z o.o., Zielona Gora, PL</t>
        </is>
      </c>
      <c r="D7557" t="inlineStr">
        <is>
          <t>20.02.2027</t>
        </is>
      </c>
      <c r="E7557" t="inlineStr">
        <is>
          <t>Guatemala</t>
        </is>
      </c>
    </row>
    <row r="7558">
      <c r="A7558" t="inlineStr">
        <is>
          <t>HADITON TRADE SRL,  Barla, Arges county, Romania</t>
        </is>
      </c>
      <c r="B7558" t="inlineStr">
        <is>
          <t>First Gathering Point, Trader with Storage</t>
        </is>
      </c>
      <c r="C7558" t="inlineStr">
        <is>
          <t>SRAC Cert SRL, Bucharest, RO</t>
        </is>
      </c>
      <c r="D7558" t="inlineStr">
        <is>
          <t>20.02.2027</t>
        </is>
      </c>
      <c r="E7558" t="inlineStr">
        <is>
          <t>Romania</t>
        </is>
      </c>
    </row>
    <row r="7559">
      <c r="A7559" t="inlineStr">
        <is>
          <t>TORAY INDUSTRIES, INC. Films Division,  Chuo-ku, Tokyo, Japan</t>
        </is>
      </c>
      <c r="B7559" t="inlineStr">
        <is>
          <t>Trader</t>
        </is>
      </c>
      <c r="C7559" t="inlineStr">
        <is>
          <t>SGS Germany GmbH, Emstek, DE</t>
        </is>
      </c>
      <c r="D7559" t="inlineStr">
        <is>
          <t>20.02.2027</t>
        </is>
      </c>
      <c r="E7559" t="inlineStr">
        <is>
          <t>Japan</t>
        </is>
      </c>
    </row>
    <row r="7560">
      <c r="A7560" t="inlineStr">
        <is>
          <t>Yantai Shifang Environmental Protection Energy Co. Ltd.,  Nanqujia Village, Daliuhang Town, Penglai District, China</t>
        </is>
      </c>
      <c r="B7560" t="inlineStr">
        <is>
          <t>Collecting Point, Processing Unit</t>
        </is>
      </c>
      <c r="C7560" t="inlineStr">
        <is>
          <t>SCS Global Services, Emeryville, CA, US</t>
        </is>
      </c>
      <c r="D7560" t="inlineStr">
        <is>
          <t>20.02.2027</t>
        </is>
      </c>
      <c r="E7560" t="inlineStr">
        <is>
          <t>China</t>
        </is>
      </c>
    </row>
    <row r="7561">
      <c r="A7561" t="inlineStr">
        <is>
          <t>Galaxy Surfactants Limited,  Navi Mumbai, Raigad, India</t>
        </is>
      </c>
      <c r="B7561" t="inlineStr">
        <is>
          <t>Processing Unit</t>
        </is>
      </c>
      <c r="C7561" t="inlineStr">
        <is>
          <t>Control Union Certifications Germany GmbH, Berlin, DE</t>
        </is>
      </c>
      <c r="D7561" t="inlineStr">
        <is>
          <t>20.02.2027</t>
        </is>
      </c>
      <c r="E7561" t="inlineStr">
        <is>
          <t>India</t>
        </is>
      </c>
    </row>
    <row r="7562">
      <c r="A7562" t="inlineStr">
        <is>
          <t>Innovex Co., Ltd.,  Koga, Japan</t>
        </is>
      </c>
      <c r="B7562" t="inlineStr">
        <is>
          <t>Processing Unit</t>
        </is>
      </c>
      <c r="C7562" t="inlineStr">
        <is>
          <t>Control Union Certifications Germany GmbH, Berlin, DE</t>
        </is>
      </c>
      <c r="D7562" t="inlineStr">
        <is>
          <t>20.02.2027</t>
        </is>
      </c>
      <c r="E7562" t="inlineStr">
        <is>
          <t>Japan</t>
        </is>
      </c>
    </row>
    <row r="7563">
      <c r="A7563" t="inlineStr">
        <is>
          <t>Innovex Co., Ltd.,  Koga, Japan</t>
        </is>
      </c>
      <c r="B7563" t="inlineStr">
        <is>
          <t>Processing Unit</t>
        </is>
      </c>
      <c r="C7563" t="inlineStr">
        <is>
          <t>Control Union Certifications Germany GmbH, Berlin, DE</t>
        </is>
      </c>
      <c r="D7563" t="inlineStr">
        <is>
          <t>20.02.2027</t>
        </is>
      </c>
      <c r="E7563" t="inlineStr">
        <is>
          <t>Japan</t>
        </is>
      </c>
    </row>
    <row r="7564">
      <c r="A7564" t="inlineStr">
        <is>
          <t>Scientex Great Wall,  Rawang, Selangor, Malaysia</t>
        </is>
      </c>
      <c r="B7564" t="inlineStr">
        <is>
          <t>Processing Unit</t>
        </is>
      </c>
      <c r="C7564" t="inlineStr">
        <is>
          <t>SGS Germany GmbH, Emstek, DE</t>
        </is>
      </c>
      <c r="D7564" t="inlineStr">
        <is>
          <t>20.02.2027</t>
        </is>
      </c>
      <c r="E7564" t="inlineStr">
        <is>
          <t>Malaysia</t>
        </is>
      </c>
    </row>
    <row r="7565">
      <c r="A7565" t="inlineStr">
        <is>
          <t>SC Agrotehnica SRL,  Slobozia, Romania</t>
        </is>
      </c>
      <c r="B7565" t="inlineStr">
        <is>
          <t>First Gathering Point, Trader with Storage</t>
        </is>
      </c>
      <c r="C7565" t="inlineStr">
        <is>
          <t>SGS Germany GmbH, Emstek, DE</t>
        </is>
      </c>
      <c r="D7565" t="inlineStr">
        <is>
          <t>20.02.2027</t>
        </is>
      </c>
      <c r="E7565" t="inlineStr">
        <is>
          <t>Romania</t>
        </is>
      </c>
    </row>
    <row r="7566">
      <c r="A7566" t="inlineStr">
        <is>
          <t>Kanematsu Corporation,  Chiyoda-Ku, Tokyo, Japan</t>
        </is>
      </c>
      <c r="B7566" t="inlineStr">
        <is>
          <t>Trader with Storage</t>
        </is>
      </c>
      <c r="C7566" t="inlineStr">
        <is>
          <t>SGS Germany GmbH, Emstek, DE</t>
        </is>
      </c>
      <c r="D7566" t="inlineStr">
        <is>
          <t>20.02.2027</t>
        </is>
      </c>
      <c r="E7566" t="inlineStr">
        <is>
          <t>Japan</t>
        </is>
      </c>
    </row>
    <row r="7567">
      <c r="A7567" t="inlineStr">
        <is>
          <t>Kanematsu Corporation,  Chiyoda-Ku, Tokyo, Japan</t>
        </is>
      </c>
      <c r="B7567" t="inlineStr">
        <is>
          <t>Trader with Storage</t>
        </is>
      </c>
      <c r="C7567" t="inlineStr">
        <is>
          <t>SGS Germany GmbH, Emstek, DE</t>
        </is>
      </c>
      <c r="D7567" t="inlineStr">
        <is>
          <t>20.02.2027</t>
        </is>
      </c>
      <c r="E7567" t="inlineStr">
        <is>
          <t>Japan</t>
        </is>
      </c>
    </row>
    <row r="7568">
      <c r="A7568" t="inlineStr">
        <is>
          <t>EMULSION TECHNOLOGY CO.,LTD,  Yokkaichi-shi, Mie, Japan</t>
        </is>
      </c>
      <c r="B7568" t="inlineStr">
        <is>
          <t>Processing Unit</t>
        </is>
      </c>
      <c r="C7568" t="inlineStr">
        <is>
          <t>SGS Germany GmbH, Emstek, DE</t>
        </is>
      </c>
      <c r="D7568" t="inlineStr">
        <is>
          <t>20.02.2027</t>
        </is>
      </c>
      <c r="E7568" t="inlineStr">
        <is>
          <t>Japan</t>
        </is>
      </c>
    </row>
    <row r="7569">
      <c r="A7569" t="inlineStr">
        <is>
          <t>Sung Shin Solution (Viet Nam) Co.,Ltd,  Binh Duong Province, Vietnam</t>
        </is>
      </c>
      <c r="B7569" t="inlineStr">
        <is>
          <t>Processing Unit</t>
        </is>
      </c>
      <c r="C7569" t="inlineStr">
        <is>
          <t>SGS Germany GmbH, Emstek, DE</t>
        </is>
      </c>
      <c r="D7569" t="inlineStr">
        <is>
          <t>20.02.2027</t>
        </is>
      </c>
      <c r="E7569" t="inlineStr">
        <is>
          <t>Vietnam</t>
        </is>
      </c>
    </row>
    <row r="7570">
      <c r="A7570" t="inlineStr">
        <is>
          <t>Solae Belgium NV,  Ieper, Belgium</t>
        </is>
      </c>
      <c r="B7570" t="inlineStr">
        <is>
          <t>Point of Origin, Processing Unit</t>
        </is>
      </c>
      <c r="C7570" t="inlineStr">
        <is>
          <t>Control Union Certifications Germany GmbH, Berlin, DE</t>
        </is>
      </c>
      <c r="D7570" t="inlineStr">
        <is>
          <t>20.02.2027</t>
        </is>
      </c>
      <c r="E7570" t="inlineStr">
        <is>
          <t>Belgium</t>
        </is>
      </c>
    </row>
    <row r="7571">
      <c r="A7571" t="inlineStr">
        <is>
          <t>AXALTA COATING SYSTEMS FRANCE,  SAVIGNEUX, France</t>
        </is>
      </c>
      <c r="B7571" t="inlineStr">
        <is>
          <t>Processing Unit</t>
        </is>
      </c>
      <c r="C7571" t="inlineStr">
        <is>
          <t>Bureau Veritas Polska Sp. z o.o., Warsaw, PL</t>
        </is>
      </c>
      <c r="D7571" t="inlineStr">
        <is>
          <t>19.02.2027</t>
        </is>
      </c>
      <c r="E7571" t="inlineStr">
        <is>
          <t>France</t>
        </is>
      </c>
    </row>
    <row r="7572">
      <c r="A7572" t="inlineStr">
        <is>
          <t>Logoplaste Vienne,  Vienne, France</t>
        </is>
      </c>
      <c r="B7572" t="inlineStr">
        <is>
          <t>Processing Unit</t>
        </is>
      </c>
      <c r="C7572" t="inlineStr">
        <is>
          <t>Bureau Veritas Polska Sp. z o.o., Warsaw, PL</t>
        </is>
      </c>
      <c r="D7572" t="inlineStr">
        <is>
          <t>19.02.2027</t>
        </is>
      </c>
      <c r="E7572" t="inlineStr">
        <is>
          <t>France</t>
        </is>
      </c>
    </row>
    <row r="7573">
      <c r="A7573" t="inlineStr">
        <is>
          <t>Agrobog Star SRL,  Nicolesti, Buzau County, Romania</t>
        </is>
      </c>
      <c r="B7573" t="inlineStr">
        <is>
          <t>First Gathering Point, Trader with Storage</t>
        </is>
      </c>
      <c r="C7573" t="inlineStr">
        <is>
          <t>SGS Germany GmbH, Emstek, DE</t>
        </is>
      </c>
      <c r="D7573" t="inlineStr">
        <is>
          <t>19.02.2027</t>
        </is>
      </c>
      <c r="E7573" t="inlineStr">
        <is>
          <t>Romania</t>
        </is>
      </c>
    </row>
    <row r="7574">
      <c r="A7574" t="inlineStr">
        <is>
          <t>Biofuels de México S.A. de C.V.,  Ciudad de México, Mexico</t>
        </is>
      </c>
      <c r="B7574" t="inlineStr">
        <is>
          <t>Collecting Point</t>
        </is>
      </c>
      <c r="C7574" t="inlineStr">
        <is>
          <t>Certificadora Gallega del Noroeste SL, Vilagarcia de Arousa-Pontevedra, ES</t>
        </is>
      </c>
      <c r="D7574" t="inlineStr">
        <is>
          <t>19.02.2027</t>
        </is>
      </c>
      <c r="E7574" t="inlineStr">
        <is>
          <t>Mexico</t>
        </is>
      </c>
    </row>
    <row r="7575">
      <c r="A7575" t="inlineStr">
        <is>
          <t>Inframalta,  Lisboa, Portugal</t>
        </is>
      </c>
      <c r="B7575" t="inlineStr">
        <is>
          <t>Trader</t>
        </is>
      </c>
      <c r="C7575" t="inlineStr">
        <is>
          <t>Certificadora Gallega del Noroeste SL, Vilagarcia de Arousa-Pontevedra, ES</t>
        </is>
      </c>
      <c r="D7575" t="inlineStr">
        <is>
          <t>19.02.2027</t>
        </is>
      </c>
      <c r="E7575" t="inlineStr">
        <is>
          <t>Portugal</t>
        </is>
      </c>
    </row>
    <row r="7576">
      <c r="A7576" t="inlineStr">
        <is>
          <t>Zhongshan City Xiongbing Rubber Co., Ltd,  Zhongshan City, Guangdong Province, China</t>
        </is>
      </c>
      <c r="B7576" t="inlineStr">
        <is>
          <t>Processing Unit, Final Product Refinement</t>
        </is>
      </c>
      <c r="C7576" t="inlineStr">
        <is>
          <t>China Quality Certification Centre Co., Ltd., Beijing, CN</t>
        </is>
      </c>
      <c r="D7576" t="inlineStr">
        <is>
          <t>19.02.2027</t>
        </is>
      </c>
      <c r="E7576" t="inlineStr">
        <is>
          <t>China</t>
        </is>
      </c>
    </row>
    <row r="7577">
      <c r="A7577" t="inlineStr">
        <is>
          <t>Pyrum Innovations,  Dillingen, Germany</t>
        </is>
      </c>
      <c r="B7577" t="inlineStr">
        <is>
          <t>Collecting Point, Processing Unit, Point of Origin</t>
        </is>
      </c>
      <c r="C7577" t="inlineStr">
        <is>
          <t>SGS Germany GmbH, Emstek, DE</t>
        </is>
      </c>
      <c r="D7577" t="inlineStr">
        <is>
          <t>19.02.2027</t>
        </is>
      </c>
      <c r="E7577" t="inlineStr">
        <is>
          <t>Germany</t>
        </is>
      </c>
    </row>
    <row r="7578">
      <c r="A7578" t="inlineStr">
        <is>
          <t>ST GROW Co.,Ltd,,  Hiroshima-shi, Hirosima, Japan</t>
        </is>
      </c>
      <c r="B7578" t="inlineStr">
        <is>
          <t>Trader with Storage</t>
        </is>
      </c>
      <c r="C7578" t="inlineStr">
        <is>
          <t>Control Union Certifications Germany GmbH, Berlin, DE</t>
        </is>
      </c>
      <c r="D7578" t="inlineStr">
        <is>
          <t>19.02.2027</t>
        </is>
      </c>
      <c r="E7578" t="inlineStr">
        <is>
          <t>Japan</t>
        </is>
      </c>
    </row>
    <row r="7579">
      <c r="A7579" t="inlineStr">
        <is>
          <t>SCIENTEX GREAT WALL (IPOH) SDN BHD,  CHEMOR, Malaysia</t>
        </is>
      </c>
      <c r="B7579" t="inlineStr">
        <is>
          <t>Processing Unit, Point of Origin</t>
        </is>
      </c>
      <c r="C7579" t="inlineStr">
        <is>
          <t>SGS Germany GmbH, Emstek, DE</t>
        </is>
      </c>
      <c r="D7579" t="inlineStr">
        <is>
          <t>19.02.2027</t>
        </is>
      </c>
      <c r="E7579" t="inlineStr">
        <is>
          <t>Malaysia</t>
        </is>
      </c>
    </row>
    <row r="7580">
      <c r="A7580" t="inlineStr">
        <is>
          <t>Syensqo Specialty Polymers USA,  Marietta, OH, United States</t>
        </is>
      </c>
      <c r="B7580" t="inlineStr">
        <is>
          <t>Processing Unit, Warehouse</t>
        </is>
      </c>
      <c r="C7580" t="inlineStr">
        <is>
          <t>SCS Global Services, Emeryville, CA, US</t>
        </is>
      </c>
      <c r="D7580" t="inlineStr">
        <is>
          <t>19.02.2027</t>
        </is>
      </c>
      <c r="E7580" t="inlineStr">
        <is>
          <t>United States</t>
        </is>
      </c>
    </row>
    <row r="7581">
      <c r="A7581" t="inlineStr">
        <is>
          <t>Reckli France,  PUTEAUX, France</t>
        </is>
      </c>
      <c r="B7581" t="inlineStr">
        <is>
          <t>Trader</t>
        </is>
      </c>
      <c r="C7581" t="inlineStr">
        <is>
          <t>TÜV NORD CERT GmbH, Essen, DE</t>
        </is>
      </c>
      <c r="D7581" t="inlineStr">
        <is>
          <t>19.02.2027</t>
        </is>
      </c>
      <c r="E7581" t="inlineStr">
        <is>
          <t>France</t>
        </is>
      </c>
    </row>
    <row r="7582">
      <c r="A7582" t="inlineStr">
        <is>
          <t>DISA LANZAROTE SL,  Arrecife, Spain</t>
        </is>
      </c>
      <c r="B7582" t="inlineStr">
        <is>
          <t>Warehouse</t>
        </is>
      </c>
      <c r="C7582" t="inlineStr">
        <is>
          <t>Control Union Poland Sp. z o.o., Zielona Gora, PL</t>
        </is>
      </c>
      <c r="D7582" t="inlineStr">
        <is>
          <t>19.02.2027</t>
        </is>
      </c>
      <c r="E7582" t="inlineStr">
        <is>
          <t>Spain</t>
        </is>
      </c>
    </row>
    <row r="7583">
      <c r="A7583" t="inlineStr">
        <is>
          <t>Kutasmenti – 5Határ Kft.,  Lajoskomárom, Hungary</t>
        </is>
      </c>
      <c r="B7583" t="inlineStr">
        <is>
          <t>First Gathering Point</t>
        </is>
      </c>
      <c r="C7583" t="inlineStr">
        <is>
          <t>Certificadora Gallega del Noroeste SL, Vilagarcia de Arousa-Pontevedra, ES</t>
        </is>
      </c>
      <c r="D7583" t="inlineStr">
        <is>
          <t>19.02.2027</t>
        </is>
      </c>
      <c r="E7583" t="inlineStr">
        <is>
          <t>Hungary</t>
        </is>
      </c>
    </row>
    <row r="7584">
      <c r="A7584" t="inlineStr">
        <is>
          <t>PT Pertamina Patra Niaga,  Indramayu, Indonesia</t>
        </is>
      </c>
      <c r="B7584" t="inlineStr">
        <is>
          <t>Processing Unit</t>
        </is>
      </c>
      <c r="C7584" t="inlineStr">
        <is>
          <t>PT Intertek Utama Services, Jakarta, ID</t>
        </is>
      </c>
      <c r="D7584" t="inlineStr">
        <is>
          <t>19.02.2027</t>
        </is>
      </c>
      <c r="E7584" t="inlineStr">
        <is>
          <t>Indonesia</t>
        </is>
      </c>
    </row>
    <row r="7585">
      <c r="A7585" t="inlineStr">
        <is>
          <t>PT Pertamina Patra Niaga,  Indramayu, Indonesia</t>
        </is>
      </c>
      <c r="B7585" t="inlineStr">
        <is>
          <t>Processing Unit</t>
        </is>
      </c>
      <c r="C7585" t="inlineStr">
        <is>
          <t>PT Intertek Utama Services, Jakarta, ID</t>
        </is>
      </c>
      <c r="D7585" t="inlineStr">
        <is>
          <t>19.02.2027</t>
        </is>
      </c>
      <c r="E7585" t="inlineStr">
        <is>
          <t>Indonesia</t>
        </is>
      </c>
    </row>
    <row r="7586">
      <c r="A7586" t="inlineStr">
        <is>
          <t>Bjørn Thorsen A/S,  Hellerup, Denmark</t>
        </is>
      </c>
      <c r="B7586" t="inlineStr">
        <is>
          <t>Trader with Storage</t>
        </is>
      </c>
      <c r="C7586" t="inlineStr">
        <is>
          <t>Baltic Control Certification, Risskov, DK</t>
        </is>
      </c>
      <c r="D7586" t="inlineStr">
        <is>
          <t>19.02.2027</t>
        </is>
      </c>
      <c r="E7586" t="inlineStr">
        <is>
          <t>Denmark</t>
        </is>
      </c>
    </row>
    <row r="7587">
      <c r="A7587" t="inlineStr">
        <is>
          <t>Kilang Kosfarm Sdn Bhd,  Rompin, Malaysia</t>
        </is>
      </c>
      <c r="B7587" t="inlineStr">
        <is>
          <t>Point of Origin, Processing Unit</t>
        </is>
      </c>
      <c r="C7587" t="inlineStr">
        <is>
          <t>Global Gateway Certifications Sdn Bhd, Ampang, MY</t>
        </is>
      </c>
      <c r="D7587" t="inlineStr">
        <is>
          <t>19.02.2027</t>
        </is>
      </c>
      <c r="E7587" t="inlineStr">
        <is>
          <t>Malaysia</t>
        </is>
      </c>
    </row>
    <row r="7588">
      <c r="A7588" t="inlineStr">
        <is>
          <t>Jiangsu Provincial Foreign Trade Corporation,  Nanjing City, Jiangsu Province, China</t>
        </is>
      </c>
      <c r="B7588" t="inlineStr">
        <is>
          <t>Trader with Storage</t>
        </is>
      </c>
      <c r="C7588" t="inlineStr">
        <is>
          <t>RINA Services S.p.A., Genova, IT</t>
        </is>
      </c>
      <c r="D7588" t="inlineStr">
        <is>
          <t>19.02.2027</t>
        </is>
      </c>
      <c r="E7588" t="inlineStr">
        <is>
          <t>China</t>
        </is>
      </c>
    </row>
    <row r="7589">
      <c r="A7589" t="inlineStr">
        <is>
          <t>Diab AB,  Laholm, Sweden</t>
        </is>
      </c>
      <c r="B7589" t="inlineStr">
        <is>
          <t>Processing Unit</t>
        </is>
      </c>
      <c r="C7589" t="inlineStr">
        <is>
          <t>DNV Business Assurance Sweden AB, Solna, SE</t>
        </is>
      </c>
      <c r="D7589" t="inlineStr">
        <is>
          <t>19.02.2027</t>
        </is>
      </c>
      <c r="E7589" t="inlineStr">
        <is>
          <t>Sweden</t>
        </is>
      </c>
    </row>
    <row r="7590">
      <c r="A7590" t="inlineStr">
        <is>
          <t>Diab International AB,  Helsingborg, Sweden</t>
        </is>
      </c>
      <c r="B7590" t="inlineStr">
        <is>
          <t>Trader</t>
        </is>
      </c>
      <c r="C7590" t="inlineStr">
        <is>
          <t>DNV Business Assurance Sweden AB, Solna, SE</t>
        </is>
      </c>
      <c r="D7590" t="inlineStr">
        <is>
          <t>19.02.2027</t>
        </is>
      </c>
      <c r="E7590" t="inlineStr">
        <is>
          <t>Sweden</t>
        </is>
      </c>
    </row>
    <row r="7591">
      <c r="A7591" t="inlineStr">
        <is>
          <t>RAIZEN ENERGIA S.A,  São Paulo, Brazil</t>
        </is>
      </c>
      <c r="B7591" t="inlineStr">
        <is>
          <t>Trader with Storage</t>
        </is>
      </c>
      <c r="C7591" t="inlineStr">
        <is>
          <t>SCS Global Services, Emeryville, CA, US</t>
        </is>
      </c>
      <c r="D7591" t="inlineStr">
        <is>
          <t>19.02.2027</t>
        </is>
      </c>
      <c r="E7591" t="inlineStr">
        <is>
          <t>Brazil</t>
        </is>
      </c>
    </row>
    <row r="7592">
      <c r="A7592" t="inlineStr">
        <is>
          <t>RAIZEN ENERGIA S.A,  São Paulo, Brazil</t>
        </is>
      </c>
      <c r="B7592" t="inlineStr">
        <is>
          <t>Trader with Storage</t>
        </is>
      </c>
      <c r="C7592" t="inlineStr">
        <is>
          <t>SCS Global Services, Emeryville, CA, US</t>
        </is>
      </c>
      <c r="D7592" t="inlineStr">
        <is>
          <t>19.02.2027</t>
        </is>
      </c>
      <c r="E7592" t="inlineStr">
        <is>
          <t>Brazil</t>
        </is>
      </c>
    </row>
    <row r="7593">
      <c r="A7593" t="inlineStr">
        <is>
          <t>Agrosid,  Dunajská Streda, Slovakia</t>
        </is>
      </c>
      <c r="B7593" t="inlineStr">
        <is>
          <t>First Gathering Point, Trader with Storage</t>
        </is>
      </c>
      <c r="C7593" t="inlineStr">
        <is>
          <t>United Registrar of Systems Polska Sp. z o.o., Wrocław, PL</t>
        </is>
      </c>
      <c r="D7593" t="inlineStr">
        <is>
          <t>19.02.2027</t>
        </is>
      </c>
      <c r="E7593" t="inlineStr">
        <is>
          <t>Slovakia</t>
        </is>
      </c>
    </row>
    <row r="7594">
      <c r="A7594" t="inlineStr">
        <is>
          <t>Agrosid,  Dunajská Streda, Slovakia</t>
        </is>
      </c>
      <c r="B7594" t="inlineStr">
        <is>
          <t>First Gathering Point, Trader with Storage</t>
        </is>
      </c>
      <c r="C7594" t="inlineStr">
        <is>
          <t>United Registrar of Systems Polska Sp. z o.o., Wrocław, PL</t>
        </is>
      </c>
      <c r="D7594" t="inlineStr">
        <is>
          <t>19.02.2027</t>
        </is>
      </c>
      <c r="E7594" t="inlineStr">
        <is>
          <t>Slovakia</t>
        </is>
      </c>
    </row>
    <row r="7595">
      <c r="A7595" t="inlineStr">
        <is>
          <t>Musket Europe SARL,  Geneva, Switzerland</t>
        </is>
      </c>
      <c r="B7595" t="inlineStr">
        <is>
          <t>Trader with Storage</t>
        </is>
      </c>
      <c r="C7595" t="inlineStr">
        <is>
          <t>SCS Global Services, Emeryville, CA, US</t>
        </is>
      </c>
      <c r="D7595" t="inlineStr">
        <is>
          <t>19.02.2027</t>
        </is>
      </c>
      <c r="E7595" t="inlineStr">
        <is>
          <t>Switzerland</t>
        </is>
      </c>
    </row>
    <row r="7596">
      <c r="A7596" t="inlineStr">
        <is>
          <t>Musket Europe SARL,  Geneva, Switzerland</t>
        </is>
      </c>
      <c r="B7596" t="inlineStr">
        <is>
          <t>Trader with Storage</t>
        </is>
      </c>
      <c r="C7596" t="inlineStr">
        <is>
          <t>SCS Global Services, Emeryville, CA, US</t>
        </is>
      </c>
      <c r="D7596" t="inlineStr">
        <is>
          <t>19.02.2027</t>
        </is>
      </c>
      <c r="E7596" t="inlineStr">
        <is>
          <t>Switzerland</t>
        </is>
      </c>
    </row>
    <row r="7597">
      <c r="A7597" t="inlineStr">
        <is>
          <t>Musket Europe SARL,  Geneva, Switzerland</t>
        </is>
      </c>
      <c r="B7597" t="inlineStr">
        <is>
          <t>Trader with Storage</t>
        </is>
      </c>
      <c r="C7597" t="inlineStr">
        <is>
          <t>SCS Global Services, Emeryville, CA, US</t>
        </is>
      </c>
      <c r="D7597" t="inlineStr">
        <is>
          <t>19.02.2027</t>
        </is>
      </c>
      <c r="E7597" t="inlineStr">
        <is>
          <t>Switzerland</t>
        </is>
      </c>
    </row>
    <row r="7598">
      <c r="A7598" t="inlineStr">
        <is>
          <t>Musket Corporation (a Love's family company),  Houston, Texas, United States</t>
        </is>
      </c>
      <c r="B7598" t="inlineStr">
        <is>
          <t>Trader</t>
        </is>
      </c>
      <c r="C7598" t="inlineStr">
        <is>
          <t>SCS Global Services, Emeryville, CA, US</t>
        </is>
      </c>
      <c r="D7598" t="inlineStr">
        <is>
          <t>19.02.2027</t>
        </is>
      </c>
      <c r="E7598" t="inlineStr">
        <is>
          <t>United States</t>
        </is>
      </c>
    </row>
    <row r="7599">
      <c r="A7599" t="inlineStr">
        <is>
          <t>Musket Corporation (a Love's family company),  Houston, Texas, United States</t>
        </is>
      </c>
      <c r="B7599" t="inlineStr">
        <is>
          <t>Trader</t>
        </is>
      </c>
      <c r="C7599" t="inlineStr">
        <is>
          <t>SCS Global Services, Emeryville, CA, US</t>
        </is>
      </c>
      <c r="D7599" t="inlineStr">
        <is>
          <t>19.02.2027</t>
        </is>
      </c>
      <c r="E7599" t="inlineStr">
        <is>
          <t>United States</t>
        </is>
      </c>
    </row>
    <row r="7600">
      <c r="A7600" t="inlineStr">
        <is>
          <t>Rosiana,  Burgas, Bulgaria</t>
        </is>
      </c>
      <c r="B7600" t="inlineStr">
        <is>
          <t>Trader</t>
        </is>
      </c>
      <c r="C7600" t="inlineStr">
        <is>
          <t>Bureau Veritas Polska Sp. z o.o., Warsaw, PL</t>
        </is>
      </c>
      <c r="D7600" t="inlineStr">
        <is>
          <t>19.02.2027</t>
        </is>
      </c>
      <c r="E7600" t="inlineStr">
        <is>
          <t>Bulgaria</t>
        </is>
      </c>
    </row>
    <row r="7601">
      <c r="A7601" t="inlineStr">
        <is>
          <t>enport A/S,  Copenhagen S, Denmark</t>
        </is>
      </c>
      <c r="B7601" t="inlineStr">
        <is>
          <t>Warehouse</t>
        </is>
      </c>
      <c r="C7601" t="inlineStr">
        <is>
          <t>Baltic Control Certification, Risskov, DK</t>
        </is>
      </c>
      <c r="D7601" t="inlineStr">
        <is>
          <t>19.02.2027</t>
        </is>
      </c>
      <c r="E7601" t="inlineStr">
        <is>
          <t>Denmark</t>
        </is>
      </c>
    </row>
    <row r="7602">
      <c r="A7602" t="inlineStr">
        <is>
          <t>Airlite Plastics Co.,  Omaha NE, United States</t>
        </is>
      </c>
      <c r="B7602" t="inlineStr">
        <is>
          <t>Processing Unit</t>
        </is>
      </c>
      <c r="C7602" t="inlineStr">
        <is>
          <t>SCS Global Services, Emeryville, CA, US</t>
        </is>
      </c>
      <c r="D7602" t="inlineStr">
        <is>
          <t>19.02.2027</t>
        </is>
      </c>
      <c r="E7602" t="inlineStr">
        <is>
          <t>United States</t>
        </is>
      </c>
    </row>
    <row r="7603">
      <c r="A7603" t="inlineStr">
        <is>
          <t>Jiangxi ZhongAO Plastic CO.,LTD,  Yingtan City, Jiangxi Province, China</t>
        </is>
      </c>
      <c r="B7603" t="inlineStr">
        <is>
          <t>Processing Unit</t>
        </is>
      </c>
      <c r="C7603" t="inlineStr">
        <is>
          <t>SCS Global Services, Emeryville, CA, US</t>
        </is>
      </c>
      <c r="D7603" t="inlineStr">
        <is>
          <t>19.02.2027</t>
        </is>
      </c>
      <c r="E7603" t="inlineStr">
        <is>
          <t>China</t>
        </is>
      </c>
    </row>
    <row r="7604">
      <c r="A7604" t="inlineStr">
        <is>
          <t>Shandong Yichi Energy Co., Ltd,  Dongying City, Shandong Province, China</t>
        </is>
      </c>
      <c r="B7604" t="inlineStr">
        <is>
          <t>Trader with Storage</t>
        </is>
      </c>
      <c r="C7604" t="inlineStr">
        <is>
          <t>SCS Global Services, Emeryville, CA, US</t>
        </is>
      </c>
      <c r="D7604" t="inlineStr">
        <is>
          <t>19.02.2027</t>
        </is>
      </c>
      <c r="E7604" t="inlineStr">
        <is>
          <t>China</t>
        </is>
      </c>
    </row>
    <row r="7605">
      <c r="A7605" t="inlineStr">
        <is>
          <t>MEG SRL,  LEGNAGO (VR), Italy</t>
        </is>
      </c>
      <c r="B7605" t="inlineStr">
        <is>
          <t>Collecting Point, Processing Unit</t>
        </is>
      </c>
      <c r="C7605" t="inlineStr">
        <is>
          <t>ICIM SpA, sesto san giovanni, IT</t>
        </is>
      </c>
      <c r="D7605" t="inlineStr">
        <is>
          <t>19.02.2027</t>
        </is>
      </c>
      <c r="E7605" t="inlineStr">
        <is>
          <t>Italy</t>
        </is>
      </c>
    </row>
    <row r="7606">
      <c r="A7606" t="inlineStr">
        <is>
          <t>Eyesberg Optical Limited,  Shenzhen City, Guangdong Province, China</t>
        </is>
      </c>
      <c r="B7606" t="inlineStr">
        <is>
          <t>Processing Unit</t>
        </is>
      </c>
      <c r="C7606" t="inlineStr">
        <is>
          <t>SCS Global Services, Emeryville, CA, US</t>
        </is>
      </c>
      <c r="D7606" t="inlineStr">
        <is>
          <t>19.02.2027</t>
        </is>
      </c>
      <c r="E7606" t="inlineStr">
        <is>
          <t>China</t>
        </is>
      </c>
    </row>
    <row r="7607">
      <c r="A7607" t="inlineStr">
        <is>
          <t>Waste Tallow Care NZ Ltd,  East Tamaki, New Zealand</t>
        </is>
      </c>
      <c r="B7607" t="inlineStr">
        <is>
          <t>Collecting Point, Processing Unit</t>
        </is>
      </c>
      <c r="C7607" t="inlineStr">
        <is>
          <t>BM Certification, Riga, LV</t>
        </is>
      </c>
      <c r="D7607" t="inlineStr">
        <is>
          <t>19.02.2027</t>
        </is>
      </c>
      <c r="E7607" t="inlineStr">
        <is>
          <t>New Zealand</t>
        </is>
      </c>
    </row>
    <row r="7608">
      <c r="A7608" t="inlineStr">
        <is>
          <t>Pregis Nederland B.V.,  Heerlen, Netherlands</t>
        </is>
      </c>
      <c r="B7608" t="inlineStr">
        <is>
          <t>Trader with Storage, Processing Unit</t>
        </is>
      </c>
      <c r="C7608" t="inlineStr">
        <is>
          <t>DEKRA Certification B.V., Arnhem, NL</t>
        </is>
      </c>
      <c r="D7608" t="inlineStr">
        <is>
          <t>19.02.2027</t>
        </is>
      </c>
      <c r="E7608" t="inlineStr">
        <is>
          <t>Netherlands</t>
        </is>
      </c>
    </row>
    <row r="7609">
      <c r="A7609" t="inlineStr">
        <is>
          <t>SANKYO KASEI CORPORATION,  NAKAKU, NAGOYA-SHI, AICHI-KEN, Japan</t>
        </is>
      </c>
      <c r="B7609" t="inlineStr">
        <is>
          <t>Trader with Storage</t>
        </is>
      </c>
      <c r="C7609" t="inlineStr">
        <is>
          <t>SGS Germany GmbH, Emstek, DE</t>
        </is>
      </c>
      <c r="D7609" t="inlineStr">
        <is>
          <t>19.02.2027</t>
        </is>
      </c>
      <c r="E7609" t="inlineStr">
        <is>
          <t>Japan</t>
        </is>
      </c>
    </row>
    <row r="7610">
      <c r="A7610" t="inlineStr">
        <is>
          <t>Lyondellbasell Advanced Polymer (Dongguan) Co., Ltd.,  Dongguan City, Guangdong Province, China</t>
        </is>
      </c>
      <c r="B7610" t="inlineStr">
        <is>
          <t>Processing Unit, Trader with Storage</t>
        </is>
      </c>
      <c r="C7610" t="inlineStr">
        <is>
          <t>SGS Germany GmbH, Emstek, DE</t>
        </is>
      </c>
      <c r="D7610" t="inlineStr">
        <is>
          <t>19.02.2027</t>
        </is>
      </c>
      <c r="E7610" t="inlineStr">
        <is>
          <t>China</t>
        </is>
      </c>
    </row>
    <row r="7611">
      <c r="A7611" t="inlineStr">
        <is>
          <t>Toray Industries (H.K.) Ltd.,  World Finance Centre, Harbour City, Tsim Sha Tsui, Hong Kong, SAR, China</t>
        </is>
      </c>
      <c r="B7611" t="inlineStr">
        <is>
          <t>Trader</t>
        </is>
      </c>
      <c r="C7611" t="inlineStr">
        <is>
          <t>PT Intertek Utama Services, Jakarta, ID</t>
        </is>
      </c>
      <c r="D7611" t="inlineStr">
        <is>
          <t>19.02.2027</t>
        </is>
      </c>
      <c r="E7611" t="inlineStr">
        <is>
          <t>China</t>
        </is>
      </c>
    </row>
    <row r="7612">
      <c r="A7612" t="inlineStr">
        <is>
          <t>Permata Timur Lestari,  Seruyan, Kalimantan Tengah, Indonesia</t>
        </is>
      </c>
      <c r="B7612" t="inlineStr">
        <is>
          <t>Point of Origin</t>
        </is>
      </c>
      <c r="C7612" t="inlineStr">
        <is>
          <t>PT. Qualitas Sertifikasi Indonesia, Jakarta, ID</t>
        </is>
      </c>
      <c r="D7612" t="inlineStr">
        <is>
          <t>19.02.2027</t>
        </is>
      </c>
      <c r="E7612" t="inlineStr">
        <is>
          <t>Indonesia</t>
        </is>
      </c>
    </row>
    <row r="7613">
      <c r="A7613" t="inlineStr">
        <is>
          <t>PT. Indo Lysaght,  Depok, Indonesia</t>
        </is>
      </c>
      <c r="B7613" t="inlineStr">
        <is>
          <t>Collecting Point, Processing Unit</t>
        </is>
      </c>
      <c r="C7613" t="inlineStr">
        <is>
          <t>PT TSI Sertifikasi Internasional, Jakarta Selatang, ID</t>
        </is>
      </c>
      <c r="D7613" t="inlineStr">
        <is>
          <t>19.02.2027</t>
        </is>
      </c>
      <c r="E7613" t="inlineStr">
        <is>
          <t>Indonesia</t>
        </is>
      </c>
    </row>
    <row r="7614">
      <c r="A7614" t="inlineStr">
        <is>
          <t>AEMA SERVICIOS ENERGETICOS SL,  UTIEL, Spain</t>
        </is>
      </c>
      <c r="B7614" t="inlineStr">
        <is>
          <t>Collecting Point, Processing Unit</t>
        </is>
      </c>
      <c r="C7614" t="inlineStr">
        <is>
          <t>Certificadora Gallega del Noroeste SL, Vilagarcia de Arousa-Pontevedra, ES</t>
        </is>
      </c>
      <c r="D7614" t="inlineStr">
        <is>
          <t>19.02.2027</t>
        </is>
      </c>
      <c r="E7614" t="inlineStr">
        <is>
          <t>Spain</t>
        </is>
      </c>
    </row>
    <row r="7615">
      <c r="A7615" t="inlineStr">
        <is>
          <t>Glow Oil General Trading LLC,  Dubai, United Arab Emirates</t>
        </is>
      </c>
      <c r="B7615" t="inlineStr">
        <is>
          <t>Collecting Point</t>
        </is>
      </c>
      <c r="C7615" t="inlineStr">
        <is>
          <t>Alcumus ISOQAR Ltd, Stretford, Manchester, GB</t>
        </is>
      </c>
      <c r="D7615" t="inlineStr">
        <is>
          <t>19.02.2027</t>
        </is>
      </c>
      <c r="E7615" t="inlineStr">
        <is>
          <t>United Arab Emirates</t>
        </is>
      </c>
    </row>
    <row r="7616">
      <c r="A7616" t="inlineStr">
        <is>
          <t>Melones Oil Terminal,  Ciudad de Panama, Panama</t>
        </is>
      </c>
      <c r="B7616" t="inlineStr">
        <is>
          <t>Warehouse</t>
        </is>
      </c>
      <c r="C7616" t="inlineStr">
        <is>
          <t>Control Union Poland Sp. z o.o., Zielona Gora, PL</t>
        </is>
      </c>
      <c r="D7616" t="inlineStr">
        <is>
          <t>19.02.2027</t>
        </is>
      </c>
      <c r="E7616" t="inlineStr">
        <is>
          <t>Panama</t>
        </is>
      </c>
    </row>
    <row r="7617">
      <c r="A7617" t="inlineStr">
        <is>
          <t>Fehrer Bohemia s.r.o.,  Ceska Lipa, Czech Republic</t>
        </is>
      </c>
      <c r="B7617" t="inlineStr">
        <is>
          <t>Processing Unit</t>
        </is>
      </c>
      <c r="C7617" t="inlineStr">
        <is>
          <t>SGS Germany GmbH, Emstek, DE</t>
        </is>
      </c>
      <c r="D7617" t="inlineStr">
        <is>
          <t>19.02.2027</t>
        </is>
      </c>
      <c r="E7617" t="inlineStr">
        <is>
          <t>Czech Republic</t>
        </is>
      </c>
    </row>
    <row r="7618">
      <c r="A7618" t="inlineStr">
        <is>
          <t>ENGIE RGE Hardenberg,  Brucht, Netherlands</t>
        </is>
      </c>
      <c r="B7618" t="inlineStr">
        <is>
          <t>Collecting Point, Processing Unit</t>
        </is>
      </c>
      <c r="C7618" t="inlineStr">
        <is>
          <t>DEKRA Certification B.V., Arnhem, NL</t>
        </is>
      </c>
      <c r="D7618" t="inlineStr">
        <is>
          <t>19.02.2027</t>
        </is>
      </c>
      <c r="E7618" t="inlineStr">
        <is>
          <t>Netherlands</t>
        </is>
      </c>
    </row>
    <row r="7619">
      <c r="A7619" t="inlineStr">
        <is>
          <t>Topesol New Materials Co.,Ltd.,  Jiangmen City, Guangdong Province, China</t>
        </is>
      </c>
      <c r="B7619" t="inlineStr">
        <is>
          <t>Processing Unit</t>
        </is>
      </c>
      <c r="C7619" t="inlineStr">
        <is>
          <t>DQS CFS GmbH - Deutsche Gesellschaft für Nachhaltigkeit, Frankfurt am Main, DE</t>
        </is>
      </c>
      <c r="D7619" t="inlineStr">
        <is>
          <t>19.02.2027</t>
        </is>
      </c>
      <c r="E7619" t="inlineStr">
        <is>
          <t>China</t>
        </is>
      </c>
    </row>
    <row r="7620">
      <c r="A7620" t="inlineStr">
        <is>
          <t>Van De Kamp Groene energie B.V.,  Mastenbroek, Netherlands</t>
        </is>
      </c>
      <c r="B7620" t="inlineStr">
        <is>
          <t>Collecting Point, Processing Unit</t>
        </is>
      </c>
      <c r="C7620" t="inlineStr">
        <is>
          <t>DEKRA Certification B.V., Arnhem, NL</t>
        </is>
      </c>
      <c r="D7620" t="inlineStr">
        <is>
          <t>19.02.2027</t>
        </is>
      </c>
      <c r="E7620" t="inlineStr">
        <is>
          <t>Netherlands</t>
        </is>
      </c>
    </row>
    <row r="7621">
      <c r="A7621" t="inlineStr">
        <is>
          <t>Kohinoor Mills Limited,  Lahore, Pakistan</t>
        </is>
      </c>
      <c r="B7621" t="inlineStr">
        <is>
          <t>First Gathering Point, Processing Unit</t>
        </is>
      </c>
      <c r="C7621" t="inlineStr">
        <is>
          <t>SGS Germany GmbH, Emstek, DE</t>
        </is>
      </c>
      <c r="D7621" t="inlineStr">
        <is>
          <t>19.02.2027</t>
        </is>
      </c>
      <c r="E7621" t="inlineStr">
        <is>
          <t>Pakistan</t>
        </is>
      </c>
    </row>
    <row r="7622">
      <c r="A7622" t="inlineStr">
        <is>
          <t>IOF,  WERVIK, Belgium</t>
        </is>
      </c>
      <c r="B7622" t="inlineStr">
        <is>
          <t>Collecting Point, Trader with Storage</t>
        </is>
      </c>
      <c r="C7622" t="inlineStr">
        <is>
          <t>SGS Germany GmbH, Emstek, DE</t>
        </is>
      </c>
      <c r="D7622" t="inlineStr">
        <is>
          <t>19.02.2027</t>
        </is>
      </c>
      <c r="E7622" t="inlineStr">
        <is>
          <t>Belgium</t>
        </is>
      </c>
    </row>
    <row r="7623">
      <c r="A7623" t="inlineStr">
        <is>
          <t>Red Bioenergy Company Limited,  Kowloon, Hong Kong, Hong Kong (SAR)</t>
        </is>
      </c>
      <c r="B7623" t="inlineStr">
        <is>
          <t>Collecting Point, Trader</t>
        </is>
      </c>
      <c r="C7623" t="inlineStr">
        <is>
          <t>ASG Cert GmbH, Munich, DE</t>
        </is>
      </c>
      <c r="D7623" t="inlineStr">
        <is>
          <t>19.02.2027</t>
        </is>
      </c>
      <c r="E7623" t="inlineStr">
        <is>
          <t>Hong Kong (SAR)</t>
        </is>
      </c>
    </row>
    <row r="7624">
      <c r="A7624" t="inlineStr">
        <is>
          <t>Wawasan Kemuning Enterprise,  Bandar Bukit Beruntung, Rawang, Malaysia</t>
        </is>
      </c>
      <c r="B7624" t="inlineStr">
        <is>
          <t>Collecting Point, Trader with Storage</t>
        </is>
      </c>
      <c r="C7624" t="inlineStr">
        <is>
          <t>Trans Certification and Inspection Sdn Bhd, Kuantan, MY</t>
        </is>
      </c>
      <c r="D7624" t="inlineStr">
        <is>
          <t>19.02.2027</t>
        </is>
      </c>
      <c r="E7624" t="inlineStr">
        <is>
          <t>Malaysia</t>
        </is>
      </c>
    </row>
    <row r="7625">
      <c r="A7625" t="inlineStr">
        <is>
          <t>Miotto Cereali,  Vescovana (PD), Italy</t>
        </is>
      </c>
      <c r="B7625" t="inlineStr">
        <is>
          <t>First Gathering Point</t>
        </is>
      </c>
      <c r="C7625" t="inlineStr">
        <is>
          <t>CSQA Certificazioni Srl, Thiene, IT</t>
        </is>
      </c>
      <c r="D7625" t="inlineStr">
        <is>
          <t>18.02.2027</t>
        </is>
      </c>
      <c r="E7625" t="inlineStr">
        <is>
          <t>Italy</t>
        </is>
      </c>
    </row>
    <row r="7626">
      <c r="A7626" t="inlineStr">
        <is>
          <t>SAF BIANCO,  Schio, Italy</t>
        </is>
      </c>
      <c r="B7626" t="inlineStr">
        <is>
          <t>Processing Unit</t>
        </is>
      </c>
      <c r="C7626" t="inlineStr">
        <is>
          <t>DNV Business Assurance Sweden AB, Solna, SE</t>
        </is>
      </c>
      <c r="D7626" t="inlineStr">
        <is>
          <t>18.02.2027</t>
        </is>
      </c>
      <c r="E7626" t="inlineStr">
        <is>
          <t>Italy</t>
        </is>
      </c>
    </row>
    <row r="7627">
      <c r="A7627" t="inlineStr">
        <is>
          <t>Advanced Systems Polymers,  Torino, Italy</t>
        </is>
      </c>
      <c r="B7627" t="inlineStr">
        <is>
          <t>Trader with Storage, Warehouse</t>
        </is>
      </c>
      <c r="C7627" t="inlineStr">
        <is>
          <t>DNV Business Assurance Sweden AB, Solna, SE</t>
        </is>
      </c>
      <c r="D7627" t="inlineStr">
        <is>
          <t>18.02.2027</t>
        </is>
      </c>
      <c r="E7627" t="inlineStr">
        <is>
          <t>Italy</t>
        </is>
      </c>
    </row>
    <row r="7628">
      <c r="A7628" t="inlineStr">
        <is>
          <t>JANCO RENEWABLES PTE. LTD,  Singapore, Singapore</t>
        </is>
      </c>
      <c r="B7628" t="inlineStr">
        <is>
          <t>Trader</t>
        </is>
      </c>
      <c r="C7628" t="inlineStr">
        <is>
          <t>Control Union Certifications Germany GmbH, Berlin, DE</t>
        </is>
      </c>
      <c r="D7628" t="inlineStr">
        <is>
          <t>18.02.2027</t>
        </is>
      </c>
      <c r="E7628" t="inlineStr">
        <is>
          <t>Singapore</t>
        </is>
      </c>
    </row>
    <row r="7629">
      <c r="A7629" t="inlineStr">
        <is>
          <t>Vesttec Aps,  Silkeborg, Denmark</t>
        </is>
      </c>
      <c r="B7629" t="inlineStr">
        <is>
          <t>Collecting Point, Trader</t>
        </is>
      </c>
      <c r="C7629" t="inlineStr">
        <is>
          <t>Baltic Control Certification, Risskov, DK</t>
        </is>
      </c>
      <c r="D7629" t="inlineStr">
        <is>
          <t>18.02.2027</t>
        </is>
      </c>
      <c r="E7629" t="inlineStr">
        <is>
          <t>Denmark</t>
        </is>
      </c>
    </row>
    <row r="7630">
      <c r="A7630" t="inlineStr">
        <is>
          <t>Masterpack,  Monvalle, Italy</t>
        </is>
      </c>
      <c r="B7630" t="inlineStr">
        <is>
          <t>Final Product Refinement, Processing Unit</t>
        </is>
      </c>
      <c r="C7630" t="inlineStr">
        <is>
          <t>DNV Business Assurance Sweden AB, Solna, SE</t>
        </is>
      </c>
      <c r="D7630" t="inlineStr">
        <is>
          <t>18.02.2027</t>
        </is>
      </c>
      <c r="E7630" t="inlineStr">
        <is>
          <t>Italy</t>
        </is>
      </c>
    </row>
    <row r="7631">
      <c r="A7631" t="inlineStr">
        <is>
          <t>Petróleo Brasileiro SA PETROBRAS,  Araucária, Paraná, Brazil</t>
        </is>
      </c>
      <c r="B7631" t="inlineStr">
        <is>
          <t>Processing Unit, Trader with Storage</t>
        </is>
      </c>
      <c r="C7631" t="inlineStr">
        <is>
          <t>QIMA, Centro, Botucatu - SP, CEP, BR</t>
        </is>
      </c>
      <c r="D7631" t="inlineStr">
        <is>
          <t>18.02.2027</t>
        </is>
      </c>
      <c r="E7631" t="inlineStr">
        <is>
          <t>Brazil</t>
        </is>
      </c>
    </row>
    <row r="7632">
      <c r="A7632" t="inlineStr">
        <is>
          <t>Petróleo Brasileiro SA PETROBRAS,  Araucária, Paraná, Brazil</t>
        </is>
      </c>
      <c r="B7632" t="inlineStr">
        <is>
          <t>Processing Unit, Trader with Storage</t>
        </is>
      </c>
      <c r="C7632" t="inlineStr">
        <is>
          <t>QIMA, Centro, Botucatu - SP, CEP, BR</t>
        </is>
      </c>
      <c r="D7632" t="inlineStr">
        <is>
          <t>18.02.2027</t>
        </is>
      </c>
      <c r="E7632" t="inlineStr">
        <is>
          <t>Brazil</t>
        </is>
      </c>
    </row>
    <row r="7633">
      <c r="A7633" t="inlineStr">
        <is>
          <t>Thelios,  Longarone, Italy</t>
        </is>
      </c>
      <c r="B7633" t="inlineStr">
        <is>
          <t>Final Product Refinement, Processing Unit, Trader with Storage</t>
        </is>
      </c>
      <c r="C7633" t="inlineStr">
        <is>
          <t>Bureau Veritas Polska Sp. z o.o., Warsaw, PL</t>
        </is>
      </c>
      <c r="D7633" t="inlineStr">
        <is>
          <t>18.02.2027</t>
        </is>
      </c>
      <c r="E7633" t="inlineStr">
        <is>
          <t>Italy</t>
        </is>
      </c>
    </row>
    <row r="7634">
      <c r="A7634" t="inlineStr">
        <is>
          <t>New Chemical Trading Co., Ltd.,  Tokyo, Japan</t>
        </is>
      </c>
      <c r="B7634" t="inlineStr">
        <is>
          <t>Trader</t>
        </is>
      </c>
      <c r="C7634" t="inlineStr">
        <is>
          <t>Control Union Certifications Germany GmbH, Berlin, DE</t>
        </is>
      </c>
      <c r="D7634" t="inlineStr">
        <is>
          <t>18.02.2027</t>
        </is>
      </c>
      <c r="E7634" t="inlineStr">
        <is>
          <t>Japan</t>
        </is>
      </c>
    </row>
    <row r="7635">
      <c r="A7635" t="inlineStr">
        <is>
          <t>Markant Energy Danmark ApS,  Silkeborg, Denmark</t>
        </is>
      </c>
      <c r="B7635" t="inlineStr">
        <is>
          <t>Trader</t>
        </is>
      </c>
      <c r="C7635" t="inlineStr">
        <is>
          <t>DEKRA Certification GmbH, Stuttgart, DE</t>
        </is>
      </c>
      <c r="D7635" t="inlineStr">
        <is>
          <t>18.02.2027</t>
        </is>
      </c>
      <c r="E7635" t="inlineStr">
        <is>
          <t>Denmark</t>
        </is>
      </c>
    </row>
    <row r="7636">
      <c r="A7636" t="inlineStr">
        <is>
          <t>Markant Energy Danmark ApS,  Silkeborg, Denmark</t>
        </is>
      </c>
      <c r="B7636" t="inlineStr">
        <is>
          <t>Trader</t>
        </is>
      </c>
      <c r="C7636" t="inlineStr">
        <is>
          <t>DEKRA Certification GmbH, Stuttgart, DE</t>
        </is>
      </c>
      <c r="D7636" t="inlineStr">
        <is>
          <t>18.02.2027</t>
        </is>
      </c>
      <c r="E7636" t="inlineStr">
        <is>
          <t>Denmark</t>
        </is>
      </c>
    </row>
    <row r="7637">
      <c r="A7637" t="inlineStr">
        <is>
          <t>Markant Energy Norge AS,  OSLO, Norway</t>
        </is>
      </c>
      <c r="B7637" t="inlineStr">
        <is>
          <t>Trader</t>
        </is>
      </c>
      <c r="C7637" t="inlineStr">
        <is>
          <t>DEKRA Certification GmbH, Stuttgart, DE</t>
        </is>
      </c>
      <c r="D7637" t="inlineStr">
        <is>
          <t>18.02.2027</t>
        </is>
      </c>
      <c r="E7637" t="inlineStr">
        <is>
          <t>Norway</t>
        </is>
      </c>
    </row>
    <row r="7638">
      <c r="A7638" t="inlineStr">
        <is>
          <t>Markant Energy Norge AS,  OSLO, Norway</t>
        </is>
      </c>
      <c r="B7638" t="inlineStr">
        <is>
          <t>Trader</t>
        </is>
      </c>
      <c r="C7638" t="inlineStr">
        <is>
          <t>DEKRA Certification GmbH, Stuttgart, DE</t>
        </is>
      </c>
      <c r="D7638" t="inlineStr">
        <is>
          <t>18.02.2027</t>
        </is>
      </c>
      <c r="E7638" t="inlineStr">
        <is>
          <t>Norway</t>
        </is>
      </c>
    </row>
    <row r="7639">
      <c r="A7639" t="inlineStr">
        <is>
          <t>JET Tankstellen Austria GmbH,  Salzburg, Austria</t>
        </is>
      </c>
      <c r="B7639" t="inlineStr">
        <is>
          <t>Trader</t>
        </is>
      </c>
      <c r="C7639" t="inlineStr">
        <is>
          <t>agroVet GmbH, Enzersfeld, AT</t>
        </is>
      </c>
      <c r="D7639" t="inlineStr">
        <is>
          <t>18.02.2027</t>
        </is>
      </c>
      <c r="E7639" t="inlineStr">
        <is>
          <t>Austria</t>
        </is>
      </c>
    </row>
    <row r="7640">
      <c r="A7640" t="inlineStr">
        <is>
          <t>Zhejiang Fengdeng Grenergy &amp; Envirotech Co.,Ltd,  Lanxi City, Zhejiang Province, China</t>
        </is>
      </c>
      <c r="B7640" t="inlineStr">
        <is>
          <t>Processing Unit</t>
        </is>
      </c>
      <c r="C7640" t="inlineStr">
        <is>
          <t>SGS Germany GmbH, Emstek, DE</t>
        </is>
      </c>
      <c r="D7640" t="inlineStr">
        <is>
          <t>18.02.2027</t>
        </is>
      </c>
      <c r="E7640" t="inlineStr">
        <is>
          <t>China</t>
        </is>
      </c>
    </row>
    <row r="7641">
      <c r="A7641" t="inlineStr">
        <is>
          <t>Shaoxing Fengdeng Environmental Protection Co., Ltd.,  Shaoxing, Zhejiang Province, China</t>
        </is>
      </c>
      <c r="B7641" t="inlineStr">
        <is>
          <t>Collecting Point, Processing Unit</t>
        </is>
      </c>
      <c r="C7641" t="inlineStr">
        <is>
          <t>SGS Germany GmbH, Emstek, DE</t>
        </is>
      </c>
      <c r="D7641" t="inlineStr">
        <is>
          <t>18.02.2027</t>
        </is>
      </c>
      <c r="E7641" t="inlineStr">
        <is>
          <t>China</t>
        </is>
      </c>
    </row>
    <row r="7642">
      <c r="A7642" t="inlineStr">
        <is>
          <t>DL FnC Co., Ltd.,  Bongdong-eup, Wanju-gun, South Korea</t>
        </is>
      </c>
      <c r="B7642" t="inlineStr">
        <is>
          <t>Processing Unit</t>
        </is>
      </c>
      <c r="C7642" t="inlineStr">
        <is>
          <t>Control Union Certifications Germany GmbH, Berlin, DE</t>
        </is>
      </c>
      <c r="D7642" t="inlineStr">
        <is>
          <t>18.02.2027</t>
        </is>
      </c>
      <c r="E7642" t="inlineStr">
        <is>
          <t>South Korea</t>
        </is>
      </c>
    </row>
    <row r="7643">
      <c r="A7643" t="inlineStr">
        <is>
          <t>Juksan Energy &amp; Solution Pte. Ltd.,  Singapore, Singapore</t>
        </is>
      </c>
      <c r="B7643" t="inlineStr">
        <is>
          <t>Trader</t>
        </is>
      </c>
      <c r="C7643" t="inlineStr">
        <is>
          <t>PT. Qualitas Sertifikasi Indonesia, Jakarta, ID</t>
        </is>
      </c>
      <c r="D7643" t="inlineStr">
        <is>
          <t>18.02.2027</t>
        </is>
      </c>
      <c r="E7643" t="inlineStr">
        <is>
          <t>Singapore</t>
        </is>
      </c>
    </row>
    <row r="7644">
      <c r="A7644" t="inlineStr">
        <is>
          <t>PLENERGY GRUPO,  MADRID, Spain</t>
        </is>
      </c>
      <c r="B7644" t="inlineStr">
        <is>
          <t>Trader</t>
        </is>
      </c>
      <c r="C7644" t="inlineStr">
        <is>
          <t>Certificadora Gallega del Noroeste SL, Vilagarcia de Arousa-Pontevedra, ES</t>
        </is>
      </c>
      <c r="D7644" t="inlineStr">
        <is>
          <t>18.02.2027</t>
        </is>
      </c>
      <c r="E7644" t="inlineStr">
        <is>
          <t>Spain</t>
        </is>
      </c>
    </row>
    <row r="7645">
      <c r="A7645" t="inlineStr">
        <is>
          <t>RAIZEN TRADING NETHERLANDS BV,  Geneva, Switzerland</t>
        </is>
      </c>
      <c r="B7645" t="inlineStr">
        <is>
          <t>Trader with Storage</t>
        </is>
      </c>
      <c r="C7645" t="inlineStr">
        <is>
          <t>PT Intertek Utama Services, Jakarta, ID</t>
        </is>
      </c>
      <c r="D7645" t="inlineStr">
        <is>
          <t>18.02.2027</t>
        </is>
      </c>
      <c r="E7645" t="inlineStr">
        <is>
          <t>Switzerland</t>
        </is>
      </c>
    </row>
    <row r="7646">
      <c r="A7646" t="inlineStr">
        <is>
          <t>VIROQUE ENERGY AG,  GENEVE, Switzerland</t>
        </is>
      </c>
      <c r="B7646" t="inlineStr">
        <is>
          <t>Trader with Storage</t>
        </is>
      </c>
      <c r="C7646" t="inlineStr">
        <is>
          <t>Certificadora Gallega del Noroeste SL, Vilagarcia de Arousa-Pontevedra, ES</t>
        </is>
      </c>
      <c r="D7646" t="inlineStr">
        <is>
          <t>18.02.2027</t>
        </is>
      </c>
      <c r="E7646" t="inlineStr">
        <is>
          <t>Switzerland</t>
        </is>
      </c>
    </row>
    <row r="7647">
      <c r="A7647" t="inlineStr">
        <is>
          <t>Knijff Agro B.V.,  Zeewolde, Netherlands</t>
        </is>
      </c>
      <c r="B7647" t="inlineStr">
        <is>
          <t>Collecting Point, Processing Unit, Trader</t>
        </is>
      </c>
      <c r="C7647" t="inlineStr">
        <is>
          <t>DEKRA Certification B.V., Arnhem, NL</t>
        </is>
      </c>
      <c r="D7647" t="inlineStr">
        <is>
          <t>18.02.2027</t>
        </is>
      </c>
      <c r="E7647" t="inlineStr">
        <is>
          <t>Netherlands</t>
        </is>
      </c>
    </row>
    <row r="7648">
      <c r="A7648" t="inlineStr">
        <is>
          <t>Leiestroom,  Menen, Belgium</t>
        </is>
      </c>
      <c r="B7648" t="inlineStr">
        <is>
          <t>Processing Unit</t>
        </is>
      </c>
      <c r="C7648" t="inlineStr">
        <is>
          <t>Control Union Certifications Germany GmbH, Berlin, DE</t>
        </is>
      </c>
      <c r="D7648" t="inlineStr">
        <is>
          <t>18.02.2027</t>
        </is>
      </c>
      <c r="E7648" t="inlineStr">
        <is>
          <t>Belgium</t>
        </is>
      </c>
    </row>
    <row r="7649">
      <c r="A7649" t="inlineStr">
        <is>
          <t>Perrigo Company Public Limited,  Grand Rapids, United States</t>
        </is>
      </c>
      <c r="B7649" t="inlineStr">
        <is>
          <t>Processing Unit, Trader with Storage</t>
        </is>
      </c>
      <c r="C7649" t="inlineStr">
        <is>
          <t>ASG Cert GmbH, Munich, DE</t>
        </is>
      </c>
      <c r="D7649" t="inlineStr">
        <is>
          <t>18.02.2027</t>
        </is>
      </c>
      <c r="E7649" t="inlineStr">
        <is>
          <t>United States</t>
        </is>
      </c>
    </row>
    <row r="7650">
      <c r="A7650" t="inlineStr">
        <is>
          <t>Prima Palm Latex Industri,  Kabupaten Asahan, Provinsi Sumatera Utara, Indonesia</t>
        </is>
      </c>
      <c r="B7650" t="inlineStr">
        <is>
          <t>Point of Origin</t>
        </is>
      </c>
      <c r="C7650" t="inlineStr">
        <is>
          <t>PT. Qualitas Sertifikasi Indonesia, Jakarta, ID</t>
        </is>
      </c>
      <c r="D7650" t="inlineStr">
        <is>
          <t>18.02.2027</t>
        </is>
      </c>
      <c r="E7650" t="inlineStr">
        <is>
          <t>Indonesia</t>
        </is>
      </c>
    </row>
    <row r="7651">
      <c r="A7651" t="inlineStr">
        <is>
          <t>TALES INTI SAWIT,  -, Indonesia</t>
        </is>
      </c>
      <c r="B7651" t="inlineStr">
        <is>
          <t>Point of Origin</t>
        </is>
      </c>
      <c r="C7651" t="inlineStr">
        <is>
          <t>PT. Qualitas Sertifikasi Indonesia, Jakarta, ID</t>
        </is>
      </c>
      <c r="D7651" t="inlineStr">
        <is>
          <t>18.02.2027</t>
        </is>
      </c>
      <c r="E7651" t="inlineStr">
        <is>
          <t>Indonesia</t>
        </is>
      </c>
    </row>
    <row r="7652">
      <c r="A7652" t="inlineStr">
        <is>
          <t>Schoongas Sint Nicolaasga B.V.,  Sint Nicolaasga, Netherlands</t>
        </is>
      </c>
      <c r="B7652" t="inlineStr">
        <is>
          <t>Collecting Point, Processing Unit</t>
        </is>
      </c>
      <c r="C7652" t="inlineStr">
        <is>
          <t>DEKRA Certification B.V., Arnhem, NL</t>
        </is>
      </c>
      <c r="D7652" t="inlineStr">
        <is>
          <t>18.02.2027</t>
        </is>
      </c>
      <c r="E7652" t="inlineStr">
        <is>
          <t>Netherlands</t>
        </is>
      </c>
    </row>
    <row r="7653">
      <c r="A7653" t="inlineStr">
        <is>
          <t>Skytanking Brussels Fuel Farm (SBFF),  Brussels Airport, Belgium</t>
        </is>
      </c>
      <c r="B7653" t="inlineStr">
        <is>
          <t>Warehouse</t>
        </is>
      </c>
      <c r="C7653" t="inlineStr">
        <is>
          <t>SGS Germany GmbH, Emstek, DE</t>
        </is>
      </c>
      <c r="D7653" t="inlineStr">
        <is>
          <t>17.02.2027</t>
        </is>
      </c>
      <c r="E7653" t="inlineStr">
        <is>
          <t>Belgium</t>
        </is>
      </c>
    </row>
    <row r="7654">
      <c r="A7654" t="inlineStr">
        <is>
          <t>Niverplast B.V.,  Nijverdal, Netherlands</t>
        </is>
      </c>
      <c r="B7654" t="inlineStr">
        <is>
          <t>Trader</t>
        </is>
      </c>
      <c r="C7654" t="inlineStr">
        <is>
          <t>DEKRA Certification B.V., Arnhem, NL</t>
        </is>
      </c>
      <c r="D7654" t="inlineStr">
        <is>
          <t>17.02.2027</t>
        </is>
      </c>
      <c r="E7654" t="inlineStr">
        <is>
          <t>Netherlands</t>
        </is>
      </c>
    </row>
    <row r="7655">
      <c r="A7655" t="inlineStr">
        <is>
          <t>Orep Packaging,  Loches, France</t>
        </is>
      </c>
      <c r="B7655" t="inlineStr">
        <is>
          <t>Final Product Refinement, Processing Unit</t>
        </is>
      </c>
      <c r="C7655" t="inlineStr">
        <is>
          <t>Bureau Veritas Polska Sp. z o.o., Warsaw, PL</t>
        </is>
      </c>
      <c r="D7655" t="inlineStr">
        <is>
          <t>17.02.2027</t>
        </is>
      </c>
      <c r="E7655" t="inlineStr">
        <is>
          <t>France</t>
        </is>
      </c>
    </row>
    <row r="7656">
      <c r="A7656" t="inlineStr">
        <is>
          <t>ADM Oilseeds Germany,  Straubing, Germany</t>
        </is>
      </c>
      <c r="B7656" t="inlineStr">
        <is>
          <t>First Gathering Point, Processing Unit, Trader</t>
        </is>
      </c>
      <c r="C7656" t="inlineStr">
        <is>
          <t>ASG Cert GmbH, Munich, DE</t>
        </is>
      </c>
      <c r="D7656" t="inlineStr">
        <is>
          <t>17.02.2027</t>
        </is>
      </c>
      <c r="E7656" t="inlineStr">
        <is>
          <t>Germany</t>
        </is>
      </c>
    </row>
    <row r="7657">
      <c r="A7657" t="inlineStr">
        <is>
          <t>ADM Oilseeds Germany,  Straubing, Germany</t>
        </is>
      </c>
      <c r="B7657" t="inlineStr">
        <is>
          <t>First Gathering Point, Processing Unit, Trader</t>
        </is>
      </c>
      <c r="C7657" t="inlineStr">
        <is>
          <t>ASG Cert GmbH, Munich, DE</t>
        </is>
      </c>
      <c r="D7657" t="inlineStr">
        <is>
          <t>17.02.2027</t>
        </is>
      </c>
      <c r="E7657" t="inlineStr">
        <is>
          <t>Germany</t>
        </is>
      </c>
    </row>
    <row r="7658">
      <c r="A7658" t="inlineStr">
        <is>
          <t>JH Agrocom, spol. s.r.o.,  Plasy, Czech Republic</t>
        </is>
      </c>
      <c r="B7658" t="inlineStr">
        <is>
          <t>First Gathering Point, Trader</t>
        </is>
      </c>
      <c r="C7658" t="inlineStr">
        <is>
          <t>United Registrar of Systems Polska Sp. z o.o., Wrocław, PL</t>
        </is>
      </c>
      <c r="D7658" t="inlineStr">
        <is>
          <t>17.02.2027</t>
        </is>
      </c>
      <c r="E7658" t="inlineStr">
        <is>
          <t>Czech Republic</t>
        </is>
      </c>
    </row>
    <row r="7659">
      <c r="A7659" t="inlineStr">
        <is>
          <t>Nunc A/S,  Roskilde, Denmark</t>
        </is>
      </c>
      <c r="B7659" t="inlineStr">
        <is>
          <t>Processing Unit</t>
        </is>
      </c>
      <c r="C7659" t="inlineStr">
        <is>
          <t>Baltic Control Certification, Risskov, DK</t>
        </is>
      </c>
      <c r="D7659" t="inlineStr">
        <is>
          <t>17.02.2027</t>
        </is>
      </c>
      <c r="E7659" t="inlineStr">
        <is>
          <t>Denmark</t>
        </is>
      </c>
    </row>
    <row r="7660">
      <c r="A7660" t="inlineStr">
        <is>
          <t>Northern Energy &amp; Supply AB,  Västra Frölunda, Sweden</t>
        </is>
      </c>
      <c r="B7660" t="inlineStr">
        <is>
          <t>Trader</t>
        </is>
      </c>
      <c r="C7660" t="inlineStr">
        <is>
          <t>DNV Business Assurance Sweden AB, Solna, SE</t>
        </is>
      </c>
      <c r="D7660" t="inlineStr">
        <is>
          <t>17.02.2027</t>
        </is>
      </c>
      <c r="E7660" t="inlineStr">
        <is>
          <t>Sweden</t>
        </is>
      </c>
    </row>
    <row r="7661">
      <c r="A7661" t="inlineStr">
        <is>
          <t>Guardtech,  Yeoju-si, South Korea</t>
        </is>
      </c>
      <c r="B7661" t="inlineStr">
        <is>
          <t>Trader</t>
        </is>
      </c>
      <c r="C7661" t="inlineStr">
        <is>
          <t>Korean Foundation for Quality, Songpa-gu, Seoul, KR</t>
        </is>
      </c>
      <c r="D7661" t="inlineStr">
        <is>
          <t>17.02.2027</t>
        </is>
      </c>
      <c r="E7661" t="inlineStr">
        <is>
          <t>South Korea</t>
        </is>
      </c>
    </row>
    <row r="7662">
      <c r="A7662" t="inlineStr">
        <is>
          <t>Plásticos Hita,  Parque Metropolitano, Escúzar, Spain</t>
        </is>
      </c>
      <c r="B7662" t="inlineStr">
        <is>
          <t>Processing Unit</t>
        </is>
      </c>
      <c r="C7662" t="inlineStr">
        <is>
          <t>PT Intertek Utama Services, Jakarta, ID</t>
        </is>
      </c>
      <c r="D7662" t="inlineStr">
        <is>
          <t>17.02.2027</t>
        </is>
      </c>
      <c r="E7662" t="inlineStr">
        <is>
          <t>Spain</t>
        </is>
      </c>
    </row>
    <row r="7663">
      <c r="A7663" t="inlineStr">
        <is>
          <t>KOBAYASHI &amp; CO.,LTD.,  Ibaraki, Japan</t>
        </is>
      </c>
      <c r="B7663" t="inlineStr">
        <is>
          <t>Processing Unit, Trader with Storage</t>
        </is>
      </c>
      <c r="C7663" t="inlineStr">
        <is>
          <t>Control Union Certifications Germany GmbH, Berlin, DE</t>
        </is>
      </c>
      <c r="D7663" t="inlineStr">
        <is>
          <t>17.02.2027</t>
        </is>
      </c>
      <c r="E7663" t="inlineStr">
        <is>
          <t>Japan</t>
        </is>
      </c>
    </row>
    <row r="7664">
      <c r="A7664" t="inlineStr">
        <is>
          <t>AGRO 2000 s.r.o.,  Třebíč, Czech Republic</t>
        </is>
      </c>
      <c r="B7664" t="inlineStr">
        <is>
          <t>Collecting Point, First Gathering Point, Logistics Center, Trader with Storage</t>
        </is>
      </c>
      <c r="C7664" t="inlineStr">
        <is>
          <t>United Registrar of Systems Polska Sp. z o.o., Wrocław, PL</t>
        </is>
      </c>
      <c r="D7664" t="inlineStr">
        <is>
          <t>17.02.2027</t>
        </is>
      </c>
      <c r="E7664" t="inlineStr">
        <is>
          <t>Czech Republic</t>
        </is>
      </c>
    </row>
    <row r="7665">
      <c r="A7665" t="inlineStr">
        <is>
          <t>Kolmar Singapore Pte. Ltd.,  Singapore, Singapore</t>
        </is>
      </c>
      <c r="B7665" t="inlineStr">
        <is>
          <t>Trader with Storage</t>
        </is>
      </c>
      <c r="C7665" t="inlineStr">
        <is>
          <t>SGS Germany GmbH, Emstek, DE</t>
        </is>
      </c>
      <c r="D7665" t="inlineStr">
        <is>
          <t>17.02.2027</t>
        </is>
      </c>
      <c r="E7665" t="inlineStr">
        <is>
          <t>Singapore</t>
        </is>
      </c>
    </row>
    <row r="7666">
      <c r="A7666" t="inlineStr">
        <is>
          <t>Mondi Inncoat GmbH,  Raubling, Germany</t>
        </is>
      </c>
      <c r="B7666" t="inlineStr">
        <is>
          <t>Point of Origin, Processing Unit</t>
        </is>
      </c>
      <c r="C7666" t="inlineStr">
        <is>
          <t>GUT Certifizierungsgesellschaft für Managementsysteme mbH Umweltgutachter, Berlin, DE</t>
        </is>
      </c>
      <c r="D7666" t="inlineStr">
        <is>
          <t>17.02.2027</t>
        </is>
      </c>
      <c r="E7666" t="inlineStr">
        <is>
          <t>Germany</t>
        </is>
      </c>
    </row>
    <row r="7667">
      <c r="A7667" t="inlineStr">
        <is>
          <t>Berry Superfos Besançon,  BESANCON, France</t>
        </is>
      </c>
      <c r="B7667" t="inlineStr">
        <is>
          <t>Processing Unit, Trader with Storage</t>
        </is>
      </c>
      <c r="C7667" t="inlineStr">
        <is>
          <t>SGS Germany GmbH, Emstek, DE</t>
        </is>
      </c>
      <c r="D7667" t="inlineStr">
        <is>
          <t>17.02.2027</t>
        </is>
      </c>
      <c r="E7667" t="inlineStr">
        <is>
          <t>France</t>
        </is>
      </c>
    </row>
    <row r="7668">
      <c r="A7668" t="inlineStr">
        <is>
          <t>Skytanking Brussels Fuel Farm (SBFF),  Brussels Airport, Belgium</t>
        </is>
      </c>
      <c r="B7668" t="inlineStr">
        <is>
          <t>Warehouse</t>
        </is>
      </c>
      <c r="C7668" t="inlineStr">
        <is>
          <t>SGS Germany GmbH, Emstek, DE</t>
        </is>
      </c>
      <c r="D7668" t="inlineStr">
        <is>
          <t>17.02.2027</t>
        </is>
      </c>
      <c r="E7668" t="inlineStr">
        <is>
          <t>Belgium</t>
        </is>
      </c>
    </row>
    <row r="7669">
      <c r="A7669" t="inlineStr">
        <is>
          <t>Berry Superfos La Genête,  La Genête, France</t>
        </is>
      </c>
      <c r="B7669" t="inlineStr">
        <is>
          <t>Processing Unit, Trader with Storage</t>
        </is>
      </c>
      <c r="C7669" t="inlineStr">
        <is>
          <t>SGS Germany GmbH, Emstek, DE</t>
        </is>
      </c>
      <c r="D7669" t="inlineStr">
        <is>
          <t>17.02.2027</t>
        </is>
      </c>
      <c r="E7669" t="inlineStr">
        <is>
          <t>France</t>
        </is>
      </c>
    </row>
    <row r="7670">
      <c r="A7670" t="inlineStr">
        <is>
          <t>PT Pusaka Megah Bumi Nusantara,  Pelalawan, Riau Province, Indonesia</t>
        </is>
      </c>
      <c r="B7670" t="inlineStr">
        <is>
          <t>Point of Origin</t>
        </is>
      </c>
      <c r="C7670" t="inlineStr">
        <is>
          <t>SGS Germany GmbH, Emstek, DE</t>
        </is>
      </c>
      <c r="D7670" t="inlineStr">
        <is>
          <t>17.02.2027</t>
        </is>
      </c>
      <c r="E7670" t="inlineStr">
        <is>
          <t>Indonesia</t>
        </is>
      </c>
    </row>
    <row r="7671">
      <c r="A7671" t="inlineStr">
        <is>
          <t>Circular Energy Company Limited (Branch 1),  Khlong Luang District, Thailand</t>
        </is>
      </c>
      <c r="B7671" t="inlineStr">
        <is>
          <t>Processing Unit, Trader with Storage</t>
        </is>
      </c>
      <c r="C7671" t="inlineStr">
        <is>
          <t>China Testing &amp; Certification International Group Co., Ltd., Beijing, CN</t>
        </is>
      </c>
      <c r="D7671" t="inlineStr">
        <is>
          <t>17.02.2027</t>
        </is>
      </c>
      <c r="E7671" t="inlineStr">
        <is>
          <t>Thailand</t>
        </is>
      </c>
    </row>
    <row r="7672">
      <c r="A7672" t="inlineStr">
        <is>
          <t>ADM Oilseeds Germany,  Kleve, Germany</t>
        </is>
      </c>
      <c r="B7672" t="inlineStr">
        <is>
          <t>Processing Unit, Trader with Storage</t>
        </is>
      </c>
      <c r="C7672" t="inlineStr">
        <is>
          <t>ASG Cert GmbH, Munich, DE</t>
        </is>
      </c>
      <c r="D7672" t="inlineStr">
        <is>
          <t>17.02.2027</t>
        </is>
      </c>
      <c r="E7672" t="inlineStr">
        <is>
          <t>Germany</t>
        </is>
      </c>
    </row>
    <row r="7673">
      <c r="A7673" t="inlineStr">
        <is>
          <t>Tenryu Chemical Engineering Co.,Ltd.,  Kouryou-cho, Kitakatsuragi-gun, Japan</t>
        </is>
      </c>
      <c r="B7673" t="inlineStr">
        <is>
          <t>Processing Unit</t>
        </is>
      </c>
      <c r="C7673" t="inlineStr">
        <is>
          <t>SGS Germany GmbH, Emstek, DE</t>
        </is>
      </c>
      <c r="D7673" t="inlineStr">
        <is>
          <t>17.02.2027</t>
        </is>
      </c>
      <c r="E7673" t="inlineStr">
        <is>
          <t>Japan</t>
        </is>
      </c>
    </row>
    <row r="7674">
      <c r="A7674" t="inlineStr">
        <is>
          <t>Henry Colbeck Ltd,  Gateshead, The United Kingdom</t>
        </is>
      </c>
      <c r="B7674" t="inlineStr">
        <is>
          <t>Collecting Point, Point of Origin</t>
        </is>
      </c>
      <c r="C7674" t="inlineStr">
        <is>
          <t>SGS Germany GmbH, Emstek, DE</t>
        </is>
      </c>
      <c r="D7674" t="inlineStr">
        <is>
          <t>17.02.2027</t>
        </is>
      </c>
      <c r="E7674" t="inlineStr">
        <is>
          <t>The United Kingdom</t>
        </is>
      </c>
    </row>
    <row r="7675">
      <c r="A7675" t="inlineStr">
        <is>
          <t>ADM Oilseeds Germany,  Kleve, Germany</t>
        </is>
      </c>
      <c r="B7675" t="inlineStr">
        <is>
          <t>Processing Unit, Trader with Storage</t>
        </is>
      </c>
      <c r="C7675" t="inlineStr">
        <is>
          <t>ASG Cert GmbH, Munich, DE</t>
        </is>
      </c>
      <c r="D7675" t="inlineStr">
        <is>
          <t>17.02.2027</t>
        </is>
      </c>
      <c r="E7675" t="inlineStr">
        <is>
          <t>Germany</t>
        </is>
      </c>
    </row>
    <row r="7676">
      <c r="A7676" t="inlineStr">
        <is>
          <t>NSZ-NH Agro Kft,  Cigánd, Hungary</t>
        </is>
      </c>
      <c r="B7676" t="inlineStr">
        <is>
          <t>First Gathering Point, Trader with Storage</t>
        </is>
      </c>
      <c r="C7676" t="inlineStr">
        <is>
          <t>BM Certification, Riga, LV</t>
        </is>
      </c>
      <c r="D7676" t="inlineStr">
        <is>
          <t>17.02.2027</t>
        </is>
      </c>
      <c r="E7676" t="inlineStr">
        <is>
          <t>Hungary</t>
        </is>
      </c>
    </row>
    <row r="7677">
      <c r="A7677" t="inlineStr">
        <is>
          <t>Buyatti SAICA,  Reconquista, Argentina</t>
        </is>
      </c>
      <c r="B7677" t="inlineStr">
        <is>
          <t>Point of Origin, Trader with Storage</t>
        </is>
      </c>
      <c r="C7677" t="inlineStr">
        <is>
          <t>Control Union Poland Sp. z o.o., Zielona Gora, PL</t>
        </is>
      </c>
      <c r="D7677" t="inlineStr">
        <is>
          <t>17.02.2027</t>
        </is>
      </c>
      <c r="E7677" t="inlineStr">
        <is>
          <t>Argentina</t>
        </is>
      </c>
    </row>
    <row r="7678">
      <c r="A7678" t="inlineStr">
        <is>
          <t>CORPORACIÓN DE RESERVAS ESTRATÉGICAS DE PRODUCTOS PETROLÍFEROS,  Madrid, Spain</t>
        </is>
      </c>
      <c r="B7678" t="inlineStr">
        <is>
          <t>Trader with Storage</t>
        </is>
      </c>
      <c r="C7678" t="inlineStr">
        <is>
          <t>Control Union Poland Sp. z o.o., Zielona Gora, PL</t>
        </is>
      </c>
      <c r="D7678" t="inlineStr">
        <is>
          <t>17.02.2027</t>
        </is>
      </c>
      <c r="E7678" t="inlineStr">
        <is>
          <t>Spain</t>
        </is>
      </c>
    </row>
    <row r="7679">
      <c r="A7679" t="inlineStr">
        <is>
          <t>RIOSA,  Ibros (Jaén), Spain</t>
        </is>
      </c>
      <c r="B7679" t="inlineStr">
        <is>
          <t>Collecting Point, Processing Unit</t>
        </is>
      </c>
      <c r="C7679" t="inlineStr">
        <is>
          <t>RINA Services S.p.A., Genova, IT</t>
        </is>
      </c>
      <c r="D7679" t="inlineStr">
        <is>
          <t>17.02.2027</t>
        </is>
      </c>
      <c r="E7679" t="inlineStr">
        <is>
          <t>Spain</t>
        </is>
      </c>
    </row>
    <row r="7680">
      <c r="A7680" t="inlineStr">
        <is>
          <t>PNX Petroleum Singapore PTE LTD,  Shaw House, Singapore</t>
        </is>
      </c>
      <c r="B7680" t="inlineStr">
        <is>
          <t>Trader</t>
        </is>
      </c>
      <c r="C7680" t="inlineStr">
        <is>
          <t>Control Union Certifications Germany GmbH, Berlin, DE</t>
        </is>
      </c>
      <c r="D7680" t="inlineStr">
        <is>
          <t>17.02.2027</t>
        </is>
      </c>
      <c r="E7680" t="inlineStr">
        <is>
          <t>Singapore</t>
        </is>
      </c>
    </row>
    <row r="7681">
      <c r="A7681" t="inlineStr">
        <is>
          <t>AJV Grupė, UAB,  Vilnius, Lithuania</t>
        </is>
      </c>
      <c r="B7681" t="inlineStr">
        <is>
          <t>Trader</t>
        </is>
      </c>
      <c r="C7681" t="inlineStr">
        <is>
          <t>Bureau Veritas Polska Sp. z o.o., Warsaw, PL</t>
        </is>
      </c>
      <c r="D7681" t="inlineStr">
        <is>
          <t>17.02.2027</t>
        </is>
      </c>
      <c r="E7681" t="inlineStr">
        <is>
          <t>Lithuania</t>
        </is>
      </c>
    </row>
    <row r="7682">
      <c r="A7682" t="inlineStr">
        <is>
          <t>Zhuhai Epoxy Base Electronic Material Co.,LTD.,  Zhuhai, China</t>
        </is>
      </c>
      <c r="B7682" t="inlineStr">
        <is>
          <t>Processing Unit</t>
        </is>
      </c>
      <c r="C7682" t="inlineStr">
        <is>
          <t>SGS Germany GmbH, Emstek, DE</t>
        </is>
      </c>
      <c r="D7682" t="inlineStr">
        <is>
          <t>17.02.2027</t>
        </is>
      </c>
      <c r="E7682" t="inlineStr">
        <is>
          <t>China</t>
        </is>
      </c>
    </row>
    <row r="7683">
      <c r="A7683" t="inlineStr">
        <is>
          <t>VEAS Selvkost AS,  Slemmestad, Norway</t>
        </is>
      </c>
      <c r="B7683" t="inlineStr">
        <is>
          <t>Point of Origin, Processing Unit</t>
        </is>
      </c>
      <c r="C7683" t="inlineStr">
        <is>
          <t>ASG Cert GmbH, Munich, DE</t>
        </is>
      </c>
      <c r="D7683" t="inlineStr">
        <is>
          <t>17.02.2027</t>
        </is>
      </c>
      <c r="E7683" t="inlineStr">
        <is>
          <t>Norway</t>
        </is>
      </c>
    </row>
    <row r="7684">
      <c r="A7684" t="inlineStr">
        <is>
          <t>REDO Biosolutions AS,  Sem, Norway</t>
        </is>
      </c>
      <c r="B7684" t="inlineStr">
        <is>
          <t>Processing Unit, Trader with Storage</t>
        </is>
      </c>
      <c r="C7684" t="inlineStr">
        <is>
          <t>ASG Cert GmbH, Munich, DE</t>
        </is>
      </c>
      <c r="D7684" t="inlineStr">
        <is>
          <t>17.02.2027</t>
        </is>
      </c>
      <c r="E7684" t="inlineStr">
        <is>
          <t>Norway</t>
        </is>
      </c>
    </row>
    <row r="7685">
      <c r="A7685" t="inlineStr">
        <is>
          <t>Veas Marked AS,  Slemmestad, Norway</t>
        </is>
      </c>
      <c r="B7685" t="inlineStr">
        <is>
          <t>Processing Unit</t>
        </is>
      </c>
      <c r="C7685" t="inlineStr">
        <is>
          <t>ASG Cert GmbH, Munich, DE</t>
        </is>
      </c>
      <c r="D7685" t="inlineStr">
        <is>
          <t>17.02.2027</t>
        </is>
      </c>
      <c r="E7685" t="inlineStr">
        <is>
          <t>Norway</t>
        </is>
      </c>
    </row>
    <row r="7686">
      <c r="A7686" t="inlineStr">
        <is>
          <t>Rosis Global Oil Industries (M),  Selangor Darul Ehsan, Malaysia</t>
        </is>
      </c>
      <c r="B7686" t="inlineStr">
        <is>
          <t>Trader</t>
        </is>
      </c>
      <c r="C7686" t="inlineStr">
        <is>
          <t>Trans Certification and Inspection Sdn Bhd, Kuantan, MY</t>
        </is>
      </c>
      <c r="D7686" t="inlineStr">
        <is>
          <t>17.02.2027</t>
        </is>
      </c>
      <c r="E7686" t="inlineStr">
        <is>
          <t>Malaysia</t>
        </is>
      </c>
    </row>
    <row r="7687">
      <c r="A7687" t="inlineStr">
        <is>
          <t>SPORTS GEAR CO., LTD. TAIWAN BRANCH,  Truong Mit Commune, Tay Ninh Province, Vietnam</t>
        </is>
      </c>
      <c r="B7687" t="inlineStr">
        <is>
          <t>Trader</t>
        </is>
      </c>
      <c r="C7687" t="inlineStr">
        <is>
          <t>SGS Germany GmbH, Emstek, DE</t>
        </is>
      </c>
      <c r="D7687" t="inlineStr">
        <is>
          <t>16.02.2027</t>
        </is>
      </c>
      <c r="E7687" t="inlineStr">
        <is>
          <t>Vietnam</t>
        </is>
      </c>
    </row>
    <row r="7688">
      <c r="A7688" t="inlineStr">
        <is>
          <t>Eveil d'Afrique,  Brazzaville, Republic of the Congo</t>
        </is>
      </c>
      <c r="B7688" t="inlineStr">
        <is>
          <t>First Gathering Point</t>
        </is>
      </c>
      <c r="C7688" t="inlineStr">
        <is>
          <t>RINA Services S.p.A., Genova, IT</t>
        </is>
      </c>
      <c r="D7688" t="inlineStr">
        <is>
          <t>16.02.2027</t>
        </is>
      </c>
      <c r="E7688" t="inlineStr">
        <is>
          <t>Republic of the Congo</t>
        </is>
      </c>
    </row>
    <row r="7689">
      <c r="A7689" t="inlineStr">
        <is>
          <t>Tecnowerk Plast,  Arsiè, Italy</t>
        </is>
      </c>
      <c r="B7689" t="inlineStr">
        <is>
          <t>Processing Unit</t>
        </is>
      </c>
      <c r="C7689" t="inlineStr">
        <is>
          <t>SGS Germany GmbH, Emstek, DE</t>
        </is>
      </c>
      <c r="D7689" t="inlineStr">
        <is>
          <t>16.02.2027</t>
        </is>
      </c>
      <c r="E7689" t="inlineStr">
        <is>
          <t>Italy</t>
        </is>
      </c>
    </row>
    <row r="7690">
      <c r="A7690" t="inlineStr">
        <is>
          <t>Matadero de Guijuelo S.A.,  Guijuelo, Spain</t>
        </is>
      </c>
      <c r="B7690" t="inlineStr">
        <is>
          <t>Point of Origin</t>
        </is>
      </c>
      <c r="C7690" t="inlineStr">
        <is>
          <t>Amspec Iberia SL, Vilagarcia de Arousa-Pontevedra, ES</t>
        </is>
      </c>
      <c r="D7690" t="inlineStr">
        <is>
          <t>16.02.2027</t>
        </is>
      </c>
      <c r="E7690" t="inlineStr">
        <is>
          <t>Spain</t>
        </is>
      </c>
    </row>
    <row r="7691">
      <c r="A7691" t="inlineStr">
        <is>
          <t>Handelsbedrijf A. Prinsen B.V.,  Zwinderen, Netherlands</t>
        </is>
      </c>
      <c r="B7691" t="inlineStr">
        <is>
          <t>Trader</t>
        </is>
      </c>
      <c r="C7691" t="inlineStr">
        <is>
          <t>Normec QS BV, Ede, NL</t>
        </is>
      </c>
      <c r="D7691" t="inlineStr">
        <is>
          <t>16.02.2027</t>
        </is>
      </c>
      <c r="E7691" t="inlineStr">
        <is>
          <t>Netherlands</t>
        </is>
      </c>
    </row>
    <row r="7692">
      <c r="A7692" t="inlineStr">
        <is>
          <t>TEGUHKARSA WANALESTARI,  KECAMATAN SIAK, KABUPATEN SIAK, PROVINSI RAIU, Indonesia</t>
        </is>
      </c>
      <c r="B7692" t="inlineStr">
        <is>
          <t>Point of Origin</t>
        </is>
      </c>
      <c r="C7692" t="inlineStr">
        <is>
          <t>PT. Qualitas Sertifikasi Indonesia, Jakarta, ID</t>
        </is>
      </c>
      <c r="D7692" t="inlineStr">
        <is>
          <t>16.02.2027</t>
        </is>
      </c>
      <c r="E7692" t="inlineStr">
        <is>
          <t>Indonesia</t>
        </is>
      </c>
    </row>
    <row r="7693">
      <c r="A7693" t="inlineStr">
        <is>
          <t>Dharmasraya Lestarindo,  Kabupaten Dharmasraya, Provinsi Sumatera Barat, Indonesia</t>
        </is>
      </c>
      <c r="B7693" t="inlineStr">
        <is>
          <t>Point of Origin</t>
        </is>
      </c>
      <c r="C7693" t="inlineStr">
        <is>
          <t>PT. Qualitas Sertifikasi Indonesia, Jakarta, ID</t>
        </is>
      </c>
      <c r="D7693" t="inlineStr">
        <is>
          <t>16.02.2027</t>
        </is>
      </c>
      <c r="E7693" t="inlineStr">
        <is>
          <t>Indonesia</t>
        </is>
      </c>
    </row>
    <row r="7694">
      <c r="A7694" t="inlineStr">
        <is>
          <t>Dharmasraya Lestarindo,  Kabupaten Dharmasraya, Provinsi Sumatera Barat, Indonesia</t>
        </is>
      </c>
      <c r="B7694" t="inlineStr">
        <is>
          <t>Point of Origin</t>
        </is>
      </c>
      <c r="C7694" t="inlineStr">
        <is>
          <t>PT. Qualitas Sertifikasi Indonesia, Jakarta, ID</t>
        </is>
      </c>
      <c r="D7694" t="inlineStr">
        <is>
          <t>16.02.2027</t>
        </is>
      </c>
      <c r="E7694" t="inlineStr">
        <is>
          <t>Indonesia</t>
        </is>
      </c>
    </row>
    <row r="7695">
      <c r="A7695" t="inlineStr">
        <is>
          <t>KEMILAU PERMATA SAWIT,  Kab. Sijunjung, Provinsi Sumatera Barat, Indonesia, Indonesia</t>
        </is>
      </c>
      <c r="B7695" t="inlineStr">
        <is>
          <t>Point of Origin</t>
        </is>
      </c>
      <c r="C7695" t="inlineStr">
        <is>
          <t>PT. Qualitas Sertifikasi Indonesia, Jakarta, ID</t>
        </is>
      </c>
      <c r="D7695" t="inlineStr">
        <is>
          <t>16.02.2027</t>
        </is>
      </c>
      <c r="E7695" t="inlineStr">
        <is>
          <t>Indonesia</t>
        </is>
      </c>
    </row>
    <row r="7696">
      <c r="A7696" t="inlineStr">
        <is>
          <t>COMBINE WILL (CANGWU) INDUSTRIAL COMPANY LIMITED,  CANGWU COUNTY,WUZHOU CITY, GUANGXI PROVINCE, China</t>
        </is>
      </c>
      <c r="B7696" t="inlineStr">
        <is>
          <t>Processing Unit</t>
        </is>
      </c>
      <c r="C7696" t="inlineStr">
        <is>
          <t>DIN CERTCO GmbH, Berlin, DE</t>
        </is>
      </c>
      <c r="D7696" t="inlineStr">
        <is>
          <t>16.02.2027</t>
        </is>
      </c>
      <c r="E7696" t="inlineStr">
        <is>
          <t>China</t>
        </is>
      </c>
    </row>
    <row r="7697">
      <c r="A7697" t="inlineStr">
        <is>
          <t>COMBINE WILL INDUSTRIAL COMPANY LIMITED,  HONG KONG, China</t>
        </is>
      </c>
      <c r="B7697" t="inlineStr">
        <is>
          <t>Trader</t>
        </is>
      </c>
      <c r="C7697" t="inlineStr">
        <is>
          <t>DIN CERTCO GmbH, Berlin, DE</t>
        </is>
      </c>
      <c r="D7697" t="inlineStr">
        <is>
          <t>16.02.2027</t>
        </is>
      </c>
      <c r="E7697" t="inlineStr">
        <is>
          <t>China</t>
        </is>
      </c>
    </row>
    <row r="7698">
      <c r="A7698" t="inlineStr">
        <is>
          <t>PISANO BUNKER SRL,  Genova, Italy</t>
        </is>
      </c>
      <c r="B7698" t="inlineStr">
        <is>
          <t>Trader, Proof of Compliance Trader</t>
        </is>
      </c>
      <c r="C7698" t="inlineStr">
        <is>
          <t>SGS Germany GmbH, Emstek, DE</t>
        </is>
      </c>
      <c r="D7698" t="inlineStr">
        <is>
          <t>16.02.2027</t>
        </is>
      </c>
      <c r="E7698" t="inlineStr">
        <is>
          <t>Italy</t>
        </is>
      </c>
    </row>
    <row r="7699">
      <c r="A7699" t="inlineStr">
        <is>
          <t>Amcor Flexibles Italia,  Lugo di Vicenza, Italy</t>
        </is>
      </c>
      <c r="B7699" t="inlineStr">
        <is>
          <t>Processing Unit</t>
        </is>
      </c>
      <c r="C7699" t="inlineStr">
        <is>
          <t>SGS Germany GmbH, Emstek, DE</t>
        </is>
      </c>
      <c r="D7699" t="inlineStr">
        <is>
          <t>16.02.2027</t>
        </is>
      </c>
      <c r="E7699" t="inlineStr">
        <is>
          <t>Italy</t>
        </is>
      </c>
    </row>
    <row r="7700">
      <c r="A7700" t="inlineStr">
        <is>
          <t>NOF CORPORATION KAWASAKI WORKS,  Kawasaki-ku, Kawasaki-shi, Japan</t>
        </is>
      </c>
      <c r="B7700" t="inlineStr">
        <is>
          <t>Processing Unit</t>
        </is>
      </c>
      <c r="C7700" t="inlineStr">
        <is>
          <t>SGS Germany GmbH, Emstek, DE</t>
        </is>
      </c>
      <c r="D7700" t="inlineStr">
        <is>
          <t>16.02.2027</t>
        </is>
      </c>
      <c r="E7700" t="inlineStr">
        <is>
          <t>Japan</t>
        </is>
      </c>
    </row>
    <row r="7701">
      <c r="A7701" t="inlineStr">
        <is>
          <t>TOYOCHEM CO.,LTD,  Kawagoe City, Saitama, Japan</t>
        </is>
      </c>
      <c r="B7701" t="inlineStr">
        <is>
          <t>Processing Unit</t>
        </is>
      </c>
      <c r="C7701" t="inlineStr">
        <is>
          <t>SGS Germany GmbH, Emstek, DE</t>
        </is>
      </c>
      <c r="D7701" t="inlineStr">
        <is>
          <t>16.02.2027</t>
        </is>
      </c>
      <c r="E7701" t="inlineStr">
        <is>
          <t>Japan</t>
        </is>
      </c>
    </row>
    <row r="7702">
      <c r="A7702" t="inlineStr">
        <is>
          <t>WAH LEE INDUSTRIAL CORP.,  Taipei, Taiwan, Province of China</t>
        </is>
      </c>
      <c r="B7702" t="inlineStr">
        <is>
          <t>Trader with Storage</t>
        </is>
      </c>
      <c r="C7702" t="inlineStr">
        <is>
          <t>Bureau Veritas Polska Sp. z o.o., Warsaw, PL</t>
        </is>
      </c>
      <c r="D7702" t="inlineStr">
        <is>
          <t>16.02.2027</t>
        </is>
      </c>
      <c r="E7702" t="inlineStr">
        <is>
          <t>Province of China</t>
        </is>
      </c>
    </row>
    <row r="7703">
      <c r="A7703" t="inlineStr">
        <is>
          <t>Ruffian Plastic O Private Limited,  Palghar Talasari, India</t>
        </is>
      </c>
      <c r="B7703" t="inlineStr">
        <is>
          <t>Collecting Point, Processing Unit</t>
        </is>
      </c>
      <c r="C7703" t="inlineStr">
        <is>
          <t>Cotecna India Inspection Pvt Ltd, Kolkata, IN</t>
        </is>
      </c>
      <c r="D7703" t="inlineStr">
        <is>
          <t>16.02.2027</t>
        </is>
      </c>
      <c r="E7703" t="inlineStr">
        <is>
          <t>India</t>
        </is>
      </c>
    </row>
    <row r="7704">
      <c r="A7704" t="inlineStr">
        <is>
          <t>VIDA bioenergy Glentham Ltd,  Glentham, United Kingdom</t>
        </is>
      </c>
      <c r="B7704" t="inlineStr">
        <is>
          <t>Collecting Point, First Gathering Point, Processing Unit</t>
        </is>
      </c>
      <c r="C7704" t="inlineStr">
        <is>
          <t>Aardvark Certification Ltd, Wiveliscombe, Somerset, GB</t>
        </is>
      </c>
      <c r="D7704" t="inlineStr">
        <is>
          <t>16.02.2027</t>
        </is>
      </c>
      <c r="E7704" t="inlineStr">
        <is>
          <t>United Kingdom</t>
        </is>
      </c>
    </row>
    <row r="7705">
      <c r="A7705" t="inlineStr">
        <is>
          <t>VNK AS,  Kohtla-Järve, Estonia</t>
        </is>
      </c>
      <c r="B7705" t="inlineStr">
        <is>
          <t>Processing Unit</t>
        </is>
      </c>
      <c r="C7705" t="inlineStr">
        <is>
          <t>NCS Estonia OÜ, Tallinn, EE</t>
        </is>
      </c>
      <c r="D7705" t="inlineStr">
        <is>
          <t>16.02.2027</t>
        </is>
      </c>
      <c r="E7705" t="inlineStr">
        <is>
          <t>Estonia</t>
        </is>
      </c>
    </row>
    <row r="7706">
      <c r="A7706" t="inlineStr">
        <is>
          <t>Kera Energy AG,  Zug, Switzerland</t>
        </is>
      </c>
      <c r="B7706" t="inlineStr">
        <is>
          <t>Trader</t>
        </is>
      </c>
      <c r="C7706" t="inlineStr">
        <is>
          <t>SGS Germany GmbH, Emstek, DE</t>
        </is>
      </c>
      <c r="D7706" t="inlineStr">
        <is>
          <t>16.02.2027</t>
        </is>
      </c>
      <c r="E7706" t="inlineStr">
        <is>
          <t>Switzerland</t>
        </is>
      </c>
    </row>
    <row r="7707">
      <c r="A7707" t="inlineStr">
        <is>
          <t>Kera Energy AG,  Zug, Switzerland</t>
        </is>
      </c>
      <c r="B7707" t="inlineStr">
        <is>
          <t>Trader</t>
        </is>
      </c>
      <c r="C7707" t="inlineStr">
        <is>
          <t>SGS Germany GmbH, Emstek, DE</t>
        </is>
      </c>
      <c r="D7707" t="inlineStr">
        <is>
          <t>16.02.2027</t>
        </is>
      </c>
      <c r="E7707" t="inlineStr">
        <is>
          <t>Switzerland</t>
        </is>
      </c>
    </row>
    <row r="7708">
      <c r="A7708" t="inlineStr">
        <is>
          <t>Mir Plastic Industries,  Dubai, United Arab Emirates</t>
        </is>
      </c>
      <c r="B7708" t="inlineStr">
        <is>
          <t>Processing Unit</t>
        </is>
      </c>
      <c r="C7708" t="inlineStr">
        <is>
          <t>DQS CFS GmbH - Deutsche Gesellschaft für Nachhaltigkeit, Frankfurt am Main, DE</t>
        </is>
      </c>
      <c r="D7708" t="inlineStr">
        <is>
          <t>16.02.2027</t>
        </is>
      </c>
      <c r="E7708" t="inlineStr">
        <is>
          <t>United Arab Emirates</t>
        </is>
      </c>
    </row>
    <row r="7709">
      <c r="A7709" t="inlineStr">
        <is>
          <t>Panguaneta Spa,  Sabbioneta, Italy</t>
        </is>
      </c>
      <c r="B7709" t="inlineStr">
        <is>
          <t>First Gathering Point, Point of Origin, Processing Unit</t>
        </is>
      </c>
      <c r="C7709" t="inlineStr">
        <is>
          <t>SGS Germany GmbH, Emstek, DE</t>
        </is>
      </c>
      <c r="D7709" t="inlineStr">
        <is>
          <t>16.02.2027</t>
        </is>
      </c>
      <c r="E7709" t="inlineStr">
        <is>
          <t>Italy</t>
        </is>
      </c>
    </row>
    <row r="7710">
      <c r="A7710" t="inlineStr">
        <is>
          <t>The National Chemical Company Ltd,  Dublin, Ireland</t>
        </is>
      </c>
      <c r="B7710" t="inlineStr">
        <is>
          <t>Trader</t>
        </is>
      </c>
      <c r="C7710" t="inlineStr">
        <is>
          <t>Aardvark Certification Ltd, Wiveliscombe, Somerset, GB</t>
        </is>
      </c>
      <c r="D7710" t="inlineStr">
        <is>
          <t>16.02.2027</t>
        </is>
      </c>
      <c r="E7710" t="inlineStr">
        <is>
          <t>Ireland</t>
        </is>
      </c>
    </row>
    <row r="7711">
      <c r="A7711" t="inlineStr">
        <is>
          <t>Ultimate Flexipack Limited,  Haridwar, India</t>
        </is>
      </c>
      <c r="B7711" t="inlineStr">
        <is>
          <t>Processing Unit</t>
        </is>
      </c>
      <c r="C7711" t="inlineStr">
        <is>
          <t>Cotecna India Inspection Pvt Ltd, Kolkata, IN</t>
        </is>
      </c>
      <c r="D7711" t="inlineStr">
        <is>
          <t>16.02.2027</t>
        </is>
      </c>
      <c r="E7711" t="inlineStr">
        <is>
          <t>India</t>
        </is>
      </c>
    </row>
    <row r="7712">
      <c r="A7712" t="inlineStr">
        <is>
          <t>Syensqo Specialty Polymers USA,  Borger, TX, United States</t>
        </is>
      </c>
      <c r="B7712" t="inlineStr">
        <is>
          <t>Processing Unit, Warehouse</t>
        </is>
      </c>
      <c r="C7712" t="inlineStr">
        <is>
          <t>SCS Global Services, Emeryville, CA, US</t>
        </is>
      </c>
      <c r="D7712" t="inlineStr">
        <is>
          <t>16.02.2027</t>
        </is>
      </c>
      <c r="E7712" t="inlineStr">
        <is>
          <t>United States</t>
        </is>
      </c>
    </row>
    <row r="7713">
      <c r="A7713" t="inlineStr">
        <is>
          <t>Ecocarb S A,  Châtel-st-Denis, Switzerland</t>
        </is>
      </c>
      <c r="B7713" t="inlineStr">
        <is>
          <t>Trader</t>
        </is>
      </c>
      <c r="C7713" t="inlineStr">
        <is>
          <t>ASG Cert GmbH, Munich, DE</t>
        </is>
      </c>
      <c r="D7713" t="inlineStr">
        <is>
          <t>16.02.2027</t>
        </is>
      </c>
      <c r="E7713" t="inlineStr">
        <is>
          <t>Switzerland</t>
        </is>
      </c>
    </row>
    <row r="7714">
      <c r="A7714" t="inlineStr">
        <is>
          <t>Essentials Chemicals Italy S.p.A.,  Livorno, Italy</t>
        </is>
      </c>
      <c r="B7714" t="inlineStr">
        <is>
          <t>Collecting Point, Processing Unit</t>
        </is>
      </c>
      <c r="C7714" t="inlineStr">
        <is>
          <t>RINA Services S.p.A., Genova, IT</t>
        </is>
      </c>
      <c r="D7714" t="inlineStr">
        <is>
          <t>16.02.2027</t>
        </is>
      </c>
      <c r="E7714" t="inlineStr">
        <is>
          <t>Italy</t>
        </is>
      </c>
    </row>
    <row r="7715">
      <c r="A7715" t="inlineStr">
        <is>
          <t>Dong Tay Tay Nguyen Co. ,Ltd,  Trang Dai Ward, Vietnam</t>
        </is>
      </c>
      <c r="B7715" t="inlineStr">
        <is>
          <t>Final Product Refinement</t>
        </is>
      </c>
      <c r="C7715" t="inlineStr">
        <is>
          <t>Bureau Veritas Polska Sp. z o.o., Warsaw, PL</t>
        </is>
      </c>
      <c r="D7715" t="inlineStr">
        <is>
          <t>16.02.2027</t>
        </is>
      </c>
      <c r="E7715" t="inlineStr">
        <is>
          <t>Vietnam</t>
        </is>
      </c>
    </row>
    <row r="7716">
      <c r="A7716" t="inlineStr">
        <is>
          <t>Merchong Palm Oil Mill Sdn Bhd,  Kuala Rompin, Rompin, Malaysia</t>
        </is>
      </c>
      <c r="B7716" t="inlineStr">
        <is>
          <t>Point of Origin</t>
        </is>
      </c>
      <c r="C7716" t="inlineStr">
        <is>
          <t>Trans Certification and Inspection Sdn Bhd, Kuantan, MY</t>
        </is>
      </c>
      <c r="D7716" t="inlineStr">
        <is>
          <t>15.02.2027</t>
        </is>
      </c>
      <c r="E7716" t="inlineStr">
        <is>
          <t>Malaysia</t>
        </is>
      </c>
    </row>
    <row r="7717">
      <c r="A7717" t="inlineStr">
        <is>
          <t>AFRIKA BIO ENERGY LIMITED (A.B.E.L),  EFFIA, TAKORADI, Ghana</t>
        </is>
      </c>
      <c r="B7717" t="inlineStr">
        <is>
          <t>Trader</t>
        </is>
      </c>
      <c r="C7717" t="inlineStr">
        <is>
          <t>BM Certification, Riga, LV</t>
        </is>
      </c>
      <c r="D7717" t="inlineStr">
        <is>
          <t>15.02.2027</t>
        </is>
      </c>
      <c r="E7717" t="inlineStr">
        <is>
          <t>Ghana</t>
        </is>
      </c>
    </row>
    <row r="7718">
      <c r="A7718" t="inlineStr">
        <is>
          <t>GREEN ENERGY INTEGRATION SERVICES LIMITED,  LAGOS, Nigeria</t>
        </is>
      </c>
      <c r="B7718" t="inlineStr">
        <is>
          <t>Collecting Point, Trader with Storage</t>
        </is>
      </c>
      <c r="C7718" t="inlineStr">
        <is>
          <t>RINA Services S.p.A., Genova, IT</t>
        </is>
      </c>
      <c r="D7718" t="inlineStr">
        <is>
          <t>15.02.2027</t>
        </is>
      </c>
      <c r="E7718" t="inlineStr">
        <is>
          <t>Nigeria</t>
        </is>
      </c>
    </row>
    <row r="7719">
      <c r="A7719" t="inlineStr">
        <is>
          <t>GEMA DE RESIDUOS ,  CORDOBA, Spain</t>
        </is>
      </c>
      <c r="B7719" t="inlineStr">
        <is>
          <t>Collecting Point</t>
        </is>
      </c>
      <c r="C7719" t="inlineStr">
        <is>
          <t>Control Union Poland Sp. z o.o., Zielona Gora, PL</t>
        </is>
      </c>
      <c r="D7719" t="inlineStr">
        <is>
          <t>15.02.2027</t>
        </is>
      </c>
      <c r="E7719" t="inlineStr">
        <is>
          <t>Spain</t>
        </is>
      </c>
    </row>
    <row r="7720">
      <c r="A7720" t="inlineStr">
        <is>
          <t>Plas Recyclate Private Limted,  Pune, India</t>
        </is>
      </c>
      <c r="B7720" t="inlineStr">
        <is>
          <t>Collecting Point, Processing Unit</t>
        </is>
      </c>
      <c r="C7720" t="inlineStr">
        <is>
          <t>Alcumus ISOQAR Ltd, Stretford, Manchester, GB</t>
        </is>
      </c>
      <c r="D7720" t="inlineStr">
        <is>
          <t>15.02.2027</t>
        </is>
      </c>
      <c r="E7720" t="inlineStr">
        <is>
          <t>India</t>
        </is>
      </c>
    </row>
    <row r="7721">
      <c r="A7721" t="inlineStr">
        <is>
          <t>Itelyum Regeneration S.p.A.,  Pieve Fissiraga, Italy</t>
        </is>
      </c>
      <c r="B7721" t="inlineStr">
        <is>
          <t>Processing Unit</t>
        </is>
      </c>
      <c r="C7721" t="inlineStr">
        <is>
          <t>Certiquality srl, Milano, IT</t>
        </is>
      </c>
      <c r="D7721" t="inlineStr">
        <is>
          <t>15.02.2027</t>
        </is>
      </c>
      <c r="E7721" t="inlineStr">
        <is>
          <t>Italy</t>
        </is>
      </c>
    </row>
    <row r="7722">
      <c r="A7722" t="inlineStr">
        <is>
          <t>Genesis Bioenergy SDN BHD,  Skudai, Johor, Malaysia</t>
        </is>
      </c>
      <c r="B7722" t="inlineStr">
        <is>
          <t>Collecting Point, Trader with Storage, Warehouse</t>
        </is>
      </c>
      <c r="C7722" t="inlineStr">
        <is>
          <t>PT Mutuagung Lestari, Depok, ID</t>
        </is>
      </c>
      <c r="D7722" t="inlineStr">
        <is>
          <t>15.02.2027</t>
        </is>
      </c>
      <c r="E7722" t="inlineStr">
        <is>
          <t>Malaysia</t>
        </is>
      </c>
    </row>
    <row r="7723">
      <c r="A7723" t="inlineStr">
        <is>
          <t>Ambrosia Oils (1976) Ltd,  Larnaka Industrial Estate, Cyprus</t>
        </is>
      </c>
      <c r="B7723" t="inlineStr">
        <is>
          <t>Trader with Storage</t>
        </is>
      </c>
      <c r="C7723" t="inlineStr">
        <is>
          <t>Bureau Veritas Polska Sp. z o.o., Warsaw, PL</t>
        </is>
      </c>
      <c r="D7723" t="inlineStr">
        <is>
          <t>15.02.2027</t>
        </is>
      </c>
      <c r="E7723" t="inlineStr">
        <is>
          <t>Cyprus</t>
        </is>
      </c>
    </row>
    <row r="7724">
      <c r="A7724" t="inlineStr">
        <is>
          <t>Kurana, UAB,  Pasvalys, Lithuania</t>
        </is>
      </c>
      <c r="B7724" t="inlineStr">
        <is>
          <t>First Gathering Point, Collecting Point, Trader with Storage, Processing Unit</t>
        </is>
      </c>
      <c r="C7724" t="inlineStr">
        <is>
          <t>Bureau Veritas Polska Sp. z o.o., Warsaw, PL</t>
        </is>
      </c>
      <c r="D7724" t="inlineStr">
        <is>
          <t>15.02.2027</t>
        </is>
      </c>
      <c r="E7724" t="inlineStr">
        <is>
          <t>Lithuania</t>
        </is>
      </c>
    </row>
    <row r="7725">
      <c r="A7725" t="inlineStr">
        <is>
          <t>Allseeds Black Sea,  Vyzyrka village, Odesa district, Odesa region, Ukraine</t>
        </is>
      </c>
      <c r="B7725" t="inlineStr">
        <is>
          <t>Processing Unit, Trader with Storage</t>
        </is>
      </c>
      <c r="C7725" t="inlineStr">
        <is>
          <t>Bureau Veritas Polska Sp. z o.o., Warsaw, PL</t>
        </is>
      </c>
      <c r="D7725" t="inlineStr">
        <is>
          <t>15.02.2027</t>
        </is>
      </c>
      <c r="E7725" t="inlineStr">
        <is>
          <t>Ukraine</t>
        </is>
      </c>
    </row>
    <row r="7726">
      <c r="A7726" t="inlineStr">
        <is>
          <t>Allseeds Black Sea,  Vyzyrka village, Odesa district, Odesa region, Ukraine</t>
        </is>
      </c>
      <c r="B7726" t="inlineStr">
        <is>
          <t>Processing Unit, Trader with Storage</t>
        </is>
      </c>
      <c r="C7726" t="inlineStr">
        <is>
          <t>Bureau Veritas Polska Sp. z o.o., Warsaw, PL</t>
        </is>
      </c>
      <c r="D7726" t="inlineStr">
        <is>
          <t>15.02.2027</t>
        </is>
      </c>
      <c r="E7726" t="inlineStr">
        <is>
          <t>Ukraine</t>
        </is>
      </c>
    </row>
    <row r="7727">
      <c r="A7727" t="inlineStr">
        <is>
          <t>BMP GROUP JOINT STOCK COMPANY,  Ho Chi Minh, Vietnam</t>
        </is>
      </c>
      <c r="B7727" t="inlineStr">
        <is>
          <t>Processing Unit</t>
        </is>
      </c>
      <c r="C7727" t="inlineStr">
        <is>
          <t>Bureau Veritas Polska Sp. z o.o., Warsaw, PL</t>
        </is>
      </c>
      <c r="D7727" t="inlineStr">
        <is>
          <t>15.02.2027</t>
        </is>
      </c>
      <c r="E7727" t="inlineStr">
        <is>
          <t>Vietnam</t>
        </is>
      </c>
    </row>
    <row r="7728">
      <c r="A7728" t="inlineStr">
        <is>
          <t>GREEN ENERGY INVESTMENT PRODUCTION JOINT STOCK COMPANY,  Hoa Khanh Bac Ward, Lien Chieu District, Vietnam</t>
        </is>
      </c>
      <c r="B7728" t="inlineStr">
        <is>
          <t>Collecting Point, Processing Unit</t>
        </is>
      </c>
      <c r="C7728" t="inlineStr">
        <is>
          <t>BM Certification, Riga, LV</t>
        </is>
      </c>
      <c r="D7728" t="inlineStr">
        <is>
          <t>15.02.2027</t>
        </is>
      </c>
      <c r="E7728" t="inlineStr">
        <is>
          <t>Vietnam</t>
        </is>
      </c>
    </row>
    <row r="7729">
      <c r="A7729" t="inlineStr">
        <is>
          <t>AZ Czech Republic s.r.o.,  Pardubice, Czech Republic</t>
        </is>
      </c>
      <c r="B7729" t="inlineStr">
        <is>
          <t>First Gathering Point, Trader</t>
        </is>
      </c>
      <c r="C7729" t="inlineStr">
        <is>
          <t>United Registrar of Systems Polska Sp. z o.o., Wrocław, PL</t>
        </is>
      </c>
      <c r="D7729" t="inlineStr">
        <is>
          <t>15.02.2027</t>
        </is>
      </c>
      <c r="E7729" t="inlineStr">
        <is>
          <t>Czech Republic</t>
        </is>
      </c>
    </row>
    <row r="7730">
      <c r="A7730" t="inlineStr">
        <is>
          <t>Dyneff ESPANA S.L.U,  Girona, Spain</t>
        </is>
      </c>
      <c r="B7730" t="inlineStr">
        <is>
          <t>Trader with Storage</t>
        </is>
      </c>
      <c r="C7730" t="inlineStr">
        <is>
          <t>Bureau Veritas Polska Sp. z o.o., Warsaw, PL</t>
        </is>
      </c>
      <c r="D7730" t="inlineStr">
        <is>
          <t>15.02.2027</t>
        </is>
      </c>
      <c r="E7730" t="inlineStr">
        <is>
          <t>Spain</t>
        </is>
      </c>
    </row>
    <row r="7731">
      <c r="A7731" t="inlineStr">
        <is>
          <t>NUTRA LIPIDS (M),  JOHOR BAHRU, JOHOR, Malaysia</t>
        </is>
      </c>
      <c r="B7731" t="inlineStr">
        <is>
          <t>Collecting Point, Trader with Storage</t>
        </is>
      </c>
      <c r="C7731" t="inlineStr">
        <is>
          <t>Trans Certification and Inspection Sdn Bhd, Kuantan, MY</t>
        </is>
      </c>
      <c r="D7731" t="inlineStr">
        <is>
          <t>15.02.2027</t>
        </is>
      </c>
      <c r="E7731" t="inlineStr">
        <is>
          <t>Malaysia</t>
        </is>
      </c>
    </row>
    <row r="7732">
      <c r="A7732" t="inlineStr">
        <is>
          <t>DEMETER SUSTAINABLE ENERGY PTE.LTD.,  SUNTEC TOWER THREE, Singapore</t>
        </is>
      </c>
      <c r="B7732" t="inlineStr">
        <is>
          <t>Trader</t>
        </is>
      </c>
      <c r="C7732" t="inlineStr">
        <is>
          <t>PT Mutuagung Lestari, Depok, ID</t>
        </is>
      </c>
      <c r="D7732" t="inlineStr">
        <is>
          <t>15.02.2027</t>
        </is>
      </c>
      <c r="E7732" t="inlineStr">
        <is>
          <t>Singapore</t>
        </is>
      </c>
    </row>
    <row r="7733">
      <c r="A7733" t="inlineStr">
        <is>
          <t>Easy Go,  madrid, Spain</t>
        </is>
      </c>
      <c r="B7733" t="inlineStr">
        <is>
          <t>Collecting Point, Trader</t>
        </is>
      </c>
      <c r="C7733" t="inlineStr">
        <is>
          <t>Control Union Poland Sp. z o.o., Zielona Gora, PL</t>
        </is>
      </c>
      <c r="D7733" t="inlineStr">
        <is>
          <t>15.02.2027</t>
        </is>
      </c>
      <c r="E7733" t="inlineStr">
        <is>
          <t>Spain</t>
        </is>
      </c>
    </row>
    <row r="7734">
      <c r="A7734" t="inlineStr">
        <is>
          <t>BONDALTI CHEMICALS, S.A. (CUF),  Estarreja, Portugal</t>
        </is>
      </c>
      <c r="B7734" t="inlineStr">
        <is>
          <t>Processing Unit, Warehouse</t>
        </is>
      </c>
      <c r="C7734" t="inlineStr">
        <is>
          <t>SGS Germany GmbH, Emstek, DE</t>
        </is>
      </c>
      <c r="D7734" t="inlineStr">
        <is>
          <t>15.02.2027</t>
        </is>
      </c>
      <c r="E7734" t="inlineStr">
        <is>
          <t>Portugal</t>
        </is>
      </c>
    </row>
    <row r="7735">
      <c r="A7735" t="inlineStr">
        <is>
          <t>SEKAVIN TRADING,  LEMESOS, Cyprus</t>
        </is>
      </c>
      <c r="B7735" t="inlineStr">
        <is>
          <t>Trader</t>
        </is>
      </c>
      <c r="C7735" t="inlineStr">
        <is>
          <t>Eurocert SA, Metamorfosi, Athens, GR</t>
        </is>
      </c>
      <c r="D7735" t="inlineStr">
        <is>
          <t>15.02.2027</t>
        </is>
      </c>
      <c r="E7735" t="inlineStr">
        <is>
          <t>Cyprus</t>
        </is>
      </c>
    </row>
    <row r="7736">
      <c r="A7736" t="inlineStr">
        <is>
          <t>POET Biorefining - Marion, LLC,  Marion, United States</t>
        </is>
      </c>
      <c r="B7736" t="inlineStr">
        <is>
          <t>Processing Unit</t>
        </is>
      </c>
      <c r="C7736" t="inlineStr">
        <is>
          <t>SCS Global Services, Emeryville, CA, US</t>
        </is>
      </c>
      <c r="D7736" t="inlineStr">
        <is>
          <t>15.02.2027</t>
        </is>
      </c>
      <c r="E7736" t="inlineStr">
        <is>
          <t>United States</t>
        </is>
      </c>
    </row>
    <row r="7737">
      <c r="A7737" t="inlineStr">
        <is>
          <t>ATEMAX France,  Venerolles, France</t>
        </is>
      </c>
      <c r="B7737" t="inlineStr">
        <is>
          <t>Point of Origin, Processing Unit</t>
        </is>
      </c>
      <c r="C7737" t="inlineStr">
        <is>
          <t>Control Union Certifications Germany GmbH, Berlin, DE</t>
        </is>
      </c>
      <c r="D7737" t="inlineStr">
        <is>
          <t>15.02.2027</t>
        </is>
      </c>
      <c r="E7737" t="inlineStr">
        <is>
          <t>France</t>
        </is>
      </c>
    </row>
    <row r="7738">
      <c r="A7738" t="inlineStr">
        <is>
          <t>Distrupol Denmark ApS,  Chertsey, United Kingdom</t>
        </is>
      </c>
      <c r="B7738" t="inlineStr">
        <is>
          <t>Trader with Storage</t>
        </is>
      </c>
      <c r="C7738" t="inlineStr">
        <is>
          <t>Certificadora Gallega del Noroeste SL, Vilagarcia de Arousa-Pontevedra, ES</t>
        </is>
      </c>
      <c r="D7738" t="inlineStr">
        <is>
          <t>15.02.2027</t>
        </is>
      </c>
      <c r="E7738" t="inlineStr">
        <is>
          <t>United Kingdom</t>
        </is>
      </c>
    </row>
    <row r="7739">
      <c r="A7739" t="inlineStr">
        <is>
          <t>Toyobo Co., Ltd.,  Osaka, Japan</t>
        </is>
      </c>
      <c r="B7739" t="inlineStr">
        <is>
          <t>Final Product Refinement, Trader with Storage</t>
        </is>
      </c>
      <c r="C7739" t="inlineStr">
        <is>
          <t>Control Union Certifications Germany GmbH, Berlin, DE</t>
        </is>
      </c>
      <c r="D7739" t="inlineStr">
        <is>
          <t>15.02.2027</t>
        </is>
      </c>
      <c r="E7739" t="inlineStr">
        <is>
          <t>Japan</t>
        </is>
      </c>
    </row>
    <row r="7740">
      <c r="A7740" t="inlineStr">
        <is>
          <t>Infinity Renewables Pte Ltd,  SINGAPORE, Singapore</t>
        </is>
      </c>
      <c r="B7740" t="inlineStr">
        <is>
          <t>Trader</t>
        </is>
      </c>
      <c r="C7740" t="inlineStr">
        <is>
          <t>BM Certification, Riga, LV</t>
        </is>
      </c>
      <c r="D7740" t="inlineStr">
        <is>
          <t>15.02.2027</t>
        </is>
      </c>
      <c r="E7740" t="inlineStr">
        <is>
          <t>Singapore</t>
        </is>
      </c>
    </row>
    <row r="7741">
      <c r="A7741" t="inlineStr">
        <is>
          <t>Idemitsu Kosan,  Shunan City, Yamaguchi Prefecture, Japan</t>
        </is>
      </c>
      <c r="B7741" t="inlineStr">
        <is>
          <t>Processing Unit</t>
        </is>
      </c>
      <c r="C7741" t="inlineStr">
        <is>
          <t>SCS Global Services, Emeryville, CA, US</t>
        </is>
      </c>
      <c r="D7741" t="inlineStr">
        <is>
          <t>15.02.2027</t>
        </is>
      </c>
      <c r="E7741" t="inlineStr">
        <is>
          <t>Japan</t>
        </is>
      </c>
    </row>
    <row r="7742">
      <c r="A7742" t="inlineStr">
        <is>
          <t>ShinilPNS CORPORATION,  Ungchon-myeon, Ulju-gun, Ulsan, Korea, Republic of</t>
        </is>
      </c>
      <c r="B7742" t="inlineStr">
        <is>
          <t>Processing Unit</t>
        </is>
      </c>
      <c r="C7742" t="inlineStr">
        <is>
          <t>Control Union Certifications Germany GmbH, Berlin, DE</t>
        </is>
      </c>
      <c r="D7742" t="inlineStr">
        <is>
          <t>15.02.2027</t>
        </is>
      </c>
      <c r="E7742" t="inlineStr">
        <is>
          <t>Republic of</t>
        </is>
      </c>
    </row>
    <row r="7743">
      <c r="A7743" t="inlineStr">
        <is>
          <t>OCI Company Ltd.,  Pohang-si, Gyeongsangbuk-do, Korea, Republic of</t>
        </is>
      </c>
      <c r="B7743" t="inlineStr">
        <is>
          <t>Processing Unit</t>
        </is>
      </c>
      <c r="C7743" t="inlineStr">
        <is>
          <t>Control Union Certifications Germany GmbH, Berlin, DE</t>
        </is>
      </c>
      <c r="D7743" t="inlineStr">
        <is>
          <t>15.02.2027</t>
        </is>
      </c>
      <c r="E7743" t="inlineStr">
        <is>
          <t>Republic of</t>
        </is>
      </c>
    </row>
    <row r="7744">
      <c r="A7744" t="inlineStr">
        <is>
          <t>PHENIX Plastic GmbH,  Groß-Enzersdorf, Austria</t>
        </is>
      </c>
      <c r="B7744" t="inlineStr">
        <is>
          <t>Trader with Storage</t>
        </is>
      </c>
      <c r="C7744" t="inlineStr">
        <is>
          <t>SGS Germany GmbH, Emstek, DE</t>
        </is>
      </c>
      <c r="D7744" t="inlineStr">
        <is>
          <t>15.02.2027</t>
        </is>
      </c>
      <c r="E7744" t="inlineStr">
        <is>
          <t>Austria</t>
        </is>
      </c>
    </row>
    <row r="7745">
      <c r="A7745" t="inlineStr">
        <is>
          <t>PT PACIFIC INDOPALM INDUSTRIES,  Dumai, Indonesia</t>
        </is>
      </c>
      <c r="B7745" t="inlineStr">
        <is>
          <t>Point of Origin</t>
        </is>
      </c>
      <c r="C7745" t="inlineStr">
        <is>
          <t>SGS Germany GmbH, Emstek, DE</t>
        </is>
      </c>
      <c r="D7745" t="inlineStr">
        <is>
          <t>14.02.2027</t>
        </is>
      </c>
      <c r="E7745" t="inlineStr">
        <is>
          <t>Indonesia</t>
        </is>
      </c>
    </row>
    <row r="7746">
      <c r="A7746" t="inlineStr">
        <is>
          <t>UAB "Pakruojo agrochemijos grūdai",  Pakruojis, Lithuania</t>
        </is>
      </c>
      <c r="B7746" t="inlineStr">
        <is>
          <t>First Gathering Point, Trader with Storage</t>
        </is>
      </c>
      <c r="C7746" t="inlineStr">
        <is>
          <t>Bureau Veritas Polska Sp. z o.o., Warsaw, PL</t>
        </is>
      </c>
      <c r="D7746" t="inlineStr">
        <is>
          <t>14.02.2027</t>
        </is>
      </c>
      <c r="E7746" t="inlineStr">
        <is>
          <t>Lithuania</t>
        </is>
      </c>
    </row>
    <row r="7747">
      <c r="A7747" t="inlineStr">
        <is>
          <t>Agrolink Zrt.,  Alcsúdoboz, Hungary</t>
        </is>
      </c>
      <c r="B7747" t="inlineStr">
        <is>
          <t>First Gathering Point, Trader with Storage</t>
        </is>
      </c>
      <c r="C7747" t="inlineStr">
        <is>
          <t>Bureau Veritas Polska Sp. z o.o., Warsaw, PL</t>
        </is>
      </c>
      <c r="D7747" t="inlineStr">
        <is>
          <t>14.02.2027</t>
        </is>
      </c>
      <c r="E7747" t="inlineStr">
        <is>
          <t>Hungary</t>
        </is>
      </c>
    </row>
    <row r="7748">
      <c r="A7748" t="inlineStr">
        <is>
          <t>Westlake Epoxy,  Deer Park, United States</t>
        </is>
      </c>
      <c r="B7748" t="inlineStr">
        <is>
          <t>Processing Unit</t>
        </is>
      </c>
      <c r="C7748" t="inlineStr">
        <is>
          <t>ASG Cert GmbH, Munich, DE</t>
        </is>
      </c>
      <c r="D7748" t="inlineStr">
        <is>
          <t>14.02.2027</t>
        </is>
      </c>
      <c r="E7748" t="inlineStr">
        <is>
          <t>United States</t>
        </is>
      </c>
    </row>
    <row r="7749">
      <c r="A7749" t="inlineStr">
        <is>
          <t>GRUPOGRAS S.L,  Humanes de Madrid, (Madrid), Spain</t>
        </is>
      </c>
      <c r="B7749" t="inlineStr">
        <is>
          <t>Trader with Storage</t>
        </is>
      </c>
      <c r="C7749" t="inlineStr">
        <is>
          <t>RINA Services S.p.A., Genova, IT</t>
        </is>
      </c>
      <c r="D7749" t="inlineStr">
        <is>
          <t>14.02.2027</t>
        </is>
      </c>
      <c r="E7749" t="inlineStr">
        <is>
          <t>Spain</t>
        </is>
      </c>
    </row>
    <row r="7750">
      <c r="A7750" t="inlineStr">
        <is>
          <t>VITAGRO ENERGY,  Gvardiyska territorial community, Dobrohorshcha, Ukraine</t>
        </is>
      </c>
      <c r="B7750" t="inlineStr">
        <is>
          <t>Collecting Point, Processing Unit</t>
        </is>
      </c>
      <c r="C7750" t="inlineStr">
        <is>
          <t>United Registrar of Systems Polska Sp. z o.o., Wrocław, PL</t>
        </is>
      </c>
      <c r="D7750" t="inlineStr">
        <is>
          <t>14.02.2027</t>
        </is>
      </c>
      <c r="E7750" t="inlineStr">
        <is>
          <t>Ukraine</t>
        </is>
      </c>
    </row>
    <row r="7751">
      <c r="A7751" t="inlineStr">
        <is>
          <t>Vulcan Renewables,  Doncaster, South Yorkshire, United Kingdom</t>
        </is>
      </c>
      <c r="B7751" t="inlineStr">
        <is>
          <t>First Gathering Point, Processing Unit</t>
        </is>
      </c>
      <c r="C7751" t="inlineStr">
        <is>
          <t>Double Helix Tracking Technologies Pte Ltd, Singapore, SG</t>
        </is>
      </c>
      <c r="D7751" t="inlineStr">
        <is>
          <t>14.02.2027</t>
        </is>
      </c>
      <c r="E7751" t="inlineStr">
        <is>
          <t>United Kingdom</t>
        </is>
      </c>
    </row>
    <row r="7752">
      <c r="A7752" t="inlineStr">
        <is>
          <t>HANGZHOU GULEY GARDEN MACHINERY CO.,LTD,  Hangzhou City，Zhejiang Province, China</t>
        </is>
      </c>
      <c r="B7752" t="inlineStr">
        <is>
          <t>Processing Unit</t>
        </is>
      </c>
      <c r="C7752" t="inlineStr">
        <is>
          <t>Extensive Standard Technical Services Co., Ltd., Hong Kong, CN</t>
        </is>
      </c>
      <c r="D7752" t="inlineStr">
        <is>
          <t>14.02.2027</t>
        </is>
      </c>
      <c r="E7752" t="inlineStr">
        <is>
          <t>China</t>
        </is>
      </c>
    </row>
    <row r="7753">
      <c r="A7753" t="inlineStr">
        <is>
          <t>Uno-X Mobility Norge AS,  Oslo, Norway</t>
        </is>
      </c>
      <c r="B7753" t="inlineStr">
        <is>
          <t>Logistics Center, Trader with Storage</t>
        </is>
      </c>
      <c r="C7753" t="inlineStr">
        <is>
          <t>DNV Business Assurance Sweden AB, Solna, SE</t>
        </is>
      </c>
      <c r="D7753" t="inlineStr">
        <is>
          <t>14.02.2027</t>
        </is>
      </c>
      <c r="E7753" t="inlineStr">
        <is>
          <t>Norway</t>
        </is>
      </c>
    </row>
    <row r="7754">
      <c r="A7754" t="inlineStr">
        <is>
          <t>Gestión de Aceites usados,  Madrid, Spain</t>
        </is>
      </c>
      <c r="B7754" t="inlineStr">
        <is>
          <t>Collecting Point, Trader with Storage</t>
        </is>
      </c>
      <c r="C7754" t="inlineStr">
        <is>
          <t>RINA Services S.p.A., Genova, IT</t>
        </is>
      </c>
      <c r="D7754" t="inlineStr">
        <is>
          <t>14.02.2027</t>
        </is>
      </c>
      <c r="E7754" t="inlineStr">
        <is>
          <t>Spain</t>
        </is>
      </c>
    </row>
    <row r="7755">
      <c r="A7755" t="inlineStr">
        <is>
          <t>Marchon Italia,  Alpago BL, Italy</t>
        </is>
      </c>
      <c r="B7755" t="inlineStr">
        <is>
          <t>Final Product Refinement, Processing Unit</t>
        </is>
      </c>
      <c r="C7755" t="inlineStr">
        <is>
          <t>ICIM SpA, sesto san giovanni, IT</t>
        </is>
      </c>
      <c r="D7755" t="inlineStr">
        <is>
          <t>14.02.2027</t>
        </is>
      </c>
      <c r="E7755" t="inlineStr">
        <is>
          <t>Italy</t>
        </is>
      </c>
    </row>
    <row r="7756">
      <c r="A7756" t="inlineStr">
        <is>
          <t>Merlin Renewables,  Hibaldstow, North Lincolnshire, United Kingdom</t>
        </is>
      </c>
      <c r="B7756" t="inlineStr">
        <is>
          <t>First Gathering Point, Processing Unit</t>
        </is>
      </c>
      <c r="C7756" t="inlineStr">
        <is>
          <t>Double Helix Tracking Technologies Pte Ltd, Singapore, SG</t>
        </is>
      </c>
      <c r="D7756" t="inlineStr">
        <is>
          <t>14.02.2027</t>
        </is>
      </c>
      <c r="E7756" t="inlineStr">
        <is>
          <t>United Kingdom</t>
        </is>
      </c>
    </row>
    <row r="7757">
      <c r="A7757" t="inlineStr">
        <is>
          <t>Grange Farm Energy,  Spridlington, United Kingdom</t>
        </is>
      </c>
      <c r="B7757" t="inlineStr">
        <is>
          <t>First Gathering Point, Processing Unit</t>
        </is>
      </c>
      <c r="C7757" t="inlineStr">
        <is>
          <t>Double Helix Tracking Technologies Pte Ltd, Singapore, SG</t>
        </is>
      </c>
      <c r="D7757" t="inlineStr">
        <is>
          <t>14.02.2027</t>
        </is>
      </c>
      <c r="E7757" t="inlineStr">
        <is>
          <t>United Kingdom</t>
        </is>
      </c>
    </row>
    <row r="7758">
      <c r="A7758" t="inlineStr">
        <is>
          <t>Biogas Meden,  Mansfield, United Kingdom</t>
        </is>
      </c>
      <c r="B7758" t="inlineStr">
        <is>
          <t>First Gathering Point, Processing Unit</t>
        </is>
      </c>
      <c r="C7758" t="inlineStr">
        <is>
          <t>Double Helix Tracking Technologies Pte Ltd, Singapore, SG</t>
        </is>
      </c>
      <c r="D7758" t="inlineStr">
        <is>
          <t>14.02.2027</t>
        </is>
      </c>
      <c r="E7758" t="inlineStr">
        <is>
          <t>United Kingdom</t>
        </is>
      </c>
    </row>
    <row r="7759">
      <c r="A7759" t="inlineStr">
        <is>
          <t>Pan Nation Petro-Chemical (Singapore) Pte Ltd,  15-05 UE Square, Singapore</t>
        </is>
      </c>
      <c r="B7759" t="inlineStr">
        <is>
          <t>Trader with Storage</t>
        </is>
      </c>
      <c r="C7759" t="inlineStr">
        <is>
          <t>Control Union Certifications Germany GmbH, Berlin, DE</t>
        </is>
      </c>
      <c r="D7759" t="inlineStr">
        <is>
          <t>14.02.2027</t>
        </is>
      </c>
      <c r="E7759" t="inlineStr">
        <is>
          <t>Singapore</t>
        </is>
      </c>
    </row>
    <row r="7760">
      <c r="A7760" t="inlineStr">
        <is>
          <t>Freepoint Commodities Europe,  London, United Kingdom</t>
        </is>
      </c>
      <c r="B7760" t="inlineStr">
        <is>
          <t>Trader with Storage</t>
        </is>
      </c>
      <c r="C7760" t="inlineStr">
        <is>
          <t>Control Union Certifications Germany GmbH, Berlin, DE</t>
        </is>
      </c>
      <c r="D7760" t="inlineStr">
        <is>
          <t>14.02.2027</t>
        </is>
      </c>
      <c r="E7760" t="inlineStr">
        <is>
          <t>United Kingdom</t>
        </is>
      </c>
    </row>
    <row r="7761">
      <c r="A7761" t="inlineStr">
        <is>
          <t>Lotte Wellfood,  Yeongdeungpo-gu, Seooul, Korea, Republic of</t>
        </is>
      </c>
      <c r="B7761" t="inlineStr">
        <is>
          <t>Trader with Storage</t>
        </is>
      </c>
      <c r="C7761" t="inlineStr">
        <is>
          <t>Korean Foundation for Quality, Songpa-gu, Seoul, KR</t>
        </is>
      </c>
      <c r="D7761" t="inlineStr">
        <is>
          <t>14.02.2027</t>
        </is>
      </c>
      <c r="E7761" t="inlineStr">
        <is>
          <t>Republic of</t>
        </is>
      </c>
    </row>
    <row r="7762">
      <c r="A7762" t="inlineStr">
        <is>
          <t>RPMG Inc.,  Shakopee, MN, United States</t>
        </is>
      </c>
      <c r="B7762" t="inlineStr">
        <is>
          <t>Collecting Point, Trader</t>
        </is>
      </c>
      <c r="C7762" t="inlineStr">
        <is>
          <t>SCS Global Services, Emeryville, CA, US</t>
        </is>
      </c>
      <c r="D7762" t="inlineStr">
        <is>
          <t>14.02.2027</t>
        </is>
      </c>
      <c r="E7762" t="inlineStr">
        <is>
          <t>United States</t>
        </is>
      </c>
    </row>
    <row r="7763">
      <c r="A7763" t="inlineStr">
        <is>
          <t>Pyrotask Energy,  Dheku Village, Khalapur, Raigarh, India</t>
        </is>
      </c>
      <c r="B7763" t="inlineStr">
        <is>
          <t>Collecting Point, Processing Unit, Trader with Storage</t>
        </is>
      </c>
      <c r="C7763" t="inlineStr">
        <is>
          <t>Cotecna India Inspection Pvt Ltd, Kolkata, IN</t>
        </is>
      </c>
      <c r="D7763" t="inlineStr">
        <is>
          <t>14.02.2027</t>
        </is>
      </c>
      <c r="E7763" t="inlineStr">
        <is>
          <t>India</t>
        </is>
      </c>
    </row>
    <row r="7764">
      <c r="A7764" t="inlineStr">
        <is>
          <t>Agencia Comercial Rogelio Segura,  Barcelona, Spain</t>
        </is>
      </c>
      <c r="B7764" t="inlineStr">
        <is>
          <t>Trader with Storage</t>
        </is>
      </c>
      <c r="C7764" t="inlineStr">
        <is>
          <t>Certificadora Gallega del Noroeste SL, Vilagarcia de Arousa-Pontevedra, ES</t>
        </is>
      </c>
      <c r="D7764" t="inlineStr">
        <is>
          <t>14.02.2027</t>
        </is>
      </c>
      <c r="E7764" t="inlineStr">
        <is>
          <t>Spain</t>
        </is>
      </c>
    </row>
    <row r="7765">
      <c r="A7765" t="inlineStr">
        <is>
          <t>Vinani Ecotech Private Limited,  Jejuri, India</t>
        </is>
      </c>
      <c r="B7765" t="inlineStr">
        <is>
          <t>Collecting Point, Processing Unit</t>
        </is>
      </c>
      <c r="C7765" t="inlineStr">
        <is>
          <t>Alcumus ISOQAR Ltd, Stretford, Manchester, GB</t>
        </is>
      </c>
      <c r="D7765" t="inlineStr">
        <is>
          <t>14.02.2027</t>
        </is>
      </c>
      <c r="E7765" t="inlineStr">
        <is>
          <t>India</t>
        </is>
      </c>
    </row>
    <row r="7766">
      <c r="A7766" t="inlineStr">
        <is>
          <t>BREMFIELD SDN. BHD.,  Pulau Indah, Malaysia</t>
        </is>
      </c>
      <c r="B7766" t="inlineStr">
        <is>
          <t>Point of Origin, Collecting Point, Trader with Storage, Processing Unit</t>
        </is>
      </c>
      <c r="C7766" t="inlineStr">
        <is>
          <t>Trans Certification and Inspection Sdn Bhd, Kuantan, MY</t>
        </is>
      </c>
      <c r="D7766" t="inlineStr">
        <is>
          <t>14.02.2027</t>
        </is>
      </c>
      <c r="E7766" t="inlineStr">
        <is>
          <t>Malaysia</t>
        </is>
      </c>
    </row>
    <row r="7767">
      <c r="A7767" t="inlineStr">
        <is>
          <t>Jungbu Industry Co., LTD.,  Goesan-gun, Chungcheongbuk-do, Korea, Republic of</t>
        </is>
      </c>
      <c r="B7767" t="inlineStr">
        <is>
          <t>Collecting Point, Processing Unit</t>
        </is>
      </c>
      <c r="C7767" t="inlineStr">
        <is>
          <t>Control Union Certifications Germany GmbH, Berlin, DE</t>
        </is>
      </c>
      <c r="D7767" t="inlineStr">
        <is>
          <t>14.02.2027</t>
        </is>
      </c>
      <c r="E7767" t="inlineStr">
        <is>
          <t>Republic of</t>
        </is>
      </c>
    </row>
    <row r="7768">
      <c r="A7768" t="inlineStr">
        <is>
          <t>Cahaya Cemerlang Lestari,  Banyuasin Regency, South Sumatera Province, Indonesia</t>
        </is>
      </c>
      <c r="B7768" t="inlineStr">
        <is>
          <t>Point of Origin</t>
        </is>
      </c>
      <c r="C7768" t="inlineStr">
        <is>
          <t>PT. Qualitas Sertifikasi Indonesia, Jakarta, ID</t>
        </is>
      </c>
      <c r="D7768" t="inlineStr">
        <is>
          <t>14.02.2027</t>
        </is>
      </c>
      <c r="E7768" t="inlineStr">
        <is>
          <t>Indonesia</t>
        </is>
      </c>
    </row>
    <row r="7769">
      <c r="A7769" t="inlineStr">
        <is>
          <t>Cahaya Cemerlang Lestari,  Banyuasin Regency, South Sumatera Province, Indonesia</t>
        </is>
      </c>
      <c r="B7769" t="inlineStr">
        <is>
          <t>Point of Origin</t>
        </is>
      </c>
      <c r="C7769" t="inlineStr">
        <is>
          <t>PT. Qualitas Sertifikasi Indonesia, Jakarta, ID</t>
        </is>
      </c>
      <c r="D7769" t="inlineStr">
        <is>
          <t>14.02.2027</t>
        </is>
      </c>
      <c r="E7769" t="inlineStr">
        <is>
          <t>Indonesia</t>
        </is>
      </c>
    </row>
    <row r="7770">
      <c r="A7770" t="inlineStr">
        <is>
          <t>Polyopt GmbH,  Neunkirchen, Germany</t>
        </is>
      </c>
      <c r="B7770" t="inlineStr">
        <is>
          <t>Processing Unit</t>
        </is>
      </c>
      <c r="C7770" t="inlineStr">
        <is>
          <t>DIN CERTCO GmbH, Berlin, DE</t>
        </is>
      </c>
      <c r="D7770" t="inlineStr">
        <is>
          <t>14.02.2027</t>
        </is>
      </c>
      <c r="E7770" t="inlineStr">
        <is>
          <t>Germany</t>
        </is>
      </c>
    </row>
    <row r="7771">
      <c r="A7771" t="inlineStr">
        <is>
          <t>PT. Samudera Agro Mas,  Kecamatan Kemuning, Kabupaten Indragiri Hilir, Indonesia</t>
        </is>
      </c>
      <c r="B7771" t="inlineStr">
        <is>
          <t>Point of Origin</t>
        </is>
      </c>
      <c r="C7771" t="inlineStr">
        <is>
          <t>PT. Qualitas Sertifikasi Indonesia, Jakarta, ID</t>
        </is>
      </c>
      <c r="D7771" t="inlineStr">
        <is>
          <t>14.02.2027</t>
        </is>
      </c>
      <c r="E7771" t="inlineStr">
        <is>
          <t>Indonesia</t>
        </is>
      </c>
    </row>
    <row r="7772">
      <c r="A7772" t="inlineStr">
        <is>
          <t>PT. Kelantan sakti,  Kab. Ogan Komering Ilir, Provinsi Sumatera Selatan, Indonesia</t>
        </is>
      </c>
      <c r="B7772" t="inlineStr">
        <is>
          <t>Point of Origin</t>
        </is>
      </c>
      <c r="C7772" t="inlineStr">
        <is>
          <t>PT. Qualitas Sertifikasi Indonesia, Jakarta, ID</t>
        </is>
      </c>
      <c r="D7772" t="inlineStr">
        <is>
          <t>14.02.2027</t>
        </is>
      </c>
      <c r="E7772" t="inlineStr">
        <is>
          <t>Indonesia</t>
        </is>
      </c>
    </row>
    <row r="7773">
      <c r="A7773" t="inlineStr">
        <is>
          <t>Gas Malaysia Green Ventures Sdn. Bhd.,  Shah Alam, Malaysia</t>
        </is>
      </c>
      <c r="B7773" t="inlineStr">
        <is>
          <t>Trader with Storage</t>
        </is>
      </c>
      <c r="C7773" t="inlineStr">
        <is>
          <t>Bureau Veritas Polska Sp. z o.o., Warsaw, PL</t>
        </is>
      </c>
      <c r="D7773" t="inlineStr">
        <is>
          <t>14.02.2027</t>
        </is>
      </c>
      <c r="E7773" t="inlineStr">
        <is>
          <t>Malaysia</t>
        </is>
      </c>
    </row>
    <row r="7774">
      <c r="A7774" t="inlineStr">
        <is>
          <t>Gas Malaysia Green Ventures Sdn. Bhd.,  Shah Alam, Malaysia</t>
        </is>
      </c>
      <c r="B7774" t="inlineStr">
        <is>
          <t>Trader with Storage</t>
        </is>
      </c>
      <c r="C7774" t="inlineStr">
        <is>
          <t>Bureau Veritas Polska Sp. z o.o., Warsaw, PL</t>
        </is>
      </c>
      <c r="D7774" t="inlineStr">
        <is>
          <t>14.02.2027</t>
        </is>
      </c>
      <c r="E7774" t="inlineStr">
        <is>
          <t>Malaysia</t>
        </is>
      </c>
    </row>
    <row r="7775">
      <c r="A7775" t="inlineStr">
        <is>
          <t>Vethandel Gebr. Laaij B.V.,  Oosterhout, Netherlands</t>
        </is>
      </c>
      <c r="B7775" t="inlineStr">
        <is>
          <t>Collecting Point</t>
        </is>
      </c>
      <c r="C7775" t="inlineStr">
        <is>
          <t>DEKRA Certification B.V., Arnhem, NL</t>
        </is>
      </c>
      <c r="D7775" t="inlineStr">
        <is>
          <t>14.02.2027</t>
        </is>
      </c>
      <c r="E7775" t="inlineStr">
        <is>
          <t>Netherlands</t>
        </is>
      </c>
    </row>
    <row r="7776">
      <c r="A7776" t="inlineStr">
        <is>
          <t>PT. Kelantan sakti,  Kab. Ogan Komering Ilir, Provinsi Sumatera Selatan, Indonesia</t>
        </is>
      </c>
      <c r="B7776" t="inlineStr">
        <is>
          <t>Point of Origin</t>
        </is>
      </c>
      <c r="C7776" t="inlineStr">
        <is>
          <t>PT. Qualitas Sertifikasi Indonesia, Jakarta, ID</t>
        </is>
      </c>
      <c r="D7776" t="inlineStr">
        <is>
          <t>14.02.2027</t>
        </is>
      </c>
      <c r="E7776" t="inlineStr">
        <is>
          <t>Indonesia</t>
        </is>
      </c>
    </row>
    <row r="7777">
      <c r="A7777" t="inlineStr">
        <is>
          <t>Circtec Germany,  Möckern OT Stegelitz, Germany</t>
        </is>
      </c>
      <c r="B7777" t="inlineStr">
        <is>
          <t>Processing Unit</t>
        </is>
      </c>
      <c r="C7777" t="inlineStr">
        <is>
          <t>DEKRA Certification B.V., Arnhem, NL</t>
        </is>
      </c>
      <c r="D7777" t="inlineStr">
        <is>
          <t>14.02.2027</t>
        </is>
      </c>
      <c r="E7777" t="inlineStr">
        <is>
          <t>Germany</t>
        </is>
      </c>
    </row>
    <row r="7778">
      <c r="A7778" t="inlineStr">
        <is>
          <t>Loong Run (He Yuan) Toy Co., Ltd.,  Heyuan City, Guangdong Province, China</t>
        </is>
      </c>
      <c r="B7778" t="inlineStr">
        <is>
          <t>Processing Unit</t>
        </is>
      </c>
      <c r="C7778" t="inlineStr">
        <is>
          <t>DIN CERTCO GmbH, Berlin, DE</t>
        </is>
      </c>
      <c r="D7778" t="inlineStr">
        <is>
          <t>14.02.2027</t>
        </is>
      </c>
      <c r="E7778" t="inlineStr">
        <is>
          <t>China</t>
        </is>
      </c>
    </row>
    <row r="7779">
      <c r="A7779" t="inlineStr">
        <is>
          <t>LUXOTTICA HONG KONG SERVICES LIMITED,  Dongguan City, Guangdong Province, China</t>
        </is>
      </c>
      <c r="B7779" t="inlineStr">
        <is>
          <t>Trader with Storage</t>
        </is>
      </c>
      <c r="C7779" t="inlineStr">
        <is>
          <t>SGS Germany GmbH, Emstek, DE</t>
        </is>
      </c>
      <c r="D7779" t="inlineStr">
        <is>
          <t>14.02.2027</t>
        </is>
      </c>
      <c r="E7779" t="inlineStr">
        <is>
          <t>China</t>
        </is>
      </c>
    </row>
    <row r="7780">
      <c r="A7780" t="inlineStr">
        <is>
          <t>Asahi Kasei Synthetic Rubber Singapore Pte. Ltd.,  Singapore, Singapore</t>
        </is>
      </c>
      <c r="B7780" t="inlineStr">
        <is>
          <t>Processing Unit</t>
        </is>
      </c>
      <c r="C7780" t="inlineStr">
        <is>
          <t>SGS Germany GmbH, Emstek, DE</t>
        </is>
      </c>
      <c r="D7780" t="inlineStr">
        <is>
          <t>14.02.2027</t>
        </is>
      </c>
      <c r="E7780" t="inlineStr">
        <is>
          <t>Singapore</t>
        </is>
      </c>
    </row>
    <row r="7781">
      <c r="A7781" t="inlineStr">
        <is>
          <t>team energie,  Flensburg, Germany</t>
        </is>
      </c>
      <c r="B7781" t="inlineStr">
        <is>
          <t>Trader with Storage</t>
        </is>
      </c>
      <c r="C7781" t="inlineStr">
        <is>
          <t>ASG Cert GmbH, Munich, DE</t>
        </is>
      </c>
      <c r="D7781" t="inlineStr">
        <is>
          <t>13.02.2027</t>
        </is>
      </c>
      <c r="E7781" t="inlineStr">
        <is>
          <t>Germany</t>
        </is>
      </c>
    </row>
    <row r="7782">
      <c r="A7782" t="inlineStr">
        <is>
          <t>ADM Romania Trading,  Bucharest, Romania</t>
        </is>
      </c>
      <c r="B7782" t="inlineStr">
        <is>
          <t>First Gathering Point, Trader with Storage</t>
        </is>
      </c>
      <c r="C7782" t="inlineStr">
        <is>
          <t>Control Union Certifications Germany GmbH, Berlin, DE</t>
        </is>
      </c>
      <c r="D7782" t="inlineStr">
        <is>
          <t>13.02.2027</t>
        </is>
      </c>
      <c r="E7782" t="inlineStr">
        <is>
          <t>Romania</t>
        </is>
      </c>
    </row>
    <row r="7783">
      <c r="A7783" t="inlineStr">
        <is>
          <t>TORAY INDUSTRIES, INC. Films Division,  Minamiashigara City, Kanagawa, Japan</t>
        </is>
      </c>
      <c r="B7783" t="inlineStr">
        <is>
          <t>Processing Unit</t>
        </is>
      </c>
      <c r="C7783" t="inlineStr">
        <is>
          <t>SGS Germany GmbH, Emstek, DE</t>
        </is>
      </c>
      <c r="D7783" t="inlineStr">
        <is>
          <t>13.02.2027</t>
        </is>
      </c>
      <c r="E7783" t="inlineStr">
        <is>
          <t>Japan</t>
        </is>
      </c>
    </row>
    <row r="7784">
      <c r="A7784" t="inlineStr">
        <is>
          <t>Rieusset,  Santa Perpètua de Mogoda (Barcelona), Spain</t>
        </is>
      </c>
      <c r="B7784" t="inlineStr">
        <is>
          <t>Processing Unit, Trader</t>
        </is>
      </c>
      <c r="C7784" t="inlineStr">
        <is>
          <t>DNV Business Assurance Sweden AB, Solna, SE</t>
        </is>
      </c>
      <c r="D7784" t="inlineStr">
        <is>
          <t>13.02.2027</t>
        </is>
      </c>
      <c r="E7784" t="inlineStr">
        <is>
          <t>Spain</t>
        </is>
      </c>
    </row>
    <row r="7785">
      <c r="A7785" t="inlineStr">
        <is>
          <t>Napco Packaging System Co. - Uniplast,  Jeddah, Saudi Arabia</t>
        </is>
      </c>
      <c r="B7785" t="inlineStr">
        <is>
          <t>Point of Origin, Processing Unit</t>
        </is>
      </c>
      <c r="C7785" t="inlineStr">
        <is>
          <t>IIP S.r.l., Monza, IT</t>
        </is>
      </c>
      <c r="D7785" t="inlineStr">
        <is>
          <t>13.02.2027</t>
        </is>
      </c>
      <c r="E7785" t="inlineStr">
        <is>
          <t>Saudi Arabia</t>
        </is>
      </c>
    </row>
    <row r="7786">
      <c r="A7786" t="inlineStr">
        <is>
          <t>RECOIL- KALIVAS ILIAS &amp; SIA EE,  LAMIA, Greece</t>
        </is>
      </c>
      <c r="B7786" t="inlineStr">
        <is>
          <t>Collecting Point</t>
        </is>
      </c>
      <c r="C7786" t="inlineStr">
        <is>
          <t>Eurocert SA, Metamorfosi, Athens, GR</t>
        </is>
      </c>
      <c r="D7786" t="inlineStr">
        <is>
          <t>13.02.2027</t>
        </is>
      </c>
      <c r="E7786" t="inlineStr">
        <is>
          <t>Greece</t>
        </is>
      </c>
    </row>
    <row r="7787">
      <c r="A7787" t="inlineStr">
        <is>
          <t>OPRAH'S CONGO DISTRIBUTION&amp;PRESTATIONS DE SERVICE,  Loudima poste, Republic of the Congo</t>
        </is>
      </c>
      <c r="B7787" t="inlineStr">
        <is>
          <t>Farm / Plantation</t>
        </is>
      </c>
      <c r="C7787" t="inlineStr">
        <is>
          <t>RINA Services S.p.A., Genova, IT</t>
        </is>
      </c>
      <c r="D7787" t="inlineStr">
        <is>
          <t>13.02.2027</t>
        </is>
      </c>
      <c r="E7787" t="inlineStr">
        <is>
          <t>Republic of the Congo</t>
        </is>
      </c>
    </row>
    <row r="7788">
      <c r="A7788" t="inlineStr">
        <is>
          <t>Tera Treid Sltd,  Silistra, Bulgaria</t>
        </is>
      </c>
      <c r="B7788" t="inlineStr">
        <is>
          <t>First Gathering Point</t>
        </is>
      </c>
      <c r="C7788" t="inlineStr">
        <is>
          <t>Bureau Veritas Polska Sp. z o.o., Warsaw, PL</t>
        </is>
      </c>
      <c r="D7788" t="inlineStr">
        <is>
          <t>13.02.2027</t>
        </is>
      </c>
      <c r="E7788" t="inlineStr">
        <is>
          <t>Bulgaria</t>
        </is>
      </c>
    </row>
    <row r="7789">
      <c r="A7789" t="inlineStr">
        <is>
          <t>FORMOSA PETROCHEMICAL CORPORATION,  Zhongxing Vil., Mailiao Township, Yunlin County, Taiwan (Province of China)</t>
        </is>
      </c>
      <c r="B7789" t="inlineStr">
        <is>
          <t>Processing Unit, Trader with Storage</t>
        </is>
      </c>
      <c r="C7789" t="inlineStr">
        <is>
          <t>Bureau Veritas Polska Sp. z o.o., Warsaw, PL</t>
        </is>
      </c>
      <c r="D7789" t="inlineStr">
        <is>
          <t>13.02.2027</t>
        </is>
      </c>
      <c r="E7789" t="inlineStr">
        <is>
          <t>Taiwan (Province of China)</t>
        </is>
      </c>
    </row>
    <row r="7790">
      <c r="A7790" t="inlineStr">
        <is>
          <t>TECNASFALTI SRL,  Loc. Francolino di Carpiano, Italy</t>
        </is>
      </c>
      <c r="B7790" t="inlineStr">
        <is>
          <t>Final Product Refinement</t>
        </is>
      </c>
      <c r="C7790" t="inlineStr">
        <is>
          <t>ICIM SpA, sesto san giovanni, IT</t>
        </is>
      </c>
      <c r="D7790" t="inlineStr">
        <is>
          <t>13.02.2027</t>
        </is>
      </c>
      <c r="E7790" t="inlineStr">
        <is>
          <t>Italy</t>
        </is>
      </c>
    </row>
    <row r="7791">
      <c r="A7791" t="inlineStr">
        <is>
          <t>Around Velocity Transportes Unipessoal,  Tondela, Portugal</t>
        </is>
      </c>
      <c r="B7791" t="inlineStr">
        <is>
          <t>Trader</t>
        </is>
      </c>
      <c r="C7791" t="inlineStr">
        <is>
          <t>RINA Services S.p.A., Genova, IT</t>
        </is>
      </c>
      <c r="D7791" t="inlineStr">
        <is>
          <t>13.02.2027</t>
        </is>
      </c>
      <c r="E7791" t="inlineStr">
        <is>
          <t>Portugal</t>
        </is>
      </c>
    </row>
    <row r="7792">
      <c r="A7792" t="inlineStr">
        <is>
          <t>POET Biorefining - Caro, LLC,  Caro, United States</t>
        </is>
      </c>
      <c r="B7792" t="inlineStr">
        <is>
          <t>Processing Unit</t>
        </is>
      </c>
      <c r="C7792" t="inlineStr">
        <is>
          <t>SCS Global Services, Emeryville, CA, US</t>
        </is>
      </c>
      <c r="D7792" t="inlineStr">
        <is>
          <t>13.02.2027</t>
        </is>
      </c>
      <c r="E7792" t="inlineStr">
        <is>
          <t>United States</t>
        </is>
      </c>
    </row>
    <row r="7793">
      <c r="A7793" t="inlineStr">
        <is>
          <t>Uponor Corporation,  Helsinki, Finland</t>
        </is>
      </c>
      <c r="B7793" t="inlineStr">
        <is>
          <t>Trader</t>
        </is>
      </c>
      <c r="C7793" t="inlineStr">
        <is>
          <t>DNV Business Assurance Sweden AB, Solna, SE</t>
        </is>
      </c>
      <c r="D7793" t="inlineStr">
        <is>
          <t>13.02.2027</t>
        </is>
      </c>
      <c r="E7793" t="inlineStr">
        <is>
          <t>Finland</t>
        </is>
      </c>
    </row>
    <row r="7794">
      <c r="A7794" t="inlineStr">
        <is>
          <t>Napco Manufacturing (Napco Packaging System Co. - RECOM),  Jeddah, Saudi Arabia</t>
        </is>
      </c>
      <c r="B7794" t="inlineStr">
        <is>
          <t>Collecting Point, Processing Unit</t>
        </is>
      </c>
      <c r="C7794" t="inlineStr">
        <is>
          <t>IIP S.r.l., Monza, IT</t>
        </is>
      </c>
      <c r="D7794" t="inlineStr">
        <is>
          <t>13.02.2027</t>
        </is>
      </c>
      <c r="E7794" t="inlineStr">
        <is>
          <t>Saudi Arabia</t>
        </is>
      </c>
    </row>
    <row r="7795">
      <c r="A7795" t="inlineStr">
        <is>
          <t>CELLOGRAFICA GEROSA,  Sant Pere Molanta, Spain</t>
        </is>
      </c>
      <c r="B7795" t="inlineStr">
        <is>
          <t>Processing Unit, Point of Origin</t>
        </is>
      </c>
      <c r="C7795" t="inlineStr">
        <is>
          <t>DNV Business Assurance Sweden AB, Solna, SE</t>
        </is>
      </c>
      <c r="D7795" t="inlineStr">
        <is>
          <t>13.02.2027</t>
        </is>
      </c>
      <c r="E7795" t="inlineStr">
        <is>
          <t>Spain</t>
        </is>
      </c>
    </row>
    <row r="7796">
      <c r="A7796" t="inlineStr">
        <is>
          <t>Lukong Environmental Protection (Suzhou) Co., LTD,  Suzhou City，Jiangsu Province, China</t>
        </is>
      </c>
      <c r="B7796" t="inlineStr">
        <is>
          <t>Collecting Point, Processing Unit</t>
        </is>
      </c>
      <c r="C7796" t="inlineStr">
        <is>
          <t>RINA Services S.p.A., Genova, IT</t>
        </is>
      </c>
      <c r="D7796" t="inlineStr">
        <is>
          <t>13.02.2027</t>
        </is>
      </c>
      <c r="E7796" t="inlineStr">
        <is>
          <t>China</t>
        </is>
      </c>
    </row>
    <row r="7797">
      <c r="A7797" t="inlineStr">
        <is>
          <t>Shell Canada Products,  Calgary, Canada</t>
        </is>
      </c>
      <c r="B7797" t="inlineStr">
        <is>
          <t>Trader</t>
        </is>
      </c>
      <c r="C7797" t="inlineStr">
        <is>
          <t>SCS Global Services, Emeryville, CA, US</t>
        </is>
      </c>
      <c r="D7797" t="inlineStr">
        <is>
          <t>13.02.2027</t>
        </is>
      </c>
      <c r="E7797" t="inlineStr">
        <is>
          <t>Canada</t>
        </is>
      </c>
    </row>
    <row r="7798">
      <c r="A7798" t="inlineStr">
        <is>
          <t>Yanbu United Company for Trading and Industry,  Yanbu Al Sanaiyah, Saudi Arabia</t>
        </is>
      </c>
      <c r="B7798" t="inlineStr">
        <is>
          <t>Collecting Point, Processing Unit</t>
        </is>
      </c>
      <c r="C7798" t="inlineStr">
        <is>
          <t>PT Intertek Utama Services, Jakarta, ID</t>
        </is>
      </c>
      <c r="D7798" t="inlineStr">
        <is>
          <t>13.02.2027</t>
        </is>
      </c>
      <c r="E7798" t="inlineStr">
        <is>
          <t>Saudi Arabia</t>
        </is>
      </c>
    </row>
    <row r="7799">
      <c r="A7799" t="inlineStr">
        <is>
          <t>ELENGY,  Montoir de Bretagne, France</t>
        </is>
      </c>
      <c r="B7799" t="inlineStr">
        <is>
          <t>Processing Unit, Warehouse</t>
        </is>
      </c>
      <c r="C7799" t="inlineStr">
        <is>
          <t>Normec QS BV, Ede, NL</t>
        </is>
      </c>
      <c r="D7799" t="inlineStr">
        <is>
          <t>13.02.2027</t>
        </is>
      </c>
      <c r="E7799" t="inlineStr">
        <is>
          <t>France</t>
        </is>
      </c>
    </row>
    <row r="7800">
      <c r="A7800" t="inlineStr">
        <is>
          <t>Makmur Palma Lestari,  Kampar, Indonesia</t>
        </is>
      </c>
      <c r="B7800" t="inlineStr">
        <is>
          <t>Point of Origin</t>
        </is>
      </c>
      <c r="C7800" t="inlineStr">
        <is>
          <t>PT TSI Sertifikasi Internasional, Jakarta Selatang, ID</t>
        </is>
      </c>
      <c r="D7800" t="inlineStr">
        <is>
          <t>13.02.2027</t>
        </is>
      </c>
      <c r="E7800" t="inlineStr">
        <is>
          <t>Indonesia</t>
        </is>
      </c>
    </row>
    <row r="7801">
      <c r="A7801" t="inlineStr">
        <is>
          <t>Equilon Enterprises LLC dba Shell Oil Products US,  Houston, United States</t>
        </is>
      </c>
      <c r="B7801" t="inlineStr">
        <is>
          <t>Trader</t>
        </is>
      </c>
      <c r="C7801" t="inlineStr">
        <is>
          <t>SCS Global Services, Emeryville, CA, US</t>
        </is>
      </c>
      <c r="D7801" t="inlineStr">
        <is>
          <t>13.02.2027</t>
        </is>
      </c>
      <c r="E7801" t="inlineStr">
        <is>
          <t>United States</t>
        </is>
      </c>
    </row>
    <row r="7802">
      <c r="A7802" t="inlineStr">
        <is>
          <t>Ashikaga Yoshida Industries Co., Ltd.,  Ashikaga, Tochigi, Japan</t>
        </is>
      </c>
      <c r="B7802" t="inlineStr">
        <is>
          <t>Processing Unit</t>
        </is>
      </c>
      <c r="C7802" t="inlineStr">
        <is>
          <t>Control Union Certifications Germany GmbH, Berlin, DE</t>
        </is>
      </c>
      <c r="D7802" t="inlineStr">
        <is>
          <t>13.02.2027</t>
        </is>
      </c>
      <c r="E7802" t="inlineStr">
        <is>
          <t>Japan</t>
        </is>
      </c>
    </row>
    <row r="7803">
      <c r="A7803" t="inlineStr">
        <is>
          <t>Semler,  Son en Breugel, Netherlands</t>
        </is>
      </c>
      <c r="B7803" t="inlineStr">
        <is>
          <t>Collecting Point, Processing Unit</t>
        </is>
      </c>
      <c r="C7803" t="inlineStr">
        <is>
          <t>Normec QS BV, Ede, NL</t>
        </is>
      </c>
      <c r="D7803" t="inlineStr">
        <is>
          <t>13.02.2027</t>
        </is>
      </c>
      <c r="E7803" t="inlineStr">
        <is>
          <t>Netherlands</t>
        </is>
      </c>
    </row>
    <row r="7804">
      <c r="A7804" t="inlineStr">
        <is>
          <t>Anqing Xinhe New energy Technology Co., Ltd.,  Anqing City, Anhui Province, China</t>
        </is>
      </c>
      <c r="B7804" t="inlineStr">
        <is>
          <t>Collecting Point, Trader with Storage</t>
        </is>
      </c>
      <c r="C7804" t="inlineStr">
        <is>
          <t>SCS Global Services, Emeryville, CA, US</t>
        </is>
      </c>
      <c r="D7804" t="inlineStr">
        <is>
          <t>13.02.2027</t>
        </is>
      </c>
      <c r="E7804" t="inlineStr">
        <is>
          <t>China</t>
        </is>
      </c>
    </row>
    <row r="7805">
      <c r="A7805" t="inlineStr">
        <is>
          <t>SARTORIUS STEDIM FMT,  Aubagne, France</t>
        </is>
      </c>
      <c r="B7805" t="inlineStr">
        <is>
          <t>Final Product Refinement, Warehouse</t>
        </is>
      </c>
      <c r="C7805" t="inlineStr">
        <is>
          <t>Aardvark Certification Ltd, Wiveliscombe, Somerset, GB</t>
        </is>
      </c>
      <c r="D7805" t="inlineStr">
        <is>
          <t>13.02.2027</t>
        </is>
      </c>
      <c r="E7805" t="inlineStr">
        <is>
          <t>France</t>
        </is>
      </c>
    </row>
    <row r="7806">
      <c r="A7806" t="inlineStr">
        <is>
          <t>Stockhausen Superabsorber GmbH,  Rheinmünster, Germany</t>
        </is>
      </c>
      <c r="B7806" t="inlineStr">
        <is>
          <t>Processing Unit</t>
        </is>
      </c>
      <c r="C7806" t="inlineStr">
        <is>
          <t>DIN CERTCO GmbH, Berlin, DE</t>
        </is>
      </c>
      <c r="D7806" t="inlineStr">
        <is>
          <t>13.02.2027</t>
        </is>
      </c>
      <c r="E7806" t="inlineStr">
        <is>
          <t>Germany</t>
        </is>
      </c>
    </row>
    <row r="7807">
      <c r="A7807" t="inlineStr">
        <is>
          <t>Tacchificio Villa Cortese,  VILLA CORTESE, Italy</t>
        </is>
      </c>
      <c r="B7807" t="inlineStr">
        <is>
          <t>Processing Unit</t>
        </is>
      </c>
      <c r="C7807" t="inlineStr">
        <is>
          <t>RINA Services S.p.A., Genova, IT</t>
        </is>
      </c>
      <c r="D7807" t="inlineStr">
        <is>
          <t>13.02.2027</t>
        </is>
      </c>
      <c r="E7807" t="inlineStr">
        <is>
          <t>Italy</t>
        </is>
      </c>
    </row>
    <row r="7808">
      <c r="A7808" t="inlineStr">
        <is>
          <t>TER HELL PLASTIC,  Bochum, Germany</t>
        </is>
      </c>
      <c r="B7808" t="inlineStr">
        <is>
          <t>Trader with Storage</t>
        </is>
      </c>
      <c r="C7808" t="inlineStr">
        <is>
          <t>DQS CFS GmbH - Deutsche Gesellschaft für Nachhaltigkeit, Frankfurt am Main, DE</t>
        </is>
      </c>
      <c r="D7808" t="inlineStr">
        <is>
          <t>13.02.2027</t>
        </is>
      </c>
      <c r="E7808" t="inlineStr">
        <is>
          <t>Germany</t>
        </is>
      </c>
    </row>
    <row r="7809">
      <c r="A7809" t="inlineStr">
        <is>
          <t>Mandiri Sawit Bersama,  Kota Subulussalam, Provinsi Aceh, Indonesia</t>
        </is>
      </c>
      <c r="B7809" t="inlineStr">
        <is>
          <t>Point of Origin</t>
        </is>
      </c>
      <c r="C7809" t="inlineStr">
        <is>
          <t>PT. Qualitas Sertifikasi Indonesia, Jakarta, ID</t>
        </is>
      </c>
      <c r="D7809" t="inlineStr">
        <is>
          <t>13.02.2027</t>
        </is>
      </c>
      <c r="E7809" t="inlineStr">
        <is>
          <t>Indonesia</t>
        </is>
      </c>
    </row>
    <row r="7810">
      <c r="A7810" t="inlineStr">
        <is>
          <t>Mandiri Sawit Bersama,  Kota Subulussalam, Provinsi Aceh, Indonesia</t>
        </is>
      </c>
      <c r="B7810" t="inlineStr">
        <is>
          <t>Point of Origin</t>
        </is>
      </c>
      <c r="C7810" t="inlineStr">
        <is>
          <t>PT. Qualitas Sertifikasi Indonesia, Jakarta, ID</t>
        </is>
      </c>
      <c r="D7810" t="inlineStr">
        <is>
          <t>13.02.2027</t>
        </is>
      </c>
      <c r="E7810" t="inlineStr">
        <is>
          <t>Indonesia</t>
        </is>
      </c>
    </row>
    <row r="7811">
      <c r="A7811" t="inlineStr">
        <is>
          <t>Cagemax Energy B.V.,  Zaltbommel, Netherlands</t>
        </is>
      </c>
      <c r="B7811" t="inlineStr">
        <is>
          <t>Collecting Point, Trader</t>
        </is>
      </c>
      <c r="C7811" t="inlineStr">
        <is>
          <t>DEKRA Certification B.V., Arnhem, NL</t>
        </is>
      </c>
      <c r="D7811" t="inlineStr">
        <is>
          <t>13.02.2027</t>
        </is>
      </c>
      <c r="E7811" t="inlineStr">
        <is>
          <t>Netherlands</t>
        </is>
      </c>
    </row>
    <row r="7812">
      <c r="A7812" t="inlineStr">
        <is>
          <t>Bunge Gıda Sanayi ve Ticaret A.Ş.,  Lüleburgaz, Turkey</t>
        </is>
      </c>
      <c r="B7812" t="inlineStr">
        <is>
          <t>Point of Origin</t>
        </is>
      </c>
      <c r="C7812" t="inlineStr">
        <is>
          <t>BM Certification, Riga, LV</t>
        </is>
      </c>
      <c r="D7812" t="inlineStr">
        <is>
          <t>13.02.2027</t>
        </is>
      </c>
      <c r="E7812" t="inlineStr">
        <is>
          <t>Turkey</t>
        </is>
      </c>
    </row>
    <row r="7813">
      <c r="A7813" t="inlineStr">
        <is>
          <t>Nestlé Deutschland AG Werk Biessenhofen,  Biessenhofen, Germany</t>
        </is>
      </c>
      <c r="B7813" t="inlineStr">
        <is>
          <t>Processing Unit</t>
        </is>
      </c>
      <c r="C7813" t="inlineStr">
        <is>
          <t>SGS Germany GmbH, Emstek, DE</t>
        </is>
      </c>
      <c r="D7813" t="inlineStr">
        <is>
          <t>13.02.2027</t>
        </is>
      </c>
      <c r="E7813" t="inlineStr">
        <is>
          <t>Germany</t>
        </is>
      </c>
    </row>
    <row r="7814">
      <c r="A7814" t="inlineStr">
        <is>
          <t>Mitsubishi Chemical Methacrylates (Huizhou) Co.,Ltd.,  Huizhou City, Guangdong Province, China</t>
        </is>
      </c>
      <c r="B7814" t="inlineStr">
        <is>
          <t>Processing Unit, Trader with Storage</t>
        </is>
      </c>
      <c r="C7814" t="inlineStr">
        <is>
          <t>SGS Germany GmbH, Emstek, DE</t>
        </is>
      </c>
      <c r="D7814" t="inlineStr">
        <is>
          <t>12.02.2027</t>
        </is>
      </c>
      <c r="E7814" t="inlineStr">
        <is>
          <t>China</t>
        </is>
      </c>
    </row>
    <row r="7815">
      <c r="A7815" t="inlineStr">
        <is>
          <t>Durante Adesivi,  Ghirano di Prata - Pordenone, Italy</t>
        </is>
      </c>
      <c r="B7815" t="inlineStr">
        <is>
          <t>Processing Unit</t>
        </is>
      </c>
      <c r="C7815" t="inlineStr">
        <is>
          <t>RINA Services S.p.A., Genova, IT</t>
        </is>
      </c>
      <c r="D7815" t="inlineStr">
        <is>
          <t>12.02.2027</t>
        </is>
      </c>
      <c r="E7815" t="inlineStr">
        <is>
          <t>Italy</t>
        </is>
      </c>
    </row>
    <row r="7816">
      <c r="A7816" t="inlineStr">
        <is>
          <t>European Transport Stevedoring Company (ETSC),  Mykolayiv, Ukraine</t>
        </is>
      </c>
      <c r="B7816" t="inlineStr">
        <is>
          <t>Processing Unit</t>
        </is>
      </c>
      <c r="C7816" t="inlineStr">
        <is>
          <t>Bureau Veritas Polska Sp. z o.o., Warsaw, PL</t>
        </is>
      </c>
      <c r="D7816" t="inlineStr">
        <is>
          <t>12.02.2027</t>
        </is>
      </c>
      <c r="E7816" t="inlineStr">
        <is>
          <t>Ukraine</t>
        </is>
      </c>
    </row>
    <row r="7817">
      <c r="A7817" t="inlineStr">
        <is>
          <t>European Transport Stevedoring Company (ETSC),  Mykolayiv, Ukraine</t>
        </is>
      </c>
      <c r="B7817" t="inlineStr">
        <is>
          <t>Processing Unit</t>
        </is>
      </c>
      <c r="C7817" t="inlineStr">
        <is>
          <t>Bureau Veritas Polska Sp. z o.o., Warsaw, PL</t>
        </is>
      </c>
      <c r="D7817" t="inlineStr">
        <is>
          <t>12.02.2027</t>
        </is>
      </c>
      <c r="E7817" t="inlineStr">
        <is>
          <t>Ukraine</t>
        </is>
      </c>
    </row>
    <row r="7818">
      <c r="A7818" t="inlineStr">
        <is>
          <t>Paseka, zemědělská a.s.,  Štemberk, Czech Republic</t>
        </is>
      </c>
      <c r="B7818" t="inlineStr">
        <is>
          <t>Farm / Plantation, Point of Origin, Warehouse, Processing Unit</t>
        </is>
      </c>
      <c r="C7818" t="inlineStr">
        <is>
          <t>TÜV SÜD Czech s.r.o., Praha 4, CZ</t>
        </is>
      </c>
      <c r="D7818" t="inlineStr">
        <is>
          <t>12.02.2027</t>
        </is>
      </c>
      <c r="E7818" t="inlineStr">
        <is>
          <t>Czech Republic</t>
        </is>
      </c>
    </row>
    <row r="7819">
      <c r="A7819" t="inlineStr">
        <is>
          <t>Neste US, Inc.,  Houston, United States</t>
        </is>
      </c>
      <c r="B7819" t="inlineStr">
        <is>
          <t>Proof of Compliance Trader, Trader with Storage</t>
        </is>
      </c>
      <c r="C7819" t="inlineStr">
        <is>
          <t>SGS Germany GmbH, Emstek, DE</t>
        </is>
      </c>
      <c r="D7819" t="inlineStr">
        <is>
          <t>12.02.2027</t>
        </is>
      </c>
      <c r="E7819" t="inlineStr">
        <is>
          <t>United States</t>
        </is>
      </c>
    </row>
    <row r="7820">
      <c r="A7820" t="inlineStr">
        <is>
          <t>Neste US, Inc.,  Houston, United States</t>
        </is>
      </c>
      <c r="B7820" t="inlineStr">
        <is>
          <t>Trader with Storage</t>
        </is>
      </c>
      <c r="C7820" t="inlineStr">
        <is>
          <t>SGS Germany GmbH, Emstek, DE</t>
        </is>
      </c>
      <c r="D7820" t="inlineStr">
        <is>
          <t>12.02.2027</t>
        </is>
      </c>
      <c r="E7820" t="inlineStr">
        <is>
          <t>United States</t>
        </is>
      </c>
    </row>
    <row r="7821">
      <c r="A7821" t="inlineStr">
        <is>
          <t>Neste US, Inc.,  Houston, United States</t>
        </is>
      </c>
      <c r="B7821" t="inlineStr">
        <is>
          <t>Trader with Storage</t>
        </is>
      </c>
      <c r="C7821" t="inlineStr">
        <is>
          <t>SGS Germany GmbH, Emstek, DE</t>
        </is>
      </c>
      <c r="D7821" t="inlineStr">
        <is>
          <t>12.02.2027</t>
        </is>
      </c>
      <c r="E7821" t="inlineStr">
        <is>
          <t>United States</t>
        </is>
      </c>
    </row>
    <row r="7822">
      <c r="A7822" t="inlineStr">
        <is>
          <t>Hungaria Agro Kft,  Baja, Hungary</t>
        </is>
      </c>
      <c r="B7822" t="inlineStr">
        <is>
          <t>First Gathering Point, Trader with Storage</t>
        </is>
      </c>
      <c r="C7822" t="inlineStr">
        <is>
          <t>BM Certification, Riga, LV</t>
        </is>
      </c>
      <c r="D7822" t="inlineStr">
        <is>
          <t>12.02.2027</t>
        </is>
      </c>
      <c r="E7822" t="inlineStr">
        <is>
          <t>Hungary</t>
        </is>
      </c>
    </row>
    <row r="7823">
      <c r="A7823" t="inlineStr">
        <is>
          <t>Freeview Industrial (Viet Nam) Co., Ltd,  Dong Thap province, Vietnam</t>
        </is>
      </c>
      <c r="B7823" t="inlineStr">
        <is>
          <t>Final Product Refinement</t>
        </is>
      </c>
      <c r="C7823" t="inlineStr">
        <is>
          <t>SGS Germany GmbH, Emstek, DE</t>
        </is>
      </c>
      <c r="D7823" t="inlineStr">
        <is>
          <t>12.02.2027</t>
        </is>
      </c>
      <c r="E7823" t="inlineStr">
        <is>
          <t>Vietnam</t>
        </is>
      </c>
    </row>
    <row r="7824">
      <c r="A7824" t="inlineStr">
        <is>
          <t>Orgachem Kimya San. ve Tic. A.S.,  Tuzla- Istanbul, Turkey</t>
        </is>
      </c>
      <c r="B7824" t="inlineStr">
        <is>
          <t>Processing Unit</t>
        </is>
      </c>
      <c r="C7824" t="inlineStr">
        <is>
          <t>Bureau Veritas Polska Sp. z o.o., Warsaw, PL</t>
        </is>
      </c>
      <c r="D7824" t="inlineStr">
        <is>
          <t>12.02.2027</t>
        </is>
      </c>
      <c r="E7824" t="inlineStr">
        <is>
          <t>Turkey</t>
        </is>
      </c>
    </row>
    <row r="7825">
      <c r="A7825" t="inlineStr">
        <is>
          <t>Dow Brasil Industria e Comercio de Produtos Quimicos Ltda,  São Paulo, Brazil</t>
        </is>
      </c>
      <c r="B7825" t="inlineStr">
        <is>
          <t>Trader with Storage</t>
        </is>
      </c>
      <c r="C7825" t="inlineStr">
        <is>
          <t>SGS Germany GmbH, Emstek, DE</t>
        </is>
      </c>
      <c r="D7825" t="inlineStr">
        <is>
          <t>12.02.2027</t>
        </is>
      </c>
      <c r="E7825" t="inlineStr">
        <is>
          <t>Brazil</t>
        </is>
      </c>
    </row>
    <row r="7826">
      <c r="A7826" t="inlineStr">
        <is>
          <t>Rizhao Qijie Commercial Co., Ltd.,  Rizhao, Shandong, China</t>
        </is>
      </c>
      <c r="B7826" t="inlineStr">
        <is>
          <t>Trader</t>
        </is>
      </c>
      <c r="C7826" t="inlineStr">
        <is>
          <t>RINA Services S.p.A., Genova, IT</t>
        </is>
      </c>
      <c r="D7826" t="inlineStr">
        <is>
          <t>12.02.2027</t>
        </is>
      </c>
      <c r="E7826" t="inlineStr">
        <is>
          <t>China</t>
        </is>
      </c>
    </row>
    <row r="7827">
      <c r="A7827" t="inlineStr">
        <is>
          <t>Durante Adesivi,  Pasiano di Pordenone (PN) - frazione Cecchini, Italy</t>
        </is>
      </c>
      <c r="B7827" t="inlineStr">
        <is>
          <t>Processing Unit</t>
        </is>
      </c>
      <c r="C7827" t="inlineStr">
        <is>
          <t>RINA Services S.p.A., Genova, IT</t>
        </is>
      </c>
      <c r="D7827" t="inlineStr">
        <is>
          <t>12.02.2027</t>
        </is>
      </c>
      <c r="E7827" t="inlineStr">
        <is>
          <t>Italy</t>
        </is>
      </c>
    </row>
    <row r="7828">
      <c r="A7828" t="inlineStr">
        <is>
          <t>DTS Renewables,  Singapore, Singapore</t>
        </is>
      </c>
      <c r="B7828" t="inlineStr">
        <is>
          <t>Trader</t>
        </is>
      </c>
      <c r="C7828" t="inlineStr">
        <is>
          <t>Double Helix Tracking Technologies Pte Ltd, Singapore, SG</t>
        </is>
      </c>
      <c r="D7828" t="inlineStr">
        <is>
          <t>12.02.2027</t>
        </is>
      </c>
      <c r="E7828" t="inlineStr">
        <is>
          <t>Singapore</t>
        </is>
      </c>
    </row>
    <row r="7829">
      <c r="A7829" t="inlineStr">
        <is>
          <t>KOMODEX s.r.o.,  Prešov, Slovakia</t>
        </is>
      </c>
      <c r="B7829" t="inlineStr">
        <is>
          <t>First Gathering Point, Trader</t>
        </is>
      </c>
      <c r="C7829" t="inlineStr">
        <is>
          <t>Bureau Veritas Polska Sp. z o.o., Warsaw, PL</t>
        </is>
      </c>
      <c r="D7829" t="inlineStr">
        <is>
          <t>12.02.2027</t>
        </is>
      </c>
      <c r="E7829" t="inlineStr">
        <is>
          <t>Slovakia</t>
        </is>
      </c>
    </row>
    <row r="7830">
      <c r="A7830" t="inlineStr">
        <is>
          <t>KOMODEX s.r.o.,  Prešov, Slovakia</t>
        </is>
      </c>
      <c r="B7830" t="inlineStr">
        <is>
          <t>First Gathering Point, Trader</t>
        </is>
      </c>
      <c r="C7830" t="inlineStr">
        <is>
          <t>Bureau Veritas Polska Sp. z o.o., Warsaw, PL</t>
        </is>
      </c>
      <c r="D7830" t="inlineStr">
        <is>
          <t>12.02.2027</t>
        </is>
      </c>
      <c r="E7830" t="inlineStr">
        <is>
          <t>Slovakia</t>
        </is>
      </c>
    </row>
    <row r="7831">
      <c r="A7831" t="inlineStr">
        <is>
          <t>avanca Renewables AG,  Zug, Switzerland</t>
        </is>
      </c>
      <c r="B7831" t="inlineStr">
        <is>
          <t>Trader</t>
        </is>
      </c>
      <c r="C7831" t="inlineStr">
        <is>
          <t>DEKRA Certification GmbH, Stuttgart, DE</t>
        </is>
      </c>
      <c r="D7831" t="inlineStr">
        <is>
          <t>12.02.2027</t>
        </is>
      </c>
      <c r="E7831" t="inlineStr">
        <is>
          <t>Switzerland</t>
        </is>
      </c>
    </row>
    <row r="7832">
      <c r="A7832" t="inlineStr">
        <is>
          <t>avanca Renewables AG,  Zug, Switzerland</t>
        </is>
      </c>
      <c r="B7832" t="inlineStr">
        <is>
          <t>Trader, Proof of Compliance Trader</t>
        </is>
      </c>
      <c r="C7832" t="inlineStr">
        <is>
          <t>DEKRA Certification GmbH, Stuttgart, DE</t>
        </is>
      </c>
      <c r="D7832" t="inlineStr">
        <is>
          <t>12.02.2027</t>
        </is>
      </c>
      <c r="E7832" t="inlineStr">
        <is>
          <t>Switzerland</t>
        </is>
      </c>
    </row>
    <row r="7833">
      <c r="A7833" t="inlineStr">
        <is>
          <t>Siocom Co., LTD.,  Hongcheon-gun, Gangwon-do, Korea, Republic of</t>
        </is>
      </c>
      <c r="B7833" t="inlineStr">
        <is>
          <t>Collecting Point, Processing Unit</t>
        </is>
      </c>
      <c r="C7833" t="inlineStr">
        <is>
          <t>DNV Business Assurance Sweden AB, Solna, SE</t>
        </is>
      </c>
      <c r="D7833" t="inlineStr">
        <is>
          <t>12.02.2027</t>
        </is>
      </c>
      <c r="E7833" t="inlineStr">
        <is>
          <t>Republic of</t>
        </is>
      </c>
    </row>
    <row r="7834">
      <c r="A7834" t="inlineStr">
        <is>
          <t>Birla Carbon SCM India Private Ltd.,  Mumbai, India</t>
        </is>
      </c>
      <c r="B7834" t="inlineStr">
        <is>
          <t>Trader with Storage</t>
        </is>
      </c>
      <c r="C7834" t="inlineStr">
        <is>
          <t>PT Intertek Utama Services, Jakarta, ID</t>
        </is>
      </c>
      <c r="D7834" t="inlineStr">
        <is>
          <t>12.02.2027</t>
        </is>
      </c>
      <c r="E7834" t="inlineStr">
        <is>
          <t>India</t>
        </is>
      </c>
    </row>
    <row r="7835">
      <c r="A7835" t="inlineStr">
        <is>
          <t>Aectra Plastiques,  Saint Georges de Reneins, France</t>
        </is>
      </c>
      <c r="B7835" t="inlineStr">
        <is>
          <t>Trader with Storage</t>
        </is>
      </c>
      <c r="C7835" t="inlineStr">
        <is>
          <t>Bureau Veritas Polska Sp. z o.o., Warsaw, PL</t>
        </is>
      </c>
      <c r="D7835" t="inlineStr">
        <is>
          <t>12.02.2027</t>
        </is>
      </c>
      <c r="E7835" t="inlineStr">
        <is>
          <t>France</t>
        </is>
      </c>
    </row>
    <row r="7836">
      <c r="A7836" t="inlineStr">
        <is>
          <t>REDEO ANTARGAZ,  NOYAL PONTIVY, France</t>
        </is>
      </c>
      <c r="B7836" t="inlineStr">
        <is>
          <t>Trader</t>
        </is>
      </c>
      <c r="C7836" t="inlineStr">
        <is>
          <t>Control Union Certifications Germany GmbH, Berlin, DE</t>
        </is>
      </c>
      <c r="D7836" t="inlineStr">
        <is>
          <t>12.02.2027</t>
        </is>
      </c>
      <c r="E7836" t="inlineStr">
        <is>
          <t>France</t>
        </is>
      </c>
    </row>
    <row r="7837">
      <c r="A7837" t="inlineStr">
        <is>
          <t>Vissers Energy B.V.,  Horst, Netherlands</t>
        </is>
      </c>
      <c r="B7837" t="inlineStr">
        <is>
          <t>Trader</t>
        </is>
      </c>
      <c r="C7837" t="inlineStr">
        <is>
          <t>Normec QS BV, Ede, NL</t>
        </is>
      </c>
      <c r="D7837" t="inlineStr">
        <is>
          <t>12.02.2027</t>
        </is>
      </c>
      <c r="E7837" t="inlineStr">
        <is>
          <t>Netherlands</t>
        </is>
      </c>
    </row>
    <row r="7838">
      <c r="A7838" t="inlineStr">
        <is>
          <t>Quimidroga S.A.,  Barcelona, Spain</t>
        </is>
      </c>
      <c r="B7838" t="inlineStr">
        <is>
          <t>Trader with Storage</t>
        </is>
      </c>
      <c r="C7838" t="inlineStr">
        <is>
          <t>PT Intertek Utama Services, Jakarta, ID</t>
        </is>
      </c>
      <c r="D7838" t="inlineStr">
        <is>
          <t>12.02.2027</t>
        </is>
      </c>
      <c r="E7838" t="inlineStr">
        <is>
          <t>Spain</t>
        </is>
      </c>
    </row>
    <row r="7839">
      <c r="A7839" t="inlineStr">
        <is>
          <t>KAPS TEX VINA JOINT STOCK COMPANY,  Phu Tho Province, Vietnam</t>
        </is>
      </c>
      <c r="B7839" t="inlineStr">
        <is>
          <t>Processing Unit</t>
        </is>
      </c>
      <c r="C7839" t="inlineStr">
        <is>
          <t>PT Intertek Utama Services, Jakarta, ID</t>
        </is>
      </c>
      <c r="D7839" t="inlineStr">
        <is>
          <t>12.02.2027</t>
        </is>
      </c>
      <c r="E7839" t="inlineStr">
        <is>
          <t>Vietnam</t>
        </is>
      </c>
    </row>
    <row r="7840">
      <c r="A7840" t="inlineStr">
        <is>
          <t>Indorama Polymers Public Company Limited,  T. Khaosamokhon, A. Tawung, Lopburi, Thailand</t>
        </is>
      </c>
      <c r="B7840" t="inlineStr">
        <is>
          <t>Processing Unit</t>
        </is>
      </c>
      <c r="C7840" t="inlineStr">
        <is>
          <t>PT Intertek Utama Services, Jakarta, ID</t>
        </is>
      </c>
      <c r="D7840" t="inlineStr">
        <is>
          <t>12.02.2027</t>
        </is>
      </c>
      <c r="E7840" t="inlineStr">
        <is>
          <t>Thailand</t>
        </is>
      </c>
    </row>
    <row r="7841">
      <c r="A7841" t="inlineStr">
        <is>
          <t>TPT Petrochemicals Public Company Limited (Branch 4),  T. Khaosamokhon, A. Tha Wung, Lopburi, Thailand</t>
        </is>
      </c>
      <c r="B7841" t="inlineStr">
        <is>
          <t>Processing Unit</t>
        </is>
      </c>
      <c r="C7841" t="inlineStr">
        <is>
          <t>PT Intertek Utama Services, Jakarta, ID</t>
        </is>
      </c>
      <c r="D7841" t="inlineStr">
        <is>
          <t>12.02.2027</t>
        </is>
      </c>
      <c r="E7841" t="inlineStr">
        <is>
          <t>Thailand</t>
        </is>
      </c>
    </row>
    <row r="7842">
      <c r="A7842" t="inlineStr">
        <is>
          <t>YG Chemical Co., Ltd,  Gyeongsangbuk-do, Chilgok-gun, Yakmok-myeon, Korea, Republic of</t>
        </is>
      </c>
      <c r="B7842" t="inlineStr">
        <is>
          <t>Collecting Point, Trader with Storage</t>
        </is>
      </c>
      <c r="C7842" t="inlineStr">
        <is>
          <t>Control Union Certifications Germany GmbH, Berlin, DE</t>
        </is>
      </c>
      <c r="D7842" t="inlineStr">
        <is>
          <t>12.02.2027</t>
        </is>
      </c>
      <c r="E7842" t="inlineStr">
        <is>
          <t>Republic of</t>
        </is>
      </c>
    </row>
    <row r="7843">
      <c r="A7843" t="inlineStr">
        <is>
          <t>YG Chemical Co., Ltd,  Gyeongsangbuk-do, Chilgok-gun, Yakmok-myeon, Korea, Republic of</t>
        </is>
      </c>
      <c r="B7843" t="inlineStr">
        <is>
          <t>Collecting Point, Trader with Storage</t>
        </is>
      </c>
      <c r="C7843" t="inlineStr">
        <is>
          <t>Control Union Certifications Germany GmbH, Berlin, DE</t>
        </is>
      </c>
      <c r="D7843" t="inlineStr">
        <is>
          <t>12.02.2027</t>
        </is>
      </c>
      <c r="E7843" t="inlineStr">
        <is>
          <t>Republic of</t>
        </is>
      </c>
    </row>
    <row r="7844">
      <c r="A7844" t="inlineStr">
        <is>
          <t>Kleankorea Corporation (Gyeongju Factory),  Angang-eup, Gyeongju-si,, South Korea</t>
        </is>
      </c>
      <c r="B7844" t="inlineStr">
        <is>
          <t>Collecting Point, Processing Unit</t>
        </is>
      </c>
      <c r="C7844" t="inlineStr">
        <is>
          <t>Control Union Certifications Germany GmbH, Berlin, DE</t>
        </is>
      </c>
      <c r="D7844" t="inlineStr">
        <is>
          <t>12.02.2027</t>
        </is>
      </c>
      <c r="E7844" t="inlineStr">
        <is>
          <t>South Korea</t>
        </is>
      </c>
    </row>
    <row r="7845">
      <c r="A7845" t="inlineStr">
        <is>
          <t>Kleankorea Corporation (Pyeongtaeck Factory),  Jinwi-Myeon, Pyeongtaek-si, South Korea</t>
        </is>
      </c>
      <c r="B7845" t="inlineStr">
        <is>
          <t>Collecting Point, Processing Unit, Trader</t>
        </is>
      </c>
      <c r="C7845" t="inlineStr">
        <is>
          <t>Control Union Certifications Germany GmbH, Berlin, DE</t>
        </is>
      </c>
      <c r="D7845" t="inlineStr">
        <is>
          <t>12.02.2027</t>
        </is>
      </c>
      <c r="E7845" t="inlineStr">
        <is>
          <t>South Korea</t>
        </is>
      </c>
    </row>
    <row r="7846">
      <c r="A7846" t="inlineStr">
        <is>
          <t>IMPLAST,  PALAZZOLO SULL'OGLIO, Italy</t>
        </is>
      </c>
      <c r="B7846" t="inlineStr">
        <is>
          <t>Processing Unit</t>
        </is>
      </c>
      <c r="C7846" t="inlineStr">
        <is>
          <t>SGS Germany GmbH, Emstek, DE</t>
        </is>
      </c>
      <c r="D7846" t="inlineStr">
        <is>
          <t>12.02.2027</t>
        </is>
      </c>
      <c r="E7846" t="inlineStr">
        <is>
          <t>Italy</t>
        </is>
      </c>
    </row>
    <row r="7847">
      <c r="A7847" t="inlineStr">
        <is>
          <t>Prometa Yem Ve Endustriyel Yag San Tic A.S.,  Tekirdag, Turkey</t>
        </is>
      </c>
      <c r="B7847" t="inlineStr">
        <is>
          <t>Collecting Point, Processing Unit, Trader with Storage</t>
        </is>
      </c>
      <c r="C7847" t="inlineStr">
        <is>
          <t>BM Certification, Riga, LV</t>
        </is>
      </c>
      <c r="D7847" t="inlineStr">
        <is>
          <t>12.02.2027</t>
        </is>
      </c>
      <c r="E7847" t="inlineStr">
        <is>
          <t>Turkey</t>
        </is>
      </c>
    </row>
    <row r="7848">
      <c r="A7848" t="inlineStr">
        <is>
          <t>ALMA Packaging AG,  Cormagens, Switzerland</t>
        </is>
      </c>
      <c r="B7848" t="inlineStr">
        <is>
          <t>Processing Unit</t>
        </is>
      </c>
      <c r="C7848" t="inlineStr">
        <is>
          <t>SGS Germany GmbH, Emstek, DE</t>
        </is>
      </c>
      <c r="D7848" t="inlineStr">
        <is>
          <t>12.02.2027</t>
        </is>
      </c>
      <c r="E7848" t="inlineStr">
        <is>
          <t>Switzerland</t>
        </is>
      </c>
    </row>
    <row r="7849">
      <c r="A7849" t="inlineStr">
        <is>
          <t>IVICT (Thailand) Company Limited,  Bangkok, Thailand</t>
        </is>
      </c>
      <c r="B7849" t="inlineStr">
        <is>
          <t>Trader with Storage</t>
        </is>
      </c>
      <c r="C7849" t="inlineStr">
        <is>
          <t>SGS Germany GmbH, Emstek, DE</t>
        </is>
      </c>
      <c r="D7849" t="inlineStr">
        <is>
          <t>12.02.2027</t>
        </is>
      </c>
      <c r="E7849" t="inlineStr">
        <is>
          <t>Thailand</t>
        </is>
      </c>
    </row>
    <row r="7850">
      <c r="A7850" t="inlineStr">
        <is>
          <t>TORAY INDUSTRIES, INC. Gifu Plant,  Anpachi-gun, Gifu, Japan</t>
        </is>
      </c>
      <c r="B7850" t="inlineStr">
        <is>
          <t>Point of Origin, Processing Unit</t>
        </is>
      </c>
      <c r="C7850" t="inlineStr">
        <is>
          <t>SGS Germany GmbH, Emstek, DE</t>
        </is>
      </c>
      <c r="D7850" t="inlineStr">
        <is>
          <t>12.02.2027</t>
        </is>
      </c>
      <c r="E7850" t="inlineStr">
        <is>
          <t>Japan</t>
        </is>
      </c>
    </row>
    <row r="7851">
      <c r="A7851" t="inlineStr">
        <is>
          <t>Shandong Yuwang Ecological Food Industry Co.,Ltd.,  Yucheng City, China</t>
        </is>
      </c>
      <c r="B7851" t="inlineStr">
        <is>
          <t>Processing Unit</t>
        </is>
      </c>
      <c r="C7851" t="inlineStr">
        <is>
          <t>SGS Germany GmbH, Emstek, DE</t>
        </is>
      </c>
      <c r="D7851" t="inlineStr">
        <is>
          <t>12.02.2027</t>
        </is>
      </c>
      <c r="E7851" t="inlineStr">
        <is>
          <t>China</t>
        </is>
      </c>
    </row>
    <row r="7852">
      <c r="A7852" t="inlineStr">
        <is>
          <t>KC Palm Oil (Malaysia) Sdn Bhd,  Lahad Datu, Malaysia</t>
        </is>
      </c>
      <c r="B7852" t="inlineStr">
        <is>
          <t>Trader</t>
        </is>
      </c>
      <c r="C7852" t="inlineStr">
        <is>
          <t>NIOSH Certification Sdn. Bhd., Selangor Darul Ehsan, MY</t>
        </is>
      </c>
      <c r="D7852" t="inlineStr">
        <is>
          <t>12.02.2027</t>
        </is>
      </c>
      <c r="E7852" t="inlineStr">
        <is>
          <t>Malaysia</t>
        </is>
      </c>
    </row>
    <row r="7853">
      <c r="A7853" t="inlineStr">
        <is>
          <t>TEGUHKARSA WANALESTARI,  KECAMATAN SIAK, KABUPATEN SIAK, PROVINSI RAIU, Indonesia</t>
        </is>
      </c>
      <c r="B7853" t="inlineStr">
        <is>
          <t>Point of Origin</t>
        </is>
      </c>
      <c r="C7853" t="inlineStr">
        <is>
          <t>PT. Qualitas Sertifikasi Indonesia, Jakarta, ID</t>
        </is>
      </c>
      <c r="D7853" t="inlineStr">
        <is>
          <t>12.02.2027</t>
        </is>
      </c>
      <c r="E7853" t="inlineStr">
        <is>
          <t>Indonesia</t>
        </is>
      </c>
    </row>
    <row r="7854">
      <c r="A7854" t="inlineStr">
        <is>
          <t>UAB Achema Gas Trade,  Jonalaukio k., Jonavos raj., Lithuania</t>
        </is>
      </c>
      <c r="B7854" t="inlineStr">
        <is>
          <t>Trader</t>
        </is>
      </c>
      <c r="C7854" t="inlineStr">
        <is>
          <t>BM Certification, Riga, LV</t>
        </is>
      </c>
      <c r="D7854" t="inlineStr">
        <is>
          <t>12.02.2027</t>
        </is>
      </c>
      <c r="E7854" t="inlineStr">
        <is>
          <t>Lithuania</t>
        </is>
      </c>
    </row>
    <row r="7855">
      <c r="A7855" t="inlineStr">
        <is>
          <t>Lodigiana Maceri,  Marudo, Italy</t>
        </is>
      </c>
      <c r="B7855" t="inlineStr">
        <is>
          <t>Collecting Point, Trader with Storage</t>
        </is>
      </c>
      <c r="C7855" t="inlineStr">
        <is>
          <t>SGS Germany GmbH, Emstek, DE</t>
        </is>
      </c>
      <c r="D7855" t="inlineStr">
        <is>
          <t>12.02.2027</t>
        </is>
      </c>
      <c r="E7855" t="inlineStr">
        <is>
          <t>Italy</t>
        </is>
      </c>
    </row>
    <row r="7856">
      <c r="A7856" t="inlineStr">
        <is>
          <t>CARBUROS DEL EMPORDÁ,  VILAFANT (GERONA), Spain</t>
        </is>
      </c>
      <c r="B7856" t="inlineStr">
        <is>
          <t>Point of Origin, Trader with Storage</t>
        </is>
      </c>
      <c r="C7856" t="inlineStr">
        <is>
          <t>RINA Services S.p.A., Genova, IT</t>
        </is>
      </c>
      <c r="D7856" t="inlineStr">
        <is>
          <t>12.02.2027</t>
        </is>
      </c>
      <c r="E7856" t="inlineStr">
        <is>
          <t>Spain</t>
        </is>
      </c>
    </row>
    <row r="7857">
      <c r="A7857" t="inlineStr">
        <is>
          <t>DEL CURTO SRL,  VERDERIO, Italy</t>
        </is>
      </c>
      <c r="B7857" t="inlineStr">
        <is>
          <t>Collecting Point</t>
        </is>
      </c>
      <c r="C7857" t="inlineStr">
        <is>
          <t>PT Intertek Utama Services, Jakarta, ID</t>
        </is>
      </c>
      <c r="D7857" t="inlineStr">
        <is>
          <t>12.02.2027</t>
        </is>
      </c>
      <c r="E7857" t="inlineStr">
        <is>
          <t>Italy</t>
        </is>
      </c>
    </row>
    <row r="7858">
      <c r="A7858" t="inlineStr">
        <is>
          <t>Emsur Saymopack S.L.U.,  Algemesí, Spain</t>
        </is>
      </c>
      <c r="B7858" t="inlineStr">
        <is>
          <t>Final Product Refinement, Processing Unit, Trader with Storage</t>
        </is>
      </c>
      <c r="C7858" t="inlineStr">
        <is>
          <t>PT Intertek Utama Services, Jakarta, ID</t>
        </is>
      </c>
      <c r="D7858" t="inlineStr">
        <is>
          <t>12.02.2027</t>
        </is>
      </c>
      <c r="E7858" t="inlineStr">
        <is>
          <t>Spain</t>
        </is>
      </c>
    </row>
    <row r="7859">
      <c r="A7859" t="inlineStr">
        <is>
          <t>AST GLOBAL SA,  Geneva, Switzerland</t>
        </is>
      </c>
      <c r="B7859" t="inlineStr">
        <is>
          <t>First Gathering Point, Trader</t>
        </is>
      </c>
      <c r="C7859" t="inlineStr">
        <is>
          <t>Control Union Certifications Germany GmbH, Berlin, DE</t>
        </is>
      </c>
      <c r="D7859" t="inlineStr">
        <is>
          <t>12.02.2027</t>
        </is>
      </c>
      <c r="E7859" t="inlineStr">
        <is>
          <t>Switzerland</t>
        </is>
      </c>
    </row>
    <row r="7860">
      <c r="A7860" t="inlineStr">
        <is>
          <t>Egmere Energy,  Egmere, Walsingham, United Kingdom</t>
        </is>
      </c>
      <c r="B7860" t="inlineStr">
        <is>
          <t>First Gathering Point, Processing Unit</t>
        </is>
      </c>
      <c r="C7860" t="inlineStr">
        <is>
          <t>Double Helix Tracking Technologies Pte Ltd, Singapore, SG</t>
        </is>
      </c>
      <c r="D7860" t="inlineStr">
        <is>
          <t>12.02.2027</t>
        </is>
      </c>
      <c r="E7860" t="inlineStr">
        <is>
          <t>United Kingdom</t>
        </is>
      </c>
    </row>
    <row r="7861">
      <c r="A7861" t="inlineStr">
        <is>
          <t>Dongwon Environment,  Tongyeong, South Korea</t>
        </is>
      </c>
      <c r="B7861" t="inlineStr">
        <is>
          <t>Collecting Point, Processing Unit</t>
        </is>
      </c>
      <c r="C7861" t="inlineStr">
        <is>
          <t>Korean Foundation for Quality, Songpa-gu, Seoul, KR</t>
        </is>
      </c>
      <c r="D7861" t="inlineStr">
        <is>
          <t>12.02.2027</t>
        </is>
      </c>
      <c r="E7861" t="inlineStr">
        <is>
          <t>South Korea</t>
        </is>
      </c>
    </row>
    <row r="7862">
      <c r="A7862" t="inlineStr">
        <is>
          <t>Van Dieijen Holding B.V.,  Bodegraven, Netherlands</t>
        </is>
      </c>
      <c r="B7862" t="inlineStr">
        <is>
          <t>Collecting Point, Processing Unit</t>
        </is>
      </c>
      <c r="C7862" t="inlineStr">
        <is>
          <t>DEKRA Certification B.V., Arnhem, NL</t>
        </is>
      </c>
      <c r="D7862" t="inlineStr">
        <is>
          <t>12.02.2027</t>
        </is>
      </c>
      <c r="E7862" t="inlineStr">
        <is>
          <t>Netherlands</t>
        </is>
      </c>
    </row>
    <row r="7863">
      <c r="A7863" t="inlineStr">
        <is>
          <t>Rientjes Raalte B.V.,  Raalte, Netherlands</t>
        </is>
      </c>
      <c r="B7863" t="inlineStr">
        <is>
          <t>Collecting Point, Processing Unit</t>
        </is>
      </c>
      <c r="C7863" t="inlineStr">
        <is>
          <t>DEKRA Certification B.V., Arnhem, NL</t>
        </is>
      </c>
      <c r="D7863" t="inlineStr">
        <is>
          <t>12.02.2027</t>
        </is>
      </c>
      <c r="E7863" t="inlineStr">
        <is>
          <t>Netherlands</t>
        </is>
      </c>
    </row>
    <row r="7864">
      <c r="A7864" t="inlineStr">
        <is>
          <t>VERDIESEL ARGENTINA,  TUCUMAN, Argentina</t>
        </is>
      </c>
      <c r="B7864" t="inlineStr">
        <is>
          <t>Collecting Point, Trader with Storage</t>
        </is>
      </c>
      <c r="C7864" t="inlineStr">
        <is>
          <t>SCS Global Services, Emeryville, CA, US</t>
        </is>
      </c>
      <c r="D7864" t="inlineStr">
        <is>
          <t>12.02.2027</t>
        </is>
      </c>
      <c r="E7864" t="inlineStr">
        <is>
          <t>Argentina</t>
        </is>
      </c>
    </row>
    <row r="7865">
      <c r="A7865" t="inlineStr">
        <is>
          <t>Industria Agro Quimica Braido Ltda.,  Leme, Brazil</t>
        </is>
      </c>
      <c r="B7865" t="inlineStr">
        <is>
          <t>Collecting Point, Point of Origin, Trader with Storage</t>
        </is>
      </c>
      <c r="C7865" t="inlineStr">
        <is>
          <t>QIMA, Centro, Botucatu - SP, CEP, BR</t>
        </is>
      </c>
      <c r="D7865" t="inlineStr">
        <is>
          <t>12.02.2027</t>
        </is>
      </c>
      <c r="E7865" t="inlineStr">
        <is>
          <t>Brazil</t>
        </is>
      </c>
    </row>
    <row r="7866">
      <c r="A7866" t="inlineStr">
        <is>
          <t>Horizon II,  Stockton, The United States of America</t>
        </is>
      </c>
      <c r="B7866" t="inlineStr">
        <is>
          <t>Collecting Point, Processing Unit</t>
        </is>
      </c>
      <c r="C7866" t="inlineStr">
        <is>
          <t>SCS Global Services, Emeryville, CA, US</t>
        </is>
      </c>
      <c r="D7866" t="inlineStr">
        <is>
          <t>12.02.2027</t>
        </is>
      </c>
      <c r="E7866" t="inlineStr">
        <is>
          <t>The United States of America</t>
        </is>
      </c>
    </row>
    <row r="7867">
      <c r="A7867" t="inlineStr">
        <is>
          <t>Horizon II,  Stockton, The United States of America</t>
        </is>
      </c>
      <c r="B7867" t="inlineStr">
        <is>
          <t>Collecting Point, Processing Unit</t>
        </is>
      </c>
      <c r="C7867" t="inlineStr">
        <is>
          <t>SCS Global Services, Emeryville, CA, US</t>
        </is>
      </c>
      <c r="D7867" t="inlineStr">
        <is>
          <t>12.02.2027</t>
        </is>
      </c>
      <c r="E7867" t="inlineStr">
        <is>
          <t>The United States of America</t>
        </is>
      </c>
    </row>
    <row r="7868">
      <c r="A7868" t="inlineStr">
        <is>
          <t>The Revata Carbon Pte ltd,  Singapore, Singapore</t>
        </is>
      </c>
      <c r="B7868" t="inlineStr">
        <is>
          <t>Trader</t>
        </is>
      </c>
      <c r="C7868" t="inlineStr">
        <is>
          <t>Alcumus ISOQAR Ltd, Stretford, Manchester, GB</t>
        </is>
      </c>
      <c r="D7868" t="inlineStr">
        <is>
          <t>12.02.2027</t>
        </is>
      </c>
      <c r="E7868" t="inlineStr">
        <is>
          <t>Singapore</t>
        </is>
      </c>
    </row>
    <row r="7869">
      <c r="A7869" t="inlineStr">
        <is>
          <t>Kanadevia Inova Biogas Gravel Pit,  Sand Hutton, United Kingdom</t>
        </is>
      </c>
      <c r="B7869" t="inlineStr">
        <is>
          <t>Collecting Point, First Gathering Point, Processing Unit</t>
        </is>
      </c>
      <c r="C7869" t="inlineStr">
        <is>
          <t>Double Helix Tracking Technologies Pte Ltd, Singapore, SG</t>
        </is>
      </c>
      <c r="D7869" t="inlineStr">
        <is>
          <t>12.02.2027</t>
        </is>
      </c>
      <c r="E7869" t="inlineStr">
        <is>
          <t>United Kingdom</t>
        </is>
      </c>
    </row>
    <row r="7870">
      <c r="A7870" t="inlineStr">
        <is>
          <t>Greenport Exchange FZCO,  Dubai, United Arab Emirates</t>
        </is>
      </c>
      <c r="B7870" t="inlineStr">
        <is>
          <t>Trader</t>
        </is>
      </c>
      <c r="C7870" t="inlineStr">
        <is>
          <t>Trans Certification and Inspection Sdn Bhd, Kuantan, MY</t>
        </is>
      </c>
      <c r="D7870" t="inlineStr">
        <is>
          <t>12.02.2027</t>
        </is>
      </c>
      <c r="E7870" t="inlineStr">
        <is>
          <t>United Arab Emirates</t>
        </is>
      </c>
    </row>
    <row r="7871">
      <c r="A7871" t="inlineStr">
        <is>
          <t>Ecovirea,  San Esteve Serrovires, Spain</t>
        </is>
      </c>
      <c r="B7871" t="inlineStr">
        <is>
          <t>Collecting Point, Warehouse</t>
        </is>
      </c>
      <c r="C7871" t="inlineStr">
        <is>
          <t>RINA Services S.p.A., Genova, IT</t>
        </is>
      </c>
      <c r="D7871" t="inlineStr">
        <is>
          <t>11.02.2027</t>
        </is>
      </c>
      <c r="E7871" t="inlineStr">
        <is>
          <t>Spain</t>
        </is>
      </c>
    </row>
    <row r="7872">
      <c r="A7872" t="inlineStr">
        <is>
          <t>W&amp;S Plastics (Malaysia) Sdn Bhd,  Kulai, Malaysia</t>
        </is>
      </c>
      <c r="B7872" t="inlineStr">
        <is>
          <t>Final Product Refinement, Processing Unit</t>
        </is>
      </c>
      <c r="C7872" t="inlineStr">
        <is>
          <t>SGS Germany GmbH, Emstek, DE</t>
        </is>
      </c>
      <c r="D7872" t="inlineStr">
        <is>
          <t>11.02.2027</t>
        </is>
      </c>
      <c r="E7872" t="inlineStr">
        <is>
          <t>Malaysia</t>
        </is>
      </c>
    </row>
    <row r="7873">
      <c r="A7873" t="inlineStr">
        <is>
          <t>BELLWETHER INTERNATIONAL TRADING LIMITED,  Foshan City, Guangdong Province, China</t>
        </is>
      </c>
      <c r="B7873" t="inlineStr">
        <is>
          <t>Trader</t>
        </is>
      </c>
      <c r="C7873" t="inlineStr">
        <is>
          <t>RINA Services S.p.A., Genova, IT</t>
        </is>
      </c>
      <c r="D7873" t="inlineStr">
        <is>
          <t>11.02.2027</t>
        </is>
      </c>
      <c r="E7873" t="inlineStr">
        <is>
          <t>China</t>
        </is>
      </c>
    </row>
    <row r="7874">
      <c r="A7874" t="inlineStr">
        <is>
          <t>PT Parawood,  Na Thawi, Thailand</t>
        </is>
      </c>
      <c r="B7874" t="inlineStr">
        <is>
          <t>Collecting Point, Warehouse, Processing Unit</t>
        </is>
      </c>
      <c r="C7874" t="inlineStr">
        <is>
          <t>Control Union Poland Sp. z o.o., Zielona Gora, PL</t>
        </is>
      </c>
      <c r="D7874" t="inlineStr">
        <is>
          <t>11.02.2027</t>
        </is>
      </c>
      <c r="E7874" t="inlineStr">
        <is>
          <t>Thailand</t>
        </is>
      </c>
    </row>
    <row r="7875">
      <c r="A7875" t="inlineStr">
        <is>
          <t>Warren Energy,  Methwold, Thetford, United Kingdom</t>
        </is>
      </c>
      <c r="B7875" t="inlineStr">
        <is>
          <t>First Gathering Point, Processing Unit</t>
        </is>
      </c>
      <c r="C7875" t="inlineStr">
        <is>
          <t>Double Helix Tracking Technologies Pte Ltd, Singapore, SG</t>
        </is>
      </c>
      <c r="D7875" t="inlineStr">
        <is>
          <t>11.02.2027</t>
        </is>
      </c>
      <c r="E7875" t="inlineStr">
        <is>
          <t>United Kingdom</t>
        </is>
      </c>
    </row>
    <row r="7876">
      <c r="A7876" t="inlineStr">
        <is>
          <t>ÜÇSA AMBALAJ SAN.VE TİC.A.Ş.,  KARAMAN, Turkey</t>
        </is>
      </c>
      <c r="B7876" t="inlineStr">
        <is>
          <t>Final Product Refinement, Processing Unit</t>
        </is>
      </c>
      <c r="C7876" t="inlineStr">
        <is>
          <t>RINA Services S.p.A., Genova, IT</t>
        </is>
      </c>
      <c r="D7876" t="inlineStr">
        <is>
          <t>11.02.2027</t>
        </is>
      </c>
      <c r="E7876" t="inlineStr">
        <is>
          <t>Turkey</t>
        </is>
      </c>
    </row>
    <row r="7877">
      <c r="A7877" t="inlineStr">
        <is>
          <t>GLOBAL NEXUS RESOURCES SDN BHD,  Nilai, Malaysia</t>
        </is>
      </c>
      <c r="B7877" t="inlineStr">
        <is>
          <t>Collecting Point, Trader with Storage</t>
        </is>
      </c>
      <c r="C7877" t="inlineStr">
        <is>
          <t>RINA Services S.p.A., Genova, IT</t>
        </is>
      </c>
      <c r="D7877" t="inlineStr">
        <is>
          <t>11.02.2027</t>
        </is>
      </c>
      <c r="E7877" t="inlineStr">
        <is>
          <t>Malaysia</t>
        </is>
      </c>
    </row>
    <row r="7878">
      <c r="A7878" t="inlineStr">
        <is>
          <t>ADM Oilseeds Germany,  Mainz, Germany</t>
        </is>
      </c>
      <c r="B7878" t="inlineStr">
        <is>
          <t>Point of Origin, Processing Unit, Trader</t>
        </is>
      </c>
      <c r="C7878" t="inlineStr">
        <is>
          <t>ASG Cert GmbH, Munich, DE</t>
        </is>
      </c>
      <c r="D7878" t="inlineStr">
        <is>
          <t>11.02.2027</t>
        </is>
      </c>
      <c r="E7878" t="inlineStr">
        <is>
          <t>Germany</t>
        </is>
      </c>
    </row>
    <row r="7879">
      <c r="A7879" t="inlineStr">
        <is>
          <t>Organik Kimya San. ve Tic. A.S.,  Eyup- Istanbul, Turkey</t>
        </is>
      </c>
      <c r="B7879" t="inlineStr">
        <is>
          <t>Processing Unit</t>
        </is>
      </c>
      <c r="C7879" t="inlineStr">
        <is>
          <t>Bureau Veritas Polska Sp. z o.o., Warsaw, PL</t>
        </is>
      </c>
      <c r="D7879" t="inlineStr">
        <is>
          <t>11.02.2027</t>
        </is>
      </c>
      <c r="E7879" t="inlineStr">
        <is>
          <t>Turkey</t>
        </is>
      </c>
    </row>
    <row r="7880">
      <c r="A7880" t="inlineStr">
        <is>
          <t>Golden Agri-Resources italia,  MILAN, Italy</t>
        </is>
      </c>
      <c r="B7880" t="inlineStr">
        <is>
          <t>Trader with Storage</t>
        </is>
      </c>
      <c r="C7880" t="inlineStr">
        <is>
          <t>DNV Business Assurance Sweden AB, Solna, SE</t>
        </is>
      </c>
      <c r="D7880" t="inlineStr">
        <is>
          <t>11.02.2027</t>
        </is>
      </c>
      <c r="E7880" t="inlineStr">
        <is>
          <t>Italy</t>
        </is>
      </c>
    </row>
    <row r="7881">
      <c r="A7881" t="inlineStr">
        <is>
          <t>Liquid Storage S.L.,  Monzón, Spain</t>
        </is>
      </c>
      <c r="B7881" t="inlineStr">
        <is>
          <t>Collecting Point, Point of Origin, Processing Unit, Trader with Storage</t>
        </is>
      </c>
      <c r="C7881" t="inlineStr">
        <is>
          <t>DNV Business Assurance Sweden AB, Solna, SE</t>
        </is>
      </c>
      <c r="D7881" t="inlineStr">
        <is>
          <t>11.02.2027</t>
        </is>
      </c>
      <c r="E7881" t="inlineStr">
        <is>
          <t>Spain</t>
        </is>
      </c>
    </row>
    <row r="7882">
      <c r="A7882" t="inlineStr">
        <is>
          <t>ADM Oilseeds Germany,  Mainz, Germany</t>
        </is>
      </c>
      <c r="B7882" t="inlineStr">
        <is>
          <t>Processing Unit, Trader</t>
        </is>
      </c>
      <c r="C7882" t="inlineStr">
        <is>
          <t>ASG Cert GmbH, Munich, DE</t>
        </is>
      </c>
      <c r="D7882" t="inlineStr">
        <is>
          <t>11.02.2027</t>
        </is>
      </c>
      <c r="E7882" t="inlineStr">
        <is>
          <t>Germany</t>
        </is>
      </c>
    </row>
    <row r="7883">
      <c r="A7883" t="inlineStr">
        <is>
          <t>Standic BV,  Dordrecht, Netherlands</t>
        </is>
      </c>
      <c r="B7883" t="inlineStr">
        <is>
          <t>Logistics Center</t>
        </is>
      </c>
      <c r="C7883" t="inlineStr">
        <is>
          <t>Control Union Certifications Germany GmbH, Berlin, DE</t>
        </is>
      </c>
      <c r="D7883" t="inlineStr">
        <is>
          <t>11.02.2027</t>
        </is>
      </c>
      <c r="E7883" t="inlineStr">
        <is>
          <t>Netherlands</t>
        </is>
      </c>
    </row>
    <row r="7884">
      <c r="A7884" t="inlineStr">
        <is>
          <t>SIG Austria GmbH,  Saalfelden, Austria</t>
        </is>
      </c>
      <c r="B7884" t="inlineStr">
        <is>
          <t>Processing Unit</t>
        </is>
      </c>
      <c r="C7884" t="inlineStr">
        <is>
          <t>PT Intertek Utama Services, Jakarta, ID</t>
        </is>
      </c>
      <c r="D7884" t="inlineStr">
        <is>
          <t>11.02.2027</t>
        </is>
      </c>
      <c r="E7884" t="inlineStr">
        <is>
          <t>Austria</t>
        </is>
      </c>
    </row>
    <row r="7885">
      <c r="A7885" t="inlineStr">
        <is>
          <t>Styropek Mexico,  Altamira, Mexico</t>
        </is>
      </c>
      <c r="B7885" t="inlineStr">
        <is>
          <t>Processing Unit</t>
        </is>
      </c>
      <c r="C7885" t="inlineStr">
        <is>
          <t>SCS Global Services, Emeryville, CA, US</t>
        </is>
      </c>
      <c r="D7885" t="inlineStr">
        <is>
          <t>11.02.2027</t>
        </is>
      </c>
      <c r="E7885" t="inlineStr">
        <is>
          <t>Mexico</t>
        </is>
      </c>
    </row>
    <row r="7886">
      <c r="A7886" t="inlineStr">
        <is>
          <t>MOR PLASTIC INDUSTRIES SDEROT LTD,  Sderot, Israel</t>
        </is>
      </c>
      <c r="B7886" t="inlineStr">
        <is>
          <t>Collecting Point, Processing Unit</t>
        </is>
      </c>
      <c r="C7886" t="inlineStr">
        <is>
          <t>Control Union Certifications Germany GmbH, Berlin, DE</t>
        </is>
      </c>
      <c r="D7886" t="inlineStr">
        <is>
          <t>11.02.2027</t>
        </is>
      </c>
      <c r="E7886" t="inlineStr">
        <is>
          <t>Israel</t>
        </is>
      </c>
    </row>
    <row r="7887">
      <c r="A7887" t="inlineStr">
        <is>
          <t>Toppan Packaging Americas,  Morristown, United States</t>
        </is>
      </c>
      <c r="B7887" t="inlineStr">
        <is>
          <t>Final Product Refinement</t>
        </is>
      </c>
      <c r="C7887" t="inlineStr">
        <is>
          <t>SCS Global Services, Emeryville, CA, US</t>
        </is>
      </c>
      <c r="D7887" t="inlineStr">
        <is>
          <t>11.02.2027</t>
        </is>
      </c>
      <c r="E7887" t="inlineStr">
        <is>
          <t>United States</t>
        </is>
      </c>
    </row>
    <row r="7888">
      <c r="A7888" t="inlineStr">
        <is>
          <t>VALTERRA MATIERES ORGANIQUES,  Montrouge, France</t>
        </is>
      </c>
      <c r="B7888" t="inlineStr">
        <is>
          <t>Trader</t>
        </is>
      </c>
      <c r="C7888" t="inlineStr">
        <is>
          <t>DQS CFS GmbH - Deutsche Gesellschaft für Nachhaltigkeit, Frankfurt am Main, DE</t>
        </is>
      </c>
      <c r="D7888" t="inlineStr">
        <is>
          <t>11.02.2027</t>
        </is>
      </c>
      <c r="E7888" t="inlineStr">
        <is>
          <t>France</t>
        </is>
      </c>
    </row>
    <row r="7889">
      <c r="A7889" t="inlineStr">
        <is>
          <t>PT Karya Indorata Persada,  Kebun Durian, Gunung Sahilan, Kampar, Riau, Indonesia</t>
        </is>
      </c>
      <c r="B7889" t="inlineStr">
        <is>
          <t>Point of Origin</t>
        </is>
      </c>
      <c r="C7889" t="inlineStr">
        <is>
          <t>SGS Germany GmbH, Emstek, DE</t>
        </is>
      </c>
      <c r="D7889" t="inlineStr">
        <is>
          <t>11.02.2027</t>
        </is>
      </c>
      <c r="E7889" t="inlineStr">
        <is>
          <t>Indonesia</t>
        </is>
      </c>
    </row>
    <row r="7890">
      <c r="A7890" t="inlineStr">
        <is>
          <t>De Pooter Olie B.V.,  Terneuzen, Netherlands</t>
        </is>
      </c>
      <c r="B7890" t="inlineStr">
        <is>
          <t>Trader with Storage</t>
        </is>
      </c>
      <c r="C7890" t="inlineStr">
        <is>
          <t>DEKRA Certification B.V., Arnhem, NL</t>
        </is>
      </c>
      <c r="D7890" t="inlineStr">
        <is>
          <t>11.02.2027</t>
        </is>
      </c>
      <c r="E7890" t="inlineStr">
        <is>
          <t>Netherlands</t>
        </is>
      </c>
    </row>
    <row r="7891">
      <c r="A7891" t="inlineStr">
        <is>
          <t>Diesel Terminal Gent B.V.,  Gent, Belgium</t>
        </is>
      </c>
      <c r="B7891" t="inlineStr">
        <is>
          <t>Trader with Storage</t>
        </is>
      </c>
      <c r="C7891" t="inlineStr">
        <is>
          <t>DEKRA Certification B.V., Arnhem, NL</t>
        </is>
      </c>
      <c r="D7891" t="inlineStr">
        <is>
          <t>11.02.2027</t>
        </is>
      </c>
      <c r="E7891" t="inlineStr">
        <is>
          <t>Belgium</t>
        </is>
      </c>
    </row>
    <row r="7892">
      <c r="A7892" t="inlineStr">
        <is>
          <t>Alco Energy Ghent,  Gent, Belgium</t>
        </is>
      </c>
      <c r="B7892" t="inlineStr">
        <is>
          <t>Processing Unit</t>
        </is>
      </c>
      <c r="C7892" t="inlineStr">
        <is>
          <t>SGS Germany GmbH, Emstek, DE</t>
        </is>
      </c>
      <c r="D7892" t="inlineStr">
        <is>
          <t>11.02.2027</t>
        </is>
      </c>
      <c r="E7892" t="inlineStr">
        <is>
          <t>Belgium</t>
        </is>
      </c>
    </row>
    <row r="7893">
      <c r="A7893" t="inlineStr">
        <is>
          <t>M.A.D. Handelsgesellschaft mbH,  Traun, Austria</t>
        </is>
      </c>
      <c r="B7893" t="inlineStr">
        <is>
          <t>Collecting Point, Trader</t>
        </is>
      </c>
      <c r="C7893" t="inlineStr">
        <is>
          <t>TÜV SÜD Industrie Service GmbH, München, DE</t>
        </is>
      </c>
      <c r="D7893" t="inlineStr">
        <is>
          <t>11.02.2027</t>
        </is>
      </c>
      <c r="E7893" t="inlineStr">
        <is>
          <t>Austria</t>
        </is>
      </c>
    </row>
    <row r="7894">
      <c r="A7894" t="inlineStr">
        <is>
          <t>Mitsubishi Shoji Chemical Corporation,  Chuo-Ku, Tokyo, Japan</t>
        </is>
      </c>
      <c r="B7894" t="inlineStr">
        <is>
          <t>Trader with Storage</t>
        </is>
      </c>
      <c r="C7894" t="inlineStr">
        <is>
          <t>SGS Germany GmbH, Emstek, DE</t>
        </is>
      </c>
      <c r="D7894" t="inlineStr">
        <is>
          <t>11.02.2027</t>
        </is>
      </c>
      <c r="E7894" t="inlineStr">
        <is>
          <t>Japan</t>
        </is>
      </c>
    </row>
    <row r="7895">
      <c r="A7895" t="inlineStr">
        <is>
          <t>Dow Europe GmbH,  Erstein, France</t>
        </is>
      </c>
      <c r="B7895" t="inlineStr">
        <is>
          <t>Processing Unit, Trader with Storage</t>
        </is>
      </c>
      <c r="C7895" t="inlineStr">
        <is>
          <t>SGS Germany GmbH, Emstek, DE</t>
        </is>
      </c>
      <c r="D7895" t="inlineStr">
        <is>
          <t>11.02.2027</t>
        </is>
      </c>
      <c r="E7895" t="inlineStr">
        <is>
          <t>France</t>
        </is>
      </c>
    </row>
    <row r="7896">
      <c r="A7896" t="inlineStr">
        <is>
          <t>KDT Global Resources, LLC,  The Woodlands, United States</t>
        </is>
      </c>
      <c r="B7896" t="inlineStr">
        <is>
          <t>Trader</t>
        </is>
      </c>
      <c r="C7896" t="inlineStr">
        <is>
          <t>Certificadora Gallega del Noroeste SL, Vilagarcia de Arousa-Pontevedra, ES</t>
        </is>
      </c>
      <c r="D7896" t="inlineStr">
        <is>
          <t>11.02.2027</t>
        </is>
      </c>
      <c r="E7896" t="inlineStr">
        <is>
          <t>United States</t>
        </is>
      </c>
    </row>
    <row r="7897">
      <c r="A7897" t="inlineStr">
        <is>
          <t>KDT Global Resources, LLC,  The Woodlands, United States</t>
        </is>
      </c>
      <c r="B7897" t="inlineStr">
        <is>
          <t>Trader</t>
        </is>
      </c>
      <c r="C7897" t="inlineStr">
        <is>
          <t>Certificadora Gallega del Noroeste SL, Vilagarcia de Arousa-Pontevedra, ES</t>
        </is>
      </c>
      <c r="D7897" t="inlineStr">
        <is>
          <t>11.02.2027</t>
        </is>
      </c>
      <c r="E7897" t="inlineStr">
        <is>
          <t>United States</t>
        </is>
      </c>
    </row>
    <row r="7898">
      <c r="A7898" t="inlineStr">
        <is>
          <t>Dongguan Concept Eyewear Manufacturer Ltd,  Dong Guan City, China</t>
        </is>
      </c>
      <c r="B7898" t="inlineStr">
        <is>
          <t>Processing Unit</t>
        </is>
      </c>
      <c r="C7898" t="inlineStr">
        <is>
          <t>PT Intertek Utama Services, Jakarta, ID</t>
        </is>
      </c>
      <c r="D7898" t="inlineStr">
        <is>
          <t>11.02.2027</t>
        </is>
      </c>
      <c r="E7898" t="inlineStr">
        <is>
          <t>China</t>
        </is>
      </c>
    </row>
    <row r="7899">
      <c r="A7899" t="inlineStr">
        <is>
          <t>Agrivia Oil EOOD,  Sofia, Bulgaria</t>
        </is>
      </c>
      <c r="B7899" t="inlineStr">
        <is>
          <t>Trader</t>
        </is>
      </c>
      <c r="C7899" t="inlineStr">
        <is>
          <t>Bureau Veritas Polska Sp. z o.o., Warsaw, PL</t>
        </is>
      </c>
      <c r="D7899" t="inlineStr">
        <is>
          <t>11.02.2027</t>
        </is>
      </c>
      <c r="E7899" t="inlineStr">
        <is>
          <t>Bulgaria</t>
        </is>
      </c>
    </row>
    <row r="7900">
      <c r="A7900" t="inlineStr">
        <is>
          <t>Kobkiat Global Renewable Co. LIMITED,  Nanot Muang Pattalung, Pattalung, Thailand</t>
        </is>
      </c>
      <c r="B7900" t="inlineStr">
        <is>
          <t>Trader</t>
        </is>
      </c>
      <c r="C7900" t="inlineStr">
        <is>
          <t>Control Union Poland Sp. z o.o., Zielona Gora, PL</t>
        </is>
      </c>
      <c r="D7900" t="inlineStr">
        <is>
          <t>11.02.2027</t>
        </is>
      </c>
      <c r="E7900" t="inlineStr">
        <is>
          <t>Thailand</t>
        </is>
      </c>
    </row>
    <row r="7901">
      <c r="A7901" t="inlineStr">
        <is>
          <t>HIGHPEAK INTERNATIONAL CORPORATION,  SHANGHAI CITY, China</t>
        </is>
      </c>
      <c r="B7901" t="inlineStr">
        <is>
          <t>Trader with Storage</t>
        </is>
      </c>
      <c r="C7901" t="inlineStr">
        <is>
          <t>PT Intertek Utama Services, Jakarta, ID</t>
        </is>
      </c>
      <c r="D7901" t="inlineStr">
        <is>
          <t>11.02.2027</t>
        </is>
      </c>
      <c r="E7901" t="inlineStr">
        <is>
          <t>China</t>
        </is>
      </c>
    </row>
    <row r="7902">
      <c r="A7902" t="inlineStr">
        <is>
          <t>AGRO Teplice, a.s.,  Teplice, Czech Republic</t>
        </is>
      </c>
      <c r="B7902" t="inlineStr">
        <is>
          <t>First Gathering Point, Trader with Storage, Logistics Center</t>
        </is>
      </c>
      <c r="C7902" t="inlineStr">
        <is>
          <t>TÜV SÜD Czech s.r.o., Praha 4, CZ</t>
        </is>
      </c>
      <c r="D7902" t="inlineStr">
        <is>
          <t>11.02.2027</t>
        </is>
      </c>
      <c r="E7902" t="inlineStr">
        <is>
          <t>Czech Republic</t>
        </is>
      </c>
    </row>
    <row r="7903">
      <c r="A7903" t="inlineStr">
        <is>
          <t>YOUR OIL MAN PTY LTD,  Dandenong, Melbourne, Australia</t>
        </is>
      </c>
      <c r="B7903" t="inlineStr">
        <is>
          <t>Collecting Point</t>
        </is>
      </c>
      <c r="C7903" t="inlineStr">
        <is>
          <t>BM Certification, Riga, LV</t>
        </is>
      </c>
      <c r="D7903" t="inlineStr">
        <is>
          <t>11.02.2027</t>
        </is>
      </c>
      <c r="E7903" t="inlineStr">
        <is>
          <t>Australia</t>
        </is>
      </c>
    </row>
    <row r="7904">
      <c r="A7904" t="inlineStr">
        <is>
          <t>Dongguan Xiangmei Plastic Technology Co., Ltd,  Dongguan City, China</t>
        </is>
      </c>
      <c r="B7904" t="inlineStr">
        <is>
          <t>Collecting Point, Processing Unit</t>
        </is>
      </c>
      <c r="C7904" t="inlineStr">
        <is>
          <t>PT Intertek Utama Services, Jakarta, ID</t>
        </is>
      </c>
      <c r="D7904" t="inlineStr">
        <is>
          <t>11.02.2027</t>
        </is>
      </c>
      <c r="E7904" t="inlineStr">
        <is>
          <t>China</t>
        </is>
      </c>
    </row>
    <row r="7905">
      <c r="A7905" t="inlineStr">
        <is>
          <t>GL Top Resources Sdn. Bhd.,  Ulu Tiram, Johor, Malaysia</t>
        </is>
      </c>
      <c r="B7905" t="inlineStr">
        <is>
          <t>Collecting Point, Trader with Storage</t>
        </is>
      </c>
      <c r="C7905" t="inlineStr">
        <is>
          <t>TÜV NORD CERT GmbH, Essen, DE</t>
        </is>
      </c>
      <c r="D7905" t="inlineStr">
        <is>
          <t>11.02.2027</t>
        </is>
      </c>
      <c r="E7905" t="inlineStr">
        <is>
          <t>Malaysia</t>
        </is>
      </c>
    </row>
    <row r="7906">
      <c r="A7906" t="inlineStr">
        <is>
          <t>QuickPack Vietnam Co., Ltd.,  Long Cang Commune, Tay Ninh Province, Vietnam</t>
        </is>
      </c>
      <c r="B7906" t="inlineStr">
        <is>
          <t>Processing Unit</t>
        </is>
      </c>
      <c r="C7906" t="inlineStr">
        <is>
          <t>SGS Germany GmbH, Emstek, DE</t>
        </is>
      </c>
      <c r="D7906" t="inlineStr">
        <is>
          <t>11.02.2027</t>
        </is>
      </c>
      <c r="E7906" t="inlineStr">
        <is>
          <t>Vietnam</t>
        </is>
      </c>
    </row>
    <row r="7907">
      <c r="A7907" t="inlineStr">
        <is>
          <t>SC Alcedo SRL,  Bucharest, Romania</t>
        </is>
      </c>
      <c r="B7907" t="inlineStr">
        <is>
          <t>First Gathering Point, Trader with Storage</t>
        </is>
      </c>
      <c r="C7907" t="inlineStr">
        <is>
          <t>SGS Germany GmbH, Emstek, DE</t>
        </is>
      </c>
      <c r="D7907" t="inlineStr">
        <is>
          <t>11.02.2027</t>
        </is>
      </c>
      <c r="E7907" t="inlineStr">
        <is>
          <t>Romania</t>
        </is>
      </c>
    </row>
    <row r="7908">
      <c r="A7908" t="inlineStr">
        <is>
          <t>STEPAN EUROPE,  Voreppe, France</t>
        </is>
      </c>
      <c r="B7908" t="inlineStr">
        <is>
          <t>Processing Unit, Trader with Storage</t>
        </is>
      </c>
      <c r="C7908" t="inlineStr">
        <is>
          <t>Control Union Certifications Germany GmbH, Berlin, DE</t>
        </is>
      </c>
      <c r="D7908" t="inlineStr">
        <is>
          <t>11.02.2027</t>
        </is>
      </c>
      <c r="E7908" t="inlineStr">
        <is>
          <t>France</t>
        </is>
      </c>
    </row>
    <row r="7909">
      <c r="A7909" t="inlineStr">
        <is>
          <t>GOLDEN GAKUN INDUSTRIAL CO., LTD.,  Xinyi Dist., Taipei, Taiwan</t>
        </is>
      </c>
      <c r="B7909" t="inlineStr">
        <is>
          <t>Trader</t>
        </is>
      </c>
      <c r="C7909" t="inlineStr">
        <is>
          <t>Bureau Veritas Polska Sp. z o.o., Warsaw, PL</t>
        </is>
      </c>
      <c r="D7909" t="inlineStr">
        <is>
          <t>11.02.2027</t>
        </is>
      </c>
      <c r="E7909" t="inlineStr">
        <is>
          <t>Taiwan</t>
        </is>
      </c>
    </row>
    <row r="7910">
      <c r="A7910" t="inlineStr">
        <is>
          <t>Göteborg Energi AB,  Göteborg, Sweden</t>
        </is>
      </c>
      <c r="B7910" t="inlineStr">
        <is>
          <t>Processing Unit</t>
        </is>
      </c>
      <c r="C7910" t="inlineStr">
        <is>
          <t>Bureau Veritas Polska Sp. z o.o., Warsaw, PL</t>
        </is>
      </c>
      <c r="D7910" t="inlineStr">
        <is>
          <t>11.02.2027</t>
        </is>
      </c>
      <c r="E7910" t="inlineStr">
        <is>
          <t>Sweden</t>
        </is>
      </c>
    </row>
    <row r="7911">
      <c r="A7911" t="inlineStr">
        <is>
          <t>TORAY INDUSTRIES, INC. Films Division,  Kagamiishi-machi, Iwase-gun, Fukushima, Japan</t>
        </is>
      </c>
      <c r="B7911" t="inlineStr">
        <is>
          <t>Processing Unit</t>
        </is>
      </c>
      <c r="C7911" t="inlineStr">
        <is>
          <t>SGS Germany GmbH, Emstek, DE</t>
        </is>
      </c>
      <c r="D7911" t="inlineStr">
        <is>
          <t>11.02.2027</t>
        </is>
      </c>
      <c r="E7911" t="inlineStr">
        <is>
          <t>Japan</t>
        </is>
      </c>
    </row>
    <row r="7912">
      <c r="A7912" t="inlineStr">
        <is>
          <t>BULL WORKING,  SEVILLA, Spain</t>
        </is>
      </c>
      <c r="B7912" t="inlineStr">
        <is>
          <t>Trader</t>
        </is>
      </c>
      <c r="C7912" t="inlineStr">
        <is>
          <t>RINA Services S.p.A., Genova, IT</t>
        </is>
      </c>
      <c r="D7912" t="inlineStr">
        <is>
          <t>11.02.2027</t>
        </is>
      </c>
      <c r="E7912" t="inlineStr">
        <is>
          <t>Spain</t>
        </is>
      </c>
    </row>
    <row r="7913">
      <c r="A7913" t="inlineStr">
        <is>
          <t>UNICHEM SK, spol.s r. o.,  Banska Bystrica, Slovakia</t>
        </is>
      </c>
      <c r="B7913" t="inlineStr">
        <is>
          <t>First Gathering Point, Trader</t>
        </is>
      </c>
      <c r="C7913" t="inlineStr">
        <is>
          <t>United Registrar of Systems Polska Sp. z o.o., Wrocław, PL</t>
        </is>
      </c>
      <c r="D7913" t="inlineStr">
        <is>
          <t>10.02.2027</t>
        </is>
      </c>
      <c r="E7913" t="inlineStr">
        <is>
          <t>Slovakia</t>
        </is>
      </c>
    </row>
    <row r="7914">
      <c r="A7914" t="inlineStr">
        <is>
          <t>CSET ASIA PTE LTD.,  Geneva, Switzerland</t>
        </is>
      </c>
      <c r="B7914" t="inlineStr">
        <is>
          <t>Trader with Storage</t>
        </is>
      </c>
      <c r="C7914" t="inlineStr">
        <is>
          <t>SGS Germany GmbH, Emstek, DE</t>
        </is>
      </c>
      <c r="D7914" t="inlineStr">
        <is>
          <t>10.02.2027</t>
        </is>
      </c>
      <c r="E7914" t="inlineStr">
        <is>
          <t>Switzerland</t>
        </is>
      </c>
    </row>
    <row r="7915">
      <c r="A7915" t="inlineStr">
        <is>
          <t>Apeiron Agrocommodities Pte. Ltd,  Singapore, Singapore</t>
        </is>
      </c>
      <c r="B7915" t="inlineStr">
        <is>
          <t>Trader</t>
        </is>
      </c>
      <c r="C7915" t="inlineStr">
        <is>
          <t>SCS Global Services, Emeryville, CA, US</t>
        </is>
      </c>
      <c r="D7915" t="inlineStr">
        <is>
          <t>10.02.2027</t>
        </is>
      </c>
      <c r="E7915" t="inlineStr">
        <is>
          <t>Singapore</t>
        </is>
      </c>
    </row>
    <row r="7916">
      <c r="A7916" t="inlineStr">
        <is>
          <t>Bau Palm Oil Mill,  BAU, SARAWAK, Malaysia</t>
        </is>
      </c>
      <c r="B7916" t="inlineStr">
        <is>
          <t>Point of Origin</t>
        </is>
      </c>
      <c r="C7916" t="inlineStr">
        <is>
          <t>TÜV NORD CERT GmbH, Essen, DE</t>
        </is>
      </c>
      <c r="D7916" t="inlineStr">
        <is>
          <t>10.02.2027</t>
        </is>
      </c>
      <c r="E7916" t="inlineStr">
        <is>
          <t>Malaysia</t>
        </is>
      </c>
    </row>
    <row r="7917">
      <c r="A7917" t="inlineStr">
        <is>
          <t>Amerplast,  Grodzisk Mazowiecki, Poland</t>
        </is>
      </c>
      <c r="B7917" t="inlineStr">
        <is>
          <t>Processing Unit</t>
        </is>
      </c>
      <c r="C7917" t="inlineStr">
        <is>
          <t>DNV Business Assurance Sweden AB, Solna, SE</t>
        </is>
      </c>
      <c r="D7917" t="inlineStr">
        <is>
          <t>10.02.2027</t>
        </is>
      </c>
      <c r="E7917" t="inlineStr">
        <is>
          <t>Poland</t>
        </is>
      </c>
    </row>
    <row r="7918">
      <c r="A7918" t="inlineStr">
        <is>
          <t>Recogida de Aceites Vegetales del Sur,  Montellano (Sevilla), Spain</t>
        </is>
      </c>
      <c r="B7918" t="inlineStr">
        <is>
          <t>Collecting Point</t>
        </is>
      </c>
      <c r="C7918" t="inlineStr">
        <is>
          <t>Control Union Poland Sp. z o.o., Zielona Gora, PL</t>
        </is>
      </c>
      <c r="D7918" t="inlineStr">
        <is>
          <t>10.02.2027</t>
        </is>
      </c>
      <c r="E7918" t="inlineStr">
        <is>
          <t>Spain</t>
        </is>
      </c>
    </row>
    <row r="7919">
      <c r="A7919" t="inlineStr">
        <is>
          <t>Hebei Haobang Biotechnology Co., Ltd,  Xingtai City, Hebei Province, China</t>
        </is>
      </c>
      <c r="B7919" t="inlineStr">
        <is>
          <t>Collecting Point, Trader, Warehouse</t>
        </is>
      </c>
      <c r="C7919" t="inlineStr">
        <is>
          <t>SCS Global Services, Emeryville, CA, US</t>
        </is>
      </c>
      <c r="D7919" t="inlineStr">
        <is>
          <t>10.02.2027</t>
        </is>
      </c>
      <c r="E7919" t="inlineStr">
        <is>
          <t>China</t>
        </is>
      </c>
    </row>
    <row r="7920">
      <c r="A7920" t="inlineStr">
        <is>
          <t>Goodyear Amiens,  Amiens, France</t>
        </is>
      </c>
      <c r="B7920" t="inlineStr">
        <is>
          <t>Processing Unit</t>
        </is>
      </c>
      <c r="C7920" t="inlineStr">
        <is>
          <t>DQS CFS GmbH - Deutsche Gesellschaft für Nachhaltigkeit, Frankfurt am Main, DE</t>
        </is>
      </c>
      <c r="D7920" t="inlineStr">
        <is>
          <t>10.02.2027</t>
        </is>
      </c>
      <c r="E7920" t="inlineStr">
        <is>
          <t>France</t>
        </is>
      </c>
    </row>
    <row r="7921">
      <c r="A7921" t="inlineStr">
        <is>
          <t>Menshen d.o.o.,  Simanovci, Serbia</t>
        </is>
      </c>
      <c r="B7921" t="inlineStr">
        <is>
          <t>Processing Unit</t>
        </is>
      </c>
      <c r="C7921" t="inlineStr">
        <is>
          <t>DQS CFS GmbH - Deutsche Gesellschaft für Nachhaltigkeit, Frankfurt am Main, DE</t>
        </is>
      </c>
      <c r="D7921" t="inlineStr">
        <is>
          <t>10.02.2027</t>
        </is>
      </c>
      <c r="E7921" t="inlineStr">
        <is>
          <t>Serbia</t>
        </is>
      </c>
    </row>
    <row r="7922">
      <c r="A7922" t="inlineStr">
        <is>
          <t>Markant Energy Sverige AB,  268 74 Billeberga, Sweden</t>
        </is>
      </c>
      <c r="B7922" t="inlineStr">
        <is>
          <t>Trader</t>
        </is>
      </c>
      <c r="C7922" t="inlineStr">
        <is>
          <t>DEKRA Certification GmbH, Stuttgart, DE</t>
        </is>
      </c>
      <c r="D7922" t="inlineStr">
        <is>
          <t>10.02.2027</t>
        </is>
      </c>
      <c r="E7922" t="inlineStr">
        <is>
          <t>Sweden</t>
        </is>
      </c>
    </row>
    <row r="7923">
      <c r="A7923" t="inlineStr">
        <is>
          <t>Markant Energy Sverige AB,  268 74 Billeberga, Sweden</t>
        </is>
      </c>
      <c r="B7923" t="inlineStr">
        <is>
          <t>Trader</t>
        </is>
      </c>
      <c r="C7923" t="inlineStr">
        <is>
          <t>DEKRA Certification GmbH, Stuttgart, DE</t>
        </is>
      </c>
      <c r="D7923" t="inlineStr">
        <is>
          <t>10.02.2027</t>
        </is>
      </c>
      <c r="E7923" t="inlineStr">
        <is>
          <t>Sweden</t>
        </is>
      </c>
    </row>
    <row r="7924">
      <c r="A7924" t="inlineStr">
        <is>
          <t>Seoheung Co.,Ltd,  Busan, South Korea</t>
        </is>
      </c>
      <c r="B7924" t="inlineStr">
        <is>
          <t>Trader with Storage</t>
        </is>
      </c>
      <c r="C7924" t="inlineStr">
        <is>
          <t>Control Union Certifications Germany GmbH, Berlin, DE</t>
        </is>
      </c>
      <c r="D7924" t="inlineStr">
        <is>
          <t>10.02.2027</t>
        </is>
      </c>
      <c r="E7924" t="inlineStr">
        <is>
          <t>South Korea</t>
        </is>
      </c>
    </row>
    <row r="7925">
      <c r="A7925" t="inlineStr">
        <is>
          <t>Dialog Terminals Langsat (3) Sdn Bhd,  Pasir Gudang, Malaysia</t>
        </is>
      </c>
      <c r="B7925" t="inlineStr">
        <is>
          <t>Warehouse</t>
        </is>
      </c>
      <c r="C7925" t="inlineStr">
        <is>
          <t>NIOSH Certification Sdn. Bhd., Selangor Darul Ehsan, MY</t>
        </is>
      </c>
      <c r="D7925" t="inlineStr">
        <is>
          <t>10.02.2027</t>
        </is>
      </c>
      <c r="E7925" t="inlineStr">
        <is>
          <t>Malaysia</t>
        </is>
      </c>
    </row>
    <row r="7926">
      <c r="A7926" t="inlineStr">
        <is>
          <t>Dialog Terminals Langsat (3) Sdn Bhd,  Pasir Gudang, Malaysia</t>
        </is>
      </c>
      <c r="B7926" t="inlineStr">
        <is>
          <t>Warehouse</t>
        </is>
      </c>
      <c r="C7926" t="inlineStr">
        <is>
          <t>NIOSH Certification Sdn. Bhd., Selangor Darul Ehsan, MY</t>
        </is>
      </c>
      <c r="D7926" t="inlineStr">
        <is>
          <t>10.02.2027</t>
        </is>
      </c>
      <c r="E7926" t="inlineStr">
        <is>
          <t>Malaysia</t>
        </is>
      </c>
    </row>
    <row r="7927">
      <c r="A7927" t="inlineStr">
        <is>
          <t>Dialog Terminals Langsat (1) Sdn Bhd,  Pasir Gudang, Malaysia</t>
        </is>
      </c>
      <c r="B7927" t="inlineStr">
        <is>
          <t>Warehouse</t>
        </is>
      </c>
      <c r="C7927" t="inlineStr">
        <is>
          <t>NIOSH Certification Sdn. Bhd., Selangor Darul Ehsan, MY</t>
        </is>
      </c>
      <c r="D7927" t="inlineStr">
        <is>
          <t>10.02.2027</t>
        </is>
      </c>
      <c r="E7927" t="inlineStr">
        <is>
          <t>Malaysia</t>
        </is>
      </c>
    </row>
    <row r="7928">
      <c r="A7928" t="inlineStr">
        <is>
          <t>Dialog Terminals Langsat (1) Sdn Bhd,  Pasir Gudang, Malaysia</t>
        </is>
      </c>
      <c r="B7928" t="inlineStr">
        <is>
          <t>Warehouse</t>
        </is>
      </c>
      <c r="C7928" t="inlineStr">
        <is>
          <t>NIOSH Certification Sdn. Bhd., Selangor Darul Ehsan, MY</t>
        </is>
      </c>
      <c r="D7928" t="inlineStr">
        <is>
          <t>10.02.2027</t>
        </is>
      </c>
      <c r="E7928" t="inlineStr">
        <is>
          <t>Malaysia</t>
        </is>
      </c>
    </row>
    <row r="7929">
      <c r="A7929" t="inlineStr">
        <is>
          <t>Posco International Corporation,  Incheon, South Korea</t>
        </is>
      </c>
      <c r="B7929" t="inlineStr">
        <is>
          <t>Trader</t>
        </is>
      </c>
      <c r="C7929" t="inlineStr">
        <is>
          <t>Control Union Certifications Germany GmbH, Berlin, DE</t>
        </is>
      </c>
      <c r="D7929" t="inlineStr">
        <is>
          <t>10.02.2027</t>
        </is>
      </c>
      <c r="E7929" t="inlineStr">
        <is>
          <t>South Korea</t>
        </is>
      </c>
    </row>
    <row r="7930">
      <c r="A7930" t="inlineStr">
        <is>
          <t>TotalEnergies Aviation Suisse,  Geneva, Switzerland</t>
        </is>
      </c>
      <c r="B7930" t="inlineStr">
        <is>
          <t>Proof of Compliance Trader, Trader with Storage</t>
        </is>
      </c>
      <c r="C7930" t="inlineStr">
        <is>
          <t>SGS Germany GmbH, Emstek, DE</t>
        </is>
      </c>
      <c r="D7930" t="inlineStr">
        <is>
          <t>10.02.2027</t>
        </is>
      </c>
      <c r="E7930" t="inlineStr">
        <is>
          <t>Switzerland</t>
        </is>
      </c>
    </row>
    <row r="7931">
      <c r="A7931" t="inlineStr">
        <is>
          <t>Renolit Nederland B.V.,  Enkhuizen, Netherlands</t>
        </is>
      </c>
      <c r="B7931" t="inlineStr">
        <is>
          <t>Point of Origin, Trader with Storage, Processing Unit</t>
        </is>
      </c>
      <c r="C7931" t="inlineStr">
        <is>
          <t>DEKRA Certification B.V., Arnhem, NL</t>
        </is>
      </c>
      <c r="D7931" t="inlineStr">
        <is>
          <t>10.02.2027</t>
        </is>
      </c>
      <c r="E7931" t="inlineStr">
        <is>
          <t>Netherlands</t>
        </is>
      </c>
    </row>
    <row r="7932">
      <c r="A7932" t="inlineStr">
        <is>
          <t>Tristar Commodity Pte Ltd,  Paya Lebar Square, Singapore</t>
        </is>
      </c>
      <c r="B7932" t="inlineStr">
        <is>
          <t>Trader</t>
        </is>
      </c>
      <c r="C7932" t="inlineStr">
        <is>
          <t>SGS Germany GmbH, Emstek, DE</t>
        </is>
      </c>
      <c r="D7932" t="inlineStr">
        <is>
          <t>10.02.2027</t>
        </is>
      </c>
      <c r="E7932" t="inlineStr">
        <is>
          <t>Singapore</t>
        </is>
      </c>
    </row>
    <row r="7933">
      <c r="A7933" t="inlineStr">
        <is>
          <t>Dongguan Xinlijie New Materials Co., Ltd,  Dongguan City, China</t>
        </is>
      </c>
      <c r="B7933" t="inlineStr">
        <is>
          <t>Processing Unit</t>
        </is>
      </c>
      <c r="C7933" t="inlineStr">
        <is>
          <t>Extensive Standard Technical Services Co., Ltd., Hong Kong, CN</t>
        </is>
      </c>
      <c r="D7933" t="inlineStr">
        <is>
          <t>10.02.2027</t>
        </is>
      </c>
      <c r="E7933" t="inlineStr">
        <is>
          <t>China</t>
        </is>
      </c>
    </row>
    <row r="7934">
      <c r="A7934" t="inlineStr">
        <is>
          <t>Bia Energy Kildare,  Nurney, Co. Kildare, Ireland</t>
        </is>
      </c>
      <c r="B7934" t="inlineStr">
        <is>
          <t>Collecting Point, Processing Unit, Warehouse</t>
        </is>
      </c>
      <c r="C7934" t="inlineStr">
        <is>
          <t>Aardvark Certification Ltd, Wiveliscombe, Somerset, GB</t>
        </is>
      </c>
      <c r="D7934" t="inlineStr">
        <is>
          <t>10.02.2027</t>
        </is>
      </c>
      <c r="E7934" t="inlineStr">
        <is>
          <t>Ireland</t>
        </is>
      </c>
    </row>
    <row r="7935">
      <c r="A7935" t="inlineStr">
        <is>
          <t>KEMILAU PERMATA SAWIT,  Kab. Sijunjung, Provinsi Sumatera Barat, Indonesia, Indonesia</t>
        </is>
      </c>
      <c r="B7935" t="inlineStr">
        <is>
          <t>Point of Origin</t>
        </is>
      </c>
      <c r="C7935" t="inlineStr">
        <is>
          <t>PT. Qualitas Sertifikasi Indonesia, Jakarta, ID</t>
        </is>
      </c>
      <c r="D7935" t="inlineStr">
        <is>
          <t>10.02.2027</t>
        </is>
      </c>
      <c r="E7935" t="inlineStr">
        <is>
          <t>Indonesia</t>
        </is>
      </c>
    </row>
    <row r="7936">
      <c r="A7936" t="inlineStr">
        <is>
          <t>Hong Lam Fuels Pte. Ltd.,  Singapore, Singapore</t>
        </is>
      </c>
      <c r="B7936" t="inlineStr">
        <is>
          <t>Trader</t>
        </is>
      </c>
      <c r="C7936" t="inlineStr">
        <is>
          <t>CTI Certification Co. Ltd, Shenzhen, CN</t>
        </is>
      </c>
      <c r="D7936" t="inlineStr">
        <is>
          <t>10.02.2027</t>
        </is>
      </c>
      <c r="E7936" t="inlineStr">
        <is>
          <t>Singapore</t>
        </is>
      </c>
    </row>
    <row r="7937">
      <c r="A7937" t="inlineStr">
        <is>
          <t>Dongguan Haohe Energy Technology Co., Ltd,  Dongguan City, Guangdong Province, China</t>
        </is>
      </c>
      <c r="B7937" t="inlineStr">
        <is>
          <t>Trader with Storage</t>
        </is>
      </c>
      <c r="C7937" t="inlineStr">
        <is>
          <t>SCS Global Services, Emeryville, CA, US</t>
        </is>
      </c>
      <c r="D7937" t="inlineStr">
        <is>
          <t>10.02.2027</t>
        </is>
      </c>
      <c r="E7937" t="inlineStr">
        <is>
          <t>China</t>
        </is>
      </c>
    </row>
    <row r="7938">
      <c r="A7938" t="inlineStr">
        <is>
          <t>Conod Medical Co., Ltd.,  Changshu, Suzhou, Jiangsu, China</t>
        </is>
      </c>
      <c r="B7938" t="inlineStr">
        <is>
          <t>Final Product Refinement</t>
        </is>
      </c>
      <c r="C7938" t="inlineStr">
        <is>
          <t>CTI Certification Co. Ltd, Shenzhen, CN</t>
        </is>
      </c>
      <c r="D7938" t="inlineStr">
        <is>
          <t>10.02.2027</t>
        </is>
      </c>
      <c r="E7938" t="inlineStr">
        <is>
          <t>China</t>
        </is>
      </c>
    </row>
    <row r="7939">
      <c r="A7939" t="inlineStr">
        <is>
          <t>VDL Wientjes Emmen B.V.,  Emmen, Netherlands</t>
        </is>
      </c>
      <c r="B7939" t="inlineStr">
        <is>
          <t>Processing Unit</t>
        </is>
      </c>
      <c r="C7939" t="inlineStr">
        <is>
          <t>DEKRA Certification B.V., Arnhem, NL</t>
        </is>
      </c>
      <c r="D7939" t="inlineStr">
        <is>
          <t>10.02.2027</t>
        </is>
      </c>
      <c r="E7939" t="inlineStr">
        <is>
          <t>Netherlands</t>
        </is>
      </c>
    </row>
    <row r="7940">
      <c r="A7940" t="inlineStr">
        <is>
          <t>GUANGXI JINYUAN BIOCHEMICAL INDUSTRIAL CO., LTD,  Guiping City, Guangxi Zhuang Autonomous Region, China</t>
        </is>
      </c>
      <c r="B7940" t="inlineStr">
        <is>
          <t>Processing Unit</t>
        </is>
      </c>
      <c r="C7940" t="inlineStr">
        <is>
          <t>CTI Certification Co. Ltd, Shenzhen, CN</t>
        </is>
      </c>
      <c r="D7940" t="inlineStr">
        <is>
          <t>10.02.2027</t>
        </is>
      </c>
      <c r="E7940" t="inlineStr">
        <is>
          <t>China</t>
        </is>
      </c>
    </row>
    <row r="7941">
      <c r="A7941" t="inlineStr">
        <is>
          <t>Zhenjiang Herun Grease Technology Co., Ltd,  Jurong City, Jiangsu Province, China</t>
        </is>
      </c>
      <c r="B7941" t="inlineStr">
        <is>
          <t>Trader, Collecting Point</t>
        </is>
      </c>
      <c r="C7941" t="inlineStr">
        <is>
          <t>CTI Certification Co. Ltd, Shenzhen, CN</t>
        </is>
      </c>
      <c r="D7941" t="inlineStr">
        <is>
          <t>10.02.2027</t>
        </is>
      </c>
      <c r="E7941" t="inlineStr">
        <is>
          <t>China</t>
        </is>
      </c>
    </row>
    <row r="7942">
      <c r="A7942" t="inlineStr">
        <is>
          <t>CARBOCLOR,  Campana, Argentina</t>
        </is>
      </c>
      <c r="B7942" t="inlineStr">
        <is>
          <t>Warehouse</t>
        </is>
      </c>
      <c r="C7942" t="inlineStr">
        <is>
          <t>Certificadora Gallega del Noroeste SL, Vilagarcia de Arousa-Pontevedra, ES</t>
        </is>
      </c>
      <c r="D7942" t="inlineStr">
        <is>
          <t>10.02.2027</t>
        </is>
      </c>
      <c r="E7942" t="inlineStr">
        <is>
          <t>Argentina</t>
        </is>
      </c>
    </row>
    <row r="7943">
      <c r="A7943" t="inlineStr">
        <is>
          <t>Kim Loong Technologies Sdn Bhd,  Kota Tinggi, Malaysia</t>
        </is>
      </c>
      <c r="B7943" t="inlineStr">
        <is>
          <t>Point of Origin</t>
        </is>
      </c>
      <c r="C7943" t="inlineStr">
        <is>
          <t>TÜV NORD CERT GmbH, Essen, DE</t>
        </is>
      </c>
      <c r="D7943" t="inlineStr">
        <is>
          <t>10.02.2027</t>
        </is>
      </c>
      <c r="E7943" t="inlineStr">
        <is>
          <t>Malaysia</t>
        </is>
      </c>
    </row>
    <row r="7944">
      <c r="A7944" t="inlineStr">
        <is>
          <t>BASF Engineering Plastics (Shanghai) Co. Ltd,  Shanghai, China</t>
        </is>
      </c>
      <c r="B7944" t="inlineStr">
        <is>
          <t>Processing Unit</t>
        </is>
      </c>
      <c r="C7944" t="inlineStr">
        <is>
          <t>TÜV NORD CERT GmbH, Essen, DE</t>
        </is>
      </c>
      <c r="D7944" t="inlineStr">
        <is>
          <t>10.02.2027</t>
        </is>
      </c>
      <c r="E7944" t="inlineStr">
        <is>
          <t>China</t>
        </is>
      </c>
    </row>
    <row r="7945">
      <c r="A7945" t="inlineStr">
        <is>
          <t>BAI SEN TRADING LIMITED,  Handan City, Hebei Province, China</t>
        </is>
      </c>
      <c r="B7945" t="inlineStr">
        <is>
          <t>Processing Unit</t>
        </is>
      </c>
      <c r="C7945" t="inlineStr">
        <is>
          <t>NSF International, Ann Arbor, MI, US</t>
        </is>
      </c>
      <c r="D7945" t="inlineStr">
        <is>
          <t>10.02.2027</t>
        </is>
      </c>
      <c r="E7945" t="inlineStr">
        <is>
          <t>China</t>
        </is>
      </c>
    </row>
    <row r="7946">
      <c r="A7946" t="inlineStr">
        <is>
          <t>Westmount Partners Co. ltd,  Shanghai, China</t>
        </is>
      </c>
      <c r="B7946" t="inlineStr">
        <is>
          <t>Trader</t>
        </is>
      </c>
      <c r="C7946" t="inlineStr">
        <is>
          <t>RINA Services S.p.A., Genova, IT</t>
        </is>
      </c>
      <c r="D7946" t="inlineStr">
        <is>
          <t>10.02.2027</t>
        </is>
      </c>
      <c r="E7946" t="inlineStr">
        <is>
          <t>China</t>
        </is>
      </c>
    </row>
    <row r="7947">
      <c r="A7947" t="inlineStr">
        <is>
          <t>Solenis Sweden AB,  Helsingborg, Sweden</t>
        </is>
      </c>
      <c r="B7947" t="inlineStr">
        <is>
          <t>Processing Unit, Trader with Storage</t>
        </is>
      </c>
      <c r="C7947" t="inlineStr">
        <is>
          <t>RINA Services S.p.A., Genova, IT</t>
        </is>
      </c>
      <c r="D7947" t="inlineStr">
        <is>
          <t>10.02.2027</t>
        </is>
      </c>
      <c r="E7947" t="inlineStr">
        <is>
          <t>Sweden</t>
        </is>
      </c>
    </row>
    <row r="7948">
      <c r="A7948" t="inlineStr">
        <is>
          <t>GEOMICO COMPANY LIMITED,  Ho Chi Minh, Vietnam</t>
        </is>
      </c>
      <c r="B7948" t="inlineStr">
        <is>
          <t>Collecting Point, Trader with Storage</t>
        </is>
      </c>
      <c r="C7948" t="inlineStr">
        <is>
          <t>China Standard Conformity Assessment Co. Ltd, Beijing, CN</t>
        </is>
      </c>
      <c r="D7948" t="inlineStr">
        <is>
          <t>10.02.2027</t>
        </is>
      </c>
      <c r="E7948" t="inlineStr">
        <is>
          <t>Vietnam</t>
        </is>
      </c>
    </row>
    <row r="7949">
      <c r="A7949" t="inlineStr">
        <is>
          <t>Tartessos Oil S.L,  Sanlucar De Bda, Spain</t>
        </is>
      </c>
      <c r="B7949" t="inlineStr">
        <is>
          <t>Trader</t>
        </is>
      </c>
      <c r="C7949" t="inlineStr">
        <is>
          <t>RINA Services S.p.A., Genova, IT</t>
        </is>
      </c>
      <c r="D7949" t="inlineStr">
        <is>
          <t>10.02.2027</t>
        </is>
      </c>
      <c r="E7949" t="inlineStr">
        <is>
          <t>Spain</t>
        </is>
      </c>
    </row>
    <row r="7950">
      <c r="A7950" t="inlineStr">
        <is>
          <t>CSET ASIA PTE LTD.,  Geneva, Switzerland</t>
        </is>
      </c>
      <c r="B7950" t="inlineStr">
        <is>
          <t>Trader with Storage</t>
        </is>
      </c>
      <c r="C7950" t="inlineStr">
        <is>
          <t>SGS Germany GmbH, Emstek, DE</t>
        </is>
      </c>
      <c r="D7950" t="inlineStr">
        <is>
          <t>10.02.2027</t>
        </is>
      </c>
      <c r="E7950" t="inlineStr">
        <is>
          <t>Switzerland</t>
        </is>
      </c>
    </row>
    <row r="7951">
      <c r="A7951" t="inlineStr">
        <is>
          <t>Ene Congo,  Bouenza, Republic of the Congo</t>
        </is>
      </c>
      <c r="B7951" t="inlineStr">
        <is>
          <t>First Gathering Point, Trader with Storage, Processing Unit</t>
        </is>
      </c>
      <c r="C7951" t="inlineStr">
        <is>
          <t>RINA Services S.p.A., Genova, IT</t>
        </is>
      </c>
      <c r="D7951" t="inlineStr">
        <is>
          <t>10.02.2027</t>
        </is>
      </c>
      <c r="E7951" t="inlineStr">
        <is>
          <t>Republic of the Congo</t>
        </is>
      </c>
    </row>
    <row r="7952">
      <c r="A7952" t="inlineStr">
        <is>
          <t>Cogea Corporation SRL,  Pomezia, Italy</t>
        </is>
      </c>
      <c r="B7952" t="inlineStr">
        <is>
          <t>Collecting Point</t>
        </is>
      </c>
      <c r="C7952" t="inlineStr">
        <is>
          <t>SGS Germany GmbH, Emstek, DE</t>
        </is>
      </c>
      <c r="D7952" t="inlineStr">
        <is>
          <t>10.02.2027</t>
        </is>
      </c>
      <c r="E7952" t="inlineStr">
        <is>
          <t>Italy</t>
        </is>
      </c>
    </row>
    <row r="7953">
      <c r="A7953" t="inlineStr">
        <is>
          <t>Dongguan Dongchao New Material Technology Co., Ltd,  Dongguan City, Guangdong Province, China</t>
        </is>
      </c>
      <c r="B7953" t="inlineStr">
        <is>
          <t>Trader</t>
        </is>
      </c>
      <c r="C7953" t="inlineStr">
        <is>
          <t>Trans Certification and Inspection Sdn Bhd, Kuantan, MY</t>
        </is>
      </c>
      <c r="D7953" t="inlineStr">
        <is>
          <t>10.02.2027</t>
        </is>
      </c>
      <c r="E7953" t="inlineStr">
        <is>
          <t>China</t>
        </is>
      </c>
    </row>
    <row r="7954">
      <c r="A7954" t="inlineStr">
        <is>
          <t>Inversiones y Asesorías Temac SpA,  Pudahuel, Región Metropolitana, Santiago, Chile</t>
        </is>
      </c>
      <c r="B7954" t="inlineStr">
        <is>
          <t>Collecting Point, Trader with Storage</t>
        </is>
      </c>
      <c r="C7954" t="inlineStr">
        <is>
          <t>SGS Germany GmbH, Emstek, DE</t>
        </is>
      </c>
      <c r="D7954" t="inlineStr">
        <is>
          <t>09.02.2027</t>
        </is>
      </c>
      <c r="E7954" t="inlineStr">
        <is>
          <t>Chile</t>
        </is>
      </c>
    </row>
    <row r="7955">
      <c r="A7955" t="inlineStr">
        <is>
          <t>Pöppelmann GmbH &amp; Co. Kunststoffwerk-Werkzeugbau,  49393, Germany</t>
        </is>
      </c>
      <c r="B7955" t="inlineStr">
        <is>
          <t>Processing Unit, Final Product Refinement</t>
        </is>
      </c>
      <c r="C7955" t="inlineStr">
        <is>
          <t>SGS Germany GmbH, Emstek, DE</t>
        </is>
      </c>
      <c r="D7955" t="inlineStr">
        <is>
          <t>09.02.2027</t>
        </is>
      </c>
      <c r="E7955" t="inlineStr">
        <is>
          <t>Germany</t>
        </is>
      </c>
    </row>
    <row r="7956">
      <c r="A7956" t="inlineStr">
        <is>
          <t>Bennet Oil Depot s.r.o.,  Praha, Czech Republic</t>
        </is>
      </c>
      <c r="B7956" t="inlineStr">
        <is>
          <t>Trader</t>
        </is>
      </c>
      <c r="C7956" t="inlineStr">
        <is>
          <t>SGS Germany GmbH, Emstek, DE</t>
        </is>
      </c>
      <c r="D7956" t="inlineStr">
        <is>
          <t>09.02.2027</t>
        </is>
      </c>
      <c r="E7956" t="inlineStr">
        <is>
          <t>Czech Republic</t>
        </is>
      </c>
    </row>
    <row r="7957">
      <c r="A7957" t="inlineStr">
        <is>
          <t>Graham Packaging Plastic Products LLC,  Findlay, OH, United States</t>
        </is>
      </c>
      <c r="B7957" t="inlineStr">
        <is>
          <t>Processing Unit</t>
        </is>
      </c>
      <c r="C7957" t="inlineStr">
        <is>
          <t>SCS Global Services, Emeryville, CA, US</t>
        </is>
      </c>
      <c r="D7957" t="inlineStr">
        <is>
          <t>09.02.2027</t>
        </is>
      </c>
      <c r="E7957" t="inlineStr">
        <is>
          <t>United States</t>
        </is>
      </c>
    </row>
    <row r="7958">
      <c r="A7958" t="inlineStr">
        <is>
          <t>Shandong Hongxuan Bioenergy Co., Ltd.,  Zouping City, Binzhou City, China</t>
        </is>
      </c>
      <c r="B7958" t="inlineStr">
        <is>
          <t>Collecting Point, Processing Unit, Trader</t>
        </is>
      </c>
      <c r="C7958" t="inlineStr">
        <is>
          <t>SCS Global Services, Emeryville, CA, US</t>
        </is>
      </c>
      <c r="D7958" t="inlineStr">
        <is>
          <t>09.02.2027</t>
        </is>
      </c>
      <c r="E7958" t="inlineStr">
        <is>
          <t>China</t>
        </is>
      </c>
    </row>
    <row r="7959">
      <c r="A7959" t="inlineStr">
        <is>
          <t>GURALNYA BRUNYTSKYH LLC,  Settl. Velykyi Luibin, Lviv region, Ukraine</t>
        </is>
      </c>
      <c r="B7959" t="inlineStr">
        <is>
          <t>First Gathering Point, Point of Origin, Collecting Point, Processing Unit</t>
        </is>
      </c>
      <c r="C7959" t="inlineStr">
        <is>
          <t>United Registrar of Systems Polska Sp. z o.o., Wrocław, PL</t>
        </is>
      </c>
      <c r="D7959" t="inlineStr">
        <is>
          <t>09.02.2027</t>
        </is>
      </c>
      <c r="E7959" t="inlineStr">
        <is>
          <t>Ukraine</t>
        </is>
      </c>
    </row>
    <row r="7960">
      <c r="A7960" t="inlineStr">
        <is>
          <t>HABIB SUGAR MILLS LIMITED,  NAWABSHAH, Pakistan</t>
        </is>
      </c>
      <c r="B7960" t="inlineStr">
        <is>
          <t>Processing Unit</t>
        </is>
      </c>
      <c r="C7960" t="inlineStr">
        <is>
          <t>PT Intertek Utama Services, Jakarta, ID</t>
        </is>
      </c>
      <c r="D7960" t="inlineStr">
        <is>
          <t>09.02.2027</t>
        </is>
      </c>
      <c r="E7960" t="inlineStr">
        <is>
          <t>Pakistan</t>
        </is>
      </c>
    </row>
    <row r="7961">
      <c r="A7961" t="inlineStr">
        <is>
          <t>Scientex Great Wall (Ipoh) Sdn Bhd,  Sungai Siput (U), Malaysia</t>
        </is>
      </c>
      <c r="B7961" t="inlineStr">
        <is>
          <t>Processing Unit, Point of Origin</t>
        </is>
      </c>
      <c r="C7961" t="inlineStr">
        <is>
          <t>SGS Germany GmbH, Emstek, DE</t>
        </is>
      </c>
      <c r="D7961" t="inlineStr">
        <is>
          <t>09.02.2027</t>
        </is>
      </c>
      <c r="E7961" t="inlineStr">
        <is>
          <t>Malaysia</t>
        </is>
      </c>
    </row>
    <row r="7962">
      <c r="A7962" t="inlineStr">
        <is>
          <t>Jiujiang Oasis Energy Technology Co.,Ltd,  Jiujiang City,Jiangxi Province, China</t>
        </is>
      </c>
      <c r="B7962" t="inlineStr">
        <is>
          <t>Processing Unit, Trader with Storage</t>
        </is>
      </c>
      <c r="C7962" t="inlineStr">
        <is>
          <t>RINA Services S.p.A., Genova, IT</t>
        </is>
      </c>
      <c r="D7962" t="inlineStr">
        <is>
          <t>09.02.2027</t>
        </is>
      </c>
      <c r="E7962" t="inlineStr">
        <is>
          <t>China</t>
        </is>
      </c>
    </row>
    <row r="7963">
      <c r="A7963" t="inlineStr">
        <is>
          <t>PT Pertamina Patra Niaga,  Dumai, Indonesia</t>
        </is>
      </c>
      <c r="B7963" t="inlineStr">
        <is>
          <t>Processing Unit</t>
        </is>
      </c>
      <c r="C7963" t="inlineStr">
        <is>
          <t>PT Intertek Utama Services, Jakarta, ID</t>
        </is>
      </c>
      <c r="D7963" t="inlineStr">
        <is>
          <t>09.02.2027</t>
        </is>
      </c>
      <c r="E7963" t="inlineStr">
        <is>
          <t>Indonesia</t>
        </is>
      </c>
    </row>
    <row r="7964">
      <c r="A7964" t="inlineStr">
        <is>
          <t>Alterra Energy, LLC,  Akron, The United States of America</t>
        </is>
      </c>
      <c r="B7964" t="inlineStr">
        <is>
          <t>Collecting Point, Processing Unit, Trader with Storage</t>
        </is>
      </c>
      <c r="C7964" t="inlineStr">
        <is>
          <t>SCS Global Services, Emeryville, CA, US</t>
        </is>
      </c>
      <c r="D7964" t="inlineStr">
        <is>
          <t>09.02.2027</t>
        </is>
      </c>
      <c r="E7964" t="inlineStr">
        <is>
          <t>The United States of America</t>
        </is>
      </c>
    </row>
    <row r="7965">
      <c r="A7965" t="inlineStr">
        <is>
          <t>PT Pertamina Patra Niaga,  Dumai, Indonesia</t>
        </is>
      </c>
      <c r="B7965" t="inlineStr">
        <is>
          <t>Processing Unit</t>
        </is>
      </c>
      <c r="C7965" t="inlineStr">
        <is>
          <t>PT Intertek Utama Services, Jakarta, ID</t>
        </is>
      </c>
      <c r="D7965" t="inlineStr">
        <is>
          <t>09.02.2027</t>
        </is>
      </c>
      <c r="E7965" t="inlineStr">
        <is>
          <t>Indonesia</t>
        </is>
      </c>
    </row>
    <row r="7966">
      <c r="A7966" t="inlineStr">
        <is>
          <t>Vinventions,  Thimister – Clermont, Belgium</t>
        </is>
      </c>
      <c r="B7966" t="inlineStr">
        <is>
          <t>Processing Unit, Trader with Storage</t>
        </is>
      </c>
      <c r="C7966" t="inlineStr">
        <is>
          <t>SGS Germany GmbH, Emstek, DE</t>
        </is>
      </c>
      <c r="D7966" t="inlineStr">
        <is>
          <t>09.02.2027</t>
        </is>
      </c>
      <c r="E7966" t="inlineStr">
        <is>
          <t>Belgium</t>
        </is>
      </c>
    </row>
    <row r="7967">
      <c r="A7967" t="inlineStr">
        <is>
          <t>Yeafa,  Oostende, Belgium</t>
        </is>
      </c>
      <c r="B7967" t="inlineStr">
        <is>
          <t>Point of Origin, Processing Unit</t>
        </is>
      </c>
      <c r="C7967" t="inlineStr">
        <is>
          <t>Control Union Certifications Germany GmbH, Berlin, DE</t>
        </is>
      </c>
      <c r="D7967" t="inlineStr">
        <is>
          <t>09.02.2027</t>
        </is>
      </c>
      <c r="E7967" t="inlineStr">
        <is>
          <t>Belgium</t>
        </is>
      </c>
    </row>
    <row r="7968">
      <c r="A7968" t="inlineStr">
        <is>
          <t>GUZTEC POLYMERS SRL.,  Castelfranco Veneto (TV), Italy</t>
        </is>
      </c>
      <c r="B7968" t="inlineStr">
        <is>
          <t>Trader with Storage</t>
        </is>
      </c>
      <c r="C7968" t="inlineStr">
        <is>
          <t>ICIM SpA, sesto san giovanni, IT</t>
        </is>
      </c>
      <c r="D7968" t="inlineStr">
        <is>
          <t>09.02.2027</t>
        </is>
      </c>
      <c r="E7968" t="inlineStr">
        <is>
          <t>Italy</t>
        </is>
      </c>
    </row>
    <row r="7969">
      <c r="A7969" t="inlineStr">
        <is>
          <t>Geomico International Pte. Ltd.,  Singapore, Singapore</t>
        </is>
      </c>
      <c r="B7969" t="inlineStr">
        <is>
          <t>Trader</t>
        </is>
      </c>
      <c r="C7969" t="inlineStr">
        <is>
          <t>China Standard Conformity Assessment Co. Ltd, Beijing, CN</t>
        </is>
      </c>
      <c r="D7969" t="inlineStr">
        <is>
          <t>09.02.2027</t>
        </is>
      </c>
      <c r="E7969" t="inlineStr">
        <is>
          <t>Singapore</t>
        </is>
      </c>
    </row>
    <row r="7970">
      <c r="A7970" t="inlineStr">
        <is>
          <t>Don Gumer,  Lanús, Argentina</t>
        </is>
      </c>
      <c r="B7970" t="inlineStr">
        <is>
          <t>Point of Origin, Processing Unit, Trader with Storage</t>
        </is>
      </c>
      <c r="C7970" t="inlineStr">
        <is>
          <t>Certificadora Gallega del Noroeste SL, Vilagarcia de Arousa-Pontevedra, ES</t>
        </is>
      </c>
      <c r="D7970" t="inlineStr">
        <is>
          <t>09.02.2027</t>
        </is>
      </c>
      <c r="E7970" t="inlineStr">
        <is>
          <t>Argentina</t>
        </is>
      </c>
    </row>
    <row r="7971">
      <c r="A7971" t="inlineStr">
        <is>
          <t>AAK International,  Hull, United Kingdom</t>
        </is>
      </c>
      <c r="B7971" t="inlineStr">
        <is>
          <t>Point of Origin</t>
        </is>
      </c>
      <c r="C7971" t="inlineStr">
        <is>
          <t>DNV Business Assurance Sweden AB, Solna, SE</t>
        </is>
      </c>
      <c r="D7971" t="inlineStr">
        <is>
          <t>09.02.2027</t>
        </is>
      </c>
      <c r="E7971" t="inlineStr">
        <is>
          <t>United Kingdom</t>
        </is>
      </c>
    </row>
    <row r="7972">
      <c r="A7972" t="inlineStr">
        <is>
          <t>Panadero Trading B.V.,  Kralendijk - Bonaire, Caribbean Netherlands</t>
        </is>
      </c>
      <c r="B7972" t="inlineStr">
        <is>
          <t>Collecting Point, Trader with Storage</t>
        </is>
      </c>
      <c r="C7972" t="inlineStr">
        <is>
          <t>DEKRA Certification B.V., Arnhem, NL</t>
        </is>
      </c>
      <c r="D7972" t="inlineStr">
        <is>
          <t>09.02.2027</t>
        </is>
      </c>
      <c r="E7972" t="inlineStr">
        <is>
          <t>Caribbean Netherlands</t>
        </is>
      </c>
    </row>
    <row r="7973">
      <c r="A7973" t="inlineStr">
        <is>
          <t>PT Gunung Tua Abadi - Sumber Sawit Mill,  Ogan Komering Ilir, Mesuji Raya, Indonesia</t>
        </is>
      </c>
      <c r="B7973" t="inlineStr">
        <is>
          <t>First Gathering Point, Processing Unit</t>
        </is>
      </c>
      <c r="C7973" t="inlineStr">
        <is>
          <t>PT TUV Rheinland Indonesia, Jakarta, ID</t>
        </is>
      </c>
      <c r="D7973" t="inlineStr">
        <is>
          <t>09.02.2027</t>
        </is>
      </c>
      <c r="E7973" t="inlineStr">
        <is>
          <t>Indonesia</t>
        </is>
      </c>
    </row>
    <row r="7974">
      <c r="A7974" t="inlineStr">
        <is>
          <t>Jeongil Stolthaven Ulsan Co.,Ltd.,  Onsan-eup, Ulju-gun, Ulsan,, South Korea</t>
        </is>
      </c>
      <c r="B7974" t="inlineStr">
        <is>
          <t>Warehouse</t>
        </is>
      </c>
      <c r="C7974" t="inlineStr">
        <is>
          <t>Control Union Certifications Germany GmbH, Berlin, DE</t>
        </is>
      </c>
      <c r="D7974" t="inlineStr">
        <is>
          <t>09.02.2027</t>
        </is>
      </c>
      <c r="E7974" t="inlineStr">
        <is>
          <t>South Korea</t>
        </is>
      </c>
    </row>
    <row r="7975">
      <c r="A7975" t="inlineStr">
        <is>
          <t>Jeongil Stolthaven Ulsan Co.,Ltd.,  Onsan-eup, Ulju-gun, Ulsan,, South Korea</t>
        </is>
      </c>
      <c r="B7975" t="inlineStr">
        <is>
          <t>Warehouse</t>
        </is>
      </c>
      <c r="C7975" t="inlineStr">
        <is>
          <t>Control Union Certifications Germany GmbH, Berlin, DE</t>
        </is>
      </c>
      <c r="D7975" t="inlineStr">
        <is>
          <t>09.02.2027</t>
        </is>
      </c>
      <c r="E7975" t="inlineStr">
        <is>
          <t>South Korea</t>
        </is>
      </c>
    </row>
    <row r="7976">
      <c r="A7976" t="inlineStr">
        <is>
          <t>CONSORZIO GATTEO PROTEINE s.c.a.,  Gatteo FC, Italy</t>
        </is>
      </c>
      <c r="B7976" t="inlineStr">
        <is>
          <t>Point of Origin</t>
        </is>
      </c>
      <c r="C7976" t="inlineStr">
        <is>
          <t>SGS Germany GmbH, Emstek, DE</t>
        </is>
      </c>
      <c r="D7976" t="inlineStr">
        <is>
          <t>09.02.2027</t>
        </is>
      </c>
      <c r="E7976" t="inlineStr">
        <is>
          <t>Italy</t>
        </is>
      </c>
    </row>
    <row r="7977">
      <c r="A7977" t="inlineStr">
        <is>
          <t>Ecopetrol,  Barrancabermeja, Colombia</t>
        </is>
      </c>
      <c r="B7977" t="inlineStr">
        <is>
          <t>Processing Unit</t>
        </is>
      </c>
      <c r="C7977" t="inlineStr">
        <is>
          <t>KIWA COLOMBIA S.A.S., Zipaquirá, CO</t>
        </is>
      </c>
      <c r="D7977" t="inlineStr">
        <is>
          <t>09.02.2027</t>
        </is>
      </c>
      <c r="E7977" t="inlineStr">
        <is>
          <t>Colombia</t>
        </is>
      </c>
    </row>
    <row r="7978">
      <c r="A7978" t="inlineStr">
        <is>
          <t>Helm U.S. Corporation,  Houston, United States</t>
        </is>
      </c>
      <c r="B7978" t="inlineStr">
        <is>
          <t>Trader with Storage</t>
        </is>
      </c>
      <c r="C7978" t="inlineStr">
        <is>
          <t>TÜV NORD CERT GmbH, Essen, DE</t>
        </is>
      </c>
      <c r="D7978" t="inlineStr">
        <is>
          <t>09.02.2027</t>
        </is>
      </c>
      <c r="E7978" t="inlineStr">
        <is>
          <t>United States</t>
        </is>
      </c>
    </row>
    <row r="7979">
      <c r="A7979" t="inlineStr">
        <is>
          <t>AB KN Energies,  Klaipėda, Lithuania</t>
        </is>
      </c>
      <c r="B7979" t="inlineStr">
        <is>
          <t>Processing Unit, Warehouse</t>
        </is>
      </c>
      <c r="C7979" t="inlineStr">
        <is>
          <t>Bureau Veritas Polska Sp. z o.o., Warsaw, PL</t>
        </is>
      </c>
      <c r="D7979" t="inlineStr">
        <is>
          <t>09.02.2027</t>
        </is>
      </c>
      <c r="E7979" t="inlineStr">
        <is>
          <t>Lithuania</t>
        </is>
      </c>
    </row>
    <row r="7980">
      <c r="A7980" t="inlineStr">
        <is>
          <t>Chemolve,  London, United Kingdom</t>
        </is>
      </c>
      <c r="B7980" t="inlineStr">
        <is>
          <t>Trader</t>
        </is>
      </c>
      <c r="C7980" t="inlineStr">
        <is>
          <t>Double Helix Tracking Technologies Pte Ltd, Singapore, SG</t>
        </is>
      </c>
      <c r="D7980" t="inlineStr">
        <is>
          <t>09.02.2027</t>
        </is>
      </c>
      <c r="E7980" t="inlineStr">
        <is>
          <t>United Kingdom</t>
        </is>
      </c>
    </row>
    <row r="7981">
      <c r="A7981" t="inlineStr">
        <is>
          <t>ČEZ ESCO, a.s.,  Praha 4, Czech Republic</t>
        </is>
      </c>
      <c r="B7981" t="inlineStr">
        <is>
          <t>Trader</t>
        </is>
      </c>
      <c r="C7981" t="inlineStr">
        <is>
          <t>TÜV SÜD Czech s.r.o., Praha 4, CZ</t>
        </is>
      </c>
      <c r="D7981" t="inlineStr">
        <is>
          <t>09.02.2027</t>
        </is>
      </c>
      <c r="E7981" t="inlineStr">
        <is>
          <t>Czech Republic</t>
        </is>
      </c>
    </row>
    <row r="7982">
      <c r="A7982" t="inlineStr">
        <is>
          <t>Synthomer Adhesive Technologies LLC,  Longview, TX, United States</t>
        </is>
      </c>
      <c r="B7982" t="inlineStr">
        <is>
          <t>Processing Unit</t>
        </is>
      </c>
      <c r="C7982" t="inlineStr">
        <is>
          <t>SGS Germany GmbH, Emstek, DE</t>
        </is>
      </c>
      <c r="D7982" t="inlineStr">
        <is>
          <t>09.02.2027</t>
        </is>
      </c>
      <c r="E7982" t="inlineStr">
        <is>
          <t>United States</t>
        </is>
      </c>
    </row>
    <row r="7983">
      <c r="A7983" t="inlineStr">
        <is>
          <t>Guangdong Jinkun Industrial Co., Ltd.,  Shatian Town , DongGuan City, China</t>
        </is>
      </c>
      <c r="B7983" t="inlineStr">
        <is>
          <t>Processing Unit, Trader with Storage</t>
        </is>
      </c>
      <c r="C7983" t="inlineStr">
        <is>
          <t>TÜV NORD CERT GmbH, Essen, DE</t>
        </is>
      </c>
      <c r="D7983" t="inlineStr">
        <is>
          <t>09.02.2027</t>
        </is>
      </c>
      <c r="E7983" t="inlineStr">
        <is>
          <t>China</t>
        </is>
      </c>
    </row>
    <row r="7984">
      <c r="A7984" t="inlineStr">
        <is>
          <t>Guangdong Jinkun Industrial Co., Ltd.,  Shatian Town , DongGuan City, China</t>
        </is>
      </c>
      <c r="B7984" t="inlineStr">
        <is>
          <t>Processing Unit, Trader with Storage</t>
        </is>
      </c>
      <c r="C7984" t="inlineStr">
        <is>
          <t>TÜV NORD CERT GmbH, Essen, DE</t>
        </is>
      </c>
      <c r="D7984" t="inlineStr">
        <is>
          <t>09.02.2027</t>
        </is>
      </c>
      <c r="E7984" t="inlineStr">
        <is>
          <t>China</t>
        </is>
      </c>
    </row>
    <row r="7985">
      <c r="A7985" t="inlineStr">
        <is>
          <t>PT K2 Industries Indonesia,  Karawang, Indonesia</t>
        </is>
      </c>
      <c r="B7985" t="inlineStr">
        <is>
          <t>Collecting Point, Processing Unit, Trader with Storage</t>
        </is>
      </c>
      <c r="C7985" t="inlineStr">
        <is>
          <t>TÜV NORD CERT GmbH, Essen, DE</t>
        </is>
      </c>
      <c r="D7985" t="inlineStr">
        <is>
          <t>09.02.2027</t>
        </is>
      </c>
      <c r="E7985" t="inlineStr">
        <is>
          <t>Indonesia</t>
        </is>
      </c>
    </row>
    <row r="7986">
      <c r="A7986" t="inlineStr">
        <is>
          <t>ENERGREEN MOBILITY, S.L.,  LEGANÉS, MADRID, Spain</t>
        </is>
      </c>
      <c r="B7986" t="inlineStr">
        <is>
          <t>Trader</t>
        </is>
      </c>
      <c r="C7986" t="inlineStr">
        <is>
          <t>Control Union Poland Sp. z o.o., Zielona Gora, PL</t>
        </is>
      </c>
      <c r="D7986" t="inlineStr">
        <is>
          <t>09.02.2027</t>
        </is>
      </c>
      <c r="E7986" t="inlineStr">
        <is>
          <t>Spain</t>
        </is>
      </c>
    </row>
    <row r="7987">
      <c r="A7987" t="inlineStr">
        <is>
          <t>NW Corporation Pte. Ltd.,  Singapore, Singapore</t>
        </is>
      </c>
      <c r="B7987" t="inlineStr">
        <is>
          <t>Trader</t>
        </is>
      </c>
      <c r="C7987" t="inlineStr">
        <is>
          <t>SGS Germany GmbH, Emstek, DE</t>
        </is>
      </c>
      <c r="D7987" t="inlineStr">
        <is>
          <t>09.02.2027</t>
        </is>
      </c>
      <c r="E7987" t="inlineStr">
        <is>
          <t>Singapore</t>
        </is>
      </c>
    </row>
    <row r="7988">
      <c r="A7988" t="inlineStr">
        <is>
          <t>Nupi Industrie Italiane SpA,  Castel Guelfo di Bologna, Italy</t>
        </is>
      </c>
      <c r="B7988" t="inlineStr">
        <is>
          <t>Processing Unit</t>
        </is>
      </c>
      <c r="C7988" t="inlineStr">
        <is>
          <t>RINA Services S.p.A., Genova, IT</t>
        </is>
      </c>
      <c r="D7988" t="inlineStr">
        <is>
          <t>09.02.2027</t>
        </is>
      </c>
      <c r="E7988" t="inlineStr">
        <is>
          <t>Italy</t>
        </is>
      </c>
    </row>
    <row r="7989">
      <c r="A7989" t="inlineStr">
        <is>
          <t>Titan Supply B.V.,  Amsterdam, Netherlands</t>
        </is>
      </c>
      <c r="B7989" t="inlineStr">
        <is>
          <t>Trader with Storage, Proof of Compliance Trader</t>
        </is>
      </c>
      <c r="C7989" t="inlineStr">
        <is>
          <t>Normec QS BV, Ede, NL</t>
        </is>
      </c>
      <c r="D7989" t="inlineStr">
        <is>
          <t>09.02.2027</t>
        </is>
      </c>
      <c r="E7989" t="inlineStr">
        <is>
          <t>Netherlands</t>
        </is>
      </c>
    </row>
    <row r="7990">
      <c r="A7990" t="inlineStr">
        <is>
          <t>ITOCHU Corporation,  Minato-ku, Tokyo, Japan</t>
        </is>
      </c>
      <c r="B7990" t="inlineStr">
        <is>
          <t>Trader with Storage</t>
        </is>
      </c>
      <c r="C7990" t="inlineStr">
        <is>
          <t>Control Union Certifications Germany GmbH, Berlin, DE</t>
        </is>
      </c>
      <c r="D7990" t="inlineStr">
        <is>
          <t>09.02.2027</t>
        </is>
      </c>
      <c r="E7990" t="inlineStr">
        <is>
          <t>Japan</t>
        </is>
      </c>
    </row>
    <row r="7991">
      <c r="A7991" t="inlineStr">
        <is>
          <t>Ökopellet Termelő, Kereskedelmi és Szolgáltató Kft.,  Baja, Hungary</t>
        </is>
      </c>
      <c r="B7991" t="inlineStr">
        <is>
          <t>Collecting Point, Processing Unit</t>
        </is>
      </c>
      <c r="C7991" t="inlineStr">
        <is>
          <t>BM Certification, Riga, LV</t>
        </is>
      </c>
      <c r="D7991" t="inlineStr">
        <is>
          <t>09.02.2027</t>
        </is>
      </c>
      <c r="E7991" t="inlineStr">
        <is>
          <t>Hungary</t>
        </is>
      </c>
    </row>
    <row r="7992">
      <c r="A7992" t="inlineStr">
        <is>
          <t>Gas Malaysia Energy and Services,  Shah Alam, Malaysia</t>
        </is>
      </c>
      <c r="B7992" t="inlineStr">
        <is>
          <t>Trader with Storage</t>
        </is>
      </c>
      <c r="C7992" t="inlineStr">
        <is>
          <t>PT Intertek Utama Services, Jakarta, ID</t>
        </is>
      </c>
      <c r="D7992" t="inlineStr">
        <is>
          <t>09.02.2027</t>
        </is>
      </c>
      <c r="E7992" t="inlineStr">
        <is>
          <t>Malaysia</t>
        </is>
      </c>
    </row>
    <row r="7993">
      <c r="A7993" t="inlineStr">
        <is>
          <t>Gas Malaysia Energy and Services,  Shah Alam, Malaysia</t>
        </is>
      </c>
      <c r="B7993" t="inlineStr">
        <is>
          <t>Trader with Storage</t>
        </is>
      </c>
      <c r="C7993" t="inlineStr">
        <is>
          <t>PT Intertek Utama Services, Jakarta, ID</t>
        </is>
      </c>
      <c r="D7993" t="inlineStr">
        <is>
          <t>09.02.2027</t>
        </is>
      </c>
      <c r="E7993" t="inlineStr">
        <is>
          <t>Malaysia</t>
        </is>
      </c>
    </row>
    <row r="7994">
      <c r="A7994" t="inlineStr">
        <is>
          <t>China Zhenhua Oil Trading (Singapore) PTE. LTD.,  Beijing, China</t>
        </is>
      </c>
      <c r="B7994" t="inlineStr">
        <is>
          <t>Trader</t>
        </is>
      </c>
      <c r="C7994" t="inlineStr">
        <is>
          <t>SCS Global Services, Emeryville, CA, US</t>
        </is>
      </c>
      <c r="D7994" t="inlineStr">
        <is>
          <t>09.02.2027</t>
        </is>
      </c>
      <c r="E7994" t="inlineStr">
        <is>
          <t>China</t>
        </is>
      </c>
    </row>
    <row r="7995">
      <c r="A7995" t="inlineStr">
        <is>
          <t>F. Leitner Mineralöle GmbH,  Graz, Austria</t>
        </is>
      </c>
      <c r="B7995" t="inlineStr">
        <is>
          <t>Trader with Storage, Logistics Center, Proof of Compliance Trader</t>
        </is>
      </c>
      <c r="C7995" t="inlineStr">
        <is>
          <t>agroVet GmbH, Enzersfeld, AT</t>
        </is>
      </c>
      <c r="D7995" t="inlineStr">
        <is>
          <t>09.02.2027</t>
        </is>
      </c>
      <c r="E7995" t="inlineStr">
        <is>
          <t>Austria</t>
        </is>
      </c>
    </row>
    <row r="7996">
      <c r="A7996" t="inlineStr">
        <is>
          <t>Compania Oleicola de Refinacion y Envasado, S.A.,  Osuna, Sevilla, Spain</t>
        </is>
      </c>
      <c r="B7996" t="inlineStr">
        <is>
          <t>Point of Origin</t>
        </is>
      </c>
      <c r="C7996" t="inlineStr">
        <is>
          <t>Certificadora Gallega del Noroeste SL, Vilagarcia de Arousa-Pontevedra, ES</t>
        </is>
      </c>
      <c r="D7996" t="inlineStr">
        <is>
          <t>09.02.2027</t>
        </is>
      </c>
      <c r="E7996" t="inlineStr">
        <is>
          <t>Spain</t>
        </is>
      </c>
    </row>
    <row r="7997">
      <c r="A7997" t="inlineStr">
        <is>
          <t>Hartree Germany,  Hamburg, Germany</t>
        </is>
      </c>
      <c r="B7997" t="inlineStr">
        <is>
          <t>Trader with Storage, Proof of Compliance Trader</t>
        </is>
      </c>
      <c r="C7997" t="inlineStr">
        <is>
          <t>Control Union Certifications Germany GmbH, Berlin, DE</t>
        </is>
      </c>
      <c r="D7997" t="inlineStr">
        <is>
          <t>09.02.2027</t>
        </is>
      </c>
      <c r="E7997" t="inlineStr">
        <is>
          <t>Germany</t>
        </is>
      </c>
    </row>
    <row r="7998">
      <c r="A7998" t="inlineStr">
        <is>
          <t>SIG Combibloc GmbH,  Wittenberg, Germany</t>
        </is>
      </c>
      <c r="B7998" t="inlineStr">
        <is>
          <t>Processing Unit</t>
        </is>
      </c>
      <c r="C7998" t="inlineStr">
        <is>
          <t>PT Intertek Utama Services, Jakarta, ID</t>
        </is>
      </c>
      <c r="D7998" t="inlineStr">
        <is>
          <t>09.02.2027</t>
        </is>
      </c>
      <c r="E7998" t="inlineStr">
        <is>
          <t>Germany</t>
        </is>
      </c>
    </row>
    <row r="7999">
      <c r="A7999" t="inlineStr">
        <is>
          <t>BIO GLOBAL IMPORT EXPORT JOINT STOCK COMPANY,  Thanh Tri Commune, Hanoi City, Vietnam</t>
        </is>
      </c>
      <c r="B7999" t="inlineStr">
        <is>
          <t>Collecting Point, Trader</t>
        </is>
      </c>
      <c r="C7999" t="inlineStr">
        <is>
          <t>PT Intertek Utama Services, Jakarta, ID</t>
        </is>
      </c>
      <c r="D7999" t="inlineStr">
        <is>
          <t>09.02.2027</t>
        </is>
      </c>
      <c r="E7999" t="inlineStr">
        <is>
          <t>Vietnam</t>
        </is>
      </c>
    </row>
    <row r="8000">
      <c r="A8000" t="inlineStr">
        <is>
          <t>TEIJIN FRONTIER CO., LTD. Matsuyama Office,  Matsuyama, Japan</t>
        </is>
      </c>
      <c r="B8000" t="inlineStr">
        <is>
          <t>Collecting Point, Processing Unit, Trader</t>
        </is>
      </c>
      <c r="C8000" t="inlineStr">
        <is>
          <t>PT Intertek Utama Services, Jakarta, ID</t>
        </is>
      </c>
      <c r="D8000" t="inlineStr">
        <is>
          <t>09.02.2027</t>
        </is>
      </c>
      <c r="E8000" t="inlineStr">
        <is>
          <t>Japan</t>
        </is>
      </c>
    </row>
    <row r="8001">
      <c r="A8001" t="inlineStr">
        <is>
          <t>TEIJIN LIMITED Matsuyama Polymers Plant 1,  Matsuyama, Japan</t>
        </is>
      </c>
      <c r="B8001" t="inlineStr">
        <is>
          <t>Processing Unit</t>
        </is>
      </c>
      <c r="C8001" t="inlineStr">
        <is>
          <t>PT Intertek Utama Services, Jakarta, ID</t>
        </is>
      </c>
      <c r="D8001" t="inlineStr">
        <is>
          <t>09.02.2027</t>
        </is>
      </c>
      <c r="E8001" t="inlineStr">
        <is>
          <t>Japan</t>
        </is>
      </c>
    </row>
    <row r="8002">
      <c r="A8002" t="inlineStr">
        <is>
          <t>China Energy Conservation (Putian) Renewable Resources Utilization Co., Ltd,  Putian City, Fujian Province, China</t>
        </is>
      </c>
      <c r="B8002" t="inlineStr">
        <is>
          <t>Collecting Point, Processing Unit</t>
        </is>
      </c>
      <c r="C8002" t="inlineStr">
        <is>
          <t>RINA Services S.p.A., Genova, IT</t>
        </is>
      </c>
      <c r="D8002" t="inlineStr">
        <is>
          <t>09.02.2027</t>
        </is>
      </c>
      <c r="E8002" t="inlineStr">
        <is>
          <t>China</t>
        </is>
      </c>
    </row>
    <row r="8003">
      <c r="A8003" t="inlineStr">
        <is>
          <t>Eurial Ultra Frais,  Lorris, France</t>
        </is>
      </c>
      <c r="B8003" t="inlineStr">
        <is>
          <t>Final Product Refinement</t>
        </is>
      </c>
      <c r="C8003" t="inlineStr">
        <is>
          <t>Bureau Veritas Polska Sp. z o.o., Warsaw, PL</t>
        </is>
      </c>
      <c r="D8003" t="inlineStr">
        <is>
          <t>09.02.2027</t>
        </is>
      </c>
      <c r="E8003" t="inlineStr">
        <is>
          <t>France</t>
        </is>
      </c>
    </row>
    <row r="8004">
      <c r="A8004" t="inlineStr">
        <is>
          <t>Apeiron Agrocommodities Pte. Ltd,  Singapore, Singapore</t>
        </is>
      </c>
      <c r="B8004" t="inlineStr">
        <is>
          <t>Trader</t>
        </is>
      </c>
      <c r="C8004" t="inlineStr">
        <is>
          <t>SCS Global Services, Emeryville, CA, US</t>
        </is>
      </c>
      <c r="D8004" t="inlineStr">
        <is>
          <t>09.02.2027</t>
        </is>
      </c>
      <c r="E8004" t="inlineStr">
        <is>
          <t>Singapore</t>
        </is>
      </c>
    </row>
    <row r="8005">
      <c r="A8005" t="inlineStr">
        <is>
          <t>China International United Petroleum &amp; Chemicals Co., Ltd.,  Beijing City, China</t>
        </is>
      </c>
      <c r="B8005" t="inlineStr">
        <is>
          <t>Trader</t>
        </is>
      </c>
      <c r="C8005" t="inlineStr">
        <is>
          <t>SCS Global Services, Emeryville, CA, US</t>
        </is>
      </c>
      <c r="D8005" t="inlineStr">
        <is>
          <t>09.02.2027</t>
        </is>
      </c>
      <c r="E8005" t="inlineStr">
        <is>
          <t>China</t>
        </is>
      </c>
    </row>
    <row r="8006">
      <c r="A8006" t="inlineStr">
        <is>
          <t>GreenPower Services Kft.,  Szabadegyháza, Hungary</t>
        </is>
      </c>
      <c r="B8006" t="inlineStr">
        <is>
          <t>Trader with Storage</t>
        </is>
      </c>
      <c r="C8006" t="inlineStr">
        <is>
          <t>BM Certification, Riga, LV</t>
        </is>
      </c>
      <c r="D8006" t="inlineStr">
        <is>
          <t>09.02.2027</t>
        </is>
      </c>
      <c r="E8006" t="inlineStr">
        <is>
          <t>Hungary</t>
        </is>
      </c>
    </row>
    <row r="8007">
      <c r="A8007" t="inlineStr">
        <is>
          <t>Agromarkt Kft.,  Földes, Hungary</t>
        </is>
      </c>
      <c r="B8007" t="inlineStr">
        <is>
          <t>First Gathering Point</t>
        </is>
      </c>
      <c r="C8007" t="inlineStr">
        <is>
          <t>Certificadora Gallega del Noroeste SL, Vilagarcia de Arousa-Pontevedra, ES</t>
        </is>
      </c>
      <c r="D8007" t="inlineStr">
        <is>
          <t>09.02.2027</t>
        </is>
      </c>
      <c r="E8007" t="inlineStr">
        <is>
          <t>Hungary</t>
        </is>
      </c>
    </row>
    <row r="8008">
      <c r="A8008" t="inlineStr">
        <is>
          <t>Inner Mongolia Jinxing Biomass Processing Co., Ltd.,  Inner Mongolia Autonomous Region, China</t>
        </is>
      </c>
      <c r="B8008" t="inlineStr">
        <is>
          <t>First Gathering Point</t>
        </is>
      </c>
      <c r="C8008" t="inlineStr">
        <is>
          <t>SCS Global Services, Emeryville, CA, US</t>
        </is>
      </c>
      <c r="D8008" t="inlineStr">
        <is>
          <t>09.02.2027</t>
        </is>
      </c>
      <c r="E8008" t="inlineStr">
        <is>
          <t>China</t>
        </is>
      </c>
    </row>
    <row r="8009">
      <c r="A8009" t="inlineStr">
        <is>
          <t>ING ENT CO. Ltd,  Gyeonguj-si, Gyeongsangbuk-do, Korea, Republic of</t>
        </is>
      </c>
      <c r="B8009" t="inlineStr">
        <is>
          <t>Collecting Point, Processing Unit</t>
        </is>
      </c>
      <c r="C8009" t="inlineStr">
        <is>
          <t>Control Union Certifications Germany GmbH, Berlin, DE</t>
        </is>
      </c>
      <c r="D8009" t="inlineStr">
        <is>
          <t>09.02.2027</t>
        </is>
      </c>
      <c r="E8009" t="inlineStr">
        <is>
          <t>Republic of</t>
        </is>
      </c>
    </row>
    <row r="8010">
      <c r="A8010" t="inlineStr">
        <is>
          <t>Global UCO Company B.V.,  Kralendijk Bonaire, Netherlands Antilles, Netherlands</t>
        </is>
      </c>
      <c r="B8010" t="inlineStr">
        <is>
          <t>Trader</t>
        </is>
      </c>
      <c r="C8010" t="inlineStr">
        <is>
          <t>DEKRA Certification B.V., Arnhem, NL</t>
        </is>
      </c>
      <c r="D8010" t="inlineStr">
        <is>
          <t>09.02.2027</t>
        </is>
      </c>
      <c r="E8010" t="inlineStr">
        <is>
          <t>Netherlands</t>
        </is>
      </c>
    </row>
    <row r="8011">
      <c r="A8011" t="inlineStr">
        <is>
          <t>MENA JAYA SDN. BHD.,  Pasir Gudang, Malaysia</t>
        </is>
      </c>
      <c r="B8011" t="inlineStr">
        <is>
          <t>Warehouse, Trader with Storage, Processing Unit</t>
        </is>
      </c>
      <c r="C8011" t="inlineStr">
        <is>
          <t>PT Mutuagung Lestari, Depok, ID</t>
        </is>
      </c>
      <c r="D8011" t="inlineStr">
        <is>
          <t>08.02.2027</t>
        </is>
      </c>
      <c r="E8011" t="inlineStr">
        <is>
          <t>Malaysia</t>
        </is>
      </c>
    </row>
    <row r="8012">
      <c r="A8012" t="inlineStr">
        <is>
          <t>Southern Oil Source Sdn Bhd,  Johor Bahru, Malaysia</t>
        </is>
      </c>
      <c r="B8012" t="inlineStr">
        <is>
          <t>Collecting Point, Trader with Storage</t>
        </is>
      </c>
      <c r="C8012" t="inlineStr">
        <is>
          <t>RINA Services S.p.A., Genova, IT</t>
        </is>
      </c>
      <c r="D8012" t="inlineStr">
        <is>
          <t>08.02.2027</t>
        </is>
      </c>
      <c r="E8012" t="inlineStr">
        <is>
          <t>Malaysia</t>
        </is>
      </c>
    </row>
    <row r="8013">
      <c r="A8013" t="inlineStr">
        <is>
          <t>Southern Oil Source Sdn Bhd,  Johor Bahru, Malaysia</t>
        </is>
      </c>
      <c r="B8013" t="inlineStr">
        <is>
          <t>Collecting Point, Trader with Storage</t>
        </is>
      </c>
      <c r="C8013" t="inlineStr">
        <is>
          <t>RINA Services S.p.A., Genova, IT</t>
        </is>
      </c>
      <c r="D8013" t="inlineStr">
        <is>
          <t>08.02.2027</t>
        </is>
      </c>
      <c r="E8013" t="inlineStr">
        <is>
          <t>Malaysia</t>
        </is>
      </c>
    </row>
    <row r="8014">
      <c r="A8014" t="inlineStr">
        <is>
          <t>Tin Nghia Hung Company Limited,  Phu Son Hamlet, Binh Minh Commune, Vietnam</t>
        </is>
      </c>
      <c r="B8014" t="inlineStr">
        <is>
          <t>Collecting Point, Processing Unit</t>
        </is>
      </c>
      <c r="C8014" t="inlineStr">
        <is>
          <t>Control Union Certifications Germany GmbH, Berlin, DE</t>
        </is>
      </c>
      <c r="D8014" t="inlineStr">
        <is>
          <t>08.02.2027</t>
        </is>
      </c>
      <c r="E8014" t="inlineStr">
        <is>
          <t>Vietnam</t>
        </is>
      </c>
    </row>
    <row r="8015">
      <c r="A8015" t="inlineStr">
        <is>
          <t>Cornmill Hungary Kft.,  Nagyigmánd, Hungary</t>
        </is>
      </c>
      <c r="B8015" t="inlineStr">
        <is>
          <t>Processing Unit</t>
        </is>
      </c>
      <c r="C8015" t="inlineStr">
        <is>
          <t>Certificadora Gallega del Noroeste SL, Vilagarcia de Arousa-Pontevedra, ES</t>
        </is>
      </c>
      <c r="D8015" t="inlineStr">
        <is>
          <t>08.02.2027</t>
        </is>
      </c>
      <c r="E8015" t="inlineStr">
        <is>
          <t>Hungary</t>
        </is>
      </c>
    </row>
    <row r="8016">
      <c r="A8016" t="inlineStr">
        <is>
          <t>TENOIT CO., LTD.,  Taipei, Taiwan, Province of China</t>
        </is>
      </c>
      <c r="B8016" t="inlineStr">
        <is>
          <t>Trader</t>
        </is>
      </c>
      <c r="C8016" t="inlineStr">
        <is>
          <t>Bureau Veritas Polska Sp. z o.o., Warsaw, PL</t>
        </is>
      </c>
      <c r="D8016" t="inlineStr">
        <is>
          <t>08.02.2027</t>
        </is>
      </c>
      <c r="E8016" t="inlineStr">
        <is>
          <t>Province of China</t>
        </is>
      </c>
    </row>
    <row r="8017">
      <c r="A8017" t="inlineStr">
        <is>
          <t>KRYVOOZERSKII KOMBIKORMOVYI ZAVOD LLC,  Kryve Ozero, Ukraine</t>
        </is>
      </c>
      <c r="B8017" t="inlineStr">
        <is>
          <t>Processing Unit</t>
        </is>
      </c>
      <c r="C8017" t="inlineStr">
        <is>
          <t>Bureau Veritas Polska Sp. z o.o., Warsaw, PL</t>
        </is>
      </c>
      <c r="D8017" t="inlineStr">
        <is>
          <t>08.02.2027</t>
        </is>
      </c>
      <c r="E8017" t="inlineStr">
        <is>
          <t>Ukraine</t>
        </is>
      </c>
    </row>
    <row r="8018">
      <c r="A8018" t="inlineStr">
        <is>
          <t>Lanxess Chemical (China) Co., Ltd.,  Shanghai, China</t>
        </is>
      </c>
      <c r="B8018" t="inlineStr">
        <is>
          <t>Trader</t>
        </is>
      </c>
      <c r="C8018" t="inlineStr">
        <is>
          <t>TÜV NORD CERT GmbH, Essen, DE</t>
        </is>
      </c>
      <c r="D8018" t="inlineStr">
        <is>
          <t>08.02.2027</t>
        </is>
      </c>
      <c r="E8018" t="inlineStr">
        <is>
          <t>China</t>
        </is>
      </c>
    </row>
    <row r="8019">
      <c r="A8019" t="inlineStr">
        <is>
          <t>SA Green Pte Ltd,  Singapore, Singapore</t>
        </is>
      </c>
      <c r="B8019" t="inlineStr">
        <is>
          <t>Trader</t>
        </is>
      </c>
      <c r="C8019" t="inlineStr">
        <is>
          <t>SGS Germany GmbH, Emstek, DE</t>
        </is>
      </c>
      <c r="D8019" t="inlineStr">
        <is>
          <t>08.02.2027</t>
        </is>
      </c>
      <c r="E8019" t="inlineStr">
        <is>
          <t>Singapore</t>
        </is>
      </c>
    </row>
    <row r="8020">
      <c r="A8020" t="inlineStr">
        <is>
          <t>EFFECTIVE MOBILITY,  AZNALCOLLAR, Spain</t>
        </is>
      </c>
      <c r="B8020" t="inlineStr">
        <is>
          <t>Trader</t>
        </is>
      </c>
      <c r="C8020" t="inlineStr">
        <is>
          <t>RINA Services S.p.A., Genova, IT</t>
        </is>
      </c>
      <c r="D8020" t="inlineStr">
        <is>
          <t>08.02.2027</t>
        </is>
      </c>
      <c r="E8020" t="inlineStr">
        <is>
          <t>Spain</t>
        </is>
      </c>
    </row>
    <row r="8021">
      <c r="A8021" t="inlineStr">
        <is>
          <t>RiordanGroup,  Lara, Australia</t>
        </is>
      </c>
      <c r="B8021" t="inlineStr">
        <is>
          <t>Trader with Storage</t>
        </is>
      </c>
      <c r="C8021" t="inlineStr">
        <is>
          <t>Control Union Certifications Germany GmbH, Berlin, DE</t>
        </is>
      </c>
      <c r="D8021" t="inlineStr">
        <is>
          <t>08.02.2027</t>
        </is>
      </c>
      <c r="E8021" t="inlineStr">
        <is>
          <t>Australia</t>
        </is>
      </c>
    </row>
    <row r="8022">
      <c r="A8022" t="inlineStr">
        <is>
          <t>Altyn Shyghys,  Predgornoe village, Kazakhstan</t>
        </is>
      </c>
      <c r="B8022" t="inlineStr">
        <is>
          <t>Point of Origin, Processing Unit</t>
        </is>
      </c>
      <c r="C8022" t="inlineStr">
        <is>
          <t>TÜV NORD CERT GmbH, Essen, DE</t>
        </is>
      </c>
      <c r="D8022" t="inlineStr">
        <is>
          <t>08.02.2027</t>
        </is>
      </c>
      <c r="E8022" t="inlineStr">
        <is>
          <t>Kazakhstan</t>
        </is>
      </c>
    </row>
    <row r="8023">
      <c r="A8023" t="inlineStr">
        <is>
          <t>OQ Trading (Shanghai) Co., Ltd.,  Shanghai Pilot Free Trade Zone, China</t>
        </is>
      </c>
      <c r="B8023" t="inlineStr">
        <is>
          <t>Trader</t>
        </is>
      </c>
      <c r="C8023" t="inlineStr">
        <is>
          <t>SGS Germany GmbH, Emstek, DE</t>
        </is>
      </c>
      <c r="D8023" t="inlineStr">
        <is>
          <t>08.02.2027</t>
        </is>
      </c>
      <c r="E8023" t="inlineStr">
        <is>
          <t>China</t>
        </is>
      </c>
    </row>
    <row r="8024">
      <c r="A8024" t="inlineStr">
        <is>
          <t>APR ChemCycle,  Bacchus Marsh, Australia</t>
        </is>
      </c>
      <c r="B8024" t="inlineStr">
        <is>
          <t>Processing Unit, Collecting Point</t>
        </is>
      </c>
      <c r="C8024" t="inlineStr">
        <is>
          <t>SGS Germany GmbH, Emstek, DE</t>
        </is>
      </c>
      <c r="D8024" t="inlineStr">
        <is>
          <t>08.02.2027</t>
        </is>
      </c>
      <c r="E8024" t="inlineStr">
        <is>
          <t>Australia</t>
        </is>
      </c>
    </row>
    <row r="8025">
      <c r="A8025" t="inlineStr">
        <is>
          <t>Eco Zen Waste Management j.d.o.o.,  Zagreb, Croatia</t>
        </is>
      </c>
      <c r="B8025" t="inlineStr">
        <is>
          <t>Collecting Point</t>
        </is>
      </c>
      <c r="C8025" t="inlineStr">
        <is>
          <t>Bureau Veritas Polska Sp. z o.o., Warsaw, PL</t>
        </is>
      </c>
      <c r="D8025" t="inlineStr">
        <is>
          <t>08.02.2027</t>
        </is>
      </c>
      <c r="E8025" t="inlineStr">
        <is>
          <t>Croatia</t>
        </is>
      </c>
    </row>
    <row r="8026">
      <c r="A8026" t="inlineStr">
        <is>
          <t>RiordanGroup,  Lara, Australia</t>
        </is>
      </c>
      <c r="B8026" t="inlineStr">
        <is>
          <t>Trader with Storage</t>
        </is>
      </c>
      <c r="C8026" t="inlineStr">
        <is>
          <t>Control Union Certifications Germany GmbH, Berlin, DE</t>
        </is>
      </c>
      <c r="D8026" t="inlineStr">
        <is>
          <t>08.02.2027</t>
        </is>
      </c>
      <c r="E8026" t="inlineStr">
        <is>
          <t>Australia</t>
        </is>
      </c>
    </row>
    <row r="8027">
      <c r="A8027" t="inlineStr">
        <is>
          <t>OQ Trading (Shanghai) Co., Ltd.,  Shanghai Pilot Free Trade Zone, China</t>
        </is>
      </c>
      <c r="B8027" t="inlineStr">
        <is>
          <t>Trader</t>
        </is>
      </c>
      <c r="C8027" t="inlineStr">
        <is>
          <t>SGS Germany GmbH, Emstek, DE</t>
        </is>
      </c>
      <c r="D8027" t="inlineStr">
        <is>
          <t>08.02.2027</t>
        </is>
      </c>
      <c r="E8027" t="inlineStr">
        <is>
          <t>China</t>
        </is>
      </c>
    </row>
    <row r="8028">
      <c r="A8028" t="inlineStr">
        <is>
          <t>Xinxiang Zhenghong Environmental Industry Co., Ltd.,  Xinxiang, China</t>
        </is>
      </c>
      <c r="B8028" t="inlineStr">
        <is>
          <t>Collecting Point, Trader with Storage</t>
        </is>
      </c>
      <c r="C8028" t="inlineStr">
        <is>
          <t>RINA Services S.p.A., Genova, IT</t>
        </is>
      </c>
      <c r="D8028" t="inlineStr">
        <is>
          <t>08.02.2027</t>
        </is>
      </c>
      <c r="E8028" t="inlineStr">
        <is>
          <t>China</t>
        </is>
      </c>
    </row>
    <row r="8029">
      <c r="A8029" t="inlineStr">
        <is>
          <t>Sichuan Baohanfeng Waste Resource Comprehensive Utilization Co., Ltd,  Deyang City, Sichuan Province, China</t>
        </is>
      </c>
      <c r="B8029" t="inlineStr">
        <is>
          <t>Collecting Point, Trader with Storage</t>
        </is>
      </c>
      <c r="C8029" t="inlineStr">
        <is>
          <t>RINA Services S.p.A., Genova, IT</t>
        </is>
      </c>
      <c r="D8029" t="inlineStr">
        <is>
          <t>08.02.2027</t>
        </is>
      </c>
      <c r="E8029" t="inlineStr">
        <is>
          <t>China</t>
        </is>
      </c>
    </row>
    <row r="8030">
      <c r="A8030" t="inlineStr">
        <is>
          <t>Karyaindo Sejatitama,  Musi Rawas Regency, South Sumatera Province, Indonesia</t>
        </is>
      </c>
      <c r="B8030" t="inlineStr">
        <is>
          <t>Point of Origin</t>
        </is>
      </c>
      <c r="C8030" t="inlineStr">
        <is>
          <t>PT. Qualitas Sertifikasi Indonesia, Jakarta, ID</t>
        </is>
      </c>
      <c r="D8030" t="inlineStr">
        <is>
          <t>08.02.2027</t>
        </is>
      </c>
      <c r="E8030" t="inlineStr">
        <is>
          <t>Indonesia</t>
        </is>
      </c>
    </row>
    <row r="8031">
      <c r="A8031" t="inlineStr">
        <is>
          <t>Inter terminals Sweden AB,  Gothenburg, Sweden</t>
        </is>
      </c>
      <c r="B8031" t="inlineStr">
        <is>
          <t>Logistics Center</t>
        </is>
      </c>
      <c r="C8031" t="inlineStr">
        <is>
          <t>DNV Business Assurance Sweden AB, Solna, SE</t>
        </is>
      </c>
      <c r="D8031" t="inlineStr">
        <is>
          <t>08.02.2027</t>
        </is>
      </c>
      <c r="E8031" t="inlineStr">
        <is>
          <t>Sweden</t>
        </is>
      </c>
    </row>
    <row r="8032">
      <c r="A8032" t="inlineStr">
        <is>
          <t>Monjasa Ltd,  Limassol, Cyprus</t>
        </is>
      </c>
      <c r="B8032" t="inlineStr">
        <is>
          <t>Proof of Compliance Trader, Trader</t>
        </is>
      </c>
      <c r="C8032" t="inlineStr">
        <is>
          <t>Certificadora Gallega del Noroeste SL, Vilagarcia de Arousa-Pontevedra, ES</t>
        </is>
      </c>
      <c r="D8032" t="inlineStr">
        <is>
          <t>08.02.2027</t>
        </is>
      </c>
      <c r="E8032" t="inlineStr">
        <is>
          <t>Cyprus</t>
        </is>
      </c>
    </row>
    <row r="8033">
      <c r="A8033" t="inlineStr">
        <is>
          <t>Wijaya Biotech Sdn Bhd,  Bintulu, Malaysia</t>
        </is>
      </c>
      <c r="B8033" t="inlineStr">
        <is>
          <t>Trader with Storage, Processing Unit</t>
        </is>
      </c>
      <c r="C8033" t="inlineStr">
        <is>
          <t>Trans Certification and Inspection Sdn Bhd, Kuantan, MY</t>
        </is>
      </c>
      <c r="D8033" t="inlineStr">
        <is>
          <t>08.02.2027</t>
        </is>
      </c>
      <c r="E8033" t="inlineStr">
        <is>
          <t>Malaysia</t>
        </is>
      </c>
    </row>
    <row r="8034">
      <c r="A8034" t="inlineStr">
        <is>
          <t>INABATA INDONESIA,  KEL. SENAYAN, KEC. KEBAYORAN BARU, JAKARTA SELATAN, Indonesia</t>
        </is>
      </c>
      <c r="B8034" t="inlineStr">
        <is>
          <t>Trader with Storage</t>
        </is>
      </c>
      <c r="C8034" t="inlineStr">
        <is>
          <t>PT Intertek Utama Services, Jakarta, ID</t>
        </is>
      </c>
      <c r="D8034" t="inlineStr">
        <is>
          <t>08.02.2027</t>
        </is>
      </c>
      <c r="E8034" t="inlineStr">
        <is>
          <t>Indonesia</t>
        </is>
      </c>
    </row>
    <row r="8035">
      <c r="A8035" t="inlineStr">
        <is>
          <t>Petrochina International (East China) Co., Ltd.,  Shanghai, China, China</t>
        </is>
      </c>
      <c r="B8035" t="inlineStr">
        <is>
          <t>Trader</t>
        </is>
      </c>
      <c r="C8035" t="inlineStr">
        <is>
          <t>SCS Global Services, Emeryville, CA, US</t>
        </is>
      </c>
      <c r="D8035" t="inlineStr">
        <is>
          <t>08.02.2027</t>
        </is>
      </c>
      <c r="E8035" t="inlineStr">
        <is>
          <t>China</t>
        </is>
      </c>
    </row>
    <row r="8036">
      <c r="A8036" t="inlineStr">
        <is>
          <t>Brie Compost,  Cerneux, France</t>
        </is>
      </c>
      <c r="B8036" t="inlineStr">
        <is>
          <t>Processing Unit</t>
        </is>
      </c>
      <c r="C8036" t="inlineStr">
        <is>
          <t>DQS CFS GmbH - Deutsche Gesellschaft für Nachhaltigkeit, Frankfurt am Main, DE</t>
        </is>
      </c>
      <c r="D8036" t="inlineStr">
        <is>
          <t>08.02.2027</t>
        </is>
      </c>
      <c r="E8036" t="inlineStr">
        <is>
          <t>France</t>
        </is>
      </c>
    </row>
    <row r="8037">
      <c r="A8037" t="inlineStr">
        <is>
          <t>PT Sukses Inti Palma,  Muaro Jambi Regency, Jambi Province, Indonesia</t>
        </is>
      </c>
      <c r="B8037" t="inlineStr">
        <is>
          <t>Point of Origin</t>
        </is>
      </c>
      <c r="C8037" t="inlineStr">
        <is>
          <t>PT. Qualitas Sertifikasi Indonesia, Jakarta, ID</t>
        </is>
      </c>
      <c r="D8037" t="inlineStr">
        <is>
          <t>08.02.2027</t>
        </is>
      </c>
      <c r="E8037" t="inlineStr">
        <is>
          <t>Indonesia</t>
        </is>
      </c>
    </row>
    <row r="8038">
      <c r="A8038" t="inlineStr">
        <is>
          <t>PT Indah Subur Sawit,  Kab. Landak, Indonesia</t>
        </is>
      </c>
      <c r="B8038" t="inlineStr">
        <is>
          <t>Point of Origin</t>
        </is>
      </c>
      <c r="C8038" t="inlineStr">
        <is>
          <t>PT. Qualitas Sertifikasi Indonesia, Jakarta, ID</t>
        </is>
      </c>
      <c r="D8038" t="inlineStr">
        <is>
          <t>08.02.2027</t>
        </is>
      </c>
      <c r="E8038" t="inlineStr">
        <is>
          <t>Indonesia</t>
        </is>
      </c>
    </row>
    <row r="8039">
      <c r="A8039" t="inlineStr">
        <is>
          <t>PT Indah Subur Sawit,  Kab. Landak, Indonesia</t>
        </is>
      </c>
      <c r="B8039" t="inlineStr">
        <is>
          <t>Point of Origin</t>
        </is>
      </c>
      <c r="C8039" t="inlineStr">
        <is>
          <t>PT. Qualitas Sertifikasi Indonesia, Jakarta, ID</t>
        </is>
      </c>
      <c r="D8039" t="inlineStr">
        <is>
          <t>08.02.2027</t>
        </is>
      </c>
      <c r="E8039" t="inlineStr">
        <is>
          <t>Indonesia</t>
        </is>
      </c>
    </row>
    <row r="8040">
      <c r="A8040" t="inlineStr">
        <is>
          <t>Hartree Partners Singapore Pte. Limited,  Wheelock Place, 20-02, Singapore</t>
        </is>
      </c>
      <c r="B8040" t="inlineStr">
        <is>
          <t>Trader with Storage</t>
        </is>
      </c>
      <c r="C8040" t="inlineStr">
        <is>
          <t>China Standard Conformity Assessment Co. Ltd, Beijing, CN</t>
        </is>
      </c>
      <c r="D8040" t="inlineStr">
        <is>
          <t>08.02.2027</t>
        </is>
      </c>
      <c r="E8040" t="inlineStr">
        <is>
          <t>Singapore</t>
        </is>
      </c>
    </row>
    <row r="8041">
      <c r="A8041" t="inlineStr">
        <is>
          <t>PT. Sabang Sawit Nusantara,  Kecamatan Bathin VIII, Kabupeten Sarolangun, Indonesia</t>
        </is>
      </c>
      <c r="B8041" t="inlineStr">
        <is>
          <t>Point of Origin</t>
        </is>
      </c>
      <c r="C8041" t="inlineStr">
        <is>
          <t>PT. Qualitas Sertifikasi Indonesia, Jakarta, ID</t>
        </is>
      </c>
      <c r="D8041" t="inlineStr">
        <is>
          <t>08.02.2027</t>
        </is>
      </c>
      <c r="E8041" t="inlineStr">
        <is>
          <t>Indonesia</t>
        </is>
      </c>
    </row>
    <row r="8042">
      <c r="A8042" t="inlineStr">
        <is>
          <t>Asia Sawit Makmur Jaya,  Kabupaten Kuantan Singingi, Provinsi Riau, Indonesia</t>
        </is>
      </c>
      <c r="B8042" t="inlineStr">
        <is>
          <t>Point of Origin</t>
        </is>
      </c>
      <c r="C8042" t="inlineStr">
        <is>
          <t>PT. Qualitas Sertifikasi Indonesia, Jakarta, ID</t>
        </is>
      </c>
      <c r="D8042" t="inlineStr">
        <is>
          <t>08.02.2027</t>
        </is>
      </c>
      <c r="E8042" t="inlineStr">
        <is>
          <t>Indonesia</t>
        </is>
      </c>
    </row>
    <row r="8043">
      <c r="A8043" t="inlineStr">
        <is>
          <t>Karyaindo Sejatitama,  Musi Rawas Regency, South Sumatera Province, Indonesia</t>
        </is>
      </c>
      <c r="B8043" t="inlineStr">
        <is>
          <t>Point of Origin</t>
        </is>
      </c>
      <c r="C8043" t="inlineStr">
        <is>
          <t>PT. Qualitas Sertifikasi Indonesia, Jakarta, ID</t>
        </is>
      </c>
      <c r="D8043" t="inlineStr">
        <is>
          <t>08.02.2027</t>
        </is>
      </c>
      <c r="E8043" t="inlineStr">
        <is>
          <t>Indonesia</t>
        </is>
      </c>
    </row>
    <row r="8044">
      <c r="A8044" t="inlineStr">
        <is>
          <t>Fratelli Cosulich Monaco SAM,  Monaco, Monaco</t>
        </is>
      </c>
      <c r="B8044" t="inlineStr">
        <is>
          <t>Proof of Compliance Trader, Trader</t>
        </is>
      </c>
      <c r="C8044" t="inlineStr">
        <is>
          <t>SGS Germany GmbH, Emstek, DE</t>
        </is>
      </c>
      <c r="D8044" t="inlineStr">
        <is>
          <t>08.02.2027</t>
        </is>
      </c>
      <c r="E8044" t="inlineStr">
        <is>
          <t>Monaco</t>
        </is>
      </c>
    </row>
    <row r="8045">
      <c r="A8045" t="inlineStr">
        <is>
          <t>SINAR SAWIT LESTARI,  Kabupaten Labuhanbatu Utara, Prov. Sumatera Utara, Indonesia</t>
        </is>
      </c>
      <c r="B8045" t="inlineStr">
        <is>
          <t>Point of Origin</t>
        </is>
      </c>
      <c r="C8045" t="inlineStr">
        <is>
          <t>PT. Qualitas Sertifikasi Indonesia, Jakarta, ID</t>
        </is>
      </c>
      <c r="D8045" t="inlineStr">
        <is>
          <t>08.02.2027</t>
        </is>
      </c>
      <c r="E8045" t="inlineStr">
        <is>
          <t>Indonesia</t>
        </is>
      </c>
    </row>
    <row r="8046">
      <c r="A8046" t="inlineStr">
        <is>
          <t>SINAR SAWIT LESTARI,  Kabupaten Labuhanbatu Utara, Prov. Sumatera Utara, Indonesia</t>
        </is>
      </c>
      <c r="B8046" t="inlineStr">
        <is>
          <t>Point of Origin</t>
        </is>
      </c>
      <c r="C8046" t="inlineStr">
        <is>
          <t>PT. Qualitas Sertifikasi Indonesia, Jakarta, ID</t>
        </is>
      </c>
      <c r="D8046" t="inlineStr">
        <is>
          <t>08.02.2027</t>
        </is>
      </c>
      <c r="E8046" t="inlineStr">
        <is>
          <t>Indonesia</t>
        </is>
      </c>
    </row>
    <row r="8047">
      <c r="A8047" t="inlineStr">
        <is>
          <t>Meiwapax co.,ltd. Yatsushiro Factory,  Yatsushiro-shi, Kumamoto, Japan</t>
        </is>
      </c>
      <c r="B8047" t="inlineStr">
        <is>
          <t>Final Product Refinement</t>
        </is>
      </c>
      <c r="C8047" t="inlineStr">
        <is>
          <t>SGS Germany GmbH, Emstek, DE</t>
        </is>
      </c>
      <c r="D8047" t="inlineStr">
        <is>
          <t>08.02.2027</t>
        </is>
      </c>
      <c r="E8047" t="inlineStr">
        <is>
          <t>Japan</t>
        </is>
      </c>
    </row>
    <row r="8048">
      <c r="A8048" t="inlineStr">
        <is>
          <t>Greasecycle LLC,  Raleigh, NC, United States</t>
        </is>
      </c>
      <c r="B8048" t="inlineStr">
        <is>
          <t>Collecting Point</t>
        </is>
      </c>
      <c r="C8048" t="inlineStr">
        <is>
          <t>Certificadora Gallega del Noroeste SL, Vilagarcia de Arousa-Pontevedra, ES</t>
        </is>
      </c>
      <c r="D8048" t="inlineStr">
        <is>
          <t>08.02.2027</t>
        </is>
      </c>
      <c r="E8048" t="inlineStr">
        <is>
          <t>United States</t>
        </is>
      </c>
    </row>
    <row r="8049">
      <c r="A8049" t="inlineStr">
        <is>
          <t>Greasecycle LLC,  Raleigh, NC, United States</t>
        </is>
      </c>
      <c r="B8049" t="inlineStr">
        <is>
          <t>Collecting Point</t>
        </is>
      </c>
      <c r="C8049" t="inlineStr">
        <is>
          <t>Certificadora Gallega del Noroeste SL, Vilagarcia de Arousa-Pontevedra, ES</t>
        </is>
      </c>
      <c r="D8049" t="inlineStr">
        <is>
          <t>08.02.2027</t>
        </is>
      </c>
      <c r="E8049" t="inlineStr">
        <is>
          <t>United States</t>
        </is>
      </c>
    </row>
    <row r="8050">
      <c r="A8050" t="inlineStr">
        <is>
          <t>Hainan Ganghui Yida Supply Chain Management Co., Ltd.,  Qingdao, China</t>
        </is>
      </c>
      <c r="B8050" t="inlineStr">
        <is>
          <t>Trader</t>
        </is>
      </c>
      <c r="C8050" t="inlineStr">
        <is>
          <t>China Classification Society Certification Co., Ltd, Dong Cheng District, Beijing, CN</t>
        </is>
      </c>
      <c r="D8050" t="inlineStr">
        <is>
          <t>08.02.2027</t>
        </is>
      </c>
      <c r="E8050" t="inlineStr">
        <is>
          <t>China</t>
        </is>
      </c>
    </row>
    <row r="8051">
      <c r="A8051" t="inlineStr">
        <is>
          <t>Colorite Europe Ltd. (Tekniplex Healthcare),  Belfast, United Kingdom</t>
        </is>
      </c>
      <c r="B8051" t="inlineStr">
        <is>
          <t>Processing Unit</t>
        </is>
      </c>
      <c r="C8051" t="inlineStr">
        <is>
          <t>Aardvark Certification Ltd, Wiveliscombe, Somerset, GB</t>
        </is>
      </c>
      <c r="D8051" t="inlineStr">
        <is>
          <t>08.02.2027</t>
        </is>
      </c>
      <c r="E8051" t="inlineStr">
        <is>
          <t>United Kingdom</t>
        </is>
      </c>
    </row>
    <row r="8052">
      <c r="A8052" t="inlineStr">
        <is>
          <t>TOYOTA TSUSHO CORPORATION,  Minato-ku, Tokyo, Japan</t>
        </is>
      </c>
      <c r="B8052" t="inlineStr">
        <is>
          <t>Trader with Storage</t>
        </is>
      </c>
      <c r="C8052" t="inlineStr">
        <is>
          <t>SGS Germany GmbH, Emstek, DE</t>
        </is>
      </c>
      <c r="D8052" t="inlineStr">
        <is>
          <t>08.02.2027</t>
        </is>
      </c>
      <c r="E8052" t="inlineStr">
        <is>
          <t>Japan</t>
        </is>
      </c>
    </row>
    <row r="8053">
      <c r="A8053" t="inlineStr">
        <is>
          <t>Shell Global Solutions (Germany) GmbH,  Hamburg, Germany</t>
        </is>
      </c>
      <c r="B8053" t="inlineStr">
        <is>
          <t>Trader with Storage</t>
        </is>
      </c>
      <c r="C8053" t="inlineStr">
        <is>
          <t>SGS Germany GmbH, Emstek, DE</t>
        </is>
      </c>
      <c r="D8053" t="inlineStr">
        <is>
          <t>08.02.2027</t>
        </is>
      </c>
      <c r="E8053" t="inlineStr">
        <is>
          <t>Germany</t>
        </is>
      </c>
    </row>
    <row r="8054">
      <c r="A8054" t="inlineStr">
        <is>
          <t>PT. Mandala Nabati Inti,  Kota Bandar Lampung, Indonesia</t>
        </is>
      </c>
      <c r="B8054" t="inlineStr">
        <is>
          <t>Point of Origin, Processing Unit, Trader with Storage</t>
        </is>
      </c>
      <c r="C8054" t="inlineStr">
        <is>
          <t>PT. Qualitas Sertifikasi Indonesia, Jakarta, ID</t>
        </is>
      </c>
      <c r="D8054" t="inlineStr">
        <is>
          <t>08.02.2027</t>
        </is>
      </c>
      <c r="E8054" t="inlineStr">
        <is>
          <t>Indonesia</t>
        </is>
      </c>
    </row>
    <row r="8055">
      <c r="A8055" t="inlineStr">
        <is>
          <t>Amcor (Huizhou) New Materials Technology Co.,Ltd.,  Zhongkai Technology Zone, Huizhou City, China</t>
        </is>
      </c>
      <c r="B8055" t="inlineStr">
        <is>
          <t>Processing Unit</t>
        </is>
      </c>
      <c r="C8055" t="inlineStr">
        <is>
          <t>SGS Germany GmbH, Emstek, DE</t>
        </is>
      </c>
      <c r="D8055" t="inlineStr">
        <is>
          <t>08.02.2027</t>
        </is>
      </c>
      <c r="E8055" t="inlineStr">
        <is>
          <t>China</t>
        </is>
      </c>
    </row>
    <row r="8056">
      <c r="A8056" t="inlineStr">
        <is>
          <t>ITOCHU Corporation,  Minato-ku, Tokyo, Japan</t>
        </is>
      </c>
      <c r="B8056" t="inlineStr">
        <is>
          <t>Trader with Storage</t>
        </is>
      </c>
      <c r="C8056" t="inlineStr">
        <is>
          <t>Control Union Certifications Germany GmbH, Berlin, DE</t>
        </is>
      </c>
      <c r="D8056" t="inlineStr">
        <is>
          <t>08.02.2027</t>
        </is>
      </c>
      <c r="E8056" t="inlineStr">
        <is>
          <t>Japan</t>
        </is>
      </c>
    </row>
    <row r="8057">
      <c r="A8057" t="inlineStr">
        <is>
          <t>Eco Sustainable Solutions,  Dorset, United Kingdom</t>
        </is>
      </c>
      <c r="B8057" t="inlineStr">
        <is>
          <t>Collecting Point, Processing Unit</t>
        </is>
      </c>
      <c r="C8057" t="inlineStr">
        <is>
          <t>Aardvark Certification Ltd, Wiveliscombe, Somerset, GB</t>
        </is>
      </c>
      <c r="D8057" t="inlineStr">
        <is>
          <t>08.02.2027</t>
        </is>
      </c>
      <c r="E8057" t="inlineStr">
        <is>
          <t>United Kingdom</t>
        </is>
      </c>
    </row>
    <row r="8058">
      <c r="A8058" t="inlineStr">
        <is>
          <t>SWIFT ARGENTINA S.A.,  Pontevedra, Argentina</t>
        </is>
      </c>
      <c r="B8058" t="inlineStr">
        <is>
          <t>Collecting Point, Point of Origin, Trader with Storage</t>
        </is>
      </c>
      <c r="C8058" t="inlineStr">
        <is>
          <t>Control Union Poland Sp. z o.o., Zielona Gora, PL</t>
        </is>
      </c>
      <c r="D8058" t="inlineStr">
        <is>
          <t>08.02.2027</t>
        </is>
      </c>
      <c r="E8058" t="inlineStr">
        <is>
          <t>Argentina</t>
        </is>
      </c>
    </row>
    <row r="8059">
      <c r="A8059" t="inlineStr">
        <is>
          <t>SWIFT ARGENTINA S.A.,  Pontevedra, Argentina</t>
        </is>
      </c>
      <c r="B8059" t="inlineStr">
        <is>
          <t>Collecting Point, Point of Origin, Trader with Storage</t>
        </is>
      </c>
      <c r="C8059" t="inlineStr">
        <is>
          <t>Control Union Poland Sp. z o.o., Zielona Gora, PL</t>
        </is>
      </c>
      <c r="D8059" t="inlineStr">
        <is>
          <t>08.02.2027</t>
        </is>
      </c>
      <c r="E8059" t="inlineStr">
        <is>
          <t>Argentina</t>
        </is>
      </c>
    </row>
    <row r="8060">
      <c r="A8060" t="inlineStr">
        <is>
          <t>ZHEJIANG EASTRIVER ENERGY S&amp;T CO.,LTD,  Tongxiang City, Zhejiang Province, China</t>
        </is>
      </c>
      <c r="B8060" t="inlineStr">
        <is>
          <t>Point of Origin, Processing Unit, Trader with Storage</t>
        </is>
      </c>
      <c r="C8060" t="inlineStr">
        <is>
          <t>RINA Services S.p.A., Genova, IT</t>
        </is>
      </c>
      <c r="D8060" t="inlineStr">
        <is>
          <t>07.02.2027</t>
        </is>
      </c>
      <c r="E8060" t="inlineStr">
        <is>
          <t>China</t>
        </is>
      </c>
    </row>
    <row r="8061">
      <c r="A8061" t="inlineStr">
        <is>
          <t>Oriental Silicas Corporation,  Sanyi, Miaoli, Taiwan</t>
        </is>
      </c>
      <c r="B8061" t="inlineStr">
        <is>
          <t>Collecting Point, Processing Unit</t>
        </is>
      </c>
      <c r="C8061" t="inlineStr">
        <is>
          <t>Bureau Veritas Polska Sp. z o.o., Warsaw, PL</t>
        </is>
      </c>
      <c r="D8061" t="inlineStr">
        <is>
          <t>07.02.2027</t>
        </is>
      </c>
      <c r="E8061" t="inlineStr">
        <is>
          <t>Taiwan</t>
        </is>
      </c>
    </row>
    <row r="8062">
      <c r="A8062" t="inlineStr">
        <is>
          <t>Coming Industria e Comercio de Couros LTDA,  Trindade - GO, Brazil</t>
        </is>
      </c>
      <c r="B8062" t="inlineStr">
        <is>
          <t>Collecting Point, Trader</t>
        </is>
      </c>
      <c r="C8062" t="inlineStr">
        <is>
          <t>Control Union Poland Sp. z o.o., Zielona Gora, PL</t>
        </is>
      </c>
      <c r="D8062" t="inlineStr">
        <is>
          <t>07.02.2027</t>
        </is>
      </c>
      <c r="E8062" t="inlineStr">
        <is>
          <t>Brazil</t>
        </is>
      </c>
    </row>
    <row r="8063">
      <c r="A8063" t="inlineStr">
        <is>
          <t>Peninsula Petroleum (Netherlands) B.V.,  Breda, Netherlands</t>
        </is>
      </c>
      <c r="B8063" t="inlineStr">
        <is>
          <t>Proof of Compliance Trader, Trader with Storage</t>
        </is>
      </c>
      <c r="C8063" t="inlineStr">
        <is>
          <t>Bureau Veritas Polska Sp. z o.o., Warsaw, PL</t>
        </is>
      </c>
      <c r="D8063" t="inlineStr">
        <is>
          <t>07.02.2027</t>
        </is>
      </c>
      <c r="E8063" t="inlineStr">
        <is>
          <t>Netherlands</t>
        </is>
      </c>
    </row>
    <row r="8064">
      <c r="A8064" t="inlineStr">
        <is>
          <t>ENRESTEC,  Fangliao Township, Pingtung County, Taiwan, Province of China</t>
        </is>
      </c>
      <c r="B8064" t="inlineStr">
        <is>
          <t>Collecting Point, Processing Unit</t>
        </is>
      </c>
      <c r="C8064" t="inlineStr">
        <is>
          <t>SGS Germany GmbH, Emstek, DE</t>
        </is>
      </c>
      <c r="D8064" t="inlineStr">
        <is>
          <t>07.02.2027</t>
        </is>
      </c>
      <c r="E8064" t="inlineStr">
        <is>
          <t>Province of China</t>
        </is>
      </c>
    </row>
    <row r="8065">
      <c r="A8065" t="inlineStr">
        <is>
          <t>ReFood Service,  Etampes, France</t>
        </is>
      </c>
      <c r="B8065" t="inlineStr">
        <is>
          <t>Collecting Point</t>
        </is>
      </c>
      <c r="C8065" t="inlineStr">
        <is>
          <t>Control Union Certifications Germany GmbH, Berlin, DE</t>
        </is>
      </c>
      <c r="D8065" t="inlineStr">
        <is>
          <t>07.02.2027</t>
        </is>
      </c>
      <c r="E8065" t="inlineStr">
        <is>
          <t>France</t>
        </is>
      </c>
    </row>
    <row r="8066">
      <c r="A8066" t="inlineStr">
        <is>
          <t>Coming Industria e Comercio de Couros LTDA,  Trindade - GO, Brazil</t>
        </is>
      </c>
      <c r="B8066" t="inlineStr">
        <is>
          <t>Collecting Point, Trader</t>
        </is>
      </c>
      <c r="C8066" t="inlineStr">
        <is>
          <t>Control Union Poland Sp. z o.o., Zielona Gora, PL</t>
        </is>
      </c>
      <c r="D8066" t="inlineStr">
        <is>
          <t>07.02.2027</t>
        </is>
      </c>
      <c r="E8066" t="inlineStr">
        <is>
          <t>Brazil</t>
        </is>
      </c>
    </row>
    <row r="8067">
      <c r="A8067" t="inlineStr">
        <is>
          <t>Zhumadian Mingting Trading Co., Ltd.,  Zhumadian City, Henan Province, China</t>
        </is>
      </c>
      <c r="B8067" t="inlineStr">
        <is>
          <t>Collecting Point</t>
        </is>
      </c>
      <c r="C8067" t="inlineStr">
        <is>
          <t>RINA Services S.p.A., Genova, IT</t>
        </is>
      </c>
      <c r="D8067" t="inlineStr">
        <is>
          <t>07.02.2027</t>
        </is>
      </c>
      <c r="E8067" t="inlineStr">
        <is>
          <t>China</t>
        </is>
      </c>
    </row>
    <row r="8068">
      <c r="A8068" t="inlineStr">
        <is>
          <t>MBP Bio Production AS,  Greåker, Norway</t>
        </is>
      </c>
      <c r="B8068" t="inlineStr">
        <is>
          <t>Collecting Point, Trader with Storage</t>
        </is>
      </c>
      <c r="C8068" t="inlineStr">
        <is>
          <t>Control Union Certifications Germany GmbH, Berlin, DE</t>
        </is>
      </c>
      <c r="D8068" t="inlineStr">
        <is>
          <t>07.02.2027</t>
        </is>
      </c>
      <c r="E8068" t="inlineStr">
        <is>
          <t>Norway</t>
        </is>
      </c>
    </row>
    <row r="8069">
      <c r="A8069" t="inlineStr">
        <is>
          <t>SIG Combibloc GmbH,  Linnich, Germany</t>
        </is>
      </c>
      <c r="B8069" t="inlineStr">
        <is>
          <t>Processing Unit, Trader with Storage</t>
        </is>
      </c>
      <c r="C8069" t="inlineStr">
        <is>
          <t>PT Intertek Utama Services, Jakarta, ID</t>
        </is>
      </c>
      <c r="D8069" t="inlineStr">
        <is>
          <t>07.02.2027</t>
        </is>
      </c>
      <c r="E8069" t="inlineStr">
        <is>
          <t>Germany</t>
        </is>
      </c>
    </row>
    <row r="8070">
      <c r="A8070" t="inlineStr">
        <is>
          <t>MONTOI,  Escobedo, Nuevo Leon, Mexico</t>
        </is>
      </c>
      <c r="B8070" t="inlineStr">
        <is>
          <t>Processing Unit</t>
        </is>
      </c>
      <c r="C8070" t="inlineStr">
        <is>
          <t>SCS Global Services, Emeryville, CA, US</t>
        </is>
      </c>
      <c r="D8070" t="inlineStr">
        <is>
          <t>07.02.2027</t>
        </is>
      </c>
      <c r="E8070" t="inlineStr">
        <is>
          <t>Mexico</t>
        </is>
      </c>
    </row>
    <row r="8071">
      <c r="A8071" t="inlineStr">
        <is>
          <t>Richtech Green Energy,  Wada, India</t>
        </is>
      </c>
      <c r="B8071" t="inlineStr">
        <is>
          <t>Processing Unit, Collecting Point</t>
        </is>
      </c>
      <c r="C8071" t="inlineStr">
        <is>
          <t>Cotecna India Inspection Pvt Ltd, Kolkata, IN</t>
        </is>
      </c>
      <c r="D8071" t="inlineStr">
        <is>
          <t>07.02.2027</t>
        </is>
      </c>
      <c r="E8071" t="inlineStr">
        <is>
          <t>India</t>
        </is>
      </c>
    </row>
    <row r="8072">
      <c r="A8072" t="inlineStr">
        <is>
          <t>EcoTech Recycling Solutions,  Jamshedpur, India</t>
        </is>
      </c>
      <c r="B8072" t="inlineStr">
        <is>
          <t>Collecting Point, Processing Unit</t>
        </is>
      </c>
      <c r="C8072" t="inlineStr">
        <is>
          <t>Alcumus ISOQAR Ltd, Stretford, Manchester, GB</t>
        </is>
      </c>
      <c r="D8072" t="inlineStr">
        <is>
          <t>07.02.2027</t>
        </is>
      </c>
      <c r="E8072" t="inlineStr">
        <is>
          <t>India</t>
        </is>
      </c>
    </row>
    <row r="8073">
      <c r="A8073" t="inlineStr">
        <is>
          <t>Olivet B.V.,  Dordrecht, Netherlands</t>
        </is>
      </c>
      <c r="B8073" t="inlineStr">
        <is>
          <t>Collecting Point, Trader with Storage</t>
        </is>
      </c>
      <c r="C8073" t="inlineStr">
        <is>
          <t>DEKRA Certification B.V., Arnhem, NL</t>
        </is>
      </c>
      <c r="D8073" t="inlineStr">
        <is>
          <t>07.02.2027</t>
        </is>
      </c>
      <c r="E8073" t="inlineStr">
        <is>
          <t>Netherlands</t>
        </is>
      </c>
    </row>
    <row r="8074">
      <c r="A8074" t="inlineStr">
        <is>
          <t>Marubeni Petroleum Co., Ltd.,  Chiyoda-ku, Japan</t>
        </is>
      </c>
      <c r="B8074" t="inlineStr">
        <is>
          <t>Trader</t>
        </is>
      </c>
      <c r="C8074" t="inlineStr">
        <is>
          <t>Control Union Certifications Germany GmbH, Berlin, DE</t>
        </is>
      </c>
      <c r="D8074" t="inlineStr">
        <is>
          <t>07.02.2027</t>
        </is>
      </c>
      <c r="E8074" t="inlineStr">
        <is>
          <t>Japan</t>
        </is>
      </c>
    </row>
    <row r="8075">
      <c r="A8075" t="inlineStr">
        <is>
          <t>Marubeni Petroleum Co., Ltd.,  Chiyoda-ku, Japan</t>
        </is>
      </c>
      <c r="B8075" t="inlineStr">
        <is>
          <t>Trader</t>
        </is>
      </c>
      <c r="C8075" t="inlineStr">
        <is>
          <t>Control Union Certifications Germany GmbH, Berlin, DE</t>
        </is>
      </c>
      <c r="D8075" t="inlineStr">
        <is>
          <t>07.02.2027</t>
        </is>
      </c>
      <c r="E8075" t="inlineStr">
        <is>
          <t>Japan</t>
        </is>
      </c>
    </row>
    <row r="8076">
      <c r="A8076" t="inlineStr">
        <is>
          <t>Kisung Steel.co.,Ltd. Pyeongtaek Branch,  Gyeonggi-do, Pyeongtaek-si, Korea, Republic of</t>
        </is>
      </c>
      <c r="B8076" t="inlineStr">
        <is>
          <t>Collecting Point, Processing Unit</t>
        </is>
      </c>
      <c r="C8076" t="inlineStr">
        <is>
          <t>Control Union Certifications Germany GmbH, Berlin, DE</t>
        </is>
      </c>
      <c r="D8076" t="inlineStr">
        <is>
          <t>07.02.2027</t>
        </is>
      </c>
      <c r="E8076" t="inlineStr">
        <is>
          <t>Republic of</t>
        </is>
      </c>
    </row>
    <row r="8077">
      <c r="A8077" t="inlineStr">
        <is>
          <t>Marubeni Corporation,  Tokyo, Japan</t>
        </is>
      </c>
      <c r="B8077" t="inlineStr">
        <is>
          <t>Trader</t>
        </is>
      </c>
      <c r="C8077" t="inlineStr">
        <is>
          <t>Control Union Certifications Germany GmbH, Berlin, DE</t>
        </is>
      </c>
      <c r="D8077" t="inlineStr">
        <is>
          <t>07.02.2027</t>
        </is>
      </c>
      <c r="E8077" t="inlineStr">
        <is>
          <t>Japan</t>
        </is>
      </c>
    </row>
    <row r="8078">
      <c r="A8078" t="inlineStr">
        <is>
          <t>Marubeni Corporation,  Tokyo, Japan</t>
        </is>
      </c>
      <c r="B8078" t="inlineStr">
        <is>
          <t>Trader with Storage</t>
        </is>
      </c>
      <c r="C8078" t="inlineStr">
        <is>
          <t>Control Union Certifications Germany GmbH, Berlin, DE</t>
        </is>
      </c>
      <c r="D8078" t="inlineStr">
        <is>
          <t>07.02.2027</t>
        </is>
      </c>
      <c r="E8078" t="inlineStr">
        <is>
          <t>Japan</t>
        </is>
      </c>
    </row>
    <row r="8079">
      <c r="A8079" t="inlineStr">
        <is>
          <t>Marubeni Corporation,  Tokyo, Japan</t>
        </is>
      </c>
      <c r="B8079" t="inlineStr">
        <is>
          <t>Trader with Storage</t>
        </is>
      </c>
      <c r="C8079" t="inlineStr">
        <is>
          <t>Control Union Certifications Germany GmbH, Berlin, DE</t>
        </is>
      </c>
      <c r="D8079" t="inlineStr">
        <is>
          <t>07.02.2027</t>
        </is>
      </c>
      <c r="E8079" t="inlineStr">
        <is>
          <t>Japan</t>
        </is>
      </c>
    </row>
    <row r="8080">
      <c r="A8080" t="inlineStr">
        <is>
          <t>Pyeongtaek Fat and Fatty Oil Co.,  Pyeongtaek-si, South Korea</t>
        </is>
      </c>
      <c r="B8080" t="inlineStr">
        <is>
          <t>Collecting Point, Trader with Storage</t>
        </is>
      </c>
      <c r="C8080" t="inlineStr">
        <is>
          <t>SGS Germany GmbH, Emstek, DE</t>
        </is>
      </c>
      <c r="D8080" t="inlineStr">
        <is>
          <t>07.02.2027</t>
        </is>
      </c>
      <c r="E8080" t="inlineStr">
        <is>
          <t>South Korea</t>
        </is>
      </c>
    </row>
    <row r="8081">
      <c r="A8081" t="inlineStr">
        <is>
          <t>Best Image (Ying De) Toys Co., Ltd.,  Yingde City, Guangdong Province, China</t>
        </is>
      </c>
      <c r="B8081" t="inlineStr">
        <is>
          <t>Processing Unit</t>
        </is>
      </c>
      <c r="C8081" t="inlineStr">
        <is>
          <t>DIN CERTCO GmbH, Berlin, DE</t>
        </is>
      </c>
      <c r="D8081" t="inlineStr">
        <is>
          <t>07.02.2027</t>
        </is>
      </c>
      <c r="E8081" t="inlineStr">
        <is>
          <t>China</t>
        </is>
      </c>
    </row>
    <row r="8082">
      <c r="A8082" t="inlineStr">
        <is>
          <t>Melitta UK Limited,  Telford, Shropshire, United Kingdom</t>
        </is>
      </c>
      <c r="B8082" t="inlineStr">
        <is>
          <t>Trader with Storage</t>
        </is>
      </c>
      <c r="C8082" t="inlineStr">
        <is>
          <t>SGS Germany GmbH, Emstek, DE</t>
        </is>
      </c>
      <c r="D8082" t="inlineStr">
        <is>
          <t>07.02.2027</t>
        </is>
      </c>
      <c r="E8082" t="inlineStr">
        <is>
          <t>United Kingdom</t>
        </is>
      </c>
    </row>
    <row r="8083">
      <c r="A8083" t="inlineStr">
        <is>
          <t>Nestle Suisse SA,  Basel, Switzerland</t>
        </is>
      </c>
      <c r="B8083" t="inlineStr">
        <is>
          <t>Processing Unit</t>
        </is>
      </c>
      <c r="C8083" t="inlineStr">
        <is>
          <t>SGS Germany GmbH, Emstek, DE</t>
        </is>
      </c>
      <c r="D8083" t="inlineStr">
        <is>
          <t>07.02.2027</t>
        </is>
      </c>
      <c r="E8083" t="inlineStr">
        <is>
          <t>Switzerland</t>
        </is>
      </c>
    </row>
    <row r="8084">
      <c r="A8084" t="inlineStr">
        <is>
          <t>Nolato Jaycare,  Newcastle upon Tyne, United Kingdom</t>
        </is>
      </c>
      <c r="B8084" t="inlineStr">
        <is>
          <t>Processing Unit, Warehouse</t>
        </is>
      </c>
      <c r="C8084" t="inlineStr">
        <is>
          <t>Aardvark Certification Ltd, Wiveliscombe, Somerset, GB</t>
        </is>
      </c>
      <c r="D8084" t="inlineStr">
        <is>
          <t>07.02.2027</t>
        </is>
      </c>
      <c r="E8084" t="inlineStr">
        <is>
          <t>United Kingdom</t>
        </is>
      </c>
    </row>
    <row r="8085">
      <c r="A8085" t="inlineStr">
        <is>
          <t>e-FORMULA TRADING INC.,  Taipei City, Taiwan, Province of China</t>
        </is>
      </c>
      <c r="B8085" t="inlineStr">
        <is>
          <t>Trader with Storage</t>
        </is>
      </c>
      <c r="C8085" t="inlineStr">
        <is>
          <t>Bureau Veritas Polska Sp. z o.o., Warsaw, PL</t>
        </is>
      </c>
      <c r="D8085" t="inlineStr">
        <is>
          <t>07.02.2027</t>
        </is>
      </c>
      <c r="E8085" t="inlineStr">
        <is>
          <t>Province of China</t>
        </is>
      </c>
    </row>
    <row r="8086">
      <c r="A8086" t="inlineStr">
        <is>
          <t>VIVA ENERGY AUSTRALIA,  Corio, Australia</t>
        </is>
      </c>
      <c r="B8086" t="inlineStr">
        <is>
          <t>Processing Unit, Trader with Storage</t>
        </is>
      </c>
      <c r="C8086" t="inlineStr">
        <is>
          <t>SGS Germany GmbH, Emstek, DE</t>
        </is>
      </c>
      <c r="D8086" t="inlineStr">
        <is>
          <t>06.02.2027</t>
        </is>
      </c>
      <c r="E8086" t="inlineStr">
        <is>
          <t>Australia</t>
        </is>
      </c>
    </row>
    <row r="8087">
      <c r="A8087" t="inlineStr">
        <is>
          <t>Solenis Germany GmbH,  Krefeld, Germany</t>
        </is>
      </c>
      <c r="B8087" t="inlineStr">
        <is>
          <t>Trader</t>
        </is>
      </c>
      <c r="C8087" t="inlineStr">
        <is>
          <t>RINA Services S.p.A., Genova, IT</t>
        </is>
      </c>
      <c r="D8087" t="inlineStr">
        <is>
          <t>06.02.2027</t>
        </is>
      </c>
      <c r="E8087" t="inlineStr">
        <is>
          <t>Germany</t>
        </is>
      </c>
    </row>
    <row r="8088">
      <c r="A8088" t="inlineStr">
        <is>
          <t>FORMOSA PETROCHEMICAL CORPORATION,  Zhongxing Vil., Mailiao Township, Yunlin County, Taiwan</t>
        </is>
      </c>
      <c r="B8088" t="inlineStr">
        <is>
          <t>Processing Unit</t>
        </is>
      </c>
      <c r="C8088" t="inlineStr">
        <is>
          <t>Bureau Veritas Polska Sp. z o.o., Warsaw, PL</t>
        </is>
      </c>
      <c r="D8088" t="inlineStr">
        <is>
          <t>06.02.2027</t>
        </is>
      </c>
      <c r="E8088" t="inlineStr">
        <is>
          <t>Taiwan</t>
        </is>
      </c>
    </row>
    <row r="8089">
      <c r="A8089" t="inlineStr">
        <is>
          <t>Solenis Technologies Germany GmbH,  Krefeld, Germany</t>
        </is>
      </c>
      <c r="B8089" t="inlineStr">
        <is>
          <t>Processing Unit</t>
        </is>
      </c>
      <c r="C8089" t="inlineStr">
        <is>
          <t>RINA Services S.p.A., Genova, IT</t>
        </is>
      </c>
      <c r="D8089" t="inlineStr">
        <is>
          <t>06.02.2027</t>
        </is>
      </c>
      <c r="E8089" t="inlineStr">
        <is>
          <t>Germany</t>
        </is>
      </c>
    </row>
    <row r="8090">
      <c r="A8090" t="inlineStr">
        <is>
          <t>SCL GmbH,  Krefeld, Germany</t>
        </is>
      </c>
      <c r="B8090" t="inlineStr">
        <is>
          <t>Trader</t>
        </is>
      </c>
      <c r="C8090" t="inlineStr">
        <is>
          <t>RINA Services S.p.A., Genova, IT</t>
        </is>
      </c>
      <c r="D8090" t="inlineStr">
        <is>
          <t>06.02.2027</t>
        </is>
      </c>
      <c r="E8090" t="inlineStr">
        <is>
          <t>Germany</t>
        </is>
      </c>
    </row>
    <row r="8091">
      <c r="A8091" t="inlineStr">
        <is>
          <t>Zhejiang Green Trading Limited,  Tongxiang City, Jiaxing (ZJ), China</t>
        </is>
      </c>
      <c r="B8091" t="inlineStr">
        <is>
          <t>Trader</t>
        </is>
      </c>
      <c r="C8091" t="inlineStr">
        <is>
          <t>RINA Services S.p.A., Genova, IT</t>
        </is>
      </c>
      <c r="D8091" t="inlineStr">
        <is>
          <t>06.02.2027</t>
        </is>
      </c>
      <c r="E8091" t="inlineStr">
        <is>
          <t>China</t>
        </is>
      </c>
    </row>
    <row r="8092">
      <c r="A8092" t="inlineStr">
        <is>
          <t>SK ECO PRIME SINGAPORE PTE. LTD.,  SINGAPORE, Singapore</t>
        </is>
      </c>
      <c r="B8092" t="inlineStr">
        <is>
          <t>Trader</t>
        </is>
      </c>
      <c r="C8092" t="inlineStr">
        <is>
          <t>Control Union Certifications Germany GmbH, Berlin, DE</t>
        </is>
      </c>
      <c r="D8092" t="inlineStr">
        <is>
          <t>06.02.2027</t>
        </is>
      </c>
      <c r="E8092" t="inlineStr">
        <is>
          <t>Singapore</t>
        </is>
      </c>
    </row>
    <row r="8093">
      <c r="A8093" t="inlineStr">
        <is>
          <t>G&amp;F Service LLC,  Misato-shi, Saitama Ken, Japan</t>
        </is>
      </c>
      <c r="B8093" t="inlineStr">
        <is>
          <t>Collecting Point</t>
        </is>
      </c>
      <c r="C8093" t="inlineStr">
        <is>
          <t>Control Union Certifications Germany GmbH, Berlin, DE</t>
        </is>
      </c>
      <c r="D8093" t="inlineStr">
        <is>
          <t>06.02.2027</t>
        </is>
      </c>
      <c r="E8093" t="inlineStr">
        <is>
          <t>Japan</t>
        </is>
      </c>
    </row>
    <row r="8094">
      <c r="A8094" t="inlineStr">
        <is>
          <t>Industrias Químicas del Óxido de Etileno,  La Canonja (Tarragona), Spain</t>
        </is>
      </c>
      <c r="B8094" t="inlineStr">
        <is>
          <t>Processing Unit</t>
        </is>
      </c>
      <c r="C8094" t="inlineStr">
        <is>
          <t>Bureau Veritas Polska Sp. z o.o., Warsaw, PL</t>
        </is>
      </c>
      <c r="D8094" t="inlineStr">
        <is>
          <t>06.02.2027</t>
        </is>
      </c>
      <c r="E8094" t="inlineStr">
        <is>
          <t>Spain</t>
        </is>
      </c>
    </row>
    <row r="8095">
      <c r="A8095" t="inlineStr">
        <is>
          <t>Dezhou Ruikang Bio Technology Co., Ltd.,  Dezhou, China</t>
        </is>
      </c>
      <c r="B8095" t="inlineStr">
        <is>
          <t>Processing Unit</t>
        </is>
      </c>
      <c r="C8095" t="inlineStr">
        <is>
          <t>SGS Germany GmbH, Emstek, DE</t>
        </is>
      </c>
      <c r="D8095" t="inlineStr">
        <is>
          <t>06.02.2027</t>
        </is>
      </c>
      <c r="E8095" t="inlineStr">
        <is>
          <t>China</t>
        </is>
      </c>
    </row>
    <row r="8096">
      <c r="A8096" t="inlineStr">
        <is>
          <t>Quatra Nederland B.V.,  Amsterdam, Netherlands</t>
        </is>
      </c>
      <c r="B8096" t="inlineStr">
        <is>
          <t>Collecting Point, Point of Origin, Trader with Storage</t>
        </is>
      </c>
      <c r="C8096" t="inlineStr">
        <is>
          <t>Control Union Certifications Germany GmbH, Berlin, DE</t>
        </is>
      </c>
      <c r="D8096" t="inlineStr">
        <is>
          <t>06.02.2027</t>
        </is>
      </c>
      <c r="E8096" t="inlineStr">
        <is>
          <t>Netherlands</t>
        </is>
      </c>
    </row>
    <row r="8097">
      <c r="A8097" t="inlineStr">
        <is>
          <t>RPT KRISHNAN TRADING,  JOHOR BAHRU, Malaysia</t>
        </is>
      </c>
      <c r="B8097" t="inlineStr">
        <is>
          <t>Collecting Point, Trader with Storage</t>
        </is>
      </c>
      <c r="C8097" t="inlineStr">
        <is>
          <t>SCS Global Services, Emeryville, CA, US</t>
        </is>
      </c>
      <c r="D8097" t="inlineStr">
        <is>
          <t>06.02.2027</t>
        </is>
      </c>
      <c r="E8097" t="inlineStr">
        <is>
          <t>Malaysia</t>
        </is>
      </c>
    </row>
    <row r="8098">
      <c r="A8098" t="inlineStr">
        <is>
          <t>T+U TRANSZ Kft.,  Lajosmizse, Hungary</t>
        </is>
      </c>
      <c r="B8098" t="inlineStr">
        <is>
          <t>First Gathering Point, Trader with Storage</t>
        </is>
      </c>
      <c r="C8098" t="inlineStr">
        <is>
          <t>Certificadora Gallega del Noroeste SL, Vilagarcia de Arousa-Pontevedra, ES</t>
        </is>
      </c>
      <c r="D8098" t="inlineStr">
        <is>
          <t>06.02.2027</t>
        </is>
      </c>
      <c r="E8098" t="inlineStr">
        <is>
          <t>Hungary</t>
        </is>
      </c>
    </row>
    <row r="8099">
      <c r="A8099" t="inlineStr">
        <is>
          <t>SEA LEADER DMCC,  Dubai, United Arab Emirates</t>
        </is>
      </c>
      <c r="B8099" t="inlineStr">
        <is>
          <t>Trader with Storage</t>
        </is>
      </c>
      <c r="C8099" t="inlineStr">
        <is>
          <t>Control Union Poland Sp. z o.o., Zielona Gora, PL</t>
        </is>
      </c>
      <c r="D8099" t="inlineStr">
        <is>
          <t>06.02.2027</t>
        </is>
      </c>
      <c r="E8099" t="inlineStr">
        <is>
          <t>United Arab Emirates</t>
        </is>
      </c>
    </row>
    <row r="8100">
      <c r="A8100" t="inlineStr">
        <is>
          <t>RSAG,  Sankt Augustin, Germany</t>
        </is>
      </c>
      <c r="B8100" t="inlineStr">
        <is>
          <t>Collecting Point, Processing Unit</t>
        </is>
      </c>
      <c r="C8100" t="inlineStr">
        <is>
          <t>TÜV NORD CERT GmbH, Essen, DE</t>
        </is>
      </c>
      <c r="D8100" t="inlineStr">
        <is>
          <t>06.02.2027</t>
        </is>
      </c>
      <c r="E8100" t="inlineStr">
        <is>
          <t>Germany</t>
        </is>
      </c>
    </row>
    <row r="8101">
      <c r="A8101" t="inlineStr">
        <is>
          <t>Samyang Corporation Jeonju EP Plant,  Deokjin-gu, Jeonju-si, Jeollabuk-do, Korea, Republic of</t>
        </is>
      </c>
      <c r="B8101" t="inlineStr">
        <is>
          <t>Processing Unit</t>
        </is>
      </c>
      <c r="C8101" t="inlineStr">
        <is>
          <t>Control Union Certifications Germany GmbH, Berlin, DE</t>
        </is>
      </c>
      <c r="D8101" t="inlineStr">
        <is>
          <t>06.02.2027</t>
        </is>
      </c>
      <c r="E8101" t="inlineStr">
        <is>
          <t>Republic of</t>
        </is>
      </c>
    </row>
    <row r="8102">
      <c r="A8102" t="inlineStr">
        <is>
          <t>Samyang Corporation,  Hwaseong-si, Gyeonggi-do, Korea, Republic of</t>
        </is>
      </c>
      <c r="B8102" t="inlineStr">
        <is>
          <t>Processing Unit</t>
        </is>
      </c>
      <c r="C8102" t="inlineStr">
        <is>
          <t>Control Union Certifications Germany GmbH, Berlin, DE</t>
        </is>
      </c>
      <c r="D8102" t="inlineStr">
        <is>
          <t>06.02.2027</t>
        </is>
      </c>
      <c r="E8102" t="inlineStr">
        <is>
          <t>Republic of</t>
        </is>
      </c>
    </row>
    <row r="8103">
      <c r="A8103" t="inlineStr">
        <is>
          <t>Nanyang Resources,  Singapore, Singapore</t>
        </is>
      </c>
      <c r="B8103" t="inlineStr">
        <is>
          <t>Collecting Point</t>
        </is>
      </c>
      <c r="C8103" t="inlineStr">
        <is>
          <t>ASG Cert GmbH, Munich, DE</t>
        </is>
      </c>
      <c r="D8103" t="inlineStr">
        <is>
          <t>06.02.2027</t>
        </is>
      </c>
      <c r="E8103" t="inlineStr">
        <is>
          <t>Singapore</t>
        </is>
      </c>
    </row>
    <row r="8104">
      <c r="A8104" t="inlineStr">
        <is>
          <t>Nanyang Resources,  Singapore, Singapore</t>
        </is>
      </c>
      <c r="B8104" t="inlineStr">
        <is>
          <t>Collecting Point</t>
        </is>
      </c>
      <c r="C8104" t="inlineStr">
        <is>
          <t>ASG Cert GmbH, Munich, DE</t>
        </is>
      </c>
      <c r="D8104" t="inlineStr">
        <is>
          <t>06.02.2027</t>
        </is>
      </c>
      <c r="E8104" t="inlineStr">
        <is>
          <t>Singapore</t>
        </is>
      </c>
    </row>
    <row r="8105">
      <c r="A8105" t="inlineStr">
        <is>
          <t>Samyang Corporation,  Jongno-gu, Seoul, Korea, Republic of</t>
        </is>
      </c>
      <c r="B8105" t="inlineStr">
        <is>
          <t>Trader</t>
        </is>
      </c>
      <c r="C8105" t="inlineStr">
        <is>
          <t>Control Union Certifications Germany GmbH, Berlin, DE</t>
        </is>
      </c>
      <c r="D8105" t="inlineStr">
        <is>
          <t>06.02.2027</t>
        </is>
      </c>
      <c r="E8105" t="inlineStr">
        <is>
          <t>Republic of</t>
        </is>
      </c>
    </row>
    <row r="8106">
      <c r="A8106" t="inlineStr">
        <is>
          <t>Graphic Packaging International,  Shelbyville, United States</t>
        </is>
      </c>
      <c r="B8106" t="inlineStr">
        <is>
          <t>Processing Unit, Trader with Storage</t>
        </is>
      </c>
      <c r="C8106" t="inlineStr">
        <is>
          <t>SCS Global Services, Emeryville, CA, US</t>
        </is>
      </c>
      <c r="D8106" t="inlineStr">
        <is>
          <t>06.02.2027</t>
        </is>
      </c>
      <c r="E8106" t="inlineStr">
        <is>
          <t>United States</t>
        </is>
      </c>
    </row>
    <row r="8107">
      <c r="A8107" t="inlineStr">
        <is>
          <t>Nynas AB,  Nynäshamn, Sweden</t>
        </is>
      </c>
      <c r="B8107" t="inlineStr">
        <is>
          <t>Processing Unit</t>
        </is>
      </c>
      <c r="C8107" t="inlineStr">
        <is>
          <t>DNV Business Assurance Sweden AB, Solna, SE</t>
        </is>
      </c>
      <c r="D8107" t="inlineStr">
        <is>
          <t>06.02.2027</t>
        </is>
      </c>
      <c r="E8107" t="inlineStr">
        <is>
          <t>Sweden</t>
        </is>
      </c>
    </row>
    <row r="8108">
      <c r="A8108" t="inlineStr">
        <is>
          <t>Unidade Costa Rica: Atvos Bioenergia Brenco S.A.,  Costa Rica, Brazil</t>
        </is>
      </c>
      <c r="B8108" t="inlineStr">
        <is>
          <t>First Gathering Point, Processing Unit</t>
        </is>
      </c>
      <c r="C8108" t="inlineStr">
        <is>
          <t>Control Union Poland Sp. z o.o., Zielona Gora, PL</t>
        </is>
      </c>
      <c r="D8108" t="inlineStr">
        <is>
          <t>06.02.2027</t>
        </is>
      </c>
      <c r="E8108" t="inlineStr">
        <is>
          <t>Brazil</t>
        </is>
      </c>
    </row>
    <row r="8109">
      <c r="A8109" t="inlineStr">
        <is>
          <t>Butadien Kralupy a.s.,  Kralupy nad Vltavou, Czech Republic</t>
        </is>
      </c>
      <c r="B8109" t="inlineStr">
        <is>
          <t>Processing Unit</t>
        </is>
      </c>
      <c r="C8109" t="inlineStr">
        <is>
          <t>Bureau Veritas Polska Sp. z o.o., Warsaw, PL</t>
        </is>
      </c>
      <c r="D8109" t="inlineStr">
        <is>
          <t>06.02.2027</t>
        </is>
      </c>
      <c r="E8109" t="inlineStr">
        <is>
          <t>Czech Republic</t>
        </is>
      </c>
    </row>
    <row r="8110">
      <c r="A8110" t="inlineStr">
        <is>
          <t>Unidade Costa Rica: Atvos Bioenergia Brenco S.A.,  Costa Rica, Brazil</t>
        </is>
      </c>
      <c r="B8110" t="inlineStr">
        <is>
          <t>First Gathering Point, Processing Unit</t>
        </is>
      </c>
      <c r="C8110" t="inlineStr">
        <is>
          <t>Control Union Poland Sp. z o.o., Zielona Gora, PL</t>
        </is>
      </c>
      <c r="D8110" t="inlineStr">
        <is>
          <t>06.02.2027</t>
        </is>
      </c>
      <c r="E8110" t="inlineStr">
        <is>
          <t>Brazil</t>
        </is>
      </c>
    </row>
    <row r="8111">
      <c r="A8111" t="inlineStr">
        <is>
          <t>Respack Manufacturing Sdn Bhd,  Sungai Petani, Malaysia</t>
        </is>
      </c>
      <c r="B8111" t="inlineStr">
        <is>
          <t>Processing Unit</t>
        </is>
      </c>
      <c r="C8111" t="inlineStr">
        <is>
          <t>Control Union Certifications Germany GmbH, Berlin, DE</t>
        </is>
      </c>
      <c r="D8111" t="inlineStr">
        <is>
          <t>06.02.2027</t>
        </is>
      </c>
      <c r="E8111" t="inlineStr">
        <is>
          <t>Malaysia</t>
        </is>
      </c>
    </row>
    <row r="8112">
      <c r="A8112" t="inlineStr">
        <is>
          <t>Unidade Costa Rica: Atvos Bioenergia Brenco S.A.,  Costa Rica, Brazil</t>
        </is>
      </c>
      <c r="B8112" t="inlineStr">
        <is>
          <t>First Gathering Point, Processing Unit</t>
        </is>
      </c>
      <c r="C8112" t="inlineStr">
        <is>
          <t>Control Union Poland Sp. z o.o., Zielona Gora, PL</t>
        </is>
      </c>
      <c r="D8112" t="inlineStr">
        <is>
          <t>06.02.2027</t>
        </is>
      </c>
      <c r="E8112" t="inlineStr">
        <is>
          <t>Brazil</t>
        </is>
      </c>
    </row>
    <row r="8113">
      <c r="A8113" t="inlineStr">
        <is>
          <t>SYNTHOS Kralupy a.s.,  Kralupy nad Vltavou, Czech Republic</t>
        </is>
      </c>
      <c r="B8113" t="inlineStr">
        <is>
          <t>Trader with Storage, Processing Unit</t>
        </is>
      </c>
      <c r="C8113" t="inlineStr">
        <is>
          <t>Bureau Veritas Polska Sp. z o.o., Warsaw, PL</t>
        </is>
      </c>
      <c r="D8113" t="inlineStr">
        <is>
          <t>06.02.2027</t>
        </is>
      </c>
      <c r="E8113" t="inlineStr">
        <is>
          <t>Czech Republic</t>
        </is>
      </c>
    </row>
    <row r="8114">
      <c r="A8114" t="inlineStr">
        <is>
          <t>ARKAS BUNKERING AND TRADING S.A.,  KONAK, Turkey</t>
        </is>
      </c>
      <c r="B8114" t="inlineStr">
        <is>
          <t>Trader with Storage</t>
        </is>
      </c>
      <c r="C8114" t="inlineStr">
        <is>
          <t>BM Certification, Riga, LV</t>
        </is>
      </c>
      <c r="D8114" t="inlineStr">
        <is>
          <t>06.02.2027</t>
        </is>
      </c>
      <c r="E8114" t="inlineStr">
        <is>
          <t>Turkey</t>
        </is>
      </c>
    </row>
    <row r="8115">
      <c r="A8115" t="inlineStr">
        <is>
          <t>Chemfidence Services,  Frankfurt am Main, Germany</t>
        </is>
      </c>
      <c r="B8115" t="inlineStr">
        <is>
          <t>Trader with Storage</t>
        </is>
      </c>
      <c r="C8115" t="inlineStr">
        <is>
          <t>Control Union Certifications Germany GmbH, Berlin, DE</t>
        </is>
      </c>
      <c r="D8115" t="inlineStr">
        <is>
          <t>06.02.2027</t>
        </is>
      </c>
      <c r="E8115" t="inlineStr">
        <is>
          <t>Germany</t>
        </is>
      </c>
    </row>
    <row r="8116">
      <c r="A8116" t="inlineStr">
        <is>
          <t>Grasas del Centro,S.A. (GRACESA),  Ciempozuelos, Madrid, Spain</t>
        </is>
      </c>
      <c r="B8116" t="inlineStr">
        <is>
          <t>Point of Origin</t>
        </is>
      </c>
      <c r="C8116" t="inlineStr">
        <is>
          <t>Bureau Veritas Polska Sp. z o.o., Warsaw, PL</t>
        </is>
      </c>
      <c r="D8116" t="inlineStr">
        <is>
          <t>06.02.2027</t>
        </is>
      </c>
      <c r="E8116" t="inlineStr">
        <is>
          <t>Spain</t>
        </is>
      </c>
    </row>
    <row r="8117">
      <c r="A8117" t="inlineStr">
        <is>
          <t>BASF.Co. Ltd.,  Yeosu, Korea, Republic of</t>
        </is>
      </c>
      <c r="B8117" t="inlineStr">
        <is>
          <t>Processing Unit</t>
        </is>
      </c>
      <c r="C8117" t="inlineStr">
        <is>
          <t>TÜV NORD CERT GmbH, Essen, DE</t>
        </is>
      </c>
      <c r="D8117" t="inlineStr">
        <is>
          <t>06.02.2027</t>
        </is>
      </c>
      <c r="E8117" t="inlineStr">
        <is>
          <t>Republic of</t>
        </is>
      </c>
    </row>
    <row r="8118">
      <c r="A8118" t="inlineStr">
        <is>
          <t>BASF Performance Polyamides Korea,  Ulsan City, Korea, Republic of</t>
        </is>
      </c>
      <c r="B8118" t="inlineStr">
        <is>
          <t>Processing Unit</t>
        </is>
      </c>
      <c r="C8118" t="inlineStr">
        <is>
          <t>TÜV NORD CERT GmbH, Essen, DE</t>
        </is>
      </c>
      <c r="D8118" t="inlineStr">
        <is>
          <t>06.02.2027</t>
        </is>
      </c>
      <c r="E8118" t="inlineStr">
        <is>
          <t>Republic of</t>
        </is>
      </c>
    </row>
    <row r="8119">
      <c r="A8119" t="inlineStr">
        <is>
          <t>Golden Electrical Trading Co., Ltd.,  Kowloon, China</t>
        </is>
      </c>
      <c r="B8119" t="inlineStr">
        <is>
          <t>Trader with Storage</t>
        </is>
      </c>
      <c r="C8119" t="inlineStr">
        <is>
          <t>PT Intertek Utama Services, Jakarta, ID</t>
        </is>
      </c>
      <c r="D8119" t="inlineStr">
        <is>
          <t>06.02.2027</t>
        </is>
      </c>
      <c r="E8119" t="inlineStr">
        <is>
          <t>China</t>
        </is>
      </c>
    </row>
    <row r="8120">
      <c r="A8120" t="inlineStr">
        <is>
          <t>Atvos Bioenergia Eldorado S.A,  Rio Brilhante, Brazil</t>
        </is>
      </c>
      <c r="B8120" t="inlineStr">
        <is>
          <t>First Gathering Point, Processing Unit</t>
        </is>
      </c>
      <c r="C8120" t="inlineStr">
        <is>
          <t>Control Union Poland Sp. z o.o., Zielona Gora, PL</t>
        </is>
      </c>
      <c r="D8120" t="inlineStr">
        <is>
          <t>06.02.2027</t>
        </is>
      </c>
      <c r="E8120" t="inlineStr">
        <is>
          <t>Brazil</t>
        </is>
      </c>
    </row>
    <row r="8121">
      <c r="A8121" t="inlineStr">
        <is>
          <t>Kurucz és Társa Kft.,  Nyírbátor, Hungary</t>
        </is>
      </c>
      <c r="B8121" t="inlineStr">
        <is>
          <t>First Gathering Point</t>
        </is>
      </c>
      <c r="C8121" t="inlineStr">
        <is>
          <t>Certificadora Gallega del Noroeste SL, Vilagarcia de Arousa-Pontevedra, ES</t>
        </is>
      </c>
      <c r="D8121" t="inlineStr">
        <is>
          <t>06.02.2027</t>
        </is>
      </c>
      <c r="E8121" t="inlineStr">
        <is>
          <t>Hungary</t>
        </is>
      </c>
    </row>
    <row r="8122">
      <c r="A8122" t="inlineStr">
        <is>
          <t>Biofuel Express GmbH,  Vienna, Vienna, Austria</t>
        </is>
      </c>
      <c r="B8122" t="inlineStr">
        <is>
          <t>Trader with Storage</t>
        </is>
      </c>
      <c r="C8122" t="inlineStr">
        <is>
          <t>agroVet GmbH, Enzersfeld, AT</t>
        </is>
      </c>
      <c r="D8122" t="inlineStr">
        <is>
          <t>06.02.2027</t>
        </is>
      </c>
      <c r="E8122" t="inlineStr">
        <is>
          <t>Austria</t>
        </is>
      </c>
    </row>
    <row r="8123">
      <c r="A8123" t="inlineStr">
        <is>
          <t>ASTEC Co., LTD.,  Hyogo, Japan</t>
        </is>
      </c>
      <c r="B8123" t="inlineStr">
        <is>
          <t>Collecting Point</t>
        </is>
      </c>
      <c r="C8123" t="inlineStr">
        <is>
          <t>Control Union Certifications Germany GmbH, Berlin, DE</t>
        </is>
      </c>
      <c r="D8123" t="inlineStr">
        <is>
          <t>06.02.2027</t>
        </is>
      </c>
      <c r="E8123" t="inlineStr">
        <is>
          <t>Japan</t>
        </is>
      </c>
    </row>
    <row r="8124">
      <c r="A8124" t="inlineStr">
        <is>
          <t>Atvos Bioenergia Brenco S.A. (Morro Vermelho),  Mineiros, Brazil</t>
        </is>
      </c>
      <c r="B8124" t="inlineStr">
        <is>
          <t>First Gathering Point, Processing Unit</t>
        </is>
      </c>
      <c r="C8124" t="inlineStr">
        <is>
          <t>Control Union Poland Sp. z o.o., Zielona Gora, PL</t>
        </is>
      </c>
      <c r="D8124" t="inlineStr">
        <is>
          <t>06.02.2027</t>
        </is>
      </c>
      <c r="E8124" t="inlineStr">
        <is>
          <t>Brazil</t>
        </is>
      </c>
    </row>
    <row r="8125">
      <c r="A8125" t="inlineStr">
        <is>
          <t>Van Vulpen Vergisting B.V.,  Tiel, Netherlands</t>
        </is>
      </c>
      <c r="B8125" t="inlineStr">
        <is>
          <t>Trader with Storage, Collecting Point, Processing Unit</t>
        </is>
      </c>
      <c r="C8125" t="inlineStr">
        <is>
          <t>DEKRA Certification B.V., Arnhem, NL</t>
        </is>
      </c>
      <c r="D8125" t="inlineStr">
        <is>
          <t>06.02.2027</t>
        </is>
      </c>
      <c r="E8125" t="inlineStr">
        <is>
          <t>Netherlands</t>
        </is>
      </c>
    </row>
    <row r="8126">
      <c r="A8126" t="inlineStr">
        <is>
          <t>Graphic Packaging International,  Visalia, California, United States</t>
        </is>
      </c>
      <c r="B8126" t="inlineStr">
        <is>
          <t>Processing Unit</t>
        </is>
      </c>
      <c r="C8126" t="inlineStr">
        <is>
          <t>SCS Global Services, Emeryville, CA, US</t>
        </is>
      </c>
      <c r="D8126" t="inlineStr">
        <is>
          <t>06.02.2027</t>
        </is>
      </c>
      <c r="E8126" t="inlineStr">
        <is>
          <t>United States</t>
        </is>
      </c>
    </row>
    <row r="8127">
      <c r="A8127" t="inlineStr">
        <is>
          <t>VTTI Terminals Dalian Co., Ltd.,  Dalian, China</t>
        </is>
      </c>
      <c r="B8127" t="inlineStr">
        <is>
          <t>Warehouse</t>
        </is>
      </c>
      <c r="C8127" t="inlineStr">
        <is>
          <t>SGS Germany GmbH, Emstek, DE</t>
        </is>
      </c>
      <c r="D8127" t="inlineStr">
        <is>
          <t>06.02.2027</t>
        </is>
      </c>
      <c r="E8127" t="inlineStr">
        <is>
          <t>China</t>
        </is>
      </c>
    </row>
    <row r="8128">
      <c r="A8128" t="inlineStr">
        <is>
          <t>Atvos Bioenergia Brenco S.A. (Morro Vermelho),  Mineiros, Brazil</t>
        </is>
      </c>
      <c r="B8128" t="inlineStr">
        <is>
          <t>First Gathering Point, Processing Unit</t>
        </is>
      </c>
      <c r="C8128" t="inlineStr">
        <is>
          <t>Control Union Poland Sp. z o.o., Zielona Gora, PL</t>
        </is>
      </c>
      <c r="D8128" t="inlineStr">
        <is>
          <t>06.02.2027</t>
        </is>
      </c>
      <c r="E8128" t="inlineStr">
        <is>
          <t>Brazil</t>
        </is>
      </c>
    </row>
    <row r="8129">
      <c r="A8129" t="inlineStr">
        <is>
          <t>VIA PROSPERA s.r.o.,  Praha, Czech Republic</t>
        </is>
      </c>
      <c r="B8129" t="inlineStr">
        <is>
          <t>Trader</t>
        </is>
      </c>
      <c r="C8129" t="inlineStr">
        <is>
          <t>SGS Germany GmbH, Emstek, DE</t>
        </is>
      </c>
      <c r="D8129" t="inlineStr">
        <is>
          <t>06.02.2027</t>
        </is>
      </c>
      <c r="E8129" t="inlineStr">
        <is>
          <t>Czech Republic</t>
        </is>
      </c>
    </row>
    <row r="8130">
      <c r="A8130" t="inlineStr">
        <is>
          <t>PT. HASIL INDO SEJAHTERA,  Takalar, Provinsi Sulawesi Selatan, Indonesia</t>
        </is>
      </c>
      <c r="B8130" t="inlineStr">
        <is>
          <t>Farm / Plantation</t>
        </is>
      </c>
      <c r="C8130" t="inlineStr">
        <is>
          <t>SGS Germany GmbH, Emstek, DE</t>
        </is>
      </c>
      <c r="D8130" t="inlineStr">
        <is>
          <t>06.02.2027</t>
        </is>
      </c>
      <c r="E8130" t="inlineStr">
        <is>
          <t>Indonesia</t>
        </is>
      </c>
    </row>
    <row r="8131">
      <c r="A8131" t="inlineStr">
        <is>
          <t>Atvos Bioenergia Brenco S.A. (Morro Vermelho),  Mineiros, Brazil</t>
        </is>
      </c>
      <c r="B8131" t="inlineStr">
        <is>
          <t>First Gathering Point, Processing Unit</t>
        </is>
      </c>
      <c r="C8131" t="inlineStr">
        <is>
          <t>Control Union Poland Sp. z o.o., Zielona Gora, PL</t>
        </is>
      </c>
      <c r="D8131" t="inlineStr">
        <is>
          <t>06.02.2027</t>
        </is>
      </c>
      <c r="E8131" t="inlineStr">
        <is>
          <t>Brazil</t>
        </is>
      </c>
    </row>
    <row r="8132">
      <c r="A8132" t="inlineStr">
        <is>
          <t>MITSUBISHI GAS CHEMICAL COMPANY, INC.,  Tokyo, Japan</t>
        </is>
      </c>
      <c r="B8132" t="inlineStr">
        <is>
          <t>Trader with Storage</t>
        </is>
      </c>
      <c r="C8132" t="inlineStr">
        <is>
          <t>SGS Germany GmbH, Emstek, DE</t>
        </is>
      </c>
      <c r="D8132" t="inlineStr">
        <is>
          <t>06.02.2027</t>
        </is>
      </c>
      <c r="E8132" t="inlineStr">
        <is>
          <t>Japan</t>
        </is>
      </c>
    </row>
    <row r="8133">
      <c r="A8133" t="inlineStr">
        <is>
          <t>BACHMANN FORMING,  Hochdorf, Switzerland</t>
        </is>
      </c>
      <c r="B8133" t="inlineStr">
        <is>
          <t>Processing Unit</t>
        </is>
      </c>
      <c r="C8133" t="inlineStr">
        <is>
          <t>SGS Germany GmbH, Emstek, DE</t>
        </is>
      </c>
      <c r="D8133" t="inlineStr">
        <is>
          <t>06.02.2027</t>
        </is>
      </c>
      <c r="E8133" t="inlineStr">
        <is>
          <t>Switzerland</t>
        </is>
      </c>
    </row>
    <row r="8134">
      <c r="A8134" t="inlineStr">
        <is>
          <t>Rohm and Haas Texas Incorporated,  Deer Park, United States</t>
        </is>
      </c>
      <c r="B8134" t="inlineStr">
        <is>
          <t>Processing Unit</t>
        </is>
      </c>
      <c r="C8134" t="inlineStr">
        <is>
          <t>SGS Germany GmbH, Emstek, DE</t>
        </is>
      </c>
      <c r="D8134" t="inlineStr">
        <is>
          <t>06.02.2027</t>
        </is>
      </c>
      <c r="E8134" t="inlineStr">
        <is>
          <t>United States</t>
        </is>
      </c>
    </row>
    <row r="8135">
      <c r="A8135" t="inlineStr">
        <is>
          <t>Atvos Bioenergia Eldorado S.A,  Rio Brilhante, Brazil</t>
        </is>
      </c>
      <c r="B8135" t="inlineStr">
        <is>
          <t>First Gathering Point, Processing Unit</t>
        </is>
      </c>
      <c r="C8135" t="inlineStr">
        <is>
          <t>Control Union Poland Sp. z o.o., Zielona Gora, PL</t>
        </is>
      </c>
      <c r="D8135" t="inlineStr">
        <is>
          <t>06.02.2027</t>
        </is>
      </c>
      <c r="E8135" t="inlineStr">
        <is>
          <t>Brazil</t>
        </is>
      </c>
    </row>
    <row r="8136">
      <c r="A8136" t="inlineStr">
        <is>
          <t>LIMITED LIABILITY COMPANY "Nizhynsky Zhyrcombinat",  Nizhyn, Ukraine</t>
        </is>
      </c>
      <c r="B8136" t="inlineStr">
        <is>
          <t>First Gathering Point, Processing Unit</t>
        </is>
      </c>
      <c r="C8136" t="inlineStr">
        <is>
          <t>Bureau Veritas Polska Sp. z o.o., Warsaw, PL</t>
        </is>
      </c>
      <c r="D8136" t="inlineStr">
        <is>
          <t>06.02.2027</t>
        </is>
      </c>
      <c r="E8136" t="inlineStr">
        <is>
          <t>Ukraine</t>
        </is>
      </c>
    </row>
    <row r="8137">
      <c r="A8137" t="inlineStr">
        <is>
          <t>MITSUBISHI GAS CHEMICAL COMPANY, INC.,  Tokyo, Japan</t>
        </is>
      </c>
      <c r="B8137" t="inlineStr">
        <is>
          <t>Trader with Storage</t>
        </is>
      </c>
      <c r="C8137" t="inlineStr">
        <is>
          <t>SGS Germany GmbH, Emstek, DE</t>
        </is>
      </c>
      <c r="D8137" t="inlineStr">
        <is>
          <t>06.02.2027</t>
        </is>
      </c>
      <c r="E8137" t="inlineStr">
        <is>
          <t>Japan</t>
        </is>
      </c>
    </row>
    <row r="8138">
      <c r="A8138" t="inlineStr">
        <is>
          <t>Agrimpex Kft.,  Budapest, Hungary</t>
        </is>
      </c>
      <c r="B8138" t="inlineStr">
        <is>
          <t>First Gathering Point, Trader with Storage</t>
        </is>
      </c>
      <c r="C8138" t="inlineStr">
        <is>
          <t>Amspec Iberia SL, Vilagarcia de Arousa-Pontevedra, ES</t>
        </is>
      </c>
      <c r="D8138" t="inlineStr">
        <is>
          <t>06.02.2027</t>
        </is>
      </c>
      <c r="E8138" t="inlineStr">
        <is>
          <t>Hungary</t>
        </is>
      </c>
    </row>
    <row r="8139">
      <c r="A8139" t="inlineStr">
        <is>
          <t>Chubuecobio LLC,  Aichi, Japan</t>
        </is>
      </c>
      <c r="B8139" t="inlineStr">
        <is>
          <t>Collecting Point</t>
        </is>
      </c>
      <c r="C8139" t="inlineStr">
        <is>
          <t>Control Union Certifications Germany GmbH, Berlin, DE</t>
        </is>
      </c>
      <c r="D8139" t="inlineStr">
        <is>
          <t>06.02.2027</t>
        </is>
      </c>
      <c r="E8139" t="inlineStr">
        <is>
          <t>Japan</t>
        </is>
      </c>
    </row>
    <row r="8140">
      <c r="A8140" t="inlineStr">
        <is>
          <t>Atvos Bioenergia Eldorado S.A,  Rio Brilhante, Brazil</t>
        </is>
      </c>
      <c r="B8140" t="inlineStr">
        <is>
          <t>First Gathering Point, Processing Unit</t>
        </is>
      </c>
      <c r="C8140" t="inlineStr">
        <is>
          <t>Control Union Poland Sp. z o.o., Zielona Gora, PL</t>
        </is>
      </c>
      <c r="D8140" t="inlineStr">
        <is>
          <t>06.02.2027</t>
        </is>
      </c>
      <c r="E8140" t="inlineStr">
        <is>
          <t>Brazil</t>
        </is>
      </c>
    </row>
    <row r="8141">
      <c r="A8141" t="inlineStr">
        <is>
          <t>Atvos Bioenergia Eldorado S.A,  Rio Brilhante, Brazil</t>
        </is>
      </c>
      <c r="B8141" t="inlineStr">
        <is>
          <t>First Gathering Point, Processing Unit</t>
        </is>
      </c>
      <c r="C8141" t="inlineStr">
        <is>
          <t>Control Union Poland Sp. z o.o., Zielona Gora, PL</t>
        </is>
      </c>
      <c r="D8141" t="inlineStr">
        <is>
          <t>06.02.2027</t>
        </is>
      </c>
      <c r="E8141" t="inlineStr">
        <is>
          <t>Brazil</t>
        </is>
      </c>
    </row>
    <row r="8142">
      <c r="A8142" t="inlineStr">
        <is>
          <t>SIG Combibloc Manufacturing Mexico,  Municipality of Colón, Querétaro, Mexico</t>
        </is>
      </c>
      <c r="B8142" t="inlineStr">
        <is>
          <t>Processing Unit</t>
        </is>
      </c>
      <c r="C8142" t="inlineStr">
        <is>
          <t>PT Intertek Utama Services, Jakarta, ID</t>
        </is>
      </c>
      <c r="D8142" t="inlineStr">
        <is>
          <t>05.02.2027</t>
        </is>
      </c>
      <c r="E8142" t="inlineStr">
        <is>
          <t>Mexico</t>
        </is>
      </c>
    </row>
    <row r="8143">
      <c r="A8143" t="inlineStr">
        <is>
          <t>Maip,  Settimo Torinese, Italy</t>
        </is>
      </c>
      <c r="B8143" t="inlineStr">
        <is>
          <t>Trader with Storage</t>
        </is>
      </c>
      <c r="C8143" t="inlineStr">
        <is>
          <t>Certiquality srl, Milano, IT</t>
        </is>
      </c>
      <c r="D8143" t="inlineStr">
        <is>
          <t>05.02.2027</t>
        </is>
      </c>
      <c r="E8143" t="inlineStr">
        <is>
          <t>Italy</t>
        </is>
      </c>
    </row>
    <row r="8144">
      <c r="A8144" t="inlineStr">
        <is>
          <t>ENERGIA VERDE FONTANELLA SOCIETA' AGRICOLA,  FONTANELLA(BG), Italy</t>
        </is>
      </c>
      <c r="B8144" t="inlineStr">
        <is>
          <t>Collecting Point, Processing Unit</t>
        </is>
      </c>
      <c r="C8144" t="inlineStr">
        <is>
          <t>ICIM SpA, sesto san giovanni, IT</t>
        </is>
      </c>
      <c r="D8144" t="inlineStr">
        <is>
          <t>05.02.2027</t>
        </is>
      </c>
      <c r="E8144" t="inlineStr">
        <is>
          <t>Italy</t>
        </is>
      </c>
    </row>
    <row r="8145">
      <c r="A8145" t="inlineStr">
        <is>
          <t>ShyaHsin Packaging Mexico,  Coacalco de Berriozabal, Mexico</t>
        </is>
      </c>
      <c r="B8145" t="inlineStr">
        <is>
          <t>Processing Unit</t>
        </is>
      </c>
      <c r="C8145" t="inlineStr">
        <is>
          <t>SCS Global Services, Emeryville, CA, US</t>
        </is>
      </c>
      <c r="D8145" t="inlineStr">
        <is>
          <t>05.02.2027</t>
        </is>
      </c>
      <c r="E8145" t="inlineStr">
        <is>
          <t>Mexico</t>
        </is>
      </c>
    </row>
    <row r="8146">
      <c r="A8146" t="inlineStr">
        <is>
          <t>Société des Huiles et Dérivés S.A.L.,  Selaata, Lebanon</t>
        </is>
      </c>
      <c r="B8146" t="inlineStr">
        <is>
          <t>Point of Origin, Processing Unit</t>
        </is>
      </c>
      <c r="C8146" t="inlineStr">
        <is>
          <t>ICIM SpA, sesto san giovanni, IT</t>
        </is>
      </c>
      <c r="D8146" t="inlineStr">
        <is>
          <t>05.02.2027</t>
        </is>
      </c>
      <c r="E8146" t="inlineStr">
        <is>
          <t>Lebanon</t>
        </is>
      </c>
    </row>
    <row r="8147">
      <c r="A8147" t="inlineStr">
        <is>
          <t>SYNTHOS Kralupy a.s.,  Litvinov, Czech Republic</t>
        </is>
      </c>
      <c r="B8147" t="inlineStr">
        <is>
          <t>Processing Unit</t>
        </is>
      </c>
      <c r="C8147" t="inlineStr">
        <is>
          <t>Bureau Veritas Polska Sp. z o.o., Warsaw, PL</t>
        </is>
      </c>
      <c r="D8147" t="inlineStr">
        <is>
          <t>05.02.2027</t>
        </is>
      </c>
      <c r="E8147" t="inlineStr">
        <is>
          <t>Czech Republic</t>
        </is>
      </c>
    </row>
    <row r="8148">
      <c r="A8148" t="inlineStr">
        <is>
          <t>RETUS PLANTATION SDN BHD ( RETUS PALM OIL MILL),  SIBU, Malaysia</t>
        </is>
      </c>
      <c r="B8148" t="inlineStr">
        <is>
          <t>Point of Origin</t>
        </is>
      </c>
      <c r="C8148" t="inlineStr">
        <is>
          <t>Trans Certification and Inspection Sdn Bhd, Kuantan, MY</t>
        </is>
      </c>
      <c r="D8148" t="inlineStr">
        <is>
          <t>05.02.2027</t>
        </is>
      </c>
      <c r="E8148" t="inlineStr">
        <is>
          <t>Malaysia</t>
        </is>
      </c>
    </row>
    <row r="8149">
      <c r="A8149" t="inlineStr">
        <is>
          <t>MELUR GEMILANG SDN BHD (MELUR GEMILANG PALM OIL MILL),  SERIAN, Malaysia</t>
        </is>
      </c>
      <c r="B8149" t="inlineStr">
        <is>
          <t>Point of Origin</t>
        </is>
      </c>
      <c r="C8149" t="inlineStr">
        <is>
          <t>Trans Certification and Inspection Sdn Bhd, Kuantan, MY</t>
        </is>
      </c>
      <c r="D8149" t="inlineStr">
        <is>
          <t>05.02.2027</t>
        </is>
      </c>
      <c r="E8149" t="inlineStr">
        <is>
          <t>Malaysia</t>
        </is>
      </c>
    </row>
    <row r="8150">
      <c r="A8150" t="inlineStr">
        <is>
          <t>Scribe OpCo, LLC dba Koozie Group,  Spring Hill, United States</t>
        </is>
      </c>
      <c r="B8150" t="inlineStr">
        <is>
          <t>Processing Unit</t>
        </is>
      </c>
      <c r="C8150" t="inlineStr">
        <is>
          <t>SCS Global Services, Emeryville, CA, US</t>
        </is>
      </c>
      <c r="D8150" t="inlineStr">
        <is>
          <t>05.02.2027</t>
        </is>
      </c>
      <c r="E8150" t="inlineStr">
        <is>
          <t>United States</t>
        </is>
      </c>
    </row>
    <row r="8151">
      <c r="A8151" t="inlineStr">
        <is>
          <t>ADM Besin ve Tarım,  Sarıçam Adana, Turkey</t>
        </is>
      </c>
      <c r="B8151" t="inlineStr">
        <is>
          <t>First Gathering Point, Processing Unit, Trader with Storage</t>
        </is>
      </c>
      <c r="C8151" t="inlineStr">
        <is>
          <t>ASG Cert GmbH, Munich, DE</t>
        </is>
      </c>
      <c r="D8151" t="inlineStr">
        <is>
          <t>05.02.2027</t>
        </is>
      </c>
      <c r="E8151" t="inlineStr">
        <is>
          <t>Turkey</t>
        </is>
      </c>
    </row>
    <row r="8152">
      <c r="A8152" t="inlineStr">
        <is>
          <t>Toppan Inc.,  Meiwa-cho Oura-gun, Japan</t>
        </is>
      </c>
      <c r="B8152" t="inlineStr">
        <is>
          <t>Processing Unit</t>
        </is>
      </c>
      <c r="C8152" t="inlineStr">
        <is>
          <t>Control Union Certifications Germany GmbH, Berlin, DE</t>
        </is>
      </c>
      <c r="D8152" t="inlineStr">
        <is>
          <t>05.02.2027</t>
        </is>
      </c>
      <c r="E8152" t="inlineStr">
        <is>
          <t>Japan</t>
        </is>
      </c>
    </row>
    <row r="8153">
      <c r="A8153" t="inlineStr">
        <is>
          <t>Kokusai Pulp &amp; Paper Co., Ltd.,  Naka-ku, Nagoya-shi, Aichi, Japan</t>
        </is>
      </c>
      <c r="B8153" t="inlineStr">
        <is>
          <t>Trader</t>
        </is>
      </c>
      <c r="C8153" t="inlineStr">
        <is>
          <t>Control Union Certifications Germany GmbH, Berlin, DE</t>
        </is>
      </c>
      <c r="D8153" t="inlineStr">
        <is>
          <t>05.02.2027</t>
        </is>
      </c>
      <c r="E8153" t="inlineStr">
        <is>
          <t>Japan</t>
        </is>
      </c>
    </row>
    <row r="8154">
      <c r="A8154" t="inlineStr">
        <is>
          <t>Huhtamaki India Limited,  Khalapur, India</t>
        </is>
      </c>
      <c r="B8154" t="inlineStr">
        <is>
          <t>Final Product Refinement, Processing Unit</t>
        </is>
      </c>
      <c r="C8154" t="inlineStr">
        <is>
          <t>Cotecna India Inspection Pvt Ltd, Kolkata, IN</t>
        </is>
      </c>
      <c r="D8154" t="inlineStr">
        <is>
          <t>05.02.2027</t>
        </is>
      </c>
      <c r="E8154" t="inlineStr">
        <is>
          <t>India</t>
        </is>
      </c>
    </row>
    <row r="8155">
      <c r="A8155" t="inlineStr">
        <is>
          <t>Jarvis International Trade Pte. Ltd.,  Singapore, Singapore</t>
        </is>
      </c>
      <c r="B8155" t="inlineStr">
        <is>
          <t>Trader</t>
        </is>
      </c>
      <c r="C8155" t="inlineStr">
        <is>
          <t>SCS Global Services, Emeryville, CA, US</t>
        </is>
      </c>
      <c r="D8155" t="inlineStr">
        <is>
          <t>05.02.2027</t>
        </is>
      </c>
      <c r="E8155" t="inlineStr">
        <is>
          <t>Singapore</t>
        </is>
      </c>
    </row>
    <row r="8156">
      <c r="A8156" t="inlineStr">
        <is>
          <t>REG International Trading &amp; Commodities,  Amsterdam, Netherlands</t>
        </is>
      </c>
      <c r="B8156" t="inlineStr">
        <is>
          <t>Trader with Storage</t>
        </is>
      </c>
      <c r="C8156" t="inlineStr">
        <is>
          <t>SCS Global Services, Emeryville, CA, US</t>
        </is>
      </c>
      <c r="D8156" t="inlineStr">
        <is>
          <t>05.02.2027</t>
        </is>
      </c>
      <c r="E8156" t="inlineStr">
        <is>
          <t>Netherlands</t>
        </is>
      </c>
    </row>
    <row r="8157">
      <c r="A8157" t="inlineStr">
        <is>
          <t>REG International Trading &amp; Commodities,  Amsterdam, Netherlands</t>
        </is>
      </c>
      <c r="B8157" t="inlineStr">
        <is>
          <t>Trader with Storage</t>
        </is>
      </c>
      <c r="C8157" t="inlineStr">
        <is>
          <t>SCS Global Services, Emeryville, CA, US</t>
        </is>
      </c>
      <c r="D8157" t="inlineStr">
        <is>
          <t>05.02.2027</t>
        </is>
      </c>
      <c r="E8157" t="inlineStr">
        <is>
          <t>Netherlands</t>
        </is>
      </c>
    </row>
    <row r="8158">
      <c r="A8158" t="inlineStr">
        <is>
          <t>Tianjin Mingrui Oil Co., Ltd.,  Binhai New Area, Tianjin, China</t>
        </is>
      </c>
      <c r="B8158" t="inlineStr">
        <is>
          <t>Collecting Point, Processing Unit, Trader with Storage</t>
        </is>
      </c>
      <c r="C8158" t="inlineStr">
        <is>
          <t>SCS Global Services, Emeryville, CA, US</t>
        </is>
      </c>
      <c r="D8158" t="inlineStr">
        <is>
          <t>05.02.2027</t>
        </is>
      </c>
      <c r="E8158" t="inlineStr">
        <is>
          <t>China</t>
        </is>
      </c>
    </row>
    <row r="8159">
      <c r="A8159" t="inlineStr">
        <is>
          <t>WILMAR KUANTAN EDIBLE OILS SDN. BHD.,  KUANTAN, PAHANG, Malaysia</t>
        </is>
      </c>
      <c r="B8159" t="inlineStr">
        <is>
          <t>Point of Origin</t>
        </is>
      </c>
      <c r="C8159" t="inlineStr">
        <is>
          <t>Trans Certification and Inspection Sdn Bhd, Kuantan, MY</t>
        </is>
      </c>
      <c r="D8159" t="inlineStr">
        <is>
          <t>05.02.2027</t>
        </is>
      </c>
      <c r="E8159" t="inlineStr">
        <is>
          <t>Malaysia</t>
        </is>
      </c>
    </row>
    <row r="8160">
      <c r="A8160" t="inlineStr">
        <is>
          <t>PETCO TRADING LABUAN COMPANY LTD,  KUALA LUMPUR CITY CENTRE, Malaysia</t>
        </is>
      </c>
      <c r="B8160" t="inlineStr">
        <is>
          <t>Trader with Storage</t>
        </is>
      </c>
      <c r="C8160" t="inlineStr">
        <is>
          <t>SGS Germany GmbH, Emstek, DE</t>
        </is>
      </c>
      <c r="D8160" t="inlineStr">
        <is>
          <t>05.02.2027</t>
        </is>
      </c>
      <c r="E8160" t="inlineStr">
        <is>
          <t>Malaysia</t>
        </is>
      </c>
    </row>
    <row r="8161">
      <c r="A8161" t="inlineStr">
        <is>
          <t>PETCO TRADING LABUAN COMPANY LTD,  KUALA LUMPUR CITY CENTRE, Malaysia</t>
        </is>
      </c>
      <c r="B8161" t="inlineStr">
        <is>
          <t>Trader with Storage</t>
        </is>
      </c>
      <c r="C8161" t="inlineStr">
        <is>
          <t>SGS Germany GmbH, Emstek, DE</t>
        </is>
      </c>
      <c r="D8161" t="inlineStr">
        <is>
          <t>05.02.2027</t>
        </is>
      </c>
      <c r="E8161" t="inlineStr">
        <is>
          <t>Malaysia</t>
        </is>
      </c>
    </row>
    <row r="8162">
      <c r="A8162" t="inlineStr">
        <is>
          <t>PETCO TRADING LABUAN COMPANY LTD,  KUALA LUMPUR CITY CENTRE, Malaysia</t>
        </is>
      </c>
      <c r="B8162" t="inlineStr">
        <is>
          <t>Trader with Storage</t>
        </is>
      </c>
      <c r="C8162" t="inlineStr">
        <is>
          <t>SGS Germany GmbH, Emstek, DE</t>
        </is>
      </c>
      <c r="D8162" t="inlineStr">
        <is>
          <t>05.02.2027</t>
        </is>
      </c>
      <c r="E8162" t="inlineStr">
        <is>
          <t>Malaysia</t>
        </is>
      </c>
    </row>
    <row r="8163">
      <c r="A8163" t="inlineStr">
        <is>
          <t>UD. Bumi Lestari,  Pontianak, Indonesia</t>
        </is>
      </c>
      <c r="B8163" t="inlineStr">
        <is>
          <t>Collecting Point, Trader with Storage</t>
        </is>
      </c>
      <c r="C8163" t="inlineStr">
        <is>
          <t>China Testing &amp; Certification International Group Co., Ltd., Beijing, CN</t>
        </is>
      </c>
      <c r="D8163" t="inlineStr">
        <is>
          <t>05.02.2027</t>
        </is>
      </c>
      <c r="E8163" t="inlineStr">
        <is>
          <t>Indonesia</t>
        </is>
      </c>
    </row>
    <row r="8164">
      <c r="A8164" t="inlineStr">
        <is>
          <t>Shandong Juyingcang Biotechnology Co., Ltd.,  Rizhao City, Shandong,, China</t>
        </is>
      </c>
      <c r="B8164" t="inlineStr">
        <is>
          <t>Trader</t>
        </is>
      </c>
      <c r="C8164" t="inlineStr">
        <is>
          <t>SCS Global Services, Emeryville, CA, US</t>
        </is>
      </c>
      <c r="D8164" t="inlineStr">
        <is>
          <t>05.02.2027</t>
        </is>
      </c>
      <c r="E8164" t="inlineStr">
        <is>
          <t>China</t>
        </is>
      </c>
    </row>
    <row r="8165">
      <c r="A8165" t="inlineStr">
        <is>
          <t>Dongguan Ngai Hing Plastic Materials Ltd.,,  Houjie Town, Dongguan City, Guangdong Province, China</t>
        </is>
      </c>
      <c r="B8165" t="inlineStr">
        <is>
          <t>Processing Unit</t>
        </is>
      </c>
      <c r="C8165" t="inlineStr">
        <is>
          <t>PT Intertek Utama Services, Jakarta, ID</t>
        </is>
      </c>
      <c r="D8165" t="inlineStr">
        <is>
          <t>05.02.2027</t>
        </is>
      </c>
      <c r="E8165" t="inlineStr">
        <is>
          <t>China</t>
        </is>
      </c>
    </row>
    <row r="8166">
      <c r="A8166" t="inlineStr">
        <is>
          <t>Beijing Fu Cheng Import &amp; Export Trading CO., LTD.,  Beijing, China</t>
        </is>
      </c>
      <c r="B8166" t="inlineStr">
        <is>
          <t>Trader</t>
        </is>
      </c>
      <c r="C8166" t="inlineStr">
        <is>
          <t>SCS Global Services, Emeryville, CA, US</t>
        </is>
      </c>
      <c r="D8166" t="inlineStr">
        <is>
          <t>05.02.2027</t>
        </is>
      </c>
      <c r="E8166" t="inlineStr">
        <is>
          <t>China</t>
        </is>
      </c>
    </row>
    <row r="8167">
      <c r="A8167" t="inlineStr">
        <is>
          <t>China National Aviation Fuel Group Petroleum Co., Ltd,  Beijing, China</t>
        </is>
      </c>
      <c r="B8167" t="inlineStr">
        <is>
          <t>Trader</t>
        </is>
      </c>
      <c r="C8167" t="inlineStr">
        <is>
          <t>SCS Global Services, Emeryville, CA, US</t>
        </is>
      </c>
      <c r="D8167" t="inlineStr">
        <is>
          <t>05.02.2027</t>
        </is>
      </c>
      <c r="E8167" t="inlineStr">
        <is>
          <t>China</t>
        </is>
      </c>
    </row>
    <row r="8168">
      <c r="A8168" t="inlineStr">
        <is>
          <t>China National Aviation Fuel Group Petroleum Co., Ltd,  Beijing, China</t>
        </is>
      </c>
      <c r="B8168" t="inlineStr">
        <is>
          <t>Trader</t>
        </is>
      </c>
      <c r="C8168" t="inlineStr">
        <is>
          <t>SCS Global Services, Emeryville, CA, US</t>
        </is>
      </c>
      <c r="D8168" t="inlineStr">
        <is>
          <t>05.02.2027</t>
        </is>
      </c>
      <c r="E8168" t="inlineStr">
        <is>
          <t>China</t>
        </is>
      </c>
    </row>
    <row r="8169">
      <c r="A8169" t="inlineStr">
        <is>
          <t>Ecobiodexsel,  JOHOR BAHRU, Malaysia</t>
        </is>
      </c>
      <c r="B8169" t="inlineStr">
        <is>
          <t>Trader with Storage, Collecting Point</t>
        </is>
      </c>
      <c r="C8169" t="inlineStr">
        <is>
          <t>Trans Certification and Inspection Sdn Bhd, Kuantan, MY</t>
        </is>
      </c>
      <c r="D8169" t="inlineStr">
        <is>
          <t>05.02.2027</t>
        </is>
      </c>
      <c r="E8169" t="inlineStr">
        <is>
          <t>Malaysia</t>
        </is>
      </c>
    </row>
    <row r="8170">
      <c r="A8170" t="inlineStr">
        <is>
          <t>ZRS INDUSTRY,  Lahore, Pakistan</t>
        </is>
      </c>
      <c r="B8170" t="inlineStr">
        <is>
          <t>Collecting Point, Trader with Storage, Processing Unit</t>
        </is>
      </c>
      <c r="C8170" t="inlineStr">
        <is>
          <t>Trans Certification and Inspection Sdn Bhd, Kuantan, MY</t>
        </is>
      </c>
      <c r="D8170" t="inlineStr">
        <is>
          <t>05.02.2027</t>
        </is>
      </c>
      <c r="E8170" t="inlineStr">
        <is>
          <t>Pakistan</t>
        </is>
      </c>
    </row>
    <row r="8171">
      <c r="A8171" t="inlineStr">
        <is>
          <t>Toppan Inc.,  Fukaya-shi, Japan</t>
        </is>
      </c>
      <c r="B8171" t="inlineStr">
        <is>
          <t>Final Product Refinement, Processing Unit</t>
        </is>
      </c>
      <c r="C8171" t="inlineStr">
        <is>
          <t>Control Union Certifications Germany GmbH, Berlin, DE</t>
        </is>
      </c>
      <c r="D8171" t="inlineStr">
        <is>
          <t>05.02.2027</t>
        </is>
      </c>
      <c r="E8171" t="inlineStr">
        <is>
          <t>Japan</t>
        </is>
      </c>
    </row>
    <row r="8172">
      <c r="A8172" t="inlineStr">
        <is>
          <t>Dongguan Coltec Advanced Materials &amp; Technologies Co., Ltd,  Houjie Town, Dongguan City, Guangdong Province, China</t>
        </is>
      </c>
      <c r="B8172" t="inlineStr">
        <is>
          <t>Trader</t>
        </is>
      </c>
      <c r="C8172" t="inlineStr">
        <is>
          <t>PT Intertek Utama Services, Jakarta, ID</t>
        </is>
      </c>
      <c r="D8172" t="inlineStr">
        <is>
          <t>05.02.2027</t>
        </is>
      </c>
      <c r="E8172" t="inlineStr">
        <is>
          <t>China</t>
        </is>
      </c>
    </row>
    <row r="8173">
      <c r="A8173" t="inlineStr">
        <is>
          <t>AeroFlexx Packaging Company,  West Chester, United States</t>
        </is>
      </c>
      <c r="B8173" t="inlineStr">
        <is>
          <t>Final Product Refinement</t>
        </is>
      </c>
      <c r="C8173" t="inlineStr">
        <is>
          <t>DNV Business Assurance Sweden AB, Solna, SE</t>
        </is>
      </c>
      <c r="D8173" t="inlineStr">
        <is>
          <t>05.02.2027</t>
        </is>
      </c>
      <c r="E8173" t="inlineStr">
        <is>
          <t>United States</t>
        </is>
      </c>
    </row>
    <row r="8174">
      <c r="A8174" t="inlineStr">
        <is>
          <t>Thai Glycerine,  Tambol Thasao, Amphur Krathumbaen, Samutsakorn, Thailand</t>
        </is>
      </c>
      <c r="B8174" t="inlineStr">
        <is>
          <t>Processing Unit, Trader with Storage</t>
        </is>
      </c>
      <c r="C8174" t="inlineStr">
        <is>
          <t>TÜV NORD CERT GmbH, Essen, DE</t>
        </is>
      </c>
      <c r="D8174" t="inlineStr">
        <is>
          <t>05.02.2027</t>
        </is>
      </c>
      <c r="E8174" t="inlineStr">
        <is>
          <t>Thailand</t>
        </is>
      </c>
    </row>
    <row r="8175">
      <c r="A8175" t="inlineStr">
        <is>
          <t>Colquimica Polska Sp. z o.o.,  Plewiska, Poland</t>
        </is>
      </c>
      <c r="B8175" t="inlineStr">
        <is>
          <t>Processing Unit</t>
        </is>
      </c>
      <c r="C8175" t="inlineStr">
        <is>
          <t>SGS Germany GmbH, Emstek, DE</t>
        </is>
      </c>
      <c r="D8175" t="inlineStr">
        <is>
          <t>05.02.2027</t>
        </is>
      </c>
      <c r="E8175" t="inlineStr">
        <is>
          <t>Poland</t>
        </is>
      </c>
    </row>
    <row r="8176">
      <c r="A8176" t="inlineStr">
        <is>
          <t>Primex Plastics Corporation,  Newton Aycliffe, United Kingdom</t>
        </is>
      </c>
      <c r="B8176" t="inlineStr">
        <is>
          <t>Processing Unit, Collecting Point</t>
        </is>
      </c>
      <c r="C8176" t="inlineStr">
        <is>
          <t>SCS Global Services, Emeryville, CA, US</t>
        </is>
      </c>
      <c r="D8176" t="inlineStr">
        <is>
          <t>05.02.2027</t>
        </is>
      </c>
      <c r="E8176" t="inlineStr">
        <is>
          <t>United Kingdom</t>
        </is>
      </c>
    </row>
    <row r="8177">
      <c r="A8177" t="inlineStr">
        <is>
          <t>Xinyang Zhi'an Renewable Resources Co., Ltd.,  Pingqiao District, Xinyang City,Henan Province, China</t>
        </is>
      </c>
      <c r="B8177" t="inlineStr">
        <is>
          <t>Collecting Point</t>
        </is>
      </c>
      <c r="C8177" t="inlineStr">
        <is>
          <t>RINA Services S.p.A., Genova, IT</t>
        </is>
      </c>
      <c r="D8177" t="inlineStr">
        <is>
          <t>05.02.2027</t>
        </is>
      </c>
      <c r="E8177" t="inlineStr">
        <is>
          <t>China</t>
        </is>
      </c>
    </row>
    <row r="8178">
      <c r="A8178" t="inlineStr">
        <is>
          <t>Pacific Oils &amp; Fats Industries SDN BHD,  Kulai, Malaysia</t>
        </is>
      </c>
      <c r="B8178" t="inlineStr">
        <is>
          <t>Point of Origin, Processing Unit</t>
        </is>
      </c>
      <c r="C8178" t="inlineStr">
        <is>
          <t>Control Union Poland Sp. z o.o., Zielona Gora, PL</t>
        </is>
      </c>
      <c r="D8178" t="inlineStr">
        <is>
          <t>05.02.2027</t>
        </is>
      </c>
      <c r="E8178" t="inlineStr">
        <is>
          <t>Malaysia</t>
        </is>
      </c>
    </row>
    <row r="8179">
      <c r="A8179" t="inlineStr">
        <is>
          <t>The Andersons,  Chatham. Ontario, Canada</t>
        </is>
      </c>
      <c r="B8179" t="inlineStr">
        <is>
          <t>First Gathering Point</t>
        </is>
      </c>
      <c r="C8179" t="inlineStr">
        <is>
          <t>SGS Germany GmbH, Emstek, DE</t>
        </is>
      </c>
      <c r="D8179" t="inlineStr">
        <is>
          <t>05.02.2027</t>
        </is>
      </c>
      <c r="E8179" t="inlineStr">
        <is>
          <t>Canada</t>
        </is>
      </c>
    </row>
    <row r="8180">
      <c r="A8180" t="inlineStr">
        <is>
          <t>Dekker en Stam B.V.,  Hardinxveld-Giessendam, Netherlands</t>
        </is>
      </c>
      <c r="B8180" t="inlineStr">
        <is>
          <t>Trader with Storage, Warehouse</t>
        </is>
      </c>
      <c r="C8180" t="inlineStr">
        <is>
          <t>SGS Germany GmbH, Emstek, DE</t>
        </is>
      </c>
      <c r="D8180" t="inlineStr">
        <is>
          <t>05.02.2027</t>
        </is>
      </c>
      <c r="E8180" t="inlineStr">
        <is>
          <t>Netherlands</t>
        </is>
      </c>
    </row>
    <row r="8181">
      <c r="A8181" t="inlineStr">
        <is>
          <t>Kokusai Pulp &amp; Paper Co., Ltd.,  Chuo-ku, Tokyo, Japan</t>
        </is>
      </c>
      <c r="B8181" t="inlineStr">
        <is>
          <t>Trader with Storage</t>
        </is>
      </c>
      <c r="C8181" t="inlineStr">
        <is>
          <t>Control Union Certifications Germany GmbH, Berlin, DE</t>
        </is>
      </c>
      <c r="D8181" t="inlineStr">
        <is>
          <t>05.02.2027</t>
        </is>
      </c>
      <c r="E8181" t="inlineStr">
        <is>
          <t>Japan</t>
        </is>
      </c>
    </row>
    <row r="8182">
      <c r="A8182" t="inlineStr">
        <is>
          <t>Perstorp Amsterdam B.V.,  Amsterdam, Netherlands</t>
        </is>
      </c>
      <c r="B8182" t="inlineStr">
        <is>
          <t>Processing Unit</t>
        </is>
      </c>
      <c r="C8182" t="inlineStr">
        <is>
          <t>SGS Germany GmbH, Emstek, DE</t>
        </is>
      </c>
      <c r="D8182" t="inlineStr">
        <is>
          <t>05.02.2027</t>
        </is>
      </c>
      <c r="E8182" t="inlineStr">
        <is>
          <t>Netherlands</t>
        </is>
      </c>
    </row>
    <row r="8183">
      <c r="A8183" t="inlineStr">
        <is>
          <t>Maip Compounding,  Settimo Torinese (TO), Italy</t>
        </is>
      </c>
      <c r="B8183" t="inlineStr">
        <is>
          <t>Processing Unit</t>
        </is>
      </c>
      <c r="C8183" t="inlineStr">
        <is>
          <t>Certiquality srl, Milano, IT</t>
        </is>
      </c>
      <c r="D8183" t="inlineStr">
        <is>
          <t>05.02.2027</t>
        </is>
      </c>
      <c r="E8183" t="inlineStr">
        <is>
          <t>Italy</t>
        </is>
      </c>
    </row>
    <row r="8184">
      <c r="A8184" t="inlineStr">
        <is>
          <t>Gesmal Italia Srl,  Pomezia, Italy</t>
        </is>
      </c>
      <c r="B8184" t="inlineStr">
        <is>
          <t>Collecting Point</t>
        </is>
      </c>
      <c r="C8184" t="inlineStr">
        <is>
          <t>RINA Services S.p.A., Genova, IT</t>
        </is>
      </c>
      <c r="D8184" t="inlineStr">
        <is>
          <t>05.02.2027</t>
        </is>
      </c>
      <c r="E8184" t="inlineStr">
        <is>
          <t>Italy</t>
        </is>
      </c>
    </row>
    <row r="8185">
      <c r="A8185" t="inlineStr">
        <is>
          <t>FLYORO TECHNOLOGIES PTE. LTD.,  Singapore, Singapore</t>
        </is>
      </c>
      <c r="B8185" t="inlineStr">
        <is>
          <t>Trader with Storage</t>
        </is>
      </c>
      <c r="C8185" t="inlineStr">
        <is>
          <t>Control Union Certifications Germany GmbH, Berlin, DE</t>
        </is>
      </c>
      <c r="D8185" t="inlineStr">
        <is>
          <t>04.02.2027</t>
        </is>
      </c>
      <c r="E8185" t="inlineStr">
        <is>
          <t>Singapore</t>
        </is>
      </c>
    </row>
    <row r="8186">
      <c r="A8186" t="inlineStr">
        <is>
          <t>AINOSTRANS SL,  VILAFANT, Spain</t>
        </is>
      </c>
      <c r="B8186" t="inlineStr">
        <is>
          <t>Collecting Point, Trader with Storage</t>
        </is>
      </c>
      <c r="C8186" t="inlineStr">
        <is>
          <t>Control Union Poland Sp. z o.o., Zielona Gora, PL</t>
        </is>
      </c>
      <c r="D8186" t="inlineStr">
        <is>
          <t>04.02.2027</t>
        </is>
      </c>
      <c r="E8186" t="inlineStr">
        <is>
          <t>Spain</t>
        </is>
      </c>
    </row>
    <row r="8187">
      <c r="A8187" t="inlineStr">
        <is>
          <t>Nanjing Shengding Environmental Protection Technology Co., LTD,  Nanjing, Jiangsu, China</t>
        </is>
      </c>
      <c r="B8187" t="inlineStr">
        <is>
          <t>Collecting Point, Trader with Storage</t>
        </is>
      </c>
      <c r="C8187" t="inlineStr">
        <is>
          <t>RINA Services S.p.A., Genova, IT</t>
        </is>
      </c>
      <c r="D8187" t="inlineStr">
        <is>
          <t>04.02.2027</t>
        </is>
      </c>
      <c r="E8187" t="inlineStr">
        <is>
          <t>China</t>
        </is>
      </c>
    </row>
    <row r="8188">
      <c r="A8188" t="inlineStr">
        <is>
          <t>MUO Polyolefine GmbH,  Münchsmünster, Germany</t>
        </is>
      </c>
      <c r="B8188" t="inlineStr">
        <is>
          <t>Processing Unit</t>
        </is>
      </c>
      <c r="C8188" t="inlineStr">
        <is>
          <t>TÜV SÜD Industrie Service GmbH, München, DE</t>
        </is>
      </c>
      <c r="D8188" t="inlineStr">
        <is>
          <t>04.02.2027</t>
        </is>
      </c>
      <c r="E8188" t="inlineStr">
        <is>
          <t>Germany</t>
        </is>
      </c>
    </row>
    <row r="8189">
      <c r="A8189" t="inlineStr">
        <is>
          <t>RIS S.A.,  Pilar, Buenos Aires, Argentina</t>
        </is>
      </c>
      <c r="B8189" t="inlineStr">
        <is>
          <t>Collecting Point, Point of Origin, Trader with Storage, Processing Unit</t>
        </is>
      </c>
      <c r="C8189" t="inlineStr">
        <is>
          <t>Control Union Poland Sp. z o.o., Zielona Gora, PL</t>
        </is>
      </c>
      <c r="D8189" t="inlineStr">
        <is>
          <t>04.02.2027</t>
        </is>
      </c>
      <c r="E8189" t="inlineStr">
        <is>
          <t>Argentina</t>
        </is>
      </c>
    </row>
    <row r="8190">
      <c r="A8190" t="inlineStr">
        <is>
          <t>Thales DIS Finland OY,  Vantaa, Finland</t>
        </is>
      </c>
      <c r="B8190" t="inlineStr">
        <is>
          <t>Final Product Refinement</t>
        </is>
      </c>
      <c r="C8190" t="inlineStr">
        <is>
          <t>Bureau Veritas Polska Sp. z o.o., Warsaw, PL</t>
        </is>
      </c>
      <c r="D8190" t="inlineStr">
        <is>
          <t>04.02.2027</t>
        </is>
      </c>
      <c r="E8190" t="inlineStr">
        <is>
          <t>Finland</t>
        </is>
      </c>
    </row>
    <row r="8191">
      <c r="A8191" t="inlineStr">
        <is>
          <t>Trafigura PTE LTD,  Singapore, Singapore</t>
        </is>
      </c>
      <c r="B8191" t="inlineStr">
        <is>
          <t>Trader</t>
        </is>
      </c>
      <c r="C8191" t="inlineStr">
        <is>
          <t>Control Union Certifications Germany GmbH, Berlin, DE</t>
        </is>
      </c>
      <c r="D8191" t="inlineStr">
        <is>
          <t>04.02.2027</t>
        </is>
      </c>
      <c r="E8191" t="inlineStr">
        <is>
          <t>Singapore</t>
        </is>
      </c>
    </row>
    <row r="8192">
      <c r="A8192" t="inlineStr">
        <is>
          <t>SIG Combibloc (Suzhou) Co., Ltd.,  Suzhou, China</t>
        </is>
      </c>
      <c r="B8192" t="inlineStr">
        <is>
          <t>Processing Unit</t>
        </is>
      </c>
      <c r="C8192" t="inlineStr">
        <is>
          <t>PT Intertek Utama Services, Jakarta, ID</t>
        </is>
      </c>
      <c r="D8192" t="inlineStr">
        <is>
          <t>04.02.2027</t>
        </is>
      </c>
      <c r="E8192" t="inlineStr">
        <is>
          <t>China</t>
        </is>
      </c>
    </row>
    <row r="8193">
      <c r="A8193" t="inlineStr">
        <is>
          <t>SIG Combibloc (Suzhou) Co., Ltd.,  Suzhou, China</t>
        </is>
      </c>
      <c r="B8193" t="inlineStr">
        <is>
          <t>Processing Unit</t>
        </is>
      </c>
      <c r="C8193" t="inlineStr">
        <is>
          <t>PT Intertek Utama Services, Jakarta, ID</t>
        </is>
      </c>
      <c r="D8193" t="inlineStr">
        <is>
          <t>04.02.2027</t>
        </is>
      </c>
      <c r="E8193" t="inlineStr">
        <is>
          <t>China</t>
        </is>
      </c>
    </row>
    <row r="8194">
      <c r="A8194" t="inlineStr">
        <is>
          <t>PT Multimas Nabati Asahan,  Sumatera Utara, Indonesia</t>
        </is>
      </c>
      <c r="B8194" t="inlineStr">
        <is>
          <t>Point of Origin, Trader with Storage</t>
        </is>
      </c>
      <c r="C8194" t="inlineStr">
        <is>
          <t>Trans Certification and Inspection Sdn Bhd, Kuantan, MY</t>
        </is>
      </c>
      <c r="D8194" t="inlineStr">
        <is>
          <t>04.02.2027</t>
        </is>
      </c>
      <c r="E8194" t="inlineStr">
        <is>
          <t>Indonesia</t>
        </is>
      </c>
    </row>
    <row r="8195">
      <c r="A8195" t="inlineStr">
        <is>
          <t>PT Multimas Nabati Asahan,  Sumatera Utara, Indonesia</t>
        </is>
      </c>
      <c r="B8195" t="inlineStr">
        <is>
          <t>Point of Origin</t>
        </is>
      </c>
      <c r="C8195" t="inlineStr">
        <is>
          <t>Trans Certification and Inspection Sdn Bhd, Kuantan, MY</t>
        </is>
      </c>
      <c r="D8195" t="inlineStr">
        <is>
          <t>04.02.2027</t>
        </is>
      </c>
      <c r="E8195" t="inlineStr">
        <is>
          <t>Indonesia</t>
        </is>
      </c>
    </row>
    <row r="8196">
      <c r="A8196" t="inlineStr">
        <is>
          <t>Hanwa Thailand Co.,Ltd.,  Bangkok, Thailand</t>
        </is>
      </c>
      <c r="B8196" t="inlineStr">
        <is>
          <t>Trader</t>
        </is>
      </c>
      <c r="C8196" t="inlineStr">
        <is>
          <t>Control Union Poland Sp. z o.o., Zielona Gora, PL</t>
        </is>
      </c>
      <c r="D8196" t="inlineStr">
        <is>
          <t>04.02.2027</t>
        </is>
      </c>
      <c r="E8196" t="inlineStr">
        <is>
          <t>Thailand</t>
        </is>
      </c>
    </row>
    <row r="8197">
      <c r="A8197" t="inlineStr">
        <is>
          <t>Hanwa Thailand Co.,Ltd.,  Bangkok, Thailand</t>
        </is>
      </c>
      <c r="B8197" t="inlineStr">
        <is>
          <t>Trader</t>
        </is>
      </c>
      <c r="C8197" t="inlineStr">
        <is>
          <t>Control Union Poland Sp. z o.o., Zielona Gora, PL</t>
        </is>
      </c>
      <c r="D8197" t="inlineStr">
        <is>
          <t>04.02.2027</t>
        </is>
      </c>
      <c r="E8197" t="inlineStr">
        <is>
          <t>Thailand</t>
        </is>
      </c>
    </row>
    <row r="8198">
      <c r="A8198" t="inlineStr">
        <is>
          <t>Agroma Ltd,  Nicosia, Cyprus</t>
        </is>
      </c>
      <c r="B8198" t="inlineStr">
        <is>
          <t>Trader</t>
        </is>
      </c>
      <c r="C8198" t="inlineStr">
        <is>
          <t>Aciter Genelab LLC, Odessa, UA</t>
        </is>
      </c>
      <c r="D8198" t="inlineStr">
        <is>
          <t>04.02.2027</t>
        </is>
      </c>
      <c r="E8198" t="inlineStr">
        <is>
          <t>Cyprus</t>
        </is>
      </c>
    </row>
    <row r="8199">
      <c r="A8199" t="inlineStr">
        <is>
          <t>Donghai Runhe Grease Trading Co.,Ltd.,  Lianyungang City, Jiangsu Province, China</t>
        </is>
      </c>
      <c r="B8199" t="inlineStr">
        <is>
          <t>Collecting Point, Processing Unit</t>
        </is>
      </c>
      <c r="C8199" t="inlineStr">
        <is>
          <t>SCS Global Services, Emeryville, CA, US</t>
        </is>
      </c>
      <c r="D8199" t="inlineStr">
        <is>
          <t>04.02.2027</t>
        </is>
      </c>
      <c r="E8199" t="inlineStr">
        <is>
          <t>China</t>
        </is>
      </c>
    </row>
    <row r="8200">
      <c r="A8200" t="inlineStr">
        <is>
          <t>AgroSzász s.r.o.,  Bátorové Kosihy, Slovakia</t>
        </is>
      </c>
      <c r="B8200" t="inlineStr">
        <is>
          <t>First Gathering Point, Trader with Storage</t>
        </is>
      </c>
      <c r="C8200" t="inlineStr">
        <is>
          <t>United Registrar of Systems Polska Sp. z o.o., Wrocław, PL</t>
        </is>
      </c>
      <c r="D8200" t="inlineStr">
        <is>
          <t>04.02.2027</t>
        </is>
      </c>
      <c r="E8200" t="inlineStr">
        <is>
          <t>Slovakia</t>
        </is>
      </c>
    </row>
    <row r="8201">
      <c r="A8201" t="inlineStr">
        <is>
          <t>Energetika Slovensko, a. s.,  Bratislava, Slovakia</t>
        </is>
      </c>
      <c r="B8201" t="inlineStr">
        <is>
          <t>Trader</t>
        </is>
      </c>
      <c r="C8201" t="inlineStr">
        <is>
          <t>United Registrar of Systems Polska Sp. z o.o., Wrocław, PL</t>
        </is>
      </c>
      <c r="D8201" t="inlineStr">
        <is>
          <t>04.02.2027</t>
        </is>
      </c>
      <c r="E8201" t="inlineStr">
        <is>
          <t>Slovakia</t>
        </is>
      </c>
    </row>
    <row r="8202">
      <c r="A8202" t="inlineStr">
        <is>
          <t>Makmur Prima Lestari,  Kabupaten Sekadau, Kalimantan Barat, Indonesia</t>
        </is>
      </c>
      <c r="B8202" t="inlineStr">
        <is>
          <t>Point of Origin</t>
        </is>
      </c>
      <c r="C8202" t="inlineStr">
        <is>
          <t>PT. Qualitas Sertifikasi Indonesia, Jakarta, ID</t>
        </is>
      </c>
      <c r="D8202" t="inlineStr">
        <is>
          <t>04.02.2027</t>
        </is>
      </c>
      <c r="E8202" t="inlineStr">
        <is>
          <t>Indonesia</t>
        </is>
      </c>
    </row>
    <row r="8203">
      <c r="A8203" t="inlineStr">
        <is>
          <t>Makmur Prima Lestari,  Kabupaten Sekadau, Kalimantan Barat, Indonesia</t>
        </is>
      </c>
      <c r="B8203" t="inlineStr">
        <is>
          <t>Point of Origin</t>
        </is>
      </c>
      <c r="C8203" t="inlineStr">
        <is>
          <t>PT. Qualitas Sertifikasi Indonesia, Jakarta, ID</t>
        </is>
      </c>
      <c r="D8203" t="inlineStr">
        <is>
          <t>04.02.2027</t>
        </is>
      </c>
      <c r="E8203" t="inlineStr">
        <is>
          <t>Indonesia</t>
        </is>
      </c>
    </row>
    <row r="8204">
      <c r="A8204" t="inlineStr">
        <is>
          <t>BlackCastle,  Singapore, Singapore</t>
        </is>
      </c>
      <c r="B8204" t="inlineStr">
        <is>
          <t>Trader</t>
        </is>
      </c>
      <c r="C8204" t="inlineStr">
        <is>
          <t>PT SBC Asia Sertifikasi, Kebumen, ID</t>
        </is>
      </c>
      <c r="D8204" t="inlineStr">
        <is>
          <t>04.02.2027</t>
        </is>
      </c>
      <c r="E8204" t="inlineStr">
        <is>
          <t>Singapore</t>
        </is>
      </c>
    </row>
    <row r="8205">
      <c r="A8205" t="inlineStr">
        <is>
          <t>S.A.P.I. S.p.A.,  San Martino in Rio (RE), Italy</t>
        </is>
      </c>
      <c r="B8205" t="inlineStr">
        <is>
          <t>Collecting Point, Point of Origin, Processing Unit, Trader with Storage</t>
        </is>
      </c>
      <c r="C8205" t="inlineStr">
        <is>
          <t>SGS Germany GmbH, Emstek, DE</t>
        </is>
      </c>
      <c r="D8205" t="inlineStr">
        <is>
          <t>04.02.2027</t>
        </is>
      </c>
      <c r="E8205" t="inlineStr">
        <is>
          <t>Italy</t>
        </is>
      </c>
    </row>
    <row r="8206">
      <c r="A8206" t="inlineStr">
        <is>
          <t>Solid Orient Holdings Sdn Bhd,  Kuala Ketil, Kedah, Malaysia</t>
        </is>
      </c>
      <c r="B8206" t="inlineStr">
        <is>
          <t>Point of Origin</t>
        </is>
      </c>
      <c r="C8206" t="inlineStr">
        <is>
          <t>PT Mutuagung Lestari, Depok, ID</t>
        </is>
      </c>
      <c r="D8206" t="inlineStr">
        <is>
          <t>04.02.2027</t>
        </is>
      </c>
      <c r="E8206" t="inlineStr">
        <is>
          <t>Malaysia</t>
        </is>
      </c>
    </row>
    <row r="8207">
      <c r="A8207" t="inlineStr">
        <is>
          <t>TRAVEL INVESTMENT AND SEAFOOD DEVELOPMENT CORPORATION,  Dong Thap Province, Vietnam</t>
        </is>
      </c>
      <c r="B8207" t="inlineStr">
        <is>
          <t>Point of Origin</t>
        </is>
      </c>
      <c r="C8207" t="inlineStr">
        <is>
          <t>PT Intertek Utama Services, Jakarta, ID</t>
        </is>
      </c>
      <c r="D8207" t="inlineStr">
        <is>
          <t>04.02.2027</t>
        </is>
      </c>
      <c r="E8207" t="inlineStr">
        <is>
          <t>Vietnam</t>
        </is>
      </c>
    </row>
    <row r="8208">
      <c r="A8208" t="inlineStr">
        <is>
          <t>Heilongjiang Yuliang Economic &amp; Trade Co., Ltd.,  Suihua City, Heilongjiang Province, China</t>
        </is>
      </c>
      <c r="B8208" t="inlineStr">
        <is>
          <t>Point of Origin</t>
        </is>
      </c>
      <c r="C8208" t="inlineStr">
        <is>
          <t>SCS Global Services, Emeryville, CA, US</t>
        </is>
      </c>
      <c r="D8208" t="inlineStr">
        <is>
          <t>04.02.2027</t>
        </is>
      </c>
      <c r="E8208" t="inlineStr">
        <is>
          <t>China</t>
        </is>
      </c>
    </row>
    <row r="8209">
      <c r="A8209" t="inlineStr">
        <is>
          <t>Anew Energy GmbH,  München, Germany</t>
        </is>
      </c>
      <c r="B8209" t="inlineStr">
        <is>
          <t>Trader</t>
        </is>
      </c>
      <c r="C8209" t="inlineStr">
        <is>
          <t>GUT Certifizierungsgesellschaft für Managementsysteme mbH Umweltgutachter, Berlin, DE</t>
        </is>
      </c>
      <c r="D8209" t="inlineStr">
        <is>
          <t>04.02.2027</t>
        </is>
      </c>
      <c r="E8209" t="inlineStr">
        <is>
          <t>Germany</t>
        </is>
      </c>
    </row>
    <row r="8210">
      <c r="A8210" t="inlineStr">
        <is>
          <t>PRG COMMERCE COMPANY LIMITED,  Khlong Luang District, Pathumthani, Thailand</t>
        </is>
      </c>
      <c r="B8210" t="inlineStr">
        <is>
          <t>Collecting Point, Processing Unit, Trader with Storage</t>
        </is>
      </c>
      <c r="C8210" t="inlineStr">
        <is>
          <t>China Testing &amp; Certification International Group Co., Ltd., Beijing, CN</t>
        </is>
      </c>
      <c r="D8210" t="inlineStr">
        <is>
          <t>04.02.2027</t>
        </is>
      </c>
      <c r="E8210" t="inlineStr">
        <is>
          <t>Thailand</t>
        </is>
      </c>
    </row>
    <row r="8211">
      <c r="A8211" t="inlineStr">
        <is>
          <t>Luxottica Tristar (Dongguan) Optical Co., Ltd.,  Dongguan City, China</t>
        </is>
      </c>
      <c r="B8211" t="inlineStr">
        <is>
          <t>Point of Origin, Processing Unit</t>
        </is>
      </c>
      <c r="C8211" t="inlineStr">
        <is>
          <t>SGS Germany GmbH, Emstek, DE</t>
        </is>
      </c>
      <c r="D8211" t="inlineStr">
        <is>
          <t>04.02.2027</t>
        </is>
      </c>
      <c r="E8211" t="inlineStr">
        <is>
          <t>China</t>
        </is>
      </c>
    </row>
    <row r="8212">
      <c r="A8212" t="inlineStr">
        <is>
          <t>DS WOOIL BIO. CO., LTD,  Cheong-yang-gun, South Korea</t>
        </is>
      </c>
      <c r="B8212" t="inlineStr">
        <is>
          <t>Point of Origin</t>
        </is>
      </c>
      <c r="C8212" t="inlineStr">
        <is>
          <t>BM Certification, Riga, LV</t>
        </is>
      </c>
      <c r="D8212" t="inlineStr">
        <is>
          <t>04.02.2027</t>
        </is>
      </c>
      <c r="E8212" t="inlineStr">
        <is>
          <t>South Korea</t>
        </is>
      </c>
    </row>
    <row r="8213">
      <c r="A8213" t="inlineStr">
        <is>
          <t>PT SANTOMO BIOMASS INDONESIA,  Jakarta Barat, Indonesia</t>
        </is>
      </c>
      <c r="B8213" t="inlineStr">
        <is>
          <t>Trader</t>
        </is>
      </c>
      <c r="C8213" t="inlineStr">
        <is>
          <t>Control Union Certifications Germany GmbH, Berlin, DE</t>
        </is>
      </c>
      <c r="D8213" t="inlineStr">
        <is>
          <t>04.02.2027</t>
        </is>
      </c>
      <c r="E8213" t="inlineStr">
        <is>
          <t>Indonesia</t>
        </is>
      </c>
    </row>
    <row r="8214">
      <c r="A8214" t="inlineStr">
        <is>
          <t>PT SANTOMO BIOMASS INDONESIA,  Jakarta Barat, Indonesia</t>
        </is>
      </c>
      <c r="B8214" t="inlineStr">
        <is>
          <t>Trader</t>
        </is>
      </c>
      <c r="C8214" t="inlineStr">
        <is>
          <t>Control Union Certifications Germany GmbH, Berlin, DE</t>
        </is>
      </c>
      <c r="D8214" t="inlineStr">
        <is>
          <t>04.02.2027</t>
        </is>
      </c>
      <c r="E8214" t="inlineStr">
        <is>
          <t>Indonesia</t>
        </is>
      </c>
    </row>
    <row r="8215">
      <c r="A8215" t="inlineStr">
        <is>
          <t>A.NOBEL &amp; ZN BUNKERSERVICE B.V.,  Zwijndrecht, Netherlands</t>
        </is>
      </c>
      <c r="B8215" t="inlineStr">
        <is>
          <t>Trader with Storage, Proof of Compliance Trader</t>
        </is>
      </c>
      <c r="C8215" t="inlineStr">
        <is>
          <t>DEKRA Certification B.V., Arnhem, NL</t>
        </is>
      </c>
      <c r="D8215" t="inlineStr">
        <is>
          <t>04.02.2027</t>
        </is>
      </c>
      <c r="E8215" t="inlineStr">
        <is>
          <t>Netherlands</t>
        </is>
      </c>
    </row>
    <row r="8216">
      <c r="A8216" t="inlineStr">
        <is>
          <t>Havila Biogass Nesset,  Eidsvåg, Norway</t>
        </is>
      </c>
      <c r="B8216" t="inlineStr">
        <is>
          <t>Collecting Point, Processing Unit</t>
        </is>
      </c>
      <c r="C8216" t="inlineStr">
        <is>
          <t>Baltic Control Certification, Risskov, DK</t>
        </is>
      </c>
      <c r="D8216" t="inlineStr">
        <is>
          <t>04.02.2027</t>
        </is>
      </c>
      <c r="E8216" t="inlineStr">
        <is>
          <t>Norway</t>
        </is>
      </c>
    </row>
    <row r="8217">
      <c r="A8217" t="inlineStr">
        <is>
          <t>FENG TAY ENTERPRISES CO., LTD.,  DOULIOU CITY, YUNLIN COUNTY, Taiwan, Province of China</t>
        </is>
      </c>
      <c r="B8217" t="inlineStr">
        <is>
          <t>Trader with Storage</t>
        </is>
      </c>
      <c r="C8217" t="inlineStr">
        <is>
          <t>Bureau Veritas Polska Sp. z o.o., Warsaw, PL</t>
        </is>
      </c>
      <c r="D8217" t="inlineStr">
        <is>
          <t>04.02.2027</t>
        </is>
      </c>
      <c r="E8217" t="inlineStr">
        <is>
          <t>Province of China</t>
        </is>
      </c>
    </row>
    <row r="8218">
      <c r="A8218" t="inlineStr">
        <is>
          <t>ARLANXEO USA LLC,  Orange, United States</t>
        </is>
      </c>
      <c r="B8218" t="inlineStr">
        <is>
          <t>Processing Unit, Trader with Storage</t>
        </is>
      </c>
      <c r="C8218" t="inlineStr">
        <is>
          <t>DQS CFS GmbH - Deutsche Gesellschaft für Nachhaltigkeit, Frankfurt am Main, DE</t>
        </is>
      </c>
      <c r="D8218" t="inlineStr">
        <is>
          <t>04.02.2027</t>
        </is>
      </c>
      <c r="E8218" t="inlineStr">
        <is>
          <t>United States</t>
        </is>
      </c>
    </row>
    <row r="8219">
      <c r="A8219" t="inlineStr">
        <is>
          <t>Second Life,  Agueda, Portugal</t>
        </is>
      </c>
      <c r="B8219" t="inlineStr">
        <is>
          <t>Collecting Point, Trader</t>
        </is>
      </c>
      <c r="C8219" t="inlineStr">
        <is>
          <t>RINA Services S.p.A., Genova, IT</t>
        </is>
      </c>
      <c r="D8219" t="inlineStr">
        <is>
          <t>04.02.2027</t>
        </is>
      </c>
      <c r="E8219" t="inlineStr">
        <is>
          <t>Portugal</t>
        </is>
      </c>
    </row>
    <row r="8220">
      <c r="A8220" t="inlineStr">
        <is>
          <t>Riverina Oils &amp; Bio Energy,  Southbank, Australia</t>
        </is>
      </c>
      <c r="B8220" t="inlineStr">
        <is>
          <t>Trader with Storage</t>
        </is>
      </c>
      <c r="C8220" t="inlineStr">
        <is>
          <t>SGS Germany GmbH, Emstek, DE</t>
        </is>
      </c>
      <c r="D8220" t="inlineStr">
        <is>
          <t>04.02.2027</t>
        </is>
      </c>
      <c r="E8220" t="inlineStr">
        <is>
          <t>Australia</t>
        </is>
      </c>
    </row>
    <row r="8221">
      <c r="A8221" t="inlineStr">
        <is>
          <t>Riverina Oils &amp; Bio Energy,  Southbank, Australia</t>
        </is>
      </c>
      <c r="B8221" t="inlineStr">
        <is>
          <t>Trader with Storage</t>
        </is>
      </c>
      <c r="C8221" t="inlineStr">
        <is>
          <t>SGS Germany GmbH, Emstek, DE</t>
        </is>
      </c>
      <c r="D8221" t="inlineStr">
        <is>
          <t>04.02.2027</t>
        </is>
      </c>
      <c r="E8221" t="inlineStr">
        <is>
          <t>Australia</t>
        </is>
      </c>
    </row>
    <row r="8222">
      <c r="A8222" t="inlineStr">
        <is>
          <t>OILS TRADER PARAGUAY S.A.,  María Auxiliadora, Paraguay</t>
        </is>
      </c>
      <c r="B8222" t="inlineStr">
        <is>
          <t>Point of Origin, Processing Unit, Collecting Point, Trader with Storage</t>
        </is>
      </c>
      <c r="C8222" t="inlineStr">
        <is>
          <t>Control Union Poland Sp. z o.o., Zielona Gora, PL</t>
        </is>
      </c>
      <c r="D8222" t="inlineStr">
        <is>
          <t>04.02.2027</t>
        </is>
      </c>
      <c r="E8222" t="inlineStr">
        <is>
          <t>Paraguay</t>
        </is>
      </c>
    </row>
    <row r="8223">
      <c r="A8223" t="inlineStr">
        <is>
          <t>Silcompa,  Correggio, Italy</t>
        </is>
      </c>
      <c r="B8223" t="inlineStr">
        <is>
          <t>Trader with Storage</t>
        </is>
      </c>
      <c r="C8223" t="inlineStr">
        <is>
          <t>Bureau Veritas Polska Sp. z o.o., Warsaw, PL</t>
        </is>
      </c>
      <c r="D8223" t="inlineStr">
        <is>
          <t>04.02.2027</t>
        </is>
      </c>
      <c r="E8223" t="inlineStr">
        <is>
          <t>Italy</t>
        </is>
      </c>
    </row>
    <row r="8224">
      <c r="A8224" t="inlineStr">
        <is>
          <t>Zakład Przemysłu Mięsnego Biernacki,  Golina, Poland</t>
        </is>
      </c>
      <c r="B8224" t="inlineStr">
        <is>
          <t>Point of Origin</t>
        </is>
      </c>
      <c r="C8224" t="inlineStr">
        <is>
          <t>Bureau Veritas Polska Sp. z o.o., Warsaw, PL</t>
        </is>
      </c>
      <c r="D8224" t="inlineStr">
        <is>
          <t>04.02.2027</t>
        </is>
      </c>
      <c r="E8224" t="inlineStr">
        <is>
          <t>Poland</t>
        </is>
      </c>
    </row>
    <row r="8225">
      <c r="A8225" t="inlineStr">
        <is>
          <t>KRYVOOZERSK’II OLIYNII ZAVOD ORGANIC LLC,  Kyiv, Ukraine</t>
        </is>
      </c>
      <c r="B8225" t="inlineStr">
        <is>
          <t>First Gathering Point, Trader</t>
        </is>
      </c>
      <c r="C8225" t="inlineStr">
        <is>
          <t>Bureau Veritas Polska Sp. z o.o., Warsaw, PL</t>
        </is>
      </c>
      <c r="D8225" t="inlineStr">
        <is>
          <t>04.02.2027</t>
        </is>
      </c>
      <c r="E8225" t="inlineStr">
        <is>
          <t>Ukraine</t>
        </is>
      </c>
    </row>
    <row r="8226">
      <c r="A8226" t="inlineStr">
        <is>
          <t>SUMITOMO BAKELITE EUROPE (Barcelona), S.L.U.,  MONTORNÈS DEL VALLÈS, Spain</t>
        </is>
      </c>
      <c r="B8226" t="inlineStr">
        <is>
          <t>Processing Unit, Trader with Storage</t>
        </is>
      </c>
      <c r="C8226" t="inlineStr">
        <is>
          <t>SGS Germany GmbH, Emstek, DE</t>
        </is>
      </c>
      <c r="D8226" t="inlineStr">
        <is>
          <t>04.02.2027</t>
        </is>
      </c>
      <c r="E8226" t="inlineStr">
        <is>
          <t>Spain</t>
        </is>
      </c>
    </row>
    <row r="8227">
      <c r="A8227" t="inlineStr">
        <is>
          <t>Versalis SpA,  Brindisi, Italy</t>
        </is>
      </c>
      <c r="B8227" t="inlineStr">
        <is>
          <t>Processing Unit</t>
        </is>
      </c>
      <c r="C8227" t="inlineStr">
        <is>
          <t>RINA Services S.p.A., Genova, IT</t>
        </is>
      </c>
      <c r="D8227" t="inlineStr">
        <is>
          <t>04.02.2027</t>
        </is>
      </c>
      <c r="E8227" t="inlineStr">
        <is>
          <t>Italy</t>
        </is>
      </c>
    </row>
    <row r="8228">
      <c r="A8228" t="inlineStr">
        <is>
          <t>Nanjing Laishun Waste Oil Co., Ltd.,  Nanjing City, Jiangsu Province, China</t>
        </is>
      </c>
      <c r="B8228" t="inlineStr">
        <is>
          <t>Collecting Point</t>
        </is>
      </c>
      <c r="C8228" t="inlineStr">
        <is>
          <t>RINA Services S.p.A., Genova, IT</t>
        </is>
      </c>
      <c r="D8228" t="inlineStr">
        <is>
          <t>04.02.2027</t>
        </is>
      </c>
      <c r="E8228" t="inlineStr">
        <is>
          <t>China</t>
        </is>
      </c>
    </row>
    <row r="8229">
      <c r="A8229" t="inlineStr">
        <is>
          <t>ENERGI YIJIE LANGYU,  Desa Cileles, Kecamatan Tiga Raksa, Indonesia</t>
        </is>
      </c>
      <c r="B8229" t="inlineStr">
        <is>
          <t>Collecting Point, Processing Unit</t>
        </is>
      </c>
      <c r="C8229" t="inlineStr">
        <is>
          <t>PT. Qualitas Sertifikasi Indonesia, Jakarta, ID</t>
        </is>
      </c>
      <c r="D8229" t="inlineStr">
        <is>
          <t>04.02.2027</t>
        </is>
      </c>
      <c r="E8229" t="inlineStr">
        <is>
          <t>Indonesia</t>
        </is>
      </c>
    </row>
    <row r="8230">
      <c r="A8230" t="inlineStr">
        <is>
          <t>M&amp;H Plastics,  Ellough, Beccles, United Kingdom</t>
        </is>
      </c>
      <c r="B8230" t="inlineStr">
        <is>
          <t>Final Product Refinement, Processing Unit</t>
        </is>
      </c>
      <c r="C8230" t="inlineStr">
        <is>
          <t>Bureau Veritas Polska Sp. z o.o., Warsaw, PL</t>
        </is>
      </c>
      <c r="D8230" t="inlineStr">
        <is>
          <t>04.02.2027</t>
        </is>
      </c>
      <c r="E8230" t="inlineStr">
        <is>
          <t>United Kingdom</t>
        </is>
      </c>
    </row>
    <row r="8231">
      <c r="A8231" t="inlineStr">
        <is>
          <t>Nanjing Shengding Environmental Protection Technology Co., LTD,  Nanjing, Jiangsu, China</t>
        </is>
      </c>
      <c r="B8231" t="inlineStr">
        <is>
          <t>Collecting Point, Trader with Storage</t>
        </is>
      </c>
      <c r="C8231" t="inlineStr">
        <is>
          <t>RINA Services S.p.A., Genova, IT</t>
        </is>
      </c>
      <c r="D8231" t="inlineStr">
        <is>
          <t>04.02.2027</t>
        </is>
      </c>
      <c r="E8231" t="inlineStr">
        <is>
          <t>China</t>
        </is>
      </c>
    </row>
    <row r="8232">
      <c r="A8232" t="inlineStr">
        <is>
          <t>Delta Energy S.r.l.,  Trento, Italy</t>
        </is>
      </c>
      <c r="B8232" t="inlineStr">
        <is>
          <t>Proof of Compliance Trader, Trader with Storage</t>
        </is>
      </c>
      <c r="C8232" t="inlineStr">
        <is>
          <t>SGS Germany GmbH, Emstek, DE</t>
        </is>
      </c>
      <c r="D8232" t="inlineStr">
        <is>
          <t>04.02.2027</t>
        </is>
      </c>
      <c r="E8232" t="inlineStr">
        <is>
          <t>Italy</t>
        </is>
      </c>
    </row>
    <row r="8233">
      <c r="A8233" t="inlineStr">
        <is>
          <t>Oleoflores S.A.S,  Agustin-Codazzi, Colombia</t>
        </is>
      </c>
      <c r="B8233" t="inlineStr">
        <is>
          <t>Point of Origin, Trader</t>
        </is>
      </c>
      <c r="C8233" t="inlineStr">
        <is>
          <t>Control Union Poland Sp. z o.o., Zielona Gora, PL</t>
        </is>
      </c>
      <c r="D8233" t="inlineStr">
        <is>
          <t>03.02.2027</t>
        </is>
      </c>
      <c r="E8233" t="inlineStr">
        <is>
          <t>Colombia</t>
        </is>
      </c>
    </row>
    <row r="8234">
      <c r="A8234" t="inlineStr">
        <is>
          <t>Basell Polyolefines France SAS,  Berre l'Etang, France</t>
        </is>
      </c>
      <c r="B8234" t="inlineStr">
        <is>
          <t>Processing Unit</t>
        </is>
      </c>
      <c r="C8234" t="inlineStr">
        <is>
          <t>TÜV SÜD Industrie Service GmbH, München, DE</t>
        </is>
      </c>
      <c r="D8234" t="inlineStr">
        <is>
          <t>03.02.2027</t>
        </is>
      </c>
      <c r="E8234" t="inlineStr">
        <is>
          <t>France</t>
        </is>
      </c>
    </row>
    <row r="8235">
      <c r="A8235" t="inlineStr">
        <is>
          <t>SOCOPA VIANDES,  EVRON, France</t>
        </is>
      </c>
      <c r="B8235" t="inlineStr">
        <is>
          <t>Point of Origin</t>
        </is>
      </c>
      <c r="C8235" t="inlineStr">
        <is>
          <t>Control Union Certifications Germany GmbH, Berlin, DE</t>
        </is>
      </c>
      <c r="D8235" t="inlineStr">
        <is>
          <t>03.02.2027</t>
        </is>
      </c>
      <c r="E8235" t="inlineStr">
        <is>
          <t>France</t>
        </is>
      </c>
    </row>
    <row r="8236">
      <c r="A8236" t="inlineStr">
        <is>
          <t>QUIMICA Y ENERGIA,  Buenos Aires, Argentina</t>
        </is>
      </c>
      <c r="B8236" t="inlineStr">
        <is>
          <t>Point of Origin, Trader with Storage</t>
        </is>
      </c>
      <c r="C8236" t="inlineStr">
        <is>
          <t>Control Union Poland Sp. z o.o., Zielona Gora, PL</t>
        </is>
      </c>
      <c r="D8236" t="inlineStr">
        <is>
          <t>03.02.2027</t>
        </is>
      </c>
      <c r="E8236" t="inlineStr">
        <is>
          <t>Argentina</t>
        </is>
      </c>
    </row>
    <row r="8237">
      <c r="A8237" t="inlineStr">
        <is>
          <t>Ide-Pro Skive A/S,  Skive, Denmark</t>
        </is>
      </c>
      <c r="B8237" t="inlineStr">
        <is>
          <t>Processing Unit</t>
        </is>
      </c>
      <c r="C8237" t="inlineStr">
        <is>
          <t>Baltic Control Certification, Risskov, DK</t>
        </is>
      </c>
      <c r="D8237" t="inlineStr">
        <is>
          <t>03.02.2027</t>
        </is>
      </c>
      <c r="E8237" t="inlineStr">
        <is>
          <t>Denmark</t>
        </is>
      </c>
    </row>
    <row r="8238">
      <c r="A8238" t="inlineStr">
        <is>
          <t>AGRIS spol. s r.o.,  Žichlínek, Czech Republic</t>
        </is>
      </c>
      <c r="B8238" t="inlineStr">
        <is>
          <t>Point of Origin</t>
        </is>
      </c>
      <c r="C8238" t="inlineStr">
        <is>
          <t>TÜV SÜD Czech s.r.o., Praha 4, CZ</t>
        </is>
      </c>
      <c r="D8238" t="inlineStr">
        <is>
          <t>03.02.2027</t>
        </is>
      </c>
      <c r="E8238" t="inlineStr">
        <is>
          <t>Czech Republic</t>
        </is>
      </c>
    </row>
    <row r="8239">
      <c r="A8239" t="inlineStr">
        <is>
          <t>Abena AB,  Kisa, Sweden</t>
        </is>
      </c>
      <c r="B8239" t="inlineStr">
        <is>
          <t>Final Product Refinement</t>
        </is>
      </c>
      <c r="C8239" t="inlineStr">
        <is>
          <t>DNV Business Assurance Sweden AB, Solna, SE</t>
        </is>
      </c>
      <c r="D8239" t="inlineStr">
        <is>
          <t>03.02.2027</t>
        </is>
      </c>
      <c r="E8239" t="inlineStr">
        <is>
          <t>Sweden</t>
        </is>
      </c>
    </row>
    <row r="8240">
      <c r="A8240" t="inlineStr">
        <is>
          <t>OPE Sp. z o.o.,  Toruń, Poland</t>
        </is>
      </c>
      <c r="B8240" t="inlineStr">
        <is>
          <t>Collecting Point, Processing Unit</t>
        </is>
      </c>
      <c r="C8240" t="inlineStr">
        <is>
          <t>United Registrar of Systems Polska Sp. z o.o., Wrocław, PL</t>
        </is>
      </c>
      <c r="D8240" t="inlineStr">
        <is>
          <t>03.02.2027</t>
        </is>
      </c>
      <c r="E8240" t="inlineStr">
        <is>
          <t>Poland</t>
        </is>
      </c>
    </row>
    <row r="8241">
      <c r="A8241" t="inlineStr">
        <is>
          <t>Logistica Milo,  Avellaneda, Buenos Aires, Argentina</t>
        </is>
      </c>
      <c r="B8241" t="inlineStr">
        <is>
          <t>Collecting Point, Processing Unit, Trader with Storage</t>
        </is>
      </c>
      <c r="C8241" t="inlineStr">
        <is>
          <t>Certificadora Gallega del Noroeste SL, Vilagarcia de Arousa-Pontevedra, ES</t>
        </is>
      </c>
      <c r="D8241" t="inlineStr">
        <is>
          <t>03.02.2027</t>
        </is>
      </c>
      <c r="E8241" t="inlineStr">
        <is>
          <t>Argentina</t>
        </is>
      </c>
    </row>
    <row r="8242">
      <c r="A8242" t="inlineStr">
        <is>
          <t>Concept Eyewear Manufacture Viet Nam Co., Ltd.,  Hoa Hiep Ward, Vietnam</t>
        </is>
      </c>
      <c r="B8242" t="inlineStr">
        <is>
          <t>Processing Unit</t>
        </is>
      </c>
      <c r="C8242" t="inlineStr">
        <is>
          <t>PT Intertek Utama Services, Jakarta, ID</t>
        </is>
      </c>
      <c r="D8242" t="inlineStr">
        <is>
          <t>03.02.2027</t>
        </is>
      </c>
      <c r="E8242" t="inlineStr">
        <is>
          <t>Vietnam</t>
        </is>
      </c>
    </row>
    <row r="8243">
      <c r="A8243" t="inlineStr">
        <is>
          <t>Gustav Kindt s.r.o.,  Český Těšín, Czech Republic</t>
        </is>
      </c>
      <c r="B8243" t="inlineStr">
        <is>
          <t>Trader</t>
        </is>
      </c>
      <c r="C8243" t="inlineStr">
        <is>
          <t>PT Intertek Utama Services, Jakarta, ID</t>
        </is>
      </c>
      <c r="D8243" t="inlineStr">
        <is>
          <t>03.02.2027</t>
        </is>
      </c>
      <c r="E8243" t="inlineStr">
        <is>
          <t>Czech Republic</t>
        </is>
      </c>
    </row>
    <row r="8244">
      <c r="A8244" t="inlineStr">
        <is>
          <t>LUKOIL Aviation Bulgaria,  Sofia, Bulgaria</t>
        </is>
      </c>
      <c r="B8244" t="inlineStr">
        <is>
          <t>Trader with Storage</t>
        </is>
      </c>
      <c r="C8244" t="inlineStr">
        <is>
          <t>Bureau Veritas Polska Sp. z o.o., Warsaw, PL</t>
        </is>
      </c>
      <c r="D8244" t="inlineStr">
        <is>
          <t>03.02.2027</t>
        </is>
      </c>
      <c r="E8244" t="inlineStr">
        <is>
          <t>Bulgaria</t>
        </is>
      </c>
    </row>
    <row r="8245">
      <c r="A8245" t="inlineStr">
        <is>
          <t>Mitsubishi Chemical Advanced Materials NV,  Tielt, Belgium</t>
        </is>
      </c>
      <c r="B8245" t="inlineStr">
        <is>
          <t>Point of Origin, Processing Unit, Trader with Storage</t>
        </is>
      </c>
      <c r="C8245" t="inlineStr">
        <is>
          <t>DQS CFS GmbH - Deutsche Gesellschaft für Nachhaltigkeit, Frankfurt am Main, DE</t>
        </is>
      </c>
      <c r="D8245" t="inlineStr">
        <is>
          <t>03.02.2027</t>
        </is>
      </c>
      <c r="E8245" t="inlineStr">
        <is>
          <t>Belgium</t>
        </is>
      </c>
    </row>
    <row r="8246">
      <c r="A8246" t="inlineStr">
        <is>
          <t>Gustav Grolman GmbH &amp; Co. KG,  Neuss, Germany</t>
        </is>
      </c>
      <c r="B8246" t="inlineStr">
        <is>
          <t>Trader with Storage</t>
        </is>
      </c>
      <c r="C8246" t="inlineStr">
        <is>
          <t>DQS CFS GmbH - Deutsche Gesellschaft für Nachhaltigkeit, Frankfurt am Main, DE</t>
        </is>
      </c>
      <c r="D8246" t="inlineStr">
        <is>
          <t>03.02.2027</t>
        </is>
      </c>
      <c r="E8246" t="inlineStr">
        <is>
          <t>Germany</t>
        </is>
      </c>
    </row>
    <row r="8247">
      <c r="A8247" t="inlineStr">
        <is>
          <t>Amcor Flexibles Nový Bydžov,  Nový Bydžov, Czech Republic</t>
        </is>
      </c>
      <c r="B8247" t="inlineStr">
        <is>
          <t>Final Product Refinement, Trader with Storage</t>
        </is>
      </c>
      <c r="C8247" t="inlineStr">
        <is>
          <t>SGS Germany GmbH, Emstek, DE</t>
        </is>
      </c>
      <c r="D8247" t="inlineStr">
        <is>
          <t>03.02.2027</t>
        </is>
      </c>
      <c r="E8247" t="inlineStr">
        <is>
          <t>Czech Republic</t>
        </is>
      </c>
    </row>
    <row r="8248">
      <c r="A8248" t="inlineStr">
        <is>
          <t>Rotho Sp. z o.o.,  Koszalin, Poland</t>
        </is>
      </c>
      <c r="B8248" t="inlineStr">
        <is>
          <t>Processing Unit</t>
        </is>
      </c>
      <c r="C8248" t="inlineStr">
        <is>
          <t>SGS Germany GmbH, Emstek, DE</t>
        </is>
      </c>
      <c r="D8248" t="inlineStr">
        <is>
          <t>03.02.2027</t>
        </is>
      </c>
      <c r="E8248" t="inlineStr">
        <is>
          <t>Poland</t>
        </is>
      </c>
    </row>
    <row r="8249">
      <c r="A8249" t="inlineStr">
        <is>
          <t>GEALAN Fenster-Systeme GmbH,  Tanna, Germany</t>
        </is>
      </c>
      <c r="B8249" t="inlineStr">
        <is>
          <t>Processing Unit, Trader with Storage</t>
        </is>
      </c>
      <c r="C8249" t="inlineStr">
        <is>
          <t>SGS Germany GmbH, Emstek, DE</t>
        </is>
      </c>
      <c r="D8249" t="inlineStr">
        <is>
          <t>03.02.2027</t>
        </is>
      </c>
      <c r="E8249" t="inlineStr">
        <is>
          <t>Germany</t>
        </is>
      </c>
    </row>
    <row r="8250">
      <c r="A8250" t="inlineStr">
        <is>
          <t>NEX OIL COMPANY LIMITED,  Chon Buri Province, Thailand</t>
        </is>
      </c>
      <c r="B8250" t="inlineStr">
        <is>
          <t>Collecting Point, Trader with Storage</t>
        </is>
      </c>
      <c r="C8250" t="inlineStr">
        <is>
          <t>SCS Global Services, Emeryville, CA, US</t>
        </is>
      </c>
      <c r="D8250" t="inlineStr">
        <is>
          <t>03.02.2027</t>
        </is>
      </c>
      <c r="E8250" t="inlineStr">
        <is>
          <t>Thailand</t>
        </is>
      </c>
    </row>
    <row r="8251">
      <c r="A8251" t="inlineStr">
        <is>
          <t>Baicheng Kunpeng Agricultural Development Co., Ltd.,  Taonan City, Baicheng City,, China</t>
        </is>
      </c>
      <c r="B8251" t="inlineStr">
        <is>
          <t>First Gathering Point, Processing Unit</t>
        </is>
      </c>
      <c r="C8251" t="inlineStr">
        <is>
          <t>SCS Global Services, Emeryville, CA, US</t>
        </is>
      </c>
      <c r="D8251" t="inlineStr">
        <is>
          <t>03.02.2027</t>
        </is>
      </c>
      <c r="E8251" t="inlineStr">
        <is>
          <t>China</t>
        </is>
      </c>
    </row>
    <row r="8252">
      <c r="A8252" t="inlineStr">
        <is>
          <t>Persha Podilska Enerhetychna Kompaniia,  Khmelnytsky region, Teofipolsky district, Teofipol, Ukraine</t>
        </is>
      </c>
      <c r="B8252" t="inlineStr">
        <is>
          <t>First Gathering Point, Collecting Point, Processing Unit</t>
        </is>
      </c>
      <c r="C8252" t="inlineStr">
        <is>
          <t>United Registrar of Systems Polska Sp. z o.o., Wrocław, PL</t>
        </is>
      </c>
      <c r="D8252" t="inlineStr">
        <is>
          <t>03.02.2027</t>
        </is>
      </c>
      <c r="E8252" t="inlineStr">
        <is>
          <t>Ukraine</t>
        </is>
      </c>
    </row>
    <row r="8253">
      <c r="A8253" t="inlineStr">
        <is>
          <t>Cargill Commodities Trading,  São Paulo, Brazil</t>
        </is>
      </c>
      <c r="B8253" t="inlineStr">
        <is>
          <t>Trader</t>
        </is>
      </c>
      <c r="C8253" t="inlineStr">
        <is>
          <t>SGS Germany GmbH, Emstek, DE</t>
        </is>
      </c>
      <c r="D8253" t="inlineStr">
        <is>
          <t>03.02.2027</t>
        </is>
      </c>
      <c r="E8253" t="inlineStr">
        <is>
          <t>Brazil</t>
        </is>
      </c>
    </row>
    <row r="8254">
      <c r="A8254" t="inlineStr">
        <is>
          <t>Brenntag Quimica S.A.U.,  Dos Hermanas, Spain</t>
        </is>
      </c>
      <c r="B8254" t="inlineStr">
        <is>
          <t>Trader with Storage</t>
        </is>
      </c>
      <c r="C8254" t="inlineStr">
        <is>
          <t>DIN CERTCO GmbH, Berlin, DE</t>
        </is>
      </c>
      <c r="D8254" t="inlineStr">
        <is>
          <t>03.02.2027</t>
        </is>
      </c>
      <c r="E8254" t="inlineStr">
        <is>
          <t>Spain</t>
        </is>
      </c>
    </row>
    <row r="8255">
      <c r="A8255" t="inlineStr">
        <is>
          <t>Norwich Airport Limited,  Norwich, United Kingdom</t>
        </is>
      </c>
      <c r="B8255" t="inlineStr">
        <is>
          <t>Proof of Compliance Trader, Trader with Storage</t>
        </is>
      </c>
      <c r="C8255" t="inlineStr">
        <is>
          <t>Aardvark Certification Ltd, Wiveliscombe, Somerset, GB</t>
        </is>
      </c>
      <c r="D8255" t="inlineStr">
        <is>
          <t>03.02.2027</t>
        </is>
      </c>
      <c r="E8255" t="inlineStr">
        <is>
          <t>United Kingdom</t>
        </is>
      </c>
    </row>
    <row r="8256">
      <c r="A8256" t="inlineStr">
        <is>
          <t>Nasurfar Biomaterial Technology (Changshu) Co. Ltd.,  Changshu, Jiangsu Province, China</t>
        </is>
      </c>
      <c r="B8256" t="inlineStr">
        <is>
          <t>Processing Unit, Point of Origin</t>
        </is>
      </c>
      <c r="C8256" t="inlineStr">
        <is>
          <t>Guardian Independent Certification Limited, Singapore, SG</t>
        </is>
      </c>
      <c r="D8256" t="inlineStr">
        <is>
          <t>03.02.2027</t>
        </is>
      </c>
      <c r="E8256" t="inlineStr">
        <is>
          <t>China</t>
        </is>
      </c>
    </row>
    <row r="8257">
      <c r="A8257" t="inlineStr">
        <is>
          <t>EMSUR SPO,  Val du Maine, France</t>
        </is>
      </c>
      <c r="B8257" t="inlineStr">
        <is>
          <t>Final Product Refinement, Processing Unit</t>
        </is>
      </c>
      <c r="C8257" t="inlineStr">
        <is>
          <t>SGS Germany GmbH, Emstek, DE</t>
        </is>
      </c>
      <c r="D8257" t="inlineStr">
        <is>
          <t>03.02.2027</t>
        </is>
      </c>
      <c r="E8257" t="inlineStr">
        <is>
          <t>France</t>
        </is>
      </c>
    </row>
    <row r="8258">
      <c r="A8258" t="inlineStr">
        <is>
          <t>Stockhausen Superabsorber GmbH,  Krefeld, Germany</t>
        </is>
      </c>
      <c r="B8258" t="inlineStr">
        <is>
          <t>Trader with Storage, Processing Unit</t>
        </is>
      </c>
      <c r="C8258" t="inlineStr">
        <is>
          <t>DIN CERTCO GmbH, Berlin, DE</t>
        </is>
      </c>
      <c r="D8258" t="inlineStr">
        <is>
          <t>03.02.2027</t>
        </is>
      </c>
      <c r="E8258" t="inlineStr">
        <is>
          <t>Germany</t>
        </is>
      </c>
    </row>
    <row r="8259">
      <c r="A8259" t="inlineStr">
        <is>
          <t>BEIJING HENGHE XINGYE TECHNOLOGY DEVELOPMENT CO., LTD.,  Haidian District Beijing City, China</t>
        </is>
      </c>
      <c r="B8259" t="inlineStr">
        <is>
          <t>Trader</t>
        </is>
      </c>
      <c r="C8259" t="inlineStr">
        <is>
          <t>SGS Germany GmbH, Emstek, DE</t>
        </is>
      </c>
      <c r="D8259" t="inlineStr">
        <is>
          <t>03.02.2027</t>
        </is>
      </c>
      <c r="E8259" t="inlineStr">
        <is>
          <t>China</t>
        </is>
      </c>
    </row>
    <row r="8260">
      <c r="A8260" t="inlineStr">
        <is>
          <t>Beyfin SpA Società Benefit,  Campi Bisenzio, Italy</t>
        </is>
      </c>
      <c r="B8260" t="inlineStr">
        <is>
          <t>Trader with Storage</t>
        </is>
      </c>
      <c r="C8260" t="inlineStr">
        <is>
          <t>RINA Services S.p.A., Genova, IT</t>
        </is>
      </c>
      <c r="D8260" t="inlineStr">
        <is>
          <t>03.02.2027</t>
        </is>
      </c>
      <c r="E8260" t="inlineStr">
        <is>
          <t>Italy</t>
        </is>
      </c>
    </row>
    <row r="8261">
      <c r="A8261" t="inlineStr">
        <is>
          <t>Beyfin SpA Società Benefit,  Campi Bisenzio, Italy</t>
        </is>
      </c>
      <c r="B8261" t="inlineStr">
        <is>
          <t>Trader with Storage</t>
        </is>
      </c>
      <c r="C8261" t="inlineStr">
        <is>
          <t>RINA Services S.p.A., Genova, IT</t>
        </is>
      </c>
      <c r="D8261" t="inlineStr">
        <is>
          <t>03.02.2027</t>
        </is>
      </c>
      <c r="E8261" t="inlineStr">
        <is>
          <t>Italy</t>
        </is>
      </c>
    </row>
    <row r="8262">
      <c r="A8262" t="inlineStr">
        <is>
          <t>Sinopec Ningbo Zhenhai Refining &amp; Chemical Co., Ltd.,  Ningbo City, China</t>
        </is>
      </c>
      <c r="B8262" t="inlineStr">
        <is>
          <t>Processing Unit, Trader with Storage</t>
        </is>
      </c>
      <c r="C8262" t="inlineStr">
        <is>
          <t>China Quality Certification Centre Co., Ltd., Beijing, CN</t>
        </is>
      </c>
      <c r="D8262" t="inlineStr">
        <is>
          <t>03.02.2027</t>
        </is>
      </c>
      <c r="E8262" t="inlineStr">
        <is>
          <t>China</t>
        </is>
      </c>
    </row>
    <row r="8263">
      <c r="A8263" t="inlineStr">
        <is>
          <t>Cargill Tarim ve Gida San. Tic. A.S.,  Dilovası,Kocaeli, Türkiye</t>
        </is>
      </c>
      <c r="B8263" t="inlineStr">
        <is>
          <t>Processing Unit, Trader</t>
        </is>
      </c>
      <c r="C8263" t="inlineStr">
        <is>
          <t>Control Union Certifications Germany GmbH, Berlin, DE</t>
        </is>
      </c>
      <c r="D8263" t="inlineStr">
        <is>
          <t>02.02.2027</t>
        </is>
      </c>
      <c r="E8263" t="inlineStr">
        <is>
          <t>Türkiye</t>
        </is>
      </c>
    </row>
    <row r="8264">
      <c r="A8264" t="inlineStr">
        <is>
          <t>Xupu Jinxu Environmental Management Co., Ltd.,  Huaihua City,Hunan Province, China</t>
        </is>
      </c>
      <c r="B8264" t="inlineStr">
        <is>
          <t>Collecting Point, Processing Unit</t>
        </is>
      </c>
      <c r="C8264" t="inlineStr">
        <is>
          <t>SCS Global Services, Emeryville, CA, US</t>
        </is>
      </c>
      <c r="D8264" t="inlineStr">
        <is>
          <t>02.02.2027</t>
        </is>
      </c>
      <c r="E8264" t="inlineStr">
        <is>
          <t>China</t>
        </is>
      </c>
    </row>
    <row r="8265">
      <c r="A8265" t="inlineStr">
        <is>
          <t>DBC Biomass Trading ApS,  Herning, Denmark</t>
        </is>
      </c>
      <c r="B8265" t="inlineStr">
        <is>
          <t>Collecting Point, Trader with Storage</t>
        </is>
      </c>
      <c r="C8265" t="inlineStr">
        <is>
          <t>DNV Business Assurance Sweden AB, Solna, SE</t>
        </is>
      </c>
      <c r="D8265" t="inlineStr">
        <is>
          <t>02.02.2027</t>
        </is>
      </c>
      <c r="E8265" t="inlineStr">
        <is>
          <t>Denmark</t>
        </is>
      </c>
    </row>
    <row r="8266">
      <c r="A8266" t="inlineStr">
        <is>
          <t>FastFeetGrinded B.V.,  Heerhugowaard, Netherlands</t>
        </is>
      </c>
      <c r="B8266" t="inlineStr">
        <is>
          <t>Collecting Point, Processing Unit</t>
        </is>
      </c>
      <c r="C8266" t="inlineStr">
        <is>
          <t>SGS Germany GmbH, Emstek, DE</t>
        </is>
      </c>
      <c r="D8266" t="inlineStr">
        <is>
          <t>02.02.2027</t>
        </is>
      </c>
      <c r="E8266" t="inlineStr">
        <is>
          <t>Netherlands</t>
        </is>
      </c>
    </row>
    <row r="8267">
      <c r="A8267" t="inlineStr">
        <is>
          <t>Al Ghurair Resources - Oils &amp; Proteins LLC,  Dubai, United Arab Emirates</t>
        </is>
      </c>
      <c r="B8267" t="inlineStr">
        <is>
          <t>Processing Unit</t>
        </is>
      </c>
      <c r="C8267" t="inlineStr">
        <is>
          <t>Bureau Veritas Polska Sp. z o.o., Warsaw, PL</t>
        </is>
      </c>
      <c r="D8267" t="inlineStr">
        <is>
          <t>02.02.2027</t>
        </is>
      </c>
      <c r="E8267" t="inlineStr">
        <is>
          <t>United Arab Emirates</t>
        </is>
      </c>
    </row>
    <row r="8268">
      <c r="A8268" t="inlineStr">
        <is>
          <t>Agroinvestcontact LLC,  Volosivka, Ukraine</t>
        </is>
      </c>
      <c r="B8268" t="inlineStr">
        <is>
          <t>Farm / Plantation</t>
        </is>
      </c>
      <c r="C8268" t="inlineStr">
        <is>
          <t>Bureau Veritas Polska Sp. z o.o., Warsaw, PL</t>
        </is>
      </c>
      <c r="D8268" t="inlineStr">
        <is>
          <t>02.02.2027</t>
        </is>
      </c>
      <c r="E8268" t="inlineStr">
        <is>
          <t>Ukraine</t>
        </is>
      </c>
    </row>
    <row r="8269">
      <c r="A8269" t="inlineStr">
        <is>
          <t>Petro &amp; Biofuel Trading KFT.,  Budapest, Hungary</t>
        </is>
      </c>
      <c r="B8269" t="inlineStr">
        <is>
          <t>Trader</t>
        </is>
      </c>
      <c r="C8269" t="inlineStr">
        <is>
          <t>Bureau Veritas Polska Sp. z o.o., Warsaw, PL</t>
        </is>
      </c>
      <c r="D8269" t="inlineStr">
        <is>
          <t>02.02.2027</t>
        </is>
      </c>
      <c r="E8269" t="inlineStr">
        <is>
          <t>Hungary</t>
        </is>
      </c>
    </row>
    <row r="8270">
      <c r="A8270" t="inlineStr">
        <is>
          <t>Yuanling Jinjun Environmental Management Co.,Ltd.,  Huaihua City, Hunan Province,, China</t>
        </is>
      </c>
      <c r="B8270" t="inlineStr">
        <is>
          <t>Collecting Point, Processing Unit</t>
        </is>
      </c>
      <c r="C8270" t="inlineStr">
        <is>
          <t>SCS Global Services, Emeryville, CA, US</t>
        </is>
      </c>
      <c r="D8270" t="inlineStr">
        <is>
          <t>02.02.2027</t>
        </is>
      </c>
      <c r="E8270" t="inlineStr">
        <is>
          <t>China</t>
        </is>
      </c>
    </row>
    <row r="8271">
      <c r="A8271" t="inlineStr">
        <is>
          <t>PT. Inti Indosawit Subur,  Bunut Langgam District, Pelalawan Regency, Riau, Indonesia</t>
        </is>
      </c>
      <c r="B8271" t="inlineStr">
        <is>
          <t>Point of Origin, Processing Unit</t>
        </is>
      </c>
      <c r="C8271" t="inlineStr">
        <is>
          <t>SGS Germany GmbH, Emstek, DE</t>
        </is>
      </c>
      <c r="D8271" t="inlineStr">
        <is>
          <t>02.02.2027</t>
        </is>
      </c>
      <c r="E8271" t="inlineStr">
        <is>
          <t>Indonesia</t>
        </is>
      </c>
    </row>
    <row r="8272">
      <c r="A8272" t="inlineStr">
        <is>
          <t>Promens Firenze,  Signa, Italy</t>
        </is>
      </c>
      <c r="B8272" t="inlineStr">
        <is>
          <t>Final Product Refinement, Processing Unit</t>
        </is>
      </c>
      <c r="C8272" t="inlineStr">
        <is>
          <t>IIP S.r.l., Monza, IT</t>
        </is>
      </c>
      <c r="D8272" t="inlineStr">
        <is>
          <t>02.02.2027</t>
        </is>
      </c>
      <c r="E8272" t="inlineStr">
        <is>
          <t>Italy</t>
        </is>
      </c>
    </row>
    <row r="8273">
      <c r="A8273" t="inlineStr">
        <is>
          <t>Geleon Company SA,  Sarandi, Argentina</t>
        </is>
      </c>
      <c r="B8273" t="inlineStr">
        <is>
          <t>Trader</t>
        </is>
      </c>
      <c r="C8273" t="inlineStr">
        <is>
          <t>Certificadora Gallega del Noroeste SL, Vilagarcia de Arousa-Pontevedra, ES</t>
        </is>
      </c>
      <c r="D8273" t="inlineStr">
        <is>
          <t>02.02.2027</t>
        </is>
      </c>
      <c r="E8273" t="inlineStr">
        <is>
          <t>Argentina</t>
        </is>
      </c>
    </row>
    <row r="8274">
      <c r="A8274" t="inlineStr">
        <is>
          <t>Trefoil Trading B.V. (Trade name: Burando Energies),  Pernis-Rotterdam, The Netherlands</t>
        </is>
      </c>
      <c r="B8274" t="inlineStr">
        <is>
          <t>Trader with Storage, Proof of Compliance Trader, Biomarine Fuel Operator</t>
        </is>
      </c>
      <c r="C8274" t="inlineStr">
        <is>
          <t>Control Union Certifications Germany GmbH, Berlin, DE</t>
        </is>
      </c>
      <c r="D8274" t="inlineStr">
        <is>
          <t>02.02.2027</t>
        </is>
      </c>
      <c r="E8274" t="inlineStr">
        <is>
          <t>The Netherlands</t>
        </is>
      </c>
    </row>
    <row r="8275">
      <c r="A8275" t="inlineStr">
        <is>
          <t>Kuraray Co., Ltd.,  Kamisu, Ibaraki, Japan</t>
        </is>
      </c>
      <c r="B8275" t="inlineStr">
        <is>
          <t>Processing Unit</t>
        </is>
      </c>
      <c r="C8275" t="inlineStr">
        <is>
          <t>Control Union Certifications Germany GmbH, Berlin, DE</t>
        </is>
      </c>
      <c r="D8275" t="inlineStr">
        <is>
          <t>02.02.2027</t>
        </is>
      </c>
      <c r="E8275" t="inlineStr">
        <is>
          <t>Japan</t>
        </is>
      </c>
    </row>
    <row r="8276">
      <c r="A8276" t="inlineStr">
        <is>
          <t>Huhtamaki,  Coleman, MI, United States</t>
        </is>
      </c>
      <c r="B8276" t="inlineStr">
        <is>
          <t>Processing Unit</t>
        </is>
      </c>
      <c r="C8276" t="inlineStr">
        <is>
          <t>SCS Global Services, Emeryville, CA, US</t>
        </is>
      </c>
      <c r="D8276" t="inlineStr">
        <is>
          <t>02.02.2027</t>
        </is>
      </c>
      <c r="E8276" t="inlineStr">
        <is>
          <t>United States</t>
        </is>
      </c>
    </row>
    <row r="8277">
      <c r="A8277" t="inlineStr">
        <is>
          <t>Sartorius Stedim Lab Ltd.,  Stonehouse, United Kingdom</t>
        </is>
      </c>
      <c r="B8277" t="inlineStr">
        <is>
          <t>Final Product Refinement, Processing Unit</t>
        </is>
      </c>
      <c r="C8277" t="inlineStr">
        <is>
          <t>Aardvark Certification Ltd, Wiveliscombe, Somerset, GB</t>
        </is>
      </c>
      <c r="D8277" t="inlineStr">
        <is>
          <t>02.02.2027</t>
        </is>
      </c>
      <c r="E8277" t="inlineStr">
        <is>
          <t>United Kingdom</t>
        </is>
      </c>
    </row>
    <row r="8278">
      <c r="A8278" t="inlineStr">
        <is>
          <t>Al Ghurair Resources - Oils &amp; Proteins LLC,  Dubai, United Arab Emirates</t>
        </is>
      </c>
      <c r="B8278" t="inlineStr">
        <is>
          <t>Processing Unit</t>
        </is>
      </c>
      <c r="C8278" t="inlineStr">
        <is>
          <t>Bureau Veritas Polska Sp. z o.o., Warsaw, PL</t>
        </is>
      </c>
      <c r="D8278" t="inlineStr">
        <is>
          <t>02.02.2027</t>
        </is>
      </c>
      <c r="E8278" t="inlineStr">
        <is>
          <t>United Arab Emirates</t>
        </is>
      </c>
    </row>
    <row r="8279">
      <c r="A8279" t="inlineStr">
        <is>
          <t>Al Ghurair Resources - Oils &amp; Proteins LLC,  Dubai, United Arab Emirates</t>
        </is>
      </c>
      <c r="B8279" t="inlineStr">
        <is>
          <t>Processing Unit</t>
        </is>
      </c>
      <c r="C8279" t="inlineStr">
        <is>
          <t>Bureau Veritas Polska Sp. z o.o., Warsaw, PL</t>
        </is>
      </c>
      <c r="D8279" t="inlineStr">
        <is>
          <t>02.02.2027</t>
        </is>
      </c>
      <c r="E8279" t="inlineStr">
        <is>
          <t>United Arab Emirates</t>
        </is>
      </c>
    </row>
    <row r="8280">
      <c r="A8280" t="inlineStr">
        <is>
          <t>Wipak OY,  Valkeakoski, Finland</t>
        </is>
      </c>
      <c r="B8280" t="inlineStr">
        <is>
          <t>Processing Unit</t>
        </is>
      </c>
      <c r="C8280" t="inlineStr">
        <is>
          <t>DNV Business Assurance Sweden AB, Solna, SE</t>
        </is>
      </c>
      <c r="D8280" t="inlineStr">
        <is>
          <t>02.02.2027</t>
        </is>
      </c>
      <c r="E8280" t="inlineStr">
        <is>
          <t>Finland</t>
        </is>
      </c>
    </row>
    <row r="8281">
      <c r="A8281" t="inlineStr">
        <is>
          <t>MOLKEREI-LAITERIE WALHORN SA,  LONTZEN, Belgium</t>
        </is>
      </c>
      <c r="B8281" t="inlineStr">
        <is>
          <t>Processing Unit</t>
        </is>
      </c>
      <c r="C8281" t="inlineStr">
        <is>
          <t>Control Union Certifications Germany GmbH, Berlin, DE</t>
        </is>
      </c>
      <c r="D8281" t="inlineStr">
        <is>
          <t>02.02.2027</t>
        </is>
      </c>
      <c r="E8281" t="inlineStr">
        <is>
          <t>Belgium</t>
        </is>
      </c>
    </row>
    <row r="8282">
      <c r="A8282" t="inlineStr">
        <is>
          <t>Comet SpA,  Solbiate con Cagno (CO), Italy</t>
        </is>
      </c>
      <c r="B8282" t="inlineStr">
        <is>
          <t>Final Product Refinement, Processing Unit</t>
        </is>
      </c>
      <c r="C8282" t="inlineStr">
        <is>
          <t>SGS Germany GmbH, Emstek, DE</t>
        </is>
      </c>
      <c r="D8282" t="inlineStr">
        <is>
          <t>02.02.2027</t>
        </is>
      </c>
      <c r="E8282" t="inlineStr">
        <is>
          <t>Italy</t>
        </is>
      </c>
    </row>
    <row r="8283">
      <c r="A8283" t="inlineStr">
        <is>
          <t>GOLDEN INSIGNIA ENTERPRISE,  KULAI, Malaysia</t>
        </is>
      </c>
      <c r="B8283" t="inlineStr">
        <is>
          <t>Collecting Point, Trader with Storage</t>
        </is>
      </c>
      <c r="C8283" t="inlineStr">
        <is>
          <t>Trans Certification and Inspection Sdn Bhd, Kuantan, MY</t>
        </is>
      </c>
      <c r="D8283" t="inlineStr">
        <is>
          <t>02.02.2027</t>
        </is>
      </c>
      <c r="E8283" t="inlineStr">
        <is>
          <t>Malaysia</t>
        </is>
      </c>
    </row>
    <row r="8284">
      <c r="A8284" t="inlineStr">
        <is>
          <t>Uponor Infra Oy,  Nastola, Finland</t>
        </is>
      </c>
      <c r="B8284" t="inlineStr">
        <is>
          <t>Processing Unit, Trader with Storage</t>
        </is>
      </c>
      <c r="C8284" t="inlineStr">
        <is>
          <t>DNV Business Assurance Sweden AB, Solna, SE</t>
        </is>
      </c>
      <c r="D8284" t="inlineStr">
        <is>
          <t>02.02.2027</t>
        </is>
      </c>
      <c r="E8284" t="inlineStr">
        <is>
          <t>Finland</t>
        </is>
      </c>
    </row>
    <row r="8285">
      <c r="A8285" t="inlineStr">
        <is>
          <t>VERBIO Diesel Canada Corporation,  Welland, ON, Canada</t>
        </is>
      </c>
      <c r="B8285" t="inlineStr">
        <is>
          <t>Processing Unit</t>
        </is>
      </c>
      <c r="C8285" t="inlineStr">
        <is>
          <t>Control Union Poland Sp. z o.o., Zielona Gora, PL</t>
        </is>
      </c>
      <c r="D8285" t="inlineStr">
        <is>
          <t>02.02.2027</t>
        </is>
      </c>
      <c r="E8285" t="inlineStr">
        <is>
          <t>Canada</t>
        </is>
      </c>
    </row>
    <row r="8286">
      <c r="A8286" t="inlineStr">
        <is>
          <t>VERBIO Diesel Canada Corporation,  Welland, ON, Canada</t>
        </is>
      </c>
      <c r="B8286" t="inlineStr">
        <is>
          <t>Processing Unit</t>
        </is>
      </c>
      <c r="C8286" t="inlineStr">
        <is>
          <t>Control Union Poland Sp. z o.o., Zielona Gora, PL</t>
        </is>
      </c>
      <c r="D8286" t="inlineStr">
        <is>
          <t>02.02.2027</t>
        </is>
      </c>
      <c r="E8286" t="inlineStr">
        <is>
          <t>Canada</t>
        </is>
      </c>
    </row>
    <row r="8287">
      <c r="A8287" t="inlineStr">
        <is>
          <t>Yuwang Palm Oil Mill SDN. BHD.,  Kunak, Sabah, Malaysia</t>
        </is>
      </c>
      <c r="B8287" t="inlineStr">
        <is>
          <t>Point of Origin</t>
        </is>
      </c>
      <c r="C8287" t="inlineStr">
        <is>
          <t>Global Gateway Certifications Sdn Bhd, Ampang, MY</t>
        </is>
      </c>
      <c r="D8287" t="inlineStr">
        <is>
          <t>02.02.2027</t>
        </is>
      </c>
      <c r="E8287" t="inlineStr">
        <is>
          <t>Malaysia</t>
        </is>
      </c>
    </row>
    <row r="8288">
      <c r="A8288" t="inlineStr">
        <is>
          <t>Basell Polyolefine GmbH,  Wesseling, Germany</t>
        </is>
      </c>
      <c r="B8288" t="inlineStr">
        <is>
          <t>Processing Unit, Trader with Storage</t>
        </is>
      </c>
      <c r="C8288" t="inlineStr">
        <is>
          <t>TÜV SÜD Industrie Service GmbH, München, DE</t>
        </is>
      </c>
      <c r="D8288" t="inlineStr">
        <is>
          <t>02.02.2027</t>
        </is>
      </c>
      <c r="E8288" t="inlineStr">
        <is>
          <t>Germany</t>
        </is>
      </c>
    </row>
    <row r="8289">
      <c r="A8289" t="inlineStr">
        <is>
          <t>Biriz Ambalaj San. ve TİC. A.Ş.,  Şehitkamil Gaziantep, Turkey</t>
        </is>
      </c>
      <c r="B8289" t="inlineStr">
        <is>
          <t>Final Product Refinement, Processing Unit, Trader with Storage</t>
        </is>
      </c>
      <c r="C8289" t="inlineStr">
        <is>
          <t>RINA Services S.p.A., Genova, IT</t>
        </is>
      </c>
      <c r="D8289" t="inlineStr">
        <is>
          <t>02.02.2027</t>
        </is>
      </c>
      <c r="E8289" t="inlineStr">
        <is>
          <t>Turkey</t>
        </is>
      </c>
    </row>
    <row r="8290">
      <c r="A8290" t="inlineStr">
        <is>
          <t>Denare,  Singapore, Singapore</t>
        </is>
      </c>
      <c r="B8290" t="inlineStr">
        <is>
          <t>Trader</t>
        </is>
      </c>
      <c r="C8290" t="inlineStr">
        <is>
          <t>PT SBC Asia Sertifikasi, Kebumen, ID</t>
        </is>
      </c>
      <c r="D8290" t="inlineStr">
        <is>
          <t>02.02.2027</t>
        </is>
      </c>
      <c r="E8290" t="inlineStr">
        <is>
          <t>Singapore</t>
        </is>
      </c>
    </row>
    <row r="8291">
      <c r="A8291" t="inlineStr">
        <is>
          <t>PT. Inti Indosawit Subur,  Ukui District, Pelalawan Regency, Riau,, Indonesia</t>
        </is>
      </c>
      <c r="B8291" t="inlineStr">
        <is>
          <t>Point of Origin</t>
        </is>
      </c>
      <c r="C8291" t="inlineStr">
        <is>
          <t>SGS Germany GmbH, Emstek, DE</t>
        </is>
      </c>
      <c r="D8291" t="inlineStr">
        <is>
          <t>02.02.2027</t>
        </is>
      </c>
      <c r="E8291" t="inlineStr">
        <is>
          <t>Indonesia</t>
        </is>
      </c>
    </row>
    <row r="8292">
      <c r="A8292" t="inlineStr">
        <is>
          <t>Interxion France,  Marseille, France</t>
        </is>
      </c>
      <c r="B8292" t="inlineStr">
        <is>
          <t>Processing Unit</t>
        </is>
      </c>
      <c r="C8292" t="inlineStr">
        <is>
          <t>Control Union Certifications Germany GmbH, Berlin, DE</t>
        </is>
      </c>
      <c r="D8292" t="inlineStr">
        <is>
          <t>02.02.2027</t>
        </is>
      </c>
      <c r="E8292" t="inlineStr">
        <is>
          <t>France</t>
        </is>
      </c>
    </row>
    <row r="8293">
      <c r="A8293" t="inlineStr">
        <is>
          <t>Chenxi Jinchen environmental governance Co.,Ltd.,  Huaihua City, Hunan Province, China</t>
        </is>
      </c>
      <c r="B8293" t="inlineStr">
        <is>
          <t>Collecting Point, Processing Unit</t>
        </is>
      </c>
      <c r="C8293" t="inlineStr">
        <is>
          <t>SCS Global Services, Emeryville, CA, US</t>
        </is>
      </c>
      <c r="D8293" t="inlineStr">
        <is>
          <t>02.02.2027</t>
        </is>
      </c>
      <c r="E8293" t="inlineStr">
        <is>
          <t>China</t>
        </is>
      </c>
    </row>
    <row r="8294">
      <c r="A8294" t="inlineStr">
        <is>
          <t>Hainan Weilan Environmental Protection Technology Co., Ltd.,  Haikou City, Hainan Province, China</t>
        </is>
      </c>
      <c r="B8294" t="inlineStr">
        <is>
          <t>Trader</t>
        </is>
      </c>
      <c r="C8294" t="inlineStr">
        <is>
          <t>SCS Global Services, Emeryville, CA, US</t>
        </is>
      </c>
      <c r="D8294" t="inlineStr">
        <is>
          <t>02.02.2027</t>
        </is>
      </c>
      <c r="E8294" t="inlineStr">
        <is>
          <t>China</t>
        </is>
      </c>
    </row>
    <row r="8295">
      <c r="A8295" t="inlineStr">
        <is>
          <t>Hainan Weilan Environmental Protection Technology Co., Ltd.,  Haikou City, Hainan Province, China</t>
        </is>
      </c>
      <c r="B8295" t="inlineStr">
        <is>
          <t>Trader</t>
        </is>
      </c>
      <c r="C8295" t="inlineStr">
        <is>
          <t>SCS Global Services, Emeryville, CA, US</t>
        </is>
      </c>
      <c r="D8295" t="inlineStr">
        <is>
          <t>02.02.2027</t>
        </is>
      </c>
      <c r="E8295" t="inlineStr">
        <is>
          <t>China</t>
        </is>
      </c>
    </row>
    <row r="8296">
      <c r="A8296" t="inlineStr">
        <is>
          <t>Kaleesuwari Techbio Refinery Private Limited,  Thiruvallur, India</t>
        </is>
      </c>
      <c r="B8296" t="inlineStr">
        <is>
          <t>Processing Unit</t>
        </is>
      </c>
      <c r="C8296" t="inlineStr">
        <is>
          <t>PT Intertek Utama Services, Jakarta, ID</t>
        </is>
      </c>
      <c r="D8296" t="inlineStr">
        <is>
          <t>02.02.2027</t>
        </is>
      </c>
      <c r="E8296" t="inlineStr">
        <is>
          <t>India</t>
        </is>
      </c>
    </row>
    <row r="8297">
      <c r="A8297" t="inlineStr">
        <is>
          <t>Nirva Energy Ltd,  Chasetown, Burntwood, The United Kingdom</t>
        </is>
      </c>
      <c r="B8297" t="inlineStr">
        <is>
          <t>Trader with Storage</t>
        </is>
      </c>
      <c r="C8297" t="inlineStr">
        <is>
          <t>PT Intertek Utama Services, Jakarta, ID</t>
        </is>
      </c>
      <c r="D8297" t="inlineStr">
        <is>
          <t>02.02.2027</t>
        </is>
      </c>
      <c r="E8297" t="inlineStr">
        <is>
          <t>The United Kingdom</t>
        </is>
      </c>
    </row>
    <row r="8298">
      <c r="A8298" t="inlineStr">
        <is>
          <t>Green Oil Recycling Limited,  Hong Kong, Hong Kong</t>
        </is>
      </c>
      <c r="B8298" t="inlineStr">
        <is>
          <t>Collecting Point, Trader with Storage</t>
        </is>
      </c>
      <c r="C8298" t="inlineStr">
        <is>
          <t>RINA Services S.p.A., Genova, IT</t>
        </is>
      </c>
      <c r="D8298" t="inlineStr">
        <is>
          <t>02.02.2027</t>
        </is>
      </c>
      <c r="E8298" t="inlineStr">
        <is>
          <t>Hong Kong</t>
        </is>
      </c>
    </row>
    <row r="8299">
      <c r="A8299" t="inlineStr">
        <is>
          <t>CellMark AB,  Gothenburg, Sweden</t>
        </is>
      </c>
      <c r="B8299" t="inlineStr">
        <is>
          <t>Trader</t>
        </is>
      </c>
      <c r="C8299" t="inlineStr">
        <is>
          <t>DNV Business Assurance Sweden AB, Solna, SE</t>
        </is>
      </c>
      <c r="D8299" t="inlineStr">
        <is>
          <t>02.02.2027</t>
        </is>
      </c>
      <c r="E8299" t="inlineStr">
        <is>
          <t>Sweden</t>
        </is>
      </c>
    </row>
    <row r="8300">
      <c r="A8300" t="inlineStr">
        <is>
          <t>DAE YOUNG VINA CO., LTD,  Tan Hiep Ward Ho Chi Minh City, Viet Nam, Vietnam</t>
        </is>
      </c>
      <c r="B8300" t="inlineStr">
        <is>
          <t>Processing Unit</t>
        </is>
      </c>
      <c r="C8300" t="inlineStr">
        <is>
          <t>SGS Germany GmbH, Emstek, DE</t>
        </is>
      </c>
      <c r="D8300" t="inlineStr">
        <is>
          <t>02.02.2027</t>
        </is>
      </c>
      <c r="E8300" t="inlineStr">
        <is>
          <t>Vietnam</t>
        </is>
      </c>
    </row>
    <row r="8301">
      <c r="A8301" t="inlineStr">
        <is>
          <t>Versalis SpA,  Ferrara, Italy</t>
        </is>
      </c>
      <c r="B8301" t="inlineStr">
        <is>
          <t>Processing Unit</t>
        </is>
      </c>
      <c r="C8301" t="inlineStr">
        <is>
          <t>RINA Services S.p.A., Genova, IT</t>
        </is>
      </c>
      <c r="D8301" t="inlineStr">
        <is>
          <t>02.02.2027</t>
        </is>
      </c>
      <c r="E8301" t="inlineStr">
        <is>
          <t>Italy</t>
        </is>
      </c>
    </row>
    <row r="8302">
      <c r="A8302" t="inlineStr">
        <is>
          <t>PT. Inti Indosawit Subur,  Ukui District, Pelalawan Regency, Riau, Indonesia</t>
        </is>
      </c>
      <c r="B8302" t="inlineStr">
        <is>
          <t>Point of Origin, Processing Unit</t>
        </is>
      </c>
      <c r="C8302" t="inlineStr">
        <is>
          <t>SGS Germany GmbH, Emstek, DE</t>
        </is>
      </c>
      <c r="D8302" t="inlineStr">
        <is>
          <t>02.02.2027</t>
        </is>
      </c>
      <c r="E8302" t="inlineStr">
        <is>
          <t>Indonesia</t>
        </is>
      </c>
    </row>
    <row r="8303">
      <c r="A8303" t="inlineStr">
        <is>
          <t>Kite Environmental INC,  Kissimmee, Florida, United States</t>
        </is>
      </c>
      <c r="B8303" t="inlineStr">
        <is>
          <t>Collecting Point, Processing Unit, Trader with Storage</t>
        </is>
      </c>
      <c r="C8303" t="inlineStr">
        <is>
          <t>Certificadora Gallega del Noroeste SL, Vilagarcia de Arousa-Pontevedra, ES</t>
        </is>
      </c>
      <c r="D8303" t="inlineStr">
        <is>
          <t>02.02.2027</t>
        </is>
      </c>
      <c r="E8303" t="inlineStr">
        <is>
          <t>United States</t>
        </is>
      </c>
    </row>
    <row r="8304">
      <c r="A8304" t="inlineStr">
        <is>
          <t>Vecunda Vee CV,  Oploo, Netherlands</t>
        </is>
      </c>
      <c r="B8304" t="inlineStr">
        <is>
          <t>Collecting Point, Processing Unit</t>
        </is>
      </c>
      <c r="C8304" t="inlineStr">
        <is>
          <t>DEKRA Certification B.V., Arnhem, NL</t>
        </is>
      </c>
      <c r="D8304" t="inlineStr">
        <is>
          <t>02.02.2027</t>
        </is>
      </c>
      <c r="E8304" t="inlineStr">
        <is>
          <t>Netherlands</t>
        </is>
      </c>
    </row>
    <row r="8305">
      <c r="A8305" t="inlineStr">
        <is>
          <t>Maatschap Aarts,  Oploo, Netherlands</t>
        </is>
      </c>
      <c r="B8305" t="inlineStr">
        <is>
          <t>Collecting Point, Processing Unit</t>
        </is>
      </c>
      <c r="C8305" t="inlineStr">
        <is>
          <t>DEKRA Certification B.V., Arnhem, NL</t>
        </is>
      </c>
      <c r="D8305" t="inlineStr">
        <is>
          <t>02.02.2027</t>
        </is>
      </c>
      <c r="E8305" t="inlineStr">
        <is>
          <t>Netherlands</t>
        </is>
      </c>
    </row>
    <row r="8306">
      <c r="A8306" t="inlineStr">
        <is>
          <t>Holthausen Energy Points,  Groningen, Netherlands</t>
        </is>
      </c>
      <c r="B8306" t="inlineStr">
        <is>
          <t>Processing Unit, Trader with Storage</t>
        </is>
      </c>
      <c r="C8306" t="inlineStr">
        <is>
          <t>Normec QS BV, Ede, NL</t>
        </is>
      </c>
      <c r="D8306" t="inlineStr">
        <is>
          <t>02.02.2027</t>
        </is>
      </c>
      <c r="E8306" t="inlineStr">
        <is>
          <t>Netherlands</t>
        </is>
      </c>
    </row>
    <row r="8307">
      <c r="A8307" t="inlineStr">
        <is>
          <t>Holthausen Energy Points,  Amsterdam, Netherlands</t>
        </is>
      </c>
      <c r="B8307" t="inlineStr">
        <is>
          <t>Processing Unit, Trader with Storage</t>
        </is>
      </c>
      <c r="C8307" t="inlineStr">
        <is>
          <t>Normec QS BV, Ede, NL</t>
        </is>
      </c>
      <c r="D8307" t="inlineStr">
        <is>
          <t>02.02.2027</t>
        </is>
      </c>
      <c r="E8307" t="inlineStr">
        <is>
          <t>Netherlands</t>
        </is>
      </c>
    </row>
    <row r="8308">
      <c r="A8308" t="inlineStr">
        <is>
          <t>3RBIORECOVERY LIMITED,  Uphall, The United Kingdom</t>
        </is>
      </c>
      <c r="B8308" t="inlineStr">
        <is>
          <t>Collecting Point, Trader</t>
        </is>
      </c>
      <c r="C8308" t="inlineStr">
        <is>
          <t>Aardvark Certification Ltd, Wiveliscombe, Somerset, GB</t>
        </is>
      </c>
      <c r="D8308" t="inlineStr">
        <is>
          <t>02.02.2027</t>
        </is>
      </c>
      <c r="E8308" t="inlineStr">
        <is>
          <t>The United Kingdom</t>
        </is>
      </c>
    </row>
    <row r="8309">
      <c r="A8309" t="inlineStr">
        <is>
          <t>MITSUI &amp; CO. VIETNAM LTD.,  Sai Gon Ward, Ho Chi Minh City, Vietnam</t>
        </is>
      </c>
      <c r="B8309" t="inlineStr">
        <is>
          <t>Trader</t>
        </is>
      </c>
      <c r="C8309" t="inlineStr">
        <is>
          <t>BM Certification, Riga, LV</t>
        </is>
      </c>
      <c r="D8309" t="inlineStr">
        <is>
          <t>02.02.2027</t>
        </is>
      </c>
      <c r="E8309" t="inlineStr">
        <is>
          <t>Vietnam</t>
        </is>
      </c>
    </row>
    <row r="8310">
      <c r="A8310" t="inlineStr">
        <is>
          <t>MITSUI &amp; CO. GLOBAL LOGISTICS (VIETNAM) COMPANY LIMITED,  Quarter 34, Long Binh Ward, Dong Nai Province, Vietnam</t>
        </is>
      </c>
      <c r="B8310" t="inlineStr">
        <is>
          <t>Logistics Center</t>
        </is>
      </c>
      <c r="C8310" t="inlineStr">
        <is>
          <t>BM Certification, Riga, LV</t>
        </is>
      </c>
      <c r="D8310" t="inlineStr">
        <is>
          <t>02.02.2027</t>
        </is>
      </c>
      <c r="E8310" t="inlineStr">
        <is>
          <t>Vietnam</t>
        </is>
      </c>
    </row>
    <row r="8311">
      <c r="A8311" t="inlineStr">
        <is>
          <t>Nexeo Plastics Europe,  Amsterdam, Netherlands</t>
        </is>
      </c>
      <c r="B8311" t="inlineStr">
        <is>
          <t>Trader with Storage</t>
        </is>
      </c>
      <c r="C8311" t="inlineStr">
        <is>
          <t>Bureau Veritas Polska Sp. z o.o., Warsaw, PL</t>
        </is>
      </c>
      <c r="D8311" t="inlineStr">
        <is>
          <t>01.02.2027</t>
        </is>
      </c>
      <c r="E8311" t="inlineStr">
        <is>
          <t>Netherlands</t>
        </is>
      </c>
    </row>
    <row r="8312">
      <c r="A8312" t="inlineStr">
        <is>
          <t>Tokai Carbon Co., Ltd. Ishinomaki Plant,  Ishinomaki, Miyagi, Japan</t>
        </is>
      </c>
      <c r="B8312" t="inlineStr">
        <is>
          <t>Processing Unit, Trader with Storage</t>
        </is>
      </c>
      <c r="C8312" t="inlineStr">
        <is>
          <t>SGS Germany GmbH, Emstek, DE</t>
        </is>
      </c>
      <c r="D8312" t="inlineStr">
        <is>
          <t>01.02.2027</t>
        </is>
      </c>
      <c r="E8312" t="inlineStr">
        <is>
          <t>Japan</t>
        </is>
      </c>
    </row>
    <row r="8313">
      <c r="A8313" t="inlineStr">
        <is>
          <t>PT PERMATA SUBUR LESTARI,  Kecamatan Sungai Tebelian, Kabupaten Sintang, Indonesia</t>
        </is>
      </c>
      <c r="B8313" t="inlineStr">
        <is>
          <t>Point of Origin</t>
        </is>
      </c>
      <c r="C8313" t="inlineStr">
        <is>
          <t>SGS Germany GmbH, Emstek, DE</t>
        </is>
      </c>
      <c r="D8313" t="inlineStr">
        <is>
          <t>01.02.2027</t>
        </is>
      </c>
      <c r="E8313" t="inlineStr">
        <is>
          <t>Indonesia</t>
        </is>
      </c>
    </row>
    <row r="8314">
      <c r="A8314" t="inlineStr">
        <is>
          <t>PT PERMATA SUBUR LESTARI,  Kecamatan Sungai Tebelian, Kabupaten Sintang, Indonesia</t>
        </is>
      </c>
      <c r="B8314" t="inlineStr">
        <is>
          <t>Point of Origin, Processing Unit</t>
        </is>
      </c>
      <c r="C8314" t="inlineStr">
        <is>
          <t>SGS Germany GmbH, Emstek, DE</t>
        </is>
      </c>
      <c r="D8314" t="inlineStr">
        <is>
          <t>01.02.2027</t>
        </is>
      </c>
      <c r="E8314" t="inlineStr">
        <is>
          <t>Indonesia</t>
        </is>
      </c>
    </row>
    <row r="8315">
      <c r="A8315" t="inlineStr">
        <is>
          <t>SOPAC MEDICAL,  Issoire, France</t>
        </is>
      </c>
      <c r="B8315" t="inlineStr">
        <is>
          <t>Processing Unit, Final Product Refinement, Trader with Storage</t>
        </is>
      </c>
      <c r="C8315" t="inlineStr">
        <is>
          <t>DNV Business Assurance Sweden AB, Solna, SE</t>
        </is>
      </c>
      <c r="D8315" t="inlineStr">
        <is>
          <t>01.02.2027</t>
        </is>
      </c>
      <c r="E8315" t="inlineStr">
        <is>
          <t>France</t>
        </is>
      </c>
    </row>
    <row r="8316">
      <c r="A8316" t="inlineStr">
        <is>
          <t>Sinochem Tianjin Petrochemical Warehousing Co., Ltd.,  Nanjiang Gang Qu Tianjin Port, Tianjin City, China</t>
        </is>
      </c>
      <c r="B8316" t="inlineStr">
        <is>
          <t>Warehouse</t>
        </is>
      </c>
      <c r="C8316" t="inlineStr">
        <is>
          <t>China Quality Certification Centre Co., Ltd., Beijing, CN</t>
        </is>
      </c>
      <c r="D8316" t="inlineStr">
        <is>
          <t>01.02.2027</t>
        </is>
      </c>
      <c r="E8316" t="inlineStr">
        <is>
          <t>China</t>
        </is>
      </c>
    </row>
    <row r="8317">
      <c r="A8317" t="inlineStr">
        <is>
          <t>Sinochem Tianjin Petrochemical Warehousing Co., Ltd.,  Nanjiang Gang Qu Tianjin Port, Tianjin City, China</t>
        </is>
      </c>
      <c r="B8317" t="inlineStr">
        <is>
          <t>Warehouse</t>
        </is>
      </c>
      <c r="C8317" t="inlineStr">
        <is>
          <t>China Quality Certification Centre Co., Ltd., Beijing, CN</t>
        </is>
      </c>
      <c r="D8317" t="inlineStr">
        <is>
          <t>01.02.2027</t>
        </is>
      </c>
      <c r="E8317" t="inlineStr">
        <is>
          <t>China</t>
        </is>
      </c>
    </row>
    <row r="8318">
      <c r="A8318" t="inlineStr">
        <is>
          <t>Sinochem Tianjin Petrochemical Warehousing Co., Ltd.,  Nanjiang Gang Qu Tianjin Port, Tianjin City, China</t>
        </is>
      </c>
      <c r="B8318" t="inlineStr">
        <is>
          <t>Warehouse</t>
        </is>
      </c>
      <c r="C8318" t="inlineStr">
        <is>
          <t>China Quality Certification Centre Co., Ltd., Beijing, CN</t>
        </is>
      </c>
      <c r="D8318" t="inlineStr">
        <is>
          <t>01.02.2027</t>
        </is>
      </c>
      <c r="E8318" t="inlineStr">
        <is>
          <t>China</t>
        </is>
      </c>
    </row>
    <row r="8319">
      <c r="A8319" t="inlineStr">
        <is>
          <t>Charlton Park Biogas Ltd,  Malmesbury, United Kingdom</t>
        </is>
      </c>
      <c r="B8319" t="inlineStr">
        <is>
          <t>Processing Unit, Collecting Point, First Gathering Point</t>
        </is>
      </c>
      <c r="C8319" t="inlineStr">
        <is>
          <t>Aardvark Certification Ltd, Wiveliscombe, Somerset, GB</t>
        </is>
      </c>
      <c r="D8319" t="inlineStr">
        <is>
          <t>01.02.2027</t>
        </is>
      </c>
      <c r="E8319" t="inlineStr">
        <is>
          <t>United Kingdom</t>
        </is>
      </c>
    </row>
    <row r="8320">
      <c r="A8320" t="inlineStr">
        <is>
          <t>Vitality Investment Group Limited,  HONG KONG, Hong Kong, SAR, China</t>
        </is>
      </c>
      <c r="B8320" t="inlineStr">
        <is>
          <t>Trader</t>
        </is>
      </c>
      <c r="C8320" t="inlineStr">
        <is>
          <t>RINA Services S.p.A., Genova, IT</t>
        </is>
      </c>
      <c r="D8320" t="inlineStr">
        <is>
          <t>01.02.2027</t>
        </is>
      </c>
      <c r="E8320" t="inlineStr">
        <is>
          <t>China</t>
        </is>
      </c>
    </row>
    <row r="8321">
      <c r="A8321" t="inlineStr">
        <is>
          <t>Interxion France,  Marseille, France</t>
        </is>
      </c>
      <c r="B8321" t="inlineStr">
        <is>
          <t>Processing Unit</t>
        </is>
      </c>
      <c r="C8321" t="inlineStr">
        <is>
          <t>Control Union Certifications Germany GmbH, Berlin, DE</t>
        </is>
      </c>
      <c r="D8321" t="inlineStr">
        <is>
          <t>01.02.2027</t>
        </is>
      </c>
      <c r="E8321" t="inlineStr">
        <is>
          <t>France</t>
        </is>
      </c>
    </row>
    <row r="8322">
      <c r="A8322" t="inlineStr">
        <is>
          <t>SEKISUI KASEI,  Chikusei-city,Ibaraki, Japan</t>
        </is>
      </c>
      <c r="B8322" t="inlineStr">
        <is>
          <t>Processing Unit</t>
        </is>
      </c>
      <c r="C8322" t="inlineStr">
        <is>
          <t>SCS Global Services, Emeryville, CA, US</t>
        </is>
      </c>
      <c r="D8322" t="inlineStr">
        <is>
          <t>01.02.2027</t>
        </is>
      </c>
      <c r="E8322" t="inlineStr">
        <is>
          <t>Japan</t>
        </is>
      </c>
    </row>
    <row r="8323">
      <c r="A8323" t="inlineStr">
        <is>
          <t>Dongguan Yueheng Optical Co., Ltd.,  Xiegang Town, Dongguan City, Guandong Province, China</t>
        </is>
      </c>
      <c r="B8323" t="inlineStr">
        <is>
          <t>Processing Unit, Trader with Storage</t>
        </is>
      </c>
      <c r="C8323" t="inlineStr">
        <is>
          <t>SCS Global Services, Emeryville, CA, US</t>
        </is>
      </c>
      <c r="D8323" t="inlineStr">
        <is>
          <t>01.02.2027</t>
        </is>
      </c>
      <c r="E8323" t="inlineStr">
        <is>
          <t>China</t>
        </is>
      </c>
    </row>
    <row r="8324">
      <c r="A8324" t="inlineStr">
        <is>
          <t>SEKISUI KASEI TENRI,  Tenri-City,Nara, Japan</t>
        </is>
      </c>
      <c r="B8324" t="inlineStr">
        <is>
          <t>Processing Unit</t>
        </is>
      </c>
      <c r="C8324" t="inlineStr">
        <is>
          <t>PT Intertek Utama Services, Jakarta, ID</t>
        </is>
      </c>
      <c r="D8324" t="inlineStr">
        <is>
          <t>01.02.2027</t>
        </is>
      </c>
      <c r="E8324" t="inlineStr">
        <is>
          <t>Japan</t>
        </is>
      </c>
    </row>
    <row r="8325">
      <c r="A8325" t="inlineStr">
        <is>
          <t>SIMONA PLASTECH LEVHA SAN AS,  beykoy merkez, Turkey</t>
        </is>
      </c>
      <c r="B8325" t="inlineStr">
        <is>
          <t>Processing Unit</t>
        </is>
      </c>
      <c r="C8325" t="inlineStr">
        <is>
          <t>PT Intertek Utama Services, Jakarta, ID</t>
        </is>
      </c>
      <c r="D8325" t="inlineStr">
        <is>
          <t>01.02.2027</t>
        </is>
      </c>
      <c r="E8325" t="inlineStr">
        <is>
          <t>Turkey</t>
        </is>
      </c>
    </row>
    <row r="8326">
      <c r="A8326" t="inlineStr">
        <is>
          <t>EDIBLE OIL CO (D) (L.L.C),  Jebel Ali, Dubai, United Arab Emirates</t>
        </is>
      </c>
      <c r="B8326" t="inlineStr">
        <is>
          <t>Processing Unit</t>
        </is>
      </c>
      <c r="C8326" t="inlineStr">
        <is>
          <t>Bureau Veritas Polska Sp. z o.o., Warsaw, PL</t>
        </is>
      </c>
      <c r="D8326" t="inlineStr">
        <is>
          <t>01.02.2027</t>
        </is>
      </c>
      <c r="E8326" t="inlineStr">
        <is>
          <t>United Arab Emirates</t>
        </is>
      </c>
    </row>
    <row r="8327">
      <c r="A8327" t="inlineStr">
        <is>
          <t>EDIBLE OIL CO (D) (L.L.C),  Jebel Ali, Dubai, United Arab Emirates</t>
        </is>
      </c>
      <c r="B8327" t="inlineStr">
        <is>
          <t>Processing Unit</t>
        </is>
      </c>
      <c r="C8327" t="inlineStr">
        <is>
          <t>Bureau Veritas Polska Sp. z o.o., Warsaw, PL</t>
        </is>
      </c>
      <c r="D8327" t="inlineStr">
        <is>
          <t>01.02.2027</t>
        </is>
      </c>
      <c r="E8327" t="inlineStr">
        <is>
          <t>United Arab Emirates</t>
        </is>
      </c>
    </row>
    <row r="8328">
      <c r="A8328" t="inlineStr">
        <is>
          <t>EDIBLE OIL CO (D) (L.L.C),  Jebel Ali, Dubai, United Arab Emirates</t>
        </is>
      </c>
      <c r="B8328" t="inlineStr">
        <is>
          <t>Processing Unit</t>
        </is>
      </c>
      <c r="C8328" t="inlineStr">
        <is>
          <t>Bureau Veritas Polska Sp. z o.o., Warsaw, PL</t>
        </is>
      </c>
      <c r="D8328" t="inlineStr">
        <is>
          <t>01.02.2027</t>
        </is>
      </c>
      <c r="E8328" t="inlineStr">
        <is>
          <t>United Arab Emirates</t>
        </is>
      </c>
    </row>
    <row r="8329">
      <c r="A8329" t="inlineStr">
        <is>
          <t>Basell Polyolefine GmbH,  Hürth-Knapsack, Germany</t>
        </is>
      </c>
      <c r="B8329" t="inlineStr">
        <is>
          <t>Processing Unit</t>
        </is>
      </c>
      <c r="C8329" t="inlineStr">
        <is>
          <t>TÜV SÜD Industrie Service GmbH, München, DE</t>
        </is>
      </c>
      <c r="D8329" t="inlineStr">
        <is>
          <t>01.02.2027</t>
        </is>
      </c>
      <c r="E8329" t="inlineStr">
        <is>
          <t>Germany</t>
        </is>
      </c>
    </row>
    <row r="8330">
      <c r="A8330" t="inlineStr">
        <is>
          <t>LanzaTech Private,  Gurgaon, Haryana, India</t>
        </is>
      </c>
      <c r="B8330" t="inlineStr">
        <is>
          <t>Trader</t>
        </is>
      </c>
      <c r="C8330" t="inlineStr">
        <is>
          <t>SCS Global Services, Emeryville, CA, US</t>
        </is>
      </c>
      <c r="D8330" t="inlineStr">
        <is>
          <t>01.02.2027</t>
        </is>
      </c>
      <c r="E8330" t="inlineStr">
        <is>
          <t>India</t>
        </is>
      </c>
    </row>
    <row r="8331">
      <c r="A8331" t="inlineStr">
        <is>
          <t>LanzaTech,  Skokie, United States</t>
        </is>
      </c>
      <c r="B8331" t="inlineStr">
        <is>
          <t>Trader</t>
        </is>
      </c>
      <c r="C8331" t="inlineStr">
        <is>
          <t>SCS Global Services, Emeryville, CA, US</t>
        </is>
      </c>
      <c r="D8331" t="inlineStr">
        <is>
          <t>01.02.2027</t>
        </is>
      </c>
      <c r="E8331" t="inlineStr">
        <is>
          <t>United States</t>
        </is>
      </c>
    </row>
    <row r="8332">
      <c r="A8332" t="inlineStr">
        <is>
          <t>LanzaTech,  Skokie, United States</t>
        </is>
      </c>
      <c r="B8332" t="inlineStr">
        <is>
          <t>Trader</t>
        </is>
      </c>
      <c r="C8332" t="inlineStr">
        <is>
          <t>SCS Global Services, Emeryville, CA, US</t>
        </is>
      </c>
      <c r="D8332" t="inlineStr">
        <is>
          <t>01.02.2027</t>
        </is>
      </c>
      <c r="E8332" t="inlineStr">
        <is>
          <t>United States</t>
        </is>
      </c>
    </row>
    <row r="8333">
      <c r="A8333" t="inlineStr">
        <is>
          <t>LanzaTech,  Skokie, United States</t>
        </is>
      </c>
      <c r="B8333" t="inlineStr">
        <is>
          <t>Trader</t>
        </is>
      </c>
      <c r="C8333" t="inlineStr">
        <is>
          <t>SCS Global Services, Emeryville, CA, US</t>
        </is>
      </c>
      <c r="D8333" t="inlineStr">
        <is>
          <t>01.02.2027</t>
        </is>
      </c>
      <c r="E8333" t="inlineStr">
        <is>
          <t>United States</t>
        </is>
      </c>
    </row>
    <row r="8334">
      <c r="A8334" t="inlineStr">
        <is>
          <t>LanzaTech EU,  Delft, Netherlands</t>
        </is>
      </c>
      <c r="B8334" t="inlineStr">
        <is>
          <t>Trader</t>
        </is>
      </c>
      <c r="C8334" t="inlineStr">
        <is>
          <t>SCS Global Services, Emeryville, CA, US</t>
        </is>
      </c>
      <c r="D8334" t="inlineStr">
        <is>
          <t>01.02.2027</t>
        </is>
      </c>
      <c r="E8334" t="inlineStr">
        <is>
          <t>Netherlands</t>
        </is>
      </c>
    </row>
    <row r="8335">
      <c r="A8335" t="inlineStr">
        <is>
          <t>LanzaTech EU,  Delft, Netherlands</t>
        </is>
      </c>
      <c r="B8335" t="inlineStr">
        <is>
          <t>Trader</t>
        </is>
      </c>
      <c r="C8335" t="inlineStr">
        <is>
          <t>SCS Global Services, Emeryville, CA, US</t>
        </is>
      </c>
      <c r="D8335" t="inlineStr">
        <is>
          <t>01.02.2027</t>
        </is>
      </c>
      <c r="E8335" t="inlineStr">
        <is>
          <t>Netherlands</t>
        </is>
      </c>
    </row>
    <row r="8336">
      <c r="A8336" t="inlineStr">
        <is>
          <t>LanzaTech EU,  Delft, Netherlands</t>
        </is>
      </c>
      <c r="B8336" t="inlineStr">
        <is>
          <t>Trader</t>
        </is>
      </c>
      <c r="C8336" t="inlineStr">
        <is>
          <t>SCS Global Services, Emeryville, CA, US</t>
        </is>
      </c>
      <c r="D8336" t="inlineStr">
        <is>
          <t>01.02.2027</t>
        </is>
      </c>
      <c r="E8336" t="inlineStr">
        <is>
          <t>Netherlands</t>
        </is>
      </c>
    </row>
    <row r="8337">
      <c r="A8337" t="inlineStr">
        <is>
          <t>Nemetz Entsorgung und Transport AG,  Himberg, Austria</t>
        </is>
      </c>
      <c r="B8337" t="inlineStr">
        <is>
          <t>Warehouse</t>
        </is>
      </c>
      <c r="C8337" t="inlineStr">
        <is>
          <t>SGS Germany GmbH, Emstek, DE</t>
        </is>
      </c>
      <c r="D8337" t="inlineStr">
        <is>
          <t>01.02.2027</t>
        </is>
      </c>
      <c r="E8337" t="inlineStr">
        <is>
          <t>Austria</t>
        </is>
      </c>
    </row>
    <row r="8338">
      <c r="A8338" t="inlineStr">
        <is>
          <t>Olivet Energy,  Dordrecht, Netherlands</t>
        </is>
      </c>
      <c r="B8338" t="inlineStr">
        <is>
          <t>Trader with Storage</t>
        </is>
      </c>
      <c r="C8338" t="inlineStr">
        <is>
          <t>DEKRA Certification B.V., Arnhem, NL</t>
        </is>
      </c>
      <c r="D8338" t="inlineStr">
        <is>
          <t>01.02.2027</t>
        </is>
      </c>
      <c r="E8338" t="inlineStr">
        <is>
          <t>Netherlands</t>
        </is>
      </c>
    </row>
    <row r="8339">
      <c r="A8339" t="inlineStr">
        <is>
          <t>Shanghai Port Sustainable Fuels Co., Ltd.,  Shanghai, China</t>
        </is>
      </c>
      <c r="B8339" t="inlineStr">
        <is>
          <t>Trader with Storage</t>
        </is>
      </c>
      <c r="C8339" t="inlineStr">
        <is>
          <t>DIN CERTCO GmbH, Berlin, DE</t>
        </is>
      </c>
      <c r="D8339" t="inlineStr">
        <is>
          <t>01.02.2027</t>
        </is>
      </c>
      <c r="E8339" t="inlineStr">
        <is>
          <t>China</t>
        </is>
      </c>
    </row>
    <row r="8340">
      <c r="A8340" t="inlineStr">
        <is>
          <t>UAB Biomotorai,  Vilnius, Lithuania</t>
        </is>
      </c>
      <c r="B8340" t="inlineStr">
        <is>
          <t>Collecting Point, Processing Unit, Trader with Storage, Point of Origin</t>
        </is>
      </c>
      <c r="C8340" t="inlineStr">
        <is>
          <t>BM Certification, Riga, LV</t>
        </is>
      </c>
      <c r="D8340" t="inlineStr">
        <is>
          <t>01.02.2027</t>
        </is>
      </c>
      <c r="E8340" t="inlineStr">
        <is>
          <t>Lithuania</t>
        </is>
      </c>
    </row>
    <row r="8341">
      <c r="A8341" t="inlineStr">
        <is>
          <t>NIPPON SHOKUBAI CO., LTD. Himeji Plant,  Aboshi-ku, Himeji, Hyogo, Japan</t>
        </is>
      </c>
      <c r="B8341" t="inlineStr">
        <is>
          <t>Processing Unit, Trader with Storage</t>
        </is>
      </c>
      <c r="C8341" t="inlineStr">
        <is>
          <t>SGS Germany GmbH, Emstek, DE</t>
        </is>
      </c>
      <c r="D8341" t="inlineStr">
        <is>
          <t>01.02.2027</t>
        </is>
      </c>
      <c r="E8341" t="inlineStr">
        <is>
          <t>Japan</t>
        </is>
      </c>
    </row>
    <row r="8342">
      <c r="A8342" t="inlineStr">
        <is>
          <t>Dow Brasil Industria e Comercio de Productos Quimicos,  Candeias, Brazil</t>
        </is>
      </c>
      <c r="B8342" t="inlineStr">
        <is>
          <t>Processing Unit</t>
        </is>
      </c>
      <c r="C8342" t="inlineStr">
        <is>
          <t>SGS Germany GmbH, Emstek, DE</t>
        </is>
      </c>
      <c r="D8342" t="inlineStr">
        <is>
          <t>01.02.2027</t>
        </is>
      </c>
      <c r="E8342" t="inlineStr">
        <is>
          <t>Brazil</t>
        </is>
      </c>
    </row>
    <row r="8343">
      <c r="A8343" t="inlineStr">
        <is>
          <t>Nippon Shokubai Co., Ltd. Kawasaki Plant (Ukishima Plant),  Kawasaki-ku, Kawasaki, Kanagawa, Japan</t>
        </is>
      </c>
      <c r="B8343" t="inlineStr">
        <is>
          <t>Processing Unit</t>
        </is>
      </c>
      <c r="C8343" t="inlineStr">
        <is>
          <t>SGS Germany GmbH, Emstek, DE</t>
        </is>
      </c>
      <c r="D8343" t="inlineStr">
        <is>
          <t>01.02.2027</t>
        </is>
      </c>
      <c r="E8343" t="inlineStr">
        <is>
          <t>Japan</t>
        </is>
      </c>
    </row>
    <row r="8344">
      <c r="A8344" t="inlineStr">
        <is>
          <t>Nippon Shokubai Co., Ltd. Kawasaki Plant (Chidori Plant),  Kawasaki-ku, Kawasaki, Kanagawa, Japan</t>
        </is>
      </c>
      <c r="B8344" t="inlineStr">
        <is>
          <t>Processing Unit</t>
        </is>
      </c>
      <c r="C8344" t="inlineStr">
        <is>
          <t>SGS Germany GmbH, Emstek, DE</t>
        </is>
      </c>
      <c r="D8344" t="inlineStr">
        <is>
          <t>01.02.2027</t>
        </is>
      </c>
      <c r="E8344" t="inlineStr">
        <is>
          <t>Japan</t>
        </is>
      </c>
    </row>
    <row r="8345">
      <c r="A8345" t="inlineStr">
        <is>
          <t>PT. Inti Indosawit Subur,  Bunut Langgam District, Pelalawan Regency, Riau, Indonesia</t>
        </is>
      </c>
      <c r="B8345" t="inlineStr">
        <is>
          <t>Point of Origin</t>
        </is>
      </c>
      <c r="C8345" t="inlineStr">
        <is>
          <t>SGS Germany GmbH, Emstek, DE</t>
        </is>
      </c>
      <c r="D8345" t="inlineStr">
        <is>
          <t>01.02.2027</t>
        </is>
      </c>
      <c r="E8345" t="inlineStr">
        <is>
          <t>Indonesia</t>
        </is>
      </c>
    </row>
    <row r="8346">
      <c r="A8346" t="inlineStr">
        <is>
          <t>allnex Belgium SA/NV,  Dendermonde, Belgium</t>
        </is>
      </c>
      <c r="B8346" t="inlineStr">
        <is>
          <t>Processing Unit</t>
        </is>
      </c>
      <c r="C8346" t="inlineStr">
        <is>
          <t>SGS Germany GmbH, Emstek, DE</t>
        </is>
      </c>
      <c r="D8346" t="inlineStr">
        <is>
          <t>01.02.2027</t>
        </is>
      </c>
      <c r="E8346" t="inlineStr">
        <is>
          <t>Belgium</t>
        </is>
      </c>
    </row>
    <row r="8347">
      <c r="A8347" t="inlineStr">
        <is>
          <t>Ership SAU,  Cartagena, Spain</t>
        </is>
      </c>
      <c r="B8347" t="inlineStr">
        <is>
          <t>Logistics Center</t>
        </is>
      </c>
      <c r="C8347" t="inlineStr">
        <is>
          <t>PT Intertek Utama Services, Jakarta, ID</t>
        </is>
      </c>
      <c r="D8347" t="inlineStr">
        <is>
          <t>01.02.2027</t>
        </is>
      </c>
      <c r="E8347" t="inlineStr">
        <is>
          <t>Spain</t>
        </is>
      </c>
    </row>
    <row r="8348">
      <c r="A8348" t="inlineStr">
        <is>
          <t>PT. Sabang Sawit Nusantara,  Kecamatan Bathin VIII, Kabupeten Sarolangun, Indonesia</t>
        </is>
      </c>
      <c r="B8348" t="inlineStr">
        <is>
          <t>Point of Origin</t>
        </is>
      </c>
      <c r="C8348" t="inlineStr">
        <is>
          <t>PT. Qualitas Sertifikasi Indonesia, Jakarta, ID</t>
        </is>
      </c>
      <c r="D8348" t="inlineStr">
        <is>
          <t>01.02.2027</t>
        </is>
      </c>
      <c r="E8348" t="inlineStr">
        <is>
          <t>Indonesia</t>
        </is>
      </c>
    </row>
    <row r="8349">
      <c r="A8349" t="inlineStr">
        <is>
          <t>Asia Sawit Makmur Jaya,  Kabupaten Kuantan Singingi, Provinsi Riau, Indonesia</t>
        </is>
      </c>
      <c r="B8349" t="inlineStr">
        <is>
          <t>Point of Origin</t>
        </is>
      </c>
      <c r="C8349" t="inlineStr">
        <is>
          <t>PT. Qualitas Sertifikasi Indonesia, Jakarta, ID</t>
        </is>
      </c>
      <c r="D8349" t="inlineStr">
        <is>
          <t>01.02.2027</t>
        </is>
      </c>
      <c r="E8349" t="inlineStr">
        <is>
          <t>Indonesia</t>
        </is>
      </c>
    </row>
    <row r="8350">
      <c r="A8350" t="inlineStr">
        <is>
          <t>Suzhou Jinxin Nanotechnology Co., Ltd.,  Suzhou, Jiangsu Province, China</t>
        </is>
      </c>
      <c r="B8350" t="inlineStr">
        <is>
          <t>Processing Unit</t>
        </is>
      </c>
      <c r="C8350" t="inlineStr">
        <is>
          <t>SCS Global Services, Emeryville, CA, US</t>
        </is>
      </c>
      <c r="D8350" t="inlineStr">
        <is>
          <t>01.02.2027</t>
        </is>
      </c>
      <c r="E8350" t="inlineStr">
        <is>
          <t>China</t>
        </is>
      </c>
    </row>
    <row r="8351">
      <c r="A8351" t="inlineStr">
        <is>
          <t>Palm Winner Resources Sdn Bhd,  Telok Gong, Selangor, Malaysia</t>
        </is>
      </c>
      <c r="B8351" t="inlineStr">
        <is>
          <t>Trader with Storage</t>
        </is>
      </c>
      <c r="C8351" t="inlineStr">
        <is>
          <t>Control Union Certifications Germany GmbH, Berlin, DE</t>
        </is>
      </c>
      <c r="D8351" t="inlineStr">
        <is>
          <t>01.02.2027</t>
        </is>
      </c>
      <c r="E8351" t="inlineStr">
        <is>
          <t>Malaysia</t>
        </is>
      </c>
    </row>
    <row r="8352">
      <c r="A8352" t="inlineStr">
        <is>
          <t>Henkel Loctite(China) Co, Ltd,  Yantai, China</t>
        </is>
      </c>
      <c r="B8352" t="inlineStr">
        <is>
          <t>Processing Unit</t>
        </is>
      </c>
      <c r="C8352" t="inlineStr">
        <is>
          <t>SGS Germany GmbH, Emstek, DE</t>
        </is>
      </c>
      <c r="D8352" t="inlineStr">
        <is>
          <t>01.02.2027</t>
        </is>
      </c>
      <c r="E8352" t="inlineStr">
        <is>
          <t>China</t>
        </is>
      </c>
    </row>
    <row r="8353">
      <c r="A8353" t="inlineStr">
        <is>
          <t>Tapadia polyesters,  Nagpur, India</t>
        </is>
      </c>
      <c r="B8353" t="inlineStr">
        <is>
          <t>Point of Origin, Processing Unit</t>
        </is>
      </c>
      <c r="C8353" t="inlineStr">
        <is>
          <t>TÜV SÜD Industrie Service GmbH, München, DE</t>
        </is>
      </c>
      <c r="D8353" t="inlineStr">
        <is>
          <t>01.02.2027</t>
        </is>
      </c>
      <c r="E8353" t="inlineStr">
        <is>
          <t>India</t>
        </is>
      </c>
    </row>
    <row r="8354">
      <c r="A8354" t="inlineStr">
        <is>
          <t>Nexeo Plastics France SAS,  Rueil Malmaison, France</t>
        </is>
      </c>
      <c r="B8354" t="inlineStr">
        <is>
          <t>Trader</t>
        </is>
      </c>
      <c r="C8354" t="inlineStr">
        <is>
          <t>Bureau Veritas Polska Sp. z o.o., Warsaw, PL</t>
        </is>
      </c>
      <c r="D8354" t="inlineStr">
        <is>
          <t>01.02.2027</t>
        </is>
      </c>
      <c r="E8354" t="inlineStr">
        <is>
          <t>France</t>
        </is>
      </c>
    </row>
    <row r="8355">
      <c r="A8355" t="inlineStr">
        <is>
          <t>GP Groot Inzameling &amp; Recycling B.V.,  Alkmaar, Netherlands</t>
        </is>
      </c>
      <c r="B8355" t="inlineStr">
        <is>
          <t>Collecting Point</t>
        </is>
      </c>
      <c r="C8355" t="inlineStr">
        <is>
          <t>Normec QS BV, Ede, NL</t>
        </is>
      </c>
      <c r="D8355" t="inlineStr">
        <is>
          <t>01.02.2027</t>
        </is>
      </c>
      <c r="E8355" t="inlineStr">
        <is>
          <t>Netherlands</t>
        </is>
      </c>
    </row>
    <row r="8356">
      <c r="A8356" t="inlineStr">
        <is>
          <t>Trinseo Suomi Oy,  Hamina, Finland</t>
        </is>
      </c>
      <c r="B8356" t="inlineStr">
        <is>
          <t>Processing Unit, Trader with Storage</t>
        </is>
      </c>
      <c r="C8356" t="inlineStr">
        <is>
          <t>SGS Germany GmbH, Emstek, DE</t>
        </is>
      </c>
      <c r="D8356" t="inlineStr">
        <is>
          <t>01.02.2027</t>
        </is>
      </c>
      <c r="E8356" t="inlineStr">
        <is>
          <t>Finland</t>
        </is>
      </c>
    </row>
    <row r="8357">
      <c r="A8357" t="inlineStr">
        <is>
          <t>Dhampur Bio Organics Limited,  Sambhal, India</t>
        </is>
      </c>
      <c r="B8357" t="inlineStr">
        <is>
          <t>First Gathering Point, Processing Unit</t>
        </is>
      </c>
      <c r="C8357" t="inlineStr">
        <is>
          <t>Cotecna India Inspection Pvt Ltd, Kolkata, IN</t>
        </is>
      </c>
      <c r="D8357" t="inlineStr">
        <is>
          <t>01.02.2027</t>
        </is>
      </c>
      <c r="E8357" t="inlineStr">
        <is>
          <t>India</t>
        </is>
      </c>
    </row>
    <row r="8358">
      <c r="A8358" t="inlineStr">
        <is>
          <t>Kim Loong Palm Oil Mills Sdn Bhd,  Kota Tinggi, Malaysia</t>
        </is>
      </c>
      <c r="B8358" t="inlineStr">
        <is>
          <t>Point of Origin</t>
        </is>
      </c>
      <c r="C8358" t="inlineStr">
        <is>
          <t>TÜV NORD CERT GmbH, Essen, DE</t>
        </is>
      </c>
      <c r="D8358" t="inlineStr">
        <is>
          <t>01.02.2027</t>
        </is>
      </c>
      <c r="E8358" t="inlineStr">
        <is>
          <t>Malaysia</t>
        </is>
      </c>
    </row>
    <row r="8359">
      <c r="A8359" t="inlineStr">
        <is>
          <t>CarbonAMS Ltd,  Aclare, Ireland</t>
        </is>
      </c>
      <c r="B8359" t="inlineStr">
        <is>
          <t>Trader</t>
        </is>
      </c>
      <c r="C8359" t="inlineStr">
        <is>
          <t>Aardvark Certification Ltd, Wiveliscombe, Somerset, GB</t>
        </is>
      </c>
      <c r="D8359" t="inlineStr">
        <is>
          <t>01.02.2027</t>
        </is>
      </c>
      <c r="E8359" t="inlineStr">
        <is>
          <t>Ireland</t>
        </is>
      </c>
    </row>
    <row r="8360">
      <c r="A8360" t="inlineStr">
        <is>
          <t>KHMER OIL &amp; FAT EXPORT CO., LTD,  PHUM KHVET, SANGKAT SAK SAMPOV, KHAN DANGKOR, Cambodia</t>
        </is>
      </c>
      <c r="B8360" t="inlineStr">
        <is>
          <t>Collecting Point</t>
        </is>
      </c>
      <c r="C8360" t="inlineStr">
        <is>
          <t>PT Mutuagung Lestari, Depok, ID</t>
        </is>
      </c>
      <c r="D8360" t="inlineStr">
        <is>
          <t>01.02.2027</t>
        </is>
      </c>
      <c r="E8360" t="inlineStr">
        <is>
          <t>Cambodia</t>
        </is>
      </c>
    </row>
    <row r="8361">
      <c r="A8361" t="inlineStr">
        <is>
          <t>LIMITED LIABILITY COMPANY "BARYSHEVSKA GRAINTRADING COMPANY",  Berezan, Ukraine</t>
        </is>
      </c>
      <c r="B8361" t="inlineStr">
        <is>
          <t>First Gathering Point, Trader</t>
        </is>
      </c>
      <c r="C8361" t="inlineStr">
        <is>
          <t>Bureau Veritas Polska Sp. z o.o., Warsaw, PL</t>
        </is>
      </c>
      <c r="D8361" t="inlineStr">
        <is>
          <t>01.02.2027</t>
        </is>
      </c>
      <c r="E8361" t="inlineStr">
        <is>
          <t>Ukraine</t>
        </is>
      </c>
    </row>
    <row r="8362">
      <c r="A8362" t="inlineStr">
        <is>
          <t>PT Ivo Mas Tunggal,  Propinsi Riau, Indonesia</t>
        </is>
      </c>
      <c r="B8362" t="inlineStr">
        <is>
          <t>First Gathering Point, Point of Origin, Processing Unit</t>
        </is>
      </c>
      <c r="C8362" t="inlineStr">
        <is>
          <t>PT Mutuagung Lestari, Depok, ID</t>
        </is>
      </c>
      <c r="D8362" t="inlineStr">
        <is>
          <t>31.01.2027</t>
        </is>
      </c>
      <c r="E8362" t="inlineStr">
        <is>
          <t>Indonesia</t>
        </is>
      </c>
    </row>
    <row r="8363">
      <c r="A8363" t="inlineStr">
        <is>
          <t>PT Ivo Mas Tunggal,  Kabupaten Siak, Provinsi Riau, Indonesia</t>
        </is>
      </c>
      <c r="B8363" t="inlineStr">
        <is>
          <t>First Gathering Point, Point of Origin, Processing Unit</t>
        </is>
      </c>
      <c r="C8363" t="inlineStr">
        <is>
          <t>PT Mutuagung Lestari, Depok, ID</t>
        </is>
      </c>
      <c r="D8363" t="inlineStr">
        <is>
          <t>31.01.2027</t>
        </is>
      </c>
      <c r="E8363" t="inlineStr">
        <is>
          <t>Indonesia</t>
        </is>
      </c>
    </row>
    <row r="8364">
      <c r="A8364" t="inlineStr">
        <is>
          <t>PT Ivo Mas Tunggal,  Kabupaten Siak, Provinsi Riau, Indonesia</t>
        </is>
      </c>
      <c r="B8364" t="inlineStr">
        <is>
          <t>First Gathering Point, Point of Origin, Processing Unit</t>
        </is>
      </c>
      <c r="C8364" t="inlineStr">
        <is>
          <t>PT Mutuagung Lestari, Depok, ID</t>
        </is>
      </c>
      <c r="D8364" t="inlineStr">
        <is>
          <t>31.01.2027</t>
        </is>
      </c>
      <c r="E8364" t="inlineStr">
        <is>
          <t>Indonesia</t>
        </is>
      </c>
    </row>
    <row r="8365">
      <c r="A8365" t="inlineStr">
        <is>
          <t>Gryaab,  Göteborg, Sweden</t>
        </is>
      </c>
      <c r="B8365" t="inlineStr">
        <is>
          <t>Point of Origin, Processing Unit</t>
        </is>
      </c>
      <c r="C8365" t="inlineStr">
        <is>
          <t>Bureau Veritas Polska Sp. z o.o., Warsaw, PL</t>
        </is>
      </c>
      <c r="D8365" t="inlineStr">
        <is>
          <t>31.01.2027</t>
        </is>
      </c>
      <c r="E8365" t="inlineStr">
        <is>
          <t>Sweden</t>
        </is>
      </c>
    </row>
    <row r="8366">
      <c r="A8366" t="inlineStr">
        <is>
          <t>PT Ramajaya Pramukti,  Kabupaten Kampar, Provinsi Riau, Indonesia</t>
        </is>
      </c>
      <c r="B8366" t="inlineStr">
        <is>
          <t>Central Office (Farms/Plantations)</t>
        </is>
      </c>
      <c r="C8366" t="inlineStr">
        <is>
          <t>PT Mutuagung Lestari, Depok, ID</t>
        </is>
      </c>
      <c r="D8366" t="inlineStr">
        <is>
          <t>31.01.2027</t>
        </is>
      </c>
      <c r="E8366" t="inlineStr">
        <is>
          <t>Indonesia</t>
        </is>
      </c>
    </row>
    <row r="8367">
      <c r="A8367" t="inlineStr">
        <is>
          <t>SOPA,  Cros-de-Montvert, France</t>
        </is>
      </c>
      <c r="B8367" t="inlineStr">
        <is>
          <t>Point of Origin</t>
        </is>
      </c>
      <c r="C8367" t="inlineStr">
        <is>
          <t>Control Union Certifications Germany GmbH, Berlin, DE</t>
        </is>
      </c>
      <c r="D8367" t="inlineStr">
        <is>
          <t>31.01.2027</t>
        </is>
      </c>
      <c r="E8367" t="inlineStr">
        <is>
          <t>France</t>
        </is>
      </c>
    </row>
    <row r="8368">
      <c r="A8368" t="inlineStr">
        <is>
          <t>Colleroni srl,  Carlentini, Italy</t>
        </is>
      </c>
      <c r="B8368" t="inlineStr">
        <is>
          <t>First Gathering Point</t>
        </is>
      </c>
      <c r="C8368" t="inlineStr">
        <is>
          <t>DNV Business Assurance Sweden AB, Solna, SE</t>
        </is>
      </c>
      <c r="D8368" t="inlineStr">
        <is>
          <t>31.01.2027</t>
        </is>
      </c>
      <c r="E8368" t="inlineStr">
        <is>
          <t>Italy</t>
        </is>
      </c>
    </row>
    <row r="8369">
      <c r="A8369" t="inlineStr">
        <is>
          <t>Interxion France,  Marseille, France</t>
        </is>
      </c>
      <c r="B8369" t="inlineStr">
        <is>
          <t>Processing Unit</t>
        </is>
      </c>
      <c r="C8369" t="inlineStr">
        <is>
          <t>Control Union Certifications Germany GmbH, Berlin, DE</t>
        </is>
      </c>
      <c r="D8369" t="inlineStr">
        <is>
          <t>31.01.2027</t>
        </is>
      </c>
      <c r="E8369" t="inlineStr">
        <is>
          <t>France</t>
        </is>
      </c>
    </row>
    <row r="8370">
      <c r="A8370" t="inlineStr">
        <is>
          <t>HD Hyundai Oilbank,  Seosan-si, Chungcheongnam-do, The Republic of Korea</t>
        </is>
      </c>
      <c r="B8370" t="inlineStr">
        <is>
          <t>Processing Unit, Trader with Storage, Point of Origin</t>
        </is>
      </c>
      <c r="C8370" t="inlineStr">
        <is>
          <t>Control Union Certifications Germany GmbH, Berlin, DE</t>
        </is>
      </c>
      <c r="D8370" t="inlineStr">
        <is>
          <t>31.01.2027</t>
        </is>
      </c>
      <c r="E8370" t="inlineStr">
        <is>
          <t>The Republic of Korea</t>
        </is>
      </c>
    </row>
    <row r="8371">
      <c r="A8371" t="inlineStr">
        <is>
          <t>Duynie Feed Česká republika s.r.o.,  Brno, Czech Republic</t>
        </is>
      </c>
      <c r="B8371" t="inlineStr">
        <is>
          <t>Collecting Point, Trader</t>
        </is>
      </c>
      <c r="C8371" t="inlineStr">
        <is>
          <t>TÜV SÜD Czech s.r.o., Praha 4, CZ</t>
        </is>
      </c>
      <c r="D8371" t="inlineStr">
        <is>
          <t>31.01.2027</t>
        </is>
      </c>
      <c r="E8371" t="inlineStr">
        <is>
          <t>Czech Republic</t>
        </is>
      </c>
    </row>
    <row r="8372">
      <c r="A8372" t="inlineStr">
        <is>
          <t>CHANG SHIN INDONESIA,  Karawang, Indonesia</t>
        </is>
      </c>
      <c r="B8372" t="inlineStr">
        <is>
          <t>Processing Unit</t>
        </is>
      </c>
      <c r="C8372" t="inlineStr">
        <is>
          <t>PT Intertek Utama Services, Jakarta, ID</t>
        </is>
      </c>
      <c r="D8372" t="inlineStr">
        <is>
          <t>31.01.2027</t>
        </is>
      </c>
      <c r="E8372" t="inlineStr">
        <is>
          <t>Indonesia</t>
        </is>
      </c>
    </row>
    <row r="8373">
      <c r="A8373" t="inlineStr">
        <is>
          <t>PT CHANG SHIN INDONESIA,  Karawang, Indonesia</t>
        </is>
      </c>
      <c r="B8373" t="inlineStr">
        <is>
          <t>Final Product Refinement, Processing Unit</t>
        </is>
      </c>
      <c r="C8373" t="inlineStr">
        <is>
          <t>PT Intertek Utama Services, Jakarta, ID</t>
        </is>
      </c>
      <c r="D8373" t="inlineStr">
        <is>
          <t>31.01.2027</t>
        </is>
      </c>
      <c r="E8373" t="inlineStr">
        <is>
          <t>Indonesia</t>
        </is>
      </c>
    </row>
    <row r="8374">
      <c r="A8374" t="inlineStr">
        <is>
          <t>PGEO EDIBLE OILS SDN. BHD. (PRAI DIVISION),  PRAI, PULAU PINANG, Malaysia</t>
        </is>
      </c>
      <c r="B8374" t="inlineStr">
        <is>
          <t>Point of Origin</t>
        </is>
      </c>
      <c r="C8374" t="inlineStr">
        <is>
          <t>Global Gateway Certifications Sdn Bhd, Ampang, MY</t>
        </is>
      </c>
      <c r="D8374" t="inlineStr">
        <is>
          <t>31.01.2027</t>
        </is>
      </c>
      <c r="E8374" t="inlineStr">
        <is>
          <t>Malaysia</t>
        </is>
      </c>
    </row>
    <row r="8375">
      <c r="A8375" t="inlineStr">
        <is>
          <t>PGEO EDIBLE OILS SDN. BHD. (LUMUT DIVISION),  SETIAWAN, PERAK, Malaysia</t>
        </is>
      </c>
      <c r="B8375" t="inlineStr">
        <is>
          <t>Point of Origin</t>
        </is>
      </c>
      <c r="C8375" t="inlineStr">
        <is>
          <t>Global Gateway Certifications Sdn Bhd, Ampang, MY</t>
        </is>
      </c>
      <c r="D8375" t="inlineStr">
        <is>
          <t>31.01.2027</t>
        </is>
      </c>
      <c r="E8375" t="inlineStr">
        <is>
          <t>Malaysia</t>
        </is>
      </c>
    </row>
    <row r="8376">
      <c r="A8376" t="inlineStr">
        <is>
          <t>WILMAR EDIBLE OILS SDN. BHD.,  BUTTERWORTH, PULAU PINANG, Malaysia</t>
        </is>
      </c>
      <c r="B8376" t="inlineStr">
        <is>
          <t>Point of Origin</t>
        </is>
      </c>
      <c r="C8376" t="inlineStr">
        <is>
          <t>Global Gateway Certifications Sdn Bhd, Ampang, MY</t>
        </is>
      </c>
      <c r="D8376" t="inlineStr">
        <is>
          <t>31.01.2027</t>
        </is>
      </c>
      <c r="E8376" t="inlineStr">
        <is>
          <t>Malaysia</t>
        </is>
      </c>
    </row>
    <row r="8377">
      <c r="A8377" t="inlineStr">
        <is>
          <t>Shya Hsin Packaging Industry (China) Co., Ltd.,  Kunshan, China</t>
        </is>
      </c>
      <c r="B8377" t="inlineStr">
        <is>
          <t>Processing Unit, Trader with Storage</t>
        </is>
      </c>
      <c r="C8377" t="inlineStr">
        <is>
          <t>China Quality Certification Centre Co., Ltd., Beijing, CN</t>
        </is>
      </c>
      <c r="D8377" t="inlineStr">
        <is>
          <t>31.01.2027</t>
        </is>
      </c>
      <c r="E8377" t="inlineStr">
        <is>
          <t>China</t>
        </is>
      </c>
    </row>
    <row r="8378">
      <c r="A8378" t="inlineStr">
        <is>
          <t>Palma Lestari Jaya,  Kabupaten Buoul, Provinsi Sulawesi Tengah, Indonesia</t>
        </is>
      </c>
      <c r="B8378" t="inlineStr">
        <is>
          <t>Point of Origin</t>
        </is>
      </c>
      <c r="C8378" t="inlineStr">
        <is>
          <t>PT. CBQA GLOBAL INDONESIA, JAKARTA SELATAN, ID</t>
        </is>
      </c>
      <c r="D8378" t="inlineStr">
        <is>
          <t>31.01.2027</t>
        </is>
      </c>
      <c r="E8378" t="inlineStr">
        <is>
          <t>Indonesia</t>
        </is>
      </c>
    </row>
    <row r="8379">
      <c r="A8379" t="inlineStr">
        <is>
          <t>Berry Superfos Wetteren,  Wetteren, Belgium</t>
        </is>
      </c>
      <c r="B8379" t="inlineStr">
        <is>
          <t>Processing Unit</t>
        </is>
      </c>
      <c r="C8379" t="inlineStr">
        <is>
          <t>SGS Germany GmbH, Emstek, DE</t>
        </is>
      </c>
      <c r="D8379" t="inlineStr">
        <is>
          <t>31.01.2027</t>
        </is>
      </c>
      <c r="E8379" t="inlineStr">
        <is>
          <t>Belgium</t>
        </is>
      </c>
    </row>
    <row r="8380">
      <c r="A8380" t="inlineStr">
        <is>
          <t>PT Fortius Wajo Perkebunan,  West Tanjung Jabung Regency, Jambi Province, Indonesia</t>
        </is>
      </c>
      <c r="B8380" t="inlineStr">
        <is>
          <t>Point of Origin</t>
        </is>
      </c>
      <c r="C8380" t="inlineStr">
        <is>
          <t>PT. Qualitas Sertifikasi Indonesia, Jakarta, ID</t>
        </is>
      </c>
      <c r="D8380" t="inlineStr">
        <is>
          <t>31.01.2027</t>
        </is>
      </c>
      <c r="E8380" t="inlineStr">
        <is>
          <t>Indonesia</t>
        </is>
      </c>
    </row>
    <row r="8381">
      <c r="A8381" t="inlineStr">
        <is>
          <t>TEOFIPOLSKA ENERGY COMPANY,  town Teofipol, Ukraine</t>
        </is>
      </c>
      <c r="B8381" t="inlineStr">
        <is>
          <t>First Gathering Point, Collecting Point, Processing Unit</t>
        </is>
      </c>
      <c r="C8381" t="inlineStr">
        <is>
          <t>United Registrar of Systems Polska Sp. z o.o., Wrocław, PL</t>
        </is>
      </c>
      <c r="D8381" t="inlineStr">
        <is>
          <t>31.01.2027</t>
        </is>
      </c>
      <c r="E8381" t="inlineStr">
        <is>
          <t>Ukraine</t>
        </is>
      </c>
    </row>
    <row r="8382">
      <c r="A8382" t="inlineStr">
        <is>
          <t>PT Buana Wiralestari Mas,  Kabupaten Kampar Riau, Indonesia</t>
        </is>
      </c>
      <c r="B8382" t="inlineStr">
        <is>
          <t>Central Office (Farms/Plantations)</t>
        </is>
      </c>
      <c r="C8382" t="inlineStr">
        <is>
          <t>PT Mutuagung Lestari, Depok, ID</t>
        </is>
      </c>
      <c r="D8382" t="inlineStr">
        <is>
          <t>31.01.2027</t>
        </is>
      </c>
      <c r="E8382" t="inlineStr">
        <is>
          <t>Indonesia</t>
        </is>
      </c>
    </row>
    <row r="8383">
      <c r="A8383" t="inlineStr">
        <is>
          <t>Allnex Belgium SA/NV,  Drogenbos, Belgium</t>
        </is>
      </c>
      <c r="B8383" t="inlineStr">
        <is>
          <t>Processing Unit</t>
        </is>
      </c>
      <c r="C8383" t="inlineStr">
        <is>
          <t>SGS Germany GmbH, Emstek, DE</t>
        </is>
      </c>
      <c r="D8383" t="inlineStr">
        <is>
          <t>31.01.2027</t>
        </is>
      </c>
      <c r="E8383" t="inlineStr">
        <is>
          <t>Belgium</t>
        </is>
      </c>
    </row>
    <row r="8384">
      <c r="A8384" t="inlineStr">
        <is>
          <t>MITSUI &amp; CO., LTD.,  Chiyoda-ku, Tokyo, Japan</t>
        </is>
      </c>
      <c r="B8384" t="inlineStr">
        <is>
          <t>Trader with Storage</t>
        </is>
      </c>
      <c r="C8384" t="inlineStr">
        <is>
          <t>Control Union Certifications Germany GmbH, Berlin, DE</t>
        </is>
      </c>
      <c r="D8384" t="inlineStr">
        <is>
          <t>31.01.2027</t>
        </is>
      </c>
      <c r="E8384" t="inlineStr">
        <is>
          <t>Japan</t>
        </is>
      </c>
    </row>
    <row r="8385">
      <c r="A8385" t="inlineStr">
        <is>
          <t>PT Golden Biomass Energy,  DKI JAKARTA, Indonesia</t>
        </is>
      </c>
      <c r="B8385" t="inlineStr">
        <is>
          <t>Trader with Storage, Collecting Point</t>
        </is>
      </c>
      <c r="C8385" t="inlineStr">
        <is>
          <t>PT Mutuagung Lestari, Depok, ID</t>
        </is>
      </c>
      <c r="D8385" t="inlineStr">
        <is>
          <t>31.01.2027</t>
        </is>
      </c>
      <c r="E8385" t="inlineStr">
        <is>
          <t>Indonesia</t>
        </is>
      </c>
    </row>
    <row r="8386">
      <c r="A8386" t="inlineStr">
        <is>
          <t>Smart Commodities SAS,  Montevideo, Uruguay</t>
        </is>
      </c>
      <c r="B8386" t="inlineStr">
        <is>
          <t>Trader</t>
        </is>
      </c>
      <c r="C8386" t="inlineStr">
        <is>
          <t>Certificadora Gallega del Noroeste SL, Vilagarcia de Arousa-Pontevedra, ES</t>
        </is>
      </c>
      <c r="D8386" t="inlineStr">
        <is>
          <t>31.01.2027</t>
        </is>
      </c>
      <c r="E8386" t="inlineStr">
        <is>
          <t>Uruguay</t>
        </is>
      </c>
    </row>
    <row r="8387">
      <c r="A8387" t="inlineStr">
        <is>
          <t>PT Buana Wiralestari Mas,  Kabupaten Kampar, Provinsi Riau, Indonesia</t>
        </is>
      </c>
      <c r="B8387" t="inlineStr">
        <is>
          <t>First Gathering Point, Point of Origin, Processing Unit</t>
        </is>
      </c>
      <c r="C8387" t="inlineStr">
        <is>
          <t>PT Mutuagung Lestari, Depok, ID</t>
        </is>
      </c>
      <c r="D8387" t="inlineStr">
        <is>
          <t>31.01.2027</t>
        </is>
      </c>
      <c r="E8387" t="inlineStr">
        <is>
          <t>Indonesia</t>
        </is>
      </c>
    </row>
    <row r="8388">
      <c r="A8388" t="inlineStr">
        <is>
          <t>PT Buana Wiralestari Mas,  Kabupaten Kampar, Provinsi Riau, Indonesia</t>
        </is>
      </c>
      <c r="B8388" t="inlineStr">
        <is>
          <t>First Gathering Point, Point of Origin, Processing Unit</t>
        </is>
      </c>
      <c r="C8388" t="inlineStr">
        <is>
          <t>PT Mutuagung Lestari, Depok, ID</t>
        </is>
      </c>
      <c r="D8388" t="inlineStr">
        <is>
          <t>31.01.2027</t>
        </is>
      </c>
      <c r="E8388" t="inlineStr">
        <is>
          <t>Indonesia</t>
        </is>
      </c>
    </row>
    <row r="8389">
      <c r="A8389" t="inlineStr">
        <is>
          <t>Best africa oil,  Monastir, Tunisia</t>
        </is>
      </c>
      <c r="B8389" t="inlineStr">
        <is>
          <t>Collecting Point</t>
        </is>
      </c>
      <c r="C8389" t="inlineStr">
        <is>
          <t>RINA Services S.p.A., Genova, IT</t>
        </is>
      </c>
      <c r="D8389" t="inlineStr">
        <is>
          <t>31.01.2027</t>
        </is>
      </c>
      <c r="E8389" t="inlineStr">
        <is>
          <t>Tunisia</t>
        </is>
      </c>
    </row>
    <row r="8390">
      <c r="A8390" t="inlineStr">
        <is>
          <t>SIPCAM OXON S.p.A.,  Mezzana Bigli, Italy</t>
        </is>
      </c>
      <c r="B8390" t="inlineStr">
        <is>
          <t>Processing Unit</t>
        </is>
      </c>
      <c r="C8390" t="inlineStr">
        <is>
          <t>SGS Germany GmbH, Emstek, DE</t>
        </is>
      </c>
      <c r="D8390" t="inlineStr">
        <is>
          <t>31.01.2027</t>
        </is>
      </c>
      <c r="E8390" t="inlineStr">
        <is>
          <t>Italy</t>
        </is>
      </c>
    </row>
    <row r="8391">
      <c r="A8391" t="inlineStr">
        <is>
          <t>PT Ramajaya Pramukti,  Kabupaten Kampar, Provinsi Riau, Indonesia</t>
        </is>
      </c>
      <c r="B8391" t="inlineStr">
        <is>
          <t>First Gathering Point, Point of Origin, Processing Unit</t>
        </is>
      </c>
      <c r="C8391" t="inlineStr">
        <is>
          <t>PT Mutuagung Lestari, Depok, ID</t>
        </is>
      </c>
      <c r="D8391" t="inlineStr">
        <is>
          <t>31.01.2027</t>
        </is>
      </c>
      <c r="E8391" t="inlineStr">
        <is>
          <t>Indonesia</t>
        </is>
      </c>
    </row>
    <row r="8392">
      <c r="A8392" t="inlineStr">
        <is>
          <t>PT Ramajaya Pramukti,  Kabupaten Kampar, Provinsi Riau Indonesia, Indonesia</t>
        </is>
      </c>
      <c r="B8392" t="inlineStr">
        <is>
          <t>Central Office (Farms/Plantations)</t>
        </is>
      </c>
      <c r="C8392" t="inlineStr">
        <is>
          <t>PT Mutuagung Lestari, Depok, ID</t>
        </is>
      </c>
      <c r="D8392" t="inlineStr">
        <is>
          <t>31.01.2027</t>
        </is>
      </c>
      <c r="E8392" t="inlineStr">
        <is>
          <t>Indonesia</t>
        </is>
      </c>
    </row>
    <row r="8393">
      <c r="A8393" t="inlineStr">
        <is>
          <t>Lynx Renewable Energy,  Ardmore, United States</t>
        </is>
      </c>
      <c r="B8393" t="inlineStr">
        <is>
          <t>Collecting Point, Processing Unit</t>
        </is>
      </c>
      <c r="C8393" t="inlineStr">
        <is>
          <t>Control Union Poland Sp. z o.o., Zielona Gora, PL</t>
        </is>
      </c>
      <c r="D8393" t="inlineStr">
        <is>
          <t>30.01.2027</t>
        </is>
      </c>
      <c r="E8393" t="inlineStr">
        <is>
          <t>United States</t>
        </is>
      </c>
    </row>
    <row r="8394">
      <c r="A8394" t="inlineStr">
        <is>
          <t>Lynx Renewable Energy,  Ardmore, United States</t>
        </is>
      </c>
      <c r="B8394" t="inlineStr">
        <is>
          <t>Collecting Point, Processing Unit</t>
        </is>
      </c>
      <c r="C8394" t="inlineStr">
        <is>
          <t>Control Union Poland Sp. z o.o., Zielona Gora, PL</t>
        </is>
      </c>
      <c r="D8394" t="inlineStr">
        <is>
          <t>30.01.2027</t>
        </is>
      </c>
      <c r="E8394" t="inlineStr">
        <is>
          <t>United States</t>
        </is>
      </c>
    </row>
    <row r="8395">
      <c r="A8395" t="inlineStr">
        <is>
          <t>Brians Renovation ApS,  Grindsted, Denmark</t>
        </is>
      </c>
      <c r="B8395" t="inlineStr">
        <is>
          <t>Collecting Point, Trader</t>
        </is>
      </c>
      <c r="C8395" t="inlineStr">
        <is>
          <t>Baltic Control Certification, Risskov, DK</t>
        </is>
      </c>
      <c r="D8395" t="inlineStr">
        <is>
          <t>30.01.2027</t>
        </is>
      </c>
      <c r="E8395" t="inlineStr">
        <is>
          <t>Denmark</t>
        </is>
      </c>
    </row>
    <row r="8396">
      <c r="A8396" t="inlineStr">
        <is>
          <t>Polynt Composites France,  DROCOURT, France</t>
        </is>
      </c>
      <c r="B8396" t="inlineStr">
        <is>
          <t>Processing Unit, Trader with Storage</t>
        </is>
      </c>
      <c r="C8396" t="inlineStr">
        <is>
          <t>Bureau Veritas Polska Sp. z o.o., Warsaw, PL</t>
        </is>
      </c>
      <c r="D8396" t="inlineStr">
        <is>
          <t>30.01.2027</t>
        </is>
      </c>
      <c r="E8396" t="inlineStr">
        <is>
          <t>France</t>
        </is>
      </c>
    </row>
    <row r="8397">
      <c r="A8397" t="inlineStr">
        <is>
          <t>ALPLA Werke Alwin Lehner GmbH &amp; Co KG,  Iowa, United States</t>
        </is>
      </c>
      <c r="B8397" t="inlineStr">
        <is>
          <t>Processing Unit</t>
        </is>
      </c>
      <c r="C8397" t="inlineStr">
        <is>
          <t>Control Union Poland Sp. z o.o., Zielona Gora, PL</t>
        </is>
      </c>
      <c r="D8397" t="inlineStr">
        <is>
          <t>30.01.2027</t>
        </is>
      </c>
      <c r="E8397" t="inlineStr">
        <is>
          <t>United States</t>
        </is>
      </c>
    </row>
    <row r="8398">
      <c r="A8398" t="inlineStr">
        <is>
          <t>Interxion France,  Saint-Denis, France</t>
        </is>
      </c>
      <c r="B8398" t="inlineStr">
        <is>
          <t>Processing Unit</t>
        </is>
      </c>
      <c r="C8398" t="inlineStr">
        <is>
          <t>Control Union Certifications Germany GmbH, Berlin, DE</t>
        </is>
      </c>
      <c r="D8398" t="inlineStr">
        <is>
          <t>30.01.2027</t>
        </is>
      </c>
      <c r="E8398" t="inlineStr">
        <is>
          <t>France</t>
        </is>
      </c>
    </row>
    <row r="8399">
      <c r="A8399" t="inlineStr">
        <is>
          <t>Roviroli S.L.,  Sagàs, Spain</t>
        </is>
      </c>
      <c r="B8399" t="inlineStr">
        <is>
          <t>First Gathering Point, Processing Unit, Trader</t>
        </is>
      </c>
      <c r="C8399" t="inlineStr">
        <is>
          <t>Control Union Poland Sp. z o.o., Zielona Gora, PL</t>
        </is>
      </c>
      <c r="D8399" t="inlineStr">
        <is>
          <t>30.01.2027</t>
        </is>
      </c>
      <c r="E8399" t="inlineStr">
        <is>
          <t>Spain</t>
        </is>
      </c>
    </row>
    <row r="8400">
      <c r="A8400" t="inlineStr">
        <is>
          <t>Porsiete Cooperativa Iniciativa Social,  Salamanca, Spain</t>
        </is>
      </c>
      <c r="B8400" t="inlineStr">
        <is>
          <t>Collecting Point</t>
        </is>
      </c>
      <c r="C8400" t="inlineStr">
        <is>
          <t>Amspec Iberia SL, Vilagarcia de Arousa-Pontevedra, ES</t>
        </is>
      </c>
      <c r="D8400" t="inlineStr">
        <is>
          <t>30.01.2027</t>
        </is>
      </c>
      <c r="E8400" t="inlineStr">
        <is>
          <t>Spain</t>
        </is>
      </c>
    </row>
    <row r="8401">
      <c r="A8401" t="inlineStr">
        <is>
          <t>VICARI TRADING PLT,  JOHOR BAHRU, JOHOR, Malaysia</t>
        </is>
      </c>
      <c r="B8401" t="inlineStr">
        <is>
          <t>Collecting Point, Trader with Storage</t>
        </is>
      </c>
      <c r="C8401" t="inlineStr">
        <is>
          <t>Trans Certification and Inspection Sdn Bhd, Kuantan, MY</t>
        </is>
      </c>
      <c r="D8401" t="inlineStr">
        <is>
          <t>30.01.2027</t>
        </is>
      </c>
      <c r="E8401" t="inlineStr">
        <is>
          <t>Malaysia</t>
        </is>
      </c>
    </row>
    <row r="8402">
      <c r="A8402" t="inlineStr">
        <is>
          <t>Polifilm Ambalaj San. A.Ş.,  Bozüyük-BİLECİK, Türkiye</t>
        </is>
      </c>
      <c r="B8402" t="inlineStr">
        <is>
          <t>Processing Unit</t>
        </is>
      </c>
      <c r="C8402" t="inlineStr">
        <is>
          <t>PT Intertek Utama Services, Jakarta, ID</t>
        </is>
      </c>
      <c r="D8402" t="inlineStr">
        <is>
          <t>30.01.2027</t>
        </is>
      </c>
      <c r="E8402" t="inlineStr">
        <is>
          <t>Türkiye</t>
        </is>
      </c>
    </row>
    <row r="8403">
      <c r="A8403" t="inlineStr">
        <is>
          <t>Interxion France,  Saint-Denis, France</t>
        </is>
      </c>
      <c r="B8403" t="inlineStr">
        <is>
          <t>Processing Unit</t>
        </is>
      </c>
      <c r="C8403" t="inlineStr">
        <is>
          <t>Control Union Certifications Germany GmbH, Berlin, DE</t>
        </is>
      </c>
      <c r="D8403" t="inlineStr">
        <is>
          <t>30.01.2027</t>
        </is>
      </c>
      <c r="E8403" t="inlineStr">
        <is>
          <t>France</t>
        </is>
      </c>
    </row>
    <row r="8404">
      <c r="A8404" t="inlineStr">
        <is>
          <t>Viridi Data Paris 2 PAR12,  Ferrières en Brie, France</t>
        </is>
      </c>
      <c r="B8404" t="inlineStr">
        <is>
          <t>Processing Unit</t>
        </is>
      </c>
      <c r="C8404" t="inlineStr">
        <is>
          <t>Control Union Certifications Germany GmbH, Berlin, DE</t>
        </is>
      </c>
      <c r="D8404" t="inlineStr">
        <is>
          <t>30.01.2027</t>
        </is>
      </c>
      <c r="E8404" t="inlineStr">
        <is>
          <t>France</t>
        </is>
      </c>
    </row>
    <row r="8405">
      <c r="A8405" t="inlineStr">
        <is>
          <t>Japan Polyethylene Corporation, Kawasaki Plant,  Kawasaki-ku, Kawasaki-shi,, Japan</t>
        </is>
      </c>
      <c r="B8405" t="inlineStr">
        <is>
          <t>Processing Unit, Trader with Storage</t>
        </is>
      </c>
      <c r="C8405" t="inlineStr">
        <is>
          <t>PT Intertek Utama Services, Jakarta, ID</t>
        </is>
      </c>
      <c r="D8405" t="inlineStr">
        <is>
          <t>30.01.2027</t>
        </is>
      </c>
      <c r="E8405" t="inlineStr">
        <is>
          <t>Japan</t>
        </is>
      </c>
    </row>
    <row r="8406">
      <c r="A8406" t="inlineStr">
        <is>
          <t>Sucden Geneva S.A.,  Geneva, Switzerland</t>
        </is>
      </c>
      <c r="B8406" t="inlineStr">
        <is>
          <t>Trader with Storage</t>
        </is>
      </c>
      <c r="C8406" t="inlineStr">
        <is>
          <t>Control Union Certifications Germany GmbH, Berlin, DE</t>
        </is>
      </c>
      <c r="D8406" t="inlineStr">
        <is>
          <t>30.01.2027</t>
        </is>
      </c>
      <c r="E8406" t="inlineStr">
        <is>
          <t>Switzerland</t>
        </is>
      </c>
    </row>
    <row r="8407">
      <c r="A8407" t="inlineStr">
        <is>
          <t>Inabata &amp; Co., Ltd.,  Tokyo, Japan</t>
        </is>
      </c>
      <c r="B8407" t="inlineStr">
        <is>
          <t>Trader with Storage</t>
        </is>
      </c>
      <c r="C8407" t="inlineStr">
        <is>
          <t>Control Union Certifications Germany GmbH, Berlin, DE</t>
        </is>
      </c>
      <c r="D8407" t="inlineStr">
        <is>
          <t>30.01.2027</t>
        </is>
      </c>
      <c r="E8407" t="inlineStr">
        <is>
          <t>Japan</t>
        </is>
      </c>
    </row>
    <row r="8408">
      <c r="A8408" t="inlineStr">
        <is>
          <t>CSE RESOURCES,  Melaka, Malaysia</t>
        </is>
      </c>
      <c r="B8408" t="inlineStr">
        <is>
          <t>Collecting Point</t>
        </is>
      </c>
      <c r="C8408" t="inlineStr">
        <is>
          <t>Trans Certification and Inspection Sdn Bhd, Kuantan, MY</t>
        </is>
      </c>
      <c r="D8408" t="inlineStr">
        <is>
          <t>30.01.2027</t>
        </is>
      </c>
      <c r="E8408" t="inlineStr">
        <is>
          <t>Malaysia</t>
        </is>
      </c>
    </row>
    <row r="8409">
      <c r="A8409" t="inlineStr">
        <is>
          <t>AL GHURAIR RESOURCES INTERNATIONAL L.L.C,  Dubai, United Arab Emirates</t>
        </is>
      </c>
      <c r="B8409" t="inlineStr">
        <is>
          <t>Trader</t>
        </is>
      </c>
      <c r="C8409" t="inlineStr">
        <is>
          <t>Bureau Veritas Polska Sp. z o.o., Warsaw, PL</t>
        </is>
      </c>
      <c r="D8409" t="inlineStr">
        <is>
          <t>30.01.2027</t>
        </is>
      </c>
      <c r="E8409" t="inlineStr">
        <is>
          <t>United Arab Emirates</t>
        </is>
      </c>
    </row>
    <row r="8410">
      <c r="A8410" t="inlineStr">
        <is>
          <t>AL GHURAIR RESOURCES INTERNATIONAL L.L.C,  Dubai, United Arab Emirates</t>
        </is>
      </c>
      <c r="B8410" t="inlineStr">
        <is>
          <t>Trader</t>
        </is>
      </c>
      <c r="C8410" t="inlineStr">
        <is>
          <t>Bureau Veritas Polska Sp. z o.o., Warsaw, PL</t>
        </is>
      </c>
      <c r="D8410" t="inlineStr">
        <is>
          <t>30.01.2027</t>
        </is>
      </c>
      <c r="E8410" t="inlineStr">
        <is>
          <t>United Arab Emirates</t>
        </is>
      </c>
    </row>
    <row r="8411">
      <c r="A8411" t="inlineStr">
        <is>
          <t>AL GHURAIR RESOURCES INTERNATIONAL L.L.C,  Dubai, United Arab Emirates</t>
        </is>
      </c>
      <c r="B8411" t="inlineStr">
        <is>
          <t>Trader</t>
        </is>
      </c>
      <c r="C8411" t="inlineStr">
        <is>
          <t>Bureau Veritas Polska Sp. z o.o., Warsaw, PL</t>
        </is>
      </c>
      <c r="D8411" t="inlineStr">
        <is>
          <t>30.01.2027</t>
        </is>
      </c>
      <c r="E8411" t="inlineStr">
        <is>
          <t>United Arab Emirates</t>
        </is>
      </c>
    </row>
    <row r="8412">
      <c r="A8412" t="inlineStr">
        <is>
          <t>SUSTAINABLE FEEDSTOCKS GROUP LIMITED,  Dongguan City, China</t>
        </is>
      </c>
      <c r="B8412" t="inlineStr">
        <is>
          <t>Trader with Storage</t>
        </is>
      </c>
      <c r="C8412" t="inlineStr">
        <is>
          <t>SCS Global Services, Emeryville, CA, US</t>
        </is>
      </c>
      <c r="D8412" t="inlineStr">
        <is>
          <t>30.01.2027</t>
        </is>
      </c>
      <c r="E8412" t="inlineStr">
        <is>
          <t>China</t>
        </is>
      </c>
    </row>
    <row r="8413">
      <c r="A8413" t="inlineStr">
        <is>
          <t>Junheng Biological (Hong Kong) Company Limited,  Puyang City, China</t>
        </is>
      </c>
      <c r="B8413" t="inlineStr">
        <is>
          <t>Trader</t>
        </is>
      </c>
      <c r="C8413" t="inlineStr">
        <is>
          <t>SCS Global Services, Emeryville, CA, US</t>
        </is>
      </c>
      <c r="D8413" t="inlineStr">
        <is>
          <t>30.01.2027</t>
        </is>
      </c>
      <c r="E8413" t="inlineStr">
        <is>
          <t>China</t>
        </is>
      </c>
    </row>
    <row r="8414">
      <c r="A8414" t="inlineStr">
        <is>
          <t>Sustainable Grain Australia,  Parramatta, Australia</t>
        </is>
      </c>
      <c r="B8414" t="inlineStr">
        <is>
          <t>Central Office (Farms/Plantations)</t>
        </is>
      </c>
      <c r="C8414" t="inlineStr">
        <is>
          <t>Control Union Certifications Germany GmbH, Berlin, DE</t>
        </is>
      </c>
      <c r="D8414" t="inlineStr">
        <is>
          <t>30.01.2027</t>
        </is>
      </c>
      <c r="E8414" t="inlineStr">
        <is>
          <t>Australia</t>
        </is>
      </c>
    </row>
    <row r="8415">
      <c r="A8415" t="inlineStr">
        <is>
          <t>SEKISUI KASEI,  Hasuda-City,Saitama, Japan</t>
        </is>
      </c>
      <c r="B8415" t="inlineStr">
        <is>
          <t>Processing Unit</t>
        </is>
      </c>
      <c r="C8415" t="inlineStr">
        <is>
          <t>SCS Global Services, Emeryville, CA, US</t>
        </is>
      </c>
      <c r="D8415" t="inlineStr">
        <is>
          <t>30.01.2027</t>
        </is>
      </c>
      <c r="E8415" t="inlineStr">
        <is>
          <t>Japan</t>
        </is>
      </c>
    </row>
    <row r="8416">
      <c r="A8416" t="inlineStr">
        <is>
          <t>Capwatt Biometano Aljustrel, Lda,  Ferreira do Alentejo, Beja, Portugal</t>
        </is>
      </c>
      <c r="B8416" t="inlineStr">
        <is>
          <t>Collecting Point, Processing Unit</t>
        </is>
      </c>
      <c r="C8416" t="inlineStr">
        <is>
          <t>SGS Germany GmbH, Emstek, DE</t>
        </is>
      </c>
      <c r="D8416" t="inlineStr">
        <is>
          <t>30.01.2027</t>
        </is>
      </c>
      <c r="E8416" t="inlineStr">
        <is>
          <t>Portugal</t>
        </is>
      </c>
    </row>
    <row r="8417">
      <c r="A8417" t="inlineStr">
        <is>
          <t>Nefco Belgium,  Gent, Belgium</t>
        </is>
      </c>
      <c r="B8417" t="inlineStr">
        <is>
          <t>Trader</t>
        </is>
      </c>
      <c r="C8417" t="inlineStr">
        <is>
          <t>DEKRA Certification B.V., Arnhem, NL</t>
        </is>
      </c>
      <c r="D8417" t="inlineStr">
        <is>
          <t>30.01.2027</t>
        </is>
      </c>
      <c r="E8417" t="inlineStr">
        <is>
          <t>Belgium</t>
        </is>
      </c>
    </row>
    <row r="8418">
      <c r="A8418" t="inlineStr">
        <is>
          <t>JEJU CLEAN ENERGY Co.,Ltd,  Hallim-eup, Jeju-si, Jeju-do, Republic of Korea, Korea, Republic of</t>
        </is>
      </c>
      <c r="B8418" t="inlineStr">
        <is>
          <t>Collecting Point, Processing Unit</t>
        </is>
      </c>
      <c r="C8418" t="inlineStr">
        <is>
          <t>Control Union Certifications Germany GmbH, Berlin, DE</t>
        </is>
      </c>
      <c r="D8418" t="inlineStr">
        <is>
          <t>30.01.2027</t>
        </is>
      </c>
      <c r="E8418" t="inlineStr">
        <is>
          <t>Republic of</t>
        </is>
      </c>
    </row>
    <row r="8419">
      <c r="A8419" t="inlineStr">
        <is>
          <t>Bunge Loders Croklaan B.V.,  Maasvlakte - Rotterdam, Netherlands</t>
        </is>
      </c>
      <c r="B8419" t="inlineStr">
        <is>
          <t>Point of Origin</t>
        </is>
      </c>
      <c r="C8419" t="inlineStr">
        <is>
          <t>SGS Germany GmbH, Emstek, DE</t>
        </is>
      </c>
      <c r="D8419" t="inlineStr">
        <is>
          <t>30.01.2027</t>
        </is>
      </c>
      <c r="E8419" t="inlineStr">
        <is>
          <t>Netherlands</t>
        </is>
      </c>
    </row>
    <row r="8420">
      <c r="A8420" t="inlineStr">
        <is>
          <t>Bunge Loders Croklaan B.V.,  Maasvlakte - Rotterdam, Netherlands</t>
        </is>
      </c>
      <c r="B8420" t="inlineStr">
        <is>
          <t>Point of Origin</t>
        </is>
      </c>
      <c r="C8420" t="inlineStr">
        <is>
          <t>SGS Germany GmbH, Emstek, DE</t>
        </is>
      </c>
      <c r="D8420" t="inlineStr">
        <is>
          <t>30.01.2027</t>
        </is>
      </c>
      <c r="E8420" t="inlineStr">
        <is>
          <t>Netherlands</t>
        </is>
      </c>
    </row>
    <row r="8421">
      <c r="A8421" t="inlineStr">
        <is>
          <t>Eurotank Amsterdam B.V.,  Amsterdam, Netherlands</t>
        </is>
      </c>
      <c r="B8421" t="inlineStr">
        <is>
          <t>Warehouse</t>
        </is>
      </c>
      <c r="C8421" t="inlineStr">
        <is>
          <t>DEKRA Certification B.V., Arnhem, NL</t>
        </is>
      </c>
      <c r="D8421" t="inlineStr">
        <is>
          <t>30.01.2027</t>
        </is>
      </c>
      <c r="E8421" t="inlineStr">
        <is>
          <t>Netherlands</t>
        </is>
      </c>
    </row>
    <row r="8422">
      <c r="A8422" t="inlineStr">
        <is>
          <t>Eurotank Amsterdam B.V.,  Amsterdam, Netherlands</t>
        </is>
      </c>
      <c r="B8422" t="inlineStr">
        <is>
          <t>Warehouse</t>
        </is>
      </c>
      <c r="C8422" t="inlineStr">
        <is>
          <t>DEKRA Certification B.V., Arnhem, NL</t>
        </is>
      </c>
      <c r="D8422" t="inlineStr">
        <is>
          <t>30.01.2027</t>
        </is>
      </c>
      <c r="E8422" t="inlineStr">
        <is>
          <t>Netherlands</t>
        </is>
      </c>
    </row>
    <row r="8423">
      <c r="A8423" t="inlineStr">
        <is>
          <t>Ineko,  Rīga, Latvia</t>
        </is>
      </c>
      <c r="B8423" t="inlineStr">
        <is>
          <t>Collecting Point, Trader</t>
        </is>
      </c>
      <c r="C8423" t="inlineStr">
        <is>
          <t>BM Certification, Riga, LV</t>
        </is>
      </c>
      <c r="D8423" t="inlineStr">
        <is>
          <t>30.01.2027</t>
        </is>
      </c>
      <c r="E8423" t="inlineStr">
        <is>
          <t>Latvia</t>
        </is>
      </c>
    </row>
    <row r="8424">
      <c r="A8424" t="inlineStr">
        <is>
          <t>TenCate Thiolon B.V.,  Nijverdal, Netherlands</t>
        </is>
      </c>
      <c r="B8424" t="inlineStr">
        <is>
          <t>Point of Origin, Processing Unit</t>
        </is>
      </c>
      <c r="C8424" t="inlineStr">
        <is>
          <t>DEKRA Certification B.V., Arnhem, NL</t>
        </is>
      </c>
      <c r="D8424" t="inlineStr">
        <is>
          <t>30.01.2027</t>
        </is>
      </c>
      <c r="E8424" t="inlineStr">
        <is>
          <t>Netherlands</t>
        </is>
      </c>
    </row>
    <row r="8425">
      <c r="A8425" t="inlineStr">
        <is>
          <t>Nestle Deutschland AG / Thomy Werk Neuss,  Neuss, Germany</t>
        </is>
      </c>
      <c r="B8425" t="inlineStr">
        <is>
          <t>Processing Unit, Final Product Refinement</t>
        </is>
      </c>
      <c r="C8425" t="inlineStr">
        <is>
          <t>SGS Germany GmbH, Emstek, DE</t>
        </is>
      </c>
      <c r="D8425" t="inlineStr">
        <is>
          <t>30.01.2027</t>
        </is>
      </c>
      <c r="E8425" t="inlineStr">
        <is>
          <t>Germany</t>
        </is>
      </c>
    </row>
    <row r="8426">
      <c r="A8426" t="inlineStr">
        <is>
          <t>Daiwabo Co., Ltd.,  Harima-cho, Kako-gun, Hyogo, Japan</t>
        </is>
      </c>
      <c r="B8426" t="inlineStr">
        <is>
          <t>Processing Unit</t>
        </is>
      </c>
      <c r="C8426" t="inlineStr">
        <is>
          <t>SGS Germany GmbH, Emstek, DE</t>
        </is>
      </c>
      <c r="D8426" t="inlineStr">
        <is>
          <t>30.01.2027</t>
        </is>
      </c>
      <c r="E8426" t="inlineStr">
        <is>
          <t>Japan</t>
        </is>
      </c>
    </row>
    <row r="8427">
      <c r="A8427" t="inlineStr">
        <is>
          <t>Nemera La Verpillière,  La Verpillière, France</t>
        </is>
      </c>
      <c r="B8427" t="inlineStr">
        <is>
          <t>Processing Unit, Trader with Storage</t>
        </is>
      </c>
      <c r="C8427" t="inlineStr">
        <is>
          <t>SGS Germany GmbH, Emstek, DE</t>
        </is>
      </c>
      <c r="D8427" t="inlineStr">
        <is>
          <t>30.01.2027</t>
        </is>
      </c>
      <c r="E8427" t="inlineStr">
        <is>
          <t>France</t>
        </is>
      </c>
    </row>
    <row r="8428">
      <c r="A8428" t="inlineStr">
        <is>
          <t>Hankook Renewables,  Pyeongtaek-si, South Korea</t>
        </is>
      </c>
      <c r="B8428" t="inlineStr">
        <is>
          <t>Collecting Point, Processing Unit</t>
        </is>
      </c>
      <c r="C8428" t="inlineStr">
        <is>
          <t>Korean Foundation for Quality, Songpa-gu, Seoul, KR</t>
        </is>
      </c>
      <c r="D8428" t="inlineStr">
        <is>
          <t>30.01.2027</t>
        </is>
      </c>
      <c r="E8428" t="inlineStr">
        <is>
          <t>South Korea</t>
        </is>
      </c>
    </row>
    <row r="8429">
      <c r="A8429" t="inlineStr">
        <is>
          <t>Keiz Inotec Co.,  Incheon, South Korea</t>
        </is>
      </c>
      <c r="B8429" t="inlineStr">
        <is>
          <t>Processing Unit</t>
        </is>
      </c>
      <c r="C8429" t="inlineStr">
        <is>
          <t>Korean Foundation for Quality, Songpa-gu, Seoul, KR</t>
        </is>
      </c>
      <c r="D8429" t="inlineStr">
        <is>
          <t>30.01.2027</t>
        </is>
      </c>
      <c r="E8429" t="inlineStr">
        <is>
          <t>South Korea</t>
        </is>
      </c>
    </row>
    <row r="8430">
      <c r="A8430" t="inlineStr">
        <is>
          <t>Energia Verde Strejesti SA,  Strejesti, Romania</t>
        </is>
      </c>
      <c r="B8430" t="inlineStr">
        <is>
          <t>Farm / Plantation, First Gathering Point, Processing Unit, Trader with Storage, Warehouse</t>
        </is>
      </c>
      <c r="C8430" t="inlineStr">
        <is>
          <t>RINA Services S.p.A., Genova, IT</t>
        </is>
      </c>
      <c r="D8430" t="inlineStr">
        <is>
          <t>30.01.2027</t>
        </is>
      </c>
      <c r="E8430" t="inlineStr">
        <is>
          <t>Romania</t>
        </is>
      </c>
    </row>
    <row r="8431">
      <c r="A8431" t="inlineStr">
        <is>
          <t>Nexeo Plastics Germany,  Stuttgart, Germany</t>
        </is>
      </c>
      <c r="B8431" t="inlineStr">
        <is>
          <t>Trader</t>
        </is>
      </c>
      <c r="C8431" t="inlineStr">
        <is>
          <t>Bureau Veritas Polska Sp. z o.o., Warsaw, PL</t>
        </is>
      </c>
      <c r="D8431" t="inlineStr">
        <is>
          <t>30.01.2027</t>
        </is>
      </c>
      <c r="E8431" t="inlineStr">
        <is>
          <t>Germany</t>
        </is>
      </c>
    </row>
    <row r="8432">
      <c r="A8432" t="inlineStr">
        <is>
          <t>Reciol Reciclagem de Oleos, LDA.,  Barcelos, Portugal</t>
        </is>
      </c>
      <c r="B8432" t="inlineStr">
        <is>
          <t>Collecting Point</t>
        </is>
      </c>
      <c r="C8432" t="inlineStr">
        <is>
          <t>Certificadora Gallega del Noroeste SL, Vilagarcia de Arousa-Pontevedra, ES</t>
        </is>
      </c>
      <c r="D8432" t="inlineStr">
        <is>
          <t>30.01.2027</t>
        </is>
      </c>
      <c r="E8432" t="inlineStr">
        <is>
          <t>Portugal</t>
        </is>
      </c>
    </row>
    <row r="8433">
      <c r="A8433" t="inlineStr">
        <is>
          <t>UAB SLR GROUP,  Kaunas, Lithuania</t>
        </is>
      </c>
      <c r="B8433" t="inlineStr">
        <is>
          <t>First Gathering Point, Trader with Storage</t>
        </is>
      </c>
      <c r="C8433" t="inlineStr">
        <is>
          <t>Bureau Veritas Polska Sp. z o.o., Warsaw, PL</t>
        </is>
      </c>
      <c r="D8433" t="inlineStr">
        <is>
          <t>30.01.2027</t>
        </is>
      </c>
      <c r="E8433" t="inlineStr">
        <is>
          <t>Lithuania</t>
        </is>
      </c>
    </row>
    <row r="8434">
      <c r="A8434" t="inlineStr">
        <is>
          <t>HERA SPA,  Bologna, Italy</t>
        </is>
      </c>
      <c r="B8434" t="inlineStr">
        <is>
          <t>Collecting Point, Trader</t>
        </is>
      </c>
      <c r="C8434" t="inlineStr">
        <is>
          <t>SGS Germany GmbH, Emstek, DE</t>
        </is>
      </c>
      <c r="D8434" t="inlineStr">
        <is>
          <t>30.01.2027</t>
        </is>
      </c>
      <c r="E8434" t="inlineStr">
        <is>
          <t>Italy</t>
        </is>
      </c>
    </row>
    <row r="8435">
      <c r="A8435" t="inlineStr">
        <is>
          <t>GROVEWORKS,  SUBANG JAYA, Malaysia</t>
        </is>
      </c>
      <c r="B8435" t="inlineStr">
        <is>
          <t>Collecting Point, Trader with Storage</t>
        </is>
      </c>
      <c r="C8435" t="inlineStr">
        <is>
          <t>SCS Global Services, Emeryville, CA, US</t>
        </is>
      </c>
      <c r="D8435" t="inlineStr">
        <is>
          <t>30.01.2027</t>
        </is>
      </c>
      <c r="E8435" t="inlineStr">
        <is>
          <t>Malaysia</t>
        </is>
      </c>
    </row>
    <row r="8436">
      <c r="A8436" t="inlineStr">
        <is>
          <t>AURA MARINE &amp; LOGISTICS SDN BHD,  ISKANDAR PUTRI, Malaysia</t>
        </is>
      </c>
      <c r="B8436" t="inlineStr">
        <is>
          <t>Collecting Point, Trader with Storage</t>
        </is>
      </c>
      <c r="C8436" t="inlineStr">
        <is>
          <t>SCS Global Services, Emeryville, CA, US</t>
        </is>
      </c>
      <c r="D8436" t="inlineStr">
        <is>
          <t>29.01.2027</t>
        </is>
      </c>
      <c r="E8436" t="inlineStr">
        <is>
          <t>Malaysia</t>
        </is>
      </c>
    </row>
    <row r="8437">
      <c r="A8437" t="inlineStr">
        <is>
          <t>Nokian Tyres Europe SRL,  Oradea, Romania</t>
        </is>
      </c>
      <c r="B8437" t="inlineStr">
        <is>
          <t>Processing Unit</t>
        </is>
      </c>
      <c r="C8437" t="inlineStr">
        <is>
          <t>DNV Business Assurance Sweden AB, Solna, SE</t>
        </is>
      </c>
      <c r="D8437" t="inlineStr">
        <is>
          <t>29.01.2027</t>
        </is>
      </c>
      <c r="E8437" t="inlineStr">
        <is>
          <t>Romania</t>
        </is>
      </c>
    </row>
    <row r="8438">
      <c r="A8438" t="inlineStr">
        <is>
          <t>RISE TECHNOLOGY DEVELOPMENT PTE.LTD.,  NANJING, China</t>
        </is>
      </c>
      <c r="B8438" t="inlineStr">
        <is>
          <t>Trader</t>
        </is>
      </c>
      <c r="C8438" t="inlineStr">
        <is>
          <t>RINA Services S.p.A., Genova, IT</t>
        </is>
      </c>
      <c r="D8438" t="inlineStr">
        <is>
          <t>29.01.2027</t>
        </is>
      </c>
      <c r="E8438" t="inlineStr">
        <is>
          <t>China</t>
        </is>
      </c>
    </row>
    <row r="8439">
      <c r="A8439" t="inlineStr">
        <is>
          <t>IMCD Italia S.p.A.,  Milano, Italy</t>
        </is>
      </c>
      <c r="B8439" t="inlineStr">
        <is>
          <t>Trader with Storage</t>
        </is>
      </c>
      <c r="C8439" t="inlineStr">
        <is>
          <t>TÜV NORD CERT GmbH, Essen, DE</t>
        </is>
      </c>
      <c r="D8439" t="inlineStr">
        <is>
          <t>29.01.2027</t>
        </is>
      </c>
      <c r="E8439" t="inlineStr">
        <is>
          <t>Italy</t>
        </is>
      </c>
    </row>
    <row r="8440">
      <c r="A8440" t="inlineStr">
        <is>
          <t>Inteplast Group,  Lolita, Texas, United States</t>
        </is>
      </c>
      <c r="B8440" t="inlineStr">
        <is>
          <t>Processing Unit</t>
        </is>
      </c>
      <c r="C8440" t="inlineStr">
        <is>
          <t>SCS Global Services, Emeryville, CA, US</t>
        </is>
      </c>
      <c r="D8440" t="inlineStr">
        <is>
          <t>29.01.2027</t>
        </is>
      </c>
      <c r="E8440" t="inlineStr">
        <is>
          <t>United States</t>
        </is>
      </c>
    </row>
    <row r="8441">
      <c r="A8441" t="inlineStr">
        <is>
          <t>Raiffeisen Agro Morava, spol.s.r.o.,  Vranovice, Czech Republic</t>
        </is>
      </c>
      <c r="B8441" t="inlineStr">
        <is>
          <t>First Gathering Point, Warehouse</t>
        </is>
      </c>
      <c r="C8441" t="inlineStr">
        <is>
          <t>TÜV SÜD Czech s.r.o., Praha 4, CZ</t>
        </is>
      </c>
      <c r="D8441" t="inlineStr">
        <is>
          <t>29.01.2027</t>
        </is>
      </c>
      <c r="E8441" t="inlineStr">
        <is>
          <t>Czech Republic</t>
        </is>
      </c>
    </row>
    <row r="8442">
      <c r="A8442" t="inlineStr">
        <is>
          <t>NESPALM LOGISTICS (M) SDN BHD,  PASIR GUDANG, JOHOR, Malaysia</t>
        </is>
      </c>
      <c r="B8442" t="inlineStr">
        <is>
          <t>Collecting Point, Trader with Storage</t>
        </is>
      </c>
      <c r="C8442" t="inlineStr">
        <is>
          <t>Trans Certification and Inspection Sdn Bhd, Kuantan, MY</t>
        </is>
      </c>
      <c r="D8442" t="inlineStr">
        <is>
          <t>29.01.2027</t>
        </is>
      </c>
      <c r="E8442" t="inlineStr">
        <is>
          <t>Malaysia</t>
        </is>
      </c>
    </row>
    <row r="8443">
      <c r="A8443" t="inlineStr">
        <is>
          <t>GUANGZHOU SUNNY INDUSTRIAL CO., LTD.,  Guangzhou, China</t>
        </is>
      </c>
      <c r="B8443" t="inlineStr">
        <is>
          <t>Processing Unit</t>
        </is>
      </c>
      <c r="C8443" t="inlineStr">
        <is>
          <t>SCS Global Services, Emeryville, CA, US</t>
        </is>
      </c>
      <c r="D8443" t="inlineStr">
        <is>
          <t>29.01.2027</t>
        </is>
      </c>
      <c r="E8443" t="inlineStr">
        <is>
          <t>China</t>
        </is>
      </c>
    </row>
    <row r="8444">
      <c r="A8444" t="inlineStr">
        <is>
          <t>Funing Jinyu Plastic Industry Co., Ltd.,  Yancheng City, Jiangsu Province, China</t>
        </is>
      </c>
      <c r="B8444" t="inlineStr">
        <is>
          <t>Point of Origin, Processing Unit</t>
        </is>
      </c>
      <c r="C8444" t="inlineStr">
        <is>
          <t>SCS Global Services, Emeryville, CA, US</t>
        </is>
      </c>
      <c r="D8444" t="inlineStr">
        <is>
          <t>29.01.2027</t>
        </is>
      </c>
      <c r="E8444" t="inlineStr">
        <is>
          <t>China</t>
        </is>
      </c>
    </row>
    <row r="8445">
      <c r="A8445" t="inlineStr">
        <is>
          <t>CASTONEL, s.r.o.,  Stropkov-Boksa, Slovakia</t>
        </is>
      </c>
      <c r="B8445" t="inlineStr">
        <is>
          <t>First Gathering Point, Trader</t>
        </is>
      </c>
      <c r="C8445" t="inlineStr">
        <is>
          <t>Bureau Veritas Polska Sp. z o.o., Warsaw, PL</t>
        </is>
      </c>
      <c r="D8445" t="inlineStr">
        <is>
          <t>29.01.2027</t>
        </is>
      </c>
      <c r="E8445" t="inlineStr">
        <is>
          <t>Slovakia</t>
        </is>
      </c>
    </row>
    <row r="8446">
      <c r="A8446" t="inlineStr">
        <is>
          <t>Isogran GmbH,  Plüderhausen, Germany</t>
        </is>
      </c>
      <c r="B8446" t="inlineStr">
        <is>
          <t>Trader with Storage</t>
        </is>
      </c>
      <c r="C8446" t="inlineStr">
        <is>
          <t>DQS CFS GmbH - Deutsche Gesellschaft für Nachhaltigkeit, Frankfurt am Main, DE</t>
        </is>
      </c>
      <c r="D8446" t="inlineStr">
        <is>
          <t>29.01.2027</t>
        </is>
      </c>
      <c r="E8446" t="inlineStr">
        <is>
          <t>Germany</t>
        </is>
      </c>
    </row>
    <row r="8447">
      <c r="A8447" t="inlineStr">
        <is>
          <t>ENERGE SWH s.r.o.,  Bratislava, Slovakia</t>
        </is>
      </c>
      <c r="B8447" t="inlineStr">
        <is>
          <t>Collecting Point, First Gathering Point, Trader</t>
        </is>
      </c>
      <c r="C8447" t="inlineStr">
        <is>
          <t>United Registrar of Systems Polska Sp. z o.o., Wrocław, PL</t>
        </is>
      </c>
      <c r="D8447" t="inlineStr">
        <is>
          <t>29.01.2027</t>
        </is>
      </c>
      <c r="E8447" t="inlineStr">
        <is>
          <t>Slovakia</t>
        </is>
      </c>
    </row>
    <row r="8448">
      <c r="A8448" t="inlineStr">
        <is>
          <t>THOR MARINE TRADING SL,  Barcelona, Spain</t>
        </is>
      </c>
      <c r="B8448" t="inlineStr">
        <is>
          <t>Trader</t>
        </is>
      </c>
      <c r="C8448" t="inlineStr">
        <is>
          <t>Bureau Veritas Polska Sp. z o.o., Warsaw, PL</t>
        </is>
      </c>
      <c r="D8448" t="inlineStr">
        <is>
          <t>29.01.2027</t>
        </is>
      </c>
      <c r="E8448" t="inlineStr">
        <is>
          <t>Spain</t>
        </is>
      </c>
    </row>
    <row r="8449">
      <c r="A8449" t="inlineStr">
        <is>
          <t>PETCO Trading (UK) Limited,  London, United Kingdom</t>
        </is>
      </c>
      <c r="B8449" t="inlineStr">
        <is>
          <t>Trader</t>
        </is>
      </c>
      <c r="C8449" t="inlineStr">
        <is>
          <t>SGS Germany GmbH, Emstek, DE</t>
        </is>
      </c>
      <c r="D8449" t="inlineStr">
        <is>
          <t>29.01.2027</t>
        </is>
      </c>
      <c r="E8449" t="inlineStr">
        <is>
          <t>United Kingdom</t>
        </is>
      </c>
    </row>
    <row r="8450">
      <c r="A8450" t="inlineStr">
        <is>
          <t>Dublin Products Ltd,  Dunlavin, Ireland</t>
        </is>
      </c>
      <c r="B8450" t="inlineStr">
        <is>
          <t>Point of Origin</t>
        </is>
      </c>
      <c r="C8450" t="inlineStr">
        <is>
          <t>ASG Cert GmbH, Munich, DE</t>
        </is>
      </c>
      <c r="D8450" t="inlineStr">
        <is>
          <t>29.01.2027</t>
        </is>
      </c>
      <c r="E8450" t="inlineStr">
        <is>
          <t>Ireland</t>
        </is>
      </c>
    </row>
    <row r="8451">
      <c r="A8451" t="inlineStr">
        <is>
          <t>Inland Empire Milling Co., Inc.,  St. John, Washington, United States</t>
        </is>
      </c>
      <c r="B8451" t="inlineStr">
        <is>
          <t>Trader</t>
        </is>
      </c>
      <c r="C8451" t="inlineStr">
        <is>
          <t>SGS Germany GmbH, Emstek, DE</t>
        </is>
      </c>
      <c r="D8451" t="inlineStr">
        <is>
          <t>29.01.2027</t>
        </is>
      </c>
      <c r="E8451" t="inlineStr">
        <is>
          <t>United States</t>
        </is>
      </c>
    </row>
    <row r="8452">
      <c r="A8452" t="inlineStr">
        <is>
          <t>Evonik Operations GmbH,  Essen, Germany</t>
        </is>
      </c>
      <c r="B8452" t="inlineStr">
        <is>
          <t>Processing Unit, Trader with Storage</t>
        </is>
      </c>
      <c r="C8452" t="inlineStr">
        <is>
          <t>DIN CERTCO GmbH, Berlin, DE</t>
        </is>
      </c>
      <c r="D8452" t="inlineStr">
        <is>
          <t>29.01.2027</t>
        </is>
      </c>
      <c r="E8452" t="inlineStr">
        <is>
          <t>Germany</t>
        </is>
      </c>
    </row>
    <row r="8453">
      <c r="A8453" t="inlineStr">
        <is>
          <t>Synthomer a.s.,  Sokolov, Czech Republic</t>
        </is>
      </c>
      <c r="B8453" t="inlineStr">
        <is>
          <t>Processing Unit</t>
        </is>
      </c>
      <c r="C8453" t="inlineStr">
        <is>
          <t>SGS Germany GmbH, Emstek, DE</t>
        </is>
      </c>
      <c r="D8453" t="inlineStr">
        <is>
          <t>29.01.2027</t>
        </is>
      </c>
      <c r="E8453" t="inlineStr">
        <is>
          <t>Czech Republic</t>
        </is>
      </c>
    </row>
    <row r="8454">
      <c r="A8454" t="inlineStr">
        <is>
          <t>Felcra Jaya Samarahan,  Kota Samarahan, Malaysia</t>
        </is>
      </c>
      <c r="B8454" t="inlineStr">
        <is>
          <t>Point of Origin</t>
        </is>
      </c>
      <c r="C8454" t="inlineStr">
        <is>
          <t>PT. Qualitas Sertifikasi Indonesia, Jakarta, ID</t>
        </is>
      </c>
      <c r="D8454" t="inlineStr">
        <is>
          <t>29.01.2027</t>
        </is>
      </c>
      <c r="E8454" t="inlineStr">
        <is>
          <t>Malaysia</t>
        </is>
      </c>
    </row>
    <row r="8455">
      <c r="A8455" t="inlineStr">
        <is>
          <t>Felcra Jaya Samarahan,  Kota Samarahan, Malaysia</t>
        </is>
      </c>
      <c r="B8455" t="inlineStr">
        <is>
          <t>Point of Origin</t>
        </is>
      </c>
      <c r="C8455" t="inlineStr">
        <is>
          <t>PT. Qualitas Sertifikasi Indonesia, Jakarta, ID</t>
        </is>
      </c>
      <c r="D8455" t="inlineStr">
        <is>
          <t>29.01.2027</t>
        </is>
      </c>
      <c r="E8455" t="inlineStr">
        <is>
          <t>Malaysia</t>
        </is>
      </c>
    </row>
    <row r="8456">
      <c r="A8456" t="inlineStr">
        <is>
          <t>Organik Kimya Netherlands B.V.,  Rotterdam - Botlek, Netherlands</t>
        </is>
      </c>
      <c r="B8456" t="inlineStr">
        <is>
          <t>Processing Unit</t>
        </is>
      </c>
      <c r="C8456" t="inlineStr">
        <is>
          <t>Bureau Veritas Polska Sp. z o.o., Warsaw, PL</t>
        </is>
      </c>
      <c r="D8456" t="inlineStr">
        <is>
          <t>29.01.2027</t>
        </is>
      </c>
      <c r="E8456" t="inlineStr">
        <is>
          <t>Netherlands</t>
        </is>
      </c>
    </row>
    <row r="8457">
      <c r="A8457" t="inlineStr">
        <is>
          <t>AGROEDEN COOPERATIVA AGRICOLA,  SAT ODOBEASCA, LOC.DRACSENEI, Romania</t>
        </is>
      </c>
      <c r="B8457" t="inlineStr">
        <is>
          <t>First Gathering Point</t>
        </is>
      </c>
      <c r="C8457" t="inlineStr">
        <is>
          <t>BM Certification, Riga, LV</t>
        </is>
      </c>
      <c r="D8457" t="inlineStr">
        <is>
          <t>29.01.2027</t>
        </is>
      </c>
      <c r="E8457" t="inlineStr">
        <is>
          <t>Romania</t>
        </is>
      </c>
    </row>
    <row r="8458">
      <c r="A8458" t="inlineStr">
        <is>
          <t>Shang Gao Yisen Industry Co., Ltd.,  Yichun City, China</t>
        </is>
      </c>
      <c r="B8458" t="inlineStr">
        <is>
          <t>Final Product Refinement, Processing Unit</t>
        </is>
      </c>
      <c r="C8458" t="inlineStr">
        <is>
          <t>CTI Certification Co. Ltd, Shenzhen, CN</t>
        </is>
      </c>
      <c r="D8458" t="inlineStr">
        <is>
          <t>29.01.2027</t>
        </is>
      </c>
      <c r="E8458" t="inlineStr">
        <is>
          <t>China</t>
        </is>
      </c>
    </row>
    <row r="8459">
      <c r="A8459" t="inlineStr">
        <is>
          <t>Csákvári-Szántóvető Termelői Csoport Mezőgazdasági Szövetkezet,  Csákvár, Hungary</t>
        </is>
      </c>
      <c r="B8459" t="inlineStr">
        <is>
          <t>First Gathering Point</t>
        </is>
      </c>
      <c r="C8459" t="inlineStr">
        <is>
          <t>Certificadora Gallega del Noroeste SL, Vilagarcia de Arousa-Pontevedra, ES</t>
        </is>
      </c>
      <c r="D8459" t="inlineStr">
        <is>
          <t>29.01.2027</t>
        </is>
      </c>
      <c r="E8459" t="inlineStr">
        <is>
          <t>Hungary</t>
        </is>
      </c>
    </row>
    <row r="8460">
      <c r="A8460" t="inlineStr">
        <is>
          <t>PENTHOL SA,  Geneva, Switzerland</t>
        </is>
      </c>
      <c r="B8460" t="inlineStr">
        <is>
          <t>Trader</t>
        </is>
      </c>
      <c r="C8460" t="inlineStr">
        <is>
          <t>Certificadora Gallega del Noroeste SL, Vilagarcia de Arousa-Pontevedra, ES</t>
        </is>
      </c>
      <c r="D8460" t="inlineStr">
        <is>
          <t>29.01.2027</t>
        </is>
      </c>
      <c r="E8460" t="inlineStr">
        <is>
          <t>Switzerland</t>
        </is>
      </c>
    </row>
    <row r="8461">
      <c r="A8461" t="inlineStr">
        <is>
          <t>Costerplast,  Caldonazzo, Italy</t>
        </is>
      </c>
      <c r="B8461" t="inlineStr">
        <is>
          <t>Processing Unit</t>
        </is>
      </c>
      <c r="C8461" t="inlineStr">
        <is>
          <t>PT Intertek Utama Services, Jakarta, ID</t>
        </is>
      </c>
      <c r="D8461" t="inlineStr">
        <is>
          <t>29.01.2027</t>
        </is>
      </c>
      <c r="E8461" t="inlineStr">
        <is>
          <t>Italy</t>
        </is>
      </c>
    </row>
    <row r="8462">
      <c r="A8462" t="inlineStr">
        <is>
          <t>Immer Inc Pte Ltd,  Singapore, Singapore</t>
        </is>
      </c>
      <c r="B8462" t="inlineStr">
        <is>
          <t>Trader</t>
        </is>
      </c>
      <c r="C8462" t="inlineStr">
        <is>
          <t>SGS Germany GmbH, Emstek, DE</t>
        </is>
      </c>
      <c r="D8462" t="inlineStr">
        <is>
          <t>29.01.2027</t>
        </is>
      </c>
      <c r="E8462" t="inlineStr">
        <is>
          <t>Singapore</t>
        </is>
      </c>
    </row>
    <row r="8463">
      <c r="A8463" t="inlineStr">
        <is>
          <t>IMEXAGRO,  Falesti, Rautel, Moldova</t>
        </is>
      </c>
      <c r="B8463" t="inlineStr">
        <is>
          <t>First Gathering Point, Trader with Storage</t>
        </is>
      </c>
      <c r="C8463" t="inlineStr">
        <is>
          <t>SGS Germany GmbH, Emstek, DE</t>
        </is>
      </c>
      <c r="D8463" t="inlineStr">
        <is>
          <t>29.01.2027</t>
        </is>
      </c>
      <c r="E8463" t="inlineStr">
        <is>
          <t>Moldova</t>
        </is>
      </c>
    </row>
    <row r="8464">
      <c r="A8464" t="inlineStr">
        <is>
          <t>Blue Stone Energy Private Limited,  Kheda, India</t>
        </is>
      </c>
      <c r="B8464" t="inlineStr">
        <is>
          <t>Collecting Point, Processing Unit, Trader with Storage</t>
        </is>
      </c>
      <c r="C8464" t="inlineStr">
        <is>
          <t>Cotecna India Inspection Pvt Ltd, Kolkata, IN</t>
        </is>
      </c>
      <c r="D8464" t="inlineStr">
        <is>
          <t>29.01.2027</t>
        </is>
      </c>
      <c r="E8464" t="inlineStr">
        <is>
          <t>India</t>
        </is>
      </c>
    </row>
    <row r="8465">
      <c r="A8465" t="inlineStr">
        <is>
          <t>Interxion France,  La Courneuve, France</t>
        </is>
      </c>
      <c r="B8465" t="inlineStr">
        <is>
          <t>Processing Unit</t>
        </is>
      </c>
      <c r="C8465" t="inlineStr">
        <is>
          <t>Control Union Certifications Germany GmbH, Berlin, DE</t>
        </is>
      </c>
      <c r="D8465" t="inlineStr">
        <is>
          <t>29.01.2027</t>
        </is>
      </c>
      <c r="E8465" t="inlineStr">
        <is>
          <t>France</t>
        </is>
      </c>
    </row>
    <row r="8466">
      <c r="A8466" t="inlineStr">
        <is>
          <t>Ercros, S.A.,  Vila-seca, Spain</t>
        </is>
      </c>
      <c r="B8466" t="inlineStr">
        <is>
          <t>Processing Unit</t>
        </is>
      </c>
      <c r="C8466" t="inlineStr">
        <is>
          <t>SGS Germany GmbH, Emstek, DE</t>
        </is>
      </c>
      <c r="D8466" t="inlineStr">
        <is>
          <t>29.01.2027</t>
        </is>
      </c>
      <c r="E8466" t="inlineStr">
        <is>
          <t>Spain</t>
        </is>
      </c>
    </row>
    <row r="8467">
      <c r="A8467" t="inlineStr">
        <is>
          <t>SCAME BULGARIA EOOD,  Gotse Delchev, Bulgaria</t>
        </is>
      </c>
      <c r="B8467" t="inlineStr">
        <is>
          <t>Processing Unit</t>
        </is>
      </c>
      <c r="C8467" t="inlineStr">
        <is>
          <t>PT Intertek Utama Services, Jakarta, ID</t>
        </is>
      </c>
      <c r="D8467" t="inlineStr">
        <is>
          <t>29.01.2027</t>
        </is>
      </c>
      <c r="E8467" t="inlineStr">
        <is>
          <t>Bulgaria</t>
        </is>
      </c>
    </row>
    <row r="8468">
      <c r="A8468" t="inlineStr">
        <is>
          <t>INTEREUROPA d.d.,  Logatec, Slovenia</t>
        </is>
      </c>
      <c r="B8468" t="inlineStr">
        <is>
          <t>Warehouse</t>
        </is>
      </c>
      <c r="C8468" t="inlineStr">
        <is>
          <t>PT Intertek Utama Services, Jakarta, ID</t>
        </is>
      </c>
      <c r="D8468" t="inlineStr">
        <is>
          <t>29.01.2027</t>
        </is>
      </c>
      <c r="E8468" t="inlineStr">
        <is>
          <t>Slovenia</t>
        </is>
      </c>
    </row>
    <row r="8469">
      <c r="A8469" t="inlineStr">
        <is>
          <t>Renova,  Timbues, Argentina</t>
        </is>
      </c>
      <c r="B8469" t="inlineStr">
        <is>
          <t>Processing Unit</t>
        </is>
      </c>
      <c r="C8469" t="inlineStr">
        <is>
          <t>Control Union Poland Sp. z o.o., Zielona Gora, PL</t>
        </is>
      </c>
      <c r="D8469" t="inlineStr">
        <is>
          <t>29.01.2027</t>
        </is>
      </c>
      <c r="E8469" t="inlineStr">
        <is>
          <t>Argentina</t>
        </is>
      </c>
    </row>
    <row r="8470">
      <c r="A8470" t="inlineStr">
        <is>
          <t>Vale Green Energy,  Fladbury, United Kingdom</t>
        </is>
      </c>
      <c r="B8470" t="inlineStr">
        <is>
          <t>First Gathering Point, Processing Unit</t>
        </is>
      </c>
      <c r="C8470" t="inlineStr">
        <is>
          <t>Aardvark Certification Ltd, Wiveliscombe, Somerset, GB</t>
        </is>
      </c>
      <c r="D8470" t="inlineStr">
        <is>
          <t>29.01.2027</t>
        </is>
      </c>
      <c r="E8470" t="inlineStr">
        <is>
          <t>United Kingdom</t>
        </is>
      </c>
    </row>
    <row r="8471">
      <c r="A8471" t="inlineStr">
        <is>
          <t>Harima M.I.D. ,INC.,  Kakogawa, Hyogo, Japan</t>
        </is>
      </c>
      <c r="B8471" t="inlineStr">
        <is>
          <t>Processing Unit</t>
        </is>
      </c>
      <c r="C8471" t="inlineStr">
        <is>
          <t>SCS Global Services, Emeryville, CA, US</t>
        </is>
      </c>
      <c r="D8471" t="inlineStr">
        <is>
          <t>29.01.2027</t>
        </is>
      </c>
      <c r="E8471" t="inlineStr">
        <is>
          <t>Japan</t>
        </is>
      </c>
    </row>
    <row r="8472">
      <c r="A8472" t="inlineStr">
        <is>
          <t>MSO Renewables,  Lugano, Switzerland</t>
        </is>
      </c>
      <c r="B8472" t="inlineStr">
        <is>
          <t>Trader</t>
        </is>
      </c>
      <c r="C8472" t="inlineStr">
        <is>
          <t>RINA Services S.p.A., Genova, IT</t>
        </is>
      </c>
      <c r="D8472" t="inlineStr">
        <is>
          <t>29.01.2027</t>
        </is>
      </c>
      <c r="E8472" t="inlineStr">
        <is>
          <t>Switzerland</t>
        </is>
      </c>
    </row>
    <row r="8473">
      <c r="A8473" t="inlineStr">
        <is>
          <t>Harima M.I.D. ,INC.,  Kakogawa, Hyogo, Japan</t>
        </is>
      </c>
      <c r="B8473" t="inlineStr">
        <is>
          <t>Processing Unit</t>
        </is>
      </c>
      <c r="C8473" t="inlineStr">
        <is>
          <t>SCS Global Services, Emeryville, CA, US</t>
        </is>
      </c>
      <c r="D8473" t="inlineStr">
        <is>
          <t>29.01.2027</t>
        </is>
      </c>
      <c r="E8473" t="inlineStr">
        <is>
          <t>Japan</t>
        </is>
      </c>
    </row>
    <row r="8474">
      <c r="A8474" t="inlineStr">
        <is>
          <t>HARIMA CHEMICALS., INC.,  Kakogawa, Hyogo, Japan</t>
        </is>
      </c>
      <c r="B8474" t="inlineStr">
        <is>
          <t>Processing Unit, Trader with Storage</t>
        </is>
      </c>
      <c r="C8474" t="inlineStr">
        <is>
          <t>SCS Global Services, Emeryville, CA, US</t>
        </is>
      </c>
      <c r="D8474" t="inlineStr">
        <is>
          <t>29.01.2027</t>
        </is>
      </c>
      <c r="E8474" t="inlineStr">
        <is>
          <t>Japan</t>
        </is>
      </c>
    </row>
    <row r="8475">
      <c r="A8475" t="inlineStr">
        <is>
          <t>HARIMA CHEMICALS., INC.,  Kakogawa, Hyogo, Japan</t>
        </is>
      </c>
      <c r="B8475" t="inlineStr">
        <is>
          <t>Trader with Storage</t>
        </is>
      </c>
      <c r="C8475" t="inlineStr">
        <is>
          <t>SCS Global Services, Emeryville, CA, US</t>
        </is>
      </c>
      <c r="D8475" t="inlineStr">
        <is>
          <t>29.01.2027</t>
        </is>
      </c>
      <c r="E8475" t="inlineStr">
        <is>
          <t>Japan</t>
        </is>
      </c>
    </row>
    <row r="8476">
      <c r="A8476" t="inlineStr">
        <is>
          <t>R.A.M Oil Cyprus Limited,  Nicosia, Cyprus</t>
        </is>
      </c>
      <c r="B8476" t="inlineStr">
        <is>
          <t>Proof of Compliance Trader, Trader with Storage</t>
        </is>
      </c>
      <c r="C8476" t="inlineStr">
        <is>
          <t>Eurocert SA, Metamorfosi, Athens, GR</t>
        </is>
      </c>
      <c r="D8476" t="inlineStr">
        <is>
          <t>29.01.2027</t>
        </is>
      </c>
      <c r="E8476" t="inlineStr">
        <is>
          <t>Cyprus</t>
        </is>
      </c>
    </row>
    <row r="8477">
      <c r="A8477" t="inlineStr">
        <is>
          <t>RMBayquen Used Cooking Oil Trading,  Novaliches, Philippines</t>
        </is>
      </c>
      <c r="B8477" t="inlineStr">
        <is>
          <t>Collecting Point, Trader with Storage</t>
        </is>
      </c>
      <c r="C8477" t="inlineStr">
        <is>
          <t>PT Mutuagung Lestari, Depok, ID</t>
        </is>
      </c>
      <c r="D8477" t="inlineStr">
        <is>
          <t>29.01.2027</t>
        </is>
      </c>
      <c r="E8477" t="inlineStr">
        <is>
          <t>Philippines</t>
        </is>
      </c>
    </row>
    <row r="8478">
      <c r="A8478" t="inlineStr">
        <is>
          <t>Euromos Ltd,  London, United Kingdom</t>
        </is>
      </c>
      <c r="B8478" t="inlineStr">
        <is>
          <t>Collecting Point, Trader with Storage</t>
        </is>
      </c>
      <c r="C8478" t="inlineStr">
        <is>
          <t>SGS Germany GmbH, Emstek, DE</t>
        </is>
      </c>
      <c r="D8478" t="inlineStr">
        <is>
          <t>29.01.2027</t>
        </is>
      </c>
      <c r="E8478" t="inlineStr">
        <is>
          <t>United Kingdom</t>
        </is>
      </c>
    </row>
    <row r="8479">
      <c r="A8479" t="inlineStr">
        <is>
          <t>Global Oils &amp; Biofuels,  REUS, Spain</t>
        </is>
      </c>
      <c r="B8479" t="inlineStr">
        <is>
          <t>Trader</t>
        </is>
      </c>
      <c r="C8479" t="inlineStr">
        <is>
          <t>RINA Services S.p.A., Genova, IT</t>
        </is>
      </c>
      <c r="D8479" t="inlineStr">
        <is>
          <t>29.01.2027</t>
        </is>
      </c>
      <c r="E8479" t="inlineStr">
        <is>
          <t>Spain</t>
        </is>
      </c>
    </row>
    <row r="8480">
      <c r="A8480" t="inlineStr">
        <is>
          <t>Global Oils &amp; Biofuels,  REUS, Spain</t>
        </is>
      </c>
      <c r="B8480" t="inlineStr">
        <is>
          <t>Trader</t>
        </is>
      </c>
      <c r="C8480" t="inlineStr">
        <is>
          <t>RINA Services S.p.A., Genova, IT</t>
        </is>
      </c>
      <c r="D8480" t="inlineStr">
        <is>
          <t>29.01.2027</t>
        </is>
      </c>
      <c r="E8480" t="inlineStr">
        <is>
          <t>Spain</t>
        </is>
      </c>
    </row>
    <row r="8481">
      <c r="A8481" t="inlineStr">
        <is>
          <t>Parcul de Autobuze si Taximetre nr.9,  Briceni, Moldova</t>
        </is>
      </c>
      <c r="B8481" t="inlineStr">
        <is>
          <t>Trader</t>
        </is>
      </c>
      <c r="C8481" t="inlineStr">
        <is>
          <t>SGS Germany GmbH, Emstek, DE</t>
        </is>
      </c>
      <c r="D8481" t="inlineStr">
        <is>
          <t>29.01.2027</t>
        </is>
      </c>
      <c r="E8481" t="inlineStr">
        <is>
          <t>Moldova</t>
        </is>
      </c>
    </row>
    <row r="8482">
      <c r="A8482" t="inlineStr">
        <is>
          <t>I.L.S.O. Industria Lavorazione Sostanze Oleaginose S.r.l.,  Ribera, Italy</t>
        </is>
      </c>
      <c r="B8482" t="inlineStr">
        <is>
          <t>Point of Origin</t>
        </is>
      </c>
      <c r="C8482" t="inlineStr">
        <is>
          <t>RINA Services S.p.A., Genova, IT</t>
        </is>
      </c>
      <c r="D8482" t="inlineStr">
        <is>
          <t>29.01.2027</t>
        </is>
      </c>
      <c r="E8482" t="inlineStr">
        <is>
          <t>Italy</t>
        </is>
      </c>
    </row>
    <row r="8483">
      <c r="A8483" t="inlineStr">
        <is>
          <t>Ecology Logistics Malta,  Marsa, Malta</t>
        </is>
      </c>
      <c r="B8483" t="inlineStr">
        <is>
          <t>Collecting Point</t>
        </is>
      </c>
      <c r="C8483" t="inlineStr">
        <is>
          <t>SGS Germany GmbH, Emstek, DE</t>
        </is>
      </c>
      <c r="D8483" t="inlineStr">
        <is>
          <t>29.01.2027</t>
        </is>
      </c>
      <c r="E8483" t="inlineStr">
        <is>
          <t>Malta</t>
        </is>
      </c>
    </row>
    <row r="8484">
      <c r="A8484" t="inlineStr">
        <is>
          <t>CASA OLEARIA ITALIANA S.P.A.,  Monopoli, Italy</t>
        </is>
      </c>
      <c r="B8484" t="inlineStr">
        <is>
          <t>Point of Origin, Trader with Storage, Warehouse</t>
        </is>
      </c>
      <c r="C8484" t="inlineStr">
        <is>
          <t>RINA Services S.p.A., Genova, IT</t>
        </is>
      </c>
      <c r="D8484" t="inlineStr">
        <is>
          <t>29.01.2027</t>
        </is>
      </c>
      <c r="E8484" t="inlineStr">
        <is>
          <t>Italy</t>
        </is>
      </c>
    </row>
    <row r="8485">
      <c r="A8485" t="inlineStr">
        <is>
          <t>ETNL,  Haisyn, Ukraine</t>
        </is>
      </c>
      <c r="B8485" t="inlineStr">
        <is>
          <t>Collecting Point, First Gathering Point, Point of Origin, Trader with Storage, Processing Unit</t>
        </is>
      </c>
      <c r="C8485" t="inlineStr">
        <is>
          <t>BM Certification, Riga, LV</t>
        </is>
      </c>
      <c r="D8485" t="inlineStr">
        <is>
          <t>28.01.2027</t>
        </is>
      </c>
      <c r="E8485" t="inlineStr">
        <is>
          <t>Ukraine</t>
        </is>
      </c>
    </row>
    <row r="8486">
      <c r="A8486" t="inlineStr">
        <is>
          <t>Ecología Quimica SAU,  Gualba, Spain</t>
        </is>
      </c>
      <c r="B8486" t="inlineStr">
        <is>
          <t>Processing Unit</t>
        </is>
      </c>
      <c r="C8486" t="inlineStr">
        <is>
          <t>Control Union Poland Sp. z o.o., Zielona Gora, PL</t>
        </is>
      </c>
      <c r="D8486" t="inlineStr">
        <is>
          <t>28.01.2027</t>
        </is>
      </c>
      <c r="E8486" t="inlineStr">
        <is>
          <t>Spain</t>
        </is>
      </c>
    </row>
    <row r="8487">
      <c r="A8487" t="inlineStr">
        <is>
          <t>VIROQUE ENERGY SL,  MADRID, Spain</t>
        </is>
      </c>
      <c r="B8487" t="inlineStr">
        <is>
          <t>Trader with Storage</t>
        </is>
      </c>
      <c r="C8487" t="inlineStr">
        <is>
          <t>Certificadora Gallega del Noroeste SL, Vilagarcia de Arousa-Pontevedra, ES</t>
        </is>
      </c>
      <c r="D8487" t="inlineStr">
        <is>
          <t>28.01.2027</t>
        </is>
      </c>
      <c r="E8487" t="inlineStr">
        <is>
          <t>Spain</t>
        </is>
      </c>
    </row>
    <row r="8488">
      <c r="A8488" t="inlineStr">
        <is>
          <t>AVI COOP Soc. Cooperativa Agricola,  Cesena, Italy</t>
        </is>
      </c>
      <c r="B8488" t="inlineStr">
        <is>
          <t>Point of Origin</t>
        </is>
      </c>
      <c r="C8488" t="inlineStr">
        <is>
          <t>ICIM SpA, sesto san giovanni, IT</t>
        </is>
      </c>
      <c r="D8488" t="inlineStr">
        <is>
          <t>28.01.2027</t>
        </is>
      </c>
      <c r="E8488" t="inlineStr">
        <is>
          <t>Italy</t>
        </is>
      </c>
    </row>
    <row r="8489">
      <c r="A8489" t="inlineStr">
        <is>
          <t>Blue Energy Partners AS,  Lysaker, Norway</t>
        </is>
      </c>
      <c r="B8489" t="inlineStr">
        <is>
          <t>Trader</t>
        </is>
      </c>
      <c r="C8489" t="inlineStr">
        <is>
          <t>Baltic Control Certification, Risskov, DK</t>
        </is>
      </c>
      <c r="D8489" t="inlineStr">
        <is>
          <t>28.01.2027</t>
        </is>
      </c>
      <c r="E8489" t="inlineStr">
        <is>
          <t>Norway</t>
        </is>
      </c>
    </row>
    <row r="8490">
      <c r="A8490" t="inlineStr">
        <is>
          <t>Green Bio Fuels,  Ecatepec de Morelos, Mexico</t>
        </is>
      </c>
      <c r="B8490" t="inlineStr">
        <is>
          <t>Collecting Point, Trader with Storage</t>
        </is>
      </c>
      <c r="C8490" t="inlineStr">
        <is>
          <t>Amspec Iberia SL, Vilagarcia de Arousa-Pontevedra, ES</t>
        </is>
      </c>
      <c r="D8490" t="inlineStr">
        <is>
          <t>28.01.2027</t>
        </is>
      </c>
      <c r="E8490" t="inlineStr">
        <is>
          <t>Mexico</t>
        </is>
      </c>
    </row>
    <row r="8491">
      <c r="A8491" t="inlineStr">
        <is>
          <t>Cian d.o.o.,  Split, Croatia</t>
        </is>
      </c>
      <c r="B8491" t="inlineStr">
        <is>
          <t>Collecting Point</t>
        </is>
      </c>
      <c r="C8491" t="inlineStr">
        <is>
          <t>Bureau Veritas Polska Sp. z o.o., Warsaw, PL</t>
        </is>
      </c>
      <c r="D8491" t="inlineStr">
        <is>
          <t>28.01.2027</t>
        </is>
      </c>
      <c r="E8491" t="inlineStr">
        <is>
          <t>Croatia</t>
        </is>
      </c>
    </row>
    <row r="8492">
      <c r="A8492" t="inlineStr">
        <is>
          <t>Mitsui Chemicals, Inc. Omuta Works,  Omuta, Fukuoka, Japan</t>
        </is>
      </c>
      <c r="B8492" t="inlineStr">
        <is>
          <t>Processing Unit, Warehouse</t>
        </is>
      </c>
      <c r="C8492" t="inlineStr">
        <is>
          <t>SGS Germany GmbH, Emstek, DE</t>
        </is>
      </c>
      <c r="D8492" t="inlineStr">
        <is>
          <t>28.01.2027</t>
        </is>
      </c>
      <c r="E8492" t="inlineStr">
        <is>
          <t>Japan</t>
        </is>
      </c>
    </row>
    <row r="8493">
      <c r="A8493" t="inlineStr">
        <is>
          <t>Shandong Sanju Bioenergy Co.,Ltd,  Rizhao City，Shandong Province, China, China</t>
        </is>
      </c>
      <c r="B8493" t="inlineStr">
        <is>
          <t>Processing Unit, Trader with Storage</t>
        </is>
      </c>
      <c r="C8493" t="inlineStr">
        <is>
          <t>TÜV NORD CERT GmbH, Essen, DE</t>
        </is>
      </c>
      <c r="D8493" t="inlineStr">
        <is>
          <t>28.01.2027</t>
        </is>
      </c>
      <c r="E8493" t="inlineStr">
        <is>
          <t>China</t>
        </is>
      </c>
    </row>
    <row r="8494">
      <c r="A8494" t="inlineStr">
        <is>
          <t>Zhangping Litai Renewable Resources Co., Ltd.,  Zhangping City, Fujian Province,china, China</t>
        </is>
      </c>
      <c r="B8494" t="inlineStr">
        <is>
          <t>Processing Unit</t>
        </is>
      </c>
      <c r="C8494" t="inlineStr">
        <is>
          <t>RINA Services S.p.A., Genova, IT</t>
        </is>
      </c>
      <c r="D8494" t="inlineStr">
        <is>
          <t>28.01.2027</t>
        </is>
      </c>
      <c r="E8494" t="inlineStr">
        <is>
          <t>China</t>
        </is>
      </c>
    </row>
    <row r="8495">
      <c r="A8495" t="inlineStr">
        <is>
          <t>Digital Les Ulis,  Les Ulis, France</t>
        </is>
      </c>
      <c r="B8495" t="inlineStr">
        <is>
          <t>Processing Unit</t>
        </is>
      </c>
      <c r="C8495" t="inlineStr">
        <is>
          <t>Control Union Certifications Germany GmbH, Berlin, DE</t>
        </is>
      </c>
      <c r="D8495" t="inlineStr">
        <is>
          <t>28.01.2027</t>
        </is>
      </c>
      <c r="E8495" t="inlineStr">
        <is>
          <t>France</t>
        </is>
      </c>
    </row>
    <row r="8496">
      <c r="A8496" t="inlineStr">
        <is>
          <t>Zhuji City Longchuang Rubber Products Factory,  Zhuji City, Shaoxing, Zhejiang Province, China</t>
        </is>
      </c>
      <c r="B8496" t="inlineStr">
        <is>
          <t>Collecting Point</t>
        </is>
      </c>
      <c r="C8496" t="inlineStr">
        <is>
          <t>RINA Services S.p.A., Genova, IT</t>
        </is>
      </c>
      <c r="D8496" t="inlineStr">
        <is>
          <t>28.01.2027</t>
        </is>
      </c>
      <c r="E8496" t="inlineStr">
        <is>
          <t>China</t>
        </is>
      </c>
    </row>
    <row r="8497">
      <c r="A8497" t="inlineStr">
        <is>
          <t>Longyan Hongfu Technology Co., Ltd.,  Longyan City,Fujian Province, China</t>
        </is>
      </c>
      <c r="B8497" t="inlineStr">
        <is>
          <t>Processing Unit</t>
        </is>
      </c>
      <c r="C8497" t="inlineStr">
        <is>
          <t>RINA Services S.p.A., Genova, IT</t>
        </is>
      </c>
      <c r="D8497" t="inlineStr">
        <is>
          <t>28.01.2027</t>
        </is>
      </c>
      <c r="E8497" t="inlineStr">
        <is>
          <t>China</t>
        </is>
      </c>
    </row>
    <row r="8498">
      <c r="A8498" t="inlineStr">
        <is>
          <t>Ion Exchange (India) Ltd.,  Ankleshwar, Bharuch, India</t>
        </is>
      </c>
      <c r="B8498" t="inlineStr">
        <is>
          <t>Collecting Point, Processing Unit</t>
        </is>
      </c>
      <c r="C8498" t="inlineStr">
        <is>
          <t>Alcumus ISOQAR Ltd, Stretford, Manchester, GB</t>
        </is>
      </c>
      <c r="D8498" t="inlineStr">
        <is>
          <t>28.01.2027</t>
        </is>
      </c>
      <c r="E8498" t="inlineStr">
        <is>
          <t>India</t>
        </is>
      </c>
    </row>
    <row r="8499">
      <c r="A8499" t="inlineStr">
        <is>
          <t>Tianjin Bihai Environmental Protection Technology Consulting Service Co.,Ltd,  Tianjin, China</t>
        </is>
      </c>
      <c r="B8499" t="inlineStr">
        <is>
          <t>Collecting Point, Processing Unit</t>
        </is>
      </c>
      <c r="C8499" t="inlineStr">
        <is>
          <t>RINA Services S.p.A., Genova, IT</t>
        </is>
      </c>
      <c r="D8499" t="inlineStr">
        <is>
          <t>28.01.2027</t>
        </is>
      </c>
      <c r="E8499" t="inlineStr">
        <is>
          <t>China</t>
        </is>
      </c>
    </row>
    <row r="8500">
      <c r="A8500" t="inlineStr">
        <is>
          <t>Agrifirm named after Dovzhenko,  Settlement of Yareski, Poltava Region, Ukraine</t>
        </is>
      </c>
      <c r="B8500" t="inlineStr">
        <is>
          <t>Farm / Plantation, Trader with Storage</t>
        </is>
      </c>
      <c r="C8500" t="inlineStr">
        <is>
          <t>SGS Germany GmbH, Emstek, DE</t>
        </is>
      </c>
      <c r="D8500" t="inlineStr">
        <is>
          <t>28.01.2027</t>
        </is>
      </c>
      <c r="E8500" t="inlineStr">
        <is>
          <t>Ukraine</t>
        </is>
      </c>
    </row>
    <row r="8501">
      <c r="A8501" t="inlineStr">
        <is>
          <t>Inter Genesis Sdn Bhd,  Skudai, Johor, Malaysia</t>
        </is>
      </c>
      <c r="B8501" t="inlineStr">
        <is>
          <t>Trader with Storage</t>
        </is>
      </c>
      <c r="C8501" t="inlineStr">
        <is>
          <t>PT Mutuagung Lestari, Depok, ID</t>
        </is>
      </c>
      <c r="D8501" t="inlineStr">
        <is>
          <t>28.01.2027</t>
        </is>
      </c>
      <c r="E8501" t="inlineStr">
        <is>
          <t>Malaysia</t>
        </is>
      </c>
    </row>
    <row r="8502">
      <c r="A8502" t="inlineStr">
        <is>
          <t>Interxion France,  La Courneuve, France</t>
        </is>
      </c>
      <c r="B8502" t="inlineStr">
        <is>
          <t>Processing Unit</t>
        </is>
      </c>
      <c r="C8502" t="inlineStr">
        <is>
          <t>Control Union Certifications Germany GmbH, Berlin, DE</t>
        </is>
      </c>
      <c r="D8502" t="inlineStr">
        <is>
          <t>28.01.2027</t>
        </is>
      </c>
      <c r="E8502" t="inlineStr">
        <is>
          <t>France</t>
        </is>
      </c>
    </row>
    <row r="8503">
      <c r="A8503" t="inlineStr">
        <is>
          <t>SOLEVAL FRANCE,  Rion-des-Landes, France</t>
        </is>
      </c>
      <c r="B8503" t="inlineStr">
        <is>
          <t>Point of Origin, Processing Unit</t>
        </is>
      </c>
      <c r="C8503" t="inlineStr">
        <is>
          <t>Control Union Certifications Germany GmbH, Berlin, DE</t>
        </is>
      </c>
      <c r="D8503" t="inlineStr">
        <is>
          <t>28.01.2027</t>
        </is>
      </c>
      <c r="E8503" t="inlineStr">
        <is>
          <t>France</t>
        </is>
      </c>
    </row>
    <row r="8504">
      <c r="A8504" t="inlineStr">
        <is>
          <t>Synthogra,  Hvidovre, Denmark</t>
        </is>
      </c>
      <c r="B8504" t="inlineStr">
        <is>
          <t>Final Product Refinement, Trader with Storage</t>
        </is>
      </c>
      <c r="C8504" t="inlineStr">
        <is>
          <t>Baltic Control Certification, Risskov, DK</t>
        </is>
      </c>
      <c r="D8504" t="inlineStr">
        <is>
          <t>28.01.2027</t>
        </is>
      </c>
      <c r="E8504" t="inlineStr">
        <is>
          <t>Denmark</t>
        </is>
      </c>
    </row>
    <row r="8505">
      <c r="A8505" t="inlineStr">
        <is>
          <t>PT Wilmar Bioenergi Indonesia,  Kota Dumai, Provinsi Riau, Indonesia</t>
        </is>
      </c>
      <c r="B8505" t="inlineStr">
        <is>
          <t>Point of Origin, Processing Unit, Trader with Storage</t>
        </is>
      </c>
      <c r="C8505" t="inlineStr">
        <is>
          <t>ASG Cert GmbH, Munich, DE</t>
        </is>
      </c>
      <c r="D8505" t="inlineStr">
        <is>
          <t>28.01.2027</t>
        </is>
      </c>
      <c r="E8505" t="inlineStr">
        <is>
          <t>Indonesia</t>
        </is>
      </c>
    </row>
    <row r="8506">
      <c r="A8506" t="inlineStr">
        <is>
          <t>PT Wilmar Nabati Indonesia,  Kota Dumai, Provinsi Riau, Indonesia</t>
        </is>
      </c>
      <c r="B8506" t="inlineStr">
        <is>
          <t>Point of Origin, Processing Unit, Trader with Storage</t>
        </is>
      </c>
      <c r="C8506" t="inlineStr">
        <is>
          <t>ASG Cert GmbH, Munich, DE</t>
        </is>
      </c>
      <c r="D8506" t="inlineStr">
        <is>
          <t>28.01.2027</t>
        </is>
      </c>
      <c r="E8506" t="inlineStr">
        <is>
          <t>Indonesia</t>
        </is>
      </c>
    </row>
    <row r="8507">
      <c r="A8507" t="inlineStr">
        <is>
          <t>TORAY INTERNATIONAL,  Osaka, Osaka, Japan</t>
        </is>
      </c>
      <c r="B8507" t="inlineStr">
        <is>
          <t>Trader</t>
        </is>
      </c>
      <c r="C8507" t="inlineStr">
        <is>
          <t>TÜV SÜD Industrie Service GmbH, München, DE</t>
        </is>
      </c>
      <c r="D8507" t="inlineStr">
        <is>
          <t>28.01.2027</t>
        </is>
      </c>
      <c r="E8507" t="inlineStr">
        <is>
          <t>Japan</t>
        </is>
      </c>
    </row>
    <row r="8508">
      <c r="A8508" t="inlineStr">
        <is>
          <t>PT Wilmar Nabati Indonesia,  Kota Dumai, Provinsi Riau, Indonesia</t>
        </is>
      </c>
      <c r="B8508" t="inlineStr">
        <is>
          <t>Point of Origin, Processing Unit, Trader with Storage</t>
        </is>
      </c>
      <c r="C8508" t="inlineStr">
        <is>
          <t>ASG Cert GmbH, Munich, DE</t>
        </is>
      </c>
      <c r="D8508" t="inlineStr">
        <is>
          <t>28.01.2027</t>
        </is>
      </c>
      <c r="E8508" t="inlineStr">
        <is>
          <t>Indonesia</t>
        </is>
      </c>
    </row>
    <row r="8509">
      <c r="A8509" t="inlineStr">
        <is>
          <t>P M s.r.o.,  Jelsava, Slovakia</t>
        </is>
      </c>
      <c r="B8509" t="inlineStr">
        <is>
          <t>Collecting Point, Processing Unit, First Gathering Point</t>
        </is>
      </c>
      <c r="C8509" t="inlineStr">
        <is>
          <t>United Registrar of Systems Polska Sp. z o.o., Wrocław, PL</t>
        </is>
      </c>
      <c r="D8509" t="inlineStr">
        <is>
          <t>28.01.2027</t>
        </is>
      </c>
      <c r="E8509" t="inlineStr">
        <is>
          <t>Slovakia</t>
        </is>
      </c>
    </row>
    <row r="8510">
      <c r="A8510" t="inlineStr">
        <is>
          <t>GEOS ENVIRONMENT,  PASTORANO, Italy</t>
        </is>
      </c>
      <c r="B8510" t="inlineStr">
        <is>
          <t>Collecting Point, Trader</t>
        </is>
      </c>
      <c r="C8510" t="inlineStr">
        <is>
          <t>SGS Germany GmbH, Emstek, DE</t>
        </is>
      </c>
      <c r="D8510" t="inlineStr">
        <is>
          <t>28.01.2027</t>
        </is>
      </c>
      <c r="E8510" t="inlineStr">
        <is>
          <t>Italy</t>
        </is>
      </c>
    </row>
    <row r="8511">
      <c r="A8511" t="inlineStr">
        <is>
          <t>Shanghai Junren Biotechnology Co., Ltd.,  Shanghai City, China</t>
        </is>
      </c>
      <c r="B8511" t="inlineStr">
        <is>
          <t>Trader</t>
        </is>
      </c>
      <c r="C8511" t="inlineStr">
        <is>
          <t>SCS Global Services, Emeryville, CA, US</t>
        </is>
      </c>
      <c r="D8511" t="inlineStr">
        <is>
          <t>28.01.2027</t>
        </is>
      </c>
      <c r="E8511" t="inlineStr">
        <is>
          <t>China</t>
        </is>
      </c>
    </row>
    <row r="8512">
      <c r="A8512" t="inlineStr">
        <is>
          <t>JIANGSU SOHO LITIAN INTELLIGENT STORAGE &amp; RECYCLING TECHNOLOGY CO., LTD.,  Jiangyin City, Jiangsu Province,, China</t>
        </is>
      </c>
      <c r="B8512" t="inlineStr">
        <is>
          <t>Collecting Point, Trader with Storage, Warehouse</t>
        </is>
      </c>
      <c r="C8512" t="inlineStr">
        <is>
          <t>SCS Global Services, Emeryville, CA, US</t>
        </is>
      </c>
      <c r="D8512" t="inlineStr">
        <is>
          <t>28.01.2027</t>
        </is>
      </c>
      <c r="E8512" t="inlineStr">
        <is>
          <t>China</t>
        </is>
      </c>
    </row>
    <row r="8513">
      <c r="A8513" t="inlineStr">
        <is>
          <t>GP Pine Solutions LLC,  Atlanta, Georgia, United States</t>
        </is>
      </c>
      <c r="B8513" t="inlineStr">
        <is>
          <t>Collecting Point</t>
        </is>
      </c>
      <c r="C8513" t="inlineStr">
        <is>
          <t>SCS Global Services, Emeryville, CA, US</t>
        </is>
      </c>
      <c r="D8513" t="inlineStr">
        <is>
          <t>28.01.2027</t>
        </is>
      </c>
      <c r="E8513" t="inlineStr">
        <is>
          <t>United States</t>
        </is>
      </c>
    </row>
    <row r="8514">
      <c r="A8514" t="inlineStr">
        <is>
          <t>ROYAL TECH COMPANY LIMITED,  Ho Chi Minh City, Vietnam</t>
        </is>
      </c>
      <c r="B8514" t="inlineStr">
        <is>
          <t>Trader</t>
        </is>
      </c>
      <c r="C8514" t="inlineStr">
        <is>
          <t>SGS Germany GmbH, Emstek, DE</t>
        </is>
      </c>
      <c r="D8514" t="inlineStr">
        <is>
          <t>28.01.2027</t>
        </is>
      </c>
      <c r="E8514" t="inlineStr">
        <is>
          <t>Vietnam</t>
        </is>
      </c>
    </row>
    <row r="8515">
      <c r="A8515" t="inlineStr">
        <is>
          <t>RAYMOND INDUSTRIAL LTD,  Guangzhou City, China</t>
        </is>
      </c>
      <c r="B8515" t="inlineStr">
        <is>
          <t>Trader</t>
        </is>
      </c>
      <c r="C8515" t="inlineStr">
        <is>
          <t>SGS Germany GmbH, Emstek, DE</t>
        </is>
      </c>
      <c r="D8515" t="inlineStr">
        <is>
          <t>28.01.2027</t>
        </is>
      </c>
      <c r="E8515" t="inlineStr">
        <is>
          <t>China</t>
        </is>
      </c>
    </row>
    <row r="8516">
      <c r="A8516" t="inlineStr">
        <is>
          <t>Dow Europe GmbH,  Leuna, Germany</t>
        </is>
      </c>
      <c r="B8516" t="inlineStr">
        <is>
          <t>Processing Unit</t>
        </is>
      </c>
      <c r="C8516" t="inlineStr">
        <is>
          <t>SGS Germany GmbH, Emstek, DE</t>
        </is>
      </c>
      <c r="D8516" t="inlineStr">
        <is>
          <t>28.01.2027</t>
        </is>
      </c>
      <c r="E8516" t="inlineStr">
        <is>
          <t>Germany</t>
        </is>
      </c>
    </row>
    <row r="8517">
      <c r="A8517" t="inlineStr">
        <is>
          <t>PTT Oil and Retail Business Public Company Limited,  Chatuchak, Bangkok, Thailand</t>
        </is>
      </c>
      <c r="B8517" t="inlineStr">
        <is>
          <t>Trader with Storage</t>
        </is>
      </c>
      <c r="C8517" t="inlineStr">
        <is>
          <t>SGS Germany GmbH, Emstek, DE</t>
        </is>
      </c>
      <c r="D8517" t="inlineStr">
        <is>
          <t>28.01.2027</t>
        </is>
      </c>
      <c r="E8517" t="inlineStr">
        <is>
          <t>Thailand</t>
        </is>
      </c>
    </row>
    <row r="8518">
      <c r="A8518" t="inlineStr">
        <is>
          <t>Toprak Tarım Ticaret ve Sanayi Limited Şirketi,  Ceyhan, Turkey</t>
        </is>
      </c>
      <c r="B8518" t="inlineStr">
        <is>
          <t>First Gathering Point</t>
        </is>
      </c>
      <c r="C8518" t="inlineStr">
        <is>
          <t>ASG Cert GmbH, Munich, DE</t>
        </is>
      </c>
      <c r="D8518" t="inlineStr">
        <is>
          <t>28.01.2027</t>
        </is>
      </c>
      <c r="E8518" t="inlineStr">
        <is>
          <t>Turkey</t>
        </is>
      </c>
    </row>
    <row r="8519">
      <c r="A8519" t="inlineStr">
        <is>
          <t>Safilo Industrial,  Santa Maria di Sala, Italy</t>
        </is>
      </c>
      <c r="B8519" t="inlineStr">
        <is>
          <t>Processing Unit, Trader, Warehouse</t>
        </is>
      </c>
      <c r="C8519" t="inlineStr">
        <is>
          <t>PT Intertek Utama Services, Jakarta, ID</t>
        </is>
      </c>
      <c r="D8519" t="inlineStr">
        <is>
          <t>28.01.2027</t>
        </is>
      </c>
      <c r="E8519" t="inlineStr">
        <is>
          <t>Italy</t>
        </is>
      </c>
    </row>
    <row r="8520">
      <c r="A8520" t="inlineStr">
        <is>
          <t>SINOCHEM YANGZHOU PETROCHEMICAL TERMINAL CO.,LTD,  YANGZHOU CITY, JIANGSU PROVINCE, China</t>
        </is>
      </c>
      <c r="B8520" t="inlineStr">
        <is>
          <t>Trader with Storage, Warehouse</t>
        </is>
      </c>
      <c r="C8520" t="inlineStr">
        <is>
          <t>China Standard Conformity Assessment Co. Ltd, Beijing, CN</t>
        </is>
      </c>
      <c r="D8520" t="inlineStr">
        <is>
          <t>28.01.2027</t>
        </is>
      </c>
      <c r="E8520" t="inlineStr">
        <is>
          <t>China</t>
        </is>
      </c>
    </row>
    <row r="8521">
      <c r="A8521" t="inlineStr">
        <is>
          <t>SINOCHEM YANGZHOU PETROCHEMICAL TERMINAL CO.,LTD,  YANGZHOU CITY, JIANGSU PROVINCE, China</t>
        </is>
      </c>
      <c r="B8521" t="inlineStr">
        <is>
          <t>Trader with Storage, Warehouse</t>
        </is>
      </c>
      <c r="C8521" t="inlineStr">
        <is>
          <t>China Standard Conformity Assessment Co. Ltd, Beijing, CN</t>
        </is>
      </c>
      <c r="D8521" t="inlineStr">
        <is>
          <t>28.01.2027</t>
        </is>
      </c>
      <c r="E8521" t="inlineStr">
        <is>
          <t>China</t>
        </is>
      </c>
    </row>
    <row r="8522">
      <c r="A8522" t="inlineStr">
        <is>
          <t>S.A.P.I. S.P.A.,  Castelnuovo Rangone (MO), Italy</t>
        </is>
      </c>
      <c r="B8522" t="inlineStr">
        <is>
          <t>Point of Origin, Trader with Storage, Collecting Point</t>
        </is>
      </c>
      <c r="C8522" t="inlineStr">
        <is>
          <t>SGS Germany GmbH, Emstek, DE</t>
        </is>
      </c>
      <c r="D8522" t="inlineStr">
        <is>
          <t>28.01.2027</t>
        </is>
      </c>
      <c r="E8522" t="inlineStr">
        <is>
          <t>Italy</t>
        </is>
      </c>
    </row>
    <row r="8523">
      <c r="A8523" t="inlineStr">
        <is>
          <t>Gunung Sawit Abadi,  Kabupaten Pasaman Barat, Provinsi Sumatera Barat, Indonesia</t>
        </is>
      </c>
      <c r="B8523" t="inlineStr">
        <is>
          <t>Point of Origin, Processing Unit</t>
        </is>
      </c>
      <c r="C8523" t="inlineStr">
        <is>
          <t>SGS Germany GmbH, Emstek, DE</t>
        </is>
      </c>
      <c r="D8523" t="inlineStr">
        <is>
          <t>27.01.2027</t>
        </is>
      </c>
      <c r="E8523" t="inlineStr">
        <is>
          <t>Indonesia</t>
        </is>
      </c>
    </row>
    <row r="8524">
      <c r="A8524" t="inlineStr">
        <is>
          <t>Scea,  Campagnola di Zevio (VR), Italy</t>
        </is>
      </c>
      <c r="B8524" t="inlineStr">
        <is>
          <t>Final Product Refinement</t>
        </is>
      </c>
      <c r="C8524" t="inlineStr">
        <is>
          <t>ICIM SpA, sesto san giovanni, IT</t>
        </is>
      </c>
      <c r="D8524" t="inlineStr">
        <is>
          <t>27.01.2027</t>
        </is>
      </c>
      <c r="E8524" t="inlineStr">
        <is>
          <t>Italy</t>
        </is>
      </c>
    </row>
    <row r="8525">
      <c r="A8525" t="inlineStr">
        <is>
          <t>KG SAS di P. Giacoletto &amp; C.,  Castellamonte, Italy</t>
        </is>
      </c>
      <c r="B8525" t="inlineStr">
        <is>
          <t>Processing Unit</t>
        </is>
      </c>
      <c r="C8525" t="inlineStr">
        <is>
          <t>RINA Services S.p.A., Genova, IT</t>
        </is>
      </c>
      <c r="D8525" t="inlineStr">
        <is>
          <t>27.01.2027</t>
        </is>
      </c>
      <c r="E8525" t="inlineStr">
        <is>
          <t>Italy</t>
        </is>
      </c>
    </row>
    <row r="8526">
      <c r="A8526" t="inlineStr">
        <is>
          <t>Nantong Ruizhuo Molding Co., Ltd,  Nantong City, China</t>
        </is>
      </c>
      <c r="B8526" t="inlineStr">
        <is>
          <t>Processing Unit</t>
        </is>
      </c>
      <c r="C8526" t="inlineStr">
        <is>
          <t>SGS Germany GmbH, Emstek, DE</t>
        </is>
      </c>
      <c r="D8526" t="inlineStr">
        <is>
          <t>27.01.2027</t>
        </is>
      </c>
      <c r="E8526" t="inlineStr">
        <is>
          <t>China</t>
        </is>
      </c>
    </row>
    <row r="8527">
      <c r="A8527" t="inlineStr">
        <is>
          <t>OLT Offshore LNG Toscana SpA,  43°38’40’’ N and 9°59’20’’ E WGS84 (Ligurian sea), Italy</t>
        </is>
      </c>
      <c r="B8527" t="inlineStr">
        <is>
          <t>Warehouse, Processing Unit</t>
        </is>
      </c>
      <c r="C8527" t="inlineStr">
        <is>
          <t>RINA Services S.p.A., Genova, IT</t>
        </is>
      </c>
      <c r="D8527" t="inlineStr">
        <is>
          <t>27.01.2027</t>
        </is>
      </c>
      <c r="E8527" t="inlineStr">
        <is>
          <t>Italy</t>
        </is>
      </c>
    </row>
    <row r="8528">
      <c r="A8528" t="inlineStr">
        <is>
          <t>EKO CYPRUS LIMITED,  Nicosia, Cyprus</t>
        </is>
      </c>
      <c r="B8528" t="inlineStr">
        <is>
          <t>Proof of Compliance Trader, Trader with Storage</t>
        </is>
      </c>
      <c r="C8528" t="inlineStr">
        <is>
          <t>Eurocert SA, Metamorfosi, Athens, GR</t>
        </is>
      </c>
      <c r="D8528" t="inlineStr">
        <is>
          <t>27.01.2027</t>
        </is>
      </c>
      <c r="E8528" t="inlineStr">
        <is>
          <t>Cyprus</t>
        </is>
      </c>
    </row>
    <row r="8529">
      <c r="A8529" t="inlineStr">
        <is>
          <t>RESTITUO ENVIRONMENTAL SERVICES,  PIRAEUS, Greece</t>
        </is>
      </c>
      <c r="B8529" t="inlineStr">
        <is>
          <t>Collecting Point</t>
        </is>
      </c>
      <c r="C8529" t="inlineStr">
        <is>
          <t>Eurocert SA, Metamorfosi, Athens, GR</t>
        </is>
      </c>
      <c r="D8529" t="inlineStr">
        <is>
          <t>27.01.2027</t>
        </is>
      </c>
      <c r="E8529" t="inlineStr">
        <is>
          <t>Greece</t>
        </is>
      </c>
    </row>
    <row r="8530">
      <c r="A8530" t="inlineStr">
        <is>
          <t>Selago Makmur Plantation,  Kec. Koto Besar Kab. Dharmasraya, Indonesia</t>
        </is>
      </c>
      <c r="B8530" t="inlineStr">
        <is>
          <t>Point of Origin</t>
        </is>
      </c>
      <c r="C8530" t="inlineStr">
        <is>
          <t>PT. Qualitas Sertifikasi Indonesia, Jakarta, ID</t>
        </is>
      </c>
      <c r="D8530" t="inlineStr">
        <is>
          <t>27.01.2027</t>
        </is>
      </c>
      <c r="E8530" t="inlineStr">
        <is>
          <t>Indonesia</t>
        </is>
      </c>
    </row>
    <row r="8531">
      <c r="A8531" t="inlineStr">
        <is>
          <t>Sumatera Makmur Lestari,  Kab. Indragiri Hulu, Indonesia</t>
        </is>
      </c>
      <c r="B8531" t="inlineStr">
        <is>
          <t>Point of Origin</t>
        </is>
      </c>
      <c r="C8531" t="inlineStr">
        <is>
          <t>PT. Qualitas Sertifikasi Indonesia, Jakarta, ID</t>
        </is>
      </c>
      <c r="D8531" t="inlineStr">
        <is>
          <t>27.01.2027</t>
        </is>
      </c>
      <c r="E8531" t="inlineStr">
        <is>
          <t>Indonesia</t>
        </is>
      </c>
    </row>
    <row r="8532">
      <c r="A8532" t="inlineStr">
        <is>
          <t>Bintara Tani Nusantara,  Kab. Pasaman Barat, Indonesia</t>
        </is>
      </c>
      <c r="B8532" t="inlineStr">
        <is>
          <t>Point of Origin</t>
        </is>
      </c>
      <c r="C8532" t="inlineStr">
        <is>
          <t>PT. Qualitas Sertifikasi Indonesia, Jakarta, ID</t>
        </is>
      </c>
      <c r="D8532" t="inlineStr">
        <is>
          <t>27.01.2027</t>
        </is>
      </c>
      <c r="E8532" t="inlineStr">
        <is>
          <t>Indonesia</t>
        </is>
      </c>
    </row>
    <row r="8533">
      <c r="A8533" t="inlineStr">
        <is>
          <t>Pasamanmarama Sejahtera,  Kab. Pasaman Barat, Indonesia</t>
        </is>
      </c>
      <c r="B8533" t="inlineStr">
        <is>
          <t>Point of Origin</t>
        </is>
      </c>
      <c r="C8533" t="inlineStr">
        <is>
          <t>PT. Qualitas Sertifikasi Indonesia, Jakarta, ID</t>
        </is>
      </c>
      <c r="D8533" t="inlineStr">
        <is>
          <t>27.01.2027</t>
        </is>
      </c>
      <c r="E8533" t="inlineStr">
        <is>
          <t>Indonesia</t>
        </is>
      </c>
    </row>
    <row r="8534">
      <c r="A8534" t="inlineStr">
        <is>
          <t>SC Emiliana West Rom SA,  Dudestii Vechi, Romania</t>
        </is>
      </c>
      <c r="B8534" t="inlineStr">
        <is>
          <t>Farm / Plantation, Trader with Storage</t>
        </is>
      </c>
      <c r="C8534" t="inlineStr">
        <is>
          <t>SRAC Cert SRL, Bucharest, RO</t>
        </is>
      </c>
      <c r="D8534" t="inlineStr">
        <is>
          <t>27.01.2027</t>
        </is>
      </c>
      <c r="E8534" t="inlineStr">
        <is>
          <t>Romania</t>
        </is>
      </c>
    </row>
    <row r="8535">
      <c r="A8535" t="inlineStr">
        <is>
          <t>Guangdong Qiansheng New Material Technology Co., Ltd,  Jieyang City, Guangdong Province, China</t>
        </is>
      </c>
      <c r="B8535" t="inlineStr">
        <is>
          <t>Collecting Point, Trader with Storage</t>
        </is>
      </c>
      <c r="C8535" t="inlineStr">
        <is>
          <t>SCS Global Services, Emeryville, CA, US</t>
        </is>
      </c>
      <c r="D8535" t="inlineStr">
        <is>
          <t>27.01.2027</t>
        </is>
      </c>
      <c r="E8535" t="inlineStr">
        <is>
          <t>China</t>
        </is>
      </c>
    </row>
    <row r="8536">
      <c r="A8536" t="inlineStr">
        <is>
          <t>PLÁSTICOS RECA, S.A.,  VILLANUBLA, Spain</t>
        </is>
      </c>
      <c r="B8536" t="inlineStr">
        <is>
          <t>Processing Unit</t>
        </is>
      </c>
      <c r="C8536" t="inlineStr">
        <is>
          <t>RINA Services S.p.A., Genova, IT</t>
        </is>
      </c>
      <c r="D8536" t="inlineStr">
        <is>
          <t>27.01.2027</t>
        </is>
      </c>
      <c r="E8536" t="inlineStr">
        <is>
          <t>Spain</t>
        </is>
      </c>
    </row>
    <row r="8537">
      <c r="A8537" t="inlineStr">
        <is>
          <t>SIG Procurement AG,  Neuhausen am Rheinfall, Switzerland</t>
        </is>
      </c>
      <c r="B8537" t="inlineStr">
        <is>
          <t>Trader</t>
        </is>
      </c>
      <c r="C8537" t="inlineStr">
        <is>
          <t>PT Intertek Utama Services, Jakarta, ID</t>
        </is>
      </c>
      <c r="D8537" t="inlineStr">
        <is>
          <t>27.01.2027</t>
        </is>
      </c>
      <c r="E8537" t="inlineStr">
        <is>
          <t>Switzerland</t>
        </is>
      </c>
    </row>
    <row r="8538">
      <c r="A8538" t="inlineStr">
        <is>
          <t>Nantong Hanvo New Material Technology Co.,Ltd.,  Nantong City, Jiangsu Province, China</t>
        </is>
      </c>
      <c r="B8538" t="inlineStr">
        <is>
          <t>Processing Unit</t>
        </is>
      </c>
      <c r="C8538" t="inlineStr">
        <is>
          <t>Bureau Veritas Consumer Products Services, Inc., Littleton, MA, US</t>
        </is>
      </c>
      <c r="D8538" t="inlineStr">
        <is>
          <t>27.01.2027</t>
        </is>
      </c>
      <c r="E8538" t="inlineStr">
        <is>
          <t>China</t>
        </is>
      </c>
    </row>
    <row r="8539">
      <c r="A8539" t="inlineStr">
        <is>
          <t>PT TH Indo Plantations,  Provinsi Riau, Indonesia</t>
        </is>
      </c>
      <c r="B8539" t="inlineStr">
        <is>
          <t>Central Office (Farms/Plantations)</t>
        </is>
      </c>
      <c r="C8539" t="inlineStr">
        <is>
          <t>PT SBC Asia Sertifikasi, Kebumen, ID</t>
        </is>
      </c>
      <c r="D8539" t="inlineStr">
        <is>
          <t>27.01.2027</t>
        </is>
      </c>
      <c r="E8539" t="inlineStr">
        <is>
          <t>Indonesia</t>
        </is>
      </c>
    </row>
    <row r="8540">
      <c r="A8540" t="inlineStr">
        <is>
          <t>PT TH Indo Plantations,  Provinsi Riau, Indonesia</t>
        </is>
      </c>
      <c r="B8540" t="inlineStr">
        <is>
          <t>Point of Origin, Processing Unit</t>
        </is>
      </c>
      <c r="C8540" t="inlineStr">
        <is>
          <t>PT SBC Asia Sertifikasi, Kebumen, ID</t>
        </is>
      </c>
      <c r="D8540" t="inlineStr">
        <is>
          <t>27.01.2027</t>
        </is>
      </c>
      <c r="E8540" t="inlineStr">
        <is>
          <t>Indonesia</t>
        </is>
      </c>
    </row>
    <row r="8541">
      <c r="A8541" t="inlineStr">
        <is>
          <t>PT TH Indo Plantations,  Provinsi Riau, Indonesia</t>
        </is>
      </c>
      <c r="B8541" t="inlineStr">
        <is>
          <t>Point of Origin, Processing Unit</t>
        </is>
      </c>
      <c r="C8541" t="inlineStr">
        <is>
          <t>PT SBC Asia Sertifikasi, Kebumen, ID</t>
        </is>
      </c>
      <c r="D8541" t="inlineStr">
        <is>
          <t>27.01.2027</t>
        </is>
      </c>
      <c r="E8541" t="inlineStr">
        <is>
          <t>Indonesia</t>
        </is>
      </c>
    </row>
    <row r="8542">
      <c r="A8542" t="inlineStr">
        <is>
          <t>PT TH Indo Plantations,  Provinsi Riau, Indonesia</t>
        </is>
      </c>
      <c r="B8542" t="inlineStr">
        <is>
          <t>Point of Origin, Processing Unit</t>
        </is>
      </c>
      <c r="C8542" t="inlineStr">
        <is>
          <t>PT SBC Asia Sertifikasi, Kebumen, ID</t>
        </is>
      </c>
      <c r="D8542" t="inlineStr">
        <is>
          <t>27.01.2027</t>
        </is>
      </c>
      <c r="E8542" t="inlineStr">
        <is>
          <t>Indonesia</t>
        </is>
      </c>
    </row>
    <row r="8543">
      <c r="A8543" t="inlineStr">
        <is>
          <t>PT TH Indo Plantations,  Provinsi Riau, Indonesia</t>
        </is>
      </c>
      <c r="B8543" t="inlineStr">
        <is>
          <t>Point of Origin, Processing Unit</t>
        </is>
      </c>
      <c r="C8543" t="inlineStr">
        <is>
          <t>PT SBC Asia Sertifikasi, Kebumen, ID</t>
        </is>
      </c>
      <c r="D8543" t="inlineStr">
        <is>
          <t>27.01.2027</t>
        </is>
      </c>
      <c r="E8543" t="inlineStr">
        <is>
          <t>Indonesia</t>
        </is>
      </c>
    </row>
    <row r="8544">
      <c r="A8544" t="inlineStr">
        <is>
          <t>Oleotorres, Lda,  Torres Novas, Portugal</t>
        </is>
      </c>
      <c r="B8544" t="inlineStr">
        <is>
          <t>Point of Origin, Collecting Point, Trader with Storage, Processing Unit</t>
        </is>
      </c>
      <c r="C8544" t="inlineStr">
        <is>
          <t>RINA Services S.p.A., Genova, IT</t>
        </is>
      </c>
      <c r="D8544" t="inlineStr">
        <is>
          <t>27.01.2027</t>
        </is>
      </c>
      <c r="E8544" t="inlineStr">
        <is>
          <t>Portugal</t>
        </is>
      </c>
    </row>
    <row r="8545">
      <c r="A8545" t="inlineStr">
        <is>
          <t>PT TH Indo Plantations,  Provinsi Riau, Indonesia</t>
        </is>
      </c>
      <c r="B8545" t="inlineStr">
        <is>
          <t>Logistics Center</t>
        </is>
      </c>
      <c r="C8545" t="inlineStr">
        <is>
          <t>PT SBC Asia Sertifikasi, Kebumen, ID</t>
        </is>
      </c>
      <c r="D8545" t="inlineStr">
        <is>
          <t>27.01.2027</t>
        </is>
      </c>
      <c r="E8545" t="inlineStr">
        <is>
          <t>Indonesia</t>
        </is>
      </c>
    </row>
    <row r="8546">
      <c r="A8546" t="inlineStr">
        <is>
          <t>Versalis SpA,  Ravenna, Italy</t>
        </is>
      </c>
      <c r="B8546" t="inlineStr">
        <is>
          <t>Processing Unit</t>
        </is>
      </c>
      <c r="C8546" t="inlineStr">
        <is>
          <t>RINA Services S.p.A., Genova, IT</t>
        </is>
      </c>
      <c r="D8546" t="inlineStr">
        <is>
          <t>27.01.2027</t>
        </is>
      </c>
      <c r="E8546" t="inlineStr">
        <is>
          <t>Italy</t>
        </is>
      </c>
    </row>
    <row r="8547">
      <c r="A8547" t="inlineStr">
        <is>
          <t>Borneo Edible Oils Sdn Bhd,  Bintulu, Malaysia</t>
        </is>
      </c>
      <c r="B8547" t="inlineStr">
        <is>
          <t>Point of Origin</t>
        </is>
      </c>
      <c r="C8547" t="inlineStr">
        <is>
          <t>Bureau Veritas Polska Sp. z o.o., Warsaw, PL</t>
        </is>
      </c>
      <c r="D8547" t="inlineStr">
        <is>
          <t>27.01.2027</t>
        </is>
      </c>
      <c r="E8547" t="inlineStr">
        <is>
          <t>Malaysia</t>
        </is>
      </c>
    </row>
    <row r="8548">
      <c r="A8548" t="inlineStr">
        <is>
          <t>Evergreenergy Resources Pte Ltd,  Samsung Hub, Singapore</t>
        </is>
      </c>
      <c r="B8548" t="inlineStr">
        <is>
          <t>Trader</t>
        </is>
      </c>
      <c r="C8548" t="inlineStr">
        <is>
          <t>PT. Qualitas Sertifikasi Indonesia, Jakarta, ID</t>
        </is>
      </c>
      <c r="D8548" t="inlineStr">
        <is>
          <t>27.01.2027</t>
        </is>
      </c>
      <c r="E8548" t="inlineStr">
        <is>
          <t>Singapore</t>
        </is>
      </c>
    </row>
    <row r="8549">
      <c r="A8549" t="inlineStr">
        <is>
          <t>Wing Sing (Asia) Limited,  Hong Kong, Hong Kong</t>
        </is>
      </c>
      <c r="B8549" t="inlineStr">
        <is>
          <t>Trader with Storage</t>
        </is>
      </c>
      <c r="C8549" t="inlineStr">
        <is>
          <t>PT. Qualitas Sertifikasi Indonesia, Jakarta, ID</t>
        </is>
      </c>
      <c r="D8549" t="inlineStr">
        <is>
          <t>27.01.2027</t>
        </is>
      </c>
      <c r="E8549" t="inlineStr">
        <is>
          <t>Hong Kong</t>
        </is>
      </c>
    </row>
    <row r="8550">
      <c r="A8550" t="inlineStr">
        <is>
          <t>SOLEVAL France,  Le Mans, France</t>
        </is>
      </c>
      <c r="B8550" t="inlineStr">
        <is>
          <t>Central Office (Group of Point of Origin), Trader</t>
        </is>
      </c>
      <c r="C8550" t="inlineStr">
        <is>
          <t>Control Union Certifications Germany GmbH, Berlin, DE</t>
        </is>
      </c>
      <c r="D8550" t="inlineStr">
        <is>
          <t>27.01.2027</t>
        </is>
      </c>
      <c r="E8550" t="inlineStr">
        <is>
          <t>France</t>
        </is>
      </c>
    </row>
    <row r="8551">
      <c r="A8551" t="inlineStr">
        <is>
          <t>PT. PESONA SAWIT MAKMUR,  Way Kanan Regency, Indonesia</t>
        </is>
      </c>
      <c r="B8551" t="inlineStr">
        <is>
          <t>Point of Origin</t>
        </is>
      </c>
      <c r="C8551" t="inlineStr">
        <is>
          <t>PT. Qualitas Sertifikasi Indonesia, Jakarta, ID</t>
        </is>
      </c>
      <c r="D8551" t="inlineStr">
        <is>
          <t>27.01.2027</t>
        </is>
      </c>
      <c r="E8551" t="inlineStr">
        <is>
          <t>Indonesia</t>
        </is>
      </c>
    </row>
    <row r="8552">
      <c r="A8552" t="inlineStr">
        <is>
          <t>ERSA Recycling,  Codford, United Kingdom</t>
        </is>
      </c>
      <c r="B8552" t="inlineStr">
        <is>
          <t>Collecting Point</t>
        </is>
      </c>
      <c r="C8552" t="inlineStr">
        <is>
          <t>BM Certification, Riga, LV</t>
        </is>
      </c>
      <c r="D8552" t="inlineStr">
        <is>
          <t>27.01.2027</t>
        </is>
      </c>
      <c r="E8552" t="inlineStr">
        <is>
          <t>United Kingdom</t>
        </is>
      </c>
    </row>
    <row r="8553">
      <c r="A8553" t="inlineStr">
        <is>
          <t>Teknor Apex BV,  Genk, Belgium</t>
        </is>
      </c>
      <c r="B8553" t="inlineStr">
        <is>
          <t>Processing Unit</t>
        </is>
      </c>
      <c r="C8553" t="inlineStr">
        <is>
          <t>DEKRA Certification B.V., Arnhem, NL</t>
        </is>
      </c>
      <c r="D8553" t="inlineStr">
        <is>
          <t>27.01.2027</t>
        </is>
      </c>
      <c r="E8553" t="inlineStr">
        <is>
          <t>Belgium</t>
        </is>
      </c>
    </row>
    <row r="8554">
      <c r="A8554" t="inlineStr">
        <is>
          <t>Setsunan kasei Co.,Ltd. Head Office &amp; Kansai Plant,  Izumi-shi, Osaka, Japan</t>
        </is>
      </c>
      <c r="B8554" t="inlineStr">
        <is>
          <t>Processing Unit</t>
        </is>
      </c>
      <c r="C8554" t="inlineStr">
        <is>
          <t>SGS Germany GmbH, Emstek, DE</t>
        </is>
      </c>
      <c r="D8554" t="inlineStr">
        <is>
          <t>27.01.2027</t>
        </is>
      </c>
      <c r="E8554" t="inlineStr">
        <is>
          <t>Japan</t>
        </is>
      </c>
    </row>
    <row r="8555">
      <c r="A8555" t="inlineStr">
        <is>
          <t>Jamika Raya,  Kec. Limbur Lubuk Mengkuang, Indonesia</t>
        </is>
      </c>
      <c r="B8555" t="inlineStr">
        <is>
          <t>Point of Origin</t>
        </is>
      </c>
      <c r="C8555" t="inlineStr">
        <is>
          <t>PT. Qualitas Sertifikasi Indonesia, Jakarta, ID</t>
        </is>
      </c>
      <c r="D8555" t="inlineStr">
        <is>
          <t>27.01.2027</t>
        </is>
      </c>
      <c r="E8555" t="inlineStr">
        <is>
          <t>Indonesia</t>
        </is>
      </c>
    </row>
    <row r="8556">
      <c r="A8556" t="inlineStr">
        <is>
          <t>Xinji Boze Oil Co., Ltd,  Xinji City, Hebei Province,, China</t>
        </is>
      </c>
      <c r="B8556" t="inlineStr">
        <is>
          <t>Collecting Point, Trader with Storage</t>
        </is>
      </c>
      <c r="C8556" t="inlineStr">
        <is>
          <t>SCS Global Services, Emeryville, CA, US</t>
        </is>
      </c>
      <c r="D8556" t="inlineStr">
        <is>
          <t>27.01.2027</t>
        </is>
      </c>
      <c r="E8556" t="inlineStr">
        <is>
          <t>China</t>
        </is>
      </c>
    </row>
    <row r="8557">
      <c r="A8557" t="inlineStr">
        <is>
          <t>BURHANI STS INDUSTRIES (PVT) LTD,  Karachi, Pakistan</t>
        </is>
      </c>
      <c r="B8557" t="inlineStr">
        <is>
          <t>Processing Unit</t>
        </is>
      </c>
      <c r="C8557" t="inlineStr">
        <is>
          <t>PT Intertek Utama Services, Jakarta, ID</t>
        </is>
      </c>
      <c r="D8557" t="inlineStr">
        <is>
          <t>27.01.2027</t>
        </is>
      </c>
      <c r="E8557" t="inlineStr">
        <is>
          <t>Pakistan</t>
        </is>
      </c>
    </row>
    <row r="8558">
      <c r="A8558" t="inlineStr">
        <is>
          <t>PT Sawit Mas Sejahtera,  Kabupaten Lahat, Provinsi Sumatera Selatan, Indonesia</t>
        </is>
      </c>
      <c r="B8558" t="inlineStr">
        <is>
          <t>Point of Origin</t>
        </is>
      </c>
      <c r="C8558" t="inlineStr">
        <is>
          <t>PT Intertek Utama Services, Jakarta, ID</t>
        </is>
      </c>
      <c r="D8558" t="inlineStr">
        <is>
          <t>27.01.2027</t>
        </is>
      </c>
      <c r="E8558" t="inlineStr">
        <is>
          <t>Indonesia</t>
        </is>
      </c>
    </row>
    <row r="8559">
      <c r="A8559" t="inlineStr">
        <is>
          <t>Jiaxing City Anyiju Plastic Co., Ltd.,  Jiaxing City, China</t>
        </is>
      </c>
      <c r="B8559" t="inlineStr">
        <is>
          <t>Processing Unit</t>
        </is>
      </c>
      <c r="C8559" t="inlineStr">
        <is>
          <t>PT Intertek Utama Services, Jakarta, ID</t>
        </is>
      </c>
      <c r="D8559" t="inlineStr">
        <is>
          <t>27.01.2027</t>
        </is>
      </c>
      <c r="E8559" t="inlineStr">
        <is>
          <t>China</t>
        </is>
      </c>
    </row>
    <row r="8560">
      <c r="A8560" t="inlineStr">
        <is>
          <t>SOON LEONG ENTERPRISE,  SENAI, Malaysia</t>
        </is>
      </c>
      <c r="B8560" t="inlineStr">
        <is>
          <t>Trader with Storage</t>
        </is>
      </c>
      <c r="C8560" t="inlineStr">
        <is>
          <t>Trans Certification and Inspection Sdn Bhd, Kuantan, MY</t>
        </is>
      </c>
      <c r="D8560" t="inlineStr">
        <is>
          <t>27.01.2027</t>
        </is>
      </c>
      <c r="E8560" t="inlineStr">
        <is>
          <t>Malaysia</t>
        </is>
      </c>
    </row>
    <row r="8561">
      <c r="A8561" t="inlineStr">
        <is>
          <t>MKM TRAKIA COMPANY SRL,  Constanta, Romania</t>
        </is>
      </c>
      <c r="B8561" t="inlineStr">
        <is>
          <t>First Gathering Point, Trader</t>
        </is>
      </c>
      <c r="C8561" t="inlineStr">
        <is>
          <t>BM Certification, Riga, LV</t>
        </is>
      </c>
      <c r="D8561" t="inlineStr">
        <is>
          <t>27.01.2027</t>
        </is>
      </c>
      <c r="E8561" t="inlineStr">
        <is>
          <t>Romania</t>
        </is>
      </c>
    </row>
    <row r="8562">
      <c r="A8562" t="inlineStr">
        <is>
          <t>ORTEC INDUSTRIE,  ROGNAC, France</t>
        </is>
      </c>
      <c r="B8562" t="inlineStr">
        <is>
          <t>Processing Unit</t>
        </is>
      </c>
      <c r="C8562" t="inlineStr">
        <is>
          <t>Control Union Certifications Germany GmbH, Berlin, DE</t>
        </is>
      </c>
      <c r="D8562" t="inlineStr">
        <is>
          <t>27.01.2027</t>
        </is>
      </c>
      <c r="E8562" t="inlineStr">
        <is>
          <t>France</t>
        </is>
      </c>
    </row>
    <row r="8563">
      <c r="A8563" t="inlineStr">
        <is>
          <t>EcoOils Sdn Bhd,  PasirGudang, Johor, Malaysia</t>
        </is>
      </c>
      <c r="B8563" t="inlineStr">
        <is>
          <t>Processing Unit, Trader with Storage</t>
        </is>
      </c>
      <c r="C8563" t="inlineStr">
        <is>
          <t>Control Union Certifications Germany GmbH, Berlin, DE</t>
        </is>
      </c>
      <c r="D8563" t="inlineStr">
        <is>
          <t>27.01.2027</t>
        </is>
      </c>
      <c r="E8563" t="inlineStr">
        <is>
          <t>Malaysia</t>
        </is>
      </c>
    </row>
    <row r="8564">
      <c r="A8564" t="inlineStr">
        <is>
          <t>ECO RICH,  Hwaseong-si, South Korea</t>
        </is>
      </c>
      <c r="B8564" t="inlineStr">
        <is>
          <t>Collecting Point</t>
        </is>
      </c>
      <c r="C8564" t="inlineStr">
        <is>
          <t>BM Certification, Riga, LV</t>
        </is>
      </c>
      <c r="D8564" t="inlineStr">
        <is>
          <t>27.01.2027</t>
        </is>
      </c>
      <c r="E8564" t="inlineStr">
        <is>
          <t>South Korea</t>
        </is>
      </c>
    </row>
    <row r="8565">
      <c r="A8565" t="inlineStr">
        <is>
          <t>Megasawindo Perkasa,  Kabupaten Bungo, Indonesia</t>
        </is>
      </c>
      <c r="B8565" t="inlineStr">
        <is>
          <t>Point of Origin</t>
        </is>
      </c>
      <c r="C8565" t="inlineStr">
        <is>
          <t>PT. Qualitas Sertifikasi Indonesia, Jakarta, ID</t>
        </is>
      </c>
      <c r="D8565" t="inlineStr">
        <is>
          <t>27.01.2027</t>
        </is>
      </c>
      <c r="E8565" t="inlineStr">
        <is>
          <t>Indonesia</t>
        </is>
      </c>
    </row>
    <row r="8566">
      <c r="A8566" t="inlineStr">
        <is>
          <t>ATEMAX France,  Le Mans, France</t>
        </is>
      </c>
      <c r="B8566" t="inlineStr">
        <is>
          <t>Trader</t>
        </is>
      </c>
      <c r="C8566" t="inlineStr">
        <is>
          <t>Control Union Certifications Germany GmbH, Berlin, DE</t>
        </is>
      </c>
      <c r="D8566" t="inlineStr">
        <is>
          <t>27.01.2027</t>
        </is>
      </c>
      <c r="E8566" t="inlineStr">
        <is>
          <t>France</t>
        </is>
      </c>
    </row>
    <row r="8567">
      <c r="A8567" t="inlineStr">
        <is>
          <t>Sumbar Andalas Kencana,  -, Indonesia</t>
        </is>
      </c>
      <c r="B8567" t="inlineStr">
        <is>
          <t>Point of Origin</t>
        </is>
      </c>
      <c r="C8567" t="inlineStr">
        <is>
          <t>PT. Qualitas Sertifikasi Indonesia, Jakarta, ID</t>
        </is>
      </c>
      <c r="D8567" t="inlineStr">
        <is>
          <t>27.01.2027</t>
        </is>
      </c>
      <c r="E8567" t="inlineStr">
        <is>
          <t>Indonesia</t>
        </is>
      </c>
    </row>
    <row r="8568">
      <c r="A8568" t="inlineStr">
        <is>
          <t>Binapratama Sakatojaya,  Kab. Solok Selatan, Indonesia</t>
        </is>
      </c>
      <c r="B8568" t="inlineStr">
        <is>
          <t>Point of Origin</t>
        </is>
      </c>
      <c r="C8568" t="inlineStr">
        <is>
          <t>PT. Qualitas Sertifikasi Indonesia, Jakarta, ID</t>
        </is>
      </c>
      <c r="D8568" t="inlineStr">
        <is>
          <t>27.01.2027</t>
        </is>
      </c>
      <c r="E8568" t="inlineStr">
        <is>
          <t>Indonesia</t>
        </is>
      </c>
    </row>
    <row r="8569">
      <c r="A8569" t="inlineStr">
        <is>
          <t>Drogas,  Ysselsteyn, Netherlands</t>
        </is>
      </c>
      <c r="B8569" t="inlineStr">
        <is>
          <t>Collecting Point, Processing Unit, Trader with Storage</t>
        </is>
      </c>
      <c r="C8569" t="inlineStr">
        <is>
          <t>Normec QS BV, Ede, NL</t>
        </is>
      </c>
      <c r="D8569" t="inlineStr">
        <is>
          <t>27.01.2027</t>
        </is>
      </c>
      <c r="E8569" t="inlineStr">
        <is>
          <t>Netherlands</t>
        </is>
      </c>
    </row>
    <row r="8570">
      <c r="A8570" t="inlineStr">
        <is>
          <t>Binapratama Sakatojaya,  Kec. Pulau Punjung Kab. Dharmasraya, Indonesia</t>
        </is>
      </c>
      <c r="B8570" t="inlineStr">
        <is>
          <t>Point of Origin</t>
        </is>
      </c>
      <c r="C8570" t="inlineStr">
        <is>
          <t>PT. Qualitas Sertifikasi Indonesia, Jakarta, ID</t>
        </is>
      </c>
      <c r="D8570" t="inlineStr">
        <is>
          <t>27.01.2027</t>
        </is>
      </c>
      <c r="E8570" t="inlineStr">
        <is>
          <t>Indonesia</t>
        </is>
      </c>
    </row>
    <row r="8571">
      <c r="A8571" t="inlineStr">
        <is>
          <t>Ho.Bag Corporate S.r.l. Unipersonale,  San Vendemiano (TV), Italy</t>
        </is>
      </c>
      <c r="B8571" t="inlineStr">
        <is>
          <t>Processing Unit, Trader with Storage</t>
        </is>
      </c>
      <c r="C8571" t="inlineStr">
        <is>
          <t>RINA Services S.p.A., Genova, IT</t>
        </is>
      </c>
      <c r="D8571" t="inlineStr">
        <is>
          <t>27.01.2027</t>
        </is>
      </c>
      <c r="E8571" t="inlineStr">
        <is>
          <t>Italy</t>
        </is>
      </c>
    </row>
    <row r="8572">
      <c r="A8572" t="inlineStr">
        <is>
          <t>HENAN LEZHIPU IMPORT &amp; EXPORT TRADING CO., LTD,  Zhengzhou, China</t>
        </is>
      </c>
      <c r="B8572" t="inlineStr">
        <is>
          <t>Trader</t>
        </is>
      </c>
      <c r="C8572" t="inlineStr">
        <is>
          <t>RINA Services S.p.A., Genova, IT</t>
        </is>
      </c>
      <c r="D8572" t="inlineStr">
        <is>
          <t>27.01.2027</t>
        </is>
      </c>
      <c r="E8572" t="inlineStr">
        <is>
          <t>China</t>
        </is>
      </c>
    </row>
    <row r="8573">
      <c r="A8573" t="inlineStr">
        <is>
          <t>CCL Tube,  Carson, United States</t>
        </is>
      </c>
      <c r="B8573" t="inlineStr">
        <is>
          <t>Processing Unit</t>
        </is>
      </c>
      <c r="C8573" t="inlineStr">
        <is>
          <t>SCS Global Services, Emeryville, CA, US</t>
        </is>
      </c>
      <c r="D8573" t="inlineStr">
        <is>
          <t>27.01.2027</t>
        </is>
      </c>
      <c r="E8573" t="inlineStr">
        <is>
          <t>United States</t>
        </is>
      </c>
    </row>
    <row r="8574">
      <c r="A8574" t="inlineStr">
        <is>
          <t>Gunung Sawit Abadi,  Kabupaten Pasaman Barat, Provinsi Sumatera Barat, Indonesia</t>
        </is>
      </c>
      <c r="B8574" t="inlineStr">
        <is>
          <t>Point of Origin</t>
        </is>
      </c>
      <c r="C8574" t="inlineStr">
        <is>
          <t>SGS Germany GmbH, Emstek, DE</t>
        </is>
      </c>
      <c r="D8574" t="inlineStr">
        <is>
          <t>27.01.2027</t>
        </is>
      </c>
      <c r="E8574" t="inlineStr">
        <is>
          <t>Indonesia</t>
        </is>
      </c>
    </row>
    <row r="8575">
      <c r="A8575" t="inlineStr">
        <is>
          <t>DGCH SAS,  Saint Sauveur, France</t>
        </is>
      </c>
      <c r="B8575" t="inlineStr">
        <is>
          <t>Collecting Point</t>
        </is>
      </c>
      <c r="C8575" t="inlineStr">
        <is>
          <t>Control Union Certifications Germany GmbH, Berlin, DE</t>
        </is>
      </c>
      <c r="D8575" t="inlineStr">
        <is>
          <t>26.01.2027</t>
        </is>
      </c>
      <c r="E8575" t="inlineStr">
        <is>
          <t>France</t>
        </is>
      </c>
    </row>
    <row r="8576">
      <c r="A8576" t="inlineStr">
        <is>
          <t>Jiangsu Yuanyang Energy Chemical Co., Ltd.,  Taixing, China</t>
        </is>
      </c>
      <c r="B8576" t="inlineStr">
        <is>
          <t>Trader</t>
        </is>
      </c>
      <c r="C8576" t="inlineStr">
        <is>
          <t>RINA Services S.p.A., Genova, IT</t>
        </is>
      </c>
      <c r="D8576" t="inlineStr">
        <is>
          <t>26.01.2027</t>
        </is>
      </c>
      <c r="E8576" t="inlineStr">
        <is>
          <t>China</t>
        </is>
      </c>
    </row>
    <row r="8577">
      <c r="A8577" t="inlineStr">
        <is>
          <t>BP Eastern Mediterranean Limited (Overseas Branch),  Nicosia, Cyprus</t>
        </is>
      </c>
      <c r="B8577" t="inlineStr">
        <is>
          <t>Trader with Storage, Proof of Compliance Trader</t>
        </is>
      </c>
      <c r="C8577" t="inlineStr">
        <is>
          <t>Control Union Certifications Germany GmbH, Berlin, DE</t>
        </is>
      </c>
      <c r="D8577" t="inlineStr">
        <is>
          <t>26.01.2027</t>
        </is>
      </c>
      <c r="E8577" t="inlineStr">
        <is>
          <t>Cyprus</t>
        </is>
      </c>
    </row>
    <row r="8578">
      <c r="A8578" t="inlineStr">
        <is>
          <t>AB-FAT,  Lututów, Poland</t>
        </is>
      </c>
      <c r="B8578" t="inlineStr">
        <is>
          <t>Trader with Storage</t>
        </is>
      </c>
      <c r="C8578" t="inlineStr">
        <is>
          <t>Control Union Poland Sp. z o.o., Zielona Gora, PL</t>
        </is>
      </c>
      <c r="D8578" t="inlineStr">
        <is>
          <t>26.01.2027</t>
        </is>
      </c>
      <c r="E8578" t="inlineStr">
        <is>
          <t>Poland</t>
        </is>
      </c>
    </row>
    <row r="8579">
      <c r="A8579" t="inlineStr">
        <is>
          <t>MPO FRANCE,  Villaines-la-Juhel, France</t>
        </is>
      </c>
      <c r="B8579" t="inlineStr">
        <is>
          <t>Final Product Refinement</t>
        </is>
      </c>
      <c r="C8579" t="inlineStr">
        <is>
          <t>Control Union Certifications Germany GmbH, Berlin, DE</t>
        </is>
      </c>
      <c r="D8579" t="inlineStr">
        <is>
          <t>26.01.2027</t>
        </is>
      </c>
      <c r="E8579" t="inlineStr">
        <is>
          <t>France</t>
        </is>
      </c>
    </row>
    <row r="8580">
      <c r="A8580" t="inlineStr">
        <is>
          <t>Synthomer France SAS,  Ribécourt - Dreslincourt, France</t>
        </is>
      </c>
      <c r="B8580" t="inlineStr">
        <is>
          <t>Processing Unit</t>
        </is>
      </c>
      <c r="C8580" t="inlineStr">
        <is>
          <t>SGS Germany GmbH, Emstek, DE</t>
        </is>
      </c>
      <c r="D8580" t="inlineStr">
        <is>
          <t>26.01.2027</t>
        </is>
      </c>
      <c r="E8580" t="inlineStr">
        <is>
          <t>France</t>
        </is>
      </c>
    </row>
    <row r="8581">
      <c r="A8581" t="inlineStr">
        <is>
          <t>Gerefran 2014 S.L.U.,  Totana (Murcia), Spain</t>
        </is>
      </c>
      <c r="B8581" t="inlineStr">
        <is>
          <t>Collecting Point</t>
        </is>
      </c>
      <c r="C8581" t="inlineStr">
        <is>
          <t>Bureau Veritas Polska Sp. z o.o., Warsaw, PL</t>
        </is>
      </c>
      <c r="D8581" t="inlineStr">
        <is>
          <t>26.01.2027</t>
        </is>
      </c>
      <c r="E8581" t="inlineStr">
        <is>
          <t>Spain</t>
        </is>
      </c>
    </row>
    <row r="8582">
      <c r="A8582" t="inlineStr">
        <is>
          <t>Double Corporate Sdn Bhd,  Mentakab, Malaysia</t>
        </is>
      </c>
      <c r="B8582" t="inlineStr">
        <is>
          <t>Collecting Point, Trader with Storage, Processing Unit</t>
        </is>
      </c>
      <c r="C8582" t="inlineStr">
        <is>
          <t>Trans Certification and Inspection Sdn Bhd, Kuantan, MY</t>
        </is>
      </c>
      <c r="D8582" t="inlineStr">
        <is>
          <t>26.01.2027</t>
        </is>
      </c>
      <c r="E8582" t="inlineStr">
        <is>
          <t>Malaysia</t>
        </is>
      </c>
    </row>
    <row r="8583">
      <c r="A8583" t="inlineStr">
        <is>
          <t>PT Hamparan Khatulistiwa Indah,  Kab. Kutai Barat, Provinsi Kalimantan Timur, Indonesia</t>
        </is>
      </c>
      <c r="B8583" t="inlineStr">
        <is>
          <t>Point of Origin</t>
        </is>
      </c>
      <c r="C8583" t="inlineStr">
        <is>
          <t>PT. Qualitas Sertifikasi Indonesia, Jakarta, ID</t>
        </is>
      </c>
      <c r="D8583" t="inlineStr">
        <is>
          <t>26.01.2027</t>
        </is>
      </c>
      <c r="E8583" t="inlineStr">
        <is>
          <t>Indonesia</t>
        </is>
      </c>
    </row>
    <row r="8584">
      <c r="A8584" t="inlineStr">
        <is>
          <t>Mitsubishi Corporation Plastics Ltd.,  Chiyoda-ku, Tokyo, Japan</t>
        </is>
      </c>
      <c r="B8584" t="inlineStr">
        <is>
          <t>Trader</t>
        </is>
      </c>
      <c r="C8584" t="inlineStr">
        <is>
          <t>Control Union Certifications Germany GmbH, Berlin, DE</t>
        </is>
      </c>
      <c r="D8584" t="inlineStr">
        <is>
          <t>26.01.2027</t>
        </is>
      </c>
      <c r="E8584" t="inlineStr">
        <is>
          <t>Japan</t>
        </is>
      </c>
    </row>
    <row r="8585">
      <c r="A8585" t="inlineStr">
        <is>
          <t>Yee Lee Edible Oils,  Ipoh, Malaysia</t>
        </is>
      </c>
      <c r="B8585" t="inlineStr">
        <is>
          <t>Point of Origin</t>
        </is>
      </c>
      <c r="C8585" t="inlineStr">
        <is>
          <t>Control Union Certifications Germany GmbH, Berlin, DE</t>
        </is>
      </c>
      <c r="D8585" t="inlineStr">
        <is>
          <t>26.01.2027</t>
        </is>
      </c>
      <c r="E8585" t="inlineStr">
        <is>
          <t>Malaysia</t>
        </is>
      </c>
    </row>
    <row r="8586">
      <c r="A8586" t="inlineStr">
        <is>
          <t>Tereos Commodities France,  Moussy le vieux , France</t>
        </is>
      </c>
      <c r="B8586" t="inlineStr">
        <is>
          <t>Trader with Storage</t>
        </is>
      </c>
      <c r="C8586" t="inlineStr">
        <is>
          <t>Control Union Certifications Germany GmbH, Berlin, DE</t>
        </is>
      </c>
      <c r="D8586" t="inlineStr">
        <is>
          <t>26.01.2027</t>
        </is>
      </c>
      <c r="E8586" t="inlineStr">
        <is>
          <t>France</t>
        </is>
      </c>
    </row>
    <row r="8587">
      <c r="A8587" t="inlineStr">
        <is>
          <t>OVERSEAS BRANCH - BP Europa SE, Hamburg, Zweigniederlassung BP (Switzerland) Baar,  Baar, Switzerland</t>
        </is>
      </c>
      <c r="B8587" t="inlineStr">
        <is>
          <t>Proof of Compliance Trader, Trader with Storage</t>
        </is>
      </c>
      <c r="C8587" t="inlineStr">
        <is>
          <t>Control Union Certifications Germany GmbH, Berlin, DE</t>
        </is>
      </c>
      <c r="D8587" t="inlineStr">
        <is>
          <t>26.01.2027</t>
        </is>
      </c>
      <c r="E8587" t="inlineStr">
        <is>
          <t>Switzerland</t>
        </is>
      </c>
    </row>
    <row r="8588">
      <c r="A8588" t="inlineStr">
        <is>
          <t>Enagás Transporte SAU,  Barcelona, Spain</t>
        </is>
      </c>
      <c r="B8588" t="inlineStr">
        <is>
          <t>Processing Unit</t>
        </is>
      </c>
      <c r="C8588" t="inlineStr">
        <is>
          <t>Certificadora Gallega del Noroeste SL, Vilagarcia de Arousa-Pontevedra, ES</t>
        </is>
      </c>
      <c r="D8588" t="inlineStr">
        <is>
          <t>26.01.2027</t>
        </is>
      </c>
      <c r="E8588" t="inlineStr">
        <is>
          <t>Spain</t>
        </is>
      </c>
    </row>
    <row r="8589">
      <c r="A8589" t="inlineStr">
        <is>
          <t>Enagás Transporte SAU,  Palos de la Frontera, Huelva, Spain</t>
        </is>
      </c>
      <c r="B8589" t="inlineStr">
        <is>
          <t>Processing Unit</t>
        </is>
      </c>
      <c r="C8589" t="inlineStr">
        <is>
          <t>Certificadora Gallega del Noroeste SL, Vilagarcia de Arousa-Pontevedra, ES</t>
        </is>
      </c>
      <c r="D8589" t="inlineStr">
        <is>
          <t>26.01.2027</t>
        </is>
      </c>
      <c r="E8589" t="inlineStr">
        <is>
          <t>Spain</t>
        </is>
      </c>
    </row>
    <row r="8590">
      <c r="A8590" t="inlineStr">
        <is>
          <t>ADONY LOGISZTIKAI KÖZPONT Kft.,  Adony, Hungary</t>
        </is>
      </c>
      <c r="B8590" t="inlineStr">
        <is>
          <t>Trader with Storage, Warehouse, First Gathering Point</t>
        </is>
      </c>
      <c r="C8590" t="inlineStr">
        <is>
          <t>Amspec Iberia SL, Vilagarcia de Arousa-Pontevedra, ES</t>
        </is>
      </c>
      <c r="D8590" t="inlineStr">
        <is>
          <t>26.01.2027</t>
        </is>
      </c>
      <c r="E8590" t="inlineStr">
        <is>
          <t>Hungary</t>
        </is>
      </c>
    </row>
    <row r="8591">
      <c r="A8591" t="inlineStr">
        <is>
          <t>Mitsui &amp; Co. Plastics Ltd.,  Chiyoda-ku, Tokyo, Japan</t>
        </is>
      </c>
      <c r="B8591" t="inlineStr">
        <is>
          <t>Trader</t>
        </is>
      </c>
      <c r="C8591" t="inlineStr">
        <is>
          <t>Control Union Certifications Germany GmbH, Berlin, DE</t>
        </is>
      </c>
      <c r="D8591" t="inlineStr">
        <is>
          <t>26.01.2027</t>
        </is>
      </c>
      <c r="E8591" t="inlineStr">
        <is>
          <t>Japan</t>
        </is>
      </c>
    </row>
    <row r="8592">
      <c r="A8592" t="inlineStr">
        <is>
          <t>Weener Plastics,  Lerma, Mexico</t>
        </is>
      </c>
      <c r="B8592" t="inlineStr">
        <is>
          <t>Processing Unit</t>
        </is>
      </c>
      <c r="C8592" t="inlineStr">
        <is>
          <t>SCS Global Services, Emeryville, CA, US</t>
        </is>
      </c>
      <c r="D8592" t="inlineStr">
        <is>
          <t>26.01.2027</t>
        </is>
      </c>
      <c r="E8592" t="inlineStr">
        <is>
          <t>Mexico</t>
        </is>
      </c>
    </row>
    <row r="8593">
      <c r="A8593" t="inlineStr">
        <is>
          <t>Czech Mill a.s.,  Dětmarovice, Czech Republic</t>
        </is>
      </c>
      <c r="B8593" t="inlineStr">
        <is>
          <t>Trader with Storage, Processing Unit</t>
        </is>
      </c>
      <c r="C8593" t="inlineStr">
        <is>
          <t>TÜV SÜD Czech s.r.o., Praha 4, CZ</t>
        </is>
      </c>
      <c r="D8593" t="inlineStr">
        <is>
          <t>26.01.2027</t>
        </is>
      </c>
      <c r="E8593" t="inlineStr">
        <is>
          <t>Czech Republic</t>
        </is>
      </c>
    </row>
    <row r="8594">
      <c r="A8594" t="inlineStr">
        <is>
          <t>Valero Renewable Fuels Company,  Hartley, United States</t>
        </is>
      </c>
      <c r="B8594" t="inlineStr">
        <is>
          <t>Processing Unit</t>
        </is>
      </c>
      <c r="C8594" t="inlineStr">
        <is>
          <t>SCS Global Services, Emeryville, CA, US</t>
        </is>
      </c>
      <c r="D8594" t="inlineStr">
        <is>
          <t>26.01.2027</t>
        </is>
      </c>
      <c r="E8594" t="inlineStr">
        <is>
          <t>United States</t>
        </is>
      </c>
    </row>
    <row r="8595">
      <c r="A8595" t="inlineStr">
        <is>
          <t>Rathi Industrial Enterprises,  Gummidipoondi, Tamil Nadu, India</t>
        </is>
      </c>
      <c r="B8595" t="inlineStr">
        <is>
          <t>Processing Unit</t>
        </is>
      </c>
      <c r="C8595" t="inlineStr">
        <is>
          <t>Cotecna India Inspection Pvt Ltd, Kolkata, IN</t>
        </is>
      </c>
      <c r="D8595" t="inlineStr">
        <is>
          <t>26.01.2027</t>
        </is>
      </c>
      <c r="E8595" t="inlineStr">
        <is>
          <t>India</t>
        </is>
      </c>
    </row>
    <row r="8596">
      <c r="A8596" t="inlineStr">
        <is>
          <t>FINSTER BLACK PVT LTD,  VILLAGE VANIVALI/LOHOP, TAL. KHALAPUR, DIST.RAIGAD, India</t>
        </is>
      </c>
      <c r="B8596" t="inlineStr">
        <is>
          <t>Collecting Point, Processing Unit, Trader with Storage</t>
        </is>
      </c>
      <c r="C8596" t="inlineStr">
        <is>
          <t>Cotecna India Inspection Pvt Ltd, Kolkata, IN</t>
        </is>
      </c>
      <c r="D8596" t="inlineStr">
        <is>
          <t>26.01.2027</t>
        </is>
      </c>
      <c r="E8596" t="inlineStr">
        <is>
          <t>India</t>
        </is>
      </c>
    </row>
    <row r="8597">
      <c r="A8597" t="inlineStr">
        <is>
          <t>FUEL LOGISTICS, S.A.C.,  Lima, Peru</t>
        </is>
      </c>
      <c r="B8597" t="inlineStr">
        <is>
          <t>Trader</t>
        </is>
      </c>
      <c r="C8597" t="inlineStr">
        <is>
          <t>Certificadora Gallega del Noroeste SL, Vilagarcia de Arousa-Pontevedra, ES</t>
        </is>
      </c>
      <c r="D8597" t="inlineStr">
        <is>
          <t>26.01.2027</t>
        </is>
      </c>
      <c r="E8597" t="inlineStr">
        <is>
          <t>Peru</t>
        </is>
      </c>
    </row>
    <row r="8598">
      <c r="A8598" t="inlineStr">
        <is>
          <t>Fuel and Marine Oil,  Lima, Peru</t>
        </is>
      </c>
      <c r="B8598" t="inlineStr">
        <is>
          <t>Trader</t>
        </is>
      </c>
      <c r="C8598" t="inlineStr">
        <is>
          <t>Certificadora Gallega del Noroeste SL, Vilagarcia de Arousa-Pontevedra, ES</t>
        </is>
      </c>
      <c r="D8598" t="inlineStr">
        <is>
          <t>26.01.2027</t>
        </is>
      </c>
      <c r="E8598" t="inlineStr">
        <is>
          <t>Peru</t>
        </is>
      </c>
    </row>
    <row r="8599">
      <c r="A8599" t="inlineStr">
        <is>
          <t>INOVYN Europe Limited,  Stathelle, Norway</t>
        </is>
      </c>
      <c r="B8599" t="inlineStr">
        <is>
          <t>Processing Unit</t>
        </is>
      </c>
      <c r="C8599" t="inlineStr">
        <is>
          <t>SCS Global Services, Emeryville, CA, US</t>
        </is>
      </c>
      <c r="D8599" t="inlineStr">
        <is>
          <t>26.01.2027</t>
        </is>
      </c>
      <c r="E8599" t="inlineStr">
        <is>
          <t>Norway</t>
        </is>
      </c>
    </row>
    <row r="8600">
      <c r="A8600" t="inlineStr">
        <is>
          <t>OCEAN ENERGY BUNKERING (HK) CO., LIMITED,  Shenzhen, Guangdong Province, China</t>
        </is>
      </c>
      <c r="B8600" t="inlineStr">
        <is>
          <t>Trader</t>
        </is>
      </c>
      <c r="C8600" t="inlineStr">
        <is>
          <t>SCS Global Services, Emeryville, CA, US</t>
        </is>
      </c>
      <c r="D8600" t="inlineStr">
        <is>
          <t>26.01.2027</t>
        </is>
      </c>
      <c r="E8600" t="inlineStr">
        <is>
          <t>China</t>
        </is>
      </c>
    </row>
    <row r="8601">
      <c r="A8601" t="inlineStr">
        <is>
          <t>Puyang Longdu Environmental Protection Technology Co., Ltd,  Puyang City, Henan Province, China, China</t>
        </is>
      </c>
      <c r="B8601" t="inlineStr">
        <is>
          <t>Trader</t>
        </is>
      </c>
      <c r="C8601" t="inlineStr">
        <is>
          <t>SCS Global Services, Emeryville, CA, US</t>
        </is>
      </c>
      <c r="D8601" t="inlineStr">
        <is>
          <t>26.01.2027</t>
        </is>
      </c>
      <c r="E8601" t="inlineStr">
        <is>
          <t>China</t>
        </is>
      </c>
    </row>
    <row r="8602">
      <c r="A8602" t="inlineStr">
        <is>
          <t>Olam Global Agri,  Singapore, Singapore</t>
        </is>
      </c>
      <c r="B8602" t="inlineStr">
        <is>
          <t>Trader with Storage</t>
        </is>
      </c>
      <c r="C8602" t="inlineStr">
        <is>
          <t>SGS Germany GmbH, Emstek, DE</t>
        </is>
      </c>
      <c r="D8602" t="inlineStr">
        <is>
          <t>26.01.2027</t>
        </is>
      </c>
      <c r="E8602" t="inlineStr">
        <is>
          <t>Singapore</t>
        </is>
      </c>
    </row>
    <row r="8603">
      <c r="A8603" t="inlineStr">
        <is>
          <t>PT Anugerah Pelangi Sukses,  Kaur Regency, Bengkulu Province, Indonesia</t>
        </is>
      </c>
      <c r="B8603" t="inlineStr">
        <is>
          <t>Point of Origin</t>
        </is>
      </c>
      <c r="C8603" t="inlineStr">
        <is>
          <t>PT. Qualitas Sertifikasi Indonesia, Jakarta, ID</t>
        </is>
      </c>
      <c r="D8603" t="inlineStr">
        <is>
          <t>26.01.2027</t>
        </is>
      </c>
      <c r="E8603" t="inlineStr">
        <is>
          <t>Indonesia</t>
        </is>
      </c>
    </row>
    <row r="8604">
      <c r="A8604" t="inlineStr">
        <is>
          <t>PT Usaha Sawit Mandiri,  Koto Balingka, Indonesia</t>
        </is>
      </c>
      <c r="B8604" t="inlineStr">
        <is>
          <t>Point of Origin, Processing Unit</t>
        </is>
      </c>
      <c r="C8604" t="inlineStr">
        <is>
          <t>SGS Germany GmbH, Emstek, DE</t>
        </is>
      </c>
      <c r="D8604" t="inlineStr">
        <is>
          <t>26.01.2027</t>
        </is>
      </c>
      <c r="E8604" t="inlineStr">
        <is>
          <t>Indonesia</t>
        </is>
      </c>
    </row>
    <row r="8605">
      <c r="A8605" t="inlineStr">
        <is>
          <t>PT Usaha Sawit Mandiri,  Koto Balingka, Indonesia</t>
        </is>
      </c>
      <c r="B8605" t="inlineStr">
        <is>
          <t>Point of Origin</t>
        </is>
      </c>
      <c r="C8605" t="inlineStr">
        <is>
          <t>SGS Germany GmbH, Emstek, DE</t>
        </is>
      </c>
      <c r="D8605" t="inlineStr">
        <is>
          <t>26.01.2027</t>
        </is>
      </c>
      <c r="E8605" t="inlineStr">
        <is>
          <t>Indonesia</t>
        </is>
      </c>
    </row>
    <row r="8606">
      <c r="A8606" t="inlineStr">
        <is>
          <t>UBE Elastomer Co. Ltd.,  Ichihara, Chiba, Japan</t>
        </is>
      </c>
      <c r="B8606" t="inlineStr">
        <is>
          <t>Processing Unit</t>
        </is>
      </c>
      <c r="C8606" t="inlineStr">
        <is>
          <t>SGS Germany GmbH, Emstek, DE</t>
        </is>
      </c>
      <c r="D8606" t="inlineStr">
        <is>
          <t>26.01.2027</t>
        </is>
      </c>
      <c r="E8606" t="inlineStr">
        <is>
          <t>Japan</t>
        </is>
      </c>
    </row>
    <row r="8607">
      <c r="A8607" t="inlineStr">
        <is>
          <t>Sumber Pangan Cemerlang,  Kota Dumai, Indonesia</t>
        </is>
      </c>
      <c r="B8607" t="inlineStr">
        <is>
          <t>Point of Origin, Trader with Storage</t>
        </is>
      </c>
      <c r="C8607" t="inlineStr">
        <is>
          <t>PT SBC Asia Sertifikasi, Kebumen, ID</t>
        </is>
      </c>
      <c r="D8607" t="inlineStr">
        <is>
          <t>26.01.2027</t>
        </is>
      </c>
      <c r="E8607" t="inlineStr">
        <is>
          <t>Indonesia</t>
        </is>
      </c>
    </row>
    <row r="8608">
      <c r="A8608" t="inlineStr">
        <is>
          <t>PRIMA MAKMUR CAKRAWALA,  Kota Dumai, Indonesia</t>
        </is>
      </c>
      <c r="B8608" t="inlineStr">
        <is>
          <t>Point of Origin, Trader with Storage, Warehouse, Processing Unit</t>
        </is>
      </c>
      <c r="C8608" t="inlineStr">
        <is>
          <t>PT SBC Asia Sertifikasi, Kebumen, ID</t>
        </is>
      </c>
      <c r="D8608" t="inlineStr">
        <is>
          <t>26.01.2027</t>
        </is>
      </c>
      <c r="E8608" t="inlineStr">
        <is>
          <t>Indonesia</t>
        </is>
      </c>
    </row>
    <row r="8609">
      <c r="A8609" t="inlineStr">
        <is>
          <t>CHORI (CHINA) CO., LTD.,  SHANGHAI, China</t>
        </is>
      </c>
      <c r="B8609" t="inlineStr">
        <is>
          <t>Trader</t>
        </is>
      </c>
      <c r="C8609" t="inlineStr">
        <is>
          <t>SCS Global Services, Emeryville, CA, US</t>
        </is>
      </c>
      <c r="D8609" t="inlineStr">
        <is>
          <t>26.01.2027</t>
        </is>
      </c>
      <c r="E8609" t="inlineStr">
        <is>
          <t>China</t>
        </is>
      </c>
    </row>
    <row r="8610">
      <c r="A8610" t="inlineStr">
        <is>
          <t>SIG allCap AG,  Neuhausen, Switzerland</t>
        </is>
      </c>
      <c r="B8610" t="inlineStr">
        <is>
          <t>Processing Unit</t>
        </is>
      </c>
      <c r="C8610" t="inlineStr">
        <is>
          <t>PT Intertek Utama Services, Jakarta, ID</t>
        </is>
      </c>
      <c r="D8610" t="inlineStr">
        <is>
          <t>26.01.2027</t>
        </is>
      </c>
      <c r="E8610" t="inlineStr">
        <is>
          <t>Switzerland</t>
        </is>
      </c>
    </row>
    <row r="8611">
      <c r="A8611" t="inlineStr">
        <is>
          <t>Alpha Container Industries (Private) Limited,  Metroville SITE Karachi, Pakistan</t>
        </is>
      </c>
      <c r="B8611" t="inlineStr">
        <is>
          <t>Processing Unit</t>
        </is>
      </c>
      <c r="C8611" t="inlineStr">
        <is>
          <t>PT Intertek Utama Services, Jakarta, ID</t>
        </is>
      </c>
      <c r="D8611" t="inlineStr">
        <is>
          <t>26.01.2027</t>
        </is>
      </c>
      <c r="E8611" t="inlineStr">
        <is>
          <t>Pakistan</t>
        </is>
      </c>
    </row>
    <row r="8612">
      <c r="A8612" t="inlineStr">
        <is>
          <t>Grandblue (Foshan) New Energy Operations Co., Ltd,  Foshan City, Guangdong Province, China</t>
        </is>
      </c>
      <c r="B8612" t="inlineStr">
        <is>
          <t>Processing Unit</t>
        </is>
      </c>
      <c r="C8612" t="inlineStr">
        <is>
          <t>SCS Global Services, Emeryville, CA, US</t>
        </is>
      </c>
      <c r="D8612" t="inlineStr">
        <is>
          <t>26.01.2027</t>
        </is>
      </c>
      <c r="E8612" t="inlineStr">
        <is>
          <t>China</t>
        </is>
      </c>
    </row>
    <row r="8613">
      <c r="A8613" t="inlineStr">
        <is>
          <t>Rayan Advanced Industrial Company,  Riyadh, Saudi Arabia</t>
        </is>
      </c>
      <c r="B8613" t="inlineStr">
        <is>
          <t>Processing Unit</t>
        </is>
      </c>
      <c r="C8613" t="inlineStr">
        <is>
          <t>PT Intertek Utama Services, Jakarta, ID</t>
        </is>
      </c>
      <c r="D8613" t="inlineStr">
        <is>
          <t>26.01.2027</t>
        </is>
      </c>
      <c r="E8613" t="inlineStr">
        <is>
          <t>Saudi Arabia</t>
        </is>
      </c>
    </row>
    <row r="8614">
      <c r="A8614" t="inlineStr">
        <is>
          <t>Sichuan Zhongsende Urban Sanitation Service Co., Ltd.,  Chengdu City, Sichuan Province, China</t>
        </is>
      </c>
      <c r="B8614" t="inlineStr">
        <is>
          <t>Collecting Point, Trader with Storage</t>
        </is>
      </c>
      <c r="C8614" t="inlineStr">
        <is>
          <t>SCS Global Services, Emeryville, CA, US</t>
        </is>
      </c>
      <c r="D8614" t="inlineStr">
        <is>
          <t>26.01.2027</t>
        </is>
      </c>
      <c r="E8614" t="inlineStr">
        <is>
          <t>China</t>
        </is>
      </c>
    </row>
    <row r="8615">
      <c r="A8615" t="inlineStr">
        <is>
          <t>HBS Hamburg Bunker-Service GmbH,  Hamburg, Germany</t>
        </is>
      </c>
      <c r="B8615" t="inlineStr">
        <is>
          <t>Trader with Storage</t>
        </is>
      </c>
      <c r="C8615" t="inlineStr">
        <is>
          <t>SGS Germany GmbH, Emstek, DE</t>
        </is>
      </c>
      <c r="D8615" t="inlineStr">
        <is>
          <t>26.01.2027</t>
        </is>
      </c>
      <c r="E8615" t="inlineStr">
        <is>
          <t>Germany</t>
        </is>
      </c>
    </row>
    <row r="8616">
      <c r="A8616" t="inlineStr">
        <is>
          <t>FP Corporation Kannabe Plant,  Fukuyama-shi, Japan</t>
        </is>
      </c>
      <c r="B8616" t="inlineStr">
        <is>
          <t>Processing Unit</t>
        </is>
      </c>
      <c r="C8616" t="inlineStr">
        <is>
          <t>SGS Germany GmbH, Emstek, DE</t>
        </is>
      </c>
      <c r="D8616" t="inlineStr">
        <is>
          <t>26.01.2027</t>
        </is>
      </c>
      <c r="E8616" t="inlineStr">
        <is>
          <t>Japan</t>
        </is>
      </c>
    </row>
    <row r="8617">
      <c r="A8617" t="inlineStr">
        <is>
          <t>Yenbu Yag ve Kimya Sanayi ve Ticaret Ltd. Sti.,  Gaziantep, Turkey</t>
        </is>
      </c>
      <c r="B8617" t="inlineStr">
        <is>
          <t>Collecting Point, Processing Unit, Trader with Storage, Point of Origin</t>
        </is>
      </c>
      <c r="C8617" t="inlineStr">
        <is>
          <t>Trans Certification and Inspection Sdn Bhd, Kuantan, MY</t>
        </is>
      </c>
      <c r="D8617" t="inlineStr">
        <is>
          <t>26.01.2027</t>
        </is>
      </c>
      <c r="E8617" t="inlineStr">
        <is>
          <t>Turkey</t>
        </is>
      </c>
    </row>
    <row r="8618">
      <c r="A8618" t="inlineStr">
        <is>
          <t>Pirelli Neumaticos S.A de C.V,  Silao de la Victoria, Mexico</t>
        </is>
      </c>
      <c r="B8618" t="inlineStr">
        <is>
          <t>Processing Unit, Trader with Storage</t>
        </is>
      </c>
      <c r="C8618" t="inlineStr">
        <is>
          <t>RINA Services S.p.A., Genova, IT</t>
        </is>
      </c>
      <c r="D8618" t="inlineStr">
        <is>
          <t>26.01.2027</t>
        </is>
      </c>
      <c r="E8618" t="inlineStr">
        <is>
          <t>Mexico</t>
        </is>
      </c>
    </row>
    <row r="8619">
      <c r="A8619" t="inlineStr">
        <is>
          <t>HS Hyosung Luxembourg,  Colmar-Berg, Luxembourg</t>
        </is>
      </c>
      <c r="B8619" t="inlineStr">
        <is>
          <t>Processing Unit, Trader with Storage</t>
        </is>
      </c>
      <c r="C8619" t="inlineStr">
        <is>
          <t>DQS CFS GmbH - Deutsche Gesellschaft für Nachhaltigkeit, Frankfurt am Main, DE</t>
        </is>
      </c>
      <c r="D8619" t="inlineStr">
        <is>
          <t>26.01.2027</t>
        </is>
      </c>
      <c r="E8619" t="inlineStr">
        <is>
          <t>Luxembourg</t>
        </is>
      </c>
    </row>
    <row r="8620">
      <c r="A8620" t="inlineStr">
        <is>
          <t>Air bp Iceland,  Reykjavik, Iceland</t>
        </is>
      </c>
      <c r="B8620" t="inlineStr">
        <is>
          <t>Proof of Compliance Trader, Trader with Storage</t>
        </is>
      </c>
      <c r="C8620" t="inlineStr">
        <is>
          <t>Control Union Certifications Germany GmbH, Berlin, DE</t>
        </is>
      </c>
      <c r="D8620" t="inlineStr">
        <is>
          <t>26.01.2027</t>
        </is>
      </c>
      <c r="E8620" t="inlineStr">
        <is>
          <t>Iceland</t>
        </is>
      </c>
    </row>
    <row r="8621">
      <c r="A8621" t="inlineStr">
        <is>
          <t>CEAT LTD,  AMBERNATH, THANE, India</t>
        </is>
      </c>
      <c r="B8621" t="inlineStr">
        <is>
          <t>Processing Unit</t>
        </is>
      </c>
      <c r="C8621" t="inlineStr">
        <is>
          <t>Cotecna India Inspection Pvt Ltd, Kolkata, IN</t>
        </is>
      </c>
      <c r="D8621" t="inlineStr">
        <is>
          <t>26.01.2027</t>
        </is>
      </c>
      <c r="E8621" t="inlineStr">
        <is>
          <t>India</t>
        </is>
      </c>
    </row>
    <row r="8622">
      <c r="A8622" t="inlineStr">
        <is>
          <t>BAHIA DE BIZKAIA GAS, S. L.,  ZIERBENA, Spain</t>
        </is>
      </c>
      <c r="B8622" t="inlineStr">
        <is>
          <t>Processing Unit</t>
        </is>
      </c>
      <c r="C8622" t="inlineStr">
        <is>
          <t>Control Union Poland Sp. z o.o., Zielona Gora, PL</t>
        </is>
      </c>
      <c r="D8622" t="inlineStr">
        <is>
          <t>26.01.2027</t>
        </is>
      </c>
      <c r="E8622" t="inlineStr">
        <is>
          <t>Spain</t>
        </is>
      </c>
    </row>
    <row r="8623">
      <c r="A8623" t="inlineStr">
        <is>
          <t>OVERSEAS BRANCH - BP Europa SE - BP Belgium,  Gent, Belgium</t>
        </is>
      </c>
      <c r="B8623" t="inlineStr">
        <is>
          <t>Trader with Storage, Proof of Compliance Trader</t>
        </is>
      </c>
      <c r="C8623" t="inlineStr">
        <is>
          <t>Control Union Certifications Germany GmbH, Berlin, DE</t>
        </is>
      </c>
      <c r="D8623" t="inlineStr">
        <is>
          <t>26.01.2027</t>
        </is>
      </c>
      <c r="E8623" t="inlineStr">
        <is>
          <t>Belgium</t>
        </is>
      </c>
    </row>
    <row r="8624">
      <c r="A8624" t="inlineStr">
        <is>
          <t>Aral Luxembourg S.A.,  Bertrange, Luxembourg</t>
        </is>
      </c>
      <c r="B8624" t="inlineStr">
        <is>
          <t>Trader with Storage, Proof of Compliance Trader</t>
        </is>
      </c>
      <c r="C8624" t="inlineStr">
        <is>
          <t>Control Union Certifications Germany GmbH, Berlin, DE</t>
        </is>
      </c>
      <c r="D8624" t="inlineStr">
        <is>
          <t>26.01.2027</t>
        </is>
      </c>
      <c r="E8624" t="inlineStr">
        <is>
          <t>Luxembourg</t>
        </is>
      </c>
    </row>
    <row r="8625">
      <c r="A8625" t="inlineStr">
        <is>
          <t>Koch Supply &amp; Trading, LP,  Wichita, United States</t>
        </is>
      </c>
      <c r="B8625" t="inlineStr">
        <is>
          <t>Trader</t>
        </is>
      </c>
      <c r="C8625" t="inlineStr">
        <is>
          <t>SCS Global Services, Emeryville, CA, US</t>
        </is>
      </c>
      <c r="D8625" t="inlineStr">
        <is>
          <t>26.01.2027</t>
        </is>
      </c>
      <c r="E8625" t="inlineStr">
        <is>
          <t>United States</t>
        </is>
      </c>
    </row>
    <row r="8626">
      <c r="A8626" t="inlineStr">
        <is>
          <t>JAYA BUMI SAWIT,  Pekanbaru, Indonesia</t>
        </is>
      </c>
      <c r="B8626" t="inlineStr">
        <is>
          <t>Point of Origin</t>
        </is>
      </c>
      <c r="C8626" t="inlineStr">
        <is>
          <t>RINA Services S.p.A., Genova, IT</t>
        </is>
      </c>
      <c r="D8626" t="inlineStr">
        <is>
          <t>26.01.2027</t>
        </is>
      </c>
      <c r="E8626" t="inlineStr">
        <is>
          <t>Indonesia</t>
        </is>
      </c>
    </row>
    <row r="8627">
      <c r="A8627" t="inlineStr">
        <is>
          <t>Aster Polymer Solutions,  Jurong Island, Singapore</t>
        </is>
      </c>
      <c r="B8627" t="inlineStr">
        <is>
          <t>Processing Unit</t>
        </is>
      </c>
      <c r="C8627" t="inlineStr">
        <is>
          <t>SCS Global Services, Emeryville, CA, US</t>
        </is>
      </c>
      <c r="D8627" t="inlineStr">
        <is>
          <t>26.01.2027</t>
        </is>
      </c>
      <c r="E8627" t="inlineStr">
        <is>
          <t>Singapore</t>
        </is>
      </c>
    </row>
    <row r="8628">
      <c r="A8628" t="inlineStr">
        <is>
          <t>Nexeo Plastics Sweden,  Stockholm, Sweden</t>
        </is>
      </c>
      <c r="B8628" t="inlineStr">
        <is>
          <t>Trader</t>
        </is>
      </c>
      <c r="C8628" t="inlineStr">
        <is>
          <t>Bureau Veritas Polska Sp. z o.o., Warsaw, PL</t>
        </is>
      </c>
      <c r="D8628" t="inlineStr">
        <is>
          <t>26.01.2027</t>
        </is>
      </c>
      <c r="E8628" t="inlineStr">
        <is>
          <t>Sweden</t>
        </is>
      </c>
    </row>
    <row r="8629">
      <c r="A8629" t="inlineStr">
        <is>
          <t>STX Corporation,  Seoul, South Korea</t>
        </is>
      </c>
      <c r="B8629" t="inlineStr">
        <is>
          <t>Trader</t>
        </is>
      </c>
      <c r="C8629" t="inlineStr">
        <is>
          <t>Control Union Certifications Germany GmbH, Berlin, DE</t>
        </is>
      </c>
      <c r="D8629" t="inlineStr">
        <is>
          <t>26.01.2027</t>
        </is>
      </c>
      <c r="E8629" t="inlineStr">
        <is>
          <t>South Korea</t>
        </is>
      </c>
    </row>
    <row r="8630">
      <c r="A8630" t="inlineStr">
        <is>
          <t>sacchettificio nazionale g. corazza,  ponte san nicolò, Italy</t>
        </is>
      </c>
      <c r="B8630" t="inlineStr">
        <is>
          <t>Processing Unit</t>
        </is>
      </c>
      <c r="C8630" t="inlineStr">
        <is>
          <t>RINA Services S.p.A., Genova, IT</t>
        </is>
      </c>
      <c r="D8630" t="inlineStr">
        <is>
          <t>26.01.2027</t>
        </is>
      </c>
      <c r="E8630" t="inlineStr">
        <is>
          <t>Italy</t>
        </is>
      </c>
    </row>
    <row r="8631">
      <c r="A8631" t="inlineStr">
        <is>
          <t>BP Aviation A/S,  København, Denmark</t>
        </is>
      </c>
      <c r="B8631" t="inlineStr">
        <is>
          <t>Proof of Compliance Trader, Trader with Storage</t>
        </is>
      </c>
      <c r="C8631" t="inlineStr">
        <is>
          <t>Control Union Certifications Germany GmbH, Berlin, DE</t>
        </is>
      </c>
      <c r="D8631" t="inlineStr">
        <is>
          <t>26.01.2027</t>
        </is>
      </c>
      <c r="E8631" t="inlineStr">
        <is>
          <t>Denmark</t>
        </is>
      </c>
    </row>
    <row r="8632">
      <c r="A8632" t="inlineStr">
        <is>
          <t>Ecomaison,  Paris, France</t>
        </is>
      </c>
      <c r="B8632" t="inlineStr">
        <is>
          <t>Central Office (Group of Point of Origin), Collecting Point</t>
        </is>
      </c>
      <c r="C8632" t="inlineStr">
        <is>
          <t>Bureau Veritas Polska Sp. z o.o., Warsaw, PL</t>
        </is>
      </c>
      <c r="D8632" t="inlineStr">
        <is>
          <t>26.01.2027</t>
        </is>
      </c>
      <c r="E8632" t="inlineStr">
        <is>
          <t>France</t>
        </is>
      </c>
    </row>
    <row r="8633">
      <c r="A8633" t="inlineStr">
        <is>
          <t>Nexeo Plastics Italy,  Luzzara (RE), Italy</t>
        </is>
      </c>
      <c r="B8633" t="inlineStr">
        <is>
          <t>Trader with Storage</t>
        </is>
      </c>
      <c r="C8633" t="inlineStr">
        <is>
          <t>Bureau Veritas Polska Sp. z o.o., Warsaw, PL</t>
        </is>
      </c>
      <c r="D8633" t="inlineStr">
        <is>
          <t>26.01.2027</t>
        </is>
      </c>
      <c r="E8633" t="inlineStr">
        <is>
          <t>Italy</t>
        </is>
      </c>
    </row>
    <row r="8634">
      <c r="A8634" t="inlineStr">
        <is>
          <t>Tayan Bukit Sawit,  Kabupaten Sanggau, Provinsi Kalimantan Barat, Indonesia</t>
        </is>
      </c>
      <c r="B8634" t="inlineStr">
        <is>
          <t>Point of Origin</t>
        </is>
      </c>
      <c r="C8634" t="inlineStr">
        <is>
          <t>SGS Germany GmbH, Emstek, DE</t>
        </is>
      </c>
      <c r="D8634" t="inlineStr">
        <is>
          <t>25.01.2027</t>
        </is>
      </c>
      <c r="E8634" t="inlineStr">
        <is>
          <t>Indonesia</t>
        </is>
      </c>
    </row>
    <row r="8635">
      <c r="A8635" t="inlineStr">
        <is>
          <t>Tayan Bukit Sawit,  Kabupaten Sanggau, Provinsi Kalimantan Barat, Indonesia</t>
        </is>
      </c>
      <c r="B8635" t="inlineStr">
        <is>
          <t>Point of Origin, Processing Unit</t>
        </is>
      </c>
      <c r="C8635" t="inlineStr">
        <is>
          <t>SGS Germany GmbH, Emstek, DE</t>
        </is>
      </c>
      <c r="D8635" t="inlineStr">
        <is>
          <t>25.01.2027</t>
        </is>
      </c>
      <c r="E8635" t="inlineStr">
        <is>
          <t>Indonesia</t>
        </is>
      </c>
    </row>
    <row r="8636">
      <c r="A8636" t="inlineStr">
        <is>
          <t>FP Corporation Kansai Plant,  Ono-shi, Japan</t>
        </is>
      </c>
      <c r="B8636" t="inlineStr">
        <is>
          <t>Processing Unit, Warehouse</t>
        </is>
      </c>
      <c r="C8636" t="inlineStr">
        <is>
          <t>SGS Germany GmbH, Emstek, DE</t>
        </is>
      </c>
      <c r="D8636" t="inlineStr">
        <is>
          <t>25.01.2027</t>
        </is>
      </c>
      <c r="E8636" t="inlineStr">
        <is>
          <t>Japan</t>
        </is>
      </c>
    </row>
    <row r="8637">
      <c r="A8637" t="inlineStr">
        <is>
          <t>Contour Optik(Jiangxi) Co., Ltd.,  Yingtan City, China</t>
        </is>
      </c>
      <c r="B8637" t="inlineStr">
        <is>
          <t>Final Product Refinement, Trader</t>
        </is>
      </c>
      <c r="C8637" t="inlineStr">
        <is>
          <t>Extensive Standard Technical Services Co., Ltd., Hong Kong, CN</t>
        </is>
      </c>
      <c r="D8637" t="inlineStr">
        <is>
          <t>25.01.2027</t>
        </is>
      </c>
      <c r="E8637" t="inlineStr">
        <is>
          <t>China</t>
        </is>
      </c>
    </row>
    <row r="8638">
      <c r="A8638" t="inlineStr">
        <is>
          <t>Versalis SpA,  Mantova, Italy</t>
        </is>
      </c>
      <c r="B8638" t="inlineStr">
        <is>
          <t>Processing Unit</t>
        </is>
      </c>
      <c r="C8638" t="inlineStr">
        <is>
          <t>RINA Services S.p.A., Genova, IT</t>
        </is>
      </c>
      <c r="D8638" t="inlineStr">
        <is>
          <t>25.01.2027</t>
        </is>
      </c>
      <c r="E8638" t="inlineStr">
        <is>
          <t>Italy</t>
        </is>
      </c>
    </row>
    <row r="8639">
      <c r="A8639" t="inlineStr">
        <is>
          <t>ORLEN Unipetrol RPA s.r.o.,  Litvinov, Czech Republic</t>
        </is>
      </c>
      <c r="B8639" t="inlineStr">
        <is>
          <t>Trader with Storage, Proof of Compliance Trader</t>
        </is>
      </c>
      <c r="C8639" t="inlineStr">
        <is>
          <t>TÜV SÜD Czech s.r.o., Praha 4, CZ</t>
        </is>
      </c>
      <c r="D8639" t="inlineStr">
        <is>
          <t>25.01.2027</t>
        </is>
      </c>
      <c r="E8639" t="inlineStr">
        <is>
          <t>Czech Republic</t>
        </is>
      </c>
    </row>
    <row r="8640">
      <c r="A8640" t="inlineStr">
        <is>
          <t>ORLEN Unipetrol RPA s.r.o.,  Kralupy nad Vltavou, Czech Republic</t>
        </is>
      </c>
      <c r="B8640" t="inlineStr">
        <is>
          <t>Trader with Storage, Warehouse, ETBE plant</t>
        </is>
      </c>
      <c r="C8640" t="inlineStr">
        <is>
          <t>TÜV SÜD Czech s.r.o., Praha 4, CZ</t>
        </is>
      </c>
      <c r="D8640" t="inlineStr">
        <is>
          <t>25.01.2027</t>
        </is>
      </c>
      <c r="E8640" t="inlineStr">
        <is>
          <t>Czech Republic</t>
        </is>
      </c>
    </row>
    <row r="8641">
      <c r="A8641" t="inlineStr">
        <is>
          <t>ZHANGJIAGANG PHARMABL CO., LTD.,  ZHANGJIAGANG CITY, JIANGSU PROVINCE, China</t>
        </is>
      </c>
      <c r="B8641" t="inlineStr">
        <is>
          <t>Trader</t>
        </is>
      </c>
      <c r="C8641" t="inlineStr">
        <is>
          <t>SCS Global Services, Emeryville, CA, US</t>
        </is>
      </c>
      <c r="D8641" t="inlineStr">
        <is>
          <t>25.01.2027</t>
        </is>
      </c>
      <c r="E8641" t="inlineStr">
        <is>
          <t>China</t>
        </is>
      </c>
    </row>
    <row r="8642">
      <c r="A8642" t="inlineStr">
        <is>
          <t>Jining Shenzhou Tyre Co., Ltd,  Jining City, Shandong Province, China, China</t>
        </is>
      </c>
      <c r="B8642" t="inlineStr">
        <is>
          <t>Processing Unit, Trader with Storage</t>
        </is>
      </c>
      <c r="C8642" t="inlineStr">
        <is>
          <t>RINA Services S.p.A., Genova, IT</t>
        </is>
      </c>
      <c r="D8642" t="inlineStr">
        <is>
          <t>25.01.2027</t>
        </is>
      </c>
      <c r="E8642" t="inlineStr">
        <is>
          <t>China</t>
        </is>
      </c>
    </row>
    <row r="8643">
      <c r="A8643" t="inlineStr">
        <is>
          <t>Global Eco Chemicals Malaysia Sdn. Bhd.,  Pasir Gudang, Malaysia</t>
        </is>
      </c>
      <c r="B8643" t="inlineStr">
        <is>
          <t>Collecting Point, Trader with Storage</t>
        </is>
      </c>
      <c r="C8643" t="inlineStr">
        <is>
          <t>Trans Certification and Inspection Sdn Bhd, Kuantan, MY</t>
        </is>
      </c>
      <c r="D8643" t="inlineStr">
        <is>
          <t>25.01.2027</t>
        </is>
      </c>
      <c r="E8643" t="inlineStr">
        <is>
          <t>Malaysia</t>
        </is>
      </c>
    </row>
    <row r="8644">
      <c r="A8644" t="inlineStr">
        <is>
          <t>GAS NATURAL COMERCIALIZADORA,  MADRID, Spain</t>
        </is>
      </c>
      <c r="B8644" t="inlineStr">
        <is>
          <t>Trader</t>
        </is>
      </c>
      <c r="C8644" t="inlineStr">
        <is>
          <t>Bureau Veritas Polska Sp. z o.o., Warsaw, PL</t>
        </is>
      </c>
      <c r="D8644" t="inlineStr">
        <is>
          <t>25.01.2027</t>
        </is>
      </c>
      <c r="E8644" t="inlineStr">
        <is>
          <t>Spain</t>
        </is>
      </c>
    </row>
    <row r="8645">
      <c r="A8645" t="inlineStr">
        <is>
          <t>Mount Green Energy Trading LLC,  Dubai, The United Arab Emirates</t>
        </is>
      </c>
      <c r="B8645" t="inlineStr">
        <is>
          <t>Collecting Point, Trader with Storage</t>
        </is>
      </c>
      <c r="C8645" t="inlineStr">
        <is>
          <t>Trans Certification and Inspection Sdn Bhd, Kuantan, MY</t>
        </is>
      </c>
      <c r="D8645" t="inlineStr">
        <is>
          <t>25.01.2027</t>
        </is>
      </c>
      <c r="E8645" t="inlineStr">
        <is>
          <t>The United Arab Emirates</t>
        </is>
      </c>
    </row>
    <row r="8646">
      <c r="A8646" t="inlineStr">
        <is>
          <t>BIRLA CARBON KOREA CO. LTD,  Yeosu City Jeonnam, Korea, Republic of</t>
        </is>
      </c>
      <c r="B8646" t="inlineStr">
        <is>
          <t>Processing Unit, Trader with Storage</t>
        </is>
      </c>
      <c r="C8646" t="inlineStr">
        <is>
          <t>PT Intertek Utama Services, Jakarta, ID</t>
        </is>
      </c>
      <c r="D8646" t="inlineStr">
        <is>
          <t>25.01.2027</t>
        </is>
      </c>
      <c r="E8646" t="inlineStr">
        <is>
          <t>Republic of</t>
        </is>
      </c>
    </row>
    <row r="8647">
      <c r="A8647" t="inlineStr">
        <is>
          <t>Prysmian Netherlands B.V.,  Delft, Netherlands</t>
        </is>
      </c>
      <c r="B8647" t="inlineStr">
        <is>
          <t>Processing Unit</t>
        </is>
      </c>
      <c r="C8647" t="inlineStr">
        <is>
          <t>Bureau Veritas Polska Sp. z o.o., Warsaw, PL</t>
        </is>
      </c>
      <c r="D8647" t="inlineStr">
        <is>
          <t>25.01.2027</t>
        </is>
      </c>
      <c r="E8647" t="inlineStr">
        <is>
          <t>Netherlands</t>
        </is>
      </c>
    </row>
    <row r="8648">
      <c r="A8648" t="inlineStr">
        <is>
          <t>YONWOO CO., LTD.,  Incheon, Korea, Republic of</t>
        </is>
      </c>
      <c r="B8648" t="inlineStr">
        <is>
          <t>Processing Unit</t>
        </is>
      </c>
      <c r="C8648" t="inlineStr">
        <is>
          <t>Control Union Certifications Germany GmbH, Berlin, DE</t>
        </is>
      </c>
      <c r="D8648" t="inlineStr">
        <is>
          <t>25.01.2027</t>
        </is>
      </c>
      <c r="E8648" t="inlineStr">
        <is>
          <t>Republic of</t>
        </is>
      </c>
    </row>
    <row r="8649">
      <c r="A8649" t="inlineStr">
        <is>
          <t>Cahaya Sawit Lestari,  Bengkulu Tengah Regency, Bengkulu Province, Indonesia</t>
        </is>
      </c>
      <c r="B8649" t="inlineStr">
        <is>
          <t>Point of Origin</t>
        </is>
      </c>
      <c r="C8649" t="inlineStr">
        <is>
          <t>PT. Qualitas Sertifikasi Indonesia, Jakarta, ID</t>
        </is>
      </c>
      <c r="D8649" t="inlineStr">
        <is>
          <t>25.01.2027</t>
        </is>
      </c>
      <c r="E8649" t="inlineStr">
        <is>
          <t>Indonesia</t>
        </is>
      </c>
    </row>
    <row r="8650">
      <c r="A8650" t="inlineStr">
        <is>
          <t>Palma Agroindo Mandiri,  Kab. Kotawaringin Barat, Prov. Kalimantan Tengah, Indonesia</t>
        </is>
      </c>
      <c r="B8650" t="inlineStr">
        <is>
          <t>Point of Origin</t>
        </is>
      </c>
      <c r="C8650" t="inlineStr">
        <is>
          <t>SGS Germany GmbH, Emstek, DE</t>
        </is>
      </c>
      <c r="D8650" t="inlineStr">
        <is>
          <t>25.01.2027</t>
        </is>
      </c>
      <c r="E8650" t="inlineStr">
        <is>
          <t>Indonesia</t>
        </is>
      </c>
    </row>
    <row r="8651">
      <c r="A8651" t="inlineStr">
        <is>
          <t>Hanau Panenraya Sejahtera,  Kabupaten Seruyan, Provinsi Kalimantan Tengah, Indonesia</t>
        </is>
      </c>
      <c r="B8651" t="inlineStr">
        <is>
          <t>Point of Origin</t>
        </is>
      </c>
      <c r="C8651" t="inlineStr">
        <is>
          <t>SGS Germany GmbH, Emstek, DE</t>
        </is>
      </c>
      <c r="D8651" t="inlineStr">
        <is>
          <t>25.01.2027</t>
        </is>
      </c>
      <c r="E8651" t="inlineStr">
        <is>
          <t>Indonesia</t>
        </is>
      </c>
    </row>
    <row r="8652">
      <c r="A8652" t="inlineStr">
        <is>
          <t>Optipack GmbH,  Fischach, Germany</t>
        </is>
      </c>
      <c r="B8652" t="inlineStr">
        <is>
          <t>Processing Unit, Trader with Storage</t>
        </is>
      </c>
      <c r="C8652" t="inlineStr">
        <is>
          <t>SGS Germany GmbH, Emstek, DE</t>
        </is>
      </c>
      <c r="D8652" t="inlineStr">
        <is>
          <t>25.01.2027</t>
        </is>
      </c>
      <c r="E8652" t="inlineStr">
        <is>
          <t>Germany</t>
        </is>
      </c>
    </row>
    <row r="8653">
      <c r="A8653" t="inlineStr">
        <is>
          <t>Sinopec Chemical Sales Co., Ltd. North China Branch,  Beijing, China</t>
        </is>
      </c>
      <c r="B8653" t="inlineStr">
        <is>
          <t>Trader</t>
        </is>
      </c>
      <c r="C8653" t="inlineStr">
        <is>
          <t>SCS Global Services, Emeryville, CA, US</t>
        </is>
      </c>
      <c r="D8653" t="inlineStr">
        <is>
          <t>25.01.2027</t>
        </is>
      </c>
      <c r="E8653" t="inlineStr">
        <is>
          <t>China</t>
        </is>
      </c>
    </row>
    <row r="8654">
      <c r="A8654" t="inlineStr">
        <is>
          <t>SEKISUI KASEI KANTO,  Koga-shi, Japan</t>
        </is>
      </c>
      <c r="B8654" t="inlineStr">
        <is>
          <t>Processing Unit</t>
        </is>
      </c>
      <c r="C8654" t="inlineStr">
        <is>
          <t>PT Intertek Utama Services, Jakarta, ID</t>
        </is>
      </c>
      <c r="D8654" t="inlineStr">
        <is>
          <t>25.01.2027</t>
        </is>
      </c>
      <c r="E8654" t="inlineStr">
        <is>
          <t>Japan</t>
        </is>
      </c>
    </row>
    <row r="8655">
      <c r="A8655" t="inlineStr">
        <is>
          <t>China international United Petroleum &amp; chemicals Co., Ltd.,  Beijing City, China</t>
        </is>
      </c>
      <c r="B8655" t="inlineStr">
        <is>
          <t>Trader</t>
        </is>
      </c>
      <c r="C8655" t="inlineStr">
        <is>
          <t>SCS Global Services, Emeryville, CA, US</t>
        </is>
      </c>
      <c r="D8655" t="inlineStr">
        <is>
          <t>25.01.2027</t>
        </is>
      </c>
      <c r="E8655" t="inlineStr">
        <is>
          <t>China</t>
        </is>
      </c>
    </row>
    <row r="8656">
      <c r="A8656" t="inlineStr">
        <is>
          <t>SWADA ENTERPRISE,  KULAI, Malaysia</t>
        </is>
      </c>
      <c r="B8656" t="inlineStr">
        <is>
          <t>Collecting Point, Trader with Storage</t>
        </is>
      </c>
      <c r="C8656" t="inlineStr">
        <is>
          <t>Trans Certification and Inspection Sdn Bhd, Kuantan, MY</t>
        </is>
      </c>
      <c r="D8656" t="inlineStr">
        <is>
          <t>25.01.2027</t>
        </is>
      </c>
      <c r="E8656" t="inlineStr">
        <is>
          <t>Malaysia</t>
        </is>
      </c>
    </row>
    <row r="8657">
      <c r="A8657" t="inlineStr">
        <is>
          <t>Goodwill Oil Limited,  Erith, United Kingdom</t>
        </is>
      </c>
      <c r="B8657" t="inlineStr">
        <is>
          <t>Collecting Point, Trader</t>
        </is>
      </c>
      <c r="C8657" t="inlineStr">
        <is>
          <t>BM Certification, Riga, LV</t>
        </is>
      </c>
      <c r="D8657" t="inlineStr">
        <is>
          <t>25.01.2027</t>
        </is>
      </c>
      <c r="E8657" t="inlineStr">
        <is>
          <t>United Kingdom</t>
        </is>
      </c>
    </row>
    <row r="8658">
      <c r="A8658" t="inlineStr">
        <is>
          <t>Berkat Sawit Sejahtera,  Pasaman Barat, Indonesia</t>
        </is>
      </c>
      <c r="B8658" t="inlineStr">
        <is>
          <t>Point of Origin</t>
        </is>
      </c>
      <c r="C8658" t="inlineStr">
        <is>
          <t>SGS Germany GmbH, Emstek, DE</t>
        </is>
      </c>
      <c r="D8658" t="inlineStr">
        <is>
          <t>25.01.2027</t>
        </is>
      </c>
      <c r="E8658" t="inlineStr">
        <is>
          <t>Indonesia</t>
        </is>
      </c>
    </row>
    <row r="8659">
      <c r="A8659" t="inlineStr">
        <is>
          <t>Berkat Sawit Sejahtera,  Pasaman Barat, Indonesia</t>
        </is>
      </c>
      <c r="B8659" t="inlineStr">
        <is>
          <t>Point of Origin, Processing Unit</t>
        </is>
      </c>
      <c r="C8659" t="inlineStr">
        <is>
          <t>SGS Germany GmbH, Emstek, DE</t>
        </is>
      </c>
      <c r="D8659" t="inlineStr">
        <is>
          <t>25.01.2027</t>
        </is>
      </c>
      <c r="E8659" t="inlineStr">
        <is>
          <t>Indonesia</t>
        </is>
      </c>
    </row>
    <row r="8660">
      <c r="A8660" t="inlineStr">
        <is>
          <t>Apical Oleochemicals (Taixing) Co.,Ltd.,  Tai Xing,Jiangsu, China</t>
        </is>
      </c>
      <c r="B8660" t="inlineStr">
        <is>
          <t>Processing Unit</t>
        </is>
      </c>
      <c r="C8660" t="inlineStr">
        <is>
          <t>CTI Certification Co. Ltd, Shenzhen, CN</t>
        </is>
      </c>
      <c r="D8660" t="inlineStr">
        <is>
          <t>25.01.2027</t>
        </is>
      </c>
      <c r="E8660" t="inlineStr">
        <is>
          <t>China</t>
        </is>
      </c>
    </row>
    <row r="8661">
      <c r="A8661" t="inlineStr">
        <is>
          <t>MSS ASIA LOGISTIC SDN BHD,  Pasir Gudang, Malaysia</t>
        </is>
      </c>
      <c r="B8661" t="inlineStr">
        <is>
          <t>Trader with Storage, Collecting Point</t>
        </is>
      </c>
      <c r="C8661" t="inlineStr">
        <is>
          <t>NIOSH Certification Sdn. Bhd., Selangor Darul Ehsan, MY</t>
        </is>
      </c>
      <c r="D8661" t="inlineStr">
        <is>
          <t>25.01.2027</t>
        </is>
      </c>
      <c r="E8661" t="inlineStr">
        <is>
          <t>Malaysia</t>
        </is>
      </c>
    </row>
    <row r="8662">
      <c r="A8662" t="inlineStr">
        <is>
          <t>Galtrade Middle East FZCO,  Dubai, United Arab Emirates</t>
        </is>
      </c>
      <c r="B8662" t="inlineStr">
        <is>
          <t>Trader with Storage</t>
        </is>
      </c>
      <c r="C8662" t="inlineStr">
        <is>
          <t>SGS Germany GmbH, Emstek, DE</t>
        </is>
      </c>
      <c r="D8662" t="inlineStr">
        <is>
          <t>25.01.2027</t>
        </is>
      </c>
      <c r="E8662" t="inlineStr">
        <is>
          <t>United Arab Emirates</t>
        </is>
      </c>
    </row>
    <row r="8663">
      <c r="A8663" t="inlineStr">
        <is>
          <t>ZAROPOULOS STEFANOS,  Kalampaka, Greece</t>
        </is>
      </c>
      <c r="B8663" t="inlineStr">
        <is>
          <t>Collecting Point</t>
        </is>
      </c>
      <c r="C8663" t="inlineStr">
        <is>
          <t>QMSCERT S.A., Pylaia, Thessaloniki, GR</t>
        </is>
      </c>
      <c r="D8663" t="inlineStr">
        <is>
          <t>25.01.2027</t>
        </is>
      </c>
      <c r="E8663" t="inlineStr">
        <is>
          <t>Greece</t>
        </is>
      </c>
    </row>
    <row r="8664">
      <c r="A8664" t="inlineStr">
        <is>
          <t>SD Guthrie Berhad,  Teluk Intan, Perak, Malaysia</t>
        </is>
      </c>
      <c r="B8664" t="inlineStr">
        <is>
          <t>Point of Origin</t>
        </is>
      </c>
      <c r="C8664" t="inlineStr">
        <is>
          <t>TÜV NORD CERT GmbH, Essen, DE</t>
        </is>
      </c>
      <c r="D8664" t="inlineStr">
        <is>
          <t>25.01.2027</t>
        </is>
      </c>
      <c r="E8664" t="inlineStr">
        <is>
          <t>Malaysia</t>
        </is>
      </c>
    </row>
    <row r="8665">
      <c r="A8665" t="inlineStr">
        <is>
          <t>Zouping Dingsheng Oil Co., Ltd.,  Binzhou City, Shandong Province, China</t>
        </is>
      </c>
      <c r="B8665" t="inlineStr">
        <is>
          <t>Processing Unit, Trader with Storage</t>
        </is>
      </c>
      <c r="C8665" t="inlineStr">
        <is>
          <t>SCS Global Services, Emeryville, CA, US</t>
        </is>
      </c>
      <c r="D8665" t="inlineStr">
        <is>
          <t>25.01.2027</t>
        </is>
      </c>
      <c r="E8665" t="inlineStr">
        <is>
          <t>China</t>
        </is>
      </c>
    </row>
    <row r="8666">
      <c r="A8666" t="inlineStr">
        <is>
          <t>ZHEJIANG KINGVAC HOUSEWARES TECHNOLOGY CO., LTD.,  Quzhou City, Zhejiang Province, China</t>
        </is>
      </c>
      <c r="B8666" t="inlineStr">
        <is>
          <t>Processing Unit</t>
        </is>
      </c>
      <c r="C8666" t="inlineStr">
        <is>
          <t>SCS Global Services, Emeryville, CA, US</t>
        </is>
      </c>
      <c r="D8666" t="inlineStr">
        <is>
          <t>25.01.2027</t>
        </is>
      </c>
      <c r="E8666" t="inlineStr">
        <is>
          <t>China</t>
        </is>
      </c>
    </row>
    <row r="8667">
      <c r="A8667" t="inlineStr">
        <is>
          <t>ECOIL MESSINIAS E.E.,  KALAMATA, Greece</t>
        </is>
      </c>
      <c r="B8667" t="inlineStr">
        <is>
          <t>Collecting Point</t>
        </is>
      </c>
      <c r="C8667" t="inlineStr">
        <is>
          <t>Eurocert SA, Metamorfosi, Athens, GR</t>
        </is>
      </c>
      <c r="D8667" t="inlineStr">
        <is>
          <t>25.01.2027</t>
        </is>
      </c>
      <c r="E8667" t="inlineStr">
        <is>
          <t>Greece</t>
        </is>
      </c>
    </row>
    <row r="8668">
      <c r="A8668" t="inlineStr">
        <is>
          <t>WELL STAR WORLDWIDE CO., LIMITED,  THANH HOA, Vietnam</t>
        </is>
      </c>
      <c r="B8668" t="inlineStr">
        <is>
          <t>Processing Unit</t>
        </is>
      </c>
      <c r="C8668" t="inlineStr">
        <is>
          <t>SGS Germany GmbH, Emstek, DE</t>
        </is>
      </c>
      <c r="D8668" t="inlineStr">
        <is>
          <t>25.01.2027</t>
        </is>
      </c>
      <c r="E8668" t="inlineStr">
        <is>
          <t>Vietnam</t>
        </is>
      </c>
    </row>
    <row r="8669">
      <c r="A8669" t="inlineStr">
        <is>
          <t>GAG agro trading, s.r.o.,  Olomouc, Czech Republic</t>
        </is>
      </c>
      <c r="B8669" t="inlineStr">
        <is>
          <t>First Gathering Point, Trader</t>
        </is>
      </c>
      <c r="C8669" t="inlineStr">
        <is>
          <t>Bureau Veritas Polska Sp. z o.o., Warsaw, PL</t>
        </is>
      </c>
      <c r="D8669" t="inlineStr">
        <is>
          <t>25.01.2027</t>
        </is>
      </c>
      <c r="E8669" t="inlineStr">
        <is>
          <t>Czech Republic</t>
        </is>
      </c>
    </row>
    <row r="8670">
      <c r="A8670" t="inlineStr">
        <is>
          <t>ESPIK s.r.o.,  Bratislava, Slovakia</t>
        </is>
      </c>
      <c r="B8670" t="inlineStr">
        <is>
          <t>Collecting Point, Trader with Storage</t>
        </is>
      </c>
      <c r="C8670" t="inlineStr">
        <is>
          <t>United Registrar of Systems Polska Sp. z o.o., Wrocław, PL</t>
        </is>
      </c>
      <c r="D8670" t="inlineStr">
        <is>
          <t>25.01.2027</t>
        </is>
      </c>
      <c r="E8670" t="inlineStr">
        <is>
          <t>Slovakia</t>
        </is>
      </c>
    </row>
    <row r="8671">
      <c r="A8671" t="inlineStr">
        <is>
          <t>Green Oil Recycling BV,  Biddinghuizen, Netherlands</t>
        </is>
      </c>
      <c r="B8671" t="inlineStr">
        <is>
          <t>Collecting Point, Trader with Storage</t>
        </is>
      </c>
      <c r="C8671" t="inlineStr">
        <is>
          <t>Control Union Certifications Germany GmbH, Berlin, DE</t>
        </is>
      </c>
      <c r="D8671" t="inlineStr">
        <is>
          <t>25.01.2027</t>
        </is>
      </c>
      <c r="E8671" t="inlineStr">
        <is>
          <t>Netherlands</t>
        </is>
      </c>
    </row>
    <row r="8672">
      <c r="A8672" t="inlineStr">
        <is>
          <t>Orion Engineered Carbons (Qingdao) Co., Ltd.,  Qingdao, China</t>
        </is>
      </c>
      <c r="B8672" t="inlineStr">
        <is>
          <t>Processing Unit</t>
        </is>
      </c>
      <c r="C8672" t="inlineStr">
        <is>
          <t>DQS CFS GmbH - Deutsche Gesellschaft für Nachhaltigkeit, Frankfurt am Main, DE</t>
        </is>
      </c>
      <c r="D8672" t="inlineStr">
        <is>
          <t>25.01.2027</t>
        </is>
      </c>
      <c r="E8672" t="inlineStr">
        <is>
          <t>China</t>
        </is>
      </c>
    </row>
    <row r="8673">
      <c r="A8673" t="inlineStr">
        <is>
          <t>Hanau Panenraya Sejahtera,  Kabupaten Seruyan, Provinsi Kalimantan Tengah, Indonesia</t>
        </is>
      </c>
      <c r="B8673" t="inlineStr">
        <is>
          <t>Point of Origin, Processing Unit</t>
        </is>
      </c>
      <c r="C8673" t="inlineStr">
        <is>
          <t>SGS Germany GmbH, Emstek, DE</t>
        </is>
      </c>
      <c r="D8673" t="inlineStr">
        <is>
          <t>25.01.2027</t>
        </is>
      </c>
      <c r="E8673" t="inlineStr">
        <is>
          <t>Indonesia</t>
        </is>
      </c>
    </row>
    <row r="8674">
      <c r="A8674" t="inlineStr">
        <is>
          <t>Biogem A/S,  Kongens Lyngby, Denmark</t>
        </is>
      </c>
      <c r="B8674" t="inlineStr">
        <is>
          <t>Trader with Storage</t>
        </is>
      </c>
      <c r="C8674" t="inlineStr">
        <is>
          <t>Baltic Control Certification, Risskov, DK</t>
        </is>
      </c>
      <c r="D8674" t="inlineStr">
        <is>
          <t>25.01.2027</t>
        </is>
      </c>
      <c r="E8674" t="inlineStr">
        <is>
          <t>Denmark</t>
        </is>
      </c>
    </row>
    <row r="8675">
      <c r="A8675" t="inlineStr">
        <is>
          <t>Naturgy Nuevas Energías S.L.U.,  Utiel, Spain</t>
        </is>
      </c>
      <c r="B8675" t="inlineStr">
        <is>
          <t>Processing Unit</t>
        </is>
      </c>
      <c r="C8675" t="inlineStr">
        <is>
          <t>Bureau Veritas Polska Sp. z o.o., Warsaw, PL</t>
        </is>
      </c>
      <c r="D8675" t="inlineStr">
        <is>
          <t>25.01.2027</t>
        </is>
      </c>
      <c r="E8675" t="inlineStr">
        <is>
          <t>Spain</t>
        </is>
      </c>
    </row>
    <row r="8676">
      <c r="A8676" t="inlineStr">
        <is>
          <t>MORNOS,  THIVA, Greece</t>
        </is>
      </c>
      <c r="B8676" t="inlineStr">
        <is>
          <t>Processing Unit</t>
        </is>
      </c>
      <c r="C8676" t="inlineStr">
        <is>
          <t>Eurocert SA, Metamorfosi, Athens, GR</t>
        </is>
      </c>
      <c r="D8676" t="inlineStr">
        <is>
          <t>25.01.2027</t>
        </is>
      </c>
      <c r="E8676" t="inlineStr">
        <is>
          <t>Greece</t>
        </is>
      </c>
    </row>
    <row r="8677">
      <c r="A8677" t="inlineStr">
        <is>
          <t>Nexeo Plastics Spain,  Cornella del Llobregat (Barcelona), Spain</t>
        </is>
      </c>
      <c r="B8677" t="inlineStr">
        <is>
          <t>Trader with Storage</t>
        </is>
      </c>
      <c r="C8677" t="inlineStr">
        <is>
          <t>Bureau Veritas Polska Sp. z o.o., Warsaw, PL</t>
        </is>
      </c>
      <c r="D8677" t="inlineStr">
        <is>
          <t>25.01.2027</t>
        </is>
      </c>
      <c r="E8677" t="inlineStr">
        <is>
          <t>Spain</t>
        </is>
      </c>
    </row>
    <row r="8678">
      <c r="A8678" t="inlineStr">
        <is>
          <t>Mitsubishi Engineering-Plastics Corporation,  Minato Ward, Tokyo, Japan</t>
        </is>
      </c>
      <c r="B8678" t="inlineStr">
        <is>
          <t>Trader with Storage</t>
        </is>
      </c>
      <c r="C8678" t="inlineStr">
        <is>
          <t>SGS Germany GmbH, Emstek, DE</t>
        </is>
      </c>
      <c r="D8678" t="inlineStr">
        <is>
          <t>24.01.2027</t>
        </is>
      </c>
      <c r="E8678" t="inlineStr">
        <is>
          <t>Japan</t>
        </is>
      </c>
    </row>
    <row r="8679">
      <c r="A8679" t="inlineStr">
        <is>
          <t>PALMA BUMI LESTARI,  Kabupaten Landak, Provinsi Kalimantan Barat, Indonesia</t>
        </is>
      </c>
      <c r="B8679" t="inlineStr">
        <is>
          <t>Point of Origin</t>
        </is>
      </c>
      <c r="C8679" t="inlineStr">
        <is>
          <t>SGS Germany GmbH, Emstek, DE</t>
        </is>
      </c>
      <c r="D8679" t="inlineStr">
        <is>
          <t>24.01.2027</t>
        </is>
      </c>
      <c r="E8679" t="inlineStr">
        <is>
          <t>Indonesia</t>
        </is>
      </c>
    </row>
    <row r="8680">
      <c r="A8680" t="inlineStr">
        <is>
          <t>PALMA BUMI LESTARI,  Kabupaten Landak, Provinsi Kalimantan Barat, Indonesia</t>
        </is>
      </c>
      <c r="B8680" t="inlineStr">
        <is>
          <t>Point of Origin</t>
        </is>
      </c>
      <c r="C8680" t="inlineStr">
        <is>
          <t>SGS Germany GmbH, Emstek, DE</t>
        </is>
      </c>
      <c r="D8680" t="inlineStr">
        <is>
          <t>24.01.2027</t>
        </is>
      </c>
      <c r="E8680" t="inlineStr">
        <is>
          <t>Indonesia</t>
        </is>
      </c>
    </row>
    <row r="8681">
      <c r="A8681" t="inlineStr">
        <is>
          <t>SOCIETA' AGRICOLA ASSORO BIOMETANO S.R.L.,  Assoro, Italy</t>
        </is>
      </c>
      <c r="B8681" t="inlineStr">
        <is>
          <t>Collecting Point, Processing Unit, Trader</t>
        </is>
      </c>
      <c r="C8681" t="inlineStr">
        <is>
          <t>agroVet GmbH, Enzersfeld, AT</t>
        </is>
      </c>
      <c r="D8681" t="inlineStr">
        <is>
          <t>24.01.2027</t>
        </is>
      </c>
      <c r="E8681" t="inlineStr">
        <is>
          <t>Italy</t>
        </is>
      </c>
    </row>
    <row r="8682">
      <c r="A8682" t="inlineStr">
        <is>
          <t>Dolciaria Gadeschi,  Corte de' Frati, Italy</t>
        </is>
      </c>
      <c r="B8682" t="inlineStr">
        <is>
          <t>Processing Unit</t>
        </is>
      </c>
      <c r="C8682" t="inlineStr">
        <is>
          <t>RINA Services S.p.A., Genova, IT</t>
        </is>
      </c>
      <c r="D8682" t="inlineStr">
        <is>
          <t>24.01.2027</t>
        </is>
      </c>
      <c r="E8682" t="inlineStr">
        <is>
          <t>Italy</t>
        </is>
      </c>
    </row>
    <row r="8683">
      <c r="A8683" t="inlineStr">
        <is>
          <t>Versalis SpA,  P.to Marghera Venezia, Italy</t>
        </is>
      </c>
      <c r="B8683" t="inlineStr">
        <is>
          <t>Trader with Storage</t>
        </is>
      </c>
      <c r="C8683" t="inlineStr">
        <is>
          <t>RINA Services S.p.A., Genova, IT</t>
        </is>
      </c>
      <c r="D8683" t="inlineStr">
        <is>
          <t>24.01.2027</t>
        </is>
      </c>
      <c r="E8683" t="inlineStr">
        <is>
          <t>Italy</t>
        </is>
      </c>
    </row>
    <row r="8684">
      <c r="A8684" t="inlineStr">
        <is>
          <t>Gunung Andalan Sukses,  Kabupaten Bombana, Provinsi Sulawesi Tenggara, Indonesia</t>
        </is>
      </c>
      <c r="B8684" t="inlineStr">
        <is>
          <t>Point of Origin</t>
        </is>
      </c>
      <c r="C8684" t="inlineStr">
        <is>
          <t>PT. CBQA GLOBAL INDONESIA, JAKARTA SELATAN, ID</t>
        </is>
      </c>
      <c r="D8684" t="inlineStr">
        <is>
          <t>24.01.2027</t>
        </is>
      </c>
      <c r="E8684" t="inlineStr">
        <is>
          <t>Indonesia</t>
        </is>
      </c>
    </row>
    <row r="8685">
      <c r="A8685" t="inlineStr">
        <is>
          <t>ARKEMA FRANCE,  Châteauroux, France</t>
        </is>
      </c>
      <c r="B8685" t="inlineStr">
        <is>
          <t>Processing Unit</t>
        </is>
      </c>
      <c r="C8685" t="inlineStr">
        <is>
          <t>DNV Business Assurance Sweden AB, Solna, SE</t>
        </is>
      </c>
      <c r="D8685" t="inlineStr">
        <is>
          <t>24.01.2027</t>
        </is>
      </c>
      <c r="E8685" t="inlineStr">
        <is>
          <t>France</t>
        </is>
      </c>
    </row>
    <row r="8686">
      <c r="A8686" t="inlineStr">
        <is>
          <t>Xiamen C&amp;D Chemical Co., Ltd.,  Xiamen, Fujian, China</t>
        </is>
      </c>
      <c r="B8686" t="inlineStr">
        <is>
          <t>Trader with Storage</t>
        </is>
      </c>
      <c r="C8686" t="inlineStr">
        <is>
          <t>SCS Global Services, Emeryville, CA, US</t>
        </is>
      </c>
      <c r="D8686" t="inlineStr">
        <is>
          <t>24.01.2027</t>
        </is>
      </c>
      <c r="E8686" t="inlineStr">
        <is>
          <t>China</t>
        </is>
      </c>
    </row>
    <row r="8687">
      <c r="A8687" t="inlineStr">
        <is>
          <t>Eroom Industry Co., Ltd,  Anseong-Si, Gyeonggi-Do, Korea, Republic of</t>
        </is>
      </c>
      <c r="B8687" t="inlineStr">
        <is>
          <t>Processing Unit</t>
        </is>
      </c>
      <c r="C8687" t="inlineStr">
        <is>
          <t>Control Union Certifications Germany GmbH, Berlin, DE</t>
        </is>
      </c>
      <c r="D8687" t="inlineStr">
        <is>
          <t>24.01.2027</t>
        </is>
      </c>
      <c r="E8687" t="inlineStr">
        <is>
          <t>Republic of</t>
        </is>
      </c>
    </row>
    <row r="8688">
      <c r="A8688" t="inlineStr">
        <is>
          <t>Lanxess Deutschland GmbH,  Leverkusen, Germany</t>
        </is>
      </c>
      <c r="B8688" t="inlineStr">
        <is>
          <t>Processing Unit</t>
        </is>
      </c>
      <c r="C8688" t="inlineStr">
        <is>
          <t>TÜV SÜD Industrie Service GmbH, München, DE</t>
        </is>
      </c>
      <c r="D8688" t="inlineStr">
        <is>
          <t>24.01.2027</t>
        </is>
      </c>
      <c r="E8688" t="inlineStr">
        <is>
          <t>Germany</t>
        </is>
      </c>
    </row>
    <row r="8689">
      <c r="A8689" t="inlineStr">
        <is>
          <t>Prysmian Netherlands B.V.,  Emmen, Netherlands</t>
        </is>
      </c>
      <c r="B8689" t="inlineStr">
        <is>
          <t>Processing Unit</t>
        </is>
      </c>
      <c r="C8689" t="inlineStr">
        <is>
          <t>Bureau Veritas Polska Sp. z o.o., Warsaw, PL</t>
        </is>
      </c>
      <c r="D8689" t="inlineStr">
        <is>
          <t>24.01.2027</t>
        </is>
      </c>
      <c r="E8689" t="inlineStr">
        <is>
          <t>Netherlands</t>
        </is>
      </c>
    </row>
    <row r="8690">
      <c r="A8690" t="inlineStr">
        <is>
          <t>TEIJIN LIMITED,  Hiroshima, Japan</t>
        </is>
      </c>
      <c r="B8690" t="inlineStr">
        <is>
          <t>Processing Unit</t>
        </is>
      </c>
      <c r="C8690" t="inlineStr">
        <is>
          <t>Control Union Certifications Germany GmbH, Berlin, DE</t>
        </is>
      </c>
      <c r="D8690" t="inlineStr">
        <is>
          <t>24.01.2027</t>
        </is>
      </c>
      <c r="E8690" t="inlineStr">
        <is>
          <t>Japan</t>
        </is>
      </c>
    </row>
    <row r="8691">
      <c r="A8691" t="inlineStr">
        <is>
          <t>TEIJIN LIMITED,  Ehime, Japan</t>
        </is>
      </c>
      <c r="B8691" t="inlineStr">
        <is>
          <t>Processing Unit</t>
        </is>
      </c>
      <c r="C8691" t="inlineStr">
        <is>
          <t>Control Union Certifications Germany GmbH, Berlin, DE</t>
        </is>
      </c>
      <c r="D8691" t="inlineStr">
        <is>
          <t>24.01.2027</t>
        </is>
      </c>
      <c r="E8691" t="inlineStr">
        <is>
          <t>Japan</t>
        </is>
      </c>
    </row>
    <row r="8692">
      <c r="A8692" t="inlineStr">
        <is>
          <t>SeaHiPot (Ningbo) Renewable Resources Recycling Co., Ltd,  Fenghua District, Ningbo City, Zhejiang Province, China</t>
        </is>
      </c>
      <c r="B8692" t="inlineStr">
        <is>
          <t>Collecting Point</t>
        </is>
      </c>
      <c r="C8692" t="inlineStr">
        <is>
          <t>DQS CFS GmbH - Deutsche Gesellschaft für Nachhaltigkeit, Frankfurt am Main, DE</t>
        </is>
      </c>
      <c r="D8692" t="inlineStr">
        <is>
          <t>24.01.2027</t>
        </is>
      </c>
      <c r="E8692" t="inlineStr">
        <is>
          <t>China</t>
        </is>
      </c>
    </row>
    <row r="8693">
      <c r="A8693" t="inlineStr">
        <is>
          <t>Avecor Trade s.r.o,  Litoměřice-Město, Czech Republic</t>
        </is>
      </c>
      <c r="B8693" t="inlineStr">
        <is>
          <t>First Gathering Point, Trader</t>
        </is>
      </c>
      <c r="C8693" t="inlineStr">
        <is>
          <t>United Registrar of Systems Polska Sp. z o.o., Wrocław, PL</t>
        </is>
      </c>
      <c r="D8693" t="inlineStr">
        <is>
          <t>24.01.2027</t>
        </is>
      </c>
      <c r="E8693" t="inlineStr">
        <is>
          <t>Czech Republic</t>
        </is>
      </c>
    </row>
    <row r="8694">
      <c r="A8694" t="inlineStr">
        <is>
          <t>Allium Agro s. r. o.,  Nový Jičín, Czech Republic</t>
        </is>
      </c>
      <c r="B8694" t="inlineStr">
        <is>
          <t>Collecting Point, First Gathering Point, Trader with Storage</t>
        </is>
      </c>
      <c r="C8694" t="inlineStr">
        <is>
          <t>United Registrar of Systems Polska Sp. z o.o., Wrocław, PL</t>
        </is>
      </c>
      <c r="D8694" t="inlineStr">
        <is>
          <t>24.01.2027</t>
        </is>
      </c>
      <c r="E8694" t="inlineStr">
        <is>
          <t>Czech Republic</t>
        </is>
      </c>
    </row>
    <row r="8695">
      <c r="A8695" t="inlineStr">
        <is>
          <t>Kinetic Used Oil Trading,  Dubai, United Arab Emirates</t>
        </is>
      </c>
      <c r="B8695" t="inlineStr">
        <is>
          <t>Collecting Point, Trader with Storage</t>
        </is>
      </c>
      <c r="C8695" t="inlineStr">
        <is>
          <t>PT SBC Asia Sertifikasi, Kebumen, ID</t>
        </is>
      </c>
      <c r="D8695" t="inlineStr">
        <is>
          <t>24.01.2027</t>
        </is>
      </c>
      <c r="E8695" t="inlineStr">
        <is>
          <t>United Arab Emirates</t>
        </is>
      </c>
    </row>
    <row r="8696">
      <c r="A8696" t="inlineStr">
        <is>
          <t>NWP International Trading (S.Z.) Co.,Ltd.,  Dongguan City，Guangdong Province, China</t>
        </is>
      </c>
      <c r="B8696" t="inlineStr">
        <is>
          <t>Trader with Storage</t>
        </is>
      </c>
      <c r="C8696" t="inlineStr">
        <is>
          <t>SGS Germany GmbH, Emstek, DE</t>
        </is>
      </c>
      <c r="D8696" t="inlineStr">
        <is>
          <t>24.01.2027</t>
        </is>
      </c>
      <c r="E8696" t="inlineStr">
        <is>
          <t>China</t>
        </is>
      </c>
    </row>
    <row r="8697">
      <c r="A8697" t="inlineStr">
        <is>
          <t>Izumi Corporation LTD,  Kasugai-shi Aichi, Japan</t>
        </is>
      </c>
      <c r="B8697" t="inlineStr">
        <is>
          <t>Processing Unit</t>
        </is>
      </c>
      <c r="C8697" t="inlineStr">
        <is>
          <t>SGS Germany GmbH, Emstek, DE</t>
        </is>
      </c>
      <c r="D8697" t="inlineStr">
        <is>
          <t>24.01.2027</t>
        </is>
      </c>
      <c r="E8697" t="inlineStr">
        <is>
          <t>Japan</t>
        </is>
      </c>
    </row>
    <row r="8698">
      <c r="A8698" t="inlineStr">
        <is>
          <t>GEALAN BALTIC, Lietuvos ir Vokietijos UAB,  Guopstos, LT-21148 Trakų raj., Lithuania</t>
        </is>
      </c>
      <c r="B8698" t="inlineStr">
        <is>
          <t>Trader with Storage, Processing Unit</t>
        </is>
      </c>
      <c r="C8698" t="inlineStr">
        <is>
          <t>Bureau Veritas Polska Sp. z o.o., Warsaw, PL</t>
        </is>
      </c>
      <c r="D8698" t="inlineStr">
        <is>
          <t>24.01.2027</t>
        </is>
      </c>
      <c r="E8698" t="inlineStr">
        <is>
          <t>Lithuania</t>
        </is>
      </c>
    </row>
    <row r="8699">
      <c r="A8699" t="inlineStr">
        <is>
          <t>Azucarera El Palmar S.A.,  Puntarenas, Costa Rica, Costa Rica</t>
        </is>
      </c>
      <c r="B8699" t="inlineStr">
        <is>
          <t>First Gathering Point, Processing Unit</t>
        </is>
      </c>
      <c r="C8699" t="inlineStr">
        <is>
          <t>Control Union Poland Sp. z o.o., Zielona Gora, PL</t>
        </is>
      </c>
      <c r="D8699" t="inlineStr">
        <is>
          <t>24.01.2027</t>
        </is>
      </c>
      <c r="E8699" t="inlineStr">
        <is>
          <t>Costa Rica</t>
        </is>
      </c>
    </row>
    <row r="8700">
      <c r="A8700" t="inlineStr">
        <is>
          <t>«QAZAQ-ASTYQ GROUP»,  Abay region, Semey city, Kazakhstan</t>
        </is>
      </c>
      <c r="B8700" t="inlineStr">
        <is>
          <t>First Gathering Point, Processing Unit</t>
        </is>
      </c>
      <c r="C8700" t="inlineStr">
        <is>
          <t>BM Certification, Riga, LV</t>
        </is>
      </c>
      <c r="D8700" t="inlineStr">
        <is>
          <t>24.01.2027</t>
        </is>
      </c>
      <c r="E8700" t="inlineStr">
        <is>
          <t>Kazakhstan</t>
        </is>
      </c>
    </row>
    <row r="8701">
      <c r="A8701" t="inlineStr">
        <is>
          <t>NaturOil Kft.,  Vép, Hungary</t>
        </is>
      </c>
      <c r="B8701" t="inlineStr">
        <is>
          <t>First Gathering Point, Processing Unit, Trader with Storage</t>
        </is>
      </c>
      <c r="C8701" t="inlineStr">
        <is>
          <t>Certificadora Gallega del Noroeste SL, Vilagarcia de Arousa-Pontevedra, ES</t>
        </is>
      </c>
      <c r="D8701" t="inlineStr">
        <is>
          <t>24.01.2027</t>
        </is>
      </c>
      <c r="E8701" t="inlineStr">
        <is>
          <t>Hungary</t>
        </is>
      </c>
    </row>
    <row r="8702">
      <c r="A8702" t="inlineStr">
        <is>
          <t>KOBKIAT GLOBAL LTDA,  Itajaí City, Brazil</t>
        </is>
      </c>
      <c r="B8702" t="inlineStr">
        <is>
          <t>Collecting Point</t>
        </is>
      </c>
      <c r="C8702" t="inlineStr">
        <is>
          <t>Control Union Poland Sp. z o.o., Zielona Gora, PL</t>
        </is>
      </c>
      <c r="D8702" t="inlineStr">
        <is>
          <t>24.01.2027</t>
        </is>
      </c>
      <c r="E8702" t="inlineStr">
        <is>
          <t>Brazil</t>
        </is>
      </c>
    </row>
    <row r="8703">
      <c r="A8703" t="inlineStr">
        <is>
          <t>Incasi Raya,  Kab. Dharmasraya, Indonesia</t>
        </is>
      </c>
      <c r="B8703" t="inlineStr">
        <is>
          <t>Point of Origin</t>
        </is>
      </c>
      <c r="C8703" t="inlineStr">
        <is>
          <t>PT. Qualitas Sertifikasi Indonesia, Jakarta, ID</t>
        </is>
      </c>
      <c r="D8703" t="inlineStr">
        <is>
          <t>24.01.2027</t>
        </is>
      </c>
      <c r="E8703" t="inlineStr">
        <is>
          <t>Indonesia</t>
        </is>
      </c>
    </row>
    <row r="8704">
      <c r="A8704" t="inlineStr">
        <is>
          <t>Barilla G. e R. F.lli,  Castiglione delle Stiviere (MN), Italy</t>
        </is>
      </c>
      <c r="B8704" t="inlineStr">
        <is>
          <t>Processing Unit</t>
        </is>
      </c>
      <c r="C8704" t="inlineStr">
        <is>
          <t>RINA Services S.p.A., Genova, IT</t>
        </is>
      </c>
      <c r="D8704" t="inlineStr">
        <is>
          <t>24.01.2027</t>
        </is>
      </c>
      <c r="E8704" t="inlineStr">
        <is>
          <t>Italy</t>
        </is>
      </c>
    </row>
    <row r="8705">
      <c r="A8705" t="inlineStr">
        <is>
          <t>TOKYO ZAIRYO (THAILAND) CO., LTD.,  Panthong District, Chonburi, Thailand</t>
        </is>
      </c>
      <c r="B8705" t="inlineStr">
        <is>
          <t>Trader with Storage</t>
        </is>
      </c>
      <c r="C8705" t="inlineStr">
        <is>
          <t>Control Union Poland Sp. z o.o., Zielona Gora, PL</t>
        </is>
      </c>
      <c r="D8705" t="inlineStr">
        <is>
          <t>24.01.2027</t>
        </is>
      </c>
      <c r="E8705" t="inlineStr">
        <is>
          <t>Thailand</t>
        </is>
      </c>
    </row>
    <row r="8706">
      <c r="A8706" t="inlineStr">
        <is>
          <t>W&amp;S Plastics,  Moorebank, New South Wales, Australia</t>
        </is>
      </c>
      <c r="B8706" t="inlineStr">
        <is>
          <t>Processing Unit</t>
        </is>
      </c>
      <c r="C8706" t="inlineStr">
        <is>
          <t>SGS Germany GmbH, Emstek, DE</t>
        </is>
      </c>
      <c r="D8706" t="inlineStr">
        <is>
          <t>24.01.2027</t>
        </is>
      </c>
      <c r="E8706" t="inlineStr">
        <is>
          <t>Australia</t>
        </is>
      </c>
    </row>
    <row r="8707">
      <c r="A8707" t="inlineStr">
        <is>
          <t>MIDDLE EAST RENEWABLE FOR OIL,  Amman, Jordan</t>
        </is>
      </c>
      <c r="B8707" t="inlineStr">
        <is>
          <t>Trader</t>
        </is>
      </c>
      <c r="C8707" t="inlineStr">
        <is>
          <t>ICIM SpA, sesto san giovanni, IT</t>
        </is>
      </c>
      <c r="D8707" t="inlineStr">
        <is>
          <t>23.01.2027</t>
        </is>
      </c>
      <c r="E8707" t="inlineStr">
        <is>
          <t>Jordan</t>
        </is>
      </c>
    </row>
    <row r="8708">
      <c r="A8708" t="inlineStr">
        <is>
          <t>Lakeview Energy,  Chicago, IL, United States</t>
        </is>
      </c>
      <c r="B8708" t="inlineStr">
        <is>
          <t>Trader</t>
        </is>
      </c>
      <c r="C8708" t="inlineStr">
        <is>
          <t>Control Union Poland Sp. z o.o., Zielona Gora, PL</t>
        </is>
      </c>
      <c r="D8708" t="inlineStr">
        <is>
          <t>23.01.2027</t>
        </is>
      </c>
      <c r="E8708" t="inlineStr">
        <is>
          <t>United States</t>
        </is>
      </c>
    </row>
    <row r="8709">
      <c r="A8709" t="inlineStr">
        <is>
          <t>Sumitomo Bakelite Co., Ltd.,  Amagasaki, Hyogo, Japan</t>
        </is>
      </c>
      <c r="B8709" t="inlineStr">
        <is>
          <t>Processing Unit, Trader with Storage</t>
        </is>
      </c>
      <c r="C8709" t="inlineStr">
        <is>
          <t>SGS Germany GmbH, Emstek, DE</t>
        </is>
      </c>
      <c r="D8709" t="inlineStr">
        <is>
          <t>23.01.2027</t>
        </is>
      </c>
      <c r="E8709" t="inlineStr">
        <is>
          <t>Japan</t>
        </is>
      </c>
    </row>
    <row r="8710">
      <c r="A8710" t="inlineStr">
        <is>
          <t>Lakeview Energy,  Chicago, IL, United States</t>
        </is>
      </c>
      <c r="B8710" t="inlineStr">
        <is>
          <t>Trader</t>
        </is>
      </c>
      <c r="C8710" t="inlineStr">
        <is>
          <t>Control Union Poland Sp. z o.o., Zielona Gora, PL</t>
        </is>
      </c>
      <c r="D8710" t="inlineStr">
        <is>
          <t>23.01.2027</t>
        </is>
      </c>
      <c r="E8710" t="inlineStr">
        <is>
          <t>United States</t>
        </is>
      </c>
    </row>
    <row r="8711">
      <c r="A8711" t="inlineStr">
        <is>
          <t>Plymouth Energy LLC,  Merrill, United States</t>
        </is>
      </c>
      <c r="B8711" t="inlineStr">
        <is>
          <t>Processing Unit</t>
        </is>
      </c>
      <c r="C8711" t="inlineStr">
        <is>
          <t>Control Union Poland Sp. z o.o., Zielona Gora, PL</t>
        </is>
      </c>
      <c r="D8711" t="inlineStr">
        <is>
          <t>23.01.2027</t>
        </is>
      </c>
      <c r="E8711" t="inlineStr">
        <is>
          <t>United States</t>
        </is>
      </c>
    </row>
    <row r="8712">
      <c r="A8712" t="inlineStr">
        <is>
          <t>Plymouth Energy LLC,  Merrill, United States</t>
        </is>
      </c>
      <c r="B8712" t="inlineStr">
        <is>
          <t>Processing Unit</t>
        </is>
      </c>
      <c r="C8712" t="inlineStr">
        <is>
          <t>Control Union Poland Sp. z o.o., Zielona Gora, PL</t>
        </is>
      </c>
      <c r="D8712" t="inlineStr">
        <is>
          <t>23.01.2027</t>
        </is>
      </c>
      <c r="E8712" t="inlineStr">
        <is>
          <t>United States</t>
        </is>
      </c>
    </row>
    <row r="8713">
      <c r="A8713" t="inlineStr">
        <is>
          <t>GASIB, Sociedad Ibérica de Gas Licuado,  Madrid, Spain</t>
        </is>
      </c>
      <c r="B8713" t="inlineStr">
        <is>
          <t>Trader with Storage</t>
        </is>
      </c>
      <c r="C8713" t="inlineStr">
        <is>
          <t>Control Union Poland Sp. z o.o., Zielona Gora, PL</t>
        </is>
      </c>
      <c r="D8713" t="inlineStr">
        <is>
          <t>23.01.2027</t>
        </is>
      </c>
      <c r="E8713" t="inlineStr">
        <is>
          <t>Spain</t>
        </is>
      </c>
    </row>
    <row r="8714">
      <c r="A8714" t="inlineStr">
        <is>
          <t>GASIB, Sociedad Ibérica de Gas Licuado,  Madrid, Spain</t>
        </is>
      </c>
      <c r="B8714" t="inlineStr">
        <is>
          <t>Trader with Storage</t>
        </is>
      </c>
      <c r="C8714" t="inlineStr">
        <is>
          <t>Control Union Poland Sp. z o.o., Zielona Gora, PL</t>
        </is>
      </c>
      <c r="D8714" t="inlineStr">
        <is>
          <t>23.01.2027</t>
        </is>
      </c>
      <c r="E8714" t="inlineStr">
        <is>
          <t>Spain</t>
        </is>
      </c>
    </row>
    <row r="8715">
      <c r="A8715" t="inlineStr">
        <is>
          <t>TANJUNG SYNERGY SDN BHD,  GEORGETOWN, PENANG, Malaysia</t>
        </is>
      </c>
      <c r="B8715" t="inlineStr">
        <is>
          <t>Collecting Point</t>
        </is>
      </c>
      <c r="C8715" t="inlineStr">
        <is>
          <t>PT. CBQA GLOBAL INDONESIA, JAKARTA SELATAN, ID</t>
        </is>
      </c>
      <c r="D8715" t="inlineStr">
        <is>
          <t>23.01.2027</t>
        </is>
      </c>
      <c r="E8715" t="inlineStr">
        <is>
          <t>Malaysia</t>
        </is>
      </c>
    </row>
    <row r="8716">
      <c r="A8716" t="inlineStr">
        <is>
          <t>Selenis Portugal,  Ribeira de Nisa, Portugal</t>
        </is>
      </c>
      <c r="B8716" t="inlineStr">
        <is>
          <t>Processing Unit</t>
        </is>
      </c>
      <c r="C8716" t="inlineStr">
        <is>
          <t>Certificadora Gallega del Noroeste SL, Vilagarcia de Arousa-Pontevedra, ES</t>
        </is>
      </c>
      <c r="D8716" t="inlineStr">
        <is>
          <t>23.01.2027</t>
        </is>
      </c>
      <c r="E8716" t="inlineStr">
        <is>
          <t>Portugal</t>
        </is>
      </c>
    </row>
    <row r="8717">
      <c r="A8717" t="inlineStr">
        <is>
          <t>Monjasa Inc,  Houston, Texas, United States</t>
        </is>
      </c>
      <c r="B8717" t="inlineStr">
        <is>
          <t>Trader</t>
        </is>
      </c>
      <c r="C8717" t="inlineStr">
        <is>
          <t>Certificadora Gallega del Noroeste SL, Vilagarcia de Arousa-Pontevedra, ES</t>
        </is>
      </c>
      <c r="D8717" t="inlineStr">
        <is>
          <t>23.01.2027</t>
        </is>
      </c>
      <c r="E8717" t="inlineStr">
        <is>
          <t>United States</t>
        </is>
      </c>
    </row>
    <row r="8718">
      <c r="A8718" t="inlineStr">
        <is>
          <t>THINH DAI VIETNAM CO., LTD,  Quan Y Hamlet, Tan Loi Commune,, Vietnam</t>
        </is>
      </c>
      <c r="B8718" t="inlineStr">
        <is>
          <t>Collecting Point, Processing Unit, Trader with Storage</t>
        </is>
      </c>
      <c r="C8718" t="inlineStr">
        <is>
          <t>BM Certification, Riga, LV</t>
        </is>
      </c>
      <c r="D8718" t="inlineStr">
        <is>
          <t>23.01.2027</t>
        </is>
      </c>
      <c r="E8718" t="inlineStr">
        <is>
          <t>Vietnam</t>
        </is>
      </c>
    </row>
    <row r="8719">
      <c r="A8719" t="inlineStr">
        <is>
          <t>Goglio S.p.A.,  MILANO, Italy</t>
        </is>
      </c>
      <c r="B8719" t="inlineStr">
        <is>
          <t>Processing Unit</t>
        </is>
      </c>
      <c r="C8719" t="inlineStr">
        <is>
          <t>DNV Business Assurance Sweden AB, Solna, SE</t>
        </is>
      </c>
      <c r="D8719" t="inlineStr">
        <is>
          <t>23.01.2027</t>
        </is>
      </c>
      <c r="E8719" t="inlineStr">
        <is>
          <t>Italy</t>
        </is>
      </c>
    </row>
    <row r="8720">
      <c r="A8720" t="inlineStr">
        <is>
          <t>BI.EFFE S.R.L.,  Senigallia (AN), Italy</t>
        </is>
      </c>
      <c r="B8720" t="inlineStr">
        <is>
          <t>Collecting Point</t>
        </is>
      </c>
      <c r="C8720" t="inlineStr">
        <is>
          <t>RINA Services S.p.A., Genova, IT</t>
        </is>
      </c>
      <c r="D8720" t="inlineStr">
        <is>
          <t>23.01.2027</t>
        </is>
      </c>
      <c r="E8720" t="inlineStr">
        <is>
          <t>Italy</t>
        </is>
      </c>
    </row>
    <row r="8721">
      <c r="A8721" t="inlineStr">
        <is>
          <t>Taplast,  Povolaro di Dueville(VI), Italy</t>
        </is>
      </c>
      <c r="B8721" t="inlineStr">
        <is>
          <t>Processing Unit</t>
        </is>
      </c>
      <c r="C8721" t="inlineStr">
        <is>
          <t>IIP S.r.l., Monza, IT</t>
        </is>
      </c>
      <c r="D8721" t="inlineStr">
        <is>
          <t>23.01.2027</t>
        </is>
      </c>
      <c r="E8721" t="inlineStr">
        <is>
          <t>Italy</t>
        </is>
      </c>
    </row>
    <row r="8722">
      <c r="A8722" t="inlineStr">
        <is>
          <t>ADRIPE s.r.o.,  Dretovice, Czech Republic</t>
        </is>
      </c>
      <c r="B8722" t="inlineStr">
        <is>
          <t>First Gathering Point, Trader with Storage</t>
        </is>
      </c>
      <c r="C8722" t="inlineStr">
        <is>
          <t>United Registrar of Systems Polska Sp. z o.o., Wrocław, PL</t>
        </is>
      </c>
      <c r="D8722" t="inlineStr">
        <is>
          <t>23.01.2027</t>
        </is>
      </c>
      <c r="E8722" t="inlineStr">
        <is>
          <t>Czech Republic</t>
        </is>
      </c>
    </row>
    <row r="8723">
      <c r="A8723" t="inlineStr">
        <is>
          <t>Kutai Sawit Mandiri,  Kabupaten Kutai Timur, Provinsi Kalimantan Timur, Indonesia</t>
        </is>
      </c>
      <c r="B8723" t="inlineStr">
        <is>
          <t>Point of Origin</t>
        </is>
      </c>
      <c r="C8723" t="inlineStr">
        <is>
          <t>PT. Qualitas Sertifikasi Indonesia, Jakarta, ID</t>
        </is>
      </c>
      <c r="D8723" t="inlineStr">
        <is>
          <t>23.01.2027</t>
        </is>
      </c>
      <c r="E8723" t="inlineStr">
        <is>
          <t>Indonesia</t>
        </is>
      </c>
    </row>
    <row r="8724">
      <c r="A8724" t="inlineStr">
        <is>
          <t>RPC Containers Ltd,  Market Rasen, United Kingdom</t>
        </is>
      </c>
      <c r="B8724" t="inlineStr">
        <is>
          <t>Processing Unit</t>
        </is>
      </c>
      <c r="C8724" t="inlineStr">
        <is>
          <t>SGS Germany GmbH, Emstek, DE</t>
        </is>
      </c>
      <c r="D8724" t="inlineStr">
        <is>
          <t>23.01.2027</t>
        </is>
      </c>
      <c r="E8724" t="inlineStr">
        <is>
          <t>United Kingdom</t>
        </is>
      </c>
    </row>
    <row r="8725">
      <c r="A8725" t="inlineStr">
        <is>
          <t>Bridgestone Tire Manufacturing Vietnam LLC,  Dinh Vu Industrial Zone, Dong Hai ward, Hai Phong, Vietnam</t>
        </is>
      </c>
      <c r="B8725" t="inlineStr">
        <is>
          <t>Processing Unit</t>
        </is>
      </c>
      <c r="C8725" t="inlineStr">
        <is>
          <t>SGS Germany GmbH, Emstek, DE</t>
        </is>
      </c>
      <c r="D8725" t="inlineStr">
        <is>
          <t>23.01.2027</t>
        </is>
      </c>
      <c r="E8725" t="inlineStr">
        <is>
          <t>Vietnam</t>
        </is>
      </c>
    </row>
    <row r="8726">
      <c r="A8726" t="inlineStr">
        <is>
          <t>Saudi Basic Industries Corporation,  Riyadh, Saudi Arabia</t>
        </is>
      </c>
      <c r="B8726" t="inlineStr">
        <is>
          <t>Trader</t>
        </is>
      </c>
      <c r="C8726" t="inlineStr">
        <is>
          <t>Cotecna India Inspection Pvt Ltd, Kolkata, IN</t>
        </is>
      </c>
      <c r="D8726" t="inlineStr">
        <is>
          <t>23.01.2027</t>
        </is>
      </c>
      <c r="E8726" t="inlineStr">
        <is>
          <t>Saudi Arabia</t>
        </is>
      </c>
    </row>
    <row r="8727">
      <c r="A8727" t="inlineStr">
        <is>
          <t>Saudi Basic Industries Corporation,  Riyadh, Saudi Arabia</t>
        </is>
      </c>
      <c r="B8727" t="inlineStr">
        <is>
          <t>Trader</t>
        </is>
      </c>
      <c r="C8727" t="inlineStr">
        <is>
          <t>Cotecna India Inspection Pvt Ltd, Kolkata, IN</t>
        </is>
      </c>
      <c r="D8727" t="inlineStr">
        <is>
          <t>23.01.2027</t>
        </is>
      </c>
      <c r="E8727" t="inlineStr">
        <is>
          <t>Saudi Arabia</t>
        </is>
      </c>
    </row>
    <row r="8728">
      <c r="A8728" t="inlineStr">
        <is>
          <t>Kanaoka On Time Co., Ltd.,  Saitama, Japan</t>
        </is>
      </c>
      <c r="B8728" t="inlineStr">
        <is>
          <t>Final Product Refinement</t>
        </is>
      </c>
      <c r="C8728" t="inlineStr">
        <is>
          <t>Control Union Certifications Germany GmbH, Berlin, DE</t>
        </is>
      </c>
      <c r="D8728" t="inlineStr">
        <is>
          <t>23.01.2027</t>
        </is>
      </c>
      <c r="E8728" t="inlineStr">
        <is>
          <t>Japan</t>
        </is>
      </c>
    </row>
    <row r="8729">
      <c r="A8729" t="inlineStr">
        <is>
          <t>IFIS,  Marcianise, Italy</t>
        </is>
      </c>
      <c r="B8729" t="inlineStr">
        <is>
          <t>Processing Unit</t>
        </is>
      </c>
      <c r="C8729" t="inlineStr">
        <is>
          <t>DNV Business Assurance Sweden AB, Solna, SE</t>
        </is>
      </c>
      <c r="D8729" t="inlineStr">
        <is>
          <t>23.01.2027</t>
        </is>
      </c>
      <c r="E8729" t="inlineStr">
        <is>
          <t>Italy</t>
        </is>
      </c>
    </row>
    <row r="8730">
      <c r="A8730" t="inlineStr">
        <is>
          <t>Naftelf, Lietuvos ir Prancūzijos UAB,  Karmėlava, Kauno r. sav., Lithuania</t>
        </is>
      </c>
      <c r="B8730" t="inlineStr">
        <is>
          <t>Proof of Compliance Trader, Trader with Storage</t>
        </is>
      </c>
      <c r="C8730" t="inlineStr">
        <is>
          <t>Bureau Veritas Polska Sp. z o.o., Warsaw, PL</t>
        </is>
      </c>
      <c r="D8730" t="inlineStr">
        <is>
          <t>23.01.2027</t>
        </is>
      </c>
      <c r="E8730" t="inlineStr">
        <is>
          <t>Lithuania</t>
        </is>
      </c>
    </row>
    <row r="8731">
      <c r="A8731" t="inlineStr">
        <is>
          <t>Pretoria Energy (Chittering 2) Ltd,  Chittering, Ely, United Kingdom</t>
        </is>
      </c>
      <c r="B8731" t="inlineStr">
        <is>
          <t>Collecting Point, Processing Unit</t>
        </is>
      </c>
      <c r="C8731" t="inlineStr">
        <is>
          <t>Aardvark Certification Ltd, Wiveliscombe, Somerset, GB</t>
        </is>
      </c>
      <c r="D8731" t="inlineStr">
        <is>
          <t>23.01.2027</t>
        </is>
      </c>
      <c r="E8731" t="inlineStr">
        <is>
          <t>United Kingdom</t>
        </is>
      </c>
    </row>
    <row r="8732">
      <c r="A8732" t="inlineStr">
        <is>
          <t>NOVA POLYTEC COMPOSITES CO.,  Taichung City ., Wufeng Dist.,, Taiwan</t>
        </is>
      </c>
      <c r="B8732" t="inlineStr">
        <is>
          <t>Processing Unit</t>
        </is>
      </c>
      <c r="C8732" t="inlineStr">
        <is>
          <t>Control Union Certifications Germany GmbH, Berlin, DE</t>
        </is>
      </c>
      <c r="D8732" t="inlineStr">
        <is>
          <t>23.01.2027</t>
        </is>
      </c>
      <c r="E8732" t="inlineStr">
        <is>
          <t>Taiwan</t>
        </is>
      </c>
    </row>
    <row r="8733">
      <c r="A8733" t="inlineStr">
        <is>
          <t>TAIZHOU WEIYE SCRAPPING CO..LTD,  Taizhou City, China</t>
        </is>
      </c>
      <c r="B8733" t="inlineStr">
        <is>
          <t>Point of Origin</t>
        </is>
      </c>
      <c r="C8733" t="inlineStr">
        <is>
          <t>Bureau Veritas Polska Sp. z o.o., Warsaw, PL</t>
        </is>
      </c>
      <c r="D8733" t="inlineStr">
        <is>
          <t>23.01.2027</t>
        </is>
      </c>
      <c r="E8733" t="inlineStr">
        <is>
          <t>China</t>
        </is>
      </c>
    </row>
    <row r="8734">
      <c r="A8734" t="inlineStr">
        <is>
          <t>Ghent Transport &amp; Storage NV,  Gent, Belgium</t>
        </is>
      </c>
      <c r="B8734" t="inlineStr">
        <is>
          <t>Logistics Center</t>
        </is>
      </c>
      <c r="C8734" t="inlineStr">
        <is>
          <t>Control Union Certifications Germany GmbH, Berlin, DE</t>
        </is>
      </c>
      <c r="D8734" t="inlineStr">
        <is>
          <t>23.01.2027</t>
        </is>
      </c>
      <c r="E8734" t="inlineStr">
        <is>
          <t>Belgium</t>
        </is>
      </c>
    </row>
    <row r="8735">
      <c r="A8735" t="inlineStr">
        <is>
          <t>Ghent Transport &amp; Storage NV,  Gent, Belgium</t>
        </is>
      </c>
      <c r="B8735" t="inlineStr">
        <is>
          <t>Logistics Center</t>
        </is>
      </c>
      <c r="C8735" t="inlineStr">
        <is>
          <t>Control Union Certifications Germany GmbH, Berlin, DE</t>
        </is>
      </c>
      <c r="D8735" t="inlineStr">
        <is>
          <t>23.01.2027</t>
        </is>
      </c>
      <c r="E8735" t="inlineStr">
        <is>
          <t>Belgium</t>
        </is>
      </c>
    </row>
    <row r="8736">
      <c r="A8736" t="inlineStr">
        <is>
          <t>Diversey Europe Operations BV,  Breukelen UT, Netherlands</t>
        </is>
      </c>
      <c r="B8736" t="inlineStr">
        <is>
          <t>Trader with Storage, Warehouse</t>
        </is>
      </c>
      <c r="C8736" t="inlineStr">
        <is>
          <t>RINA Services S.p.A., Genova, IT</t>
        </is>
      </c>
      <c r="D8736" t="inlineStr">
        <is>
          <t>23.01.2027</t>
        </is>
      </c>
      <c r="E8736" t="inlineStr">
        <is>
          <t>Netherlands</t>
        </is>
      </c>
    </row>
    <row r="8737">
      <c r="A8737" t="inlineStr">
        <is>
          <t>HONGKONG LITIAN INTERNATIONAL TRADE LIMITED,  Nanjing, Jiangsu, China</t>
        </is>
      </c>
      <c r="B8737" t="inlineStr">
        <is>
          <t>Trader</t>
        </is>
      </c>
      <c r="C8737" t="inlineStr">
        <is>
          <t>RINA Services S.p.A., Genova, IT</t>
        </is>
      </c>
      <c r="D8737" t="inlineStr">
        <is>
          <t>23.01.2027</t>
        </is>
      </c>
      <c r="E8737" t="inlineStr">
        <is>
          <t>China</t>
        </is>
      </c>
    </row>
    <row r="8738">
      <c r="A8738" t="inlineStr">
        <is>
          <t>EOE EYEWEAR,  Stockholm, Sweden</t>
        </is>
      </c>
      <c r="B8738" t="inlineStr">
        <is>
          <t>Collecting Point, Warehouse, Processing Unit</t>
        </is>
      </c>
      <c r="C8738" t="inlineStr">
        <is>
          <t>DNV Business Assurance Sweden AB, Solna, SE</t>
        </is>
      </c>
      <c r="D8738" t="inlineStr">
        <is>
          <t>23.01.2027</t>
        </is>
      </c>
      <c r="E8738" t="inlineStr">
        <is>
          <t>Sweden</t>
        </is>
      </c>
    </row>
    <row r="8739">
      <c r="A8739" t="inlineStr">
        <is>
          <t>Arabian Green Trading Est.,  Al Khumra JEDDAH, Saudi Arabia</t>
        </is>
      </c>
      <c r="B8739" t="inlineStr">
        <is>
          <t>Collecting Point, Trader with Storage</t>
        </is>
      </c>
      <c r="C8739" t="inlineStr">
        <is>
          <t>PT Mutuagung Lestari, Depok, ID</t>
        </is>
      </c>
      <c r="D8739" t="inlineStr">
        <is>
          <t>23.01.2027</t>
        </is>
      </c>
      <c r="E8739" t="inlineStr">
        <is>
          <t>Saudi Arabia</t>
        </is>
      </c>
    </row>
    <row r="8740">
      <c r="A8740" t="inlineStr">
        <is>
          <t>Wilmar Trading (Australia) Pty Ltd,  Darra, Australia</t>
        </is>
      </c>
      <c r="B8740" t="inlineStr">
        <is>
          <t>Collecting Point, Trader with Storage</t>
        </is>
      </c>
      <c r="C8740" t="inlineStr">
        <is>
          <t>SCS Global Services, Emeryville, CA, US</t>
        </is>
      </c>
      <c r="D8740" t="inlineStr">
        <is>
          <t>23.01.2027</t>
        </is>
      </c>
      <c r="E8740" t="inlineStr">
        <is>
          <t>Australia</t>
        </is>
      </c>
    </row>
    <row r="8741">
      <c r="A8741" t="inlineStr">
        <is>
          <t>Energreen Nutrition Australia Pty Ltd,  Slacks Creek, Australia</t>
        </is>
      </c>
      <c r="B8741" t="inlineStr">
        <is>
          <t>Trader</t>
        </is>
      </c>
      <c r="C8741" t="inlineStr">
        <is>
          <t>Control Union Certifications Germany GmbH, Berlin, DE</t>
        </is>
      </c>
      <c r="D8741" t="inlineStr">
        <is>
          <t>22.01.2027</t>
        </is>
      </c>
      <c r="E8741" t="inlineStr">
        <is>
          <t>Australia</t>
        </is>
      </c>
    </row>
    <row r="8742">
      <c r="A8742" t="inlineStr">
        <is>
          <t>Air Liquide Deutschland GmbH,  Düsseldorf, Germany</t>
        </is>
      </c>
      <c r="B8742" t="inlineStr">
        <is>
          <t>Trader</t>
        </is>
      </c>
      <c r="C8742" t="inlineStr">
        <is>
          <t>DEKRA Certification GmbH, Stuttgart, DE</t>
        </is>
      </c>
      <c r="D8742" t="inlineStr">
        <is>
          <t>22.01.2027</t>
        </is>
      </c>
      <c r="E8742" t="inlineStr">
        <is>
          <t>Germany</t>
        </is>
      </c>
    </row>
    <row r="8743">
      <c r="A8743" t="inlineStr">
        <is>
          <t>Groot Zevert Vergisting,  Beltrum, Netherlands</t>
        </is>
      </c>
      <c r="B8743" t="inlineStr">
        <is>
          <t>Collecting Point, Processing Unit, Trader with Storage</t>
        </is>
      </c>
      <c r="C8743" t="inlineStr">
        <is>
          <t>Normec QS BV, Ede, NL</t>
        </is>
      </c>
      <c r="D8743" t="inlineStr">
        <is>
          <t>22.01.2027</t>
        </is>
      </c>
      <c r="E8743" t="inlineStr">
        <is>
          <t>Netherlands</t>
        </is>
      </c>
    </row>
    <row r="8744">
      <c r="A8744" t="inlineStr">
        <is>
          <t>Plastic Energy,  El Ejido, Almeria, Spain</t>
        </is>
      </c>
      <c r="B8744" t="inlineStr">
        <is>
          <t>Collecting Point, Processing Unit</t>
        </is>
      </c>
      <c r="C8744" t="inlineStr">
        <is>
          <t>Control Union Poland Sp. z o.o., Zielona Gora, PL</t>
        </is>
      </c>
      <c r="D8744" t="inlineStr">
        <is>
          <t>22.01.2027</t>
        </is>
      </c>
      <c r="E8744" t="inlineStr">
        <is>
          <t>Spain</t>
        </is>
      </c>
    </row>
    <row r="8745">
      <c r="A8745" t="inlineStr">
        <is>
          <t>Evonik Oxeno Antwerpen NV,  Antwerpen, Belgium</t>
        </is>
      </c>
      <c r="B8745" t="inlineStr">
        <is>
          <t>ETBE plant, MTBE plant, Processing Unit</t>
        </is>
      </c>
      <c r="C8745" t="inlineStr">
        <is>
          <t>DIN CERTCO GmbH, Berlin, DE</t>
        </is>
      </c>
      <c r="D8745" t="inlineStr">
        <is>
          <t>22.01.2027</t>
        </is>
      </c>
      <c r="E8745" t="inlineStr">
        <is>
          <t>Belgium</t>
        </is>
      </c>
    </row>
    <row r="8746">
      <c r="A8746" t="inlineStr">
        <is>
          <t>Evonik Oxeno Antwerpen NV,  Antwerpen, Belgium</t>
        </is>
      </c>
      <c r="B8746" t="inlineStr">
        <is>
          <t>ETBE plant, MTBE plant, Trader with Storage</t>
        </is>
      </c>
      <c r="C8746" t="inlineStr">
        <is>
          <t>DIN CERTCO GmbH, Berlin, DE</t>
        </is>
      </c>
      <c r="D8746" t="inlineStr">
        <is>
          <t>22.01.2027</t>
        </is>
      </c>
      <c r="E8746" t="inlineStr">
        <is>
          <t>Belgium</t>
        </is>
      </c>
    </row>
    <row r="8747">
      <c r="A8747" t="inlineStr">
        <is>
          <t>SUMWIN GLOBAL PTE. LTD.,  Singapore, Singapore</t>
        </is>
      </c>
      <c r="B8747" t="inlineStr">
        <is>
          <t>Trader</t>
        </is>
      </c>
      <c r="C8747" t="inlineStr">
        <is>
          <t>Control Union Poland Sp. z o.o., Zielona Gora, PL</t>
        </is>
      </c>
      <c r="D8747" t="inlineStr">
        <is>
          <t>22.01.2027</t>
        </is>
      </c>
      <c r="E8747" t="inlineStr">
        <is>
          <t>Singapore</t>
        </is>
      </c>
    </row>
    <row r="8748">
      <c r="A8748" t="inlineStr">
        <is>
          <t>Ameresco Woodland Meadows Romulus LLC,  Canton Township, United States</t>
        </is>
      </c>
      <c r="B8748" t="inlineStr">
        <is>
          <t>Collecting Point, Processing Unit</t>
        </is>
      </c>
      <c r="C8748" t="inlineStr">
        <is>
          <t>SCS Global Services, Emeryville, CA, US</t>
        </is>
      </c>
      <c r="D8748" t="inlineStr">
        <is>
          <t>22.01.2027</t>
        </is>
      </c>
      <c r="E8748" t="inlineStr">
        <is>
          <t>United States</t>
        </is>
      </c>
    </row>
    <row r="8749">
      <c r="A8749" t="inlineStr">
        <is>
          <t>Ameresco Woodland Meadows Romulus LLC,  Canton Township, United States</t>
        </is>
      </c>
      <c r="B8749" t="inlineStr">
        <is>
          <t>Collecting Point, Processing Unit</t>
        </is>
      </c>
      <c r="C8749" t="inlineStr">
        <is>
          <t>SCS Global Services, Emeryville, CA, US</t>
        </is>
      </c>
      <c r="D8749" t="inlineStr">
        <is>
          <t>22.01.2027</t>
        </is>
      </c>
      <c r="E8749" t="inlineStr">
        <is>
          <t>United States</t>
        </is>
      </c>
    </row>
    <row r="8750">
      <c r="A8750" t="inlineStr">
        <is>
          <t>Ameresco McCarty Energy LLC,  Houston, United States</t>
        </is>
      </c>
      <c r="B8750" t="inlineStr">
        <is>
          <t>Collecting Point, Processing Unit</t>
        </is>
      </c>
      <c r="C8750" t="inlineStr">
        <is>
          <t>SCS Global Services, Emeryville, CA, US</t>
        </is>
      </c>
      <c r="D8750" t="inlineStr">
        <is>
          <t>22.01.2027</t>
        </is>
      </c>
      <c r="E8750" t="inlineStr">
        <is>
          <t>United States</t>
        </is>
      </c>
    </row>
    <row r="8751">
      <c r="A8751" t="inlineStr">
        <is>
          <t>Ameresco McCarty Energy LLC,  Houston, United States</t>
        </is>
      </c>
      <c r="B8751" t="inlineStr">
        <is>
          <t>Collecting Point, Processing Unit</t>
        </is>
      </c>
      <c r="C8751" t="inlineStr">
        <is>
          <t>SCS Global Services, Emeryville, CA, US</t>
        </is>
      </c>
      <c r="D8751" t="inlineStr">
        <is>
          <t>22.01.2027</t>
        </is>
      </c>
      <c r="E8751" t="inlineStr">
        <is>
          <t>United States</t>
        </is>
      </c>
    </row>
    <row r="8752">
      <c r="A8752" t="inlineStr">
        <is>
          <t>Unigrà S.p.A.,  Conselice (Ravenna), Italy</t>
        </is>
      </c>
      <c r="B8752" t="inlineStr">
        <is>
          <t>Trader with Storage</t>
        </is>
      </c>
      <c r="C8752" t="inlineStr">
        <is>
          <t>Bureau Veritas Polska Sp. z o.o., Warsaw, PL</t>
        </is>
      </c>
      <c r="D8752" t="inlineStr">
        <is>
          <t>22.01.2027</t>
        </is>
      </c>
      <c r="E8752" t="inlineStr">
        <is>
          <t>Italy</t>
        </is>
      </c>
    </row>
    <row r="8753">
      <c r="A8753" t="inlineStr">
        <is>
          <t>Unigrà S.p.A.,  Conselice (Ravenna), Italy</t>
        </is>
      </c>
      <c r="B8753" t="inlineStr">
        <is>
          <t>Trader with Storage, Processing Unit</t>
        </is>
      </c>
      <c r="C8753" t="inlineStr">
        <is>
          <t>Bureau Veritas Polska Sp. z o.o., Warsaw, PL</t>
        </is>
      </c>
      <c r="D8753" t="inlineStr">
        <is>
          <t>22.01.2027</t>
        </is>
      </c>
      <c r="E8753" t="inlineStr">
        <is>
          <t>Italy</t>
        </is>
      </c>
    </row>
    <row r="8754">
      <c r="A8754" t="inlineStr">
        <is>
          <t>Kobkiat Global Co. Ltd,  Nanot, Muang Pattalung, Thailand</t>
        </is>
      </c>
      <c r="B8754" t="inlineStr">
        <is>
          <t>Collecting Point, Trader with Storage</t>
        </is>
      </c>
      <c r="C8754" t="inlineStr">
        <is>
          <t>Control Union Poland Sp. z o.o., Zielona Gora, PL</t>
        </is>
      </c>
      <c r="D8754" t="inlineStr">
        <is>
          <t>22.01.2027</t>
        </is>
      </c>
      <c r="E8754" t="inlineStr">
        <is>
          <t>Thailand</t>
        </is>
      </c>
    </row>
    <row r="8755">
      <c r="A8755" t="inlineStr">
        <is>
          <t>Recicla S.r.l.,  Copparo, Italy</t>
        </is>
      </c>
      <c r="B8755" t="inlineStr">
        <is>
          <t>Collecting Point, Processing Unit</t>
        </is>
      </c>
      <c r="C8755" t="inlineStr">
        <is>
          <t>DNV Business Assurance Sweden AB, Solna, SE</t>
        </is>
      </c>
      <c r="D8755" t="inlineStr">
        <is>
          <t>22.01.2027</t>
        </is>
      </c>
      <c r="E8755" t="inlineStr">
        <is>
          <t>Italy</t>
        </is>
      </c>
    </row>
    <row r="8756">
      <c r="A8756" t="inlineStr">
        <is>
          <t>Nam Thanh Cashew oil production Co.,Ltd.,  Dong Nai Province,, Vietnam</t>
        </is>
      </c>
      <c r="B8756" t="inlineStr">
        <is>
          <t>Collecting Point, Trader with Storage, Processing Unit</t>
        </is>
      </c>
      <c r="C8756" t="inlineStr">
        <is>
          <t>Trans Certification and Inspection Sdn Bhd, Kuantan, MY</t>
        </is>
      </c>
      <c r="D8756" t="inlineStr">
        <is>
          <t>22.01.2027</t>
        </is>
      </c>
      <c r="E8756" t="inlineStr">
        <is>
          <t>Vietnam</t>
        </is>
      </c>
    </row>
    <row r="8757">
      <c r="A8757" t="inlineStr">
        <is>
          <t>Ariano Biometano,  Ariano nel Polesine, Italy</t>
        </is>
      </c>
      <c r="B8757" t="inlineStr">
        <is>
          <t>Collecting Point, Processing Unit, Trader</t>
        </is>
      </c>
      <c r="C8757" t="inlineStr">
        <is>
          <t>agroVet GmbH, Enzersfeld, AT</t>
        </is>
      </c>
      <c r="D8757" t="inlineStr">
        <is>
          <t>22.01.2027</t>
        </is>
      </c>
      <c r="E8757" t="inlineStr">
        <is>
          <t>Italy</t>
        </is>
      </c>
    </row>
    <row r="8758">
      <c r="A8758" t="inlineStr">
        <is>
          <t>Trinseo Sverige,  Norrköping, Sweden</t>
        </is>
      </c>
      <c r="B8758" t="inlineStr">
        <is>
          <t>Processing Unit, Trader with Storage</t>
        </is>
      </c>
      <c r="C8758" t="inlineStr">
        <is>
          <t>SGS Germany GmbH, Emstek, DE</t>
        </is>
      </c>
      <c r="D8758" t="inlineStr">
        <is>
          <t>22.01.2027</t>
        </is>
      </c>
      <c r="E8758" t="inlineStr">
        <is>
          <t>Sweden</t>
        </is>
      </c>
    </row>
    <row r="8759">
      <c r="A8759" t="inlineStr">
        <is>
          <t>Jiangsu Huai'an Guofeng Qingyuan biogas Co., Ltd.,  Huaian, China</t>
        </is>
      </c>
      <c r="B8759" t="inlineStr">
        <is>
          <t>Collecting Point, Processing Unit</t>
        </is>
      </c>
      <c r="C8759" t="inlineStr">
        <is>
          <t>SGS Germany GmbH, Emstek, DE</t>
        </is>
      </c>
      <c r="D8759" t="inlineStr">
        <is>
          <t>22.01.2027</t>
        </is>
      </c>
      <c r="E8759" t="inlineStr">
        <is>
          <t>China</t>
        </is>
      </c>
    </row>
    <row r="8760">
      <c r="A8760" t="inlineStr">
        <is>
          <t>ENGIE Energy Management Solutions GmbH,  Berlin, Germany</t>
        </is>
      </c>
      <c r="B8760" t="inlineStr">
        <is>
          <t>Trader</t>
        </is>
      </c>
      <c r="C8760" t="inlineStr">
        <is>
          <t>Double Helix Tracking Technologies Pte Ltd, Singapore, SG</t>
        </is>
      </c>
      <c r="D8760" t="inlineStr">
        <is>
          <t>22.01.2027</t>
        </is>
      </c>
      <c r="E8760" t="inlineStr">
        <is>
          <t>Germany</t>
        </is>
      </c>
    </row>
    <row r="8761">
      <c r="A8761" t="inlineStr">
        <is>
          <t>SHANGHAI POWERFUL FLIGHT ENVIRONMENTAL TECHNOLOGY GROUP CO., LTD,  Fengxian District, Shanghai City, China</t>
        </is>
      </c>
      <c r="B8761" t="inlineStr">
        <is>
          <t>Trader with Storage</t>
        </is>
      </c>
      <c r="C8761" t="inlineStr">
        <is>
          <t>RINA Services S.p.A., Genova, IT</t>
        </is>
      </c>
      <c r="D8761" t="inlineStr">
        <is>
          <t>22.01.2027</t>
        </is>
      </c>
      <c r="E8761" t="inlineStr">
        <is>
          <t>China</t>
        </is>
      </c>
    </row>
    <row r="8762">
      <c r="A8762" t="inlineStr">
        <is>
          <t>Új Alkotmány Mezőgazdasági Szövetkezet,  Mezőkovácsháza, Hungary</t>
        </is>
      </c>
      <c r="B8762" t="inlineStr">
        <is>
          <t>First Gathering Point</t>
        </is>
      </c>
      <c r="C8762" t="inlineStr">
        <is>
          <t>Amspec Iberia SL, Vilagarcia de Arousa-Pontevedra, ES</t>
        </is>
      </c>
      <c r="D8762" t="inlineStr">
        <is>
          <t>22.01.2027</t>
        </is>
      </c>
      <c r="E8762" t="inlineStr">
        <is>
          <t>Hungary</t>
        </is>
      </c>
    </row>
    <row r="8763">
      <c r="A8763" t="inlineStr">
        <is>
          <t>ppg&gt;flexofilm GmbH,  Holdorf, Germany</t>
        </is>
      </c>
      <c r="B8763" t="inlineStr">
        <is>
          <t>Final Product Refinement, Processing Unit</t>
        </is>
      </c>
      <c r="C8763" t="inlineStr">
        <is>
          <t>GUT Certifizierungsgesellschaft für Managementsysteme mbH Umweltgutachter, Berlin, DE</t>
        </is>
      </c>
      <c r="D8763" t="inlineStr">
        <is>
          <t>22.01.2027</t>
        </is>
      </c>
      <c r="E8763" t="inlineStr">
        <is>
          <t>Germany</t>
        </is>
      </c>
    </row>
    <row r="8764">
      <c r="A8764" t="inlineStr">
        <is>
          <t>Vynova Belgium,  Tessenderlo-Ham, Belgium</t>
        </is>
      </c>
      <c r="B8764" t="inlineStr">
        <is>
          <t>Processing Unit</t>
        </is>
      </c>
      <c r="C8764" t="inlineStr">
        <is>
          <t>Bureau Veritas Polska Sp. z o.o., Warsaw, PL</t>
        </is>
      </c>
      <c r="D8764" t="inlineStr">
        <is>
          <t>22.01.2027</t>
        </is>
      </c>
      <c r="E8764" t="inlineStr">
        <is>
          <t>Belgium</t>
        </is>
      </c>
    </row>
    <row r="8765">
      <c r="A8765" t="inlineStr">
        <is>
          <t>Icoa-France,  Crancey, France</t>
        </is>
      </c>
      <c r="B8765" t="inlineStr">
        <is>
          <t>Processing Unit</t>
        </is>
      </c>
      <c r="C8765" t="inlineStr">
        <is>
          <t>Bureau Veritas Polska Sp. z o.o., Warsaw, PL</t>
        </is>
      </c>
      <c r="D8765" t="inlineStr">
        <is>
          <t>22.01.2027</t>
        </is>
      </c>
      <c r="E8765" t="inlineStr">
        <is>
          <t>France</t>
        </is>
      </c>
    </row>
    <row r="8766">
      <c r="A8766" t="inlineStr">
        <is>
          <t>Vynova Mazingarbe,  Mazingarbe, France</t>
        </is>
      </c>
      <c r="B8766" t="inlineStr">
        <is>
          <t>Processing Unit</t>
        </is>
      </c>
      <c r="C8766" t="inlineStr">
        <is>
          <t>Bureau Veritas Polska Sp. z o.o., Warsaw, PL</t>
        </is>
      </c>
      <c r="D8766" t="inlineStr">
        <is>
          <t>22.01.2027</t>
        </is>
      </c>
      <c r="E8766" t="inlineStr">
        <is>
          <t>France</t>
        </is>
      </c>
    </row>
    <row r="8767">
      <c r="A8767" t="inlineStr">
        <is>
          <t>Tupras Trading Ltd,  London, United Kingdom</t>
        </is>
      </c>
      <c r="B8767" t="inlineStr">
        <is>
          <t>Trader with Storage</t>
        </is>
      </c>
      <c r="C8767" t="inlineStr">
        <is>
          <t>PT Intertek Utama Services, Jakarta, ID</t>
        </is>
      </c>
      <c r="D8767" t="inlineStr">
        <is>
          <t>22.01.2027</t>
        </is>
      </c>
      <c r="E8767" t="inlineStr">
        <is>
          <t>United Kingdom</t>
        </is>
      </c>
    </row>
    <row r="8768">
      <c r="A8768" t="inlineStr">
        <is>
          <t>Tupras Trading Ltd,  London, United Kingdom</t>
        </is>
      </c>
      <c r="B8768" t="inlineStr">
        <is>
          <t>Trader with Storage</t>
        </is>
      </c>
      <c r="C8768" t="inlineStr">
        <is>
          <t>PT Intertek Utama Services, Jakarta, ID</t>
        </is>
      </c>
      <c r="D8768" t="inlineStr">
        <is>
          <t>22.01.2027</t>
        </is>
      </c>
      <c r="E8768" t="inlineStr">
        <is>
          <t>United Kingdom</t>
        </is>
      </c>
    </row>
    <row r="8769">
      <c r="A8769" t="inlineStr">
        <is>
          <t>Sumwin Solutions India Private Limited,  Santacruz East, Mumbai, India</t>
        </is>
      </c>
      <c r="B8769" t="inlineStr">
        <is>
          <t>Trader</t>
        </is>
      </c>
      <c r="C8769" t="inlineStr">
        <is>
          <t>Control Union Poland Sp. z o.o., Zielona Gora, PL</t>
        </is>
      </c>
      <c r="D8769" t="inlineStr">
        <is>
          <t>22.01.2027</t>
        </is>
      </c>
      <c r="E8769" t="inlineStr">
        <is>
          <t>India</t>
        </is>
      </c>
    </row>
    <row r="8770">
      <c r="A8770" t="inlineStr">
        <is>
          <t>Tupras Trading Ltd,  London, United Kingdom</t>
        </is>
      </c>
      <c r="B8770" t="inlineStr">
        <is>
          <t>Trader with Storage</t>
        </is>
      </c>
      <c r="C8770" t="inlineStr">
        <is>
          <t>PT Intertek Utama Services, Jakarta, ID</t>
        </is>
      </c>
      <c r="D8770" t="inlineStr">
        <is>
          <t>22.01.2027</t>
        </is>
      </c>
      <c r="E8770" t="inlineStr">
        <is>
          <t>United Kingdom</t>
        </is>
      </c>
    </row>
    <row r="8771">
      <c r="A8771" t="inlineStr">
        <is>
          <t>Gestion de Recursos y Soluciones Empresariales S.L.U. (Solartia®),  Los Arcos, Spain</t>
        </is>
      </c>
      <c r="B8771" t="inlineStr">
        <is>
          <t>Collecting Point, Point of Origin, Processing Unit, Trader with Storage</t>
        </is>
      </c>
      <c r="C8771" t="inlineStr">
        <is>
          <t>Certificadora Gallega del Noroeste SL, Vilagarcia de Arousa-Pontevedra, ES</t>
        </is>
      </c>
      <c r="D8771" t="inlineStr">
        <is>
          <t>22.01.2027</t>
        </is>
      </c>
      <c r="E8771" t="inlineStr">
        <is>
          <t>Spain</t>
        </is>
      </c>
    </row>
    <row r="8772">
      <c r="A8772" t="inlineStr">
        <is>
          <t>Huntsman (Germany) GmbH, Osnabrück Betriebsstätte,  Osnabrück, Germany</t>
        </is>
      </c>
      <c r="B8772" t="inlineStr">
        <is>
          <t>Processing Unit</t>
        </is>
      </c>
      <c r="C8772" t="inlineStr">
        <is>
          <t>Bureau Veritas Polska Sp. z o.o., Warsaw, PL</t>
        </is>
      </c>
      <c r="D8772" t="inlineStr">
        <is>
          <t>22.01.2027</t>
        </is>
      </c>
      <c r="E8772" t="inlineStr">
        <is>
          <t>Germany</t>
        </is>
      </c>
    </row>
    <row r="8773">
      <c r="A8773" t="inlineStr">
        <is>
          <t>INOVYN Europe Limited,  Stenungsund, Sweden</t>
        </is>
      </c>
      <c r="B8773" t="inlineStr">
        <is>
          <t>Processing Unit</t>
        </is>
      </c>
      <c r="C8773" t="inlineStr">
        <is>
          <t>SCS Global Services, Emeryville, CA, US</t>
        </is>
      </c>
      <c r="D8773" t="inlineStr">
        <is>
          <t>22.01.2027</t>
        </is>
      </c>
      <c r="E8773" t="inlineStr">
        <is>
          <t>Sweden</t>
        </is>
      </c>
    </row>
    <row r="8774">
      <c r="A8774" t="inlineStr">
        <is>
          <t>INOVYN Europe Limited,  Porsgrunn, Norway</t>
        </is>
      </c>
      <c r="B8774" t="inlineStr">
        <is>
          <t>Processing Unit</t>
        </is>
      </c>
      <c r="C8774" t="inlineStr">
        <is>
          <t>SCS Global Services, Emeryville, CA, US</t>
        </is>
      </c>
      <c r="D8774" t="inlineStr">
        <is>
          <t>22.01.2027</t>
        </is>
      </c>
      <c r="E8774" t="inlineStr">
        <is>
          <t>Norway</t>
        </is>
      </c>
    </row>
    <row r="8775">
      <c r="A8775" t="inlineStr">
        <is>
          <t>AGRO MURNI,  DUMAI, Indonesia</t>
        </is>
      </c>
      <c r="B8775" t="inlineStr">
        <is>
          <t>Point of Origin</t>
        </is>
      </c>
      <c r="C8775" t="inlineStr">
        <is>
          <t>Bureau Veritas Polska Sp. z o.o., Warsaw, PL</t>
        </is>
      </c>
      <c r="D8775" t="inlineStr">
        <is>
          <t>22.01.2027</t>
        </is>
      </c>
      <c r="E8775" t="inlineStr">
        <is>
          <t>Indonesia</t>
        </is>
      </c>
    </row>
    <row r="8776">
      <c r="A8776" t="inlineStr">
        <is>
          <t>Bio Verwerker Anerveen B.V.,  Anerveen, Netherlands</t>
        </is>
      </c>
      <c r="B8776" t="inlineStr">
        <is>
          <t>Collecting Point, Processing Unit</t>
        </is>
      </c>
      <c r="C8776" t="inlineStr">
        <is>
          <t>Normec QS BV, Ede, NL</t>
        </is>
      </c>
      <c r="D8776" t="inlineStr">
        <is>
          <t>22.01.2027</t>
        </is>
      </c>
      <c r="E8776" t="inlineStr">
        <is>
          <t>Netherlands</t>
        </is>
      </c>
    </row>
    <row r="8777">
      <c r="A8777" t="inlineStr">
        <is>
          <t>CAPITAL CONCORD ENTERPRISES LIMITED,  Ninh Binh Province, Vietnam</t>
        </is>
      </c>
      <c r="B8777" t="inlineStr">
        <is>
          <t>Final Product Refinement</t>
        </is>
      </c>
      <c r="C8777" t="inlineStr">
        <is>
          <t>SGS Germany GmbH, Emstek, DE</t>
        </is>
      </c>
      <c r="D8777" t="inlineStr">
        <is>
          <t>22.01.2027</t>
        </is>
      </c>
      <c r="E8777" t="inlineStr">
        <is>
          <t>Vietnam</t>
        </is>
      </c>
    </row>
    <row r="8778">
      <c r="A8778" t="inlineStr">
        <is>
          <t>Ducor Petrochemicals,  KG Botlek, Rotterdam, Netherlands</t>
        </is>
      </c>
      <c r="B8778" t="inlineStr">
        <is>
          <t>Processing Unit</t>
        </is>
      </c>
      <c r="C8778" t="inlineStr">
        <is>
          <t>DEKRA Certification B.V., Arnhem, NL</t>
        </is>
      </c>
      <c r="D8778" t="inlineStr">
        <is>
          <t>22.01.2027</t>
        </is>
      </c>
      <c r="E8778" t="inlineStr">
        <is>
          <t>Netherlands</t>
        </is>
      </c>
    </row>
    <row r="8779">
      <c r="A8779" t="inlineStr">
        <is>
          <t>Mitsubishi Gas Chemical Company, Inc. (Mizushima Plant),  Kurashiki-shi, Okayama, Japan</t>
        </is>
      </c>
      <c r="B8779" t="inlineStr">
        <is>
          <t>Processing Unit</t>
        </is>
      </c>
      <c r="C8779" t="inlineStr">
        <is>
          <t>SGS Germany GmbH, Emstek, DE</t>
        </is>
      </c>
      <c r="D8779" t="inlineStr">
        <is>
          <t>22.01.2027</t>
        </is>
      </c>
      <c r="E8779" t="inlineStr">
        <is>
          <t>Japan</t>
        </is>
      </c>
    </row>
    <row r="8780">
      <c r="A8780" t="inlineStr">
        <is>
          <t>Sung Shin A (Viet Nam) Co., Ltd,  Ho Chi Minh City, Vietnam</t>
        </is>
      </c>
      <c r="B8780" t="inlineStr">
        <is>
          <t>Processing Unit</t>
        </is>
      </c>
      <c r="C8780" t="inlineStr">
        <is>
          <t>SGS Germany GmbH, Emstek, DE</t>
        </is>
      </c>
      <c r="D8780" t="inlineStr">
        <is>
          <t>22.01.2027</t>
        </is>
      </c>
      <c r="E8780" t="inlineStr">
        <is>
          <t>Vietnam</t>
        </is>
      </c>
    </row>
    <row r="8781">
      <c r="A8781" t="inlineStr">
        <is>
          <t>Thai Hoover Industry,  Rachathewa, Bang Phli, Samutprakarn, Thailand</t>
        </is>
      </c>
      <c r="B8781" t="inlineStr">
        <is>
          <t>Processing Unit</t>
        </is>
      </c>
      <c r="C8781" t="inlineStr">
        <is>
          <t>PT Intertek Utama Services, Jakarta, ID</t>
        </is>
      </c>
      <c r="D8781" t="inlineStr">
        <is>
          <t>22.01.2027</t>
        </is>
      </c>
      <c r="E8781" t="inlineStr">
        <is>
          <t>Thailand</t>
        </is>
      </c>
    </row>
    <row r="8782">
      <c r="A8782" t="inlineStr">
        <is>
          <t>TAI ZHOU YAFENG GLASSES CO.,LTD,  JIAOJIANG TAIZHOU ZHEJIANG, China</t>
        </is>
      </c>
      <c r="B8782" t="inlineStr">
        <is>
          <t>Processing Unit</t>
        </is>
      </c>
      <c r="C8782" t="inlineStr">
        <is>
          <t>PT Intertek Utama Services, Jakarta, ID</t>
        </is>
      </c>
      <c r="D8782" t="inlineStr">
        <is>
          <t>22.01.2027</t>
        </is>
      </c>
      <c r="E8782" t="inlineStr">
        <is>
          <t>China</t>
        </is>
      </c>
    </row>
    <row r="8783">
      <c r="A8783" t="inlineStr">
        <is>
          <t>Fürst GmbH,  Hallerndorf, Germany</t>
        </is>
      </c>
      <c r="B8783" t="inlineStr">
        <is>
          <t>Processing Unit</t>
        </is>
      </c>
      <c r="C8783" t="inlineStr">
        <is>
          <t>TÜV NORD CERT GmbH, Essen, DE</t>
        </is>
      </c>
      <c r="D8783" t="inlineStr">
        <is>
          <t>22.01.2027</t>
        </is>
      </c>
      <c r="E8783" t="inlineStr">
        <is>
          <t>Germany</t>
        </is>
      </c>
    </row>
    <row r="8784">
      <c r="A8784" t="inlineStr">
        <is>
          <t>Complast,  Forni di Sotto, Italy</t>
        </is>
      </c>
      <c r="B8784" t="inlineStr">
        <is>
          <t>Processing Unit</t>
        </is>
      </c>
      <c r="C8784" t="inlineStr">
        <is>
          <t>RINA Services S.p.A., Genova, IT</t>
        </is>
      </c>
      <c r="D8784" t="inlineStr">
        <is>
          <t>22.01.2027</t>
        </is>
      </c>
      <c r="E8784" t="inlineStr">
        <is>
          <t>Italy</t>
        </is>
      </c>
    </row>
    <row r="8785">
      <c r="A8785" t="inlineStr">
        <is>
          <t>BANGKOK USED VEGETABLE OIL COMPANY LIMITED,  Phayathai District, Bangkok, Thailand</t>
        </is>
      </c>
      <c r="B8785" t="inlineStr">
        <is>
          <t>Collecting Point, Trader with Storage</t>
        </is>
      </c>
      <c r="C8785" t="inlineStr">
        <is>
          <t>China Testing &amp; Certification International Group Co., Ltd., Beijing, CN</t>
        </is>
      </c>
      <c r="D8785" t="inlineStr">
        <is>
          <t>22.01.2027</t>
        </is>
      </c>
      <c r="E8785" t="inlineStr">
        <is>
          <t>Thailand</t>
        </is>
      </c>
    </row>
    <row r="8786">
      <c r="A8786" t="inlineStr">
        <is>
          <t>Livland Biomethane,  Nauksenu pagasts, Latvia</t>
        </is>
      </c>
      <c r="B8786" t="inlineStr">
        <is>
          <t>Collecting Point, Processing Unit</t>
        </is>
      </c>
      <c r="C8786" t="inlineStr">
        <is>
          <t>BM Certification, Riga, LV</t>
        </is>
      </c>
      <c r="D8786" t="inlineStr">
        <is>
          <t>22.01.2027</t>
        </is>
      </c>
      <c r="E8786" t="inlineStr">
        <is>
          <t>Latvia</t>
        </is>
      </c>
    </row>
    <row r="8787">
      <c r="A8787" t="inlineStr">
        <is>
          <t>TAEKWANG INDUSTRIAL Petrochemical #1 Plant,  Ulsan, South Korea</t>
        </is>
      </c>
      <c r="B8787" t="inlineStr">
        <is>
          <t>Processing Unit</t>
        </is>
      </c>
      <c r="C8787" t="inlineStr">
        <is>
          <t>Korean Foundation for Quality, Songpa-gu, Seoul, KR</t>
        </is>
      </c>
      <c r="D8787" t="inlineStr">
        <is>
          <t>22.01.2027</t>
        </is>
      </c>
      <c r="E8787" t="inlineStr">
        <is>
          <t>South Korea</t>
        </is>
      </c>
    </row>
    <row r="8788">
      <c r="A8788" t="inlineStr">
        <is>
          <t>TAEKWANG INDUSTRIAL Petrochemical #3 Plant,  Ulsan, South Korea</t>
        </is>
      </c>
      <c r="B8788" t="inlineStr">
        <is>
          <t>Processing Unit</t>
        </is>
      </c>
      <c r="C8788" t="inlineStr">
        <is>
          <t>Korean Foundation for Quality, Songpa-gu, Seoul, KR</t>
        </is>
      </c>
      <c r="D8788" t="inlineStr">
        <is>
          <t>22.01.2027</t>
        </is>
      </c>
      <c r="E8788" t="inlineStr">
        <is>
          <t>South Korea</t>
        </is>
      </c>
    </row>
    <row r="8789">
      <c r="A8789" t="inlineStr">
        <is>
          <t>Trocellen Iberica,  Alcalá de Henares, Spain</t>
        </is>
      </c>
      <c r="B8789" t="inlineStr">
        <is>
          <t>Processing Unit</t>
        </is>
      </c>
      <c r="C8789" t="inlineStr">
        <is>
          <t>Certificadora Gallega del Noroeste SL, Vilagarcia de Arousa-Pontevedra, ES</t>
        </is>
      </c>
      <c r="D8789" t="inlineStr">
        <is>
          <t>22.01.2027</t>
        </is>
      </c>
      <c r="E8789" t="inlineStr">
        <is>
          <t>Spain</t>
        </is>
      </c>
    </row>
    <row r="8790">
      <c r="A8790" t="inlineStr">
        <is>
          <t>ANTIVARI,  DOCK SUD, Argentina</t>
        </is>
      </c>
      <c r="B8790" t="inlineStr">
        <is>
          <t>Warehouse</t>
        </is>
      </c>
      <c r="C8790" t="inlineStr">
        <is>
          <t>Certificadora Gallega del Noroeste SL, Vilagarcia de Arousa-Pontevedra, ES</t>
        </is>
      </c>
      <c r="D8790" t="inlineStr">
        <is>
          <t>22.01.2027</t>
        </is>
      </c>
      <c r="E8790" t="inlineStr">
        <is>
          <t>Argentina</t>
        </is>
      </c>
    </row>
    <row r="8791">
      <c r="A8791" t="inlineStr">
        <is>
          <t>ALCAR UNO,  Castelnuovo Rangone, Italy</t>
        </is>
      </c>
      <c r="B8791" t="inlineStr">
        <is>
          <t>Point of Origin</t>
        </is>
      </c>
      <c r="C8791" t="inlineStr">
        <is>
          <t>RINA Services S.p.A., Genova, IT</t>
        </is>
      </c>
      <c r="D8791" t="inlineStr">
        <is>
          <t>21.01.2027</t>
        </is>
      </c>
      <c r="E8791" t="inlineStr">
        <is>
          <t>Italy</t>
        </is>
      </c>
    </row>
    <row r="8792">
      <c r="A8792" t="inlineStr">
        <is>
          <t>ALCAR UNO,  Castelnuovo Rangone, Italy</t>
        </is>
      </c>
      <c r="B8792" t="inlineStr">
        <is>
          <t>Point of Origin</t>
        </is>
      </c>
      <c r="C8792" t="inlineStr">
        <is>
          <t>RINA Services S.p.A., Genova, IT</t>
        </is>
      </c>
      <c r="D8792" t="inlineStr">
        <is>
          <t>21.01.2027</t>
        </is>
      </c>
      <c r="E8792" t="inlineStr">
        <is>
          <t>Italy</t>
        </is>
      </c>
    </row>
    <row r="8793">
      <c r="A8793" t="inlineStr">
        <is>
          <t>RITRAMA (UK),  Manchester, United Kingdom</t>
        </is>
      </c>
      <c r="B8793" t="inlineStr">
        <is>
          <t>Final Product Refinement, Trader with Storage</t>
        </is>
      </c>
      <c r="C8793" t="inlineStr">
        <is>
          <t>SGS Germany GmbH, Emstek, DE</t>
        </is>
      </c>
      <c r="D8793" t="inlineStr">
        <is>
          <t>21.01.2027</t>
        </is>
      </c>
      <c r="E8793" t="inlineStr">
        <is>
          <t>United Kingdom</t>
        </is>
      </c>
    </row>
    <row r="8794">
      <c r="A8794" t="inlineStr">
        <is>
          <t>BioOperations limited liability partnership,  Chermoshnyanka village, Tayinshinsky district, Kazakhstan</t>
        </is>
      </c>
      <c r="B8794" t="inlineStr">
        <is>
          <t>Point of Origin, Processing Unit</t>
        </is>
      </c>
      <c r="C8794" t="inlineStr">
        <is>
          <t>TÜV NORD CERT GmbH, Essen, DE</t>
        </is>
      </c>
      <c r="D8794" t="inlineStr">
        <is>
          <t>21.01.2027</t>
        </is>
      </c>
      <c r="E8794" t="inlineStr">
        <is>
          <t>Kazakhstan</t>
        </is>
      </c>
    </row>
    <row r="8795">
      <c r="A8795" t="inlineStr">
        <is>
          <t>Harms und Reinsch KG,  Wanna, Germany</t>
        </is>
      </c>
      <c r="B8795" t="inlineStr">
        <is>
          <t>Collecting Point, Point of Origin</t>
        </is>
      </c>
      <c r="C8795" t="inlineStr">
        <is>
          <t>agroVet GmbH, Enzersfeld, AT</t>
        </is>
      </c>
      <c r="D8795" t="inlineStr">
        <is>
          <t>21.01.2027</t>
        </is>
      </c>
      <c r="E8795" t="inlineStr">
        <is>
          <t>Germany</t>
        </is>
      </c>
    </row>
    <row r="8796">
      <c r="A8796" t="inlineStr">
        <is>
          <t>Luoyang Wangneng Renewable Energy Co.,Ltd.,  Luoyang City, Henan Province, China</t>
        </is>
      </c>
      <c r="B8796" t="inlineStr">
        <is>
          <t>Collecting Point, Processing Unit</t>
        </is>
      </c>
      <c r="C8796" t="inlineStr">
        <is>
          <t>RINA Services S.p.A., Genova, IT</t>
        </is>
      </c>
      <c r="D8796" t="inlineStr">
        <is>
          <t>21.01.2027</t>
        </is>
      </c>
      <c r="E8796" t="inlineStr">
        <is>
          <t>China</t>
        </is>
      </c>
    </row>
    <row r="8797">
      <c r="A8797" t="inlineStr">
        <is>
          <t>FP Corporation Fukuyama Plant PS-5,  Fukuyama-shi, Japan</t>
        </is>
      </c>
      <c r="B8797" t="inlineStr">
        <is>
          <t>Processing Unit</t>
        </is>
      </c>
      <c r="C8797" t="inlineStr">
        <is>
          <t>SGS Germany GmbH, Emstek, DE</t>
        </is>
      </c>
      <c r="D8797" t="inlineStr">
        <is>
          <t>21.01.2027</t>
        </is>
      </c>
      <c r="E8797" t="inlineStr">
        <is>
          <t>Japan</t>
        </is>
      </c>
    </row>
    <row r="8798">
      <c r="A8798" t="inlineStr">
        <is>
          <t>HONGKONG NATURAL RESOURCES TRADING COMPANY LIMITED,  Xiamen, Fujian, China</t>
        </is>
      </c>
      <c r="B8798" t="inlineStr">
        <is>
          <t>Trader with Storage</t>
        </is>
      </c>
      <c r="C8798" t="inlineStr">
        <is>
          <t>RINA Services S.p.A., Genova, IT</t>
        </is>
      </c>
      <c r="D8798" t="inlineStr">
        <is>
          <t>21.01.2027</t>
        </is>
      </c>
      <c r="E8798" t="inlineStr">
        <is>
          <t>China</t>
        </is>
      </c>
    </row>
    <row r="8799">
      <c r="A8799" t="inlineStr">
        <is>
          <t>Shenxian Haohui Oil &amp; Fat Co., Ltd.,  Liaocheng City, China</t>
        </is>
      </c>
      <c r="B8799" t="inlineStr">
        <is>
          <t>Collecting Point, Trader with Storage</t>
        </is>
      </c>
      <c r="C8799" t="inlineStr">
        <is>
          <t>RINA Services S.p.A., Genova, IT</t>
        </is>
      </c>
      <c r="D8799" t="inlineStr">
        <is>
          <t>21.01.2027</t>
        </is>
      </c>
      <c r="E8799" t="inlineStr">
        <is>
          <t>China</t>
        </is>
      </c>
    </row>
    <row r="8800">
      <c r="A8800" t="inlineStr">
        <is>
          <t>CBC Commodities Bio Consulting SRL,  Ostuni, Italy</t>
        </is>
      </c>
      <c r="B8800" t="inlineStr">
        <is>
          <t>Collecting Point, Trader with Storage</t>
        </is>
      </c>
      <c r="C8800" t="inlineStr">
        <is>
          <t>SGS Germany GmbH, Emstek, DE</t>
        </is>
      </c>
      <c r="D8800" t="inlineStr">
        <is>
          <t>21.01.2027</t>
        </is>
      </c>
      <c r="E8800" t="inlineStr">
        <is>
          <t>Italy</t>
        </is>
      </c>
    </row>
    <row r="8801">
      <c r="A8801" t="inlineStr">
        <is>
          <t>ARLECCHINO,  SETTEVILLE (BL), Italy</t>
        </is>
      </c>
      <c r="B8801" t="inlineStr">
        <is>
          <t>Final Product Refinement, Processing Unit</t>
        </is>
      </c>
      <c r="C8801" t="inlineStr">
        <is>
          <t>RINA Services S.p.A., Genova, IT</t>
        </is>
      </c>
      <c r="D8801" t="inlineStr">
        <is>
          <t>21.01.2027</t>
        </is>
      </c>
      <c r="E8801" t="inlineStr">
        <is>
          <t>Italy</t>
        </is>
      </c>
    </row>
    <row r="8802">
      <c r="A8802" t="inlineStr">
        <is>
          <t>LUKOIL ROMANIA,  Bucuresti, Romania</t>
        </is>
      </c>
      <c r="B8802" t="inlineStr">
        <is>
          <t>Trader with Storage</t>
        </is>
      </c>
      <c r="C8802" t="inlineStr">
        <is>
          <t>CertRom SRL, Bucuresti, RO</t>
        </is>
      </c>
      <c r="D8802" t="inlineStr">
        <is>
          <t>21.01.2027</t>
        </is>
      </c>
      <c r="E8802" t="inlineStr">
        <is>
          <t>Romania</t>
        </is>
      </c>
    </row>
    <row r="8803">
      <c r="A8803" t="inlineStr">
        <is>
          <t>Oillio Ltd,  Gardabani, Georgia</t>
        </is>
      </c>
      <c r="B8803" t="inlineStr">
        <is>
          <t>Collecting Point</t>
        </is>
      </c>
      <c r="C8803" t="inlineStr">
        <is>
          <t>Eurocert SA, Metamorfosi, Athens, GR</t>
        </is>
      </c>
      <c r="D8803" t="inlineStr">
        <is>
          <t>21.01.2027</t>
        </is>
      </c>
      <c r="E8803" t="inlineStr">
        <is>
          <t>Georgia</t>
        </is>
      </c>
    </row>
    <row r="8804">
      <c r="A8804" t="inlineStr">
        <is>
          <t>Green Biotrade FZCO,  Dubai, UAE, United Arab Emirates</t>
        </is>
      </c>
      <c r="B8804" t="inlineStr">
        <is>
          <t>Trader</t>
        </is>
      </c>
      <c r="C8804" t="inlineStr">
        <is>
          <t>Control Union Certifications Germany GmbH, Berlin, DE</t>
        </is>
      </c>
      <c r="D8804" t="inlineStr">
        <is>
          <t>21.01.2027</t>
        </is>
      </c>
      <c r="E8804" t="inlineStr">
        <is>
          <t>United Arab Emirates</t>
        </is>
      </c>
    </row>
    <row r="8805">
      <c r="A8805" t="inlineStr">
        <is>
          <t>CHINA SHIPBUILDING HENGYU ENERGY (SHANGHAI) CO.,LTD,  SHANGHAI, China</t>
        </is>
      </c>
      <c r="B8805" t="inlineStr">
        <is>
          <t>Trader</t>
        </is>
      </c>
      <c r="C8805" t="inlineStr">
        <is>
          <t>China Classification Society Certification Co., Ltd, Dong Cheng District, Beijing, CN</t>
        </is>
      </c>
      <c r="D8805" t="inlineStr">
        <is>
          <t>21.01.2027</t>
        </is>
      </c>
      <c r="E8805" t="inlineStr">
        <is>
          <t>China</t>
        </is>
      </c>
    </row>
    <row r="8806">
      <c r="A8806" t="inlineStr">
        <is>
          <t>Kuraray Europe GmbH,  Hattersheim am Main, Germany</t>
        </is>
      </c>
      <c r="B8806" t="inlineStr">
        <is>
          <t>Trader with Storage</t>
        </is>
      </c>
      <c r="C8806" t="inlineStr">
        <is>
          <t>Control Union Certifications Germany GmbH, Berlin, DE</t>
        </is>
      </c>
      <c r="D8806" t="inlineStr">
        <is>
          <t>21.01.2027</t>
        </is>
      </c>
      <c r="E8806" t="inlineStr">
        <is>
          <t>Germany</t>
        </is>
      </c>
    </row>
    <row r="8807">
      <c r="A8807" t="inlineStr">
        <is>
          <t>Dae-A Solution Co., Ltd.,  SEOUL, South Korea</t>
        </is>
      </c>
      <c r="B8807" t="inlineStr">
        <is>
          <t>Trader with Storage</t>
        </is>
      </c>
      <c r="C8807" t="inlineStr">
        <is>
          <t>Control Union Certifications Germany GmbH, Berlin, DE</t>
        </is>
      </c>
      <c r="D8807" t="inlineStr">
        <is>
          <t>21.01.2027</t>
        </is>
      </c>
      <c r="E8807" t="inlineStr">
        <is>
          <t>South Korea</t>
        </is>
      </c>
    </row>
    <row r="8808">
      <c r="A8808" t="inlineStr">
        <is>
          <t>GOODMILLS ROMANIA SRL,  Pantelimon, Romania</t>
        </is>
      </c>
      <c r="B8808" t="inlineStr">
        <is>
          <t>Processing Unit</t>
        </is>
      </c>
      <c r="C8808" t="inlineStr">
        <is>
          <t>SGS Germany GmbH, Emstek, DE</t>
        </is>
      </c>
      <c r="D8808" t="inlineStr">
        <is>
          <t>21.01.2027</t>
        </is>
      </c>
      <c r="E8808" t="inlineStr">
        <is>
          <t>Romania</t>
        </is>
      </c>
    </row>
    <row r="8809">
      <c r="A8809" t="inlineStr">
        <is>
          <t>Dognazzi Renzo &amp; Roberto,  Casale Monferrato, Italy</t>
        </is>
      </c>
      <c r="B8809" t="inlineStr">
        <is>
          <t>Collecting Point, Processing Unit, Trader with Storage</t>
        </is>
      </c>
      <c r="C8809" t="inlineStr">
        <is>
          <t>SGS Germany GmbH, Emstek, DE</t>
        </is>
      </c>
      <c r="D8809" t="inlineStr">
        <is>
          <t>21.01.2027</t>
        </is>
      </c>
      <c r="E8809" t="inlineStr">
        <is>
          <t>Italy</t>
        </is>
      </c>
    </row>
    <row r="8810">
      <c r="A8810" t="inlineStr">
        <is>
          <t>Crossbridge,  Geneva, Switzerland</t>
        </is>
      </c>
      <c r="B8810" t="inlineStr">
        <is>
          <t>Trader</t>
        </is>
      </c>
      <c r="C8810" t="inlineStr">
        <is>
          <t>SGS Germany GmbH, Emstek, DE</t>
        </is>
      </c>
      <c r="D8810" t="inlineStr">
        <is>
          <t>21.01.2027</t>
        </is>
      </c>
      <c r="E8810" t="inlineStr">
        <is>
          <t>Switzerland</t>
        </is>
      </c>
    </row>
    <row r="8811">
      <c r="A8811" t="inlineStr">
        <is>
          <t>LLC "KHMILNYTSKE",  Viitivtsi village, Vinnytsia region, Ukraine</t>
        </is>
      </c>
      <c r="B8811" t="inlineStr">
        <is>
          <t>Farm / Plantation, Trader with Storage</t>
        </is>
      </c>
      <c r="C8811" t="inlineStr">
        <is>
          <t>SGS Germany GmbH, Emstek, DE</t>
        </is>
      </c>
      <c r="D8811" t="inlineStr">
        <is>
          <t>21.01.2027</t>
        </is>
      </c>
      <c r="E8811" t="inlineStr">
        <is>
          <t>Ukraine</t>
        </is>
      </c>
    </row>
    <row r="8812">
      <c r="A8812" t="inlineStr">
        <is>
          <t>LLC "KHMILNYTSKE",  Viitivtsi village, Vinnytsia region, Ukraine</t>
        </is>
      </c>
      <c r="B8812" t="inlineStr">
        <is>
          <t>Farm / Plantation, Trader with Storage</t>
        </is>
      </c>
      <c r="C8812" t="inlineStr">
        <is>
          <t>SGS Germany GmbH, Emstek, DE</t>
        </is>
      </c>
      <c r="D8812" t="inlineStr">
        <is>
          <t>21.01.2027</t>
        </is>
      </c>
      <c r="E8812" t="inlineStr">
        <is>
          <t>Ukraine</t>
        </is>
      </c>
    </row>
    <row r="8813">
      <c r="A8813" t="inlineStr">
        <is>
          <t>BLUESTAR BIOENERGY PTE LTD,  SINGAPORE, Singapore</t>
        </is>
      </c>
      <c r="B8813" t="inlineStr">
        <is>
          <t>Trader</t>
        </is>
      </c>
      <c r="C8813" t="inlineStr">
        <is>
          <t>PT Mutuagung Lestari, Depok, ID</t>
        </is>
      </c>
      <c r="D8813" t="inlineStr">
        <is>
          <t>21.01.2027</t>
        </is>
      </c>
      <c r="E8813" t="inlineStr">
        <is>
          <t>Singapore</t>
        </is>
      </c>
    </row>
    <row r="8814">
      <c r="A8814" t="inlineStr">
        <is>
          <t>M K Agrotech Pvt Ltd,  Koramangala Village, Ramanagara District, India</t>
        </is>
      </c>
      <c r="B8814" t="inlineStr">
        <is>
          <t>Point of Origin, Trader with Storage</t>
        </is>
      </c>
      <c r="C8814" t="inlineStr">
        <is>
          <t>PT Intertek Utama Services, Jakarta, ID</t>
        </is>
      </c>
      <c r="D8814" t="inlineStr">
        <is>
          <t>21.01.2027</t>
        </is>
      </c>
      <c r="E8814" t="inlineStr">
        <is>
          <t>India</t>
        </is>
      </c>
    </row>
    <row r="8815">
      <c r="A8815" t="inlineStr">
        <is>
          <t>M K Agrotech Pvt. Ltd,  Srirangapatana, India</t>
        </is>
      </c>
      <c r="B8815" t="inlineStr">
        <is>
          <t>Point of Origin, Trader with Storage</t>
        </is>
      </c>
      <c r="C8815" t="inlineStr">
        <is>
          <t>PT Intertek Utama Services, Jakarta, ID</t>
        </is>
      </c>
      <c r="D8815" t="inlineStr">
        <is>
          <t>21.01.2027</t>
        </is>
      </c>
      <c r="E8815" t="inlineStr">
        <is>
          <t>India</t>
        </is>
      </c>
    </row>
    <row r="8816">
      <c r="A8816" t="inlineStr">
        <is>
          <t>JPFL FILMS PRIVATE LIMITED,  Nashik, India</t>
        </is>
      </c>
      <c r="B8816" t="inlineStr">
        <is>
          <t>Processing Unit, Trader with Storage</t>
        </is>
      </c>
      <c r="C8816" t="inlineStr">
        <is>
          <t>PT Intertek Utama Services, Jakarta, ID</t>
        </is>
      </c>
      <c r="D8816" t="inlineStr">
        <is>
          <t>21.01.2027</t>
        </is>
      </c>
      <c r="E8816" t="inlineStr">
        <is>
          <t>India</t>
        </is>
      </c>
    </row>
    <row r="8817">
      <c r="A8817" t="inlineStr">
        <is>
          <t>ZHEJIANG LIANGCAI EYEWEAR CO.,LTD,  Wenzhou, China</t>
        </is>
      </c>
      <c r="B8817" t="inlineStr">
        <is>
          <t>Processing Unit</t>
        </is>
      </c>
      <c r="C8817" t="inlineStr">
        <is>
          <t>PT Intertek Utama Services, Jakarta, ID</t>
        </is>
      </c>
      <c r="D8817" t="inlineStr">
        <is>
          <t>21.01.2027</t>
        </is>
      </c>
      <c r="E8817" t="inlineStr">
        <is>
          <t>China</t>
        </is>
      </c>
    </row>
    <row r="8818">
      <c r="A8818" t="inlineStr">
        <is>
          <t>Unity Foods Limited,  Karachi, Pakistan</t>
        </is>
      </c>
      <c r="B8818" t="inlineStr">
        <is>
          <t>Collecting Point, Point of Origin, Trader with Storage</t>
        </is>
      </c>
      <c r="C8818" t="inlineStr">
        <is>
          <t>PT Intertek Utama Services, Jakarta, ID</t>
        </is>
      </c>
      <c r="D8818" t="inlineStr">
        <is>
          <t>21.01.2027</t>
        </is>
      </c>
      <c r="E8818" t="inlineStr">
        <is>
          <t>Pakistan</t>
        </is>
      </c>
    </row>
    <row r="8819">
      <c r="A8819" t="inlineStr">
        <is>
          <t>SYNERGY EXPRESS RESOURCES,  KULAI, Malaysia</t>
        </is>
      </c>
      <c r="B8819" t="inlineStr">
        <is>
          <t>Trader</t>
        </is>
      </c>
      <c r="C8819" t="inlineStr">
        <is>
          <t>Trans Certification and Inspection Sdn Bhd, Kuantan, MY</t>
        </is>
      </c>
      <c r="D8819" t="inlineStr">
        <is>
          <t>21.01.2027</t>
        </is>
      </c>
      <c r="E8819" t="inlineStr">
        <is>
          <t>Malaysia</t>
        </is>
      </c>
    </row>
    <row r="8820">
      <c r="A8820" t="inlineStr">
        <is>
          <t>Jiangsu Qiyun Oil&amp;Fat Tech Co., Ltd,  Rugao City,Nantong City, China</t>
        </is>
      </c>
      <c r="B8820" t="inlineStr">
        <is>
          <t>Collecting Point</t>
        </is>
      </c>
      <c r="C8820" t="inlineStr">
        <is>
          <t>RINA Services S.p.A., Genova, IT</t>
        </is>
      </c>
      <c r="D8820" t="inlineStr">
        <is>
          <t>21.01.2027</t>
        </is>
      </c>
      <c r="E8820" t="inlineStr">
        <is>
          <t>China</t>
        </is>
      </c>
    </row>
    <row r="8821">
      <c r="A8821" t="inlineStr">
        <is>
          <t>GVF BIO,  Jaunsvirlaukas pag., Jelgavas nov., Latvia</t>
        </is>
      </c>
      <c r="B8821" t="inlineStr">
        <is>
          <t>Point of Origin, Processing Unit, Trader with Storage, Collecting Point</t>
        </is>
      </c>
      <c r="C8821" t="inlineStr">
        <is>
          <t>BM Certification, Riga, LV</t>
        </is>
      </c>
      <c r="D8821" t="inlineStr">
        <is>
          <t>21.01.2027</t>
        </is>
      </c>
      <c r="E8821" t="inlineStr">
        <is>
          <t>Latvia</t>
        </is>
      </c>
    </row>
    <row r="8822">
      <c r="A8822" t="inlineStr">
        <is>
          <t>Grudu linija,  Šilutės district, Lithuania</t>
        </is>
      </c>
      <c r="B8822" t="inlineStr">
        <is>
          <t>First Gathering Point</t>
        </is>
      </c>
      <c r="C8822" t="inlineStr">
        <is>
          <t>BM Certification, Riga, LV</t>
        </is>
      </c>
      <c r="D8822" t="inlineStr">
        <is>
          <t>21.01.2027</t>
        </is>
      </c>
      <c r="E8822" t="inlineStr">
        <is>
          <t>Lithuania</t>
        </is>
      </c>
    </row>
    <row r="8823">
      <c r="A8823" t="inlineStr">
        <is>
          <t>Ecoson Materials,  Kallo, Belgium</t>
        </is>
      </c>
      <c r="B8823" t="inlineStr">
        <is>
          <t>Collecting Point, Trader</t>
        </is>
      </c>
      <c r="C8823" t="inlineStr">
        <is>
          <t>Control Union Certifications Germany GmbH, Berlin, DE</t>
        </is>
      </c>
      <c r="D8823" t="inlineStr">
        <is>
          <t>21.01.2027</t>
        </is>
      </c>
      <c r="E8823" t="inlineStr">
        <is>
          <t>Belgium</t>
        </is>
      </c>
    </row>
    <row r="8824">
      <c r="A8824" t="inlineStr">
        <is>
          <t>Gravita Senegal SAU,  Sandiara, Senegal</t>
        </is>
      </c>
      <c r="B8824" t="inlineStr">
        <is>
          <t>Collecting Point, Processing Unit, Warehouse</t>
        </is>
      </c>
      <c r="C8824" t="inlineStr">
        <is>
          <t>BM Certification, Riga, LV</t>
        </is>
      </c>
      <c r="D8824" t="inlineStr">
        <is>
          <t>21.01.2027</t>
        </is>
      </c>
      <c r="E8824" t="inlineStr">
        <is>
          <t>Senegal</t>
        </is>
      </c>
    </row>
    <row r="8825">
      <c r="A8825" t="inlineStr">
        <is>
          <t>Gravita Senegal SAU,  Sandiara, Senegal</t>
        </is>
      </c>
      <c r="B8825" t="inlineStr">
        <is>
          <t>Collecting Point, Processing Unit, Warehouse</t>
        </is>
      </c>
      <c r="C8825" t="inlineStr">
        <is>
          <t>BM Certification, Riga, LV</t>
        </is>
      </c>
      <c r="D8825" t="inlineStr">
        <is>
          <t>21.01.2027</t>
        </is>
      </c>
      <c r="E8825" t="inlineStr">
        <is>
          <t>Senegal</t>
        </is>
      </c>
    </row>
    <row r="8826">
      <c r="A8826" t="inlineStr">
        <is>
          <t>GEFO Gesellschaft für Oeltransporte mbH,  Hamburg, Germany</t>
        </is>
      </c>
      <c r="B8826" t="inlineStr">
        <is>
          <t>Trader</t>
        </is>
      </c>
      <c r="C8826" t="inlineStr">
        <is>
          <t>SGS Germany GmbH, Emstek, DE</t>
        </is>
      </c>
      <c r="D8826" t="inlineStr">
        <is>
          <t>21.01.2027</t>
        </is>
      </c>
      <c r="E8826" t="inlineStr">
        <is>
          <t>Germany</t>
        </is>
      </c>
    </row>
    <row r="8827">
      <c r="A8827" t="inlineStr">
        <is>
          <t>GEFO Gesellschaft für Oeltransporte mbH,  Hamburg, Germany</t>
        </is>
      </c>
      <c r="B8827" t="inlineStr">
        <is>
          <t>Trader, Proof of Compliance Trader</t>
        </is>
      </c>
      <c r="C8827" t="inlineStr">
        <is>
          <t>SGS Germany GmbH, Emstek, DE</t>
        </is>
      </c>
      <c r="D8827" t="inlineStr">
        <is>
          <t>21.01.2027</t>
        </is>
      </c>
      <c r="E8827" t="inlineStr">
        <is>
          <t>Germany</t>
        </is>
      </c>
    </row>
    <row r="8828">
      <c r="A8828" t="inlineStr">
        <is>
          <t>ARCUS Greencycling Technologies,  Frankfurt am Main, Germany</t>
        </is>
      </c>
      <c r="B8828" t="inlineStr">
        <is>
          <t>Processing Unit</t>
        </is>
      </c>
      <c r="C8828" t="inlineStr">
        <is>
          <t>Control Union Certifications Germany GmbH, Berlin, DE</t>
        </is>
      </c>
      <c r="D8828" t="inlineStr">
        <is>
          <t>21.01.2027</t>
        </is>
      </c>
      <c r="E8828" t="inlineStr">
        <is>
          <t>Germany</t>
        </is>
      </c>
    </row>
    <row r="8829">
      <c r="A8829" t="inlineStr">
        <is>
          <t>Oliehandel J. Terlouw BV,  Capelle aan den IJSsel, Netherlands</t>
        </is>
      </c>
      <c r="B8829" t="inlineStr">
        <is>
          <t>Trader with Storage</t>
        </is>
      </c>
      <c r="C8829" t="inlineStr">
        <is>
          <t>Normec QS BV, Ede, NL</t>
        </is>
      </c>
      <c r="D8829" t="inlineStr">
        <is>
          <t>21.01.2027</t>
        </is>
      </c>
      <c r="E8829" t="inlineStr">
        <is>
          <t>Netherlands</t>
        </is>
      </c>
    </row>
    <row r="8830">
      <c r="A8830" t="inlineStr">
        <is>
          <t>ARCUS Greencycling Technologies,  Ludwigsburg, Germany</t>
        </is>
      </c>
      <c r="B8830" t="inlineStr">
        <is>
          <t>Collecting Point</t>
        </is>
      </c>
      <c r="C8830" t="inlineStr">
        <is>
          <t>Control Union Certifications Germany GmbH, Berlin, DE</t>
        </is>
      </c>
      <c r="D8830" t="inlineStr">
        <is>
          <t>21.01.2027</t>
        </is>
      </c>
      <c r="E8830" t="inlineStr">
        <is>
          <t>Germany</t>
        </is>
      </c>
    </row>
    <row r="8831">
      <c r="A8831" t="inlineStr">
        <is>
          <t>Richtech Green Energy,  Wada, India</t>
        </is>
      </c>
      <c r="B8831" t="inlineStr">
        <is>
          <t>Collecting Point, Processing Unit</t>
        </is>
      </c>
      <c r="C8831" t="inlineStr">
        <is>
          <t>Cotecna India Inspection Pvt Ltd, Kolkata, IN</t>
        </is>
      </c>
      <c r="D8831" t="inlineStr">
        <is>
          <t>21.01.2027</t>
        </is>
      </c>
      <c r="E8831" t="inlineStr">
        <is>
          <t>India</t>
        </is>
      </c>
    </row>
    <row r="8832">
      <c r="A8832" t="inlineStr">
        <is>
          <t>BURISKEY SUPPLY AND SERVICES CO LTD,  HONG KONG, Hong Kong, SAR, China</t>
        </is>
      </c>
      <c r="B8832" t="inlineStr">
        <is>
          <t>Trader with Storage</t>
        </is>
      </c>
      <c r="C8832" t="inlineStr">
        <is>
          <t>SCS Global Services, Emeryville, CA, US</t>
        </is>
      </c>
      <c r="D8832" t="inlineStr">
        <is>
          <t>21.01.2027</t>
        </is>
      </c>
      <c r="E8832" t="inlineStr">
        <is>
          <t>China</t>
        </is>
      </c>
    </row>
    <row r="8833">
      <c r="A8833" t="inlineStr">
        <is>
          <t>PetroEast Singapore Pte. Ltd.,  Singapore, Singapore</t>
        </is>
      </c>
      <c r="B8833" t="inlineStr">
        <is>
          <t>Trader</t>
        </is>
      </c>
      <c r="C8833" t="inlineStr">
        <is>
          <t>SCS Global Services, Emeryville, CA, US</t>
        </is>
      </c>
      <c r="D8833" t="inlineStr">
        <is>
          <t>21.01.2027</t>
        </is>
      </c>
      <c r="E8833" t="inlineStr">
        <is>
          <t>Singapore</t>
        </is>
      </c>
    </row>
    <row r="8834">
      <c r="A8834" t="inlineStr">
        <is>
          <t>Lianjiang Hongli Wood Products Co., Ltd.,  Lianjiang City, Zhanjiang City,, China</t>
        </is>
      </c>
      <c r="B8834" t="inlineStr">
        <is>
          <t>Collecting Point, Processing Unit</t>
        </is>
      </c>
      <c r="C8834" t="inlineStr">
        <is>
          <t>SCS Global Services, Emeryville, CA, US</t>
        </is>
      </c>
      <c r="D8834" t="inlineStr">
        <is>
          <t>21.01.2027</t>
        </is>
      </c>
      <c r="E8834" t="inlineStr">
        <is>
          <t>China</t>
        </is>
      </c>
    </row>
    <row r="8835">
      <c r="A8835" t="inlineStr">
        <is>
          <t>Atvos Bioenergia Conquista do Pontal S.A.,  Mirante do Paranapanema, Brazil</t>
        </is>
      </c>
      <c r="B8835" t="inlineStr">
        <is>
          <t>First Gathering Point, Processing Unit</t>
        </is>
      </c>
      <c r="C8835" t="inlineStr">
        <is>
          <t>Control Union Poland Sp. z o.o., Zielona Gora, PL</t>
        </is>
      </c>
      <c r="D8835" t="inlineStr">
        <is>
          <t>20.01.2027</t>
        </is>
      </c>
      <c r="E8835" t="inlineStr">
        <is>
          <t>Brazil</t>
        </is>
      </c>
    </row>
    <row r="8836">
      <c r="A8836" t="inlineStr">
        <is>
          <t>SNF SA,  Andrézieux-Bouthéon, France</t>
        </is>
      </c>
      <c r="B8836" t="inlineStr">
        <is>
          <t>Processing Unit, Warehouse</t>
        </is>
      </c>
      <c r="C8836" t="inlineStr">
        <is>
          <t>Bureau Veritas Polska Sp. z o.o., Warsaw, PL</t>
        </is>
      </c>
      <c r="D8836" t="inlineStr">
        <is>
          <t>20.01.2027</t>
        </is>
      </c>
      <c r="E8836" t="inlineStr">
        <is>
          <t>France</t>
        </is>
      </c>
    </row>
    <row r="8837">
      <c r="A8837" t="inlineStr">
        <is>
          <t>Atvos Bioenergia Conquista do Pontal S.A.,  Mirante do Paranapanema, Brazil</t>
        </is>
      </c>
      <c r="B8837" t="inlineStr">
        <is>
          <t>First Gathering Point, Processing Unit</t>
        </is>
      </c>
      <c r="C8837" t="inlineStr">
        <is>
          <t>Control Union Poland Sp. z o.o., Zielona Gora, PL</t>
        </is>
      </c>
      <c r="D8837" t="inlineStr">
        <is>
          <t>20.01.2027</t>
        </is>
      </c>
      <c r="E8837" t="inlineStr">
        <is>
          <t>Brazil</t>
        </is>
      </c>
    </row>
    <row r="8838">
      <c r="A8838" t="inlineStr">
        <is>
          <t>Atvos Bioenergia Conquista do Pontal S.A.,  Mirante do Paranapanema, Brazil</t>
        </is>
      </c>
      <c r="B8838" t="inlineStr">
        <is>
          <t>First Gathering Point, Processing Unit</t>
        </is>
      </c>
      <c r="C8838" t="inlineStr">
        <is>
          <t>Control Union Poland Sp. z o.o., Zielona Gora, PL</t>
        </is>
      </c>
      <c r="D8838" t="inlineStr">
        <is>
          <t>20.01.2027</t>
        </is>
      </c>
      <c r="E8838" t="inlineStr">
        <is>
          <t>Brazil</t>
        </is>
      </c>
    </row>
    <row r="8839">
      <c r="A8839" t="inlineStr">
        <is>
          <t>VALSINELLO ENERGIE RINNOVABILI SRL,  Termoli (CB), Italy</t>
        </is>
      </c>
      <c r="B8839" t="inlineStr">
        <is>
          <t>Processing Unit</t>
        </is>
      </c>
      <c r="C8839" t="inlineStr">
        <is>
          <t>RINA Services S.p.A., Genova, IT</t>
        </is>
      </c>
      <c r="D8839" t="inlineStr">
        <is>
          <t>20.01.2027</t>
        </is>
      </c>
      <c r="E8839" t="inlineStr">
        <is>
          <t>Italy</t>
        </is>
      </c>
    </row>
    <row r="8840">
      <c r="A8840" t="inlineStr">
        <is>
          <t>Delta oil,  Saba Basha, Egypt</t>
        </is>
      </c>
      <c r="B8840" t="inlineStr">
        <is>
          <t>Collecting Point, Trader with Storage</t>
        </is>
      </c>
      <c r="C8840" t="inlineStr">
        <is>
          <t>Trans Certification and Inspection Sdn Bhd, Kuantan, MY</t>
        </is>
      </c>
      <c r="D8840" t="inlineStr">
        <is>
          <t>20.01.2027</t>
        </is>
      </c>
      <c r="E8840" t="inlineStr">
        <is>
          <t>Egypt</t>
        </is>
      </c>
    </row>
    <row r="8841">
      <c r="A8841" t="inlineStr">
        <is>
          <t>Evonik Operations GmbH - Custom Solutions-Coating &amp; Adhesive Resins,  Witten, Germany</t>
        </is>
      </c>
      <c r="B8841" t="inlineStr">
        <is>
          <t>Processing Unit</t>
        </is>
      </c>
      <c r="C8841" t="inlineStr">
        <is>
          <t>DIN CERTCO GmbH, Berlin, DE</t>
        </is>
      </c>
      <c r="D8841" t="inlineStr">
        <is>
          <t>20.01.2027</t>
        </is>
      </c>
      <c r="E8841" t="inlineStr">
        <is>
          <t>Germany</t>
        </is>
      </c>
    </row>
    <row r="8842">
      <c r="A8842" t="inlineStr">
        <is>
          <t>East Branch RNG,  Malone, United States</t>
        </is>
      </c>
      <c r="B8842" t="inlineStr">
        <is>
          <t>Collecting Point, Processing Unit</t>
        </is>
      </c>
      <c r="C8842" t="inlineStr">
        <is>
          <t>Double Helix Tracking Technologies Pte Ltd, Singapore, SG</t>
        </is>
      </c>
      <c r="D8842" t="inlineStr">
        <is>
          <t>20.01.2027</t>
        </is>
      </c>
      <c r="E8842" t="inlineStr">
        <is>
          <t>United States</t>
        </is>
      </c>
    </row>
    <row r="8843">
      <c r="A8843" t="inlineStr">
        <is>
          <t>East Branch RNG,  Malone, United States</t>
        </is>
      </c>
      <c r="B8843" t="inlineStr">
        <is>
          <t>Collecting Point, Processing Unit</t>
        </is>
      </c>
      <c r="C8843" t="inlineStr">
        <is>
          <t>Double Helix Tracking Technologies Pte Ltd, Singapore, SG</t>
        </is>
      </c>
      <c r="D8843" t="inlineStr">
        <is>
          <t>20.01.2027</t>
        </is>
      </c>
      <c r="E8843" t="inlineStr">
        <is>
          <t>United States</t>
        </is>
      </c>
    </row>
    <row r="8844">
      <c r="A8844" t="inlineStr">
        <is>
          <t>MAR INT DMCC,  Dubai, United Arab Emirates</t>
        </is>
      </c>
      <c r="B8844" t="inlineStr">
        <is>
          <t>Trader</t>
        </is>
      </c>
      <c r="C8844" t="inlineStr">
        <is>
          <t>Certificadora Gallega del Noroeste SL, Vilagarcia de Arousa-Pontevedra, ES</t>
        </is>
      </c>
      <c r="D8844" t="inlineStr">
        <is>
          <t>20.01.2027</t>
        </is>
      </c>
      <c r="E8844" t="inlineStr">
        <is>
          <t>United Arab Emirates</t>
        </is>
      </c>
    </row>
    <row r="8845">
      <c r="A8845" t="inlineStr">
        <is>
          <t>MAR INT DMCC,  Dubai, United Arab Emirates</t>
        </is>
      </c>
      <c r="B8845" t="inlineStr">
        <is>
          <t>Trader</t>
        </is>
      </c>
      <c r="C8845" t="inlineStr">
        <is>
          <t>Certificadora Gallega del Noroeste SL, Vilagarcia de Arousa-Pontevedra, ES</t>
        </is>
      </c>
      <c r="D8845" t="inlineStr">
        <is>
          <t>20.01.2027</t>
        </is>
      </c>
      <c r="E8845" t="inlineStr">
        <is>
          <t>United Arab Emirates</t>
        </is>
      </c>
    </row>
    <row r="8846">
      <c r="A8846" t="inlineStr">
        <is>
          <t>Evonik Operations,  Essen, Germany</t>
        </is>
      </c>
      <c r="B8846" t="inlineStr">
        <is>
          <t>Trader with Storage</t>
        </is>
      </c>
      <c r="C8846" t="inlineStr">
        <is>
          <t>TÜV NORD CERT GmbH, Essen, DE</t>
        </is>
      </c>
      <c r="D8846" t="inlineStr">
        <is>
          <t>20.01.2027</t>
        </is>
      </c>
      <c r="E8846" t="inlineStr">
        <is>
          <t>Germany</t>
        </is>
      </c>
    </row>
    <row r="8847">
      <c r="A8847" t="inlineStr">
        <is>
          <t>Envalior NHU Engineering Materials（Zhejiang）Co.,Ltd.,  ShangYu District, ShaoXing City, Zhejiang Province, China</t>
        </is>
      </c>
      <c r="B8847" t="inlineStr">
        <is>
          <t>Processing Unit, Trader with Storage</t>
        </is>
      </c>
      <c r="C8847" t="inlineStr">
        <is>
          <t>China Quality Certification Centre Co., Ltd., Beijing, CN</t>
        </is>
      </c>
      <c r="D8847" t="inlineStr">
        <is>
          <t>20.01.2027</t>
        </is>
      </c>
      <c r="E8847" t="inlineStr">
        <is>
          <t>China</t>
        </is>
      </c>
    </row>
    <row r="8848">
      <c r="A8848" t="inlineStr">
        <is>
          <t>OrangeOils USA LLC,  Orlando, United States</t>
        </is>
      </c>
      <c r="B8848" t="inlineStr">
        <is>
          <t>Trader</t>
        </is>
      </c>
      <c r="C8848" t="inlineStr">
        <is>
          <t>DEKRA Certification B.V., Arnhem, NL</t>
        </is>
      </c>
      <c r="D8848" t="inlineStr">
        <is>
          <t>20.01.2027</t>
        </is>
      </c>
      <c r="E8848" t="inlineStr">
        <is>
          <t>United States</t>
        </is>
      </c>
    </row>
    <row r="8849">
      <c r="A8849" t="inlineStr">
        <is>
          <t>Ocean Fides Pte Ltd,  SINGAPORE, Singapore</t>
        </is>
      </c>
      <c r="B8849" t="inlineStr">
        <is>
          <t>Trader</t>
        </is>
      </c>
      <c r="C8849" t="inlineStr">
        <is>
          <t>Control Union Certifications Germany GmbH, Berlin, DE</t>
        </is>
      </c>
      <c r="D8849" t="inlineStr">
        <is>
          <t>20.01.2027</t>
        </is>
      </c>
      <c r="E8849" t="inlineStr">
        <is>
          <t>Singapore</t>
        </is>
      </c>
    </row>
    <row r="8850">
      <c r="A8850" t="inlineStr">
        <is>
          <t>Ocean Fides Pte Ltd,  SINGAPORE, Singapore</t>
        </is>
      </c>
      <c r="B8850" t="inlineStr">
        <is>
          <t>Trader</t>
        </is>
      </c>
      <c r="C8850" t="inlineStr">
        <is>
          <t>Control Union Certifications Germany GmbH, Berlin, DE</t>
        </is>
      </c>
      <c r="D8850" t="inlineStr">
        <is>
          <t>20.01.2027</t>
        </is>
      </c>
      <c r="E8850" t="inlineStr">
        <is>
          <t>Singapore</t>
        </is>
      </c>
    </row>
    <row r="8851">
      <c r="A8851" t="inlineStr">
        <is>
          <t>MUARA SAWIT LESTARI,  KECAMATAN LUNANG, KABUPATEN PESISIR SELATAN, Indonesia</t>
        </is>
      </c>
      <c r="B8851" t="inlineStr">
        <is>
          <t>Point of Origin</t>
        </is>
      </c>
      <c r="C8851" t="inlineStr">
        <is>
          <t>PT. Qualitas Sertifikasi Indonesia, Jakarta, ID</t>
        </is>
      </c>
      <c r="D8851" t="inlineStr">
        <is>
          <t>20.01.2027</t>
        </is>
      </c>
      <c r="E8851" t="inlineStr">
        <is>
          <t>Indonesia</t>
        </is>
      </c>
    </row>
    <row r="8852">
      <c r="A8852" t="inlineStr">
        <is>
          <t>PT Perkebunan Pelalu Raya,  Kabupaten Agam, Sumatera Barat Indonesia, Indonesia</t>
        </is>
      </c>
      <c r="B8852" t="inlineStr">
        <is>
          <t>Point of Origin</t>
        </is>
      </c>
      <c r="C8852" t="inlineStr">
        <is>
          <t>PT. Qualitas Sertifikasi Indonesia, Jakarta, ID</t>
        </is>
      </c>
      <c r="D8852" t="inlineStr">
        <is>
          <t>20.01.2027</t>
        </is>
      </c>
      <c r="E8852" t="inlineStr">
        <is>
          <t>Indonesia</t>
        </is>
      </c>
    </row>
    <row r="8853">
      <c r="A8853" t="inlineStr">
        <is>
          <t>MUARA SAWIT LESTARI,  KECAMATAN LUNANG, KABUPATEN PESISIR SELATAN, Indonesia</t>
        </is>
      </c>
      <c r="B8853" t="inlineStr">
        <is>
          <t>Point of Origin</t>
        </is>
      </c>
      <c r="C8853" t="inlineStr">
        <is>
          <t>PT. Qualitas Sertifikasi Indonesia, Jakarta, ID</t>
        </is>
      </c>
      <c r="D8853" t="inlineStr">
        <is>
          <t>20.01.2027</t>
        </is>
      </c>
      <c r="E8853" t="inlineStr">
        <is>
          <t>Indonesia</t>
        </is>
      </c>
    </row>
    <row r="8854">
      <c r="A8854" t="inlineStr">
        <is>
          <t>PT Perkebunan Pelalu Raya,  Kabupaten Agam, Sumatera Barat Indonesia, Indonesia</t>
        </is>
      </c>
      <c r="B8854" t="inlineStr">
        <is>
          <t>Point of Origin</t>
        </is>
      </c>
      <c r="C8854" t="inlineStr">
        <is>
          <t>PT. Qualitas Sertifikasi Indonesia, Jakarta, ID</t>
        </is>
      </c>
      <c r="D8854" t="inlineStr">
        <is>
          <t>20.01.2027</t>
        </is>
      </c>
      <c r="E8854" t="inlineStr">
        <is>
          <t>Indonesia</t>
        </is>
      </c>
    </row>
    <row r="8855">
      <c r="A8855" t="inlineStr">
        <is>
          <t>PT Bumi Mentari Karya,  Mukomuko Regency, Bengkulu Province, Indonesia</t>
        </is>
      </c>
      <c r="B8855" t="inlineStr">
        <is>
          <t>Point of Origin</t>
        </is>
      </c>
      <c r="C8855" t="inlineStr">
        <is>
          <t>PT. Qualitas Sertifikasi Indonesia, Jakarta, ID</t>
        </is>
      </c>
      <c r="D8855" t="inlineStr">
        <is>
          <t>20.01.2027</t>
        </is>
      </c>
      <c r="E8855" t="inlineStr">
        <is>
          <t>Indonesia</t>
        </is>
      </c>
    </row>
    <row r="8856">
      <c r="A8856" t="inlineStr">
        <is>
          <t>PT Bumi Mentari Karya,  Mukomuko Regency, Bengkulu Province, Indonesia</t>
        </is>
      </c>
      <c r="B8856" t="inlineStr">
        <is>
          <t>Point of Origin</t>
        </is>
      </c>
      <c r="C8856" t="inlineStr">
        <is>
          <t>PT. Qualitas Sertifikasi Indonesia, Jakarta, ID</t>
        </is>
      </c>
      <c r="D8856" t="inlineStr">
        <is>
          <t>20.01.2027</t>
        </is>
      </c>
      <c r="E8856" t="inlineStr">
        <is>
          <t>Indonesia</t>
        </is>
      </c>
    </row>
    <row r="8857">
      <c r="A8857" t="inlineStr">
        <is>
          <t>Raymond (PanYu NanSha) Electrical Appliances Development Co., Ltd.,  Guangzhou City, China</t>
        </is>
      </c>
      <c r="B8857" t="inlineStr">
        <is>
          <t>Processing Unit</t>
        </is>
      </c>
      <c r="C8857" t="inlineStr">
        <is>
          <t>SGS Germany GmbH, Emstek, DE</t>
        </is>
      </c>
      <c r="D8857" t="inlineStr">
        <is>
          <t>20.01.2027</t>
        </is>
      </c>
      <c r="E8857" t="inlineStr">
        <is>
          <t>China</t>
        </is>
      </c>
    </row>
    <row r="8858">
      <c r="A8858" t="inlineStr">
        <is>
          <t>Coveris Flexibles Deutschland GmbH,  Warburg, Germany</t>
        </is>
      </c>
      <c r="B8858" t="inlineStr">
        <is>
          <t>Final Product Refinement</t>
        </is>
      </c>
      <c r="C8858" t="inlineStr">
        <is>
          <t>SGS Germany GmbH, Emstek, DE</t>
        </is>
      </c>
      <c r="D8858" t="inlineStr">
        <is>
          <t>20.01.2027</t>
        </is>
      </c>
      <c r="E8858" t="inlineStr">
        <is>
          <t>Germany</t>
        </is>
      </c>
    </row>
    <row r="8859">
      <c r="A8859" t="inlineStr">
        <is>
          <t>Unitika Ltd.,  Kaizuka, Osaka, Japan</t>
        </is>
      </c>
      <c r="B8859" t="inlineStr">
        <is>
          <t>Processing Unit</t>
        </is>
      </c>
      <c r="C8859" t="inlineStr">
        <is>
          <t>SGS Germany GmbH, Emstek, DE</t>
        </is>
      </c>
      <c r="D8859" t="inlineStr">
        <is>
          <t>20.01.2027</t>
        </is>
      </c>
      <c r="E8859" t="inlineStr">
        <is>
          <t>Japan</t>
        </is>
      </c>
    </row>
    <row r="8860">
      <c r="A8860" t="inlineStr">
        <is>
          <t>PT. PESONA SAWIT MAKMUR,  Way Kanan Regency, Indonesia</t>
        </is>
      </c>
      <c r="B8860" t="inlineStr">
        <is>
          <t>Point of Origin</t>
        </is>
      </c>
      <c r="C8860" t="inlineStr">
        <is>
          <t>PT. Qualitas Sertifikasi Indonesia, Jakarta, ID</t>
        </is>
      </c>
      <c r="D8860" t="inlineStr">
        <is>
          <t>20.01.2027</t>
        </is>
      </c>
      <c r="E8860" t="inlineStr">
        <is>
          <t>Indonesia</t>
        </is>
      </c>
    </row>
    <row r="8861">
      <c r="A8861" t="inlineStr">
        <is>
          <t>WANHUA CHEMICAL (SINGAPORE) PTE.LTD.,  Singapore, Singapore</t>
        </is>
      </c>
      <c r="B8861" t="inlineStr">
        <is>
          <t>Trader</t>
        </is>
      </c>
      <c r="C8861" t="inlineStr">
        <is>
          <t>PT Intertek Utama Services, Jakarta, ID</t>
        </is>
      </c>
      <c r="D8861" t="inlineStr">
        <is>
          <t>20.01.2027</t>
        </is>
      </c>
      <c r="E8861" t="inlineStr">
        <is>
          <t>Singapore</t>
        </is>
      </c>
    </row>
    <row r="8862">
      <c r="A8862" t="inlineStr">
        <is>
          <t>BV Twentsche Kabelfabriek,  Haaksbergen, The Netherlands</t>
        </is>
      </c>
      <c r="B8862" t="inlineStr">
        <is>
          <t>Processing Unit</t>
        </is>
      </c>
      <c r="C8862" t="inlineStr">
        <is>
          <t>DEKRA Certification B.V., Arnhem, NL</t>
        </is>
      </c>
      <c r="D8862" t="inlineStr">
        <is>
          <t>20.01.2027</t>
        </is>
      </c>
      <c r="E8862" t="inlineStr">
        <is>
          <t>The Netherlands</t>
        </is>
      </c>
    </row>
    <row r="8863">
      <c r="A8863" t="inlineStr">
        <is>
          <t>BYUFUEL INDIA PRIVATE LIMITED,  Delhi, India</t>
        </is>
      </c>
      <c r="B8863" t="inlineStr">
        <is>
          <t>Collecting Point, Trader with Storage</t>
        </is>
      </c>
      <c r="C8863" t="inlineStr">
        <is>
          <t>PT Intertek Utama Services, Jakarta, ID</t>
        </is>
      </c>
      <c r="D8863" t="inlineStr">
        <is>
          <t>20.01.2027</t>
        </is>
      </c>
      <c r="E8863" t="inlineStr">
        <is>
          <t>India</t>
        </is>
      </c>
    </row>
    <row r="8864">
      <c r="A8864" t="inlineStr">
        <is>
          <t>Bridgestone Taiwan Co., Ltd.,  Fengshan Vil., Hukou Township, Hsinchu County, Taiwan</t>
        </is>
      </c>
      <c r="B8864" t="inlineStr">
        <is>
          <t>Processing Unit</t>
        </is>
      </c>
      <c r="C8864" t="inlineStr">
        <is>
          <t>Bureau Veritas Polska Sp. z o.o., Warsaw, PL</t>
        </is>
      </c>
      <c r="D8864" t="inlineStr">
        <is>
          <t>20.01.2027</t>
        </is>
      </c>
      <c r="E8864" t="inlineStr">
        <is>
          <t>Taiwan</t>
        </is>
      </c>
    </row>
    <row r="8865">
      <c r="A8865" t="inlineStr">
        <is>
          <t>BYUFUEL INDIA PRIVATE LIMITED,  Delhi, India</t>
        </is>
      </c>
      <c r="B8865" t="inlineStr">
        <is>
          <t>Collecting Point, Trader with Storage</t>
        </is>
      </c>
      <c r="C8865" t="inlineStr">
        <is>
          <t>PT Intertek Utama Services, Jakarta, ID</t>
        </is>
      </c>
      <c r="D8865" t="inlineStr">
        <is>
          <t>20.01.2027</t>
        </is>
      </c>
      <c r="E8865" t="inlineStr">
        <is>
          <t>India</t>
        </is>
      </c>
    </row>
    <row r="8866">
      <c r="A8866" t="inlineStr">
        <is>
          <t>Molnlycke Health Care (Thailand) Co., Ltd.,  Chonburi, Thailand</t>
        </is>
      </c>
      <c r="B8866" t="inlineStr">
        <is>
          <t>Final Product Refinement</t>
        </is>
      </c>
      <c r="C8866" t="inlineStr">
        <is>
          <t>Bureau Veritas Polska Sp. z o.o., Warsaw, PL</t>
        </is>
      </c>
      <c r="D8866" t="inlineStr">
        <is>
          <t>20.01.2027</t>
        </is>
      </c>
      <c r="E8866" t="inlineStr">
        <is>
          <t>Thailand</t>
        </is>
      </c>
    </row>
    <row r="8867">
      <c r="A8867" t="inlineStr">
        <is>
          <t>KG Eco Solution Co., Ltd.,  Chodong-myeon, Miryang-si, Gyeongsangnam-do, Korea, Republic of</t>
        </is>
      </c>
      <c r="B8867" t="inlineStr">
        <is>
          <t>Processing Unit, Trader with Storage</t>
        </is>
      </c>
      <c r="C8867" t="inlineStr">
        <is>
          <t>Control Union Certifications Germany GmbH, Berlin, DE</t>
        </is>
      </c>
      <c r="D8867" t="inlineStr">
        <is>
          <t>20.01.2027</t>
        </is>
      </c>
      <c r="E8867" t="inlineStr">
        <is>
          <t>Republic of</t>
        </is>
      </c>
    </row>
    <row r="8868">
      <c r="A8868" t="inlineStr">
        <is>
          <t>COMERCIALIZADORA Y REPRESENTACIONES ANTIOTRADING SAS,  Sabaneta, Colombia</t>
        </is>
      </c>
      <c r="B8868" t="inlineStr">
        <is>
          <t>Collecting Point, Trader with Storage</t>
        </is>
      </c>
      <c r="C8868" t="inlineStr">
        <is>
          <t>Amspec Iberia SL, Vilagarcia de Arousa-Pontevedra, ES</t>
        </is>
      </c>
      <c r="D8868" t="inlineStr">
        <is>
          <t>20.01.2027</t>
        </is>
      </c>
      <c r="E8868" t="inlineStr">
        <is>
          <t>Colombia</t>
        </is>
      </c>
    </row>
    <row r="8869">
      <c r="A8869" t="inlineStr">
        <is>
          <t>Chengdu JinboSanfeng Chemical Co.,Ltd.,  Qionglai City,Chengdu, China</t>
        </is>
      </c>
      <c r="B8869" t="inlineStr">
        <is>
          <t>Collecting Point, Trader with Storage</t>
        </is>
      </c>
      <c r="C8869" t="inlineStr">
        <is>
          <t>RINA Services S.p.A., Genova, IT</t>
        </is>
      </c>
      <c r="D8869" t="inlineStr">
        <is>
          <t>20.01.2027</t>
        </is>
      </c>
      <c r="E8869" t="inlineStr">
        <is>
          <t>China</t>
        </is>
      </c>
    </row>
    <row r="8870">
      <c r="A8870" t="inlineStr">
        <is>
          <t>Huizhou Liantek Electrical Industry Co.,Ltd.,  Huizhou City,Guangdong Province, China</t>
        </is>
      </c>
      <c r="B8870" t="inlineStr">
        <is>
          <t>Final Product Refinement</t>
        </is>
      </c>
      <c r="C8870" t="inlineStr">
        <is>
          <t>RINA Services S.p.A., Genova, IT</t>
        </is>
      </c>
      <c r="D8870" t="inlineStr">
        <is>
          <t>20.01.2027</t>
        </is>
      </c>
      <c r="E8870" t="inlineStr">
        <is>
          <t>China</t>
        </is>
      </c>
    </row>
    <row r="8871">
      <c r="A8871" t="inlineStr">
        <is>
          <t>FP Corporation Kanto Shimodate Plant,  Chikusei-shi, Japan</t>
        </is>
      </c>
      <c r="B8871" t="inlineStr">
        <is>
          <t>Processing Unit</t>
        </is>
      </c>
      <c r="C8871" t="inlineStr">
        <is>
          <t>SGS Germany GmbH, Emstek, DE</t>
        </is>
      </c>
      <c r="D8871" t="inlineStr">
        <is>
          <t>20.01.2027</t>
        </is>
      </c>
      <c r="E8871" t="inlineStr">
        <is>
          <t>Japan</t>
        </is>
      </c>
    </row>
    <row r="8872">
      <c r="A8872" t="inlineStr">
        <is>
          <t>Recyclers Ghana Limited,  Greater Accra,, Ghana</t>
        </is>
      </c>
      <c r="B8872" t="inlineStr">
        <is>
          <t>Collecting Point, Processing Unit, Warehouse</t>
        </is>
      </c>
      <c r="C8872" t="inlineStr">
        <is>
          <t>BM Certification, Riga, LV</t>
        </is>
      </c>
      <c r="D8872" t="inlineStr">
        <is>
          <t>20.01.2027</t>
        </is>
      </c>
      <c r="E8872" t="inlineStr">
        <is>
          <t>Ghana</t>
        </is>
      </c>
    </row>
    <row r="8873">
      <c r="A8873" t="inlineStr">
        <is>
          <t>Recyclers Ghana Limited,  Greater Accra,, Ghana</t>
        </is>
      </c>
      <c r="B8873" t="inlineStr">
        <is>
          <t>Collecting Point, Processing Unit, Warehouse</t>
        </is>
      </c>
      <c r="C8873" t="inlineStr">
        <is>
          <t>BM Certification, Riga, LV</t>
        </is>
      </c>
      <c r="D8873" t="inlineStr">
        <is>
          <t>20.01.2027</t>
        </is>
      </c>
      <c r="E8873" t="inlineStr">
        <is>
          <t>Ghana</t>
        </is>
      </c>
    </row>
    <row r="8874">
      <c r="A8874" t="inlineStr">
        <is>
          <t>Monterey RNG,  Hopkins, United States</t>
        </is>
      </c>
      <c r="B8874" t="inlineStr">
        <is>
          <t>Collecting Point, Processing Unit</t>
        </is>
      </c>
      <c r="C8874" t="inlineStr">
        <is>
          <t>Double Helix Tracking Technologies Pte Ltd, Singapore, SG</t>
        </is>
      </c>
      <c r="D8874" t="inlineStr">
        <is>
          <t>20.01.2027</t>
        </is>
      </c>
      <c r="E8874" t="inlineStr">
        <is>
          <t>United States</t>
        </is>
      </c>
    </row>
    <row r="8875">
      <c r="A8875" t="inlineStr">
        <is>
          <t>Monterey RNG,  Hopkins, United States</t>
        </is>
      </c>
      <c r="B8875" t="inlineStr">
        <is>
          <t>Collecting Point, Processing Unit</t>
        </is>
      </c>
      <c r="C8875" t="inlineStr">
        <is>
          <t>Double Helix Tracking Technologies Pte Ltd, Singapore, SG</t>
        </is>
      </c>
      <c r="D8875" t="inlineStr">
        <is>
          <t>20.01.2027</t>
        </is>
      </c>
      <c r="E8875" t="inlineStr">
        <is>
          <t>United States</t>
        </is>
      </c>
    </row>
    <row r="8876">
      <c r="A8876" t="inlineStr">
        <is>
          <t>North Country RNG,  North Bangor, United States</t>
        </is>
      </c>
      <c r="B8876" t="inlineStr">
        <is>
          <t>Collecting Point, Processing Unit</t>
        </is>
      </c>
      <c r="C8876" t="inlineStr">
        <is>
          <t>Double Helix Tracking Technologies Pte Ltd, Singapore, SG</t>
        </is>
      </c>
      <c r="D8876" t="inlineStr">
        <is>
          <t>20.01.2027</t>
        </is>
      </c>
      <c r="E8876" t="inlineStr">
        <is>
          <t>United States</t>
        </is>
      </c>
    </row>
    <row r="8877">
      <c r="A8877" t="inlineStr">
        <is>
          <t>Bentan GmbH,  Hamburg, Germany</t>
        </is>
      </c>
      <c r="B8877" t="inlineStr">
        <is>
          <t>Proof of Compliance Trader, Trader</t>
        </is>
      </c>
      <c r="C8877" t="inlineStr">
        <is>
          <t>Global-Creative-Energy GmbH, Berlin, DE</t>
        </is>
      </c>
      <c r="D8877" t="inlineStr">
        <is>
          <t>20.01.2027</t>
        </is>
      </c>
      <c r="E8877" t="inlineStr">
        <is>
          <t>Germany</t>
        </is>
      </c>
    </row>
    <row r="8878">
      <c r="A8878" t="inlineStr">
        <is>
          <t>North Country RNG,  North Bangor, United States</t>
        </is>
      </c>
      <c r="B8878" t="inlineStr">
        <is>
          <t>Collecting Point, Processing Unit</t>
        </is>
      </c>
      <c r="C8878" t="inlineStr">
        <is>
          <t>Double Helix Tracking Technologies Pte Ltd, Singapore, SG</t>
        </is>
      </c>
      <c r="D8878" t="inlineStr">
        <is>
          <t>20.01.2027</t>
        </is>
      </c>
      <c r="E8878" t="inlineStr">
        <is>
          <t>United States</t>
        </is>
      </c>
    </row>
    <row r="8879">
      <c r="A8879" t="inlineStr">
        <is>
          <t>Neighborhood Dairy RNG,  North Bangor, United States</t>
        </is>
      </c>
      <c r="B8879" t="inlineStr">
        <is>
          <t>Processing Unit</t>
        </is>
      </c>
      <c r="C8879" t="inlineStr">
        <is>
          <t>Double Helix Tracking Technologies Pte Ltd, Singapore, SG</t>
        </is>
      </c>
      <c r="D8879" t="inlineStr">
        <is>
          <t>20.01.2027</t>
        </is>
      </c>
      <c r="E8879" t="inlineStr">
        <is>
          <t>United States</t>
        </is>
      </c>
    </row>
    <row r="8880">
      <c r="A8880" t="inlineStr">
        <is>
          <t>Neighborhood Dairy RNG,  North Bangor, United States</t>
        </is>
      </c>
      <c r="B8880" t="inlineStr">
        <is>
          <t>Processing Unit</t>
        </is>
      </c>
      <c r="C8880" t="inlineStr">
        <is>
          <t>Double Helix Tracking Technologies Pte Ltd, Singapore, SG</t>
        </is>
      </c>
      <c r="D8880" t="inlineStr">
        <is>
          <t>20.01.2027</t>
        </is>
      </c>
      <c r="E8880" t="inlineStr">
        <is>
          <t>United States</t>
        </is>
      </c>
    </row>
    <row r="8881">
      <c r="A8881" t="inlineStr">
        <is>
          <t>Valogreene CML,  Madridejos, Spain</t>
        </is>
      </c>
      <c r="B8881" t="inlineStr">
        <is>
          <t>Collecting Point, Processing Unit</t>
        </is>
      </c>
      <c r="C8881" t="inlineStr">
        <is>
          <t>Control Union Poland Sp. z o.o., Zielona Gora, PL</t>
        </is>
      </c>
      <c r="D8881" t="inlineStr">
        <is>
          <t>20.01.2027</t>
        </is>
      </c>
      <c r="E8881" t="inlineStr">
        <is>
          <t>Spain</t>
        </is>
      </c>
    </row>
    <row r="8882">
      <c r="A8882" t="inlineStr">
        <is>
          <t>Staples Brothers Ltd,  Wrangle, Boston, United Kingdom</t>
        </is>
      </c>
      <c r="B8882" t="inlineStr">
        <is>
          <t>Farm / Plantation, Point of Origin, Processing Unit</t>
        </is>
      </c>
      <c r="C8882" t="inlineStr">
        <is>
          <t>Double Helix Tracking Technologies Pte Ltd, Singapore, SG</t>
        </is>
      </c>
      <c r="D8882" t="inlineStr">
        <is>
          <t>20.01.2027</t>
        </is>
      </c>
      <c r="E8882" t="inlineStr">
        <is>
          <t>United Kingdom</t>
        </is>
      </c>
    </row>
    <row r="8883">
      <c r="A8883" t="inlineStr">
        <is>
          <t>Rainbarrow Farm AD LLP,  Dorchester, United Kingdom</t>
        </is>
      </c>
      <c r="B8883" t="inlineStr">
        <is>
          <t>First Gathering Point, Processing Unit</t>
        </is>
      </c>
      <c r="C8883" t="inlineStr">
        <is>
          <t>Double Helix Tracking Technologies Pte Ltd, Singapore, SG</t>
        </is>
      </c>
      <c r="D8883" t="inlineStr">
        <is>
          <t>20.01.2027</t>
        </is>
      </c>
      <c r="E8883" t="inlineStr">
        <is>
          <t>United Kingdom</t>
        </is>
      </c>
    </row>
    <row r="8884">
      <c r="A8884" t="inlineStr">
        <is>
          <t>Chongqing Zhenglian Biotechnology Co., LTD,  Chongqing City, China</t>
        </is>
      </c>
      <c r="B8884" t="inlineStr">
        <is>
          <t>Collecting Point, Trader with Storage</t>
        </is>
      </c>
      <c r="C8884" t="inlineStr">
        <is>
          <t>SCS Global Services, Emeryville, CA, US</t>
        </is>
      </c>
      <c r="D8884" t="inlineStr">
        <is>
          <t>20.01.2027</t>
        </is>
      </c>
      <c r="E8884" t="inlineStr">
        <is>
          <t>China</t>
        </is>
      </c>
    </row>
    <row r="8885">
      <c r="A8885" t="inlineStr">
        <is>
          <t>Energreen Oils,  Bangkok, Thailand</t>
        </is>
      </c>
      <c r="B8885" t="inlineStr">
        <is>
          <t>Trader</t>
        </is>
      </c>
      <c r="C8885" t="inlineStr">
        <is>
          <t>Trans Certification and Inspection Sdn Bhd, Kuantan, MY</t>
        </is>
      </c>
      <c r="D8885" t="inlineStr">
        <is>
          <t>20.01.2027</t>
        </is>
      </c>
      <c r="E8885" t="inlineStr">
        <is>
          <t>Thailand</t>
        </is>
      </c>
    </row>
    <row r="8886">
      <c r="A8886" t="inlineStr">
        <is>
          <t>Hebei Hui De Renewable Resources co., Ltd,  Shijiazhuang City, Hebei Province, China</t>
        </is>
      </c>
      <c r="B8886" t="inlineStr">
        <is>
          <t>Trader with Storage</t>
        </is>
      </c>
      <c r="C8886" t="inlineStr">
        <is>
          <t>RINA Services S.p.A., Genova, IT</t>
        </is>
      </c>
      <c r="D8886" t="inlineStr">
        <is>
          <t>20.01.2027</t>
        </is>
      </c>
      <c r="E8886" t="inlineStr">
        <is>
          <t>China</t>
        </is>
      </c>
    </row>
    <row r="8887">
      <c r="A8887" t="inlineStr">
        <is>
          <t>AGE GREEN ENERGY,  Santiago de Surco. Lima, Peru</t>
        </is>
      </c>
      <c r="B8887" t="inlineStr">
        <is>
          <t>Trader</t>
        </is>
      </c>
      <c r="C8887" t="inlineStr">
        <is>
          <t>RINA Services S.p.A., Genova, IT</t>
        </is>
      </c>
      <c r="D8887" t="inlineStr">
        <is>
          <t>20.01.2027</t>
        </is>
      </c>
      <c r="E8887" t="inlineStr">
        <is>
          <t>Peru</t>
        </is>
      </c>
    </row>
    <row r="8888">
      <c r="A8888" t="inlineStr">
        <is>
          <t>Capwatt Biometano, Unipessoal, Lda,  Maia, Portugal</t>
        </is>
      </c>
      <c r="B8888" t="inlineStr">
        <is>
          <t>Collecting Point, Trader</t>
        </is>
      </c>
      <c r="C8888" t="inlineStr">
        <is>
          <t>SGS Germany GmbH, Emstek, DE</t>
        </is>
      </c>
      <c r="D8888" t="inlineStr">
        <is>
          <t>20.01.2027</t>
        </is>
      </c>
      <c r="E8888" t="inlineStr">
        <is>
          <t>Portugal</t>
        </is>
      </c>
    </row>
    <row r="8889">
      <c r="A8889" t="inlineStr">
        <is>
          <t>Pirelli Tyre Co.,Ltd,  Jining, China</t>
        </is>
      </c>
      <c r="B8889" t="inlineStr">
        <is>
          <t>Processing Unit, Trader with Storage</t>
        </is>
      </c>
      <c r="C8889" t="inlineStr">
        <is>
          <t>RINA Services S.p.A., Genova, IT</t>
        </is>
      </c>
      <c r="D8889" t="inlineStr">
        <is>
          <t>20.01.2027</t>
        </is>
      </c>
      <c r="E8889" t="inlineStr">
        <is>
          <t>China</t>
        </is>
      </c>
    </row>
    <row r="8890">
      <c r="A8890" t="inlineStr">
        <is>
          <t>Maoming Huanze New Energy Co., Ltd.,  Maoming City, Guangdong Province, China</t>
        </is>
      </c>
      <c r="B8890" t="inlineStr">
        <is>
          <t>Trader</t>
        </is>
      </c>
      <c r="C8890" t="inlineStr">
        <is>
          <t>RINA Services S.p.A., Genova, IT</t>
        </is>
      </c>
      <c r="D8890" t="inlineStr">
        <is>
          <t>20.01.2027</t>
        </is>
      </c>
      <c r="E8890" t="inlineStr">
        <is>
          <t>China</t>
        </is>
      </c>
    </row>
    <row r="8891">
      <c r="A8891" t="inlineStr">
        <is>
          <t>Roquette Amilina, UAB,  Panevezys, Lithuania</t>
        </is>
      </c>
      <c r="B8891" t="inlineStr">
        <is>
          <t>First Gathering Point, Point of Origin</t>
        </is>
      </c>
      <c r="C8891" t="inlineStr">
        <is>
          <t>Bureau Veritas Polska Sp. z o.o., Warsaw, PL</t>
        </is>
      </c>
      <c r="D8891" t="inlineStr">
        <is>
          <t>19.01.2027</t>
        </is>
      </c>
      <c r="E8891" t="inlineStr">
        <is>
          <t>Lithuania</t>
        </is>
      </c>
    </row>
    <row r="8892">
      <c r="A8892" t="inlineStr">
        <is>
          <t>Aranga Valorizacion Sostenible,  ARANGA, Spain</t>
        </is>
      </c>
      <c r="B8892" t="inlineStr">
        <is>
          <t>Collecting Point</t>
        </is>
      </c>
      <c r="C8892" t="inlineStr">
        <is>
          <t>Control Union Certifications Germany GmbH, Berlin, DE</t>
        </is>
      </c>
      <c r="D8892" t="inlineStr">
        <is>
          <t>19.01.2027</t>
        </is>
      </c>
      <c r="E8892" t="inlineStr">
        <is>
          <t>Spain</t>
        </is>
      </c>
    </row>
    <row r="8893">
      <c r="A8893" t="inlineStr">
        <is>
          <t>Padang Raya Cakrawala,  Padang, Indonesia</t>
        </is>
      </c>
      <c r="B8893" t="inlineStr">
        <is>
          <t>Point of Origin, Processing Unit</t>
        </is>
      </c>
      <c r="C8893" t="inlineStr">
        <is>
          <t>Control Union Certifications Germany GmbH, Berlin, DE</t>
        </is>
      </c>
      <c r="D8893" t="inlineStr">
        <is>
          <t>19.01.2027</t>
        </is>
      </c>
      <c r="E8893" t="inlineStr">
        <is>
          <t>Indonesia</t>
        </is>
      </c>
    </row>
    <row r="8894">
      <c r="A8894" t="inlineStr">
        <is>
          <t>HUIZHOU LITUO ADVANCED MATERIALS CO.,LTD.,  Huidong County, Huizhou City, GuangdongProvince, China</t>
        </is>
      </c>
      <c r="B8894" t="inlineStr">
        <is>
          <t>Processing Unit</t>
        </is>
      </c>
      <c r="C8894" t="inlineStr">
        <is>
          <t>PT Intertek Utama Services, Jakarta, ID</t>
        </is>
      </c>
      <c r="D8894" t="inlineStr">
        <is>
          <t>19.01.2027</t>
        </is>
      </c>
      <c r="E8894" t="inlineStr">
        <is>
          <t>China</t>
        </is>
      </c>
    </row>
    <row r="8895">
      <c r="A8895" t="inlineStr">
        <is>
          <t>TSCH BIO ENERGY SDN BHD,  miri, Malaysia</t>
        </is>
      </c>
      <c r="B8895" t="inlineStr">
        <is>
          <t>Trader</t>
        </is>
      </c>
      <c r="C8895" t="inlineStr">
        <is>
          <t>Global Gateway Certifications Sdn Bhd, Ampang, MY</t>
        </is>
      </c>
      <c r="D8895" t="inlineStr">
        <is>
          <t>19.01.2027</t>
        </is>
      </c>
      <c r="E8895" t="inlineStr">
        <is>
          <t>Malaysia</t>
        </is>
      </c>
    </row>
    <row r="8896">
      <c r="A8896" t="inlineStr">
        <is>
          <t>Wenzhou Jinyu Plastic Sheet Co., Ltd.,  Ruian, Zhejiang, China</t>
        </is>
      </c>
      <c r="B8896" t="inlineStr">
        <is>
          <t>Processing Unit</t>
        </is>
      </c>
      <c r="C8896" t="inlineStr">
        <is>
          <t>SCS Global Services, Emeryville, CA, US</t>
        </is>
      </c>
      <c r="D8896" t="inlineStr">
        <is>
          <t>19.01.2027</t>
        </is>
      </c>
      <c r="E8896" t="inlineStr">
        <is>
          <t>China</t>
        </is>
      </c>
    </row>
    <row r="8897">
      <c r="A8897" t="inlineStr">
        <is>
          <t>Huacheng optics Co., Ltd.,  Yingtan City, Jiangxi Province, China, China</t>
        </is>
      </c>
      <c r="B8897" t="inlineStr">
        <is>
          <t>Final Product Refinement, Processing Unit, Trader with Storage</t>
        </is>
      </c>
      <c r="C8897" t="inlineStr">
        <is>
          <t>Extensive Standard Technical Services Co., Ltd., Hong Kong, CN</t>
        </is>
      </c>
      <c r="D8897" t="inlineStr">
        <is>
          <t>19.01.2027</t>
        </is>
      </c>
      <c r="E8897" t="inlineStr">
        <is>
          <t>China</t>
        </is>
      </c>
    </row>
    <row r="8898">
      <c r="A8898" t="inlineStr">
        <is>
          <t>TSRC Specialty Materials,  Plaquemine, Louisiana, United States</t>
        </is>
      </c>
      <c r="B8898" t="inlineStr">
        <is>
          <t>Processing Unit</t>
        </is>
      </c>
      <c r="C8898" t="inlineStr">
        <is>
          <t>DQS CFS GmbH - Deutsche Gesellschaft für Nachhaltigkeit, Frankfurt am Main, DE</t>
        </is>
      </c>
      <c r="D8898" t="inlineStr">
        <is>
          <t>19.01.2027</t>
        </is>
      </c>
      <c r="E8898" t="inlineStr">
        <is>
          <t>United States</t>
        </is>
      </c>
    </row>
    <row r="8899">
      <c r="A8899" t="inlineStr">
        <is>
          <t>Bunker Hill,  Kyiv, Ukraine</t>
        </is>
      </c>
      <c r="B8899" t="inlineStr">
        <is>
          <t>First Gathering Point, Trader with Storage</t>
        </is>
      </c>
      <c r="C8899" t="inlineStr">
        <is>
          <t>Aciter Genelab LLC, Odessa, UA</t>
        </is>
      </c>
      <c r="D8899" t="inlineStr">
        <is>
          <t>19.01.2027</t>
        </is>
      </c>
      <c r="E8899" t="inlineStr">
        <is>
          <t>Ukraine</t>
        </is>
      </c>
    </row>
    <row r="8900">
      <c r="A8900" t="inlineStr">
        <is>
          <t>M+C Schiffer GmbH,  Neustadt, Germany</t>
        </is>
      </c>
      <c r="B8900" t="inlineStr">
        <is>
          <t>Trader with Storage, Processing Unit</t>
        </is>
      </c>
      <c r="C8900" t="inlineStr">
        <is>
          <t>GUT Certifizierungsgesellschaft für Managementsysteme mbH Umweltgutachter, Berlin, DE</t>
        </is>
      </c>
      <c r="D8900" t="inlineStr">
        <is>
          <t>19.01.2027</t>
        </is>
      </c>
      <c r="E8900" t="inlineStr">
        <is>
          <t>Germany</t>
        </is>
      </c>
    </row>
    <row r="8901">
      <c r="A8901" t="inlineStr">
        <is>
          <t>M+C Schiffer,  Adnet, Austria</t>
        </is>
      </c>
      <c r="B8901" t="inlineStr">
        <is>
          <t>Processing Unit</t>
        </is>
      </c>
      <c r="C8901" t="inlineStr">
        <is>
          <t>GUT Certifizierungsgesellschaft für Managementsysteme mbH Umweltgutachter, Berlin, DE</t>
        </is>
      </c>
      <c r="D8901" t="inlineStr">
        <is>
          <t>19.01.2027</t>
        </is>
      </c>
      <c r="E8901" t="inlineStr">
        <is>
          <t>Austria</t>
        </is>
      </c>
    </row>
    <row r="8902">
      <c r="A8902" t="inlineStr">
        <is>
          <t>Jiangsu Hanvo Safety Product Co., Ltd,  Nantong, China</t>
        </is>
      </c>
      <c r="B8902" t="inlineStr">
        <is>
          <t>Processing Unit</t>
        </is>
      </c>
      <c r="C8902" t="inlineStr">
        <is>
          <t>Bureau Veritas Consumer Products Services, Inc., Littleton, MA, US</t>
        </is>
      </c>
      <c r="D8902" t="inlineStr">
        <is>
          <t>19.01.2027</t>
        </is>
      </c>
      <c r="E8902" t="inlineStr">
        <is>
          <t>China</t>
        </is>
      </c>
    </row>
    <row r="8903">
      <c r="A8903" t="inlineStr">
        <is>
          <t>CMP Oilseeds,  Yenda, Australia</t>
        </is>
      </c>
      <c r="B8903" t="inlineStr">
        <is>
          <t>Processing Unit, Trader with Storage</t>
        </is>
      </c>
      <c r="C8903" t="inlineStr">
        <is>
          <t>Control Union Certifications Germany GmbH, Berlin, DE</t>
        </is>
      </c>
      <c r="D8903" t="inlineStr">
        <is>
          <t>19.01.2027</t>
        </is>
      </c>
      <c r="E8903" t="inlineStr">
        <is>
          <t>Australia</t>
        </is>
      </c>
    </row>
    <row r="8904">
      <c r="A8904" t="inlineStr">
        <is>
          <t>CMP Oilseeds,  Yenda, Australia</t>
        </is>
      </c>
      <c r="B8904" t="inlineStr">
        <is>
          <t>Processing Unit, Trader with Storage</t>
        </is>
      </c>
      <c r="C8904" t="inlineStr">
        <is>
          <t>Control Union Certifications Germany GmbH, Berlin, DE</t>
        </is>
      </c>
      <c r="D8904" t="inlineStr">
        <is>
          <t>19.01.2027</t>
        </is>
      </c>
      <c r="E8904" t="inlineStr">
        <is>
          <t>Australia</t>
        </is>
      </c>
    </row>
    <row r="8905">
      <c r="A8905" t="inlineStr">
        <is>
          <t>IK Nataliya,  Kardzhali, Bulgaria</t>
        </is>
      </c>
      <c r="B8905" t="inlineStr">
        <is>
          <t>Collecting Point, Processing Unit, Trader with Storage</t>
        </is>
      </c>
      <c r="C8905" t="inlineStr">
        <is>
          <t>BM Certification, Riga, LV</t>
        </is>
      </c>
      <c r="D8905" t="inlineStr">
        <is>
          <t>19.01.2027</t>
        </is>
      </c>
      <c r="E8905" t="inlineStr">
        <is>
          <t>Bulgaria</t>
        </is>
      </c>
    </row>
    <row r="8906">
      <c r="A8906" t="inlineStr">
        <is>
          <t>A.B. EMME FLEX 2B SRL,  ISOLA DELLA SCALA, Italy</t>
        </is>
      </c>
      <c r="B8906" t="inlineStr">
        <is>
          <t>Processing Unit</t>
        </is>
      </c>
      <c r="C8906" t="inlineStr">
        <is>
          <t>SGS Germany GmbH, Emstek, DE</t>
        </is>
      </c>
      <c r="D8906" t="inlineStr">
        <is>
          <t>19.01.2027</t>
        </is>
      </c>
      <c r="E8906" t="inlineStr">
        <is>
          <t>Italy</t>
        </is>
      </c>
    </row>
    <row r="8907">
      <c r="A8907" t="inlineStr">
        <is>
          <t>NOURYON PULP AND PERFORMANCE INDUSTRIA QUIMICA,  Itupeva, SP, Brazil</t>
        </is>
      </c>
      <c r="B8907" t="inlineStr">
        <is>
          <t>Processing Unit</t>
        </is>
      </c>
      <c r="C8907" t="inlineStr">
        <is>
          <t>QIMA, Centro, Botucatu - SP, CEP, BR</t>
        </is>
      </c>
      <c r="D8907" t="inlineStr">
        <is>
          <t>19.01.2027</t>
        </is>
      </c>
      <c r="E8907" t="inlineStr">
        <is>
          <t>Brazil</t>
        </is>
      </c>
    </row>
    <row r="8908">
      <c r="A8908" t="inlineStr">
        <is>
          <t>Advario Stolthaven Antwerp,  Antwerpen, Belgium</t>
        </is>
      </c>
      <c r="B8908" t="inlineStr">
        <is>
          <t>Warehouse</t>
        </is>
      </c>
      <c r="C8908" t="inlineStr">
        <is>
          <t>SGS Germany GmbH, Emstek, DE</t>
        </is>
      </c>
      <c r="D8908" t="inlineStr">
        <is>
          <t>19.01.2027</t>
        </is>
      </c>
      <c r="E8908" t="inlineStr">
        <is>
          <t>Belgium</t>
        </is>
      </c>
    </row>
    <row r="8909">
      <c r="A8909" t="inlineStr">
        <is>
          <t>Advario Stolthaven Antwerp,  Antwerpen, Belgium</t>
        </is>
      </c>
      <c r="B8909" t="inlineStr">
        <is>
          <t>Warehouse</t>
        </is>
      </c>
      <c r="C8909" t="inlineStr">
        <is>
          <t>SGS Germany GmbH, Emstek, DE</t>
        </is>
      </c>
      <c r="D8909" t="inlineStr">
        <is>
          <t>19.01.2027</t>
        </is>
      </c>
      <c r="E8909" t="inlineStr">
        <is>
          <t>Belgium</t>
        </is>
      </c>
    </row>
    <row r="8910">
      <c r="A8910" t="inlineStr">
        <is>
          <t>HAILIDE (VIET NAM) CO., LTD,  Tay Ninh Province, Vietnam</t>
        </is>
      </c>
      <c r="B8910" t="inlineStr">
        <is>
          <t>Processing Unit</t>
        </is>
      </c>
      <c r="C8910" t="inlineStr">
        <is>
          <t>SGS Germany GmbH, Emstek, DE</t>
        </is>
      </c>
      <c r="D8910" t="inlineStr">
        <is>
          <t>19.01.2027</t>
        </is>
      </c>
      <c r="E8910" t="inlineStr">
        <is>
          <t>Vietnam</t>
        </is>
      </c>
    </row>
    <row r="8911">
      <c r="A8911" t="inlineStr">
        <is>
          <t>Techno-UMG. Co., Ltd. Yokkaichi Plant,  Yokkaichi, Japan</t>
        </is>
      </c>
      <c r="B8911" t="inlineStr">
        <is>
          <t>Processing Unit, Trader with Storage</t>
        </is>
      </c>
      <c r="C8911" t="inlineStr">
        <is>
          <t>SGS Germany GmbH, Emstek, DE</t>
        </is>
      </c>
      <c r="D8911" t="inlineStr">
        <is>
          <t>19.01.2027</t>
        </is>
      </c>
      <c r="E8911" t="inlineStr">
        <is>
          <t>Japan</t>
        </is>
      </c>
    </row>
    <row r="8912">
      <c r="A8912" t="inlineStr">
        <is>
          <t>Inner Mongolia Jinsheng Grassland Co., Ltd,  Xing'an League, Inner Mongolia, China</t>
        </is>
      </c>
      <c r="B8912" t="inlineStr">
        <is>
          <t>First Gathering Point, Processing Unit</t>
        </is>
      </c>
      <c r="C8912" t="inlineStr">
        <is>
          <t>CTI Certification Co. Ltd, Shenzhen, CN</t>
        </is>
      </c>
      <c r="D8912" t="inlineStr">
        <is>
          <t>19.01.2027</t>
        </is>
      </c>
      <c r="E8912" t="inlineStr">
        <is>
          <t>China</t>
        </is>
      </c>
    </row>
    <row r="8913">
      <c r="A8913" t="inlineStr">
        <is>
          <t>Cahaya Sawit Lestari,  Bengkulu Tengah Regency, Bengkulu Province, Indonesia</t>
        </is>
      </c>
      <c r="B8913" t="inlineStr">
        <is>
          <t>Point of Origin</t>
        </is>
      </c>
      <c r="C8913" t="inlineStr">
        <is>
          <t>PT. Qualitas Sertifikasi Indonesia, Jakarta, ID</t>
        </is>
      </c>
      <c r="D8913" t="inlineStr">
        <is>
          <t>19.01.2027</t>
        </is>
      </c>
      <c r="E8913" t="inlineStr">
        <is>
          <t>Indonesia</t>
        </is>
      </c>
    </row>
    <row r="8914">
      <c r="A8914" t="inlineStr">
        <is>
          <t>Ahmed Oil Industries (PVT.) Ltd.,  Karachi, Pakistan</t>
        </is>
      </c>
      <c r="B8914" t="inlineStr">
        <is>
          <t>Point of Origin</t>
        </is>
      </c>
      <c r="C8914" t="inlineStr">
        <is>
          <t>PT. Qualitas Sertifikasi Indonesia, Jakarta, ID</t>
        </is>
      </c>
      <c r="D8914" t="inlineStr">
        <is>
          <t>19.01.2027</t>
        </is>
      </c>
      <c r="E8914" t="inlineStr">
        <is>
          <t>Pakistan</t>
        </is>
      </c>
    </row>
    <row r="8915">
      <c r="A8915" t="inlineStr">
        <is>
          <t>Airbus (TIANJIN) Delivery Centre Limited,  Tianjin, China</t>
        </is>
      </c>
      <c r="B8915" t="inlineStr">
        <is>
          <t>Trader with Storage</t>
        </is>
      </c>
      <c r="C8915" t="inlineStr">
        <is>
          <t>SCS Global Services, Emeryville, CA, US</t>
        </is>
      </c>
      <c r="D8915" t="inlineStr">
        <is>
          <t>19.01.2027</t>
        </is>
      </c>
      <c r="E8915" t="inlineStr">
        <is>
          <t>China</t>
        </is>
      </c>
    </row>
    <row r="8916">
      <c r="A8916" t="inlineStr">
        <is>
          <t>İspak Esnek Ambalaj Sanayi A.Ş.,  Kocaeli, Turkey</t>
        </is>
      </c>
      <c r="B8916" t="inlineStr">
        <is>
          <t>Processing Unit</t>
        </is>
      </c>
      <c r="C8916" t="inlineStr">
        <is>
          <t>PT Intertek Utama Services, Jakarta, ID</t>
        </is>
      </c>
      <c r="D8916" t="inlineStr">
        <is>
          <t>19.01.2027</t>
        </is>
      </c>
      <c r="E8916" t="inlineStr">
        <is>
          <t>Turkey</t>
        </is>
      </c>
    </row>
    <row r="8917">
      <c r="A8917" t="inlineStr">
        <is>
          <t>C.G.F. RECYCLE SRL,  MONOPOLI, Italy</t>
        </is>
      </c>
      <c r="B8917" t="inlineStr">
        <is>
          <t>Collecting Point</t>
        </is>
      </c>
      <c r="C8917" t="inlineStr">
        <is>
          <t>PT Intertek Utama Services, Jakarta, ID</t>
        </is>
      </c>
      <c r="D8917" t="inlineStr">
        <is>
          <t>19.01.2027</t>
        </is>
      </c>
      <c r="E8917" t="inlineStr">
        <is>
          <t>Italy</t>
        </is>
      </c>
    </row>
    <row r="8918">
      <c r="A8918" t="inlineStr">
        <is>
          <t>Syarikat Kretam Oil Mill Sdn. Bhd.,  Tawau Sabah, Malaysia</t>
        </is>
      </c>
      <c r="B8918" t="inlineStr">
        <is>
          <t>Point of Origin</t>
        </is>
      </c>
      <c r="C8918" t="inlineStr">
        <is>
          <t>PT Intertek Utama Services, Jakarta, ID</t>
        </is>
      </c>
      <c r="D8918" t="inlineStr">
        <is>
          <t>19.01.2027</t>
        </is>
      </c>
      <c r="E8918" t="inlineStr">
        <is>
          <t>Malaysia</t>
        </is>
      </c>
    </row>
    <row r="8919">
      <c r="A8919" t="inlineStr">
        <is>
          <t>WSM INDUSTRIES s.r.l.,  RECANATI, Italy</t>
        </is>
      </c>
      <c r="B8919" t="inlineStr">
        <is>
          <t>Processing Unit</t>
        </is>
      </c>
      <c r="C8919" t="inlineStr">
        <is>
          <t>Bureau Veritas Polska Sp. z o.o., Warsaw, PL</t>
        </is>
      </c>
      <c r="D8919" t="inlineStr">
        <is>
          <t>19.01.2027</t>
        </is>
      </c>
      <c r="E8919" t="inlineStr">
        <is>
          <t>Italy</t>
        </is>
      </c>
    </row>
    <row r="8920">
      <c r="A8920" t="inlineStr">
        <is>
          <t>PT Anugerah Pelangi Sukses,  Kaur Regency, Bengkulu Province, Indonesia</t>
        </is>
      </c>
      <c r="B8920" t="inlineStr">
        <is>
          <t>Point of Origin</t>
        </is>
      </c>
      <c r="C8920" t="inlineStr">
        <is>
          <t>PT. Qualitas Sertifikasi Indonesia, Jakarta, ID</t>
        </is>
      </c>
      <c r="D8920" t="inlineStr">
        <is>
          <t>19.01.2027</t>
        </is>
      </c>
      <c r="E8920" t="inlineStr">
        <is>
          <t>Indonesia</t>
        </is>
      </c>
    </row>
    <row r="8921">
      <c r="A8921" t="inlineStr">
        <is>
          <t>QUANTUM GLOBAL (APAC) PTE LTD,  # 29-04 millenia tower, Singapore</t>
        </is>
      </c>
      <c r="B8921" t="inlineStr">
        <is>
          <t>Trader</t>
        </is>
      </c>
      <c r="C8921" t="inlineStr">
        <is>
          <t>Control Union Certifications Germany GmbH, Berlin, DE</t>
        </is>
      </c>
      <c r="D8921" t="inlineStr">
        <is>
          <t>19.01.2027</t>
        </is>
      </c>
      <c r="E8921" t="inlineStr">
        <is>
          <t>Singapore</t>
        </is>
      </c>
    </row>
    <row r="8922">
      <c r="A8922" t="inlineStr">
        <is>
          <t>FP Corporation Fukuyama Plant PS-6,  Fukuyama-shi, Japan</t>
        </is>
      </c>
      <c r="B8922" t="inlineStr">
        <is>
          <t>Processing Unit, Warehouse</t>
        </is>
      </c>
      <c r="C8922" t="inlineStr">
        <is>
          <t>SGS Germany GmbH, Emstek, DE</t>
        </is>
      </c>
      <c r="D8922" t="inlineStr">
        <is>
          <t>19.01.2027</t>
        </is>
      </c>
      <c r="E8922" t="inlineStr">
        <is>
          <t>Japan</t>
        </is>
      </c>
    </row>
    <row r="8923">
      <c r="A8923" t="inlineStr">
        <is>
          <t>FP Corporation Yamagata Plant,  Sagae-shi, Japan</t>
        </is>
      </c>
      <c r="B8923" t="inlineStr">
        <is>
          <t>Processing Unit, Warehouse</t>
        </is>
      </c>
      <c r="C8923" t="inlineStr">
        <is>
          <t>SGS Germany GmbH, Emstek, DE</t>
        </is>
      </c>
      <c r="D8923" t="inlineStr">
        <is>
          <t>19.01.2027</t>
        </is>
      </c>
      <c r="E8923" t="inlineStr">
        <is>
          <t>Japan</t>
        </is>
      </c>
    </row>
    <row r="8924">
      <c r="A8924" t="inlineStr">
        <is>
          <t>REFUEL SRL,  Silvano D'Orba, Italy</t>
        </is>
      </c>
      <c r="B8924" t="inlineStr">
        <is>
          <t>Collecting Point</t>
        </is>
      </c>
      <c r="C8924" t="inlineStr">
        <is>
          <t>DNV Business Assurance Sweden AB, Solna, SE</t>
        </is>
      </c>
      <c r="D8924" t="inlineStr">
        <is>
          <t>19.01.2027</t>
        </is>
      </c>
      <c r="E8924" t="inlineStr">
        <is>
          <t>Italy</t>
        </is>
      </c>
    </row>
    <row r="8925">
      <c r="A8925" t="inlineStr">
        <is>
          <t>Bukit Sawit Semesta,  Agam, Indonesia</t>
        </is>
      </c>
      <c r="B8925" t="inlineStr">
        <is>
          <t>Point of Origin, Processing Unit</t>
        </is>
      </c>
      <c r="C8925" t="inlineStr">
        <is>
          <t>SGS Germany GmbH, Emstek, DE</t>
        </is>
      </c>
      <c r="D8925" t="inlineStr">
        <is>
          <t>19.01.2027</t>
        </is>
      </c>
      <c r="E8925" t="inlineStr">
        <is>
          <t>Indonesia</t>
        </is>
      </c>
    </row>
    <row r="8926">
      <c r="A8926" t="inlineStr">
        <is>
          <t>Industria Meridionale Alcolici srl,  Trapani, Italy</t>
        </is>
      </c>
      <c r="B8926" t="inlineStr">
        <is>
          <t>Processing Unit, Trader with Storage, Warehouse</t>
        </is>
      </c>
      <c r="C8926" t="inlineStr">
        <is>
          <t>SGS Germany GmbH, Emstek, DE</t>
        </is>
      </c>
      <c r="D8926" t="inlineStr">
        <is>
          <t>19.01.2027</t>
        </is>
      </c>
      <c r="E8926" t="inlineStr">
        <is>
          <t>Italy</t>
        </is>
      </c>
    </row>
    <row r="8927">
      <c r="A8927" t="inlineStr">
        <is>
          <t>Jumbo Mojmirovce, spol. s r.o.,  Močenok, Slovakia</t>
        </is>
      </c>
      <c r="B8927" t="inlineStr">
        <is>
          <t>First Gathering Point, Trader</t>
        </is>
      </c>
      <c r="C8927" t="inlineStr">
        <is>
          <t>United Registrar of Systems Polska Sp. z o.o., Wrocław, PL</t>
        </is>
      </c>
      <c r="D8927" t="inlineStr">
        <is>
          <t>19.01.2027</t>
        </is>
      </c>
      <c r="E8927" t="inlineStr">
        <is>
          <t>Slovakia</t>
        </is>
      </c>
    </row>
    <row r="8928">
      <c r="A8928" t="inlineStr">
        <is>
          <t>Gravita Togo SAU,  Lome,, Togo</t>
        </is>
      </c>
      <c r="B8928" t="inlineStr">
        <is>
          <t>Collecting Point, Processing Unit, Warehouse</t>
        </is>
      </c>
      <c r="C8928" t="inlineStr">
        <is>
          <t>BM Certification, Riga, LV</t>
        </is>
      </c>
      <c r="D8928" t="inlineStr">
        <is>
          <t>19.01.2027</t>
        </is>
      </c>
      <c r="E8928" t="inlineStr">
        <is>
          <t>Togo</t>
        </is>
      </c>
    </row>
    <row r="8929">
      <c r="A8929" t="inlineStr">
        <is>
          <t>Gravita Togo SAU,  Lome,, Togo</t>
        </is>
      </c>
      <c r="B8929" t="inlineStr">
        <is>
          <t>Collecting Point, Processing Unit, Warehouse</t>
        </is>
      </c>
      <c r="C8929" t="inlineStr">
        <is>
          <t>BM Certification, Riga, LV</t>
        </is>
      </c>
      <c r="D8929" t="inlineStr">
        <is>
          <t>19.01.2027</t>
        </is>
      </c>
      <c r="E8929" t="inlineStr">
        <is>
          <t>Togo</t>
        </is>
      </c>
    </row>
    <row r="8930">
      <c r="A8930" t="inlineStr">
        <is>
          <t>The LYCRA Company UK Limited,  Londonderry, United Kingdom</t>
        </is>
      </c>
      <c r="B8930" t="inlineStr">
        <is>
          <t>Processing Unit</t>
        </is>
      </c>
      <c r="C8930" t="inlineStr">
        <is>
          <t>SCS Global Services, Emeryville, CA, US</t>
        </is>
      </c>
      <c r="D8930" t="inlineStr">
        <is>
          <t>19.01.2027</t>
        </is>
      </c>
      <c r="E8930" t="inlineStr">
        <is>
          <t>United Kingdom</t>
        </is>
      </c>
    </row>
    <row r="8931">
      <c r="A8931" t="inlineStr">
        <is>
          <t>PMI JOINEASE HOLDINGS LIMITED,  Huizhou Municipality, Guangdong Province, China</t>
        </is>
      </c>
      <c r="B8931" t="inlineStr">
        <is>
          <t>Processing Unit</t>
        </is>
      </c>
      <c r="C8931" t="inlineStr">
        <is>
          <t>TÜV NORD CERT GmbH, Essen, DE</t>
        </is>
      </c>
      <c r="D8931" t="inlineStr">
        <is>
          <t>19.01.2027</t>
        </is>
      </c>
      <c r="E8931" t="inlineStr">
        <is>
          <t>China</t>
        </is>
      </c>
    </row>
    <row r="8932">
      <c r="A8932" t="inlineStr">
        <is>
          <t>Solve Recycling,  Valencia, Spain</t>
        </is>
      </c>
      <c r="B8932" t="inlineStr">
        <is>
          <t>Trader</t>
        </is>
      </c>
      <c r="C8932" t="inlineStr">
        <is>
          <t>Certificadora Gallega del Noroeste SL, Vilagarcia de Arousa-Pontevedra, ES</t>
        </is>
      </c>
      <c r="D8932" t="inlineStr">
        <is>
          <t>19.01.2027</t>
        </is>
      </c>
      <c r="E8932" t="inlineStr">
        <is>
          <t>Spain</t>
        </is>
      </c>
    </row>
    <row r="8933">
      <c r="A8933" t="inlineStr">
        <is>
          <t>Tetra Pak Packaging Material Production Ltd.,  Budaörs, Hungary</t>
        </is>
      </c>
      <c r="B8933" t="inlineStr">
        <is>
          <t>Processing Unit</t>
        </is>
      </c>
      <c r="C8933" t="inlineStr">
        <is>
          <t>SCS Global Services, Emeryville, CA, US</t>
        </is>
      </c>
      <c r="D8933" t="inlineStr">
        <is>
          <t>19.01.2027</t>
        </is>
      </c>
      <c r="E8933" t="inlineStr">
        <is>
          <t>Hungary</t>
        </is>
      </c>
    </row>
    <row r="8934">
      <c r="A8934" t="inlineStr">
        <is>
          <t>Apex LFG Energy, LLC,  Amsterdam, United States</t>
        </is>
      </c>
      <c r="B8934" t="inlineStr">
        <is>
          <t>Collecting Point, Processing Unit</t>
        </is>
      </c>
      <c r="C8934" t="inlineStr">
        <is>
          <t>Control Union Poland Sp. z o.o., Zielona Gora, PL</t>
        </is>
      </c>
      <c r="D8934" t="inlineStr">
        <is>
          <t>19.01.2027</t>
        </is>
      </c>
      <c r="E8934" t="inlineStr">
        <is>
          <t>United States</t>
        </is>
      </c>
    </row>
    <row r="8935">
      <c r="A8935" t="inlineStr">
        <is>
          <t>Apex LFG Energy, LLC,  Amsterdam, United States</t>
        </is>
      </c>
      <c r="B8935" t="inlineStr">
        <is>
          <t>Collecting Point, Processing Unit</t>
        </is>
      </c>
      <c r="C8935" t="inlineStr">
        <is>
          <t>Control Union Poland Sp. z o.o., Zielona Gora, PL</t>
        </is>
      </c>
      <c r="D8935" t="inlineStr">
        <is>
          <t>19.01.2027</t>
        </is>
      </c>
      <c r="E8935" t="inlineStr">
        <is>
          <t>United States</t>
        </is>
      </c>
    </row>
    <row r="8936">
      <c r="A8936" t="inlineStr">
        <is>
          <t>Kutai Sawit Mandiri,  Kabupaten Kutai Timur, Provinsi Kalimantan Timur, Indonesia</t>
        </is>
      </c>
      <c r="B8936" t="inlineStr">
        <is>
          <t>Point of Origin</t>
        </is>
      </c>
      <c r="C8936" t="inlineStr">
        <is>
          <t>PT. Qualitas Sertifikasi Indonesia, Jakarta, ID</t>
        </is>
      </c>
      <c r="D8936" t="inlineStr">
        <is>
          <t>19.01.2027</t>
        </is>
      </c>
      <c r="E8936" t="inlineStr">
        <is>
          <t>Indonesia</t>
        </is>
      </c>
    </row>
    <row r="8937">
      <c r="A8937" t="inlineStr">
        <is>
          <t>N1,  Kópavogur, Iceland</t>
        </is>
      </c>
      <c r="B8937" t="inlineStr">
        <is>
          <t>Trader with Storage</t>
        </is>
      </c>
      <c r="C8937" t="inlineStr">
        <is>
          <t>DNV Business Assurance Sweden AB, Solna, SE</t>
        </is>
      </c>
      <c r="D8937" t="inlineStr">
        <is>
          <t>19.01.2027</t>
        </is>
      </c>
      <c r="E8937" t="inlineStr">
        <is>
          <t>Iceland</t>
        </is>
      </c>
    </row>
    <row r="8938">
      <c r="A8938" t="inlineStr">
        <is>
          <t>Osterman &amp; Co,  Cheshire, United States</t>
        </is>
      </c>
      <c r="B8938" t="inlineStr">
        <is>
          <t>Trader with Storage</t>
        </is>
      </c>
      <c r="C8938" t="inlineStr">
        <is>
          <t>SCS Global Services, Emeryville, CA, US</t>
        </is>
      </c>
      <c r="D8938" t="inlineStr">
        <is>
          <t>19.01.2027</t>
        </is>
      </c>
      <c r="E8938" t="inlineStr">
        <is>
          <t>United States</t>
        </is>
      </c>
    </row>
    <row r="8939">
      <c r="A8939" t="inlineStr">
        <is>
          <t>Beijing Zhongjing Zhenghe Environmental Protection Service Co., Ltd.,  Baishan Town, Changping District, Beijing, China</t>
        </is>
      </c>
      <c r="B8939" t="inlineStr">
        <is>
          <t>Collecting Point, Trader with Storage</t>
        </is>
      </c>
      <c r="C8939" t="inlineStr">
        <is>
          <t>RINA Services S.p.A., Genova, IT</t>
        </is>
      </c>
      <c r="D8939" t="inlineStr">
        <is>
          <t>19.01.2027</t>
        </is>
      </c>
      <c r="E8939" t="inlineStr">
        <is>
          <t>China</t>
        </is>
      </c>
    </row>
    <row r="8940">
      <c r="A8940" t="inlineStr">
        <is>
          <t>Eton Petrochemical Co., Ltd.,  TAIPEI, Taiwan</t>
        </is>
      </c>
      <c r="B8940" t="inlineStr">
        <is>
          <t>Trader</t>
        </is>
      </c>
      <c r="C8940" t="inlineStr">
        <is>
          <t>Bureau Veritas Polska Sp. z o.o., Warsaw, PL</t>
        </is>
      </c>
      <c r="D8940" t="inlineStr">
        <is>
          <t>19.01.2027</t>
        </is>
      </c>
      <c r="E8940" t="inlineStr">
        <is>
          <t>Taiwan</t>
        </is>
      </c>
    </row>
    <row r="8941">
      <c r="A8941" t="inlineStr">
        <is>
          <t>Asia Plus Material Co., Ltd.,  Latsawai, Lamlukka, Pathum Thani, Thailand</t>
        </is>
      </c>
      <c r="B8941" t="inlineStr">
        <is>
          <t>Collecting Point, Trader with Storage</t>
        </is>
      </c>
      <c r="C8941" t="inlineStr">
        <is>
          <t>Trans Certification and Inspection Sdn Bhd, Kuantan, MY</t>
        </is>
      </c>
      <c r="D8941" t="inlineStr">
        <is>
          <t>19.01.2027</t>
        </is>
      </c>
      <c r="E8941" t="inlineStr">
        <is>
          <t>Thailand</t>
        </is>
      </c>
    </row>
    <row r="8942">
      <c r="A8942" t="inlineStr">
        <is>
          <t>ALTMAIOUZ,  Tanta, Egypt</t>
        </is>
      </c>
      <c r="B8942" t="inlineStr">
        <is>
          <t>Collecting Point</t>
        </is>
      </c>
      <c r="C8942" t="inlineStr">
        <is>
          <t>Eurocert SA, Metamorfosi, Athens, GR</t>
        </is>
      </c>
      <c r="D8942" t="inlineStr">
        <is>
          <t>19.01.2027</t>
        </is>
      </c>
      <c r="E8942" t="inlineStr">
        <is>
          <t>Egypt</t>
        </is>
      </c>
    </row>
    <row r="8943">
      <c r="A8943" t="inlineStr">
        <is>
          <t>Elplast Europe,  Żory, Poland</t>
        </is>
      </c>
      <c r="B8943" t="inlineStr">
        <is>
          <t>Processing Unit</t>
        </is>
      </c>
      <c r="C8943" t="inlineStr">
        <is>
          <t>Bureau Veritas Polska Sp. z o.o., Warsaw, PL</t>
        </is>
      </c>
      <c r="D8943" t="inlineStr">
        <is>
          <t>19.01.2027</t>
        </is>
      </c>
      <c r="E8943" t="inlineStr">
        <is>
          <t>Poland</t>
        </is>
      </c>
    </row>
    <row r="8944">
      <c r="A8944" t="inlineStr">
        <is>
          <t>Bukit Sawit Semesta,  Agam, Indonesia</t>
        </is>
      </c>
      <c r="B8944" t="inlineStr">
        <is>
          <t>Point of Origin</t>
        </is>
      </c>
      <c r="C8944" t="inlineStr">
        <is>
          <t>SGS Germany GmbH, Emstek, DE</t>
        </is>
      </c>
      <c r="D8944" t="inlineStr">
        <is>
          <t>19.01.2027</t>
        </is>
      </c>
      <c r="E8944" t="inlineStr">
        <is>
          <t>Indonesia</t>
        </is>
      </c>
    </row>
    <row r="8945">
      <c r="A8945" t="inlineStr">
        <is>
          <t>SINOPEC ZHEJIANG ZHOUSHAN PETROLEUM CO., LTD.,  Zhoushan City, Zhejiang Province, China</t>
        </is>
      </c>
      <c r="B8945" t="inlineStr">
        <is>
          <t>Trader with Storage, Proof of Compliance Trader</t>
        </is>
      </c>
      <c r="C8945" t="inlineStr">
        <is>
          <t>RINA Services S.p.A., Genova, IT</t>
        </is>
      </c>
      <c r="D8945" t="inlineStr">
        <is>
          <t>19.01.2027</t>
        </is>
      </c>
      <c r="E8945" t="inlineStr">
        <is>
          <t>China</t>
        </is>
      </c>
    </row>
    <row r="8946">
      <c r="A8946" t="inlineStr">
        <is>
          <t>LUBRICLEUM,  BUKIT MERTAJAM, Malaysia</t>
        </is>
      </c>
      <c r="B8946" t="inlineStr">
        <is>
          <t>Collecting Point, Trader with Storage</t>
        </is>
      </c>
      <c r="C8946" t="inlineStr">
        <is>
          <t>SGS Germany GmbH, Emstek, DE</t>
        </is>
      </c>
      <c r="D8946" t="inlineStr">
        <is>
          <t>19.01.2027</t>
        </is>
      </c>
      <c r="E8946" t="inlineStr">
        <is>
          <t>Malaysia</t>
        </is>
      </c>
    </row>
    <row r="8947">
      <c r="A8947" t="inlineStr">
        <is>
          <t>Excellence Energy Engineering Technology Co., Ltd,  Xinluo District, Longyan City, China</t>
        </is>
      </c>
      <c r="B8947" t="inlineStr">
        <is>
          <t>Trader with Storage</t>
        </is>
      </c>
      <c r="C8947" t="inlineStr">
        <is>
          <t>RINA Services S.p.A., Genova, IT</t>
        </is>
      </c>
      <c r="D8947" t="inlineStr">
        <is>
          <t>19.01.2027</t>
        </is>
      </c>
      <c r="E8947" t="inlineStr">
        <is>
          <t>China</t>
        </is>
      </c>
    </row>
    <row r="8948">
      <c r="A8948" t="inlineStr">
        <is>
          <t>Beijing Zhongjing Zhenghe Environmental Protection Service Co., Ltd.,  X032 Baisha Road, Baishan Town, Changping District, Beijing, China</t>
        </is>
      </c>
      <c r="B8948" t="inlineStr">
        <is>
          <t>Collecting Point, Trader with Storage</t>
        </is>
      </c>
      <c r="C8948" t="inlineStr">
        <is>
          <t>RINA Services S.p.A., Genova, IT</t>
        </is>
      </c>
      <c r="D8948" t="inlineStr">
        <is>
          <t>19.01.2027</t>
        </is>
      </c>
      <c r="E8948" t="inlineStr">
        <is>
          <t>China</t>
        </is>
      </c>
    </row>
    <row r="8949">
      <c r="A8949" t="inlineStr">
        <is>
          <t>ESTRELLA DE LEVANTE,  Espinardo, Murcia, Spain</t>
        </is>
      </c>
      <c r="B8949" t="inlineStr">
        <is>
          <t>Point of Origin, Processing Unit</t>
        </is>
      </c>
      <c r="C8949" t="inlineStr">
        <is>
          <t>Bureau Veritas Polska Sp. z o.o., Warsaw, PL</t>
        </is>
      </c>
      <c r="D8949" t="inlineStr">
        <is>
          <t>19.01.2027</t>
        </is>
      </c>
      <c r="E8949" t="inlineStr">
        <is>
          <t>Spain</t>
        </is>
      </c>
    </row>
    <row r="8950">
      <c r="A8950" t="inlineStr">
        <is>
          <t>GREENVIRO SOLUTIONS SDN BHD,  BUTTERWORTH, Malaysia</t>
        </is>
      </c>
      <c r="B8950" t="inlineStr">
        <is>
          <t>Point of Origin, Processing Unit</t>
        </is>
      </c>
      <c r="C8950" t="inlineStr">
        <is>
          <t>PT Intertek Utama Services, Jakarta, ID</t>
        </is>
      </c>
      <c r="D8950" t="inlineStr">
        <is>
          <t>18.01.2027</t>
        </is>
      </c>
      <c r="E8950" t="inlineStr">
        <is>
          <t>Malaysia</t>
        </is>
      </c>
    </row>
    <row r="8951">
      <c r="A8951" t="inlineStr">
        <is>
          <t>GREENVIRO SOLUTIONS SDN BHD,  BUTTERWORTH, Malaysia</t>
        </is>
      </c>
      <c r="B8951" t="inlineStr">
        <is>
          <t>Point of Origin, Processing Unit</t>
        </is>
      </c>
      <c r="C8951" t="inlineStr">
        <is>
          <t>PT Intertek Utama Services, Jakarta, ID</t>
        </is>
      </c>
      <c r="D8951" t="inlineStr">
        <is>
          <t>18.01.2027</t>
        </is>
      </c>
      <c r="E8951" t="inlineStr">
        <is>
          <t>Malaysia</t>
        </is>
      </c>
    </row>
    <row r="8952">
      <c r="A8952" t="inlineStr">
        <is>
          <t>China Malaysia Qinzhou Industrial Park (M) Sdn. Bhd.,  W. P Kuala Lumpur, Malaysia</t>
        </is>
      </c>
      <c r="B8952" t="inlineStr">
        <is>
          <t>Trader</t>
        </is>
      </c>
      <c r="C8952" t="inlineStr">
        <is>
          <t>SCS Global Services, Emeryville, CA, US</t>
        </is>
      </c>
      <c r="D8952" t="inlineStr">
        <is>
          <t>18.01.2027</t>
        </is>
      </c>
      <c r="E8952" t="inlineStr">
        <is>
          <t>Malaysia</t>
        </is>
      </c>
    </row>
    <row r="8953">
      <c r="A8953" t="inlineStr">
        <is>
          <t>ISTANBUL JET HAVACILIK ve YAKIT HIZMETLERI A.S.,  ISTANBUL, Turkey</t>
        </is>
      </c>
      <c r="B8953" t="inlineStr">
        <is>
          <t>Trader</t>
        </is>
      </c>
      <c r="C8953" t="inlineStr">
        <is>
          <t>PT Intertek Utama Services, Jakarta, ID</t>
        </is>
      </c>
      <c r="D8953" t="inlineStr">
        <is>
          <t>18.01.2027</t>
        </is>
      </c>
      <c r="E8953" t="inlineStr">
        <is>
          <t>Turkey</t>
        </is>
      </c>
    </row>
    <row r="8954">
      <c r="A8954" t="inlineStr">
        <is>
          <t>ISTANBUL JET HAVACILIK ve YAKIT HIZMETLERI A.S.,  ISTANBUL, Turkey</t>
        </is>
      </c>
      <c r="B8954" t="inlineStr">
        <is>
          <t>Trader</t>
        </is>
      </c>
      <c r="C8954" t="inlineStr">
        <is>
          <t>PT Intertek Utama Services, Jakarta, ID</t>
        </is>
      </c>
      <c r="D8954" t="inlineStr">
        <is>
          <t>18.01.2027</t>
        </is>
      </c>
      <c r="E8954" t="inlineStr">
        <is>
          <t>Turkey</t>
        </is>
      </c>
    </row>
    <row r="8955">
      <c r="A8955" t="inlineStr">
        <is>
          <t>Banyan Kimya Tekstil San. ve Tic.,  Istanbul, Turkey</t>
        </is>
      </c>
      <c r="B8955" t="inlineStr">
        <is>
          <t>Trader</t>
        </is>
      </c>
      <c r="C8955" t="inlineStr">
        <is>
          <t>PT Intertek Utama Services, Jakarta, ID</t>
        </is>
      </c>
      <c r="D8955" t="inlineStr">
        <is>
          <t>18.01.2027</t>
        </is>
      </c>
      <c r="E8955" t="inlineStr">
        <is>
          <t>Turkey</t>
        </is>
      </c>
    </row>
    <row r="8956">
      <c r="A8956" t="inlineStr">
        <is>
          <t>Scanola Baltic AS,  Painküla, Jõgeva vald, Jõgevamaa, Estonia</t>
        </is>
      </c>
      <c r="B8956" t="inlineStr">
        <is>
          <t>Processing Unit</t>
        </is>
      </c>
      <c r="C8956" t="inlineStr">
        <is>
          <t>SGS Germany GmbH, Emstek, DE</t>
        </is>
      </c>
      <c r="D8956" t="inlineStr">
        <is>
          <t>18.01.2027</t>
        </is>
      </c>
      <c r="E8956" t="inlineStr">
        <is>
          <t>Estonia</t>
        </is>
      </c>
    </row>
    <row r="8957">
      <c r="A8957" t="inlineStr">
        <is>
          <t>TÜRKİYE PETROL RAFİNERİLERİ ANONİM ŞİRKETİ,  Aliağa/İzmir, Turkey</t>
        </is>
      </c>
      <c r="B8957" t="inlineStr">
        <is>
          <t>Processing Unit, Trader with Storage, Warehouse</t>
        </is>
      </c>
      <c r="C8957" t="inlineStr">
        <is>
          <t>PT Intertek Utama Services, Jakarta, ID</t>
        </is>
      </c>
      <c r="D8957" t="inlineStr">
        <is>
          <t>18.01.2027</t>
        </is>
      </c>
      <c r="E8957" t="inlineStr">
        <is>
          <t>Turkey</t>
        </is>
      </c>
    </row>
    <row r="8958">
      <c r="A8958" t="inlineStr">
        <is>
          <t>TÜRKİYE PETROL RAFİNERİLERİ ANONİM ŞİRKETİ,  Aliağa/İzmir, Turkey</t>
        </is>
      </c>
      <c r="B8958" t="inlineStr">
        <is>
          <t>Processing Unit, Trader with Storage, Warehouse</t>
        </is>
      </c>
      <c r="C8958" t="inlineStr">
        <is>
          <t>PT Intertek Utama Services, Jakarta, ID</t>
        </is>
      </c>
      <c r="D8958" t="inlineStr">
        <is>
          <t>18.01.2027</t>
        </is>
      </c>
      <c r="E8958" t="inlineStr">
        <is>
          <t>Turkey</t>
        </is>
      </c>
    </row>
    <row r="8959">
      <c r="A8959" t="inlineStr">
        <is>
          <t>Hammarplast Medical AB,  Bredaryd, Sweden</t>
        </is>
      </c>
      <c r="B8959" t="inlineStr">
        <is>
          <t>Processing Unit</t>
        </is>
      </c>
      <c r="C8959" t="inlineStr">
        <is>
          <t>DNV Business Assurance Sweden AB, Solna, SE</t>
        </is>
      </c>
      <c r="D8959" t="inlineStr">
        <is>
          <t>18.01.2027</t>
        </is>
      </c>
      <c r="E8959" t="inlineStr">
        <is>
          <t>Sweden</t>
        </is>
      </c>
    </row>
    <row r="8960">
      <c r="A8960" t="inlineStr">
        <is>
          <t>Runlong International Group (Viet Nam) Co.,Ltd,  Can Tho City, Vietnam</t>
        </is>
      </c>
      <c r="B8960" t="inlineStr">
        <is>
          <t>Trader with Storage</t>
        </is>
      </c>
      <c r="C8960" t="inlineStr">
        <is>
          <t>RINA Services S.p.A., Genova, IT</t>
        </is>
      </c>
      <c r="D8960" t="inlineStr">
        <is>
          <t>18.01.2027</t>
        </is>
      </c>
      <c r="E8960" t="inlineStr">
        <is>
          <t>Vietnam</t>
        </is>
      </c>
    </row>
    <row r="8961">
      <c r="A8961" t="inlineStr">
        <is>
          <t>Attero B.V.,  Wilp, Netherlands</t>
        </is>
      </c>
      <c r="B8961" t="inlineStr">
        <is>
          <t>Collecting Point, Processing Unit</t>
        </is>
      </c>
      <c r="C8961" t="inlineStr">
        <is>
          <t>Normec QS BV, Ede, NL</t>
        </is>
      </c>
      <c r="D8961" t="inlineStr">
        <is>
          <t>18.01.2027</t>
        </is>
      </c>
      <c r="E8961" t="inlineStr">
        <is>
          <t>Netherlands</t>
        </is>
      </c>
    </row>
    <row r="8962">
      <c r="A8962" t="inlineStr">
        <is>
          <t>Chengdu Yuzhufeng Biotechnology Co., Ltd.,  Chengdu City, Sichuan Province, China</t>
        </is>
      </c>
      <c r="B8962" t="inlineStr">
        <is>
          <t>Collecting Point, Trader with Storage</t>
        </is>
      </c>
      <c r="C8962" t="inlineStr">
        <is>
          <t>SCS Global Services, Emeryville, CA, US</t>
        </is>
      </c>
      <c r="D8962" t="inlineStr">
        <is>
          <t>18.01.2027</t>
        </is>
      </c>
      <c r="E8962" t="inlineStr">
        <is>
          <t>China</t>
        </is>
      </c>
    </row>
    <row r="8963">
      <c r="A8963" t="inlineStr">
        <is>
          <t>Trinseo Polymers (Zhangjiagang) Company Limited,  Zhangjiagang City, Jiangsu, China</t>
        </is>
      </c>
      <c r="B8963" t="inlineStr">
        <is>
          <t>Processing Unit, Trader with Storage</t>
        </is>
      </c>
      <c r="C8963" t="inlineStr">
        <is>
          <t>SGS Germany GmbH, Emstek, DE</t>
        </is>
      </c>
      <c r="D8963" t="inlineStr">
        <is>
          <t>18.01.2027</t>
        </is>
      </c>
      <c r="E8963" t="inlineStr">
        <is>
          <t>China</t>
        </is>
      </c>
    </row>
    <row r="8964">
      <c r="A8964" t="inlineStr">
        <is>
          <t>FILGREEN COLLECTING,  ORADEA, Romania</t>
        </is>
      </c>
      <c r="B8964" t="inlineStr">
        <is>
          <t>Collecting Point, Trader</t>
        </is>
      </c>
      <c r="C8964" t="inlineStr">
        <is>
          <t>BM Certification, Riga, LV</t>
        </is>
      </c>
      <c r="D8964" t="inlineStr">
        <is>
          <t>18.01.2027</t>
        </is>
      </c>
      <c r="E8964" t="inlineStr">
        <is>
          <t>Romania</t>
        </is>
      </c>
    </row>
    <row r="8965">
      <c r="A8965" t="inlineStr">
        <is>
          <t>CTY TNHH SX THUY SAN PHUONG NAM PHAT,  Phuong Thoi An Dong, Can Tho City, Vietnam</t>
        </is>
      </c>
      <c r="B8965" t="inlineStr">
        <is>
          <t>Collecting Point</t>
        </is>
      </c>
      <c r="C8965" t="inlineStr">
        <is>
          <t>RINA Services S.p.A., Genova, IT</t>
        </is>
      </c>
      <c r="D8965" t="inlineStr">
        <is>
          <t>18.01.2027</t>
        </is>
      </c>
      <c r="E8965" t="inlineStr">
        <is>
          <t>Vietnam</t>
        </is>
      </c>
    </row>
    <row r="8966">
      <c r="A8966" t="inlineStr">
        <is>
          <t>Bunge Czech s.r.o.,  Usti nad Labem, Strekov, Czech Republic</t>
        </is>
      </c>
      <c r="B8966" t="inlineStr">
        <is>
          <t>First Gathering Point, Processing Unit, Trader with Storage</t>
        </is>
      </c>
      <c r="C8966" t="inlineStr">
        <is>
          <t>SGS Germany GmbH, Emstek, DE</t>
        </is>
      </c>
      <c r="D8966" t="inlineStr">
        <is>
          <t>18.01.2027</t>
        </is>
      </c>
      <c r="E8966" t="inlineStr">
        <is>
          <t>Czech Republic</t>
        </is>
      </c>
    </row>
    <row r="8967">
      <c r="A8967" t="inlineStr">
        <is>
          <t>A.M.Brothers Ltd,  Burmarrad Road, Malta</t>
        </is>
      </c>
      <c r="B8967" t="inlineStr">
        <is>
          <t>Collecting Point</t>
        </is>
      </c>
      <c r="C8967" t="inlineStr">
        <is>
          <t>Certificadora Gallega del Noroeste SL, Vilagarcia de Arousa-Pontevedra, ES</t>
        </is>
      </c>
      <c r="D8967" t="inlineStr">
        <is>
          <t>18.01.2027</t>
        </is>
      </c>
      <c r="E8967" t="inlineStr">
        <is>
          <t>Malta</t>
        </is>
      </c>
    </row>
    <row r="8968">
      <c r="A8968" t="inlineStr">
        <is>
          <t>TRAFIGURA INDIA PRIVATE LIMITED,  MUMBAI, India</t>
        </is>
      </c>
      <c r="B8968" t="inlineStr">
        <is>
          <t>Trader with Storage</t>
        </is>
      </c>
      <c r="C8968" t="inlineStr">
        <is>
          <t>Cotecna India Inspection Pvt Ltd, Kolkata, IN</t>
        </is>
      </c>
      <c r="D8968" t="inlineStr">
        <is>
          <t>18.01.2027</t>
        </is>
      </c>
      <c r="E8968" t="inlineStr">
        <is>
          <t>India</t>
        </is>
      </c>
    </row>
    <row r="8969">
      <c r="A8969" t="inlineStr">
        <is>
          <t>A.B. EMME FLEX 2B SRL,  CAMPOSAMPIERO, Italy</t>
        </is>
      </c>
      <c r="B8969" t="inlineStr">
        <is>
          <t>Processing Unit</t>
        </is>
      </c>
      <c r="C8969" t="inlineStr">
        <is>
          <t>SGS Germany GmbH, Emstek, DE</t>
        </is>
      </c>
      <c r="D8969" t="inlineStr">
        <is>
          <t>18.01.2027</t>
        </is>
      </c>
      <c r="E8969" t="inlineStr">
        <is>
          <t>Italy</t>
        </is>
      </c>
    </row>
    <row r="8970">
      <c r="A8970" t="inlineStr">
        <is>
          <t>Henkel Serbia d.o.o.,  Krusevac, Serbia</t>
        </is>
      </c>
      <c r="B8970" t="inlineStr">
        <is>
          <t>Final Product Refinement</t>
        </is>
      </c>
      <c r="C8970" t="inlineStr">
        <is>
          <t>SGS Germany GmbH, Emstek, DE</t>
        </is>
      </c>
      <c r="D8970" t="inlineStr">
        <is>
          <t>18.01.2027</t>
        </is>
      </c>
      <c r="E8970" t="inlineStr">
        <is>
          <t>Serbia</t>
        </is>
      </c>
    </row>
    <row r="8971">
      <c r="A8971" t="inlineStr">
        <is>
          <t>Sarawak Plantation Agriculture Development Sdn. Bhd.,  Miri, Sarawak, Malaysia</t>
        </is>
      </c>
      <c r="B8971" t="inlineStr">
        <is>
          <t>Point of Origin</t>
        </is>
      </c>
      <c r="C8971" t="inlineStr">
        <is>
          <t>PT. CBQA GLOBAL INDONESIA, JAKARTA SELATAN, ID</t>
        </is>
      </c>
      <c r="D8971" t="inlineStr">
        <is>
          <t>18.01.2027</t>
        </is>
      </c>
      <c r="E8971" t="inlineStr">
        <is>
          <t>Malaysia</t>
        </is>
      </c>
    </row>
    <row r="8972">
      <c r="A8972" t="inlineStr">
        <is>
          <t>Sarawak Plantation Agriculture Development Sdn. Bhd.,  Mukah, Sarawak, Malaysia</t>
        </is>
      </c>
      <c r="B8972" t="inlineStr">
        <is>
          <t>Point of Origin</t>
        </is>
      </c>
      <c r="C8972" t="inlineStr">
        <is>
          <t>PT. CBQA GLOBAL INDONESIA, JAKARTA SELATAN, ID</t>
        </is>
      </c>
      <c r="D8972" t="inlineStr">
        <is>
          <t>18.01.2027</t>
        </is>
      </c>
      <c r="E8972" t="inlineStr">
        <is>
          <t>Malaysia</t>
        </is>
      </c>
    </row>
    <row r="8973">
      <c r="A8973" t="inlineStr">
        <is>
          <t>Zincol Ossidi Spa,  Cairo Montenotte, Italy</t>
        </is>
      </c>
      <c r="B8973" t="inlineStr">
        <is>
          <t>Collecting Point, Processing Unit</t>
        </is>
      </c>
      <c r="C8973" t="inlineStr">
        <is>
          <t>RINA Services S.p.A., Genova, IT</t>
        </is>
      </c>
      <c r="D8973" t="inlineStr">
        <is>
          <t>18.01.2027</t>
        </is>
      </c>
      <c r="E8973" t="inlineStr">
        <is>
          <t>Italy</t>
        </is>
      </c>
    </row>
    <row r="8974">
      <c r="A8974" t="inlineStr">
        <is>
          <t>FP Corporation Kanto Plant,  Yuki-gun, Japan</t>
        </is>
      </c>
      <c r="B8974" t="inlineStr">
        <is>
          <t>Processing Unit</t>
        </is>
      </c>
      <c r="C8974" t="inlineStr">
        <is>
          <t>SGS Germany GmbH, Emstek, DE</t>
        </is>
      </c>
      <c r="D8974" t="inlineStr">
        <is>
          <t>18.01.2027</t>
        </is>
      </c>
      <c r="E8974" t="inlineStr">
        <is>
          <t>Japan</t>
        </is>
      </c>
    </row>
    <row r="8975">
      <c r="A8975" t="inlineStr">
        <is>
          <t>Barilla G. e R. F.lli S.p.A.,  Solignano, Parma, Italy</t>
        </is>
      </c>
      <c r="B8975" t="inlineStr">
        <is>
          <t>Processing Unit</t>
        </is>
      </c>
      <c r="C8975" t="inlineStr">
        <is>
          <t>RINA Services S.p.A., Genova, IT</t>
        </is>
      </c>
      <c r="D8975" t="inlineStr">
        <is>
          <t>18.01.2027</t>
        </is>
      </c>
      <c r="E8975" t="inlineStr">
        <is>
          <t>Italy</t>
        </is>
      </c>
    </row>
    <row r="8976">
      <c r="A8976" t="inlineStr">
        <is>
          <t>Hyosung Film (Quzhou) Co., Ltd.,  Quzhou City, China</t>
        </is>
      </c>
      <c r="B8976" t="inlineStr">
        <is>
          <t>Processing Unit</t>
        </is>
      </c>
      <c r="C8976" t="inlineStr">
        <is>
          <t>SCS Global Services, Emeryville, CA, US</t>
        </is>
      </c>
      <c r="D8976" t="inlineStr">
        <is>
          <t>18.01.2027</t>
        </is>
      </c>
      <c r="E8976" t="inlineStr">
        <is>
          <t>China</t>
        </is>
      </c>
    </row>
    <row r="8977">
      <c r="A8977" t="inlineStr">
        <is>
          <t>ORION POLYMER PTE. LTD.,  Singapore, Singapore</t>
        </is>
      </c>
      <c r="B8977" t="inlineStr">
        <is>
          <t>Trader</t>
        </is>
      </c>
      <c r="C8977" t="inlineStr">
        <is>
          <t>SCS Global Services, Emeryville, CA, US</t>
        </is>
      </c>
      <c r="D8977" t="inlineStr">
        <is>
          <t>18.01.2027</t>
        </is>
      </c>
      <c r="E8977" t="inlineStr">
        <is>
          <t>Singapore</t>
        </is>
      </c>
    </row>
    <row r="8978">
      <c r="A8978" t="inlineStr">
        <is>
          <t>Roviroli S.L.,  Juneda, Spain</t>
        </is>
      </c>
      <c r="B8978" t="inlineStr">
        <is>
          <t>First Gathering Point, Processing Unit</t>
        </is>
      </c>
      <c r="C8978" t="inlineStr">
        <is>
          <t>Control Union Poland Sp. z o.o., Zielona Gora, PL</t>
        </is>
      </c>
      <c r="D8978" t="inlineStr">
        <is>
          <t>18.01.2027</t>
        </is>
      </c>
      <c r="E8978" t="inlineStr">
        <is>
          <t>Spain</t>
        </is>
      </c>
    </row>
    <row r="8979">
      <c r="A8979" t="inlineStr">
        <is>
          <t>Tereos Starch &amp; Sweeteners LBN,  Lillebonne, France</t>
        </is>
      </c>
      <c r="B8979" t="inlineStr">
        <is>
          <t>Collecting Point, Point of Origin, Trader with Storage, Processing Unit</t>
        </is>
      </c>
      <c r="C8979" t="inlineStr">
        <is>
          <t>Control Union Certifications Germany GmbH, Berlin, DE</t>
        </is>
      </c>
      <c r="D8979" t="inlineStr">
        <is>
          <t>18.01.2027</t>
        </is>
      </c>
      <c r="E8979" t="inlineStr">
        <is>
          <t>France</t>
        </is>
      </c>
    </row>
    <row r="8980">
      <c r="A8980" t="inlineStr">
        <is>
          <t>Bunge Czech s.r.o.,  Usti nad Labem, Strekov, Czech Republic</t>
        </is>
      </c>
      <c r="B8980" t="inlineStr">
        <is>
          <t>First Gathering Point, Processing Unit, Trader with Storage</t>
        </is>
      </c>
      <c r="C8980" t="inlineStr">
        <is>
          <t>SGS Germany GmbH, Emstek, DE</t>
        </is>
      </c>
      <c r="D8980" t="inlineStr">
        <is>
          <t>18.01.2027</t>
        </is>
      </c>
      <c r="E8980" t="inlineStr">
        <is>
          <t>Czech Republic</t>
        </is>
      </c>
    </row>
    <row r="8981">
      <c r="A8981" t="inlineStr">
        <is>
          <t>GSF Energy, LLC,  Cincinnati, United States</t>
        </is>
      </c>
      <c r="B8981" t="inlineStr">
        <is>
          <t>Collecting Point, Processing Unit</t>
        </is>
      </c>
      <c r="C8981" t="inlineStr">
        <is>
          <t>Control Union Poland Sp. z o.o., Zielona Gora, PL</t>
        </is>
      </c>
      <c r="D8981" t="inlineStr">
        <is>
          <t>18.01.2027</t>
        </is>
      </c>
      <c r="E8981" t="inlineStr">
        <is>
          <t>United States</t>
        </is>
      </c>
    </row>
    <row r="8982">
      <c r="A8982" t="inlineStr">
        <is>
          <t>GSF Energy, LLC,  Cincinnati, United States</t>
        </is>
      </c>
      <c r="B8982" t="inlineStr">
        <is>
          <t>Collecting Point, Processing Unit</t>
        </is>
      </c>
      <c r="C8982" t="inlineStr">
        <is>
          <t>Control Union Poland Sp. z o.o., Zielona Gora, PL</t>
        </is>
      </c>
      <c r="D8982" t="inlineStr">
        <is>
          <t>18.01.2027</t>
        </is>
      </c>
      <c r="E8982" t="inlineStr">
        <is>
          <t>United States</t>
        </is>
      </c>
    </row>
    <row r="8983">
      <c r="A8983" t="inlineStr">
        <is>
          <t>LA TONDA DI TEANO SOCIETÀ COOPERATIVA AGRICOLA,  Carinola, Italy</t>
        </is>
      </c>
      <c r="B8983" t="inlineStr">
        <is>
          <t>First Gathering Point</t>
        </is>
      </c>
      <c r="C8983" t="inlineStr">
        <is>
          <t>DNV Business Assurance Sweden AB, Solna, SE</t>
        </is>
      </c>
      <c r="D8983" t="inlineStr">
        <is>
          <t>18.01.2027</t>
        </is>
      </c>
      <c r="E8983" t="inlineStr">
        <is>
          <t>Italy</t>
        </is>
      </c>
    </row>
    <row r="8984">
      <c r="A8984" t="inlineStr">
        <is>
          <t>Nagase Wahlee Plastics Corp.,  Zhongshan Dist., Taipei City, Taiwan, Province of China</t>
        </is>
      </c>
      <c r="B8984" t="inlineStr">
        <is>
          <t>Trader with Storage</t>
        </is>
      </c>
      <c r="C8984" t="inlineStr">
        <is>
          <t>Bureau Veritas Polska Sp. z o.o., Warsaw, PL</t>
        </is>
      </c>
      <c r="D8984" t="inlineStr">
        <is>
          <t>18.01.2027</t>
        </is>
      </c>
      <c r="E8984" t="inlineStr">
        <is>
          <t>Province of China</t>
        </is>
      </c>
    </row>
    <row r="8985">
      <c r="A8985" t="inlineStr">
        <is>
          <t>Tianjin Takeuchi Package Co.,Ltd,  Tianjin, China</t>
        </is>
      </c>
      <c r="B8985" t="inlineStr">
        <is>
          <t>Processing Unit</t>
        </is>
      </c>
      <c r="C8985" t="inlineStr">
        <is>
          <t>SGS Germany GmbH, Emstek, DE</t>
        </is>
      </c>
      <c r="D8985" t="inlineStr">
        <is>
          <t>18.01.2027</t>
        </is>
      </c>
      <c r="E8985" t="inlineStr">
        <is>
          <t>China</t>
        </is>
      </c>
    </row>
    <row r="8986">
      <c r="A8986" t="inlineStr">
        <is>
          <t>Thai Synthetic Rubbers Company Limited,  Moo 4, Tapong , Muang Rayong, Rayong Province, Thailand</t>
        </is>
      </c>
      <c r="B8986" t="inlineStr">
        <is>
          <t>Processing Unit</t>
        </is>
      </c>
      <c r="C8986" t="inlineStr">
        <is>
          <t>SGS Germany GmbH, Emstek, DE</t>
        </is>
      </c>
      <c r="D8986" t="inlineStr">
        <is>
          <t>18.01.2027</t>
        </is>
      </c>
      <c r="E8986" t="inlineStr">
        <is>
          <t>Thailand</t>
        </is>
      </c>
    </row>
    <row r="8987">
      <c r="A8987" t="inlineStr">
        <is>
          <t>CFDAI,  Bouake, Ivory Coast</t>
        </is>
      </c>
      <c r="B8987" t="inlineStr">
        <is>
          <t>Collecting Point</t>
        </is>
      </c>
      <c r="C8987" t="inlineStr">
        <is>
          <t>Bureau Veritas Polska Sp. z o.o., Warsaw, PL</t>
        </is>
      </c>
      <c r="D8987" t="inlineStr">
        <is>
          <t>18.01.2027</t>
        </is>
      </c>
      <c r="E8987" t="inlineStr">
        <is>
          <t>Ivory Coast</t>
        </is>
      </c>
    </row>
    <row r="8988">
      <c r="A8988" t="inlineStr">
        <is>
          <t>CFDAI,  Bouake, Ivory Coast</t>
        </is>
      </c>
      <c r="B8988" t="inlineStr">
        <is>
          <t>Collecting Point</t>
        </is>
      </c>
      <c r="C8988" t="inlineStr">
        <is>
          <t>Bureau Veritas Polska Sp. z o.o., Warsaw, PL</t>
        </is>
      </c>
      <c r="D8988" t="inlineStr">
        <is>
          <t>18.01.2027</t>
        </is>
      </c>
      <c r="E8988" t="inlineStr">
        <is>
          <t>Ivory Coast</t>
        </is>
      </c>
    </row>
    <row r="8989">
      <c r="A8989" t="inlineStr">
        <is>
          <t>Olís ehf.,  Reykjavík, Iceland</t>
        </is>
      </c>
      <c r="B8989" t="inlineStr">
        <is>
          <t>Trader with Storage</t>
        </is>
      </c>
      <c r="C8989" t="inlineStr">
        <is>
          <t>DNV Business Assurance Sweden AB, Solna, SE</t>
        </is>
      </c>
      <c r="D8989" t="inlineStr">
        <is>
          <t>18.01.2027</t>
        </is>
      </c>
      <c r="E8989" t="inlineStr">
        <is>
          <t>Iceland</t>
        </is>
      </c>
    </row>
    <row r="8990">
      <c r="A8990" t="inlineStr">
        <is>
          <t>DAUDRUY VAN CAUWENBERGHE,  Dunkerque, France</t>
        </is>
      </c>
      <c r="B8990" t="inlineStr">
        <is>
          <t>Processing Unit</t>
        </is>
      </c>
      <c r="C8990" t="inlineStr">
        <is>
          <t>Control Union Certifications Germany GmbH, Berlin, DE</t>
        </is>
      </c>
      <c r="D8990" t="inlineStr">
        <is>
          <t>18.01.2027</t>
        </is>
      </c>
      <c r="E8990" t="inlineStr">
        <is>
          <t>France</t>
        </is>
      </c>
    </row>
    <row r="8991">
      <c r="A8991" t="inlineStr">
        <is>
          <t>Barbasso Davide,  Chieri, Italy</t>
        </is>
      </c>
      <c r="B8991" t="inlineStr">
        <is>
          <t>First Gathering Point, Trader with Storage, Processing Unit</t>
        </is>
      </c>
      <c r="C8991" t="inlineStr">
        <is>
          <t>RINA Services S.p.A., Genova, IT</t>
        </is>
      </c>
      <c r="D8991" t="inlineStr">
        <is>
          <t>18.01.2027</t>
        </is>
      </c>
      <c r="E8991" t="inlineStr">
        <is>
          <t>Italy</t>
        </is>
      </c>
    </row>
    <row r="8992">
      <c r="A8992" t="inlineStr">
        <is>
          <t>RETO klas s.r.o.,  Pilsen, Czech Republic</t>
        </is>
      </c>
      <c r="B8992" t="inlineStr">
        <is>
          <t>First Gathering Point, Trader</t>
        </is>
      </c>
      <c r="C8992" t="inlineStr">
        <is>
          <t>TÜV SÜD Czech s.r.o., Praha 4, CZ</t>
        </is>
      </c>
      <c r="D8992" t="inlineStr">
        <is>
          <t>18.01.2027</t>
        </is>
      </c>
      <c r="E8992" t="inlineStr">
        <is>
          <t>Czech Republic</t>
        </is>
      </c>
    </row>
    <row r="8993">
      <c r="A8993" t="inlineStr">
        <is>
          <t>Kuwait Petroleum (Luxembourg) SA,  Bertrange, Luxembourg</t>
        </is>
      </c>
      <c r="B8993" t="inlineStr">
        <is>
          <t>Trader with Storage</t>
        </is>
      </c>
      <c r="C8993" t="inlineStr">
        <is>
          <t>SGS Germany GmbH, Emstek, DE</t>
        </is>
      </c>
      <c r="D8993" t="inlineStr">
        <is>
          <t>18.01.2027</t>
        </is>
      </c>
      <c r="E8993" t="inlineStr">
        <is>
          <t>Luxembourg</t>
        </is>
      </c>
    </row>
    <row r="8994">
      <c r="A8994" t="inlineStr">
        <is>
          <t>Palma Agroindo Mandiri,  Kab. Kotawaringin Barat, Prov. Kalimantan Tengah, Indonesia</t>
        </is>
      </c>
      <c r="B8994" t="inlineStr">
        <is>
          <t>Point of Origin</t>
        </is>
      </c>
      <c r="C8994" t="inlineStr">
        <is>
          <t>SGS Germany GmbH, Emstek, DE</t>
        </is>
      </c>
      <c r="D8994" t="inlineStr">
        <is>
          <t>18.01.2027</t>
        </is>
      </c>
      <c r="E8994" t="inlineStr">
        <is>
          <t>Indonesia</t>
        </is>
      </c>
    </row>
    <row r="8995">
      <c r="A8995" t="inlineStr">
        <is>
          <t>Kuwait Petroleum (Belgium) N.V./S.A.,  Antwerpen, Belgium</t>
        </is>
      </c>
      <c r="B8995" t="inlineStr">
        <is>
          <t>Trader with Storage</t>
        </is>
      </c>
      <c r="C8995" t="inlineStr">
        <is>
          <t>SGS Germany GmbH, Emstek, DE</t>
        </is>
      </c>
      <c r="D8995" t="inlineStr">
        <is>
          <t>18.01.2027</t>
        </is>
      </c>
      <c r="E8995" t="inlineStr">
        <is>
          <t>Belgium</t>
        </is>
      </c>
    </row>
    <row r="8996">
      <c r="A8996" t="inlineStr">
        <is>
          <t>Kuwait Petroleum Nederland B.V.,  Rotterdam, Netherlands</t>
        </is>
      </c>
      <c r="B8996" t="inlineStr">
        <is>
          <t>Trader with Storage</t>
        </is>
      </c>
      <c r="C8996" t="inlineStr">
        <is>
          <t>SGS Germany GmbH, Emstek, DE</t>
        </is>
      </c>
      <c r="D8996" t="inlineStr">
        <is>
          <t>18.01.2027</t>
        </is>
      </c>
      <c r="E8996" t="inlineStr">
        <is>
          <t>Netherlands</t>
        </is>
      </c>
    </row>
    <row r="8997">
      <c r="A8997" t="inlineStr">
        <is>
          <t>BIORECUP GLOBAL,  LA MARSA, Tunisia</t>
        </is>
      </c>
      <c r="B8997" t="inlineStr">
        <is>
          <t>Trader</t>
        </is>
      </c>
      <c r="C8997" t="inlineStr">
        <is>
          <t>RINA Services S.p.A., Genova, IT</t>
        </is>
      </c>
      <c r="D8997" t="inlineStr">
        <is>
          <t>18.01.2027</t>
        </is>
      </c>
      <c r="E8997" t="inlineStr">
        <is>
          <t>Tunisia</t>
        </is>
      </c>
    </row>
    <row r="8998">
      <c r="A8998" t="inlineStr">
        <is>
          <t>CJA Haulage Solutions Ltd,  Uxbridge, United Kingdom</t>
        </is>
      </c>
      <c r="B8998" t="inlineStr">
        <is>
          <t>Collecting Point</t>
        </is>
      </c>
      <c r="C8998" t="inlineStr">
        <is>
          <t>SGS Germany GmbH, Emstek, DE</t>
        </is>
      </c>
      <c r="D8998" t="inlineStr">
        <is>
          <t>18.01.2027</t>
        </is>
      </c>
      <c r="E8998" t="inlineStr">
        <is>
          <t>United Kingdom</t>
        </is>
      </c>
    </row>
    <row r="8999">
      <c r="A8999" t="inlineStr">
        <is>
          <t>Iberica De Residuos,  Mengíbar, Spain</t>
        </is>
      </c>
      <c r="B8999" t="inlineStr">
        <is>
          <t>Collecting Point, Trader with Storage</t>
        </is>
      </c>
      <c r="C8999" t="inlineStr">
        <is>
          <t>RINA Services S.p.A., Genova, IT</t>
        </is>
      </c>
      <c r="D8999" t="inlineStr">
        <is>
          <t>18.01.2027</t>
        </is>
      </c>
      <c r="E8999" t="inlineStr">
        <is>
          <t>Spain</t>
        </is>
      </c>
    </row>
    <row r="9000">
      <c r="A9000" t="inlineStr">
        <is>
          <t>BASF Intertrade Corporation,  Houston, TX, United States</t>
        </is>
      </c>
      <c r="B9000" t="inlineStr">
        <is>
          <t>Trader with Storage</t>
        </is>
      </c>
      <c r="C9000" t="inlineStr">
        <is>
          <t>Control Union Certifications Germany GmbH, Berlin, DE</t>
        </is>
      </c>
      <c r="D9000" t="inlineStr">
        <is>
          <t>18.01.2027</t>
        </is>
      </c>
      <c r="E9000" t="inlineStr">
        <is>
          <t>United States</t>
        </is>
      </c>
    </row>
    <row r="9001">
      <c r="A9001" t="inlineStr">
        <is>
          <t>BASF Intertrade Corporation,  Houston, TX, United States</t>
        </is>
      </c>
      <c r="B9001" t="inlineStr">
        <is>
          <t>Trader with Storage</t>
        </is>
      </c>
      <c r="C9001" t="inlineStr">
        <is>
          <t>Control Union Certifications Germany GmbH, Berlin, DE</t>
        </is>
      </c>
      <c r="D9001" t="inlineStr">
        <is>
          <t>18.01.2027</t>
        </is>
      </c>
      <c r="E9001" t="inlineStr">
        <is>
          <t>United States</t>
        </is>
      </c>
    </row>
    <row r="9002">
      <c r="A9002" t="inlineStr">
        <is>
          <t>Sigoplast,  Saint-Pal de Mons, France</t>
        </is>
      </c>
      <c r="B9002" t="inlineStr">
        <is>
          <t>Final Product Refinement</t>
        </is>
      </c>
      <c r="C9002" t="inlineStr">
        <is>
          <t>Bureau Veritas Polska Sp. z o.o., Warsaw, PL</t>
        </is>
      </c>
      <c r="D9002" t="inlineStr">
        <is>
          <t>18.01.2027</t>
        </is>
      </c>
      <c r="E9002" t="inlineStr">
        <is>
          <t>France</t>
        </is>
      </c>
    </row>
    <row r="9003">
      <c r="A9003" t="inlineStr">
        <is>
          <t>ZAKŁAD CHEMICZNY PAWEŁ PAPROCKI Sp. K.,  Swieciechowa, Poland</t>
        </is>
      </c>
      <c r="B9003" t="inlineStr">
        <is>
          <t>Processing Unit</t>
        </is>
      </c>
      <c r="C9003" t="inlineStr">
        <is>
          <t>SGS Germany GmbH, Emstek, DE</t>
        </is>
      </c>
      <c r="D9003" t="inlineStr">
        <is>
          <t>18.01.2027</t>
        </is>
      </c>
      <c r="E9003" t="inlineStr">
        <is>
          <t>Poland</t>
        </is>
      </c>
    </row>
    <row r="9004">
      <c r="A9004" t="inlineStr">
        <is>
          <t>Vita Cellular Foams (UK) Ltd t/a Vita Bedford,  Bedford, United Kingdom</t>
        </is>
      </c>
      <c r="B9004" t="inlineStr">
        <is>
          <t>Final Product Refinement</t>
        </is>
      </c>
      <c r="C9004" t="inlineStr">
        <is>
          <t>SGS Germany GmbH, Emstek, DE</t>
        </is>
      </c>
      <c r="D9004" t="inlineStr">
        <is>
          <t>18.01.2027</t>
        </is>
      </c>
      <c r="E9004" t="inlineStr">
        <is>
          <t>United Kingdom</t>
        </is>
      </c>
    </row>
    <row r="9005">
      <c r="A9005" t="inlineStr">
        <is>
          <t>Eco Prime (Chongqing) Trading Co., Ltd,  Gaoxin Area, Chongqing City, China</t>
        </is>
      </c>
      <c r="B9005" t="inlineStr">
        <is>
          <t>Trader with Storage</t>
        </is>
      </c>
      <c r="C9005" t="inlineStr">
        <is>
          <t>RINA Services S.p.A., Genova, IT</t>
        </is>
      </c>
      <c r="D9005" t="inlineStr">
        <is>
          <t>18.01.2027</t>
        </is>
      </c>
      <c r="E9005" t="inlineStr">
        <is>
          <t>China</t>
        </is>
      </c>
    </row>
    <row r="9006">
      <c r="A9006" t="inlineStr">
        <is>
          <t>Chongqing Sihuan Renewable Energy Co., Ltd.,  Chongqing, China</t>
        </is>
      </c>
      <c r="B9006" t="inlineStr">
        <is>
          <t>Trader with Storage</t>
        </is>
      </c>
      <c r="C9006" t="inlineStr">
        <is>
          <t>RINA Services S.p.A., Genova, IT</t>
        </is>
      </c>
      <c r="D9006" t="inlineStr">
        <is>
          <t>18.01.2027</t>
        </is>
      </c>
      <c r="E9006" t="inlineStr">
        <is>
          <t>China</t>
        </is>
      </c>
    </row>
    <row r="9007">
      <c r="A9007" t="inlineStr">
        <is>
          <t>SOHACOHUILE,  Sakiet Ezzit, Tunisia</t>
        </is>
      </c>
      <c r="B9007" t="inlineStr">
        <is>
          <t>Collecting Point</t>
        </is>
      </c>
      <c r="C9007" t="inlineStr">
        <is>
          <t>RINA Services S.p.A., Genova, IT</t>
        </is>
      </c>
      <c r="D9007" t="inlineStr">
        <is>
          <t>18.01.2027</t>
        </is>
      </c>
      <c r="E9007" t="inlineStr">
        <is>
          <t>Tunisia</t>
        </is>
      </c>
    </row>
    <row r="9008">
      <c r="A9008" t="inlineStr">
        <is>
          <t>Cat Loi Cashew Oil Production and Export Joint Stock Company,  Vam Hamlet, Trang Dai Ward, Dong Nai Province, Vietnam</t>
        </is>
      </c>
      <c r="B9008" t="inlineStr">
        <is>
          <t>Collecting Point, Processing Unit, Trader with Storage</t>
        </is>
      </c>
      <c r="C9008" t="inlineStr">
        <is>
          <t>Control Union Certifications Germany GmbH, Berlin, DE</t>
        </is>
      </c>
      <c r="D9008" t="inlineStr">
        <is>
          <t>18.01.2027</t>
        </is>
      </c>
      <c r="E9008" t="inlineStr">
        <is>
          <t>Vietnam</t>
        </is>
      </c>
    </row>
    <row r="9009">
      <c r="A9009" t="inlineStr">
        <is>
          <t>FIRMIN,  Lavis, Italy</t>
        </is>
      </c>
      <c r="B9009" t="inlineStr">
        <is>
          <t>Processing Unit</t>
        </is>
      </c>
      <c r="C9009" t="inlineStr">
        <is>
          <t>Certiquality srl, Milano, IT</t>
        </is>
      </c>
      <c r="D9009" t="inlineStr">
        <is>
          <t>18.01.2027</t>
        </is>
      </c>
      <c r="E9009" t="inlineStr">
        <is>
          <t>Italy</t>
        </is>
      </c>
    </row>
    <row r="9010">
      <c r="A9010" t="inlineStr">
        <is>
          <t>SABIC Plastic Energy Advance Recycling B.V.,  Geleen, Netherlands</t>
        </is>
      </c>
      <c r="B9010" t="inlineStr">
        <is>
          <t>Collecting Point, Processing Unit</t>
        </is>
      </c>
      <c r="C9010" t="inlineStr">
        <is>
          <t>TÜV NORD CERT GmbH, Essen, DE</t>
        </is>
      </c>
      <c r="D9010" t="inlineStr">
        <is>
          <t>18.01.2027</t>
        </is>
      </c>
      <c r="E9010" t="inlineStr">
        <is>
          <t>Netherlands</t>
        </is>
      </c>
    </row>
    <row r="9011">
      <c r="A9011" t="inlineStr">
        <is>
          <t>Attero B.V.,  Tilburg, Netherlands</t>
        </is>
      </c>
      <c r="B9011" t="inlineStr">
        <is>
          <t>Collecting Point, Processing Unit</t>
        </is>
      </c>
      <c r="C9011" t="inlineStr">
        <is>
          <t>Normec QS BV, Ede, NL</t>
        </is>
      </c>
      <c r="D9011" t="inlineStr">
        <is>
          <t>18.01.2027</t>
        </is>
      </c>
      <c r="E9011" t="inlineStr">
        <is>
          <t>Netherlands</t>
        </is>
      </c>
    </row>
    <row r="9012">
      <c r="A9012" t="inlineStr">
        <is>
          <t>Attero B.V.,  Wijster, Netherlands</t>
        </is>
      </c>
      <c r="B9012" t="inlineStr">
        <is>
          <t>Collecting Point, Processing Unit</t>
        </is>
      </c>
      <c r="C9012" t="inlineStr">
        <is>
          <t>Normec QS BV, Ede, NL</t>
        </is>
      </c>
      <c r="D9012" t="inlineStr">
        <is>
          <t>18.01.2027</t>
        </is>
      </c>
      <c r="E9012" t="inlineStr">
        <is>
          <t>Netherlands</t>
        </is>
      </c>
    </row>
    <row r="9013">
      <c r="A9013" t="inlineStr">
        <is>
          <t>ConNRG B.V.,  Rotterdam, Netherlands</t>
        </is>
      </c>
      <c r="B9013" t="inlineStr">
        <is>
          <t>Collecting Point, Trader with Storage</t>
        </is>
      </c>
      <c r="C9013" t="inlineStr">
        <is>
          <t>Normec QS BV, Ede, NL</t>
        </is>
      </c>
      <c r="D9013" t="inlineStr">
        <is>
          <t>18.01.2027</t>
        </is>
      </c>
      <c r="E9013" t="inlineStr">
        <is>
          <t>Netherlands</t>
        </is>
      </c>
    </row>
    <row r="9014">
      <c r="A9014" t="inlineStr">
        <is>
          <t>KRAIBURG TPE,  Waldkraiburg, Germany</t>
        </is>
      </c>
      <c r="B9014" t="inlineStr">
        <is>
          <t>Processing Unit</t>
        </is>
      </c>
      <c r="C9014" t="inlineStr">
        <is>
          <t>GUT Certifizierungsgesellschaft für Managementsysteme mbH Umweltgutachter, Berlin, DE</t>
        </is>
      </c>
      <c r="D9014" t="inlineStr">
        <is>
          <t>18.01.2027</t>
        </is>
      </c>
      <c r="E9014" t="inlineStr">
        <is>
          <t>Germany</t>
        </is>
      </c>
    </row>
    <row r="9015">
      <c r="A9015" t="inlineStr">
        <is>
          <t>ESJ First Trading,  Rawang, Selangor, Malaysia</t>
        </is>
      </c>
      <c r="B9015" t="inlineStr">
        <is>
          <t>Collecting Point, Trader with Storage</t>
        </is>
      </c>
      <c r="C9015" t="inlineStr">
        <is>
          <t>Trans Certification and Inspection Sdn Bhd, Kuantan, MY</t>
        </is>
      </c>
      <c r="D9015" t="inlineStr">
        <is>
          <t>18.01.2027</t>
        </is>
      </c>
      <c r="E9015" t="inlineStr">
        <is>
          <t>Malaysia</t>
        </is>
      </c>
    </row>
    <row r="9016">
      <c r="A9016" t="inlineStr">
        <is>
          <t>Beauty (Suzhou) Plastic Technology Co., Ltd.,  Suzhou City, Jiangsu Province, China</t>
        </is>
      </c>
      <c r="B9016" t="inlineStr">
        <is>
          <t>Processing Unit</t>
        </is>
      </c>
      <c r="C9016" t="inlineStr">
        <is>
          <t>SCS Global Services, Emeryville, CA, US</t>
        </is>
      </c>
      <c r="D9016" t="inlineStr">
        <is>
          <t>18.01.2027</t>
        </is>
      </c>
      <c r="E9016" t="inlineStr">
        <is>
          <t>China</t>
        </is>
      </c>
    </row>
    <row r="9017">
      <c r="A9017" t="inlineStr">
        <is>
          <t>Carlisle Construction Materials,  Montgomery, NY, United States</t>
        </is>
      </c>
      <c r="B9017" t="inlineStr">
        <is>
          <t>Processing Unit</t>
        </is>
      </c>
      <c r="C9017" t="inlineStr">
        <is>
          <t>SCS Global Services, Emeryville, CA, US</t>
        </is>
      </c>
      <c r="D9017" t="inlineStr">
        <is>
          <t>18.01.2027</t>
        </is>
      </c>
      <c r="E9017" t="inlineStr">
        <is>
          <t>United States</t>
        </is>
      </c>
    </row>
    <row r="9018">
      <c r="A9018" t="inlineStr">
        <is>
          <t>Maersk Oil Trading and Investments A/S (Dutch Branch),  Rotterdam, Netherlands</t>
        </is>
      </c>
      <c r="B9018" t="inlineStr">
        <is>
          <t>Trader with Storage</t>
        </is>
      </c>
      <c r="C9018" t="inlineStr">
        <is>
          <t>Control Union Certifications Germany GmbH, Berlin, DE</t>
        </is>
      </c>
      <c r="D9018" t="inlineStr">
        <is>
          <t>18.01.2027</t>
        </is>
      </c>
      <c r="E9018" t="inlineStr">
        <is>
          <t>Netherlands</t>
        </is>
      </c>
    </row>
    <row r="9019">
      <c r="A9019" t="inlineStr">
        <is>
          <t>PT. Kelantan Sakti -2,  Kabupaten Ogan Ilir, Provinsi Sumatera Selatan, Indonesia</t>
        </is>
      </c>
      <c r="B9019" t="inlineStr">
        <is>
          <t>Point of Origin</t>
        </is>
      </c>
      <c r="C9019" t="inlineStr">
        <is>
          <t>PT. Qualitas Sertifikasi Indonesia, Jakarta, ID</t>
        </is>
      </c>
      <c r="D9019" t="inlineStr">
        <is>
          <t>18.01.2027</t>
        </is>
      </c>
      <c r="E9019" t="inlineStr">
        <is>
          <t>Indonesia</t>
        </is>
      </c>
    </row>
    <row r="9020">
      <c r="A9020" t="inlineStr">
        <is>
          <t>Honshu Chemical Industry Co., Ltd.,  Wakayama-city, Japan</t>
        </is>
      </c>
      <c r="B9020" t="inlineStr">
        <is>
          <t>Processing Unit</t>
        </is>
      </c>
      <c r="C9020" t="inlineStr">
        <is>
          <t>Control Union Certifications Germany GmbH, Berlin, DE</t>
        </is>
      </c>
      <c r="D9020" t="inlineStr">
        <is>
          <t>18.01.2027</t>
        </is>
      </c>
      <c r="E9020" t="inlineStr">
        <is>
          <t>Japan</t>
        </is>
      </c>
    </row>
    <row r="9021">
      <c r="A9021" t="inlineStr">
        <is>
          <t>Linyuan Advanced Materials Technology Co., Ltd.,  Linyuan Dist., Kaohsiung City, Taiwan</t>
        </is>
      </c>
      <c r="B9021" t="inlineStr">
        <is>
          <t>Processing Unit, Trader</t>
        </is>
      </c>
      <c r="C9021" t="inlineStr">
        <is>
          <t>Bureau Veritas Polska Sp. z o.o., Warsaw, PL</t>
        </is>
      </c>
      <c r="D9021" t="inlineStr">
        <is>
          <t>18.01.2027</t>
        </is>
      </c>
      <c r="E9021" t="inlineStr">
        <is>
          <t>Taiwan</t>
        </is>
      </c>
    </row>
    <row r="9022">
      <c r="A9022" t="inlineStr">
        <is>
          <t>Shell &amp; MOH Aviation Fuels Bulgaria EOOD,  Lyulin municipal region, Sofia, Bulgaria</t>
        </is>
      </c>
      <c r="B9022" t="inlineStr">
        <is>
          <t>Proof of Compliance Trader, Trader with Storage</t>
        </is>
      </c>
      <c r="C9022" t="inlineStr">
        <is>
          <t>Bureau Veritas Polska Sp. z o.o., Warsaw, PL</t>
        </is>
      </c>
      <c r="D9022" t="inlineStr">
        <is>
          <t>18.01.2027</t>
        </is>
      </c>
      <c r="E9022" t="inlineStr">
        <is>
          <t>Bulgaria</t>
        </is>
      </c>
    </row>
    <row r="9023">
      <c r="A9023" t="inlineStr">
        <is>
          <t>Heze Tonghua Environmental Protection Co. Ltd.,  Mudan District, Heze City, Shandong Province, China</t>
        </is>
      </c>
      <c r="B9023" t="inlineStr">
        <is>
          <t>Collecting Point</t>
        </is>
      </c>
      <c r="C9023" t="inlineStr">
        <is>
          <t>SCS Global Services, Emeryville, CA, US</t>
        </is>
      </c>
      <c r="D9023" t="inlineStr">
        <is>
          <t>18.01.2027</t>
        </is>
      </c>
      <c r="E9023" t="inlineStr">
        <is>
          <t>China</t>
        </is>
      </c>
    </row>
    <row r="9024">
      <c r="A9024" t="inlineStr">
        <is>
          <t>Azure Oil &amp; Grease Technology (Nanjing) co., Ltd.,  Nanjing City, Jiangsu Province, China</t>
        </is>
      </c>
      <c r="B9024" t="inlineStr">
        <is>
          <t>Trader</t>
        </is>
      </c>
      <c r="C9024" t="inlineStr">
        <is>
          <t>RINA Services S.p.A., Genova, IT</t>
        </is>
      </c>
      <c r="D9024" t="inlineStr">
        <is>
          <t>18.01.2027</t>
        </is>
      </c>
      <c r="E9024" t="inlineStr">
        <is>
          <t>China</t>
        </is>
      </c>
    </row>
    <row r="9025">
      <c r="A9025" t="inlineStr">
        <is>
          <t>QUECHEN SILICON CHEMICAL INTERNATIONAL DEVELOPMENT COMPANY LIMITED,  Wuxi,Jiangsu Province,China, China</t>
        </is>
      </c>
      <c r="B9025" t="inlineStr">
        <is>
          <t>Trader</t>
        </is>
      </c>
      <c r="C9025" t="inlineStr">
        <is>
          <t>RINA Services S.p.A., Genova, IT</t>
        </is>
      </c>
      <c r="D9025" t="inlineStr">
        <is>
          <t>18.01.2027</t>
        </is>
      </c>
      <c r="E9025" t="inlineStr">
        <is>
          <t>China</t>
        </is>
      </c>
    </row>
    <row r="9026">
      <c r="A9026" t="inlineStr">
        <is>
          <t>PT Mitra Sawit Jambi,  Tanjung Jabung Barat Regency, Jambi Province, Indonesia</t>
        </is>
      </c>
      <c r="B9026" t="inlineStr">
        <is>
          <t>Point of Origin</t>
        </is>
      </c>
      <c r="C9026" t="inlineStr">
        <is>
          <t>PT. Qualitas Sertifikasi Indonesia, Jakarta, ID</t>
        </is>
      </c>
      <c r="D9026" t="inlineStr">
        <is>
          <t>18.01.2027</t>
        </is>
      </c>
      <c r="E9026" t="inlineStr">
        <is>
          <t>Indonesia</t>
        </is>
      </c>
    </row>
    <row r="9027">
      <c r="A9027" t="inlineStr">
        <is>
          <t>PT Fortius Wajo Perkebunan,  West Tanjung Jabung Regency, Jambi Province, Indonesia</t>
        </is>
      </c>
      <c r="B9027" t="inlineStr">
        <is>
          <t>Point of Origin</t>
        </is>
      </c>
      <c r="C9027" t="inlineStr">
        <is>
          <t>PT. Qualitas Sertifikasi Indonesia, Jakarta, ID</t>
        </is>
      </c>
      <c r="D9027" t="inlineStr">
        <is>
          <t>18.01.2027</t>
        </is>
      </c>
      <c r="E9027" t="inlineStr">
        <is>
          <t>Indonesia</t>
        </is>
      </c>
    </row>
    <row r="9028">
      <c r="A9028" t="inlineStr">
        <is>
          <t>PHU THO JIM BROTHER'S CORPORATION,  N/A, Vietnam</t>
        </is>
      </c>
      <c r="B9028" t="inlineStr">
        <is>
          <t>Final Product Refinement, Processing Unit</t>
        </is>
      </c>
      <c r="C9028" t="inlineStr">
        <is>
          <t>SGS Germany GmbH, Emstek, DE</t>
        </is>
      </c>
      <c r="D9028" t="inlineStr">
        <is>
          <t>18.01.2027</t>
        </is>
      </c>
      <c r="E9028" t="inlineStr">
        <is>
          <t>Vietnam</t>
        </is>
      </c>
    </row>
    <row r="9029">
      <c r="A9029" t="inlineStr">
        <is>
          <t>Jiangsu Kumho Yangnong Chemical Co., ltd,  Yizheng, Yangzhou, China</t>
        </is>
      </c>
      <c r="B9029" t="inlineStr">
        <is>
          <t>Processing Unit</t>
        </is>
      </c>
      <c r="C9029" t="inlineStr">
        <is>
          <t>SGS Germany GmbH, Emstek, DE</t>
        </is>
      </c>
      <c r="D9029" t="inlineStr">
        <is>
          <t>18.01.2027</t>
        </is>
      </c>
      <c r="E9029" t="inlineStr">
        <is>
          <t>China</t>
        </is>
      </c>
    </row>
    <row r="9030">
      <c r="A9030" t="inlineStr">
        <is>
          <t>Javeriya Lubricants WLL,  Manama, Bahrain</t>
        </is>
      </c>
      <c r="B9030" t="inlineStr">
        <is>
          <t>Collecting Point, Trader with Storage</t>
        </is>
      </c>
      <c r="C9030" t="inlineStr">
        <is>
          <t>PT Mutuagung Lestari, Depok, ID</t>
        </is>
      </c>
      <c r="D9030" t="inlineStr">
        <is>
          <t>18.01.2027</t>
        </is>
      </c>
      <c r="E9030" t="inlineStr">
        <is>
          <t>Bahrain</t>
        </is>
      </c>
    </row>
    <row r="9031">
      <c r="A9031" t="inlineStr">
        <is>
          <t>Jiangmen Hualong Membrane Material Co., Ltd.,  Jiangmen City, Guangdong, China</t>
        </is>
      </c>
      <c r="B9031" t="inlineStr">
        <is>
          <t>Processing Unit</t>
        </is>
      </c>
      <c r="C9031" t="inlineStr">
        <is>
          <t>SCS Global Services, Emeryville, CA, US</t>
        </is>
      </c>
      <c r="D9031" t="inlineStr">
        <is>
          <t>18.01.2027</t>
        </is>
      </c>
      <c r="E9031" t="inlineStr">
        <is>
          <t>China</t>
        </is>
      </c>
    </row>
    <row r="9032">
      <c r="A9032" t="inlineStr">
        <is>
          <t>Anhui Xingbai Renewable Resources Technology Co., Ltd.,  Anqing City, Anhui Province, China</t>
        </is>
      </c>
      <c r="B9032" t="inlineStr">
        <is>
          <t>Collecting Point</t>
        </is>
      </c>
      <c r="C9032" t="inlineStr">
        <is>
          <t>CTI Certification Co. Ltd, Shenzhen, CN</t>
        </is>
      </c>
      <c r="D9032" t="inlineStr">
        <is>
          <t>18.01.2027</t>
        </is>
      </c>
      <c r="E9032" t="inlineStr">
        <is>
          <t>China</t>
        </is>
      </c>
    </row>
    <row r="9033">
      <c r="A9033" t="inlineStr">
        <is>
          <t>Inversiones Patrimoniales Almazara S.A.,  Mengibar (Jaén), Spain</t>
        </is>
      </c>
      <c r="B9033" t="inlineStr">
        <is>
          <t>Warehouse, Point of Origin, Processing Unit</t>
        </is>
      </c>
      <c r="C9033" t="inlineStr">
        <is>
          <t>RINA Services S.p.A., Genova, IT</t>
        </is>
      </c>
      <c r="D9033" t="inlineStr">
        <is>
          <t>17.01.2027</t>
        </is>
      </c>
      <c r="E9033" t="inlineStr">
        <is>
          <t>Spain</t>
        </is>
      </c>
    </row>
    <row r="9034">
      <c r="A9034" t="inlineStr">
        <is>
          <t>Mitsubishi Chemical Corporation,  Ibaraki, Japan</t>
        </is>
      </c>
      <c r="B9034" t="inlineStr">
        <is>
          <t>Processing Unit, Trader with Storage</t>
        </is>
      </c>
      <c r="C9034" t="inlineStr">
        <is>
          <t>Control Union Certifications Germany GmbH, Berlin, DE</t>
        </is>
      </c>
      <c r="D9034" t="inlineStr">
        <is>
          <t>17.01.2027</t>
        </is>
      </c>
      <c r="E9034" t="inlineStr">
        <is>
          <t>Japan</t>
        </is>
      </c>
    </row>
    <row r="9035">
      <c r="A9035" t="inlineStr">
        <is>
          <t>JetGas,  Tallinn, Estonia</t>
        </is>
      </c>
      <c r="B9035" t="inlineStr">
        <is>
          <t>Proof of Compliance Trader, Trader with Storage</t>
        </is>
      </c>
      <c r="C9035" t="inlineStr">
        <is>
          <t>Bureau Veritas Polska Sp. z o.o., Warsaw, PL</t>
        </is>
      </c>
      <c r="D9035" t="inlineStr">
        <is>
          <t>17.01.2027</t>
        </is>
      </c>
      <c r="E9035" t="inlineStr">
        <is>
          <t>Estonia</t>
        </is>
      </c>
    </row>
    <row r="9036">
      <c r="A9036" t="inlineStr">
        <is>
          <t>SOLAREC,  Recogne (Libramont), Belgium</t>
        </is>
      </c>
      <c r="B9036" t="inlineStr">
        <is>
          <t>Processing Unit</t>
        </is>
      </c>
      <c r="C9036" t="inlineStr">
        <is>
          <t>Control Union Certifications Germany GmbH, Berlin, DE</t>
        </is>
      </c>
      <c r="D9036" t="inlineStr">
        <is>
          <t>17.01.2027</t>
        </is>
      </c>
      <c r="E9036" t="inlineStr">
        <is>
          <t>Belgium</t>
        </is>
      </c>
    </row>
    <row r="9037">
      <c r="A9037" t="inlineStr">
        <is>
          <t>DESBO Brandstoffen,  Baasrode, Belgium</t>
        </is>
      </c>
      <c r="B9037" t="inlineStr">
        <is>
          <t>Trader with Storage</t>
        </is>
      </c>
      <c r="C9037" t="inlineStr">
        <is>
          <t>SGS Germany GmbH, Emstek, DE</t>
        </is>
      </c>
      <c r="D9037" t="inlineStr">
        <is>
          <t>17.01.2027</t>
        </is>
      </c>
      <c r="E9037" t="inlineStr">
        <is>
          <t>Belgium</t>
        </is>
      </c>
    </row>
    <row r="9038">
      <c r="A9038" t="inlineStr">
        <is>
          <t>Recufood NV,  Lummen, Belgium</t>
        </is>
      </c>
      <c r="B9038" t="inlineStr">
        <is>
          <t>Collecting Point</t>
        </is>
      </c>
      <c r="C9038" t="inlineStr">
        <is>
          <t>Control Union Certifications Germany GmbH, Berlin, DE</t>
        </is>
      </c>
      <c r="D9038" t="inlineStr">
        <is>
          <t>17.01.2027</t>
        </is>
      </c>
      <c r="E9038" t="inlineStr">
        <is>
          <t>Belgium</t>
        </is>
      </c>
    </row>
    <row r="9039">
      <c r="A9039" t="inlineStr">
        <is>
          <t>Agro-Somotor s.r.o.,  Somotor, Slovakia</t>
        </is>
      </c>
      <c r="B9039" t="inlineStr">
        <is>
          <t>First Gathering Point, Trader with Storage</t>
        </is>
      </c>
      <c r="C9039" t="inlineStr">
        <is>
          <t>SGS Germany GmbH, Emstek, DE</t>
        </is>
      </c>
      <c r="D9039" t="inlineStr">
        <is>
          <t>17.01.2027</t>
        </is>
      </c>
      <c r="E9039" t="inlineStr">
        <is>
          <t>Slovakia</t>
        </is>
      </c>
    </row>
    <row r="9040">
      <c r="A9040" t="inlineStr">
        <is>
          <t>Mitsubishi Chemical Corporation,  Okayama, Japan</t>
        </is>
      </c>
      <c r="B9040" t="inlineStr">
        <is>
          <t>Processing Unit, Trader with Storage</t>
        </is>
      </c>
      <c r="C9040" t="inlineStr">
        <is>
          <t>Control Union Certifications Germany GmbH, Berlin, DE</t>
        </is>
      </c>
      <c r="D9040" t="inlineStr">
        <is>
          <t>17.01.2027</t>
        </is>
      </c>
      <c r="E9040" t="inlineStr">
        <is>
          <t>Japan</t>
        </is>
      </c>
    </row>
    <row r="9041">
      <c r="A9041" t="inlineStr">
        <is>
          <t>TRIOWORLD CHOLET,  Le May sur Evre, France</t>
        </is>
      </c>
      <c r="B9041" t="inlineStr">
        <is>
          <t>Processing Unit</t>
        </is>
      </c>
      <c r="C9041" t="inlineStr">
        <is>
          <t>Control Union Certifications Germany GmbH, Berlin, DE</t>
        </is>
      </c>
      <c r="D9041" t="inlineStr">
        <is>
          <t>17.01.2027</t>
        </is>
      </c>
      <c r="E9041" t="inlineStr">
        <is>
          <t>France</t>
        </is>
      </c>
    </row>
    <row r="9042">
      <c r="A9042" t="inlineStr">
        <is>
          <t>HK Waidak Limited,  KWUN TONG, KOWLOON, HONG KONG., Hong Kong</t>
        </is>
      </c>
      <c r="B9042" t="inlineStr">
        <is>
          <t>Trader</t>
        </is>
      </c>
      <c r="C9042" t="inlineStr">
        <is>
          <t>China Standard Conformity Assessment Co. Ltd, Beijing, CN</t>
        </is>
      </c>
      <c r="D9042" t="inlineStr">
        <is>
          <t>17.01.2027</t>
        </is>
      </c>
      <c r="E9042" t="inlineStr">
        <is>
          <t>Hong Kong</t>
        </is>
      </c>
    </row>
    <row r="9043">
      <c r="A9043" t="inlineStr">
        <is>
          <t>SHENZHEN KUNLUN FUEL OIL Co.,LTD.,  Guangzhou City, Guangdong Province, China</t>
        </is>
      </c>
      <c r="B9043" t="inlineStr">
        <is>
          <t>Trader with Storage</t>
        </is>
      </c>
      <c r="C9043" t="inlineStr">
        <is>
          <t>China Standard Conformity Assessment Co. Ltd, Beijing, CN</t>
        </is>
      </c>
      <c r="D9043" t="inlineStr">
        <is>
          <t>17.01.2027</t>
        </is>
      </c>
      <c r="E9043" t="inlineStr">
        <is>
          <t>China</t>
        </is>
      </c>
    </row>
    <row r="9044">
      <c r="A9044" t="inlineStr">
        <is>
          <t>Hubei Jianghan New Materials Co., Ltd.,  Jingzhou, Hubei, China</t>
        </is>
      </c>
      <c r="B9044" t="inlineStr">
        <is>
          <t>Processing Unit</t>
        </is>
      </c>
      <c r="C9044" t="inlineStr">
        <is>
          <t>Bureau Veritas Polska Sp. z o.o., Warsaw, PL</t>
        </is>
      </c>
      <c r="D9044" t="inlineStr">
        <is>
          <t>17.01.2027</t>
        </is>
      </c>
      <c r="E9044" t="inlineStr">
        <is>
          <t>China</t>
        </is>
      </c>
    </row>
    <row r="9045">
      <c r="A9045" t="inlineStr">
        <is>
          <t>CENTURY COMMODITIES SOLUTION PTE LTD.,  SINGAPORE, Singapore</t>
        </is>
      </c>
      <c r="B9045" t="inlineStr">
        <is>
          <t>Trader with Storage</t>
        </is>
      </c>
      <c r="C9045" t="inlineStr">
        <is>
          <t>China Standard Conformity Assessment Co. Ltd, Beijing, CN</t>
        </is>
      </c>
      <c r="D9045" t="inlineStr">
        <is>
          <t>17.01.2027</t>
        </is>
      </c>
      <c r="E9045" t="inlineStr">
        <is>
          <t>Singapore</t>
        </is>
      </c>
    </row>
    <row r="9046">
      <c r="A9046" t="inlineStr">
        <is>
          <t>FLORA ARNO SRL,  SAGU, Romania</t>
        </is>
      </c>
      <c r="B9046" t="inlineStr">
        <is>
          <t>First Gathering Point, Trader</t>
        </is>
      </c>
      <c r="C9046" t="inlineStr">
        <is>
          <t>SGS Germany GmbH, Emstek, DE</t>
        </is>
      </c>
      <c r="D9046" t="inlineStr">
        <is>
          <t>17.01.2027</t>
        </is>
      </c>
      <c r="E9046" t="inlineStr">
        <is>
          <t>Romania</t>
        </is>
      </c>
    </row>
    <row r="9047">
      <c r="A9047" t="inlineStr">
        <is>
          <t>Essity Operations Poland,  Olawa, Poland</t>
        </is>
      </c>
      <c r="B9047" t="inlineStr">
        <is>
          <t>Final Product Refinement</t>
        </is>
      </c>
      <c r="C9047" t="inlineStr">
        <is>
          <t>Double Helix Tracking Technologies Pte Ltd, Singapore, SG</t>
        </is>
      </c>
      <c r="D9047" t="inlineStr">
        <is>
          <t>17.01.2027</t>
        </is>
      </c>
      <c r="E9047" t="inlineStr">
        <is>
          <t>Poland</t>
        </is>
      </c>
    </row>
    <row r="9048">
      <c r="A9048" t="inlineStr">
        <is>
          <t>Coveris Extrusion Germany GmbH &amp; Co. KG,  Warburg, Germany</t>
        </is>
      </c>
      <c r="B9048" t="inlineStr">
        <is>
          <t>Processing Unit</t>
        </is>
      </c>
      <c r="C9048" t="inlineStr">
        <is>
          <t>SGS Germany GmbH, Emstek, DE</t>
        </is>
      </c>
      <c r="D9048" t="inlineStr">
        <is>
          <t>17.01.2027</t>
        </is>
      </c>
      <c r="E9048" t="inlineStr">
        <is>
          <t>Germany</t>
        </is>
      </c>
    </row>
    <row r="9049">
      <c r="A9049" t="inlineStr">
        <is>
          <t>Viscofan do Brasil Sociedade Comercial e Industrial LTDA,  Itu, Brazil</t>
        </is>
      </c>
      <c r="B9049" t="inlineStr">
        <is>
          <t>Final Product Refinement, Processing Unit, Trader with Storage</t>
        </is>
      </c>
      <c r="C9049" t="inlineStr">
        <is>
          <t>QIMA, Centro, Botucatu - SP, CEP, BR</t>
        </is>
      </c>
      <c r="D9049" t="inlineStr">
        <is>
          <t>17.01.2027</t>
        </is>
      </c>
      <c r="E9049" t="inlineStr">
        <is>
          <t>Brazil</t>
        </is>
      </c>
    </row>
    <row r="9050">
      <c r="A9050" t="inlineStr">
        <is>
          <t>Zeon Trading (Shanghai). Co., Ltd.,  Shanghai, China</t>
        </is>
      </c>
      <c r="B9050" t="inlineStr">
        <is>
          <t>Trader</t>
        </is>
      </c>
      <c r="C9050" t="inlineStr">
        <is>
          <t>SGS Germany GmbH, Emstek, DE</t>
        </is>
      </c>
      <c r="D9050" t="inlineStr">
        <is>
          <t>17.01.2027</t>
        </is>
      </c>
      <c r="E9050" t="inlineStr">
        <is>
          <t>China</t>
        </is>
      </c>
    </row>
    <row r="9051">
      <c r="A9051" t="inlineStr">
        <is>
          <t>Berry Global,  Lawrence, Kansas, United States</t>
        </is>
      </c>
      <c r="B9051" t="inlineStr">
        <is>
          <t>Processing Unit</t>
        </is>
      </c>
      <c r="C9051" t="inlineStr">
        <is>
          <t>SCS Global Services, Emeryville, CA, US</t>
        </is>
      </c>
      <c r="D9051" t="inlineStr">
        <is>
          <t>17.01.2027</t>
        </is>
      </c>
      <c r="E9051" t="inlineStr">
        <is>
          <t>United States</t>
        </is>
      </c>
    </row>
    <row r="9052">
      <c r="A9052" t="inlineStr">
        <is>
          <t>Cargill PLC,  Lincoln, United Kingdom</t>
        </is>
      </c>
      <c r="B9052" t="inlineStr">
        <is>
          <t>Trader with Storage</t>
        </is>
      </c>
      <c r="C9052" t="inlineStr">
        <is>
          <t>Control Union Certifications Germany GmbH, Berlin, DE</t>
        </is>
      </c>
      <c r="D9052" t="inlineStr">
        <is>
          <t>16.01.2027</t>
        </is>
      </c>
      <c r="E9052" t="inlineStr">
        <is>
          <t>United Kingdom</t>
        </is>
      </c>
    </row>
    <row r="9053">
      <c r="A9053" t="inlineStr">
        <is>
          <t>Sumber Adinusa Lestari,  Kabupaten Lamandau, Provinsi Kalimantan Tengah, Indonesia</t>
        </is>
      </c>
      <c r="B9053" t="inlineStr">
        <is>
          <t>Point of Origin</t>
        </is>
      </c>
      <c r="C9053" t="inlineStr">
        <is>
          <t>SGS Germany GmbH, Emstek, DE</t>
        </is>
      </c>
      <c r="D9053" t="inlineStr">
        <is>
          <t>16.01.2027</t>
        </is>
      </c>
      <c r="E9053" t="inlineStr">
        <is>
          <t>Indonesia</t>
        </is>
      </c>
    </row>
    <row r="9054">
      <c r="A9054" t="inlineStr">
        <is>
          <t>Cargill PLC,  Brocklebank, Liverpool, United Kingdom</t>
        </is>
      </c>
      <c r="B9054" t="inlineStr">
        <is>
          <t>Point of Origin, Processing Unit</t>
        </is>
      </c>
      <c r="C9054" t="inlineStr">
        <is>
          <t>Control Union Certifications Germany GmbH, Berlin, DE</t>
        </is>
      </c>
      <c r="D9054" t="inlineStr">
        <is>
          <t>16.01.2027</t>
        </is>
      </c>
      <c r="E9054" t="inlineStr">
        <is>
          <t>United Kingdom</t>
        </is>
      </c>
    </row>
    <row r="9055">
      <c r="A9055" t="inlineStr">
        <is>
          <t>Sumber Adinusa Lestari,  Kabupaten Lamandau, Provinsi Kalimantan Tengah, Indonesia</t>
        </is>
      </c>
      <c r="B9055" t="inlineStr">
        <is>
          <t>Point of Origin, Processing Unit</t>
        </is>
      </c>
      <c r="C9055" t="inlineStr">
        <is>
          <t>SGS Germany GmbH, Emstek, DE</t>
        </is>
      </c>
      <c r="D9055" t="inlineStr">
        <is>
          <t>16.01.2027</t>
        </is>
      </c>
      <c r="E9055" t="inlineStr">
        <is>
          <t>Indonesia</t>
        </is>
      </c>
    </row>
    <row r="9056">
      <c r="A9056" t="inlineStr">
        <is>
          <t>NOVAPEX,  St Maurice l'Exil, France</t>
        </is>
      </c>
      <c r="B9056" t="inlineStr">
        <is>
          <t>Processing Unit</t>
        </is>
      </c>
      <c r="C9056" t="inlineStr">
        <is>
          <t>Bureau Veritas Polska Sp. z o.o., Warsaw, PL</t>
        </is>
      </c>
      <c r="D9056" t="inlineStr">
        <is>
          <t>16.01.2027</t>
        </is>
      </c>
      <c r="E9056" t="inlineStr">
        <is>
          <t>France</t>
        </is>
      </c>
    </row>
    <row r="9057">
      <c r="A9057" t="inlineStr">
        <is>
          <t>ORLEN SA,  Warszawa, Poland</t>
        </is>
      </c>
      <c r="B9057" t="inlineStr">
        <is>
          <t>Proof of Compliance Trader, Trader</t>
        </is>
      </c>
      <c r="C9057" t="inlineStr">
        <is>
          <t>Bureau Veritas Polska Sp. z o.o., Warsaw, PL</t>
        </is>
      </c>
      <c r="D9057" t="inlineStr">
        <is>
          <t>16.01.2027</t>
        </is>
      </c>
      <c r="E9057" t="inlineStr">
        <is>
          <t>Poland</t>
        </is>
      </c>
    </row>
    <row r="9058">
      <c r="A9058" t="inlineStr">
        <is>
          <t>METALIMEX a. s.,  Nové Město, Praha 1, Czech Republic</t>
        </is>
      </c>
      <c r="B9058" t="inlineStr">
        <is>
          <t>Trader</t>
        </is>
      </c>
      <c r="C9058" t="inlineStr">
        <is>
          <t>TÜV SÜD Czech s.r.o., Praha 4, CZ</t>
        </is>
      </c>
      <c r="D9058" t="inlineStr">
        <is>
          <t>16.01.2027</t>
        </is>
      </c>
      <c r="E9058" t="inlineStr">
        <is>
          <t>Czech Republic</t>
        </is>
      </c>
    </row>
    <row r="9059">
      <c r="A9059" t="inlineStr">
        <is>
          <t>Anglo Beef Processors uc T/A Functional Ingredients Ireland,  Cahir, Ireland</t>
        </is>
      </c>
      <c r="B9059" t="inlineStr">
        <is>
          <t>Point of Origin</t>
        </is>
      </c>
      <c r="C9059" t="inlineStr">
        <is>
          <t>Control Union Certifications Germany GmbH, Berlin, DE</t>
        </is>
      </c>
      <c r="D9059" t="inlineStr">
        <is>
          <t>16.01.2027</t>
        </is>
      </c>
      <c r="E9059" t="inlineStr">
        <is>
          <t>Ireland</t>
        </is>
      </c>
    </row>
    <row r="9060">
      <c r="A9060" t="inlineStr">
        <is>
          <t>Anglo Beef Processors Ireland ul T/A Munster Proteins,  Cahir, Ireland</t>
        </is>
      </c>
      <c r="B9060" t="inlineStr">
        <is>
          <t>Point of Origin</t>
        </is>
      </c>
      <c r="C9060" t="inlineStr">
        <is>
          <t>Control Union Certifications Germany GmbH, Berlin, DE</t>
        </is>
      </c>
      <c r="D9060" t="inlineStr">
        <is>
          <t>16.01.2027</t>
        </is>
      </c>
      <c r="E9060" t="inlineStr">
        <is>
          <t>Ireland</t>
        </is>
      </c>
    </row>
    <row r="9061">
      <c r="A9061" t="inlineStr">
        <is>
          <t>TW Bioenergy Resources Sdn. Bhd.,  Cheras, Malaysia</t>
        </is>
      </c>
      <c r="B9061" t="inlineStr">
        <is>
          <t>Trader</t>
        </is>
      </c>
      <c r="C9061" t="inlineStr">
        <is>
          <t>PT Mutuagung Lestari, Depok, ID</t>
        </is>
      </c>
      <c r="D9061" t="inlineStr">
        <is>
          <t>16.01.2027</t>
        </is>
      </c>
      <c r="E9061" t="inlineStr">
        <is>
          <t>Malaysia</t>
        </is>
      </c>
    </row>
    <row r="9062">
      <c r="A9062" t="inlineStr">
        <is>
          <t>Farm Brands Limited,  Auckland, New Zealand</t>
        </is>
      </c>
      <c r="B9062" t="inlineStr">
        <is>
          <t>Collecting Point</t>
        </is>
      </c>
      <c r="C9062" t="inlineStr">
        <is>
          <t>SGS Germany GmbH, Emstek, DE</t>
        </is>
      </c>
      <c r="D9062" t="inlineStr">
        <is>
          <t>16.01.2027</t>
        </is>
      </c>
      <c r="E9062" t="inlineStr">
        <is>
          <t>New Zealand</t>
        </is>
      </c>
    </row>
    <row r="9063">
      <c r="A9063" t="inlineStr">
        <is>
          <t>Bareks Plastik Film Ekstrüzyon San. ve Tic. A.Ş.,  Çiğli, İzmir, Turkey</t>
        </is>
      </c>
      <c r="B9063" t="inlineStr">
        <is>
          <t>Processing Unit, Trader with Storage</t>
        </is>
      </c>
      <c r="C9063" t="inlineStr">
        <is>
          <t>RINA Services S.p.A., Genova, IT</t>
        </is>
      </c>
      <c r="D9063" t="inlineStr">
        <is>
          <t>16.01.2027</t>
        </is>
      </c>
      <c r="E9063" t="inlineStr">
        <is>
          <t>Turkey</t>
        </is>
      </c>
    </row>
    <row r="9064">
      <c r="A9064" t="inlineStr">
        <is>
          <t>Bareks Polietilen Film Ekstrüzyon San. ve Tic. AŞ,  Maltepe SB Mahallesi / Menemen - İZMİR, Turkey</t>
        </is>
      </c>
      <c r="B9064" t="inlineStr">
        <is>
          <t>Processing Unit, Trader with Storage</t>
        </is>
      </c>
      <c r="C9064" t="inlineStr">
        <is>
          <t>RINA Services S.p.A., Genova, IT</t>
        </is>
      </c>
      <c r="D9064" t="inlineStr">
        <is>
          <t>16.01.2027</t>
        </is>
      </c>
      <c r="E9064" t="inlineStr">
        <is>
          <t>Turkey</t>
        </is>
      </c>
    </row>
    <row r="9065">
      <c r="A9065" t="inlineStr">
        <is>
          <t>Albea Americas, Inc.,  Shelbyville, United States</t>
        </is>
      </c>
      <c r="B9065" t="inlineStr">
        <is>
          <t>Processing Unit</t>
        </is>
      </c>
      <c r="C9065" t="inlineStr">
        <is>
          <t>SGS Germany GmbH, Emstek, DE</t>
        </is>
      </c>
      <c r="D9065" t="inlineStr">
        <is>
          <t>16.01.2027</t>
        </is>
      </c>
      <c r="E9065" t="inlineStr">
        <is>
          <t>United States</t>
        </is>
      </c>
    </row>
    <row r="9066">
      <c r="A9066" t="inlineStr">
        <is>
          <t>Saint Louis Sucre,  Etrepagny, France</t>
        </is>
      </c>
      <c r="B9066" t="inlineStr">
        <is>
          <t>Point of Origin, Processing Unit</t>
        </is>
      </c>
      <c r="C9066" t="inlineStr">
        <is>
          <t>Bureau Veritas Polska Sp. z o.o., Warsaw, PL</t>
        </is>
      </c>
      <c r="D9066" t="inlineStr">
        <is>
          <t>16.01.2027</t>
        </is>
      </c>
      <c r="E9066" t="inlineStr">
        <is>
          <t>France</t>
        </is>
      </c>
    </row>
    <row r="9067">
      <c r="A9067" t="inlineStr">
        <is>
          <t>Farm Brands Limited,  Auckland, New Zealand</t>
        </is>
      </c>
      <c r="B9067" t="inlineStr">
        <is>
          <t>Collecting Point</t>
        </is>
      </c>
      <c r="C9067" t="inlineStr">
        <is>
          <t>SGS Germany GmbH, Emstek, DE</t>
        </is>
      </c>
      <c r="D9067" t="inlineStr">
        <is>
          <t>16.01.2027</t>
        </is>
      </c>
      <c r="E9067" t="inlineStr">
        <is>
          <t>New Zealand</t>
        </is>
      </c>
    </row>
    <row r="9068">
      <c r="A9068" t="inlineStr">
        <is>
          <t>Anhui Feidian Environmental Protection Technology Co.,Ltd.,  Shucheng County, Liuan City, Anhui Province CHINA, China</t>
        </is>
      </c>
      <c r="B9068" t="inlineStr">
        <is>
          <t>Collecting Point, Trader with Storage</t>
        </is>
      </c>
      <c r="C9068" t="inlineStr">
        <is>
          <t>RINA Services S.p.A., Genova, IT</t>
        </is>
      </c>
      <c r="D9068" t="inlineStr">
        <is>
          <t>16.01.2027</t>
        </is>
      </c>
      <c r="E9068" t="inlineStr">
        <is>
          <t>China</t>
        </is>
      </c>
    </row>
    <row r="9069">
      <c r="A9069" t="inlineStr">
        <is>
          <t>Amcor Flexibles Arenzano,  Arenzano, Italy</t>
        </is>
      </c>
      <c r="B9069" t="inlineStr">
        <is>
          <t>Processing Unit</t>
        </is>
      </c>
      <c r="C9069" t="inlineStr">
        <is>
          <t>Certiquality srl, Milano, IT</t>
        </is>
      </c>
      <c r="D9069" t="inlineStr">
        <is>
          <t>16.01.2027</t>
        </is>
      </c>
      <c r="E9069" t="inlineStr">
        <is>
          <t>Italy</t>
        </is>
      </c>
    </row>
    <row r="9070">
      <c r="A9070" t="inlineStr">
        <is>
          <t>Berkah Emas Sumber Terang,  Semarang, Indonesia</t>
        </is>
      </c>
      <c r="B9070" t="inlineStr">
        <is>
          <t>Point of Origin</t>
        </is>
      </c>
      <c r="C9070" t="inlineStr">
        <is>
          <t>PT Intertek Utama Services, Jakarta, ID</t>
        </is>
      </c>
      <c r="D9070" t="inlineStr">
        <is>
          <t>16.01.2027</t>
        </is>
      </c>
      <c r="E9070" t="inlineStr">
        <is>
          <t>Indonesia</t>
        </is>
      </c>
    </row>
    <row r="9071">
      <c r="A9071" t="inlineStr">
        <is>
          <t>BASF Intertrade AG,  Zug, Switzerland</t>
        </is>
      </c>
      <c r="B9071" t="inlineStr">
        <is>
          <t>Trader with Storage</t>
        </is>
      </c>
      <c r="C9071" t="inlineStr">
        <is>
          <t>Control Union Certifications Germany GmbH, Berlin, DE</t>
        </is>
      </c>
      <c r="D9071" t="inlineStr">
        <is>
          <t>16.01.2027</t>
        </is>
      </c>
      <c r="E9071" t="inlineStr">
        <is>
          <t>Switzerland</t>
        </is>
      </c>
    </row>
    <row r="9072">
      <c r="A9072" t="inlineStr">
        <is>
          <t>Celanese Performance Solutions Switzerland Sàrl,  Utzenfeld, Germany</t>
        </is>
      </c>
      <c r="B9072" t="inlineStr">
        <is>
          <t>Processing Unit</t>
        </is>
      </c>
      <c r="C9072" t="inlineStr">
        <is>
          <t>TÜV NORD CERT GmbH, Essen, DE</t>
        </is>
      </c>
      <c r="D9072" t="inlineStr">
        <is>
          <t>16.01.2027</t>
        </is>
      </c>
      <c r="E9072" t="inlineStr">
        <is>
          <t>Germany</t>
        </is>
      </c>
    </row>
    <row r="9073">
      <c r="A9073" t="inlineStr">
        <is>
          <t>Rondo Plast,  Ystad, Sweden</t>
        </is>
      </c>
      <c r="B9073" t="inlineStr">
        <is>
          <t>Collecting Point, Trader with Storage</t>
        </is>
      </c>
      <c r="C9073" t="inlineStr">
        <is>
          <t>DNV Business Assurance Sweden AB, Solna, SE</t>
        </is>
      </c>
      <c r="D9073" t="inlineStr">
        <is>
          <t>16.01.2027</t>
        </is>
      </c>
      <c r="E9073" t="inlineStr">
        <is>
          <t>Sweden</t>
        </is>
      </c>
    </row>
    <row r="9074">
      <c r="A9074" t="inlineStr">
        <is>
          <t>BIRLA CARBON USA,  ULYSSES, United States</t>
        </is>
      </c>
      <c r="B9074" t="inlineStr">
        <is>
          <t>Processing Unit</t>
        </is>
      </c>
      <c r="C9074" t="inlineStr">
        <is>
          <t>PT Intertek Utama Services, Jakarta, ID</t>
        </is>
      </c>
      <c r="D9074" t="inlineStr">
        <is>
          <t>16.01.2027</t>
        </is>
      </c>
      <c r="E9074" t="inlineStr">
        <is>
          <t>United States</t>
        </is>
      </c>
    </row>
    <row r="9075">
      <c r="A9075" t="inlineStr">
        <is>
          <t>Uni-Fuels Pte Ltd,  Singapore, Singapore</t>
        </is>
      </c>
      <c r="B9075" t="inlineStr">
        <is>
          <t>Trader</t>
        </is>
      </c>
      <c r="C9075" t="inlineStr">
        <is>
          <t>Guardian Independent Certification Limited, Singapore, SG</t>
        </is>
      </c>
      <c r="D9075" t="inlineStr">
        <is>
          <t>16.01.2027</t>
        </is>
      </c>
      <c r="E9075" t="inlineStr">
        <is>
          <t>Singapore</t>
        </is>
      </c>
    </row>
    <row r="9076">
      <c r="A9076" t="inlineStr">
        <is>
          <t>Uni-Fuels Pte Ltd,  Singapore, Singapore</t>
        </is>
      </c>
      <c r="B9076" t="inlineStr">
        <is>
          <t>Trader</t>
        </is>
      </c>
      <c r="C9076" t="inlineStr">
        <is>
          <t>Guardian Independent Certification Limited, Singapore, SG</t>
        </is>
      </c>
      <c r="D9076" t="inlineStr">
        <is>
          <t>16.01.2027</t>
        </is>
      </c>
      <c r="E9076" t="inlineStr">
        <is>
          <t>Singapore</t>
        </is>
      </c>
    </row>
    <row r="9077">
      <c r="A9077" t="inlineStr">
        <is>
          <t>NOVUM CZech, s.r.o.,  Nové Město, Praha, Czech Republic</t>
        </is>
      </c>
      <c r="B9077" t="inlineStr">
        <is>
          <t>First Gathering Point, Trader</t>
        </is>
      </c>
      <c r="C9077" t="inlineStr">
        <is>
          <t>Bureau Veritas Polska Sp. z o.o., Warsaw, PL</t>
        </is>
      </c>
      <c r="D9077" t="inlineStr">
        <is>
          <t>16.01.2027</t>
        </is>
      </c>
      <c r="E9077" t="inlineStr">
        <is>
          <t>Czech Republic</t>
        </is>
      </c>
    </row>
    <row r="9078">
      <c r="A9078" t="inlineStr">
        <is>
          <t>Jiangsu Dafeng Energy Technology Co., Ltd.,  Liyang City, China</t>
        </is>
      </c>
      <c r="B9078" t="inlineStr">
        <is>
          <t>Collecting Point, Trader with Storage</t>
        </is>
      </c>
      <c r="C9078" t="inlineStr">
        <is>
          <t>RINA Services S.p.A., Genova, IT</t>
        </is>
      </c>
      <c r="D9078" t="inlineStr">
        <is>
          <t>16.01.2027</t>
        </is>
      </c>
      <c r="E9078" t="inlineStr">
        <is>
          <t>China</t>
        </is>
      </c>
    </row>
    <row r="9079">
      <c r="A9079" t="inlineStr">
        <is>
          <t>Hainan Qingxin Energy Co.,Ltd,  Longhua District， Haikou, China</t>
        </is>
      </c>
      <c r="B9079" t="inlineStr">
        <is>
          <t>Trader</t>
        </is>
      </c>
      <c r="C9079" t="inlineStr">
        <is>
          <t>RINA Services S.p.A., Genova, IT</t>
        </is>
      </c>
      <c r="D9079" t="inlineStr">
        <is>
          <t>16.01.2027</t>
        </is>
      </c>
      <c r="E9079" t="inlineStr">
        <is>
          <t>China</t>
        </is>
      </c>
    </row>
    <row r="9080">
      <c r="A9080" t="inlineStr">
        <is>
          <t>Sumatera Palma Andalan 2,  Kabupaten Musi Rawas, Provinsi Sumatera selatan, Indonesia</t>
        </is>
      </c>
      <c r="B9080" t="inlineStr">
        <is>
          <t>Point of Origin</t>
        </is>
      </c>
      <c r="C9080" t="inlineStr">
        <is>
          <t>PT. Qualitas Sertifikasi Indonesia, Jakarta, ID</t>
        </is>
      </c>
      <c r="D9080" t="inlineStr">
        <is>
          <t>16.01.2027</t>
        </is>
      </c>
      <c r="E9080" t="inlineStr">
        <is>
          <t>Indonesia</t>
        </is>
      </c>
    </row>
    <row r="9081">
      <c r="A9081" t="inlineStr">
        <is>
          <t>Asahi Kasei Corporation,  Nobeoka-city, Japan</t>
        </is>
      </c>
      <c r="B9081" t="inlineStr">
        <is>
          <t>Processing Unit</t>
        </is>
      </c>
      <c r="C9081" t="inlineStr">
        <is>
          <t>Control Union Certifications Germany GmbH, Berlin, DE</t>
        </is>
      </c>
      <c r="D9081" t="inlineStr">
        <is>
          <t>16.01.2027</t>
        </is>
      </c>
      <c r="E9081" t="inlineStr">
        <is>
          <t>Japan</t>
        </is>
      </c>
    </row>
    <row r="9082">
      <c r="A9082" t="inlineStr">
        <is>
          <t>Sumatera Palma Andalan 2,  Kabupaten Musi Rawas, Provinsi Sumatera selatan, Indonesia</t>
        </is>
      </c>
      <c r="B9082" t="inlineStr">
        <is>
          <t>Point of Origin</t>
        </is>
      </c>
      <c r="C9082" t="inlineStr">
        <is>
          <t>PT. Qualitas Sertifikasi Indonesia, Jakarta, ID</t>
        </is>
      </c>
      <c r="D9082" t="inlineStr">
        <is>
          <t>16.01.2027</t>
        </is>
      </c>
      <c r="E9082" t="inlineStr">
        <is>
          <t>Indonesia</t>
        </is>
      </c>
    </row>
    <row r="9083">
      <c r="A9083" t="inlineStr">
        <is>
          <t>Dong Guan New Prosperity Optical Mfy Ltd Chang An Branch,  Chang An Town DongGuan City, China</t>
        </is>
      </c>
      <c r="B9083" t="inlineStr">
        <is>
          <t>Processing Unit</t>
        </is>
      </c>
      <c r="C9083" t="inlineStr">
        <is>
          <t>SGS Germany GmbH, Emstek, DE</t>
        </is>
      </c>
      <c r="D9083" t="inlineStr">
        <is>
          <t>16.01.2027</t>
        </is>
      </c>
      <c r="E9083" t="inlineStr">
        <is>
          <t>China</t>
        </is>
      </c>
    </row>
    <row r="9084">
      <c r="A9084" t="inlineStr">
        <is>
          <t>Röchling Industrial Allgäu GmbH,  Bad Grönenbach, Germany</t>
        </is>
      </c>
      <c r="B9084" t="inlineStr">
        <is>
          <t>Processing Unit</t>
        </is>
      </c>
      <c r="C9084" t="inlineStr">
        <is>
          <t>SGS Germany GmbH, Emstek, DE</t>
        </is>
      </c>
      <c r="D9084" t="inlineStr">
        <is>
          <t>16.01.2027</t>
        </is>
      </c>
      <c r="E9084" t="inlineStr">
        <is>
          <t>Germany</t>
        </is>
      </c>
    </row>
    <row r="9085">
      <c r="A9085" t="inlineStr">
        <is>
          <t>Basell Bayreuth Chemie,  Bayreuth, Germany</t>
        </is>
      </c>
      <c r="B9085" t="inlineStr">
        <is>
          <t>Processing Unit</t>
        </is>
      </c>
      <c r="C9085" t="inlineStr">
        <is>
          <t>SGS Germany GmbH, Emstek, DE</t>
        </is>
      </c>
      <c r="D9085" t="inlineStr">
        <is>
          <t>16.01.2027</t>
        </is>
      </c>
      <c r="E9085" t="inlineStr">
        <is>
          <t>Germany</t>
        </is>
      </c>
    </row>
    <row r="9086">
      <c r="A9086" t="inlineStr">
        <is>
          <t>Jiangsu Minghu Bioenergy Technology Co., Ltd.,  Shuyang County Suqian City, Jiangsu Province,, China</t>
        </is>
      </c>
      <c r="B9086" t="inlineStr">
        <is>
          <t>Collecting Point, Processing Unit</t>
        </is>
      </c>
      <c r="C9086" t="inlineStr">
        <is>
          <t>RINA Services S.p.A., Genova, IT</t>
        </is>
      </c>
      <c r="D9086" t="inlineStr">
        <is>
          <t>16.01.2027</t>
        </is>
      </c>
      <c r="E9086" t="inlineStr">
        <is>
          <t>China</t>
        </is>
      </c>
    </row>
    <row r="9087">
      <c r="A9087" t="inlineStr">
        <is>
          <t>BZK Grain Alliance AB,  Berezan, Kyiv Region, Ukraine</t>
        </is>
      </c>
      <c r="B9087" t="inlineStr">
        <is>
          <t>First Gathering Point, Trader</t>
        </is>
      </c>
      <c r="C9087" t="inlineStr">
        <is>
          <t>Bureau Veritas Polska Sp. z o.o., Warsaw, PL</t>
        </is>
      </c>
      <c r="D9087" t="inlineStr">
        <is>
          <t>15.01.2027</t>
        </is>
      </c>
      <c r="E9087" t="inlineStr">
        <is>
          <t>Ukraine</t>
        </is>
      </c>
    </row>
    <row r="9088">
      <c r="A9088" t="inlineStr">
        <is>
          <t>KRATON FORMOSA POLYMERS CORPORATION,  Mailiao Township, Yunlin County, Taiwan</t>
        </is>
      </c>
      <c r="B9088" t="inlineStr">
        <is>
          <t>Processing Unit</t>
        </is>
      </c>
      <c r="C9088" t="inlineStr">
        <is>
          <t>Bureau Veritas Polska Sp. z o.o., Warsaw, PL</t>
        </is>
      </c>
      <c r="D9088" t="inlineStr">
        <is>
          <t>15.01.2027</t>
        </is>
      </c>
      <c r="E9088" t="inlineStr">
        <is>
          <t>Taiwan</t>
        </is>
      </c>
    </row>
    <row r="9089">
      <c r="A9089" t="inlineStr">
        <is>
          <t>SOCIETA' SEMPLICE AGRICOLA GAETANO,  FEROLETO ANTICO (CZ), Italy</t>
        </is>
      </c>
      <c r="B9089" t="inlineStr">
        <is>
          <t>Farm / Plantation, First Gathering Point, Processing Unit</t>
        </is>
      </c>
      <c r="C9089" t="inlineStr">
        <is>
          <t>CSQA Certificazioni Srl, Thiene, IT</t>
        </is>
      </c>
      <c r="D9089" t="inlineStr">
        <is>
          <t>15.01.2027</t>
        </is>
      </c>
      <c r="E9089" t="inlineStr">
        <is>
          <t>Italy</t>
        </is>
      </c>
    </row>
    <row r="9090">
      <c r="A9090" t="inlineStr">
        <is>
          <t>SEASTOCK,  TRIESTE, Italy</t>
        </is>
      </c>
      <c r="B9090" t="inlineStr">
        <is>
          <t>Trader with Storage</t>
        </is>
      </c>
      <c r="C9090" t="inlineStr">
        <is>
          <t>DNV Business Assurance Sweden AB, Solna, SE</t>
        </is>
      </c>
      <c r="D9090" t="inlineStr">
        <is>
          <t>15.01.2027</t>
        </is>
      </c>
      <c r="E9090" t="inlineStr">
        <is>
          <t>Italy</t>
        </is>
      </c>
    </row>
    <row r="9091">
      <c r="A9091" t="inlineStr">
        <is>
          <t>Agroindustrias del Sur del Cesar Ltda y Cias S.C.A.,  Municipio De Aguachica, Colombia</t>
        </is>
      </c>
      <c r="B9091" t="inlineStr">
        <is>
          <t>First Gathering Point, Processing Unit</t>
        </is>
      </c>
      <c r="C9091" t="inlineStr">
        <is>
          <t>Control Union Poland Sp. z o.o., Zielona Gora, PL</t>
        </is>
      </c>
      <c r="D9091" t="inlineStr">
        <is>
          <t>15.01.2027</t>
        </is>
      </c>
      <c r="E9091" t="inlineStr">
        <is>
          <t>Colombia</t>
        </is>
      </c>
    </row>
    <row r="9092">
      <c r="A9092" t="inlineStr">
        <is>
          <t>KOYO SANGYO,  Tochigi-shi, Japan</t>
        </is>
      </c>
      <c r="B9092" t="inlineStr">
        <is>
          <t>Processing Unit</t>
        </is>
      </c>
      <c r="C9092" t="inlineStr">
        <is>
          <t>SGS Germany GmbH, Emstek, DE</t>
        </is>
      </c>
      <c r="D9092" t="inlineStr">
        <is>
          <t>15.01.2027</t>
        </is>
      </c>
      <c r="E9092" t="inlineStr">
        <is>
          <t>Japan</t>
        </is>
      </c>
    </row>
    <row r="9093">
      <c r="A9093" t="inlineStr">
        <is>
          <t>Agroindustrias del Sur del Cesar Ltda y Cias S.C.A.,  Municipio De Aguachica, Colombia</t>
        </is>
      </c>
      <c r="B9093" t="inlineStr">
        <is>
          <t>First Gathering Point, Processing Unit</t>
        </is>
      </c>
      <c r="C9093" t="inlineStr">
        <is>
          <t>Control Union Poland Sp. z o.o., Zielona Gora, PL</t>
        </is>
      </c>
      <c r="D9093" t="inlineStr">
        <is>
          <t>15.01.2027</t>
        </is>
      </c>
      <c r="E9093" t="inlineStr">
        <is>
          <t>Colombia</t>
        </is>
      </c>
    </row>
    <row r="9094">
      <c r="A9094" t="inlineStr">
        <is>
          <t>Oliudreifing,  Reykjavik, Iceland</t>
        </is>
      </c>
      <c r="B9094" t="inlineStr">
        <is>
          <t>Logistics Center</t>
        </is>
      </c>
      <c r="C9094" t="inlineStr">
        <is>
          <t>DNV Business Assurance Sweden AB, Solna, SE</t>
        </is>
      </c>
      <c r="D9094" t="inlineStr">
        <is>
          <t>15.01.2027</t>
        </is>
      </c>
      <c r="E9094" t="inlineStr">
        <is>
          <t>Iceland</t>
        </is>
      </c>
    </row>
    <row r="9095">
      <c r="A9095" t="inlineStr">
        <is>
          <t>Oliudreifing,  Reykjavik, Iceland</t>
        </is>
      </c>
      <c r="B9095" t="inlineStr">
        <is>
          <t>Collecting Point, Trader with Storage, Processing Unit</t>
        </is>
      </c>
      <c r="C9095" t="inlineStr">
        <is>
          <t>DNV Business Assurance Sweden AB, Solna, SE</t>
        </is>
      </c>
      <c r="D9095" t="inlineStr">
        <is>
          <t>15.01.2027</t>
        </is>
      </c>
      <c r="E9095" t="inlineStr">
        <is>
          <t>Iceland</t>
        </is>
      </c>
    </row>
    <row r="9096">
      <c r="A9096" t="inlineStr">
        <is>
          <t>GREENLAND,  Aregua, Paraguay</t>
        </is>
      </c>
      <c r="B9096" t="inlineStr">
        <is>
          <t>First Gathering Point, Point of Origin, Processing Unit, Trader with Storage</t>
        </is>
      </c>
      <c r="C9096" t="inlineStr">
        <is>
          <t>RINA Services S.p.A., Genova, IT</t>
        </is>
      </c>
      <c r="D9096" t="inlineStr">
        <is>
          <t>15.01.2027</t>
        </is>
      </c>
      <c r="E9096" t="inlineStr">
        <is>
          <t>Paraguay</t>
        </is>
      </c>
    </row>
    <row r="9097">
      <c r="A9097" t="inlineStr">
        <is>
          <t>Nanchong Siboyingdong Environmental Energy Co., Ltd.,  Nanchong City, Sichuan Province, China</t>
        </is>
      </c>
      <c r="B9097" t="inlineStr">
        <is>
          <t>Collecting Point, Processing Unit</t>
        </is>
      </c>
      <c r="C9097" t="inlineStr">
        <is>
          <t>RINA Services S.p.A., Genova, IT</t>
        </is>
      </c>
      <c r="D9097" t="inlineStr">
        <is>
          <t>15.01.2027</t>
        </is>
      </c>
      <c r="E9097" t="inlineStr">
        <is>
          <t>China</t>
        </is>
      </c>
    </row>
    <row r="9098">
      <c r="A9098" t="inlineStr">
        <is>
          <t>SERVICIOS Y LOGÍSTICA DE VALORIZACIÓN DE RESIDUOS,  Madrid, Spain</t>
        </is>
      </c>
      <c r="B9098" t="inlineStr">
        <is>
          <t>Collecting Point, Trader</t>
        </is>
      </c>
      <c r="C9098" t="inlineStr">
        <is>
          <t>Control Union Poland Sp. z o.o., Zielona Gora, PL</t>
        </is>
      </c>
      <c r="D9098" t="inlineStr">
        <is>
          <t>15.01.2027</t>
        </is>
      </c>
      <c r="E9098" t="inlineStr">
        <is>
          <t>Spain</t>
        </is>
      </c>
    </row>
    <row r="9099">
      <c r="A9099" t="inlineStr">
        <is>
          <t>Azucarera El Viejo S.A.,  Filadelfia, Guanacaste., Costa Rica</t>
        </is>
      </c>
      <c r="B9099" t="inlineStr">
        <is>
          <t>First Gathering Point, Processing Unit</t>
        </is>
      </c>
      <c r="C9099" t="inlineStr">
        <is>
          <t>Control Union Poland Sp. z o.o., Zielona Gora, PL</t>
        </is>
      </c>
      <c r="D9099" t="inlineStr">
        <is>
          <t>15.01.2027</t>
        </is>
      </c>
      <c r="E9099" t="inlineStr">
        <is>
          <t>Costa Rica</t>
        </is>
      </c>
    </row>
    <row r="9100">
      <c r="A9100" t="inlineStr">
        <is>
          <t>Svalinn Cap Systems AG,  Zug, Switzerland</t>
        </is>
      </c>
      <c r="B9100" t="inlineStr">
        <is>
          <t>Trader</t>
        </is>
      </c>
      <c r="C9100" t="inlineStr">
        <is>
          <t>BMC Assurance, S.L, Santander, ES</t>
        </is>
      </c>
      <c r="D9100" t="inlineStr">
        <is>
          <t>15.01.2027</t>
        </is>
      </c>
      <c r="E9100" t="inlineStr">
        <is>
          <t>Switzerland</t>
        </is>
      </c>
    </row>
    <row r="9101">
      <c r="A9101" t="inlineStr">
        <is>
          <t>Arkema,  RIEUX, France</t>
        </is>
      </c>
      <c r="B9101" t="inlineStr">
        <is>
          <t>Processing Unit</t>
        </is>
      </c>
      <c r="C9101" t="inlineStr">
        <is>
          <t>DNV Business Assurance Sweden AB, Solna, SE</t>
        </is>
      </c>
      <c r="D9101" t="inlineStr">
        <is>
          <t>15.01.2027</t>
        </is>
      </c>
      <c r="E9101" t="inlineStr">
        <is>
          <t>France</t>
        </is>
      </c>
    </row>
    <row r="9102">
      <c r="A9102" t="inlineStr">
        <is>
          <t>JIANGSU SOHO LITIAN INTELLIGENT STORAGE &amp; RECYCLING TECHNOLOGY CO., LTD.,  Jiangyin City, Jiangsu Province,, China</t>
        </is>
      </c>
      <c r="B9102" t="inlineStr">
        <is>
          <t>Collecting Point, Trader with Storage, Warehouse, Processing Unit</t>
        </is>
      </c>
      <c r="C9102" t="inlineStr">
        <is>
          <t>SCS Global Services, Emeryville, CA, US</t>
        </is>
      </c>
      <c r="D9102" t="inlineStr">
        <is>
          <t>15.01.2027</t>
        </is>
      </c>
      <c r="E9102" t="inlineStr">
        <is>
          <t>China</t>
        </is>
      </c>
    </row>
    <row r="9103">
      <c r="A9103" t="inlineStr">
        <is>
          <t>Ishikawa Jyushi Co., Ltd.,  Kaga, Japan</t>
        </is>
      </c>
      <c r="B9103" t="inlineStr">
        <is>
          <t>Processing Unit</t>
        </is>
      </c>
      <c r="C9103" t="inlineStr">
        <is>
          <t>Control Union Certifications Germany GmbH, Berlin, DE</t>
        </is>
      </c>
      <c r="D9103" t="inlineStr">
        <is>
          <t>15.01.2027</t>
        </is>
      </c>
      <c r="E9103" t="inlineStr">
        <is>
          <t>Japan</t>
        </is>
      </c>
    </row>
    <row r="9104">
      <c r="A9104" t="inlineStr">
        <is>
          <t>Mondi Solec Sp zo.o.,  Baniocha, Poland</t>
        </is>
      </c>
      <c r="B9104" t="inlineStr">
        <is>
          <t>Final Product Refinement, Processing Unit</t>
        </is>
      </c>
      <c r="C9104" t="inlineStr">
        <is>
          <t>Bureau Veritas Polska Sp. z o.o., Warsaw, PL</t>
        </is>
      </c>
      <c r="D9104" t="inlineStr">
        <is>
          <t>15.01.2027</t>
        </is>
      </c>
      <c r="E9104" t="inlineStr">
        <is>
          <t>Poland</t>
        </is>
      </c>
    </row>
    <row r="9105">
      <c r="A9105" t="inlineStr">
        <is>
          <t>ISOFlex Packaging Washington, Indiana,  Washington, Indiana, United States</t>
        </is>
      </c>
      <c r="B9105" t="inlineStr">
        <is>
          <t>Processing Unit</t>
        </is>
      </c>
      <c r="C9105" t="inlineStr">
        <is>
          <t>SCS Global Services, Emeryville, CA, US</t>
        </is>
      </c>
      <c r="D9105" t="inlineStr">
        <is>
          <t>15.01.2027</t>
        </is>
      </c>
      <c r="E9105" t="inlineStr">
        <is>
          <t>United States</t>
        </is>
      </c>
    </row>
    <row r="9106">
      <c r="A9106" t="inlineStr">
        <is>
          <t>BASF (Malaysia) Sdn Bhd,  Pasir Gudang, Johor, Malaysia</t>
        </is>
      </c>
      <c r="B9106" t="inlineStr">
        <is>
          <t>Processing Unit</t>
        </is>
      </c>
      <c r="C9106" t="inlineStr">
        <is>
          <t>TÜV NORD CERT GmbH, Essen, DE</t>
        </is>
      </c>
      <c r="D9106" t="inlineStr">
        <is>
          <t>15.01.2027</t>
        </is>
      </c>
      <c r="E9106" t="inlineStr">
        <is>
          <t>Malaysia</t>
        </is>
      </c>
    </row>
    <row r="9107">
      <c r="A9107" t="inlineStr">
        <is>
          <t>Chongqing Huaao Environmental Protection Technology Co., Ltd.,  Chongqing, China</t>
        </is>
      </c>
      <c r="B9107" t="inlineStr">
        <is>
          <t>Collecting Point, Trader with Storage</t>
        </is>
      </c>
      <c r="C9107" t="inlineStr">
        <is>
          <t>SCS Global Services, Emeryville, CA, US</t>
        </is>
      </c>
      <c r="D9107" t="inlineStr">
        <is>
          <t>15.01.2027</t>
        </is>
      </c>
      <c r="E9107" t="inlineStr">
        <is>
          <t>China</t>
        </is>
      </c>
    </row>
    <row r="9108">
      <c r="A9108" t="inlineStr">
        <is>
          <t>DISY spol. s r.o.,  Modra, Slovakia</t>
        </is>
      </c>
      <c r="B9108" t="inlineStr">
        <is>
          <t>First Gathering Point, Trader</t>
        </is>
      </c>
      <c r="C9108" t="inlineStr">
        <is>
          <t>United Registrar of Systems Polska Sp. z o.o., Wrocław, PL</t>
        </is>
      </c>
      <c r="D9108" t="inlineStr">
        <is>
          <t>15.01.2027</t>
        </is>
      </c>
      <c r="E9108" t="inlineStr">
        <is>
          <t>Slovakia</t>
        </is>
      </c>
    </row>
    <row r="9109">
      <c r="A9109" t="inlineStr">
        <is>
          <t>DISY spol. s r.o.,  Modra, Slovakia</t>
        </is>
      </c>
      <c r="B9109" t="inlineStr">
        <is>
          <t>First Gathering Point, Trader</t>
        </is>
      </c>
      <c r="C9109" t="inlineStr">
        <is>
          <t>United Registrar of Systems Polska Sp. z o.o., Wrocław, PL</t>
        </is>
      </c>
      <c r="D9109" t="inlineStr">
        <is>
          <t>15.01.2027</t>
        </is>
      </c>
      <c r="E9109" t="inlineStr">
        <is>
          <t>Slovakia</t>
        </is>
      </c>
    </row>
    <row r="9110">
      <c r="A9110" t="inlineStr">
        <is>
          <t>POU CHIEN CHEMICAL CO.,LTD,  Dong Guan City, Guang Dong Province, China</t>
        </is>
      </c>
      <c r="B9110" t="inlineStr">
        <is>
          <t>Processing Unit</t>
        </is>
      </c>
      <c r="C9110" t="inlineStr">
        <is>
          <t>DQS CFS GmbH - Deutsche Gesellschaft für Nachhaltigkeit, Frankfurt am Main, DE</t>
        </is>
      </c>
      <c r="D9110" t="inlineStr">
        <is>
          <t>15.01.2027</t>
        </is>
      </c>
      <c r="E9110" t="inlineStr">
        <is>
          <t>China</t>
        </is>
      </c>
    </row>
    <row r="9111">
      <c r="A9111" t="inlineStr">
        <is>
          <t>Sekisui Kasei Kansai,  Kasai-City, Japan</t>
        </is>
      </c>
      <c r="B9111" t="inlineStr">
        <is>
          <t>Processing Unit</t>
        </is>
      </c>
      <c r="C9111" t="inlineStr">
        <is>
          <t>SCS Global Services, Emeryville, CA, US</t>
        </is>
      </c>
      <c r="D9111" t="inlineStr">
        <is>
          <t>15.01.2027</t>
        </is>
      </c>
      <c r="E9111" t="inlineStr">
        <is>
          <t>Japan</t>
        </is>
      </c>
    </row>
    <row r="9112">
      <c r="A9112" t="inlineStr">
        <is>
          <t>Mitsubishi Chemical Methacrylates Singapore Pte. Ltd.,  SINGAPORE, Singapore</t>
        </is>
      </c>
      <c r="B9112" t="inlineStr">
        <is>
          <t>Processing Unit</t>
        </is>
      </c>
      <c r="C9112" t="inlineStr">
        <is>
          <t>SCS Global Services, Emeryville, CA, US</t>
        </is>
      </c>
      <c r="D9112" t="inlineStr">
        <is>
          <t>15.01.2027</t>
        </is>
      </c>
      <c r="E9112" t="inlineStr">
        <is>
          <t>Singapore</t>
        </is>
      </c>
    </row>
    <row r="9113">
      <c r="A9113" t="inlineStr">
        <is>
          <t>Meridional Ventures S.A.,  Marbella, Panama</t>
        </is>
      </c>
      <c r="B9113" t="inlineStr">
        <is>
          <t>Trader</t>
        </is>
      </c>
      <c r="C9113" t="inlineStr">
        <is>
          <t>QIMA, Centro, Botucatu - SP, CEP, BR</t>
        </is>
      </c>
      <c r="D9113" t="inlineStr">
        <is>
          <t>15.01.2027</t>
        </is>
      </c>
      <c r="E9113" t="inlineStr">
        <is>
          <t>Panama</t>
        </is>
      </c>
    </row>
    <row r="9114">
      <c r="A9114" t="inlineStr">
        <is>
          <t>Petróleo Brasileiro SA PETROBRAS,  Rio Grande, Brazil</t>
        </is>
      </c>
      <c r="B9114" t="inlineStr">
        <is>
          <t>Trader with Storage</t>
        </is>
      </c>
      <c r="C9114" t="inlineStr">
        <is>
          <t>QIMA, Centro, Botucatu - SP, CEP, BR</t>
        </is>
      </c>
      <c r="D9114" t="inlineStr">
        <is>
          <t>15.01.2027</t>
        </is>
      </c>
      <c r="E9114" t="inlineStr">
        <is>
          <t>Brazil</t>
        </is>
      </c>
    </row>
    <row r="9115">
      <c r="A9115" t="inlineStr">
        <is>
          <t>SE.FI. Ambiente srl,  San Donà di Piave (VE), Italy</t>
        </is>
      </c>
      <c r="B9115" t="inlineStr">
        <is>
          <t>Collecting Point</t>
        </is>
      </c>
      <c r="C9115" t="inlineStr">
        <is>
          <t>SGS Germany GmbH, Emstek, DE</t>
        </is>
      </c>
      <c r="D9115" t="inlineStr">
        <is>
          <t>15.01.2027</t>
        </is>
      </c>
      <c r="E9115" t="inlineStr">
        <is>
          <t>Italy</t>
        </is>
      </c>
    </row>
    <row r="9116">
      <c r="A9116" t="inlineStr">
        <is>
          <t>Andoh Parachemie Co., Ltd.,  Chuo-ku,Tokyo, Japan</t>
        </is>
      </c>
      <c r="B9116" t="inlineStr">
        <is>
          <t>Trader with Storage</t>
        </is>
      </c>
      <c r="C9116" t="inlineStr">
        <is>
          <t>SGS Germany GmbH, Emstek, DE</t>
        </is>
      </c>
      <c r="D9116" t="inlineStr">
        <is>
          <t>15.01.2027</t>
        </is>
      </c>
      <c r="E9116" t="inlineStr">
        <is>
          <t>Japan</t>
        </is>
      </c>
    </row>
    <row r="9117">
      <c r="A9117" t="inlineStr">
        <is>
          <t>Unitika Ltd. Uji Plant,  Uji, Kyoto, Japan</t>
        </is>
      </c>
      <c r="B9117" t="inlineStr">
        <is>
          <t>Point of Origin, Processing Unit</t>
        </is>
      </c>
      <c r="C9117" t="inlineStr">
        <is>
          <t>SGS Germany GmbH, Emstek, DE</t>
        </is>
      </c>
      <c r="D9117" t="inlineStr">
        <is>
          <t>15.01.2027</t>
        </is>
      </c>
      <c r="E9117" t="inlineStr">
        <is>
          <t>Japan</t>
        </is>
      </c>
    </row>
    <row r="9118">
      <c r="A9118" t="inlineStr">
        <is>
          <t>Sealed Air Australia,  Tullamarine, Australia</t>
        </is>
      </c>
      <c r="B9118" t="inlineStr">
        <is>
          <t>Processing Unit</t>
        </is>
      </c>
      <c r="C9118" t="inlineStr">
        <is>
          <t>SGS Germany GmbH, Emstek, DE</t>
        </is>
      </c>
      <c r="D9118" t="inlineStr">
        <is>
          <t>15.01.2027</t>
        </is>
      </c>
      <c r="E9118" t="inlineStr">
        <is>
          <t>Australia</t>
        </is>
      </c>
    </row>
    <row r="9119">
      <c r="A9119" t="inlineStr">
        <is>
          <t>NIPPON EPOXY RESIN MANUFACTURING CO., LTD.,  Ichihara, Chiba, Japan</t>
        </is>
      </c>
      <c r="B9119" t="inlineStr">
        <is>
          <t>Processing Unit</t>
        </is>
      </c>
      <c r="C9119" t="inlineStr">
        <is>
          <t>SGS Germany GmbH, Emstek, DE</t>
        </is>
      </c>
      <c r="D9119" t="inlineStr">
        <is>
          <t>15.01.2027</t>
        </is>
      </c>
      <c r="E9119" t="inlineStr">
        <is>
          <t>Japan</t>
        </is>
      </c>
    </row>
    <row r="9120">
      <c r="A9120" t="inlineStr">
        <is>
          <t>Energreen Oils,  Bangkok, Thailand</t>
        </is>
      </c>
      <c r="B9120" t="inlineStr">
        <is>
          <t>Trader</t>
        </is>
      </c>
      <c r="C9120" t="inlineStr">
        <is>
          <t>Trans Certification and Inspection Sdn Bhd, Kuantan, MY</t>
        </is>
      </c>
      <c r="D9120" t="inlineStr">
        <is>
          <t>15.01.2027</t>
        </is>
      </c>
      <c r="E9120" t="inlineStr">
        <is>
          <t>Thailand</t>
        </is>
      </c>
    </row>
    <row r="9121">
      <c r="A9121" t="inlineStr">
        <is>
          <t>Energreen Oils,  Bangkok, Thailand</t>
        </is>
      </c>
      <c r="B9121" t="inlineStr">
        <is>
          <t>Trader</t>
        </is>
      </c>
      <c r="C9121" t="inlineStr">
        <is>
          <t>Trans Certification and Inspection Sdn Bhd, Kuantan, MY</t>
        </is>
      </c>
      <c r="D9121" t="inlineStr">
        <is>
          <t>15.01.2027</t>
        </is>
      </c>
      <c r="E9121" t="inlineStr">
        <is>
          <t>Thailand</t>
        </is>
      </c>
    </row>
    <row r="9122">
      <c r="A9122" t="inlineStr">
        <is>
          <t>BMV Energy GmbH,  Berlin, Germany</t>
        </is>
      </c>
      <c r="B9122" t="inlineStr">
        <is>
          <t>Trader with Storage</t>
        </is>
      </c>
      <c r="C9122" t="inlineStr">
        <is>
          <t>GUT Certifizierungsgesellschaft für Managementsysteme mbH Umweltgutachter, Berlin, DE</t>
        </is>
      </c>
      <c r="D9122" t="inlineStr">
        <is>
          <t>15.01.2027</t>
        </is>
      </c>
      <c r="E9122" t="inlineStr">
        <is>
          <t>Germany</t>
        </is>
      </c>
    </row>
    <row r="9123">
      <c r="A9123" t="inlineStr">
        <is>
          <t>Donghe Branch of Inner Mongolia Xinshengyuan Environmental Technology Co., Ltd.,  Baotou City, Inner Mongolia Autonomous Region, China</t>
        </is>
      </c>
      <c r="B9123" t="inlineStr">
        <is>
          <t>Collecting Point, Processing Unit</t>
        </is>
      </c>
      <c r="C9123" t="inlineStr">
        <is>
          <t>RINA Services S.p.A., Genova, IT</t>
        </is>
      </c>
      <c r="D9123" t="inlineStr">
        <is>
          <t>15.01.2027</t>
        </is>
      </c>
      <c r="E9123" t="inlineStr">
        <is>
          <t>China</t>
        </is>
      </c>
    </row>
    <row r="9124">
      <c r="A9124" t="inlineStr">
        <is>
          <t>Donghe Branch of Inner Mongolia Xinshengyuan Environmental Technology Co., Ltd.,  Baotou City, Inner Mongolia Autonomous Region, China</t>
        </is>
      </c>
      <c r="B9124" t="inlineStr">
        <is>
          <t>Collecting Point, Processing Unit</t>
        </is>
      </c>
      <c r="C9124" t="inlineStr">
        <is>
          <t>RINA Services S.p.A., Genova, IT</t>
        </is>
      </c>
      <c r="D9124" t="inlineStr">
        <is>
          <t>15.01.2027</t>
        </is>
      </c>
      <c r="E9124" t="inlineStr">
        <is>
          <t>China</t>
        </is>
      </c>
    </row>
    <row r="9125">
      <c r="A9125" t="inlineStr">
        <is>
          <t>BIOTRADE COLOMBIA,  Mosquera, Cundinamarca, Colombia</t>
        </is>
      </c>
      <c r="B9125" t="inlineStr">
        <is>
          <t>Collecting Point, Processing Unit, Trader with Storage</t>
        </is>
      </c>
      <c r="C9125" t="inlineStr">
        <is>
          <t>Certificadora Gallega del Noroeste SL, Vilagarcia de Arousa-Pontevedra, ES</t>
        </is>
      </c>
      <c r="D9125" t="inlineStr">
        <is>
          <t>15.01.2027</t>
        </is>
      </c>
      <c r="E9125" t="inlineStr">
        <is>
          <t>Colombia</t>
        </is>
      </c>
    </row>
    <row r="9126">
      <c r="A9126" t="inlineStr">
        <is>
          <t>BIOTRADE COLOMBIA,  Mosquera, Cundinamarca, Colombia</t>
        </is>
      </c>
      <c r="B9126" t="inlineStr">
        <is>
          <t>Collecting Point, Trader with Storage</t>
        </is>
      </c>
      <c r="C9126" t="inlineStr">
        <is>
          <t>Amspec Iberia SL, Vilagarcia de Arousa-Pontevedra, ES</t>
        </is>
      </c>
      <c r="D9126" t="inlineStr">
        <is>
          <t>15.01.2027</t>
        </is>
      </c>
      <c r="E9126" t="inlineStr">
        <is>
          <t>Colombia</t>
        </is>
      </c>
    </row>
    <row r="9127">
      <c r="A9127" t="inlineStr">
        <is>
          <t>Aptar Oyonnax,  Oyonnax, France</t>
        </is>
      </c>
      <c r="B9127" t="inlineStr">
        <is>
          <t>Processing Unit, Trader with Storage</t>
        </is>
      </c>
      <c r="C9127" t="inlineStr">
        <is>
          <t>SGS Germany GmbH, Emstek, DE</t>
        </is>
      </c>
      <c r="D9127" t="inlineStr">
        <is>
          <t>15.01.2027</t>
        </is>
      </c>
      <c r="E9127" t="inlineStr">
        <is>
          <t>France</t>
        </is>
      </c>
    </row>
    <row r="9128">
      <c r="A9128" t="inlineStr">
        <is>
          <t>Sovena Consumer Goods Portugal, S.A.,  Barreiro, Portugal</t>
        </is>
      </c>
      <c r="B9128" t="inlineStr">
        <is>
          <t>Trader with Storage, Processing Unit</t>
        </is>
      </c>
      <c r="C9128" t="inlineStr">
        <is>
          <t>Control Union Poland Sp. z o.o., Zielona Gora, PL</t>
        </is>
      </c>
      <c r="D9128" t="inlineStr">
        <is>
          <t>15.01.2027</t>
        </is>
      </c>
      <c r="E9128" t="inlineStr">
        <is>
          <t>Portugal</t>
        </is>
      </c>
    </row>
    <row r="9129">
      <c r="A9129" t="inlineStr">
        <is>
          <t>KIANA TEJARAT MOHITE SABZ,  ESHTAHARD, Iran</t>
        </is>
      </c>
      <c r="B9129" t="inlineStr">
        <is>
          <t>Collecting Point, Trader</t>
        </is>
      </c>
      <c r="C9129" t="inlineStr">
        <is>
          <t>BM Certification, Riga, LV</t>
        </is>
      </c>
      <c r="D9129" t="inlineStr">
        <is>
          <t>15.01.2027</t>
        </is>
      </c>
      <c r="E9129" t="inlineStr">
        <is>
          <t>Iran</t>
        </is>
      </c>
    </row>
    <row r="9130">
      <c r="A9130" t="inlineStr">
        <is>
          <t>GRECO VINCENZO,  SAN PIETRO A MAIDA (CZ), Italy</t>
        </is>
      </c>
      <c r="B9130" t="inlineStr">
        <is>
          <t>Farm / Plantation, First Gathering Point, Processing Unit</t>
        </is>
      </c>
      <c r="C9130" t="inlineStr">
        <is>
          <t>CSQA Certificazioni Srl, Thiene, IT</t>
        </is>
      </c>
      <c r="D9130" t="inlineStr">
        <is>
          <t>15.01.2027</t>
        </is>
      </c>
      <c r="E9130" t="inlineStr">
        <is>
          <t>Italy</t>
        </is>
      </c>
    </row>
    <row r="9131">
      <c r="A9131" t="inlineStr">
        <is>
          <t>CONSORZIO VOLONTARIO OLIVICOLTORI SOC. COOP. AGRICOLA,  LAMEZIA TERME, Italy</t>
        </is>
      </c>
      <c r="B9131" t="inlineStr">
        <is>
          <t>Trader</t>
        </is>
      </c>
      <c r="C9131" t="inlineStr">
        <is>
          <t>CSQA Certificazioni Srl, Thiene, IT</t>
        </is>
      </c>
      <c r="D9131" t="inlineStr">
        <is>
          <t>15.01.2027</t>
        </is>
      </c>
      <c r="E9131" t="inlineStr">
        <is>
          <t>Italy</t>
        </is>
      </c>
    </row>
    <row r="9132">
      <c r="A9132" t="inlineStr">
        <is>
          <t>Betts India Private Limited - Goa Unit 1,  Verna, Salcete, India</t>
        </is>
      </c>
      <c r="B9132" t="inlineStr">
        <is>
          <t>Processing Unit</t>
        </is>
      </c>
      <c r="C9132" t="inlineStr">
        <is>
          <t>SGS Germany GmbH, Emstek, DE</t>
        </is>
      </c>
      <c r="D9132" t="inlineStr">
        <is>
          <t>14.01.2027</t>
        </is>
      </c>
      <c r="E9132" t="inlineStr">
        <is>
          <t>India</t>
        </is>
      </c>
    </row>
    <row r="9133">
      <c r="A9133" t="inlineStr">
        <is>
          <t>Hepabiotic,  Alhama, Spain</t>
        </is>
      </c>
      <c r="B9133" t="inlineStr">
        <is>
          <t>Point of Origin</t>
        </is>
      </c>
      <c r="C9133" t="inlineStr">
        <is>
          <t>BMC Assurance, S.L, Santander, ES</t>
        </is>
      </c>
      <c r="D9133" t="inlineStr">
        <is>
          <t>14.01.2027</t>
        </is>
      </c>
      <c r="E9133" t="inlineStr">
        <is>
          <t>Spain</t>
        </is>
      </c>
    </row>
    <row r="9134">
      <c r="A9134" t="inlineStr">
        <is>
          <t>Betts India Private Limited - Baddi Unit 2,  Dist-Solan, India</t>
        </is>
      </c>
      <c r="B9134" t="inlineStr">
        <is>
          <t>Processing Unit</t>
        </is>
      </c>
      <c r="C9134" t="inlineStr">
        <is>
          <t>SGS Germany GmbH, Emstek, DE</t>
        </is>
      </c>
      <c r="D9134" t="inlineStr">
        <is>
          <t>14.01.2027</t>
        </is>
      </c>
      <c r="E9134" t="inlineStr">
        <is>
          <t>India</t>
        </is>
      </c>
    </row>
    <row r="9135">
      <c r="A9135" t="inlineStr">
        <is>
          <t>GarAgro Kft,  Budapest, Hungary</t>
        </is>
      </c>
      <c r="B9135" t="inlineStr">
        <is>
          <t>First Gathering Point, Trader with Storage</t>
        </is>
      </c>
      <c r="C9135" t="inlineStr">
        <is>
          <t>Control Union Certifications Germany GmbH, Berlin, DE</t>
        </is>
      </c>
      <c r="D9135" t="inlineStr">
        <is>
          <t>14.01.2027</t>
        </is>
      </c>
      <c r="E9135" t="inlineStr">
        <is>
          <t>Hungary</t>
        </is>
      </c>
    </row>
    <row r="9136">
      <c r="A9136" t="inlineStr">
        <is>
          <t>Disa Gran canaria SL,  Poligono Industrial Salineas, Spain</t>
        </is>
      </c>
      <c r="B9136" t="inlineStr">
        <is>
          <t>Warehouse</t>
        </is>
      </c>
      <c r="C9136" t="inlineStr">
        <is>
          <t>Control Union Poland Sp. z o.o., Zielona Gora, PL</t>
        </is>
      </c>
      <c r="D9136" t="inlineStr">
        <is>
          <t>14.01.2027</t>
        </is>
      </c>
      <c r="E9136" t="inlineStr">
        <is>
          <t>Spain</t>
        </is>
      </c>
    </row>
    <row r="9137">
      <c r="A9137" t="inlineStr">
        <is>
          <t>FIRMIN,  Lavis, Trento, Italy</t>
        </is>
      </c>
      <c r="B9137" t="inlineStr">
        <is>
          <t>Trader with Storage</t>
        </is>
      </c>
      <c r="C9137" t="inlineStr">
        <is>
          <t>Certiquality srl, Milano, IT</t>
        </is>
      </c>
      <c r="D9137" t="inlineStr">
        <is>
          <t>14.01.2027</t>
        </is>
      </c>
      <c r="E9137" t="inlineStr">
        <is>
          <t>Italy</t>
        </is>
      </c>
    </row>
    <row r="9138">
      <c r="A9138" t="inlineStr">
        <is>
          <t>LAZZARI 3R SERVIZI S.R.L.,  Massa Martana, Italy</t>
        </is>
      </c>
      <c r="B9138" t="inlineStr">
        <is>
          <t>Collecting Point</t>
        </is>
      </c>
      <c r="C9138" t="inlineStr">
        <is>
          <t>ICIM SpA, sesto san giovanni, IT</t>
        </is>
      </c>
      <c r="D9138" t="inlineStr">
        <is>
          <t>14.01.2027</t>
        </is>
      </c>
      <c r="E9138" t="inlineStr">
        <is>
          <t>Italy</t>
        </is>
      </c>
    </row>
    <row r="9139">
      <c r="A9139" t="inlineStr">
        <is>
          <t>Van Raak Trading,  Weelde, Belgium</t>
        </is>
      </c>
      <c r="B9139" t="inlineStr">
        <is>
          <t>Trader with Storage, Warehouse</t>
        </is>
      </c>
      <c r="C9139" t="inlineStr">
        <is>
          <t>Control Union Certifications Germany GmbH, Berlin, DE</t>
        </is>
      </c>
      <c r="D9139" t="inlineStr">
        <is>
          <t>14.01.2027</t>
        </is>
      </c>
      <c r="E9139" t="inlineStr">
        <is>
          <t>Belgium</t>
        </is>
      </c>
    </row>
    <row r="9140">
      <c r="A9140" t="inlineStr">
        <is>
          <t>Atlantica Sdn Bhd,  KINABATANGAN, Malaysia</t>
        </is>
      </c>
      <c r="B9140" t="inlineStr">
        <is>
          <t>Point of Origin</t>
        </is>
      </c>
      <c r="C9140" t="inlineStr">
        <is>
          <t>Control Union Certifications Germany GmbH, Berlin, DE</t>
        </is>
      </c>
      <c r="D9140" t="inlineStr">
        <is>
          <t>14.01.2027</t>
        </is>
      </c>
      <c r="E9140" t="inlineStr">
        <is>
          <t>Malaysia</t>
        </is>
      </c>
    </row>
    <row r="9141">
      <c r="A9141" t="inlineStr">
        <is>
          <t>POLİNAS PLASTİK SAN.VE TİC. A.Ş,  Manisa, Turkey</t>
        </is>
      </c>
      <c r="B9141" t="inlineStr">
        <is>
          <t>Processing Unit</t>
        </is>
      </c>
      <c r="C9141" t="inlineStr">
        <is>
          <t>PT Intertek Utama Services, Jakarta, ID</t>
        </is>
      </c>
      <c r="D9141" t="inlineStr">
        <is>
          <t>14.01.2027</t>
        </is>
      </c>
      <c r="E9141" t="inlineStr">
        <is>
          <t>Turkey</t>
        </is>
      </c>
    </row>
    <row r="9142">
      <c r="A9142" t="inlineStr">
        <is>
          <t>Achilles USA,  Everett, United States</t>
        </is>
      </c>
      <c r="B9142" t="inlineStr">
        <is>
          <t>Processing Unit, Trader with Storage</t>
        </is>
      </c>
      <c r="C9142" t="inlineStr">
        <is>
          <t>SCS Global Services, Emeryville, CA, US</t>
        </is>
      </c>
      <c r="D9142" t="inlineStr">
        <is>
          <t>14.01.2027</t>
        </is>
      </c>
      <c r="E9142" t="inlineStr">
        <is>
          <t>United States</t>
        </is>
      </c>
    </row>
    <row r="9143">
      <c r="A9143" t="inlineStr">
        <is>
          <t>TRAFIN OIL, a.s.,  Horní Suchá, Czech Republic</t>
        </is>
      </c>
      <c r="B9143" t="inlineStr">
        <is>
          <t>Collecting Point, Trader with Storage</t>
        </is>
      </c>
      <c r="C9143" t="inlineStr">
        <is>
          <t>Bureau Veritas Polska Sp. z o.o., Warsaw, PL</t>
        </is>
      </c>
      <c r="D9143" t="inlineStr">
        <is>
          <t>14.01.2027</t>
        </is>
      </c>
      <c r="E9143" t="inlineStr">
        <is>
          <t>Czech Republic</t>
        </is>
      </c>
    </row>
    <row r="9144">
      <c r="A9144" t="inlineStr">
        <is>
          <t>ALP Petro Industry,  Pasuruan, Indonesia</t>
        </is>
      </c>
      <c r="B9144" t="inlineStr">
        <is>
          <t>Collecting Point, Processing Unit</t>
        </is>
      </c>
      <c r="C9144" t="inlineStr">
        <is>
          <t>PT Intertek Utama Services, Jakarta, ID</t>
        </is>
      </c>
      <c r="D9144" t="inlineStr">
        <is>
          <t>14.01.2027</t>
        </is>
      </c>
      <c r="E9144" t="inlineStr">
        <is>
          <t>Indonesia</t>
        </is>
      </c>
    </row>
    <row r="9145">
      <c r="A9145" t="inlineStr">
        <is>
          <t>Guangzhou PetroChina Fuel Oil Co.,Ltd.,  Guangzhou City, Guangdong Province, China</t>
        </is>
      </c>
      <c r="B9145" t="inlineStr">
        <is>
          <t>Trader with Storage</t>
        </is>
      </c>
      <c r="C9145" t="inlineStr">
        <is>
          <t>China Standard Conformity Assessment Co. Ltd, Beijing, CN</t>
        </is>
      </c>
      <c r="D9145" t="inlineStr">
        <is>
          <t>14.01.2027</t>
        </is>
      </c>
      <c r="E9145" t="inlineStr">
        <is>
          <t>China</t>
        </is>
      </c>
    </row>
    <row r="9146">
      <c r="A9146" t="inlineStr">
        <is>
          <t>ZHEJIANG SAIYA CHEMICAL MATERIALS CO.,ltd,  Shangyu District, Shaoxing City, Zhejiang Province, China</t>
        </is>
      </c>
      <c r="B9146" t="inlineStr">
        <is>
          <t>Processing Unit, Trader with Storage</t>
        </is>
      </c>
      <c r="C9146" t="inlineStr">
        <is>
          <t>China Quality Certification Centre Co., Ltd., Beijing, CN</t>
        </is>
      </c>
      <c r="D9146" t="inlineStr">
        <is>
          <t>14.01.2027</t>
        </is>
      </c>
      <c r="E9146" t="inlineStr">
        <is>
          <t>China</t>
        </is>
      </c>
    </row>
    <row r="9147">
      <c r="A9147" t="inlineStr">
        <is>
          <t>Zhejiang NHU Special Materials Co., Ltd.,  ShangYu District, Shaoxing City, Zhejiang Province, China</t>
        </is>
      </c>
      <c r="B9147" t="inlineStr">
        <is>
          <t>Processing Unit, Trader with Storage</t>
        </is>
      </c>
      <c r="C9147" t="inlineStr">
        <is>
          <t>China Quality Certification Centre Co., Ltd., Beijing, CN</t>
        </is>
      </c>
      <c r="D9147" t="inlineStr">
        <is>
          <t>14.01.2027</t>
        </is>
      </c>
      <c r="E9147" t="inlineStr">
        <is>
          <t>China</t>
        </is>
      </c>
    </row>
    <row r="9148">
      <c r="A9148" t="inlineStr">
        <is>
          <t>AgroZZN, a,s,,  Rakovník, Czech Republic</t>
        </is>
      </c>
      <c r="B9148" t="inlineStr">
        <is>
          <t>First Gathering Point, Logistics Center, Trader with Storage</t>
        </is>
      </c>
      <c r="C9148" t="inlineStr">
        <is>
          <t>PT Intertek Utama Services, Jakarta, ID</t>
        </is>
      </c>
      <c r="D9148" t="inlineStr">
        <is>
          <t>14.01.2027</t>
        </is>
      </c>
      <c r="E9148" t="inlineStr">
        <is>
          <t>Czech Republic</t>
        </is>
      </c>
    </row>
    <row r="9149">
      <c r="A9149" t="inlineStr">
        <is>
          <t>Xiamen Hong Tai Optical Co.,Ltd.,  Xiamen, China</t>
        </is>
      </c>
      <c r="B9149" t="inlineStr">
        <is>
          <t>Processing Unit</t>
        </is>
      </c>
      <c r="C9149" t="inlineStr">
        <is>
          <t>China Quality Certification Centre Co., Ltd., Beijing, CN</t>
        </is>
      </c>
      <c r="D9149" t="inlineStr">
        <is>
          <t>14.01.2027</t>
        </is>
      </c>
      <c r="E9149" t="inlineStr">
        <is>
          <t>China</t>
        </is>
      </c>
    </row>
    <row r="9150">
      <c r="A9150" t="inlineStr">
        <is>
          <t>Bell Polyester Products, Inc.,  Kanebo-cho, Houfu-shi, Japan</t>
        </is>
      </c>
      <c r="B9150" t="inlineStr">
        <is>
          <t>Processing Unit, Trader with Storage</t>
        </is>
      </c>
      <c r="C9150" t="inlineStr">
        <is>
          <t>PT Intertek Utama Services, Jakarta, ID</t>
        </is>
      </c>
      <c r="D9150" t="inlineStr">
        <is>
          <t>14.01.2027</t>
        </is>
      </c>
      <c r="E9150" t="inlineStr">
        <is>
          <t>Japan</t>
        </is>
      </c>
    </row>
    <row r="9151">
      <c r="A9151" t="inlineStr">
        <is>
          <t>Bridgestone Americas,  Morrison, United States</t>
        </is>
      </c>
      <c r="B9151" t="inlineStr">
        <is>
          <t>Processing Unit</t>
        </is>
      </c>
      <c r="C9151" t="inlineStr">
        <is>
          <t>SCS Global Services, Emeryville, CA, US</t>
        </is>
      </c>
      <c r="D9151" t="inlineStr">
        <is>
          <t>14.01.2027</t>
        </is>
      </c>
      <c r="E9151" t="inlineStr">
        <is>
          <t>United States</t>
        </is>
      </c>
    </row>
    <row r="9152">
      <c r="A9152" t="inlineStr">
        <is>
          <t>PLIXXENT GmbH &amp; Co. KG,  Oldenburg, Germany</t>
        </is>
      </c>
      <c r="B9152" t="inlineStr">
        <is>
          <t>Processing Unit, Trader with Storage, Warehouse</t>
        </is>
      </c>
      <c r="C9152" t="inlineStr">
        <is>
          <t>GUT Certifizierungsgesellschaft für Managementsysteme mbH Umweltgutachter, Berlin, DE</t>
        </is>
      </c>
      <c r="D9152" t="inlineStr">
        <is>
          <t>14.01.2027</t>
        </is>
      </c>
      <c r="E9152" t="inlineStr">
        <is>
          <t>Germany</t>
        </is>
      </c>
    </row>
    <row r="9153">
      <c r="A9153" t="inlineStr">
        <is>
          <t>Green Polytech Co., Ltd.,  Dangjin-si, Chungcheongnam-do, Korea, Republic of</t>
        </is>
      </c>
      <c r="B9153" t="inlineStr">
        <is>
          <t>Collecting Point, Processing Unit</t>
        </is>
      </c>
      <c r="C9153" t="inlineStr">
        <is>
          <t>Control Union Certifications Germany GmbH, Berlin, DE</t>
        </is>
      </c>
      <c r="D9153" t="inlineStr">
        <is>
          <t>14.01.2027</t>
        </is>
      </c>
      <c r="E9153" t="inlineStr">
        <is>
          <t>Republic of</t>
        </is>
      </c>
    </row>
    <row r="9154">
      <c r="A9154" t="inlineStr">
        <is>
          <t>Valgroup MG Indústria de Embalagens Ltda,  Itamonte, Minas Gerais, Brazil</t>
        </is>
      </c>
      <c r="B9154" t="inlineStr">
        <is>
          <t>Processing Unit</t>
        </is>
      </c>
      <c r="C9154" t="inlineStr">
        <is>
          <t>QIMA, Centro, Botucatu - SP, CEP, BR</t>
        </is>
      </c>
      <c r="D9154" t="inlineStr">
        <is>
          <t>14.01.2027</t>
        </is>
      </c>
      <c r="E9154" t="inlineStr">
        <is>
          <t>Brazil</t>
        </is>
      </c>
    </row>
    <row r="9155">
      <c r="A9155" t="inlineStr">
        <is>
          <t>Betts India Private Limited,  Dabhel, Dadra and Nagar Haveli and Daman and Diu,, India</t>
        </is>
      </c>
      <c r="B9155" t="inlineStr">
        <is>
          <t>Processing Unit</t>
        </is>
      </c>
      <c r="C9155" t="inlineStr">
        <is>
          <t>SGS Germany GmbH, Emstek, DE</t>
        </is>
      </c>
      <c r="D9155" t="inlineStr">
        <is>
          <t>14.01.2027</t>
        </is>
      </c>
      <c r="E9155" t="inlineStr">
        <is>
          <t>India</t>
        </is>
      </c>
    </row>
    <row r="9156">
      <c r="A9156" t="inlineStr">
        <is>
          <t>ANGL OIL,  Flamborough, Bridlington, United Kingdom</t>
        </is>
      </c>
      <c r="B9156" t="inlineStr">
        <is>
          <t>Collecting Point</t>
        </is>
      </c>
      <c r="C9156" t="inlineStr">
        <is>
          <t>BM Certification, Riga, LV</t>
        </is>
      </c>
      <c r="D9156" t="inlineStr">
        <is>
          <t>14.01.2027</t>
        </is>
      </c>
      <c r="E9156" t="inlineStr">
        <is>
          <t>United Kingdom</t>
        </is>
      </c>
    </row>
    <row r="9157">
      <c r="A9157" t="inlineStr">
        <is>
          <t>Jingzhou Dady Bioengineering Co.,LTD,  Jingzhou City,Hubei Province, China</t>
        </is>
      </c>
      <c r="B9157" t="inlineStr">
        <is>
          <t>Collecting Point, Trader with Storage</t>
        </is>
      </c>
      <c r="C9157" t="inlineStr">
        <is>
          <t>SCS Global Services, Emeryville, CA, US</t>
        </is>
      </c>
      <c r="D9157" t="inlineStr">
        <is>
          <t>14.01.2027</t>
        </is>
      </c>
      <c r="E9157" t="inlineStr">
        <is>
          <t>China</t>
        </is>
      </c>
    </row>
    <row r="9158">
      <c r="A9158" t="inlineStr">
        <is>
          <t>VALGROUP BRASIL II INDUSTRIA DE EMBALAGENS PLASTICAS,  Itamonte-MG, Brazil</t>
        </is>
      </c>
      <c r="B9158" t="inlineStr">
        <is>
          <t>Processing Unit</t>
        </is>
      </c>
      <c r="C9158" t="inlineStr">
        <is>
          <t>QIMA, Centro, Botucatu - SP, CEP, BR</t>
        </is>
      </c>
      <c r="D9158" t="inlineStr">
        <is>
          <t>14.01.2027</t>
        </is>
      </c>
      <c r="E9158" t="inlineStr">
        <is>
          <t>Brazil</t>
        </is>
      </c>
    </row>
    <row r="9159">
      <c r="A9159" t="inlineStr">
        <is>
          <t>Synthomer Middelburg B.V.,  Middelburg, Netherlands</t>
        </is>
      </c>
      <c r="B9159" t="inlineStr">
        <is>
          <t>Processing Unit</t>
        </is>
      </c>
      <c r="C9159" t="inlineStr">
        <is>
          <t>SGS Germany GmbH, Emstek, DE</t>
        </is>
      </c>
      <c r="D9159" t="inlineStr">
        <is>
          <t>14.01.2027</t>
        </is>
      </c>
      <c r="E9159" t="inlineStr">
        <is>
          <t>Netherlands</t>
        </is>
      </c>
    </row>
    <row r="9160">
      <c r="A9160" t="inlineStr">
        <is>
          <t>CFP CORPORATION,  Kasaoka City, Okayama, Japan</t>
        </is>
      </c>
      <c r="B9160" t="inlineStr">
        <is>
          <t>Collecting Point, Processing Unit, Trader</t>
        </is>
      </c>
      <c r="C9160" t="inlineStr">
        <is>
          <t>SGS Germany GmbH, Emstek, DE</t>
        </is>
      </c>
      <c r="D9160" t="inlineStr">
        <is>
          <t>14.01.2027</t>
        </is>
      </c>
      <c r="E9160" t="inlineStr">
        <is>
          <t>Japan</t>
        </is>
      </c>
    </row>
    <row r="9161">
      <c r="A9161" t="inlineStr">
        <is>
          <t>MITSUBISHI GAS CHEMICAL COMPANY, INC.(Kashima Plant),  Kamisu-shi, Ibaraki, Japan</t>
        </is>
      </c>
      <c r="B9161" t="inlineStr">
        <is>
          <t>Processing Unit</t>
        </is>
      </c>
      <c r="C9161" t="inlineStr">
        <is>
          <t>SGS Germany GmbH, Emstek, DE</t>
        </is>
      </c>
      <c r="D9161" t="inlineStr">
        <is>
          <t>14.01.2027</t>
        </is>
      </c>
      <c r="E9161" t="inlineStr">
        <is>
          <t>Japan</t>
        </is>
      </c>
    </row>
    <row r="9162">
      <c r="A9162" t="inlineStr">
        <is>
          <t>Borealis GmbH,  Burghausen, Germany</t>
        </is>
      </c>
      <c r="B9162" t="inlineStr">
        <is>
          <t>Processing Unit, Trader with Storage</t>
        </is>
      </c>
      <c r="C9162" t="inlineStr">
        <is>
          <t>SGS Germany GmbH, Emstek, DE</t>
        </is>
      </c>
      <c r="D9162" t="inlineStr">
        <is>
          <t>14.01.2027</t>
        </is>
      </c>
      <c r="E9162" t="inlineStr">
        <is>
          <t>Germany</t>
        </is>
      </c>
    </row>
    <row r="9163">
      <c r="A9163" t="inlineStr">
        <is>
          <t>Amcor Flexibles (Australia) Pty Ltd,  Moorabbin, Australia</t>
        </is>
      </c>
      <c r="B9163" t="inlineStr">
        <is>
          <t>Processing Unit</t>
        </is>
      </c>
      <c r="C9163" t="inlineStr">
        <is>
          <t>SGS Germany GmbH, Emstek, DE</t>
        </is>
      </c>
      <c r="D9163" t="inlineStr">
        <is>
          <t>14.01.2027</t>
        </is>
      </c>
      <c r="E9163" t="inlineStr">
        <is>
          <t>Australia</t>
        </is>
      </c>
    </row>
    <row r="9164">
      <c r="A9164" t="inlineStr">
        <is>
          <t>BSGF company limited,  Bangkok, Thailand</t>
        </is>
      </c>
      <c r="B9164" t="inlineStr">
        <is>
          <t>Collecting Point, Processing Unit, Trader with Storage</t>
        </is>
      </c>
      <c r="C9164" t="inlineStr">
        <is>
          <t>SGS Germany GmbH, Emstek, DE</t>
        </is>
      </c>
      <c r="D9164" t="inlineStr">
        <is>
          <t>14.01.2027</t>
        </is>
      </c>
      <c r="E9164" t="inlineStr">
        <is>
          <t>Thailand</t>
        </is>
      </c>
    </row>
    <row r="9165">
      <c r="A9165" t="inlineStr">
        <is>
          <t>BSGF company limited,  Bangkok, Thailand</t>
        </is>
      </c>
      <c r="B9165" t="inlineStr">
        <is>
          <t>Collecting Point, Processing Unit, Trader with Storage</t>
        </is>
      </c>
      <c r="C9165" t="inlineStr">
        <is>
          <t>SGS Germany GmbH, Emstek, DE</t>
        </is>
      </c>
      <c r="D9165" t="inlineStr">
        <is>
          <t>14.01.2027</t>
        </is>
      </c>
      <c r="E9165" t="inlineStr">
        <is>
          <t>Thailand</t>
        </is>
      </c>
    </row>
    <row r="9166">
      <c r="A9166" t="inlineStr">
        <is>
          <t>BSGF company limited,  Bangkok, Thailand</t>
        </is>
      </c>
      <c r="B9166" t="inlineStr">
        <is>
          <t>Collecting Point, Processing Unit, Trader with Storage, Point of Origin</t>
        </is>
      </c>
      <c r="C9166" t="inlineStr">
        <is>
          <t>SGS Germany GmbH, Emstek, DE</t>
        </is>
      </c>
      <c r="D9166" t="inlineStr">
        <is>
          <t>14.01.2027</t>
        </is>
      </c>
      <c r="E9166" t="inlineStr">
        <is>
          <t>Thailand</t>
        </is>
      </c>
    </row>
    <row r="9167">
      <c r="A9167" t="inlineStr">
        <is>
          <t>YND Enterprise,  RAWANG, SELANGOR, Malaysia</t>
        </is>
      </c>
      <c r="B9167" t="inlineStr">
        <is>
          <t>Collecting Point, Trader with Storage</t>
        </is>
      </c>
      <c r="C9167" t="inlineStr">
        <is>
          <t>PT SBC Asia Sertifikasi, Kebumen, ID</t>
        </is>
      </c>
      <c r="D9167" t="inlineStr">
        <is>
          <t>14.01.2027</t>
        </is>
      </c>
      <c r="E9167" t="inlineStr">
        <is>
          <t>Malaysia</t>
        </is>
      </c>
    </row>
    <row r="9168">
      <c r="A9168" t="inlineStr">
        <is>
          <t>Sinopec Ningbo Zhenhai Refining &amp; Chemical Co., Ltd.,  Zhenhai District,Ningbo City, Zhejiang Province, China</t>
        </is>
      </c>
      <c r="B9168" t="inlineStr">
        <is>
          <t>Processing Unit, Trader with Storage</t>
        </is>
      </c>
      <c r="C9168" t="inlineStr">
        <is>
          <t>China Quality Certification Centre Co., Ltd., Beijing, CN</t>
        </is>
      </c>
      <c r="D9168" t="inlineStr">
        <is>
          <t>14.01.2027</t>
        </is>
      </c>
      <c r="E9168" t="inlineStr">
        <is>
          <t>China</t>
        </is>
      </c>
    </row>
    <row r="9169">
      <c r="A9169" t="inlineStr">
        <is>
          <t>Permata Nusa Sejati,  Nunukan, Kalimantan Utara, Indonesia</t>
        </is>
      </c>
      <c r="B9169" t="inlineStr">
        <is>
          <t>Point of Origin</t>
        </is>
      </c>
      <c r="C9169" t="inlineStr">
        <is>
          <t>PT. CBQA GLOBAL INDONESIA, JAKARTA SELATAN, ID</t>
        </is>
      </c>
      <c r="D9169" t="inlineStr">
        <is>
          <t>14.01.2027</t>
        </is>
      </c>
      <c r="E9169" t="inlineStr">
        <is>
          <t>Indonesia</t>
        </is>
      </c>
    </row>
    <row r="9170">
      <c r="A9170" t="inlineStr">
        <is>
          <t>ACE OIL MILL,  Rompin, Pahang, Malaysia</t>
        </is>
      </c>
      <c r="B9170" t="inlineStr">
        <is>
          <t>Point of Origin</t>
        </is>
      </c>
      <c r="C9170" t="inlineStr">
        <is>
          <t>PT. CBQA GLOBAL INDONESIA, JAKARTA SELATAN, ID</t>
        </is>
      </c>
      <c r="D9170" t="inlineStr">
        <is>
          <t>14.01.2027</t>
        </is>
      </c>
      <c r="E9170" t="inlineStr">
        <is>
          <t>Malaysia</t>
        </is>
      </c>
    </row>
    <row r="9171">
      <c r="A9171" t="inlineStr">
        <is>
          <t>Kahang Palm Oil Mill,  Kluang, Pahang, Malaysia</t>
        </is>
      </c>
      <c r="B9171" t="inlineStr">
        <is>
          <t>Point of Origin</t>
        </is>
      </c>
      <c r="C9171" t="inlineStr">
        <is>
          <t>PT. CBQA GLOBAL INDONESIA, JAKARTA SELATAN, ID</t>
        </is>
      </c>
      <c r="D9171" t="inlineStr">
        <is>
          <t>14.01.2027</t>
        </is>
      </c>
      <c r="E9171" t="inlineStr">
        <is>
          <t>Malaysia</t>
        </is>
      </c>
    </row>
    <row r="9172">
      <c r="A9172" t="inlineStr">
        <is>
          <t>Perak Motor Co.,  Teluk Intan, Perak, Malaysia</t>
        </is>
      </c>
      <c r="B9172" t="inlineStr">
        <is>
          <t>Point of Origin</t>
        </is>
      </c>
      <c r="C9172" t="inlineStr">
        <is>
          <t>PT. CBQA GLOBAL INDONESIA, JAKARTA SELATAN, ID</t>
        </is>
      </c>
      <c r="D9172" t="inlineStr">
        <is>
          <t>14.01.2027</t>
        </is>
      </c>
      <c r="E9172" t="inlineStr">
        <is>
          <t>Malaysia</t>
        </is>
      </c>
    </row>
    <row r="9173">
      <c r="A9173" t="inlineStr">
        <is>
          <t>Jeng Huat (Bahau) Realty,  Bera, Pahang, Malaysia</t>
        </is>
      </c>
      <c r="B9173" t="inlineStr">
        <is>
          <t>Point of Origin</t>
        </is>
      </c>
      <c r="C9173" t="inlineStr">
        <is>
          <t>PT. CBQA GLOBAL INDONESIA, JAKARTA SELATAN, ID</t>
        </is>
      </c>
      <c r="D9173" t="inlineStr">
        <is>
          <t>14.01.2027</t>
        </is>
      </c>
      <c r="E9173" t="inlineStr">
        <is>
          <t>Malaysia</t>
        </is>
      </c>
    </row>
    <row r="9174">
      <c r="A9174" t="inlineStr">
        <is>
          <t>Disa Gran canaria SL,  Poligono Industrial Salineas, Spain</t>
        </is>
      </c>
      <c r="B9174" t="inlineStr">
        <is>
          <t>Warehouse</t>
        </is>
      </c>
      <c r="C9174" t="inlineStr">
        <is>
          <t>Control Union Poland Sp. z o.o., Zielona Gora, PL</t>
        </is>
      </c>
      <c r="D9174" t="inlineStr">
        <is>
          <t>14.01.2027</t>
        </is>
      </c>
      <c r="E9174" t="inlineStr">
        <is>
          <t>Spain</t>
        </is>
      </c>
    </row>
    <row r="9175">
      <c r="A9175" t="inlineStr">
        <is>
          <t>HCS A/S Transport &amp; Spedition,  Glostrup, Denmark</t>
        </is>
      </c>
      <c r="B9175" t="inlineStr">
        <is>
          <t>Collecting Point, Processing Unit</t>
        </is>
      </c>
      <c r="C9175" t="inlineStr">
        <is>
          <t>Baltic Control Certification, Risskov, DK</t>
        </is>
      </c>
      <c r="D9175" t="inlineStr">
        <is>
          <t>14.01.2027</t>
        </is>
      </c>
      <c r="E9175" t="inlineStr">
        <is>
          <t>Denmark</t>
        </is>
      </c>
    </row>
    <row r="9176">
      <c r="A9176" t="inlineStr">
        <is>
          <t>VTA Austria GmbH,  Rottenbach, Austria</t>
        </is>
      </c>
      <c r="B9176" t="inlineStr">
        <is>
          <t>Trader</t>
        </is>
      </c>
      <c r="C9176" t="inlineStr">
        <is>
          <t>agroVet GmbH, Enzersfeld, AT</t>
        </is>
      </c>
      <c r="D9176" t="inlineStr">
        <is>
          <t>14.01.2027</t>
        </is>
      </c>
      <c r="E9176" t="inlineStr">
        <is>
          <t>Austria</t>
        </is>
      </c>
    </row>
    <row r="9177">
      <c r="A9177" t="inlineStr">
        <is>
          <t>Ganzhou Senbo Garment Co., Ltd.,  Ganzhou City, China</t>
        </is>
      </c>
      <c r="B9177" t="inlineStr">
        <is>
          <t>Processing Unit</t>
        </is>
      </c>
      <c r="C9177" t="inlineStr">
        <is>
          <t>Extensive Standard Technical Services Co., Ltd., Hong Kong, CN</t>
        </is>
      </c>
      <c r="D9177" t="inlineStr">
        <is>
          <t>14.01.2027</t>
        </is>
      </c>
      <c r="E9177" t="inlineStr">
        <is>
          <t>China</t>
        </is>
      </c>
    </row>
    <row r="9178">
      <c r="A9178" t="inlineStr">
        <is>
          <t>Bunge Canada Inc.,  Regina, Canada</t>
        </is>
      </c>
      <c r="B9178" t="inlineStr">
        <is>
          <t>First Gathering Point, Trader with Storage</t>
        </is>
      </c>
      <c r="C9178" t="inlineStr">
        <is>
          <t>SGS Germany GmbH, Emstek, DE</t>
        </is>
      </c>
      <c r="D9178" t="inlineStr">
        <is>
          <t>14.01.2027</t>
        </is>
      </c>
      <c r="E9178" t="inlineStr">
        <is>
          <t>Canada</t>
        </is>
      </c>
    </row>
    <row r="9179">
      <c r="A9179" t="inlineStr">
        <is>
          <t>Zhejiang Xinlü Oil &amp; Fat Industry Co., Ltd.,  Suichang County, Lishui City, Zhejiang Province,, China</t>
        </is>
      </c>
      <c r="B9179" t="inlineStr">
        <is>
          <t>Collecting Point, Trader with Storage</t>
        </is>
      </c>
      <c r="C9179" t="inlineStr">
        <is>
          <t>RINA Services S.p.A., Genova, IT</t>
        </is>
      </c>
      <c r="D9179" t="inlineStr">
        <is>
          <t>14.01.2027</t>
        </is>
      </c>
      <c r="E9179" t="inlineStr">
        <is>
          <t>China</t>
        </is>
      </c>
    </row>
    <row r="9180">
      <c r="A9180" t="inlineStr">
        <is>
          <t>Manobandacorp C.A.,  Quevedo, Ecuador</t>
        </is>
      </c>
      <c r="B9180" t="inlineStr">
        <is>
          <t>Point of Origin</t>
        </is>
      </c>
      <c r="C9180" t="inlineStr">
        <is>
          <t>Control Union Poland Sp. z o.o., Zielona Gora, PL</t>
        </is>
      </c>
      <c r="D9180" t="inlineStr">
        <is>
          <t>14.01.2027</t>
        </is>
      </c>
      <c r="E9180" t="inlineStr">
        <is>
          <t>Ecuador</t>
        </is>
      </c>
    </row>
    <row r="9181">
      <c r="A9181" t="inlineStr">
        <is>
          <t>CPCU,  Paris 15, France</t>
        </is>
      </c>
      <c r="B9181" t="inlineStr">
        <is>
          <t>Processing Unit</t>
        </is>
      </c>
      <c r="C9181" t="inlineStr">
        <is>
          <t>SGS Germany GmbH, Emstek, DE</t>
        </is>
      </c>
      <c r="D9181" t="inlineStr">
        <is>
          <t>14.01.2027</t>
        </is>
      </c>
      <c r="E9181" t="inlineStr">
        <is>
          <t>France</t>
        </is>
      </c>
    </row>
    <row r="9182">
      <c r="A9182" t="inlineStr">
        <is>
          <t>Agrokémia Kft.,  Aba, Hungary</t>
        </is>
      </c>
      <c r="B9182" t="inlineStr">
        <is>
          <t>First Gathering Point, Trader with Storage</t>
        </is>
      </c>
      <c r="C9182" t="inlineStr">
        <is>
          <t>Bureau Veritas Polska Sp. z o.o., Warsaw, PL</t>
        </is>
      </c>
      <c r="D9182" t="inlineStr">
        <is>
          <t>14.01.2027</t>
        </is>
      </c>
      <c r="E9182" t="inlineStr">
        <is>
          <t>Hungary</t>
        </is>
      </c>
    </row>
    <row r="9183">
      <c r="A9183" t="inlineStr">
        <is>
          <t>Vindtestcenter Måde K/S,  Esbjerg Ø, Denmark</t>
        </is>
      </c>
      <c r="B9183" t="inlineStr">
        <is>
          <t>Processing Unit</t>
        </is>
      </c>
      <c r="C9183" t="inlineStr">
        <is>
          <t>Baltic Control Certification, Risskov, DK</t>
        </is>
      </c>
      <c r="D9183" t="inlineStr">
        <is>
          <t>14.01.2027</t>
        </is>
      </c>
      <c r="E9183" t="inlineStr">
        <is>
          <t>Denmark</t>
        </is>
      </c>
    </row>
    <row r="9184">
      <c r="A9184" t="inlineStr">
        <is>
          <t>Henan Hanyong Agricultural Development Co., Ltd.,  Jiaozuo City, China</t>
        </is>
      </c>
      <c r="B9184" t="inlineStr">
        <is>
          <t>Processing Unit</t>
        </is>
      </c>
      <c r="C9184" t="inlineStr">
        <is>
          <t>SGS Germany GmbH, Emstek, DE</t>
        </is>
      </c>
      <c r="D9184" t="inlineStr">
        <is>
          <t>14.01.2027</t>
        </is>
      </c>
      <c r="E9184" t="inlineStr">
        <is>
          <t>China</t>
        </is>
      </c>
    </row>
    <row r="9185">
      <c r="A9185" t="inlineStr">
        <is>
          <t>HONGTAI OPTICAL CO., LTD.,  Xiamen, China</t>
        </is>
      </c>
      <c r="B9185" t="inlineStr">
        <is>
          <t>Trader</t>
        </is>
      </c>
      <c r="C9185" t="inlineStr">
        <is>
          <t>RINA Services S.p.A., Genova, IT</t>
        </is>
      </c>
      <c r="D9185" t="inlineStr">
        <is>
          <t>14.01.2027</t>
        </is>
      </c>
      <c r="E9185" t="inlineStr">
        <is>
          <t>China</t>
        </is>
      </c>
    </row>
    <row r="9186">
      <c r="A9186" t="inlineStr">
        <is>
          <t>Shenzhen Zhongxing Hengxi Environmental Protection Co., Ltd.,  Shenzhen, China</t>
        </is>
      </c>
      <c r="B9186" t="inlineStr">
        <is>
          <t>Collecting Point, Processing Unit</t>
        </is>
      </c>
      <c r="C9186" t="inlineStr">
        <is>
          <t>RINA Services S.p.A., Genova, IT</t>
        </is>
      </c>
      <c r="D9186" t="inlineStr">
        <is>
          <t>14.01.2027</t>
        </is>
      </c>
      <c r="E9186" t="inlineStr">
        <is>
          <t>China</t>
        </is>
      </c>
    </row>
    <row r="9187">
      <c r="A9187" t="inlineStr">
        <is>
          <t>Trafin Oil SK, s.r.o.,  Bytča, Slovakia</t>
        </is>
      </c>
      <c r="B9187" t="inlineStr">
        <is>
          <t>Collecting Point, Warehouse</t>
        </is>
      </c>
      <c r="C9187" t="inlineStr">
        <is>
          <t>Bureau Veritas Polska Sp. z o.o., Warsaw, PL</t>
        </is>
      </c>
      <c r="D9187" t="inlineStr">
        <is>
          <t>14.01.2027</t>
        </is>
      </c>
      <c r="E9187" t="inlineStr">
        <is>
          <t>Slovakia</t>
        </is>
      </c>
    </row>
    <row r="9188">
      <c r="A9188" t="inlineStr">
        <is>
          <t>Bio Energy Supply B.V.,  Zevenbergen, Netherlands</t>
        </is>
      </c>
      <c r="B9188" t="inlineStr">
        <is>
          <t>Collecting Point, Trader</t>
        </is>
      </c>
      <c r="C9188" t="inlineStr">
        <is>
          <t>Control Union Certifications Germany GmbH, Berlin, DE</t>
        </is>
      </c>
      <c r="D9188" t="inlineStr">
        <is>
          <t>14.01.2027</t>
        </is>
      </c>
      <c r="E9188" t="inlineStr">
        <is>
          <t>Netherlands</t>
        </is>
      </c>
    </row>
    <row r="9189">
      <c r="A9189" t="inlineStr">
        <is>
          <t>Cakra Dua Berlian,  Kab. Sidoarjo, Indonesia</t>
        </is>
      </c>
      <c r="B9189" t="inlineStr">
        <is>
          <t>Collecting Point, Trader with Storage</t>
        </is>
      </c>
      <c r="C9189" t="inlineStr">
        <is>
          <t>PT SBC Asia Sertifikasi, Kebumen, ID</t>
        </is>
      </c>
      <c r="D9189" t="inlineStr">
        <is>
          <t>14.01.2027</t>
        </is>
      </c>
      <c r="E9189" t="inlineStr">
        <is>
          <t>Indonesia</t>
        </is>
      </c>
    </row>
    <row r="9190">
      <c r="A9190" t="inlineStr">
        <is>
          <t>SACED s.r.l.,  TRINITA' (CN), Italy</t>
        </is>
      </c>
      <c r="B9190" t="inlineStr">
        <is>
          <t>Collecting Point, Processing Unit</t>
        </is>
      </c>
      <c r="C9190" t="inlineStr">
        <is>
          <t>BMC Assurance, S.L, Santander, ES</t>
        </is>
      </c>
      <c r="D9190" t="inlineStr">
        <is>
          <t>14.01.2027</t>
        </is>
      </c>
      <c r="E9190" t="inlineStr">
        <is>
          <t>Italy</t>
        </is>
      </c>
    </row>
    <row r="9191">
      <c r="A9191" t="inlineStr">
        <is>
          <t>La Nuova Reale di Stasi Maria Rosaria,  Reggio Emilia, Italy</t>
        </is>
      </c>
      <c r="B9191" t="inlineStr">
        <is>
          <t>Collecting Point</t>
        </is>
      </c>
      <c r="C9191" t="inlineStr">
        <is>
          <t>SGS Germany GmbH, Emstek, DE</t>
        </is>
      </c>
      <c r="D9191" t="inlineStr">
        <is>
          <t>14.01.2027</t>
        </is>
      </c>
      <c r="E9191" t="inlineStr">
        <is>
          <t>Italy</t>
        </is>
      </c>
    </row>
    <row r="9192">
      <c r="A9192" t="inlineStr">
        <is>
          <t>Sermag,  Casale Monferrato, Italy</t>
        </is>
      </c>
      <c r="B9192" t="inlineStr">
        <is>
          <t>Trader with Storage</t>
        </is>
      </c>
      <c r="C9192" t="inlineStr">
        <is>
          <t>IIP S.r.l., Monza, IT</t>
        </is>
      </c>
      <c r="D9192" t="inlineStr">
        <is>
          <t>14.01.2027</t>
        </is>
      </c>
      <c r="E9192" t="inlineStr">
        <is>
          <t>Italy</t>
        </is>
      </c>
    </row>
    <row r="9193">
      <c r="A9193" t="inlineStr">
        <is>
          <t>KUB "Agrosindikatas",  Audroniu I k., Obeliai, Rokiskio r., Lithuania</t>
        </is>
      </c>
      <c r="B9193" t="inlineStr">
        <is>
          <t>First Gathering Point, Processing Unit, Trader with Storage</t>
        </is>
      </c>
      <c r="C9193" t="inlineStr">
        <is>
          <t>SGS Germany GmbH, Emstek, DE</t>
        </is>
      </c>
      <c r="D9193" t="inlineStr">
        <is>
          <t>14.01.2027</t>
        </is>
      </c>
      <c r="E9193" t="inlineStr">
        <is>
          <t>Lithuania</t>
        </is>
      </c>
    </row>
    <row r="9194">
      <c r="A9194" t="inlineStr">
        <is>
          <t>CPCU,  Paris 12, France</t>
        </is>
      </c>
      <c r="B9194" t="inlineStr">
        <is>
          <t>Processing Unit</t>
        </is>
      </c>
      <c r="C9194" t="inlineStr">
        <is>
          <t>SGS Germany GmbH, Emstek, DE</t>
        </is>
      </c>
      <c r="D9194" t="inlineStr">
        <is>
          <t>14.01.2027</t>
        </is>
      </c>
      <c r="E9194" t="inlineStr">
        <is>
          <t>France</t>
        </is>
      </c>
    </row>
    <row r="9195">
      <c r="A9195" t="inlineStr">
        <is>
          <t>DISA LANZAROTE SL,  Arrecife, Spain</t>
        </is>
      </c>
      <c r="B9195" t="inlineStr">
        <is>
          <t>Warehouse</t>
        </is>
      </c>
      <c r="C9195" t="inlineStr">
        <is>
          <t>Control Union Poland Sp. z o.o., Zielona Gora, PL</t>
        </is>
      </c>
      <c r="D9195" t="inlineStr">
        <is>
          <t>13.01.2027</t>
        </is>
      </c>
      <c r="E9195" t="inlineStr">
        <is>
          <t>Spain</t>
        </is>
      </c>
    </row>
    <row r="9196">
      <c r="A9196" t="inlineStr">
        <is>
          <t>Wenzhou Zhongke New Energy Technology Co., Ltd.,  Longwan District, Wenzhou City, Zhejiang Province, China</t>
        </is>
      </c>
      <c r="B9196" t="inlineStr">
        <is>
          <t>Collecting Point, Processing Unit, Trader</t>
        </is>
      </c>
      <c r="C9196" t="inlineStr">
        <is>
          <t>SCS Global Services, Emeryville, CA, US</t>
        </is>
      </c>
      <c r="D9196" t="inlineStr">
        <is>
          <t>13.01.2027</t>
        </is>
      </c>
      <c r="E9196" t="inlineStr">
        <is>
          <t>China</t>
        </is>
      </c>
    </row>
    <row r="9197">
      <c r="A9197" t="inlineStr">
        <is>
          <t>PT Meganusa Intisawit,  Kabupaten Indragiri Hulu, Provinsi Riau, Indonesia</t>
        </is>
      </c>
      <c r="B9197" t="inlineStr">
        <is>
          <t>Central Office (Farms/Plantations)</t>
        </is>
      </c>
      <c r="C9197" t="inlineStr">
        <is>
          <t>PT Intertek Utama Services, Jakarta, ID</t>
        </is>
      </c>
      <c r="D9197" t="inlineStr">
        <is>
          <t>13.01.2027</t>
        </is>
      </c>
      <c r="E9197" t="inlineStr">
        <is>
          <t>Indonesia</t>
        </is>
      </c>
    </row>
    <row r="9198">
      <c r="A9198" t="inlineStr">
        <is>
          <t>PT Meganusa Intisawit,  Kabupaten Indragiri Hulu, Provinsi Riau, Indonesia</t>
        </is>
      </c>
      <c r="B9198" t="inlineStr">
        <is>
          <t>First Gathering Point, Processing Unit, Point of Origin</t>
        </is>
      </c>
      <c r="C9198" t="inlineStr">
        <is>
          <t>PT Intertek Utama Services, Jakarta, ID</t>
        </is>
      </c>
      <c r="D9198" t="inlineStr">
        <is>
          <t>13.01.2027</t>
        </is>
      </c>
      <c r="E9198" t="inlineStr">
        <is>
          <t>Indonesia</t>
        </is>
      </c>
    </row>
    <row r="9199">
      <c r="A9199" t="inlineStr">
        <is>
          <t>MEKONG PEARL IMPORT EXPORT JOINT STOCK COMPANY,  Ho Chi Minh, Vietnam</t>
        </is>
      </c>
      <c r="B9199" t="inlineStr">
        <is>
          <t>Trader with Storage</t>
        </is>
      </c>
      <c r="C9199" t="inlineStr">
        <is>
          <t>BM Certification, Riga, LV</t>
        </is>
      </c>
      <c r="D9199" t="inlineStr">
        <is>
          <t>13.01.2027</t>
        </is>
      </c>
      <c r="E9199" t="inlineStr">
        <is>
          <t>Vietnam</t>
        </is>
      </c>
    </row>
    <row r="9200">
      <c r="A9200" t="inlineStr">
        <is>
          <t>PT Meganusa Intisawit,  Kabupaten Indragiri Hulu, Provinsi Riau, Indonesia</t>
        </is>
      </c>
      <c r="B9200" t="inlineStr">
        <is>
          <t>Central Office (Farms/Plantations)</t>
        </is>
      </c>
      <c r="C9200" t="inlineStr">
        <is>
          <t>PT Intertek Utama Services, Jakarta, ID</t>
        </is>
      </c>
      <c r="D9200" t="inlineStr">
        <is>
          <t>13.01.2027</t>
        </is>
      </c>
      <c r="E9200" t="inlineStr">
        <is>
          <t>Indonesia</t>
        </is>
      </c>
    </row>
    <row r="9201">
      <c r="A9201" t="inlineStr">
        <is>
          <t>PT Meganusa Intisawit,  Kabupaten Indragiri Hulu, Provinsi Riau, Indonesia</t>
        </is>
      </c>
      <c r="B9201" t="inlineStr">
        <is>
          <t>Central Office (Farms/Plantations)</t>
        </is>
      </c>
      <c r="C9201" t="inlineStr">
        <is>
          <t>PT Intertek Utama Services, Jakarta, ID</t>
        </is>
      </c>
      <c r="D9201" t="inlineStr">
        <is>
          <t>13.01.2027</t>
        </is>
      </c>
      <c r="E9201" t="inlineStr">
        <is>
          <t>Indonesia</t>
        </is>
      </c>
    </row>
    <row r="9202">
      <c r="A9202" t="inlineStr">
        <is>
          <t>Tarimsal Kimya Teknolojileri Sanayi ve Ticaret A.Ş.,  Mustafakemalpasa, Bursa, Turkey</t>
        </is>
      </c>
      <c r="B9202" t="inlineStr">
        <is>
          <t>Processing Unit</t>
        </is>
      </c>
      <c r="C9202" t="inlineStr">
        <is>
          <t>PT Intertek Utama Services, Jakarta, ID</t>
        </is>
      </c>
      <c r="D9202" t="inlineStr">
        <is>
          <t>13.01.2027</t>
        </is>
      </c>
      <c r="E9202" t="inlineStr">
        <is>
          <t>Turkey</t>
        </is>
      </c>
    </row>
    <row r="9203">
      <c r="A9203" t="inlineStr">
        <is>
          <t>GASPAR SERRA UNIPESSOAL, LDA,  TERRUGEM, Portugal</t>
        </is>
      </c>
      <c r="B9203" t="inlineStr">
        <is>
          <t>Collecting Point, Trader with Storage</t>
        </is>
      </c>
      <c r="C9203" t="inlineStr">
        <is>
          <t>Certificadora Gallega del Noroeste SL, Vilagarcia de Arousa-Pontevedra, ES</t>
        </is>
      </c>
      <c r="D9203" t="inlineStr">
        <is>
          <t>13.01.2027</t>
        </is>
      </c>
      <c r="E9203" t="inlineStr">
        <is>
          <t>Portugal</t>
        </is>
      </c>
    </row>
    <row r="9204">
      <c r="A9204" t="inlineStr">
        <is>
          <t>Brenntag GmbH,  Duisburg, Germany</t>
        </is>
      </c>
      <c r="B9204" t="inlineStr">
        <is>
          <t>Trader with Storage</t>
        </is>
      </c>
      <c r="C9204" t="inlineStr">
        <is>
          <t>DIN CERTCO GmbH, Berlin, DE</t>
        </is>
      </c>
      <c r="D9204" t="inlineStr">
        <is>
          <t>13.01.2027</t>
        </is>
      </c>
      <c r="E9204" t="inlineStr">
        <is>
          <t>Germany</t>
        </is>
      </c>
    </row>
    <row r="9205">
      <c r="A9205" t="inlineStr">
        <is>
          <t>Anda Tianhe Agricultural Technology Co., Ltd,  Anda, China</t>
        </is>
      </c>
      <c r="B9205" t="inlineStr">
        <is>
          <t>First Gathering Point</t>
        </is>
      </c>
      <c r="C9205" t="inlineStr">
        <is>
          <t>Bureau Veritas Polska Sp. z o.o., Warsaw, PL</t>
        </is>
      </c>
      <c r="D9205" t="inlineStr">
        <is>
          <t>13.01.2027</t>
        </is>
      </c>
      <c r="E9205" t="inlineStr">
        <is>
          <t>China</t>
        </is>
      </c>
    </row>
    <row r="9206">
      <c r="A9206" t="inlineStr">
        <is>
          <t>Biesterfeld Plastic GmbH,  Hamburg, Germany</t>
        </is>
      </c>
      <c r="B9206" t="inlineStr">
        <is>
          <t>Trader with Storage</t>
        </is>
      </c>
      <c r="C9206" t="inlineStr">
        <is>
          <t>GUT Certifizierungsgesellschaft für Managementsysteme mbH Umweltgutachter, Berlin, DE</t>
        </is>
      </c>
      <c r="D9206" t="inlineStr">
        <is>
          <t>13.01.2027</t>
        </is>
      </c>
      <c r="E9206" t="inlineStr">
        <is>
          <t>Germany</t>
        </is>
      </c>
    </row>
    <row r="9207">
      <c r="A9207" t="inlineStr">
        <is>
          <t>Mondi Halle GmbH,  Steinfeld, Germany</t>
        </is>
      </c>
      <c r="B9207" t="inlineStr">
        <is>
          <t>Final Product Refinement, Warehouse</t>
        </is>
      </c>
      <c r="C9207" t="inlineStr">
        <is>
          <t>GUT Certifizierungsgesellschaft für Managementsysteme mbH Umweltgutachter, Berlin, DE</t>
        </is>
      </c>
      <c r="D9207" t="inlineStr">
        <is>
          <t>13.01.2027</t>
        </is>
      </c>
      <c r="E9207" t="inlineStr">
        <is>
          <t>Germany</t>
        </is>
      </c>
    </row>
    <row r="9208">
      <c r="A9208" t="inlineStr">
        <is>
          <t>PT Hasil Karya Bumisejati,  Provinsi Riau Indonesia, Indonesia</t>
        </is>
      </c>
      <c r="B9208" t="inlineStr">
        <is>
          <t>Point of Origin</t>
        </is>
      </c>
      <c r="C9208" t="inlineStr">
        <is>
          <t>PT. Qualitas Sertifikasi Indonesia, Jakarta, ID</t>
        </is>
      </c>
      <c r="D9208" t="inlineStr">
        <is>
          <t>13.01.2027</t>
        </is>
      </c>
      <c r="E9208" t="inlineStr">
        <is>
          <t>Indonesia</t>
        </is>
      </c>
    </row>
    <row r="9209">
      <c r="A9209" t="inlineStr">
        <is>
          <t>Prima Palm Latex Industri,  Kabupaten Asahan, Provinsi Sumatera Utara, Indonesia</t>
        </is>
      </c>
      <c r="B9209" t="inlineStr">
        <is>
          <t>Point of Origin</t>
        </is>
      </c>
      <c r="C9209" t="inlineStr">
        <is>
          <t>PT. Qualitas Sertifikasi Indonesia, Jakarta, ID</t>
        </is>
      </c>
      <c r="D9209" t="inlineStr">
        <is>
          <t>13.01.2027</t>
        </is>
      </c>
      <c r="E9209" t="inlineStr">
        <is>
          <t>Indonesia</t>
        </is>
      </c>
    </row>
    <row r="9210">
      <c r="A9210" t="inlineStr">
        <is>
          <t>Prima Palm Latex Industri,  Kabupaten Asahan, Provinsi Sumatera Utara, Indonesia</t>
        </is>
      </c>
      <c r="B9210" t="inlineStr">
        <is>
          <t>Point of Origin</t>
        </is>
      </c>
      <c r="C9210" t="inlineStr">
        <is>
          <t>PT. Qualitas Sertifikasi Indonesia, Jakarta, ID</t>
        </is>
      </c>
      <c r="D9210" t="inlineStr">
        <is>
          <t>13.01.2027</t>
        </is>
      </c>
      <c r="E9210" t="inlineStr">
        <is>
          <t>Indonesia</t>
        </is>
      </c>
    </row>
    <row r="9211">
      <c r="A9211" t="inlineStr">
        <is>
          <t>Lem Linea Ecologica Mangia S.R.L.,  Caivano (Napoli), Italy</t>
        </is>
      </c>
      <c r="B9211" t="inlineStr">
        <is>
          <t>Collecting Point, Processing Unit, Trader with Storage</t>
        </is>
      </c>
      <c r="C9211" t="inlineStr">
        <is>
          <t>SGS Germany GmbH, Emstek, DE</t>
        </is>
      </c>
      <c r="D9211" t="inlineStr">
        <is>
          <t>13.01.2027</t>
        </is>
      </c>
      <c r="E9211" t="inlineStr">
        <is>
          <t>Italy</t>
        </is>
      </c>
    </row>
    <row r="9212">
      <c r="A9212" t="inlineStr">
        <is>
          <t>Chane Terminal Botlek B.V.,  Botlek-Rotterdam, Netherlands</t>
        </is>
      </c>
      <c r="B9212" t="inlineStr">
        <is>
          <t>Trader with Storage, Processing Unit</t>
        </is>
      </c>
      <c r="C9212" t="inlineStr">
        <is>
          <t>DEKRA Certification B.V., Arnhem, NL</t>
        </is>
      </c>
      <c r="D9212" t="inlineStr">
        <is>
          <t>13.01.2027</t>
        </is>
      </c>
      <c r="E9212" t="inlineStr">
        <is>
          <t>Netherlands</t>
        </is>
      </c>
    </row>
    <row r="9213">
      <c r="A9213" t="inlineStr">
        <is>
          <t>PMC Green Environment SRL,  Bucuresti, Romania</t>
        </is>
      </c>
      <c r="B9213" t="inlineStr">
        <is>
          <t>Collecting Point, Trader with Storage</t>
        </is>
      </c>
      <c r="C9213" t="inlineStr">
        <is>
          <t>SGS Germany GmbH, Emstek, DE</t>
        </is>
      </c>
      <c r="D9213" t="inlineStr">
        <is>
          <t>13.01.2027</t>
        </is>
      </c>
      <c r="E9213" t="inlineStr">
        <is>
          <t>Romania</t>
        </is>
      </c>
    </row>
    <row r="9214">
      <c r="A9214" t="inlineStr">
        <is>
          <t>Plásticos Vicent S.L.U.,  Ibi (Alicante), Spain</t>
        </is>
      </c>
      <c r="B9214" t="inlineStr">
        <is>
          <t>Processing Unit, Trader with Storage</t>
        </is>
      </c>
      <c r="C9214" t="inlineStr">
        <is>
          <t>SGS Germany GmbH, Emstek, DE</t>
        </is>
      </c>
      <c r="D9214" t="inlineStr">
        <is>
          <t>13.01.2027</t>
        </is>
      </c>
      <c r="E9214" t="inlineStr">
        <is>
          <t>Spain</t>
        </is>
      </c>
    </row>
    <row r="9215">
      <c r="A9215" t="inlineStr">
        <is>
          <t>Qiyuan Jingke Olefinic Carbon New Materials Technology (Qingdao) Co., Ltd.,  Binzhou City, Shandong Province, China</t>
        </is>
      </c>
      <c r="B9215" t="inlineStr">
        <is>
          <t>Processing Unit</t>
        </is>
      </c>
      <c r="C9215" t="inlineStr">
        <is>
          <t>CTI Certification Co. Ltd, Shenzhen, CN</t>
        </is>
      </c>
      <c r="D9215" t="inlineStr">
        <is>
          <t>13.01.2027</t>
        </is>
      </c>
      <c r="E9215" t="inlineStr">
        <is>
          <t>China</t>
        </is>
      </c>
    </row>
    <row r="9216">
      <c r="A9216" t="inlineStr">
        <is>
          <t>Industry Salt (Changzhou) Import and Export Co., Ltd.,  Tianning District, Changzhou, Jiangsu, China</t>
        </is>
      </c>
      <c r="B9216" t="inlineStr">
        <is>
          <t>Trader</t>
        </is>
      </c>
      <c r="C9216" t="inlineStr">
        <is>
          <t>China Standard Conformity Assessment Co. Ltd, Beijing, CN</t>
        </is>
      </c>
      <c r="D9216" t="inlineStr">
        <is>
          <t>13.01.2027</t>
        </is>
      </c>
      <c r="E9216" t="inlineStr">
        <is>
          <t>China</t>
        </is>
      </c>
    </row>
    <row r="9217">
      <c r="A9217" t="inlineStr">
        <is>
          <t>Qiyuan Jingke Olefinic Carbon New Materials Technology (Qingdao) Co., Ltd.,  Binzhou City, Shandong Province, China</t>
        </is>
      </c>
      <c r="B9217" t="inlineStr">
        <is>
          <t>Processing Unit</t>
        </is>
      </c>
      <c r="C9217" t="inlineStr">
        <is>
          <t>CTI Certification Co. Ltd, Shenzhen, CN</t>
        </is>
      </c>
      <c r="D9217" t="inlineStr">
        <is>
          <t>13.01.2027</t>
        </is>
      </c>
      <c r="E9217" t="inlineStr">
        <is>
          <t>China</t>
        </is>
      </c>
    </row>
    <row r="9218">
      <c r="A9218" t="inlineStr">
        <is>
          <t>Södra Skogsägarna ekonomisk förening,  Oskarshamn, Sweden</t>
        </is>
      </c>
      <c r="B9218" t="inlineStr">
        <is>
          <t>Central Office (Group of Point of Origin), Collecting Point</t>
        </is>
      </c>
      <c r="C9218" t="inlineStr">
        <is>
          <t>DNV Business Assurance Sweden AB, Solna, SE</t>
        </is>
      </c>
      <c r="D9218" t="inlineStr">
        <is>
          <t>13.01.2027</t>
        </is>
      </c>
      <c r="E9218" t="inlineStr">
        <is>
          <t>Sweden</t>
        </is>
      </c>
    </row>
    <row r="9219">
      <c r="A9219" t="inlineStr">
        <is>
          <t>Shijiazhuang Shibiao Biotechnology Co., Ltd,  Jinzhou City, Shijiazhuang City, Hebei Province, China</t>
        </is>
      </c>
      <c r="B9219" t="inlineStr">
        <is>
          <t>Collecting Point, Point of Origin, Trader with Storage, Processing Unit</t>
        </is>
      </c>
      <c r="C9219" t="inlineStr">
        <is>
          <t>SCS Global Services, Emeryville, CA, US</t>
        </is>
      </c>
      <c r="D9219" t="inlineStr">
        <is>
          <t>13.01.2027</t>
        </is>
      </c>
      <c r="E9219" t="inlineStr">
        <is>
          <t>China</t>
        </is>
      </c>
    </row>
    <row r="9220">
      <c r="A9220" t="inlineStr">
        <is>
          <t>Shandong Baoshun Chemical Technology Co., Ltd,  Heze, Shandong, China</t>
        </is>
      </c>
      <c r="B9220" t="inlineStr">
        <is>
          <t>Processing Unit</t>
        </is>
      </c>
      <c r="C9220" t="inlineStr">
        <is>
          <t>SGS Germany GmbH, Emstek, DE</t>
        </is>
      </c>
      <c r="D9220" t="inlineStr">
        <is>
          <t>13.01.2027</t>
        </is>
      </c>
      <c r="E9220" t="inlineStr">
        <is>
          <t>China</t>
        </is>
      </c>
    </row>
    <row r="9221">
      <c r="A9221" t="inlineStr">
        <is>
          <t>Shandong Baoshun Chemical Technology Co., Ltd,  Heze, Shandong, China</t>
        </is>
      </c>
      <c r="B9221" t="inlineStr">
        <is>
          <t>Processing Unit, Trader with Storage</t>
        </is>
      </c>
      <c r="C9221" t="inlineStr">
        <is>
          <t>SGS Germany GmbH, Emstek, DE</t>
        </is>
      </c>
      <c r="D9221" t="inlineStr">
        <is>
          <t>13.01.2027</t>
        </is>
      </c>
      <c r="E9221" t="inlineStr">
        <is>
          <t>China</t>
        </is>
      </c>
    </row>
    <row r="9222">
      <c r="A9222" t="inlineStr">
        <is>
          <t>Shandong Baoshun Chemical Technology Co., Ltd,  Heze, Shandong, China</t>
        </is>
      </c>
      <c r="B9222" t="inlineStr">
        <is>
          <t>Processing Unit, Trader with Storage</t>
        </is>
      </c>
      <c r="C9222" t="inlineStr">
        <is>
          <t>SGS Germany GmbH, Emstek, DE</t>
        </is>
      </c>
      <c r="D9222" t="inlineStr">
        <is>
          <t>13.01.2027</t>
        </is>
      </c>
      <c r="E9222" t="inlineStr">
        <is>
          <t>China</t>
        </is>
      </c>
    </row>
    <row r="9223">
      <c r="A9223" t="inlineStr">
        <is>
          <t>China National Aviation Fuel Group Petroleum Co.,Ltd. Beijing Branch,  beijing, China</t>
        </is>
      </c>
      <c r="B9223" t="inlineStr">
        <is>
          <t>Trader</t>
        </is>
      </c>
      <c r="C9223" t="inlineStr">
        <is>
          <t>SCS Global Services, Emeryville, CA, US</t>
        </is>
      </c>
      <c r="D9223" t="inlineStr">
        <is>
          <t>13.01.2027</t>
        </is>
      </c>
      <c r="E9223" t="inlineStr">
        <is>
          <t>China</t>
        </is>
      </c>
    </row>
    <row r="9224">
      <c r="A9224" t="inlineStr">
        <is>
          <t>China National Aviation Fuel Group Petroleum Co.,Ltd. Beijing Branch,  beijing, China</t>
        </is>
      </c>
      <c r="B9224" t="inlineStr">
        <is>
          <t>Trader</t>
        </is>
      </c>
      <c r="C9224" t="inlineStr">
        <is>
          <t>SCS Global Services, Emeryville, CA, US</t>
        </is>
      </c>
      <c r="D9224" t="inlineStr">
        <is>
          <t>13.01.2027</t>
        </is>
      </c>
      <c r="E9224" t="inlineStr">
        <is>
          <t>China</t>
        </is>
      </c>
    </row>
    <row r="9225">
      <c r="A9225" t="inlineStr">
        <is>
          <t>Shell Trading Canada,  Calgary, Alberta, Canada</t>
        </is>
      </c>
      <c r="B9225" t="inlineStr">
        <is>
          <t>Trader with Storage</t>
        </is>
      </c>
      <c r="C9225" t="inlineStr">
        <is>
          <t>SGS Germany GmbH, Emstek, DE</t>
        </is>
      </c>
      <c r="D9225" t="inlineStr">
        <is>
          <t>13.01.2027</t>
        </is>
      </c>
      <c r="E9225" t="inlineStr">
        <is>
          <t>Canada</t>
        </is>
      </c>
    </row>
    <row r="9226">
      <c r="A9226" t="inlineStr">
        <is>
          <t>TSUNEISHI CORPORATION,  FUKUYAMA, Japan</t>
        </is>
      </c>
      <c r="B9226" t="inlineStr">
        <is>
          <t>Trader</t>
        </is>
      </c>
      <c r="C9226" t="inlineStr">
        <is>
          <t>SGS Germany GmbH, Emstek, DE</t>
        </is>
      </c>
      <c r="D9226" t="inlineStr">
        <is>
          <t>13.01.2027</t>
        </is>
      </c>
      <c r="E9226" t="inlineStr">
        <is>
          <t>Japan</t>
        </is>
      </c>
    </row>
    <row r="9227">
      <c r="A9227" t="inlineStr">
        <is>
          <t>Envalior India Private Ltd,,  Ranjangaon, Pune,, India</t>
        </is>
      </c>
      <c r="B9227" t="inlineStr">
        <is>
          <t>Processing Unit</t>
        </is>
      </c>
      <c r="C9227" t="inlineStr">
        <is>
          <t>TÜV NORD CERT GmbH, Essen, DE</t>
        </is>
      </c>
      <c r="D9227" t="inlineStr">
        <is>
          <t>13.01.2027</t>
        </is>
      </c>
      <c r="E9227" t="inlineStr">
        <is>
          <t>India</t>
        </is>
      </c>
    </row>
    <row r="9228">
      <c r="A9228" t="inlineStr">
        <is>
          <t>Nani,  Béni Khalled, Tunisia</t>
        </is>
      </c>
      <c r="B9228" t="inlineStr">
        <is>
          <t>Processing Unit</t>
        </is>
      </c>
      <c r="C9228" t="inlineStr">
        <is>
          <t>TÜV SÜD Industrie Service GmbH, München, DE</t>
        </is>
      </c>
      <c r="D9228" t="inlineStr">
        <is>
          <t>13.01.2027</t>
        </is>
      </c>
      <c r="E9228" t="inlineStr">
        <is>
          <t>Tunisia</t>
        </is>
      </c>
    </row>
    <row r="9229">
      <c r="A9229" t="inlineStr">
        <is>
          <t>Deriber,  Guillena, Sevilla, Spain</t>
        </is>
      </c>
      <c r="B9229" t="inlineStr">
        <is>
          <t>Point of Origin, Trader with Storage, Collecting Point</t>
        </is>
      </c>
      <c r="C9229" t="inlineStr">
        <is>
          <t>RINA Services S.p.A., Genova, IT</t>
        </is>
      </c>
      <c r="D9229" t="inlineStr">
        <is>
          <t>13.01.2027</t>
        </is>
      </c>
      <c r="E9229" t="inlineStr">
        <is>
          <t>Spain</t>
        </is>
      </c>
    </row>
    <row r="9230">
      <c r="A9230" t="inlineStr">
        <is>
          <t>ELECTRICITE DE FRANCE,  Puteaux, France</t>
        </is>
      </c>
      <c r="B9230" t="inlineStr">
        <is>
          <t>Trader</t>
        </is>
      </c>
      <c r="C9230" t="inlineStr">
        <is>
          <t>Control Union Certifications Germany GmbH, Berlin, DE</t>
        </is>
      </c>
      <c r="D9230" t="inlineStr">
        <is>
          <t>13.01.2027</t>
        </is>
      </c>
      <c r="E9230" t="inlineStr">
        <is>
          <t>France</t>
        </is>
      </c>
    </row>
    <row r="9231">
      <c r="A9231" t="inlineStr">
        <is>
          <t>Biotrading 2007 SL,  Sevilla, Spain</t>
        </is>
      </c>
      <c r="B9231" t="inlineStr">
        <is>
          <t>Processing Unit</t>
        </is>
      </c>
      <c r="C9231" t="inlineStr">
        <is>
          <t>Amspec Iberia SL, Vilagarcia de Arousa-Pontevedra, ES</t>
        </is>
      </c>
      <c r="D9231" t="inlineStr">
        <is>
          <t>13.01.2027</t>
        </is>
      </c>
      <c r="E9231" t="inlineStr">
        <is>
          <t>Spain</t>
        </is>
      </c>
    </row>
    <row r="9232">
      <c r="A9232" t="inlineStr">
        <is>
          <t>Sunrising Green Energy(Shenzhen) CO., Limited,  Shenzhen City, Guangdong Province, China</t>
        </is>
      </c>
      <c r="B9232" t="inlineStr">
        <is>
          <t>Trader</t>
        </is>
      </c>
      <c r="C9232" t="inlineStr">
        <is>
          <t>SCS Global Services, Emeryville, CA, US</t>
        </is>
      </c>
      <c r="D9232" t="inlineStr">
        <is>
          <t>13.01.2027</t>
        </is>
      </c>
      <c r="E9232" t="inlineStr">
        <is>
          <t>China</t>
        </is>
      </c>
    </row>
    <row r="9233">
      <c r="A9233" t="inlineStr">
        <is>
          <t>Shenzhen Land Time Optical Co., Ltd,  Shenzhen, Guangdong, China</t>
        </is>
      </c>
      <c r="B9233" t="inlineStr">
        <is>
          <t>Processing Unit</t>
        </is>
      </c>
      <c r="C9233" t="inlineStr">
        <is>
          <t>SCS Global Services, Emeryville, CA, US</t>
        </is>
      </c>
      <c r="D9233" t="inlineStr">
        <is>
          <t>13.01.2027</t>
        </is>
      </c>
      <c r="E9233" t="inlineStr">
        <is>
          <t>China</t>
        </is>
      </c>
    </row>
    <row r="9234">
      <c r="A9234" t="inlineStr">
        <is>
          <t>Fortune Oil Holdings Limited,  Beijing, China</t>
        </is>
      </c>
      <c r="B9234" t="inlineStr">
        <is>
          <t>Trader</t>
        </is>
      </c>
      <c r="C9234" t="inlineStr">
        <is>
          <t>SCS Global Services, Emeryville, CA, US</t>
        </is>
      </c>
      <c r="D9234" t="inlineStr">
        <is>
          <t>13.01.2027</t>
        </is>
      </c>
      <c r="E9234" t="inlineStr">
        <is>
          <t>China</t>
        </is>
      </c>
    </row>
    <row r="9235">
      <c r="A9235" t="inlineStr">
        <is>
          <t>PANCA MITRA KATINGAN,  Kabupaten Katingan, Provinsi Kalimantan Tengah, Indonesia</t>
        </is>
      </c>
      <c r="B9235" t="inlineStr">
        <is>
          <t>Point of Origin, Processing Unit</t>
        </is>
      </c>
      <c r="C9235" t="inlineStr">
        <is>
          <t>SGS Germany GmbH, Emstek, DE</t>
        </is>
      </c>
      <c r="D9235" t="inlineStr">
        <is>
          <t>13.01.2027</t>
        </is>
      </c>
      <c r="E9235" t="inlineStr">
        <is>
          <t>Indonesia</t>
        </is>
      </c>
    </row>
    <row r="9236">
      <c r="A9236" t="inlineStr">
        <is>
          <t>Aptar Italia S.P.A.,  MANOPPELLO SCALO (PE), Italy</t>
        </is>
      </c>
      <c r="B9236" t="inlineStr">
        <is>
          <t>Final Product Refinement, Processing Unit, Trader with Storage</t>
        </is>
      </c>
      <c r="C9236" t="inlineStr">
        <is>
          <t>RINA Services S.p.A., Genova, IT</t>
        </is>
      </c>
      <c r="D9236" t="inlineStr">
        <is>
          <t>13.01.2027</t>
        </is>
      </c>
      <c r="E9236" t="inlineStr">
        <is>
          <t>Italy</t>
        </is>
      </c>
    </row>
    <row r="9237">
      <c r="A9237" t="inlineStr">
        <is>
          <t>PANCA MITRA KATINGAN,  Kabupaten Katingan, Provinsi Kalimantan Tengah, Indonesia</t>
        </is>
      </c>
      <c r="B9237" t="inlineStr">
        <is>
          <t>Point of Origin</t>
        </is>
      </c>
      <c r="C9237" t="inlineStr">
        <is>
          <t>SGS Germany GmbH, Emstek, DE</t>
        </is>
      </c>
      <c r="D9237" t="inlineStr">
        <is>
          <t>13.01.2027</t>
        </is>
      </c>
      <c r="E9237" t="inlineStr">
        <is>
          <t>Indonesia</t>
        </is>
      </c>
    </row>
    <row r="9238">
      <c r="A9238" t="inlineStr">
        <is>
          <t>Sabic Petrochemicals B.V.,  Geleen, Netherlands</t>
        </is>
      </c>
      <c r="B9238" t="inlineStr">
        <is>
          <t>Trader with Storage</t>
        </is>
      </c>
      <c r="C9238" t="inlineStr">
        <is>
          <t>TÜV NORD CERT GmbH, Essen, DE</t>
        </is>
      </c>
      <c r="D9238" t="inlineStr">
        <is>
          <t>13.01.2027</t>
        </is>
      </c>
      <c r="E9238" t="inlineStr">
        <is>
          <t>Netherlands</t>
        </is>
      </c>
    </row>
    <row r="9239">
      <c r="A9239" t="inlineStr">
        <is>
          <t>MITSUI &amp; CO. ENERGY LTD.,  Chiyoda-ku Tokyo, Japan</t>
        </is>
      </c>
      <c r="B9239" t="inlineStr">
        <is>
          <t>Trader</t>
        </is>
      </c>
      <c r="C9239" t="inlineStr">
        <is>
          <t>Bureau Veritas Polska Sp. z o.o., Warsaw, PL</t>
        </is>
      </c>
      <c r="D9239" t="inlineStr">
        <is>
          <t>13.01.2027</t>
        </is>
      </c>
      <c r="E9239" t="inlineStr">
        <is>
          <t>Japan</t>
        </is>
      </c>
    </row>
    <row r="9240">
      <c r="A9240" t="inlineStr">
        <is>
          <t>EcoHydroCarbon,  Tomaszów Mazowiecki, Poland</t>
        </is>
      </c>
      <c r="B9240" t="inlineStr">
        <is>
          <t>Collecting Point, Processing Unit</t>
        </is>
      </c>
      <c r="C9240" t="inlineStr">
        <is>
          <t>Bureau Veritas Polska Sp. z o.o., Warsaw, PL</t>
        </is>
      </c>
      <c r="D9240" t="inlineStr">
        <is>
          <t>13.01.2027</t>
        </is>
      </c>
      <c r="E9240" t="inlineStr">
        <is>
          <t>Poland</t>
        </is>
      </c>
    </row>
    <row r="9241">
      <c r="A9241" t="inlineStr">
        <is>
          <t>BIOMONTAN Produktions und Handels GmbH,  Enns, Austria</t>
        </is>
      </c>
      <c r="B9241" t="inlineStr">
        <is>
          <t>Trader with Storage</t>
        </is>
      </c>
      <c r="C9241" t="inlineStr">
        <is>
          <t>agroVet GmbH, Enzersfeld, AT</t>
        </is>
      </c>
      <c r="D9241" t="inlineStr">
        <is>
          <t>13.01.2027</t>
        </is>
      </c>
      <c r="E9241" t="inlineStr">
        <is>
          <t>Austria</t>
        </is>
      </c>
    </row>
    <row r="9242">
      <c r="A9242" t="inlineStr">
        <is>
          <t>Solid Refined Solutions,  Kab. Badung, Bali, Indonesia</t>
        </is>
      </c>
      <c r="B9242" t="inlineStr">
        <is>
          <t>Trader with Storage</t>
        </is>
      </c>
      <c r="C9242" t="inlineStr">
        <is>
          <t>Trans Certification and Inspection Sdn Bhd, Kuantan, MY</t>
        </is>
      </c>
      <c r="D9242" t="inlineStr">
        <is>
          <t>13.01.2027</t>
        </is>
      </c>
      <c r="E9242" t="inlineStr">
        <is>
          <t>Indonesia</t>
        </is>
      </c>
    </row>
    <row r="9243">
      <c r="A9243" t="inlineStr">
        <is>
          <t>Volta Red LTD,  Kadjebi District, Oti Region, Ghana</t>
        </is>
      </c>
      <c r="B9243" t="inlineStr">
        <is>
          <t>Point of Origin</t>
        </is>
      </c>
      <c r="C9243" t="inlineStr">
        <is>
          <t>Trans Certification and Inspection Sdn Bhd, Kuantan, MY</t>
        </is>
      </c>
      <c r="D9243" t="inlineStr">
        <is>
          <t>13.01.2027</t>
        </is>
      </c>
      <c r="E9243" t="inlineStr">
        <is>
          <t>Ghana</t>
        </is>
      </c>
    </row>
    <row r="9244">
      <c r="A9244" t="inlineStr">
        <is>
          <t>GLOBAL ENERGY ENTERPRISE,  JOHOR BAHRU, Malaysia</t>
        </is>
      </c>
      <c r="B9244" t="inlineStr">
        <is>
          <t>Trader with Storage</t>
        </is>
      </c>
      <c r="C9244" t="inlineStr">
        <is>
          <t>Trans Certification and Inspection Sdn Bhd, Kuantan, MY</t>
        </is>
      </c>
      <c r="D9244" t="inlineStr">
        <is>
          <t>13.01.2027</t>
        </is>
      </c>
      <c r="E9244" t="inlineStr">
        <is>
          <t>Malaysia</t>
        </is>
      </c>
    </row>
    <row r="9245">
      <c r="A9245" t="inlineStr">
        <is>
          <t>VALLES PLASTIC FILM,  L’Olleria (Valencia), Spain</t>
        </is>
      </c>
      <c r="B9245" t="inlineStr">
        <is>
          <t>Final Product Refinement</t>
        </is>
      </c>
      <c r="C9245" t="inlineStr">
        <is>
          <t>Bureau Veritas Polska Sp. z o.o., Warsaw, PL</t>
        </is>
      </c>
      <c r="D9245" t="inlineStr">
        <is>
          <t>13.01.2027</t>
        </is>
      </c>
      <c r="E9245" t="inlineStr">
        <is>
          <t>Spain</t>
        </is>
      </c>
    </row>
    <row r="9246">
      <c r="A9246" t="inlineStr">
        <is>
          <t>ICAB SPA,  BUCCINO, Italy</t>
        </is>
      </c>
      <c r="B9246" t="inlineStr">
        <is>
          <t>Processing Unit, First Gathering Point</t>
        </is>
      </c>
      <c r="C9246" t="inlineStr">
        <is>
          <t>DNV Business Assurance Sweden AB, Solna, SE</t>
        </is>
      </c>
      <c r="D9246" t="inlineStr">
        <is>
          <t>13.01.2027</t>
        </is>
      </c>
      <c r="E9246" t="inlineStr">
        <is>
          <t>Italy</t>
        </is>
      </c>
    </row>
    <row r="9247">
      <c r="A9247" t="inlineStr">
        <is>
          <t>Olus Plus BV,  Hasselt, Netherlands</t>
        </is>
      </c>
      <c r="B9247" t="inlineStr">
        <is>
          <t>Point of Origin</t>
        </is>
      </c>
      <c r="C9247" t="inlineStr">
        <is>
          <t>DEKRA Certification B.V., Arnhem, NL</t>
        </is>
      </c>
      <c r="D9247" t="inlineStr">
        <is>
          <t>12.01.2027</t>
        </is>
      </c>
      <c r="E9247" t="inlineStr">
        <is>
          <t>Netherlands</t>
        </is>
      </c>
    </row>
    <row r="9248">
      <c r="A9248" t="inlineStr">
        <is>
          <t>Circle K Norway AS,  Oslo, Norway</t>
        </is>
      </c>
      <c r="B9248" t="inlineStr">
        <is>
          <t>Proof of Compliance Trader, Trader</t>
        </is>
      </c>
      <c r="C9248" t="inlineStr">
        <is>
          <t>Bureau Veritas Polska Sp. z o.o., Warsaw, PL</t>
        </is>
      </c>
      <c r="D9248" t="inlineStr">
        <is>
          <t>12.01.2027</t>
        </is>
      </c>
      <c r="E9248" t="inlineStr">
        <is>
          <t>Norway</t>
        </is>
      </c>
    </row>
    <row r="9249">
      <c r="A9249" t="inlineStr">
        <is>
          <t>Karbon Energy Co., Ltd.,  Gwangju . (place : Gwangju), South Korea</t>
        </is>
      </c>
      <c r="B9249" t="inlineStr">
        <is>
          <t>Collecting Point, Processing Unit</t>
        </is>
      </c>
      <c r="C9249" t="inlineStr">
        <is>
          <t>Bureau Veritas Polska Sp. z o.o., Warsaw, PL</t>
        </is>
      </c>
      <c r="D9249" t="inlineStr">
        <is>
          <t>12.01.2027</t>
        </is>
      </c>
      <c r="E9249" t="inlineStr">
        <is>
          <t>South Korea</t>
        </is>
      </c>
    </row>
    <row r="9250">
      <c r="A9250" t="inlineStr">
        <is>
          <t>Van den Berg Mestdistributie B.V.,  Oploo, Netherlands</t>
        </is>
      </c>
      <c r="B9250" t="inlineStr">
        <is>
          <t>Collecting Point, Processing Unit</t>
        </is>
      </c>
      <c r="C9250" t="inlineStr">
        <is>
          <t>DEKRA Certification B.V., Arnhem, NL</t>
        </is>
      </c>
      <c r="D9250" t="inlineStr">
        <is>
          <t>12.01.2027</t>
        </is>
      </c>
      <c r="E9250" t="inlineStr">
        <is>
          <t>Netherlands</t>
        </is>
      </c>
    </row>
    <row r="9251">
      <c r="A9251" t="inlineStr">
        <is>
          <t>PRIME POLYMER CO., LTD. Ichihara Works,  Ichihara, Chiba, Japan</t>
        </is>
      </c>
      <c r="B9251" t="inlineStr">
        <is>
          <t>Processing Unit</t>
        </is>
      </c>
      <c r="C9251" t="inlineStr">
        <is>
          <t>SGS Germany GmbH, Emstek, DE</t>
        </is>
      </c>
      <c r="D9251" t="inlineStr">
        <is>
          <t>12.01.2027</t>
        </is>
      </c>
      <c r="E9251" t="inlineStr">
        <is>
          <t>Japan</t>
        </is>
      </c>
    </row>
    <row r="9252">
      <c r="A9252" t="inlineStr">
        <is>
          <t>BIO FRIENDS Inc. Boeun Plant 1,  Samseung-myeon, Boeun-gun, Chungcheongbuk-do, Korea, Republic of</t>
        </is>
      </c>
      <c r="B9252" t="inlineStr">
        <is>
          <t>Processing Unit</t>
        </is>
      </c>
      <c r="C9252" t="inlineStr">
        <is>
          <t>SGS Germany GmbH, Emstek, DE</t>
        </is>
      </c>
      <c r="D9252" t="inlineStr">
        <is>
          <t>12.01.2027</t>
        </is>
      </c>
      <c r="E9252" t="inlineStr">
        <is>
          <t>Republic of</t>
        </is>
      </c>
    </row>
    <row r="9253">
      <c r="A9253" t="inlineStr">
        <is>
          <t>Les Bouchages Delage,  Gensac la Pallue, France</t>
        </is>
      </c>
      <c r="B9253" t="inlineStr">
        <is>
          <t>Processing Unit, Trader</t>
        </is>
      </c>
      <c r="C9253" t="inlineStr">
        <is>
          <t>PT Intertek Utama Services, Jakarta, ID</t>
        </is>
      </c>
      <c r="D9253" t="inlineStr">
        <is>
          <t>12.01.2027</t>
        </is>
      </c>
      <c r="E9253" t="inlineStr">
        <is>
          <t>France</t>
        </is>
      </c>
    </row>
    <row r="9254">
      <c r="A9254" t="inlineStr">
        <is>
          <t>Wien Energie GmbH,  Vienna, Austria</t>
        </is>
      </c>
      <c r="B9254" t="inlineStr">
        <is>
          <t>Processing Unit</t>
        </is>
      </c>
      <c r="C9254" t="inlineStr">
        <is>
          <t>TÜV SÜD Industrie Service GmbH, München, DE</t>
        </is>
      </c>
      <c r="D9254" t="inlineStr">
        <is>
          <t>12.01.2027</t>
        </is>
      </c>
      <c r="E9254" t="inlineStr">
        <is>
          <t>Austria</t>
        </is>
      </c>
    </row>
    <row r="9255">
      <c r="A9255" t="inlineStr">
        <is>
          <t>SWVA Biochar, LLC,  Floyd, United States</t>
        </is>
      </c>
      <c r="B9255" t="inlineStr">
        <is>
          <t>Collecting Point, Processing Unit</t>
        </is>
      </c>
      <c r="C9255" t="inlineStr">
        <is>
          <t>SGS Germany GmbH, Emstek, DE</t>
        </is>
      </c>
      <c r="D9255" t="inlineStr">
        <is>
          <t>12.01.2027</t>
        </is>
      </c>
      <c r="E9255" t="inlineStr">
        <is>
          <t>United States</t>
        </is>
      </c>
    </row>
    <row r="9256">
      <c r="A9256" t="inlineStr">
        <is>
          <t>FP Corporation Kanto Yachiyo Plant,  Yuki-gun, Japan</t>
        </is>
      </c>
      <c r="B9256" t="inlineStr">
        <is>
          <t>Processing Unit, Warehouse</t>
        </is>
      </c>
      <c r="C9256" t="inlineStr">
        <is>
          <t>SGS Germany GmbH, Emstek, DE</t>
        </is>
      </c>
      <c r="D9256" t="inlineStr">
        <is>
          <t>12.01.2027</t>
        </is>
      </c>
      <c r="E9256" t="inlineStr">
        <is>
          <t>Japan</t>
        </is>
      </c>
    </row>
    <row r="9257">
      <c r="A9257" t="inlineStr">
        <is>
          <t>Ekobaltika,  Vandžiogala, Kauno r., Lithuania</t>
        </is>
      </c>
      <c r="B9257" t="inlineStr">
        <is>
          <t>Collecting Point, Processing Unit</t>
        </is>
      </c>
      <c r="C9257" t="inlineStr">
        <is>
          <t>BM Certification, Riga, LV</t>
        </is>
      </c>
      <c r="D9257" t="inlineStr">
        <is>
          <t>12.01.2027</t>
        </is>
      </c>
      <c r="E9257" t="inlineStr">
        <is>
          <t>Lithuania</t>
        </is>
      </c>
    </row>
    <row r="9258">
      <c r="A9258" t="inlineStr">
        <is>
          <t>Welle (Lianyungang) Biofuel Co., Ltd.,  Lianyungang, Jiangsu province, China</t>
        </is>
      </c>
      <c r="B9258" t="inlineStr">
        <is>
          <t>Trader</t>
        </is>
      </c>
      <c r="C9258" t="inlineStr">
        <is>
          <t>SCS Global Services, Emeryville, CA, US</t>
        </is>
      </c>
      <c r="D9258" t="inlineStr">
        <is>
          <t>12.01.2027</t>
        </is>
      </c>
      <c r="E9258" t="inlineStr">
        <is>
          <t>China</t>
        </is>
      </c>
    </row>
    <row r="9259">
      <c r="A9259" t="inlineStr">
        <is>
          <t>INDUSTRY SALT (SINGAPORE) PTE. LTD.,  Changzhou, Jiangsu, China</t>
        </is>
      </c>
      <c r="B9259" t="inlineStr">
        <is>
          <t>Trader</t>
        </is>
      </c>
      <c r="C9259" t="inlineStr">
        <is>
          <t>SCS Global Services, Emeryville, CA, US</t>
        </is>
      </c>
      <c r="D9259" t="inlineStr">
        <is>
          <t>12.01.2027</t>
        </is>
      </c>
      <c r="E9259" t="inlineStr">
        <is>
          <t>China</t>
        </is>
      </c>
    </row>
    <row r="9260">
      <c r="A9260" t="inlineStr">
        <is>
          <t>MOLTECH (THAILAND) CO, LTD,.,  Bangkok, Thailand</t>
        </is>
      </c>
      <c r="B9260" t="inlineStr">
        <is>
          <t>Collecting Point, Trader with Storage</t>
        </is>
      </c>
      <c r="C9260" t="inlineStr">
        <is>
          <t>PT Mutuagung Lestari, Depok, ID</t>
        </is>
      </c>
      <c r="D9260" t="inlineStr">
        <is>
          <t>12.01.2027</t>
        </is>
      </c>
      <c r="E9260" t="inlineStr">
        <is>
          <t>Thailand</t>
        </is>
      </c>
    </row>
    <row r="9261">
      <c r="A9261" t="inlineStr">
        <is>
          <t>Taonan Green Energy Northeast Biomass Co., Ltd.,  Taonan, Jilin Province, China</t>
        </is>
      </c>
      <c r="B9261" t="inlineStr">
        <is>
          <t>Collecting Point, First Gathering Point, Processing Unit</t>
        </is>
      </c>
      <c r="C9261" t="inlineStr">
        <is>
          <t>DIN CERTCO GmbH, Berlin, DE</t>
        </is>
      </c>
      <c r="D9261" t="inlineStr">
        <is>
          <t>12.01.2027</t>
        </is>
      </c>
      <c r="E9261" t="inlineStr">
        <is>
          <t>China</t>
        </is>
      </c>
    </row>
    <row r="9262">
      <c r="A9262" t="inlineStr">
        <is>
          <t>Taonan Green Energy Fuel Co., Ltd.,  Taonan, Jilin Province, China</t>
        </is>
      </c>
      <c r="B9262" t="inlineStr">
        <is>
          <t>Processing Unit</t>
        </is>
      </c>
      <c r="C9262" t="inlineStr">
        <is>
          <t>DIN CERTCO GmbH, Berlin, DE</t>
        </is>
      </c>
      <c r="D9262" t="inlineStr">
        <is>
          <t>12.01.2027</t>
        </is>
      </c>
      <c r="E9262" t="inlineStr">
        <is>
          <t>China</t>
        </is>
      </c>
    </row>
    <row r="9263">
      <c r="A9263" t="inlineStr">
        <is>
          <t>A. Schulman Plastics,  Bornem, Belgium</t>
        </is>
      </c>
      <c r="B9263" t="inlineStr">
        <is>
          <t>Processing Unit</t>
        </is>
      </c>
      <c r="C9263" t="inlineStr">
        <is>
          <t>SGS Germany GmbH, Emstek, DE</t>
        </is>
      </c>
      <c r="D9263" t="inlineStr">
        <is>
          <t>12.01.2027</t>
        </is>
      </c>
      <c r="E9263" t="inlineStr">
        <is>
          <t>Belgium</t>
        </is>
      </c>
    </row>
    <row r="9264">
      <c r="A9264" t="inlineStr">
        <is>
          <t>Yunnan Zhengkun Biotechnology Co.,LTD,  Kunming City, Yunnan Province，, China</t>
        </is>
      </c>
      <c r="B9264" t="inlineStr">
        <is>
          <t>Collecting Point, Trader with Storage</t>
        </is>
      </c>
      <c r="C9264" t="inlineStr">
        <is>
          <t>RINA Services S.p.A., Genova, IT</t>
        </is>
      </c>
      <c r="D9264" t="inlineStr">
        <is>
          <t>12.01.2027</t>
        </is>
      </c>
      <c r="E9264" t="inlineStr">
        <is>
          <t>China</t>
        </is>
      </c>
    </row>
    <row r="9265">
      <c r="A9265" t="inlineStr">
        <is>
          <t>RPMG Inc.,  Shakopee, MN, United States</t>
        </is>
      </c>
      <c r="B9265" t="inlineStr">
        <is>
          <t>Collecting Point, Trader</t>
        </is>
      </c>
      <c r="C9265" t="inlineStr">
        <is>
          <t>SCS Global Services, Emeryville, CA, US</t>
        </is>
      </c>
      <c r="D9265" t="inlineStr">
        <is>
          <t>12.01.2027</t>
        </is>
      </c>
      <c r="E9265" t="inlineStr">
        <is>
          <t>United States</t>
        </is>
      </c>
    </row>
    <row r="9266">
      <c r="A9266" t="inlineStr">
        <is>
          <t>Teleriscaldamento Termo-Elettrico Dobbiaco San Candido Coop.,  Dobbiaco, Italy</t>
        </is>
      </c>
      <c r="B9266" t="inlineStr">
        <is>
          <t>First Gathering Point, Processing Unit</t>
        </is>
      </c>
      <c r="C9266" t="inlineStr">
        <is>
          <t>SGS Germany GmbH, Emstek, DE</t>
        </is>
      </c>
      <c r="D9266" t="inlineStr">
        <is>
          <t>12.01.2027</t>
        </is>
      </c>
      <c r="E9266" t="inlineStr">
        <is>
          <t>Italy</t>
        </is>
      </c>
    </row>
    <row r="9267">
      <c r="A9267" t="inlineStr">
        <is>
          <t>TAKIGAWA CORPORATION VIETNAM,  Vinh Tan Ward, Ho Chi Minh CIty, Vietnam</t>
        </is>
      </c>
      <c r="B9267" t="inlineStr">
        <is>
          <t>Processing Unit</t>
        </is>
      </c>
      <c r="C9267" t="inlineStr">
        <is>
          <t>SGS Germany GmbH, Emstek, DE</t>
        </is>
      </c>
      <c r="D9267" t="inlineStr">
        <is>
          <t>12.01.2027</t>
        </is>
      </c>
      <c r="E9267" t="inlineStr">
        <is>
          <t>Vietnam</t>
        </is>
      </c>
    </row>
    <row r="9268">
      <c r="A9268" t="inlineStr">
        <is>
          <t>PETROLINA (HOLDINGS) PUBLIC Ltd,  Lefkaritis Building, Larnaca, Cyprus</t>
        </is>
      </c>
      <c r="B9268" t="inlineStr">
        <is>
          <t>Trader with Storage</t>
        </is>
      </c>
      <c r="C9268" t="inlineStr">
        <is>
          <t>Eurocert SA, Metamorfosi, Athens, GR</t>
        </is>
      </c>
      <c r="D9268" t="inlineStr">
        <is>
          <t>12.01.2027</t>
        </is>
      </c>
      <c r="E9268" t="inlineStr">
        <is>
          <t>Cyprus</t>
        </is>
      </c>
    </row>
    <row r="9269">
      <c r="A9269" t="inlineStr">
        <is>
          <t>Covestro Deutschland AG,  Leverkusen, Germany</t>
        </is>
      </c>
      <c r="B9269" t="inlineStr">
        <is>
          <t>Processing Unit, Trader with Storage</t>
        </is>
      </c>
      <c r="C9269" t="inlineStr">
        <is>
          <t>DQS CFS GmbH - Deutsche Gesellschaft für Nachhaltigkeit, Frankfurt am Main, DE</t>
        </is>
      </c>
      <c r="D9269" t="inlineStr">
        <is>
          <t>12.01.2027</t>
        </is>
      </c>
      <c r="E9269" t="inlineStr">
        <is>
          <t>Germany</t>
        </is>
      </c>
    </row>
    <row r="9270">
      <c r="A9270" t="inlineStr">
        <is>
          <t>Covestro Deutschland AG,  Dormagen, Germany</t>
        </is>
      </c>
      <c r="B9270" t="inlineStr">
        <is>
          <t>Processing Unit</t>
        </is>
      </c>
      <c r="C9270" t="inlineStr">
        <is>
          <t>DQS CFS GmbH - Deutsche Gesellschaft für Nachhaltigkeit, Frankfurt am Main, DE</t>
        </is>
      </c>
      <c r="D9270" t="inlineStr">
        <is>
          <t>12.01.2027</t>
        </is>
      </c>
      <c r="E9270" t="inlineStr">
        <is>
          <t>Germany</t>
        </is>
      </c>
    </row>
    <row r="9271">
      <c r="A9271" t="inlineStr">
        <is>
          <t>DCC Energi A/S,  Nærum, Denmark</t>
        </is>
      </c>
      <c r="B9271" t="inlineStr">
        <is>
          <t>Trader</t>
        </is>
      </c>
      <c r="C9271" t="inlineStr">
        <is>
          <t>Baltic Control Certification, Risskov, DK</t>
        </is>
      </c>
      <c r="D9271" t="inlineStr">
        <is>
          <t>12.01.2027</t>
        </is>
      </c>
      <c r="E9271" t="inlineStr">
        <is>
          <t>Denmark</t>
        </is>
      </c>
    </row>
    <row r="9272">
      <c r="A9272" t="inlineStr">
        <is>
          <t>NS United Kaiun Kaisha, Ltd.,  Tokyo, Japan</t>
        </is>
      </c>
      <c r="B9272" t="inlineStr">
        <is>
          <t>Trader</t>
        </is>
      </c>
      <c r="C9272" t="inlineStr">
        <is>
          <t>PT TUV Rheinland Indonesia, Jakarta, ID</t>
        </is>
      </c>
      <c r="D9272" t="inlineStr">
        <is>
          <t>12.01.2027</t>
        </is>
      </c>
      <c r="E9272" t="inlineStr">
        <is>
          <t>Japan</t>
        </is>
      </c>
    </row>
    <row r="9273">
      <c r="A9273" t="inlineStr">
        <is>
          <t>LANCER OPTICAL ( VIET NAM ) COMPANY LIMITED,  Bac Ninh Province, Vietnam</t>
        </is>
      </c>
      <c r="B9273" t="inlineStr">
        <is>
          <t>Processing Unit</t>
        </is>
      </c>
      <c r="C9273" t="inlineStr">
        <is>
          <t>SCS Global Services, Emeryville, CA, US</t>
        </is>
      </c>
      <c r="D9273" t="inlineStr">
        <is>
          <t>12.01.2027</t>
        </is>
      </c>
      <c r="E9273" t="inlineStr">
        <is>
          <t>Vietnam</t>
        </is>
      </c>
    </row>
    <row r="9274">
      <c r="A9274" t="inlineStr">
        <is>
          <t>AkzoNobel Industrial Coating,  Malmö, Sweden</t>
        </is>
      </c>
      <c r="B9274" t="inlineStr">
        <is>
          <t>Processing Unit, Trader with Storage</t>
        </is>
      </c>
      <c r="C9274" t="inlineStr">
        <is>
          <t>TÜV SÜD Industrie Service GmbH, München, DE</t>
        </is>
      </c>
      <c r="D9274" t="inlineStr">
        <is>
          <t>12.01.2027</t>
        </is>
      </c>
      <c r="E9274" t="inlineStr">
        <is>
          <t>Sweden</t>
        </is>
      </c>
    </row>
    <row r="9275">
      <c r="A9275" t="inlineStr">
        <is>
          <t>Zibo Maosheng Renewable Resources Co.,ltd,  Zibo City, Shandong Province, China</t>
        </is>
      </c>
      <c r="B9275" t="inlineStr">
        <is>
          <t>Collecting Point</t>
        </is>
      </c>
      <c r="C9275" t="inlineStr">
        <is>
          <t>RINA Services S.p.A., Genova, IT</t>
        </is>
      </c>
      <c r="D9275" t="inlineStr">
        <is>
          <t>12.01.2027</t>
        </is>
      </c>
      <c r="E9275" t="inlineStr">
        <is>
          <t>China</t>
        </is>
      </c>
    </row>
    <row r="9276">
      <c r="A9276" t="inlineStr">
        <is>
          <t>Liaocheng Fu Qiang renewable resources co.,ltd,  Yanggu, Liaocheng City, Shandong Province, China</t>
        </is>
      </c>
      <c r="B9276" t="inlineStr">
        <is>
          <t>Collecting Point</t>
        </is>
      </c>
      <c r="C9276" t="inlineStr">
        <is>
          <t>RINA Services S.p.A., Genova, IT</t>
        </is>
      </c>
      <c r="D9276" t="inlineStr">
        <is>
          <t>12.01.2027</t>
        </is>
      </c>
      <c r="E9276" t="inlineStr">
        <is>
          <t>China</t>
        </is>
      </c>
    </row>
    <row r="9277">
      <c r="A9277" t="inlineStr">
        <is>
          <t>Shandong Helon Polytex Chemical Fibre Co., Ltd.,  Weifang City, China</t>
        </is>
      </c>
      <c r="B9277" t="inlineStr">
        <is>
          <t>Processing Unit</t>
        </is>
      </c>
      <c r="C9277" t="inlineStr">
        <is>
          <t>Extensive Standard Technical Services Co., Ltd., Hong Kong, CN</t>
        </is>
      </c>
      <c r="D9277" t="inlineStr">
        <is>
          <t>12.01.2027</t>
        </is>
      </c>
      <c r="E9277" t="inlineStr">
        <is>
          <t>China</t>
        </is>
      </c>
    </row>
    <row r="9278">
      <c r="A9278" t="inlineStr">
        <is>
          <t>STILITALY,  CALALZO DI CADORE, Italy</t>
        </is>
      </c>
      <c r="B9278" t="inlineStr">
        <is>
          <t>Processing Unit</t>
        </is>
      </c>
      <c r="C9278" t="inlineStr">
        <is>
          <t>ICIM SpA, sesto san giovanni, IT</t>
        </is>
      </c>
      <c r="D9278" t="inlineStr">
        <is>
          <t>12.01.2027</t>
        </is>
      </c>
      <c r="E9278" t="inlineStr">
        <is>
          <t>Italy</t>
        </is>
      </c>
    </row>
    <row r="9279">
      <c r="A9279" t="inlineStr">
        <is>
          <t>EPL Ltd.,  Shahapur, India</t>
        </is>
      </c>
      <c r="B9279" t="inlineStr">
        <is>
          <t>Processing Unit</t>
        </is>
      </c>
      <c r="C9279" t="inlineStr">
        <is>
          <t>Control Union Certifications Germany GmbH, Berlin, DE</t>
        </is>
      </c>
      <c r="D9279" t="inlineStr">
        <is>
          <t>12.01.2027</t>
        </is>
      </c>
      <c r="E9279" t="inlineStr">
        <is>
          <t>India</t>
        </is>
      </c>
    </row>
    <row r="9280">
      <c r="A9280" t="inlineStr">
        <is>
          <t>Lanxess Deutschland / F&amp;F MFCHL,  Krefeld, Germany</t>
        </is>
      </c>
      <c r="B9280" t="inlineStr">
        <is>
          <t>Processing Unit</t>
        </is>
      </c>
      <c r="C9280" t="inlineStr">
        <is>
          <t>TÜV NORD CERT GmbH, Essen, DE</t>
        </is>
      </c>
      <c r="D9280" t="inlineStr">
        <is>
          <t>12.01.2027</t>
        </is>
      </c>
      <c r="E9280" t="inlineStr">
        <is>
          <t>Germany</t>
        </is>
      </c>
    </row>
    <row r="9281">
      <c r="A9281" t="inlineStr">
        <is>
          <t>Anhui KB.Reco Co.,Ltd.,  Chuzhou City, Anhui Province, China</t>
        </is>
      </c>
      <c r="B9281" t="inlineStr">
        <is>
          <t>Collecting Point, Processing Unit</t>
        </is>
      </c>
      <c r="C9281" t="inlineStr">
        <is>
          <t>SCS Global Services, Emeryville, CA, US</t>
        </is>
      </c>
      <c r="D9281" t="inlineStr">
        <is>
          <t>12.01.2027</t>
        </is>
      </c>
      <c r="E9281" t="inlineStr">
        <is>
          <t>China</t>
        </is>
      </c>
    </row>
    <row r="9282">
      <c r="A9282" t="inlineStr">
        <is>
          <t>Univar Solutions,  North York, ON, Canada</t>
        </is>
      </c>
      <c r="B9282" t="inlineStr">
        <is>
          <t>Trader with Storage</t>
        </is>
      </c>
      <c r="C9282" t="inlineStr">
        <is>
          <t>SCS Global Services, Emeryville, CA, US</t>
        </is>
      </c>
      <c r="D9282" t="inlineStr">
        <is>
          <t>12.01.2027</t>
        </is>
      </c>
      <c r="E9282" t="inlineStr">
        <is>
          <t>Canada</t>
        </is>
      </c>
    </row>
    <row r="9283">
      <c r="A9283" t="inlineStr">
        <is>
          <t>Banle Energy International Limited,  Kowloon Bay, Hong Kong</t>
        </is>
      </c>
      <c r="B9283" t="inlineStr">
        <is>
          <t>Trader</t>
        </is>
      </c>
      <c r="C9283" t="inlineStr">
        <is>
          <t>Bureau Veritas Polska Sp. z o.o., Warsaw, PL</t>
        </is>
      </c>
      <c r="D9283" t="inlineStr">
        <is>
          <t>12.01.2027</t>
        </is>
      </c>
      <c r="E9283" t="inlineStr">
        <is>
          <t>Hong Kong</t>
        </is>
      </c>
    </row>
    <row r="9284">
      <c r="A9284" t="inlineStr">
        <is>
          <t>Banle Energy International Limited,  Kowloon Bay, Hong Kong</t>
        </is>
      </c>
      <c r="B9284" t="inlineStr">
        <is>
          <t>Trader</t>
        </is>
      </c>
      <c r="C9284" t="inlineStr">
        <is>
          <t>Bureau Veritas Polska Sp. z o.o., Warsaw, PL</t>
        </is>
      </c>
      <c r="D9284" t="inlineStr">
        <is>
          <t>12.01.2027</t>
        </is>
      </c>
      <c r="E9284" t="inlineStr">
        <is>
          <t>Hong Kong</t>
        </is>
      </c>
    </row>
    <row r="9285">
      <c r="A9285" t="inlineStr">
        <is>
          <t>EAST ASIA UNITED INDUSTRIAL HOLDINGS SDN BHD,  PASIR GUDANG, JOHOR DARUL TAKZIM, Malaysia</t>
        </is>
      </c>
      <c r="B9285" t="inlineStr">
        <is>
          <t>Trader with Storage</t>
        </is>
      </c>
      <c r="C9285" t="inlineStr">
        <is>
          <t>SCS Global Services, Emeryville, CA, US</t>
        </is>
      </c>
      <c r="D9285" t="inlineStr">
        <is>
          <t>12.01.2027</t>
        </is>
      </c>
      <c r="E9285" t="inlineStr">
        <is>
          <t>Malaysia</t>
        </is>
      </c>
    </row>
    <row r="9286">
      <c r="A9286" t="inlineStr">
        <is>
          <t>Univar Solutions,  Downers Grove, Illinois, United States</t>
        </is>
      </c>
      <c r="B9286" t="inlineStr">
        <is>
          <t>Trader with Storage</t>
        </is>
      </c>
      <c r="C9286" t="inlineStr">
        <is>
          <t>SCS Global Services, Emeryville, CA, US</t>
        </is>
      </c>
      <c r="D9286" t="inlineStr">
        <is>
          <t>12.01.2027</t>
        </is>
      </c>
      <c r="E9286" t="inlineStr">
        <is>
          <t>United States</t>
        </is>
      </c>
    </row>
    <row r="9287">
      <c r="A9287" t="inlineStr">
        <is>
          <t>ztn Südwest,  Hardheim, Germany</t>
        </is>
      </c>
      <c r="B9287" t="inlineStr">
        <is>
          <t>Point of Origin</t>
        </is>
      </c>
      <c r="C9287" t="inlineStr">
        <is>
          <t>DEKRA Certification GmbH, Stuttgart, DE</t>
        </is>
      </c>
      <c r="D9287" t="inlineStr">
        <is>
          <t>12.01.2027</t>
        </is>
      </c>
      <c r="E9287" t="inlineStr">
        <is>
          <t>Germany</t>
        </is>
      </c>
    </row>
    <row r="9288">
      <c r="A9288" t="inlineStr">
        <is>
          <t>ECO L Co.,  Goesan-gun, Chungcheongbuk-do., Korea, Republic of</t>
        </is>
      </c>
      <c r="B9288" t="inlineStr">
        <is>
          <t>Collecting Point, Processing Unit</t>
        </is>
      </c>
      <c r="C9288" t="inlineStr">
        <is>
          <t>Control Union Certifications Germany GmbH, Berlin, DE</t>
        </is>
      </c>
      <c r="D9288" t="inlineStr">
        <is>
          <t>12.01.2027</t>
        </is>
      </c>
      <c r="E9288" t="inlineStr">
        <is>
          <t>Republic of</t>
        </is>
      </c>
    </row>
    <row r="9289">
      <c r="A9289" t="inlineStr">
        <is>
          <t>Contour Optik Philippine Inc.,  Tanza, Philippines</t>
        </is>
      </c>
      <c r="B9289" t="inlineStr">
        <is>
          <t>Final Product Refinement, Processing Unit</t>
        </is>
      </c>
      <c r="C9289" t="inlineStr">
        <is>
          <t>SGS Germany GmbH, Emstek, DE</t>
        </is>
      </c>
      <c r="D9289" t="inlineStr">
        <is>
          <t>12.01.2027</t>
        </is>
      </c>
      <c r="E9289" t="inlineStr">
        <is>
          <t>Philippines</t>
        </is>
      </c>
    </row>
    <row r="9290">
      <c r="A9290" t="inlineStr">
        <is>
          <t>Cargill GmbH,  Frankfurt a.M., Germany</t>
        </is>
      </c>
      <c r="B9290" t="inlineStr">
        <is>
          <t>Processing Unit</t>
        </is>
      </c>
      <c r="C9290" t="inlineStr">
        <is>
          <t>SGS Germany GmbH, Emstek, DE</t>
        </is>
      </c>
      <c r="D9290" t="inlineStr">
        <is>
          <t>12.01.2027</t>
        </is>
      </c>
      <c r="E9290" t="inlineStr">
        <is>
          <t>Germany</t>
        </is>
      </c>
    </row>
    <row r="9291">
      <c r="A9291" t="inlineStr">
        <is>
          <t>Cargill GmbH,  Frankfurt a.M., Germany</t>
        </is>
      </c>
      <c r="B9291" t="inlineStr">
        <is>
          <t>Point of Origin, Processing Unit, Proof of Compliance Trader, Trader with Storage</t>
        </is>
      </c>
      <c r="C9291" t="inlineStr">
        <is>
          <t>SGS Germany GmbH, Emstek, DE</t>
        </is>
      </c>
      <c r="D9291" t="inlineStr">
        <is>
          <t>12.01.2027</t>
        </is>
      </c>
      <c r="E9291" t="inlineStr">
        <is>
          <t>Germany</t>
        </is>
      </c>
    </row>
    <row r="9292">
      <c r="A9292" t="inlineStr">
        <is>
          <t>OMV Slovensko, s.r.o.,  Bratislava, Slovakia</t>
        </is>
      </c>
      <c r="B9292" t="inlineStr">
        <is>
          <t>Trader</t>
        </is>
      </c>
      <c r="C9292" t="inlineStr">
        <is>
          <t>SGS Germany GmbH, Emstek, DE</t>
        </is>
      </c>
      <c r="D9292" t="inlineStr">
        <is>
          <t>12.01.2027</t>
        </is>
      </c>
      <c r="E9292" t="inlineStr">
        <is>
          <t>Slovakia</t>
        </is>
      </c>
    </row>
    <row r="9293">
      <c r="A9293" t="inlineStr">
        <is>
          <t>Yamashirosenikogyo Co., Ltd.,  Kyotanabe, Kyoto, Japan</t>
        </is>
      </c>
      <c r="B9293" t="inlineStr">
        <is>
          <t>Processing Unit</t>
        </is>
      </c>
      <c r="C9293" t="inlineStr">
        <is>
          <t>SGS Germany GmbH, Emstek, DE</t>
        </is>
      </c>
      <c r="D9293" t="inlineStr">
        <is>
          <t>12.01.2027</t>
        </is>
      </c>
      <c r="E9293" t="inlineStr">
        <is>
          <t>Japan</t>
        </is>
      </c>
    </row>
    <row r="9294">
      <c r="A9294" t="inlineStr">
        <is>
          <t>PT. Sari Dumai Oleo,  Dumai, Indonesia</t>
        </is>
      </c>
      <c r="B9294" t="inlineStr">
        <is>
          <t>Point of Origin, Processing Unit</t>
        </is>
      </c>
      <c r="C9294" t="inlineStr">
        <is>
          <t>SGS Germany GmbH, Emstek, DE</t>
        </is>
      </c>
      <c r="D9294" t="inlineStr">
        <is>
          <t>12.01.2027</t>
        </is>
      </c>
      <c r="E9294" t="inlineStr">
        <is>
          <t>Indonesia</t>
        </is>
      </c>
    </row>
    <row r="9295">
      <c r="A9295" t="inlineStr">
        <is>
          <t>Amcor Flexibles Transpac BV,  Gent, Belgium</t>
        </is>
      </c>
      <c r="B9295" t="inlineStr">
        <is>
          <t>Processing Unit</t>
        </is>
      </c>
      <c r="C9295" t="inlineStr">
        <is>
          <t>SGS Germany GmbH, Emstek, DE</t>
        </is>
      </c>
      <c r="D9295" t="inlineStr">
        <is>
          <t>12.01.2027</t>
        </is>
      </c>
      <c r="E9295" t="inlineStr">
        <is>
          <t>Belgium</t>
        </is>
      </c>
    </row>
    <row r="9296">
      <c r="A9296" t="inlineStr">
        <is>
          <t>Evolue Japan CO., LTD.,  Ichihara, Chiba, Japan</t>
        </is>
      </c>
      <c r="B9296" t="inlineStr">
        <is>
          <t>Processing Unit</t>
        </is>
      </c>
      <c r="C9296" t="inlineStr">
        <is>
          <t>SGS Germany GmbH, Emstek, DE</t>
        </is>
      </c>
      <c r="D9296" t="inlineStr">
        <is>
          <t>12.01.2027</t>
        </is>
      </c>
      <c r="E9296" t="inlineStr">
        <is>
          <t>Japan</t>
        </is>
      </c>
    </row>
    <row r="9297">
      <c r="A9297" t="inlineStr">
        <is>
          <t>ZAO ZHUANG RUIXING SHOES CO., LTD,  Yicheng Economic Development Zone, Zaozhuang, China</t>
        </is>
      </c>
      <c r="B9297" t="inlineStr">
        <is>
          <t>Processing Unit</t>
        </is>
      </c>
      <c r="C9297" t="inlineStr">
        <is>
          <t>SGS Germany GmbH, Emstek, DE</t>
        </is>
      </c>
      <c r="D9297" t="inlineStr">
        <is>
          <t>12.01.2027</t>
        </is>
      </c>
      <c r="E9297" t="inlineStr">
        <is>
          <t>China</t>
        </is>
      </c>
    </row>
    <row r="9298">
      <c r="A9298" t="inlineStr">
        <is>
          <t>Fujian Haisi Xingyao Biotechnology Co., Ltd,  Suzhou City,Jiangsu Province, China</t>
        </is>
      </c>
      <c r="B9298" t="inlineStr">
        <is>
          <t>Trader</t>
        </is>
      </c>
      <c r="C9298" t="inlineStr">
        <is>
          <t>RINA Services S.p.A., Genova, IT</t>
        </is>
      </c>
      <c r="D9298" t="inlineStr">
        <is>
          <t>12.01.2027</t>
        </is>
      </c>
      <c r="E9298" t="inlineStr">
        <is>
          <t>China</t>
        </is>
      </c>
    </row>
    <row r="9299">
      <c r="A9299" t="inlineStr">
        <is>
          <t>Oilux,  Alexandria, EGYPT, Egypt</t>
        </is>
      </c>
      <c r="B9299" t="inlineStr">
        <is>
          <t>Collecting Point</t>
        </is>
      </c>
      <c r="C9299" t="inlineStr">
        <is>
          <t>Eurocert SA, Metamorfosi, Athens, GR</t>
        </is>
      </c>
      <c r="D9299" t="inlineStr">
        <is>
          <t>12.01.2027</t>
        </is>
      </c>
      <c r="E9299" t="inlineStr">
        <is>
          <t>Egypt</t>
        </is>
      </c>
    </row>
    <row r="9300">
      <c r="A9300" t="inlineStr">
        <is>
          <t>PT. BERKAT SAWIT MANDIRI,  Muara Enim, Indonesia</t>
        </is>
      </c>
      <c r="B9300" t="inlineStr">
        <is>
          <t>Point of Origin</t>
        </is>
      </c>
      <c r="C9300" t="inlineStr">
        <is>
          <t>PT. Qualitas Sertifikasi Indonesia, Jakarta, ID</t>
        </is>
      </c>
      <c r="D9300" t="inlineStr">
        <is>
          <t>12.01.2027</t>
        </is>
      </c>
      <c r="E9300" t="inlineStr">
        <is>
          <t>Indonesia</t>
        </is>
      </c>
    </row>
    <row r="9301">
      <c r="A9301" t="inlineStr">
        <is>
          <t>Rejoule Pte Ltd,  Ngee Ann City Tower B, Singapore</t>
        </is>
      </c>
      <c r="B9301" t="inlineStr">
        <is>
          <t>Trader</t>
        </is>
      </c>
      <c r="C9301" t="inlineStr">
        <is>
          <t>Double Helix Tracking Technologies Pte Ltd, Singapore, SG</t>
        </is>
      </c>
      <c r="D9301" t="inlineStr">
        <is>
          <t>12.01.2027</t>
        </is>
      </c>
      <c r="E9301" t="inlineStr">
        <is>
          <t>Singapore</t>
        </is>
      </c>
    </row>
    <row r="9302">
      <c r="A9302" t="inlineStr">
        <is>
          <t>SOCAR TURKEY PETROL TICARET AS,  ISTANBUL, Turkey</t>
        </is>
      </c>
      <c r="B9302" t="inlineStr">
        <is>
          <t>Trader</t>
        </is>
      </c>
      <c r="C9302" t="inlineStr">
        <is>
          <t>PT Intertek Utama Services, Jakarta, ID</t>
        </is>
      </c>
      <c r="D9302" t="inlineStr">
        <is>
          <t>12.01.2027</t>
        </is>
      </c>
      <c r="E9302" t="inlineStr">
        <is>
          <t>Turkey</t>
        </is>
      </c>
    </row>
    <row r="9303">
      <c r="A9303" t="inlineStr">
        <is>
          <t>Changzhou Zhiyi Zinc Industry Co., Ltd.,  Changzhou City, Jiangsu Province, China</t>
        </is>
      </c>
      <c r="B9303" t="inlineStr">
        <is>
          <t>Collecting Point, Processing Unit</t>
        </is>
      </c>
      <c r="C9303" t="inlineStr">
        <is>
          <t>SCS Global Services, Emeryville, CA, US</t>
        </is>
      </c>
      <c r="D9303" t="inlineStr">
        <is>
          <t>12.01.2027</t>
        </is>
      </c>
      <c r="E9303" t="inlineStr">
        <is>
          <t>China</t>
        </is>
      </c>
    </row>
    <row r="9304">
      <c r="A9304" t="inlineStr">
        <is>
          <t>Eastman Chemicals (Malaysia) Sdn Bhd,  Pahang Darul Makmur, Malaysia</t>
        </is>
      </c>
      <c r="B9304" t="inlineStr">
        <is>
          <t>Processing Unit</t>
        </is>
      </c>
      <c r="C9304" t="inlineStr">
        <is>
          <t>SCS Global Services, Emeryville, CA, US</t>
        </is>
      </c>
      <c r="D9304" t="inlineStr">
        <is>
          <t>12.01.2027</t>
        </is>
      </c>
      <c r="E9304" t="inlineStr">
        <is>
          <t>Malaysia</t>
        </is>
      </c>
    </row>
    <row r="9305">
      <c r="A9305" t="inlineStr">
        <is>
          <t>Jianhu Xinglong Nylon Co., Ltd,  Yancheng City, Jiangsu Province, China</t>
        </is>
      </c>
      <c r="B9305" t="inlineStr">
        <is>
          <t>Processing Unit</t>
        </is>
      </c>
      <c r="C9305" t="inlineStr">
        <is>
          <t>SCS Global Services, Emeryville, CA, US</t>
        </is>
      </c>
      <c r="D9305" t="inlineStr">
        <is>
          <t>12.01.2027</t>
        </is>
      </c>
      <c r="E9305" t="inlineStr">
        <is>
          <t>China</t>
        </is>
      </c>
    </row>
    <row r="9306">
      <c r="A9306" t="inlineStr">
        <is>
          <t>Shandong Sunsine Chemical Co., Ltd.,  Shandong Province Heze, China</t>
        </is>
      </c>
      <c r="B9306" t="inlineStr">
        <is>
          <t>Processing Unit</t>
        </is>
      </c>
      <c r="C9306" t="inlineStr">
        <is>
          <t>PT Intertek Utama Services, Jakarta, ID</t>
        </is>
      </c>
      <c r="D9306" t="inlineStr">
        <is>
          <t>12.01.2027</t>
        </is>
      </c>
      <c r="E9306" t="inlineStr">
        <is>
          <t>China</t>
        </is>
      </c>
    </row>
    <row r="9307">
      <c r="A9307" t="inlineStr">
        <is>
          <t>Wien Energie GmbH,  Vienna, Austria</t>
        </is>
      </c>
      <c r="B9307" t="inlineStr">
        <is>
          <t>Processing Unit</t>
        </is>
      </c>
      <c r="C9307" t="inlineStr">
        <is>
          <t>TÜV SÜD Industrie Service GmbH, München, DE</t>
        </is>
      </c>
      <c r="D9307" t="inlineStr">
        <is>
          <t>12.01.2027</t>
        </is>
      </c>
      <c r="E9307" t="inlineStr">
        <is>
          <t>Austria</t>
        </is>
      </c>
    </row>
    <row r="9308">
      <c r="A9308" t="inlineStr">
        <is>
          <t>GITI RADIAL TIRE(ANHUI) COMPANY LTD,  Hefei City, Anhui Province, China</t>
        </is>
      </c>
      <c r="B9308" t="inlineStr">
        <is>
          <t>Processing Unit</t>
        </is>
      </c>
      <c r="C9308" t="inlineStr">
        <is>
          <t>SGS Germany GmbH, Emstek, DE</t>
        </is>
      </c>
      <c r="D9308" t="inlineStr">
        <is>
          <t>11.01.2027</t>
        </is>
      </c>
      <c r="E9308" t="inlineStr">
        <is>
          <t>China</t>
        </is>
      </c>
    </row>
    <row r="9309">
      <c r="A9309" t="inlineStr">
        <is>
          <t>Basell Orlen Polyolefins Sp. z o.o,  Plock, Poland</t>
        </is>
      </c>
      <c r="B9309" t="inlineStr">
        <is>
          <t>Processing Unit</t>
        </is>
      </c>
      <c r="C9309" t="inlineStr">
        <is>
          <t>Bureau Veritas Polska Sp. z o.o., Warsaw, PL</t>
        </is>
      </c>
      <c r="D9309" t="inlineStr">
        <is>
          <t>11.01.2027</t>
        </is>
      </c>
      <c r="E9309" t="inlineStr">
        <is>
          <t>Poland</t>
        </is>
      </c>
    </row>
    <row r="9310">
      <c r="A9310" t="inlineStr">
        <is>
          <t>Repsol Portuguesa,  LIsboa, Portugal</t>
        </is>
      </c>
      <c r="B9310" t="inlineStr">
        <is>
          <t>Proof of Compliance Trader, Trader with Storage</t>
        </is>
      </c>
      <c r="C9310" t="inlineStr">
        <is>
          <t>SGS Germany GmbH, Emstek, DE</t>
        </is>
      </c>
      <c r="D9310" t="inlineStr">
        <is>
          <t>11.01.2027</t>
        </is>
      </c>
      <c r="E9310" t="inlineStr">
        <is>
          <t>Portugal</t>
        </is>
      </c>
    </row>
    <row r="9311">
      <c r="A9311" t="inlineStr">
        <is>
          <t>Shanghai CEO Technology Co., Ltd,  Pudong New Area, Shanghai, China</t>
        </is>
      </c>
      <c r="B9311" t="inlineStr">
        <is>
          <t>Processing Unit</t>
        </is>
      </c>
      <c r="C9311" t="inlineStr">
        <is>
          <t>Bureau Veritas Polska Sp. z o.o., Warsaw, PL</t>
        </is>
      </c>
      <c r="D9311" t="inlineStr">
        <is>
          <t>11.01.2027</t>
        </is>
      </c>
      <c r="E9311" t="inlineStr">
        <is>
          <t>China</t>
        </is>
      </c>
    </row>
    <row r="9312">
      <c r="A9312" t="inlineStr">
        <is>
          <t>Shanghai CEO Technology Co., Ltd,  Pudong New Area, Shanghai, China</t>
        </is>
      </c>
      <c r="B9312" t="inlineStr">
        <is>
          <t>Processing Unit</t>
        </is>
      </c>
      <c r="C9312" t="inlineStr">
        <is>
          <t>Bureau Veritas Polska Sp. z o.o., Warsaw, PL</t>
        </is>
      </c>
      <c r="D9312" t="inlineStr">
        <is>
          <t>11.01.2027</t>
        </is>
      </c>
      <c r="E9312" t="inlineStr">
        <is>
          <t>China</t>
        </is>
      </c>
    </row>
    <row r="9313">
      <c r="A9313" t="inlineStr">
        <is>
          <t>HELM Iberica, S.A,  Alcobendas, Spain</t>
        </is>
      </c>
      <c r="B9313" t="inlineStr">
        <is>
          <t>Trader</t>
        </is>
      </c>
      <c r="C9313" t="inlineStr">
        <is>
          <t>Bureau Veritas Polska Sp. z o.o., Warsaw, PL</t>
        </is>
      </c>
      <c r="D9313" t="inlineStr">
        <is>
          <t>11.01.2027</t>
        </is>
      </c>
      <c r="E9313" t="inlineStr">
        <is>
          <t>Spain</t>
        </is>
      </c>
    </row>
    <row r="9314">
      <c r="A9314" t="inlineStr">
        <is>
          <t>HELM Iberica, S.A,  Alcobendas, Spain</t>
        </is>
      </c>
      <c r="B9314" t="inlineStr">
        <is>
          <t>Trader</t>
        </is>
      </c>
      <c r="C9314" t="inlineStr">
        <is>
          <t>Bureau Veritas Polska Sp. z o.o., Warsaw, PL</t>
        </is>
      </c>
      <c r="D9314" t="inlineStr">
        <is>
          <t>11.01.2027</t>
        </is>
      </c>
      <c r="E9314" t="inlineStr">
        <is>
          <t>Spain</t>
        </is>
      </c>
    </row>
    <row r="9315">
      <c r="A9315" t="inlineStr">
        <is>
          <t>COMINDER,  NOVATE MILANESE, Italy</t>
        </is>
      </c>
      <c r="B9315" t="inlineStr">
        <is>
          <t>Trader with Storage</t>
        </is>
      </c>
      <c r="C9315" t="inlineStr">
        <is>
          <t>Certiquality srl, Milano, IT</t>
        </is>
      </c>
      <c r="D9315" t="inlineStr">
        <is>
          <t>11.01.2027</t>
        </is>
      </c>
      <c r="E9315" t="inlineStr">
        <is>
          <t>Italy</t>
        </is>
      </c>
    </row>
    <row r="9316">
      <c r="A9316" t="inlineStr">
        <is>
          <t>Vitol Netherlands BV,  Rotterdam, Netherlands</t>
        </is>
      </c>
      <c r="B9316" t="inlineStr">
        <is>
          <t>Trader</t>
        </is>
      </c>
      <c r="C9316" t="inlineStr">
        <is>
          <t>DEKRA Certification B.V., Arnhem, NL</t>
        </is>
      </c>
      <c r="D9316" t="inlineStr">
        <is>
          <t>11.01.2027</t>
        </is>
      </c>
      <c r="E9316" t="inlineStr">
        <is>
          <t>Netherlands</t>
        </is>
      </c>
    </row>
    <row r="9317">
      <c r="A9317" t="inlineStr">
        <is>
          <t>NORD-ESTER,  Dunkerque, France</t>
        </is>
      </c>
      <c r="B9317" t="inlineStr">
        <is>
          <t>Point of Origin, Processing Unit, Trader with Storage</t>
        </is>
      </c>
      <c r="C9317" t="inlineStr">
        <is>
          <t>Control Union Certifications Germany GmbH, Berlin, DE</t>
        </is>
      </c>
      <c r="D9317" t="inlineStr">
        <is>
          <t>11.01.2027</t>
        </is>
      </c>
      <c r="E9317" t="inlineStr">
        <is>
          <t>France</t>
        </is>
      </c>
    </row>
    <row r="9318">
      <c r="A9318" t="inlineStr">
        <is>
          <t>Rathi Rubber India Private Limited,  Gummidipoondi, Tamil Nadu, India</t>
        </is>
      </c>
      <c r="B9318" t="inlineStr">
        <is>
          <t>Collecting Point, Processing Unit</t>
        </is>
      </c>
      <c r="C9318" t="inlineStr">
        <is>
          <t>SGS Germany GmbH, Emstek, DE</t>
        </is>
      </c>
      <c r="D9318" t="inlineStr">
        <is>
          <t>11.01.2027</t>
        </is>
      </c>
      <c r="E9318" t="inlineStr">
        <is>
          <t>India</t>
        </is>
      </c>
    </row>
    <row r="9319">
      <c r="A9319" t="inlineStr">
        <is>
          <t>Rathi Rubber India Private Limited,  Gummidipoondi, Tamil Nadu, India</t>
        </is>
      </c>
      <c r="B9319" t="inlineStr">
        <is>
          <t>Collecting Point, Processing Unit</t>
        </is>
      </c>
      <c r="C9319" t="inlineStr">
        <is>
          <t>SGS Germany GmbH, Emstek, DE</t>
        </is>
      </c>
      <c r="D9319" t="inlineStr">
        <is>
          <t>11.01.2027</t>
        </is>
      </c>
      <c r="E9319" t="inlineStr">
        <is>
          <t>India</t>
        </is>
      </c>
    </row>
    <row r="9320">
      <c r="A9320" t="inlineStr">
        <is>
          <t>TERMINAL LOGISTICA DE CARTAGENA S.L.,  Cartagena (Murica), Spain</t>
        </is>
      </c>
      <c r="B9320" t="inlineStr">
        <is>
          <t>Warehouse</t>
        </is>
      </c>
      <c r="C9320" t="inlineStr">
        <is>
          <t>Bureau Veritas Polska Sp. z o.o., Warsaw, PL</t>
        </is>
      </c>
      <c r="D9320" t="inlineStr">
        <is>
          <t>11.01.2027</t>
        </is>
      </c>
      <c r="E9320" t="inlineStr">
        <is>
          <t>Spain</t>
        </is>
      </c>
    </row>
    <row r="9321">
      <c r="A9321" t="inlineStr">
        <is>
          <t>Xiamen C&amp;D Commodities Limited,  XIAMEN,FUJIAN, China</t>
        </is>
      </c>
      <c r="B9321" t="inlineStr">
        <is>
          <t>Trader with Storage</t>
        </is>
      </c>
      <c r="C9321" t="inlineStr">
        <is>
          <t>RINA Services S.p.A., Genova, IT</t>
        </is>
      </c>
      <c r="D9321" t="inlineStr">
        <is>
          <t>11.01.2027</t>
        </is>
      </c>
      <c r="E9321" t="inlineStr">
        <is>
          <t>China</t>
        </is>
      </c>
    </row>
    <row r="9322">
      <c r="A9322" t="inlineStr">
        <is>
          <t>Seina Holdings,  Njambini, Kenya</t>
        </is>
      </c>
      <c r="B9322" t="inlineStr">
        <is>
          <t>Trader with Storage, Collecting Point</t>
        </is>
      </c>
      <c r="C9322" t="inlineStr">
        <is>
          <t>RINA Services S.p.A., Genova, IT</t>
        </is>
      </c>
      <c r="D9322" t="inlineStr">
        <is>
          <t>11.01.2027</t>
        </is>
      </c>
      <c r="E9322" t="inlineStr">
        <is>
          <t>Kenya</t>
        </is>
      </c>
    </row>
    <row r="9323">
      <c r="A9323" t="inlineStr">
        <is>
          <t>Alpha Carbone,  Brevans, France</t>
        </is>
      </c>
      <c r="B9323" t="inlineStr">
        <is>
          <t>Processing Unit, Collecting Point</t>
        </is>
      </c>
      <c r="C9323" t="inlineStr">
        <is>
          <t>Control Union Certifications Germany GmbH, Berlin, DE</t>
        </is>
      </c>
      <c r="D9323" t="inlineStr">
        <is>
          <t>11.01.2027</t>
        </is>
      </c>
      <c r="E9323" t="inlineStr">
        <is>
          <t>France</t>
        </is>
      </c>
    </row>
    <row r="9324">
      <c r="A9324" t="inlineStr">
        <is>
          <t>FEBO SPA,  Serravalle Pistoiese, Italy</t>
        </is>
      </c>
      <c r="B9324" t="inlineStr">
        <is>
          <t>Trader with Storage</t>
        </is>
      </c>
      <c r="C9324" t="inlineStr">
        <is>
          <t>RINA Services S.p.A., Genova, IT</t>
        </is>
      </c>
      <c r="D9324" t="inlineStr">
        <is>
          <t>11.01.2027</t>
        </is>
      </c>
      <c r="E9324" t="inlineStr">
        <is>
          <t>Italy</t>
        </is>
      </c>
    </row>
    <row r="9325">
      <c r="A9325" t="inlineStr">
        <is>
          <t>Reschem Italia SpA,  Parabiago, Italy</t>
        </is>
      </c>
      <c r="B9325" t="inlineStr">
        <is>
          <t>Trader with Storage</t>
        </is>
      </c>
      <c r="C9325" t="inlineStr">
        <is>
          <t>Bureau Veritas Polska Sp. z o.o., Warsaw, PL</t>
        </is>
      </c>
      <c r="D9325" t="inlineStr">
        <is>
          <t>11.01.2027</t>
        </is>
      </c>
      <c r="E9325" t="inlineStr">
        <is>
          <t>Italy</t>
        </is>
      </c>
    </row>
    <row r="9326">
      <c r="A9326" t="inlineStr">
        <is>
          <t>Repsol Polímeros, Unipessoal LDA.,  Sines, Portugal</t>
        </is>
      </c>
      <c r="B9326" t="inlineStr">
        <is>
          <t>Trader with Storage</t>
        </is>
      </c>
      <c r="C9326" t="inlineStr">
        <is>
          <t>Control Union Poland Sp. z o.o., Zielona Gora, PL</t>
        </is>
      </c>
      <c r="D9326" t="inlineStr">
        <is>
          <t>11.01.2027</t>
        </is>
      </c>
      <c r="E9326" t="inlineStr">
        <is>
          <t>Portugal</t>
        </is>
      </c>
    </row>
    <row r="9327">
      <c r="A9327" t="inlineStr">
        <is>
          <t>DCOOP. S.C.A. DIVISIÓN GENERAL DE DESTILACIÓN (GEDESA),  Alcazar de San Juan, Ciudad Real, Spain</t>
        </is>
      </c>
      <c r="B9327" t="inlineStr">
        <is>
          <t>Collecting Point, Processing Unit</t>
        </is>
      </c>
      <c r="C9327" t="inlineStr">
        <is>
          <t>Control Union Poland Sp. z o.o., Zielona Gora, PL</t>
        </is>
      </c>
      <c r="D9327" t="inlineStr">
        <is>
          <t>11.01.2027</t>
        </is>
      </c>
      <c r="E9327" t="inlineStr">
        <is>
          <t>Spain</t>
        </is>
      </c>
    </row>
    <row r="9328">
      <c r="A9328" t="inlineStr">
        <is>
          <t>Sri Jelutung Palm Oil Mill,  Pekan, Pahang, Malaysia</t>
        </is>
      </c>
      <c r="B9328" t="inlineStr">
        <is>
          <t>Point of Origin</t>
        </is>
      </c>
      <c r="C9328" t="inlineStr">
        <is>
          <t>Trans Certification and Inspection Sdn Bhd, Kuantan, MY</t>
        </is>
      </c>
      <c r="D9328" t="inlineStr">
        <is>
          <t>11.01.2027</t>
        </is>
      </c>
      <c r="E9328" t="inlineStr">
        <is>
          <t>Malaysia</t>
        </is>
      </c>
    </row>
    <row r="9329">
      <c r="A9329" t="inlineStr">
        <is>
          <t>FLEXIPOL - ESPUMAS SINTÉTICAS, S.A.,  SÃO JOÃO DA MADEIRA, Portugal</t>
        </is>
      </c>
      <c r="B9329" t="inlineStr">
        <is>
          <t>Processing Unit</t>
        </is>
      </c>
      <c r="C9329" t="inlineStr">
        <is>
          <t>Certificadora Gallega del Noroeste SL, Vilagarcia de Arousa-Pontevedra, ES</t>
        </is>
      </c>
      <c r="D9329" t="inlineStr">
        <is>
          <t>11.01.2027</t>
        </is>
      </c>
      <c r="E9329" t="inlineStr">
        <is>
          <t>Portugal</t>
        </is>
      </c>
    </row>
    <row r="9330">
      <c r="A9330" t="inlineStr">
        <is>
          <t>ENERFUEL, Unipessoal, Lda.,  Sines, Portugal</t>
        </is>
      </c>
      <c r="B9330" t="inlineStr">
        <is>
          <t>Point of Origin, Processing Unit</t>
        </is>
      </c>
      <c r="C9330" t="inlineStr">
        <is>
          <t>Control Union Poland Sp. z o.o., Zielona Gora, PL</t>
        </is>
      </c>
      <c r="D9330" t="inlineStr">
        <is>
          <t>11.01.2027</t>
        </is>
      </c>
      <c r="E9330" t="inlineStr">
        <is>
          <t>Portugal</t>
        </is>
      </c>
    </row>
    <row r="9331">
      <c r="A9331" t="inlineStr">
        <is>
          <t>Graincorp Oilseeds,  Numurkah, Victoria, Australia</t>
        </is>
      </c>
      <c r="B9331" t="inlineStr">
        <is>
          <t>Trader with Storage, Processing Unit</t>
        </is>
      </c>
      <c r="C9331" t="inlineStr">
        <is>
          <t>Control Union Certifications Germany GmbH, Berlin, DE</t>
        </is>
      </c>
      <c r="D9331" t="inlineStr">
        <is>
          <t>11.01.2027</t>
        </is>
      </c>
      <c r="E9331" t="inlineStr">
        <is>
          <t>Australia</t>
        </is>
      </c>
    </row>
    <row r="9332">
      <c r="A9332" t="inlineStr">
        <is>
          <t>Graincorp Oilseeds,  Numurkah, Victoria, Australia</t>
        </is>
      </c>
      <c r="B9332" t="inlineStr">
        <is>
          <t>Trader with Storage, Processing Unit</t>
        </is>
      </c>
      <c r="C9332" t="inlineStr">
        <is>
          <t>Control Union Certifications Germany GmbH, Berlin, DE</t>
        </is>
      </c>
      <c r="D9332" t="inlineStr">
        <is>
          <t>11.01.2027</t>
        </is>
      </c>
      <c r="E9332" t="inlineStr">
        <is>
          <t>Australia</t>
        </is>
      </c>
    </row>
    <row r="9333">
      <c r="A9333" t="inlineStr">
        <is>
          <t>Graincorp Oilseeds,  Numurkah, Victoria, Australia</t>
        </is>
      </c>
      <c r="B9333" t="inlineStr">
        <is>
          <t>Trader with Storage, Processing Unit</t>
        </is>
      </c>
      <c r="C9333" t="inlineStr">
        <is>
          <t>Control Union Certifications Germany GmbH, Berlin, DE</t>
        </is>
      </c>
      <c r="D9333" t="inlineStr">
        <is>
          <t>11.01.2027</t>
        </is>
      </c>
      <c r="E9333" t="inlineStr">
        <is>
          <t>Australia</t>
        </is>
      </c>
    </row>
    <row r="9334">
      <c r="A9334" t="inlineStr">
        <is>
          <t>Arkema France,  Saint-Avold, Cedex, France</t>
        </is>
      </c>
      <c r="B9334" t="inlineStr">
        <is>
          <t>Processing Unit</t>
        </is>
      </c>
      <c r="C9334" t="inlineStr">
        <is>
          <t>DNV Business Assurance Sweden AB, Solna, SE</t>
        </is>
      </c>
      <c r="D9334" t="inlineStr">
        <is>
          <t>11.01.2027</t>
        </is>
      </c>
      <c r="E9334" t="inlineStr">
        <is>
          <t>France</t>
        </is>
      </c>
    </row>
    <row r="9335">
      <c r="A9335" t="inlineStr">
        <is>
          <t>Repsol Polímeros, Unipessoal LDA.,  Sines, Portugal</t>
        </is>
      </c>
      <c r="B9335" t="inlineStr">
        <is>
          <t>Processing Unit, Trader</t>
        </is>
      </c>
      <c r="C9335" t="inlineStr">
        <is>
          <t>Control Union Poland Sp. z o.o., Zielona Gora, PL</t>
        </is>
      </c>
      <c r="D9335" t="inlineStr">
        <is>
          <t>11.01.2027</t>
        </is>
      </c>
      <c r="E9335" t="inlineStr">
        <is>
          <t>Portugal</t>
        </is>
      </c>
    </row>
    <row r="9336">
      <c r="A9336" t="inlineStr">
        <is>
          <t>Vitol Aviation B.V.,  Rotterdam, The Netherlands</t>
        </is>
      </c>
      <c r="B9336" t="inlineStr">
        <is>
          <t>Trader</t>
        </is>
      </c>
      <c r="C9336" t="inlineStr">
        <is>
          <t>DEKRA Certification B.V., Arnhem, NL</t>
        </is>
      </c>
      <c r="D9336" t="inlineStr">
        <is>
          <t>11.01.2027</t>
        </is>
      </c>
      <c r="E9336" t="inlineStr">
        <is>
          <t>The Netherlands</t>
        </is>
      </c>
    </row>
    <row r="9337">
      <c r="A9337" t="inlineStr">
        <is>
          <t>Vitol SA,  Rotterdam, Netherlands</t>
        </is>
      </c>
      <c r="B9337" t="inlineStr">
        <is>
          <t>Trader with Storage</t>
        </is>
      </c>
      <c r="C9337" t="inlineStr">
        <is>
          <t>DEKRA Certification B.V., Arnhem, NL</t>
        </is>
      </c>
      <c r="D9337" t="inlineStr">
        <is>
          <t>11.01.2027</t>
        </is>
      </c>
      <c r="E9337" t="inlineStr">
        <is>
          <t>Netherlands</t>
        </is>
      </c>
    </row>
    <row r="9338">
      <c r="A9338" t="inlineStr">
        <is>
          <t>Vitol SA,  Rotterdam, Netherlands</t>
        </is>
      </c>
      <c r="B9338" t="inlineStr">
        <is>
          <t>Trader with Storage</t>
        </is>
      </c>
      <c r="C9338" t="inlineStr">
        <is>
          <t>DEKRA Certification B.V., Arnhem, NL</t>
        </is>
      </c>
      <c r="D9338" t="inlineStr">
        <is>
          <t>11.01.2027</t>
        </is>
      </c>
      <c r="E9338" t="inlineStr">
        <is>
          <t>Netherlands</t>
        </is>
      </c>
    </row>
    <row r="9339">
      <c r="A9339" t="inlineStr">
        <is>
          <t>Vitol SA,  Rotterdam, Netherlands</t>
        </is>
      </c>
      <c r="B9339" t="inlineStr">
        <is>
          <t>Trader with Storage, Proof of Compliance Trader, Processing Unit</t>
        </is>
      </c>
      <c r="C9339" t="inlineStr">
        <is>
          <t>DEKRA Certification B.V., Arnhem, NL</t>
        </is>
      </c>
      <c r="D9339" t="inlineStr">
        <is>
          <t>11.01.2027</t>
        </is>
      </c>
      <c r="E9339" t="inlineStr">
        <is>
          <t>Netherlands</t>
        </is>
      </c>
    </row>
    <row r="9340">
      <c r="A9340" t="inlineStr">
        <is>
          <t>Chacraservicios SRL,  Pergamino, Argentina</t>
        </is>
      </c>
      <c r="B9340" t="inlineStr">
        <is>
          <t>Trader with Storage</t>
        </is>
      </c>
      <c r="C9340" t="inlineStr">
        <is>
          <t>SGS Germany GmbH, Emstek, DE</t>
        </is>
      </c>
      <c r="D9340" t="inlineStr">
        <is>
          <t>11.01.2027</t>
        </is>
      </c>
      <c r="E9340" t="inlineStr">
        <is>
          <t>Argentina</t>
        </is>
      </c>
    </row>
    <row r="9341">
      <c r="A9341" t="inlineStr">
        <is>
          <t>Intraplás - Indústria Transformadora de Plásticos, S.A,  Santo Tirso, Rebordões, Portugal</t>
        </is>
      </c>
      <c r="B9341" t="inlineStr">
        <is>
          <t>Processing Unit</t>
        </is>
      </c>
      <c r="C9341" t="inlineStr">
        <is>
          <t>SGS Germany GmbH, Emstek, DE</t>
        </is>
      </c>
      <c r="D9341" t="inlineStr">
        <is>
          <t>11.01.2027</t>
        </is>
      </c>
      <c r="E9341" t="inlineStr">
        <is>
          <t>Portugal</t>
        </is>
      </c>
    </row>
    <row r="9342">
      <c r="A9342" t="inlineStr">
        <is>
          <t>MGC Filsheet Co., Ltd. Shirakawa Factory,  Shirakawa-shi, Fukushima, Japan</t>
        </is>
      </c>
      <c r="B9342" t="inlineStr">
        <is>
          <t>Processing Unit</t>
        </is>
      </c>
      <c r="C9342" t="inlineStr">
        <is>
          <t>SGS Germany GmbH, Emstek, DE</t>
        </is>
      </c>
      <c r="D9342" t="inlineStr">
        <is>
          <t>11.01.2027</t>
        </is>
      </c>
      <c r="E9342" t="inlineStr">
        <is>
          <t>Japan</t>
        </is>
      </c>
    </row>
    <row r="9343">
      <c r="A9343" t="inlineStr">
        <is>
          <t>MGC Filsheet Co., Ltd.,  Tokorozawa-shi, Saitama, Japan</t>
        </is>
      </c>
      <c r="B9343" t="inlineStr">
        <is>
          <t>Processing Unit</t>
        </is>
      </c>
      <c r="C9343" t="inlineStr">
        <is>
          <t>SGS Germany GmbH, Emstek, DE</t>
        </is>
      </c>
      <c r="D9343" t="inlineStr">
        <is>
          <t>11.01.2027</t>
        </is>
      </c>
      <c r="E9343" t="inlineStr">
        <is>
          <t>Japan</t>
        </is>
      </c>
    </row>
    <row r="9344">
      <c r="A9344" t="inlineStr">
        <is>
          <t>Zantye Agro Industries,  Hodawada, Tal. Vengurla, Dist Sindhudurg, India</t>
        </is>
      </c>
      <c r="B9344" t="inlineStr">
        <is>
          <t>Collecting Point, Processing Unit</t>
        </is>
      </c>
      <c r="C9344" t="inlineStr">
        <is>
          <t>Trans Certification and Inspection Sdn Bhd, Kuantan, MY</t>
        </is>
      </c>
      <c r="D9344" t="inlineStr">
        <is>
          <t>11.01.2027</t>
        </is>
      </c>
      <c r="E9344" t="inlineStr">
        <is>
          <t>India</t>
        </is>
      </c>
    </row>
    <row r="9345">
      <c r="A9345" t="inlineStr">
        <is>
          <t>New Hanchang Indonesia,  Desa Maribaya, Kecamatan Kramat, Kabupaten Tegal, Indonesia</t>
        </is>
      </c>
      <c r="B9345" t="inlineStr">
        <is>
          <t>Processing Unit</t>
        </is>
      </c>
      <c r="C9345" t="inlineStr">
        <is>
          <t>PT Intertek Utama Services, Jakarta, ID</t>
        </is>
      </c>
      <c r="D9345" t="inlineStr">
        <is>
          <t>11.01.2027</t>
        </is>
      </c>
      <c r="E9345" t="inlineStr">
        <is>
          <t>Indonesia</t>
        </is>
      </c>
    </row>
    <row r="9346">
      <c r="A9346" t="inlineStr">
        <is>
          <t>PT Fortius Wajo Perkebunan,  West Tanjung Jabung Regency, Jambi Province, Indonesia</t>
        </is>
      </c>
      <c r="B9346" t="inlineStr">
        <is>
          <t>Point of Origin</t>
        </is>
      </c>
      <c r="C9346" t="inlineStr">
        <is>
          <t>PT. Qualitas Sertifikasi Indonesia, Jakarta, ID</t>
        </is>
      </c>
      <c r="D9346" t="inlineStr">
        <is>
          <t>11.01.2027</t>
        </is>
      </c>
      <c r="E9346" t="inlineStr">
        <is>
          <t>Indonesia</t>
        </is>
      </c>
    </row>
    <row r="9347">
      <c r="A9347" t="inlineStr">
        <is>
          <t>CPCU,  SAINT OUEN, France</t>
        </is>
      </c>
      <c r="B9347" t="inlineStr">
        <is>
          <t>Processing Unit</t>
        </is>
      </c>
      <c r="C9347" t="inlineStr">
        <is>
          <t>SGS Germany GmbH, Emstek, DE</t>
        </is>
      </c>
      <c r="D9347" t="inlineStr">
        <is>
          <t>11.01.2027</t>
        </is>
      </c>
      <c r="E9347" t="inlineStr">
        <is>
          <t>France</t>
        </is>
      </c>
    </row>
    <row r="9348">
      <c r="A9348" t="inlineStr">
        <is>
          <t>Clibiya Sp. z o.o.,  Warsaw, Poland</t>
        </is>
      </c>
      <c r="B9348" t="inlineStr">
        <is>
          <t>Trader</t>
        </is>
      </c>
      <c r="C9348" t="inlineStr">
        <is>
          <t>BM Certification, Riga, LV</t>
        </is>
      </c>
      <c r="D9348" t="inlineStr">
        <is>
          <t>11.01.2027</t>
        </is>
      </c>
      <c r="E9348" t="inlineStr">
        <is>
          <t>Poland</t>
        </is>
      </c>
    </row>
    <row r="9349">
      <c r="A9349" t="inlineStr">
        <is>
          <t>FP Corporation,  Chikusei-shi, Japan</t>
        </is>
      </c>
      <c r="B9349" t="inlineStr">
        <is>
          <t>Processing Unit</t>
        </is>
      </c>
      <c r="C9349" t="inlineStr">
        <is>
          <t>SGS Germany GmbH, Emstek, DE</t>
        </is>
      </c>
      <c r="D9349" t="inlineStr">
        <is>
          <t>11.01.2027</t>
        </is>
      </c>
      <c r="E9349" t="inlineStr">
        <is>
          <t>Japan</t>
        </is>
      </c>
    </row>
    <row r="9350">
      <c r="A9350" t="inlineStr">
        <is>
          <t>Primagaz Belgium NV,  Tessenderlo, Belgium</t>
        </is>
      </c>
      <c r="B9350" t="inlineStr">
        <is>
          <t>Trader with Storage</t>
        </is>
      </c>
      <c r="C9350" t="inlineStr">
        <is>
          <t>SGS Germany GmbH, Emstek, DE</t>
        </is>
      </c>
      <c r="D9350" t="inlineStr">
        <is>
          <t>11.01.2027</t>
        </is>
      </c>
      <c r="E9350" t="inlineStr">
        <is>
          <t>Belgium</t>
        </is>
      </c>
    </row>
    <row r="9351">
      <c r="A9351" t="inlineStr">
        <is>
          <t>Primagaz Belgium NV,  Tessenderlo, Belgium</t>
        </is>
      </c>
      <c r="B9351" t="inlineStr">
        <is>
          <t>Trader with Storage</t>
        </is>
      </c>
      <c r="C9351" t="inlineStr">
        <is>
          <t>SGS Germany GmbH, Emstek, DE</t>
        </is>
      </c>
      <c r="D9351" t="inlineStr">
        <is>
          <t>11.01.2027</t>
        </is>
      </c>
      <c r="E9351" t="inlineStr">
        <is>
          <t>Belgium</t>
        </is>
      </c>
    </row>
    <row r="9352">
      <c r="A9352" t="inlineStr">
        <is>
          <t>St1 Biogas AB,  RYDBOHOLM, Sweden</t>
        </is>
      </c>
      <c r="B9352" t="inlineStr">
        <is>
          <t>Processing Unit</t>
        </is>
      </c>
      <c r="C9352" t="inlineStr">
        <is>
          <t>SCS Global Services, Emeryville, CA, US</t>
        </is>
      </c>
      <c r="D9352" t="inlineStr">
        <is>
          <t>11.01.2027</t>
        </is>
      </c>
      <c r="E9352" t="inlineStr">
        <is>
          <t>Sweden</t>
        </is>
      </c>
    </row>
    <row r="9353">
      <c r="A9353" t="inlineStr">
        <is>
          <t>RM Tohcello Inc.,  Hamanaku,Hamamatsu-shi,Shizuoka, Japan</t>
        </is>
      </c>
      <c r="B9353" t="inlineStr">
        <is>
          <t>Processing Unit</t>
        </is>
      </c>
      <c r="C9353" t="inlineStr">
        <is>
          <t>Control Union Certifications Germany GmbH, Berlin, DE</t>
        </is>
      </c>
      <c r="D9353" t="inlineStr">
        <is>
          <t>11.01.2027</t>
        </is>
      </c>
      <c r="E9353" t="inlineStr">
        <is>
          <t>Japan</t>
        </is>
      </c>
    </row>
    <row r="9354">
      <c r="A9354" t="inlineStr">
        <is>
          <t>HAVYS OIL MILL,  BERA, PAHANG, Malaysia</t>
        </is>
      </c>
      <c r="B9354" t="inlineStr">
        <is>
          <t>Point of Origin</t>
        </is>
      </c>
      <c r="C9354" t="inlineStr">
        <is>
          <t>PT. CBQA GLOBAL INDONESIA, JAKARTA SELATAN, ID</t>
        </is>
      </c>
      <c r="D9354" t="inlineStr">
        <is>
          <t>11.01.2027</t>
        </is>
      </c>
      <c r="E9354" t="inlineStr">
        <is>
          <t>Malaysia</t>
        </is>
      </c>
    </row>
    <row r="9355">
      <c r="A9355" t="inlineStr">
        <is>
          <t>GRANNEX GmbH &amp; Co. KG,  Hilter am Teutoburger Wald, Germany</t>
        </is>
      </c>
      <c r="B9355" t="inlineStr">
        <is>
          <t>Collecting Point</t>
        </is>
      </c>
      <c r="C9355" t="inlineStr">
        <is>
          <t>DQS CFS GmbH - Deutsche Gesellschaft für Nachhaltigkeit, Frankfurt am Main, DE</t>
        </is>
      </c>
      <c r="D9355" t="inlineStr">
        <is>
          <t>11.01.2027</t>
        </is>
      </c>
      <c r="E9355" t="inlineStr">
        <is>
          <t>Germany</t>
        </is>
      </c>
    </row>
    <row r="9356">
      <c r="A9356" t="inlineStr">
        <is>
          <t>AZUL NATURAL BEEF S.A.,  Azul, Argentina</t>
        </is>
      </c>
      <c r="B9356" t="inlineStr">
        <is>
          <t>Point of Origin</t>
        </is>
      </c>
      <c r="C9356" t="inlineStr">
        <is>
          <t>SGS Germany GmbH, Emstek, DE</t>
        </is>
      </c>
      <c r="D9356" t="inlineStr">
        <is>
          <t>11.01.2027</t>
        </is>
      </c>
      <c r="E9356" t="inlineStr">
        <is>
          <t>Argentina</t>
        </is>
      </c>
    </row>
    <row r="9357">
      <c r="A9357" t="inlineStr">
        <is>
          <t>Intraplás - Indústria Transformadora de Plásticos, S.A,  Lordelo, Portugal</t>
        </is>
      </c>
      <c r="B9357" t="inlineStr">
        <is>
          <t>Processing Unit, Warehouse</t>
        </is>
      </c>
      <c r="C9357" t="inlineStr">
        <is>
          <t>SGS Germany GmbH, Emstek, DE</t>
        </is>
      </c>
      <c r="D9357" t="inlineStr">
        <is>
          <t>11.01.2027</t>
        </is>
      </c>
      <c r="E9357" t="inlineStr">
        <is>
          <t>Portugal</t>
        </is>
      </c>
    </row>
    <row r="9358">
      <c r="A9358" t="inlineStr">
        <is>
          <t>RITRAMA,  Caponago (MB), Italy</t>
        </is>
      </c>
      <c r="B9358" t="inlineStr">
        <is>
          <t>Final Product Refinement, Trader with Storage</t>
        </is>
      </c>
      <c r="C9358" t="inlineStr">
        <is>
          <t>SGS Germany GmbH, Emstek, DE</t>
        </is>
      </c>
      <c r="D9358" t="inlineStr">
        <is>
          <t>11.01.2027</t>
        </is>
      </c>
      <c r="E9358" t="inlineStr">
        <is>
          <t>Italy</t>
        </is>
      </c>
    </row>
    <row r="9359">
      <c r="A9359" t="inlineStr">
        <is>
          <t>EXTRACTOCOCA EXTRACTORA RIO COCA S.A.,  Puerto Francisco de Orellana Coca, Ecuador</t>
        </is>
      </c>
      <c r="B9359" t="inlineStr">
        <is>
          <t>Point of Origin</t>
        </is>
      </c>
      <c r="C9359" t="inlineStr">
        <is>
          <t>Control Union Poland Sp. z o.o., Zielona Gora, PL</t>
        </is>
      </c>
      <c r="D9359" t="inlineStr">
        <is>
          <t>11.01.2027</t>
        </is>
      </c>
      <c r="E9359" t="inlineStr">
        <is>
          <t>Ecuador</t>
        </is>
      </c>
    </row>
    <row r="9360">
      <c r="A9360" t="inlineStr">
        <is>
          <t>GRANNEX GmbH &amp; Co. KG,  Osnabrück, Germany</t>
        </is>
      </c>
      <c r="B9360" t="inlineStr">
        <is>
          <t>Collecting Point</t>
        </is>
      </c>
      <c r="C9360" t="inlineStr">
        <is>
          <t>DQS CFS GmbH - Deutsche Gesellschaft für Nachhaltigkeit, Frankfurt am Main, DE</t>
        </is>
      </c>
      <c r="D9360" t="inlineStr">
        <is>
          <t>11.01.2027</t>
        </is>
      </c>
      <c r="E9360" t="inlineStr">
        <is>
          <t>Germany</t>
        </is>
      </c>
    </row>
    <row r="9361">
      <c r="A9361" t="inlineStr">
        <is>
          <t>Borås Energi &amp; miljö,  Borås, Sweden</t>
        </is>
      </c>
      <c r="B9361" t="inlineStr">
        <is>
          <t>Collecting Point, Point of Origin, Processing Unit</t>
        </is>
      </c>
      <c r="C9361" t="inlineStr">
        <is>
          <t>SCS Global Services, Emeryville, CA, US</t>
        </is>
      </c>
      <c r="D9361" t="inlineStr">
        <is>
          <t>11.01.2027</t>
        </is>
      </c>
      <c r="E9361" t="inlineStr">
        <is>
          <t>Sweden</t>
        </is>
      </c>
    </row>
    <row r="9362">
      <c r="A9362" t="inlineStr">
        <is>
          <t>Just Oil &amp; Grain Pte Ltd,  Singapore, Singapore</t>
        </is>
      </c>
      <c r="B9362" t="inlineStr">
        <is>
          <t>Trader with Storage</t>
        </is>
      </c>
      <c r="C9362" t="inlineStr">
        <is>
          <t>Control Union Certifications Germany GmbH, Berlin, DE</t>
        </is>
      </c>
      <c r="D9362" t="inlineStr">
        <is>
          <t>11.01.2027</t>
        </is>
      </c>
      <c r="E9362" t="inlineStr">
        <is>
          <t>Singapore</t>
        </is>
      </c>
    </row>
    <row r="9363">
      <c r="A9363" t="inlineStr">
        <is>
          <t>HONGKONG NATURAL RESOURCES TRADING COMPANY LIMITED,  Xiamen, Fujian, China</t>
        </is>
      </c>
      <c r="B9363" t="inlineStr">
        <is>
          <t>Trader with Storage</t>
        </is>
      </c>
      <c r="C9363" t="inlineStr">
        <is>
          <t>RINA Services S.p.A., Genova, IT</t>
        </is>
      </c>
      <c r="D9363" t="inlineStr">
        <is>
          <t>11.01.2027</t>
        </is>
      </c>
      <c r="E9363" t="inlineStr">
        <is>
          <t>China</t>
        </is>
      </c>
    </row>
    <row r="9364">
      <c r="A9364" t="inlineStr">
        <is>
          <t>Soufflet Agro a.s.,  Olomouc, Czech Republic</t>
        </is>
      </c>
      <c r="B9364" t="inlineStr">
        <is>
          <t>First Gathering Point, Trader with Storage</t>
        </is>
      </c>
      <c r="C9364" t="inlineStr">
        <is>
          <t>Bureau Veritas Polska Sp. z o.o., Warsaw, PL</t>
        </is>
      </c>
      <c r="D9364" t="inlineStr">
        <is>
          <t>11.01.2027</t>
        </is>
      </c>
      <c r="E9364" t="inlineStr">
        <is>
          <t>Czech Republic</t>
        </is>
      </c>
    </row>
    <row r="9365">
      <c r="A9365" t="inlineStr">
        <is>
          <t>SICIT GROUP S.P.A.,  Arzignano, Italy</t>
        </is>
      </c>
      <c r="B9365" t="inlineStr">
        <is>
          <t>Point of Origin, Processing Unit, Trader with Storage</t>
        </is>
      </c>
      <c r="C9365" t="inlineStr">
        <is>
          <t>SGS Germany GmbH, Emstek, DE</t>
        </is>
      </c>
      <c r="D9365" t="inlineStr">
        <is>
          <t>10.01.2027</t>
        </is>
      </c>
      <c r="E9365" t="inlineStr">
        <is>
          <t>Italy</t>
        </is>
      </c>
    </row>
    <row r="9366">
      <c r="A9366" t="inlineStr">
        <is>
          <t>SICIT GROUP S.P.A.,  Arzignano, Italy</t>
        </is>
      </c>
      <c r="B9366" t="inlineStr">
        <is>
          <t>Point of Origin, Processing Unit, Trader with Storage</t>
        </is>
      </c>
      <c r="C9366" t="inlineStr">
        <is>
          <t>SGS Germany GmbH, Emstek, DE</t>
        </is>
      </c>
      <c r="D9366" t="inlineStr">
        <is>
          <t>10.01.2027</t>
        </is>
      </c>
      <c r="E9366" t="inlineStr">
        <is>
          <t>Italy</t>
        </is>
      </c>
    </row>
    <row r="9367">
      <c r="A9367" t="inlineStr">
        <is>
          <t>Borealis GmbH,  Beringen, Belgium</t>
        </is>
      </c>
      <c r="B9367" t="inlineStr">
        <is>
          <t>Processing Unit, Trader with Storage</t>
        </is>
      </c>
      <c r="C9367" t="inlineStr">
        <is>
          <t>SGS Germany GmbH, Emstek, DE</t>
        </is>
      </c>
      <c r="D9367" t="inlineStr">
        <is>
          <t>10.01.2027</t>
        </is>
      </c>
      <c r="E9367" t="inlineStr">
        <is>
          <t>Belgium</t>
        </is>
      </c>
    </row>
    <row r="9368">
      <c r="A9368" t="inlineStr">
        <is>
          <t>VLACHOS BROS SA,  Markopoulo, Greece</t>
        </is>
      </c>
      <c r="B9368" t="inlineStr">
        <is>
          <t>Processing Unit</t>
        </is>
      </c>
      <c r="C9368" t="inlineStr">
        <is>
          <t>Business Quality Verification Testing and Certification Services P.C. (BQV), Marousi, Athens, GR</t>
        </is>
      </c>
      <c r="D9368" t="inlineStr">
        <is>
          <t>10.01.2027</t>
        </is>
      </c>
      <c r="E9368" t="inlineStr">
        <is>
          <t>Greece</t>
        </is>
      </c>
    </row>
    <row r="9369">
      <c r="A9369" t="inlineStr">
        <is>
          <t>Shenzhen Huiming Optical Co., Ltd.,  ShenZhen, China</t>
        </is>
      </c>
      <c r="B9369" t="inlineStr">
        <is>
          <t>Processing Unit</t>
        </is>
      </c>
      <c r="C9369" t="inlineStr">
        <is>
          <t>SCS Global Services, Emeryville, CA, US</t>
        </is>
      </c>
      <c r="D9369" t="inlineStr">
        <is>
          <t>10.01.2027</t>
        </is>
      </c>
      <c r="E9369" t="inlineStr">
        <is>
          <t>China</t>
        </is>
      </c>
    </row>
    <row r="9370">
      <c r="A9370" t="inlineStr">
        <is>
          <t>North European Oil Trade A/S,  Oslo, Norway</t>
        </is>
      </c>
      <c r="B9370" t="inlineStr">
        <is>
          <t>Trader with Storage</t>
        </is>
      </c>
      <c r="C9370" t="inlineStr">
        <is>
          <t>SCS Global Services, Emeryville, CA, US</t>
        </is>
      </c>
      <c r="D9370" t="inlineStr">
        <is>
          <t>10.01.2027</t>
        </is>
      </c>
      <c r="E9370" t="inlineStr">
        <is>
          <t>Norway</t>
        </is>
      </c>
    </row>
    <row r="9371">
      <c r="A9371" t="inlineStr">
        <is>
          <t>North European Oil Trade AB,  Bromma, Sweden</t>
        </is>
      </c>
      <c r="B9371" t="inlineStr">
        <is>
          <t>Trader with Storage</t>
        </is>
      </c>
      <c r="C9371" t="inlineStr">
        <is>
          <t>SCS Global Services, Emeryville, CA, US</t>
        </is>
      </c>
      <c r="D9371" t="inlineStr">
        <is>
          <t>10.01.2027</t>
        </is>
      </c>
      <c r="E9371" t="inlineStr">
        <is>
          <t>Sweden</t>
        </is>
      </c>
    </row>
    <row r="9372">
      <c r="A9372" t="inlineStr">
        <is>
          <t>North European Oil Trade AB,  Bromma, Sweden</t>
        </is>
      </c>
      <c r="B9372" t="inlineStr">
        <is>
          <t>Trader with Storage</t>
        </is>
      </c>
      <c r="C9372" t="inlineStr">
        <is>
          <t>SCS Global Services, Emeryville, CA, US</t>
        </is>
      </c>
      <c r="D9372" t="inlineStr">
        <is>
          <t>10.01.2027</t>
        </is>
      </c>
      <c r="E9372" t="inlineStr">
        <is>
          <t>Sweden</t>
        </is>
      </c>
    </row>
    <row r="9373">
      <c r="A9373" t="inlineStr">
        <is>
          <t>BASF Intertrade AG,  Zug, Switzerland</t>
        </is>
      </c>
      <c r="B9373" t="inlineStr">
        <is>
          <t>Trader with Storage</t>
        </is>
      </c>
      <c r="C9373" t="inlineStr">
        <is>
          <t>Control Union Certifications Germany GmbH, Berlin, DE</t>
        </is>
      </c>
      <c r="D9373" t="inlineStr">
        <is>
          <t>10.01.2027</t>
        </is>
      </c>
      <c r="E9373" t="inlineStr">
        <is>
          <t>Switzerland</t>
        </is>
      </c>
    </row>
    <row r="9374">
      <c r="A9374" t="inlineStr">
        <is>
          <t>HD Hyundai Oilbank,  Seosan-si, Chungcheongnam-do, The Republic of Korea</t>
        </is>
      </c>
      <c r="B9374" t="inlineStr">
        <is>
          <t>Processing Unit, Trader with Storage</t>
        </is>
      </c>
      <c r="C9374" t="inlineStr">
        <is>
          <t>Control Union Certifications Germany GmbH, Berlin, DE</t>
        </is>
      </c>
      <c r="D9374" t="inlineStr">
        <is>
          <t>10.01.2027</t>
        </is>
      </c>
      <c r="E9374" t="inlineStr">
        <is>
          <t>The Republic of Korea</t>
        </is>
      </c>
    </row>
    <row r="9375">
      <c r="A9375" t="inlineStr">
        <is>
          <t>Divel Italia S.P.A.,  Calderara di Reno, Italy</t>
        </is>
      </c>
      <c r="B9375" t="inlineStr">
        <is>
          <t>Trader with Storage</t>
        </is>
      </c>
      <c r="C9375" t="inlineStr">
        <is>
          <t>ICIM SpA, sesto san giovanni, IT</t>
        </is>
      </c>
      <c r="D9375" t="inlineStr">
        <is>
          <t>10.01.2027</t>
        </is>
      </c>
      <c r="E9375" t="inlineStr">
        <is>
          <t>Italy</t>
        </is>
      </c>
    </row>
    <row r="9376">
      <c r="A9376" t="inlineStr">
        <is>
          <t>North European Oil Trade Oy,  Helsinki, Finland</t>
        </is>
      </c>
      <c r="B9376" t="inlineStr">
        <is>
          <t>Trader with Storage</t>
        </is>
      </c>
      <c r="C9376" t="inlineStr">
        <is>
          <t>SCS Global Services, Emeryville, CA, US</t>
        </is>
      </c>
      <c r="D9376" t="inlineStr">
        <is>
          <t>10.01.2027</t>
        </is>
      </c>
      <c r="E9376" t="inlineStr">
        <is>
          <t>Finland</t>
        </is>
      </c>
    </row>
    <row r="9377">
      <c r="A9377" t="inlineStr">
        <is>
          <t>Ecobränsle i Sverige AB,  Karlshamn, Sweden</t>
        </is>
      </c>
      <c r="B9377" t="inlineStr">
        <is>
          <t>Processing Unit, Trader with Storage</t>
        </is>
      </c>
      <c r="C9377" t="inlineStr">
        <is>
          <t>DNV Business Assurance Sweden AB, Solna, SE</t>
        </is>
      </c>
      <c r="D9377" t="inlineStr">
        <is>
          <t>10.01.2027</t>
        </is>
      </c>
      <c r="E9377" t="inlineStr">
        <is>
          <t>Sweden</t>
        </is>
      </c>
    </row>
    <row r="9378">
      <c r="A9378" t="inlineStr">
        <is>
          <t>RKT - Rodinger Kunststoff-Technik,  Roding, Germany</t>
        </is>
      </c>
      <c r="B9378" t="inlineStr">
        <is>
          <t>Processing Unit, Trader with Storage</t>
        </is>
      </c>
      <c r="C9378" t="inlineStr">
        <is>
          <t>GUT Certifizierungsgesellschaft für Managementsysteme mbH Umweltgutachter, Berlin, DE</t>
        </is>
      </c>
      <c r="D9378" t="inlineStr">
        <is>
          <t>10.01.2027</t>
        </is>
      </c>
      <c r="E9378" t="inlineStr">
        <is>
          <t>Germany</t>
        </is>
      </c>
    </row>
    <row r="9379">
      <c r="A9379" t="inlineStr">
        <is>
          <t>B&amp;J Energy GmbH,  Hamburg, Germany</t>
        </is>
      </c>
      <c r="B9379" t="inlineStr">
        <is>
          <t>Collecting Point, Trader</t>
        </is>
      </c>
      <c r="C9379" t="inlineStr">
        <is>
          <t>DEKRA Certification B.V., Arnhem, NL</t>
        </is>
      </c>
      <c r="D9379" t="inlineStr">
        <is>
          <t>10.01.2027</t>
        </is>
      </c>
      <c r="E9379" t="inlineStr">
        <is>
          <t>Germany</t>
        </is>
      </c>
    </row>
    <row r="9380">
      <c r="A9380" t="inlineStr">
        <is>
          <t>MOL Petrochemicals,  Tiszaújváros, Hungary</t>
        </is>
      </c>
      <c r="B9380" t="inlineStr">
        <is>
          <t>Processing Unit</t>
        </is>
      </c>
      <c r="C9380" t="inlineStr">
        <is>
          <t>SGS Germany GmbH, Emstek, DE</t>
        </is>
      </c>
      <c r="D9380" t="inlineStr">
        <is>
          <t>10.01.2027</t>
        </is>
      </c>
      <c r="E9380" t="inlineStr">
        <is>
          <t>Hungary</t>
        </is>
      </c>
    </row>
    <row r="9381">
      <c r="A9381" t="inlineStr">
        <is>
          <t>Kashima Polymers Corporation,  Kamisu-shi, Ibaraki, Japan</t>
        </is>
      </c>
      <c r="B9381" t="inlineStr">
        <is>
          <t>Processing Unit</t>
        </is>
      </c>
      <c r="C9381" t="inlineStr">
        <is>
          <t>SGS Germany GmbH, Emstek, DE</t>
        </is>
      </c>
      <c r="D9381" t="inlineStr">
        <is>
          <t>10.01.2027</t>
        </is>
      </c>
      <c r="E9381" t="inlineStr">
        <is>
          <t>Japan</t>
        </is>
      </c>
    </row>
    <row r="9382">
      <c r="A9382" t="inlineStr">
        <is>
          <t>Go Green Recycle Oil LLP,  Singapore, Singapore</t>
        </is>
      </c>
      <c r="B9382" t="inlineStr">
        <is>
          <t>Collecting Point</t>
        </is>
      </c>
      <c r="C9382" t="inlineStr">
        <is>
          <t>ASG Cert GmbH, Munich, DE</t>
        </is>
      </c>
      <c r="D9382" t="inlineStr">
        <is>
          <t>10.01.2027</t>
        </is>
      </c>
      <c r="E9382" t="inlineStr">
        <is>
          <t>Singapore</t>
        </is>
      </c>
    </row>
    <row r="9383">
      <c r="A9383" t="inlineStr">
        <is>
          <t>Sumitomo Seika Europe,  Saint Avold, France</t>
        </is>
      </c>
      <c r="B9383" t="inlineStr">
        <is>
          <t>Processing Unit</t>
        </is>
      </c>
      <c r="C9383" t="inlineStr">
        <is>
          <t>DNV Business Assurance Sweden AB, Solna, SE</t>
        </is>
      </c>
      <c r="D9383" t="inlineStr">
        <is>
          <t>10.01.2027</t>
        </is>
      </c>
      <c r="E9383" t="inlineStr">
        <is>
          <t>France</t>
        </is>
      </c>
    </row>
    <row r="9384">
      <c r="A9384" t="inlineStr">
        <is>
          <t>Kanaoka Co., Ltd.,  Fukuoka, Japan</t>
        </is>
      </c>
      <c r="B9384" t="inlineStr">
        <is>
          <t>Processing Unit</t>
        </is>
      </c>
      <c r="C9384" t="inlineStr">
        <is>
          <t>Control Union Certifications Germany GmbH, Berlin, DE</t>
        </is>
      </c>
      <c r="D9384" t="inlineStr">
        <is>
          <t>10.01.2027</t>
        </is>
      </c>
      <c r="E9384" t="inlineStr">
        <is>
          <t>Japan</t>
        </is>
      </c>
    </row>
    <row r="9385">
      <c r="A9385" t="inlineStr">
        <is>
          <t>Kanaoka Co., Ltd.,  Saitama, Japan</t>
        </is>
      </c>
      <c r="B9385" t="inlineStr">
        <is>
          <t>Processing Unit</t>
        </is>
      </c>
      <c r="C9385" t="inlineStr">
        <is>
          <t>Control Union Certifications Germany GmbH, Berlin, DE</t>
        </is>
      </c>
      <c r="D9385" t="inlineStr">
        <is>
          <t>10.01.2027</t>
        </is>
      </c>
      <c r="E9385" t="inlineStr">
        <is>
          <t>Japan</t>
        </is>
      </c>
    </row>
    <row r="9386">
      <c r="A9386" t="inlineStr">
        <is>
          <t>Zeon corporation,  Yamaguchi, Japan</t>
        </is>
      </c>
      <c r="B9386" t="inlineStr">
        <is>
          <t>Processing Unit</t>
        </is>
      </c>
      <c r="C9386" t="inlineStr">
        <is>
          <t>Control Union Certifications Germany GmbH, Berlin, DE</t>
        </is>
      </c>
      <c r="D9386" t="inlineStr">
        <is>
          <t>10.01.2027</t>
        </is>
      </c>
      <c r="E9386" t="inlineStr">
        <is>
          <t>Japan</t>
        </is>
      </c>
    </row>
    <row r="9387">
      <c r="A9387" t="inlineStr">
        <is>
          <t>Gazdakör Kft.,  Pellérd, Hungary</t>
        </is>
      </c>
      <c r="B9387" t="inlineStr">
        <is>
          <t>First Gathering Point</t>
        </is>
      </c>
      <c r="C9387" t="inlineStr">
        <is>
          <t>Certificadora Gallega del Noroeste SL, Vilagarcia de Arousa-Pontevedra, ES</t>
        </is>
      </c>
      <c r="D9387" t="inlineStr">
        <is>
          <t>10.01.2027</t>
        </is>
      </c>
      <c r="E9387" t="inlineStr">
        <is>
          <t>Hungary</t>
        </is>
      </c>
    </row>
    <row r="9388">
      <c r="A9388" t="inlineStr">
        <is>
          <t>FinCo International AG,  Zug, Switzerland</t>
        </is>
      </c>
      <c r="B9388" t="inlineStr">
        <is>
          <t>Trader with Storage</t>
        </is>
      </c>
      <c r="C9388" t="inlineStr">
        <is>
          <t>Control Union Certifications Germany GmbH, Berlin, DE</t>
        </is>
      </c>
      <c r="D9388" t="inlineStr">
        <is>
          <t>10.01.2027</t>
        </is>
      </c>
      <c r="E9388" t="inlineStr">
        <is>
          <t>Switzerland</t>
        </is>
      </c>
    </row>
    <row r="9389">
      <c r="A9389" t="inlineStr">
        <is>
          <t>Tullemans Oliehandel,  Maasbracht, Netherlands</t>
        </is>
      </c>
      <c r="B9389" t="inlineStr">
        <is>
          <t>Trader with Storage</t>
        </is>
      </c>
      <c r="C9389" t="inlineStr">
        <is>
          <t>Control Union Certifications Germany GmbH, Berlin, DE</t>
        </is>
      </c>
      <c r="D9389" t="inlineStr">
        <is>
          <t>10.01.2027</t>
        </is>
      </c>
      <c r="E9389" t="inlineStr">
        <is>
          <t>Netherlands</t>
        </is>
      </c>
    </row>
    <row r="9390">
      <c r="A9390" t="inlineStr">
        <is>
          <t>Sustainable Grain Australia,  Parramatta, Australia</t>
        </is>
      </c>
      <c r="B9390" t="inlineStr">
        <is>
          <t>Central Office (Farms/Plantations)</t>
        </is>
      </c>
      <c r="C9390" t="inlineStr">
        <is>
          <t>Control Union Certifications Germany GmbH, Berlin, DE</t>
        </is>
      </c>
      <c r="D9390" t="inlineStr">
        <is>
          <t>10.01.2027</t>
        </is>
      </c>
      <c r="E9390" t="inlineStr">
        <is>
          <t>Australia</t>
        </is>
      </c>
    </row>
    <row r="9391">
      <c r="A9391" t="inlineStr">
        <is>
          <t>Sustainable Grain Australia,  Parramatta, Australia</t>
        </is>
      </c>
      <c r="B9391" t="inlineStr">
        <is>
          <t>Central Office (Farms/Plantations)</t>
        </is>
      </c>
      <c r="C9391" t="inlineStr">
        <is>
          <t>Control Union Certifications Germany GmbH, Berlin, DE</t>
        </is>
      </c>
      <c r="D9391" t="inlineStr">
        <is>
          <t>10.01.2027</t>
        </is>
      </c>
      <c r="E9391" t="inlineStr">
        <is>
          <t>Australia</t>
        </is>
      </c>
    </row>
    <row r="9392">
      <c r="A9392" t="inlineStr">
        <is>
          <t>SUNFLOWER HUNGÁRIA Kft.,  Máriakálnok, Hungary</t>
        </is>
      </c>
      <c r="B9392" t="inlineStr">
        <is>
          <t>First Gathering Point, Trader</t>
        </is>
      </c>
      <c r="C9392" t="inlineStr">
        <is>
          <t>Bureau Veritas Polska Sp. z o.o., Warsaw, PL</t>
        </is>
      </c>
      <c r="D9392" t="inlineStr">
        <is>
          <t>10.01.2027</t>
        </is>
      </c>
      <c r="E9392" t="inlineStr">
        <is>
          <t>Hungary</t>
        </is>
      </c>
    </row>
    <row r="9393">
      <c r="A9393" t="inlineStr">
        <is>
          <t>Henkel Loctite(China) Co, Ltd,  Yantai, China</t>
        </is>
      </c>
      <c r="B9393" t="inlineStr">
        <is>
          <t>Processing Unit</t>
        </is>
      </c>
      <c r="C9393" t="inlineStr">
        <is>
          <t>SGS Germany GmbH, Emstek, DE</t>
        </is>
      </c>
      <c r="D9393" t="inlineStr">
        <is>
          <t>09.01.2027</t>
        </is>
      </c>
      <c r="E9393" t="inlineStr">
        <is>
          <t>China</t>
        </is>
      </c>
    </row>
    <row r="9394">
      <c r="A9394" t="inlineStr">
        <is>
          <t>Universal Biodiesel Corporation Limited,  Nanning, China</t>
        </is>
      </c>
      <c r="B9394" t="inlineStr">
        <is>
          <t>Processing Unit, Trader with Storage, Point of Origin</t>
        </is>
      </c>
      <c r="C9394" t="inlineStr">
        <is>
          <t>RINA Services S.p.A., Genova, IT</t>
        </is>
      </c>
      <c r="D9394" t="inlineStr">
        <is>
          <t>09.01.2027</t>
        </is>
      </c>
      <c r="E9394" t="inlineStr">
        <is>
          <t>China</t>
        </is>
      </c>
    </row>
    <row r="9395">
      <c r="A9395" t="inlineStr">
        <is>
          <t>AAK Sweden AB,  Karlshamn, Sweden</t>
        </is>
      </c>
      <c r="B9395" t="inlineStr">
        <is>
          <t>Point of Origin, Processing Unit</t>
        </is>
      </c>
      <c r="C9395" t="inlineStr">
        <is>
          <t>DNV Business Assurance Sweden AB, Solna, SE</t>
        </is>
      </c>
      <c r="D9395" t="inlineStr">
        <is>
          <t>09.01.2027</t>
        </is>
      </c>
      <c r="E9395" t="inlineStr">
        <is>
          <t>Sweden</t>
        </is>
      </c>
    </row>
    <row r="9396">
      <c r="A9396" t="inlineStr">
        <is>
          <t>Kitsos K. Petros,  Moustheni Kavalas, Greece</t>
        </is>
      </c>
      <c r="B9396" t="inlineStr">
        <is>
          <t>Point of Origin</t>
        </is>
      </c>
      <c r="C9396" t="inlineStr">
        <is>
          <t>QMSCERT S.A., Pylaia, Thessaloniki, GR</t>
        </is>
      </c>
      <c r="D9396" t="inlineStr">
        <is>
          <t>09.01.2027</t>
        </is>
      </c>
      <c r="E9396" t="inlineStr">
        <is>
          <t>Greece</t>
        </is>
      </c>
    </row>
    <row r="9397">
      <c r="A9397" t="inlineStr">
        <is>
          <t>Inagro Trading SA,  Alvear, Argentina</t>
        </is>
      </c>
      <c r="B9397" t="inlineStr">
        <is>
          <t>Point of Origin, Processing Unit, Trader with Storage</t>
        </is>
      </c>
      <c r="C9397" t="inlineStr">
        <is>
          <t>Certificadora Gallega del Noroeste SL, Vilagarcia de Arousa-Pontevedra, ES</t>
        </is>
      </c>
      <c r="D9397" t="inlineStr">
        <is>
          <t>09.01.2027</t>
        </is>
      </c>
      <c r="E9397" t="inlineStr">
        <is>
          <t>Argentina</t>
        </is>
      </c>
    </row>
    <row r="9398">
      <c r="A9398" t="inlineStr">
        <is>
          <t>Gubal Laba Sdn Bhd,  Putatan, Kota Kinabalu, Malaysia</t>
        </is>
      </c>
      <c r="B9398" t="inlineStr">
        <is>
          <t>Collecting Point, Trader with Storage</t>
        </is>
      </c>
      <c r="C9398" t="inlineStr">
        <is>
          <t>Trans Certification and Inspection Sdn Bhd, Kuantan, MY</t>
        </is>
      </c>
      <c r="D9398" t="inlineStr">
        <is>
          <t>09.01.2027</t>
        </is>
      </c>
      <c r="E9398" t="inlineStr">
        <is>
          <t>Malaysia</t>
        </is>
      </c>
    </row>
    <row r="9399">
      <c r="A9399" t="inlineStr">
        <is>
          <t>AAK Sweden AB,  Karlshamn, Sweden</t>
        </is>
      </c>
      <c r="B9399" t="inlineStr">
        <is>
          <t>Processing Unit</t>
        </is>
      </c>
      <c r="C9399" t="inlineStr">
        <is>
          <t>DNV Business Assurance Sweden AB, Solna, SE</t>
        </is>
      </c>
      <c r="D9399" t="inlineStr">
        <is>
          <t>09.01.2027</t>
        </is>
      </c>
      <c r="E9399" t="inlineStr">
        <is>
          <t>Sweden</t>
        </is>
      </c>
    </row>
    <row r="9400">
      <c r="A9400" t="inlineStr">
        <is>
          <t>Bászna Gabona Zrt.,  Mátészalka, Hungary</t>
        </is>
      </c>
      <c r="B9400" t="inlineStr">
        <is>
          <t>First Gathering Point, Trader with Storage</t>
        </is>
      </c>
      <c r="C9400" t="inlineStr">
        <is>
          <t>Bureau Veritas Polska Sp. z o.o., Warsaw, PL</t>
        </is>
      </c>
      <c r="D9400" t="inlineStr">
        <is>
          <t>09.01.2027</t>
        </is>
      </c>
      <c r="E9400" t="inlineStr">
        <is>
          <t>Hungary</t>
        </is>
      </c>
    </row>
    <row r="9401">
      <c r="A9401" t="inlineStr">
        <is>
          <t>FGV IFFCO,  Port Klang Selangor Darul Ehsan, Malaysia</t>
        </is>
      </c>
      <c r="B9401" t="inlineStr">
        <is>
          <t>Point of Origin</t>
        </is>
      </c>
      <c r="C9401" t="inlineStr">
        <is>
          <t>Control Union Certifications Germany GmbH, Berlin, DE</t>
        </is>
      </c>
      <c r="D9401" t="inlineStr">
        <is>
          <t>09.01.2027</t>
        </is>
      </c>
      <c r="E9401" t="inlineStr">
        <is>
          <t>Malaysia</t>
        </is>
      </c>
    </row>
    <row r="9402">
      <c r="A9402" t="inlineStr">
        <is>
          <t>Mondi Korneubrg GmbH,  Korneuburg, Austria</t>
        </is>
      </c>
      <c r="B9402" t="inlineStr">
        <is>
          <t>Processing Unit</t>
        </is>
      </c>
      <c r="C9402" t="inlineStr">
        <is>
          <t>agroVet GmbH, Enzersfeld, AT</t>
        </is>
      </c>
      <c r="D9402" t="inlineStr">
        <is>
          <t>09.01.2027</t>
        </is>
      </c>
      <c r="E9402" t="inlineStr">
        <is>
          <t>Austria</t>
        </is>
      </c>
    </row>
    <row r="9403">
      <c r="A9403" t="inlineStr">
        <is>
          <t>Zhangzhou Xingzhong Biotechnology Co., Ltd,  Zhangzhou City, Fujian Province, China</t>
        </is>
      </c>
      <c r="B9403" t="inlineStr">
        <is>
          <t>Collecting Point, Trader with Storage</t>
        </is>
      </c>
      <c r="C9403" t="inlineStr">
        <is>
          <t>RINA Services S.p.A., Genova, IT</t>
        </is>
      </c>
      <c r="D9403" t="inlineStr">
        <is>
          <t>09.01.2027</t>
        </is>
      </c>
      <c r="E9403" t="inlineStr">
        <is>
          <t>China</t>
        </is>
      </c>
    </row>
    <row r="9404">
      <c r="A9404" t="inlineStr">
        <is>
          <t>Goglio S.p.A. Divisione Imballaggi,  DAVERIO, Italy</t>
        </is>
      </c>
      <c r="B9404" t="inlineStr">
        <is>
          <t>Processing Unit</t>
        </is>
      </c>
      <c r="C9404" t="inlineStr">
        <is>
          <t>DNV Business Assurance Sweden AB, Solna, SE</t>
        </is>
      </c>
      <c r="D9404" t="inlineStr">
        <is>
          <t>09.01.2027</t>
        </is>
      </c>
      <c r="E9404" t="inlineStr">
        <is>
          <t>Italy</t>
        </is>
      </c>
    </row>
    <row r="9405">
      <c r="A9405" t="inlineStr">
        <is>
          <t>Sichuan Jianqishi Biotechnology Co.,Ltd.,  Chengdu City, Sichuan Province, China</t>
        </is>
      </c>
      <c r="B9405" t="inlineStr">
        <is>
          <t>Collecting Point, Processing Unit</t>
        </is>
      </c>
      <c r="C9405" t="inlineStr">
        <is>
          <t>RINA Services S.p.A., Genova, IT</t>
        </is>
      </c>
      <c r="D9405" t="inlineStr">
        <is>
          <t>09.01.2027</t>
        </is>
      </c>
      <c r="E9405" t="inlineStr">
        <is>
          <t>China</t>
        </is>
      </c>
    </row>
    <row r="9406">
      <c r="A9406" t="inlineStr">
        <is>
          <t>VKS PD OIL s.r.o.,  Havlíčkův Brod, Czech Republic</t>
        </is>
      </c>
      <c r="B9406" t="inlineStr">
        <is>
          <t>Trader with Storage, Processing Unit, First Gathering Point</t>
        </is>
      </c>
      <c r="C9406" t="inlineStr">
        <is>
          <t>Bureau Veritas Polska Sp. z o.o., Warsaw, PL</t>
        </is>
      </c>
      <c r="D9406" t="inlineStr">
        <is>
          <t>09.01.2027</t>
        </is>
      </c>
      <c r="E9406" t="inlineStr">
        <is>
          <t>Czech Republic</t>
        </is>
      </c>
    </row>
    <row r="9407">
      <c r="A9407" t="inlineStr">
        <is>
          <t>Agroservis Trading a.s.,  Višňové, Czech Republic</t>
        </is>
      </c>
      <c r="B9407" t="inlineStr">
        <is>
          <t>First Gathering Point</t>
        </is>
      </c>
      <c r="C9407" t="inlineStr">
        <is>
          <t>Bureau Veritas Polska Sp. z o.o., Warsaw, PL</t>
        </is>
      </c>
      <c r="D9407" t="inlineStr">
        <is>
          <t>09.01.2027</t>
        </is>
      </c>
      <c r="E9407" t="inlineStr">
        <is>
          <t>Czech Republic</t>
        </is>
      </c>
    </row>
    <row r="9408">
      <c r="A9408" t="inlineStr">
        <is>
          <t>Renewi Nederland B.V.,  Eindhoven, The Netherlands</t>
        </is>
      </c>
      <c r="B9408" t="inlineStr">
        <is>
          <t>Collecting Point, Trader</t>
        </is>
      </c>
      <c r="C9408" t="inlineStr">
        <is>
          <t>Normec QS BV, Ede, NL</t>
        </is>
      </c>
      <c r="D9408" t="inlineStr">
        <is>
          <t>09.01.2027</t>
        </is>
      </c>
      <c r="E9408" t="inlineStr">
        <is>
          <t>The Netherlands</t>
        </is>
      </c>
    </row>
    <row r="9409">
      <c r="A9409" t="inlineStr">
        <is>
          <t>Mission Verte Sarl,  Abidjan, Ivory Coast</t>
        </is>
      </c>
      <c r="B9409" t="inlineStr">
        <is>
          <t>Collecting Point, Trader with Storage</t>
        </is>
      </c>
      <c r="C9409" t="inlineStr">
        <is>
          <t>PT Intertek Utama Services, Jakarta, ID</t>
        </is>
      </c>
      <c r="D9409" t="inlineStr">
        <is>
          <t>09.01.2027</t>
        </is>
      </c>
      <c r="E9409" t="inlineStr">
        <is>
          <t>Ivory Coast</t>
        </is>
      </c>
    </row>
    <row r="9410">
      <c r="A9410" t="inlineStr">
        <is>
          <t>American Packaging Corporation,  Churchville, NY, United States</t>
        </is>
      </c>
      <c r="B9410" t="inlineStr">
        <is>
          <t>Processing Unit</t>
        </is>
      </c>
      <c r="C9410" t="inlineStr">
        <is>
          <t>SCS Global Services, Emeryville, CA, US</t>
        </is>
      </c>
      <c r="D9410" t="inlineStr">
        <is>
          <t>09.01.2027</t>
        </is>
      </c>
      <c r="E9410" t="inlineStr">
        <is>
          <t>United States</t>
        </is>
      </c>
    </row>
    <row r="9411">
      <c r="A9411" t="inlineStr">
        <is>
          <t>Sang Jin Co., Ltd.,  Asan-si, Chungcheongnam-do, Korea, Republic of</t>
        </is>
      </c>
      <c r="B9411" t="inlineStr">
        <is>
          <t>Processing Unit</t>
        </is>
      </c>
      <c r="C9411" t="inlineStr">
        <is>
          <t>Control Union Certifications Germany GmbH, Berlin, DE</t>
        </is>
      </c>
      <c r="D9411" t="inlineStr">
        <is>
          <t>09.01.2027</t>
        </is>
      </c>
      <c r="E9411" t="inlineStr">
        <is>
          <t>Republic of</t>
        </is>
      </c>
    </row>
    <row r="9412">
      <c r="A9412" t="inlineStr">
        <is>
          <t>Anima Co. Ltd.,  Longing Dist., Taichung City, Taiwan (Province of China)</t>
        </is>
      </c>
      <c r="B9412" t="inlineStr">
        <is>
          <t>Collecting Point, Trader with Storage</t>
        </is>
      </c>
      <c r="C9412" t="inlineStr">
        <is>
          <t>PT. CBQA GLOBAL INDONESIA, JAKARTA SELATAN, ID</t>
        </is>
      </c>
      <c r="D9412" t="inlineStr">
        <is>
          <t>09.01.2027</t>
        </is>
      </c>
      <c r="E9412" t="inlineStr">
        <is>
          <t>Taiwan (Province of China)</t>
        </is>
      </c>
    </row>
    <row r="9413">
      <c r="A9413" t="inlineStr">
        <is>
          <t>elasto GmbH &amp; Co. KG,  Sulzbach-Rosenberg, Germany</t>
        </is>
      </c>
      <c r="B9413" t="inlineStr">
        <is>
          <t>Processing Unit</t>
        </is>
      </c>
      <c r="C9413" t="inlineStr">
        <is>
          <t>GUT Certifizierungsgesellschaft für Managementsysteme mbH Umweltgutachter, Berlin, DE</t>
        </is>
      </c>
      <c r="D9413" t="inlineStr">
        <is>
          <t>09.01.2027</t>
        </is>
      </c>
      <c r="E9413" t="inlineStr">
        <is>
          <t>Germany</t>
        </is>
      </c>
    </row>
    <row r="9414">
      <c r="A9414" t="inlineStr">
        <is>
          <t>Bischof + Klein SE &amp; Co. KG,  Lengerich, Germany</t>
        </is>
      </c>
      <c r="B9414" t="inlineStr">
        <is>
          <t>Processing Unit</t>
        </is>
      </c>
      <c r="C9414" t="inlineStr">
        <is>
          <t>SGS Germany GmbH, Emstek, DE</t>
        </is>
      </c>
      <c r="D9414" t="inlineStr">
        <is>
          <t>09.01.2027</t>
        </is>
      </c>
      <c r="E9414" t="inlineStr">
        <is>
          <t>Germany</t>
        </is>
      </c>
    </row>
    <row r="9415">
      <c r="A9415" t="inlineStr">
        <is>
          <t>Colori Inc.,  Suzhou, China</t>
        </is>
      </c>
      <c r="B9415" t="inlineStr">
        <is>
          <t>Final Product Refinement</t>
        </is>
      </c>
      <c r="C9415" t="inlineStr">
        <is>
          <t>SGS Germany GmbH, Emstek, DE</t>
        </is>
      </c>
      <c r="D9415" t="inlineStr">
        <is>
          <t>09.01.2027</t>
        </is>
      </c>
      <c r="E9415" t="inlineStr">
        <is>
          <t>China</t>
        </is>
      </c>
    </row>
    <row r="9416">
      <c r="A9416" t="inlineStr">
        <is>
          <t>Vitol Inc.,  Houston, United States</t>
        </is>
      </c>
      <c r="B9416" t="inlineStr">
        <is>
          <t>Trader with Storage</t>
        </is>
      </c>
      <c r="C9416" t="inlineStr">
        <is>
          <t>DEKRA Certification B.V., Arnhem, NL</t>
        </is>
      </c>
      <c r="D9416" t="inlineStr">
        <is>
          <t>09.01.2027</t>
        </is>
      </c>
      <c r="E9416" t="inlineStr">
        <is>
          <t>United States</t>
        </is>
      </c>
    </row>
    <row r="9417">
      <c r="A9417" t="inlineStr">
        <is>
          <t>Garant Energie GmbH,  Mülheim an der Ruhr, Germany</t>
        </is>
      </c>
      <c r="B9417" t="inlineStr">
        <is>
          <t>Trader with Storage</t>
        </is>
      </c>
      <c r="C9417" t="inlineStr">
        <is>
          <t>SGS Germany GmbH, Emstek, DE</t>
        </is>
      </c>
      <c r="D9417" t="inlineStr">
        <is>
          <t>09.01.2027</t>
        </is>
      </c>
      <c r="E9417" t="inlineStr">
        <is>
          <t>Germany</t>
        </is>
      </c>
    </row>
    <row r="9418">
      <c r="A9418" t="inlineStr">
        <is>
          <t>GST GmbH,  Muelheim an der Ruhr, Germany</t>
        </is>
      </c>
      <c r="B9418" t="inlineStr">
        <is>
          <t>Trader with Storage</t>
        </is>
      </c>
      <c r="C9418" t="inlineStr">
        <is>
          <t>SGS Germany GmbH, Emstek, DE</t>
        </is>
      </c>
      <c r="D9418" t="inlineStr">
        <is>
          <t>09.01.2027</t>
        </is>
      </c>
      <c r="E9418" t="inlineStr">
        <is>
          <t>Germany</t>
        </is>
      </c>
    </row>
    <row r="9419">
      <c r="A9419" t="inlineStr">
        <is>
          <t>Bischof + Klein SE &amp; Co. KG,  Konzell, Germany</t>
        </is>
      </c>
      <c r="B9419" t="inlineStr">
        <is>
          <t>Processing Unit</t>
        </is>
      </c>
      <c r="C9419" t="inlineStr">
        <is>
          <t>SGS Germany GmbH, Emstek, DE</t>
        </is>
      </c>
      <c r="D9419" t="inlineStr">
        <is>
          <t>09.01.2027</t>
        </is>
      </c>
      <c r="E9419" t="inlineStr">
        <is>
          <t>Germany</t>
        </is>
      </c>
    </row>
    <row r="9420">
      <c r="A9420" t="inlineStr">
        <is>
          <t>Mitsui Chemicals, Inc.,  Ichihara, Chiba, Japan</t>
        </is>
      </c>
      <c r="B9420" t="inlineStr">
        <is>
          <t>Processing Unit, Warehouse</t>
        </is>
      </c>
      <c r="C9420" t="inlineStr">
        <is>
          <t>SGS Germany GmbH, Emstek, DE</t>
        </is>
      </c>
      <c r="D9420" t="inlineStr">
        <is>
          <t>09.01.2027</t>
        </is>
      </c>
      <c r="E9420" t="inlineStr">
        <is>
          <t>Japan</t>
        </is>
      </c>
    </row>
    <row r="9421">
      <c r="A9421" t="inlineStr">
        <is>
          <t>PT. Arkad Niaga Indonesia,  Kab. Serang, Provinsi Banten, Indonesia</t>
        </is>
      </c>
      <c r="B9421" t="inlineStr">
        <is>
          <t>Collecting Point, Processing Unit</t>
        </is>
      </c>
      <c r="C9421" t="inlineStr">
        <is>
          <t>PT. CBQA GLOBAL INDONESIA, JAKARTA SELATAN, ID</t>
        </is>
      </c>
      <c r="D9421" t="inlineStr">
        <is>
          <t>09.01.2027</t>
        </is>
      </c>
      <c r="E9421" t="inlineStr">
        <is>
          <t>Indonesia</t>
        </is>
      </c>
    </row>
    <row r="9422">
      <c r="A9422" t="inlineStr">
        <is>
          <t>PT. Arkad Niaga Indonesia,  Kab. Serang, Provinsi Banten, Indonesia</t>
        </is>
      </c>
      <c r="B9422" t="inlineStr">
        <is>
          <t>Collecting Point, Processing Unit</t>
        </is>
      </c>
      <c r="C9422" t="inlineStr">
        <is>
          <t>PT. CBQA GLOBAL INDONESIA, JAKARTA SELATAN, ID</t>
        </is>
      </c>
      <c r="D9422" t="inlineStr">
        <is>
          <t>09.01.2027</t>
        </is>
      </c>
      <c r="E9422" t="inlineStr">
        <is>
          <t>Indonesia</t>
        </is>
      </c>
    </row>
    <row r="9423">
      <c r="A9423" t="inlineStr">
        <is>
          <t>ENI Natural Energies Vietnam LLC,  Sai Gon Ward, Ho Chi Minh City, Vietnam</t>
        </is>
      </c>
      <c r="B9423" t="inlineStr">
        <is>
          <t>Trader with Storage</t>
        </is>
      </c>
      <c r="C9423" t="inlineStr">
        <is>
          <t>RINA Services S.p.A., Genova, IT</t>
        </is>
      </c>
      <c r="D9423" t="inlineStr">
        <is>
          <t>09.01.2027</t>
        </is>
      </c>
      <c r="E9423" t="inlineStr">
        <is>
          <t>Vietnam</t>
        </is>
      </c>
    </row>
    <row r="9424">
      <c r="A9424" t="inlineStr">
        <is>
          <t>Ingenio Tulula S.A.,  Retahuleu, San Andres Villaseca, Guatemala</t>
        </is>
      </c>
      <c r="B9424" t="inlineStr">
        <is>
          <t>First Gathering Point, Processing Unit</t>
        </is>
      </c>
      <c r="C9424" t="inlineStr">
        <is>
          <t>Control Union Certifications Germany GmbH, Berlin, DE</t>
        </is>
      </c>
      <c r="D9424" t="inlineStr">
        <is>
          <t>09.01.2027</t>
        </is>
      </c>
      <c r="E9424" t="inlineStr">
        <is>
          <t>Guatemala</t>
        </is>
      </c>
    </row>
    <row r="9425">
      <c r="A9425" t="inlineStr">
        <is>
          <t>Ingenio Tulula S.A.,  Retahuleu, San Andres Villaseca, Guatemala</t>
        </is>
      </c>
      <c r="B9425" t="inlineStr">
        <is>
          <t>First Gathering Point, Processing Unit</t>
        </is>
      </c>
      <c r="C9425" t="inlineStr">
        <is>
          <t>Control Union Certifications Germany GmbH, Berlin, DE</t>
        </is>
      </c>
      <c r="D9425" t="inlineStr">
        <is>
          <t>09.01.2027</t>
        </is>
      </c>
      <c r="E9425" t="inlineStr">
        <is>
          <t>Guatemala</t>
        </is>
      </c>
    </row>
    <row r="9426">
      <c r="A9426" t="inlineStr">
        <is>
          <t>Prestige Bio Oleochem (M) Sdn Bhd,  Shah Alam, Selangor, Malaysia</t>
        </is>
      </c>
      <c r="B9426" t="inlineStr">
        <is>
          <t>Collecting Point, Trader with Storage</t>
        </is>
      </c>
      <c r="C9426" t="inlineStr">
        <is>
          <t>TÜV NORD CERT GmbH, Essen, DE</t>
        </is>
      </c>
      <c r="D9426" t="inlineStr">
        <is>
          <t>09.01.2027</t>
        </is>
      </c>
      <c r="E9426" t="inlineStr">
        <is>
          <t>Malaysia</t>
        </is>
      </c>
    </row>
    <row r="9427">
      <c r="A9427" t="inlineStr">
        <is>
          <t>Graincorp Nutrition and Energy Australia Pty Ltd,  Numurkah, Australia</t>
        </is>
      </c>
      <c r="B9427" t="inlineStr">
        <is>
          <t>Processing Unit, Trader with Storage</t>
        </is>
      </c>
      <c r="C9427" t="inlineStr">
        <is>
          <t>Control Union Certifications Germany GmbH, Berlin, DE</t>
        </is>
      </c>
      <c r="D9427" t="inlineStr">
        <is>
          <t>09.01.2027</t>
        </is>
      </c>
      <c r="E9427" t="inlineStr">
        <is>
          <t>Australia</t>
        </is>
      </c>
    </row>
    <row r="9428">
      <c r="A9428" t="inlineStr">
        <is>
          <t>Noughtical,  Palma de Mallorca, Illes Balears, Spain</t>
        </is>
      </c>
      <c r="B9428" t="inlineStr">
        <is>
          <t>Collecting Point</t>
        </is>
      </c>
      <c r="C9428" t="inlineStr">
        <is>
          <t>Aardvark Certification Ltd, Wiveliscombe, Somerset, GB</t>
        </is>
      </c>
      <c r="D9428" t="inlineStr">
        <is>
          <t>09.01.2027</t>
        </is>
      </c>
      <c r="E9428" t="inlineStr">
        <is>
          <t>Spain</t>
        </is>
      </c>
    </row>
    <row r="9429">
      <c r="A9429" t="inlineStr">
        <is>
          <t>Berry Global,  Mountain Top, United States</t>
        </is>
      </c>
      <c r="B9429" t="inlineStr">
        <is>
          <t>Processing Unit</t>
        </is>
      </c>
      <c r="C9429" t="inlineStr">
        <is>
          <t>SCS Global Services, Emeryville, CA, US</t>
        </is>
      </c>
      <c r="D9429" t="inlineStr">
        <is>
          <t>09.01.2027</t>
        </is>
      </c>
      <c r="E9429" t="inlineStr">
        <is>
          <t>United States</t>
        </is>
      </c>
    </row>
    <row r="9430">
      <c r="A9430" t="inlineStr">
        <is>
          <t>Atlantic Oil Mfg Pte Ltd,  Singapore, Singapore</t>
        </is>
      </c>
      <c r="B9430" t="inlineStr">
        <is>
          <t>Collecting Point, Trader with Storage</t>
        </is>
      </c>
      <c r="C9430" t="inlineStr">
        <is>
          <t>Trans Certification and Inspection Sdn Bhd, Kuantan, MY</t>
        </is>
      </c>
      <c r="D9430" t="inlineStr">
        <is>
          <t>09.01.2027</t>
        </is>
      </c>
      <c r="E9430" t="inlineStr">
        <is>
          <t>Singapore</t>
        </is>
      </c>
    </row>
    <row r="9431">
      <c r="A9431" t="inlineStr">
        <is>
          <t>Graincorp Nutrition and Energy Australia Pty Ltd,  Numurkah, Australia</t>
        </is>
      </c>
      <c r="B9431" t="inlineStr">
        <is>
          <t>Processing Unit, Trader with Storage</t>
        </is>
      </c>
      <c r="C9431" t="inlineStr">
        <is>
          <t>Control Union Certifications Germany GmbH, Berlin, DE</t>
        </is>
      </c>
      <c r="D9431" t="inlineStr">
        <is>
          <t>09.01.2027</t>
        </is>
      </c>
      <c r="E9431" t="inlineStr">
        <is>
          <t>Australia</t>
        </is>
      </c>
    </row>
    <row r="9432">
      <c r="A9432" t="inlineStr">
        <is>
          <t>Bangkok Aviation Fuel Services Public Company Limited,  Bangkok, Thailand</t>
        </is>
      </c>
      <c r="B9432" t="inlineStr">
        <is>
          <t>Logistics Center</t>
        </is>
      </c>
      <c r="C9432" t="inlineStr">
        <is>
          <t>Control Union Poland Sp. z o.o., Zielona Gora, PL</t>
        </is>
      </c>
      <c r="D9432" t="inlineStr">
        <is>
          <t>09.01.2027</t>
        </is>
      </c>
      <c r="E9432" t="inlineStr">
        <is>
          <t>Thailand</t>
        </is>
      </c>
    </row>
    <row r="9433">
      <c r="A9433" t="inlineStr">
        <is>
          <t>Novamont S.p.A.,  Porto Torres, Italy</t>
        </is>
      </c>
      <c r="B9433" t="inlineStr">
        <is>
          <t>Processing Unit</t>
        </is>
      </c>
      <c r="C9433" t="inlineStr">
        <is>
          <t>ICIM SpA, sesto san giovanni, IT</t>
        </is>
      </c>
      <c r="D9433" t="inlineStr">
        <is>
          <t>09.01.2027</t>
        </is>
      </c>
      <c r="E9433" t="inlineStr">
        <is>
          <t>Italy</t>
        </is>
      </c>
    </row>
    <row r="9434">
      <c r="A9434" t="inlineStr">
        <is>
          <t>Divel Shanghai Optical Trading Co., Ltd,  Huangpu District, Shanghai, China</t>
        </is>
      </c>
      <c r="B9434" t="inlineStr">
        <is>
          <t>Trader</t>
        </is>
      </c>
      <c r="C9434" t="inlineStr">
        <is>
          <t>RINA Services S.p.A., Genova, IT</t>
        </is>
      </c>
      <c r="D9434" t="inlineStr">
        <is>
          <t>09.01.2027</t>
        </is>
      </c>
      <c r="E9434" t="inlineStr">
        <is>
          <t>China</t>
        </is>
      </c>
    </row>
    <row r="9435">
      <c r="A9435" t="inlineStr">
        <is>
          <t>Dongguan Dongyou Oil Co., Ltd.,  Dongguan City, Guangdong Province, China</t>
        </is>
      </c>
      <c r="B9435" t="inlineStr">
        <is>
          <t>Collecting Point</t>
        </is>
      </c>
      <c r="C9435" t="inlineStr">
        <is>
          <t>RINA Services S.p.A., Genova, IT</t>
        </is>
      </c>
      <c r="D9435" t="inlineStr">
        <is>
          <t>09.01.2027</t>
        </is>
      </c>
      <c r="E9435" t="inlineStr">
        <is>
          <t>China</t>
        </is>
      </c>
    </row>
    <row r="9436">
      <c r="A9436" t="inlineStr">
        <is>
          <t>STRONG PETROCHEMICAL LIMITED,  Beijing,China, China</t>
        </is>
      </c>
      <c r="B9436" t="inlineStr">
        <is>
          <t>Trader with Storage</t>
        </is>
      </c>
      <c r="C9436" t="inlineStr">
        <is>
          <t>RINA Services S.p.A., Genova, IT</t>
        </is>
      </c>
      <c r="D9436" t="inlineStr">
        <is>
          <t>08.01.2027</t>
        </is>
      </c>
      <c r="E9436" t="inlineStr">
        <is>
          <t>China</t>
        </is>
      </c>
    </row>
    <row r="9437">
      <c r="A9437" t="inlineStr">
        <is>
          <t>STRONG PETROCHEMICAL LIMITED,  Beijing,China, China</t>
        </is>
      </c>
      <c r="B9437" t="inlineStr">
        <is>
          <t>Trader with Storage</t>
        </is>
      </c>
      <c r="C9437" t="inlineStr">
        <is>
          <t>RINA Services S.p.A., Genova, IT</t>
        </is>
      </c>
      <c r="D9437" t="inlineStr">
        <is>
          <t>08.01.2027</t>
        </is>
      </c>
      <c r="E9437" t="inlineStr">
        <is>
          <t>China</t>
        </is>
      </c>
    </row>
    <row r="9438">
      <c r="A9438" t="inlineStr">
        <is>
          <t>INTERNATIONAL CHEMICAL &amp; DYE CORPORATION, FAR EAST LIMITED,  Guangzhou, Guangdong, China</t>
        </is>
      </c>
      <c r="B9438" t="inlineStr">
        <is>
          <t>Trader</t>
        </is>
      </c>
      <c r="C9438" t="inlineStr">
        <is>
          <t>SCS Global Services, Emeryville, CA, US</t>
        </is>
      </c>
      <c r="D9438" t="inlineStr">
        <is>
          <t>08.01.2027</t>
        </is>
      </c>
      <c r="E9438" t="inlineStr">
        <is>
          <t>China</t>
        </is>
      </c>
    </row>
    <row r="9439">
      <c r="A9439" t="inlineStr">
        <is>
          <t>Roehm Chemical (Shanghai) Co., Ltd.,  Shanghai, China</t>
        </is>
      </c>
      <c r="B9439" t="inlineStr">
        <is>
          <t>Processing Unit, Trader with Storage</t>
        </is>
      </c>
      <c r="C9439" t="inlineStr">
        <is>
          <t>TÜV SÜD Industrie Service GmbH, München, DE</t>
        </is>
      </c>
      <c r="D9439" t="inlineStr">
        <is>
          <t>08.01.2027</t>
        </is>
      </c>
      <c r="E9439" t="inlineStr">
        <is>
          <t>China</t>
        </is>
      </c>
    </row>
    <row r="9440">
      <c r="A9440" t="inlineStr">
        <is>
          <t>JIANGSU KINGFA RECYCLING CO.,LTD,  Xuzhou, China</t>
        </is>
      </c>
      <c r="B9440" t="inlineStr">
        <is>
          <t>Processing Unit</t>
        </is>
      </c>
      <c r="C9440" t="inlineStr">
        <is>
          <t>Extensive Standard Technical Services Co., Ltd., Hong Kong, CN</t>
        </is>
      </c>
      <c r="D9440" t="inlineStr">
        <is>
          <t>08.01.2027</t>
        </is>
      </c>
      <c r="E9440" t="inlineStr">
        <is>
          <t>China</t>
        </is>
      </c>
    </row>
    <row r="9441">
      <c r="A9441" t="inlineStr">
        <is>
          <t>Asian Food Ingredients Sdn Bhd,  Klang, Malaysia</t>
        </is>
      </c>
      <c r="B9441" t="inlineStr">
        <is>
          <t>Trader</t>
        </is>
      </c>
      <c r="C9441" t="inlineStr">
        <is>
          <t>Trans Certification and Inspection Sdn Bhd, Kuantan, MY</t>
        </is>
      </c>
      <c r="D9441" t="inlineStr">
        <is>
          <t>08.01.2027</t>
        </is>
      </c>
      <c r="E9441" t="inlineStr">
        <is>
          <t>Malaysia</t>
        </is>
      </c>
    </row>
    <row r="9442">
      <c r="A9442" t="inlineStr">
        <is>
          <t>HENAN TONGCAN TRADING CO., LTD,  ZHENGZHOU CITY, HENAN PROVINCE, China</t>
        </is>
      </c>
      <c r="B9442" t="inlineStr">
        <is>
          <t>Trader</t>
        </is>
      </c>
      <c r="C9442" t="inlineStr">
        <is>
          <t>RINA Services S.p.A., Genova, IT</t>
        </is>
      </c>
      <c r="D9442" t="inlineStr">
        <is>
          <t>08.01.2027</t>
        </is>
      </c>
      <c r="E9442" t="inlineStr">
        <is>
          <t>China</t>
        </is>
      </c>
    </row>
    <row r="9443">
      <c r="A9443" t="inlineStr">
        <is>
          <t>ZIG SHENG INDUSTRIAL CO.,LTD.,  Guanyin Dist., Taoyuan City, Taiwan</t>
        </is>
      </c>
      <c r="B9443" t="inlineStr">
        <is>
          <t>Processing Unit</t>
        </is>
      </c>
      <c r="C9443" t="inlineStr">
        <is>
          <t>Bureau Veritas Polska Sp. z o.o., Warsaw, PL</t>
        </is>
      </c>
      <c r="D9443" t="inlineStr">
        <is>
          <t>08.01.2027</t>
        </is>
      </c>
      <c r="E9443" t="inlineStr">
        <is>
          <t>Taiwan</t>
        </is>
      </c>
    </row>
    <row r="9444">
      <c r="A9444" t="inlineStr">
        <is>
          <t>Pamol Plantations Sdn Bhd (Pamol Kluang Palm Oil Mill),  Kluang , Malaysia</t>
        </is>
      </c>
      <c r="B9444" t="inlineStr">
        <is>
          <t>Point of Origin</t>
        </is>
      </c>
      <c r="C9444" t="inlineStr">
        <is>
          <t>PT Intertek Utama Services, Jakarta, ID</t>
        </is>
      </c>
      <c r="D9444" t="inlineStr">
        <is>
          <t>08.01.2027</t>
        </is>
      </c>
      <c r="E9444" t="inlineStr">
        <is>
          <t>Malaysia</t>
        </is>
      </c>
    </row>
    <row r="9445">
      <c r="A9445" t="inlineStr">
        <is>
          <t>Pregis Films,  Anderson, SC, United States</t>
        </is>
      </c>
      <c r="B9445" t="inlineStr">
        <is>
          <t>Processing Unit</t>
        </is>
      </c>
      <c r="C9445" t="inlineStr">
        <is>
          <t>SCS Global Services, Emeryville, CA, US</t>
        </is>
      </c>
      <c r="D9445" t="inlineStr">
        <is>
          <t>08.01.2027</t>
        </is>
      </c>
      <c r="E9445" t="inlineStr">
        <is>
          <t>United States</t>
        </is>
      </c>
    </row>
    <row r="9446">
      <c r="A9446" t="inlineStr">
        <is>
          <t>Tradeseb, LDA,  Lisboa, Portugal</t>
        </is>
      </c>
      <c r="B9446" t="inlineStr">
        <is>
          <t>Trader</t>
        </is>
      </c>
      <c r="C9446" t="inlineStr">
        <is>
          <t>Certificadora Gallega del Noroeste SL, Vilagarcia de Arousa-Pontevedra, ES</t>
        </is>
      </c>
      <c r="D9446" t="inlineStr">
        <is>
          <t>08.01.2027</t>
        </is>
      </c>
      <c r="E9446" t="inlineStr">
        <is>
          <t>Portugal</t>
        </is>
      </c>
    </row>
    <row r="9447">
      <c r="A9447" t="inlineStr">
        <is>
          <t>Celanese (Nanjing) Chemical Co., Ltd.,  Jiangbei New Materials High-Tech Park, Nanjing, China</t>
        </is>
      </c>
      <c r="B9447" t="inlineStr">
        <is>
          <t>Processing Unit, Trader with Storage</t>
        </is>
      </c>
      <c r="C9447" t="inlineStr">
        <is>
          <t>DIN CERTCO GmbH, Berlin, DE</t>
        </is>
      </c>
      <c r="D9447" t="inlineStr">
        <is>
          <t>08.01.2027</t>
        </is>
      </c>
      <c r="E9447" t="inlineStr">
        <is>
          <t>China</t>
        </is>
      </c>
    </row>
    <row r="9448">
      <c r="A9448" t="inlineStr">
        <is>
          <t>B.V. Rubberfabriek "Wittenburg",  Zeewolde, Netherlands</t>
        </is>
      </c>
      <c r="B9448" t="inlineStr">
        <is>
          <t>Processing Unit, Trader with Storage</t>
        </is>
      </c>
      <c r="C9448" t="inlineStr">
        <is>
          <t>Normec QS BV, Bennekom, NL</t>
        </is>
      </c>
      <c r="D9448" t="inlineStr">
        <is>
          <t>08.01.2027</t>
        </is>
      </c>
      <c r="E9448" t="inlineStr">
        <is>
          <t>Netherlands</t>
        </is>
      </c>
    </row>
    <row r="9449">
      <c r="A9449" t="inlineStr">
        <is>
          <t>Biport Bulkers Sdn. Bhd.,  Bintulu, Malaysia</t>
        </is>
      </c>
      <c r="B9449" t="inlineStr">
        <is>
          <t>Warehouse</t>
        </is>
      </c>
      <c r="C9449" t="inlineStr">
        <is>
          <t>Bureau Veritas Polska Sp. z o.o., Warsaw, PL</t>
        </is>
      </c>
      <c r="D9449" t="inlineStr">
        <is>
          <t>08.01.2027</t>
        </is>
      </c>
      <c r="E9449" t="inlineStr">
        <is>
          <t>Malaysia</t>
        </is>
      </c>
    </row>
    <row r="9450">
      <c r="A9450" t="inlineStr">
        <is>
          <t>Biport Bulkers Sdn. Bhd.,  Bintulu, Malaysia</t>
        </is>
      </c>
      <c r="B9450" t="inlineStr">
        <is>
          <t>Warehouse</t>
        </is>
      </c>
      <c r="C9450" t="inlineStr">
        <is>
          <t>Bureau Veritas Polska Sp. z o.o., Warsaw, PL</t>
        </is>
      </c>
      <c r="D9450" t="inlineStr">
        <is>
          <t>08.01.2027</t>
        </is>
      </c>
      <c r="E9450" t="inlineStr">
        <is>
          <t>Malaysia</t>
        </is>
      </c>
    </row>
    <row r="9451">
      <c r="A9451" t="inlineStr">
        <is>
          <t>Sherwin-Williams Sweden AB,  Bellö - Hjältevad, Sweden</t>
        </is>
      </c>
      <c r="B9451" t="inlineStr">
        <is>
          <t>Processing Unit</t>
        </is>
      </c>
      <c r="C9451" t="inlineStr">
        <is>
          <t>SGS Germany GmbH, Emstek, DE</t>
        </is>
      </c>
      <c r="D9451" t="inlineStr">
        <is>
          <t>08.01.2027</t>
        </is>
      </c>
      <c r="E9451" t="inlineStr">
        <is>
          <t>Sweden</t>
        </is>
      </c>
    </row>
    <row r="9452">
      <c r="A9452" t="inlineStr">
        <is>
          <t>VERBIO India Private Limited,  Chandigarh, India</t>
        </is>
      </c>
      <c r="B9452" t="inlineStr">
        <is>
          <t>Trader, Collecting Point</t>
        </is>
      </c>
      <c r="C9452" t="inlineStr">
        <is>
          <t>Double Helix Tracking Technologies Pte Ltd, Singapore, SG</t>
        </is>
      </c>
      <c r="D9452" t="inlineStr">
        <is>
          <t>08.01.2027</t>
        </is>
      </c>
      <c r="E9452" t="inlineStr">
        <is>
          <t>India</t>
        </is>
      </c>
    </row>
    <row r="9453">
      <c r="A9453" t="inlineStr">
        <is>
          <t>Bunge Canada Inc.,  Regina, SK, Canada</t>
        </is>
      </c>
      <c r="B9453" t="inlineStr">
        <is>
          <t>First Gathering Point</t>
        </is>
      </c>
      <c r="C9453" t="inlineStr">
        <is>
          <t>SGS Germany GmbH, Emstek, DE</t>
        </is>
      </c>
      <c r="D9453" t="inlineStr">
        <is>
          <t>08.01.2027</t>
        </is>
      </c>
      <c r="E9453" t="inlineStr">
        <is>
          <t>Canada</t>
        </is>
      </c>
    </row>
    <row r="9454">
      <c r="A9454" t="inlineStr">
        <is>
          <t>Bunge Canada Inc.,  Regina, Canada</t>
        </is>
      </c>
      <c r="B9454" t="inlineStr">
        <is>
          <t>First Gathering Point, Trader with Storage</t>
        </is>
      </c>
      <c r="C9454" t="inlineStr">
        <is>
          <t>SGS Germany GmbH, Emstek, DE</t>
        </is>
      </c>
      <c r="D9454" t="inlineStr">
        <is>
          <t>08.01.2027</t>
        </is>
      </c>
      <c r="E9454" t="inlineStr">
        <is>
          <t>Canada</t>
        </is>
      </c>
    </row>
    <row r="9455">
      <c r="A9455" t="inlineStr">
        <is>
          <t>Nordvästra Skånes Vatten och Avlopp AB,  Helsingborg, Sweden</t>
        </is>
      </c>
      <c r="B9455" t="inlineStr">
        <is>
          <t>Trader, Collecting Point, Point of Origin, Processing Unit</t>
        </is>
      </c>
      <c r="C9455" t="inlineStr">
        <is>
          <t>DEKRA Certification B.V., Arnhem, NL</t>
        </is>
      </c>
      <c r="D9455" t="inlineStr">
        <is>
          <t>08.01.2027</t>
        </is>
      </c>
      <c r="E9455" t="inlineStr">
        <is>
          <t>Sweden</t>
        </is>
      </c>
    </row>
    <row r="9456">
      <c r="A9456" t="inlineStr">
        <is>
          <t>Jacobson van den Berg (Hong Kong) Ltd.,  Cheung Sha Wan, Kowloon, Hong Kong, Hong Kong</t>
        </is>
      </c>
      <c r="B9456" t="inlineStr">
        <is>
          <t>Trader with Storage</t>
        </is>
      </c>
      <c r="C9456" t="inlineStr">
        <is>
          <t>DIN CERTCO GmbH, Berlin, DE</t>
        </is>
      </c>
      <c r="D9456" t="inlineStr">
        <is>
          <t>08.01.2027</t>
        </is>
      </c>
      <c r="E9456" t="inlineStr">
        <is>
          <t>Hong Kong</t>
        </is>
      </c>
    </row>
    <row r="9457">
      <c r="A9457" t="inlineStr">
        <is>
          <t>Green Renewable Energy e.U.,  Leoben, Austria</t>
        </is>
      </c>
      <c r="B9457" t="inlineStr">
        <is>
          <t>Trader</t>
        </is>
      </c>
      <c r="C9457" t="inlineStr">
        <is>
          <t>QIMA, Centro, Botucatu - SP, CEP, BR</t>
        </is>
      </c>
      <c r="D9457" t="inlineStr">
        <is>
          <t>08.01.2027</t>
        </is>
      </c>
      <c r="E9457" t="inlineStr">
        <is>
          <t>Austria</t>
        </is>
      </c>
    </row>
    <row r="9458">
      <c r="A9458" t="inlineStr">
        <is>
          <t>Euro Tank Terminal B.V.,  Rotterdam Europoort, Netherlands</t>
        </is>
      </c>
      <c r="B9458" t="inlineStr">
        <is>
          <t>Warehouse</t>
        </is>
      </c>
      <c r="C9458" t="inlineStr">
        <is>
          <t>DEKRA Certification B.V., Arnhem, NL</t>
        </is>
      </c>
      <c r="D9458" t="inlineStr">
        <is>
          <t>08.01.2027</t>
        </is>
      </c>
      <c r="E9458" t="inlineStr">
        <is>
          <t>Netherlands</t>
        </is>
      </c>
    </row>
    <row r="9459">
      <c r="A9459" t="inlineStr">
        <is>
          <t>Euro Tank Terminal B.V.,  Rotterdam Europoort, Netherlands</t>
        </is>
      </c>
      <c r="B9459" t="inlineStr">
        <is>
          <t>Warehouse</t>
        </is>
      </c>
      <c r="C9459" t="inlineStr">
        <is>
          <t>DEKRA Certification B.V., Arnhem, NL</t>
        </is>
      </c>
      <c r="D9459" t="inlineStr">
        <is>
          <t>08.01.2027</t>
        </is>
      </c>
      <c r="E9459" t="inlineStr">
        <is>
          <t>Netherlands</t>
        </is>
      </c>
    </row>
    <row r="9460">
      <c r="A9460" t="inlineStr">
        <is>
          <t>Vollenhoven B.V.,  Tilburg, Netherlands</t>
        </is>
      </c>
      <c r="B9460" t="inlineStr">
        <is>
          <t>Trader with Storage</t>
        </is>
      </c>
      <c r="C9460" t="inlineStr">
        <is>
          <t>DEKRA Certification B.V., Arnhem, NL</t>
        </is>
      </c>
      <c r="D9460" t="inlineStr">
        <is>
          <t>08.01.2027</t>
        </is>
      </c>
      <c r="E9460" t="inlineStr">
        <is>
          <t>Netherlands</t>
        </is>
      </c>
    </row>
    <row r="9461">
      <c r="A9461" t="inlineStr">
        <is>
          <t>PT INFINITE TECH BATAM,  Batam City, Indonesia</t>
        </is>
      </c>
      <c r="B9461" t="inlineStr">
        <is>
          <t>Final Product Refinement</t>
        </is>
      </c>
      <c r="C9461" t="inlineStr">
        <is>
          <t>SGS Germany GmbH, Emstek, DE</t>
        </is>
      </c>
      <c r="D9461" t="inlineStr">
        <is>
          <t>08.01.2027</t>
        </is>
      </c>
      <c r="E9461" t="inlineStr">
        <is>
          <t>Indonesia</t>
        </is>
      </c>
    </row>
    <row r="9462">
      <c r="A9462" t="inlineStr">
        <is>
          <t>Jurong Port Universal Terminal,  Jurong Island, Singapore</t>
        </is>
      </c>
      <c r="B9462" t="inlineStr">
        <is>
          <t>Warehouse</t>
        </is>
      </c>
      <c r="C9462" t="inlineStr">
        <is>
          <t>SGS Germany GmbH, Emstek, DE</t>
        </is>
      </c>
      <c r="D9462" t="inlineStr">
        <is>
          <t>08.01.2027</t>
        </is>
      </c>
      <c r="E9462" t="inlineStr">
        <is>
          <t>Singapore</t>
        </is>
      </c>
    </row>
    <row r="9463">
      <c r="A9463" t="inlineStr">
        <is>
          <t>Qingdao Changshin Shoes Co., Ltd,  Jiaozhou City, Qingdao City, China</t>
        </is>
      </c>
      <c r="B9463" t="inlineStr">
        <is>
          <t>Processing Unit, Final Product Refinement</t>
        </is>
      </c>
      <c r="C9463" t="inlineStr">
        <is>
          <t>SGS Germany GmbH, Emstek, DE</t>
        </is>
      </c>
      <c r="D9463" t="inlineStr">
        <is>
          <t>08.01.2027</t>
        </is>
      </c>
      <c r="E9463" t="inlineStr">
        <is>
          <t>China</t>
        </is>
      </c>
    </row>
    <row r="9464">
      <c r="A9464" t="inlineStr">
        <is>
          <t>FGV Biotechnologies Sdn Bhd,  Kuantan, Malaysia</t>
        </is>
      </c>
      <c r="B9464" t="inlineStr">
        <is>
          <t>Processing Unit</t>
        </is>
      </c>
      <c r="C9464" t="inlineStr">
        <is>
          <t>Trans Certification and Inspection Sdn Bhd, Kuantan, MY</t>
        </is>
      </c>
      <c r="D9464" t="inlineStr">
        <is>
          <t>08.01.2027</t>
        </is>
      </c>
      <c r="E9464" t="inlineStr">
        <is>
          <t>Malaysia</t>
        </is>
      </c>
    </row>
    <row r="9465">
      <c r="A9465" t="inlineStr">
        <is>
          <t>RAW Energy Trade,  Segambut, Malaysia</t>
        </is>
      </c>
      <c r="B9465" t="inlineStr">
        <is>
          <t>Trader</t>
        </is>
      </c>
      <c r="C9465" t="inlineStr">
        <is>
          <t>Trans Certification and Inspection Sdn Bhd, Kuantan, MY</t>
        </is>
      </c>
      <c r="D9465" t="inlineStr">
        <is>
          <t>08.01.2027</t>
        </is>
      </c>
      <c r="E9465" t="inlineStr">
        <is>
          <t>Malaysia</t>
        </is>
      </c>
    </row>
    <row r="9466">
      <c r="A9466" t="inlineStr">
        <is>
          <t>FOSHAN GAOMING DINGFENG FEED OIL CO.,LTD,  Foshan City, Guangdong Province, China</t>
        </is>
      </c>
      <c r="B9466" t="inlineStr">
        <is>
          <t>Point of Origin</t>
        </is>
      </c>
      <c r="C9466" t="inlineStr">
        <is>
          <t>SCS Global Services, Emeryville, CA, US</t>
        </is>
      </c>
      <c r="D9466" t="inlineStr">
        <is>
          <t>08.01.2027</t>
        </is>
      </c>
      <c r="E9466" t="inlineStr">
        <is>
          <t>China</t>
        </is>
      </c>
    </row>
    <row r="9467">
      <c r="A9467" t="inlineStr">
        <is>
          <t>Beijing Petroleum Company Limited, CNAF Group,  Beijing City, China</t>
        </is>
      </c>
      <c r="B9467" t="inlineStr">
        <is>
          <t>Warehouse, Trader with Storage</t>
        </is>
      </c>
      <c r="C9467" t="inlineStr">
        <is>
          <t>SCS Global Services, Emeryville, CA, US</t>
        </is>
      </c>
      <c r="D9467" t="inlineStr">
        <is>
          <t>08.01.2027</t>
        </is>
      </c>
      <c r="E9467" t="inlineStr">
        <is>
          <t>China</t>
        </is>
      </c>
    </row>
    <row r="9468">
      <c r="A9468" t="inlineStr">
        <is>
          <t>TA-YING PLASTIC INDUSTRIAL CO., LTD,  Bali Dist., NEW TAIPEI CITY, Taiwan</t>
        </is>
      </c>
      <c r="B9468" t="inlineStr">
        <is>
          <t>Processing Unit</t>
        </is>
      </c>
      <c r="C9468" t="inlineStr">
        <is>
          <t>Control Union Certifications Germany GmbH, Berlin, DE</t>
        </is>
      </c>
      <c r="D9468" t="inlineStr">
        <is>
          <t>08.01.2027</t>
        </is>
      </c>
      <c r="E9468" t="inlineStr">
        <is>
          <t>Taiwan</t>
        </is>
      </c>
    </row>
    <row r="9469">
      <c r="A9469" t="inlineStr">
        <is>
          <t>GLOBAL ECOFUEL SOLUTIONS,  Bunyola - Balearic Islands, Spain</t>
        </is>
      </c>
      <c r="B9469" t="inlineStr">
        <is>
          <t>Collecting Point, Processing Unit</t>
        </is>
      </c>
      <c r="C9469" t="inlineStr">
        <is>
          <t>BM Certification, Riga, LV</t>
        </is>
      </c>
      <c r="D9469" t="inlineStr">
        <is>
          <t>08.01.2027</t>
        </is>
      </c>
      <c r="E9469" t="inlineStr">
        <is>
          <t>Spain</t>
        </is>
      </c>
    </row>
    <row r="9470">
      <c r="A9470" t="inlineStr">
        <is>
          <t>GLOBAL ECOFUEL SOLUTIONS,  Bunyola - Balearic Islands, Spain</t>
        </is>
      </c>
      <c r="B9470" t="inlineStr">
        <is>
          <t>Collecting Point, Processing Unit</t>
        </is>
      </c>
      <c r="C9470" t="inlineStr">
        <is>
          <t>BM Certification, Riga, LV</t>
        </is>
      </c>
      <c r="D9470" t="inlineStr">
        <is>
          <t>08.01.2027</t>
        </is>
      </c>
      <c r="E9470" t="inlineStr">
        <is>
          <t>Spain</t>
        </is>
      </c>
    </row>
    <row r="9471">
      <c r="A9471" t="inlineStr">
        <is>
          <t>SMR Automotive Mirror Technology Hungary Bt.,  Kecskemét, Hungary</t>
        </is>
      </c>
      <c r="B9471" t="inlineStr">
        <is>
          <t>Processing Unit</t>
        </is>
      </c>
      <c r="C9471" t="inlineStr">
        <is>
          <t>BM Certification, Riga, LV</t>
        </is>
      </c>
      <c r="D9471" t="inlineStr">
        <is>
          <t>08.01.2027</t>
        </is>
      </c>
      <c r="E9471" t="inlineStr">
        <is>
          <t>Hungary</t>
        </is>
      </c>
    </row>
    <row r="9472">
      <c r="A9472" t="inlineStr">
        <is>
          <t>CHIEN TA POLYLON CHEMICAL INDUSTRIAL CO.,LTD,  West Dist., Chiayi City, Taiwan, Province of China</t>
        </is>
      </c>
      <c r="B9472" t="inlineStr">
        <is>
          <t>Collecting Point, Processing Unit</t>
        </is>
      </c>
      <c r="C9472" t="inlineStr">
        <is>
          <t>Control Union Certifications Germany GmbH, Berlin, DE</t>
        </is>
      </c>
      <c r="D9472" t="inlineStr">
        <is>
          <t>08.01.2027</t>
        </is>
      </c>
      <c r="E9472" t="inlineStr">
        <is>
          <t>Province of China</t>
        </is>
      </c>
    </row>
    <row r="9473">
      <c r="A9473" t="inlineStr">
        <is>
          <t>Harvestone Commodities, LLC,  Franklin, United States</t>
        </is>
      </c>
      <c r="B9473" t="inlineStr">
        <is>
          <t>Collecting Point, Trader with Storage</t>
        </is>
      </c>
      <c r="C9473" t="inlineStr">
        <is>
          <t>Control Union Poland Sp. z o.o., Zielona Gora, PL</t>
        </is>
      </c>
      <c r="D9473" t="inlineStr">
        <is>
          <t>08.01.2027</t>
        </is>
      </c>
      <c r="E9473" t="inlineStr">
        <is>
          <t>United States</t>
        </is>
      </c>
    </row>
    <row r="9474">
      <c r="A9474" t="inlineStr">
        <is>
          <t>Braskem Netherlands Green B.V.,  3012NJ Rotterdam, Netherlands</t>
        </is>
      </c>
      <c r="B9474" t="inlineStr">
        <is>
          <t>Trader with Storage</t>
        </is>
      </c>
      <c r="C9474" t="inlineStr">
        <is>
          <t>SCS Global Services, Emeryville, CA, US</t>
        </is>
      </c>
      <c r="D9474" t="inlineStr">
        <is>
          <t>08.01.2027</t>
        </is>
      </c>
      <c r="E9474" t="inlineStr">
        <is>
          <t>Netherlands</t>
        </is>
      </c>
    </row>
    <row r="9475">
      <c r="A9475" t="inlineStr">
        <is>
          <t>Harvestone Commodities, LLC,  Franklin, United States</t>
        </is>
      </c>
      <c r="B9475" t="inlineStr">
        <is>
          <t>Collecting Point, Trader with Storage</t>
        </is>
      </c>
      <c r="C9475" t="inlineStr">
        <is>
          <t>Control Union Poland Sp. z o.o., Zielona Gora, PL</t>
        </is>
      </c>
      <c r="D9475" t="inlineStr">
        <is>
          <t>08.01.2027</t>
        </is>
      </c>
      <c r="E9475" t="inlineStr">
        <is>
          <t>United States</t>
        </is>
      </c>
    </row>
    <row r="9476">
      <c r="A9476" t="inlineStr">
        <is>
          <t>Astra Bioplant Ltd.,  Ruse, Bulgaria</t>
        </is>
      </c>
      <c r="B9476" t="inlineStr">
        <is>
          <t>Processing Unit, Point of Origin</t>
        </is>
      </c>
      <c r="C9476" t="inlineStr">
        <is>
          <t>SGS Germany GmbH, Emstek, DE</t>
        </is>
      </c>
      <c r="D9476" t="inlineStr">
        <is>
          <t>08.01.2027</t>
        </is>
      </c>
      <c r="E9476" t="inlineStr">
        <is>
          <t>Bulgaria</t>
        </is>
      </c>
    </row>
    <row r="9477">
      <c r="A9477" t="inlineStr">
        <is>
          <t>Covestro AG,  Leverkusen, Germany</t>
        </is>
      </c>
      <c r="B9477" t="inlineStr">
        <is>
          <t>Trader</t>
        </is>
      </c>
      <c r="C9477" t="inlineStr">
        <is>
          <t>DQS CFS GmbH - Deutsche Gesellschaft für Nachhaltigkeit, Frankfurt am Main, DE</t>
        </is>
      </c>
      <c r="D9477" t="inlineStr">
        <is>
          <t>08.01.2027</t>
        </is>
      </c>
      <c r="E9477" t="inlineStr">
        <is>
          <t>Germany</t>
        </is>
      </c>
    </row>
    <row r="9478">
      <c r="A9478" t="inlineStr">
        <is>
          <t>OLI VEGETALI,  PORTO TORRES, Italy</t>
        </is>
      </c>
      <c r="B9478" t="inlineStr">
        <is>
          <t>Collecting Point, Trader with Storage</t>
        </is>
      </c>
      <c r="C9478" t="inlineStr">
        <is>
          <t>SGS Germany GmbH, Emstek, DE</t>
        </is>
      </c>
      <c r="D9478" t="inlineStr">
        <is>
          <t>08.01.2027</t>
        </is>
      </c>
      <c r="E9478" t="inlineStr">
        <is>
          <t>Italy</t>
        </is>
      </c>
    </row>
    <row r="9479">
      <c r="A9479" t="inlineStr">
        <is>
          <t>INTERNATIONAL CHEMICAL &amp; DYE CORPORATION, FAR EAST LIMITED,  Guangzhou, Guangdong, China</t>
        </is>
      </c>
      <c r="B9479" t="inlineStr">
        <is>
          <t>Trader</t>
        </is>
      </c>
      <c r="C9479" t="inlineStr">
        <is>
          <t>SCS Global Services, Emeryville, CA, US</t>
        </is>
      </c>
      <c r="D9479" t="inlineStr">
        <is>
          <t>08.01.2027</t>
        </is>
      </c>
      <c r="E9479" t="inlineStr">
        <is>
          <t>China</t>
        </is>
      </c>
    </row>
    <row r="9480">
      <c r="A9480" t="inlineStr">
        <is>
          <t>INTERNATIONAL CHEMICAL &amp; DYE CORPORATION, FAR EAST LIMITED,  Guangzhou, Guangdong, China</t>
        </is>
      </c>
      <c r="B9480" t="inlineStr">
        <is>
          <t>Trader</t>
        </is>
      </c>
      <c r="C9480" t="inlineStr">
        <is>
          <t>SCS Global Services, Emeryville, CA, US</t>
        </is>
      </c>
      <c r="D9480" t="inlineStr">
        <is>
          <t>08.01.2027</t>
        </is>
      </c>
      <c r="E9480" t="inlineStr">
        <is>
          <t>China</t>
        </is>
      </c>
    </row>
    <row r="9481">
      <c r="A9481" t="inlineStr">
        <is>
          <t>MMTX Inc.,  Pasadena, Texas, United States</t>
        </is>
      </c>
      <c r="B9481" t="inlineStr">
        <is>
          <t>Trader with Storage</t>
        </is>
      </c>
      <c r="C9481" t="inlineStr">
        <is>
          <t>SCS Global Services, Emeryville, CA, US</t>
        </is>
      </c>
      <c r="D9481" t="inlineStr">
        <is>
          <t>08.01.2027</t>
        </is>
      </c>
      <c r="E9481" t="inlineStr">
        <is>
          <t>United States</t>
        </is>
      </c>
    </row>
    <row r="9482">
      <c r="A9482" t="inlineStr">
        <is>
          <t>Suzhou Fengbei Biotech Stock Co., Ltd,  Zhangjiagang, Jiangsu, China</t>
        </is>
      </c>
      <c r="B9482" t="inlineStr">
        <is>
          <t>Collecting Point, Trader with Storage</t>
        </is>
      </c>
      <c r="C9482" t="inlineStr">
        <is>
          <t>SCS Global Services, Emeryville, CA, US</t>
        </is>
      </c>
      <c r="D9482" t="inlineStr">
        <is>
          <t>08.01.2027</t>
        </is>
      </c>
      <c r="E9482" t="inlineStr">
        <is>
          <t>China</t>
        </is>
      </c>
    </row>
    <row r="9483">
      <c r="A9483" t="inlineStr">
        <is>
          <t>SGWELLE PTE. LTD.,  Changzhou City, Jiangsu Province, China</t>
        </is>
      </c>
      <c r="B9483" t="inlineStr">
        <is>
          <t>Trader</t>
        </is>
      </c>
      <c r="C9483" t="inlineStr">
        <is>
          <t>SCS Global Services, Emeryville, CA, US</t>
        </is>
      </c>
      <c r="D9483" t="inlineStr">
        <is>
          <t>08.01.2027</t>
        </is>
      </c>
      <c r="E9483" t="inlineStr">
        <is>
          <t>China</t>
        </is>
      </c>
    </row>
    <row r="9484">
      <c r="A9484" t="inlineStr">
        <is>
          <t>ASNOBEL KİMYEVİ MADDELER İNŞAAT GIDA MADDELERİ YEM SANAYİ VE TİCARET LİMİTED ŞİRKETİ,  NİZİP/ GAZİANTEP, Turkey</t>
        </is>
      </c>
      <c r="B9484" t="inlineStr">
        <is>
          <t>Processing Unit</t>
        </is>
      </c>
      <c r="C9484" t="inlineStr">
        <is>
          <t>Trans Certification and Inspection Sdn Bhd, Kuantan, MY</t>
        </is>
      </c>
      <c r="D9484" t="inlineStr">
        <is>
          <t>08.01.2027</t>
        </is>
      </c>
      <c r="E9484" t="inlineStr">
        <is>
          <t>Turkey</t>
        </is>
      </c>
    </row>
    <row r="9485">
      <c r="A9485" t="inlineStr">
        <is>
          <t>ADRIATIC BIODIZEL d.o.o.,  Netretić, Croatia</t>
        </is>
      </c>
      <c r="B9485" t="inlineStr">
        <is>
          <t>Point of Origin, Processing Unit</t>
        </is>
      </c>
      <c r="C9485" t="inlineStr">
        <is>
          <t>Bureau Veritas Polska Sp. z o.o., Warsaw, PL</t>
        </is>
      </c>
      <c r="D9485" t="inlineStr">
        <is>
          <t>08.01.2027</t>
        </is>
      </c>
      <c r="E9485" t="inlineStr">
        <is>
          <t>Croatia</t>
        </is>
      </c>
    </row>
    <row r="9486">
      <c r="A9486" t="inlineStr">
        <is>
          <t>Ikatan Ribuan Sawit,  Maran, Malaysia</t>
        </is>
      </c>
      <c r="B9486" t="inlineStr">
        <is>
          <t>Trader</t>
        </is>
      </c>
      <c r="C9486" t="inlineStr">
        <is>
          <t>Trans Certification and Inspection Sdn Bhd, Kuantan, MY</t>
        </is>
      </c>
      <c r="D9486" t="inlineStr">
        <is>
          <t>08.01.2027</t>
        </is>
      </c>
      <c r="E9486" t="inlineStr">
        <is>
          <t>Malaysia</t>
        </is>
      </c>
    </row>
    <row r="9487">
      <c r="A9487" t="inlineStr">
        <is>
          <t>MALACHA SDN BHD,  TAMAN PERINDUSTRIAN BUKIT RAMBAI, Malaysia</t>
        </is>
      </c>
      <c r="B9487" t="inlineStr">
        <is>
          <t>Processing Unit</t>
        </is>
      </c>
      <c r="C9487" t="inlineStr">
        <is>
          <t>Trans Certification and Inspection Sdn Bhd, Kuantan, MY</t>
        </is>
      </c>
      <c r="D9487" t="inlineStr">
        <is>
          <t>08.01.2027</t>
        </is>
      </c>
      <c r="E9487" t="inlineStr">
        <is>
          <t>Malaysia</t>
        </is>
      </c>
    </row>
    <row r="9488">
      <c r="A9488" t="inlineStr">
        <is>
          <t>AGRO 19 BERHAD,  KAPAR, Malaysia</t>
        </is>
      </c>
      <c r="B9488" t="inlineStr">
        <is>
          <t>Collecting Point, Trader with Storage</t>
        </is>
      </c>
      <c r="C9488" t="inlineStr">
        <is>
          <t>Trans Certification and Inspection Sdn Bhd, Kuantan, MY</t>
        </is>
      </c>
      <c r="D9488" t="inlineStr">
        <is>
          <t>08.01.2027</t>
        </is>
      </c>
      <c r="E9488" t="inlineStr">
        <is>
          <t>Malaysia</t>
        </is>
      </c>
    </row>
    <row r="9489">
      <c r="A9489" t="inlineStr">
        <is>
          <t>OCI Ammonia Distribution B.V.,  Rotterdam, Netherlands</t>
        </is>
      </c>
      <c r="B9489" t="inlineStr">
        <is>
          <t>Trader with Storage, Processing Unit</t>
        </is>
      </c>
      <c r="C9489" t="inlineStr">
        <is>
          <t>DNV Business Assurance Sweden AB, Solna, SE</t>
        </is>
      </c>
      <c r="D9489" t="inlineStr">
        <is>
          <t>08.01.2027</t>
        </is>
      </c>
      <c r="E9489" t="inlineStr">
        <is>
          <t>Netherlands</t>
        </is>
      </c>
    </row>
    <row r="9490">
      <c r="A9490" t="inlineStr">
        <is>
          <t>Dptu Inter Media,  Vasilevo, Macedonia</t>
        </is>
      </c>
      <c r="B9490" t="inlineStr">
        <is>
          <t>Collecting Point, Warehouse</t>
        </is>
      </c>
      <c r="C9490" t="inlineStr">
        <is>
          <t>TÜV NORD CERT GmbH, Essen, DE</t>
        </is>
      </c>
      <c r="D9490" t="inlineStr">
        <is>
          <t>08.01.2027</t>
        </is>
      </c>
      <c r="E9490" t="inlineStr">
        <is>
          <t>Macedonia</t>
        </is>
      </c>
    </row>
    <row r="9491">
      <c r="A9491" t="inlineStr">
        <is>
          <t>Zhejiang University Agricultural Sci-Tech Park Co., Ltd.,  Hangzhou (ZJ), China</t>
        </is>
      </c>
      <c r="B9491" t="inlineStr">
        <is>
          <t>Trader</t>
        </is>
      </c>
      <c r="C9491" t="inlineStr">
        <is>
          <t>RINA Services S.p.A., Genova, IT</t>
        </is>
      </c>
      <c r="D9491" t="inlineStr">
        <is>
          <t>08.01.2027</t>
        </is>
      </c>
      <c r="E9491" t="inlineStr">
        <is>
          <t>China</t>
        </is>
      </c>
    </row>
    <row r="9492">
      <c r="A9492" t="inlineStr">
        <is>
          <t>Enilive Austria GmbH,  Wien, Austria</t>
        </is>
      </c>
      <c r="B9492" t="inlineStr">
        <is>
          <t>Logistics Center, Proof of Compliance Trader, Trader with Storage</t>
        </is>
      </c>
      <c r="C9492" t="inlineStr">
        <is>
          <t>agroVet GmbH, Enzersfeld, AT</t>
        </is>
      </c>
      <c r="D9492" t="inlineStr">
        <is>
          <t>08.01.2027</t>
        </is>
      </c>
      <c r="E9492" t="inlineStr">
        <is>
          <t>Austria</t>
        </is>
      </c>
    </row>
    <row r="9493">
      <c r="A9493" t="inlineStr">
        <is>
          <t>PPT AVIATION SERVICES LIMITED,  Larnaca, Cyprus</t>
        </is>
      </c>
      <c r="B9493" t="inlineStr">
        <is>
          <t>Trader with Storage, Proof of Compliance Trader</t>
        </is>
      </c>
      <c r="C9493" t="inlineStr">
        <is>
          <t>Eurocert SA, Metamorfosi, Athens, GR</t>
        </is>
      </c>
      <c r="D9493" t="inlineStr">
        <is>
          <t>08.01.2027</t>
        </is>
      </c>
      <c r="E9493" t="inlineStr">
        <is>
          <t>Cyprus</t>
        </is>
      </c>
    </row>
    <row r="9494">
      <c r="A9494" t="inlineStr">
        <is>
          <t>Hong Kong Juxin Industrial Group Co., Limited,  Guangzhou, China</t>
        </is>
      </c>
      <c r="B9494" t="inlineStr">
        <is>
          <t>Trader</t>
        </is>
      </c>
      <c r="C9494" t="inlineStr">
        <is>
          <t>RINA Services S.p.A., Genova, IT</t>
        </is>
      </c>
      <c r="D9494" t="inlineStr">
        <is>
          <t>08.01.2027</t>
        </is>
      </c>
      <c r="E9494" t="inlineStr">
        <is>
          <t>China</t>
        </is>
      </c>
    </row>
    <row r="9495">
      <c r="A9495" t="inlineStr">
        <is>
          <t>PT. ANCILIAN CIPTA SEJAHTERA,  PEKANBARU, PROVINSI RIAU, Indonesia</t>
        </is>
      </c>
      <c r="B9495" t="inlineStr">
        <is>
          <t>Trader with Storage</t>
        </is>
      </c>
      <c r="C9495" t="inlineStr">
        <is>
          <t>RINA Services S.p.A., Genova, IT</t>
        </is>
      </c>
      <c r="D9495" t="inlineStr">
        <is>
          <t>08.01.2027</t>
        </is>
      </c>
      <c r="E9495" t="inlineStr">
        <is>
          <t>Indonesia</t>
        </is>
      </c>
    </row>
    <row r="9496">
      <c r="A9496" t="inlineStr">
        <is>
          <t>OMV Deutschland Operations GmbH &amp; Co. KG,  Burghausen, Germany</t>
        </is>
      </c>
      <c r="B9496" t="inlineStr">
        <is>
          <t>Processing Unit</t>
        </is>
      </c>
      <c r="C9496" t="inlineStr">
        <is>
          <t>TÜV SÜD Industrie Service GmbH, München, DE</t>
        </is>
      </c>
      <c r="D9496" t="inlineStr">
        <is>
          <t>07.01.2027</t>
        </is>
      </c>
      <c r="E9496" t="inlineStr">
        <is>
          <t>Germany</t>
        </is>
      </c>
    </row>
    <row r="9497">
      <c r="A9497" t="inlineStr">
        <is>
          <t>Harmonia Renewable Energy, S.L.,  El Papiol Barcelona, Spain</t>
        </is>
      </c>
      <c r="B9497" t="inlineStr">
        <is>
          <t>Collecting Point</t>
        </is>
      </c>
      <c r="C9497" t="inlineStr">
        <is>
          <t>RINA Services S.p.A., Genova, IT</t>
        </is>
      </c>
      <c r="D9497" t="inlineStr">
        <is>
          <t>07.01.2027</t>
        </is>
      </c>
      <c r="E9497" t="inlineStr">
        <is>
          <t>Spain</t>
        </is>
      </c>
    </row>
    <row r="9498">
      <c r="A9498" t="inlineStr">
        <is>
          <t>SYENSQO (Zhangjiagang) Specialty Chemicals CO., Ltd,  Suzhou Zhangjiagang city, China</t>
        </is>
      </c>
      <c r="B9498" t="inlineStr">
        <is>
          <t>Processing Unit</t>
        </is>
      </c>
      <c r="C9498" t="inlineStr">
        <is>
          <t>Bureau Veritas Polska Sp. z o.o., Warsaw, PL</t>
        </is>
      </c>
      <c r="D9498" t="inlineStr">
        <is>
          <t>07.01.2027</t>
        </is>
      </c>
      <c r="E9498" t="inlineStr">
        <is>
          <t>China</t>
        </is>
      </c>
    </row>
    <row r="9499">
      <c r="A9499" t="inlineStr">
        <is>
          <t>Marbel SA,  Quilmes Oeste, Argentina</t>
        </is>
      </c>
      <c r="B9499" t="inlineStr">
        <is>
          <t>Point of Origin, Processing Unit</t>
        </is>
      </c>
      <c r="C9499" t="inlineStr">
        <is>
          <t>Certificadora Gallega del Noroeste SL, Vilagarcia de Arousa-Pontevedra, ES</t>
        </is>
      </c>
      <c r="D9499" t="inlineStr">
        <is>
          <t>07.01.2027</t>
        </is>
      </c>
      <c r="E9499" t="inlineStr">
        <is>
          <t>Argentina</t>
        </is>
      </c>
    </row>
    <row r="9500">
      <c r="A9500" t="inlineStr">
        <is>
          <t>Esenttia S. A.,  Cartagena, Colombia</t>
        </is>
      </c>
      <c r="B9500" t="inlineStr">
        <is>
          <t>Processing Unit, Trader with Storage</t>
        </is>
      </c>
      <c r="C9500" t="inlineStr">
        <is>
          <t>Certificadora Gallega del Noroeste SL, Vilagarcia de Arousa-Pontevedra, ES</t>
        </is>
      </c>
      <c r="D9500" t="inlineStr">
        <is>
          <t>07.01.2027</t>
        </is>
      </c>
      <c r="E9500" t="inlineStr">
        <is>
          <t>Colombia</t>
        </is>
      </c>
    </row>
    <row r="9501">
      <c r="A9501" t="inlineStr">
        <is>
          <t>Esenttia MB,  Cartagena, Colombia</t>
        </is>
      </c>
      <c r="B9501" t="inlineStr">
        <is>
          <t>Processing Unit</t>
        </is>
      </c>
      <c r="C9501" t="inlineStr">
        <is>
          <t>Certificadora Gallega del Noroeste SL, Vilagarcia de Arousa-Pontevedra, ES</t>
        </is>
      </c>
      <c r="D9501" t="inlineStr">
        <is>
          <t>07.01.2027</t>
        </is>
      </c>
      <c r="E9501" t="inlineStr">
        <is>
          <t>Colombia</t>
        </is>
      </c>
    </row>
    <row r="9502">
      <c r="A9502" t="inlineStr">
        <is>
          <t>BIOPLYN ENERGY s.r.o.,  Ústí nad Labem, Czech Republic</t>
        </is>
      </c>
      <c r="B9502" t="inlineStr">
        <is>
          <t>Collecting Point, Processing Unit</t>
        </is>
      </c>
      <c r="C9502" t="inlineStr">
        <is>
          <t>TÜV SÜD Czech s.r.o., Praha 4, CZ</t>
        </is>
      </c>
      <c r="D9502" t="inlineStr">
        <is>
          <t>07.01.2027</t>
        </is>
      </c>
      <c r="E9502" t="inlineStr">
        <is>
          <t>Czech Republic</t>
        </is>
      </c>
    </row>
    <row r="9503">
      <c r="A9503" t="inlineStr">
        <is>
          <t>Walki Sp. z o.o.,  Wrocław, Poland</t>
        </is>
      </c>
      <c r="B9503" t="inlineStr">
        <is>
          <t>Processing Unit</t>
        </is>
      </c>
      <c r="C9503" t="inlineStr">
        <is>
          <t>SGS Germany GmbH, Emstek, DE</t>
        </is>
      </c>
      <c r="D9503" t="inlineStr">
        <is>
          <t>07.01.2027</t>
        </is>
      </c>
      <c r="E9503" t="inlineStr">
        <is>
          <t>Poland</t>
        </is>
      </c>
    </row>
    <row r="9504">
      <c r="A9504" t="inlineStr">
        <is>
          <t>Oléovia Collecte,  Dunkerque, France</t>
        </is>
      </c>
      <c r="B9504" t="inlineStr">
        <is>
          <t>Collecting Point, Trader with Storage</t>
        </is>
      </c>
      <c r="C9504" t="inlineStr">
        <is>
          <t>Control Union Certifications Germany GmbH, Berlin, DE</t>
        </is>
      </c>
      <c r="D9504" t="inlineStr">
        <is>
          <t>07.01.2027</t>
        </is>
      </c>
      <c r="E9504" t="inlineStr">
        <is>
          <t>France</t>
        </is>
      </c>
    </row>
    <row r="9505">
      <c r="A9505" t="inlineStr">
        <is>
          <t>Bunge Canada,  Becancour, Quebec, Canada</t>
        </is>
      </c>
      <c r="B9505" t="inlineStr">
        <is>
          <t>Processing Unit</t>
        </is>
      </c>
      <c r="C9505" t="inlineStr">
        <is>
          <t>SGS Germany GmbH, Emstek, DE</t>
        </is>
      </c>
      <c r="D9505" t="inlineStr">
        <is>
          <t>07.01.2027</t>
        </is>
      </c>
      <c r="E9505" t="inlineStr">
        <is>
          <t>Canada</t>
        </is>
      </c>
    </row>
    <row r="9506">
      <c r="A9506" t="inlineStr">
        <is>
          <t>Bunge Canada,  Becancour, Quebec, Canada</t>
        </is>
      </c>
      <c r="B9506" t="inlineStr">
        <is>
          <t>Processing Unit</t>
        </is>
      </c>
      <c r="C9506" t="inlineStr">
        <is>
          <t>SGS Germany GmbH, Emstek, DE</t>
        </is>
      </c>
      <c r="D9506" t="inlineStr">
        <is>
          <t>07.01.2027</t>
        </is>
      </c>
      <c r="E9506" t="inlineStr">
        <is>
          <t>Canada</t>
        </is>
      </c>
    </row>
    <row r="9507">
      <c r="A9507" t="inlineStr">
        <is>
          <t>Bunge Canada,  Becancour, Quebec, Canada</t>
        </is>
      </c>
      <c r="B9507" t="inlineStr">
        <is>
          <t>Processing Unit</t>
        </is>
      </c>
      <c r="C9507" t="inlineStr">
        <is>
          <t>SGS Germany GmbH, Emstek, DE</t>
        </is>
      </c>
      <c r="D9507" t="inlineStr">
        <is>
          <t>07.01.2027</t>
        </is>
      </c>
      <c r="E9507" t="inlineStr">
        <is>
          <t>Canada</t>
        </is>
      </c>
    </row>
    <row r="9508">
      <c r="A9508" t="inlineStr">
        <is>
          <t>EcoZero (an EarthWorks Recycling Company),  Richmond, Canada</t>
        </is>
      </c>
      <c r="B9508" t="inlineStr">
        <is>
          <t>Collecting Point</t>
        </is>
      </c>
      <c r="C9508" t="inlineStr">
        <is>
          <t>SCS Global Services, Emeryville, CA, US</t>
        </is>
      </c>
      <c r="D9508" t="inlineStr">
        <is>
          <t>07.01.2027</t>
        </is>
      </c>
      <c r="E9508" t="inlineStr">
        <is>
          <t>Canada</t>
        </is>
      </c>
    </row>
    <row r="9509">
      <c r="A9509" t="inlineStr">
        <is>
          <t>Firthside Limited,  Invergordon, United Kingdom</t>
        </is>
      </c>
      <c r="B9509" t="inlineStr">
        <is>
          <t>Collecting Point, Processing Unit</t>
        </is>
      </c>
      <c r="C9509" t="inlineStr">
        <is>
          <t>Double Helix Tracking Technologies Pte Ltd, Singapore, SG</t>
        </is>
      </c>
      <c r="D9509" t="inlineStr">
        <is>
          <t>07.01.2027</t>
        </is>
      </c>
      <c r="E9509" t="inlineStr">
        <is>
          <t>United Kingdom</t>
        </is>
      </c>
    </row>
    <row r="9510">
      <c r="A9510" t="inlineStr">
        <is>
          <t>Grissan Coreside Limited,  Buckie, United Kingdom</t>
        </is>
      </c>
      <c r="B9510" t="inlineStr">
        <is>
          <t>Collecting Point, Processing Unit</t>
        </is>
      </c>
      <c r="C9510" t="inlineStr">
        <is>
          <t>Double Helix Tracking Technologies Pte Ltd, Singapore, SG</t>
        </is>
      </c>
      <c r="D9510" t="inlineStr">
        <is>
          <t>07.01.2027</t>
        </is>
      </c>
      <c r="E9510" t="inlineStr">
        <is>
          <t>United Kingdom</t>
        </is>
      </c>
    </row>
    <row r="9511">
      <c r="A9511" t="inlineStr">
        <is>
          <t>Grissan Carnside,  Carnoustie, United Kingdom</t>
        </is>
      </c>
      <c r="B9511" t="inlineStr">
        <is>
          <t>Collecting Point, First Gathering Point, Processing Unit</t>
        </is>
      </c>
      <c r="C9511" t="inlineStr">
        <is>
          <t>Double Helix Tracking Technologies Pte Ltd, Singapore, SG</t>
        </is>
      </c>
      <c r="D9511" t="inlineStr">
        <is>
          <t>07.01.2027</t>
        </is>
      </c>
      <c r="E9511" t="inlineStr">
        <is>
          <t>United Kingdom</t>
        </is>
      </c>
    </row>
    <row r="9512">
      <c r="A9512" t="inlineStr">
        <is>
          <t>Grissan Carrick Limited,  Girvan, United Kingdom</t>
        </is>
      </c>
      <c r="B9512" t="inlineStr">
        <is>
          <t>Collecting Point, First Gathering Point, Processing Unit</t>
        </is>
      </c>
      <c r="C9512" t="inlineStr">
        <is>
          <t>Double Helix Tracking Technologies Pte Ltd, Singapore, SG</t>
        </is>
      </c>
      <c r="D9512" t="inlineStr">
        <is>
          <t>07.01.2027</t>
        </is>
      </c>
      <c r="E9512" t="inlineStr">
        <is>
          <t>United Kingdom</t>
        </is>
      </c>
    </row>
    <row r="9513">
      <c r="A9513" t="inlineStr">
        <is>
          <t>Grissan Portside LTD,  Buckie, United Kingdom</t>
        </is>
      </c>
      <c r="B9513" t="inlineStr">
        <is>
          <t>Collecting Point, Processing Unit</t>
        </is>
      </c>
      <c r="C9513" t="inlineStr">
        <is>
          <t>Double Helix Tracking Technologies Pte Ltd, Singapore, SG</t>
        </is>
      </c>
      <c r="D9513" t="inlineStr">
        <is>
          <t>07.01.2027</t>
        </is>
      </c>
      <c r="E9513" t="inlineStr">
        <is>
          <t>United Kingdom</t>
        </is>
      </c>
    </row>
    <row r="9514">
      <c r="A9514" t="inlineStr">
        <is>
          <t>Beyside Limited,  Buckie, United Kingdom</t>
        </is>
      </c>
      <c r="B9514" t="inlineStr">
        <is>
          <t>Collecting Point, Processing Unit</t>
        </is>
      </c>
      <c r="C9514" t="inlineStr">
        <is>
          <t>Double Helix Tracking Technologies Pte Ltd, Singapore, SG</t>
        </is>
      </c>
      <c r="D9514" t="inlineStr">
        <is>
          <t>07.01.2027</t>
        </is>
      </c>
      <c r="E9514" t="inlineStr">
        <is>
          <t>United Kingdom</t>
        </is>
      </c>
    </row>
    <row r="9515">
      <c r="A9515" t="inlineStr">
        <is>
          <t>Pierside Limited,  Invergordon, United Kingdom</t>
        </is>
      </c>
      <c r="B9515" t="inlineStr">
        <is>
          <t>Collecting Point, Processing Unit</t>
        </is>
      </c>
      <c r="C9515" t="inlineStr">
        <is>
          <t>Double Helix Tracking Technologies Pte Ltd, Singapore, SG</t>
        </is>
      </c>
      <c r="D9515" t="inlineStr">
        <is>
          <t>07.01.2027</t>
        </is>
      </c>
      <c r="E9515" t="inlineStr">
        <is>
          <t>United Kingdom</t>
        </is>
      </c>
    </row>
    <row r="9516">
      <c r="A9516" t="inlineStr">
        <is>
          <t>Tamside Limited,  Girvan, Ayshire, Scotland, United Kingdom</t>
        </is>
      </c>
      <c r="B9516" t="inlineStr">
        <is>
          <t>Collecting Point, First Gathering Point, Processing Unit</t>
        </is>
      </c>
      <c r="C9516" t="inlineStr">
        <is>
          <t>Double Helix Tracking Technologies Pte Ltd, Singapore, SG</t>
        </is>
      </c>
      <c r="D9516" t="inlineStr">
        <is>
          <t>07.01.2027</t>
        </is>
      </c>
      <c r="E9516" t="inlineStr">
        <is>
          <t>United Kingdom</t>
        </is>
      </c>
    </row>
    <row r="9517">
      <c r="A9517" t="inlineStr">
        <is>
          <t>Grissan Riverside Ltd,  Dufftown, Banffshire, United Kingdom</t>
        </is>
      </c>
      <c r="B9517" t="inlineStr">
        <is>
          <t>Collecting Point, Processing Unit</t>
        </is>
      </c>
      <c r="C9517" t="inlineStr">
        <is>
          <t>Double Helix Tracking Technologies Pte Ltd, Singapore, SG</t>
        </is>
      </c>
      <c r="D9517" t="inlineStr">
        <is>
          <t>07.01.2027</t>
        </is>
      </c>
      <c r="E9517" t="inlineStr">
        <is>
          <t>United Kingdom</t>
        </is>
      </c>
    </row>
    <row r="9518">
      <c r="A9518" t="inlineStr">
        <is>
          <t>Tynetside Limited,  Buckie, United Kingdom</t>
        </is>
      </c>
      <c r="B9518" t="inlineStr">
        <is>
          <t>Collecting Point, Processing Unit</t>
        </is>
      </c>
      <c r="C9518" t="inlineStr">
        <is>
          <t>Double Helix Tracking Technologies Pte Ltd, Singapore, SG</t>
        </is>
      </c>
      <c r="D9518" t="inlineStr">
        <is>
          <t>07.01.2027</t>
        </is>
      </c>
      <c r="E9518" t="inlineStr">
        <is>
          <t>United Kingdom</t>
        </is>
      </c>
    </row>
    <row r="9519">
      <c r="A9519" t="inlineStr">
        <is>
          <t>EQUATOR ENERGY PTE LTD,  SINGAPORE, Singapore</t>
        </is>
      </c>
      <c r="B9519" t="inlineStr">
        <is>
          <t>Trader</t>
        </is>
      </c>
      <c r="C9519" t="inlineStr">
        <is>
          <t>SCS Global Services, Emeryville, CA, US</t>
        </is>
      </c>
      <c r="D9519" t="inlineStr">
        <is>
          <t>07.01.2027</t>
        </is>
      </c>
      <c r="E9519" t="inlineStr">
        <is>
          <t>Singapore</t>
        </is>
      </c>
    </row>
    <row r="9520">
      <c r="A9520" t="inlineStr">
        <is>
          <t>EVOLVE OPTICAL CO., LTD,  Guangdong, China</t>
        </is>
      </c>
      <c r="B9520" t="inlineStr">
        <is>
          <t>Processing Unit</t>
        </is>
      </c>
      <c r="C9520" t="inlineStr">
        <is>
          <t>SCS Global Services, Emeryville, CA, US</t>
        </is>
      </c>
      <c r="D9520" t="inlineStr">
        <is>
          <t>07.01.2027</t>
        </is>
      </c>
      <c r="E9520" t="inlineStr">
        <is>
          <t>China</t>
        </is>
      </c>
    </row>
    <row r="9521">
      <c r="A9521" t="inlineStr">
        <is>
          <t>Shanghai Esenix Material Technology Co.,ltd,  Pudong New Area, Shanghai, China</t>
        </is>
      </c>
      <c r="B9521" t="inlineStr">
        <is>
          <t>Trader</t>
        </is>
      </c>
      <c r="C9521" t="inlineStr">
        <is>
          <t>SCS Global Services, Emeryville, CA, US</t>
        </is>
      </c>
      <c r="D9521" t="inlineStr">
        <is>
          <t>07.01.2027</t>
        </is>
      </c>
      <c r="E9521" t="inlineStr">
        <is>
          <t>China</t>
        </is>
      </c>
    </row>
    <row r="9522">
      <c r="A9522" t="inlineStr">
        <is>
          <t>Zhuji Shuntuo Energy Co., Ltd,  Shaoxing City, Zhejiang Province, China</t>
        </is>
      </c>
      <c r="B9522" t="inlineStr">
        <is>
          <t>Trader</t>
        </is>
      </c>
      <c r="C9522" t="inlineStr">
        <is>
          <t>SCS Global Services, Emeryville, CA, US</t>
        </is>
      </c>
      <c r="D9522" t="inlineStr">
        <is>
          <t>07.01.2027</t>
        </is>
      </c>
      <c r="E9522" t="inlineStr">
        <is>
          <t>China</t>
        </is>
      </c>
    </row>
    <row r="9523">
      <c r="A9523" t="inlineStr">
        <is>
          <t>MMTX Inc.,  Pasadena, Texas, United States</t>
        </is>
      </c>
      <c r="B9523" t="inlineStr">
        <is>
          <t>Processing Unit, Trader with Storage</t>
        </is>
      </c>
      <c r="C9523" t="inlineStr">
        <is>
          <t>SCS Global Services, Emeryville, CA, US</t>
        </is>
      </c>
      <c r="D9523" t="inlineStr">
        <is>
          <t>07.01.2027</t>
        </is>
      </c>
      <c r="E9523" t="inlineStr">
        <is>
          <t>United States</t>
        </is>
      </c>
    </row>
    <row r="9524">
      <c r="A9524" t="inlineStr">
        <is>
          <t>MMTX Inc.,  Pasadena, Texas, United States</t>
        </is>
      </c>
      <c r="B9524" t="inlineStr">
        <is>
          <t>Processing Unit, Trader with Storage</t>
        </is>
      </c>
      <c r="C9524" t="inlineStr">
        <is>
          <t>SCS Global Services, Emeryville, CA, US</t>
        </is>
      </c>
      <c r="D9524" t="inlineStr">
        <is>
          <t>07.01.2027</t>
        </is>
      </c>
      <c r="E9524" t="inlineStr">
        <is>
          <t>United States</t>
        </is>
      </c>
    </row>
    <row r="9525">
      <c r="A9525" t="inlineStr">
        <is>
          <t>SEDA GERMANY,  Neuhaus an der Pegnitz, Germany</t>
        </is>
      </c>
      <c r="B9525" t="inlineStr">
        <is>
          <t>Processing Unit</t>
        </is>
      </c>
      <c r="C9525" t="inlineStr">
        <is>
          <t>SGS Germany GmbH, Emstek, DE</t>
        </is>
      </c>
      <c r="D9525" t="inlineStr">
        <is>
          <t>07.01.2027</t>
        </is>
      </c>
      <c r="E9525" t="inlineStr">
        <is>
          <t>Germany</t>
        </is>
      </c>
    </row>
    <row r="9526">
      <c r="A9526" t="inlineStr">
        <is>
          <t>Brahman Commodities Pty Ltd,  Culcairn, Australia</t>
        </is>
      </c>
      <c r="B9526" t="inlineStr">
        <is>
          <t>Trader with Storage</t>
        </is>
      </c>
      <c r="C9526" t="inlineStr">
        <is>
          <t>Control Union Certifications Germany GmbH, Berlin, DE</t>
        </is>
      </c>
      <c r="D9526" t="inlineStr">
        <is>
          <t>07.01.2027</t>
        </is>
      </c>
      <c r="E9526" t="inlineStr">
        <is>
          <t>Australia</t>
        </is>
      </c>
    </row>
    <row r="9527">
      <c r="A9527" t="inlineStr">
        <is>
          <t>"HALYCH PROM",  Mlynyska village, Stryi district., Ukraine</t>
        </is>
      </c>
      <c r="B9527" t="inlineStr">
        <is>
          <t>Central Office (Farms/Plantations), First Gathering Point</t>
        </is>
      </c>
      <c r="C9527" t="inlineStr">
        <is>
          <t>SGS Germany GmbH, Emstek, DE</t>
        </is>
      </c>
      <c r="D9527" t="inlineStr">
        <is>
          <t>07.01.2027</t>
        </is>
      </c>
      <c r="E9527" t="inlineStr">
        <is>
          <t>Ukraine</t>
        </is>
      </c>
    </row>
    <row r="9528">
      <c r="A9528" t="inlineStr">
        <is>
          <t>Harmonia Renewable Energy, S.L.,  El Papiol Barcelona, Spain</t>
        </is>
      </c>
      <c r="B9528" t="inlineStr">
        <is>
          <t>Collecting Point</t>
        </is>
      </c>
      <c r="C9528" t="inlineStr">
        <is>
          <t>RINA Services S.p.A., Genova, IT</t>
        </is>
      </c>
      <c r="D9528" t="inlineStr">
        <is>
          <t>07.01.2027</t>
        </is>
      </c>
      <c r="E9528" t="inlineStr">
        <is>
          <t>Spain</t>
        </is>
      </c>
    </row>
    <row r="9529">
      <c r="A9529" t="inlineStr">
        <is>
          <t>ICS "Industrial Invest" SRL,  Vulcanesti, Moldova</t>
        </is>
      </c>
      <c r="B9529" t="inlineStr">
        <is>
          <t>Trader with Storage</t>
        </is>
      </c>
      <c r="C9529" t="inlineStr">
        <is>
          <t>SGS Germany GmbH, Emstek, DE</t>
        </is>
      </c>
      <c r="D9529" t="inlineStr">
        <is>
          <t>07.01.2027</t>
        </is>
      </c>
      <c r="E9529" t="inlineStr">
        <is>
          <t>Moldova</t>
        </is>
      </c>
    </row>
    <row r="9530">
      <c r="A9530" t="inlineStr">
        <is>
          <t>Cambela Prod S.R.L,  Constanta, Romania</t>
        </is>
      </c>
      <c r="B9530" t="inlineStr">
        <is>
          <t>First Gathering Point, Trader with Storage, Logistics Center</t>
        </is>
      </c>
      <c r="C9530" t="inlineStr">
        <is>
          <t>Control Union Certifications Germany GmbH, Berlin, DE</t>
        </is>
      </c>
      <c r="D9530" t="inlineStr">
        <is>
          <t>07.01.2027</t>
        </is>
      </c>
      <c r="E9530" t="inlineStr">
        <is>
          <t>Romania</t>
        </is>
      </c>
    </row>
    <row r="9531">
      <c r="A9531" t="inlineStr">
        <is>
          <t>Phoenix Contact Wielkopolska Sp. z o. o.,  Nowy Tomysl, Poland</t>
        </is>
      </c>
      <c r="B9531" t="inlineStr">
        <is>
          <t>Processing Unit</t>
        </is>
      </c>
      <c r="C9531" t="inlineStr">
        <is>
          <t>DQS CFS GmbH - Deutsche Gesellschaft für Nachhaltigkeit, Frankfurt am Main, DE</t>
        </is>
      </c>
      <c r="D9531" t="inlineStr">
        <is>
          <t>07.01.2027</t>
        </is>
      </c>
      <c r="E9531" t="inlineStr">
        <is>
          <t>Poland</t>
        </is>
      </c>
    </row>
    <row r="9532">
      <c r="A9532" t="inlineStr">
        <is>
          <t>ACT Solutions APAC,  Singapore, Singapore</t>
        </is>
      </c>
      <c r="B9532" t="inlineStr">
        <is>
          <t>Trader</t>
        </is>
      </c>
      <c r="C9532" t="inlineStr">
        <is>
          <t>Double Helix Tracking Technologies Pte Ltd, Singapore, SG</t>
        </is>
      </c>
      <c r="D9532" t="inlineStr">
        <is>
          <t>07.01.2027</t>
        </is>
      </c>
      <c r="E9532" t="inlineStr">
        <is>
          <t>Singapore</t>
        </is>
      </c>
    </row>
    <row r="9533">
      <c r="A9533" t="inlineStr">
        <is>
          <t>ACT Solutions APAC,  Singapore, Singapore</t>
        </is>
      </c>
      <c r="B9533" t="inlineStr">
        <is>
          <t>Trader</t>
        </is>
      </c>
      <c r="C9533" t="inlineStr">
        <is>
          <t>Double Helix Tracking Technologies Pte Ltd, Singapore, SG</t>
        </is>
      </c>
      <c r="D9533" t="inlineStr">
        <is>
          <t>07.01.2027</t>
        </is>
      </c>
      <c r="E9533" t="inlineStr">
        <is>
          <t>Singapore</t>
        </is>
      </c>
    </row>
    <row r="9534">
      <c r="A9534" t="inlineStr">
        <is>
          <t>Bio D S.A.S USUARIO OPERADOR DE ZONA FRANCA,  Facatativa, Cundinamarca, Colombia</t>
        </is>
      </c>
      <c r="B9534" t="inlineStr">
        <is>
          <t>Point of Origin, Processing Unit</t>
        </is>
      </c>
      <c r="C9534" t="inlineStr">
        <is>
          <t>Certificadora Gallega del Noroeste SL, Vilagarcia de Arousa-Pontevedra, ES</t>
        </is>
      </c>
      <c r="D9534" t="inlineStr">
        <is>
          <t>07.01.2027</t>
        </is>
      </c>
      <c r="E9534" t="inlineStr">
        <is>
          <t>Colombia</t>
        </is>
      </c>
    </row>
    <row r="9535">
      <c r="A9535" t="inlineStr">
        <is>
          <t>ORGANIZZAZIONE DI PRODUTTORI OLIVICOLI LATIUM SOC. COOP. AGR.,  Palombara Sabina, Italy</t>
        </is>
      </c>
      <c r="B9535" t="inlineStr">
        <is>
          <t>First Gathering Point, Trader, Final Product Refinement</t>
        </is>
      </c>
      <c r="C9535" t="inlineStr">
        <is>
          <t>RINA Services S.p.A., Genova, IT</t>
        </is>
      </c>
      <c r="D9535" t="inlineStr">
        <is>
          <t>07.01.2027</t>
        </is>
      </c>
      <c r="E9535" t="inlineStr">
        <is>
          <t>Italy</t>
        </is>
      </c>
    </row>
    <row r="9536">
      <c r="A9536" t="inlineStr">
        <is>
          <t>Disa Corporacion, SA,  Santa Cruz de Tenerife, Spain</t>
        </is>
      </c>
      <c r="B9536" t="inlineStr">
        <is>
          <t>Logistics Center</t>
        </is>
      </c>
      <c r="C9536" t="inlineStr">
        <is>
          <t>Bureau Veritas Polska Sp. z o.o., Warsaw, PL</t>
        </is>
      </c>
      <c r="D9536" t="inlineStr">
        <is>
          <t>07.01.2027</t>
        </is>
      </c>
      <c r="E9536" t="inlineStr">
        <is>
          <t>Spain</t>
        </is>
      </c>
    </row>
    <row r="9537">
      <c r="A9537" t="inlineStr">
        <is>
          <t>Trafin Oil PL, spół. z o.o.,  Ustroń, Poland</t>
        </is>
      </c>
      <c r="B9537" t="inlineStr">
        <is>
          <t>Collecting Point, Warehouse</t>
        </is>
      </c>
      <c r="C9537" t="inlineStr">
        <is>
          <t>Bureau Veritas Polska Sp. z o.o., Warsaw, PL</t>
        </is>
      </c>
      <c r="D9537" t="inlineStr">
        <is>
          <t>07.01.2027</t>
        </is>
      </c>
      <c r="E9537" t="inlineStr">
        <is>
          <t>Poland</t>
        </is>
      </c>
    </row>
    <row r="9538">
      <c r="A9538" t="inlineStr">
        <is>
          <t>ENPLA SOLUTION,  Seongyeon-myeon, Seosan-si, South Korea</t>
        </is>
      </c>
      <c r="B9538" t="inlineStr">
        <is>
          <t>Collecting Point, Processing Unit</t>
        </is>
      </c>
      <c r="C9538" t="inlineStr">
        <is>
          <t>FITI Testing &amp; Research Institute, Seoul, KR</t>
        </is>
      </c>
      <c r="D9538" t="inlineStr">
        <is>
          <t>07.01.2027</t>
        </is>
      </c>
      <c r="E9538" t="inlineStr">
        <is>
          <t>South Korea</t>
        </is>
      </c>
    </row>
    <row r="9539">
      <c r="A9539" t="inlineStr">
        <is>
          <t>Mölnlycke Health Care S.A.,  Waremme, Belgium</t>
        </is>
      </c>
      <c r="B9539" t="inlineStr">
        <is>
          <t>Processing Unit</t>
        </is>
      </c>
      <c r="C9539" t="inlineStr">
        <is>
          <t>Bureau Veritas Polska Sp. z o.o., Warsaw, PL</t>
        </is>
      </c>
      <c r="D9539" t="inlineStr">
        <is>
          <t>07.01.2027</t>
        </is>
      </c>
      <c r="E9539" t="inlineStr">
        <is>
          <t>Belgium</t>
        </is>
      </c>
    </row>
    <row r="9540">
      <c r="A9540" t="inlineStr">
        <is>
          <t>Consorzio Cooperativo Ortofrutticolo Alto Viterbese Soc. Coop. Agr. Organizzazione dei Produttori,  Grotte di Castro (VT), Italy</t>
        </is>
      </c>
      <c r="B9540" t="inlineStr">
        <is>
          <t>First Gathering Point</t>
        </is>
      </c>
      <c r="C9540" t="inlineStr">
        <is>
          <t>DNV Business Assurance Sweden AB, Solna, SE</t>
        </is>
      </c>
      <c r="D9540" t="inlineStr">
        <is>
          <t>07.01.2027</t>
        </is>
      </c>
      <c r="E9540" t="inlineStr">
        <is>
          <t>Italy</t>
        </is>
      </c>
    </row>
    <row r="9541">
      <c r="A9541" t="inlineStr">
        <is>
          <t>Hartree Marine Fuels LLC,  New York, United States</t>
        </is>
      </c>
      <c r="B9541" t="inlineStr">
        <is>
          <t>Trader with Storage</t>
        </is>
      </c>
      <c r="C9541" t="inlineStr">
        <is>
          <t>Control Union Poland Sp. z o.o., Zielona Gora, PL</t>
        </is>
      </c>
      <c r="D9541" t="inlineStr">
        <is>
          <t>07.01.2027</t>
        </is>
      </c>
      <c r="E9541" t="inlineStr">
        <is>
          <t>United States</t>
        </is>
      </c>
    </row>
    <row r="9542">
      <c r="A9542" t="inlineStr">
        <is>
          <t>Hunan Jianlemei Sporting Goods Co., Ltd.,  Xupu County, Huaihua,, China</t>
        </is>
      </c>
      <c r="B9542" t="inlineStr">
        <is>
          <t>Processing Unit</t>
        </is>
      </c>
      <c r="C9542" t="inlineStr">
        <is>
          <t>Extensive Standard Technical Services Co., Ltd., Hong Kong, CN</t>
        </is>
      </c>
      <c r="D9542" t="inlineStr">
        <is>
          <t>07.01.2027</t>
        </is>
      </c>
      <c r="E9542" t="inlineStr">
        <is>
          <t>China</t>
        </is>
      </c>
    </row>
    <row r="9543">
      <c r="A9543" t="inlineStr">
        <is>
          <t>Dongguan Junfeng Plastic Industry Co., Ltd,  Fenggang Town, Dongguan City, China</t>
        </is>
      </c>
      <c r="B9543" t="inlineStr">
        <is>
          <t>Final Product Refinement, Processing Unit</t>
        </is>
      </c>
      <c r="C9543" t="inlineStr">
        <is>
          <t>Extensive Standard Technical Services Co., Ltd., Hong Kong, CN</t>
        </is>
      </c>
      <c r="D9543" t="inlineStr">
        <is>
          <t>07.01.2027</t>
        </is>
      </c>
      <c r="E9543" t="inlineStr">
        <is>
          <t>China</t>
        </is>
      </c>
    </row>
    <row r="9544">
      <c r="A9544" t="inlineStr">
        <is>
          <t>PT Bumipalma Lestaripersada,  Provinsi Riau, Indonesia</t>
        </is>
      </c>
      <c r="B9544" t="inlineStr">
        <is>
          <t>First Gathering Point, Processing Unit, Point of Origin</t>
        </is>
      </c>
      <c r="C9544" t="inlineStr">
        <is>
          <t>PT Intertek Utama Services, Jakarta, ID</t>
        </is>
      </c>
      <c r="D9544" t="inlineStr">
        <is>
          <t>07.01.2027</t>
        </is>
      </c>
      <c r="E9544" t="inlineStr">
        <is>
          <t>Indonesia</t>
        </is>
      </c>
    </row>
    <row r="9545">
      <c r="A9545" t="inlineStr">
        <is>
          <t>Graincorp Foods Australia,  West Footscray Melbourne, Australia</t>
        </is>
      </c>
      <c r="B9545" t="inlineStr">
        <is>
          <t>Trader with Storage</t>
        </is>
      </c>
      <c r="C9545" t="inlineStr">
        <is>
          <t>Control Union Certifications Germany GmbH, Berlin, DE</t>
        </is>
      </c>
      <c r="D9545" t="inlineStr">
        <is>
          <t>07.01.2027</t>
        </is>
      </c>
      <c r="E9545" t="inlineStr">
        <is>
          <t>Australia</t>
        </is>
      </c>
    </row>
    <row r="9546">
      <c r="A9546" t="inlineStr">
        <is>
          <t>PT Philips Industries Batam,  Kota Batam, Indonesia</t>
        </is>
      </c>
      <c r="B9546" t="inlineStr">
        <is>
          <t>Final Product Refinement, Processing Unit, Trader with Storage</t>
        </is>
      </c>
      <c r="C9546" t="inlineStr">
        <is>
          <t>PT TUV Rheinland Indonesia, Jakarta, ID</t>
        </is>
      </c>
      <c r="D9546" t="inlineStr">
        <is>
          <t>07.01.2027</t>
        </is>
      </c>
      <c r="E9546" t="inlineStr">
        <is>
          <t>Indonesia</t>
        </is>
      </c>
    </row>
    <row r="9547">
      <c r="A9547" t="inlineStr">
        <is>
          <t>ALIMEX NEZVĚSTICE a.s.,  Nezvěstice, Czech Republic</t>
        </is>
      </c>
      <c r="B9547" t="inlineStr">
        <is>
          <t>Farm / Plantation, Point of Origin, Processing Unit</t>
        </is>
      </c>
      <c r="C9547" t="inlineStr">
        <is>
          <t>PT Intertek Utama Services, Jakarta, ID</t>
        </is>
      </c>
      <c r="D9547" t="inlineStr">
        <is>
          <t>07.01.2027</t>
        </is>
      </c>
      <c r="E9547" t="inlineStr">
        <is>
          <t>Czech Republic</t>
        </is>
      </c>
    </row>
    <row r="9548">
      <c r="A9548" t="inlineStr">
        <is>
          <t>KLADRUBSKÁ a.s.,  Zbiroh, Czech Republic</t>
        </is>
      </c>
      <c r="B9548" t="inlineStr">
        <is>
          <t>Farm / Plantation, Point of Origin, Processing Unit</t>
        </is>
      </c>
      <c r="C9548" t="inlineStr">
        <is>
          <t>PT Intertek Utama Services, Jakarta, ID</t>
        </is>
      </c>
      <c r="D9548" t="inlineStr">
        <is>
          <t>07.01.2027</t>
        </is>
      </c>
      <c r="E9548" t="inlineStr">
        <is>
          <t>Czech Republic</t>
        </is>
      </c>
    </row>
    <row r="9549">
      <c r="A9549" t="inlineStr">
        <is>
          <t>PetroChina Specialty Fuels &amp; Materials Co., Ltd. Wenzhou Branch,  Wenzhou City, Zhejiang Province, China</t>
        </is>
      </c>
      <c r="B9549" t="inlineStr">
        <is>
          <t>Trader with Storage</t>
        </is>
      </c>
      <c r="C9549" t="inlineStr">
        <is>
          <t>SCS Global Services, Emeryville, CA, US</t>
        </is>
      </c>
      <c r="D9549" t="inlineStr">
        <is>
          <t>07.01.2027</t>
        </is>
      </c>
      <c r="E9549" t="inlineStr">
        <is>
          <t>China</t>
        </is>
      </c>
    </row>
    <row r="9550">
      <c r="A9550" t="inlineStr">
        <is>
          <t>Hemosan Ltd.,  Bar, Montenegro</t>
        </is>
      </c>
      <c r="B9550" t="inlineStr">
        <is>
          <t>Collecting Point</t>
        </is>
      </c>
      <c r="C9550" t="inlineStr">
        <is>
          <t>SRAC Cert SRL, Bucharest, RO</t>
        </is>
      </c>
      <c r="D9550" t="inlineStr">
        <is>
          <t>07.01.2027</t>
        </is>
      </c>
      <c r="E9550" t="inlineStr">
        <is>
          <t>Montenegro</t>
        </is>
      </c>
    </row>
    <row r="9551">
      <c r="A9551" t="inlineStr">
        <is>
          <t>ITS,  Apeldoorn, Netherlands</t>
        </is>
      </c>
      <c r="B9551" t="inlineStr">
        <is>
          <t>Final Product Refinement, Processing Unit</t>
        </is>
      </c>
      <c r="C9551" t="inlineStr">
        <is>
          <t>Normec QS BV, Bennekom, NL</t>
        </is>
      </c>
      <c r="D9551" t="inlineStr">
        <is>
          <t>07.01.2027</t>
        </is>
      </c>
      <c r="E9551" t="inlineStr">
        <is>
          <t>Netherlands</t>
        </is>
      </c>
    </row>
    <row r="9552">
      <c r="A9552" t="inlineStr">
        <is>
          <t>American Packaging Corporation,  Rochester, NY, United States</t>
        </is>
      </c>
      <c r="B9552" t="inlineStr">
        <is>
          <t>Processing Unit</t>
        </is>
      </c>
      <c r="C9552" t="inlineStr">
        <is>
          <t>SCS Global Services, Emeryville, CA, US</t>
        </is>
      </c>
      <c r="D9552" t="inlineStr">
        <is>
          <t>07.01.2027</t>
        </is>
      </c>
      <c r="E9552" t="inlineStr">
        <is>
          <t>United States</t>
        </is>
      </c>
    </row>
    <row r="9553">
      <c r="A9553" t="inlineStr">
        <is>
          <t>American Packaging Corporation,  Cedar City, United States</t>
        </is>
      </c>
      <c r="B9553" t="inlineStr">
        <is>
          <t>Processing Unit</t>
        </is>
      </c>
      <c r="C9553" t="inlineStr">
        <is>
          <t>SCS Global Services, Emeryville, CA, US</t>
        </is>
      </c>
      <c r="D9553" t="inlineStr">
        <is>
          <t>07.01.2027</t>
        </is>
      </c>
      <c r="E9553" t="inlineStr">
        <is>
          <t>United States</t>
        </is>
      </c>
    </row>
    <row r="9554">
      <c r="A9554" t="inlineStr">
        <is>
          <t>Gunvor Marketing (España),  Madrid, Spain</t>
        </is>
      </c>
      <c r="B9554" t="inlineStr">
        <is>
          <t>Trader with Storage</t>
        </is>
      </c>
      <c r="C9554" t="inlineStr">
        <is>
          <t>Certificadora Gallega del Noroeste SL, Vilagarcia de Arousa-Pontevedra, ES</t>
        </is>
      </c>
      <c r="D9554" t="inlineStr">
        <is>
          <t>07.01.2027</t>
        </is>
      </c>
      <c r="E9554" t="inlineStr">
        <is>
          <t>Spain</t>
        </is>
      </c>
    </row>
    <row r="9555">
      <c r="A9555" t="inlineStr">
        <is>
          <t>Bunker One Sweden,  Västra Frölunda, Sweden</t>
        </is>
      </c>
      <c r="B9555" t="inlineStr">
        <is>
          <t>Trader with Storage</t>
        </is>
      </c>
      <c r="C9555" t="inlineStr">
        <is>
          <t>DNV Business Assurance Sweden AB, Solna, SE</t>
        </is>
      </c>
      <c r="D9555" t="inlineStr">
        <is>
          <t>07.01.2027</t>
        </is>
      </c>
      <c r="E9555" t="inlineStr">
        <is>
          <t>Sweden</t>
        </is>
      </c>
    </row>
    <row r="9556">
      <c r="A9556" t="inlineStr">
        <is>
          <t>Sinopec Zhongyuan Petrochemical Co., Ltd.,  Puyang, China</t>
        </is>
      </c>
      <c r="B9556" t="inlineStr">
        <is>
          <t>Processing Unit</t>
        </is>
      </c>
      <c r="C9556" t="inlineStr">
        <is>
          <t>China Quality Certification Centre Co., Ltd., Beijing, CN</t>
        </is>
      </c>
      <c r="D9556" t="inlineStr">
        <is>
          <t>07.01.2027</t>
        </is>
      </c>
      <c r="E9556" t="inlineStr">
        <is>
          <t>China</t>
        </is>
      </c>
    </row>
    <row r="9557">
      <c r="A9557" t="inlineStr">
        <is>
          <t>Shanghai Huntsman Polyurethanes Specialties Co., Ltd,  Shanghai, China</t>
        </is>
      </c>
      <c r="B9557" t="inlineStr">
        <is>
          <t>Processing Unit</t>
        </is>
      </c>
      <c r="C9557" t="inlineStr">
        <is>
          <t>DIN CERTCO GmbH, Berlin, DE</t>
        </is>
      </c>
      <c r="D9557" t="inlineStr">
        <is>
          <t>07.01.2027</t>
        </is>
      </c>
      <c r="E9557" t="inlineStr">
        <is>
          <t>China</t>
        </is>
      </c>
    </row>
    <row r="9558">
      <c r="A9558" t="inlineStr">
        <is>
          <t>Shandong Hefeng Chemical Co., Ltd.,  Zibo, Shandong, China</t>
        </is>
      </c>
      <c r="B9558" t="inlineStr">
        <is>
          <t>Processing Unit</t>
        </is>
      </c>
      <c r="C9558" t="inlineStr">
        <is>
          <t>DIN CERTCO GmbH, Berlin, DE</t>
        </is>
      </c>
      <c r="D9558" t="inlineStr">
        <is>
          <t>07.01.2027</t>
        </is>
      </c>
      <c r="E9558" t="inlineStr">
        <is>
          <t>China</t>
        </is>
      </c>
    </row>
    <row r="9559">
      <c r="A9559" t="inlineStr">
        <is>
          <t>Mitsui &amp; Co. (Asia Pacific) Pte. Ltd.,  Singapore, Singapore</t>
        </is>
      </c>
      <c r="B9559" t="inlineStr">
        <is>
          <t>Trader with Storage</t>
        </is>
      </c>
      <c r="C9559" t="inlineStr">
        <is>
          <t>SGS Germany GmbH, Emstek, DE</t>
        </is>
      </c>
      <c r="D9559" t="inlineStr">
        <is>
          <t>07.01.2027</t>
        </is>
      </c>
      <c r="E9559" t="inlineStr">
        <is>
          <t>Singapore</t>
        </is>
      </c>
    </row>
    <row r="9560">
      <c r="A9560" t="inlineStr">
        <is>
          <t>Longxing Technology Group Co., Ltd,  Shahe City, China</t>
        </is>
      </c>
      <c r="B9560" t="inlineStr">
        <is>
          <t>Processing Unit</t>
        </is>
      </c>
      <c r="C9560" t="inlineStr">
        <is>
          <t>SGS Germany GmbH, Emstek, DE</t>
        </is>
      </c>
      <c r="D9560" t="inlineStr">
        <is>
          <t>07.01.2027</t>
        </is>
      </c>
      <c r="E9560" t="inlineStr">
        <is>
          <t>China</t>
        </is>
      </c>
    </row>
    <row r="9561">
      <c r="A9561" t="inlineStr">
        <is>
          <t>Chang Chun Chemical (Panjin) Co., Ltd,  Panjin, China</t>
        </is>
      </c>
      <c r="B9561" t="inlineStr">
        <is>
          <t>Processing Unit</t>
        </is>
      </c>
      <c r="C9561" t="inlineStr">
        <is>
          <t>SGS Germany GmbH, Emstek, DE</t>
        </is>
      </c>
      <c r="D9561" t="inlineStr">
        <is>
          <t>07.01.2027</t>
        </is>
      </c>
      <c r="E9561" t="inlineStr">
        <is>
          <t>China</t>
        </is>
      </c>
    </row>
    <row r="9562">
      <c r="A9562" t="inlineStr">
        <is>
          <t>Shanghai Chunli Renewable Energy Co. Ltd.,  Ningbo City,Zhejiang Province, China</t>
        </is>
      </c>
      <c r="B9562" t="inlineStr">
        <is>
          <t>Trader</t>
        </is>
      </c>
      <c r="C9562" t="inlineStr">
        <is>
          <t>CTI Certification Co. Ltd, Shenzhen, CN</t>
        </is>
      </c>
      <c r="D9562" t="inlineStr">
        <is>
          <t>07.01.2027</t>
        </is>
      </c>
      <c r="E9562" t="inlineStr">
        <is>
          <t>China</t>
        </is>
      </c>
    </row>
    <row r="9563">
      <c r="A9563" t="inlineStr">
        <is>
          <t>Net Zero Carbon One,  Corpus Christi, Texas, United States</t>
        </is>
      </c>
      <c r="B9563" t="inlineStr">
        <is>
          <t>Collecting Point, Processing Unit</t>
        </is>
      </c>
      <c r="C9563" t="inlineStr">
        <is>
          <t>SCS Global Services, Emeryville, CA, US</t>
        </is>
      </c>
      <c r="D9563" t="inlineStr">
        <is>
          <t>07.01.2027</t>
        </is>
      </c>
      <c r="E9563" t="inlineStr">
        <is>
          <t>United States</t>
        </is>
      </c>
    </row>
    <row r="9564">
      <c r="A9564" t="inlineStr">
        <is>
          <t>REFERENCE ENERGY(DALIAN)CO., LTD,  Suzhou city, Jiangsu Province, China</t>
        </is>
      </c>
      <c r="B9564" t="inlineStr">
        <is>
          <t>Trader</t>
        </is>
      </c>
      <c r="C9564" t="inlineStr">
        <is>
          <t>SCS Global Services, Emeryville, CA, US</t>
        </is>
      </c>
      <c r="D9564" t="inlineStr">
        <is>
          <t>07.01.2027</t>
        </is>
      </c>
      <c r="E9564" t="inlineStr">
        <is>
          <t>China</t>
        </is>
      </c>
    </row>
    <row r="9565">
      <c r="A9565" t="inlineStr">
        <is>
          <t>LG H &amp; H,  Onyang-eup, Ulju-gun, Ulsan, South Korea</t>
        </is>
      </c>
      <c r="B9565" t="inlineStr">
        <is>
          <t>Processing Unit, Point of Origin</t>
        </is>
      </c>
      <c r="C9565" t="inlineStr">
        <is>
          <t>FITI Testing &amp; Research Institute, Seoul, KR</t>
        </is>
      </c>
      <c r="D9565" t="inlineStr">
        <is>
          <t>07.01.2027</t>
        </is>
      </c>
      <c r="E9565" t="inlineStr">
        <is>
          <t>South Korea</t>
        </is>
      </c>
    </row>
    <row r="9566">
      <c r="A9566" t="inlineStr">
        <is>
          <t>Viroplasti srl,  Calenzano, Italy</t>
        </is>
      </c>
      <c r="B9566" t="inlineStr">
        <is>
          <t>Processing Unit, Trader</t>
        </is>
      </c>
      <c r="C9566" t="inlineStr">
        <is>
          <t>DNV Business Assurance Sweden AB, Solna, SE</t>
        </is>
      </c>
      <c r="D9566" t="inlineStr">
        <is>
          <t>07.01.2027</t>
        </is>
      </c>
      <c r="E9566" t="inlineStr">
        <is>
          <t>Italy</t>
        </is>
      </c>
    </row>
    <row r="9567">
      <c r="A9567" t="inlineStr">
        <is>
          <t>MOA CO., LTD.,  Seongju-gun, South Korea</t>
        </is>
      </c>
      <c r="B9567" t="inlineStr">
        <is>
          <t>Collecting Point, Processing Unit</t>
        </is>
      </c>
      <c r="C9567" t="inlineStr">
        <is>
          <t>Control Union Certifications Germany GmbH, Berlin, DE</t>
        </is>
      </c>
      <c r="D9567" t="inlineStr">
        <is>
          <t>07.01.2027</t>
        </is>
      </c>
      <c r="E9567" t="inlineStr">
        <is>
          <t>South Korea</t>
        </is>
      </c>
    </row>
    <row r="9568">
      <c r="A9568" t="inlineStr">
        <is>
          <t>LG H &amp; H,  Jung-gu, Seoul, South Korea</t>
        </is>
      </c>
      <c r="B9568" t="inlineStr">
        <is>
          <t>Trader</t>
        </is>
      </c>
      <c r="C9568" t="inlineStr">
        <is>
          <t>FITI Testing &amp; Research Institute, Seoul, KR</t>
        </is>
      </c>
      <c r="D9568" t="inlineStr">
        <is>
          <t>07.01.2027</t>
        </is>
      </c>
      <c r="E9568" t="inlineStr">
        <is>
          <t>South Korea</t>
        </is>
      </c>
    </row>
    <row r="9569">
      <c r="A9569" t="inlineStr">
        <is>
          <t>WINDFINDER ENTERPRISE LIMITED,  Hong Kong, Hong Kong, SAR, China</t>
        </is>
      </c>
      <c r="B9569" t="inlineStr">
        <is>
          <t>Trader</t>
        </is>
      </c>
      <c r="C9569" t="inlineStr">
        <is>
          <t>SCS Global Services, Emeryville, CA, US</t>
        </is>
      </c>
      <c r="D9569" t="inlineStr">
        <is>
          <t>07.01.2027</t>
        </is>
      </c>
      <c r="E9569" t="inlineStr">
        <is>
          <t>China</t>
        </is>
      </c>
    </row>
    <row r="9570">
      <c r="A9570" t="inlineStr">
        <is>
          <t>Lone Star Carbon LLC,  Gainesville, United States</t>
        </is>
      </c>
      <c r="B9570" t="inlineStr">
        <is>
          <t>Collecting Point, Processing Unit</t>
        </is>
      </c>
      <c r="C9570" t="inlineStr">
        <is>
          <t>SGS Germany GmbH, Emstek, DE</t>
        </is>
      </c>
      <c r="D9570" t="inlineStr">
        <is>
          <t>07.01.2027</t>
        </is>
      </c>
      <c r="E9570" t="inlineStr">
        <is>
          <t>United States</t>
        </is>
      </c>
    </row>
    <row r="9571">
      <c r="A9571" t="inlineStr">
        <is>
          <t>WESTLAKE COMPOUNDS SPAIN SLU,  SANTA PERPETUA DE MOGODA, Spain</t>
        </is>
      </c>
      <c r="B9571" t="inlineStr">
        <is>
          <t>Processing Unit</t>
        </is>
      </c>
      <c r="C9571" t="inlineStr">
        <is>
          <t>BMC Assurance, S.L, Santander, ES</t>
        </is>
      </c>
      <c r="D9571" t="inlineStr">
        <is>
          <t>07.01.2027</t>
        </is>
      </c>
      <c r="E9571" t="inlineStr">
        <is>
          <t>Spain</t>
        </is>
      </c>
    </row>
    <row r="9572">
      <c r="A9572" t="inlineStr">
        <is>
          <t>Evonik United Silica (Siam),  Rayong Province, Tambon Maptaphud, Amphur Muang, Thailand</t>
        </is>
      </c>
      <c r="B9572" t="inlineStr">
        <is>
          <t>Processing Unit</t>
        </is>
      </c>
      <c r="C9572" t="inlineStr">
        <is>
          <t>SGS Germany GmbH, Emstek, DE</t>
        </is>
      </c>
      <c r="D9572" t="inlineStr">
        <is>
          <t>06.01.2027</t>
        </is>
      </c>
      <c r="E9572" t="inlineStr">
        <is>
          <t>Thailand</t>
        </is>
      </c>
    </row>
    <row r="9573">
      <c r="A9573" t="inlineStr">
        <is>
          <t>CHEER YOUNG CO., LTD.,  Luzhu Dist., Taoyuan City, Taiwan, Province of China</t>
        </is>
      </c>
      <c r="B9573" t="inlineStr">
        <is>
          <t>Trader with Storage</t>
        </is>
      </c>
      <c r="C9573" t="inlineStr">
        <is>
          <t>Bureau Veritas Polska Sp. z o.o., Warsaw, PL</t>
        </is>
      </c>
      <c r="D9573" t="inlineStr">
        <is>
          <t>06.01.2027</t>
        </is>
      </c>
      <c r="E9573" t="inlineStr">
        <is>
          <t>Province of China</t>
        </is>
      </c>
    </row>
    <row r="9574">
      <c r="A9574" t="inlineStr">
        <is>
          <t>Linyuan Advanced Materials Technology Co., Ltd.,  Linyuan Dist., Kaohsiung City, Taiwan, Province of China</t>
        </is>
      </c>
      <c r="B9574" t="inlineStr">
        <is>
          <t>Processing Unit</t>
        </is>
      </c>
      <c r="C9574" t="inlineStr">
        <is>
          <t>Bureau Veritas Polska Sp. z o.o., Warsaw, PL</t>
        </is>
      </c>
      <c r="D9574" t="inlineStr">
        <is>
          <t>06.01.2027</t>
        </is>
      </c>
      <c r="E9574" t="inlineStr">
        <is>
          <t>Province of China</t>
        </is>
      </c>
    </row>
    <row r="9575">
      <c r="A9575" t="inlineStr">
        <is>
          <t>Shanghai Environmental Group Renewable Energy Operation Management Co., Ltd. Fengxian Branch,  Shanghai, China</t>
        </is>
      </c>
      <c r="B9575" t="inlineStr">
        <is>
          <t>Point of Origin, Processing Unit</t>
        </is>
      </c>
      <c r="C9575" t="inlineStr">
        <is>
          <t>Bureau Veritas Polska Sp. z o.o., Warsaw, PL</t>
        </is>
      </c>
      <c r="D9575" t="inlineStr">
        <is>
          <t>06.01.2027</t>
        </is>
      </c>
      <c r="E9575" t="inlineStr">
        <is>
          <t>China</t>
        </is>
      </c>
    </row>
    <row r="9576">
      <c r="A9576" t="inlineStr">
        <is>
          <t>Shanghai Environmental Group Renewable Energy Operation Management Co., Ltd. Fengxian Branch,  Shanghai, China</t>
        </is>
      </c>
      <c r="B9576" t="inlineStr">
        <is>
          <t>Point of Origin, Processing Unit</t>
        </is>
      </c>
      <c r="C9576" t="inlineStr">
        <is>
          <t>Bureau Veritas Polska Sp. z o.o., Warsaw, PL</t>
        </is>
      </c>
      <c r="D9576" t="inlineStr">
        <is>
          <t>06.01.2027</t>
        </is>
      </c>
      <c r="E9576" t="inlineStr">
        <is>
          <t>China</t>
        </is>
      </c>
    </row>
    <row r="9577">
      <c r="A9577" t="inlineStr">
        <is>
          <t>SAMBOCHEMICAL. CO.,LTD.,  Anseong-si, Gyeonggi-do, South Korea</t>
        </is>
      </c>
      <c r="B9577" t="inlineStr">
        <is>
          <t>Processing Unit</t>
        </is>
      </c>
      <c r="C9577" t="inlineStr">
        <is>
          <t>Korean Foundation for Quality, Songpa-gu, Seoul, KR</t>
        </is>
      </c>
      <c r="D9577" t="inlineStr">
        <is>
          <t>06.01.2027</t>
        </is>
      </c>
      <c r="E9577" t="inlineStr">
        <is>
          <t>South Korea</t>
        </is>
      </c>
    </row>
    <row r="9578">
      <c r="A9578" t="inlineStr">
        <is>
          <t>Pavlos N. Pettas S.A.,  West Achaia, Greece</t>
        </is>
      </c>
      <c r="B9578" t="inlineStr">
        <is>
          <t>Trader with Storage, First Gathering Point, Processing Unit</t>
        </is>
      </c>
      <c r="C9578" t="inlineStr">
        <is>
          <t>Bureau Veritas Polska Sp. z o.o., Warsaw, PL</t>
        </is>
      </c>
      <c r="D9578" t="inlineStr">
        <is>
          <t>06.01.2027</t>
        </is>
      </c>
      <c r="E9578" t="inlineStr">
        <is>
          <t>Greece</t>
        </is>
      </c>
    </row>
    <row r="9579">
      <c r="A9579" t="inlineStr">
        <is>
          <t>Sambo Eco Bio Co., Ltd.,  Yangseong-myeon, Anseong-si, Gyeonggi-do,, South Korea</t>
        </is>
      </c>
      <c r="B9579" t="inlineStr">
        <is>
          <t>Trader with Storage</t>
        </is>
      </c>
      <c r="C9579" t="inlineStr">
        <is>
          <t>Korean Foundation for Quality, Songpa-gu, Seoul, KR</t>
        </is>
      </c>
      <c r="D9579" t="inlineStr">
        <is>
          <t>06.01.2027</t>
        </is>
      </c>
      <c r="E9579" t="inlineStr">
        <is>
          <t>South Korea</t>
        </is>
      </c>
    </row>
    <row r="9580">
      <c r="A9580" t="inlineStr">
        <is>
          <t>OilCare Inc,  Carolina, Puerto Rico, Puerto Rico</t>
        </is>
      </c>
      <c r="B9580" t="inlineStr">
        <is>
          <t>Collecting Point</t>
        </is>
      </c>
      <c r="C9580" t="inlineStr">
        <is>
          <t>Certificadora Gallega del Noroeste SL, Vilagarcia de Arousa-Pontevedra, ES</t>
        </is>
      </c>
      <c r="D9580" t="inlineStr">
        <is>
          <t>06.01.2027</t>
        </is>
      </c>
      <c r="E9580" t="inlineStr">
        <is>
          <t>Puerto Rico</t>
        </is>
      </c>
    </row>
    <row r="9581">
      <c r="A9581" t="inlineStr">
        <is>
          <t>Haupa,  MAULEON LICHARRE, France</t>
        </is>
      </c>
      <c r="B9581" t="inlineStr">
        <is>
          <t>Collecting Point</t>
        </is>
      </c>
      <c r="C9581" t="inlineStr">
        <is>
          <t>Control Union Certifications Germany GmbH, Berlin, DE</t>
        </is>
      </c>
      <c r="D9581" t="inlineStr">
        <is>
          <t>06.01.2027</t>
        </is>
      </c>
      <c r="E9581" t="inlineStr">
        <is>
          <t>France</t>
        </is>
      </c>
    </row>
    <row r="9582">
      <c r="A9582" t="inlineStr">
        <is>
          <t>BP Energía España S.A.U.,  Castellón, Spain</t>
        </is>
      </c>
      <c r="B9582" t="inlineStr">
        <is>
          <t>Processing Unit, Trader with Storage</t>
        </is>
      </c>
      <c r="C9582" t="inlineStr">
        <is>
          <t>Control Union Poland Sp. z o.o., Zielona Gora, PL</t>
        </is>
      </c>
      <c r="D9582" t="inlineStr">
        <is>
          <t>06.01.2027</t>
        </is>
      </c>
      <c r="E9582" t="inlineStr">
        <is>
          <t>Spain</t>
        </is>
      </c>
    </row>
    <row r="9583">
      <c r="A9583" t="inlineStr">
        <is>
          <t>Daekyung Innotech Co.,Ltd,  Namdong-gu, Incheon, Korea, Republic of</t>
        </is>
      </c>
      <c r="B9583" t="inlineStr">
        <is>
          <t>Collecting Point</t>
        </is>
      </c>
      <c r="C9583" t="inlineStr">
        <is>
          <t>Control Union Certifications Germany GmbH, Berlin, DE</t>
        </is>
      </c>
      <c r="D9583" t="inlineStr">
        <is>
          <t>06.01.2027</t>
        </is>
      </c>
      <c r="E9583" t="inlineStr">
        <is>
          <t>Republic of</t>
        </is>
      </c>
    </row>
    <row r="9584">
      <c r="A9584" t="inlineStr">
        <is>
          <t>Shandong hui yuan zinc product factory,  Binzhou City, Shandong Province, China</t>
        </is>
      </c>
      <c r="B9584" t="inlineStr">
        <is>
          <t>Collecting Point, Processing Unit</t>
        </is>
      </c>
      <c r="C9584" t="inlineStr">
        <is>
          <t>SCS Global Services, Emeryville, CA, US</t>
        </is>
      </c>
      <c r="D9584" t="inlineStr">
        <is>
          <t>06.01.2027</t>
        </is>
      </c>
      <c r="E9584" t="inlineStr">
        <is>
          <t>China</t>
        </is>
      </c>
    </row>
    <row r="9585">
      <c r="A9585" t="inlineStr">
        <is>
          <t>WENZHOU YOUBANYOUYAN PLASTIC TECHNOLOGY CO., LTD.,  WENZHOU CITY, ZHEJIANG PROVINCE, China</t>
        </is>
      </c>
      <c r="B9585" t="inlineStr">
        <is>
          <t>Processing Unit</t>
        </is>
      </c>
      <c r="C9585" t="inlineStr">
        <is>
          <t>SCS Global Services, Emeryville, CA, US</t>
        </is>
      </c>
      <c r="D9585" t="inlineStr">
        <is>
          <t>06.01.2027</t>
        </is>
      </c>
      <c r="E9585" t="inlineStr">
        <is>
          <t>China</t>
        </is>
      </c>
    </row>
    <row r="9586">
      <c r="A9586" t="inlineStr">
        <is>
          <t>Qingdao Mingli Grease Co., Ltd.,  Qingdao City，Shandong Province, China</t>
        </is>
      </c>
      <c r="B9586" t="inlineStr">
        <is>
          <t>Collecting Point</t>
        </is>
      </c>
      <c r="C9586" t="inlineStr">
        <is>
          <t>SCS Global Services, Emeryville, CA, US</t>
        </is>
      </c>
      <c r="D9586" t="inlineStr">
        <is>
          <t>06.01.2027</t>
        </is>
      </c>
      <c r="E9586" t="inlineStr">
        <is>
          <t>China</t>
        </is>
      </c>
    </row>
    <row r="9587">
      <c r="A9587" t="inlineStr">
        <is>
          <t>Mitsubishi Corporation,  Tokyo, Japan</t>
        </is>
      </c>
      <c r="B9587" t="inlineStr">
        <is>
          <t>Trader</t>
        </is>
      </c>
      <c r="C9587" t="inlineStr">
        <is>
          <t>Control Union Certifications Germany GmbH, Berlin, DE</t>
        </is>
      </c>
      <c r="D9587" t="inlineStr">
        <is>
          <t>06.01.2027</t>
        </is>
      </c>
      <c r="E9587" t="inlineStr">
        <is>
          <t>Japan</t>
        </is>
      </c>
    </row>
    <row r="9588">
      <c r="A9588" t="inlineStr">
        <is>
          <t>Mitsubishi Corporation,  Tokyo, Japan</t>
        </is>
      </c>
      <c r="B9588" t="inlineStr">
        <is>
          <t>Trader</t>
        </is>
      </c>
      <c r="C9588" t="inlineStr">
        <is>
          <t>Control Union Certifications Germany GmbH, Berlin, DE</t>
        </is>
      </c>
      <c r="D9588" t="inlineStr">
        <is>
          <t>06.01.2027</t>
        </is>
      </c>
      <c r="E9588" t="inlineStr">
        <is>
          <t>Japan</t>
        </is>
      </c>
    </row>
    <row r="9589">
      <c r="A9589" t="inlineStr">
        <is>
          <t>TGB SUPPLYCHAIN CO., LIMITED,  Xiamen, Fujian, China</t>
        </is>
      </c>
      <c r="B9589" t="inlineStr">
        <is>
          <t>Trader</t>
        </is>
      </c>
      <c r="C9589" t="inlineStr">
        <is>
          <t>RINA Services S.p.A., Genova, IT</t>
        </is>
      </c>
      <c r="D9589" t="inlineStr">
        <is>
          <t>06.01.2027</t>
        </is>
      </c>
      <c r="E9589" t="inlineStr">
        <is>
          <t>China</t>
        </is>
      </c>
    </row>
    <row r="9590">
      <c r="A9590" t="inlineStr">
        <is>
          <t>ALPHA MATIERES PLASTIQUES,  Horbourg Wihr, France</t>
        </is>
      </c>
      <c r="B9590" t="inlineStr">
        <is>
          <t>Trader with Storage</t>
        </is>
      </c>
      <c r="C9590" t="inlineStr">
        <is>
          <t>Bureau Veritas Polska Sp. z o.o., Warsaw, PL</t>
        </is>
      </c>
      <c r="D9590" t="inlineStr">
        <is>
          <t>06.01.2027</t>
        </is>
      </c>
      <c r="E9590" t="inlineStr">
        <is>
          <t>France</t>
        </is>
      </c>
    </row>
    <row r="9591">
      <c r="A9591" t="inlineStr">
        <is>
          <t>Japan Polyethylene Corporation, Oita Plant,  Oita-shi, Japan</t>
        </is>
      </c>
      <c r="B9591" t="inlineStr">
        <is>
          <t>Processing Unit, Trader with Storage</t>
        </is>
      </c>
      <c r="C9591" t="inlineStr">
        <is>
          <t>PT Intertek Utama Services, Jakarta, ID</t>
        </is>
      </c>
      <c r="D9591" t="inlineStr">
        <is>
          <t>06.01.2027</t>
        </is>
      </c>
      <c r="E9591" t="inlineStr">
        <is>
          <t>Japan</t>
        </is>
      </c>
    </row>
    <row r="9592">
      <c r="A9592" t="inlineStr">
        <is>
          <t>Olivia UCO Storage,  Cadiz, Spain</t>
        </is>
      </c>
      <c r="B9592" t="inlineStr">
        <is>
          <t>Warehouse</t>
        </is>
      </c>
      <c r="C9592" t="inlineStr">
        <is>
          <t>PT Intertek Utama Services, Jakarta, ID</t>
        </is>
      </c>
      <c r="D9592" t="inlineStr">
        <is>
          <t>06.01.2027</t>
        </is>
      </c>
      <c r="E9592" t="inlineStr">
        <is>
          <t>Spain</t>
        </is>
      </c>
    </row>
    <row r="9593">
      <c r="A9593" t="inlineStr">
        <is>
          <t>OP Trade S.L.,  Puerto Real, Spain</t>
        </is>
      </c>
      <c r="B9593" t="inlineStr">
        <is>
          <t>Warehouse</t>
        </is>
      </c>
      <c r="C9593" t="inlineStr">
        <is>
          <t>PT Intertek Utama Services, Jakarta, ID</t>
        </is>
      </c>
      <c r="D9593" t="inlineStr">
        <is>
          <t>06.01.2027</t>
        </is>
      </c>
      <c r="E9593" t="inlineStr">
        <is>
          <t>Spain</t>
        </is>
      </c>
    </row>
    <row r="9594">
      <c r="A9594" t="inlineStr">
        <is>
          <t>Piber Group,  Voghera, Italy</t>
        </is>
      </c>
      <c r="B9594" t="inlineStr">
        <is>
          <t>Trader</t>
        </is>
      </c>
      <c r="C9594" t="inlineStr">
        <is>
          <t>SGS Germany GmbH, Emstek, DE</t>
        </is>
      </c>
      <c r="D9594" t="inlineStr">
        <is>
          <t>06.01.2027</t>
        </is>
      </c>
      <c r="E9594" t="inlineStr">
        <is>
          <t>Italy</t>
        </is>
      </c>
    </row>
    <row r="9595">
      <c r="A9595" t="inlineStr">
        <is>
          <t>Zhytnytsya Podillya,  village Shchyborivka, Khmelnytskyi district, Ukraine</t>
        </is>
      </c>
      <c r="B9595" t="inlineStr">
        <is>
          <t>Farm / Plantation, Trader with Storage</t>
        </is>
      </c>
      <c r="C9595" t="inlineStr">
        <is>
          <t>Aciter Genelab LLC, Odessa, UA</t>
        </is>
      </c>
      <c r="D9595" t="inlineStr">
        <is>
          <t>06.01.2027</t>
        </is>
      </c>
      <c r="E9595" t="inlineStr">
        <is>
          <t>Ukraine</t>
        </is>
      </c>
    </row>
    <row r="9596">
      <c r="A9596" t="inlineStr">
        <is>
          <t>Zhytnytsya Podillya,  village Shchyborivka, Khmelnytskyi district, Ukraine</t>
        </is>
      </c>
      <c r="B9596" t="inlineStr">
        <is>
          <t>Farm / Plantation, Trader with Storage</t>
        </is>
      </c>
      <c r="C9596" t="inlineStr">
        <is>
          <t>Aciter Genelab LLC, Odessa, UA</t>
        </is>
      </c>
      <c r="D9596" t="inlineStr">
        <is>
          <t>06.01.2027</t>
        </is>
      </c>
      <c r="E9596" t="inlineStr">
        <is>
          <t>Ukraine</t>
        </is>
      </c>
    </row>
    <row r="9597">
      <c r="A9597" t="inlineStr">
        <is>
          <t>Volochysk-Agro,  Volochysk town, Khmelnytskyi district, Ukraine</t>
        </is>
      </c>
      <c r="B9597" t="inlineStr">
        <is>
          <t>Farm / Plantation, Trader with Storage</t>
        </is>
      </c>
      <c r="C9597" t="inlineStr">
        <is>
          <t>Aciter Genelab LLC, Odessa, UA</t>
        </is>
      </c>
      <c r="D9597" t="inlineStr">
        <is>
          <t>06.01.2027</t>
        </is>
      </c>
      <c r="E9597" t="inlineStr">
        <is>
          <t>Ukraine</t>
        </is>
      </c>
    </row>
    <row r="9598">
      <c r="A9598" t="inlineStr">
        <is>
          <t>Volochysk-Agro,  Volochysk town, Khmelnytskyi district, Ukraine</t>
        </is>
      </c>
      <c r="B9598" t="inlineStr">
        <is>
          <t>Farm / Plantation, Trader with Storage</t>
        </is>
      </c>
      <c r="C9598" t="inlineStr">
        <is>
          <t>Aciter Genelab LLC, Odessa, UA</t>
        </is>
      </c>
      <c r="D9598" t="inlineStr">
        <is>
          <t>06.01.2027</t>
        </is>
      </c>
      <c r="E9598" t="inlineStr">
        <is>
          <t>Ukraine</t>
        </is>
      </c>
    </row>
    <row r="9599">
      <c r="A9599" t="inlineStr">
        <is>
          <t>Astarta Prihorollya,  village Staroavramivka, Lybny district, Ukraine</t>
        </is>
      </c>
      <c r="B9599" t="inlineStr">
        <is>
          <t>Farm / Plantation, Trader with Storage</t>
        </is>
      </c>
      <c r="C9599" t="inlineStr">
        <is>
          <t>Aciter Genelab LLC, Odessa, UA</t>
        </is>
      </c>
      <c r="D9599" t="inlineStr">
        <is>
          <t>06.01.2027</t>
        </is>
      </c>
      <c r="E9599" t="inlineStr">
        <is>
          <t>Ukraine</t>
        </is>
      </c>
    </row>
    <row r="9600">
      <c r="A9600" t="inlineStr">
        <is>
          <t>Astarta Prihorollya,  village Staroavramivka, Lybny district, Ukraine</t>
        </is>
      </c>
      <c r="B9600" t="inlineStr">
        <is>
          <t>Farm / Plantation, Trader with Storage</t>
        </is>
      </c>
      <c r="C9600" t="inlineStr">
        <is>
          <t>Aciter Genelab LLC, Odessa, UA</t>
        </is>
      </c>
      <c r="D9600" t="inlineStr">
        <is>
          <t>06.01.2027</t>
        </is>
      </c>
      <c r="E9600" t="inlineStr">
        <is>
          <t>Ukraine</t>
        </is>
      </c>
    </row>
    <row r="9601">
      <c r="A9601" t="inlineStr">
        <is>
          <t>TONGQUAN PAPER PRODUCTS (SHENZHEN) CO., LTD,  Shenzhen City, Guangdong Province, China</t>
        </is>
      </c>
      <c r="B9601" t="inlineStr">
        <is>
          <t>Processing Unit</t>
        </is>
      </c>
      <c r="C9601" t="inlineStr">
        <is>
          <t>DIN CERTCO GmbH, Berlin, DE</t>
        </is>
      </c>
      <c r="D9601" t="inlineStr">
        <is>
          <t>06.01.2027</t>
        </is>
      </c>
      <c r="E9601" t="inlineStr">
        <is>
          <t>China</t>
        </is>
      </c>
    </row>
    <row r="9602">
      <c r="A9602" t="inlineStr">
        <is>
          <t>delo: Dettmer Verpackungen GmbH &amp; Co. KG,  Lohne, Germany</t>
        </is>
      </c>
      <c r="B9602" t="inlineStr">
        <is>
          <t>Final Product Refinement, Processing Unit</t>
        </is>
      </c>
      <c r="C9602" t="inlineStr">
        <is>
          <t>SGS Germany GmbH, Emstek, DE</t>
        </is>
      </c>
      <c r="D9602" t="inlineStr">
        <is>
          <t>06.01.2027</t>
        </is>
      </c>
      <c r="E9602" t="inlineStr">
        <is>
          <t>Germany</t>
        </is>
      </c>
    </row>
    <row r="9603">
      <c r="A9603" t="inlineStr">
        <is>
          <t>Synthomer Sdn Bhd,  Pasir Gudang, Malaysia</t>
        </is>
      </c>
      <c r="B9603" t="inlineStr">
        <is>
          <t>Processing Unit</t>
        </is>
      </c>
      <c r="C9603" t="inlineStr">
        <is>
          <t>SGS Germany GmbH, Emstek, DE</t>
        </is>
      </c>
      <c r="D9603" t="inlineStr">
        <is>
          <t>06.01.2027</t>
        </is>
      </c>
      <c r="E9603" t="inlineStr">
        <is>
          <t>Malaysia</t>
        </is>
      </c>
    </row>
    <row r="9604">
      <c r="A9604" t="inlineStr">
        <is>
          <t>GBK International,  Pasir Gudang, Malaysia</t>
        </is>
      </c>
      <c r="B9604" t="inlineStr">
        <is>
          <t>Trader with Storage</t>
        </is>
      </c>
      <c r="C9604" t="inlineStr">
        <is>
          <t>PT. CBQA GLOBAL INDONESIA, JAKARTA SELATAN, ID</t>
        </is>
      </c>
      <c r="D9604" t="inlineStr">
        <is>
          <t>06.01.2027</t>
        </is>
      </c>
      <c r="E9604" t="inlineStr">
        <is>
          <t>Malaysia</t>
        </is>
      </c>
    </row>
    <row r="9605">
      <c r="A9605" t="inlineStr">
        <is>
          <t>KANEKA CORPORATION Takasago Manufacturing Site,  Miyamae-cho, Takasago-cho, Takasago-shi, Japan</t>
        </is>
      </c>
      <c r="B9605" t="inlineStr">
        <is>
          <t>Processing Unit, Trader</t>
        </is>
      </c>
      <c r="C9605" t="inlineStr">
        <is>
          <t>PT Intertek Utama Services, Jakarta, ID</t>
        </is>
      </c>
      <c r="D9605" t="inlineStr">
        <is>
          <t>06.01.2027</t>
        </is>
      </c>
      <c r="E9605" t="inlineStr">
        <is>
          <t>Japan</t>
        </is>
      </c>
    </row>
    <row r="9606">
      <c r="A9606" t="inlineStr">
        <is>
          <t>HAIXIN ENERGY TECHNOLOGY (TIANJIN) CO., LIMITED,  Linqing City, Shandong Province, China</t>
        </is>
      </c>
      <c r="B9606" t="inlineStr">
        <is>
          <t>Trader</t>
        </is>
      </c>
      <c r="C9606" t="inlineStr">
        <is>
          <t>SCS Global Services, Emeryville, CA, US</t>
        </is>
      </c>
      <c r="D9606" t="inlineStr">
        <is>
          <t>06.01.2027</t>
        </is>
      </c>
      <c r="E9606" t="inlineStr">
        <is>
          <t>China</t>
        </is>
      </c>
    </row>
    <row r="9607">
      <c r="A9607" t="inlineStr">
        <is>
          <t>Haltermann Carless France S.A.S.,  Grand-Bourgtheroulde, France</t>
        </is>
      </c>
      <c r="B9607" t="inlineStr">
        <is>
          <t>Trader with Storage</t>
        </is>
      </c>
      <c r="C9607" t="inlineStr">
        <is>
          <t>DEKRA Certification B.V., Arnhem, NL</t>
        </is>
      </c>
      <c r="D9607" t="inlineStr">
        <is>
          <t>06.01.2027</t>
        </is>
      </c>
      <c r="E9607" t="inlineStr">
        <is>
          <t>France</t>
        </is>
      </c>
    </row>
    <row r="9608">
      <c r="A9608" t="inlineStr">
        <is>
          <t>PT Hasil Karya Bumisejati,  Provinsi Riau Indonesia, Indonesia</t>
        </is>
      </c>
      <c r="B9608" t="inlineStr">
        <is>
          <t>Point of Origin</t>
        </is>
      </c>
      <c r="C9608" t="inlineStr">
        <is>
          <t>PT. Qualitas Sertifikasi Indonesia, Jakarta, ID</t>
        </is>
      </c>
      <c r="D9608" t="inlineStr">
        <is>
          <t>06.01.2027</t>
        </is>
      </c>
      <c r="E9608" t="inlineStr">
        <is>
          <t>Indonesia</t>
        </is>
      </c>
    </row>
    <row r="9609">
      <c r="A9609" t="inlineStr">
        <is>
          <t>Haltermann Carless France S.A.S.,  Grand-Bourgtheroulde, France</t>
        </is>
      </c>
      <c r="B9609" t="inlineStr">
        <is>
          <t>Trader with Storage</t>
        </is>
      </c>
      <c r="C9609" t="inlineStr">
        <is>
          <t>DEKRA Certification B.V., Arnhem, NL</t>
        </is>
      </c>
      <c r="D9609" t="inlineStr">
        <is>
          <t>06.01.2027</t>
        </is>
      </c>
      <c r="E9609" t="inlineStr">
        <is>
          <t>France</t>
        </is>
      </c>
    </row>
    <row r="9610">
      <c r="A9610" t="inlineStr">
        <is>
          <t>HT Electronic Systems,  Neudörfl, Austria</t>
        </is>
      </c>
      <c r="B9610" t="inlineStr">
        <is>
          <t>Processing Unit</t>
        </is>
      </c>
      <c r="C9610" t="inlineStr">
        <is>
          <t>agroVet GmbH, Enzersfeld, AT</t>
        </is>
      </c>
      <c r="D9610" t="inlineStr">
        <is>
          <t>06.01.2027</t>
        </is>
      </c>
      <c r="E9610" t="inlineStr">
        <is>
          <t>Austria</t>
        </is>
      </c>
    </row>
    <row r="9611">
      <c r="A9611" t="inlineStr">
        <is>
          <t>Mitsui Chemicals, Inc.,  Minami-ku Nagoya, Japan</t>
        </is>
      </c>
      <c r="B9611" t="inlineStr">
        <is>
          <t>Processing Unit, Warehouse</t>
        </is>
      </c>
      <c r="C9611" t="inlineStr">
        <is>
          <t>SGS Germany GmbH, Emstek, DE</t>
        </is>
      </c>
      <c r="D9611" t="inlineStr">
        <is>
          <t>06.01.2027</t>
        </is>
      </c>
      <c r="E9611" t="inlineStr">
        <is>
          <t>Japan</t>
        </is>
      </c>
    </row>
    <row r="9612">
      <c r="A9612" t="inlineStr">
        <is>
          <t>ONOIL,  Cherkasy, Ukraine</t>
        </is>
      </c>
      <c r="B9612" t="inlineStr">
        <is>
          <t>Collecting Point, Processing Unit</t>
        </is>
      </c>
      <c r="C9612" t="inlineStr">
        <is>
          <t>BM Certification, Riga, LV</t>
        </is>
      </c>
      <c r="D9612" t="inlineStr">
        <is>
          <t>06.01.2027</t>
        </is>
      </c>
      <c r="E9612" t="inlineStr">
        <is>
          <t>Ukraine</t>
        </is>
      </c>
    </row>
    <row r="9613">
      <c r="A9613" t="inlineStr">
        <is>
          <t>Daicel Trading (Shanghai) Co., Ltd,  Shanghai, China</t>
        </is>
      </c>
      <c r="B9613" t="inlineStr">
        <is>
          <t>Trader with Storage</t>
        </is>
      </c>
      <c r="C9613" t="inlineStr">
        <is>
          <t>SGS Germany GmbH, Emstek, DE</t>
        </is>
      </c>
      <c r="D9613" t="inlineStr">
        <is>
          <t>06.01.2027</t>
        </is>
      </c>
      <c r="E9613" t="inlineStr">
        <is>
          <t>China</t>
        </is>
      </c>
    </row>
    <row r="9614">
      <c r="A9614" t="inlineStr">
        <is>
          <t>UBM Agrar GmbH,  Linz, Austria</t>
        </is>
      </c>
      <c r="B9614" t="inlineStr">
        <is>
          <t>Trader</t>
        </is>
      </c>
      <c r="C9614" t="inlineStr">
        <is>
          <t>agroVet GmbH, Enzersfeld, AT</t>
        </is>
      </c>
      <c r="D9614" t="inlineStr">
        <is>
          <t>06.01.2027</t>
        </is>
      </c>
      <c r="E9614" t="inlineStr">
        <is>
          <t>Austria</t>
        </is>
      </c>
    </row>
    <row r="9615">
      <c r="A9615" t="inlineStr">
        <is>
          <t>Shanghai Chemical Industry Park Industrial Gases Co., Ltd.,  Shanghai, China</t>
        </is>
      </c>
      <c r="B9615" t="inlineStr">
        <is>
          <t>Processing Unit</t>
        </is>
      </c>
      <c r="C9615" t="inlineStr">
        <is>
          <t>DIN CERTCO GmbH, Berlin, DE</t>
        </is>
      </c>
      <c r="D9615" t="inlineStr">
        <is>
          <t>06.01.2027</t>
        </is>
      </c>
      <c r="E9615" t="inlineStr">
        <is>
          <t>China</t>
        </is>
      </c>
    </row>
    <row r="9616">
      <c r="A9616" t="inlineStr">
        <is>
          <t>MAG DATA,  COLORNO, Italy</t>
        </is>
      </c>
      <c r="B9616" t="inlineStr">
        <is>
          <t>Final Product Refinement, Trader with Storage</t>
        </is>
      </c>
      <c r="C9616" t="inlineStr">
        <is>
          <t>IIP S.r.l., Monza, IT</t>
        </is>
      </c>
      <c r="D9616" t="inlineStr">
        <is>
          <t>06.01.2027</t>
        </is>
      </c>
      <c r="E9616" t="inlineStr">
        <is>
          <t>Italy</t>
        </is>
      </c>
    </row>
    <row r="9617">
      <c r="A9617" t="inlineStr">
        <is>
          <t>TONGDA SMART TECH (XIAMEN) CO.,LTD.,  Xiamen, Fujian Province, China</t>
        </is>
      </c>
      <c r="B9617" t="inlineStr">
        <is>
          <t>Processing Unit</t>
        </is>
      </c>
      <c r="C9617" t="inlineStr">
        <is>
          <t>Bureau Veritas Polska Sp. z o.o., Warsaw, PL</t>
        </is>
      </c>
      <c r="D9617" t="inlineStr">
        <is>
          <t>06.01.2027</t>
        </is>
      </c>
      <c r="E9617" t="inlineStr">
        <is>
          <t>China</t>
        </is>
      </c>
    </row>
    <row r="9618">
      <c r="A9618" t="inlineStr">
        <is>
          <t>FortisBC Energy,  Delta, Canada</t>
        </is>
      </c>
      <c r="B9618" t="inlineStr">
        <is>
          <t>Processing Unit</t>
        </is>
      </c>
      <c r="C9618" t="inlineStr">
        <is>
          <t>DNV Business Assurance Sweden AB, Solna, SE</t>
        </is>
      </c>
      <c r="D9618" t="inlineStr">
        <is>
          <t>06.01.2027</t>
        </is>
      </c>
      <c r="E9618" t="inlineStr">
        <is>
          <t>Canada</t>
        </is>
      </c>
    </row>
    <row r="9619">
      <c r="A9619" t="inlineStr">
        <is>
          <t>Nolato Hungary,  Mosonmagyaróvár, Hungary</t>
        </is>
      </c>
      <c r="B9619" t="inlineStr">
        <is>
          <t>Processing Unit</t>
        </is>
      </c>
      <c r="C9619" t="inlineStr">
        <is>
          <t>SGS Germany GmbH, Emstek, DE</t>
        </is>
      </c>
      <c r="D9619" t="inlineStr">
        <is>
          <t>06.01.2027</t>
        </is>
      </c>
      <c r="E9619" t="inlineStr">
        <is>
          <t>Hungary</t>
        </is>
      </c>
    </row>
    <row r="9620">
      <c r="A9620" t="inlineStr">
        <is>
          <t>Plasticast Hungary Kft.,  Nagyigmánd, Hungary</t>
        </is>
      </c>
      <c r="B9620" t="inlineStr">
        <is>
          <t>Processing Unit</t>
        </is>
      </c>
      <c r="C9620" t="inlineStr">
        <is>
          <t>SGS Germany GmbH, Emstek, DE</t>
        </is>
      </c>
      <c r="D9620" t="inlineStr">
        <is>
          <t>06.01.2027</t>
        </is>
      </c>
      <c r="E9620" t="inlineStr">
        <is>
          <t>Hungary</t>
        </is>
      </c>
    </row>
    <row r="9621">
      <c r="A9621" t="inlineStr">
        <is>
          <t>Freepoint Eco-Systems Deutschland,  Dusseldorf, Germany</t>
        </is>
      </c>
      <c r="B9621" t="inlineStr">
        <is>
          <t>Trader with Storage</t>
        </is>
      </c>
      <c r="C9621" t="inlineStr">
        <is>
          <t>Control Union Certifications Germany GmbH, Berlin, DE</t>
        </is>
      </c>
      <c r="D9621" t="inlineStr">
        <is>
          <t>06.01.2027</t>
        </is>
      </c>
      <c r="E9621" t="inlineStr">
        <is>
          <t>Germany</t>
        </is>
      </c>
    </row>
    <row r="9622">
      <c r="A9622" t="inlineStr">
        <is>
          <t>KOBKIAT GLOBAL SOLUTIONS PVT LTD,  Coimbatore, India</t>
        </is>
      </c>
      <c r="B9622" t="inlineStr">
        <is>
          <t>Collecting Point</t>
        </is>
      </c>
      <c r="C9622" t="inlineStr">
        <is>
          <t>Control Union Poland Sp. z o.o., Zielona Gora, PL</t>
        </is>
      </c>
      <c r="D9622" t="inlineStr">
        <is>
          <t>06.01.2027</t>
        </is>
      </c>
      <c r="E9622" t="inlineStr">
        <is>
          <t>India</t>
        </is>
      </c>
    </row>
    <row r="9623">
      <c r="A9623" t="inlineStr">
        <is>
          <t>Tongcheng Zhongming Bozhou Environmental Protection Technology Co.,Ltd,  Anqing City, Anhui Province, China</t>
        </is>
      </c>
      <c r="B9623" t="inlineStr">
        <is>
          <t>Collecting Point, Processing Unit, Trader with Storage</t>
        </is>
      </c>
      <c r="C9623" t="inlineStr">
        <is>
          <t>RINA Services S.p.A., Genova, IT</t>
        </is>
      </c>
      <c r="D9623" t="inlineStr">
        <is>
          <t>06.01.2027</t>
        </is>
      </c>
      <c r="E9623" t="inlineStr">
        <is>
          <t>China</t>
        </is>
      </c>
    </row>
    <row r="9624">
      <c r="A9624" t="inlineStr">
        <is>
          <t>Biaofa Green Energy (Shandong) Co., Ltd,  Heze City,Shandong Province, China</t>
        </is>
      </c>
      <c r="B9624" t="inlineStr">
        <is>
          <t>Processing Unit, Trader with Storage</t>
        </is>
      </c>
      <c r="C9624" t="inlineStr">
        <is>
          <t>RINA Services S.p.A., Genova, IT</t>
        </is>
      </c>
      <c r="D9624" t="inlineStr">
        <is>
          <t>06.01.2027</t>
        </is>
      </c>
      <c r="E9624" t="inlineStr">
        <is>
          <t>China</t>
        </is>
      </c>
    </row>
    <row r="9625">
      <c r="A9625" t="inlineStr">
        <is>
          <t>FTJ Bio Power Sdn Bhd,  Bandar Jengka - Pahang, Malaysia</t>
        </is>
      </c>
      <c r="B9625" t="inlineStr">
        <is>
          <t>Processing Unit</t>
        </is>
      </c>
      <c r="C9625" t="inlineStr">
        <is>
          <t>Trans Certification and Inspection Sdn Bhd, Kuantan, MY</t>
        </is>
      </c>
      <c r="D9625" t="inlineStr">
        <is>
          <t>06.01.2027</t>
        </is>
      </c>
      <c r="E9625" t="inlineStr">
        <is>
          <t>Malaysia</t>
        </is>
      </c>
    </row>
    <row r="9626">
      <c r="A9626" t="inlineStr">
        <is>
          <t>Huhtamaki Australia Pty Ltd,  Clayton, Australia</t>
        </is>
      </c>
      <c r="B9626" t="inlineStr">
        <is>
          <t>Trader with Storage</t>
        </is>
      </c>
      <c r="C9626" t="inlineStr">
        <is>
          <t>SGS Germany GmbH, Emstek, DE</t>
        </is>
      </c>
      <c r="D9626" t="inlineStr">
        <is>
          <t>05.01.2027</t>
        </is>
      </c>
      <c r="E9626" t="inlineStr">
        <is>
          <t>Australia</t>
        </is>
      </c>
    </row>
    <row r="9627">
      <c r="A9627" t="inlineStr">
        <is>
          <t>TRANSPORTLYUX UKRAINE LLC,  village Myrne, Ukraine</t>
        </is>
      </c>
      <c r="B9627" t="inlineStr">
        <is>
          <t>Collecting Point, Processing Unit</t>
        </is>
      </c>
      <c r="C9627" t="inlineStr">
        <is>
          <t>Bureau Veritas Polska Sp. z o.o., Warsaw, PL</t>
        </is>
      </c>
      <c r="D9627" t="inlineStr">
        <is>
          <t>05.01.2027</t>
        </is>
      </c>
      <c r="E9627" t="inlineStr">
        <is>
          <t>Ukraine</t>
        </is>
      </c>
    </row>
    <row r="9628">
      <c r="A9628" t="inlineStr">
        <is>
          <t>Nouryon Functional Chemicals,  Axis, United States</t>
        </is>
      </c>
      <c r="B9628" t="inlineStr">
        <is>
          <t>Processing Unit</t>
        </is>
      </c>
      <c r="C9628" t="inlineStr">
        <is>
          <t>DNV Business Assurance Sweden AB, Solna, SE</t>
        </is>
      </c>
      <c r="D9628" t="inlineStr">
        <is>
          <t>05.01.2027</t>
        </is>
      </c>
      <c r="E9628" t="inlineStr">
        <is>
          <t>United States</t>
        </is>
      </c>
    </row>
    <row r="9629">
      <c r="A9629" t="inlineStr">
        <is>
          <t>Qingdao Mingli Grease Co., Ltd.,  Qingdao City，Shandong Province, China</t>
        </is>
      </c>
      <c r="B9629" t="inlineStr">
        <is>
          <t>Collecting Point</t>
        </is>
      </c>
      <c r="C9629" t="inlineStr">
        <is>
          <t>SCS Global Services, Emeryville, CA, US</t>
        </is>
      </c>
      <c r="D9629" t="inlineStr">
        <is>
          <t>05.01.2027</t>
        </is>
      </c>
      <c r="E9629" t="inlineStr">
        <is>
          <t>China</t>
        </is>
      </c>
    </row>
    <row r="9630">
      <c r="A9630" t="inlineStr">
        <is>
          <t>Innovia Films America, INC,  Winston Salem, United States</t>
        </is>
      </c>
      <c r="B9630" t="inlineStr">
        <is>
          <t>Trader with Storage</t>
        </is>
      </c>
      <c r="C9630" t="inlineStr">
        <is>
          <t>SCS Global Services, Emeryville, CA, US</t>
        </is>
      </c>
      <c r="D9630" t="inlineStr">
        <is>
          <t>05.01.2027</t>
        </is>
      </c>
      <c r="E9630" t="inlineStr">
        <is>
          <t>United States</t>
        </is>
      </c>
    </row>
    <row r="9631">
      <c r="A9631" t="inlineStr">
        <is>
          <t>COLYER FEHR TALLOW PTY LIMITED,  MOUNT DRUITT SYDNEY, Australia</t>
        </is>
      </c>
      <c r="B9631" t="inlineStr">
        <is>
          <t>Trader with Storage</t>
        </is>
      </c>
      <c r="C9631" t="inlineStr">
        <is>
          <t>Control Union Certifications Germany GmbH, Berlin, DE</t>
        </is>
      </c>
      <c r="D9631" t="inlineStr">
        <is>
          <t>05.01.2027</t>
        </is>
      </c>
      <c r="E9631" t="inlineStr">
        <is>
          <t>Australia</t>
        </is>
      </c>
    </row>
    <row r="9632">
      <c r="A9632" t="inlineStr">
        <is>
          <t>Evonik Operations,  Worms, Germany</t>
        </is>
      </c>
      <c r="B9632" t="inlineStr">
        <is>
          <t>Processing Unit</t>
        </is>
      </c>
      <c r="C9632" t="inlineStr">
        <is>
          <t>TÜV NORD CERT GmbH, Essen, DE</t>
        </is>
      </c>
      <c r="D9632" t="inlineStr">
        <is>
          <t>05.01.2027</t>
        </is>
      </c>
      <c r="E9632" t="inlineStr">
        <is>
          <t>Germany</t>
        </is>
      </c>
    </row>
    <row r="9633">
      <c r="A9633" t="inlineStr">
        <is>
          <t>Thales DIS Polska Sp. z o.o.,  Tczew, Poland</t>
        </is>
      </c>
      <c r="B9633" t="inlineStr">
        <is>
          <t>Final Product Refinement, Processing Unit</t>
        </is>
      </c>
      <c r="C9633" t="inlineStr">
        <is>
          <t>Bureau Veritas Polska Sp. z o.o., Warsaw, PL</t>
        </is>
      </c>
      <c r="D9633" t="inlineStr">
        <is>
          <t>05.01.2027</t>
        </is>
      </c>
      <c r="E9633" t="inlineStr">
        <is>
          <t>Poland</t>
        </is>
      </c>
    </row>
    <row r="9634">
      <c r="A9634" t="inlineStr">
        <is>
          <t>Suihua Qing Jie Biomass Technology Co., Ltd.,  Suihua City, Heilongjiang Province, China</t>
        </is>
      </c>
      <c r="B9634" t="inlineStr">
        <is>
          <t>First Gathering Point</t>
        </is>
      </c>
      <c r="C9634" t="inlineStr">
        <is>
          <t>SCS Global Services, Emeryville, CA, US</t>
        </is>
      </c>
      <c r="D9634" t="inlineStr">
        <is>
          <t>05.01.2027</t>
        </is>
      </c>
      <c r="E9634" t="inlineStr">
        <is>
          <t>China</t>
        </is>
      </c>
    </row>
    <row r="9635">
      <c r="A9635" t="inlineStr">
        <is>
          <t>Sichuan Push Acetati Co.,Ltd.,  Yibin, Sichuan province, China</t>
        </is>
      </c>
      <c r="B9635" t="inlineStr">
        <is>
          <t>Processing Unit</t>
        </is>
      </c>
      <c r="C9635" t="inlineStr">
        <is>
          <t>China Quality Certification Centre Co., Ltd., Beijing, CN</t>
        </is>
      </c>
      <c r="D9635" t="inlineStr">
        <is>
          <t>05.01.2027</t>
        </is>
      </c>
      <c r="E9635" t="inlineStr">
        <is>
          <t>China</t>
        </is>
      </c>
    </row>
    <row r="9636">
      <c r="A9636" t="inlineStr">
        <is>
          <t>Covestro Deutschland AG,  Brunsbüttel, Germany</t>
        </is>
      </c>
      <c r="B9636" t="inlineStr">
        <is>
          <t>Processing Unit</t>
        </is>
      </c>
      <c r="C9636" t="inlineStr">
        <is>
          <t>DQS CFS GmbH - Deutsche Gesellschaft für Nachhaltigkeit, Frankfurt am Main, DE</t>
        </is>
      </c>
      <c r="D9636" t="inlineStr">
        <is>
          <t>05.01.2027</t>
        </is>
      </c>
      <c r="E9636" t="inlineStr">
        <is>
          <t>Germany</t>
        </is>
      </c>
    </row>
    <row r="9637">
      <c r="A9637" t="inlineStr">
        <is>
          <t>WESTFA Energy GmbH,  Hagen, Germany</t>
        </is>
      </c>
      <c r="B9637" t="inlineStr">
        <is>
          <t>Trader with Storage</t>
        </is>
      </c>
      <c r="C9637" t="inlineStr">
        <is>
          <t>DQS CFS GmbH - Deutsche Gesellschaft für Nachhaltigkeit, Frankfurt am Main, DE</t>
        </is>
      </c>
      <c r="D9637" t="inlineStr">
        <is>
          <t>05.01.2027</t>
        </is>
      </c>
      <c r="E9637" t="inlineStr">
        <is>
          <t>Germany</t>
        </is>
      </c>
    </row>
    <row r="9638">
      <c r="A9638" t="inlineStr">
        <is>
          <t>Wadstroom BV,  Holwerd, Netherlands</t>
        </is>
      </c>
      <c r="B9638" t="inlineStr">
        <is>
          <t>Collecting Point, Processing Unit</t>
        </is>
      </c>
      <c r="C9638" t="inlineStr">
        <is>
          <t>Normec QS BV, Bennekom, NL</t>
        </is>
      </c>
      <c r="D9638" t="inlineStr">
        <is>
          <t>05.01.2027</t>
        </is>
      </c>
      <c r="E9638" t="inlineStr">
        <is>
          <t>Netherlands</t>
        </is>
      </c>
    </row>
    <row r="9639">
      <c r="A9639" t="inlineStr">
        <is>
          <t>Toray Hybrid Cord,  Nishio, Aichi, Japan</t>
        </is>
      </c>
      <c r="B9639" t="inlineStr">
        <is>
          <t>Processing Unit</t>
        </is>
      </c>
      <c r="C9639" t="inlineStr">
        <is>
          <t>TÜV SÜD Industrie Service GmbH, München, DE</t>
        </is>
      </c>
      <c r="D9639" t="inlineStr">
        <is>
          <t>05.01.2027</t>
        </is>
      </c>
      <c r="E9639" t="inlineStr">
        <is>
          <t>Japan</t>
        </is>
      </c>
    </row>
    <row r="9640">
      <c r="A9640" t="inlineStr">
        <is>
          <t>Sealed Air,  Epernon, France</t>
        </is>
      </c>
      <c r="B9640" t="inlineStr">
        <is>
          <t>Trader with Storage, Processing Unit</t>
        </is>
      </c>
      <c r="C9640" t="inlineStr">
        <is>
          <t>GUT Certifizierungsgesellschaft für Managementsysteme mbH Umweltgutachter, Berlin, DE</t>
        </is>
      </c>
      <c r="D9640" t="inlineStr">
        <is>
          <t>05.01.2027</t>
        </is>
      </c>
      <c r="E9640" t="inlineStr">
        <is>
          <t>France</t>
        </is>
      </c>
    </row>
    <row r="9641">
      <c r="A9641" t="inlineStr">
        <is>
          <t>ECO ENERGY KOREA CO., LTD,  Jincheon-gun, South Korea</t>
        </is>
      </c>
      <c r="B9641" t="inlineStr">
        <is>
          <t>Processing Unit</t>
        </is>
      </c>
      <c r="C9641" t="inlineStr">
        <is>
          <t>Control Union Certifications Germany GmbH, Berlin, DE</t>
        </is>
      </c>
      <c r="D9641" t="inlineStr">
        <is>
          <t>05.01.2027</t>
        </is>
      </c>
      <c r="E9641" t="inlineStr">
        <is>
          <t>South Korea</t>
        </is>
      </c>
    </row>
    <row r="9642">
      <c r="A9642" t="inlineStr">
        <is>
          <t>POLİNAS PLASTİK SAN.VE TİC. A.Ş,  MANİSA, Turkey</t>
        </is>
      </c>
      <c r="B9642" t="inlineStr">
        <is>
          <t>Processing Unit</t>
        </is>
      </c>
      <c r="C9642" t="inlineStr">
        <is>
          <t>PT Intertek Utama Services, Jakarta, ID</t>
        </is>
      </c>
      <c r="D9642" t="inlineStr">
        <is>
          <t>05.01.2027</t>
        </is>
      </c>
      <c r="E9642" t="inlineStr">
        <is>
          <t>Turkey</t>
        </is>
      </c>
    </row>
    <row r="9643">
      <c r="A9643" t="inlineStr">
        <is>
          <t>Behtar Pakistan,  Karachi, Pakistan</t>
        </is>
      </c>
      <c r="B9643" t="inlineStr">
        <is>
          <t>Collecting Point</t>
        </is>
      </c>
      <c r="C9643" t="inlineStr">
        <is>
          <t>PT. Qualitas Sertifikasi Indonesia, Jakarta, ID</t>
        </is>
      </c>
      <c r="D9643" t="inlineStr">
        <is>
          <t>05.01.2027</t>
        </is>
      </c>
      <c r="E9643" t="inlineStr">
        <is>
          <t>Pakistan</t>
        </is>
      </c>
    </row>
    <row r="9644">
      <c r="A9644" t="inlineStr">
        <is>
          <t>Porkwatt B.V.,  Fleringen, Netherlands</t>
        </is>
      </c>
      <c r="B9644" t="inlineStr">
        <is>
          <t>Collecting Point, Processing Unit</t>
        </is>
      </c>
      <c r="C9644" t="inlineStr">
        <is>
          <t>DEKRA Certification B.V., Arnhem, NL</t>
        </is>
      </c>
      <c r="D9644" t="inlineStr">
        <is>
          <t>05.01.2027</t>
        </is>
      </c>
      <c r="E9644" t="inlineStr">
        <is>
          <t>Netherlands</t>
        </is>
      </c>
    </row>
    <row r="9645">
      <c r="A9645" t="inlineStr">
        <is>
          <t>Zelený plyn s.r.o.,  Prague, Czech Republic</t>
        </is>
      </c>
      <c r="B9645" t="inlineStr">
        <is>
          <t>Trader</t>
        </is>
      </c>
      <c r="C9645" t="inlineStr">
        <is>
          <t>TÜV SÜD Czech s.r.o., Praha 4, CZ</t>
        </is>
      </c>
      <c r="D9645" t="inlineStr">
        <is>
          <t>05.01.2027</t>
        </is>
      </c>
      <c r="E9645" t="inlineStr">
        <is>
          <t>Czech Republic</t>
        </is>
      </c>
    </row>
    <row r="9646">
      <c r="A9646" t="inlineStr">
        <is>
          <t>Wenzhou Sanshan Optics Co Ltd.,  Wenzhou City, Zhejiang Province, China</t>
        </is>
      </c>
      <c r="B9646" t="inlineStr">
        <is>
          <t>Final Product Refinement, Processing Unit</t>
        </is>
      </c>
      <c r="C9646" t="inlineStr">
        <is>
          <t>SCS Global Services, Emeryville, CA, US</t>
        </is>
      </c>
      <c r="D9646" t="inlineStr">
        <is>
          <t>05.01.2027</t>
        </is>
      </c>
      <c r="E9646" t="inlineStr">
        <is>
          <t>China</t>
        </is>
      </c>
    </row>
    <row r="9647">
      <c r="A9647" t="inlineStr">
        <is>
          <t>Huanghua Jutuo Chemical Products Sales Co., Ltd.,  Huanghua City, Cangzhou City, Hebei Province, China</t>
        </is>
      </c>
      <c r="B9647" t="inlineStr">
        <is>
          <t>Trader</t>
        </is>
      </c>
      <c r="C9647" t="inlineStr">
        <is>
          <t>China Standard Conformity Assessment Co. Ltd, Beijing, CN</t>
        </is>
      </c>
      <c r="D9647" t="inlineStr">
        <is>
          <t>05.01.2027</t>
        </is>
      </c>
      <c r="E9647" t="inlineStr">
        <is>
          <t>China</t>
        </is>
      </c>
    </row>
    <row r="9648">
      <c r="A9648" t="inlineStr">
        <is>
          <t>CABB GmbH,  Gersthofen, Germany</t>
        </is>
      </c>
      <c r="B9648" t="inlineStr">
        <is>
          <t>Processing Unit</t>
        </is>
      </c>
      <c r="C9648" t="inlineStr">
        <is>
          <t>ASG Cert GmbH, Munich, DE</t>
        </is>
      </c>
      <c r="D9648" t="inlineStr">
        <is>
          <t>05.01.2027</t>
        </is>
      </c>
      <c r="E9648" t="inlineStr">
        <is>
          <t>Germany</t>
        </is>
      </c>
    </row>
    <row r="9649">
      <c r="A9649" t="inlineStr">
        <is>
          <t>HF Luijk Supa Oils (Pty) Ltd t/a Supa Oils,  Bellville South, South Africa</t>
        </is>
      </c>
      <c r="B9649" t="inlineStr">
        <is>
          <t>Collecting Point</t>
        </is>
      </c>
      <c r="C9649" t="inlineStr">
        <is>
          <t>DEKRA Certification B.V., Arnhem, NL</t>
        </is>
      </c>
      <c r="D9649" t="inlineStr">
        <is>
          <t>05.01.2027</t>
        </is>
      </c>
      <c r="E9649" t="inlineStr">
        <is>
          <t>South Africa</t>
        </is>
      </c>
    </row>
    <row r="9650">
      <c r="A9650" t="inlineStr">
        <is>
          <t>Shell Trading Rotterdam BV,  Rotterdam, Netherlands</t>
        </is>
      </c>
      <c r="B9650" t="inlineStr">
        <is>
          <t>Collecting Point, Trader with Storage</t>
        </is>
      </c>
      <c r="C9650" t="inlineStr">
        <is>
          <t>SGS Germany GmbH, Emstek, DE</t>
        </is>
      </c>
      <c r="D9650" t="inlineStr">
        <is>
          <t>05.01.2027</t>
        </is>
      </c>
      <c r="E9650" t="inlineStr">
        <is>
          <t>Netherlands</t>
        </is>
      </c>
    </row>
    <row r="9651">
      <c r="A9651" t="inlineStr">
        <is>
          <t>Shell Trading Rotterdam BV,  Rotterdam, The Netherlands</t>
        </is>
      </c>
      <c r="B9651" t="inlineStr">
        <is>
          <t>Collecting Point, Trader with Storage, Proof of Compliance Trader</t>
        </is>
      </c>
      <c r="C9651" t="inlineStr">
        <is>
          <t>SGS Germany GmbH, Emstek, DE</t>
        </is>
      </c>
      <c r="D9651" t="inlineStr">
        <is>
          <t>05.01.2027</t>
        </is>
      </c>
      <c r="E9651" t="inlineStr">
        <is>
          <t>The Netherlands</t>
        </is>
      </c>
    </row>
    <row r="9652">
      <c r="A9652" t="inlineStr">
        <is>
          <t>GC-M PTA Company Limited,  Rayong, Thailand</t>
        </is>
      </c>
      <c r="B9652" t="inlineStr">
        <is>
          <t>Processing Unit</t>
        </is>
      </c>
      <c r="C9652" t="inlineStr">
        <is>
          <t>Trans Certification and Inspection Sdn Bhd, Kuantan, MY</t>
        </is>
      </c>
      <c r="D9652" t="inlineStr">
        <is>
          <t>05.01.2027</t>
        </is>
      </c>
      <c r="E9652" t="inlineStr">
        <is>
          <t>Thailand</t>
        </is>
      </c>
    </row>
    <row r="9653">
      <c r="A9653" t="inlineStr">
        <is>
          <t>SERMAP,  PORT DE BOUC, France</t>
        </is>
      </c>
      <c r="B9653" t="inlineStr">
        <is>
          <t>Collecting Point, Point of Origin</t>
        </is>
      </c>
      <c r="C9653" t="inlineStr">
        <is>
          <t>Control Union Certifications Germany GmbH, Berlin, DE</t>
        </is>
      </c>
      <c r="D9653" t="inlineStr">
        <is>
          <t>05.01.2027</t>
        </is>
      </c>
      <c r="E9653" t="inlineStr">
        <is>
          <t>France</t>
        </is>
      </c>
    </row>
    <row r="9654">
      <c r="A9654" t="inlineStr">
        <is>
          <t>Jingzhou Lantian Recycling Resources Co., Ltd.,  Jingzhou City, Hubei Province, China</t>
        </is>
      </c>
      <c r="B9654" t="inlineStr">
        <is>
          <t>Collecting Point, Trader with Storage</t>
        </is>
      </c>
      <c r="C9654" t="inlineStr">
        <is>
          <t>RINA Services S.p.A., Genova, IT</t>
        </is>
      </c>
      <c r="D9654" t="inlineStr">
        <is>
          <t>05.01.2027</t>
        </is>
      </c>
      <c r="E9654" t="inlineStr">
        <is>
          <t>China</t>
        </is>
      </c>
    </row>
    <row r="9655">
      <c r="A9655" t="inlineStr">
        <is>
          <t>Suixian Tongsheng Renewable Resources Co., Ltd.,  Suizhou City, Hubei Province, China</t>
        </is>
      </c>
      <c r="B9655" t="inlineStr">
        <is>
          <t>Processing Unit</t>
        </is>
      </c>
      <c r="C9655" t="inlineStr">
        <is>
          <t>RINA Services S.p.A., Genova, IT</t>
        </is>
      </c>
      <c r="D9655" t="inlineStr">
        <is>
          <t>05.01.2027</t>
        </is>
      </c>
      <c r="E9655" t="inlineStr">
        <is>
          <t>China</t>
        </is>
      </c>
    </row>
    <row r="9656">
      <c r="A9656" t="inlineStr">
        <is>
          <t>Ucomposites A/S,  Bogoe, Denmark</t>
        </is>
      </c>
      <c r="B9656" t="inlineStr">
        <is>
          <t>Collecting Point, Processing Unit</t>
        </is>
      </c>
      <c r="C9656" t="inlineStr">
        <is>
          <t>United Registrar of Systems Polska Sp. z o.o., Wrocław, PL</t>
        </is>
      </c>
      <c r="D9656" t="inlineStr">
        <is>
          <t>05.01.2027</t>
        </is>
      </c>
      <c r="E9656" t="inlineStr">
        <is>
          <t>Denmark</t>
        </is>
      </c>
    </row>
    <row r="9657">
      <c r="A9657" t="inlineStr">
        <is>
          <t>Jiangsu Borunda Biotechnology Co., Ltd.,  Nantong City, Jiangsu Province, China</t>
        </is>
      </c>
      <c r="B9657" t="inlineStr">
        <is>
          <t>Collecting Point, Trader with Storage</t>
        </is>
      </c>
      <c r="C9657" t="inlineStr">
        <is>
          <t>RINA Services S.p.A., Genova, IT</t>
        </is>
      </c>
      <c r="D9657" t="inlineStr">
        <is>
          <t>05.01.2027</t>
        </is>
      </c>
      <c r="E9657" t="inlineStr">
        <is>
          <t>China</t>
        </is>
      </c>
    </row>
    <row r="9658">
      <c r="A9658" t="inlineStr">
        <is>
          <t>Kobkiat Global Trading LLC,  Dubai / UAE, The United Arab Emirates</t>
        </is>
      </c>
      <c r="B9658" t="inlineStr">
        <is>
          <t>Collecting Point</t>
        </is>
      </c>
      <c r="C9658" t="inlineStr">
        <is>
          <t>Control Union Poland Sp. z o.o., Zielona Gora, PL</t>
        </is>
      </c>
      <c r="D9658" t="inlineStr">
        <is>
          <t>04.01.2027</t>
        </is>
      </c>
      <c r="E9658" t="inlineStr">
        <is>
          <t>The United Arab Emirates</t>
        </is>
      </c>
    </row>
    <row r="9659">
      <c r="A9659" t="inlineStr">
        <is>
          <t>Poliplastic,  Villongo, Italy</t>
        </is>
      </c>
      <c r="B9659" t="inlineStr">
        <is>
          <t>Trader with Storage, Processing Unit</t>
        </is>
      </c>
      <c r="C9659" t="inlineStr">
        <is>
          <t>RINA Services S.p.A., Genova, IT</t>
        </is>
      </c>
      <c r="D9659" t="inlineStr">
        <is>
          <t>04.01.2027</t>
        </is>
      </c>
      <c r="E9659" t="inlineStr">
        <is>
          <t>Italy</t>
        </is>
      </c>
    </row>
    <row r="9660">
      <c r="A9660" t="inlineStr">
        <is>
          <t>Bunge USA LLC,  Warden, United States</t>
        </is>
      </c>
      <c r="B9660" t="inlineStr">
        <is>
          <t>Processing Unit</t>
        </is>
      </c>
      <c r="C9660" t="inlineStr">
        <is>
          <t>SGS Germany GmbH, Emstek, DE</t>
        </is>
      </c>
      <c r="D9660" t="inlineStr">
        <is>
          <t>04.01.2027</t>
        </is>
      </c>
      <c r="E9660" t="inlineStr">
        <is>
          <t>United States</t>
        </is>
      </c>
    </row>
    <row r="9661">
      <c r="A9661" t="inlineStr">
        <is>
          <t>Bunge USA LLC,  Warden, United States</t>
        </is>
      </c>
      <c r="B9661" t="inlineStr">
        <is>
          <t>Processing Unit</t>
        </is>
      </c>
      <c r="C9661" t="inlineStr">
        <is>
          <t>SGS Germany GmbH, Emstek, DE</t>
        </is>
      </c>
      <c r="D9661" t="inlineStr">
        <is>
          <t>04.01.2027</t>
        </is>
      </c>
      <c r="E9661" t="inlineStr">
        <is>
          <t>United States</t>
        </is>
      </c>
    </row>
    <row r="9662">
      <c r="A9662" t="inlineStr">
        <is>
          <t>PANJIN CENWAY MATERIALS CO., LTD.,  LIAODONG BAY NEW AREA, PANJIN CITY, China</t>
        </is>
      </c>
      <c r="B9662" t="inlineStr">
        <is>
          <t>Processing Unit</t>
        </is>
      </c>
      <c r="C9662" t="inlineStr">
        <is>
          <t>SGS Germany GmbH, Emstek, DE</t>
        </is>
      </c>
      <c r="D9662" t="inlineStr">
        <is>
          <t>04.01.2027</t>
        </is>
      </c>
      <c r="E9662" t="inlineStr">
        <is>
          <t>China</t>
        </is>
      </c>
    </row>
    <row r="9663">
      <c r="A9663" t="inlineStr">
        <is>
          <t>Muenzer Bangla Private Limited,  Dhaka, Bangladesh</t>
        </is>
      </c>
      <c r="B9663" t="inlineStr">
        <is>
          <t>Collecting Point, Trader with Storage</t>
        </is>
      </c>
      <c r="C9663" t="inlineStr">
        <is>
          <t>Trans Certification and Inspection Sdn Bhd, Kuantan, MY</t>
        </is>
      </c>
      <c r="D9663" t="inlineStr">
        <is>
          <t>04.01.2027</t>
        </is>
      </c>
      <c r="E9663" t="inlineStr">
        <is>
          <t>Bangladesh</t>
        </is>
      </c>
    </row>
    <row r="9664">
      <c r="A9664" t="inlineStr">
        <is>
          <t>Kemira Chemie,  Krems, Austria</t>
        </is>
      </c>
      <c r="B9664" t="inlineStr">
        <is>
          <t>Point of Origin, Processing Unit, Warehouse</t>
        </is>
      </c>
      <c r="C9664" t="inlineStr">
        <is>
          <t>PT Intertek Utama Services, Jakarta, ID</t>
        </is>
      </c>
      <c r="D9664" t="inlineStr">
        <is>
          <t>04.01.2027</t>
        </is>
      </c>
      <c r="E9664" t="inlineStr">
        <is>
          <t>Austria</t>
        </is>
      </c>
    </row>
    <row r="9665">
      <c r="A9665" t="inlineStr">
        <is>
          <t>Kemira Chemie,  Krems, Austria</t>
        </is>
      </c>
      <c r="B9665" t="inlineStr">
        <is>
          <t>Point of Origin, Processing Unit, Warehouse</t>
        </is>
      </c>
      <c r="C9665" t="inlineStr">
        <is>
          <t>PT Intertek Utama Services, Jakarta, ID</t>
        </is>
      </c>
      <c r="D9665" t="inlineStr">
        <is>
          <t>04.01.2027</t>
        </is>
      </c>
      <c r="E9665" t="inlineStr">
        <is>
          <t>Austria</t>
        </is>
      </c>
    </row>
    <row r="9666">
      <c r="A9666" t="inlineStr">
        <is>
          <t>Kemira Rotterdam,  Rotterdam, Netherlands</t>
        </is>
      </c>
      <c r="B9666" t="inlineStr">
        <is>
          <t>Processing Unit</t>
        </is>
      </c>
      <c r="C9666" t="inlineStr">
        <is>
          <t>PT Intertek Utama Services, Jakarta, ID</t>
        </is>
      </c>
      <c r="D9666" t="inlineStr">
        <is>
          <t>04.01.2027</t>
        </is>
      </c>
      <c r="E9666" t="inlineStr">
        <is>
          <t>Netherlands</t>
        </is>
      </c>
    </row>
    <row r="9667">
      <c r="A9667" t="inlineStr">
        <is>
          <t>Chungmirae.Co.,Ltd.,  Damyang-gun,Jeollanam-do, Korea, Republic of</t>
        </is>
      </c>
      <c r="B9667" t="inlineStr">
        <is>
          <t>Collecting Point, Trader with Storage</t>
        </is>
      </c>
      <c r="C9667" t="inlineStr">
        <is>
          <t>Control Union Certifications Germany GmbH, Berlin, DE</t>
        </is>
      </c>
      <c r="D9667" t="inlineStr">
        <is>
          <t>04.01.2027</t>
        </is>
      </c>
      <c r="E9667" t="inlineStr">
        <is>
          <t>Republic of</t>
        </is>
      </c>
    </row>
    <row r="9668">
      <c r="A9668" t="inlineStr">
        <is>
          <t>DESHY-VITI,  Saint-Genès de Lombaud, France</t>
        </is>
      </c>
      <c r="B9668" t="inlineStr">
        <is>
          <t>Trader with Storage</t>
        </is>
      </c>
      <c r="C9668" t="inlineStr">
        <is>
          <t>Control Union Certifications Germany GmbH, Berlin, DE</t>
        </is>
      </c>
      <c r="D9668" t="inlineStr">
        <is>
          <t>04.01.2027</t>
        </is>
      </c>
      <c r="E9668" t="inlineStr">
        <is>
          <t>France</t>
        </is>
      </c>
    </row>
    <row r="9669">
      <c r="A9669" t="inlineStr">
        <is>
          <t>INEOS Phenol a Division of INEOS Americas LLC,  Theodore, United States</t>
        </is>
      </c>
      <c r="B9669" t="inlineStr">
        <is>
          <t>Processing Unit</t>
        </is>
      </c>
      <c r="C9669" t="inlineStr">
        <is>
          <t>SCS Global Services, Emeryville, CA, US</t>
        </is>
      </c>
      <c r="D9669" t="inlineStr">
        <is>
          <t>04.01.2027</t>
        </is>
      </c>
      <c r="E9669" t="inlineStr">
        <is>
          <t>United States</t>
        </is>
      </c>
    </row>
    <row r="9670">
      <c r="A9670" t="inlineStr">
        <is>
          <t>INEOS Phenol a Division of INEOS Americas LLC,  Pasadena, United States</t>
        </is>
      </c>
      <c r="B9670" t="inlineStr">
        <is>
          <t>Processing Unit</t>
        </is>
      </c>
      <c r="C9670" t="inlineStr">
        <is>
          <t>SCS Global Services, Emeryville, CA, US</t>
        </is>
      </c>
      <c r="D9670" t="inlineStr">
        <is>
          <t>04.01.2027</t>
        </is>
      </c>
      <c r="E9670" t="inlineStr">
        <is>
          <t>United States</t>
        </is>
      </c>
    </row>
    <row r="9671">
      <c r="A9671" t="inlineStr">
        <is>
          <t>OCI Nitrogen B.V.,  Sittard, Netherlands</t>
        </is>
      </c>
      <c r="B9671" t="inlineStr">
        <is>
          <t>Processing Unit, Trader with Storage, Warehouse</t>
        </is>
      </c>
      <c r="C9671" t="inlineStr">
        <is>
          <t>DNV Business Assurance Sweden AB, Solna, SE</t>
        </is>
      </c>
      <c r="D9671" t="inlineStr">
        <is>
          <t>04.01.2027</t>
        </is>
      </c>
      <c r="E9671" t="inlineStr">
        <is>
          <t>Netherlands</t>
        </is>
      </c>
    </row>
    <row r="9672">
      <c r="A9672" t="inlineStr">
        <is>
          <t>Xingtai Dekai Biological Technology Co.,Ltd,  Xingtai City，Hebei Province, China</t>
        </is>
      </c>
      <c r="B9672" t="inlineStr">
        <is>
          <t>Collecting Point, Trader with Storage, Processing Unit</t>
        </is>
      </c>
      <c r="C9672" t="inlineStr">
        <is>
          <t>SCS Global Services, Emeryville, CA, US</t>
        </is>
      </c>
      <c r="D9672" t="inlineStr">
        <is>
          <t>04.01.2027</t>
        </is>
      </c>
      <c r="E9672" t="inlineStr">
        <is>
          <t>China</t>
        </is>
      </c>
    </row>
    <row r="9673">
      <c r="A9673" t="inlineStr">
        <is>
          <t>Flourish Optical Manufactory (Shenzhen) Ltd,  Shenzhen City, Guangdong Province, China</t>
        </is>
      </c>
      <c r="B9673" t="inlineStr">
        <is>
          <t>Processing Unit</t>
        </is>
      </c>
      <c r="C9673" t="inlineStr">
        <is>
          <t>SCS Global Services, Emeryville, CA, US</t>
        </is>
      </c>
      <c r="D9673" t="inlineStr">
        <is>
          <t>04.01.2027</t>
        </is>
      </c>
      <c r="E9673" t="inlineStr">
        <is>
          <t>China</t>
        </is>
      </c>
    </row>
    <row r="9674">
      <c r="A9674" t="inlineStr">
        <is>
          <t>Bioenergy World Trade OU,  town Teofipol, Ukraine</t>
        </is>
      </c>
      <c r="B9674" t="inlineStr">
        <is>
          <t>Trader with Storage</t>
        </is>
      </c>
      <c r="C9674" t="inlineStr">
        <is>
          <t>United Registrar of Systems Polska Sp. z o.o., Wrocław, PL</t>
        </is>
      </c>
      <c r="D9674" t="inlineStr">
        <is>
          <t>04.01.2027</t>
        </is>
      </c>
      <c r="E9674" t="inlineStr">
        <is>
          <t>Ukraine</t>
        </is>
      </c>
    </row>
    <row r="9675">
      <c r="A9675" t="inlineStr">
        <is>
          <t>Parisons Foods Pvt. Ltd,  malappuram, India</t>
        </is>
      </c>
      <c r="B9675" t="inlineStr">
        <is>
          <t>Point of Origin, Trader with Storage</t>
        </is>
      </c>
      <c r="C9675" t="inlineStr">
        <is>
          <t>PT Intertek Utama Services, Jakarta, ID</t>
        </is>
      </c>
      <c r="D9675" t="inlineStr">
        <is>
          <t>04.01.2027</t>
        </is>
      </c>
      <c r="E9675" t="inlineStr">
        <is>
          <t>India</t>
        </is>
      </c>
    </row>
    <row r="9676">
      <c r="A9676" t="inlineStr">
        <is>
          <t>GREENATA COMPANY LIMITED,  Binh Loc Ward, Dong Nai Province, Vietnam</t>
        </is>
      </c>
      <c r="B9676" t="inlineStr">
        <is>
          <t>Collecting Point, Processing Unit</t>
        </is>
      </c>
      <c r="C9676" t="inlineStr">
        <is>
          <t>PT Intertek Utama Services, Jakarta, ID</t>
        </is>
      </c>
      <c r="D9676" t="inlineStr">
        <is>
          <t>04.01.2027</t>
        </is>
      </c>
      <c r="E9676" t="inlineStr">
        <is>
          <t>Vietnam</t>
        </is>
      </c>
    </row>
    <row r="9677">
      <c r="A9677" t="inlineStr">
        <is>
          <t>Staub &amp; Co. - Silbermann GmbH,  Gablingen, Germany</t>
        </is>
      </c>
      <c r="B9677" t="inlineStr">
        <is>
          <t>Final Product Refinement, Trader with Storage</t>
        </is>
      </c>
      <c r="C9677" t="inlineStr">
        <is>
          <t>DQS CFS GmbH - Deutsche Gesellschaft für Nachhaltigkeit, Frankfurt am Main, DE</t>
        </is>
      </c>
      <c r="D9677" t="inlineStr">
        <is>
          <t>04.01.2027</t>
        </is>
      </c>
      <c r="E9677" t="inlineStr">
        <is>
          <t>Germany</t>
        </is>
      </c>
    </row>
    <row r="9678">
      <c r="A9678" t="inlineStr">
        <is>
          <t>Staub &amp; Co. - Silbermann GmbH,  Nürnberg, Germany</t>
        </is>
      </c>
      <c r="B9678" t="inlineStr">
        <is>
          <t>Final Product Refinement, Trader with Storage</t>
        </is>
      </c>
      <c r="C9678" t="inlineStr">
        <is>
          <t>DQS CFS GmbH - Deutsche Gesellschaft für Nachhaltigkeit, Frankfurt am Main, DE</t>
        </is>
      </c>
      <c r="D9678" t="inlineStr">
        <is>
          <t>04.01.2027</t>
        </is>
      </c>
      <c r="E9678" t="inlineStr">
        <is>
          <t>Germany</t>
        </is>
      </c>
    </row>
    <row r="9679">
      <c r="A9679" t="inlineStr">
        <is>
          <t>SOL Deutschland,  Gersthofen, Germany</t>
        </is>
      </c>
      <c r="B9679" t="inlineStr">
        <is>
          <t>Trader</t>
        </is>
      </c>
      <c r="C9679" t="inlineStr">
        <is>
          <t>DNV Business Assurance Sweden AB, Solna, SE</t>
        </is>
      </c>
      <c r="D9679" t="inlineStr">
        <is>
          <t>04.01.2027</t>
        </is>
      </c>
      <c r="E9679" t="inlineStr">
        <is>
          <t>Germany</t>
        </is>
      </c>
    </row>
    <row r="9680">
      <c r="A9680" t="inlineStr">
        <is>
          <t>ISM INGENIERIA SERVICIO MONTAJE ESTACIONES DE SERVICIO SAS,  Corregimiento de Palermo, Sitionuevo-Magdalena, Colombia</t>
        </is>
      </c>
      <c r="B9680" t="inlineStr">
        <is>
          <t>Trader with Storage, Warehouse</t>
        </is>
      </c>
      <c r="C9680" t="inlineStr">
        <is>
          <t>Certificadora Gallega del Noroeste SL, Vilagarcia de Arousa-Pontevedra, ES</t>
        </is>
      </c>
      <c r="D9680" t="inlineStr">
        <is>
          <t>04.01.2027</t>
        </is>
      </c>
      <c r="E9680" t="inlineStr">
        <is>
          <t>Colombia</t>
        </is>
      </c>
    </row>
    <row r="9681">
      <c r="A9681" t="inlineStr">
        <is>
          <t>ISM INGENIERIA SERVICIO MONTAJE ESTACIONES DE SERVICIO SAS,  Corregimiento de Palermo, Sitionuevo-Magdalena, Colombia</t>
        </is>
      </c>
      <c r="B9681" t="inlineStr">
        <is>
          <t>Trader with Storage, Warehouse</t>
        </is>
      </c>
      <c r="C9681" t="inlineStr">
        <is>
          <t>Certificadora Gallega del Noroeste SL, Vilagarcia de Arousa-Pontevedra, ES</t>
        </is>
      </c>
      <c r="D9681" t="inlineStr">
        <is>
          <t>04.01.2027</t>
        </is>
      </c>
      <c r="E9681" t="inlineStr">
        <is>
          <t>Colombia</t>
        </is>
      </c>
    </row>
    <row r="9682">
      <c r="A9682" t="inlineStr">
        <is>
          <t>ATVOS BIOENERGIA BRENCO S.A. (Unidade Água Emendada),  Perolândia, Brazil</t>
        </is>
      </c>
      <c r="B9682" t="inlineStr">
        <is>
          <t>First Gathering Point, Processing Unit</t>
        </is>
      </c>
      <c r="C9682" t="inlineStr">
        <is>
          <t>Control Union Poland Sp. z o.o., Zielona Gora, PL</t>
        </is>
      </c>
      <c r="D9682" t="inlineStr">
        <is>
          <t>04.01.2027</t>
        </is>
      </c>
      <c r="E9682" t="inlineStr">
        <is>
          <t>Brazil</t>
        </is>
      </c>
    </row>
    <row r="9683">
      <c r="A9683" t="inlineStr">
        <is>
          <t>Remedia,  Calvenzano, Italy</t>
        </is>
      </c>
      <c r="B9683" t="inlineStr">
        <is>
          <t>Collecting Point, Trader</t>
        </is>
      </c>
      <c r="C9683" t="inlineStr">
        <is>
          <t>SGS Germany GmbH, Emstek, DE</t>
        </is>
      </c>
      <c r="D9683" t="inlineStr">
        <is>
          <t>04.01.2027</t>
        </is>
      </c>
      <c r="E9683" t="inlineStr">
        <is>
          <t>Italy</t>
        </is>
      </c>
    </row>
    <row r="9684">
      <c r="A9684" t="inlineStr">
        <is>
          <t>TRADHOL INTERNACIONAL S.A. SOCIEDAD UNIPERSONAL,  POZUELO DE ALARCON, Spain</t>
        </is>
      </c>
      <c r="B9684" t="inlineStr">
        <is>
          <t>Trader</t>
        </is>
      </c>
      <c r="C9684" t="inlineStr">
        <is>
          <t>SGS Germany GmbH, Emstek, DE</t>
        </is>
      </c>
      <c r="D9684" t="inlineStr">
        <is>
          <t>04.01.2027</t>
        </is>
      </c>
      <c r="E9684" t="inlineStr">
        <is>
          <t>Spain</t>
        </is>
      </c>
    </row>
    <row r="9685">
      <c r="A9685" t="inlineStr">
        <is>
          <t>Miraeoil. Co., Ltd. Gyeongnam branch,  Ulsan, South Korea</t>
        </is>
      </c>
      <c r="B9685" t="inlineStr">
        <is>
          <t>Trader with Storage, Collecting Point</t>
        </is>
      </c>
      <c r="C9685" t="inlineStr">
        <is>
          <t>Control Union Certifications Germany GmbH, Berlin, DE</t>
        </is>
      </c>
      <c r="D9685" t="inlineStr">
        <is>
          <t>04.01.2027</t>
        </is>
      </c>
      <c r="E9685" t="inlineStr">
        <is>
          <t>South Korea</t>
        </is>
      </c>
    </row>
    <row r="9686">
      <c r="A9686" t="inlineStr">
        <is>
          <t>Agroindustria Palmera San Román S. A. - 2,  Chisec, Alta Verapaz, Guatemala</t>
        </is>
      </c>
      <c r="B9686" t="inlineStr">
        <is>
          <t>Point of Origin</t>
        </is>
      </c>
      <c r="C9686" t="inlineStr">
        <is>
          <t>Control Union Poland Sp. z o.o., Zielona Gora, PL</t>
        </is>
      </c>
      <c r="D9686" t="inlineStr">
        <is>
          <t>04.01.2027</t>
        </is>
      </c>
      <c r="E9686" t="inlineStr">
        <is>
          <t>Guatemala</t>
        </is>
      </c>
    </row>
    <row r="9687">
      <c r="A9687" t="inlineStr">
        <is>
          <t>HAMR Fuels Pty Ltd,  Richmond, Australia</t>
        </is>
      </c>
      <c r="B9687" t="inlineStr">
        <is>
          <t>Trader</t>
        </is>
      </c>
      <c r="C9687" t="inlineStr">
        <is>
          <t>BM Certification, Riga, LV</t>
        </is>
      </c>
      <c r="D9687" t="inlineStr">
        <is>
          <t>04.01.2027</t>
        </is>
      </c>
      <c r="E9687" t="inlineStr">
        <is>
          <t>Australia</t>
        </is>
      </c>
    </row>
    <row r="9688">
      <c r="A9688" t="inlineStr">
        <is>
          <t>Covestro,  La Canonja (Tarragona), Spain</t>
        </is>
      </c>
      <c r="B9688" t="inlineStr">
        <is>
          <t>Processing Unit</t>
        </is>
      </c>
      <c r="C9688" t="inlineStr">
        <is>
          <t>DQS CFS GmbH - Deutsche Gesellschaft für Nachhaltigkeit, Frankfurt am Main, DE</t>
        </is>
      </c>
      <c r="D9688" t="inlineStr">
        <is>
          <t>04.01.2027</t>
        </is>
      </c>
      <c r="E9688" t="inlineStr">
        <is>
          <t>Spain</t>
        </is>
      </c>
    </row>
    <row r="9689">
      <c r="A9689" t="inlineStr">
        <is>
          <t>CHIMBUSCO (HONG KONG) LIMITED,  Beijing, China</t>
        </is>
      </c>
      <c r="B9689" t="inlineStr">
        <is>
          <t>Trader with Storage</t>
        </is>
      </c>
      <c r="C9689" t="inlineStr">
        <is>
          <t>SCS Global Services, Emeryville, CA, US</t>
        </is>
      </c>
      <c r="D9689" t="inlineStr">
        <is>
          <t>04.01.2027</t>
        </is>
      </c>
      <c r="E9689" t="inlineStr">
        <is>
          <t>China</t>
        </is>
      </c>
    </row>
    <row r="9690">
      <c r="A9690" t="inlineStr">
        <is>
          <t>ENEOS Materials Trading (Shanghai) Co., Ltd.,  Shanghai, China</t>
        </is>
      </c>
      <c r="B9690" t="inlineStr">
        <is>
          <t>Trader</t>
        </is>
      </c>
      <c r="C9690" t="inlineStr">
        <is>
          <t>SCS Global Services, Emeryville, CA, US</t>
        </is>
      </c>
      <c r="D9690" t="inlineStr">
        <is>
          <t>04.01.2027</t>
        </is>
      </c>
      <c r="E9690" t="inlineStr">
        <is>
          <t>China</t>
        </is>
      </c>
    </row>
    <row r="9691">
      <c r="A9691" t="inlineStr">
        <is>
          <t>Rayong Olefins Company Limited,  Rayong, Thailand</t>
        </is>
      </c>
      <c r="B9691" t="inlineStr">
        <is>
          <t>Processing Unit</t>
        </is>
      </c>
      <c r="C9691" t="inlineStr">
        <is>
          <t>SGS Germany GmbH, Emstek, DE</t>
        </is>
      </c>
      <c r="D9691" t="inlineStr">
        <is>
          <t>04.01.2027</t>
        </is>
      </c>
      <c r="E9691" t="inlineStr">
        <is>
          <t>Thailand</t>
        </is>
      </c>
    </row>
    <row r="9692">
      <c r="A9692" t="inlineStr">
        <is>
          <t>Innovia Films (Asia Pacific) Pty Ltd,  Craigieburn, Victoria, Australia</t>
        </is>
      </c>
      <c r="B9692" t="inlineStr">
        <is>
          <t>Processing Unit, Trader with Storage</t>
        </is>
      </c>
      <c r="C9692" t="inlineStr">
        <is>
          <t>SGS Germany GmbH, Emstek, DE</t>
        </is>
      </c>
      <c r="D9692" t="inlineStr">
        <is>
          <t>04.01.2027</t>
        </is>
      </c>
      <c r="E9692" t="inlineStr">
        <is>
          <t>Australia</t>
        </is>
      </c>
    </row>
    <row r="9693">
      <c r="A9693" t="inlineStr">
        <is>
          <t>SHANDONG CHIYUE CHEMICAL CO.,LTD.,  Liaocheng City, China</t>
        </is>
      </c>
      <c r="B9693" t="inlineStr">
        <is>
          <t>Processing Unit</t>
        </is>
      </c>
      <c r="C9693" t="inlineStr">
        <is>
          <t>SGS Germany GmbH, Emstek, DE</t>
        </is>
      </c>
      <c r="D9693" t="inlineStr">
        <is>
          <t>04.01.2027</t>
        </is>
      </c>
      <c r="E9693" t="inlineStr">
        <is>
          <t>China</t>
        </is>
      </c>
    </row>
    <row r="9694">
      <c r="A9694" t="inlineStr">
        <is>
          <t>Stolthaven Moerdijk BV,  Moerdijk, Netherlands</t>
        </is>
      </c>
      <c r="B9694" t="inlineStr">
        <is>
          <t>Warehouse</t>
        </is>
      </c>
      <c r="C9694" t="inlineStr">
        <is>
          <t>SGS Germany GmbH, Emstek, DE</t>
        </is>
      </c>
      <c r="D9694" t="inlineStr">
        <is>
          <t>04.01.2027</t>
        </is>
      </c>
      <c r="E9694" t="inlineStr">
        <is>
          <t>Netherlands</t>
        </is>
      </c>
    </row>
    <row r="9695">
      <c r="A9695" t="inlineStr">
        <is>
          <t>Sustro Speciality Oils Private Limited,  Uppugal, Zaffargadh, India</t>
        </is>
      </c>
      <c r="B9695" t="inlineStr">
        <is>
          <t>Processing Unit, Trader with Storage</t>
        </is>
      </c>
      <c r="C9695" t="inlineStr">
        <is>
          <t>Alcumus ISOQAR Ltd, Stretford, Manchester, GB</t>
        </is>
      </c>
      <c r="D9695" t="inlineStr">
        <is>
          <t>04.01.2027</t>
        </is>
      </c>
      <c r="E9695" t="inlineStr">
        <is>
          <t>India</t>
        </is>
      </c>
    </row>
    <row r="9696">
      <c r="A9696" t="inlineStr">
        <is>
          <t>Tianjin Development Zone high day Haixin industry and trade Limited Company,  Tianjin, China</t>
        </is>
      </c>
      <c r="B9696" t="inlineStr">
        <is>
          <t>Trader</t>
        </is>
      </c>
      <c r="C9696" t="inlineStr">
        <is>
          <t>RINA Services S.p.A., Genova, IT</t>
        </is>
      </c>
      <c r="D9696" t="inlineStr">
        <is>
          <t>04.01.2027</t>
        </is>
      </c>
      <c r="E9696" t="inlineStr">
        <is>
          <t>China</t>
        </is>
      </c>
    </row>
    <row r="9697">
      <c r="A9697" t="inlineStr">
        <is>
          <t>Fuel Energy Limited,  Marsa, Malta</t>
        </is>
      </c>
      <c r="B9697" t="inlineStr">
        <is>
          <t>Trader with Storage, Proof of Compliance Trader</t>
        </is>
      </c>
      <c r="C9697" t="inlineStr">
        <is>
          <t>Bureau Veritas Polska Sp. z o.o., Warsaw, PL</t>
        </is>
      </c>
      <c r="D9697" t="inlineStr">
        <is>
          <t>04.01.2027</t>
        </is>
      </c>
      <c r="E9697" t="inlineStr">
        <is>
          <t>Malta</t>
        </is>
      </c>
    </row>
    <row r="9698">
      <c r="A9698" t="inlineStr">
        <is>
          <t>ATVOS BIOENERGIA BRENCO S.A. (Unidade Água Emendada),  Perolândia, Brazil</t>
        </is>
      </c>
      <c r="B9698" t="inlineStr">
        <is>
          <t>First Gathering Point, Processing Unit</t>
        </is>
      </c>
      <c r="C9698" t="inlineStr">
        <is>
          <t>Control Union Poland Sp. z o.o., Zielona Gora, PL</t>
        </is>
      </c>
      <c r="D9698" t="inlineStr">
        <is>
          <t>04.01.2027</t>
        </is>
      </c>
      <c r="E9698" t="inlineStr">
        <is>
          <t>Brazil</t>
        </is>
      </c>
    </row>
    <row r="9699">
      <c r="A9699" t="inlineStr">
        <is>
          <t>ATVOS BIOENERGIA BRENCO S.A. (Unidade Água Emendada),  Perolândia, Brazil</t>
        </is>
      </c>
      <c r="B9699" t="inlineStr">
        <is>
          <t>First Gathering Point, Processing Unit</t>
        </is>
      </c>
      <c r="C9699" t="inlineStr">
        <is>
          <t>Control Union Poland Sp. z o.o., Zielona Gora, PL</t>
        </is>
      </c>
      <c r="D9699" t="inlineStr">
        <is>
          <t>04.01.2027</t>
        </is>
      </c>
      <c r="E9699" t="inlineStr">
        <is>
          <t>Brazil</t>
        </is>
      </c>
    </row>
    <row r="9700">
      <c r="A9700" t="inlineStr">
        <is>
          <t>VÁPENKA VITOŠOV s.r.o.,  Hrabová, Czech Republic</t>
        </is>
      </c>
      <c r="B9700" t="inlineStr">
        <is>
          <t>Processing Unit, Trader with Storage, Warehouse</t>
        </is>
      </c>
      <c r="C9700" t="inlineStr">
        <is>
          <t>United Registrar of Systems Polska Sp. z o.o., Wrocław, PL</t>
        </is>
      </c>
      <c r="D9700" t="inlineStr">
        <is>
          <t>04.01.2027</t>
        </is>
      </c>
      <c r="E9700" t="inlineStr">
        <is>
          <t>Czech Republic</t>
        </is>
      </c>
    </row>
    <row r="9701">
      <c r="A9701" t="inlineStr">
        <is>
          <t>Thanh Phu plastic packaging join stock company,  Vinh Loc 2 Industrial, My Yen Commune, Tay Ninh, Vietnam</t>
        </is>
      </c>
      <c r="B9701" t="inlineStr">
        <is>
          <t>Processing Unit</t>
        </is>
      </c>
      <c r="C9701" t="inlineStr">
        <is>
          <t>SGS Germany GmbH, Emstek, DE</t>
        </is>
      </c>
      <c r="D9701" t="inlineStr">
        <is>
          <t>04.01.2027</t>
        </is>
      </c>
      <c r="E9701" t="inlineStr">
        <is>
          <t>Vietnam</t>
        </is>
      </c>
    </row>
    <row r="9702">
      <c r="A9702" t="inlineStr">
        <is>
          <t>Kobkiat Commodity Inc,  Manila, The Philippines</t>
        </is>
      </c>
      <c r="B9702" t="inlineStr">
        <is>
          <t>Collecting Point</t>
        </is>
      </c>
      <c r="C9702" t="inlineStr">
        <is>
          <t>Control Union Poland Sp. z o.o., Zielona Gora, PL</t>
        </is>
      </c>
      <c r="D9702" t="inlineStr">
        <is>
          <t>04.01.2027</t>
        </is>
      </c>
      <c r="E9702" t="inlineStr">
        <is>
          <t>The Philippines</t>
        </is>
      </c>
    </row>
    <row r="9703">
      <c r="A9703" t="inlineStr">
        <is>
          <t>Zeller Plastik México S.A. de C.V.,  San Martín Tepetlixpan, Cuautitlan Izcalli, México, Mexico</t>
        </is>
      </c>
      <c r="B9703" t="inlineStr">
        <is>
          <t>Processing Unit</t>
        </is>
      </c>
      <c r="C9703" t="inlineStr">
        <is>
          <t>SCS Global Services, Emeryville, CA, US</t>
        </is>
      </c>
      <c r="D9703" t="inlineStr">
        <is>
          <t>03.01.2027</t>
        </is>
      </c>
      <c r="E9703" t="inlineStr">
        <is>
          <t>Mexico</t>
        </is>
      </c>
    </row>
    <row r="9704">
      <c r="A9704" t="inlineStr">
        <is>
          <t>BP Raffinaderij Rotterdam BV,  Europoort Rotterdam, Netherlands</t>
        </is>
      </c>
      <c r="B9704" t="inlineStr">
        <is>
          <t>Processing Unit, ETBE plant, MTBE plant, Trader with Storage</t>
        </is>
      </c>
      <c r="C9704" t="inlineStr">
        <is>
          <t>Control Union Certifications Germany GmbH, Berlin, DE</t>
        </is>
      </c>
      <c r="D9704" t="inlineStr">
        <is>
          <t>03.01.2027</t>
        </is>
      </c>
      <c r="E9704" t="inlineStr">
        <is>
          <t>Netherlands</t>
        </is>
      </c>
    </row>
    <row r="9705">
      <c r="A9705" t="inlineStr">
        <is>
          <t>Bio Waste Trading,  Madrid, Spain</t>
        </is>
      </c>
      <c r="B9705" t="inlineStr">
        <is>
          <t>Trader</t>
        </is>
      </c>
      <c r="C9705" t="inlineStr">
        <is>
          <t>Control Union Poland Sp. z o.o., Zielona Gora, PL</t>
        </is>
      </c>
      <c r="D9705" t="inlineStr">
        <is>
          <t>03.01.2027</t>
        </is>
      </c>
      <c r="E9705" t="inlineStr">
        <is>
          <t>Spain</t>
        </is>
      </c>
    </row>
    <row r="9706">
      <c r="A9706" t="inlineStr">
        <is>
          <t>BP Raffinaderij Rotterdam BV,  Europoort Rotterdam, The Netherlands</t>
        </is>
      </c>
      <c r="B9706" t="inlineStr">
        <is>
          <t>Processing Unit, ETBE plant, MTBE plant, Trader with Storage</t>
        </is>
      </c>
      <c r="C9706" t="inlineStr">
        <is>
          <t>Control Union Certifications Germany GmbH, Berlin, DE</t>
        </is>
      </c>
      <c r="D9706" t="inlineStr">
        <is>
          <t>03.01.2027</t>
        </is>
      </c>
      <c r="E9706" t="inlineStr">
        <is>
          <t>The Netherlands</t>
        </is>
      </c>
    </row>
    <row r="9707">
      <c r="A9707" t="inlineStr">
        <is>
          <t>PT Berkat Sawit Sejati,  Palembang, Indonesia</t>
        </is>
      </c>
      <c r="B9707" t="inlineStr">
        <is>
          <t>Processing Unit, Point of Origin</t>
        </is>
      </c>
      <c r="C9707" t="inlineStr">
        <is>
          <t>Control Union Certifications Germany GmbH, Berlin, DE</t>
        </is>
      </c>
      <c r="D9707" t="inlineStr">
        <is>
          <t>03.01.2027</t>
        </is>
      </c>
      <c r="E9707" t="inlineStr">
        <is>
          <t>Indonesia</t>
        </is>
      </c>
    </row>
    <row r="9708">
      <c r="A9708" t="inlineStr">
        <is>
          <t>ABB Oy Wiring Accessories,  Porvoo, Finland</t>
        </is>
      </c>
      <c r="B9708" t="inlineStr">
        <is>
          <t>Processing Unit, Trader with Storage, Warehouse</t>
        </is>
      </c>
      <c r="C9708" t="inlineStr">
        <is>
          <t>PT Intertek Utama Services, Jakarta, ID</t>
        </is>
      </c>
      <c r="D9708" t="inlineStr">
        <is>
          <t>03.01.2027</t>
        </is>
      </c>
      <c r="E9708" t="inlineStr">
        <is>
          <t>Finland</t>
        </is>
      </c>
    </row>
    <row r="9709">
      <c r="A9709" t="inlineStr">
        <is>
          <t>Tagaddod for Trading and Operations B.V.,  Rotterdam, Netherlands</t>
        </is>
      </c>
      <c r="B9709" t="inlineStr">
        <is>
          <t>Trader with Storage</t>
        </is>
      </c>
      <c r="C9709" t="inlineStr">
        <is>
          <t>PT Intertek Utama Services, Jakarta, ID</t>
        </is>
      </c>
      <c r="D9709" t="inlineStr">
        <is>
          <t>03.01.2027</t>
        </is>
      </c>
      <c r="E9709" t="inlineStr">
        <is>
          <t>Netherlands</t>
        </is>
      </c>
    </row>
    <row r="9710">
      <c r="A9710" t="inlineStr">
        <is>
          <t>Bunge S.A.,  Geneve, Switzerland</t>
        </is>
      </c>
      <c r="B9710" t="inlineStr">
        <is>
          <t>First Gathering Point, Trader with Storage</t>
        </is>
      </c>
      <c r="C9710" t="inlineStr">
        <is>
          <t>SGS Germany GmbH, Emstek, DE</t>
        </is>
      </c>
      <c r="D9710" t="inlineStr">
        <is>
          <t>03.01.2027</t>
        </is>
      </c>
      <c r="E9710" t="inlineStr">
        <is>
          <t>Switzerland</t>
        </is>
      </c>
    </row>
    <row r="9711">
      <c r="A9711" t="inlineStr">
        <is>
          <t>PT Asia Sawit Lestari,  Kabupaten Batanghari, Provinsi Jambi, Indonesia</t>
        </is>
      </c>
      <c r="B9711" t="inlineStr">
        <is>
          <t>Point of Origin</t>
        </is>
      </c>
      <c r="C9711" t="inlineStr">
        <is>
          <t>PT. Qualitas Sertifikasi Indonesia, Jakarta, ID</t>
        </is>
      </c>
      <c r="D9711" t="inlineStr">
        <is>
          <t>03.01.2027</t>
        </is>
      </c>
      <c r="E9711" t="inlineStr">
        <is>
          <t>Indonesia</t>
        </is>
      </c>
    </row>
    <row r="9712">
      <c r="A9712" t="inlineStr">
        <is>
          <t>PT SELALU CINTA INDONESIA,  Salatiga, Indonesia</t>
        </is>
      </c>
      <c r="B9712" t="inlineStr">
        <is>
          <t>Final Product Refinement, Processing Unit</t>
        </is>
      </c>
      <c r="C9712" t="inlineStr">
        <is>
          <t>PT Intertek Utama Services, Jakarta, ID</t>
        </is>
      </c>
      <c r="D9712" t="inlineStr">
        <is>
          <t>03.01.2027</t>
        </is>
      </c>
      <c r="E9712" t="inlineStr">
        <is>
          <t>Indonesia</t>
        </is>
      </c>
    </row>
    <row r="9713">
      <c r="A9713" t="inlineStr">
        <is>
          <t>LCY CHEMICAL CORP.,  Dashe Dist., Kaohsiung City, Taiwan</t>
        </is>
      </c>
      <c r="B9713" t="inlineStr">
        <is>
          <t>Processing Unit, Trader with Storage</t>
        </is>
      </c>
      <c r="C9713" t="inlineStr">
        <is>
          <t>Bureau Veritas Polska Sp. z o.o., Warsaw, PL</t>
        </is>
      </c>
      <c r="D9713" t="inlineStr">
        <is>
          <t>03.01.2027</t>
        </is>
      </c>
      <c r="E9713" t="inlineStr">
        <is>
          <t>Taiwan</t>
        </is>
      </c>
    </row>
    <row r="9714">
      <c r="A9714" t="inlineStr">
        <is>
          <t>Sumatera Palma Andalan,  Kabupaten Musi Rawas, Provinsi Sumatera Selatan, Indonesia</t>
        </is>
      </c>
      <c r="B9714" t="inlineStr">
        <is>
          <t>Point of Origin</t>
        </is>
      </c>
      <c r="C9714" t="inlineStr">
        <is>
          <t>PT. Qualitas Sertifikasi Indonesia, Jakarta, ID</t>
        </is>
      </c>
      <c r="D9714" t="inlineStr">
        <is>
          <t>03.01.2027</t>
        </is>
      </c>
      <c r="E9714" t="inlineStr">
        <is>
          <t>Indonesia</t>
        </is>
      </c>
    </row>
    <row r="9715">
      <c r="A9715" t="inlineStr">
        <is>
          <t>Bumi Anugerah Sawit,  Bukit Makmur Village, Pinang Raya District, North Bengkulu Regency, Indonesia</t>
        </is>
      </c>
      <c r="B9715" t="inlineStr">
        <is>
          <t>Point of Origin</t>
        </is>
      </c>
      <c r="C9715" t="inlineStr">
        <is>
          <t>PT. Qualitas Sertifikasi Indonesia, Jakarta, ID</t>
        </is>
      </c>
      <c r="D9715" t="inlineStr">
        <is>
          <t>03.01.2027</t>
        </is>
      </c>
      <c r="E9715" t="inlineStr">
        <is>
          <t>Indonesia</t>
        </is>
      </c>
    </row>
    <row r="9716">
      <c r="A9716" t="inlineStr">
        <is>
          <t>VENIZ OIL LTD,  Larnaca, Cyprus</t>
        </is>
      </c>
      <c r="B9716" t="inlineStr">
        <is>
          <t>Collecting Point, Trader with Storage</t>
        </is>
      </c>
      <c r="C9716" t="inlineStr">
        <is>
          <t>Eurocert SA, Metamorfosi, Athens, GR</t>
        </is>
      </c>
      <c r="D9716" t="inlineStr">
        <is>
          <t>03.01.2027</t>
        </is>
      </c>
      <c r="E9716" t="inlineStr">
        <is>
          <t>Cyprus</t>
        </is>
      </c>
    </row>
    <row r="9717">
      <c r="A9717" t="inlineStr">
        <is>
          <t>BPREX PLASTIC PACKAGING DE MÉXICO S.A. DE C.V.,  Colonia San Jerónimo Tepetlacalco, Tlalnepantla, Mexico</t>
        </is>
      </c>
      <c r="B9717" t="inlineStr">
        <is>
          <t>Processing Unit</t>
        </is>
      </c>
      <c r="C9717" t="inlineStr">
        <is>
          <t>SCS Global Services, Emeryville, CA, US</t>
        </is>
      </c>
      <c r="D9717" t="inlineStr">
        <is>
          <t>03.01.2027</t>
        </is>
      </c>
      <c r="E9717" t="inlineStr">
        <is>
          <t>Mexico</t>
        </is>
      </c>
    </row>
    <row r="9718">
      <c r="A9718" t="inlineStr">
        <is>
          <t>Lyondell Greater China Holdings Ltd.,  Hongkong, Hong Kong</t>
        </is>
      </c>
      <c r="B9718" t="inlineStr">
        <is>
          <t>Trader</t>
        </is>
      </c>
      <c r="C9718" t="inlineStr">
        <is>
          <t>TÜV SÜD Industrie Service GmbH, München, DE</t>
        </is>
      </c>
      <c r="D9718" t="inlineStr">
        <is>
          <t>03.01.2027</t>
        </is>
      </c>
      <c r="E9718" t="inlineStr">
        <is>
          <t>Hong Kong</t>
        </is>
      </c>
    </row>
    <row r="9719">
      <c r="A9719" t="inlineStr">
        <is>
          <t>EcoMovimento, Lda.,  Guimarães, Ponte, Portugal</t>
        </is>
      </c>
      <c r="B9719" t="inlineStr">
        <is>
          <t>Collecting Point, Trader with Storage</t>
        </is>
      </c>
      <c r="C9719" t="inlineStr">
        <is>
          <t>SGS Germany GmbH, Emstek, DE</t>
        </is>
      </c>
      <c r="D9719" t="inlineStr">
        <is>
          <t>03.01.2027</t>
        </is>
      </c>
      <c r="E9719" t="inlineStr">
        <is>
          <t>Portugal</t>
        </is>
      </c>
    </row>
    <row r="9720">
      <c r="A9720" t="inlineStr">
        <is>
          <t>SANSEI BUSSAN CO.,LTD.,  Chuo-ku, Tokyo, Japan</t>
        </is>
      </c>
      <c r="B9720" t="inlineStr">
        <is>
          <t>Trader with Storage</t>
        </is>
      </c>
      <c r="C9720" t="inlineStr">
        <is>
          <t>SGS Germany GmbH, Emstek, DE</t>
        </is>
      </c>
      <c r="D9720" t="inlineStr">
        <is>
          <t>03.01.2027</t>
        </is>
      </c>
      <c r="E9720" t="inlineStr">
        <is>
          <t>Japan</t>
        </is>
      </c>
    </row>
    <row r="9721">
      <c r="A9721" t="inlineStr">
        <is>
          <t>Green Strength Technology Limited,  Hong Kong, China</t>
        </is>
      </c>
      <c r="B9721" t="inlineStr">
        <is>
          <t>Collecting Point, Trader with Storage</t>
        </is>
      </c>
      <c r="C9721" t="inlineStr">
        <is>
          <t>SCS Global Services, Emeryville, CA, US</t>
        </is>
      </c>
      <c r="D9721" t="inlineStr">
        <is>
          <t>03.01.2027</t>
        </is>
      </c>
      <c r="E9721" t="inlineStr">
        <is>
          <t>China</t>
        </is>
      </c>
    </row>
    <row r="9722">
      <c r="A9722" t="inlineStr">
        <is>
          <t>WILEE VEGETABLE OILS SDN BHD,  SENAI, JOHOR, Malaysia</t>
        </is>
      </c>
      <c r="B9722" t="inlineStr">
        <is>
          <t>Point of Origin, Trader with Storage</t>
        </is>
      </c>
      <c r="C9722" t="inlineStr">
        <is>
          <t>Trans Certification and Inspection Sdn Bhd, Kuantan, MY</t>
        </is>
      </c>
      <c r="D9722" t="inlineStr">
        <is>
          <t>03.01.2027</t>
        </is>
      </c>
      <c r="E9722" t="inlineStr">
        <is>
          <t>Malaysia</t>
        </is>
      </c>
    </row>
    <row r="9723">
      <c r="A9723" t="inlineStr">
        <is>
          <t>Bunge S.A.,  Geneve, Switzerland</t>
        </is>
      </c>
      <c r="B9723" t="inlineStr">
        <is>
          <t>First Gathering Point, Trader with Storage</t>
        </is>
      </c>
      <c r="C9723" t="inlineStr">
        <is>
          <t>SGS Germany GmbH, Emstek, DE</t>
        </is>
      </c>
      <c r="D9723" t="inlineStr">
        <is>
          <t>03.01.2027</t>
        </is>
      </c>
      <c r="E9723" t="inlineStr">
        <is>
          <t>Switzerland</t>
        </is>
      </c>
    </row>
    <row r="9724">
      <c r="A9724" t="inlineStr">
        <is>
          <t>Bunge S.A.,  Geneve, Switzerland</t>
        </is>
      </c>
      <c r="B9724" t="inlineStr">
        <is>
          <t>Trader with Storage</t>
        </is>
      </c>
      <c r="C9724" t="inlineStr">
        <is>
          <t>SGS Germany GmbH, Emstek, DE</t>
        </is>
      </c>
      <c r="D9724" t="inlineStr">
        <is>
          <t>03.01.2027</t>
        </is>
      </c>
      <c r="E9724" t="inlineStr">
        <is>
          <t>Switzerland</t>
        </is>
      </c>
    </row>
    <row r="9725">
      <c r="A9725" t="inlineStr">
        <is>
          <t>Sindex spol. s.r.o.,  Domažlice, Czech Republic</t>
        </is>
      </c>
      <c r="B9725" t="inlineStr">
        <is>
          <t>First Gathering Point, Trader</t>
        </is>
      </c>
      <c r="C9725" t="inlineStr">
        <is>
          <t>Bureau Veritas Polska Sp. z o.o., Warsaw, PL</t>
        </is>
      </c>
      <c r="D9725" t="inlineStr">
        <is>
          <t>03.01.2027</t>
        </is>
      </c>
      <c r="E9725" t="inlineStr">
        <is>
          <t>Czech Republic</t>
        </is>
      </c>
    </row>
    <row r="9726">
      <c r="A9726" t="inlineStr">
        <is>
          <t>Sylvaphane Plastics B.V.,  Tolbert, Netherlands</t>
        </is>
      </c>
      <c r="B9726" t="inlineStr">
        <is>
          <t>Processing Unit</t>
        </is>
      </c>
      <c r="C9726" t="inlineStr">
        <is>
          <t>DEKRA Certification B.V., Arnhem, NL</t>
        </is>
      </c>
      <c r="D9726" t="inlineStr">
        <is>
          <t>03.01.2027</t>
        </is>
      </c>
      <c r="E9726" t="inlineStr">
        <is>
          <t>Netherlands</t>
        </is>
      </c>
    </row>
    <row r="9727">
      <c r="A9727" t="inlineStr">
        <is>
          <t>Orim Energy BV,  Bergen op Zoom, Netherlands</t>
        </is>
      </c>
      <c r="B9727" t="inlineStr">
        <is>
          <t>Proof of Compliance Trader, Trader with Storage</t>
        </is>
      </c>
      <c r="C9727" t="inlineStr">
        <is>
          <t>DEKRA Certification B.V., Arnhem, NL</t>
        </is>
      </c>
      <c r="D9727" t="inlineStr">
        <is>
          <t>03.01.2027</t>
        </is>
      </c>
      <c r="E9727" t="inlineStr">
        <is>
          <t>Netherlands</t>
        </is>
      </c>
    </row>
    <row r="9728">
      <c r="A9728" t="inlineStr">
        <is>
          <t>U.B.T. OIL CO.,LTD.,  Bangkok, Thailand</t>
        </is>
      </c>
      <c r="B9728" t="inlineStr">
        <is>
          <t>Collecting Point</t>
        </is>
      </c>
      <c r="C9728" t="inlineStr">
        <is>
          <t>Bureau Veritas Polska Sp. z o.o., Warsaw, PL</t>
        </is>
      </c>
      <c r="D9728" t="inlineStr">
        <is>
          <t>03.01.2027</t>
        </is>
      </c>
      <c r="E9728" t="inlineStr">
        <is>
          <t>Thailand</t>
        </is>
      </c>
    </row>
    <row r="9729">
      <c r="A9729" t="inlineStr">
        <is>
          <t>Organic technology s.r.o.,  Horní Suchá, Czech Republic</t>
        </is>
      </c>
      <c r="B9729" t="inlineStr">
        <is>
          <t>Collecting Point, Trader, Processing Unit</t>
        </is>
      </c>
      <c r="C9729" t="inlineStr">
        <is>
          <t>TÜV SÜD Czech s.r.o., Praha 4, CZ</t>
        </is>
      </c>
      <c r="D9729" t="inlineStr">
        <is>
          <t>03.01.2027</t>
        </is>
      </c>
      <c r="E9729" t="inlineStr">
        <is>
          <t>Czech Republic</t>
        </is>
      </c>
    </row>
    <row r="9730">
      <c r="A9730" t="inlineStr">
        <is>
          <t>Hermanos Vidal Padin,  Sollana (Valencia), Spain</t>
        </is>
      </c>
      <c r="B9730" t="inlineStr">
        <is>
          <t>Collecting Point</t>
        </is>
      </c>
      <c r="C9730" t="inlineStr">
        <is>
          <t>Control Union Poland Sp. z o.o., Zielona Gora, PL</t>
        </is>
      </c>
      <c r="D9730" t="inlineStr">
        <is>
          <t>03.01.2027</t>
        </is>
      </c>
      <c r="E9730" t="inlineStr">
        <is>
          <t>Spain</t>
        </is>
      </c>
    </row>
    <row r="9731">
      <c r="A9731" t="inlineStr">
        <is>
          <t>Varo Energy Inland Bunkerservice B.V.,  Rotterdam, Netherlands</t>
        </is>
      </c>
      <c r="B9731" t="inlineStr">
        <is>
          <t>Trader with Storage, Proof of Compliance Trader</t>
        </is>
      </c>
      <c r="C9731" t="inlineStr">
        <is>
          <t>Control Union Certifications Germany GmbH, Berlin, DE</t>
        </is>
      </c>
      <c r="D9731" t="inlineStr">
        <is>
          <t>03.01.2027</t>
        </is>
      </c>
      <c r="E9731" t="inlineStr">
        <is>
          <t>Netherlands</t>
        </is>
      </c>
    </row>
    <row r="9732">
      <c r="A9732" t="inlineStr">
        <is>
          <t>Blue Whale Bioenergy (Zhejiang) Co., Ltd.,  Jiaxing, Zhejiang Province, China</t>
        </is>
      </c>
      <c r="B9732" t="inlineStr">
        <is>
          <t>Processing Unit, Trader with Storage</t>
        </is>
      </c>
      <c r="C9732" t="inlineStr">
        <is>
          <t>RINA Services S.p.A., Genova, IT</t>
        </is>
      </c>
      <c r="D9732" t="inlineStr">
        <is>
          <t>03.01.2027</t>
        </is>
      </c>
      <c r="E9732" t="inlineStr">
        <is>
          <t>China</t>
        </is>
      </c>
    </row>
    <row r="9733">
      <c r="A9733" t="inlineStr">
        <is>
          <t>Perezoca &amp; Daper, S. L. ,  Algeciras, Spain</t>
        </is>
      </c>
      <c r="B9733" t="inlineStr">
        <is>
          <t>Collecting Point</t>
        </is>
      </c>
      <c r="C9733" t="inlineStr">
        <is>
          <t>Control Union Poland Sp. z o.o., Zielona Gora, PL</t>
        </is>
      </c>
      <c r="D9733" t="inlineStr">
        <is>
          <t>03.01.2027</t>
        </is>
      </c>
      <c r="E9733" t="inlineStr">
        <is>
          <t>Spain</t>
        </is>
      </c>
    </row>
    <row r="9734">
      <c r="A9734" t="inlineStr">
        <is>
          <t>Blue Whale Bioenergy (Zhejiang) Co., Ltd.,  Jiaxing, Zhejiang Province, China</t>
        </is>
      </c>
      <c r="B9734" t="inlineStr">
        <is>
          <t>Processing Unit, Trader with Storage</t>
        </is>
      </c>
      <c r="C9734" t="inlineStr">
        <is>
          <t>RINA Services S.p.A., Genova, IT</t>
        </is>
      </c>
      <c r="D9734" t="inlineStr">
        <is>
          <t>03.01.2027</t>
        </is>
      </c>
      <c r="E9734" t="inlineStr">
        <is>
          <t>China</t>
        </is>
      </c>
    </row>
    <row r="9735">
      <c r="A9735" t="inlineStr">
        <is>
          <t>Shandong Deyuan Tongqing Bioenergy Co., Ltd.,  Binzhou City, Shandong Province, China</t>
        </is>
      </c>
      <c r="B9735" t="inlineStr">
        <is>
          <t>Collecting Point, Trader</t>
        </is>
      </c>
      <c r="C9735" t="inlineStr">
        <is>
          <t>RINA Services S.p.A., Genova, IT</t>
        </is>
      </c>
      <c r="D9735" t="inlineStr">
        <is>
          <t>03.01.2027</t>
        </is>
      </c>
      <c r="E9735" t="inlineStr">
        <is>
          <t>China</t>
        </is>
      </c>
    </row>
    <row r="9736">
      <c r="A9736" t="inlineStr">
        <is>
          <t>Goodyear Germany GmbH,  Hanau, Germany</t>
        </is>
      </c>
      <c r="B9736" t="inlineStr">
        <is>
          <t>Processing Unit</t>
        </is>
      </c>
      <c r="C9736" t="inlineStr">
        <is>
          <t>DQS CFS GmbH - Deutsche Gesellschaft für Nachhaltigkeit, Frankfurt am Main, DE</t>
        </is>
      </c>
      <c r="D9736" t="inlineStr">
        <is>
          <t>02.01.2027</t>
        </is>
      </c>
      <c r="E9736" t="inlineStr">
        <is>
          <t>Germany</t>
        </is>
      </c>
    </row>
    <row r="9737">
      <c r="A9737" t="inlineStr">
        <is>
          <t>Felcra Jayaputra Sdn Bhd,  Mukim Ulu Cheka, Jerantut, Malaysia</t>
        </is>
      </c>
      <c r="B9737" t="inlineStr">
        <is>
          <t>Point of Origin</t>
        </is>
      </c>
      <c r="C9737" t="inlineStr">
        <is>
          <t>PT. Qualitas Sertifikasi Indonesia, Jakarta, ID</t>
        </is>
      </c>
      <c r="D9737" t="inlineStr">
        <is>
          <t>02.01.2027</t>
        </is>
      </c>
      <c r="E9737" t="inlineStr">
        <is>
          <t>Malaysia</t>
        </is>
      </c>
    </row>
    <row r="9738">
      <c r="A9738" t="inlineStr">
        <is>
          <t>Bunge Canada Inc.,  Ste. Agathe, Canada</t>
        </is>
      </c>
      <c r="B9738" t="inlineStr">
        <is>
          <t>Processing Unit</t>
        </is>
      </c>
      <c r="C9738" t="inlineStr">
        <is>
          <t>SGS Germany GmbH, Emstek, DE</t>
        </is>
      </c>
      <c r="D9738" t="inlineStr">
        <is>
          <t>02.01.2027</t>
        </is>
      </c>
      <c r="E9738" t="inlineStr">
        <is>
          <t>Canada</t>
        </is>
      </c>
    </row>
    <row r="9739">
      <c r="A9739" t="inlineStr">
        <is>
          <t>Huntsman Polyurethanes Shanghai Ltd.,  Shanghai, China</t>
        </is>
      </c>
      <c r="B9739" t="inlineStr">
        <is>
          <t>Processing Unit</t>
        </is>
      </c>
      <c r="C9739" t="inlineStr">
        <is>
          <t>DIN CERTCO GmbH, Berlin, DE</t>
        </is>
      </c>
      <c r="D9739" t="inlineStr">
        <is>
          <t>02.01.2027</t>
        </is>
      </c>
      <c r="E9739" t="inlineStr">
        <is>
          <t>China</t>
        </is>
      </c>
    </row>
    <row r="9740">
      <c r="A9740" t="inlineStr">
        <is>
          <t>VERALLIA VAUXROT,  CROUY, France</t>
        </is>
      </c>
      <c r="B9740" t="inlineStr">
        <is>
          <t>Processing Unit</t>
        </is>
      </c>
      <c r="C9740" t="inlineStr">
        <is>
          <t>Control Union Certifications Germany GmbH, Berlin, DE</t>
        </is>
      </c>
      <c r="D9740" t="inlineStr">
        <is>
          <t>02.01.2027</t>
        </is>
      </c>
      <c r="E9740" t="inlineStr">
        <is>
          <t>France</t>
        </is>
      </c>
    </row>
    <row r="9741">
      <c r="A9741" t="inlineStr">
        <is>
          <t>SLP GREEN TECH SDN BHD,  KULIM, Malaysia</t>
        </is>
      </c>
      <c r="B9741" t="inlineStr">
        <is>
          <t>Processing Unit</t>
        </is>
      </c>
      <c r="C9741" t="inlineStr">
        <is>
          <t>SCS Global Services, Emeryville, CA, US</t>
        </is>
      </c>
      <c r="D9741" t="inlineStr">
        <is>
          <t>02.01.2027</t>
        </is>
      </c>
      <c r="E9741" t="inlineStr">
        <is>
          <t>Malaysia</t>
        </is>
      </c>
    </row>
    <row r="9742">
      <c r="A9742" t="inlineStr">
        <is>
          <t>Miraeoil. Co., Ltd. Gyeongnam branch,  Ulsan, South Korea</t>
        </is>
      </c>
      <c r="B9742" t="inlineStr">
        <is>
          <t>Collecting Point, Trader with Storage</t>
        </is>
      </c>
      <c r="C9742" t="inlineStr">
        <is>
          <t>Control Union Certifications Germany GmbH, Berlin, DE</t>
        </is>
      </c>
      <c r="D9742" t="inlineStr">
        <is>
          <t>02.01.2027</t>
        </is>
      </c>
      <c r="E9742" t="inlineStr">
        <is>
          <t>South Korea</t>
        </is>
      </c>
    </row>
    <row r="9743">
      <c r="A9743" t="inlineStr">
        <is>
          <t>COMERCIALIZADORA Y REPRESENTACIONES ANTIOTRADING SAS,  Malambo, Colombia</t>
        </is>
      </c>
      <c r="B9743" t="inlineStr">
        <is>
          <t>Point of Origin, Warehouse, Processing Unit</t>
        </is>
      </c>
      <c r="C9743" t="inlineStr">
        <is>
          <t>Certificadora Gallega del Noroeste SL, Vilagarcia de Arousa-Pontevedra, ES</t>
        </is>
      </c>
      <c r="D9743" t="inlineStr">
        <is>
          <t>02.01.2027</t>
        </is>
      </c>
      <c r="E9743" t="inlineStr">
        <is>
          <t>Colombia</t>
        </is>
      </c>
    </row>
    <row r="9744">
      <c r="A9744" t="inlineStr">
        <is>
          <t>HELLENIC FUELS &amp; LUBRICANTS SINGLE MEMBER INDUSTRIAL &amp; COMMERCIAL S.A. "EKO ABEE",  Maroussi, Greece</t>
        </is>
      </c>
      <c r="B9744" t="inlineStr">
        <is>
          <t>Trader with Storage, Proof of Compliance Trader</t>
        </is>
      </c>
      <c r="C9744" t="inlineStr">
        <is>
          <t>Eurocert SA, Metamorfosi, Athens, GR</t>
        </is>
      </c>
      <c r="D9744" t="inlineStr">
        <is>
          <t>02.01.2027</t>
        </is>
      </c>
      <c r="E9744" t="inlineStr">
        <is>
          <t>Greece</t>
        </is>
      </c>
    </row>
    <row r="9745">
      <c r="A9745" t="inlineStr">
        <is>
          <t>Xiangtan Huigang New Energy Development Co., Ltd,  Xiangtan County, Xiangtan City, China</t>
        </is>
      </c>
      <c r="B9745" t="inlineStr">
        <is>
          <t>Collecting Point, Trader</t>
        </is>
      </c>
      <c r="C9745" t="inlineStr">
        <is>
          <t>RINA Services S.p.A., Genova, IT</t>
        </is>
      </c>
      <c r="D9745" t="inlineStr">
        <is>
          <t>02.01.2027</t>
        </is>
      </c>
      <c r="E9745" t="inlineStr">
        <is>
          <t>China</t>
        </is>
      </c>
    </row>
    <row r="9746">
      <c r="A9746" t="inlineStr">
        <is>
          <t>Arkema Coating Resins Malaysia,  Pasir Gudang, Malaysia</t>
        </is>
      </c>
      <c r="B9746" t="inlineStr">
        <is>
          <t>Processing Unit</t>
        </is>
      </c>
      <c r="C9746" t="inlineStr">
        <is>
          <t>DNV Business Assurance Sweden AB, Solna, SE</t>
        </is>
      </c>
      <c r="D9746" t="inlineStr">
        <is>
          <t>02.01.2027</t>
        </is>
      </c>
      <c r="E9746" t="inlineStr">
        <is>
          <t>Malaysia</t>
        </is>
      </c>
    </row>
    <row r="9747">
      <c r="A9747" t="inlineStr">
        <is>
          <t>O. KLEINER AG,  Wohlen (AG), Switzerland</t>
        </is>
      </c>
      <c r="B9747" t="inlineStr">
        <is>
          <t>Processing Unit</t>
        </is>
      </c>
      <c r="C9747" t="inlineStr">
        <is>
          <t>DQS CFS GmbH - Deutsche Gesellschaft für Nachhaltigkeit, Frankfurt am Main, DE</t>
        </is>
      </c>
      <c r="D9747" t="inlineStr">
        <is>
          <t>02.01.2027</t>
        </is>
      </c>
      <c r="E9747" t="inlineStr">
        <is>
          <t>Switzerland</t>
        </is>
      </c>
    </row>
    <row r="9748">
      <c r="A9748" t="inlineStr">
        <is>
          <t>Alkagesta Limited,  Sliema, Malta</t>
        </is>
      </c>
      <c r="B9748" t="inlineStr">
        <is>
          <t>Trader with Storage</t>
        </is>
      </c>
      <c r="C9748" t="inlineStr">
        <is>
          <t>Bureau Veritas Polska Sp. z o.o., Warsaw, PL</t>
        </is>
      </c>
      <c r="D9748" t="inlineStr">
        <is>
          <t>02.01.2027</t>
        </is>
      </c>
      <c r="E9748" t="inlineStr">
        <is>
          <t>Malta</t>
        </is>
      </c>
    </row>
    <row r="9749">
      <c r="A9749" t="inlineStr">
        <is>
          <t>Shenzhen Rongxingtai Petrochemical Products Sales Co., Ltd,  Shenzhen, Guangdong,, China</t>
        </is>
      </c>
      <c r="B9749" t="inlineStr">
        <is>
          <t>Trader</t>
        </is>
      </c>
      <c r="C9749" t="inlineStr">
        <is>
          <t>SCS Global Services, Emeryville, CA, US</t>
        </is>
      </c>
      <c r="D9749" t="inlineStr">
        <is>
          <t>02.01.2027</t>
        </is>
      </c>
      <c r="E9749" t="inlineStr">
        <is>
          <t>China</t>
        </is>
      </c>
    </row>
    <row r="9750">
      <c r="A9750" t="inlineStr">
        <is>
          <t>Vitol Bunkers (S) Pte Ltd,  Mtower, Singapore</t>
        </is>
      </c>
      <c r="B9750" t="inlineStr">
        <is>
          <t>Trader</t>
        </is>
      </c>
      <c r="C9750" t="inlineStr">
        <is>
          <t>Control Union Certifications Germany GmbH, Berlin, DE</t>
        </is>
      </c>
      <c r="D9750" t="inlineStr">
        <is>
          <t>02.01.2027</t>
        </is>
      </c>
      <c r="E9750" t="inlineStr">
        <is>
          <t>Singapore</t>
        </is>
      </c>
    </row>
    <row r="9751">
      <c r="A9751" t="inlineStr">
        <is>
          <t>Zhejiang Provincial Light &amp;Textile Industry Supplying &amp; Marketing Co.,Ltd.,  Hangzhou City, Zhejiang Province, China</t>
        </is>
      </c>
      <c r="B9751" t="inlineStr">
        <is>
          <t>Trader</t>
        </is>
      </c>
      <c r="C9751" t="inlineStr">
        <is>
          <t>RINA Services S.p.A., Genova, IT</t>
        </is>
      </c>
      <c r="D9751" t="inlineStr">
        <is>
          <t>02.01.2027</t>
        </is>
      </c>
      <c r="E9751" t="inlineStr">
        <is>
          <t>China</t>
        </is>
      </c>
    </row>
    <row r="9752">
      <c r="A9752" t="inlineStr">
        <is>
          <t>PP - AGRO d.o.o.,  Maribor, Slovenia</t>
        </is>
      </c>
      <c r="B9752" t="inlineStr">
        <is>
          <t>Farm / Plantation</t>
        </is>
      </c>
      <c r="C9752" t="inlineStr">
        <is>
          <t>Bureau Veritas Polska Sp. z o.o., Warsaw, PL</t>
        </is>
      </c>
      <c r="D9752" t="inlineStr">
        <is>
          <t>02.01.2027</t>
        </is>
      </c>
      <c r="E9752" t="inlineStr">
        <is>
          <t>Slovenia</t>
        </is>
      </c>
    </row>
    <row r="9753">
      <c r="A9753" t="inlineStr">
        <is>
          <t>Bunge Canada Inc.,  Ste. Agathe, Canada</t>
        </is>
      </c>
      <c r="B9753" t="inlineStr">
        <is>
          <t>Processing Unit</t>
        </is>
      </c>
      <c r="C9753" t="inlineStr">
        <is>
          <t>SGS Germany GmbH, Emstek, DE</t>
        </is>
      </c>
      <c r="D9753" t="inlineStr">
        <is>
          <t>02.01.2027</t>
        </is>
      </c>
      <c r="E9753" t="inlineStr">
        <is>
          <t>Canada</t>
        </is>
      </c>
    </row>
    <row r="9754">
      <c r="A9754" t="inlineStr">
        <is>
          <t>Cia Canarias Ecológica Ambiental,  Agüimes, Las Palmas, Spain</t>
        </is>
      </c>
      <c r="B9754" t="inlineStr">
        <is>
          <t>Collecting Point, Trader with Storage</t>
        </is>
      </c>
      <c r="C9754" t="inlineStr">
        <is>
          <t>RINA Services S.p.A., Genova, IT</t>
        </is>
      </c>
      <c r="D9754" t="inlineStr">
        <is>
          <t>02.01.2027</t>
        </is>
      </c>
      <c r="E9754" t="inlineStr">
        <is>
          <t>Spain</t>
        </is>
      </c>
    </row>
    <row r="9755">
      <c r="A9755" t="inlineStr">
        <is>
          <t>BP Netherlands,  Rotterdam - Europoort, Netherlands</t>
        </is>
      </c>
      <c r="B9755" t="inlineStr">
        <is>
          <t>Trader with Storage, Proof of Compliance Trader</t>
        </is>
      </c>
      <c r="C9755" t="inlineStr">
        <is>
          <t>Control Union Certifications Germany GmbH, Berlin, DE</t>
        </is>
      </c>
      <c r="D9755" t="inlineStr">
        <is>
          <t>02.01.2027</t>
        </is>
      </c>
      <c r="E9755" t="inlineStr">
        <is>
          <t>Netherlands</t>
        </is>
      </c>
    </row>
    <row r="9756">
      <c r="A9756" t="inlineStr">
        <is>
          <t>COFCO Resources SA,  Chene-Bougeries, Geneva, Switzerland</t>
        </is>
      </c>
      <c r="B9756" t="inlineStr">
        <is>
          <t>First Gathering Point, Trader with Storage</t>
        </is>
      </c>
      <c r="C9756" t="inlineStr">
        <is>
          <t>Control Union Certifications Germany GmbH, Berlin, DE</t>
        </is>
      </c>
      <c r="D9756" t="inlineStr">
        <is>
          <t>02.01.2027</t>
        </is>
      </c>
      <c r="E9756" t="inlineStr">
        <is>
          <t>Switzerland</t>
        </is>
      </c>
    </row>
    <row r="9757">
      <c r="A9757" t="inlineStr">
        <is>
          <t>Young Young Co. Ltd.,  Longjing Dist., Taichung City, Taiwan (Province of China)</t>
        </is>
      </c>
      <c r="B9757" t="inlineStr">
        <is>
          <t>Collecting Point, Trader with Storage</t>
        </is>
      </c>
      <c r="C9757" t="inlineStr">
        <is>
          <t>PT. CBQA GLOBAL INDONESIA, JAKARTA SELATAN, ID</t>
        </is>
      </c>
      <c r="D9757" t="inlineStr">
        <is>
          <t>02.01.2027</t>
        </is>
      </c>
      <c r="E9757" t="inlineStr">
        <is>
          <t>Taiwan (Province of China)</t>
        </is>
      </c>
    </row>
    <row r="9758">
      <c r="A9758" t="inlineStr">
        <is>
          <t>OSAKA FIL CORPORATION,  Tokyo, Japan</t>
        </is>
      </c>
      <c r="B9758" t="inlineStr">
        <is>
          <t>Trader</t>
        </is>
      </c>
      <c r="C9758" t="inlineStr">
        <is>
          <t>Control Union Certifications Germany GmbH, Berlin, DE</t>
        </is>
      </c>
      <c r="D9758" t="inlineStr">
        <is>
          <t>02.01.2027</t>
        </is>
      </c>
      <c r="E9758" t="inlineStr">
        <is>
          <t>Japan</t>
        </is>
      </c>
    </row>
    <row r="9759">
      <c r="A9759" t="inlineStr">
        <is>
          <t>TOI Commodities SA,  Le Grand-Saconnex, Bâtiment Kyoto, Switzerland</t>
        </is>
      </c>
      <c r="B9759" t="inlineStr">
        <is>
          <t>Trader</t>
        </is>
      </c>
      <c r="C9759" t="inlineStr">
        <is>
          <t>SGS Germany GmbH, Emstek, DE</t>
        </is>
      </c>
      <c r="D9759" t="inlineStr">
        <is>
          <t>02.01.2027</t>
        </is>
      </c>
      <c r="E9759" t="inlineStr">
        <is>
          <t>Switzerland</t>
        </is>
      </c>
    </row>
    <row r="9760">
      <c r="A9760" t="inlineStr">
        <is>
          <t>JEIL WALLPAPER,  Anseong-si, Gyeonggi-do, Korea, Republic of</t>
        </is>
      </c>
      <c r="B9760" t="inlineStr">
        <is>
          <t>Processing Unit</t>
        </is>
      </c>
      <c r="C9760" t="inlineStr">
        <is>
          <t>Control Union Certifications Germany GmbH, Berlin, DE</t>
        </is>
      </c>
      <c r="D9760" t="inlineStr">
        <is>
          <t>02.01.2027</t>
        </is>
      </c>
      <c r="E9760" t="inlineStr">
        <is>
          <t>Republic of</t>
        </is>
      </c>
    </row>
    <row r="9761">
      <c r="A9761" t="inlineStr">
        <is>
          <t>Mid South Extrusion,  Monroe, United States</t>
        </is>
      </c>
      <c r="B9761" t="inlineStr">
        <is>
          <t>Processing Unit</t>
        </is>
      </c>
      <c r="C9761" t="inlineStr">
        <is>
          <t>SCS Global Services, Emeryville, CA, US</t>
        </is>
      </c>
      <c r="D9761" t="inlineStr">
        <is>
          <t>02.01.2027</t>
        </is>
      </c>
      <c r="E9761" t="inlineStr">
        <is>
          <t>United States</t>
        </is>
      </c>
    </row>
    <row r="9762">
      <c r="A9762" t="inlineStr">
        <is>
          <t>Goodyear Operations,  Colmar-Berg, Luxembourg</t>
        </is>
      </c>
      <c r="B9762" t="inlineStr">
        <is>
          <t>Trader with Storage</t>
        </is>
      </c>
      <c r="C9762" t="inlineStr">
        <is>
          <t>DQS CFS GmbH - Deutsche Gesellschaft für Nachhaltigkeit, Frankfurt am Main, DE</t>
        </is>
      </c>
      <c r="D9762" t="inlineStr">
        <is>
          <t>02.01.2027</t>
        </is>
      </c>
      <c r="E9762" t="inlineStr">
        <is>
          <t>Luxembourg</t>
        </is>
      </c>
    </row>
    <row r="9763">
      <c r="A9763" t="inlineStr">
        <is>
          <t>Sanimax de Colombia S.A.S.,  Amaga, Colombia</t>
        </is>
      </c>
      <c r="B9763" t="inlineStr">
        <is>
          <t>Collecting Point, Point of Origin, Trader with Storage, Central Office (Group of Point of Origin)</t>
        </is>
      </c>
      <c r="C9763" t="inlineStr">
        <is>
          <t>Certificadora Gallega del Noroeste SL, Vilagarcia de Arousa-Pontevedra, ES</t>
        </is>
      </c>
      <c r="D9763" t="inlineStr">
        <is>
          <t>01.01.2027</t>
        </is>
      </c>
      <c r="E9763" t="inlineStr">
        <is>
          <t>Colombia</t>
        </is>
      </c>
    </row>
    <row r="9764">
      <c r="A9764" t="inlineStr">
        <is>
          <t>Sanimax de Colombia S.A.S.,  Amaga, Colombia</t>
        </is>
      </c>
      <c r="B9764" t="inlineStr">
        <is>
          <t>Central Office (Group of Point of Origin), Point of Origin, Collecting Point, Trader with Storage</t>
        </is>
      </c>
      <c r="C9764" t="inlineStr">
        <is>
          <t>Certificadora Gallega del Noroeste SL, Vilagarcia de Arousa-Pontevedra, ES</t>
        </is>
      </c>
      <c r="D9764" t="inlineStr">
        <is>
          <t>01.01.2027</t>
        </is>
      </c>
      <c r="E9764" t="inlineStr">
        <is>
          <t>Colombia</t>
        </is>
      </c>
    </row>
    <row r="9765">
      <c r="A9765" t="inlineStr">
        <is>
          <t>Qingdao Huiqian Haineng Oil Co., Ltd.,  Qingdao City,Shandong Province, China</t>
        </is>
      </c>
      <c r="B9765" t="inlineStr">
        <is>
          <t>Collecting Point, Trader with Storage</t>
        </is>
      </c>
      <c r="C9765" t="inlineStr">
        <is>
          <t>RINA Services S.p.A., Genova, IT</t>
        </is>
      </c>
      <c r="D9765" t="inlineStr">
        <is>
          <t>01.01.2027</t>
        </is>
      </c>
      <c r="E9765" t="inlineStr">
        <is>
          <t>China</t>
        </is>
      </c>
    </row>
    <row r="9766">
      <c r="A9766" t="inlineStr">
        <is>
          <t>J&amp;M 19 ENVIRONMENTAL PROTECTION ENTERPRISE,  Taman Perindustrian Galla, Seremban, Malaysia</t>
        </is>
      </c>
      <c r="B9766" t="inlineStr">
        <is>
          <t>Collecting Point, Trader with Storage</t>
        </is>
      </c>
      <c r="C9766" t="inlineStr">
        <is>
          <t>Trans Certification and Inspection Sdn Bhd, Kuantan, MY</t>
        </is>
      </c>
      <c r="D9766" t="inlineStr">
        <is>
          <t>01.01.2027</t>
        </is>
      </c>
      <c r="E9766" t="inlineStr">
        <is>
          <t>Malaysia</t>
        </is>
      </c>
    </row>
    <row r="9767">
      <c r="A9767" t="inlineStr">
        <is>
          <t>STOCKMEIER Netherlands B.V.,  Ridderkerk, Netherlands</t>
        </is>
      </c>
      <c r="B9767" t="inlineStr">
        <is>
          <t>Trader with Storage</t>
        </is>
      </c>
      <c r="C9767" t="inlineStr">
        <is>
          <t>DQS CFS GmbH - Deutsche Gesellschaft für Nachhaltigkeit, Frankfurt am Main, DE</t>
        </is>
      </c>
      <c r="D9767" t="inlineStr">
        <is>
          <t>01.01.2027</t>
        </is>
      </c>
      <c r="E9767" t="inlineStr">
        <is>
          <t>Netherlands</t>
        </is>
      </c>
    </row>
    <row r="9768">
      <c r="A9768" t="inlineStr">
        <is>
          <t>STOCKMEIER Chemie GmbH &amp; Co. KG,  Bielefeld, Germany</t>
        </is>
      </c>
      <c r="B9768" t="inlineStr">
        <is>
          <t>Trader with Storage</t>
        </is>
      </c>
      <c r="C9768" t="inlineStr">
        <is>
          <t>DQS CFS GmbH - Deutsche Gesellschaft für Nachhaltigkeit, Frankfurt am Main, DE</t>
        </is>
      </c>
      <c r="D9768" t="inlineStr">
        <is>
          <t>01.01.2027</t>
        </is>
      </c>
      <c r="E9768" t="inlineStr">
        <is>
          <t>Germany</t>
        </is>
      </c>
    </row>
    <row r="9769">
      <c r="A9769" t="inlineStr">
        <is>
          <t>GEOSERVE ENERGY TRANSPORT,  Dubai, United Arab Emirates</t>
        </is>
      </c>
      <c r="B9769" t="inlineStr">
        <is>
          <t>Trader</t>
        </is>
      </c>
      <c r="C9769" t="inlineStr">
        <is>
          <t>DQS CFS GmbH - Deutsche Gesellschaft für Nachhaltigkeit, Frankfurt am Main, DE</t>
        </is>
      </c>
      <c r="D9769" t="inlineStr">
        <is>
          <t>01.01.2027</t>
        </is>
      </c>
      <c r="E9769" t="inlineStr">
        <is>
          <t>United Arab Emirates</t>
        </is>
      </c>
    </row>
    <row r="9770">
      <c r="A9770" t="inlineStr">
        <is>
          <t>BPS Barca s. r. o.,  Barca, Slovakia</t>
        </is>
      </c>
      <c r="B9770" t="inlineStr">
        <is>
          <t>Collecting Point, First Gathering Point, Processing Unit</t>
        </is>
      </c>
      <c r="C9770" t="inlineStr">
        <is>
          <t>TÜV SÜD Czech s.r.o., Praha 4, CZ</t>
        </is>
      </c>
      <c r="D9770" t="inlineStr">
        <is>
          <t>01.01.2027</t>
        </is>
      </c>
      <c r="E9770" t="inlineStr">
        <is>
          <t>Slovakia</t>
        </is>
      </c>
    </row>
    <row r="9771">
      <c r="A9771" t="inlineStr">
        <is>
          <t>Apeiron Bioenergy (Thailand) Co. ,Ltd,  Khlong Sam Sub-district Khlong Luang, Thailand</t>
        </is>
      </c>
      <c r="B9771" t="inlineStr">
        <is>
          <t>Collecting Point, Trader with Storage</t>
        </is>
      </c>
      <c r="C9771" t="inlineStr">
        <is>
          <t>ASG Cert GmbH, Munich, DE</t>
        </is>
      </c>
      <c r="D9771" t="inlineStr">
        <is>
          <t>01.01.2027</t>
        </is>
      </c>
      <c r="E9771" t="inlineStr">
        <is>
          <t>Thailand</t>
        </is>
      </c>
    </row>
    <row r="9772">
      <c r="A9772" t="inlineStr">
        <is>
          <t>Northern Gulf Services,  Mandeville, United States</t>
        </is>
      </c>
      <c r="B9772" t="inlineStr">
        <is>
          <t>Collecting Point, Trader</t>
        </is>
      </c>
      <c r="C9772" t="inlineStr">
        <is>
          <t>Amspec Iberia SL, Vilagarcia de Arousa-Pontevedra, ES</t>
        </is>
      </c>
      <c r="D9772" t="inlineStr">
        <is>
          <t>01.01.2027</t>
        </is>
      </c>
      <c r="E9772" t="inlineStr">
        <is>
          <t>United States</t>
        </is>
      </c>
    </row>
    <row r="9773">
      <c r="A9773" t="inlineStr">
        <is>
          <t>Northern Gulf Services,  Mandeville, United States</t>
        </is>
      </c>
      <c r="B9773" t="inlineStr">
        <is>
          <t>Collecting Point, Trader</t>
        </is>
      </c>
      <c r="C9773" t="inlineStr">
        <is>
          <t>Amspec Iberia SL, Vilagarcia de Arousa-Pontevedra, ES</t>
        </is>
      </c>
      <c r="D9773" t="inlineStr">
        <is>
          <t>01.01.2027</t>
        </is>
      </c>
      <c r="E9773" t="inlineStr">
        <is>
          <t>United States</t>
        </is>
      </c>
    </row>
    <row r="9774">
      <c r="A9774" t="inlineStr">
        <is>
          <t>Northern Gulf Services,  Mandeville, United States</t>
        </is>
      </c>
      <c r="B9774" t="inlineStr">
        <is>
          <t>Collecting Point, Trader</t>
        </is>
      </c>
      <c r="C9774" t="inlineStr">
        <is>
          <t>Amspec Iberia SL, Vilagarcia de Arousa-Pontevedra, ES</t>
        </is>
      </c>
      <c r="D9774" t="inlineStr">
        <is>
          <t>01.01.2027</t>
        </is>
      </c>
      <c r="E9774" t="inlineStr">
        <is>
          <t>United States</t>
        </is>
      </c>
    </row>
    <row r="9775">
      <c r="A9775" t="inlineStr">
        <is>
          <t>BioCirc Ringsted Biogas,  Ringsted, Denmark</t>
        </is>
      </c>
      <c r="B9775" t="inlineStr">
        <is>
          <t>Collecting Point, First Gathering Point, Processing Unit</t>
        </is>
      </c>
      <c r="C9775" t="inlineStr">
        <is>
          <t>Baltic Control Certification, Risskov, DK</t>
        </is>
      </c>
      <c r="D9775" t="inlineStr">
        <is>
          <t>01.01.2027</t>
        </is>
      </c>
      <c r="E9775" t="inlineStr">
        <is>
          <t>Denmark</t>
        </is>
      </c>
    </row>
    <row r="9776">
      <c r="A9776" t="inlineStr">
        <is>
          <t>Teknor Germany GmbH,  Rothenburg ob der Tauber, Germany</t>
        </is>
      </c>
      <c r="B9776" t="inlineStr">
        <is>
          <t>Processing Unit</t>
        </is>
      </c>
      <c r="C9776" t="inlineStr">
        <is>
          <t>DEKRA Certification B.V., Arnhem, NL</t>
        </is>
      </c>
      <c r="D9776" t="inlineStr">
        <is>
          <t>01.01.2027</t>
        </is>
      </c>
      <c r="E9776" t="inlineStr">
        <is>
          <t>Germany</t>
        </is>
      </c>
    </row>
    <row r="9777">
      <c r="A9777" t="inlineStr">
        <is>
          <t>Saksa OOD,  Novi Iskar, Bulgaria</t>
        </is>
      </c>
      <c r="B9777" t="inlineStr">
        <is>
          <t>Trader with Storage</t>
        </is>
      </c>
      <c r="C9777" t="inlineStr">
        <is>
          <t>Bureau Veritas Polska Sp. z o.o., Warsaw, PL</t>
        </is>
      </c>
      <c r="D9777" t="inlineStr">
        <is>
          <t>01.01.2027</t>
        </is>
      </c>
      <c r="E9777" t="inlineStr">
        <is>
          <t>Bulgaria</t>
        </is>
      </c>
    </row>
    <row r="9778">
      <c r="A9778" t="inlineStr">
        <is>
          <t>COCALQUI - COOPERATIVA DE TRABALHO DA INDUSTRIA DE CALCADOS DE QUIXERAMOBIM LTDA,  QUIXERAMOBIM, Brazil</t>
        </is>
      </c>
      <c r="B9778" t="inlineStr">
        <is>
          <t>Processing Unit</t>
        </is>
      </c>
      <c r="C9778" t="inlineStr">
        <is>
          <t>QIMA, Centro, Botucatu - SP, CEP, BR</t>
        </is>
      </c>
      <c r="D9778" t="inlineStr">
        <is>
          <t>01.01.2027</t>
        </is>
      </c>
      <c r="E9778" t="inlineStr">
        <is>
          <t>Brazil</t>
        </is>
      </c>
    </row>
    <row r="9779">
      <c r="A9779" t="inlineStr">
        <is>
          <t>ANIGER - CALCADOS, SUPRIMENTOS E EMPREENDIMENTOS LTDA,  QUIXERAMOBIM, Brazil</t>
        </is>
      </c>
      <c r="B9779" t="inlineStr">
        <is>
          <t>Processing Unit</t>
        </is>
      </c>
      <c r="C9779" t="inlineStr">
        <is>
          <t>QIMA, Centro, Botucatu - SP, CEP, BR</t>
        </is>
      </c>
      <c r="D9779" t="inlineStr">
        <is>
          <t>01.01.2027</t>
        </is>
      </c>
      <c r="E9779" t="inlineStr">
        <is>
          <t>Brazil</t>
        </is>
      </c>
    </row>
    <row r="9780">
      <c r="A9780" t="inlineStr">
        <is>
          <t>Vita Baltic International UAB,  Jurkiškių k., Alytaus raj., Lithuania</t>
        </is>
      </c>
      <c r="B9780" t="inlineStr">
        <is>
          <t>Processing Unit</t>
        </is>
      </c>
      <c r="C9780" t="inlineStr">
        <is>
          <t>BM Certification, Riga, LV</t>
        </is>
      </c>
      <c r="D9780" t="inlineStr">
        <is>
          <t>01.01.2027</t>
        </is>
      </c>
      <c r="E9780" t="inlineStr">
        <is>
          <t>Lithuania</t>
        </is>
      </c>
    </row>
    <row r="9781">
      <c r="A9781" t="inlineStr">
        <is>
          <t>PT Bumi Mas Agro - Benuang POM,  Kabupaten Kutai Timur, Indonesia</t>
        </is>
      </c>
      <c r="B9781" t="inlineStr">
        <is>
          <t>First Gathering Point, Processing Unit</t>
        </is>
      </c>
      <c r="C9781" t="inlineStr">
        <is>
          <t>ASG Cert GmbH, Munich, DE</t>
        </is>
      </c>
      <c r="D9781" t="inlineStr">
        <is>
          <t>01.01.2027</t>
        </is>
      </c>
      <c r="E9781" t="inlineStr">
        <is>
          <t>Indonesia</t>
        </is>
      </c>
    </row>
    <row r="9782">
      <c r="A9782" t="inlineStr">
        <is>
          <t>Mewah Oils &amp; Fats Pte Ltd,  5, International Business Park, Singapore, Singapore</t>
        </is>
      </c>
      <c r="B9782" t="inlineStr">
        <is>
          <t>Trader</t>
        </is>
      </c>
      <c r="C9782" t="inlineStr">
        <is>
          <t>ASG Cert GmbH, Munich, DE</t>
        </is>
      </c>
      <c r="D9782" t="inlineStr">
        <is>
          <t>01.01.2027</t>
        </is>
      </c>
      <c r="E9782" t="inlineStr">
        <is>
          <t>Singapore</t>
        </is>
      </c>
    </row>
    <row r="9783">
      <c r="A9783" t="inlineStr">
        <is>
          <t>GREEN WORLD COMPOUNDING,  ALHAMA DE MURCIA, Spain</t>
        </is>
      </c>
      <c r="B9783" t="inlineStr">
        <is>
          <t>Collecting Point, Processing Unit</t>
        </is>
      </c>
      <c r="C9783" t="inlineStr">
        <is>
          <t>PT Intertek Utama Services, Jakarta, ID</t>
        </is>
      </c>
      <c r="D9783" t="inlineStr">
        <is>
          <t>01.01.2027</t>
        </is>
      </c>
      <c r="E9783" t="inlineStr">
        <is>
          <t>Spain</t>
        </is>
      </c>
    </row>
    <row r="9784">
      <c r="A9784" t="inlineStr">
        <is>
          <t>ELECTRABEL SA,  BRUXELLES, Belgium</t>
        </is>
      </c>
      <c r="B9784" t="inlineStr">
        <is>
          <t>Trader</t>
        </is>
      </c>
      <c r="C9784" t="inlineStr">
        <is>
          <t>Double Helix Tracking Technologies Pte Ltd, Singapore, SG</t>
        </is>
      </c>
      <c r="D9784" t="inlineStr">
        <is>
          <t>01.01.2027</t>
        </is>
      </c>
      <c r="E9784" t="inlineStr">
        <is>
          <t>Belgium</t>
        </is>
      </c>
    </row>
    <row r="9785">
      <c r="A9785" t="inlineStr">
        <is>
          <t>LUU DANH IMPORT EXPORT COMPANY LIMITED,  Phuoc Long Ward, Vietnam</t>
        </is>
      </c>
      <c r="B9785" t="inlineStr">
        <is>
          <t>Collecting Point, Processing Unit</t>
        </is>
      </c>
      <c r="C9785" t="inlineStr">
        <is>
          <t>BM Certification, Riga, LV</t>
        </is>
      </c>
      <c r="D9785" t="inlineStr">
        <is>
          <t>01.01.2027</t>
        </is>
      </c>
      <c r="E9785" t="inlineStr">
        <is>
          <t>Vietnam</t>
        </is>
      </c>
    </row>
    <row r="9786">
      <c r="A9786" t="inlineStr">
        <is>
          <t>EXTRACTORA QUEVEPALMA S.A.,  Quevedo, Ecuador</t>
        </is>
      </c>
      <c r="B9786" t="inlineStr">
        <is>
          <t>Point of Origin</t>
        </is>
      </c>
      <c r="C9786" t="inlineStr">
        <is>
          <t>Control Union Poland Sp. z o.o., Zielona Gora, PL</t>
        </is>
      </c>
      <c r="D9786" t="inlineStr">
        <is>
          <t>01.01.2027</t>
        </is>
      </c>
      <c r="E9786" t="inlineStr">
        <is>
          <t>Ecuador</t>
        </is>
      </c>
    </row>
    <row r="9787">
      <c r="A9787" t="inlineStr">
        <is>
          <t>TIMURAN KEMBANGAN SDN BHD,  KUCHING, Malaysia</t>
        </is>
      </c>
      <c r="B9787" t="inlineStr">
        <is>
          <t>Collecting Point, Trader with Storage</t>
        </is>
      </c>
      <c r="C9787" t="inlineStr">
        <is>
          <t>Trans Certification and Inspection Sdn Bhd, Kuantan, MY</t>
        </is>
      </c>
      <c r="D9787" t="inlineStr">
        <is>
          <t>01.01.2027</t>
        </is>
      </c>
      <c r="E9787" t="inlineStr">
        <is>
          <t>Malaysia</t>
        </is>
      </c>
    </row>
    <row r="9788">
      <c r="A9788" t="inlineStr">
        <is>
          <t>BEBLANC INEOL,  L Isle Sur la Sorgue, France</t>
        </is>
      </c>
      <c r="B9788" t="inlineStr">
        <is>
          <t>Collecting Point</t>
        </is>
      </c>
      <c r="C9788" t="inlineStr">
        <is>
          <t>Control Union Certifications Germany GmbH, Berlin, DE</t>
        </is>
      </c>
      <c r="D9788" t="inlineStr">
        <is>
          <t>01.01.2027</t>
        </is>
      </c>
      <c r="E9788" t="inlineStr">
        <is>
          <t>France</t>
        </is>
      </c>
    </row>
    <row r="9789">
      <c r="A9789" t="inlineStr">
        <is>
          <t>ORLEN Unipetrol Slovakia s. r. o.,  Bratislava, Slovakia</t>
        </is>
      </c>
      <c r="B9789" t="inlineStr">
        <is>
          <t>Trader with Storage</t>
        </is>
      </c>
      <c r="C9789" t="inlineStr">
        <is>
          <t>TÜV SÜD Czech s.r.o., Praha 4, CZ</t>
        </is>
      </c>
      <c r="D9789" t="inlineStr">
        <is>
          <t>01.01.2027</t>
        </is>
      </c>
      <c r="E9789" t="inlineStr">
        <is>
          <t>Slovakia</t>
        </is>
      </c>
    </row>
    <row r="9790">
      <c r="A9790" t="inlineStr">
        <is>
          <t>Econ KF, s.r.o.,  Hertník, Slovakia</t>
        </is>
      </c>
      <c r="B9790" t="inlineStr">
        <is>
          <t>Collecting Point, First Gathering Point, Processing Unit</t>
        </is>
      </c>
      <c r="C9790" t="inlineStr">
        <is>
          <t>TÜV SÜD Czech s.r.o., Praha 4, CZ</t>
        </is>
      </c>
      <c r="D9790" t="inlineStr">
        <is>
          <t>31.12.2026</t>
        </is>
      </c>
      <c r="E9790" t="inlineStr">
        <is>
          <t>Slovakia</t>
        </is>
      </c>
    </row>
    <row r="9791">
      <c r="A9791" t="inlineStr">
        <is>
          <t>Genting Oil Mills (Sabah) Sdn Bhd - Genting Sabapalm Oil Mill,  Beluran, Sandakan, Malaysia</t>
        </is>
      </c>
      <c r="B9791" t="inlineStr">
        <is>
          <t>First Gathering Point, Processing Unit</t>
        </is>
      </c>
      <c r="C9791" t="inlineStr">
        <is>
          <t>ASG Cert GmbH, Munich, DE</t>
        </is>
      </c>
      <c r="D9791" t="inlineStr">
        <is>
          <t>31.12.2026</t>
        </is>
      </c>
      <c r="E9791" t="inlineStr">
        <is>
          <t>Malaysia</t>
        </is>
      </c>
    </row>
    <row r="9792">
      <c r="A9792" t="inlineStr">
        <is>
          <t>Irplast Spa,  Atessa, Italy</t>
        </is>
      </c>
      <c r="B9792" t="inlineStr">
        <is>
          <t>Processing Unit</t>
        </is>
      </c>
      <c r="C9792" t="inlineStr">
        <is>
          <t>ICIM SpA, sesto san giovanni, IT</t>
        </is>
      </c>
      <c r="D9792" t="inlineStr">
        <is>
          <t>31.12.2026</t>
        </is>
      </c>
      <c r="E9792" t="inlineStr">
        <is>
          <t>Italy</t>
        </is>
      </c>
    </row>
    <row r="9793">
      <c r="A9793" t="inlineStr">
        <is>
          <t>Irplast,  Atessa, Italy</t>
        </is>
      </c>
      <c r="B9793" t="inlineStr">
        <is>
          <t>Processing Unit, Trader with Storage</t>
        </is>
      </c>
      <c r="C9793" t="inlineStr">
        <is>
          <t>ICIM SpA, sesto san giovanni, IT</t>
        </is>
      </c>
      <c r="D9793" t="inlineStr">
        <is>
          <t>31.12.2026</t>
        </is>
      </c>
      <c r="E9793" t="inlineStr">
        <is>
          <t>Italy</t>
        </is>
      </c>
    </row>
    <row r="9794">
      <c r="A9794" t="inlineStr">
        <is>
          <t>IRPLAST,  Atessa, Italy</t>
        </is>
      </c>
      <c r="B9794" t="inlineStr">
        <is>
          <t>Processing Unit</t>
        </is>
      </c>
      <c r="C9794" t="inlineStr">
        <is>
          <t>ICIM SpA, sesto san giovanni, IT</t>
        </is>
      </c>
      <c r="D9794" t="inlineStr">
        <is>
          <t>31.12.2026</t>
        </is>
      </c>
      <c r="E9794" t="inlineStr">
        <is>
          <t>Italy</t>
        </is>
      </c>
    </row>
    <row r="9795">
      <c r="A9795" t="inlineStr">
        <is>
          <t>Biokraft Södertörn AB,  Huddinge, Sweden</t>
        </is>
      </c>
      <c r="B9795" t="inlineStr">
        <is>
          <t>Collecting Point, Processing Unit</t>
        </is>
      </c>
      <c r="C9795" t="inlineStr">
        <is>
          <t>DEKRA Certification B.V., Arnhem, NL</t>
        </is>
      </c>
      <c r="D9795" t="inlineStr">
        <is>
          <t>31.12.2026</t>
        </is>
      </c>
      <c r="E9795" t="inlineStr">
        <is>
          <t>Sweden</t>
        </is>
      </c>
    </row>
    <row r="9796">
      <c r="A9796" t="inlineStr">
        <is>
          <t>VA SYD,  Lund, Sweden</t>
        </is>
      </c>
      <c r="B9796" t="inlineStr">
        <is>
          <t>Point of Origin, Collecting Point, Processing Unit</t>
        </is>
      </c>
      <c r="C9796" t="inlineStr">
        <is>
          <t>DEKRA Certification B.V., Arnhem, NL</t>
        </is>
      </c>
      <c r="D9796" t="inlineStr">
        <is>
          <t>31.12.2026</t>
        </is>
      </c>
      <c r="E9796" t="inlineStr">
        <is>
          <t>Sweden</t>
        </is>
      </c>
    </row>
    <row r="9797">
      <c r="A9797" t="inlineStr">
        <is>
          <t>Stockholm Vatten AB,  Nacka, Sweden</t>
        </is>
      </c>
      <c r="B9797" t="inlineStr">
        <is>
          <t>Point of Origin, Processing Unit</t>
        </is>
      </c>
      <c r="C9797" t="inlineStr">
        <is>
          <t>DEKRA Certification B.V., Arnhem, NL</t>
        </is>
      </c>
      <c r="D9797" t="inlineStr">
        <is>
          <t>31.12.2026</t>
        </is>
      </c>
      <c r="E9797" t="inlineStr">
        <is>
          <t>Sweden</t>
        </is>
      </c>
    </row>
    <row r="9798">
      <c r="A9798" t="inlineStr">
        <is>
          <t>St1 Biokraft Stockholm AB,  Stockholm, Sweden</t>
        </is>
      </c>
      <c r="B9798" t="inlineStr">
        <is>
          <t>Trader, Processing Unit</t>
        </is>
      </c>
      <c r="C9798" t="inlineStr">
        <is>
          <t>DEKRA Certification B.V., Arnhem, NL</t>
        </is>
      </c>
      <c r="D9798" t="inlineStr">
        <is>
          <t>31.12.2026</t>
        </is>
      </c>
      <c r="E9798" t="inlineStr">
        <is>
          <t>Sweden</t>
        </is>
      </c>
    </row>
    <row r="9799">
      <c r="A9799" t="inlineStr">
        <is>
          <t>Biokraft Recycling Stockholm AB,  Stockholm, Huddinge, Sweden</t>
        </is>
      </c>
      <c r="B9799" t="inlineStr">
        <is>
          <t>Collecting Point</t>
        </is>
      </c>
      <c r="C9799" t="inlineStr">
        <is>
          <t>DEKRA Certification B.V., Arnhem, NL</t>
        </is>
      </c>
      <c r="D9799" t="inlineStr">
        <is>
          <t>31.12.2026</t>
        </is>
      </c>
      <c r="E9799" t="inlineStr">
        <is>
          <t>Sweden</t>
        </is>
      </c>
    </row>
    <row r="9800">
      <c r="A9800" t="inlineStr">
        <is>
          <t>HELLENIC AVIATION FUELS COMPANY,  SPATA, Greece</t>
        </is>
      </c>
      <c r="B9800" t="inlineStr">
        <is>
          <t>Trader with Storage</t>
        </is>
      </c>
      <c r="C9800" t="inlineStr">
        <is>
          <t>Eurocert SA, Metamorfosi, Athens, GR</t>
        </is>
      </c>
      <c r="D9800" t="inlineStr">
        <is>
          <t>31.12.2026</t>
        </is>
      </c>
      <c r="E9800" t="inlineStr">
        <is>
          <t>Greece</t>
        </is>
      </c>
    </row>
    <row r="9801">
      <c r="A9801" t="inlineStr">
        <is>
          <t>U.S. Venture, Inc.,  Appleton, United States</t>
        </is>
      </c>
      <c r="B9801" t="inlineStr">
        <is>
          <t>Trader</t>
        </is>
      </c>
      <c r="C9801" t="inlineStr">
        <is>
          <t>SCS Global Services, Emeryville, CA, US</t>
        </is>
      </c>
      <c r="D9801" t="inlineStr">
        <is>
          <t>31.12.2026</t>
        </is>
      </c>
      <c r="E9801" t="inlineStr">
        <is>
          <t>United States</t>
        </is>
      </c>
    </row>
    <row r="9802">
      <c r="A9802" t="inlineStr">
        <is>
          <t>U.S. Venture, Inc.,  Appleton, United States</t>
        </is>
      </c>
      <c r="B9802" t="inlineStr">
        <is>
          <t>Trader</t>
        </is>
      </c>
      <c r="C9802" t="inlineStr">
        <is>
          <t>SCS Global Services, Emeryville, CA, US</t>
        </is>
      </c>
      <c r="D9802" t="inlineStr">
        <is>
          <t>31.12.2026</t>
        </is>
      </c>
      <c r="E9802" t="inlineStr">
        <is>
          <t>United States</t>
        </is>
      </c>
    </row>
    <row r="9803">
      <c r="A9803" t="inlineStr">
        <is>
          <t>Fort Bend Power Producers, LLC,  Needville, TX, United States</t>
        </is>
      </c>
      <c r="B9803" t="inlineStr">
        <is>
          <t>Collecting Point, Processing Unit</t>
        </is>
      </c>
      <c r="C9803" t="inlineStr">
        <is>
          <t>SCS Global Services, Emeryville, CA, US</t>
        </is>
      </c>
      <c r="D9803" t="inlineStr">
        <is>
          <t>31.12.2026</t>
        </is>
      </c>
      <c r="E9803" t="inlineStr">
        <is>
          <t>United States</t>
        </is>
      </c>
    </row>
    <row r="9804">
      <c r="A9804" t="inlineStr">
        <is>
          <t>Handelmaatschappij Oliko B.V.,  Enschede, Netherlands</t>
        </is>
      </c>
      <c r="B9804" t="inlineStr">
        <is>
          <t>Trader with Storage</t>
        </is>
      </c>
      <c r="C9804" t="inlineStr">
        <is>
          <t>Normec QS BV, Bennekom, NL</t>
        </is>
      </c>
      <c r="D9804" t="inlineStr">
        <is>
          <t>31.12.2026</t>
        </is>
      </c>
      <c r="E9804" t="inlineStr">
        <is>
          <t>Netherlands</t>
        </is>
      </c>
    </row>
    <row r="9805">
      <c r="A9805" t="inlineStr">
        <is>
          <t>PRIMAGAS,  Praha 4, Czech Republic</t>
        </is>
      </c>
      <c r="B9805" t="inlineStr">
        <is>
          <t>Trader with Storage</t>
        </is>
      </c>
      <c r="C9805" t="inlineStr">
        <is>
          <t>TÜV SÜD Czech s.r.o., Praha 4, CZ</t>
        </is>
      </c>
      <c r="D9805" t="inlineStr">
        <is>
          <t>31.12.2026</t>
        </is>
      </c>
      <c r="E9805" t="inlineStr">
        <is>
          <t>Czech Republic</t>
        </is>
      </c>
    </row>
    <row r="9806">
      <c r="A9806" t="inlineStr">
        <is>
          <t>ATEMAX France,  Le Passage d'Agen, France</t>
        </is>
      </c>
      <c r="B9806" t="inlineStr">
        <is>
          <t>Point of Origin, Processing Unit</t>
        </is>
      </c>
      <c r="C9806" t="inlineStr">
        <is>
          <t>Control Union Certifications Germany GmbH, Berlin, DE</t>
        </is>
      </c>
      <c r="D9806" t="inlineStr">
        <is>
          <t>31.12.2026</t>
        </is>
      </c>
      <c r="E9806" t="inlineStr">
        <is>
          <t>France</t>
        </is>
      </c>
    </row>
    <row r="9807">
      <c r="A9807" t="inlineStr">
        <is>
          <t>REG Seneca, LLC,  Seneca, United States</t>
        </is>
      </c>
      <c r="B9807" t="inlineStr">
        <is>
          <t>Collecting Point, Processing Unit</t>
        </is>
      </c>
      <c r="C9807" t="inlineStr">
        <is>
          <t>SCS Global Services, Emeryville, CA, US</t>
        </is>
      </c>
      <c r="D9807" t="inlineStr">
        <is>
          <t>31.12.2026</t>
        </is>
      </c>
      <c r="E9807" t="inlineStr">
        <is>
          <t>United States</t>
        </is>
      </c>
    </row>
    <row r="9808">
      <c r="A9808" t="inlineStr">
        <is>
          <t>REG Seneca, LLC,  Seneca, United States</t>
        </is>
      </c>
      <c r="B9808" t="inlineStr">
        <is>
          <t>Collecting Point, Processing Unit</t>
        </is>
      </c>
      <c r="C9808" t="inlineStr">
        <is>
          <t>SCS Global Services, Emeryville, CA, US</t>
        </is>
      </c>
      <c r="D9808" t="inlineStr">
        <is>
          <t>31.12.2026</t>
        </is>
      </c>
      <c r="E9808" t="inlineStr">
        <is>
          <t>United States</t>
        </is>
      </c>
    </row>
    <row r="9809">
      <c r="A9809" t="inlineStr">
        <is>
          <t>City of Dodge City,  Dodge City, Kansas, United States</t>
        </is>
      </c>
      <c r="B9809" t="inlineStr">
        <is>
          <t>Collecting Point, Point of Origin, Processing Unit</t>
        </is>
      </c>
      <c r="C9809" t="inlineStr">
        <is>
          <t>SCS Global Services, Emeryville, CA, US</t>
        </is>
      </c>
      <c r="D9809" t="inlineStr">
        <is>
          <t>31.12.2026</t>
        </is>
      </c>
      <c r="E9809" t="inlineStr">
        <is>
          <t>United States</t>
        </is>
      </c>
    </row>
    <row r="9810">
      <c r="A9810" t="inlineStr">
        <is>
          <t>City of Dodge City,  Dodge City, Kansas, United States</t>
        </is>
      </c>
      <c r="B9810" t="inlineStr">
        <is>
          <t>Collecting Point, Point of Origin, Processing Unit</t>
        </is>
      </c>
      <c r="C9810" t="inlineStr">
        <is>
          <t>SCS Global Services, Emeryville, CA, US</t>
        </is>
      </c>
      <c r="D9810" t="inlineStr">
        <is>
          <t>31.12.2026</t>
        </is>
      </c>
      <c r="E9810" t="inlineStr">
        <is>
          <t>United States</t>
        </is>
      </c>
    </row>
    <row r="9811">
      <c r="A9811" t="inlineStr">
        <is>
          <t>EcoCeres Singapore Pte. Ltd.,  Singapore, Singapore</t>
        </is>
      </c>
      <c r="B9811" t="inlineStr">
        <is>
          <t>Trader with Storage</t>
        </is>
      </c>
      <c r="C9811" t="inlineStr">
        <is>
          <t>Control Union Certifications Germany GmbH, Berlin, DE</t>
        </is>
      </c>
      <c r="D9811" t="inlineStr">
        <is>
          <t>31.12.2026</t>
        </is>
      </c>
      <c r="E9811" t="inlineStr">
        <is>
          <t>Singapore</t>
        </is>
      </c>
    </row>
    <row r="9812">
      <c r="A9812" t="inlineStr">
        <is>
          <t>EcoCeres Singapore Pte. Ltd.,  Singapore, Singapore</t>
        </is>
      </c>
      <c r="B9812" t="inlineStr">
        <is>
          <t>Trader with Storage</t>
        </is>
      </c>
      <c r="C9812" t="inlineStr">
        <is>
          <t>Control Union Certifications Germany GmbH, Berlin, DE</t>
        </is>
      </c>
      <c r="D9812" t="inlineStr">
        <is>
          <t>31.12.2026</t>
        </is>
      </c>
      <c r="E9812" t="inlineStr">
        <is>
          <t>Singapore</t>
        </is>
      </c>
    </row>
    <row r="9813">
      <c r="A9813" t="inlineStr">
        <is>
          <t>EcoCeres Singapore Pte. Ltd.,  Singapore, Singapore</t>
        </is>
      </c>
      <c r="B9813" t="inlineStr">
        <is>
          <t>Trader with Storage</t>
        </is>
      </c>
      <c r="C9813" t="inlineStr">
        <is>
          <t>Control Union Certifications Germany GmbH, Berlin, DE</t>
        </is>
      </c>
      <c r="D9813" t="inlineStr">
        <is>
          <t>31.12.2026</t>
        </is>
      </c>
      <c r="E9813" t="inlineStr">
        <is>
          <t>Singapore</t>
        </is>
      </c>
    </row>
    <row r="9814">
      <c r="A9814" t="inlineStr">
        <is>
          <t>Wielink Co-Producten,  Dronten, Netherlands</t>
        </is>
      </c>
      <c r="B9814" t="inlineStr">
        <is>
          <t>Collecting Point, Trader</t>
        </is>
      </c>
      <c r="C9814" t="inlineStr">
        <is>
          <t>Normec QS BV, Bennekom, NL</t>
        </is>
      </c>
      <c r="D9814" t="inlineStr">
        <is>
          <t>31.12.2026</t>
        </is>
      </c>
      <c r="E9814" t="inlineStr">
        <is>
          <t>Netherlands</t>
        </is>
      </c>
    </row>
    <row r="9815">
      <c r="A9815" t="inlineStr">
        <is>
          <t>Renewable Feed Singapore Pte. Ltd.,  Singapore, Singapore</t>
        </is>
      </c>
      <c r="B9815" t="inlineStr">
        <is>
          <t>Trader</t>
        </is>
      </c>
      <c r="C9815" t="inlineStr">
        <is>
          <t>Control Union Certifications Germany GmbH, Berlin, DE</t>
        </is>
      </c>
      <c r="D9815" t="inlineStr">
        <is>
          <t>31.12.2026</t>
        </is>
      </c>
      <c r="E9815" t="inlineStr">
        <is>
          <t>Singapore</t>
        </is>
      </c>
    </row>
    <row r="9816">
      <c r="A9816" t="inlineStr">
        <is>
          <t>Renewable Feed Singapore Pte. Ltd.,  Singapore, Singapore</t>
        </is>
      </c>
      <c r="B9816" t="inlineStr">
        <is>
          <t>Trader</t>
        </is>
      </c>
      <c r="C9816" t="inlineStr">
        <is>
          <t>Control Union Certifications Germany GmbH, Berlin, DE</t>
        </is>
      </c>
      <c r="D9816" t="inlineStr">
        <is>
          <t>31.12.2026</t>
        </is>
      </c>
      <c r="E9816" t="inlineStr">
        <is>
          <t>Singapore</t>
        </is>
      </c>
    </row>
    <row r="9817">
      <c r="A9817" t="inlineStr">
        <is>
          <t>Renewable Feed Singapore Pte. Ltd.,  Singapore, Singapore</t>
        </is>
      </c>
      <c r="B9817" t="inlineStr">
        <is>
          <t>Trader</t>
        </is>
      </c>
      <c r="C9817" t="inlineStr">
        <is>
          <t>Control Union Certifications Germany GmbH, Berlin, DE</t>
        </is>
      </c>
      <c r="D9817" t="inlineStr">
        <is>
          <t>31.12.2026</t>
        </is>
      </c>
      <c r="E9817" t="inlineStr">
        <is>
          <t>Singapore</t>
        </is>
      </c>
    </row>
    <row r="9818">
      <c r="A9818" t="inlineStr">
        <is>
          <t>HAVI Logistics Oy,  Vantaa, Finland</t>
        </is>
      </c>
      <c r="B9818" t="inlineStr">
        <is>
          <t>Collecting Point, Trader with Storage</t>
        </is>
      </c>
      <c r="C9818" t="inlineStr">
        <is>
          <t>BM Certification, Riga, LV</t>
        </is>
      </c>
      <c r="D9818" t="inlineStr">
        <is>
          <t>31.12.2026</t>
        </is>
      </c>
      <c r="E9818" t="inlineStr">
        <is>
          <t>Finland</t>
        </is>
      </c>
    </row>
    <row r="9819">
      <c r="A9819" t="inlineStr">
        <is>
          <t>Fort Bend Power Producers, LLC,  Needville, TX, United States</t>
        </is>
      </c>
      <c r="B9819" t="inlineStr">
        <is>
          <t>Collecting Point, Processing Unit</t>
        </is>
      </c>
      <c r="C9819" t="inlineStr">
        <is>
          <t>SCS Global Services, Emeryville, CA, US</t>
        </is>
      </c>
      <c r="D9819" t="inlineStr">
        <is>
          <t>31.12.2026</t>
        </is>
      </c>
      <c r="E9819" t="inlineStr">
        <is>
          <t>United States</t>
        </is>
      </c>
    </row>
    <row r="9820">
      <c r="A9820" t="inlineStr">
        <is>
          <t>Genting Oil Mills (Sabah) Sdn Bhd - Genting Tanjung Oil Mill,  Kinabatangan, Malaysia</t>
        </is>
      </c>
      <c r="B9820" t="inlineStr">
        <is>
          <t>First Gathering Point, Processing Unit</t>
        </is>
      </c>
      <c r="C9820" t="inlineStr">
        <is>
          <t>ASG Cert GmbH, Munich, DE</t>
        </is>
      </c>
      <c r="D9820" t="inlineStr">
        <is>
          <t>31.12.2026</t>
        </is>
      </c>
      <c r="E9820" t="inlineStr">
        <is>
          <t>Malaysia</t>
        </is>
      </c>
    </row>
    <row r="9821">
      <c r="A9821" t="inlineStr">
        <is>
          <t>Aquafin NV,  Dendermonde, Belgium</t>
        </is>
      </c>
      <c r="B9821" t="inlineStr">
        <is>
          <t>Collecting Point, Processing Unit</t>
        </is>
      </c>
      <c r="C9821" t="inlineStr">
        <is>
          <t>Normec QS BV, Bennekom, NL</t>
        </is>
      </c>
      <c r="D9821" t="inlineStr">
        <is>
          <t>30.12.2026</t>
        </is>
      </c>
      <c r="E9821" t="inlineStr">
        <is>
          <t>Belgium</t>
        </is>
      </c>
    </row>
    <row r="9822">
      <c r="A9822" t="inlineStr">
        <is>
          <t>GATE PALM OIL SDN BHD,  KLANG, Malaysia</t>
        </is>
      </c>
      <c r="B9822" t="inlineStr">
        <is>
          <t>Trader</t>
        </is>
      </c>
      <c r="C9822" t="inlineStr">
        <is>
          <t>Trans Certification and Inspection Sdn Bhd, Kuantan, MY</t>
        </is>
      </c>
      <c r="D9822" t="inlineStr">
        <is>
          <t>30.12.2026</t>
        </is>
      </c>
      <c r="E9822" t="inlineStr">
        <is>
          <t>Malaysia</t>
        </is>
      </c>
    </row>
    <row r="9823">
      <c r="A9823" t="inlineStr">
        <is>
          <t>BHG VIET NAM &amp; LUU DANH LIMITED LIABILITY COMPANY,  Phuoc Long Ward, Dong Nai Province, Vietnam</t>
        </is>
      </c>
      <c r="B9823" t="inlineStr">
        <is>
          <t>Processing Unit, Trader with Storage</t>
        </is>
      </c>
      <c r="C9823" t="inlineStr">
        <is>
          <t>BM Certification, Riga, LV</t>
        </is>
      </c>
      <c r="D9823" t="inlineStr">
        <is>
          <t>30.12.2026</t>
        </is>
      </c>
      <c r="E9823" t="inlineStr">
        <is>
          <t>Vietnam</t>
        </is>
      </c>
    </row>
    <row r="9824">
      <c r="A9824" t="inlineStr">
        <is>
          <t>Faerch Belgium NV,  OUD-TURNHOUT, Belgium</t>
        </is>
      </c>
      <c r="B9824" t="inlineStr">
        <is>
          <t>Processing Unit, Trader</t>
        </is>
      </c>
      <c r="C9824" t="inlineStr">
        <is>
          <t>DNV Business Assurance Sweden AB, Solna, SE</t>
        </is>
      </c>
      <c r="D9824" t="inlineStr">
        <is>
          <t>30.12.2026</t>
        </is>
      </c>
      <c r="E9824" t="inlineStr">
        <is>
          <t>Belgium</t>
        </is>
      </c>
    </row>
    <row r="9825">
      <c r="A9825" t="inlineStr">
        <is>
          <t>GSI TRADING HONG KONG LIMITED,  Tsimshatsui, Kowloon, Hong Kong, Hong Kong, SAR, China</t>
        </is>
      </c>
      <c r="B9825" t="inlineStr">
        <is>
          <t>Trader</t>
        </is>
      </c>
      <c r="C9825" t="inlineStr">
        <is>
          <t>Control Union Poland Sp. z o.o., Zielona Gora, PL</t>
        </is>
      </c>
      <c r="D9825" t="inlineStr">
        <is>
          <t>30.12.2026</t>
        </is>
      </c>
      <c r="E9825" t="inlineStr">
        <is>
          <t>China</t>
        </is>
      </c>
    </row>
    <row r="9826">
      <c r="A9826" t="inlineStr">
        <is>
          <t>Bio Oil Development GmbH,  Wien, Austria</t>
        </is>
      </c>
      <c r="B9826" t="inlineStr">
        <is>
          <t>Trader with Storage</t>
        </is>
      </c>
      <c r="C9826" t="inlineStr">
        <is>
          <t>agroVet GmbH, Enzersfeld, AT</t>
        </is>
      </c>
      <c r="D9826" t="inlineStr">
        <is>
          <t>30.12.2026</t>
        </is>
      </c>
      <c r="E9826" t="inlineStr">
        <is>
          <t>Austria</t>
        </is>
      </c>
    </row>
    <row r="9827">
      <c r="A9827" t="inlineStr">
        <is>
          <t>DISTILLERIA BARTIN,  Mottola, Italy</t>
        </is>
      </c>
      <c r="B9827" t="inlineStr">
        <is>
          <t>Collecting Point, Processing Unit</t>
        </is>
      </c>
      <c r="C9827" t="inlineStr">
        <is>
          <t>RINA Services S.p.A., Genova, IT</t>
        </is>
      </c>
      <c r="D9827" t="inlineStr">
        <is>
          <t>30.12.2026</t>
        </is>
      </c>
      <c r="E9827" t="inlineStr">
        <is>
          <t>Italy</t>
        </is>
      </c>
    </row>
    <row r="9828">
      <c r="A9828" t="inlineStr">
        <is>
          <t>Jinhua Jinchen sports equipment Co., Ltd.,  Jinhua City, China</t>
        </is>
      </c>
      <c r="B9828" t="inlineStr">
        <is>
          <t>Final Product Refinement</t>
        </is>
      </c>
      <c r="C9828" t="inlineStr">
        <is>
          <t>Extensive Standard Technical Services Co., Ltd., Hong Kong, CN</t>
        </is>
      </c>
      <c r="D9828" t="inlineStr">
        <is>
          <t>30.12.2026</t>
        </is>
      </c>
      <c r="E9828" t="inlineStr">
        <is>
          <t>China</t>
        </is>
      </c>
    </row>
    <row r="9829">
      <c r="A9829" t="inlineStr">
        <is>
          <t>Vision 26 Optical Manufacturing (Cambodia) Limited,  Siem Reap Province, Cambodia</t>
        </is>
      </c>
      <c r="B9829" t="inlineStr">
        <is>
          <t>Processing Unit</t>
        </is>
      </c>
      <c r="C9829" t="inlineStr">
        <is>
          <t>Extensive Standard Technical Services Co., Ltd., Hong Kong, CN</t>
        </is>
      </c>
      <c r="D9829" t="inlineStr">
        <is>
          <t>30.12.2026</t>
        </is>
      </c>
      <c r="E9829" t="inlineStr">
        <is>
          <t>Cambodia</t>
        </is>
      </c>
    </row>
    <row r="9830">
      <c r="A9830" t="inlineStr">
        <is>
          <t>PT TKG TAEKWANG CIREBON,  Cirebon, Indonesia</t>
        </is>
      </c>
      <c r="B9830" t="inlineStr">
        <is>
          <t>Processing Unit</t>
        </is>
      </c>
      <c r="C9830" t="inlineStr">
        <is>
          <t>PT Intertek Utama Services, Jakarta, ID</t>
        </is>
      </c>
      <c r="D9830" t="inlineStr">
        <is>
          <t>30.12.2026</t>
        </is>
      </c>
      <c r="E9830" t="inlineStr">
        <is>
          <t>Indonesia</t>
        </is>
      </c>
    </row>
    <row r="9831">
      <c r="A9831" t="inlineStr">
        <is>
          <t>Jiangsu Sailboat Petrochemical Co., Ltd.,  Lianyungang, Jiangsu, China</t>
        </is>
      </c>
      <c r="B9831" t="inlineStr">
        <is>
          <t>Point of Origin, Processing Unit</t>
        </is>
      </c>
      <c r="C9831" t="inlineStr">
        <is>
          <t>PT Intertek Utama Services, Jakarta, ID</t>
        </is>
      </c>
      <c r="D9831" t="inlineStr">
        <is>
          <t>30.12.2026</t>
        </is>
      </c>
      <c r="E9831" t="inlineStr">
        <is>
          <t>China</t>
        </is>
      </c>
    </row>
    <row r="9832">
      <c r="A9832" t="inlineStr">
        <is>
          <t>HUBEI XIANGSHENG SHOES CO.,LTD,  Yangxin County, Huangshi City, Hubei Province, China</t>
        </is>
      </c>
      <c r="B9832" t="inlineStr">
        <is>
          <t>Processing Unit</t>
        </is>
      </c>
      <c r="C9832" t="inlineStr">
        <is>
          <t>China Quality Certification Centre Co., Ltd., Beijing, CN</t>
        </is>
      </c>
      <c r="D9832" t="inlineStr">
        <is>
          <t>30.12.2026</t>
        </is>
      </c>
      <c r="E9832" t="inlineStr">
        <is>
          <t>China</t>
        </is>
      </c>
    </row>
    <row r="9833">
      <c r="A9833" t="inlineStr">
        <is>
          <t>PT. Karya Inti Tani,  Kabupaten Ogan Komering Ulu, Indonesia</t>
        </is>
      </c>
      <c r="B9833" t="inlineStr">
        <is>
          <t>Point of Origin</t>
        </is>
      </c>
      <c r="C9833" t="inlineStr">
        <is>
          <t>PT. Qualitas Sertifikasi Indonesia, Jakarta, ID</t>
        </is>
      </c>
      <c r="D9833" t="inlineStr">
        <is>
          <t>30.12.2026</t>
        </is>
      </c>
      <c r="E9833" t="inlineStr">
        <is>
          <t>Indonesia</t>
        </is>
      </c>
    </row>
    <row r="9834">
      <c r="A9834" t="inlineStr">
        <is>
          <t>PT. MUTIARANUSA AGRO SEJAHTERA,  Aek Kota Batu, RantauPrapat, Indonesia</t>
        </is>
      </c>
      <c r="B9834" t="inlineStr">
        <is>
          <t>Point of Origin</t>
        </is>
      </c>
      <c r="C9834" t="inlineStr">
        <is>
          <t>PT SBC Asia Sertifikasi, Kebumen, ID</t>
        </is>
      </c>
      <c r="D9834" t="inlineStr">
        <is>
          <t>30.12.2026</t>
        </is>
      </c>
      <c r="E9834" t="inlineStr">
        <is>
          <t>Indonesia</t>
        </is>
      </c>
    </row>
    <row r="9835">
      <c r="A9835" t="inlineStr">
        <is>
          <t>Heilongjiang Shengguang Agricultural Technology Development Co., Ltd.,  Qiqihar City, Heilongjiang Province, China</t>
        </is>
      </c>
      <c r="B9835" t="inlineStr">
        <is>
          <t>First Gathering Point</t>
        </is>
      </c>
      <c r="C9835" t="inlineStr">
        <is>
          <t>CTI Certification Co. Ltd, Shenzhen, CN</t>
        </is>
      </c>
      <c r="D9835" t="inlineStr">
        <is>
          <t>30.12.2026</t>
        </is>
      </c>
      <c r="E9835" t="inlineStr">
        <is>
          <t>China</t>
        </is>
      </c>
    </row>
    <row r="9836">
      <c r="A9836" t="inlineStr">
        <is>
          <t>Huhtamaki Flexible Packaging Egypt LLC,  6th of October City, Egypt</t>
        </is>
      </c>
      <c r="B9836" t="inlineStr">
        <is>
          <t>Final Product Refinement</t>
        </is>
      </c>
      <c r="C9836" t="inlineStr">
        <is>
          <t>Cotecna India Inspection Pvt Ltd, Kolkata, IN</t>
        </is>
      </c>
      <c r="D9836" t="inlineStr">
        <is>
          <t>30.12.2026</t>
        </is>
      </c>
      <c r="E9836" t="inlineStr">
        <is>
          <t>Egypt</t>
        </is>
      </c>
    </row>
    <row r="9837">
      <c r="A9837" t="inlineStr">
        <is>
          <t>BIOVISION &amp; GREENERGY SDN BHD,  SEGAMAT, Malaysia</t>
        </is>
      </c>
      <c r="B9837" t="inlineStr">
        <is>
          <t>Point of Origin</t>
        </is>
      </c>
      <c r="C9837" t="inlineStr">
        <is>
          <t>PT. CBQA GLOBAL INDONESIA, JAKARTA SELATAN, ID</t>
        </is>
      </c>
      <c r="D9837" t="inlineStr">
        <is>
          <t>30.12.2026</t>
        </is>
      </c>
      <c r="E9837" t="inlineStr">
        <is>
          <t>Malaysia</t>
        </is>
      </c>
    </row>
    <row r="9838">
      <c r="A9838" t="inlineStr">
        <is>
          <t>Verbio India Private Limited,  Sangrur, India</t>
        </is>
      </c>
      <c r="B9838" t="inlineStr">
        <is>
          <t>Central Office (Farms/Plantations), First Gathering Point, Processing Unit</t>
        </is>
      </c>
      <c r="C9838" t="inlineStr">
        <is>
          <t>Double Helix Tracking Technologies Pte Ltd, Singapore, SG</t>
        </is>
      </c>
      <c r="D9838" t="inlineStr">
        <is>
          <t>30.12.2026</t>
        </is>
      </c>
      <c r="E9838" t="inlineStr">
        <is>
          <t>India</t>
        </is>
      </c>
    </row>
    <row r="9839">
      <c r="A9839" t="inlineStr">
        <is>
          <t>Verbio India Private Limited,  Sangrur, India</t>
        </is>
      </c>
      <c r="B9839" t="inlineStr">
        <is>
          <t>Central Office (Farms/Plantations), First Gathering Point, Processing Unit</t>
        </is>
      </c>
      <c r="C9839" t="inlineStr">
        <is>
          <t>Double Helix Tracking Technologies Pte Ltd, Singapore, SG</t>
        </is>
      </c>
      <c r="D9839" t="inlineStr">
        <is>
          <t>30.12.2026</t>
        </is>
      </c>
      <c r="E9839" t="inlineStr">
        <is>
          <t>India</t>
        </is>
      </c>
    </row>
    <row r="9840">
      <c r="A9840" t="inlineStr">
        <is>
          <t>Shandong Guihong Petrochemical Co., Ltd.,  Zibo City, Shandong Province, China</t>
        </is>
      </c>
      <c r="B9840" t="inlineStr">
        <is>
          <t>Trader</t>
        </is>
      </c>
      <c r="C9840" t="inlineStr">
        <is>
          <t>RINA Services S.p.A., Genova, IT</t>
        </is>
      </c>
      <c r="D9840" t="inlineStr">
        <is>
          <t>30.12.2026</t>
        </is>
      </c>
      <c r="E9840" t="inlineStr">
        <is>
          <t>China</t>
        </is>
      </c>
    </row>
    <row r="9841">
      <c r="A9841" t="inlineStr">
        <is>
          <t>SINSUNGONR,  Gyeongsan-si, South Korea</t>
        </is>
      </c>
      <c r="B9841" t="inlineStr">
        <is>
          <t>Collecting Point</t>
        </is>
      </c>
      <c r="C9841" t="inlineStr">
        <is>
          <t>Korean Foundation for Quality, Songpa-gu, Seoul, KR</t>
        </is>
      </c>
      <c r="D9841" t="inlineStr">
        <is>
          <t>30.12.2026</t>
        </is>
      </c>
      <c r="E9841" t="inlineStr">
        <is>
          <t>South Korea</t>
        </is>
      </c>
    </row>
    <row r="9842">
      <c r="A9842" t="inlineStr">
        <is>
          <t>Shandong Guihong Petrochemical Co., Ltd.,  Zibo City, Shandong Province, China</t>
        </is>
      </c>
      <c r="B9842" t="inlineStr">
        <is>
          <t>Trader</t>
        </is>
      </c>
      <c r="C9842" t="inlineStr">
        <is>
          <t>RINA Services S.p.A., Genova, IT</t>
        </is>
      </c>
      <c r="D9842" t="inlineStr">
        <is>
          <t>30.12.2026</t>
        </is>
      </c>
      <c r="E9842" t="inlineStr">
        <is>
          <t>China</t>
        </is>
      </c>
    </row>
    <row r="9843">
      <c r="A9843" t="inlineStr">
        <is>
          <t>LD CARBON,  Gimcheon-si, The Republic of Korea</t>
        </is>
      </c>
      <c r="B9843" t="inlineStr">
        <is>
          <t>Collecting Point, Processing Unit</t>
        </is>
      </c>
      <c r="C9843" t="inlineStr">
        <is>
          <t>Korean Foundation for Quality, Songpa-gu, Seoul, KR</t>
        </is>
      </c>
      <c r="D9843" t="inlineStr">
        <is>
          <t>30.12.2026</t>
        </is>
      </c>
      <c r="E9843" t="inlineStr">
        <is>
          <t>The Republic of Korea</t>
        </is>
      </c>
    </row>
    <row r="9844">
      <c r="A9844" t="inlineStr">
        <is>
          <t>ANEL ANAKYKLOSI EE,  ELLINIKO, Greece</t>
        </is>
      </c>
      <c r="B9844" t="inlineStr">
        <is>
          <t>Collecting Point</t>
        </is>
      </c>
      <c r="C9844" t="inlineStr">
        <is>
          <t>Eurocert SA, Metamorfosi, Athens, GR</t>
        </is>
      </c>
      <c r="D9844" t="inlineStr">
        <is>
          <t>29.12.2026</t>
        </is>
      </c>
      <c r="E9844" t="inlineStr">
        <is>
          <t>Greece</t>
        </is>
      </c>
    </row>
    <row r="9845">
      <c r="A9845" t="inlineStr">
        <is>
          <t>ATVOS BIOENERGIA RIO CLARO S.A.,  Caçu, Brazil</t>
        </is>
      </c>
      <c r="B9845" t="inlineStr">
        <is>
          <t>First Gathering Point, Processing Unit</t>
        </is>
      </c>
      <c r="C9845" t="inlineStr">
        <is>
          <t>Control Union Poland Sp. z o.o., Zielona Gora, PL</t>
        </is>
      </c>
      <c r="D9845" t="inlineStr">
        <is>
          <t>29.12.2026</t>
        </is>
      </c>
      <c r="E9845" t="inlineStr">
        <is>
          <t>Brazil</t>
        </is>
      </c>
    </row>
    <row r="9846">
      <c r="A9846" t="inlineStr">
        <is>
          <t>Leshan Chunyi New Energy Technology Co.,Ltd.,  Leshan City, China</t>
        </is>
      </c>
      <c r="B9846" t="inlineStr">
        <is>
          <t>Collecting Point, Processing Unit, Trader with Storage</t>
        </is>
      </c>
      <c r="C9846" t="inlineStr">
        <is>
          <t>RINA Services S.p.A., Genova, IT</t>
        </is>
      </c>
      <c r="D9846" t="inlineStr">
        <is>
          <t>29.12.2026</t>
        </is>
      </c>
      <c r="E9846" t="inlineStr">
        <is>
          <t>China</t>
        </is>
      </c>
    </row>
    <row r="9847">
      <c r="A9847" t="inlineStr">
        <is>
          <t>Suzhou Huayi Jie Environmental Energy Technology Co.,LTD.,  Suzhou City, Jiangsu Province, China</t>
        </is>
      </c>
      <c r="B9847" t="inlineStr">
        <is>
          <t>Collecting Point, Processing Unit</t>
        </is>
      </c>
      <c r="C9847" t="inlineStr">
        <is>
          <t>RINA Services S.p.A., Genova, IT</t>
        </is>
      </c>
      <c r="D9847" t="inlineStr">
        <is>
          <t>29.12.2026</t>
        </is>
      </c>
      <c r="E9847" t="inlineStr">
        <is>
          <t>China</t>
        </is>
      </c>
    </row>
    <row r="9848">
      <c r="A9848" t="inlineStr">
        <is>
          <t>PetroChina International (Singapore) Pte. Ltd.,  Singapore, Singapore</t>
        </is>
      </c>
      <c r="B9848" t="inlineStr">
        <is>
          <t>Trader with Storage</t>
        </is>
      </c>
      <c r="C9848" t="inlineStr">
        <is>
          <t>SCS Global Services, Emeryville, CA, US</t>
        </is>
      </c>
      <c r="D9848" t="inlineStr">
        <is>
          <t>29.12.2026</t>
        </is>
      </c>
      <c r="E9848" t="inlineStr">
        <is>
          <t>Singapore</t>
        </is>
      </c>
    </row>
    <row r="9849">
      <c r="A9849" t="inlineStr">
        <is>
          <t>Alkagesta Limited,  Sliema, Malta</t>
        </is>
      </c>
      <c r="B9849" t="inlineStr">
        <is>
          <t>Trader</t>
        </is>
      </c>
      <c r="C9849" t="inlineStr">
        <is>
          <t>Bureau Veritas Polska Sp. z o.o., Warsaw, PL</t>
        </is>
      </c>
      <c r="D9849" t="inlineStr">
        <is>
          <t>29.12.2026</t>
        </is>
      </c>
      <c r="E9849" t="inlineStr">
        <is>
          <t>Malta</t>
        </is>
      </c>
    </row>
    <row r="9850">
      <c r="A9850" t="inlineStr">
        <is>
          <t>XIAMEN C&amp;D LIANGYUAN AGRICULTURE CO., LTD.,  Xiamen, Fujian, China</t>
        </is>
      </c>
      <c r="B9850" t="inlineStr">
        <is>
          <t>Trader with Storage</t>
        </is>
      </c>
      <c r="C9850" t="inlineStr">
        <is>
          <t>RINA Services S.p.A., Genova, IT</t>
        </is>
      </c>
      <c r="D9850" t="inlineStr">
        <is>
          <t>29.12.2026</t>
        </is>
      </c>
      <c r="E9850" t="inlineStr">
        <is>
          <t>China</t>
        </is>
      </c>
    </row>
    <row r="9851">
      <c r="A9851" t="inlineStr">
        <is>
          <t>Avient Luxembourg,  Saint-Ouen-l'Aumône, France</t>
        </is>
      </c>
      <c r="B9851" t="inlineStr">
        <is>
          <t>Processing Unit</t>
        </is>
      </c>
      <c r="C9851" t="inlineStr">
        <is>
          <t>Bureau Veritas Polska Sp. z o.o., Warsaw, PL</t>
        </is>
      </c>
      <c r="D9851" t="inlineStr">
        <is>
          <t>29.12.2026</t>
        </is>
      </c>
      <c r="E9851" t="inlineStr">
        <is>
          <t>France</t>
        </is>
      </c>
    </row>
    <row r="9852">
      <c r="A9852" t="inlineStr">
        <is>
          <t>PT Multi Nabati Sulawesi,  Kota Bitung, Provinsi Sulawesi Utara, Indonesia</t>
        </is>
      </c>
      <c r="B9852" t="inlineStr">
        <is>
          <t>Point of Origin</t>
        </is>
      </c>
      <c r="C9852" t="inlineStr">
        <is>
          <t>PT Intertek Utama Services, Jakarta, ID</t>
        </is>
      </c>
      <c r="D9852" t="inlineStr">
        <is>
          <t>29.12.2026</t>
        </is>
      </c>
      <c r="E9852" t="inlineStr">
        <is>
          <t>Indonesia</t>
        </is>
      </c>
    </row>
    <row r="9853">
      <c r="A9853" t="inlineStr">
        <is>
          <t>Uponor Infra AB,  Fristad, Sweden</t>
        </is>
      </c>
      <c r="B9853" t="inlineStr">
        <is>
          <t>Processing Unit, Trader with Storage</t>
        </is>
      </c>
      <c r="C9853" t="inlineStr">
        <is>
          <t>DNV Business Assurance Sweden AB, Solna, SE</t>
        </is>
      </c>
      <c r="D9853" t="inlineStr">
        <is>
          <t>29.12.2026</t>
        </is>
      </c>
      <c r="E9853" t="inlineStr">
        <is>
          <t>Sweden</t>
        </is>
      </c>
    </row>
    <row r="9854">
      <c r="A9854" t="inlineStr">
        <is>
          <t>Peninsula Petroleum S.L.,  Las Marismas de Palmones, Los Barrios, Cadiz, Spain</t>
        </is>
      </c>
      <c r="B9854" t="inlineStr">
        <is>
          <t>Trader with Storage</t>
        </is>
      </c>
      <c r="C9854" t="inlineStr">
        <is>
          <t>DNV Business Assurance Sweden AB, Solna, SE</t>
        </is>
      </c>
      <c r="D9854" t="inlineStr">
        <is>
          <t>29.12.2026</t>
        </is>
      </c>
      <c r="E9854" t="inlineStr">
        <is>
          <t>Spain</t>
        </is>
      </c>
    </row>
    <row r="9855">
      <c r="A9855" t="inlineStr">
        <is>
          <t>Enilive,  Roma, Italy</t>
        </is>
      </c>
      <c r="B9855" t="inlineStr">
        <is>
          <t>Trader with Storage</t>
        </is>
      </c>
      <c r="C9855" t="inlineStr">
        <is>
          <t>RINA Services S.p.A., Genova, IT</t>
        </is>
      </c>
      <c r="D9855" t="inlineStr">
        <is>
          <t>29.12.2026</t>
        </is>
      </c>
      <c r="E9855" t="inlineStr">
        <is>
          <t>Italy</t>
        </is>
      </c>
    </row>
    <row r="9856">
      <c r="A9856" t="inlineStr">
        <is>
          <t>Enilive,  Roma, Italy</t>
        </is>
      </c>
      <c r="B9856" t="inlineStr">
        <is>
          <t>Proof of Compliance Trader, Trader with Storage</t>
        </is>
      </c>
      <c r="C9856" t="inlineStr">
        <is>
          <t>RINA Services S.p.A., Genova, IT</t>
        </is>
      </c>
      <c r="D9856" t="inlineStr">
        <is>
          <t>29.12.2026</t>
        </is>
      </c>
      <c r="E9856" t="inlineStr">
        <is>
          <t>Italy</t>
        </is>
      </c>
    </row>
    <row r="9857">
      <c r="A9857" t="inlineStr">
        <is>
          <t>EG Retail (Netherlands) BV,  Breda, Netherlands</t>
        </is>
      </c>
      <c r="B9857" t="inlineStr">
        <is>
          <t>Trader with Storage</t>
        </is>
      </c>
      <c r="C9857" t="inlineStr">
        <is>
          <t>Control Union Certifications Germany GmbH, Berlin, DE</t>
        </is>
      </c>
      <c r="D9857" t="inlineStr">
        <is>
          <t>29.12.2026</t>
        </is>
      </c>
      <c r="E9857" t="inlineStr">
        <is>
          <t>Netherlands</t>
        </is>
      </c>
    </row>
    <row r="9858">
      <c r="A9858" t="inlineStr">
        <is>
          <t>Braskem Trading &amp; Shipping B.V.,  Rotterdam, The Netherlands</t>
        </is>
      </c>
      <c r="B9858" t="inlineStr">
        <is>
          <t>Trader</t>
        </is>
      </c>
      <c r="C9858" t="inlineStr">
        <is>
          <t>Control Union Certifications Germany GmbH, Berlin, DE</t>
        </is>
      </c>
      <c r="D9858" t="inlineStr">
        <is>
          <t>29.12.2026</t>
        </is>
      </c>
      <c r="E9858" t="inlineStr">
        <is>
          <t>The Netherlands</t>
        </is>
      </c>
    </row>
    <row r="9859">
      <c r="A9859" t="inlineStr">
        <is>
          <t>Bumi Anugerah Sawit,  North Bengkulu Regency, Bengkulu Province, Indonesia</t>
        </is>
      </c>
      <c r="B9859" t="inlineStr">
        <is>
          <t>Point of Origin</t>
        </is>
      </c>
      <c r="C9859" t="inlineStr">
        <is>
          <t>PT. Qualitas Sertifikasi Indonesia, Jakarta, ID</t>
        </is>
      </c>
      <c r="D9859" t="inlineStr">
        <is>
          <t>29.12.2026</t>
        </is>
      </c>
      <c r="E9859" t="inlineStr">
        <is>
          <t>Indonesia</t>
        </is>
      </c>
    </row>
    <row r="9860">
      <c r="A9860" t="inlineStr">
        <is>
          <t>PT Erakarya Mukti Jaya,  Kecamatan Rimba Melintang, Kabupaten Rokan Hilir, Indonesia</t>
        </is>
      </c>
      <c r="B9860" t="inlineStr">
        <is>
          <t>Point of Origin</t>
        </is>
      </c>
      <c r="C9860" t="inlineStr">
        <is>
          <t>PT SBC Asia Sertifikasi, Kebumen, ID</t>
        </is>
      </c>
      <c r="D9860" t="inlineStr">
        <is>
          <t>29.12.2026</t>
        </is>
      </c>
      <c r="E9860" t="inlineStr">
        <is>
          <t>Indonesia</t>
        </is>
      </c>
    </row>
    <row r="9861">
      <c r="A9861" t="inlineStr">
        <is>
          <t>HEALTHY FRIEND LIMITED,  Kowloon Bay, Kowloon, Hong Kong, China</t>
        </is>
      </c>
      <c r="B9861" t="inlineStr">
        <is>
          <t>Trader</t>
        </is>
      </c>
      <c r="C9861" t="inlineStr">
        <is>
          <t>PT Intertek Utama Services, Jakarta, ID</t>
        </is>
      </c>
      <c r="D9861" t="inlineStr">
        <is>
          <t>29.12.2026</t>
        </is>
      </c>
      <c r="E9861" t="inlineStr">
        <is>
          <t>China</t>
        </is>
      </c>
    </row>
    <row r="9862">
      <c r="A9862" t="inlineStr">
        <is>
          <t>Wanhua Chemical (Penglai) Co., Ltd,  Beigou Town, Penglai District, Yantai City, China</t>
        </is>
      </c>
      <c r="B9862" t="inlineStr">
        <is>
          <t>Processing Unit</t>
        </is>
      </c>
      <c r="C9862" t="inlineStr">
        <is>
          <t>PT Intertek Utama Services, Jakarta, ID</t>
        </is>
      </c>
      <c r="D9862" t="inlineStr">
        <is>
          <t>29.12.2026</t>
        </is>
      </c>
      <c r="E9862" t="inlineStr">
        <is>
          <t>China</t>
        </is>
      </c>
    </row>
    <row r="9863">
      <c r="A9863" t="inlineStr">
        <is>
          <t>WANHUA CHEMICAL (NINGBO)TRADING CO.,LTD,  Beilun District, Ningbo City, China</t>
        </is>
      </c>
      <c r="B9863" t="inlineStr">
        <is>
          <t>Trader</t>
        </is>
      </c>
      <c r="C9863" t="inlineStr">
        <is>
          <t>PT Intertek Utama Services, Jakarta, ID</t>
        </is>
      </c>
      <c r="D9863" t="inlineStr">
        <is>
          <t>29.12.2026</t>
        </is>
      </c>
      <c r="E9863" t="inlineStr">
        <is>
          <t>China</t>
        </is>
      </c>
    </row>
    <row r="9864">
      <c r="A9864" t="inlineStr">
        <is>
          <t>Vibac S.p.A.,  Grumento Nova, Viggiano, Potenza, Italy</t>
        </is>
      </c>
      <c r="B9864" t="inlineStr">
        <is>
          <t>Processing Unit</t>
        </is>
      </c>
      <c r="C9864" t="inlineStr">
        <is>
          <t>RINA Services S.p.A., Genova, IT</t>
        </is>
      </c>
      <c r="D9864" t="inlineStr">
        <is>
          <t>29.12.2026</t>
        </is>
      </c>
      <c r="E9864" t="inlineStr">
        <is>
          <t>Italy</t>
        </is>
      </c>
    </row>
    <row r="9865">
      <c r="A9865" t="inlineStr">
        <is>
          <t>Icare Liboxy Optical (Shenzhen) Ltd,  Longgang District, Shenzhen, China</t>
        </is>
      </c>
      <c r="B9865" t="inlineStr">
        <is>
          <t>Processing Unit, Final Product Refinement</t>
        </is>
      </c>
      <c r="C9865" t="inlineStr">
        <is>
          <t>RINA Services S.p.A., Genova, IT</t>
        </is>
      </c>
      <c r="D9865" t="inlineStr">
        <is>
          <t>29.12.2026</t>
        </is>
      </c>
      <c r="E9865" t="inlineStr">
        <is>
          <t>China</t>
        </is>
      </c>
    </row>
    <row r="9866">
      <c r="A9866" t="inlineStr">
        <is>
          <t>Icare (Hong Kong) Company Limited,  Hung Hom, Kowloon, Hong Kong, SAR, China</t>
        </is>
      </c>
      <c r="B9866" t="inlineStr">
        <is>
          <t>Trader</t>
        </is>
      </c>
      <c r="C9866" t="inlineStr">
        <is>
          <t>RINA Services S.p.A., Genova, IT</t>
        </is>
      </c>
      <c r="D9866" t="inlineStr">
        <is>
          <t>29.12.2026</t>
        </is>
      </c>
      <c r="E9866" t="inlineStr">
        <is>
          <t>China</t>
        </is>
      </c>
    </row>
    <row r="9867">
      <c r="A9867" t="inlineStr">
        <is>
          <t>PT. Olein Sawit Lestari,  DKI Jakarta, Indonesia</t>
        </is>
      </c>
      <c r="B9867" t="inlineStr">
        <is>
          <t>Collecting Point, Point of Origin, Processing Unit, Trader with Storage</t>
        </is>
      </c>
      <c r="C9867" t="inlineStr">
        <is>
          <t>PT. Qualitas Sertifikasi Indonesia, Jakarta, ID</t>
        </is>
      </c>
      <c r="D9867" t="inlineStr">
        <is>
          <t>29.12.2026</t>
        </is>
      </c>
      <c r="E9867" t="inlineStr">
        <is>
          <t>Indonesia</t>
        </is>
      </c>
    </row>
    <row r="9868">
      <c r="A9868" t="inlineStr">
        <is>
          <t>Nantong Feizhan Oil Co., Ltd,  Nantong, China</t>
        </is>
      </c>
      <c r="B9868" t="inlineStr">
        <is>
          <t>Collecting Point</t>
        </is>
      </c>
      <c r="C9868" t="inlineStr">
        <is>
          <t>RINA Services S.p.A., Genova, IT</t>
        </is>
      </c>
      <c r="D9868" t="inlineStr">
        <is>
          <t>29.12.2026</t>
        </is>
      </c>
      <c r="E9868" t="inlineStr">
        <is>
          <t>China</t>
        </is>
      </c>
    </row>
    <row r="9869">
      <c r="A9869" t="inlineStr">
        <is>
          <t>Hebei Jinfan Grease Co., Ltd.,  Xinji City, Hebei Province, China</t>
        </is>
      </c>
      <c r="B9869" t="inlineStr">
        <is>
          <t>Collecting Point, Trader with Storage</t>
        </is>
      </c>
      <c r="C9869" t="inlineStr">
        <is>
          <t>RINA Services S.p.A., Genova, IT</t>
        </is>
      </c>
      <c r="D9869" t="inlineStr">
        <is>
          <t>29.12.2026</t>
        </is>
      </c>
      <c r="E9869" t="inlineStr">
        <is>
          <t>China</t>
        </is>
      </c>
    </row>
    <row r="9870">
      <c r="A9870" t="inlineStr">
        <is>
          <t>Zagkotsis Panagiotis,  Lamia, Greece</t>
        </is>
      </c>
      <c r="B9870" t="inlineStr">
        <is>
          <t>Collecting Point</t>
        </is>
      </c>
      <c r="C9870" t="inlineStr">
        <is>
          <t>Eurocert SA, Metamorfosi, Athens, GR</t>
        </is>
      </c>
      <c r="D9870" t="inlineStr">
        <is>
          <t>29.12.2026</t>
        </is>
      </c>
      <c r="E9870" t="inlineStr">
        <is>
          <t>Greece</t>
        </is>
      </c>
    </row>
    <row r="9871">
      <c r="A9871" t="inlineStr">
        <is>
          <t>Rainbow Pellet Sdn Bhd,  Kuala Lipis, Mulim Telang,, Malaysia</t>
        </is>
      </c>
      <c r="B9871" t="inlineStr">
        <is>
          <t>Collecting Point, Processing Unit, Trader with Storage</t>
        </is>
      </c>
      <c r="C9871" t="inlineStr">
        <is>
          <t>Control Union Poland Sp. z o.o., Zielona Gora, PL</t>
        </is>
      </c>
      <c r="D9871" t="inlineStr">
        <is>
          <t>29.12.2026</t>
        </is>
      </c>
      <c r="E9871" t="inlineStr">
        <is>
          <t>Malaysia</t>
        </is>
      </c>
    </row>
    <row r="9872">
      <c r="A9872" t="inlineStr">
        <is>
          <t>Duy Tan Plastics Manufacturing Corporation,  Ho Chi Minh, Vietnam</t>
        </is>
      </c>
      <c r="B9872" t="inlineStr">
        <is>
          <t>Final Product Refinement, Processing Unit</t>
        </is>
      </c>
      <c r="C9872" t="inlineStr">
        <is>
          <t>Bureau Veritas Polska Sp. z o.o., Warsaw, PL</t>
        </is>
      </c>
      <c r="D9872" t="inlineStr">
        <is>
          <t>29.12.2026</t>
        </is>
      </c>
      <c r="E9872" t="inlineStr">
        <is>
          <t>Vietnam</t>
        </is>
      </c>
    </row>
    <row r="9873">
      <c r="A9873" t="inlineStr">
        <is>
          <t>AB Agri Ltd.,  Peterborough, United Kingdom</t>
        </is>
      </c>
      <c r="B9873" t="inlineStr">
        <is>
          <t>Trader, Collecting Point</t>
        </is>
      </c>
      <c r="C9873" t="inlineStr">
        <is>
          <t>Double Helix Tracking Technologies Pte Ltd, Singapore, SG</t>
        </is>
      </c>
      <c r="D9873" t="inlineStr">
        <is>
          <t>29.12.2026</t>
        </is>
      </c>
      <c r="E9873" t="inlineStr">
        <is>
          <t>United Kingdom</t>
        </is>
      </c>
    </row>
    <row r="9874">
      <c r="A9874" t="inlineStr">
        <is>
          <t>VORONOVITSA HPP LLC,  smt. Voronovitsa, Ukraine</t>
        </is>
      </c>
      <c r="B9874" t="inlineStr">
        <is>
          <t>First Gathering Point, Trader with Storage</t>
        </is>
      </c>
      <c r="C9874" t="inlineStr">
        <is>
          <t>BM Certification, Riga, LV</t>
        </is>
      </c>
      <c r="D9874" t="inlineStr">
        <is>
          <t>29.12.2026</t>
        </is>
      </c>
      <c r="E9874" t="inlineStr">
        <is>
          <t>Ukraine</t>
        </is>
      </c>
    </row>
    <row r="9875">
      <c r="A9875" t="inlineStr">
        <is>
          <t>Grandi Molini Italiani S.p.A.,  Livorno, Italy</t>
        </is>
      </c>
      <c r="B9875" t="inlineStr">
        <is>
          <t>Processing Unit</t>
        </is>
      </c>
      <c r="C9875" t="inlineStr">
        <is>
          <t>RINA Services S.p.A., Genova, IT</t>
        </is>
      </c>
      <c r="D9875" t="inlineStr">
        <is>
          <t>29.12.2026</t>
        </is>
      </c>
      <c r="E9875" t="inlineStr">
        <is>
          <t>Italy</t>
        </is>
      </c>
    </row>
    <row r="9876">
      <c r="A9876" t="inlineStr">
        <is>
          <t>ATVOS BIOENERGIA RIO CLARO S.A.,  Caçu, Brazil</t>
        </is>
      </c>
      <c r="B9876" t="inlineStr">
        <is>
          <t>First Gathering Point, Processing Unit</t>
        </is>
      </c>
      <c r="C9876" t="inlineStr">
        <is>
          <t>Control Union Poland Sp. z o.o., Zielona Gora, PL</t>
        </is>
      </c>
      <c r="D9876" t="inlineStr">
        <is>
          <t>29.12.2026</t>
        </is>
      </c>
      <c r="E9876" t="inlineStr">
        <is>
          <t>Brazil</t>
        </is>
      </c>
    </row>
    <row r="9877">
      <c r="A9877" t="inlineStr">
        <is>
          <t>ATVOS BIOENERGIA RIO CLARO S.A.,  Caçu, Brazil</t>
        </is>
      </c>
      <c r="B9877" t="inlineStr">
        <is>
          <t>First Gathering Point, Processing Unit</t>
        </is>
      </c>
      <c r="C9877" t="inlineStr">
        <is>
          <t>Control Union Poland Sp. z o.o., Zielona Gora, PL</t>
        </is>
      </c>
      <c r="D9877" t="inlineStr">
        <is>
          <t>29.12.2026</t>
        </is>
      </c>
      <c r="E9877" t="inlineStr">
        <is>
          <t>Brazil</t>
        </is>
      </c>
    </row>
    <row r="9878">
      <c r="A9878" t="inlineStr">
        <is>
          <t>ATVOS BIOENERGIA RIO CLARO S.A.,  Caçu, Brazil</t>
        </is>
      </c>
      <c r="B9878" t="inlineStr">
        <is>
          <t>First Gathering Point, Processing Unit</t>
        </is>
      </c>
      <c r="C9878" t="inlineStr">
        <is>
          <t>Control Union Poland Sp. z o.o., Zielona Gora, PL</t>
        </is>
      </c>
      <c r="D9878" t="inlineStr">
        <is>
          <t>29.12.2026</t>
        </is>
      </c>
      <c r="E9878" t="inlineStr">
        <is>
          <t>Brazil</t>
        </is>
      </c>
    </row>
    <row r="9879">
      <c r="A9879" t="inlineStr">
        <is>
          <t>GREAT ASCENT TRADING LIMITED,  Nguyet Vien Ward, Thanh Hoa Province, Vietnam</t>
        </is>
      </c>
      <c r="B9879" t="inlineStr">
        <is>
          <t>Final Product Refinement, Processing Unit</t>
        </is>
      </c>
      <c r="C9879" t="inlineStr">
        <is>
          <t>Bureau Veritas Polska Sp. z o.o., Warsaw, PL</t>
        </is>
      </c>
      <c r="D9879" t="inlineStr">
        <is>
          <t>29.12.2026</t>
        </is>
      </c>
      <c r="E9879" t="inlineStr">
        <is>
          <t>Vietnam</t>
        </is>
      </c>
    </row>
    <row r="9880">
      <c r="A9880" t="inlineStr">
        <is>
          <t>SOP Plantations (Murum) Sdn. Bhd. - Metanik Palm Oil Mill,  Belaga, Kapit, Malaysia</t>
        </is>
      </c>
      <c r="B9880" t="inlineStr">
        <is>
          <t>Point of Origin</t>
        </is>
      </c>
      <c r="C9880" t="inlineStr">
        <is>
          <t>ASG Cert GmbH, Munich, DE</t>
        </is>
      </c>
      <c r="D9880" t="inlineStr">
        <is>
          <t>29.12.2026</t>
        </is>
      </c>
      <c r="E9880" t="inlineStr">
        <is>
          <t>Malaysia</t>
        </is>
      </c>
    </row>
    <row r="9881">
      <c r="A9881" t="inlineStr">
        <is>
          <t>Sarawak Oil Palms Bhd,  Miri, Malaysia</t>
        </is>
      </c>
      <c r="B9881" t="inlineStr">
        <is>
          <t>Point of Origin</t>
        </is>
      </c>
      <c r="C9881" t="inlineStr">
        <is>
          <t>ASG Cert GmbH, Munich, DE</t>
        </is>
      </c>
      <c r="D9881" t="inlineStr">
        <is>
          <t>29.12.2026</t>
        </is>
      </c>
      <c r="E9881" t="inlineStr">
        <is>
          <t>Malaysia</t>
        </is>
      </c>
    </row>
    <row r="9882">
      <c r="A9882" t="inlineStr">
        <is>
          <t>Eni Spa,  Livorno - Località Stagno, Italy</t>
        </is>
      </c>
      <c r="B9882" t="inlineStr">
        <is>
          <t>Processing Unit, Trader with Storage, Warehouse</t>
        </is>
      </c>
      <c r="C9882" t="inlineStr">
        <is>
          <t>RINA Services S.p.A., Genova, IT</t>
        </is>
      </c>
      <c r="D9882" t="inlineStr">
        <is>
          <t>28.12.2026</t>
        </is>
      </c>
      <c r="E9882" t="inlineStr">
        <is>
          <t>Italy</t>
        </is>
      </c>
    </row>
    <row r="9883">
      <c r="A9883" t="inlineStr">
        <is>
          <t>Nouryon Chemicals,  Ghlin, Belgium</t>
        </is>
      </c>
      <c r="B9883" t="inlineStr">
        <is>
          <t>Point of Origin</t>
        </is>
      </c>
      <c r="C9883" t="inlineStr">
        <is>
          <t>DNV Business Assurance Sweden AB, Solna, SE</t>
        </is>
      </c>
      <c r="D9883" t="inlineStr">
        <is>
          <t>28.12.2026</t>
        </is>
      </c>
      <c r="E9883" t="inlineStr">
        <is>
          <t>Belgium</t>
        </is>
      </c>
    </row>
    <row r="9884">
      <c r="A9884" t="inlineStr">
        <is>
          <t>AIR LIQUIDE BIOGAS INTERNATIONAL,  Sassenage, France</t>
        </is>
      </c>
      <c r="B9884" t="inlineStr">
        <is>
          <t>Trader</t>
        </is>
      </c>
      <c r="C9884" t="inlineStr">
        <is>
          <t>Certi W Baltic SIA, Riga, LV</t>
        </is>
      </c>
      <c r="D9884" t="inlineStr">
        <is>
          <t>28.12.2026</t>
        </is>
      </c>
      <c r="E9884" t="inlineStr">
        <is>
          <t>France</t>
        </is>
      </c>
    </row>
    <row r="9885">
      <c r="A9885" t="inlineStr">
        <is>
          <t>Shenzhen Jiaminghao glasses Co.,Ltd.,  Shenzhen City, Guangdong Province, China</t>
        </is>
      </c>
      <c r="B9885" t="inlineStr">
        <is>
          <t>Processing Unit</t>
        </is>
      </c>
      <c r="C9885" t="inlineStr">
        <is>
          <t>SCS Global Services, Emeryville, CA, US</t>
        </is>
      </c>
      <c r="D9885" t="inlineStr">
        <is>
          <t>28.12.2026</t>
        </is>
      </c>
      <c r="E9885" t="inlineStr">
        <is>
          <t>China</t>
        </is>
      </c>
    </row>
    <row r="9886">
      <c r="A9886" t="inlineStr">
        <is>
          <t>SOCAR Energy Austria Operating Company GmbH,  Graz-Gössendorf, Austria</t>
        </is>
      </c>
      <c r="B9886" t="inlineStr">
        <is>
          <t>Trader</t>
        </is>
      </c>
      <c r="C9886" t="inlineStr">
        <is>
          <t>BM Certification, Riga, LV</t>
        </is>
      </c>
      <c r="D9886" t="inlineStr">
        <is>
          <t>28.12.2026</t>
        </is>
      </c>
      <c r="E9886" t="inlineStr">
        <is>
          <t>Austria</t>
        </is>
      </c>
    </row>
    <row r="9887">
      <c r="A9887" t="inlineStr">
        <is>
          <t>Colt International Europe,  London, United Kingdom</t>
        </is>
      </c>
      <c r="B9887" t="inlineStr">
        <is>
          <t>Trader</t>
        </is>
      </c>
      <c r="C9887" t="inlineStr">
        <is>
          <t>Control Union Certifications Germany GmbH, Berlin, DE</t>
        </is>
      </c>
      <c r="D9887" t="inlineStr">
        <is>
          <t>28.12.2026</t>
        </is>
      </c>
      <c r="E9887" t="inlineStr">
        <is>
          <t>United Kingdom</t>
        </is>
      </c>
    </row>
    <row r="9888">
      <c r="A9888" t="inlineStr">
        <is>
          <t>Colt International Europe,  London, United Kingdom</t>
        </is>
      </c>
      <c r="B9888" t="inlineStr">
        <is>
          <t>Trader with Storage, Proof of Compliance Trader</t>
        </is>
      </c>
      <c r="C9888" t="inlineStr">
        <is>
          <t>Control Union Certifications Germany GmbH, Berlin, DE</t>
        </is>
      </c>
      <c r="D9888" t="inlineStr">
        <is>
          <t>28.12.2026</t>
        </is>
      </c>
      <c r="E9888" t="inlineStr">
        <is>
          <t>United Kingdom</t>
        </is>
      </c>
    </row>
    <row r="9889">
      <c r="A9889" t="inlineStr">
        <is>
          <t>Gib Oil,  Gibraltar, Gibraltar</t>
        </is>
      </c>
      <c r="B9889" t="inlineStr">
        <is>
          <t>Trader with Storage</t>
        </is>
      </c>
      <c r="C9889" t="inlineStr">
        <is>
          <t>Control Union Certifications Germany GmbH, Berlin, DE</t>
        </is>
      </c>
      <c r="D9889" t="inlineStr">
        <is>
          <t>28.12.2026</t>
        </is>
      </c>
      <c r="E9889" t="inlineStr">
        <is>
          <t>Gibraltar</t>
        </is>
      </c>
    </row>
    <row r="9890">
      <c r="A9890" t="inlineStr">
        <is>
          <t>Henty Oil,  London, United Kingdom</t>
        </is>
      </c>
      <c r="B9890" t="inlineStr">
        <is>
          <t>Trader with Storage, Proof of Compliance Trader</t>
        </is>
      </c>
      <c r="C9890" t="inlineStr">
        <is>
          <t>Control Union Certifications Germany GmbH, Berlin, DE</t>
        </is>
      </c>
      <c r="D9890" t="inlineStr">
        <is>
          <t>28.12.2026</t>
        </is>
      </c>
      <c r="E9890" t="inlineStr">
        <is>
          <t>United Kingdom</t>
        </is>
      </c>
    </row>
    <row r="9891">
      <c r="A9891" t="inlineStr">
        <is>
          <t>Biological - Gestão de Resíduos Industriais, Lda.,  Santo Antão Tojal,, Portugal</t>
        </is>
      </c>
      <c r="B9891" t="inlineStr">
        <is>
          <t>Collecting Point, Trader with Storage</t>
        </is>
      </c>
      <c r="C9891" t="inlineStr">
        <is>
          <t>Certificadora Gallega del Noroeste SL, Vilagarcia de Arousa-Pontevedra, ES</t>
        </is>
      </c>
      <c r="D9891" t="inlineStr">
        <is>
          <t>28.12.2026</t>
        </is>
      </c>
      <c r="E9891" t="inlineStr">
        <is>
          <t>Portugal</t>
        </is>
      </c>
    </row>
    <row r="9892">
      <c r="A9892" t="inlineStr">
        <is>
          <t>Falmouth Petroleum,  London, United Kingdom</t>
        </is>
      </c>
      <c r="B9892" t="inlineStr">
        <is>
          <t>Trader with Storage, Proof of Compliance Trader</t>
        </is>
      </c>
      <c r="C9892" t="inlineStr">
        <is>
          <t>Control Union Certifications Germany GmbH, Berlin, DE</t>
        </is>
      </c>
      <c r="D9892" t="inlineStr">
        <is>
          <t>28.12.2026</t>
        </is>
      </c>
      <c r="E9892" t="inlineStr">
        <is>
          <t>United Kingdom</t>
        </is>
      </c>
    </row>
    <row r="9893">
      <c r="A9893" t="inlineStr">
        <is>
          <t>Tramp Oil Germany,  London, United Kingdom</t>
        </is>
      </c>
      <c r="B9893" t="inlineStr">
        <is>
          <t>Trader with Storage</t>
        </is>
      </c>
      <c r="C9893" t="inlineStr">
        <is>
          <t>Control Union Certifications Germany GmbH, Berlin, DE</t>
        </is>
      </c>
      <c r="D9893" t="inlineStr">
        <is>
          <t>28.12.2026</t>
        </is>
      </c>
      <c r="E9893" t="inlineStr">
        <is>
          <t>United Kingdom</t>
        </is>
      </c>
    </row>
    <row r="9894">
      <c r="A9894" t="inlineStr">
        <is>
          <t>Tramp Oil Germany,  London, United Kingdom</t>
        </is>
      </c>
      <c r="B9894" t="inlineStr">
        <is>
          <t>Trader with Storage, Proof of Compliance Trader</t>
        </is>
      </c>
      <c r="C9894" t="inlineStr">
        <is>
          <t>Control Union Certifications Germany GmbH, Berlin, DE</t>
        </is>
      </c>
      <c r="D9894" t="inlineStr">
        <is>
          <t>28.12.2026</t>
        </is>
      </c>
      <c r="E9894" t="inlineStr">
        <is>
          <t>United Kingdom</t>
        </is>
      </c>
    </row>
    <row r="9895">
      <c r="A9895" t="inlineStr">
        <is>
          <t>World Fuel Services Aviation,  London, United Kingdom</t>
        </is>
      </c>
      <c r="B9895" t="inlineStr">
        <is>
          <t>Trader with Storage</t>
        </is>
      </c>
      <c r="C9895" t="inlineStr">
        <is>
          <t>Control Union Certifications Germany GmbH, Berlin, DE</t>
        </is>
      </c>
      <c r="D9895" t="inlineStr">
        <is>
          <t>28.12.2026</t>
        </is>
      </c>
      <c r="E9895" t="inlineStr">
        <is>
          <t>United Kingdom</t>
        </is>
      </c>
    </row>
    <row r="9896">
      <c r="A9896" t="inlineStr">
        <is>
          <t>World Fuel Services Aviation,  London, United Kingdom</t>
        </is>
      </c>
      <c r="B9896" t="inlineStr">
        <is>
          <t>Trader with Storage, Proof of Compliance Trader</t>
        </is>
      </c>
      <c r="C9896" t="inlineStr">
        <is>
          <t>Control Union Certifications Germany GmbH, Berlin, DE</t>
        </is>
      </c>
      <c r="D9896" t="inlineStr">
        <is>
          <t>28.12.2026</t>
        </is>
      </c>
      <c r="E9896" t="inlineStr">
        <is>
          <t>United Kingdom</t>
        </is>
      </c>
    </row>
    <row r="9897">
      <c r="A9897" t="inlineStr">
        <is>
          <t>World Fuel Services France,  London, United Kingdom</t>
        </is>
      </c>
      <c r="B9897" t="inlineStr">
        <is>
          <t>Trader with Storage</t>
        </is>
      </c>
      <c r="C9897" t="inlineStr">
        <is>
          <t>Control Union Certifications Germany GmbH, Berlin, DE</t>
        </is>
      </c>
      <c r="D9897" t="inlineStr">
        <is>
          <t>28.12.2026</t>
        </is>
      </c>
      <c r="E9897" t="inlineStr">
        <is>
          <t>United Kingdom</t>
        </is>
      </c>
    </row>
    <row r="9898">
      <c r="A9898" t="inlineStr">
        <is>
          <t>World Fuel Services France,  London, The United Kingdom</t>
        </is>
      </c>
      <c r="B9898" t="inlineStr">
        <is>
          <t>Trader with Storage, Proof of Compliance Trader</t>
        </is>
      </c>
      <c r="C9898" t="inlineStr">
        <is>
          <t>Control Union Certifications Germany GmbH, Berlin, DE</t>
        </is>
      </c>
      <c r="D9898" t="inlineStr">
        <is>
          <t>28.12.2026</t>
        </is>
      </c>
      <c r="E9898" t="inlineStr">
        <is>
          <t>The United Kingdom</t>
        </is>
      </c>
    </row>
    <row r="9899">
      <c r="A9899" t="inlineStr">
        <is>
          <t>Inntaler Logistik Park,  Kufstein, Austria</t>
        </is>
      </c>
      <c r="B9899" t="inlineStr">
        <is>
          <t>Trader with Storage</t>
        </is>
      </c>
      <c r="C9899" t="inlineStr">
        <is>
          <t>BM Certification, Riga, LV</t>
        </is>
      </c>
      <c r="D9899" t="inlineStr">
        <is>
          <t>28.12.2026</t>
        </is>
      </c>
      <c r="E9899" t="inlineStr">
        <is>
          <t>Austria</t>
        </is>
      </c>
    </row>
    <row r="9900">
      <c r="A9900" t="inlineStr">
        <is>
          <t>PT Djuandasawit Lestari,  Sumatera Selatan, Indonesia</t>
        </is>
      </c>
      <c r="B9900" t="inlineStr">
        <is>
          <t>First Gathering Point, Processing Unit, Point of Origin</t>
        </is>
      </c>
      <c r="C9900" t="inlineStr">
        <is>
          <t>PT Intertek Utama Services, Jakarta, ID</t>
        </is>
      </c>
      <c r="D9900" t="inlineStr">
        <is>
          <t>28.12.2026</t>
        </is>
      </c>
      <c r="E9900" t="inlineStr">
        <is>
          <t>Indonesia</t>
        </is>
      </c>
    </row>
    <row r="9901">
      <c r="A9901" t="inlineStr">
        <is>
          <t>Sama Al-Manar Genel Ticaret Hayvancılık Tarım Endüstriyel Üretim Yağ Yem Sanayi Limited Şirketi,  BASRAH, Iraq</t>
        </is>
      </c>
      <c r="B9901" t="inlineStr">
        <is>
          <t>Point of Origin, Trader with Storage</t>
        </is>
      </c>
      <c r="C9901" t="inlineStr">
        <is>
          <t>PT Intertek Utama Services, Jakarta, ID</t>
        </is>
      </c>
      <c r="D9901" t="inlineStr">
        <is>
          <t>28.12.2026</t>
        </is>
      </c>
      <c r="E9901" t="inlineStr">
        <is>
          <t>Iraq</t>
        </is>
      </c>
    </row>
    <row r="9902">
      <c r="A9902" t="inlineStr">
        <is>
          <t>Sama Al-Manar Genel Ticaret Hayvancılık Tarım Endüstriyel Üretim Yağ Yem Sanayi Limited Şirketi,  BASRAH, Iraq</t>
        </is>
      </c>
      <c r="B9902" t="inlineStr">
        <is>
          <t>Trader with Storage, Processing Unit</t>
        </is>
      </c>
      <c r="C9902" t="inlineStr">
        <is>
          <t>PT Intertek Utama Services, Jakarta, ID</t>
        </is>
      </c>
      <c r="D9902" t="inlineStr">
        <is>
          <t>28.12.2026</t>
        </is>
      </c>
      <c r="E9902" t="inlineStr">
        <is>
          <t>Iraq</t>
        </is>
      </c>
    </row>
    <row r="9903">
      <c r="A9903" t="inlineStr">
        <is>
          <t>NINGBO OUYOU ELECTRICAL APPLIANCE TECHNOLOGY CO., LTD.,  Cixi City, Ningbo City, China</t>
        </is>
      </c>
      <c r="B9903" t="inlineStr">
        <is>
          <t>Processing Unit</t>
        </is>
      </c>
      <c r="C9903" t="inlineStr">
        <is>
          <t>Extensive Standard Technical Services Co., Ltd., Hong Kong, CN</t>
        </is>
      </c>
      <c r="D9903" t="inlineStr">
        <is>
          <t>28.12.2026</t>
        </is>
      </c>
      <c r="E9903" t="inlineStr">
        <is>
          <t>China</t>
        </is>
      </c>
    </row>
    <row r="9904">
      <c r="A9904" t="inlineStr">
        <is>
          <t>BGFecomaterials Co., Ltd_Cheonan Factory,  Seonggeo-eup, Seobuk-gu, Cheonan-si, South Korea</t>
        </is>
      </c>
      <c r="B9904" t="inlineStr">
        <is>
          <t>Processing Unit, Warehouse</t>
        </is>
      </c>
      <c r="C9904" t="inlineStr">
        <is>
          <t>PT Intertek Utama Services, Jakarta, ID</t>
        </is>
      </c>
      <c r="D9904" t="inlineStr">
        <is>
          <t>28.12.2026</t>
        </is>
      </c>
      <c r="E9904" t="inlineStr">
        <is>
          <t>South Korea</t>
        </is>
      </c>
    </row>
    <row r="9905">
      <c r="A9905" t="inlineStr">
        <is>
          <t>Tanaka Ai Co., Ltd. Tokyo Head Office,  Minato-ku, Tokyo, Japan</t>
        </is>
      </c>
      <c r="B9905" t="inlineStr">
        <is>
          <t>Trader</t>
        </is>
      </c>
      <c r="C9905" t="inlineStr">
        <is>
          <t>PT Intertek Utama Services, Jakarta, ID</t>
        </is>
      </c>
      <c r="D9905" t="inlineStr">
        <is>
          <t>28.12.2026</t>
        </is>
      </c>
      <c r="E9905" t="inlineStr">
        <is>
          <t>Japan</t>
        </is>
      </c>
    </row>
    <row r="9906">
      <c r="A9906" t="inlineStr">
        <is>
          <t>Xiamen Xing Zhong Environmental-Chemical Co., Ltd,  Xiamen City, Fujian Province, China</t>
        </is>
      </c>
      <c r="B9906" t="inlineStr">
        <is>
          <t>Collecting Point</t>
        </is>
      </c>
      <c r="C9906" t="inlineStr">
        <is>
          <t>RINA Services S.p.A., Genova, IT</t>
        </is>
      </c>
      <c r="D9906" t="inlineStr">
        <is>
          <t>28.12.2026</t>
        </is>
      </c>
      <c r="E9906" t="inlineStr">
        <is>
          <t>China</t>
        </is>
      </c>
    </row>
    <row r="9907">
      <c r="A9907" t="inlineStr">
        <is>
          <t>PT. NUSANTARA INOVASI CEMERLANG,  Kabupaten. Deli Serdang, Indonesia</t>
        </is>
      </c>
      <c r="B9907" t="inlineStr">
        <is>
          <t>Trader with Storage</t>
        </is>
      </c>
      <c r="C9907" t="inlineStr">
        <is>
          <t>China Testing &amp; Certification International Group Co., Ltd., Beijing, CN</t>
        </is>
      </c>
      <c r="D9907" t="inlineStr">
        <is>
          <t>28.12.2026</t>
        </is>
      </c>
      <c r="E9907" t="inlineStr">
        <is>
          <t>Indonesia</t>
        </is>
      </c>
    </row>
    <row r="9908">
      <c r="A9908" t="inlineStr">
        <is>
          <t>IDEX La Défense,  Courbevoie, France</t>
        </is>
      </c>
      <c r="B9908" t="inlineStr">
        <is>
          <t>Processing Unit</t>
        </is>
      </c>
      <c r="C9908" t="inlineStr">
        <is>
          <t>Control Union Certifications Germany GmbH, Berlin, DE</t>
        </is>
      </c>
      <c r="D9908" t="inlineStr">
        <is>
          <t>28.12.2026</t>
        </is>
      </c>
      <c r="E9908" t="inlineStr">
        <is>
          <t>France</t>
        </is>
      </c>
    </row>
    <row r="9909">
      <c r="A9909" t="inlineStr">
        <is>
          <t>Eni Spa,  Livorno - Località Stagno, Italy</t>
        </is>
      </c>
      <c r="B9909" t="inlineStr">
        <is>
          <t>Processing Unit, Trader with Storage, Warehouse</t>
        </is>
      </c>
      <c r="C9909" t="inlineStr">
        <is>
          <t>RINA Services S.p.A., Genova, IT</t>
        </is>
      </c>
      <c r="D9909" t="inlineStr">
        <is>
          <t>28.12.2026</t>
        </is>
      </c>
      <c r="E9909" t="inlineStr">
        <is>
          <t>Italy</t>
        </is>
      </c>
    </row>
    <row r="9910">
      <c r="A9910" t="inlineStr">
        <is>
          <t>PT CAHAYA LOTUS GEMILANG,  Medan, Indonesia</t>
        </is>
      </c>
      <c r="B9910" t="inlineStr">
        <is>
          <t>Trader</t>
        </is>
      </c>
      <c r="C9910" t="inlineStr">
        <is>
          <t>China Testing &amp; Certification International Group Co., Ltd., Beijing, CN</t>
        </is>
      </c>
      <c r="D9910" t="inlineStr">
        <is>
          <t>28.12.2026</t>
        </is>
      </c>
      <c r="E9910" t="inlineStr">
        <is>
          <t>Indonesia</t>
        </is>
      </c>
    </row>
    <row r="9911">
      <c r="A9911" t="inlineStr">
        <is>
          <t>IDEX La Défense,  Nanterre, France</t>
        </is>
      </c>
      <c r="B9911" t="inlineStr">
        <is>
          <t>Processing Unit</t>
        </is>
      </c>
      <c r="C9911" t="inlineStr">
        <is>
          <t>Control Union Certifications Germany GmbH, Berlin, DE</t>
        </is>
      </c>
      <c r="D9911" t="inlineStr">
        <is>
          <t>28.12.2026</t>
        </is>
      </c>
      <c r="E9911" t="inlineStr">
        <is>
          <t>France</t>
        </is>
      </c>
    </row>
    <row r="9912">
      <c r="A9912" t="inlineStr">
        <is>
          <t>Polynovo Biotech (Liaocheng) Co., Ltd.,  Liaocheng City, Shandong Province, China</t>
        </is>
      </c>
      <c r="B9912" t="inlineStr">
        <is>
          <t>Collecting Point, Processing Unit</t>
        </is>
      </c>
      <c r="C9912" t="inlineStr">
        <is>
          <t>CTI Certification Co. Ltd, Shenzhen, CN</t>
        </is>
      </c>
      <c r="D9912" t="inlineStr">
        <is>
          <t>28.12.2026</t>
        </is>
      </c>
      <c r="E9912" t="inlineStr">
        <is>
          <t>China</t>
        </is>
      </c>
    </row>
    <row r="9913">
      <c r="A9913" t="inlineStr">
        <is>
          <t>Wanhua Chemical (Yantai) Trading Co.,Ltd.,  Yantai City, China</t>
        </is>
      </c>
      <c r="B9913" t="inlineStr">
        <is>
          <t>Trader</t>
        </is>
      </c>
      <c r="C9913" t="inlineStr">
        <is>
          <t>PT Intertek Utama Services, Jakarta, ID</t>
        </is>
      </c>
      <c r="D9913" t="inlineStr">
        <is>
          <t>28.12.2026</t>
        </is>
      </c>
      <c r="E9913" t="inlineStr">
        <is>
          <t>China</t>
        </is>
      </c>
    </row>
    <row r="9914">
      <c r="A9914" t="inlineStr">
        <is>
          <t>MELTEM KIMYA VE TEKSTIL SANAYI ITHALAT IHRACAT VE TICARET ANONIM SIRKETI,  Adana/Saricam, Turkey</t>
        </is>
      </c>
      <c r="B9914" t="inlineStr">
        <is>
          <t>Processing Unit</t>
        </is>
      </c>
      <c r="C9914" t="inlineStr">
        <is>
          <t>PT Intertek Utama Services, Jakarta, ID</t>
        </is>
      </c>
      <c r="D9914" t="inlineStr">
        <is>
          <t>28.12.2026</t>
        </is>
      </c>
      <c r="E9914" t="inlineStr">
        <is>
          <t>Turkey</t>
        </is>
      </c>
    </row>
    <row r="9915">
      <c r="A9915" t="inlineStr">
        <is>
          <t>World Fuel Services Europe,  London, The United Kingdom</t>
        </is>
      </c>
      <c r="B9915" t="inlineStr">
        <is>
          <t>Trader with Storage, Proof of Compliance Trader</t>
        </is>
      </c>
      <c r="C9915" t="inlineStr">
        <is>
          <t>Control Union Certifications Germany GmbH, Berlin, DE</t>
        </is>
      </c>
      <c r="D9915" t="inlineStr">
        <is>
          <t>28.12.2026</t>
        </is>
      </c>
      <c r="E9915" t="inlineStr">
        <is>
          <t>The United Kingdom</t>
        </is>
      </c>
    </row>
    <row r="9916">
      <c r="A9916" t="inlineStr">
        <is>
          <t>World Fuel Services Europe,  London, United Kingdom</t>
        </is>
      </c>
      <c r="B9916" t="inlineStr">
        <is>
          <t>Trader with Storage</t>
        </is>
      </c>
      <c r="C9916" t="inlineStr">
        <is>
          <t>Control Union Certifications Germany GmbH, Berlin, DE</t>
        </is>
      </c>
      <c r="D9916" t="inlineStr">
        <is>
          <t>28.12.2026</t>
        </is>
      </c>
      <c r="E9916" t="inlineStr">
        <is>
          <t>United Kingdom</t>
        </is>
      </c>
    </row>
    <row r="9917">
      <c r="A9917" t="inlineStr">
        <is>
          <t>World Fuel Services Italy,  London, United Kingdom</t>
        </is>
      </c>
      <c r="B9917" t="inlineStr">
        <is>
          <t>Trader with Storage</t>
        </is>
      </c>
      <c r="C9917" t="inlineStr">
        <is>
          <t>Control Union Certifications Germany GmbH, Berlin, DE</t>
        </is>
      </c>
      <c r="D9917" t="inlineStr">
        <is>
          <t>28.12.2026</t>
        </is>
      </c>
      <c r="E9917" t="inlineStr">
        <is>
          <t>United Kingdom</t>
        </is>
      </c>
    </row>
    <row r="9918">
      <c r="A9918" t="inlineStr">
        <is>
          <t>World Fuel Services Italy,  London, The United Kingdom</t>
        </is>
      </c>
      <c r="B9918" t="inlineStr">
        <is>
          <t>Trader with Storage, Proof of Compliance Trader</t>
        </is>
      </c>
      <c r="C9918" t="inlineStr">
        <is>
          <t>Control Union Certifications Germany GmbH, Berlin, DE</t>
        </is>
      </c>
      <c r="D9918" t="inlineStr">
        <is>
          <t>28.12.2026</t>
        </is>
      </c>
      <c r="E9918" t="inlineStr">
        <is>
          <t>The United Kingdom</t>
        </is>
      </c>
    </row>
    <row r="9919">
      <c r="A9919" t="inlineStr">
        <is>
          <t>PCBL (TN) LIMITED,  Tiruvallur, India</t>
        </is>
      </c>
      <c r="B9919" t="inlineStr">
        <is>
          <t>Processing Unit</t>
        </is>
      </c>
      <c r="C9919" t="inlineStr">
        <is>
          <t>Cotecna India Inspection Pvt Ltd, Kolkata, IN</t>
        </is>
      </c>
      <c r="D9919" t="inlineStr">
        <is>
          <t>28.12.2026</t>
        </is>
      </c>
      <c r="E9919" t="inlineStr">
        <is>
          <t>India</t>
        </is>
      </c>
    </row>
    <row r="9920">
      <c r="A9920" t="inlineStr">
        <is>
          <t>Brisil Technologies Pvt Ltd,  Kalol, India</t>
        </is>
      </c>
      <c r="B9920" t="inlineStr">
        <is>
          <t>Collecting Point, Processing Unit</t>
        </is>
      </c>
      <c r="C9920" t="inlineStr">
        <is>
          <t>Cotecna India Inspection Pvt Ltd, Kolkata, IN</t>
        </is>
      </c>
      <c r="D9920" t="inlineStr">
        <is>
          <t>28.12.2026</t>
        </is>
      </c>
      <c r="E9920" t="inlineStr">
        <is>
          <t>India</t>
        </is>
      </c>
    </row>
    <row r="9921">
      <c r="A9921" t="inlineStr">
        <is>
          <t>PT. Ateja Tritunggal,  Bandung, Indonesia</t>
        </is>
      </c>
      <c r="B9921" t="inlineStr">
        <is>
          <t>Processing Unit</t>
        </is>
      </c>
      <c r="C9921" t="inlineStr">
        <is>
          <t>Control Union Certifications Germany GmbH, Berlin, DE</t>
        </is>
      </c>
      <c r="D9921" t="inlineStr">
        <is>
          <t>28.12.2026</t>
        </is>
      </c>
      <c r="E9921" t="inlineStr">
        <is>
          <t>Indonesia</t>
        </is>
      </c>
    </row>
    <row r="9922">
      <c r="A9922" t="inlineStr">
        <is>
          <t>CHIRIPAL POLY FILMS LIMITED,  Bhagthali,, Kathua, India</t>
        </is>
      </c>
      <c r="B9922" t="inlineStr">
        <is>
          <t>Collecting Point, Processing Unit</t>
        </is>
      </c>
      <c r="C9922" t="inlineStr">
        <is>
          <t>Cotecna India Inspection Pvt Ltd, Kolkata, IN</t>
        </is>
      </c>
      <c r="D9922" t="inlineStr">
        <is>
          <t>28.12.2026</t>
        </is>
      </c>
      <c r="E9922" t="inlineStr">
        <is>
          <t>India</t>
        </is>
      </c>
    </row>
    <row r="9923">
      <c r="A9923" t="inlineStr">
        <is>
          <t>CHILIN TECHNOLOGY CO., LTD.,  TAINAN CITY, XINSHI DIST, Taiwan</t>
        </is>
      </c>
      <c r="B9923" t="inlineStr">
        <is>
          <t>Processing Unit, Trader with Storage</t>
        </is>
      </c>
      <c r="C9923" t="inlineStr">
        <is>
          <t>Control Union Certifications Germany GmbH, Berlin, DE</t>
        </is>
      </c>
      <c r="D9923" t="inlineStr">
        <is>
          <t>28.12.2026</t>
        </is>
      </c>
      <c r="E9923" t="inlineStr">
        <is>
          <t>Taiwan</t>
        </is>
      </c>
    </row>
    <row r="9924">
      <c r="A9924" t="inlineStr">
        <is>
          <t>Limited Liability Company " HPP " PROMAGRO",  v. Nova Osota, Kropyvnytskyi d., Kirovograd reg., Ukraine</t>
        </is>
      </c>
      <c r="B9924" t="inlineStr">
        <is>
          <t>First Gathering Point, Trader with Storage</t>
        </is>
      </c>
      <c r="C9924" t="inlineStr">
        <is>
          <t>Organic Standard Ltd, Kyiv, UA</t>
        </is>
      </c>
      <c r="D9924" t="inlineStr">
        <is>
          <t>28.12.2026</t>
        </is>
      </c>
      <c r="E9924" t="inlineStr">
        <is>
          <t>Ukraine</t>
        </is>
      </c>
    </row>
    <row r="9925">
      <c r="A9925" t="inlineStr">
        <is>
          <t>FUJIAN XIEFENG FOOTWEAR COMPANY LIMITED,  XI TIAN WEI TOWN, LICHENG DISTRICT, PUTIAN CITY, China</t>
        </is>
      </c>
      <c r="B9925" t="inlineStr">
        <is>
          <t>Final Product Refinement, Processing Unit</t>
        </is>
      </c>
      <c r="C9925" t="inlineStr">
        <is>
          <t>CTI Certification Co. Ltd, Shenzhen, CN</t>
        </is>
      </c>
      <c r="D9925" t="inlineStr">
        <is>
          <t>28.12.2026</t>
        </is>
      </c>
      <c r="E9925" t="inlineStr">
        <is>
          <t>China</t>
        </is>
      </c>
    </row>
    <row r="9926">
      <c r="A9926" t="inlineStr">
        <is>
          <t>Elif Global Packaging S.A.E,  6th October City, Egypt</t>
        </is>
      </c>
      <c r="B9926" t="inlineStr">
        <is>
          <t>Final Product Refinement, Processing Unit</t>
        </is>
      </c>
      <c r="C9926" t="inlineStr">
        <is>
          <t>Cotecna India Inspection Pvt Ltd, Kolkata, IN</t>
        </is>
      </c>
      <c r="D9926" t="inlineStr">
        <is>
          <t>28.12.2026</t>
        </is>
      </c>
      <c r="E9926" t="inlineStr">
        <is>
          <t>Egypt</t>
        </is>
      </c>
    </row>
    <row r="9927">
      <c r="A9927" t="inlineStr">
        <is>
          <t>Barrow Shipping Limited,  Hexham, United Kingdom</t>
        </is>
      </c>
      <c r="B9927" t="inlineStr">
        <is>
          <t>Trader</t>
        </is>
      </c>
      <c r="C9927" t="inlineStr">
        <is>
          <t>Double Helix Tracking Technologies Pte Ltd, Singapore, SG</t>
        </is>
      </c>
      <c r="D9927" t="inlineStr">
        <is>
          <t>28.12.2026</t>
        </is>
      </c>
      <c r="E9927" t="inlineStr">
        <is>
          <t>United Kingdom</t>
        </is>
      </c>
    </row>
    <row r="9928">
      <c r="A9928" t="inlineStr">
        <is>
          <t>Huhtamaki India Limited,  Silvassa, India</t>
        </is>
      </c>
      <c r="B9928" t="inlineStr">
        <is>
          <t>Final Product Refinement, Processing Unit</t>
        </is>
      </c>
      <c r="C9928" t="inlineStr">
        <is>
          <t>Cotecna India Inspection Pvt Ltd, Kolkata, IN</t>
        </is>
      </c>
      <c r="D9928" t="inlineStr">
        <is>
          <t>28.12.2026</t>
        </is>
      </c>
      <c r="E9928" t="inlineStr">
        <is>
          <t>India</t>
        </is>
      </c>
    </row>
    <row r="9929">
      <c r="A9929" t="inlineStr">
        <is>
          <t>WFL (UK),  Staines, United Kingdom</t>
        </is>
      </c>
      <c r="B9929" t="inlineStr">
        <is>
          <t>Trader with Storage</t>
        </is>
      </c>
      <c r="C9929" t="inlineStr">
        <is>
          <t>Control Union Certifications Germany GmbH, Berlin, DE</t>
        </is>
      </c>
      <c r="D9929" t="inlineStr">
        <is>
          <t>28.12.2026</t>
        </is>
      </c>
      <c r="E9929" t="inlineStr">
        <is>
          <t>United Kingdom</t>
        </is>
      </c>
    </row>
    <row r="9930">
      <c r="A9930" t="inlineStr">
        <is>
          <t>Hunan Jutuan Environmental Protection Technology Co., Ltd.,  Hengyang City, Hunan Province, China</t>
        </is>
      </c>
      <c r="B9930" t="inlineStr">
        <is>
          <t>Trader with Storage</t>
        </is>
      </c>
      <c r="C9930" t="inlineStr">
        <is>
          <t>RINA Services S.p.A., Genova, IT</t>
        </is>
      </c>
      <c r="D9930" t="inlineStr">
        <is>
          <t>28.12.2026</t>
        </is>
      </c>
      <c r="E9930" t="inlineStr">
        <is>
          <t>China</t>
        </is>
      </c>
    </row>
    <row r="9931">
      <c r="A9931" t="inlineStr">
        <is>
          <t>Zemědělské zásobování a nákup Strakonice a.s.,  Strakonice, Czech Republic</t>
        </is>
      </c>
      <c r="B9931" t="inlineStr">
        <is>
          <t>First Gathering Point, Trader with Storage</t>
        </is>
      </c>
      <c r="C9931" t="inlineStr">
        <is>
          <t>Bureau Veritas Polska Sp. z o.o., Warsaw, PL</t>
        </is>
      </c>
      <c r="D9931" t="inlineStr">
        <is>
          <t>28.12.2026</t>
        </is>
      </c>
      <c r="E9931" t="inlineStr">
        <is>
          <t>Czech Republic</t>
        </is>
      </c>
    </row>
    <row r="9932">
      <c r="A9932" t="inlineStr">
        <is>
          <t>Shijiazhuang Huan Teng Energy Technology Co., Ltd.,  Shijiazhuang City, Hebei Province, China</t>
        </is>
      </c>
      <c r="B9932" t="inlineStr">
        <is>
          <t>Processing Unit, Trader with Storage</t>
        </is>
      </c>
      <c r="C9932" t="inlineStr">
        <is>
          <t>RINA Services S.p.A., Genova, IT</t>
        </is>
      </c>
      <c r="D9932" t="inlineStr">
        <is>
          <t>27.12.2026</t>
        </is>
      </c>
      <c r="E9932" t="inlineStr">
        <is>
          <t>China</t>
        </is>
      </c>
    </row>
    <row r="9933">
      <c r="A9933" t="inlineStr">
        <is>
          <t>Kystmiljø,  Hell, Norway</t>
        </is>
      </c>
      <c r="B9933" t="inlineStr">
        <is>
          <t>Collecting Point, Trader with Storage</t>
        </is>
      </c>
      <c r="C9933" t="inlineStr">
        <is>
          <t>DNV Business Assurance Sweden AB, Solna, SE</t>
        </is>
      </c>
      <c r="D9933" t="inlineStr">
        <is>
          <t>27.12.2026</t>
        </is>
      </c>
      <c r="E9933" t="inlineStr">
        <is>
          <t>Norway</t>
        </is>
      </c>
    </row>
    <row r="9934">
      <c r="A9934" t="inlineStr">
        <is>
          <t>Zeon corporation,  Okayama, Japan</t>
        </is>
      </c>
      <c r="B9934" t="inlineStr">
        <is>
          <t>Processing Unit</t>
        </is>
      </c>
      <c r="C9934" t="inlineStr">
        <is>
          <t>Control Union Certifications Germany GmbH, Berlin, DE</t>
        </is>
      </c>
      <c r="D9934" t="inlineStr">
        <is>
          <t>27.12.2026</t>
        </is>
      </c>
      <c r="E9934" t="inlineStr">
        <is>
          <t>Japan</t>
        </is>
      </c>
    </row>
    <row r="9935">
      <c r="A9935" t="inlineStr">
        <is>
          <t>Circle K Energy Trading,  Riga, Latvia</t>
        </is>
      </c>
      <c r="B9935" t="inlineStr">
        <is>
          <t>Logistics Center, Trader with Storage</t>
        </is>
      </c>
      <c r="C9935" t="inlineStr">
        <is>
          <t>Bureau Veritas Polska Sp. z o.o., Warsaw, PL</t>
        </is>
      </c>
      <c r="D9935" t="inlineStr">
        <is>
          <t>27.12.2026</t>
        </is>
      </c>
      <c r="E9935" t="inlineStr">
        <is>
          <t>Latvia</t>
        </is>
      </c>
    </row>
    <row r="9936">
      <c r="A9936" t="inlineStr">
        <is>
          <t>Petrol d.o.o.,  Zagreb, Croatia</t>
        </is>
      </c>
      <c r="B9936" t="inlineStr">
        <is>
          <t>Trader with Storage</t>
        </is>
      </c>
      <c r="C9936" t="inlineStr">
        <is>
          <t>Bureau Veritas Polska Sp. z o.o., Warsaw, PL</t>
        </is>
      </c>
      <c r="D9936" t="inlineStr">
        <is>
          <t>27.12.2026</t>
        </is>
      </c>
      <c r="E9936" t="inlineStr">
        <is>
          <t>Croatia</t>
        </is>
      </c>
    </row>
    <row r="9937">
      <c r="A9937" t="inlineStr">
        <is>
          <t>GREEN POWER COMMODITIES,  Clichy, France</t>
        </is>
      </c>
      <c r="B9937" t="inlineStr">
        <is>
          <t>Trader</t>
        </is>
      </c>
      <c r="C9937" t="inlineStr">
        <is>
          <t>Bureau Veritas Polska Sp. z o.o., Warsaw, PL</t>
        </is>
      </c>
      <c r="D9937" t="inlineStr">
        <is>
          <t>27.12.2026</t>
        </is>
      </c>
      <c r="E9937" t="inlineStr">
        <is>
          <t>France</t>
        </is>
      </c>
    </row>
    <row r="9938">
      <c r="A9938" t="inlineStr">
        <is>
          <t>SABIC Korea Co. LTD,  Chungju-si, Korea, Republic of</t>
        </is>
      </c>
      <c r="B9938" t="inlineStr">
        <is>
          <t>Processing Unit</t>
        </is>
      </c>
      <c r="C9938" t="inlineStr">
        <is>
          <t>Control Union Certifications Germany GmbH, Berlin, DE</t>
        </is>
      </c>
      <c r="D9938" t="inlineStr">
        <is>
          <t>27.12.2026</t>
        </is>
      </c>
      <c r="E9938" t="inlineStr">
        <is>
          <t>Republic of</t>
        </is>
      </c>
    </row>
    <row r="9939">
      <c r="A9939" t="inlineStr">
        <is>
          <t>Plantabia OU,  Tallinn, Estonia</t>
        </is>
      </c>
      <c r="B9939" t="inlineStr">
        <is>
          <t>Trader with Storage</t>
        </is>
      </c>
      <c r="C9939" t="inlineStr">
        <is>
          <t>NCS Estonia OÜ, Tallinn, EE</t>
        </is>
      </c>
      <c r="D9939" t="inlineStr">
        <is>
          <t>27.12.2026</t>
        </is>
      </c>
      <c r="E9939" t="inlineStr">
        <is>
          <t>Estonia</t>
        </is>
      </c>
    </row>
    <row r="9940">
      <c r="A9940" t="inlineStr">
        <is>
          <t>National Top Korea Co., Ltd.,  Gyeongsangnam-do, Korea, Republic of</t>
        </is>
      </c>
      <c r="B9940" t="inlineStr">
        <is>
          <t>Processing Unit, Trader with Storage</t>
        </is>
      </c>
      <c r="C9940" t="inlineStr">
        <is>
          <t>Control Union Certifications Germany GmbH, Berlin, DE</t>
        </is>
      </c>
      <c r="D9940" t="inlineStr">
        <is>
          <t>27.12.2026</t>
        </is>
      </c>
      <c r="E9940" t="inlineStr">
        <is>
          <t>Republic of</t>
        </is>
      </c>
    </row>
    <row r="9941">
      <c r="A9941" t="inlineStr">
        <is>
          <t>Gutmann GmbH,  Innsbruck, Austria</t>
        </is>
      </c>
      <c r="B9941" t="inlineStr">
        <is>
          <t>Trader with Storage</t>
        </is>
      </c>
      <c r="C9941" t="inlineStr">
        <is>
          <t>agroVet GmbH, Enzersfeld, AT</t>
        </is>
      </c>
      <c r="D9941" t="inlineStr">
        <is>
          <t>27.12.2026</t>
        </is>
      </c>
      <c r="E9941" t="inlineStr">
        <is>
          <t>Austria</t>
        </is>
      </c>
    </row>
    <row r="9942">
      <c r="A9942" t="inlineStr">
        <is>
          <t>CV. Solusi Alam Sentosa,  Kota Bandar Lampung, Lampung, Indonesia</t>
        </is>
      </c>
      <c r="B9942" t="inlineStr">
        <is>
          <t>Trader</t>
        </is>
      </c>
      <c r="C9942" t="inlineStr">
        <is>
          <t>PT. Qualitas Sertifikasi Indonesia, Jakarta, ID</t>
        </is>
      </c>
      <c r="D9942" t="inlineStr">
        <is>
          <t>27.12.2026</t>
        </is>
      </c>
      <c r="E9942" t="inlineStr">
        <is>
          <t>Indonesia</t>
        </is>
      </c>
    </row>
    <row r="9943">
      <c r="A9943" t="inlineStr">
        <is>
          <t>HD Hyundai Oil Singapore Pte Ltd,  Singapore, Singapore</t>
        </is>
      </c>
      <c r="B9943" t="inlineStr">
        <is>
          <t>Trader with Storage</t>
        </is>
      </c>
      <c r="C9943" t="inlineStr">
        <is>
          <t>Control Union Certifications Germany GmbH, Berlin, DE</t>
        </is>
      </c>
      <c r="D9943" t="inlineStr">
        <is>
          <t>27.12.2026</t>
        </is>
      </c>
      <c r="E9943" t="inlineStr">
        <is>
          <t>Singapore</t>
        </is>
      </c>
    </row>
    <row r="9944">
      <c r="A9944" t="inlineStr">
        <is>
          <t>HD Hyundai Oil Singapore Pte Ltd,  Singapore, Singapore</t>
        </is>
      </c>
      <c r="B9944" t="inlineStr">
        <is>
          <t>Trader with Storage</t>
        </is>
      </c>
      <c r="C9944" t="inlineStr">
        <is>
          <t>Control Union Certifications Germany GmbH, Berlin, DE</t>
        </is>
      </c>
      <c r="D9944" t="inlineStr">
        <is>
          <t>27.12.2026</t>
        </is>
      </c>
      <c r="E9944" t="inlineStr">
        <is>
          <t>Singapore</t>
        </is>
      </c>
    </row>
    <row r="9945">
      <c r="A9945" t="inlineStr">
        <is>
          <t>Green Flow Export,  Teofipol, Ukraine</t>
        </is>
      </c>
      <c r="B9945" t="inlineStr">
        <is>
          <t>Trader with Storage</t>
        </is>
      </c>
      <c r="C9945" t="inlineStr">
        <is>
          <t>United Registrar of Systems Polska Sp. z o.o., Wrocław, PL</t>
        </is>
      </c>
      <c r="D9945" t="inlineStr">
        <is>
          <t>27.12.2026</t>
        </is>
      </c>
      <c r="E9945" t="inlineStr">
        <is>
          <t>Ukraine</t>
        </is>
      </c>
    </row>
    <row r="9946">
      <c r="A9946" t="inlineStr">
        <is>
          <t>BPS Kamenica s.r.o.,  Kamenica nad Cirochou, Slovakia</t>
        </is>
      </c>
      <c r="B9946" t="inlineStr">
        <is>
          <t>Collecting Point, First Gathering Point, Processing Unit, Trader with Storage</t>
        </is>
      </c>
      <c r="C9946" t="inlineStr">
        <is>
          <t>United Registrar of Systems Polska Sp. z o.o., Wrocław, PL</t>
        </is>
      </c>
      <c r="D9946" t="inlineStr">
        <is>
          <t>27.12.2026</t>
        </is>
      </c>
      <c r="E9946" t="inlineStr">
        <is>
          <t>Slovakia</t>
        </is>
      </c>
    </row>
    <row r="9947">
      <c r="A9947" t="inlineStr">
        <is>
          <t>Minerva Nwe Nv Dutch Branch,  Rotterdam, The Netherlands</t>
        </is>
      </c>
      <c r="B9947" t="inlineStr">
        <is>
          <t>Trader with Storage, Proof of Compliance Trader</t>
        </is>
      </c>
      <c r="C9947" t="inlineStr">
        <is>
          <t>Control Union Certifications Germany GmbH, Berlin, DE</t>
        </is>
      </c>
      <c r="D9947" t="inlineStr">
        <is>
          <t>27.12.2026</t>
        </is>
      </c>
      <c r="E9947" t="inlineStr">
        <is>
          <t>The Netherlands</t>
        </is>
      </c>
    </row>
    <row r="9948">
      <c r="A9948" t="inlineStr">
        <is>
          <t>11er Nahrungsmittel GmbH,  Frastanz, Austria</t>
        </is>
      </c>
      <c r="B9948" t="inlineStr">
        <is>
          <t>Point of Origin, Processing Unit</t>
        </is>
      </c>
      <c r="C9948" t="inlineStr">
        <is>
          <t>agroVet GmbH, Enzersfeld, AT</t>
        </is>
      </c>
      <c r="D9948" t="inlineStr">
        <is>
          <t>27.12.2026</t>
        </is>
      </c>
      <c r="E9948" t="inlineStr">
        <is>
          <t>Austria</t>
        </is>
      </c>
    </row>
    <row r="9949">
      <c r="A9949" t="inlineStr">
        <is>
          <t>Shijiazhuang Runxiao Oil Co. Ltd.,  Shijiazhaung City, Hebei Province, China</t>
        </is>
      </c>
      <c r="B9949" t="inlineStr">
        <is>
          <t>Collecting Point</t>
        </is>
      </c>
      <c r="C9949" t="inlineStr">
        <is>
          <t>RINA Services S.p.A., Genova, IT</t>
        </is>
      </c>
      <c r="D9949" t="inlineStr">
        <is>
          <t>27.12.2026</t>
        </is>
      </c>
      <c r="E9949" t="inlineStr">
        <is>
          <t>China</t>
        </is>
      </c>
    </row>
    <row r="9950">
      <c r="A9950" t="inlineStr">
        <is>
          <t>Biodiesel Kärnten GmbH,  Arnoldstein, Austria</t>
        </is>
      </c>
      <c r="B9950" t="inlineStr">
        <is>
          <t>Point of Origin, Trader with Storage, Processing Unit</t>
        </is>
      </c>
      <c r="C9950" t="inlineStr">
        <is>
          <t>agroVet GmbH, Enzersfeld, AT</t>
        </is>
      </c>
      <c r="D9950" t="inlineStr">
        <is>
          <t>26.12.2026</t>
        </is>
      </c>
      <c r="E9950" t="inlineStr">
        <is>
          <t>Austria</t>
        </is>
      </c>
    </row>
    <row r="9951">
      <c r="A9951" t="inlineStr">
        <is>
          <t>Sri Ganda Oil Mill Sdn. Bhd.,  Teluk Intan, Malaysia</t>
        </is>
      </c>
      <c r="B9951" t="inlineStr">
        <is>
          <t>Point of Origin</t>
        </is>
      </c>
      <c r="C9951" t="inlineStr">
        <is>
          <t>Trans Certification and Inspection Sdn Bhd, Kuantan, MY</t>
        </is>
      </c>
      <c r="D9951" t="inlineStr">
        <is>
          <t>26.12.2026</t>
        </is>
      </c>
      <c r="E9951" t="inlineStr">
        <is>
          <t>Malaysia</t>
        </is>
      </c>
    </row>
    <row r="9952">
      <c r="A9952" t="inlineStr">
        <is>
          <t>G OCEAN TRADING PTE. LTD.,  singapore, Singapore</t>
        </is>
      </c>
      <c r="B9952" t="inlineStr">
        <is>
          <t>Trader</t>
        </is>
      </c>
      <c r="C9952" t="inlineStr">
        <is>
          <t>CTI Certification Co. Ltd, Shenzhen, CN</t>
        </is>
      </c>
      <c r="D9952" t="inlineStr">
        <is>
          <t>26.12.2026</t>
        </is>
      </c>
      <c r="E9952" t="inlineStr">
        <is>
          <t>Singapore</t>
        </is>
      </c>
    </row>
    <row r="9953">
      <c r="A9953" t="inlineStr">
        <is>
          <t>Hexpol TPE,  Åmål, Sweden</t>
        </is>
      </c>
      <c r="B9953" t="inlineStr">
        <is>
          <t>Processing Unit</t>
        </is>
      </c>
      <c r="C9953" t="inlineStr">
        <is>
          <t>DNV Business Assurance Sweden AB, Solna, SE</t>
        </is>
      </c>
      <c r="D9953" t="inlineStr">
        <is>
          <t>26.12.2026</t>
        </is>
      </c>
      <c r="E9953" t="inlineStr">
        <is>
          <t>Sweden</t>
        </is>
      </c>
    </row>
    <row r="9954">
      <c r="A9954" t="inlineStr">
        <is>
          <t>TUMPUAN MEGAH DEVELOPMENT SDN BHD,  Taman Molek, Johor Bahru, Johor, Malaysia</t>
        </is>
      </c>
      <c r="B9954" t="inlineStr">
        <is>
          <t>Trader</t>
        </is>
      </c>
      <c r="C9954" t="inlineStr">
        <is>
          <t>Global Gateway Certifications Sdn Bhd, Ampang, MY</t>
        </is>
      </c>
      <c r="D9954" t="inlineStr">
        <is>
          <t>26.12.2026</t>
        </is>
      </c>
      <c r="E9954" t="inlineStr">
        <is>
          <t>Malaysia</t>
        </is>
      </c>
    </row>
    <row r="9955">
      <c r="A9955" t="inlineStr">
        <is>
          <t>Arong Banner Zhongneng Energy Technology Co., Ltd.,  Hulunbuir City, Inner Mongolia Autonomous Region, China</t>
        </is>
      </c>
      <c r="B9955" t="inlineStr">
        <is>
          <t>First Gathering Point</t>
        </is>
      </c>
      <c r="C9955" t="inlineStr">
        <is>
          <t>CTI Certification Co. Ltd, Shenzhen, CN</t>
        </is>
      </c>
      <c r="D9955" t="inlineStr">
        <is>
          <t>26.12.2026</t>
        </is>
      </c>
      <c r="E9955" t="inlineStr">
        <is>
          <t>China</t>
        </is>
      </c>
    </row>
    <row r="9956">
      <c r="A9956" t="inlineStr">
        <is>
          <t>Cardinal Ethanol, LLC,  Union City, IN, United States</t>
        </is>
      </c>
      <c r="B9956" t="inlineStr">
        <is>
          <t>First Gathering Point, Processing Unit, Point of Origin</t>
        </is>
      </c>
      <c r="C9956" t="inlineStr">
        <is>
          <t>SCS Global Services, Emeryville, CA, US</t>
        </is>
      </c>
      <c r="D9956" t="inlineStr">
        <is>
          <t>26.12.2026</t>
        </is>
      </c>
      <c r="E9956" t="inlineStr">
        <is>
          <t>United States</t>
        </is>
      </c>
    </row>
    <row r="9957">
      <c r="A9957" t="inlineStr">
        <is>
          <t>Cardinal Ethanol, LLC,  Union City, IN, United States</t>
        </is>
      </c>
      <c r="B9957" t="inlineStr">
        <is>
          <t>First Gathering Point, Processing Unit, Point of Origin</t>
        </is>
      </c>
      <c r="C9957" t="inlineStr">
        <is>
          <t>SCS Global Services, Emeryville, CA, US</t>
        </is>
      </c>
      <c r="D9957" t="inlineStr">
        <is>
          <t>26.12.2026</t>
        </is>
      </c>
      <c r="E9957" t="inlineStr">
        <is>
          <t>United States</t>
        </is>
      </c>
    </row>
    <row r="9958">
      <c r="A9958" t="inlineStr">
        <is>
          <t>ExxonMobil Petroleum &amp; Chemical BV,  Antwerp, Belgium</t>
        </is>
      </c>
      <c r="B9958" t="inlineStr">
        <is>
          <t>Processing Unit, Trader with Storage, Collecting Point</t>
        </is>
      </c>
      <c r="C9958" t="inlineStr">
        <is>
          <t>Control Union Certifications Germany GmbH, Berlin, DE</t>
        </is>
      </c>
      <c r="D9958" t="inlineStr">
        <is>
          <t>26.12.2026</t>
        </is>
      </c>
      <c r="E9958" t="inlineStr">
        <is>
          <t>Belgium</t>
        </is>
      </c>
    </row>
    <row r="9959">
      <c r="A9959" t="inlineStr">
        <is>
          <t>ExxonMobil Petroleum &amp; Chemical BV,  Antwerp, Belgium</t>
        </is>
      </c>
      <c r="B9959" t="inlineStr">
        <is>
          <t>Processing Unit, Trader with Storage</t>
        </is>
      </c>
      <c r="C9959" t="inlineStr">
        <is>
          <t>Control Union Certifications Germany GmbH, Berlin, DE</t>
        </is>
      </c>
      <c r="D9959" t="inlineStr">
        <is>
          <t>26.12.2026</t>
        </is>
      </c>
      <c r="E9959" t="inlineStr">
        <is>
          <t>Belgium</t>
        </is>
      </c>
    </row>
    <row r="9960">
      <c r="A9960" t="inlineStr">
        <is>
          <t>VITAFOAM ROMANIA,  LUDUS, Romania</t>
        </is>
      </c>
      <c r="B9960" t="inlineStr">
        <is>
          <t>Processing Unit</t>
        </is>
      </c>
      <c r="C9960" t="inlineStr">
        <is>
          <t>Bureau Veritas Polska Sp. z o.o., Warsaw, PL</t>
        </is>
      </c>
      <c r="D9960" t="inlineStr">
        <is>
          <t>26.12.2026</t>
        </is>
      </c>
      <c r="E9960" t="inlineStr">
        <is>
          <t>Romania</t>
        </is>
      </c>
    </row>
    <row r="9961">
      <c r="A9961" t="inlineStr">
        <is>
          <t>Hop Shing Household Product Limited,  Hong Kong, China</t>
        </is>
      </c>
      <c r="B9961" t="inlineStr">
        <is>
          <t>Trader</t>
        </is>
      </c>
      <c r="C9961" t="inlineStr">
        <is>
          <t>RINA Services S.p.A., Genova, IT</t>
        </is>
      </c>
      <c r="D9961" t="inlineStr">
        <is>
          <t>26.12.2026</t>
        </is>
      </c>
      <c r="E9961" t="inlineStr">
        <is>
          <t>China</t>
        </is>
      </c>
    </row>
    <row r="9962">
      <c r="A9962" t="inlineStr">
        <is>
          <t>Air bp Limited,  Sunbury on Thames Middlesex, United Kingdom</t>
        </is>
      </c>
      <c r="B9962" t="inlineStr">
        <is>
          <t>Proof of Compliance Trader, Trader</t>
        </is>
      </c>
      <c r="C9962" t="inlineStr">
        <is>
          <t>Control Union Certifications Germany GmbH, Berlin, DE</t>
        </is>
      </c>
      <c r="D9962" t="inlineStr">
        <is>
          <t>26.12.2026</t>
        </is>
      </c>
      <c r="E9962" t="inlineStr">
        <is>
          <t>United Kingdom</t>
        </is>
      </c>
    </row>
    <row r="9963">
      <c r="A9963" t="inlineStr">
        <is>
          <t>Air bp Croatia d.o.o.​,  Zagreb, Croatia</t>
        </is>
      </c>
      <c r="B9963" t="inlineStr">
        <is>
          <t>Proof of Compliance Trader, Trader</t>
        </is>
      </c>
      <c r="C9963" t="inlineStr">
        <is>
          <t>Control Union Certifications Germany GmbH, Berlin, DE</t>
        </is>
      </c>
      <c r="D9963" t="inlineStr">
        <is>
          <t>26.12.2026</t>
        </is>
      </c>
      <c r="E9963" t="inlineStr">
        <is>
          <t>Croatia</t>
        </is>
      </c>
    </row>
    <row r="9964">
      <c r="A9964" t="inlineStr">
        <is>
          <t>Air BP Finland Oy,  Vantaa, Finland</t>
        </is>
      </c>
      <c r="B9964" t="inlineStr">
        <is>
          <t>Proof of Compliance Trader, Trader with Storage</t>
        </is>
      </c>
      <c r="C9964" t="inlineStr">
        <is>
          <t>Control Union Certifications Germany GmbH, Berlin, DE</t>
        </is>
      </c>
      <c r="D9964" t="inlineStr">
        <is>
          <t>26.12.2026</t>
        </is>
      </c>
      <c r="E9964" t="inlineStr">
        <is>
          <t>Finland</t>
        </is>
      </c>
    </row>
    <row r="9965">
      <c r="A9965" t="inlineStr">
        <is>
          <t>Overseas branch - BP Europa SE Magyarországi Fióktelepe​,  Budapest, Hungary</t>
        </is>
      </c>
      <c r="B9965" t="inlineStr">
        <is>
          <t>Trader with Storage, Proof of Compliance Trader</t>
        </is>
      </c>
      <c r="C9965" t="inlineStr">
        <is>
          <t>Control Union Certifications Germany GmbH, Berlin, DE</t>
        </is>
      </c>
      <c r="D9965" t="inlineStr">
        <is>
          <t>26.12.2026</t>
        </is>
      </c>
      <c r="E9965" t="inlineStr">
        <is>
          <t>Hungary</t>
        </is>
      </c>
    </row>
    <row r="9966">
      <c r="A9966" t="inlineStr">
        <is>
          <t>UFLEX LTD,  Sanand, Ahmedabad, India</t>
        </is>
      </c>
      <c r="B9966" t="inlineStr">
        <is>
          <t>Final Product Refinement, Processing Unit</t>
        </is>
      </c>
      <c r="C9966" t="inlineStr">
        <is>
          <t>Cotecna India Inspection Pvt Ltd, Kolkata, IN</t>
        </is>
      </c>
      <c r="D9966" t="inlineStr">
        <is>
          <t>26.12.2026</t>
        </is>
      </c>
      <c r="E9966" t="inlineStr">
        <is>
          <t>India</t>
        </is>
      </c>
    </row>
    <row r="9967">
      <c r="A9967" t="inlineStr">
        <is>
          <t>bp Oil Hellenic S.M.S.A.,  Chalandri, Athens, Greece</t>
        </is>
      </c>
      <c r="B9967" t="inlineStr">
        <is>
          <t>Trader with Storage, Proof of Compliance Trader</t>
        </is>
      </c>
      <c r="C9967" t="inlineStr">
        <is>
          <t>Control Union Certifications Germany GmbH, Berlin, DE</t>
        </is>
      </c>
      <c r="D9967" t="inlineStr">
        <is>
          <t>26.12.2026</t>
        </is>
      </c>
      <c r="E9967" t="inlineStr">
        <is>
          <t>Greece</t>
        </is>
      </c>
    </row>
    <row r="9968">
      <c r="A9968" t="inlineStr">
        <is>
          <t>HPCL-MITTAL ENERGY LTD,  BATHINDA, India</t>
        </is>
      </c>
      <c r="B9968" t="inlineStr">
        <is>
          <t>Processing Unit</t>
        </is>
      </c>
      <c r="C9968" t="inlineStr">
        <is>
          <t>Cotecna India Inspection Pvt Ltd, Kolkata, IN</t>
        </is>
      </c>
      <c r="D9968" t="inlineStr">
        <is>
          <t>26.12.2026</t>
        </is>
      </c>
      <c r="E9968" t="inlineStr">
        <is>
          <t>India</t>
        </is>
      </c>
    </row>
    <row r="9969">
      <c r="A9969" t="inlineStr">
        <is>
          <t>Trocellen,  Troisdorf, Germany</t>
        </is>
      </c>
      <c r="B9969" t="inlineStr">
        <is>
          <t>Processing Unit</t>
        </is>
      </c>
      <c r="C9969" t="inlineStr">
        <is>
          <t>DQS CFS GmbH - Deutsche Gesellschaft für Nachhaltigkeit, Frankfurt am Main, DE</t>
        </is>
      </c>
      <c r="D9969" t="inlineStr">
        <is>
          <t>26.12.2026</t>
        </is>
      </c>
      <c r="E9969" t="inlineStr">
        <is>
          <t>Germany</t>
        </is>
      </c>
    </row>
    <row r="9970">
      <c r="A9970" t="inlineStr">
        <is>
          <t>ENEOS Corporation,  Kanagawa, Japan</t>
        </is>
      </c>
      <c r="B9970" t="inlineStr">
        <is>
          <t>Processing Unit, Trader with Storage</t>
        </is>
      </c>
      <c r="C9970" t="inlineStr">
        <is>
          <t>Control Union Certifications Germany GmbH, Berlin, DE</t>
        </is>
      </c>
      <c r="D9970" t="inlineStr">
        <is>
          <t>26.12.2026</t>
        </is>
      </c>
      <c r="E9970" t="inlineStr">
        <is>
          <t>Japan</t>
        </is>
      </c>
    </row>
    <row r="9971">
      <c r="A9971" t="inlineStr">
        <is>
          <t>ENEOS Corporation,  Okayama, Japan</t>
        </is>
      </c>
      <c r="B9971" t="inlineStr">
        <is>
          <t>Processing Unit, Trader with Storage</t>
        </is>
      </c>
      <c r="C9971" t="inlineStr">
        <is>
          <t>Control Union Certifications Germany GmbH, Berlin, DE</t>
        </is>
      </c>
      <c r="D9971" t="inlineStr">
        <is>
          <t>26.12.2026</t>
        </is>
      </c>
      <c r="E9971" t="inlineStr">
        <is>
          <t>Japan</t>
        </is>
      </c>
    </row>
    <row r="9972">
      <c r="A9972" t="inlineStr">
        <is>
          <t>FXG Group Pty Ltd the trustee for the FXG Group Unit trust,  Swan Hill, Australia</t>
        </is>
      </c>
      <c r="B9972" t="inlineStr">
        <is>
          <t>Trader</t>
        </is>
      </c>
      <c r="C9972" t="inlineStr">
        <is>
          <t>Control Union Certifications Germany GmbH, Berlin, DE</t>
        </is>
      </c>
      <c r="D9972" t="inlineStr">
        <is>
          <t>26.12.2026</t>
        </is>
      </c>
      <c r="E9972" t="inlineStr">
        <is>
          <t>Australia</t>
        </is>
      </c>
    </row>
    <row r="9973">
      <c r="A9973" t="inlineStr">
        <is>
          <t>Neutral Fuels,  Dubai, United Arab Emirates</t>
        </is>
      </c>
      <c r="B9973" t="inlineStr">
        <is>
          <t>Collecting Point, Processing Unit, Trader, Point of Origin</t>
        </is>
      </c>
      <c r="C9973" t="inlineStr">
        <is>
          <t>ASG Cert GmbH, Munich, DE</t>
        </is>
      </c>
      <c r="D9973" t="inlineStr">
        <is>
          <t>26.12.2026</t>
        </is>
      </c>
      <c r="E9973" t="inlineStr">
        <is>
          <t>United Arab Emirates</t>
        </is>
      </c>
    </row>
    <row r="9974">
      <c r="A9974" t="inlineStr">
        <is>
          <t>World Fuel Commodities Services (Ireland),  London, United Kingdom</t>
        </is>
      </c>
      <c r="B9974" t="inlineStr">
        <is>
          <t>Trader with Storage</t>
        </is>
      </c>
      <c r="C9974" t="inlineStr">
        <is>
          <t>Control Union Certifications Germany GmbH, Berlin, DE</t>
        </is>
      </c>
      <c r="D9974" t="inlineStr">
        <is>
          <t>26.12.2026</t>
        </is>
      </c>
      <c r="E9974" t="inlineStr">
        <is>
          <t>United Kingdom</t>
        </is>
      </c>
    </row>
    <row r="9975">
      <c r="A9975" t="inlineStr">
        <is>
          <t>World Fuel Commodities Services (Ireland),  London, United Kingdom</t>
        </is>
      </c>
      <c r="B9975" t="inlineStr">
        <is>
          <t>Trader with Storage, Proof of Compliance Trader</t>
        </is>
      </c>
      <c r="C9975" t="inlineStr">
        <is>
          <t>Control Union Certifications Germany GmbH, Berlin, DE</t>
        </is>
      </c>
      <c r="D9975" t="inlineStr">
        <is>
          <t>26.12.2026</t>
        </is>
      </c>
      <c r="E9975" t="inlineStr">
        <is>
          <t>United Kingdom</t>
        </is>
      </c>
    </row>
    <row r="9976">
      <c r="A9976" t="inlineStr">
        <is>
          <t>HITECHCOM Co.,Ltd,  Yeosu-si, Jeollanam-do, Korea, Republic of</t>
        </is>
      </c>
      <c r="B9976" t="inlineStr">
        <is>
          <t>Processing Unit</t>
        </is>
      </c>
      <c r="C9976" t="inlineStr">
        <is>
          <t>Control Union Certifications Germany GmbH, Berlin, DE</t>
        </is>
      </c>
      <c r="D9976" t="inlineStr">
        <is>
          <t>26.12.2026</t>
        </is>
      </c>
      <c r="E9976" t="inlineStr">
        <is>
          <t>Republic of</t>
        </is>
      </c>
    </row>
    <row r="9977">
      <c r="A9977" t="inlineStr">
        <is>
          <t>Kreuzmayr GmbH,  Eferding, Austria</t>
        </is>
      </c>
      <c r="B9977" t="inlineStr">
        <is>
          <t>Trader with Storage</t>
        </is>
      </c>
      <c r="C9977" t="inlineStr">
        <is>
          <t>agroVet GmbH, Enzersfeld, AT</t>
        </is>
      </c>
      <c r="D9977" t="inlineStr">
        <is>
          <t>26.12.2026</t>
        </is>
      </c>
      <c r="E9977" t="inlineStr">
        <is>
          <t>Austria</t>
        </is>
      </c>
    </row>
    <row r="9978">
      <c r="A9978" t="inlineStr">
        <is>
          <t>SONGLIM Industries Inc.,  Seonghwan-eup, Seobuk-gu, Cheonan-si, Korea, Republic of</t>
        </is>
      </c>
      <c r="B9978" t="inlineStr">
        <is>
          <t>Processing Unit</t>
        </is>
      </c>
      <c r="C9978" t="inlineStr">
        <is>
          <t>Control Union Certifications Germany GmbH, Berlin, DE</t>
        </is>
      </c>
      <c r="D9978" t="inlineStr">
        <is>
          <t>26.12.2026</t>
        </is>
      </c>
      <c r="E9978" t="inlineStr">
        <is>
          <t>Republic of</t>
        </is>
      </c>
    </row>
    <row r="9979">
      <c r="A9979" t="inlineStr">
        <is>
          <t>SLP Co., Ltd.,  Gwangyang-si, Gwangyang-eup, Korea, Republic of</t>
        </is>
      </c>
      <c r="B9979" t="inlineStr">
        <is>
          <t>Processing Unit</t>
        </is>
      </c>
      <c r="C9979" t="inlineStr">
        <is>
          <t>Control Union Certifications Germany GmbH, Berlin, DE</t>
        </is>
      </c>
      <c r="D9979" t="inlineStr">
        <is>
          <t>26.12.2026</t>
        </is>
      </c>
      <c r="E9979" t="inlineStr">
        <is>
          <t>Republic of</t>
        </is>
      </c>
    </row>
    <row r="9980">
      <c r="A9980" t="inlineStr">
        <is>
          <t>COM &amp; TEC Co., Ltd.,  Yeosu-si, Jeollanam-do, Korea, Republic of</t>
        </is>
      </c>
      <c r="B9980" t="inlineStr">
        <is>
          <t>Processing Unit</t>
        </is>
      </c>
      <c r="C9980" t="inlineStr">
        <is>
          <t>Control Union Certifications Germany GmbH, Berlin, DE</t>
        </is>
      </c>
      <c r="D9980" t="inlineStr">
        <is>
          <t>26.12.2026</t>
        </is>
      </c>
      <c r="E9980" t="inlineStr">
        <is>
          <t>Republic of</t>
        </is>
      </c>
    </row>
    <row r="9981">
      <c r="A9981" t="inlineStr">
        <is>
          <t>Raiffeisen Lagerhaus Salzburg GmbH,  Salzburg, Austria</t>
        </is>
      </c>
      <c r="B9981" t="inlineStr">
        <is>
          <t>Trader with Storage, Warehouse</t>
        </is>
      </c>
      <c r="C9981" t="inlineStr">
        <is>
          <t>agroVet GmbH, Enzersfeld, AT</t>
        </is>
      </c>
      <c r="D9981" t="inlineStr">
        <is>
          <t>26.12.2026</t>
        </is>
      </c>
      <c r="E9981" t="inlineStr">
        <is>
          <t>Austria</t>
        </is>
      </c>
    </row>
    <row r="9982">
      <c r="A9982" t="inlineStr">
        <is>
          <t>GASKOV, s.r.o.,  Nová Ves nad Žitavou, Slovakia</t>
        </is>
      </c>
      <c r="B9982" t="inlineStr">
        <is>
          <t>Collecting Point, First Gathering Point, Processing Unit</t>
        </is>
      </c>
      <c r="C9982" t="inlineStr">
        <is>
          <t>United Registrar of Systems Polska Sp. z o.o., Wrocław, PL</t>
        </is>
      </c>
      <c r="D9982" t="inlineStr">
        <is>
          <t>26.12.2026</t>
        </is>
      </c>
      <c r="E9982" t="inlineStr">
        <is>
          <t>Slovakia</t>
        </is>
      </c>
    </row>
    <row r="9983">
      <c r="A9983" t="inlineStr">
        <is>
          <t>GAS PROGRES I., spol. s r.o.,  Nová Ves nad Žitavou, Slovakia</t>
        </is>
      </c>
      <c r="B9983" t="inlineStr">
        <is>
          <t>Collecting Point, First Gathering Point, Processing Unit, Trader with Storage</t>
        </is>
      </c>
      <c r="C9983" t="inlineStr">
        <is>
          <t>United Registrar of Systems Polska Sp. z o.o., Wrocław, PL</t>
        </is>
      </c>
      <c r="D9983" t="inlineStr">
        <is>
          <t>26.12.2026</t>
        </is>
      </c>
      <c r="E9983" t="inlineStr">
        <is>
          <t>Slovakia</t>
        </is>
      </c>
    </row>
    <row r="9984">
      <c r="A9984" t="inlineStr">
        <is>
          <t>B.B. ENERGY (ASIA) PTE LTD,  SINGAPORE, Singapore</t>
        </is>
      </c>
      <c r="B9984" t="inlineStr">
        <is>
          <t>Trader</t>
        </is>
      </c>
      <c r="C9984" t="inlineStr">
        <is>
          <t>RINA Services S.p.A., Genova, IT</t>
        </is>
      </c>
      <c r="D9984" t="inlineStr">
        <is>
          <t>26.12.2026</t>
        </is>
      </c>
      <c r="E9984" t="inlineStr">
        <is>
          <t>Singapore</t>
        </is>
      </c>
    </row>
    <row r="9985">
      <c r="A9985" t="inlineStr">
        <is>
          <t>Eco Palm International Sdn Bhd,  Kualal Lumpur, Malaysia</t>
        </is>
      </c>
      <c r="B9985" t="inlineStr">
        <is>
          <t>Trader</t>
        </is>
      </c>
      <c r="C9985" t="inlineStr">
        <is>
          <t>PT. Qualitas Sertifikasi Indonesia, Jakarta, ID</t>
        </is>
      </c>
      <c r="D9985" t="inlineStr">
        <is>
          <t>26.12.2026</t>
        </is>
      </c>
      <c r="E9985" t="inlineStr">
        <is>
          <t>Malaysia</t>
        </is>
      </c>
    </row>
    <row r="9986">
      <c r="A9986" t="inlineStr">
        <is>
          <t>BIONOVES, s.r.o.,  Nová Ves nad Žitavou, Slovakia</t>
        </is>
      </c>
      <c r="B9986" t="inlineStr">
        <is>
          <t>Collecting Point, First Gathering Point, Processing Unit</t>
        </is>
      </c>
      <c r="C9986" t="inlineStr">
        <is>
          <t>United Registrar of Systems Polska Sp. z o.o., Wrocław, PL</t>
        </is>
      </c>
      <c r="D9986" t="inlineStr">
        <is>
          <t>26.12.2026</t>
        </is>
      </c>
      <c r="E9986" t="inlineStr">
        <is>
          <t>Slovakia</t>
        </is>
      </c>
    </row>
    <row r="9987">
      <c r="A9987" t="inlineStr">
        <is>
          <t>LLC Agroprodservice invest,  Kozliv, Kozivskiy district, Ternopil region, Ukraine</t>
        </is>
      </c>
      <c r="B9987" t="inlineStr">
        <is>
          <t>Farm / Plantation</t>
        </is>
      </c>
      <c r="C9987" t="inlineStr">
        <is>
          <t>Bureau Veritas Polska Sp. z o.o., Warsaw, PL</t>
        </is>
      </c>
      <c r="D9987" t="inlineStr">
        <is>
          <t>26.12.2026</t>
        </is>
      </c>
      <c r="E9987" t="inlineStr">
        <is>
          <t>Ukraine</t>
        </is>
      </c>
    </row>
    <row r="9988">
      <c r="A9988" t="inlineStr">
        <is>
          <t>ALPINE BIOFUELS COMPANY LIMITED,  Thu Duc City, Vietnam</t>
        </is>
      </c>
      <c r="B9988" t="inlineStr">
        <is>
          <t>Collecting Point, Trader with Storage</t>
        </is>
      </c>
      <c r="C9988" t="inlineStr">
        <is>
          <t>BM Certification, Riga, LV</t>
        </is>
      </c>
      <c r="D9988" t="inlineStr">
        <is>
          <t>26.12.2026</t>
        </is>
      </c>
      <c r="E9988" t="inlineStr">
        <is>
          <t>Vietnam</t>
        </is>
      </c>
    </row>
    <row r="9989">
      <c r="A9989" t="inlineStr">
        <is>
          <t>ALPINE BIOFUELS COMPANY LIMITED,  Thu Duc City, Vietnam</t>
        </is>
      </c>
      <c r="B9989" t="inlineStr">
        <is>
          <t>Collecting Point, Trader with Storage</t>
        </is>
      </c>
      <c r="C9989" t="inlineStr">
        <is>
          <t>BM Certification, Riga, LV</t>
        </is>
      </c>
      <c r="D9989" t="inlineStr">
        <is>
          <t>26.12.2026</t>
        </is>
      </c>
      <c r="E9989" t="inlineStr">
        <is>
          <t>Vietnam</t>
        </is>
      </c>
    </row>
    <row r="9990">
      <c r="A9990" t="inlineStr">
        <is>
          <t>Air bp Sales Romania S.R.L.,  Otopeni, Romania</t>
        </is>
      </c>
      <c r="B9990" t="inlineStr">
        <is>
          <t>Trader with Storage, Proof of Compliance Trader</t>
        </is>
      </c>
      <c r="C9990" t="inlineStr">
        <is>
          <t>Control Union Certifications Germany GmbH, Berlin, DE</t>
        </is>
      </c>
      <c r="D9990" t="inlineStr">
        <is>
          <t>26.12.2026</t>
        </is>
      </c>
      <c r="E9990" t="inlineStr">
        <is>
          <t>Romania</t>
        </is>
      </c>
    </row>
    <row r="9991">
      <c r="A9991" t="inlineStr">
        <is>
          <t>Oibbio Group Pte. Ltd.,  Singapore, Singapore</t>
        </is>
      </c>
      <c r="B9991" t="inlineStr">
        <is>
          <t>Trader</t>
        </is>
      </c>
      <c r="C9991" t="inlineStr">
        <is>
          <t>RINA Services S.p.A., Genova, IT</t>
        </is>
      </c>
      <c r="D9991" t="inlineStr">
        <is>
          <t>26.12.2026</t>
        </is>
      </c>
      <c r="E9991" t="inlineStr">
        <is>
          <t>Singapore</t>
        </is>
      </c>
    </row>
    <row r="9992">
      <c r="A9992" t="inlineStr">
        <is>
          <t>Oibbio Group Pte. Ltd.,  Singapore, Singapore</t>
        </is>
      </c>
      <c r="B9992" t="inlineStr">
        <is>
          <t>Trader</t>
        </is>
      </c>
      <c r="C9992" t="inlineStr">
        <is>
          <t>RINA Services S.p.A., Genova, IT</t>
        </is>
      </c>
      <c r="D9992" t="inlineStr">
        <is>
          <t>26.12.2026</t>
        </is>
      </c>
      <c r="E9992" t="inlineStr">
        <is>
          <t>Singapore</t>
        </is>
      </c>
    </row>
    <row r="9993">
      <c r="A9993" t="inlineStr">
        <is>
          <t>Hebei Feitian Future Energy Technology Co., Ltd,  Xinji City, Hebei Province, China</t>
        </is>
      </c>
      <c r="B9993" t="inlineStr">
        <is>
          <t>Processing Unit, Trader with Storage</t>
        </is>
      </c>
      <c r="C9993" t="inlineStr">
        <is>
          <t>RINA Services S.p.A., Genova, IT</t>
        </is>
      </c>
      <c r="D9993" t="inlineStr">
        <is>
          <t>26.12.2026</t>
        </is>
      </c>
      <c r="E9993" t="inlineStr">
        <is>
          <t>China</t>
        </is>
      </c>
    </row>
    <row r="9994">
      <c r="A9994" t="inlineStr">
        <is>
          <t>Shanghai Yulu Plastic Tech. Co., Ltd,  Jinhui Town, Fengxian District, Shanghai City, China</t>
        </is>
      </c>
      <c r="B9994" t="inlineStr">
        <is>
          <t>Processing Unit</t>
        </is>
      </c>
      <c r="C9994" t="inlineStr">
        <is>
          <t>RINA Services S.p.A., Genova, IT</t>
        </is>
      </c>
      <c r="D9994" t="inlineStr">
        <is>
          <t>26.12.2026</t>
        </is>
      </c>
      <c r="E9994" t="inlineStr">
        <is>
          <t>China</t>
        </is>
      </c>
    </row>
    <row r="9995">
      <c r="A9995" t="inlineStr">
        <is>
          <t>Chengdu Qingyun Waste Oil Disposal Co., Ltd.,  Chengdu City, Sichuan Province, China</t>
        </is>
      </c>
      <c r="B9995" t="inlineStr">
        <is>
          <t>Collecting Point, Trader with Storage</t>
        </is>
      </c>
      <c r="C9995" t="inlineStr">
        <is>
          <t>RINA Services S.p.A., Genova, IT</t>
        </is>
      </c>
      <c r="D9995" t="inlineStr">
        <is>
          <t>26.12.2026</t>
        </is>
      </c>
      <c r="E9995" t="inlineStr">
        <is>
          <t>China</t>
        </is>
      </c>
    </row>
    <row r="9996">
      <c r="A9996" t="inlineStr">
        <is>
          <t>KOLON INDUSTRIES, INC. (Yeosu Plant),  Yeosu-si, Jeollanam-do, Korea, Republic of</t>
        </is>
      </c>
      <c r="B9996" t="inlineStr">
        <is>
          <t>Processing Unit</t>
        </is>
      </c>
      <c r="C9996" t="inlineStr">
        <is>
          <t>Control Union Certifications Germany GmbH, Berlin, DE</t>
        </is>
      </c>
      <c r="D9996" t="inlineStr">
        <is>
          <t>25.12.2026</t>
        </is>
      </c>
      <c r="E9996" t="inlineStr">
        <is>
          <t>Republic of</t>
        </is>
      </c>
    </row>
    <row r="9997">
      <c r="A9997" t="inlineStr">
        <is>
          <t>Zhejiang Anji Rongyi Furniture Co., Ltd,  Huzhou City, China</t>
        </is>
      </c>
      <c r="B9997" t="inlineStr">
        <is>
          <t>Processing Unit</t>
        </is>
      </c>
      <c r="C9997" t="inlineStr">
        <is>
          <t>Extensive Standard Technical Services Co., Ltd., Hong Kong, CN</t>
        </is>
      </c>
      <c r="D9997" t="inlineStr">
        <is>
          <t>25.12.2026</t>
        </is>
      </c>
      <c r="E9997" t="inlineStr">
        <is>
          <t>China</t>
        </is>
      </c>
    </row>
    <row r="9998">
      <c r="A9998" t="inlineStr">
        <is>
          <t>Chung Hwa Pulp,  Hualien County , Ji'an Township, Taiwan, Province of China</t>
        </is>
      </c>
      <c r="B9998" t="inlineStr">
        <is>
          <t>Point of Origin, Processing Unit</t>
        </is>
      </c>
      <c r="C9998" t="inlineStr">
        <is>
          <t>Control Union Certifications Germany GmbH, Berlin, DE</t>
        </is>
      </c>
      <c r="D9998" t="inlineStr">
        <is>
          <t>25.12.2026</t>
        </is>
      </c>
      <c r="E9998" t="inlineStr">
        <is>
          <t>Province of China</t>
        </is>
      </c>
    </row>
    <row r="9999">
      <c r="A9999" t="inlineStr">
        <is>
          <t>PEGASUS MARITIME (S) PTE LTD,  SINGAPORE, Singapore</t>
        </is>
      </c>
      <c r="B9999" t="inlineStr">
        <is>
          <t>Trader</t>
        </is>
      </c>
      <c r="C9999" t="inlineStr">
        <is>
          <t>Guardian Independent Certification Limited, Singapore, SG</t>
        </is>
      </c>
      <c r="D9999" t="inlineStr">
        <is>
          <t>25.12.2026</t>
        </is>
      </c>
      <c r="E9999" t="inlineStr">
        <is>
          <t>Singapore</t>
        </is>
      </c>
    </row>
    <row r="10000">
      <c r="A10000" t="inlineStr">
        <is>
          <t>EASTPEC TRADING PTE LTD,  SINGAPORE, Singapore</t>
        </is>
      </c>
      <c r="B10000" t="inlineStr">
        <is>
          <t>Trader</t>
        </is>
      </c>
      <c r="C10000" t="inlineStr">
        <is>
          <t>Guardian Independent Certification Limited, Singapore, SG</t>
        </is>
      </c>
      <c r="D10000" t="inlineStr">
        <is>
          <t>25.12.2026</t>
        </is>
      </c>
      <c r="E10000" t="inlineStr">
        <is>
          <t>Singapore</t>
        </is>
      </c>
    </row>
    <row r="10001">
      <c r="A10001" t="inlineStr">
        <is>
          <t>PT Selaras Mitra Sarimba,  Tebo, Indonesia</t>
        </is>
      </c>
      <c r="B10001" t="inlineStr">
        <is>
          <t>Point of Origin</t>
        </is>
      </c>
      <c r="C10001" t="inlineStr">
        <is>
          <t>PT. Qualitas Sertifikasi Indonesia, Jakarta, ID</t>
        </is>
      </c>
      <c r="D10001" t="inlineStr">
        <is>
          <t>25.12.2026</t>
        </is>
      </c>
      <c r="E10001" t="inlineStr">
        <is>
          <t>Indonesia</t>
        </is>
      </c>
    </row>
    <row r="10002">
      <c r="A10002" t="inlineStr">
        <is>
          <t>PT Pesona Sawit Abadi,  Kab. Berau, Provinsi Kalimantan Timur, Indonesia</t>
        </is>
      </c>
      <c r="B10002" t="inlineStr">
        <is>
          <t>Point of Origin</t>
        </is>
      </c>
      <c r="C10002" t="inlineStr">
        <is>
          <t>PT. Qualitas Sertifikasi Indonesia, Jakarta, ID</t>
        </is>
      </c>
      <c r="D10002" t="inlineStr">
        <is>
          <t>25.12.2026</t>
        </is>
      </c>
      <c r="E10002" t="inlineStr">
        <is>
          <t>Indonesia</t>
        </is>
      </c>
    </row>
    <row r="10003">
      <c r="A10003" t="inlineStr">
        <is>
          <t>Cahaya Gemilang Sawit,  Kab. Kutai Kartanegara, Provinsi Kalimantan Timur, Indonesia</t>
        </is>
      </c>
      <c r="B10003" t="inlineStr">
        <is>
          <t>Point of Origin</t>
        </is>
      </c>
      <c r="C10003" t="inlineStr">
        <is>
          <t>PT. Qualitas Sertifikasi Indonesia, Jakarta, ID</t>
        </is>
      </c>
      <c r="D10003" t="inlineStr">
        <is>
          <t>25.12.2026</t>
        </is>
      </c>
      <c r="E10003" t="inlineStr">
        <is>
          <t>Indonesia</t>
        </is>
      </c>
    </row>
    <row r="10004">
      <c r="A10004" t="inlineStr">
        <is>
          <t>Liquid Palm Miller,  Gua Musang, Kelantan, Malaysia</t>
        </is>
      </c>
      <c r="B10004" t="inlineStr">
        <is>
          <t>Point of Origin</t>
        </is>
      </c>
      <c r="C10004" t="inlineStr">
        <is>
          <t>PT. CBQA GLOBAL INDONESIA, JAKARTA SELATAN, ID</t>
        </is>
      </c>
      <c r="D10004" t="inlineStr">
        <is>
          <t>25.12.2026</t>
        </is>
      </c>
      <c r="E10004" t="inlineStr">
        <is>
          <t>Malaysia</t>
        </is>
      </c>
    </row>
    <row r="10005">
      <c r="A10005" t="inlineStr">
        <is>
          <t>Shandong Link Advanced Materials Co., Ltd.,  Weifang City, Shandong Province, China</t>
        </is>
      </c>
      <c r="B10005" t="inlineStr">
        <is>
          <t>Trader, Processing Unit</t>
        </is>
      </c>
      <c r="C10005" t="inlineStr">
        <is>
          <t>CTI Certification Co. Ltd, Shenzhen, CN</t>
        </is>
      </c>
      <c r="D10005" t="inlineStr">
        <is>
          <t>25.12.2026</t>
        </is>
      </c>
      <c r="E10005" t="inlineStr">
        <is>
          <t>China</t>
        </is>
      </c>
    </row>
    <row r="10006">
      <c r="A10006" t="inlineStr">
        <is>
          <t>Greenoil Product Limited,  Hong Kong, Hong Kong, SAR, China</t>
        </is>
      </c>
      <c r="B10006" t="inlineStr">
        <is>
          <t>Trader</t>
        </is>
      </c>
      <c r="C10006" t="inlineStr">
        <is>
          <t>PT SBC Asia Sertifikasi, Kebumen, ID</t>
        </is>
      </c>
      <c r="D10006" t="inlineStr">
        <is>
          <t>25.12.2026</t>
        </is>
      </c>
      <c r="E10006" t="inlineStr">
        <is>
          <t>China</t>
        </is>
      </c>
    </row>
    <row r="10007">
      <c r="A10007" t="inlineStr">
        <is>
          <t>Hensall Co-op,  Hensall, Canada</t>
        </is>
      </c>
      <c r="B10007" t="inlineStr">
        <is>
          <t>First Gathering Point</t>
        </is>
      </c>
      <c r="C10007" t="inlineStr">
        <is>
          <t>SGS Germany GmbH, Emstek, DE</t>
        </is>
      </c>
      <c r="D10007" t="inlineStr">
        <is>
          <t>25.12.2026</t>
        </is>
      </c>
      <c r="E10007" t="inlineStr">
        <is>
          <t>Canada</t>
        </is>
      </c>
    </row>
    <row r="10008">
      <c r="A10008" t="inlineStr">
        <is>
          <t>LLC «GRAVITA-S»,  Pidhirne village, Ukraine</t>
        </is>
      </c>
      <c r="B10008" t="inlineStr">
        <is>
          <t>First Gathering Point, Trader with Storage</t>
        </is>
      </c>
      <c r="C10008" t="inlineStr">
        <is>
          <t>Organic Standard Ltd, Kyiv, UA</t>
        </is>
      </c>
      <c r="D10008" t="inlineStr">
        <is>
          <t>25.12.2026</t>
        </is>
      </c>
      <c r="E10008" t="inlineStr">
        <is>
          <t>Ukraine</t>
        </is>
      </c>
    </row>
    <row r="10009">
      <c r="A10009" t="inlineStr">
        <is>
          <t>Byonerga Inc.,  Saint Laurent, Quebec, Canada</t>
        </is>
      </c>
      <c r="B10009" t="inlineStr">
        <is>
          <t>Collecting Point, Trader</t>
        </is>
      </c>
      <c r="C10009" t="inlineStr">
        <is>
          <t>SCS Global Services, Emeryville, CA, US</t>
        </is>
      </c>
      <c r="D10009" t="inlineStr">
        <is>
          <t>25.12.2026</t>
        </is>
      </c>
      <c r="E10009" t="inlineStr">
        <is>
          <t>Canada</t>
        </is>
      </c>
    </row>
    <row r="10010">
      <c r="A10010" t="inlineStr">
        <is>
          <t>PT. Industri Nabati Lestari,  Simalungun, Indonesia</t>
        </is>
      </c>
      <c r="B10010" t="inlineStr">
        <is>
          <t>Point of Origin</t>
        </is>
      </c>
      <c r="C10010" t="inlineStr">
        <is>
          <t>China Testing &amp; Certification International Group Co., Ltd., Beijing, CN</t>
        </is>
      </c>
      <c r="D10010" t="inlineStr">
        <is>
          <t>25.12.2026</t>
        </is>
      </c>
      <c r="E10010" t="inlineStr">
        <is>
          <t>Indonesia</t>
        </is>
      </c>
    </row>
    <row r="10011">
      <c r="A10011" t="inlineStr">
        <is>
          <t>PT Mutiara Sawit Semesta,  Batang Hari Regency, Jambi Province, Indonesia</t>
        </is>
      </c>
      <c r="B10011" t="inlineStr">
        <is>
          <t>Point of Origin</t>
        </is>
      </c>
      <c r="C10011" t="inlineStr">
        <is>
          <t>PT. Qualitas Sertifikasi Indonesia, Jakarta, ID</t>
        </is>
      </c>
      <c r="D10011" t="inlineStr">
        <is>
          <t>25.12.2026</t>
        </is>
      </c>
      <c r="E10011" t="inlineStr">
        <is>
          <t>Indonesia</t>
        </is>
      </c>
    </row>
    <row r="10012">
      <c r="A10012" t="inlineStr">
        <is>
          <t>Huizhou City Huilong Jinyi Oil Energy Co. Ltd,  Huizhou City, Guangdong Province, China</t>
        </is>
      </c>
      <c r="B10012" t="inlineStr">
        <is>
          <t>Processing Unit</t>
        </is>
      </c>
      <c r="C10012" t="inlineStr">
        <is>
          <t>RINA Services S.p.A., Genova, IT</t>
        </is>
      </c>
      <c r="D10012" t="inlineStr">
        <is>
          <t>25.12.2026</t>
        </is>
      </c>
      <c r="E10012" t="inlineStr">
        <is>
          <t>China</t>
        </is>
      </c>
    </row>
    <row r="10013">
      <c r="A10013" t="inlineStr">
        <is>
          <t>Kraton Chemical BV,  Sandarne, Sweden</t>
        </is>
      </c>
      <c r="B10013" t="inlineStr">
        <is>
          <t>Point of Origin, Collecting Point, Trader with Storage, Processing Unit</t>
        </is>
      </c>
      <c r="C10013" t="inlineStr">
        <is>
          <t>DNV Business Assurance Sweden AB, Solna, SE</t>
        </is>
      </c>
      <c r="D10013" t="inlineStr">
        <is>
          <t>24.12.2026</t>
        </is>
      </c>
      <c r="E10013" t="inlineStr">
        <is>
          <t>Sweden</t>
        </is>
      </c>
    </row>
    <row r="10014">
      <c r="A10014" t="inlineStr">
        <is>
          <t>Kraton Chemical BV,  Sandarne, Sweden</t>
        </is>
      </c>
      <c r="B10014" t="inlineStr">
        <is>
          <t>Point of Origin, Collecting Point, Trader with Storage, Processing Unit</t>
        </is>
      </c>
      <c r="C10014" t="inlineStr">
        <is>
          <t>DNV Business Assurance Sweden AB, Solna, SE</t>
        </is>
      </c>
      <c r="D10014" t="inlineStr">
        <is>
          <t>24.12.2026</t>
        </is>
      </c>
      <c r="E10014" t="inlineStr">
        <is>
          <t>Sweden</t>
        </is>
      </c>
    </row>
    <row r="10015">
      <c r="A10015" t="inlineStr">
        <is>
          <t>Suzhou Yuga Plastic Tech Co., Ltd,  Kunshan City, China</t>
        </is>
      </c>
      <c r="B10015" t="inlineStr">
        <is>
          <t>Processing Unit</t>
        </is>
      </c>
      <c r="C10015" t="inlineStr">
        <is>
          <t>Extensive Standard Technical Services Co., Ltd., Hong Kong, CN</t>
        </is>
      </c>
      <c r="D10015" t="inlineStr">
        <is>
          <t>24.12.2026</t>
        </is>
      </c>
      <c r="E10015" t="inlineStr">
        <is>
          <t>China</t>
        </is>
      </c>
    </row>
    <row r="10016">
      <c r="A10016" t="inlineStr">
        <is>
          <t>RAYONIER AM TARTAS,  TARTAS, France</t>
        </is>
      </c>
      <c r="B10016" t="inlineStr">
        <is>
          <t>Point of Origin, Processing Unit</t>
        </is>
      </c>
      <c r="C10016" t="inlineStr">
        <is>
          <t>Control Union Certifications Germany GmbH, Berlin, DE</t>
        </is>
      </c>
      <c r="D10016" t="inlineStr">
        <is>
          <t>24.12.2026</t>
        </is>
      </c>
      <c r="E10016" t="inlineStr">
        <is>
          <t>France</t>
        </is>
      </c>
    </row>
    <row r="10017">
      <c r="A10017" t="inlineStr">
        <is>
          <t>Tongliao Horqin District Xincang Agricultural Machinery and Planting Specialized Cooperative,  Tongliao City, China</t>
        </is>
      </c>
      <c r="B10017" t="inlineStr">
        <is>
          <t>Farm / Plantation, First Gathering Point</t>
        </is>
      </c>
      <c r="C10017" t="inlineStr">
        <is>
          <t>China Classification Society Certification Co., Ltd, Dong Cheng District, Beijing, CN</t>
        </is>
      </c>
      <c r="D10017" t="inlineStr">
        <is>
          <t>24.12.2026</t>
        </is>
      </c>
      <c r="E10017" t="inlineStr">
        <is>
          <t>China</t>
        </is>
      </c>
    </row>
    <row r="10018">
      <c r="A10018" t="inlineStr">
        <is>
          <t>ECORECLAIM,  IRAKLEIO, Greece</t>
        </is>
      </c>
      <c r="B10018" t="inlineStr">
        <is>
          <t>Collecting Point, Trader with Storage</t>
        </is>
      </c>
      <c r="C10018" t="inlineStr">
        <is>
          <t>Eurocert SA, Metamorfosi, Athens, GR</t>
        </is>
      </c>
      <c r="D10018" t="inlineStr">
        <is>
          <t>24.12.2026</t>
        </is>
      </c>
      <c r="E10018" t="inlineStr">
        <is>
          <t>Greece</t>
        </is>
      </c>
    </row>
    <row r="10019">
      <c r="A10019" t="inlineStr">
        <is>
          <t>ECO Oil Co. Ltd.,  Kowloon, Hong Kong, Hong Kong</t>
        </is>
      </c>
      <c r="B10019" t="inlineStr">
        <is>
          <t>Collecting Point, Trader</t>
        </is>
      </c>
      <c r="C10019" t="inlineStr">
        <is>
          <t>ASG Cert GmbH, Munich, DE</t>
        </is>
      </c>
      <c r="D10019" t="inlineStr">
        <is>
          <t>24.12.2026</t>
        </is>
      </c>
      <c r="E10019" t="inlineStr">
        <is>
          <t>Hong Kong</t>
        </is>
      </c>
    </row>
    <row r="10020">
      <c r="A10020" t="inlineStr">
        <is>
          <t>ECO Oil Co. Ltd.,  Kowloon, Hong Kong, Hong Kong</t>
        </is>
      </c>
      <c r="B10020" t="inlineStr">
        <is>
          <t>Trader</t>
        </is>
      </c>
      <c r="C10020" t="inlineStr">
        <is>
          <t>ASG Cert GmbH, Munich, DE</t>
        </is>
      </c>
      <c r="D10020" t="inlineStr">
        <is>
          <t>24.12.2026</t>
        </is>
      </c>
      <c r="E10020" t="inlineStr">
        <is>
          <t>Hong Kong</t>
        </is>
      </c>
    </row>
    <row r="10021">
      <c r="A10021" t="inlineStr">
        <is>
          <t>Anhui Wanbo Energy Technology Co., LTD,  Bengbu, China</t>
        </is>
      </c>
      <c r="B10021" t="inlineStr">
        <is>
          <t>Collecting Point, First Gathering Point, Processing Unit</t>
        </is>
      </c>
      <c r="C10021" t="inlineStr">
        <is>
          <t>Bureau Veritas Polska Sp. z o.o., Warsaw, PL</t>
        </is>
      </c>
      <c r="D10021" t="inlineStr">
        <is>
          <t>23.12.2026</t>
        </is>
      </c>
      <c r="E10021" t="inlineStr">
        <is>
          <t>China</t>
        </is>
      </c>
    </row>
    <row r="10022">
      <c r="A10022" t="inlineStr">
        <is>
          <t>Champost BDP,  Meulebeke, Belgium</t>
        </is>
      </c>
      <c r="B10022" t="inlineStr">
        <is>
          <t>Collecting Point</t>
        </is>
      </c>
      <c r="C10022" t="inlineStr">
        <is>
          <t>Normec QS BV, Bennekom, NL</t>
        </is>
      </c>
      <c r="D10022" t="inlineStr">
        <is>
          <t>23.12.2026</t>
        </is>
      </c>
      <c r="E10022" t="inlineStr">
        <is>
          <t>Belgium</t>
        </is>
      </c>
    </row>
    <row r="10023">
      <c r="A10023" t="inlineStr">
        <is>
          <t>Tagaddod for Trading and Operations B.V.,  Rotterdam, Netherlands</t>
        </is>
      </c>
      <c r="B10023" t="inlineStr">
        <is>
          <t>Trader with Storage</t>
        </is>
      </c>
      <c r="C10023" t="inlineStr">
        <is>
          <t>PT Intertek Utama Services, Jakarta, ID</t>
        </is>
      </c>
      <c r="D10023" t="inlineStr">
        <is>
          <t>23.12.2026</t>
        </is>
      </c>
      <c r="E10023" t="inlineStr">
        <is>
          <t>Netherlands</t>
        </is>
      </c>
    </row>
    <row r="10024">
      <c r="A10024" t="inlineStr">
        <is>
          <t>VIDARA SPAIN S.A.U.,  Barcelona, Spain</t>
        </is>
      </c>
      <c r="B10024" t="inlineStr">
        <is>
          <t>Trader with Storage</t>
        </is>
      </c>
      <c r="C10024" t="inlineStr">
        <is>
          <t>PT Intertek Utama Services, Jakarta, ID</t>
        </is>
      </c>
      <c r="D10024" t="inlineStr">
        <is>
          <t>23.12.2026</t>
        </is>
      </c>
      <c r="E10024" t="inlineStr">
        <is>
          <t>Spain</t>
        </is>
      </c>
    </row>
    <row r="10025">
      <c r="A10025" t="inlineStr">
        <is>
          <t>POET Biorefining - Big Stone, LLC,  Big Stone City, United States</t>
        </is>
      </c>
      <c r="B10025" t="inlineStr">
        <is>
          <t>Processing Unit, Point of Origin</t>
        </is>
      </c>
      <c r="C10025" t="inlineStr">
        <is>
          <t>SCS Global Services, Emeryville, CA, US</t>
        </is>
      </c>
      <c r="D10025" t="inlineStr">
        <is>
          <t>23.12.2026</t>
        </is>
      </c>
      <c r="E10025" t="inlineStr">
        <is>
          <t>United States</t>
        </is>
      </c>
    </row>
    <row r="10026">
      <c r="A10026" t="inlineStr">
        <is>
          <t>Taminco US LLC, a subsidiary of Eastman Chemical Company,  Pace, United States</t>
        </is>
      </c>
      <c r="B10026" t="inlineStr">
        <is>
          <t>Processing Unit</t>
        </is>
      </c>
      <c r="C10026" t="inlineStr">
        <is>
          <t>SCS Global Services, Emeryville, CA, US</t>
        </is>
      </c>
      <c r="D10026" t="inlineStr">
        <is>
          <t>23.12.2026</t>
        </is>
      </c>
      <c r="E10026" t="inlineStr">
        <is>
          <t>United States</t>
        </is>
      </c>
    </row>
    <row r="10027">
      <c r="A10027" t="inlineStr">
        <is>
          <t>Taminco US LLC, a subsidary of Eastman Chemical Company,  St. Gabriel, United States</t>
        </is>
      </c>
      <c r="B10027" t="inlineStr">
        <is>
          <t>Processing Unit</t>
        </is>
      </c>
      <c r="C10027" t="inlineStr">
        <is>
          <t>SCS Global Services, Emeryville, CA, US</t>
        </is>
      </c>
      <c r="D10027" t="inlineStr">
        <is>
          <t>23.12.2026</t>
        </is>
      </c>
      <c r="E10027" t="inlineStr">
        <is>
          <t>United States</t>
        </is>
      </c>
    </row>
    <row r="10028">
      <c r="A10028" t="inlineStr">
        <is>
          <t>POET Biorefining - Groton, LLC,  Groton, United States</t>
        </is>
      </c>
      <c r="B10028" t="inlineStr">
        <is>
          <t>Point of Origin, Processing Unit</t>
        </is>
      </c>
      <c r="C10028" t="inlineStr">
        <is>
          <t>SCS Global Services, Emeryville, CA, US</t>
        </is>
      </c>
      <c r="D10028" t="inlineStr">
        <is>
          <t>23.12.2026</t>
        </is>
      </c>
      <c r="E10028" t="inlineStr">
        <is>
          <t>United States</t>
        </is>
      </c>
    </row>
    <row r="10029">
      <c r="A10029" t="inlineStr">
        <is>
          <t>POET Biorefining - Groton, LLC,  Groton, United States</t>
        </is>
      </c>
      <c r="B10029" t="inlineStr">
        <is>
          <t>Point of Origin, Processing Unit</t>
        </is>
      </c>
      <c r="C10029" t="inlineStr">
        <is>
          <t>SCS Global Services, Emeryville, CA, US</t>
        </is>
      </c>
      <c r="D10029" t="inlineStr">
        <is>
          <t>23.12.2026</t>
        </is>
      </c>
      <c r="E10029" t="inlineStr">
        <is>
          <t>United States</t>
        </is>
      </c>
    </row>
    <row r="10030">
      <c r="A10030" t="inlineStr">
        <is>
          <t>Cargill BV,  Bergen Op Zoom, Netherlands</t>
        </is>
      </c>
      <c r="B10030" t="inlineStr">
        <is>
          <t>Point of Origin, Processing Unit</t>
        </is>
      </c>
      <c r="C10030" t="inlineStr">
        <is>
          <t>Control Union Certifications Germany GmbH, Berlin, DE</t>
        </is>
      </c>
      <c r="D10030" t="inlineStr">
        <is>
          <t>23.12.2026</t>
        </is>
      </c>
      <c r="E10030" t="inlineStr">
        <is>
          <t>Netherlands</t>
        </is>
      </c>
    </row>
    <row r="10031">
      <c r="A10031" t="inlineStr">
        <is>
          <t>Paul Rudolf,  Völkermarkt, Austria</t>
        </is>
      </c>
      <c r="B10031" t="inlineStr">
        <is>
          <t>Trader</t>
        </is>
      </c>
      <c r="C10031" t="inlineStr">
        <is>
          <t>agroVet GmbH, Enzersfeld, AT</t>
        </is>
      </c>
      <c r="D10031" t="inlineStr">
        <is>
          <t>23.12.2026</t>
        </is>
      </c>
      <c r="E10031" t="inlineStr">
        <is>
          <t>Austria</t>
        </is>
      </c>
    </row>
    <row r="10032">
      <c r="A10032" t="inlineStr">
        <is>
          <t>Ashorst B.V.,  Horst, Netherlands</t>
        </is>
      </c>
      <c r="B10032" t="inlineStr">
        <is>
          <t>Collecting Point, Processing Unit, Trader with Storage</t>
        </is>
      </c>
      <c r="C10032" t="inlineStr">
        <is>
          <t>Normec QS BV, Bennekom, NL</t>
        </is>
      </c>
      <c r="D10032" t="inlineStr">
        <is>
          <t>23.12.2026</t>
        </is>
      </c>
      <c r="E10032" t="inlineStr">
        <is>
          <t>Netherlands</t>
        </is>
      </c>
    </row>
    <row r="10033">
      <c r="A10033" t="inlineStr">
        <is>
          <t>Hysolar B.V.,  Nieuwegein, Netherlands</t>
        </is>
      </c>
      <c r="B10033" t="inlineStr">
        <is>
          <t>Processing Unit, Trader with Storage</t>
        </is>
      </c>
      <c r="C10033" t="inlineStr">
        <is>
          <t>Normec QS BV, Bennekom, NL</t>
        </is>
      </c>
      <c r="D10033" t="inlineStr">
        <is>
          <t>23.12.2026</t>
        </is>
      </c>
      <c r="E10033" t="inlineStr">
        <is>
          <t>Netherlands</t>
        </is>
      </c>
    </row>
    <row r="10034">
      <c r="A10034" t="inlineStr">
        <is>
          <t>Luxottica S.r.l.,  Agordo, Belluno (BL), Italy</t>
        </is>
      </c>
      <c r="B10034" t="inlineStr">
        <is>
          <t>Point of Origin, Processing Unit</t>
        </is>
      </c>
      <c r="C10034" t="inlineStr">
        <is>
          <t>SGS Germany GmbH, Emstek, DE</t>
        </is>
      </c>
      <c r="D10034" t="inlineStr">
        <is>
          <t>23.12.2026</t>
        </is>
      </c>
      <c r="E10034" t="inlineStr">
        <is>
          <t>Italy</t>
        </is>
      </c>
    </row>
    <row r="10035">
      <c r="A10035" t="inlineStr">
        <is>
          <t>POET Biorefining - Big Stone, LLC,  Big Stone City, United States</t>
        </is>
      </c>
      <c r="B10035" t="inlineStr">
        <is>
          <t>Processing Unit, Point of Origin</t>
        </is>
      </c>
      <c r="C10035" t="inlineStr">
        <is>
          <t>SCS Global Services, Emeryville, CA, US</t>
        </is>
      </c>
      <c r="D10035" t="inlineStr">
        <is>
          <t>23.12.2026</t>
        </is>
      </c>
      <c r="E10035" t="inlineStr">
        <is>
          <t>United States</t>
        </is>
      </c>
    </row>
    <row r="10036">
      <c r="A10036" t="inlineStr">
        <is>
          <t>British Sugar Plc,  Wissington, United Kingdom</t>
        </is>
      </c>
      <c r="B10036" t="inlineStr">
        <is>
          <t>Point of Origin, Processing Unit</t>
        </is>
      </c>
      <c r="C10036" t="inlineStr">
        <is>
          <t>SGS Germany GmbH, Emstek, DE</t>
        </is>
      </c>
      <c r="D10036" t="inlineStr">
        <is>
          <t>23.12.2026</t>
        </is>
      </c>
      <c r="E10036" t="inlineStr">
        <is>
          <t>United Kingdom</t>
        </is>
      </c>
    </row>
    <row r="10037">
      <c r="A10037" t="inlineStr">
        <is>
          <t>World Energy Net Zero Services,  Boston, United States</t>
        </is>
      </c>
      <c r="B10037" t="inlineStr">
        <is>
          <t>Trader with Storage</t>
        </is>
      </c>
      <c r="C10037" t="inlineStr">
        <is>
          <t>SCS Global Services, Emeryville, CA, US</t>
        </is>
      </c>
      <c r="D10037" t="inlineStr">
        <is>
          <t>23.12.2026</t>
        </is>
      </c>
      <c r="E10037" t="inlineStr">
        <is>
          <t>United States</t>
        </is>
      </c>
    </row>
    <row r="10038">
      <c r="A10038" t="inlineStr">
        <is>
          <t>World Energy Net Zero Services,  Boston, United States</t>
        </is>
      </c>
      <c r="B10038" t="inlineStr">
        <is>
          <t>Trader with Storage</t>
        </is>
      </c>
      <c r="C10038" t="inlineStr">
        <is>
          <t>SCS Global Services, Emeryville, CA, US</t>
        </is>
      </c>
      <c r="D10038" t="inlineStr">
        <is>
          <t>23.12.2026</t>
        </is>
      </c>
      <c r="E10038" t="inlineStr">
        <is>
          <t>United States</t>
        </is>
      </c>
    </row>
    <row r="10039">
      <c r="A10039" t="inlineStr">
        <is>
          <t>PETROLINK TRADING PTE. LTD.,  NOVELTY BIZCENTRE, Singapore</t>
        </is>
      </c>
      <c r="B10039" t="inlineStr">
        <is>
          <t>Trader</t>
        </is>
      </c>
      <c r="C10039" t="inlineStr">
        <is>
          <t>China Standard Conformity Assessment Co. Ltd, Beijing, CN</t>
        </is>
      </c>
      <c r="D10039" t="inlineStr">
        <is>
          <t>23.12.2026</t>
        </is>
      </c>
      <c r="E10039" t="inlineStr">
        <is>
          <t>Singapore</t>
        </is>
      </c>
    </row>
    <row r="10040">
      <c r="A10040" t="inlineStr">
        <is>
          <t>Rohul Palmindo,  Rokan Hulu, Indonesia</t>
        </is>
      </c>
      <c r="B10040" t="inlineStr">
        <is>
          <t>Point of Origin</t>
        </is>
      </c>
      <c r="C10040" t="inlineStr">
        <is>
          <t>PT SBC Asia Sertifikasi, Kebumen, ID</t>
        </is>
      </c>
      <c r="D10040" t="inlineStr">
        <is>
          <t>23.12.2026</t>
        </is>
      </c>
      <c r="E10040" t="inlineStr">
        <is>
          <t>Indonesia</t>
        </is>
      </c>
    </row>
    <row r="10041">
      <c r="A10041" t="inlineStr">
        <is>
          <t>PT Sumber Jaya Indahnusa Coy,  Kabupaten Rokan Hulu, Indonesia</t>
        </is>
      </c>
      <c r="B10041" t="inlineStr">
        <is>
          <t>Point of Origin</t>
        </is>
      </c>
      <c r="C10041" t="inlineStr">
        <is>
          <t>PT SBC Asia Sertifikasi, Kebumen, ID</t>
        </is>
      </c>
      <c r="D10041" t="inlineStr">
        <is>
          <t>23.12.2026</t>
        </is>
      </c>
      <c r="E10041" t="inlineStr">
        <is>
          <t>Indonesia</t>
        </is>
      </c>
    </row>
    <row r="10042">
      <c r="A10042" t="inlineStr">
        <is>
          <t>Yongzhou Mayuanda Toys Co., Ltd.,  Yongzhou City, China</t>
        </is>
      </c>
      <c r="B10042" t="inlineStr">
        <is>
          <t>Processing Unit</t>
        </is>
      </c>
      <c r="C10042" t="inlineStr">
        <is>
          <t>Bureau Veritas Consumer Products Services, Inc., Littleton, MA, US</t>
        </is>
      </c>
      <c r="D10042" t="inlineStr">
        <is>
          <t>23.12.2026</t>
        </is>
      </c>
      <c r="E10042" t="inlineStr">
        <is>
          <t>China</t>
        </is>
      </c>
    </row>
    <row r="10043">
      <c r="A10043" t="inlineStr">
        <is>
          <t>KVA Energies,  Terneuzen, Netherlands</t>
        </is>
      </c>
      <c r="B10043" t="inlineStr">
        <is>
          <t>Trader with Storage</t>
        </is>
      </c>
      <c r="C10043" t="inlineStr">
        <is>
          <t>Normec QS BV, Bennekom, NL</t>
        </is>
      </c>
      <c r="D10043" t="inlineStr">
        <is>
          <t>23.12.2026</t>
        </is>
      </c>
      <c r="E10043" t="inlineStr">
        <is>
          <t>Netherlands</t>
        </is>
      </c>
    </row>
    <row r="10044">
      <c r="A10044" t="inlineStr">
        <is>
          <t>Amcor Packaging, Inc.,  Lancaster, WI, United States</t>
        </is>
      </c>
      <c r="B10044" t="inlineStr">
        <is>
          <t>Processing Unit</t>
        </is>
      </c>
      <c r="C10044" t="inlineStr">
        <is>
          <t>SCS Global Services, Emeryville, CA, US</t>
        </is>
      </c>
      <c r="D10044" t="inlineStr">
        <is>
          <t>23.12.2026</t>
        </is>
      </c>
      <c r="E10044" t="inlineStr">
        <is>
          <t>United States</t>
        </is>
      </c>
    </row>
    <row r="10045">
      <c r="A10045" t="inlineStr">
        <is>
          <t>PT.ANUGRAH TANJUNG MEDAN,  Labuhanbatu Selatan, Indonesia</t>
        </is>
      </c>
      <c r="B10045" t="inlineStr">
        <is>
          <t>Point of Origin</t>
        </is>
      </c>
      <c r="C10045" t="inlineStr">
        <is>
          <t>PT SBC Asia Sertifikasi, Kebumen, ID</t>
        </is>
      </c>
      <c r="D10045" t="inlineStr">
        <is>
          <t>23.12.2026</t>
        </is>
      </c>
      <c r="E10045" t="inlineStr">
        <is>
          <t>Indonesia</t>
        </is>
      </c>
    </row>
    <row r="10046">
      <c r="A10046" t="inlineStr">
        <is>
          <t>Gunung Rijuan Sejahtera,  Kab. Landak, Kalimantan Barat, Indonesia</t>
        </is>
      </c>
      <c r="B10046" t="inlineStr">
        <is>
          <t>Point of Origin</t>
        </is>
      </c>
      <c r="C10046" t="inlineStr">
        <is>
          <t>PT SBC Asia Sertifikasi, Kebumen, ID</t>
        </is>
      </c>
      <c r="D10046" t="inlineStr">
        <is>
          <t>23.12.2026</t>
        </is>
      </c>
      <c r="E10046" t="inlineStr">
        <is>
          <t>Indonesia</t>
        </is>
      </c>
    </row>
    <row r="10047">
      <c r="A10047" t="inlineStr">
        <is>
          <t>Inabata Singapore (Pte.) Ltd.,  Singapore, Singapore</t>
        </is>
      </c>
      <c r="B10047" t="inlineStr">
        <is>
          <t>Trader with Storage</t>
        </is>
      </c>
      <c r="C10047" t="inlineStr">
        <is>
          <t>Double Helix Tracking Technologies Pte Ltd, Singapore, SG</t>
        </is>
      </c>
      <c r="D10047" t="inlineStr">
        <is>
          <t>23.12.2026</t>
        </is>
      </c>
      <c r="E10047" t="inlineStr">
        <is>
          <t>Singapore</t>
        </is>
      </c>
    </row>
    <row r="10048">
      <c r="A10048" t="inlineStr">
        <is>
          <t>Shijiazhuang Sikai Renewable Resources Co., Ltd.,  Shijiazhuang City, Hebei Province, China</t>
        </is>
      </c>
      <c r="B10048" t="inlineStr">
        <is>
          <t>Collecting Point, Trader with Storage</t>
        </is>
      </c>
      <c r="C10048" t="inlineStr">
        <is>
          <t>SCS Global Services, Emeryville, CA, US</t>
        </is>
      </c>
      <c r="D10048" t="inlineStr">
        <is>
          <t>23.12.2026</t>
        </is>
      </c>
      <c r="E10048" t="inlineStr">
        <is>
          <t>China</t>
        </is>
      </c>
    </row>
    <row r="10049">
      <c r="A10049" t="inlineStr">
        <is>
          <t>V8 Environmental Pte Ltd,  Singapore, Singapore</t>
        </is>
      </c>
      <c r="B10049" t="inlineStr">
        <is>
          <t>Collecting Point, Processing Unit, Trader with Storage</t>
        </is>
      </c>
      <c r="C10049" t="inlineStr">
        <is>
          <t>Control Union Certifications Germany GmbH, Berlin, DE</t>
        </is>
      </c>
      <c r="D10049" t="inlineStr">
        <is>
          <t>23.12.2026</t>
        </is>
      </c>
      <c r="E10049" t="inlineStr">
        <is>
          <t>Singapore</t>
        </is>
      </c>
    </row>
    <row r="10050">
      <c r="A10050" t="inlineStr">
        <is>
          <t>TheWells Co.,Ltd.,  Yongin-si, Gyeonggi-do, South Korea</t>
        </is>
      </c>
      <c r="B10050" t="inlineStr">
        <is>
          <t>Trader</t>
        </is>
      </c>
      <c r="C10050" t="inlineStr">
        <is>
          <t>Bureau Veritas Polska Sp. z o.o., Warsaw, PL</t>
        </is>
      </c>
      <c r="D10050" t="inlineStr">
        <is>
          <t>23.12.2026</t>
        </is>
      </c>
      <c r="E10050" t="inlineStr">
        <is>
          <t>South Korea</t>
        </is>
      </c>
    </row>
    <row r="10051">
      <c r="A10051" t="inlineStr">
        <is>
          <t>Tsetsenekos Sotirios - "Eco Energy Group",  Kalamata, Greece</t>
        </is>
      </c>
      <c r="B10051" t="inlineStr">
        <is>
          <t>Collecting Point</t>
        </is>
      </c>
      <c r="C10051" t="inlineStr">
        <is>
          <t>Eurocert SA, Metamorfosi, Athens, GR</t>
        </is>
      </c>
      <c r="D10051" t="inlineStr">
        <is>
          <t>23.12.2026</t>
        </is>
      </c>
      <c r="E10051" t="inlineStr">
        <is>
          <t>Greece</t>
        </is>
      </c>
    </row>
    <row r="10052">
      <c r="A10052" t="inlineStr">
        <is>
          <t>Warisan Rasa Utama Sendirian Berhad,  Senai, Malaysia</t>
        </is>
      </c>
      <c r="B10052" t="inlineStr">
        <is>
          <t>Collecting Point</t>
        </is>
      </c>
      <c r="C10052" t="inlineStr">
        <is>
          <t>PT Mutuagung Lestari, Depok, ID</t>
        </is>
      </c>
      <c r="D10052" t="inlineStr">
        <is>
          <t>23.12.2026</t>
        </is>
      </c>
      <c r="E10052" t="inlineStr">
        <is>
          <t>Malaysia</t>
        </is>
      </c>
    </row>
    <row r="10053">
      <c r="A10053" t="inlineStr">
        <is>
          <t>Nexus Circular, LLC,  McDonough, The United States of America</t>
        </is>
      </c>
      <c r="B10053" t="inlineStr">
        <is>
          <t>Collecting Point, Processing Unit</t>
        </is>
      </c>
      <c r="C10053" t="inlineStr">
        <is>
          <t>SCS Global Services, Emeryville, CA, US</t>
        </is>
      </c>
      <c r="D10053" t="inlineStr">
        <is>
          <t>23.12.2026</t>
        </is>
      </c>
      <c r="E10053" t="inlineStr">
        <is>
          <t>The United States of America</t>
        </is>
      </c>
    </row>
    <row r="10054">
      <c r="A10054" t="inlineStr">
        <is>
          <t>China Shipbuilding Wind Power (Tongliao) New Energy Investment Co., Ltd.,  Tongliao City, China</t>
        </is>
      </c>
      <c r="B10054" t="inlineStr">
        <is>
          <t>First Gathering Point, Trader with Storage</t>
        </is>
      </c>
      <c r="C10054" t="inlineStr">
        <is>
          <t>China Classification Society Certification Co., Ltd, Dong Cheng District, Beijing, CN</t>
        </is>
      </c>
      <c r="D10054" t="inlineStr">
        <is>
          <t>23.12.2026</t>
        </is>
      </c>
      <c r="E10054" t="inlineStr">
        <is>
          <t>China</t>
        </is>
      </c>
    </row>
    <row r="10055">
      <c r="A10055" t="inlineStr">
        <is>
          <t>Eastman Chemical Company,  Texas City, United States</t>
        </is>
      </c>
      <c r="B10055" t="inlineStr">
        <is>
          <t>Processing Unit</t>
        </is>
      </c>
      <c r="C10055" t="inlineStr">
        <is>
          <t>SCS Global Services, Emeryville, CA, US</t>
        </is>
      </c>
      <c r="D10055" t="inlineStr">
        <is>
          <t>23.12.2026</t>
        </is>
      </c>
      <c r="E10055" t="inlineStr">
        <is>
          <t>United States</t>
        </is>
      </c>
    </row>
    <row r="10056">
      <c r="A10056" t="inlineStr">
        <is>
          <t>Hysolar B.V.,  Nieuwegein, Netherlands</t>
        </is>
      </c>
      <c r="B10056" t="inlineStr">
        <is>
          <t>Processing Unit</t>
        </is>
      </c>
      <c r="C10056" t="inlineStr">
        <is>
          <t>Normec QS BV, Bennekom, NL</t>
        </is>
      </c>
      <c r="D10056" t="inlineStr">
        <is>
          <t>23.12.2026</t>
        </is>
      </c>
      <c r="E10056" t="inlineStr">
        <is>
          <t>Netherlands</t>
        </is>
      </c>
    </row>
    <row r="10057">
      <c r="A10057" t="inlineStr">
        <is>
          <t>Añejos de Altura S.A. Bottling facility,  Mixco, Guatemala</t>
        </is>
      </c>
      <c r="B10057" t="inlineStr">
        <is>
          <t>Final Product Refinement</t>
        </is>
      </c>
      <c r="C10057" t="inlineStr">
        <is>
          <t>Control Union Poland Sp. z o.o., Zielona Gora, PL</t>
        </is>
      </c>
      <c r="D10057" t="inlineStr">
        <is>
          <t>23.12.2026</t>
        </is>
      </c>
      <c r="E10057" t="inlineStr">
        <is>
          <t>Guatemala</t>
        </is>
      </c>
    </row>
    <row r="10058">
      <c r="A10058" t="inlineStr">
        <is>
          <t>BioFront Commodities,  Singapore, Singapore</t>
        </is>
      </c>
      <c r="B10058" t="inlineStr">
        <is>
          <t>Trader</t>
        </is>
      </c>
      <c r="C10058" t="inlineStr">
        <is>
          <t>PT. CBQA GLOBAL INDONESIA, JAKARTA SELATAN, ID</t>
        </is>
      </c>
      <c r="D10058" t="inlineStr">
        <is>
          <t>23.12.2026</t>
        </is>
      </c>
      <c r="E10058" t="inlineStr">
        <is>
          <t>Singapore</t>
        </is>
      </c>
    </row>
    <row r="10059">
      <c r="A10059" t="inlineStr">
        <is>
          <t>Bio Energie Holwerd,  Holwerd, Netherlands</t>
        </is>
      </c>
      <c r="B10059" t="inlineStr">
        <is>
          <t>Processing Unit</t>
        </is>
      </c>
      <c r="C10059" t="inlineStr">
        <is>
          <t>Normec QS BV, Bennekom, NL</t>
        </is>
      </c>
      <c r="D10059" t="inlineStr">
        <is>
          <t>23.12.2026</t>
        </is>
      </c>
      <c r="E10059" t="inlineStr">
        <is>
          <t>Netherlands</t>
        </is>
      </c>
    </row>
    <row r="10060">
      <c r="A10060" t="inlineStr">
        <is>
          <t>Op de Beeck Geert,  Philippeville, Belgium</t>
        </is>
      </c>
      <c r="B10060" t="inlineStr">
        <is>
          <t>Collecting Point, Processing Unit</t>
        </is>
      </c>
      <c r="C10060" t="inlineStr">
        <is>
          <t>Normec QS BV, Bennekom, NL</t>
        </is>
      </c>
      <c r="D10060" t="inlineStr">
        <is>
          <t>23.12.2026</t>
        </is>
      </c>
      <c r="E10060" t="inlineStr">
        <is>
          <t>Belgium</t>
        </is>
      </c>
    </row>
    <row r="10061">
      <c r="A10061" t="inlineStr">
        <is>
          <t>Anhui Wanbo Energy Technology Co., LTD,  Bengbu, China</t>
        </is>
      </c>
      <c r="B10061" t="inlineStr">
        <is>
          <t>Collecting Point, First Gathering Point, Processing Unit</t>
        </is>
      </c>
      <c r="C10061" t="inlineStr">
        <is>
          <t>Bureau Veritas Polska Sp. z o.o., Warsaw, PL</t>
        </is>
      </c>
      <c r="D10061" t="inlineStr">
        <is>
          <t>23.12.2026</t>
        </is>
      </c>
      <c r="E10061" t="inlineStr">
        <is>
          <t>China</t>
        </is>
      </c>
    </row>
    <row r="10062">
      <c r="A10062" t="inlineStr">
        <is>
          <t>SAS HUB Quatre,  Bloye, France</t>
        </is>
      </c>
      <c r="B10062" t="inlineStr">
        <is>
          <t>Processing Unit, Trader with Storage</t>
        </is>
      </c>
      <c r="C10062" t="inlineStr">
        <is>
          <t>Control Union Certifications Germany GmbH, Berlin, DE</t>
        </is>
      </c>
      <c r="D10062" t="inlineStr">
        <is>
          <t>22.12.2026</t>
        </is>
      </c>
      <c r="E10062" t="inlineStr">
        <is>
          <t>France</t>
        </is>
      </c>
    </row>
    <row r="10063">
      <c r="A10063" t="inlineStr">
        <is>
          <t>Serenity Resources Pte. Ltd.,  Singapore, Singapore</t>
        </is>
      </c>
      <c r="B10063" t="inlineStr">
        <is>
          <t>Trader</t>
        </is>
      </c>
      <c r="C10063" t="inlineStr">
        <is>
          <t>SCS Global Services, Emeryville, CA, US</t>
        </is>
      </c>
      <c r="D10063" t="inlineStr">
        <is>
          <t>22.12.2026</t>
        </is>
      </c>
      <c r="E10063" t="inlineStr">
        <is>
          <t>Singapore</t>
        </is>
      </c>
    </row>
    <row r="10064">
      <c r="A10064" t="inlineStr">
        <is>
          <t>SAMSUNG CHEMICAL TECHNOLOGY VINA LLC,  Ho Chi Minh City, Vietnam</t>
        </is>
      </c>
      <c r="B10064" t="inlineStr">
        <is>
          <t>Trader</t>
        </is>
      </c>
      <c r="C10064" t="inlineStr">
        <is>
          <t>Control Union Certifications Germany GmbH, Berlin, DE</t>
        </is>
      </c>
      <c r="D10064" t="inlineStr">
        <is>
          <t>22.12.2026</t>
        </is>
      </c>
      <c r="E10064" t="inlineStr">
        <is>
          <t>Vietnam</t>
        </is>
      </c>
    </row>
    <row r="10065">
      <c r="A10065" t="inlineStr">
        <is>
          <t>TG Plastic Technologies Sdn Bhd,  Sungai Petani, Malaysia</t>
        </is>
      </c>
      <c r="B10065" t="inlineStr">
        <is>
          <t>Point of Origin, Processing Unit</t>
        </is>
      </c>
      <c r="C10065" t="inlineStr">
        <is>
          <t>Control Union Certifications Germany GmbH, Berlin, DE</t>
        </is>
      </c>
      <c r="D10065" t="inlineStr">
        <is>
          <t>22.12.2026</t>
        </is>
      </c>
      <c r="E10065" t="inlineStr">
        <is>
          <t>Malaysia</t>
        </is>
      </c>
    </row>
    <row r="10066">
      <c r="A10066" t="inlineStr">
        <is>
          <t>SKYHEM KIMYA SANAYI VE TICARET LIMITED SIRKETI,  TUZLA, ISTANBUL, Turkey</t>
        </is>
      </c>
      <c r="B10066" t="inlineStr">
        <is>
          <t>Collecting Point, Processing Unit</t>
        </is>
      </c>
      <c r="C10066" t="inlineStr">
        <is>
          <t>Trans Certification and Inspection Sdn Bhd, Kuantan, MY</t>
        </is>
      </c>
      <c r="D10066" t="inlineStr">
        <is>
          <t>22.12.2026</t>
        </is>
      </c>
      <c r="E10066" t="inlineStr">
        <is>
          <t>Turkey</t>
        </is>
      </c>
    </row>
    <row r="10067">
      <c r="A10067" t="inlineStr">
        <is>
          <t>Japan Pulp &amp; Paper Co.,Ltd. (Tokyo),  Kachidoki, Chuo-ku, Tokyo, Japan</t>
        </is>
      </c>
      <c r="B10067" t="inlineStr">
        <is>
          <t>Trader with Storage</t>
        </is>
      </c>
      <c r="C10067" t="inlineStr">
        <is>
          <t>SGS Germany GmbH, Emstek, DE</t>
        </is>
      </c>
      <c r="D10067" t="inlineStr">
        <is>
          <t>22.12.2026</t>
        </is>
      </c>
      <c r="E10067" t="inlineStr">
        <is>
          <t>Japan</t>
        </is>
      </c>
    </row>
    <row r="10068">
      <c r="A10068" t="inlineStr">
        <is>
          <t>American Packaging Corporation - Roto Columbus COE,  Columbus, WI, United States</t>
        </is>
      </c>
      <c r="B10068" t="inlineStr">
        <is>
          <t>Processing Unit</t>
        </is>
      </c>
      <c r="C10068" t="inlineStr">
        <is>
          <t>DQS CFS GmbH - Deutsche Gesellschaft für Nachhaltigkeit, Frankfurt am Main, DE</t>
        </is>
      </c>
      <c r="D10068" t="inlineStr">
        <is>
          <t>22.12.2026</t>
        </is>
      </c>
      <c r="E10068" t="inlineStr">
        <is>
          <t>United States</t>
        </is>
      </c>
    </row>
    <row r="10069">
      <c r="A10069" t="inlineStr">
        <is>
          <t>IP Specialities Europe,  Hamburg, Germany</t>
        </is>
      </c>
      <c r="B10069" t="inlineStr">
        <is>
          <t>Collecting Point, Trader</t>
        </is>
      </c>
      <c r="C10069" t="inlineStr">
        <is>
          <t>ASG Cert GmbH, Munich, DE</t>
        </is>
      </c>
      <c r="D10069" t="inlineStr">
        <is>
          <t>22.12.2026</t>
        </is>
      </c>
      <c r="E10069" t="inlineStr">
        <is>
          <t>Germany</t>
        </is>
      </c>
    </row>
    <row r="10070">
      <c r="A10070" t="inlineStr">
        <is>
          <t>Galatero Soc. Coop. Agr.,  Saluzzo, Italy</t>
        </is>
      </c>
      <c r="B10070" t="inlineStr">
        <is>
          <t>Collecting Point</t>
        </is>
      </c>
      <c r="C10070" t="inlineStr">
        <is>
          <t>RINA Services S.p.A., Genova, IT</t>
        </is>
      </c>
      <c r="D10070" t="inlineStr">
        <is>
          <t>22.12.2026</t>
        </is>
      </c>
      <c r="E10070" t="inlineStr">
        <is>
          <t>Italy</t>
        </is>
      </c>
    </row>
    <row r="10071">
      <c r="A10071" t="inlineStr">
        <is>
          <t>SOPRACOLLE,  Perarolo di Cadore, Italy</t>
        </is>
      </c>
      <c r="B10071" t="inlineStr">
        <is>
          <t>Final Product Refinement</t>
        </is>
      </c>
      <c r="C10071" t="inlineStr">
        <is>
          <t>RINA Services S.p.A., Genova, IT</t>
        </is>
      </c>
      <c r="D10071" t="inlineStr">
        <is>
          <t>22.12.2026</t>
        </is>
      </c>
      <c r="E10071" t="inlineStr">
        <is>
          <t>Italy</t>
        </is>
      </c>
    </row>
    <row r="10072">
      <c r="A10072" t="inlineStr">
        <is>
          <t>Sinopec Recycling Technology Company Limited,  Jianye District, Nanjing, China, China</t>
        </is>
      </c>
      <c r="B10072" t="inlineStr">
        <is>
          <t>Trader with Storage</t>
        </is>
      </c>
      <c r="C10072" t="inlineStr">
        <is>
          <t>China Classification Society Certification Co., Ltd, Dong Cheng District, Beijing, CN</t>
        </is>
      </c>
      <c r="D10072" t="inlineStr">
        <is>
          <t>22.12.2026</t>
        </is>
      </c>
      <c r="E10072" t="inlineStr">
        <is>
          <t>China</t>
        </is>
      </c>
    </row>
    <row r="10073">
      <c r="A10073" t="inlineStr">
        <is>
          <t>Sinopec Recycling Technology Company Limited,  Jianye District, Nanjing, China, China</t>
        </is>
      </c>
      <c r="B10073" t="inlineStr">
        <is>
          <t>Trader with Storage</t>
        </is>
      </c>
      <c r="C10073" t="inlineStr">
        <is>
          <t>China Classification Society Certification Co., Ltd, Dong Cheng District, Beijing, CN</t>
        </is>
      </c>
      <c r="D10073" t="inlineStr">
        <is>
          <t>22.12.2026</t>
        </is>
      </c>
      <c r="E10073" t="inlineStr">
        <is>
          <t>China</t>
        </is>
      </c>
    </row>
    <row r="10074">
      <c r="A10074" t="inlineStr">
        <is>
          <t>Jiadehe (Hebei) Energy Technology Co., Ltd.,  Shijiazhuang City,, China</t>
        </is>
      </c>
      <c r="B10074" t="inlineStr">
        <is>
          <t>Collecting Point, Trader with Storage</t>
        </is>
      </c>
      <c r="C10074" t="inlineStr">
        <is>
          <t>RINA Services S.p.A., Genova, IT</t>
        </is>
      </c>
      <c r="D10074" t="inlineStr">
        <is>
          <t>22.12.2026</t>
        </is>
      </c>
      <c r="E10074" t="inlineStr">
        <is>
          <t>China</t>
        </is>
      </c>
    </row>
    <row r="10075">
      <c r="A10075" t="inlineStr">
        <is>
          <t>FUJIAN ZHONGDE ENERGY CO., LTD,  Fuzhou, Fujian, China</t>
        </is>
      </c>
      <c r="B10075" t="inlineStr">
        <is>
          <t>Processing Unit, Trader with Storage</t>
        </is>
      </c>
      <c r="C10075" t="inlineStr">
        <is>
          <t>RINA Services S.p.A., Genova, IT</t>
        </is>
      </c>
      <c r="D10075" t="inlineStr">
        <is>
          <t>22.12.2026</t>
        </is>
      </c>
      <c r="E10075" t="inlineStr">
        <is>
          <t>China</t>
        </is>
      </c>
    </row>
    <row r="10076">
      <c r="A10076" t="inlineStr">
        <is>
          <t>Y2Solution Co., LTD,  -, Uiwang-si, South Korea</t>
        </is>
      </c>
      <c r="B10076" t="inlineStr">
        <is>
          <t>Trader</t>
        </is>
      </c>
      <c r="C10076" t="inlineStr">
        <is>
          <t>Bureau Veritas Polska Sp. z o.o., Warsaw, PL</t>
        </is>
      </c>
      <c r="D10076" t="inlineStr">
        <is>
          <t>22.12.2026</t>
        </is>
      </c>
      <c r="E10076" t="inlineStr">
        <is>
          <t>South Korea</t>
        </is>
      </c>
    </row>
    <row r="10077">
      <c r="A10077" t="inlineStr">
        <is>
          <t>Eni Spa,  Sannazzaro de' Burgondi (PV), Italy</t>
        </is>
      </c>
      <c r="B10077" t="inlineStr">
        <is>
          <t>ETBE plant, Processing Unit</t>
        </is>
      </c>
      <c r="C10077" t="inlineStr">
        <is>
          <t>RINA Services S.p.A., Genova, IT</t>
        </is>
      </c>
      <c r="D10077" t="inlineStr">
        <is>
          <t>22.12.2026</t>
        </is>
      </c>
      <c r="E10077" t="inlineStr">
        <is>
          <t>Italy</t>
        </is>
      </c>
    </row>
    <row r="10078">
      <c r="A10078" t="inlineStr">
        <is>
          <t>ATVOS BIOENERGIA SANTA LUZIA S.A,  Nova Alvorada do Sul, Brazil</t>
        </is>
      </c>
      <c r="B10078" t="inlineStr">
        <is>
          <t>First Gathering Point, Processing Unit</t>
        </is>
      </c>
      <c r="C10078" t="inlineStr">
        <is>
          <t>Control Union Poland Sp. z o.o., Zielona Gora, PL</t>
        </is>
      </c>
      <c r="D10078" t="inlineStr">
        <is>
          <t>22.12.2026</t>
        </is>
      </c>
      <c r="E10078" t="inlineStr">
        <is>
          <t>Brazil</t>
        </is>
      </c>
    </row>
    <row r="10079">
      <c r="A10079" t="inlineStr">
        <is>
          <t>ATVOS BIOENERGIA SANTA LUZIA S.A,  Nova Alvorada do Sul, Brazil</t>
        </is>
      </c>
      <c r="B10079" t="inlineStr">
        <is>
          <t>Processing Unit, First Gathering Point</t>
        </is>
      </c>
      <c r="C10079" t="inlineStr">
        <is>
          <t>Control Union Poland Sp. z o.o., Zielona Gora, PL</t>
        </is>
      </c>
      <c r="D10079" t="inlineStr">
        <is>
          <t>22.12.2026</t>
        </is>
      </c>
      <c r="E10079" t="inlineStr">
        <is>
          <t>Brazil</t>
        </is>
      </c>
    </row>
    <row r="10080">
      <c r="A10080" t="inlineStr">
        <is>
          <t>ATVOS BIOENERGIA SANTA LUZIA S.A,  Nova Alvorada do Sul, Brazil</t>
        </is>
      </c>
      <c r="B10080" t="inlineStr">
        <is>
          <t>First Gathering Point, Processing Unit</t>
        </is>
      </c>
      <c r="C10080" t="inlineStr">
        <is>
          <t>Control Union Poland Sp. z o.o., Zielona Gora, PL</t>
        </is>
      </c>
      <c r="D10080" t="inlineStr">
        <is>
          <t>22.12.2026</t>
        </is>
      </c>
      <c r="E10080" t="inlineStr">
        <is>
          <t>Brazil</t>
        </is>
      </c>
    </row>
    <row r="10081">
      <c r="A10081" t="inlineStr">
        <is>
          <t>Ingenio Taboga S.A.,  Cañas, Bebedero, Costa Rica</t>
        </is>
      </c>
      <c r="B10081" t="inlineStr">
        <is>
          <t>First Gathering Point, Processing Unit, Warehouse</t>
        </is>
      </c>
      <c r="C10081" t="inlineStr">
        <is>
          <t>Control Union Poland Sp. z o.o., Zielona Gora, PL</t>
        </is>
      </c>
      <c r="D10081" t="inlineStr">
        <is>
          <t>22.12.2026</t>
        </is>
      </c>
      <c r="E10081" t="inlineStr">
        <is>
          <t>Costa Rica</t>
        </is>
      </c>
    </row>
    <row r="10082">
      <c r="A10082" t="inlineStr">
        <is>
          <t>RP Royal Distribution S.L.,  Porqueres, Spain</t>
        </is>
      </c>
      <c r="B10082" t="inlineStr">
        <is>
          <t>Point of Origin</t>
        </is>
      </c>
      <c r="C10082" t="inlineStr">
        <is>
          <t>Control Union Poland Sp. z o.o., Zielona Gora, PL</t>
        </is>
      </c>
      <c r="D10082" t="inlineStr">
        <is>
          <t>22.12.2026</t>
        </is>
      </c>
      <c r="E10082" t="inlineStr">
        <is>
          <t>Spain</t>
        </is>
      </c>
    </row>
    <row r="10083">
      <c r="A10083" t="inlineStr">
        <is>
          <t>Añejos de Altura S.A.,  Quetzaltenango, Guatemala</t>
        </is>
      </c>
      <c r="B10083" t="inlineStr">
        <is>
          <t>Processing Unit</t>
        </is>
      </c>
      <c r="C10083" t="inlineStr">
        <is>
          <t>Control Union Poland Sp. z o.o., Zielona Gora, PL</t>
        </is>
      </c>
      <c r="D10083" t="inlineStr">
        <is>
          <t>22.12.2026</t>
        </is>
      </c>
      <c r="E10083" t="inlineStr">
        <is>
          <t>Guatemala</t>
        </is>
      </c>
    </row>
    <row r="10084">
      <c r="A10084" t="inlineStr">
        <is>
          <t>Industria Licorera Quezalteca, S.A.,  Mixco, Guatemala</t>
        </is>
      </c>
      <c r="B10084" t="inlineStr">
        <is>
          <t>Final Product Refinement</t>
        </is>
      </c>
      <c r="C10084" t="inlineStr">
        <is>
          <t>Control Union Poland Sp. z o.o., Zielona Gora, PL</t>
        </is>
      </c>
      <c r="D10084" t="inlineStr">
        <is>
          <t>22.12.2026</t>
        </is>
      </c>
      <c r="E10084" t="inlineStr">
        <is>
          <t>Guatemala</t>
        </is>
      </c>
    </row>
    <row r="10085">
      <c r="A10085" t="inlineStr">
        <is>
          <t>Industria Licorera Quezalteca, S.A.,  La Esperanza Quetzaltenango, Guatemala</t>
        </is>
      </c>
      <c r="B10085" t="inlineStr">
        <is>
          <t>Processing Unit</t>
        </is>
      </c>
      <c r="C10085" t="inlineStr">
        <is>
          <t>Control Union Poland Sp. z o.o., Zielona Gora, PL</t>
        </is>
      </c>
      <c r="D10085" t="inlineStr">
        <is>
          <t>22.12.2026</t>
        </is>
      </c>
      <c r="E10085" t="inlineStr">
        <is>
          <t>Guatemala</t>
        </is>
      </c>
    </row>
    <row r="10086">
      <c r="A10086" t="inlineStr">
        <is>
          <t>DS OIL,  Village Senkevychivka, Ukraine</t>
        </is>
      </c>
      <c r="B10086" t="inlineStr">
        <is>
          <t>First Gathering Point, Processing Unit</t>
        </is>
      </c>
      <c r="C10086" t="inlineStr">
        <is>
          <t>Organic Standard Ltd, Kyiv, UA</t>
        </is>
      </c>
      <c r="D10086" t="inlineStr">
        <is>
          <t>22.12.2026</t>
        </is>
      </c>
      <c r="E10086" t="inlineStr">
        <is>
          <t>Ukraine</t>
        </is>
      </c>
    </row>
    <row r="10087">
      <c r="A10087" t="inlineStr">
        <is>
          <t>Selev Pet Industry S.L.U.,  Silla, Valencia, Spain</t>
        </is>
      </c>
      <c r="B10087" t="inlineStr">
        <is>
          <t>Collecting Point, Point of Origin, Processing Unit</t>
        </is>
      </c>
      <c r="C10087" t="inlineStr">
        <is>
          <t>PT Intertek Utama Services, Jakarta, ID</t>
        </is>
      </c>
      <c r="D10087" t="inlineStr">
        <is>
          <t>22.12.2026</t>
        </is>
      </c>
      <c r="E10087" t="inlineStr">
        <is>
          <t>Spain</t>
        </is>
      </c>
    </row>
    <row r="10088">
      <c r="A10088" t="inlineStr">
        <is>
          <t>SHPP B.V.,  Susteren, Netherlands</t>
        </is>
      </c>
      <c r="B10088" t="inlineStr">
        <is>
          <t>Processing Unit</t>
        </is>
      </c>
      <c r="C10088" t="inlineStr">
        <is>
          <t>TÜV NORD CERT GmbH, Essen, DE</t>
        </is>
      </c>
      <c r="D10088" t="inlineStr">
        <is>
          <t>22.12.2026</t>
        </is>
      </c>
      <c r="E10088" t="inlineStr">
        <is>
          <t>Netherlands</t>
        </is>
      </c>
    </row>
    <row r="10089">
      <c r="A10089" t="inlineStr">
        <is>
          <t>SHPP B.V.,  Raamsdonksveer, Netherlands</t>
        </is>
      </c>
      <c r="B10089" t="inlineStr">
        <is>
          <t>Processing Unit</t>
        </is>
      </c>
      <c r="C10089" t="inlineStr">
        <is>
          <t>TÜV NORD CERT GmbH, Essen, DE</t>
        </is>
      </c>
      <c r="D10089" t="inlineStr">
        <is>
          <t>22.12.2026</t>
        </is>
      </c>
      <c r="E10089" t="inlineStr">
        <is>
          <t>Netherlands</t>
        </is>
      </c>
    </row>
    <row r="10090">
      <c r="A10090" t="inlineStr">
        <is>
          <t>Shin-Etsu PVC B.V.,  Vondelingenplaat Rotterdam, Netherlands</t>
        </is>
      </c>
      <c r="B10090" t="inlineStr">
        <is>
          <t>Processing Unit</t>
        </is>
      </c>
      <c r="C10090" t="inlineStr">
        <is>
          <t>Normec QS BV, Bennekom, NL</t>
        </is>
      </c>
      <c r="D10090" t="inlineStr">
        <is>
          <t>22.12.2026</t>
        </is>
      </c>
      <c r="E10090" t="inlineStr">
        <is>
          <t>Netherlands</t>
        </is>
      </c>
    </row>
    <row r="10091">
      <c r="A10091" t="inlineStr">
        <is>
          <t>Shin-Etsu PVC B.V.,  Botlek Rotterdam, Netherlands</t>
        </is>
      </c>
      <c r="B10091" t="inlineStr">
        <is>
          <t>Processing Unit</t>
        </is>
      </c>
      <c r="C10091" t="inlineStr">
        <is>
          <t>Normec QS BV, Bennekom, NL</t>
        </is>
      </c>
      <c r="D10091" t="inlineStr">
        <is>
          <t>22.12.2026</t>
        </is>
      </c>
      <c r="E10091" t="inlineStr">
        <is>
          <t>Netherlands</t>
        </is>
      </c>
    </row>
    <row r="10092">
      <c r="A10092" t="inlineStr">
        <is>
          <t>Ennatuurlijk,  Tilburg, The Netherlands</t>
        </is>
      </c>
      <c r="B10092" t="inlineStr">
        <is>
          <t>Processing Unit</t>
        </is>
      </c>
      <c r="C10092" t="inlineStr">
        <is>
          <t>Normec QS BV, Bennekom, NL</t>
        </is>
      </c>
      <c r="D10092" t="inlineStr">
        <is>
          <t>22.12.2026</t>
        </is>
      </c>
      <c r="E10092" t="inlineStr">
        <is>
          <t>The Netherlands</t>
        </is>
      </c>
    </row>
    <row r="10093">
      <c r="A10093" t="inlineStr">
        <is>
          <t>Ennatuurlijk,  Breda, Netherlands</t>
        </is>
      </c>
      <c r="B10093" t="inlineStr">
        <is>
          <t>Processing Unit</t>
        </is>
      </c>
      <c r="C10093" t="inlineStr">
        <is>
          <t>Normec QS BV, Bennekom, NL</t>
        </is>
      </c>
      <c r="D10093" t="inlineStr">
        <is>
          <t>22.12.2026</t>
        </is>
      </c>
      <c r="E10093" t="inlineStr">
        <is>
          <t>Netherlands</t>
        </is>
      </c>
    </row>
    <row r="10094">
      <c r="A10094" t="inlineStr">
        <is>
          <t>MindEnergy,  Malmö, Sweden</t>
        </is>
      </c>
      <c r="B10094" t="inlineStr">
        <is>
          <t>Trader</t>
        </is>
      </c>
      <c r="C10094" t="inlineStr">
        <is>
          <t>Baltic Control Certification, Risskov, DK</t>
        </is>
      </c>
      <c r="D10094" t="inlineStr">
        <is>
          <t>22.12.2026</t>
        </is>
      </c>
      <c r="E10094" t="inlineStr">
        <is>
          <t>Sweden</t>
        </is>
      </c>
    </row>
    <row r="10095">
      <c r="A10095" t="inlineStr">
        <is>
          <t>Mind Energy,  Aarhus, Denmark</t>
        </is>
      </c>
      <c r="B10095" t="inlineStr">
        <is>
          <t>Trader</t>
        </is>
      </c>
      <c r="C10095" t="inlineStr">
        <is>
          <t>Baltic Control Certification, Risskov, DK</t>
        </is>
      </c>
      <c r="D10095" t="inlineStr">
        <is>
          <t>22.12.2026</t>
        </is>
      </c>
      <c r="E10095" t="inlineStr">
        <is>
          <t>Denmark</t>
        </is>
      </c>
    </row>
    <row r="10096">
      <c r="A10096" t="inlineStr">
        <is>
          <t>Ryam BioNova France,  Tartas, France</t>
        </is>
      </c>
      <c r="B10096" t="inlineStr">
        <is>
          <t>Collecting Point, Processing Unit</t>
        </is>
      </c>
      <c r="C10096" t="inlineStr">
        <is>
          <t>Control Union Certifications Germany GmbH, Berlin, DE</t>
        </is>
      </c>
      <c r="D10096" t="inlineStr">
        <is>
          <t>22.12.2026</t>
        </is>
      </c>
      <c r="E10096" t="inlineStr">
        <is>
          <t>France</t>
        </is>
      </c>
    </row>
    <row r="10097">
      <c r="A10097" t="inlineStr">
        <is>
          <t>Yinchuan Baolvte Biotechnology Co., Ltd.,  Yinchuan City, Ningxia Hui Autonomous Region, China</t>
        </is>
      </c>
      <c r="B10097" t="inlineStr">
        <is>
          <t>Collecting Point, Processing Unit, Trader with Storage</t>
        </is>
      </c>
      <c r="C10097" t="inlineStr">
        <is>
          <t>SCS Global Services, Emeryville, CA, US</t>
        </is>
      </c>
      <c r="D10097" t="inlineStr">
        <is>
          <t>22.12.2026</t>
        </is>
      </c>
      <c r="E10097" t="inlineStr">
        <is>
          <t>China</t>
        </is>
      </c>
    </row>
    <row r="10098">
      <c r="A10098" t="inlineStr">
        <is>
          <t>SYMTAKE CHEMICAL (HK) CO., LTD,  Taichung, Taiwan</t>
        </is>
      </c>
      <c r="B10098" t="inlineStr">
        <is>
          <t>Trader with Storage</t>
        </is>
      </c>
      <c r="C10098" t="inlineStr">
        <is>
          <t>Control Union Certifications Germany GmbH, Berlin, DE</t>
        </is>
      </c>
      <c r="D10098" t="inlineStr">
        <is>
          <t>22.12.2026</t>
        </is>
      </c>
      <c r="E10098" t="inlineStr">
        <is>
          <t>Taiwan</t>
        </is>
      </c>
    </row>
    <row r="10099">
      <c r="A10099" t="inlineStr">
        <is>
          <t>Recticel,  Wevelgem, Belgium</t>
        </is>
      </c>
      <c r="B10099" t="inlineStr">
        <is>
          <t>Processing Unit</t>
        </is>
      </c>
      <c r="C10099" t="inlineStr">
        <is>
          <t>Control Union Certifications Germany GmbH, Berlin, DE</t>
        </is>
      </c>
      <c r="D10099" t="inlineStr">
        <is>
          <t>22.12.2026</t>
        </is>
      </c>
      <c r="E10099" t="inlineStr">
        <is>
          <t>Belgium</t>
        </is>
      </c>
    </row>
    <row r="10100">
      <c r="A10100" t="inlineStr">
        <is>
          <t>FORMASI DINAMIK SDN. BHD,  SUBANG JAYA, Malaysia</t>
        </is>
      </c>
      <c r="B10100" t="inlineStr">
        <is>
          <t>Trader with Storage</t>
        </is>
      </c>
      <c r="C10100" t="inlineStr">
        <is>
          <t>NIOSH Certification Sdn. Bhd., Selangor Darul Ehsan, MY</t>
        </is>
      </c>
      <c r="D10100" t="inlineStr">
        <is>
          <t>22.12.2026</t>
        </is>
      </c>
      <c r="E10100" t="inlineStr">
        <is>
          <t>Malaysia</t>
        </is>
      </c>
    </row>
    <row r="10101">
      <c r="A10101" t="inlineStr">
        <is>
          <t>Tudapetrol Mineralölerzeugnisse Nils Hansen GmbH &amp; Co KG,  Hamburg, Germany</t>
        </is>
      </c>
      <c r="B10101" t="inlineStr">
        <is>
          <t>Trader</t>
        </is>
      </c>
      <c r="C10101" t="inlineStr">
        <is>
          <t>DQS CFS GmbH - Deutsche Gesellschaft für Nachhaltigkeit, Frankfurt am Main, DE</t>
        </is>
      </c>
      <c r="D10101" t="inlineStr">
        <is>
          <t>22.12.2026</t>
        </is>
      </c>
      <c r="E10101" t="inlineStr">
        <is>
          <t>Germany</t>
        </is>
      </c>
    </row>
    <row r="10102">
      <c r="A10102" t="inlineStr">
        <is>
          <t>Dió 896. Kft.,  Hódmezővásárhely, Hungary</t>
        </is>
      </c>
      <c r="B10102" t="inlineStr">
        <is>
          <t>First Gathering Point, Trader with Storage</t>
        </is>
      </c>
      <c r="C10102" t="inlineStr">
        <is>
          <t>Certificadora Gallega del Noroeste SL, Vilagarcia de Arousa-Pontevedra, ES</t>
        </is>
      </c>
      <c r="D10102" t="inlineStr">
        <is>
          <t>22.12.2026</t>
        </is>
      </c>
      <c r="E10102" t="inlineStr">
        <is>
          <t>Hungary</t>
        </is>
      </c>
    </row>
    <row r="10103">
      <c r="A10103" t="inlineStr">
        <is>
          <t>Coastal Cooking Oils,  PORT ELIZABETH, South Africa</t>
        </is>
      </c>
      <c r="B10103" t="inlineStr">
        <is>
          <t>Collecting Point, Trader</t>
        </is>
      </c>
      <c r="C10103" t="inlineStr">
        <is>
          <t>DEKRA Certification B.V., Arnhem, NL</t>
        </is>
      </c>
      <c r="D10103" t="inlineStr">
        <is>
          <t>22.12.2026</t>
        </is>
      </c>
      <c r="E10103" t="inlineStr">
        <is>
          <t>South Africa</t>
        </is>
      </c>
    </row>
    <row r="10104">
      <c r="A10104" t="inlineStr">
        <is>
          <t>Danbury Oils,  Heybridge, Maldon, United Kingdom</t>
        </is>
      </c>
      <c r="B10104" t="inlineStr">
        <is>
          <t>Collecting Point</t>
        </is>
      </c>
      <c r="C10104" t="inlineStr">
        <is>
          <t>SGS Germany GmbH, Emstek, DE</t>
        </is>
      </c>
      <c r="D10104" t="inlineStr">
        <is>
          <t>22.12.2026</t>
        </is>
      </c>
      <c r="E10104" t="inlineStr">
        <is>
          <t>United Kingdom</t>
        </is>
      </c>
    </row>
    <row r="10105">
      <c r="A10105" t="inlineStr">
        <is>
          <t>AFA Solutions GmbH,  München, Germany</t>
        </is>
      </c>
      <c r="B10105" t="inlineStr">
        <is>
          <t>Collecting Point, Trader</t>
        </is>
      </c>
      <c r="C10105" t="inlineStr">
        <is>
          <t>DEKRA Certification B.V., Arnhem, NL</t>
        </is>
      </c>
      <c r="D10105" t="inlineStr">
        <is>
          <t>22.12.2026</t>
        </is>
      </c>
      <c r="E10105" t="inlineStr">
        <is>
          <t>Germany</t>
        </is>
      </c>
    </row>
    <row r="10106">
      <c r="A10106" t="inlineStr">
        <is>
          <t>AFA Solutions GmbH,  München, Germany</t>
        </is>
      </c>
      <c r="B10106" t="inlineStr">
        <is>
          <t>Collecting Point, Trader</t>
        </is>
      </c>
      <c r="C10106" t="inlineStr">
        <is>
          <t>DEKRA Certification B.V., Arnhem, NL</t>
        </is>
      </c>
      <c r="D10106" t="inlineStr">
        <is>
          <t>22.12.2026</t>
        </is>
      </c>
      <c r="E10106" t="inlineStr">
        <is>
          <t>Germany</t>
        </is>
      </c>
    </row>
    <row r="10107">
      <c r="A10107" t="inlineStr">
        <is>
          <t>Nordmann, Rassmann GmbH,  Hamburg, Germany</t>
        </is>
      </c>
      <c r="B10107" t="inlineStr">
        <is>
          <t>Trader with Storage</t>
        </is>
      </c>
      <c r="C10107" t="inlineStr">
        <is>
          <t>SGS Germany GmbH, Emstek, DE</t>
        </is>
      </c>
      <c r="D10107" t="inlineStr">
        <is>
          <t>22.12.2026</t>
        </is>
      </c>
      <c r="E10107" t="inlineStr">
        <is>
          <t>Germany</t>
        </is>
      </c>
    </row>
    <row r="10108">
      <c r="A10108" t="inlineStr">
        <is>
          <t>Parrish &amp; Heimbecker Ltd,  Winnipeg, Canada</t>
        </is>
      </c>
      <c r="B10108" t="inlineStr">
        <is>
          <t>First Gathering Point</t>
        </is>
      </c>
      <c r="C10108" t="inlineStr">
        <is>
          <t>SGS Germany GmbH, Emstek, DE</t>
        </is>
      </c>
      <c r="D10108" t="inlineStr">
        <is>
          <t>22.12.2026</t>
        </is>
      </c>
      <c r="E10108" t="inlineStr">
        <is>
          <t>Canada</t>
        </is>
      </c>
    </row>
    <row r="10109">
      <c r="A10109" t="inlineStr">
        <is>
          <t>Ganelis Evaggelos,  Athens, Greece</t>
        </is>
      </c>
      <c r="B10109" t="inlineStr">
        <is>
          <t>Collecting Point</t>
        </is>
      </c>
      <c r="C10109" t="inlineStr">
        <is>
          <t>Eurocert SA, Metamorfosi, Athens, GR</t>
        </is>
      </c>
      <c r="D10109" t="inlineStr">
        <is>
          <t>22.12.2026</t>
        </is>
      </c>
      <c r="E10109" t="inlineStr">
        <is>
          <t>Greece</t>
        </is>
      </c>
    </row>
    <row r="10110">
      <c r="A10110" t="inlineStr">
        <is>
          <t>PLASTIROMA,  Guidonia Montecelio, Italy</t>
        </is>
      </c>
      <c r="B10110" t="inlineStr">
        <is>
          <t>Processing Unit</t>
        </is>
      </c>
      <c r="C10110" t="inlineStr">
        <is>
          <t>ICIM SpA, sesto san giovanni, IT</t>
        </is>
      </c>
      <c r="D10110" t="inlineStr">
        <is>
          <t>22.12.2026</t>
        </is>
      </c>
      <c r="E10110" t="inlineStr">
        <is>
          <t>Italy</t>
        </is>
      </c>
    </row>
    <row r="10111">
      <c r="A10111" t="inlineStr">
        <is>
          <t>TAJBA, a.s.,  Čaňa, Slovakia</t>
        </is>
      </c>
      <c r="B10111" t="inlineStr">
        <is>
          <t>Trader with Storage, First Gathering Point, Logistics Center</t>
        </is>
      </c>
      <c r="C10111" t="inlineStr">
        <is>
          <t>Bureau Veritas Polska Sp. z o.o., Warsaw, PL</t>
        </is>
      </c>
      <c r="D10111" t="inlineStr">
        <is>
          <t>22.12.2026</t>
        </is>
      </c>
      <c r="E10111" t="inlineStr">
        <is>
          <t>Slovakia</t>
        </is>
      </c>
    </row>
    <row r="10112">
      <c r="A10112" t="inlineStr">
        <is>
          <t>EXTRACTORA LOMA FRESCA SUR DE BOLIVAR S.A.S. EN REORGANIZACION,  San Pablo, Bolívar, Colombia</t>
        </is>
      </c>
      <c r="B10112" t="inlineStr">
        <is>
          <t>Point of Origin</t>
        </is>
      </c>
      <c r="C10112" t="inlineStr">
        <is>
          <t>Control Union Poland Sp. z o.o., Zielona Gora, PL</t>
        </is>
      </c>
      <c r="D10112" t="inlineStr">
        <is>
          <t>22.12.2026</t>
        </is>
      </c>
      <c r="E10112" t="inlineStr">
        <is>
          <t>Colombia</t>
        </is>
      </c>
    </row>
    <row r="10113">
      <c r="A10113" t="inlineStr">
        <is>
          <t>Dongguan Polywealth Plastic Products Co., Ltd,  Wangniudun, Wangniudun Town, Dongguan City,, China</t>
        </is>
      </c>
      <c r="B10113" t="inlineStr">
        <is>
          <t>Processing Unit</t>
        </is>
      </c>
      <c r="C10113" t="inlineStr">
        <is>
          <t>Extensive Standard Technical Services Co., Ltd., Hong Kong, CN</t>
        </is>
      </c>
      <c r="D10113" t="inlineStr">
        <is>
          <t>22.12.2026</t>
        </is>
      </c>
      <c r="E10113" t="inlineStr">
        <is>
          <t>China</t>
        </is>
      </c>
    </row>
    <row r="10114">
      <c r="A10114" t="inlineStr">
        <is>
          <t>GASCOGNE SACS,  Mimizan, France</t>
        </is>
      </c>
      <c r="B10114" t="inlineStr">
        <is>
          <t>Final Product Refinement, Processing Unit</t>
        </is>
      </c>
      <c r="C10114" t="inlineStr">
        <is>
          <t>Bureau Veritas Polska Sp. z o.o., Warsaw, PL</t>
        </is>
      </c>
      <c r="D10114" t="inlineStr">
        <is>
          <t>22.12.2026</t>
        </is>
      </c>
      <c r="E10114" t="inlineStr">
        <is>
          <t>France</t>
        </is>
      </c>
    </row>
    <row r="10115">
      <c r="A10115" t="inlineStr">
        <is>
          <t>ITAL BI-OIL S.R.L.,  Monopoli, Italy</t>
        </is>
      </c>
      <c r="B10115" t="inlineStr">
        <is>
          <t>Point of Origin, Processing Unit, Trader with Storage, Warehouse</t>
        </is>
      </c>
      <c r="C10115" t="inlineStr">
        <is>
          <t>RINA Services S.p.A., Genova, IT</t>
        </is>
      </c>
      <c r="D10115" t="inlineStr">
        <is>
          <t>22.12.2026</t>
        </is>
      </c>
      <c r="E10115" t="inlineStr">
        <is>
          <t>Italy</t>
        </is>
      </c>
    </row>
    <row r="10116">
      <c r="A10116" t="inlineStr">
        <is>
          <t>KremsChem Austria GmbH,  Krems an der Donau, Austria</t>
        </is>
      </c>
      <c r="B10116" t="inlineStr">
        <is>
          <t>Processing Unit</t>
        </is>
      </c>
      <c r="C10116" t="inlineStr">
        <is>
          <t>agroVet GmbH, Enzersfeld, AT</t>
        </is>
      </c>
      <c r="D10116" t="inlineStr">
        <is>
          <t>22.12.2026</t>
        </is>
      </c>
      <c r="E10116" t="inlineStr">
        <is>
          <t>Austria</t>
        </is>
      </c>
    </row>
    <row r="10117">
      <c r="A10117" t="inlineStr">
        <is>
          <t>Coastal ByProducts,  Oxnard, United States</t>
        </is>
      </c>
      <c r="B10117" t="inlineStr">
        <is>
          <t>Collecting Point</t>
        </is>
      </c>
      <c r="C10117" t="inlineStr">
        <is>
          <t>SCS Global Services, Emeryville, CA, US</t>
        </is>
      </c>
      <c r="D10117" t="inlineStr">
        <is>
          <t>22.12.2026</t>
        </is>
      </c>
      <c r="E10117" t="inlineStr">
        <is>
          <t>United States</t>
        </is>
      </c>
    </row>
    <row r="10118">
      <c r="A10118" t="inlineStr">
        <is>
          <t>Coastal ByProducts,  Oxnard, United States</t>
        </is>
      </c>
      <c r="B10118" t="inlineStr">
        <is>
          <t>Collecting Point</t>
        </is>
      </c>
      <c r="C10118" t="inlineStr">
        <is>
          <t>SCS Global Services, Emeryville, CA, US</t>
        </is>
      </c>
      <c r="D10118" t="inlineStr">
        <is>
          <t>22.12.2026</t>
        </is>
      </c>
      <c r="E10118" t="inlineStr">
        <is>
          <t>United States</t>
        </is>
      </c>
    </row>
    <row r="10119">
      <c r="A10119" t="inlineStr">
        <is>
          <t>BIOMAK SA,  NEOCHOROUDA (SINDOS), Greece</t>
        </is>
      </c>
      <c r="B10119" t="inlineStr">
        <is>
          <t>Processing Unit</t>
        </is>
      </c>
      <c r="C10119" t="inlineStr">
        <is>
          <t>QMSCERT S.A., Pylaia, Thessaloniki, GR</t>
        </is>
      </c>
      <c r="D10119" t="inlineStr">
        <is>
          <t>22.12.2026</t>
        </is>
      </c>
      <c r="E10119" t="inlineStr">
        <is>
          <t>Greece</t>
        </is>
      </c>
    </row>
    <row r="10120">
      <c r="A10120" t="inlineStr">
        <is>
          <t>ESL Fuels Ltd,  Vlissingen, Netherlands</t>
        </is>
      </c>
      <c r="B10120" t="inlineStr">
        <is>
          <t>Processing Unit, Trader with Storage</t>
        </is>
      </c>
      <c r="C10120" t="inlineStr">
        <is>
          <t>RINA Services S.p.A., Genova, IT</t>
        </is>
      </c>
      <c r="D10120" t="inlineStr">
        <is>
          <t>22.12.2026</t>
        </is>
      </c>
      <c r="E10120" t="inlineStr">
        <is>
          <t>Netherlands</t>
        </is>
      </c>
    </row>
    <row r="10121">
      <c r="A10121" t="inlineStr">
        <is>
          <t>INTELLECTUAL COMMUNICATIONS LLC,  Kyiv, Ukraine</t>
        </is>
      </c>
      <c r="B10121" t="inlineStr">
        <is>
          <t>First Gathering Point, Trader with Storage</t>
        </is>
      </c>
      <c r="C10121" t="inlineStr">
        <is>
          <t>Bureau Veritas Polska Sp. z o.o., Warsaw, PL</t>
        </is>
      </c>
      <c r="D10121" t="inlineStr">
        <is>
          <t>22.12.2026</t>
        </is>
      </c>
      <c r="E10121" t="inlineStr">
        <is>
          <t>Ukraine</t>
        </is>
      </c>
    </row>
    <row r="10122">
      <c r="A10122" t="inlineStr">
        <is>
          <t>Taonan Green Energy Northeast Biomass Co., Ltd.,  Taonan, Jilin Province, China</t>
        </is>
      </c>
      <c r="B10122" t="inlineStr">
        <is>
          <t>First Gathering Point</t>
        </is>
      </c>
      <c r="C10122" t="inlineStr">
        <is>
          <t>DIN CERTCO GmbH, Berlin, DE</t>
        </is>
      </c>
      <c r="D10122" t="inlineStr">
        <is>
          <t>22.12.2026</t>
        </is>
      </c>
      <c r="E10122" t="inlineStr">
        <is>
          <t>China</t>
        </is>
      </c>
    </row>
    <row r="10123">
      <c r="A10123" t="inlineStr">
        <is>
          <t>Tyre Company Debica S.A.,  Dębica, Poland</t>
        </is>
      </c>
      <c r="B10123" t="inlineStr">
        <is>
          <t>Processing Unit</t>
        </is>
      </c>
      <c r="C10123" t="inlineStr">
        <is>
          <t>DQS CFS GmbH - Deutsche Gesellschaft für Nachhaltigkeit, Frankfurt am Main, DE</t>
        </is>
      </c>
      <c r="D10123" t="inlineStr">
        <is>
          <t>22.12.2026</t>
        </is>
      </c>
      <c r="E10123" t="inlineStr">
        <is>
          <t>Poland</t>
        </is>
      </c>
    </row>
    <row r="10124">
      <c r="A10124" t="inlineStr">
        <is>
          <t>Central Azucarera Tempisque S.A. (CATSA),  Nacascolo, Costa Rica</t>
        </is>
      </c>
      <c r="B10124" t="inlineStr">
        <is>
          <t>First Gathering Point, Processing Unit, Warehouse</t>
        </is>
      </c>
      <c r="C10124" t="inlineStr">
        <is>
          <t>Control Union Poland Sp. z o.o., Zielona Gora, PL</t>
        </is>
      </c>
      <c r="D10124" t="inlineStr">
        <is>
          <t>22.12.2026</t>
        </is>
      </c>
      <c r="E10124" t="inlineStr">
        <is>
          <t>Costa Rica</t>
        </is>
      </c>
    </row>
    <row r="10125">
      <c r="A10125" t="inlineStr">
        <is>
          <t>Eni Spa,  Sannazzaro de' Burgondi (PV), Italy</t>
        </is>
      </c>
      <c r="B10125" t="inlineStr">
        <is>
          <t>Processing Unit</t>
        </is>
      </c>
      <c r="C10125" t="inlineStr">
        <is>
          <t>RINA Services S.p.A., Genova, IT</t>
        </is>
      </c>
      <c r="D10125" t="inlineStr">
        <is>
          <t>22.12.2026</t>
        </is>
      </c>
      <c r="E10125" t="inlineStr">
        <is>
          <t>Italy</t>
        </is>
      </c>
    </row>
    <row r="10126">
      <c r="A10126" t="inlineStr">
        <is>
          <t>Bioenergy Development Group,  Memphis, United States</t>
        </is>
      </c>
      <c r="B10126" t="inlineStr">
        <is>
          <t>Processing Unit</t>
        </is>
      </c>
      <c r="C10126" t="inlineStr">
        <is>
          <t>SCS Global Services, Emeryville, CA, US</t>
        </is>
      </c>
      <c r="D10126" t="inlineStr">
        <is>
          <t>22.12.2026</t>
        </is>
      </c>
      <c r="E10126" t="inlineStr">
        <is>
          <t>United States</t>
        </is>
      </c>
    </row>
    <row r="10127">
      <c r="A10127" t="inlineStr">
        <is>
          <t>Bioenergy Development Group,  Memphis, United States</t>
        </is>
      </c>
      <c r="B10127" t="inlineStr">
        <is>
          <t>Collecting Point, Processing Unit</t>
        </is>
      </c>
      <c r="C10127" t="inlineStr">
        <is>
          <t>SCS Global Services, Emeryville, CA, US</t>
        </is>
      </c>
      <c r="D10127" t="inlineStr">
        <is>
          <t>22.12.2026</t>
        </is>
      </c>
      <c r="E10127" t="inlineStr">
        <is>
          <t>United States</t>
        </is>
      </c>
    </row>
    <row r="10128">
      <c r="A10128" t="inlineStr">
        <is>
          <t>Seaboard Foods RNG, LLC,  Stratford, United States</t>
        </is>
      </c>
      <c r="B10128" t="inlineStr">
        <is>
          <t>Collecting Point, Processing Unit</t>
        </is>
      </c>
      <c r="C10128" t="inlineStr">
        <is>
          <t>SCS Global Services, Emeryville, CA, US</t>
        </is>
      </c>
      <c r="D10128" t="inlineStr">
        <is>
          <t>22.12.2026</t>
        </is>
      </c>
      <c r="E10128" t="inlineStr">
        <is>
          <t>United States</t>
        </is>
      </c>
    </row>
    <row r="10129">
      <c r="A10129" t="inlineStr">
        <is>
          <t>Seaboard Foods RNG, LLC,  Stratford, United States</t>
        </is>
      </c>
      <c r="B10129" t="inlineStr">
        <is>
          <t>Collecting Point, Processing Unit</t>
        </is>
      </c>
      <c r="C10129" t="inlineStr">
        <is>
          <t>SCS Global Services, Emeryville, CA, US</t>
        </is>
      </c>
      <c r="D10129" t="inlineStr">
        <is>
          <t>22.12.2026</t>
        </is>
      </c>
      <c r="E10129" t="inlineStr">
        <is>
          <t>United States</t>
        </is>
      </c>
    </row>
    <row r="10130">
      <c r="A10130" t="inlineStr">
        <is>
          <t>Targray Industries Inc.,  Massena, United States</t>
        </is>
      </c>
      <c r="B10130" t="inlineStr">
        <is>
          <t>Trader</t>
        </is>
      </c>
      <c r="C10130" t="inlineStr">
        <is>
          <t>SCS Global Services, Emeryville, CA, US</t>
        </is>
      </c>
      <c r="D10130" t="inlineStr">
        <is>
          <t>22.12.2026</t>
        </is>
      </c>
      <c r="E10130" t="inlineStr">
        <is>
          <t>United States</t>
        </is>
      </c>
    </row>
    <row r="10131">
      <c r="A10131" t="inlineStr">
        <is>
          <t>Onofrio Spagnoletti Zeuli,  Andria, Italy</t>
        </is>
      </c>
      <c r="B10131" t="inlineStr">
        <is>
          <t>Farm / Plantation, First Gathering Point, Processing Unit</t>
        </is>
      </c>
      <c r="C10131" t="inlineStr">
        <is>
          <t>CSQA Certificazioni Srl, Thiene, IT</t>
        </is>
      </c>
      <c r="D10131" t="inlineStr">
        <is>
          <t>22.12.2026</t>
        </is>
      </c>
      <c r="E10131" t="inlineStr">
        <is>
          <t>Italy</t>
        </is>
      </c>
    </row>
    <row r="10132">
      <c r="A10132" t="inlineStr">
        <is>
          <t>Chemco Ireland Ltd,  Cappagh, Ireland</t>
        </is>
      </c>
      <c r="B10132" t="inlineStr">
        <is>
          <t>Trader with Storage</t>
        </is>
      </c>
      <c r="C10132" t="inlineStr">
        <is>
          <t>Aardvark Certification Ltd, Wiveliscombe, Somerset, GB</t>
        </is>
      </c>
      <c r="D10132" t="inlineStr">
        <is>
          <t>22.12.2026</t>
        </is>
      </c>
      <c r="E10132" t="inlineStr">
        <is>
          <t>Ireland</t>
        </is>
      </c>
    </row>
    <row r="10133">
      <c r="A10133" t="inlineStr">
        <is>
          <t>Evergreen Grease Service, Inc.,  Adrian, United States</t>
        </is>
      </c>
      <c r="B10133" t="inlineStr">
        <is>
          <t>Collecting Point</t>
        </is>
      </c>
      <c r="C10133" t="inlineStr">
        <is>
          <t>SCS Global Services, Emeryville, CA, US</t>
        </is>
      </c>
      <c r="D10133" t="inlineStr">
        <is>
          <t>22.12.2026</t>
        </is>
      </c>
      <c r="E10133" t="inlineStr">
        <is>
          <t>United States</t>
        </is>
      </c>
    </row>
    <row r="10134">
      <c r="A10134" t="inlineStr">
        <is>
          <t>Jiashan Dongdu Energy saving Technology Co., Ltd,  Jiaxing City, Zhejiang Province, China</t>
        </is>
      </c>
      <c r="B10134" t="inlineStr">
        <is>
          <t>Processing Unit</t>
        </is>
      </c>
      <c r="C10134" t="inlineStr">
        <is>
          <t>SCS Global Services, Emeryville, CA, US</t>
        </is>
      </c>
      <c r="D10134" t="inlineStr">
        <is>
          <t>22.12.2026</t>
        </is>
      </c>
      <c r="E10134" t="inlineStr">
        <is>
          <t>China</t>
        </is>
      </c>
    </row>
    <row r="10135">
      <c r="A10135" t="inlineStr">
        <is>
          <t>RPC Envases,  Campo Real. Madrid, Spain</t>
        </is>
      </c>
      <c r="B10135" t="inlineStr">
        <is>
          <t>Processing Unit</t>
        </is>
      </c>
      <c r="C10135" t="inlineStr">
        <is>
          <t>Certificadora Gallega del Noroeste SL, Vilagarcia de Arousa-Pontevedra, ES</t>
        </is>
      </c>
      <c r="D10135" t="inlineStr">
        <is>
          <t>21.12.2026</t>
        </is>
      </c>
      <c r="E10135" t="inlineStr">
        <is>
          <t>Spain</t>
        </is>
      </c>
    </row>
    <row r="10136">
      <c r="A10136" t="inlineStr">
        <is>
          <t>Lianyungang Zhonggu New Energy Co., Ltd.,  Lianyungang City,Jiangsu Province, China</t>
        </is>
      </c>
      <c r="B10136" t="inlineStr">
        <is>
          <t>Collecting Point, Trader with Storage</t>
        </is>
      </c>
      <c r="C10136" t="inlineStr">
        <is>
          <t>SCS Global Services, Emeryville, CA, US</t>
        </is>
      </c>
      <c r="D10136" t="inlineStr">
        <is>
          <t>21.12.2026</t>
        </is>
      </c>
      <c r="E10136" t="inlineStr">
        <is>
          <t>China</t>
        </is>
      </c>
    </row>
    <row r="10137">
      <c r="A10137" t="inlineStr">
        <is>
          <t>Shijiazhuang Chinaweide Bioenergy Technology Co., Ltd,  Shijiazhuang City,Hebei Province, China</t>
        </is>
      </c>
      <c r="B10137" t="inlineStr">
        <is>
          <t>Collecting Point, Processing Unit</t>
        </is>
      </c>
      <c r="C10137" t="inlineStr">
        <is>
          <t>SCS Global Services, Emeryville, CA, US</t>
        </is>
      </c>
      <c r="D10137" t="inlineStr">
        <is>
          <t>21.12.2026</t>
        </is>
      </c>
      <c r="E10137" t="inlineStr">
        <is>
          <t>China</t>
        </is>
      </c>
    </row>
    <row r="10138">
      <c r="A10138" t="inlineStr">
        <is>
          <t>PT. Nippon Shokubai Indonesia,  Cilegon, Banten, Indonesia</t>
        </is>
      </c>
      <c r="B10138" t="inlineStr">
        <is>
          <t>Processing Unit</t>
        </is>
      </c>
      <c r="C10138" t="inlineStr">
        <is>
          <t>PT Intertek Utama Services, Jakarta, ID</t>
        </is>
      </c>
      <c r="D10138" t="inlineStr">
        <is>
          <t>21.12.2026</t>
        </is>
      </c>
      <c r="E10138" t="inlineStr">
        <is>
          <t>Indonesia</t>
        </is>
      </c>
    </row>
    <row r="10139">
      <c r="A10139" t="inlineStr">
        <is>
          <t>Moltech (UK) Ltd.,  5th Floor, London, United Kingdom</t>
        </is>
      </c>
      <c r="B10139" t="inlineStr">
        <is>
          <t>Trader</t>
        </is>
      </c>
      <c r="C10139" t="inlineStr">
        <is>
          <t>Aardvark Certification Ltd, Wiveliscombe, Somerset, GB</t>
        </is>
      </c>
      <c r="D10139" t="inlineStr">
        <is>
          <t>21.12.2026</t>
        </is>
      </c>
      <c r="E10139" t="inlineStr">
        <is>
          <t>United Kingdom</t>
        </is>
      </c>
    </row>
    <row r="10140">
      <c r="A10140" t="inlineStr">
        <is>
          <t>BASF Polyurethanes (Chongqing),  Chongqing, China</t>
        </is>
      </c>
      <c r="B10140" t="inlineStr">
        <is>
          <t>Processing Unit</t>
        </is>
      </c>
      <c r="C10140" t="inlineStr">
        <is>
          <t>TÜV NORD CERT GmbH, Essen, DE</t>
        </is>
      </c>
      <c r="D10140" t="inlineStr">
        <is>
          <t>21.12.2026</t>
        </is>
      </c>
      <c r="E10140" t="inlineStr">
        <is>
          <t>China</t>
        </is>
      </c>
    </row>
    <row r="10141">
      <c r="A10141" t="inlineStr">
        <is>
          <t>FINPROJECT SPA,  ANCARANO (TE), Italy</t>
        </is>
      </c>
      <c r="B10141" t="inlineStr">
        <is>
          <t>Processing Unit, Final Product Refinement</t>
        </is>
      </c>
      <c r="C10141" t="inlineStr">
        <is>
          <t>RINA Services S.p.A., Genova, IT</t>
        </is>
      </c>
      <c r="D10141" t="inlineStr">
        <is>
          <t>21.12.2026</t>
        </is>
      </c>
      <c r="E10141" t="inlineStr">
        <is>
          <t>Italy</t>
        </is>
      </c>
    </row>
    <row r="10142">
      <c r="A10142" t="inlineStr">
        <is>
          <t>Greenocean Chemical Co., Ltd.,  Seoul, Korea, Republic of</t>
        </is>
      </c>
      <c r="B10142" t="inlineStr">
        <is>
          <t>Trader</t>
        </is>
      </c>
      <c r="C10142" t="inlineStr">
        <is>
          <t>Control Union Certifications Germany GmbH, Berlin, DE</t>
        </is>
      </c>
      <c r="D10142" t="inlineStr">
        <is>
          <t>21.12.2026</t>
        </is>
      </c>
      <c r="E10142" t="inlineStr">
        <is>
          <t>Republic of</t>
        </is>
      </c>
    </row>
    <row r="10143">
      <c r="A10143" t="inlineStr">
        <is>
          <t>PetroChina International (Netherlands) Company BV,  Tower A - 11th Floor, Rotterdam, Netherlands</t>
        </is>
      </c>
      <c r="B10143" t="inlineStr">
        <is>
          <t>Trader</t>
        </is>
      </c>
      <c r="C10143" t="inlineStr">
        <is>
          <t>Control Union Certifications Germany GmbH, Berlin, DE</t>
        </is>
      </c>
      <c r="D10143" t="inlineStr">
        <is>
          <t>21.12.2026</t>
        </is>
      </c>
      <c r="E10143" t="inlineStr">
        <is>
          <t>Netherlands</t>
        </is>
      </c>
    </row>
    <row r="10144">
      <c r="A10144" t="inlineStr">
        <is>
          <t>PT Kresna Duta Agroindo,  Provinsi Jambi, Indonesia</t>
        </is>
      </c>
      <c r="B10144" t="inlineStr">
        <is>
          <t>First Gathering Point, Point of Origin, Processing Unit</t>
        </is>
      </c>
      <c r="C10144" t="inlineStr">
        <is>
          <t>PT Mutuagung Lestari, Depok, ID</t>
        </is>
      </c>
      <c r="D10144" t="inlineStr">
        <is>
          <t>21.12.2026</t>
        </is>
      </c>
      <c r="E10144" t="inlineStr">
        <is>
          <t>Indonesia</t>
        </is>
      </c>
    </row>
    <row r="10145">
      <c r="A10145" t="inlineStr">
        <is>
          <t>STENTA FILMS (MALAYSIA) SENDIRIAN BERHAD,  BANDAR BARU BANGI, Malaysia</t>
        </is>
      </c>
      <c r="B10145" t="inlineStr">
        <is>
          <t>Processing Unit</t>
        </is>
      </c>
      <c r="C10145" t="inlineStr">
        <is>
          <t>SGS Germany GmbH, Emstek, DE</t>
        </is>
      </c>
      <c r="D10145" t="inlineStr">
        <is>
          <t>21.12.2026</t>
        </is>
      </c>
      <c r="E10145" t="inlineStr">
        <is>
          <t>Malaysia</t>
        </is>
      </c>
    </row>
    <row r="10146">
      <c r="A10146" t="inlineStr">
        <is>
          <t>PT Kresna Duta Agroindo,  Provinsi Jambi, Indonesia</t>
        </is>
      </c>
      <c r="B10146" t="inlineStr">
        <is>
          <t>Warehouse</t>
        </is>
      </c>
      <c r="C10146" t="inlineStr">
        <is>
          <t>PT Mutuagung Lestari, Depok, ID</t>
        </is>
      </c>
      <c r="D10146" t="inlineStr">
        <is>
          <t>21.12.2026</t>
        </is>
      </c>
      <c r="E10146" t="inlineStr">
        <is>
          <t>Indonesia</t>
        </is>
      </c>
    </row>
    <row r="10147">
      <c r="A10147" t="inlineStr">
        <is>
          <t>Mitsubishi Chemical Advanced Material B.V.,  Almelo, The Netherlands</t>
        </is>
      </c>
      <c r="B10147" t="inlineStr">
        <is>
          <t>Processing Unit</t>
        </is>
      </c>
      <c r="C10147" t="inlineStr">
        <is>
          <t>DQS CFS GmbH - Deutsche Gesellschaft für Nachhaltigkeit, Frankfurt am Main, DE</t>
        </is>
      </c>
      <c r="D10147" t="inlineStr">
        <is>
          <t>21.12.2026</t>
        </is>
      </c>
      <c r="E10147" t="inlineStr">
        <is>
          <t>The Netherlands</t>
        </is>
      </c>
    </row>
    <row r="10148">
      <c r="A10148" t="inlineStr">
        <is>
          <t>Korea Engineering Plastics Co.,Ltd.(HQ),  Mapo-gu, Seoul, South Korea</t>
        </is>
      </c>
      <c r="B10148" t="inlineStr">
        <is>
          <t>Trader</t>
        </is>
      </c>
      <c r="C10148" t="inlineStr">
        <is>
          <t>Control Union Certifications Germany GmbH, Berlin, DE</t>
        </is>
      </c>
      <c r="D10148" t="inlineStr">
        <is>
          <t>21.12.2026</t>
        </is>
      </c>
      <c r="E10148" t="inlineStr">
        <is>
          <t>South Korea</t>
        </is>
      </c>
    </row>
    <row r="10149">
      <c r="A10149" t="inlineStr">
        <is>
          <t>Korea Engineering Plastics Co., Ltd. (Ulsan Plant),  Nam-gu, Ulsan, South Korea</t>
        </is>
      </c>
      <c r="B10149" t="inlineStr">
        <is>
          <t>Processing Unit</t>
        </is>
      </c>
      <c r="C10149" t="inlineStr">
        <is>
          <t>Control Union Certifications Germany GmbH, Berlin, DE</t>
        </is>
      </c>
      <c r="D10149" t="inlineStr">
        <is>
          <t>21.12.2026</t>
        </is>
      </c>
      <c r="E10149" t="inlineStr">
        <is>
          <t>South Korea</t>
        </is>
      </c>
    </row>
    <row r="10150">
      <c r="A10150" t="inlineStr">
        <is>
          <t>G3 Mobility Solutions,  Carnaxide, Portugal</t>
        </is>
      </c>
      <c r="B10150" t="inlineStr">
        <is>
          <t>Trader</t>
        </is>
      </c>
      <c r="C10150" t="inlineStr">
        <is>
          <t>SGS Germany GmbH, Emstek, DE</t>
        </is>
      </c>
      <c r="D10150" t="inlineStr">
        <is>
          <t>21.12.2026</t>
        </is>
      </c>
      <c r="E10150" t="inlineStr">
        <is>
          <t>Portugal</t>
        </is>
      </c>
    </row>
    <row r="10151">
      <c r="A10151" t="inlineStr">
        <is>
          <t>Vanden Avenne Commodities NV,  Kortrijk, Belgium</t>
        </is>
      </c>
      <c r="B10151" t="inlineStr">
        <is>
          <t>Trader with Storage</t>
        </is>
      </c>
      <c r="C10151" t="inlineStr">
        <is>
          <t>SGS Germany GmbH, Emstek, DE</t>
        </is>
      </c>
      <c r="D10151" t="inlineStr">
        <is>
          <t>21.12.2026</t>
        </is>
      </c>
      <c r="E10151" t="inlineStr">
        <is>
          <t>Belgium</t>
        </is>
      </c>
    </row>
    <row r="10152">
      <c r="A10152" t="inlineStr">
        <is>
          <t>MAM-Hungária Kft.,  Vaskeresztes, Hungary</t>
        </is>
      </c>
      <c r="B10152" t="inlineStr">
        <is>
          <t>Final Product Refinement</t>
        </is>
      </c>
      <c r="C10152" t="inlineStr">
        <is>
          <t>SGS Germany GmbH, Emstek, DE</t>
        </is>
      </c>
      <c r="D10152" t="inlineStr">
        <is>
          <t>21.12.2026</t>
        </is>
      </c>
      <c r="E10152" t="inlineStr">
        <is>
          <t>Hungary</t>
        </is>
      </c>
    </row>
    <row r="10153">
      <c r="A10153" t="inlineStr">
        <is>
          <t>Japan Polyethylene Corporation,  Kurashiki-shi, Okayama, Japan</t>
        </is>
      </c>
      <c r="B10153" t="inlineStr">
        <is>
          <t>Processing Unit, Trader with Storage</t>
        </is>
      </c>
      <c r="C10153" t="inlineStr">
        <is>
          <t>SGS Germany GmbH, Emstek, DE</t>
        </is>
      </c>
      <c r="D10153" t="inlineStr">
        <is>
          <t>21.12.2026</t>
        </is>
      </c>
      <c r="E10153" t="inlineStr">
        <is>
          <t>Japan</t>
        </is>
      </c>
    </row>
    <row r="10154">
      <c r="A10154" t="inlineStr">
        <is>
          <t>Guangdong Jiahua Energy Chemical Group Co., Ltd,  Dongguan City, Guangdong Province, China</t>
        </is>
      </c>
      <c r="B10154" t="inlineStr">
        <is>
          <t>Trader</t>
        </is>
      </c>
      <c r="C10154" t="inlineStr">
        <is>
          <t>SCS Global Services, Emeryville, CA, US</t>
        </is>
      </c>
      <c r="D10154" t="inlineStr">
        <is>
          <t>21.12.2026</t>
        </is>
      </c>
      <c r="E10154" t="inlineStr">
        <is>
          <t>China</t>
        </is>
      </c>
    </row>
    <row r="10155">
      <c r="A10155" t="inlineStr">
        <is>
          <t>Yancheng Shengtai Agricultural Technology Co., Ltd.,  Yancheng City, Jiangsu Province, China</t>
        </is>
      </c>
      <c r="B10155" t="inlineStr">
        <is>
          <t>First Gathering Point</t>
        </is>
      </c>
      <c r="C10155" t="inlineStr">
        <is>
          <t>SCS Global Services, Emeryville, CA, US</t>
        </is>
      </c>
      <c r="D10155" t="inlineStr">
        <is>
          <t>21.12.2026</t>
        </is>
      </c>
      <c r="E10155" t="inlineStr">
        <is>
          <t>China</t>
        </is>
      </c>
    </row>
    <row r="10156">
      <c r="A10156" t="inlineStr">
        <is>
          <t>BRENNTAG NORDIC A/S,  Ballerup, Denmark</t>
        </is>
      </c>
      <c r="B10156" t="inlineStr">
        <is>
          <t>Trader with Storage</t>
        </is>
      </c>
      <c r="C10156" t="inlineStr">
        <is>
          <t>DIN CERTCO GmbH, Berlin, DE</t>
        </is>
      </c>
      <c r="D10156" t="inlineStr">
        <is>
          <t>21.12.2026</t>
        </is>
      </c>
      <c r="E10156" t="inlineStr">
        <is>
          <t>Denmark</t>
        </is>
      </c>
    </row>
    <row r="10157">
      <c r="A10157" t="inlineStr">
        <is>
          <t>Brenntag Nordic AB,  Malmö, Sweden</t>
        </is>
      </c>
      <c r="B10157" t="inlineStr">
        <is>
          <t>Trader with Storage</t>
        </is>
      </c>
      <c r="C10157" t="inlineStr">
        <is>
          <t>DIN CERTCO GmbH, Berlin, DE</t>
        </is>
      </c>
      <c r="D10157" t="inlineStr">
        <is>
          <t>21.12.2026</t>
        </is>
      </c>
      <c r="E10157" t="inlineStr">
        <is>
          <t>Sweden</t>
        </is>
      </c>
    </row>
    <row r="10158">
      <c r="A10158" t="inlineStr">
        <is>
          <t>Brenntag Nordic AS,  GRÅLUM, Norway</t>
        </is>
      </c>
      <c r="B10158" t="inlineStr">
        <is>
          <t>Trader with Storage</t>
        </is>
      </c>
      <c r="C10158" t="inlineStr">
        <is>
          <t>DIN CERTCO GmbH, Berlin, DE</t>
        </is>
      </c>
      <c r="D10158" t="inlineStr">
        <is>
          <t>21.12.2026</t>
        </is>
      </c>
      <c r="E10158" t="inlineStr">
        <is>
          <t>Norway</t>
        </is>
      </c>
    </row>
    <row r="10159">
      <c r="A10159" t="inlineStr">
        <is>
          <t>Brenntag Nederland B.V.,  Dordrecht, Netherlands</t>
        </is>
      </c>
      <c r="B10159" t="inlineStr">
        <is>
          <t>Trader with Storage</t>
        </is>
      </c>
      <c r="C10159" t="inlineStr">
        <is>
          <t>DIN CERTCO GmbH, Berlin, DE</t>
        </is>
      </c>
      <c r="D10159" t="inlineStr">
        <is>
          <t>21.12.2026</t>
        </is>
      </c>
      <c r="E10159" t="inlineStr">
        <is>
          <t>Netherlands</t>
        </is>
      </c>
    </row>
    <row r="10160">
      <c r="A10160" t="inlineStr">
        <is>
          <t>Brenntag NV,  Deerlijk, Belgium</t>
        </is>
      </c>
      <c r="B10160" t="inlineStr">
        <is>
          <t>Trader with Storage</t>
        </is>
      </c>
      <c r="C10160" t="inlineStr">
        <is>
          <t>DIN CERTCO GmbH, Berlin, DE</t>
        </is>
      </c>
      <c r="D10160" t="inlineStr">
        <is>
          <t>21.12.2026</t>
        </is>
      </c>
      <c r="E10160" t="inlineStr">
        <is>
          <t>Belgium</t>
        </is>
      </c>
    </row>
    <row r="10161">
      <c r="A10161" t="inlineStr">
        <is>
          <t>Brenntag Schweizerhall AG,  Basel, Switzerland</t>
        </is>
      </c>
      <c r="B10161" t="inlineStr">
        <is>
          <t>Trader with Storage</t>
        </is>
      </c>
      <c r="C10161" t="inlineStr">
        <is>
          <t>DIN CERTCO GmbH, Berlin, DE</t>
        </is>
      </c>
      <c r="D10161" t="inlineStr">
        <is>
          <t>21.12.2026</t>
        </is>
      </c>
      <c r="E10161" t="inlineStr">
        <is>
          <t>Switzerland</t>
        </is>
      </c>
    </row>
    <row r="10162">
      <c r="A10162" t="inlineStr">
        <is>
          <t>Brenntag SA,  Genas, France</t>
        </is>
      </c>
      <c r="B10162" t="inlineStr">
        <is>
          <t>Trader with Storage</t>
        </is>
      </c>
      <c r="C10162" t="inlineStr">
        <is>
          <t>DIN CERTCO GmbH, Berlin, DE</t>
        </is>
      </c>
      <c r="D10162" t="inlineStr">
        <is>
          <t>21.12.2026</t>
        </is>
      </c>
      <c r="E10162" t="inlineStr">
        <is>
          <t>France</t>
        </is>
      </c>
    </row>
    <row r="10163">
      <c r="A10163" t="inlineStr">
        <is>
          <t>EDAMA- Organic Solutions for Environmental Services,  Thuwal, Saudi Arabia</t>
        </is>
      </c>
      <c r="B10163" t="inlineStr">
        <is>
          <t>Processing Unit</t>
        </is>
      </c>
      <c r="C10163" t="inlineStr">
        <is>
          <t>PT Intertek Utama Services, Jakarta, ID</t>
        </is>
      </c>
      <c r="D10163" t="inlineStr">
        <is>
          <t>21.12.2026</t>
        </is>
      </c>
      <c r="E10163" t="inlineStr">
        <is>
          <t>Saudi Arabia</t>
        </is>
      </c>
    </row>
    <row r="10164">
      <c r="A10164" t="inlineStr">
        <is>
          <t>PT. TORAY INTERNATIONAL INDONESIA,  Jakarta, Indonesia</t>
        </is>
      </c>
      <c r="B10164" t="inlineStr">
        <is>
          <t>Trader</t>
        </is>
      </c>
      <c r="C10164" t="inlineStr">
        <is>
          <t>PT Intertek Utama Services, Jakarta, ID</t>
        </is>
      </c>
      <c r="D10164" t="inlineStr">
        <is>
          <t>21.12.2026</t>
        </is>
      </c>
      <c r="E10164" t="inlineStr">
        <is>
          <t>Indonesia</t>
        </is>
      </c>
    </row>
    <row r="10165">
      <c r="A10165" t="inlineStr">
        <is>
          <t>ZHUHAI SANZHEN NEW MATERIAL TECHNOLOGY CO.,LTD,  Zhuhai City, China</t>
        </is>
      </c>
      <c r="B10165" t="inlineStr">
        <is>
          <t>Processing Unit</t>
        </is>
      </c>
      <c r="C10165" t="inlineStr">
        <is>
          <t>PT Intertek Utama Services, Jakarta, ID</t>
        </is>
      </c>
      <c r="D10165" t="inlineStr">
        <is>
          <t>21.12.2026</t>
        </is>
      </c>
      <c r="E10165" t="inlineStr">
        <is>
          <t>China</t>
        </is>
      </c>
    </row>
    <row r="10166">
      <c r="A10166" t="inlineStr">
        <is>
          <t>Phillips 66 Company,  Rodeo, CA, United States</t>
        </is>
      </c>
      <c r="B10166" t="inlineStr">
        <is>
          <t>Processing Unit</t>
        </is>
      </c>
      <c r="C10166" t="inlineStr">
        <is>
          <t>SGS Germany GmbH, Emstek, DE</t>
        </is>
      </c>
      <c r="D10166" t="inlineStr">
        <is>
          <t>21.12.2026</t>
        </is>
      </c>
      <c r="E10166" t="inlineStr">
        <is>
          <t>United States</t>
        </is>
      </c>
    </row>
    <row r="10167">
      <c r="A10167" t="inlineStr">
        <is>
          <t>Goldkern Kft.,  Őcsény, Hungary</t>
        </is>
      </c>
      <c r="B10167" t="inlineStr">
        <is>
          <t>First Gathering Point, Trader with Storage</t>
        </is>
      </c>
      <c r="C10167" t="inlineStr">
        <is>
          <t>Certificadora Gallega del Noroeste SL, Vilagarcia de Arousa-Pontevedra, ES</t>
        </is>
      </c>
      <c r="D10167" t="inlineStr">
        <is>
          <t>21.12.2026</t>
        </is>
      </c>
      <c r="E10167" t="inlineStr">
        <is>
          <t>Hungary</t>
        </is>
      </c>
    </row>
    <row r="10168">
      <c r="A10168" t="inlineStr">
        <is>
          <t>Samox S.r.l.,  San Genesio ed Uniti (PV), Italy</t>
        </is>
      </c>
      <c r="B10168" t="inlineStr">
        <is>
          <t>Processing Unit, Trader with Storage</t>
        </is>
      </c>
      <c r="C10168" t="inlineStr">
        <is>
          <t>SGS Germany GmbH, Emstek, DE</t>
        </is>
      </c>
      <c r="D10168" t="inlineStr">
        <is>
          <t>21.12.2026</t>
        </is>
      </c>
      <c r="E10168" t="inlineStr">
        <is>
          <t>Italy</t>
        </is>
      </c>
    </row>
    <row r="10169">
      <c r="A10169" t="inlineStr">
        <is>
          <t>Friggioil Service srl,  Fara in Sabina (RI), Italy</t>
        </is>
      </c>
      <c r="B10169" t="inlineStr">
        <is>
          <t>Collecting Point, Processing Unit</t>
        </is>
      </c>
      <c r="C10169" t="inlineStr">
        <is>
          <t>SGS Germany GmbH, Emstek, DE</t>
        </is>
      </c>
      <c r="D10169" t="inlineStr">
        <is>
          <t>21.12.2026</t>
        </is>
      </c>
      <c r="E10169" t="inlineStr">
        <is>
          <t>Italy</t>
        </is>
      </c>
    </row>
    <row r="10170">
      <c r="A10170" t="inlineStr">
        <is>
          <t>Rimondi Paolo s.r.l.,  Bologna, Italy</t>
        </is>
      </c>
      <c r="B10170" t="inlineStr">
        <is>
          <t>Collecting Point, Trader with Storage</t>
        </is>
      </c>
      <c r="C10170" t="inlineStr">
        <is>
          <t>ICIM SpA, sesto san giovanni, IT</t>
        </is>
      </c>
      <c r="D10170" t="inlineStr">
        <is>
          <t>21.12.2026</t>
        </is>
      </c>
      <c r="E10170" t="inlineStr">
        <is>
          <t>Italy</t>
        </is>
      </c>
    </row>
    <row r="10171">
      <c r="A10171" t="inlineStr">
        <is>
          <t>Crown Oil,  Bury, United Kingdom</t>
        </is>
      </c>
      <c r="B10171" t="inlineStr">
        <is>
          <t>Trader with Storage</t>
        </is>
      </c>
      <c r="C10171" t="inlineStr">
        <is>
          <t>BM Certification, Riga, LV</t>
        </is>
      </c>
      <c r="D10171" t="inlineStr">
        <is>
          <t>21.12.2026</t>
        </is>
      </c>
      <c r="E10171" t="inlineStr">
        <is>
          <t>United Kingdom</t>
        </is>
      </c>
    </row>
    <row r="10172">
      <c r="A10172" t="inlineStr">
        <is>
          <t>Alcarras Bioproductors SAt 1641 CAt,  Alcarras, Spain</t>
        </is>
      </c>
      <c r="B10172" t="inlineStr">
        <is>
          <t>Collecting Point, Processing Unit</t>
        </is>
      </c>
      <c r="C10172" t="inlineStr">
        <is>
          <t>Amspec Iberia SL, Vilagarcia de Arousa-Pontevedra, ES</t>
        </is>
      </c>
      <c r="D10172" t="inlineStr">
        <is>
          <t>21.12.2026</t>
        </is>
      </c>
      <c r="E10172" t="inlineStr">
        <is>
          <t>Spain</t>
        </is>
      </c>
    </row>
    <row r="10173">
      <c r="A10173" t="inlineStr">
        <is>
          <t>TRANSPARENT PAPER LTD,  Zurich, Switzerland</t>
        </is>
      </c>
      <c r="B10173" t="inlineStr">
        <is>
          <t>Trader with Storage</t>
        </is>
      </c>
      <c r="C10173" t="inlineStr">
        <is>
          <t>SGS Germany GmbH, Emstek, DE</t>
        </is>
      </c>
      <c r="D10173" t="inlineStr">
        <is>
          <t>21.12.2026</t>
        </is>
      </c>
      <c r="E10173" t="inlineStr">
        <is>
          <t>Switzerland</t>
        </is>
      </c>
    </row>
    <row r="10174">
      <c r="A10174" t="inlineStr">
        <is>
          <t>ARLANXEO Brasil S.A.,  Polo Petroquímico, Triunfo, RS, Brazil</t>
        </is>
      </c>
      <c r="B10174" t="inlineStr">
        <is>
          <t>Processing Unit</t>
        </is>
      </c>
      <c r="C10174" t="inlineStr">
        <is>
          <t>QIMA, Centro, Botucatu - SP, CEP, BR</t>
        </is>
      </c>
      <c r="D10174" t="inlineStr">
        <is>
          <t>21.12.2026</t>
        </is>
      </c>
      <c r="E10174" t="inlineStr">
        <is>
          <t>Brazil</t>
        </is>
      </c>
    </row>
    <row r="10175">
      <c r="A10175" t="inlineStr">
        <is>
          <t>PuriFry Ltd.,  Hillsborough, United Kingdom</t>
        </is>
      </c>
      <c r="B10175" t="inlineStr">
        <is>
          <t>Collecting Point</t>
        </is>
      </c>
      <c r="C10175" t="inlineStr">
        <is>
          <t>SGS Germany GmbH, Emstek, DE</t>
        </is>
      </c>
      <c r="D10175" t="inlineStr">
        <is>
          <t>21.12.2026</t>
        </is>
      </c>
      <c r="E10175" t="inlineStr">
        <is>
          <t>United Kingdom</t>
        </is>
      </c>
    </row>
    <row r="10176">
      <c r="A10176" t="inlineStr">
        <is>
          <t>PHOENIX FEEDFOOD POLAND,  Warsaw, Poland</t>
        </is>
      </c>
      <c r="B10176" t="inlineStr">
        <is>
          <t>First Gathering Point, Trader</t>
        </is>
      </c>
      <c r="C10176" t="inlineStr">
        <is>
          <t>BM Certification, Riga, LV</t>
        </is>
      </c>
      <c r="D10176" t="inlineStr">
        <is>
          <t>21.12.2026</t>
        </is>
      </c>
      <c r="E10176" t="inlineStr">
        <is>
          <t>Poland</t>
        </is>
      </c>
    </row>
    <row r="10177">
      <c r="A10177" t="inlineStr">
        <is>
          <t>AkzoNobel Kemipol Kimya San. ve Tic. A.Ş.,  Kemalpaşa - İzmir, Turkey</t>
        </is>
      </c>
      <c r="B10177" t="inlineStr">
        <is>
          <t>Trader with Storage</t>
        </is>
      </c>
      <c r="C10177" t="inlineStr">
        <is>
          <t>Bureau Veritas Polska Sp. z o.o., Warsaw, PL</t>
        </is>
      </c>
      <c r="D10177" t="inlineStr">
        <is>
          <t>21.12.2026</t>
        </is>
      </c>
      <c r="E10177" t="inlineStr">
        <is>
          <t>Turkey</t>
        </is>
      </c>
    </row>
    <row r="10178">
      <c r="A10178" t="inlineStr">
        <is>
          <t>Green Line Recykling Dominik Jasiński,  Sieradz, Poland</t>
        </is>
      </c>
      <c r="B10178" t="inlineStr">
        <is>
          <t>Collecting Point, Processing Unit, First Gathering Point</t>
        </is>
      </c>
      <c r="C10178" t="inlineStr">
        <is>
          <t>Control Union Poland Sp. z o.o., Zielona Gora, PL</t>
        </is>
      </c>
      <c r="D10178" t="inlineStr">
        <is>
          <t>21.12.2026</t>
        </is>
      </c>
      <c r="E10178" t="inlineStr">
        <is>
          <t>Poland</t>
        </is>
      </c>
    </row>
    <row r="10179">
      <c r="A10179" t="inlineStr">
        <is>
          <t>Perstorp Oxo AB,  Ödsmål, Sweden</t>
        </is>
      </c>
      <c r="B10179" t="inlineStr">
        <is>
          <t>Trader with Storage, Processing Unit</t>
        </is>
      </c>
      <c r="C10179" t="inlineStr">
        <is>
          <t>SGS Germany GmbH, Emstek, DE</t>
        </is>
      </c>
      <c r="D10179" t="inlineStr">
        <is>
          <t>21.12.2026</t>
        </is>
      </c>
      <c r="E10179" t="inlineStr">
        <is>
          <t>Sweden</t>
        </is>
      </c>
    </row>
    <row r="10180">
      <c r="A10180" t="inlineStr">
        <is>
          <t>BASF Intertrade (Shanghai) Co., Ltd,  Shanghai, China</t>
        </is>
      </c>
      <c r="B10180" t="inlineStr">
        <is>
          <t>Trader with Storage</t>
        </is>
      </c>
      <c r="C10180" t="inlineStr">
        <is>
          <t>Control Union Certifications Germany GmbH, Berlin, DE</t>
        </is>
      </c>
      <c r="D10180" t="inlineStr">
        <is>
          <t>21.12.2026</t>
        </is>
      </c>
      <c r="E10180" t="inlineStr">
        <is>
          <t>China</t>
        </is>
      </c>
    </row>
    <row r="10181">
      <c r="A10181" t="inlineStr">
        <is>
          <t>BASF Intertrade (Shanghai) Co., Ltd,  Shanghai, China</t>
        </is>
      </c>
      <c r="B10181" t="inlineStr">
        <is>
          <t>Trader with Storage</t>
        </is>
      </c>
      <c r="C10181" t="inlineStr">
        <is>
          <t>Control Union Certifications Germany GmbH, Berlin, DE</t>
        </is>
      </c>
      <c r="D10181" t="inlineStr">
        <is>
          <t>21.12.2026</t>
        </is>
      </c>
      <c r="E10181" t="inlineStr">
        <is>
          <t>China</t>
        </is>
      </c>
    </row>
    <row r="10182">
      <c r="A10182" t="inlineStr">
        <is>
          <t>TECNOPLASTICA,  PARMA, Italy</t>
        </is>
      </c>
      <c r="B10182" t="inlineStr">
        <is>
          <t>Trader with Storage</t>
        </is>
      </c>
      <c r="C10182" t="inlineStr">
        <is>
          <t>RINA Services S.p.A., Genova, IT</t>
        </is>
      </c>
      <c r="D10182" t="inlineStr">
        <is>
          <t>21.12.2026</t>
        </is>
      </c>
      <c r="E10182" t="inlineStr">
        <is>
          <t>Italy</t>
        </is>
      </c>
    </row>
    <row r="10183">
      <c r="A10183" t="inlineStr">
        <is>
          <t>Guangdong Huihai Energy Co., Ltd,  Dongguan City, Guangdong Province, China</t>
        </is>
      </c>
      <c r="B10183" t="inlineStr">
        <is>
          <t>Trader with Storage</t>
        </is>
      </c>
      <c r="C10183" t="inlineStr">
        <is>
          <t>SCS Global Services, Emeryville, CA, US</t>
        </is>
      </c>
      <c r="D10183" t="inlineStr">
        <is>
          <t>21.12.2026</t>
        </is>
      </c>
      <c r="E10183" t="inlineStr">
        <is>
          <t>China</t>
        </is>
      </c>
    </row>
    <row r="10184">
      <c r="A10184" t="inlineStr">
        <is>
          <t>Le Ghiande Energy srl,  Sant'Angelo Lodigiano (LO), Italy</t>
        </is>
      </c>
      <c r="B10184" t="inlineStr">
        <is>
          <t>Collecting Point, Processing Unit</t>
        </is>
      </c>
      <c r="C10184" t="inlineStr">
        <is>
          <t>ICIM SpA, sesto san giovanni, IT</t>
        </is>
      </c>
      <c r="D10184" t="inlineStr">
        <is>
          <t>21.12.2026</t>
        </is>
      </c>
      <c r="E10184" t="inlineStr">
        <is>
          <t>Italy</t>
        </is>
      </c>
    </row>
    <row r="10185">
      <c r="A10185" t="inlineStr">
        <is>
          <t>Dolder-Bigler AG,  Basel, Switzerland</t>
        </is>
      </c>
      <c r="B10185" t="inlineStr">
        <is>
          <t>Trader with Storage</t>
        </is>
      </c>
      <c r="C10185" t="inlineStr">
        <is>
          <t>Double Helix Tracking Technologies Pte Ltd, Singapore, SG</t>
        </is>
      </c>
      <c r="D10185" t="inlineStr">
        <is>
          <t>21.12.2026</t>
        </is>
      </c>
      <c r="E10185" t="inlineStr">
        <is>
          <t>Switzerland</t>
        </is>
      </c>
    </row>
    <row r="10186">
      <c r="A10186" t="inlineStr">
        <is>
          <t>Jia Wei Lifestyle, Inc.,  GuangDong Province, China</t>
        </is>
      </c>
      <c r="B10186" t="inlineStr">
        <is>
          <t>Processing Unit, Trader with Storage</t>
        </is>
      </c>
      <c r="C10186" t="inlineStr">
        <is>
          <t>SCS Global Services, Emeryville, CA, US</t>
        </is>
      </c>
      <c r="D10186" t="inlineStr">
        <is>
          <t>21.12.2026</t>
        </is>
      </c>
      <c r="E10186" t="inlineStr">
        <is>
          <t>China</t>
        </is>
      </c>
    </row>
    <row r="10187">
      <c r="A10187" t="inlineStr">
        <is>
          <t>Phillips 66 Company,  Rodeo, CA, United States</t>
        </is>
      </c>
      <c r="B10187" t="inlineStr">
        <is>
          <t>Processing Unit, Collecting Point</t>
        </is>
      </c>
      <c r="C10187" t="inlineStr">
        <is>
          <t>SGS Germany GmbH, Emstek, DE</t>
        </is>
      </c>
      <c r="D10187" t="inlineStr">
        <is>
          <t>21.12.2026</t>
        </is>
      </c>
      <c r="E10187" t="inlineStr">
        <is>
          <t>United States</t>
        </is>
      </c>
    </row>
    <row r="10188">
      <c r="A10188" t="inlineStr">
        <is>
          <t>Phillips 66 Company,  Rodeo, CA, United States</t>
        </is>
      </c>
      <c r="B10188" t="inlineStr">
        <is>
          <t>Processing Unit, Collecting Point</t>
        </is>
      </c>
      <c r="C10188" t="inlineStr">
        <is>
          <t>SGS Germany GmbH, Emstek, DE</t>
        </is>
      </c>
      <c r="D10188" t="inlineStr">
        <is>
          <t>21.12.2026</t>
        </is>
      </c>
      <c r="E10188" t="inlineStr">
        <is>
          <t>United States</t>
        </is>
      </c>
    </row>
    <row r="10189">
      <c r="A10189" t="inlineStr">
        <is>
          <t>UAB UMARAS,  Utena, Lithuania</t>
        </is>
      </c>
      <c r="B10189" t="inlineStr">
        <is>
          <t>Processing Unit</t>
        </is>
      </c>
      <c r="C10189" t="inlineStr">
        <is>
          <t>Bureau Veritas Polska Sp. z o.o., Warsaw, PL</t>
        </is>
      </c>
      <c r="D10189" t="inlineStr">
        <is>
          <t>21.12.2026</t>
        </is>
      </c>
      <c r="E10189" t="inlineStr">
        <is>
          <t>Lithuania</t>
        </is>
      </c>
    </row>
    <row r="10190">
      <c r="A10190" t="inlineStr">
        <is>
          <t>MORIA FAMILY,  Majadahonda, Spain</t>
        </is>
      </c>
      <c r="B10190" t="inlineStr">
        <is>
          <t>Trader</t>
        </is>
      </c>
      <c r="C10190" t="inlineStr">
        <is>
          <t>RINA Services S.p.A., Genova, IT</t>
        </is>
      </c>
      <c r="D10190" t="inlineStr">
        <is>
          <t>21.12.2026</t>
        </is>
      </c>
      <c r="E10190" t="inlineStr">
        <is>
          <t>Spain</t>
        </is>
      </c>
    </row>
    <row r="10191">
      <c r="A10191" t="inlineStr">
        <is>
          <t>Jiangsu Haiqi Port Co., Ltd.,  Taizhou City, Jiangsu Province, China</t>
        </is>
      </c>
      <c r="B10191" t="inlineStr">
        <is>
          <t>Trader with Storage</t>
        </is>
      </c>
      <c r="C10191" t="inlineStr">
        <is>
          <t>SCS Global Services, Emeryville, CA, US</t>
        </is>
      </c>
      <c r="D10191" t="inlineStr">
        <is>
          <t>21.12.2026</t>
        </is>
      </c>
      <c r="E10191" t="inlineStr">
        <is>
          <t>China</t>
        </is>
      </c>
    </row>
    <row r="10192">
      <c r="A10192" t="inlineStr">
        <is>
          <t>Jiangsu Haiqi Port Co., Ltd.,  Taizhou City, Jiangsu Province, China</t>
        </is>
      </c>
      <c r="B10192" t="inlineStr">
        <is>
          <t>Trader with Storage</t>
        </is>
      </c>
      <c r="C10192" t="inlineStr">
        <is>
          <t>SCS Global Services, Emeryville, CA, US</t>
        </is>
      </c>
      <c r="D10192" t="inlineStr">
        <is>
          <t>21.12.2026</t>
        </is>
      </c>
      <c r="E10192" t="inlineStr">
        <is>
          <t>China</t>
        </is>
      </c>
    </row>
    <row r="10193">
      <c r="A10193" t="inlineStr">
        <is>
          <t>Fairway Methanol,  Pasadena, United States</t>
        </is>
      </c>
      <c r="B10193" t="inlineStr">
        <is>
          <t>Processing Unit</t>
        </is>
      </c>
      <c r="C10193" t="inlineStr">
        <is>
          <t>SCS Global Services, Emeryville, CA, US</t>
        </is>
      </c>
      <c r="D10193" t="inlineStr">
        <is>
          <t>21.12.2026</t>
        </is>
      </c>
      <c r="E10193" t="inlineStr">
        <is>
          <t>United States</t>
        </is>
      </c>
    </row>
    <row r="10194">
      <c r="A10194" t="inlineStr">
        <is>
          <t>Suzhou Fengbei Biotech Stock Co., Ltd,  Zhangjiagang, Jiangsu, China</t>
        </is>
      </c>
      <c r="B10194" t="inlineStr">
        <is>
          <t>Collecting Point, Processing Unit, Trader with Storage</t>
        </is>
      </c>
      <c r="C10194" t="inlineStr">
        <is>
          <t>SCS Global Services, Emeryville, CA, US</t>
        </is>
      </c>
      <c r="D10194" t="inlineStr">
        <is>
          <t>21.12.2026</t>
        </is>
      </c>
      <c r="E10194" t="inlineStr">
        <is>
          <t>China</t>
        </is>
      </c>
    </row>
    <row r="10195">
      <c r="A10195" t="inlineStr">
        <is>
          <t>CALDINI GUIDO - SOCIETA' A RESPONSABILITA' LIMITATA,  Radicondoli, Italy</t>
        </is>
      </c>
      <c r="B10195" t="inlineStr">
        <is>
          <t>Point of Origin, Processing Unit</t>
        </is>
      </c>
      <c r="C10195" t="inlineStr">
        <is>
          <t>RINA Services S.p.A., Genova, IT</t>
        </is>
      </c>
      <c r="D10195" t="inlineStr">
        <is>
          <t>21.12.2026</t>
        </is>
      </c>
      <c r="E10195" t="inlineStr">
        <is>
          <t>Italy</t>
        </is>
      </c>
    </row>
    <row r="10196">
      <c r="A10196" t="inlineStr">
        <is>
          <t>SOLUCIONES TOTALES DE BIOMETANO SL,  PINA DE EBRO, Spain</t>
        </is>
      </c>
      <c r="B10196" t="inlineStr">
        <is>
          <t>Processing Unit</t>
        </is>
      </c>
      <c r="C10196" t="inlineStr">
        <is>
          <t>Bureau Veritas Polska Sp. z o.o., Warsaw, PL</t>
        </is>
      </c>
      <c r="D10196" t="inlineStr">
        <is>
          <t>21.12.2026</t>
        </is>
      </c>
      <c r="E10196" t="inlineStr">
        <is>
          <t>Spain</t>
        </is>
      </c>
    </row>
    <row r="10197">
      <c r="A10197" t="inlineStr">
        <is>
          <t>CK Holdings Ltd - Beara Oil,  Castletownbere, Ireland</t>
        </is>
      </c>
      <c r="B10197" t="inlineStr">
        <is>
          <t>Trader with Storage</t>
        </is>
      </c>
      <c r="C10197" t="inlineStr">
        <is>
          <t>Aardvark Certification Ltd, Wiveliscombe, Somerset, GB</t>
        </is>
      </c>
      <c r="D10197" t="inlineStr">
        <is>
          <t>21.12.2026</t>
        </is>
      </c>
      <c r="E10197" t="inlineStr">
        <is>
          <t>Ireland</t>
        </is>
      </c>
    </row>
    <row r="10198">
      <c r="A10198" t="inlineStr">
        <is>
          <t>THAIPLASTIC RECYCLE GROUP CO.,LTD.,  Donkaidi Krathumbaen Samutsakhon, Thailand</t>
        </is>
      </c>
      <c r="B10198" t="inlineStr">
        <is>
          <t>Collecting Point, Processing Unit</t>
        </is>
      </c>
      <c r="C10198" t="inlineStr">
        <is>
          <t>Bureau Veritas Polska Sp. z o.o., Warsaw, PL</t>
        </is>
      </c>
      <c r="D10198" t="inlineStr">
        <is>
          <t>21.12.2026</t>
        </is>
      </c>
      <c r="E10198" t="inlineStr">
        <is>
          <t>Thailand</t>
        </is>
      </c>
    </row>
    <row r="10199">
      <c r="A10199" t="inlineStr">
        <is>
          <t>EPL Poland Sp. z o.o.,  Międzyrzecz, Poland</t>
        </is>
      </c>
      <c r="B10199" t="inlineStr">
        <is>
          <t>Final Product Refinement</t>
        </is>
      </c>
      <c r="C10199" t="inlineStr">
        <is>
          <t>Bureau Veritas Polska Sp. z o.o., Warsaw, PL</t>
        </is>
      </c>
      <c r="D10199" t="inlineStr">
        <is>
          <t>21.12.2026</t>
        </is>
      </c>
      <c r="E10199" t="inlineStr">
        <is>
          <t>Poland</t>
        </is>
      </c>
    </row>
    <row r="10200">
      <c r="A10200" t="inlineStr">
        <is>
          <t>Zhoushan Andefu Green Energy Co., LTD.,  Zhoushan, China</t>
        </is>
      </c>
      <c r="B10200" t="inlineStr">
        <is>
          <t>Trader</t>
        </is>
      </c>
      <c r="C10200" t="inlineStr">
        <is>
          <t>Bureau Veritas Polska Sp. z o.o., Warsaw, PL</t>
        </is>
      </c>
      <c r="D10200" t="inlineStr">
        <is>
          <t>21.12.2026</t>
        </is>
      </c>
      <c r="E10200" t="inlineStr">
        <is>
          <t>China</t>
        </is>
      </c>
    </row>
    <row r="10201">
      <c r="A10201" t="inlineStr">
        <is>
          <t>iSustain,  Soddy Daisy, United States</t>
        </is>
      </c>
      <c r="B10201" t="inlineStr">
        <is>
          <t>Collecting Point, Trader with Storage</t>
        </is>
      </c>
      <c r="C10201" t="inlineStr">
        <is>
          <t>SCS Global Services, Emeryville, CA, US</t>
        </is>
      </c>
      <c r="D10201" t="inlineStr">
        <is>
          <t>21.12.2026</t>
        </is>
      </c>
      <c r="E10201" t="inlineStr">
        <is>
          <t>United States</t>
        </is>
      </c>
    </row>
    <row r="10202">
      <c r="A10202" t="inlineStr">
        <is>
          <t>Albea Deutschland GmbH,  Schesslitz, Germany</t>
        </is>
      </c>
      <c r="B10202" t="inlineStr">
        <is>
          <t>Processing Unit, Trader with Storage</t>
        </is>
      </c>
      <c r="C10202" t="inlineStr">
        <is>
          <t>Bureau Veritas Polska Sp. z o.o., Warsaw, PL</t>
        </is>
      </c>
      <c r="D10202" t="inlineStr">
        <is>
          <t>21.12.2026</t>
        </is>
      </c>
      <c r="E10202" t="inlineStr">
        <is>
          <t>Germany</t>
        </is>
      </c>
    </row>
    <row r="10203">
      <c r="A10203" t="inlineStr">
        <is>
          <t>Sumitomo Deutschland GmbH,  Dusseldorf, Germany</t>
        </is>
      </c>
      <c r="B10203" t="inlineStr">
        <is>
          <t>Trader with Storage</t>
        </is>
      </c>
      <c r="C10203" t="inlineStr">
        <is>
          <t>SGS Germany GmbH, Emstek, DE</t>
        </is>
      </c>
      <c r="D10203" t="inlineStr">
        <is>
          <t>20.12.2026</t>
        </is>
      </c>
      <c r="E10203" t="inlineStr">
        <is>
          <t>Germany</t>
        </is>
      </c>
    </row>
    <row r="10204">
      <c r="A10204" t="inlineStr">
        <is>
          <t>Sumitomo Deutschland GmbH,  Dusseldorf, Germany</t>
        </is>
      </c>
      <c r="B10204" t="inlineStr">
        <is>
          <t>Trader with Storage</t>
        </is>
      </c>
      <c r="C10204" t="inlineStr">
        <is>
          <t>SGS Germany GmbH, Emstek, DE</t>
        </is>
      </c>
      <c r="D10204" t="inlineStr">
        <is>
          <t>20.12.2026</t>
        </is>
      </c>
      <c r="E10204" t="inlineStr">
        <is>
          <t>Germany</t>
        </is>
      </c>
    </row>
    <row r="10205">
      <c r="A10205" t="inlineStr">
        <is>
          <t>PakPot,  Wingfield, SA, Australia</t>
        </is>
      </c>
      <c r="B10205" t="inlineStr">
        <is>
          <t>Processing Unit</t>
        </is>
      </c>
      <c r="C10205" t="inlineStr">
        <is>
          <t>SGS Germany GmbH, Emstek, DE</t>
        </is>
      </c>
      <c r="D10205" t="inlineStr">
        <is>
          <t>20.12.2026</t>
        </is>
      </c>
      <c r="E10205" t="inlineStr">
        <is>
          <t>Australia</t>
        </is>
      </c>
    </row>
    <row r="10206">
      <c r="A10206" t="inlineStr">
        <is>
          <t>Platon Valiant International B.V.,  Ljubljana, Slovenia</t>
        </is>
      </c>
      <c r="B10206" t="inlineStr">
        <is>
          <t>Trader</t>
        </is>
      </c>
      <c r="C10206" t="inlineStr">
        <is>
          <t>Global-Creative-Energy GmbH, Berlin, DE</t>
        </is>
      </c>
      <c r="D10206" t="inlineStr">
        <is>
          <t>20.12.2026</t>
        </is>
      </c>
      <c r="E10206" t="inlineStr">
        <is>
          <t>Slovenia</t>
        </is>
      </c>
    </row>
    <row r="10207">
      <c r="A10207" t="inlineStr">
        <is>
          <t>Palma Sumber Lestari,  Kec. Baras, Kab. Pasangkayu, Indonesia</t>
        </is>
      </c>
      <c r="B10207" t="inlineStr">
        <is>
          <t>Point of Origin</t>
        </is>
      </c>
      <c r="C10207" t="inlineStr">
        <is>
          <t>PT. CBQA GLOBAL INDONESIA, JAKARTA SELATAN, ID</t>
        </is>
      </c>
      <c r="D10207" t="inlineStr">
        <is>
          <t>20.12.2026</t>
        </is>
      </c>
      <c r="E10207" t="inlineStr">
        <is>
          <t>Indonesia</t>
        </is>
      </c>
    </row>
    <row r="10208">
      <c r="A10208" t="inlineStr">
        <is>
          <t>Teguh Wira Pratama ,  Luwu Timur, Sulawesi Selatan , Indonesia</t>
        </is>
      </c>
      <c r="B10208" t="inlineStr">
        <is>
          <t>Point of Origin</t>
        </is>
      </c>
      <c r="C10208" t="inlineStr">
        <is>
          <t>PT. CBQA GLOBAL INDONESIA, JAKARTA SELATAN, ID</t>
        </is>
      </c>
      <c r="D10208" t="inlineStr">
        <is>
          <t>20.12.2026</t>
        </is>
      </c>
      <c r="E10208" t="inlineStr">
        <is>
          <t>Indonesia</t>
        </is>
      </c>
    </row>
    <row r="10209">
      <c r="A10209" t="inlineStr">
        <is>
          <t>Grupa Azoty Spółka Akcyjna,  Tarnów, Poland</t>
        </is>
      </c>
      <c r="B10209" t="inlineStr">
        <is>
          <t>Processing Unit</t>
        </is>
      </c>
      <c r="C10209" t="inlineStr">
        <is>
          <t>Bureau Veritas Polska Sp. z o.o., Warsaw, PL</t>
        </is>
      </c>
      <c r="D10209" t="inlineStr">
        <is>
          <t>20.12.2026</t>
        </is>
      </c>
      <c r="E10209" t="inlineStr">
        <is>
          <t>Poland</t>
        </is>
      </c>
    </row>
    <row r="10210">
      <c r="A10210" t="inlineStr">
        <is>
          <t>BAIST TRADING PTE. LTD.,  Singapore, Singapore</t>
        </is>
      </c>
      <c r="B10210" t="inlineStr">
        <is>
          <t>Trader</t>
        </is>
      </c>
      <c r="C10210" t="inlineStr">
        <is>
          <t>SCS Global Services, Emeryville, CA, US</t>
        </is>
      </c>
      <c r="D10210" t="inlineStr">
        <is>
          <t>20.12.2026</t>
        </is>
      </c>
      <c r="E10210" t="inlineStr">
        <is>
          <t>Singapore</t>
        </is>
      </c>
    </row>
    <row r="10211">
      <c r="A10211" t="inlineStr">
        <is>
          <t>AdvanSix Resins and Chemicals,  Hopewell, Virginia, United States</t>
        </is>
      </c>
      <c r="B10211" t="inlineStr">
        <is>
          <t>Collecting Point, Processing Unit</t>
        </is>
      </c>
      <c r="C10211" t="inlineStr">
        <is>
          <t>SCS Global Services, Emeryville, CA, US</t>
        </is>
      </c>
      <c r="D10211" t="inlineStr">
        <is>
          <t>20.12.2026</t>
        </is>
      </c>
      <c r="E10211" t="inlineStr">
        <is>
          <t>United States</t>
        </is>
      </c>
    </row>
    <row r="10212">
      <c r="A10212" t="inlineStr">
        <is>
          <t>Olleco BV,  Diemen, Netherlands</t>
        </is>
      </c>
      <c r="B10212" t="inlineStr">
        <is>
          <t>Collecting Point, Trader with Storage</t>
        </is>
      </c>
      <c r="C10212" t="inlineStr">
        <is>
          <t>Control Union Certifications Germany GmbH, Berlin, DE</t>
        </is>
      </c>
      <c r="D10212" t="inlineStr">
        <is>
          <t>20.12.2026</t>
        </is>
      </c>
      <c r="E10212" t="inlineStr">
        <is>
          <t>Netherlands</t>
        </is>
      </c>
    </row>
    <row r="10213">
      <c r="A10213" t="inlineStr">
        <is>
          <t>AdvanSix Resins and Chemicals,  Chester, United States</t>
        </is>
      </c>
      <c r="B10213" t="inlineStr">
        <is>
          <t>Point of Origin, Processing Unit</t>
        </is>
      </c>
      <c r="C10213" t="inlineStr">
        <is>
          <t>SCS Global Services, Emeryville, CA, US</t>
        </is>
      </c>
      <c r="D10213" t="inlineStr">
        <is>
          <t>20.12.2026</t>
        </is>
      </c>
      <c r="E10213" t="inlineStr">
        <is>
          <t>United States</t>
        </is>
      </c>
    </row>
    <row r="10214">
      <c r="A10214" t="inlineStr">
        <is>
          <t>Berry Global,  Orillia, Ontario, Canada</t>
        </is>
      </c>
      <c r="B10214" t="inlineStr">
        <is>
          <t>Processing Unit</t>
        </is>
      </c>
      <c r="C10214" t="inlineStr">
        <is>
          <t>SCS Global Services, Emeryville, CA, US</t>
        </is>
      </c>
      <c r="D10214" t="inlineStr">
        <is>
          <t>20.12.2026</t>
        </is>
      </c>
      <c r="E10214" t="inlineStr">
        <is>
          <t>Canada</t>
        </is>
      </c>
    </row>
    <row r="10215">
      <c r="A10215" t="inlineStr">
        <is>
          <t>LichtBlick,  Hamburg, Germany</t>
        </is>
      </c>
      <c r="B10215" t="inlineStr">
        <is>
          <t>Trader</t>
        </is>
      </c>
      <c r="C10215" t="inlineStr">
        <is>
          <t>Control Union Certifications Germany GmbH, Berlin, DE</t>
        </is>
      </c>
      <c r="D10215" t="inlineStr">
        <is>
          <t>20.12.2026</t>
        </is>
      </c>
      <c r="E10215" t="inlineStr">
        <is>
          <t>Germany</t>
        </is>
      </c>
    </row>
    <row r="10216">
      <c r="A10216" t="inlineStr">
        <is>
          <t>Asia Oil Palm Sdn. Bhd. / Asia Palm Oil Mill,  Kinabatangan,, Malaysia</t>
        </is>
      </c>
      <c r="B10216" t="inlineStr">
        <is>
          <t>Point of Origin</t>
        </is>
      </c>
      <c r="C10216" t="inlineStr">
        <is>
          <t>Global Gateway Certifications Sdn Bhd, Ampang, MY</t>
        </is>
      </c>
      <c r="D10216" t="inlineStr">
        <is>
          <t>20.12.2026</t>
        </is>
      </c>
      <c r="E10216" t="inlineStr">
        <is>
          <t>Malaysia</t>
        </is>
      </c>
    </row>
    <row r="10217">
      <c r="A10217" t="inlineStr">
        <is>
          <t>Niederwieser GmbH,  Sulzberg, Germany</t>
        </is>
      </c>
      <c r="B10217" t="inlineStr">
        <is>
          <t>Processing Unit</t>
        </is>
      </c>
      <c r="C10217" t="inlineStr">
        <is>
          <t>DNV Business Assurance Sweden AB, Solna, SE</t>
        </is>
      </c>
      <c r="D10217" t="inlineStr">
        <is>
          <t>20.12.2026</t>
        </is>
      </c>
      <c r="E10217" t="inlineStr">
        <is>
          <t>Germany</t>
        </is>
      </c>
    </row>
    <row r="10218">
      <c r="A10218" t="inlineStr">
        <is>
          <t>Island Oil Limited,  Limassol, Cyprus</t>
        </is>
      </c>
      <c r="B10218" t="inlineStr">
        <is>
          <t>Trader</t>
        </is>
      </c>
      <c r="C10218" t="inlineStr">
        <is>
          <t>RINA Services S.p.A., Genova, IT</t>
        </is>
      </c>
      <c r="D10218" t="inlineStr">
        <is>
          <t>20.12.2026</t>
        </is>
      </c>
      <c r="E10218" t="inlineStr">
        <is>
          <t>Cyprus</t>
        </is>
      </c>
    </row>
    <row r="10219">
      <c r="A10219" t="inlineStr">
        <is>
          <t>Island Petroleum Limited,  Limassol, Cyprus</t>
        </is>
      </c>
      <c r="B10219" t="inlineStr">
        <is>
          <t>Trader with Storage</t>
        </is>
      </c>
      <c r="C10219" t="inlineStr">
        <is>
          <t>RINA Services S.p.A., Genova, IT</t>
        </is>
      </c>
      <c r="D10219" t="inlineStr">
        <is>
          <t>20.12.2026</t>
        </is>
      </c>
      <c r="E10219" t="inlineStr">
        <is>
          <t>Cyprus</t>
        </is>
      </c>
    </row>
    <row r="10220">
      <c r="A10220" t="inlineStr">
        <is>
          <t>FINPROJECT S.p.A,  CASTORANO (AP), Italy</t>
        </is>
      </c>
      <c r="B10220" t="inlineStr">
        <is>
          <t>Processing Unit</t>
        </is>
      </c>
      <c r="C10220" t="inlineStr">
        <is>
          <t>RINA Services S.p.A., Genova, IT</t>
        </is>
      </c>
      <c r="D10220" t="inlineStr">
        <is>
          <t>20.12.2026</t>
        </is>
      </c>
      <c r="E10220" t="inlineStr">
        <is>
          <t>Italy</t>
        </is>
      </c>
    </row>
    <row r="10221">
      <c r="A10221" t="inlineStr">
        <is>
          <t>Ingom,  Petriolo, Italy</t>
        </is>
      </c>
      <c r="B10221" t="inlineStr">
        <is>
          <t>Processing Unit</t>
        </is>
      </c>
      <c r="C10221" t="inlineStr">
        <is>
          <t>RINA Services S.p.A., Genova, IT</t>
        </is>
      </c>
      <c r="D10221" t="inlineStr">
        <is>
          <t>20.12.2026</t>
        </is>
      </c>
      <c r="E10221" t="inlineStr">
        <is>
          <t>Italy</t>
        </is>
      </c>
    </row>
    <row r="10222">
      <c r="A10222" t="inlineStr">
        <is>
          <t>Sun Star Cooperation Co., LTD,  Klongluang Disctrict, Pathumthani, Thailand</t>
        </is>
      </c>
      <c r="B10222" t="inlineStr">
        <is>
          <t>Collecting Point, Trader, Warehouse</t>
        </is>
      </c>
      <c r="C10222" t="inlineStr">
        <is>
          <t>SCS Global Services, Emeryville, CA, US</t>
        </is>
      </c>
      <c r="D10222" t="inlineStr">
        <is>
          <t>20.12.2026</t>
        </is>
      </c>
      <c r="E10222" t="inlineStr">
        <is>
          <t>Thailand</t>
        </is>
      </c>
    </row>
    <row r="10223">
      <c r="A10223" t="inlineStr">
        <is>
          <t>SIG Combibloc,  Rayong, Thailand</t>
        </is>
      </c>
      <c r="B10223" t="inlineStr">
        <is>
          <t>Processing Unit</t>
        </is>
      </c>
      <c r="C10223" t="inlineStr">
        <is>
          <t>PT Intertek Utama Services, Jakarta, ID</t>
        </is>
      </c>
      <c r="D10223" t="inlineStr">
        <is>
          <t>20.12.2026</t>
        </is>
      </c>
      <c r="E10223" t="inlineStr">
        <is>
          <t>Thailand</t>
        </is>
      </c>
    </row>
    <row r="10224">
      <c r="A10224" t="inlineStr">
        <is>
          <t>PT. MULTI MALINDO MANDIRI,  LANGKAT-SUMATERA UTARA, Indonesia</t>
        </is>
      </c>
      <c r="B10224" t="inlineStr">
        <is>
          <t>Point of Origin</t>
        </is>
      </c>
      <c r="C10224" t="inlineStr">
        <is>
          <t>PT Intertek Utama Services, Jakarta, ID</t>
        </is>
      </c>
      <c r="D10224" t="inlineStr">
        <is>
          <t>20.12.2026</t>
        </is>
      </c>
      <c r="E10224" t="inlineStr">
        <is>
          <t>Indonesia</t>
        </is>
      </c>
    </row>
    <row r="10225">
      <c r="A10225" t="inlineStr">
        <is>
          <t>Kremenchanka, ALC,  Kremenets, Ternopil region, Ukraine</t>
        </is>
      </c>
      <c r="B10225" t="inlineStr">
        <is>
          <t>First Gathering Point, Trader with Storage</t>
        </is>
      </c>
      <c r="C10225" t="inlineStr">
        <is>
          <t>BM Certification, Riga, LV</t>
        </is>
      </c>
      <c r="D10225" t="inlineStr">
        <is>
          <t>20.12.2026</t>
        </is>
      </c>
      <c r="E10225" t="inlineStr">
        <is>
          <t>Ukraine</t>
        </is>
      </c>
    </row>
    <row r="10226">
      <c r="A10226" t="inlineStr">
        <is>
          <t>Advanced Proteins UNLTD,  Staffordshire, United Kingdom</t>
        </is>
      </c>
      <c r="B10226" t="inlineStr">
        <is>
          <t>Point of Origin</t>
        </is>
      </c>
      <c r="C10226" t="inlineStr">
        <is>
          <t>Control Union Certifications Germany GmbH, Berlin, DE</t>
        </is>
      </c>
      <c r="D10226" t="inlineStr">
        <is>
          <t>20.12.2026</t>
        </is>
      </c>
      <c r="E10226" t="inlineStr">
        <is>
          <t>United Kingdom</t>
        </is>
      </c>
    </row>
    <row r="10227">
      <c r="A10227" t="inlineStr">
        <is>
          <t>EFG Energy trading s.r.o.,  Praha, Praha 4, Czech Republic</t>
        </is>
      </c>
      <c r="B10227" t="inlineStr">
        <is>
          <t>Trader</t>
        </is>
      </c>
      <c r="C10227" t="inlineStr">
        <is>
          <t>TÜV SÜD Czech s.r.o., Praha 4, CZ</t>
        </is>
      </c>
      <c r="D10227" t="inlineStr">
        <is>
          <t>20.12.2026</t>
        </is>
      </c>
      <c r="E10227" t="inlineStr">
        <is>
          <t>Czech Republic</t>
        </is>
      </c>
    </row>
    <row r="10228">
      <c r="A10228" t="inlineStr">
        <is>
          <t>Mareto Kunststoffverarbeitung GesmbH,  Parndorf, Austria</t>
        </is>
      </c>
      <c r="B10228" t="inlineStr">
        <is>
          <t>Processing Unit, Trader with Storage</t>
        </is>
      </c>
      <c r="C10228" t="inlineStr">
        <is>
          <t>agroVet GmbH, Enzersfeld, AT</t>
        </is>
      </c>
      <c r="D10228" t="inlineStr">
        <is>
          <t>20.12.2026</t>
        </is>
      </c>
      <c r="E10228" t="inlineStr">
        <is>
          <t>Austria</t>
        </is>
      </c>
    </row>
    <row r="10229">
      <c r="A10229" t="inlineStr">
        <is>
          <t>Seaboard Energy Marketing Inc,  Merriam, United States</t>
        </is>
      </c>
      <c r="B10229" t="inlineStr">
        <is>
          <t>Trader with Storage</t>
        </is>
      </c>
      <c r="C10229" t="inlineStr">
        <is>
          <t>SCS Global Services, Emeryville, CA, US</t>
        </is>
      </c>
      <c r="D10229" t="inlineStr">
        <is>
          <t>20.12.2026</t>
        </is>
      </c>
      <c r="E10229" t="inlineStr">
        <is>
          <t>United States</t>
        </is>
      </c>
    </row>
    <row r="10230">
      <c r="A10230" t="inlineStr">
        <is>
          <t>Seaboard Energy Marketing Inc,  Merriam, United States</t>
        </is>
      </c>
      <c r="B10230" t="inlineStr">
        <is>
          <t>Trader with Storage</t>
        </is>
      </c>
      <c r="C10230" t="inlineStr">
        <is>
          <t>SCS Global Services, Emeryville, CA, US</t>
        </is>
      </c>
      <c r="D10230" t="inlineStr">
        <is>
          <t>20.12.2026</t>
        </is>
      </c>
      <c r="E10230" t="inlineStr">
        <is>
          <t>United States</t>
        </is>
      </c>
    </row>
    <row r="10231">
      <c r="A10231" t="inlineStr">
        <is>
          <t>Società Italiana Gas Liquidi,  Poggio Torriana (RN), Italy</t>
        </is>
      </c>
      <c r="B10231" t="inlineStr">
        <is>
          <t>Trader</t>
        </is>
      </c>
      <c r="C10231" t="inlineStr">
        <is>
          <t>LSQA, Montevideo, UY</t>
        </is>
      </c>
      <c r="D10231" t="inlineStr">
        <is>
          <t>20.12.2026</t>
        </is>
      </c>
      <c r="E10231" t="inlineStr">
        <is>
          <t>Italy</t>
        </is>
      </c>
    </row>
    <row r="10232">
      <c r="A10232" t="inlineStr">
        <is>
          <t>Cuisine Foods,  Sunderland Ridge, Centurion, South Africa</t>
        </is>
      </c>
      <c r="B10232" t="inlineStr">
        <is>
          <t>Collecting Point</t>
        </is>
      </c>
      <c r="C10232" t="inlineStr">
        <is>
          <t>DEKRA Certification B.V., Arnhem, NL</t>
        </is>
      </c>
      <c r="D10232" t="inlineStr">
        <is>
          <t>20.12.2026</t>
        </is>
      </c>
      <c r="E10232" t="inlineStr">
        <is>
          <t>South Africa</t>
        </is>
      </c>
    </row>
    <row r="10233">
      <c r="A10233" t="inlineStr">
        <is>
          <t>Ceres Energy Limted,  Hexham, Northumberland, United Kingdom</t>
        </is>
      </c>
      <c r="B10233" t="inlineStr">
        <is>
          <t>Trader</t>
        </is>
      </c>
      <c r="C10233" t="inlineStr">
        <is>
          <t>Double Helix Tracking Technologies Pte Ltd, Singapore, SG</t>
        </is>
      </c>
      <c r="D10233" t="inlineStr">
        <is>
          <t>20.12.2026</t>
        </is>
      </c>
      <c r="E10233" t="inlineStr">
        <is>
          <t>United Kingdom</t>
        </is>
      </c>
    </row>
    <row r="10234">
      <c r="A10234" t="inlineStr">
        <is>
          <t>Changing Waste Ltd,  Brind, Howden, United Kingdom</t>
        </is>
      </c>
      <c r="B10234" t="inlineStr">
        <is>
          <t>Collecting Point, Trader with Storage</t>
        </is>
      </c>
      <c r="C10234" t="inlineStr">
        <is>
          <t>Double Helix Tracking Technologies Pte Ltd, Singapore, SG</t>
        </is>
      </c>
      <c r="D10234" t="inlineStr">
        <is>
          <t>20.12.2026</t>
        </is>
      </c>
      <c r="E10234" t="inlineStr">
        <is>
          <t>United Kingdom</t>
        </is>
      </c>
    </row>
    <row r="10235">
      <c r="A10235" t="inlineStr">
        <is>
          <t>Trans-Oil Mineralölhandel,  Fürnitz, Austria</t>
        </is>
      </c>
      <c r="B10235" t="inlineStr">
        <is>
          <t>Trader</t>
        </is>
      </c>
      <c r="C10235" t="inlineStr">
        <is>
          <t>agroVet GmbH, Enzersfeld, AT</t>
        </is>
      </c>
      <c r="D10235" t="inlineStr">
        <is>
          <t>20.12.2026</t>
        </is>
      </c>
      <c r="E10235" t="inlineStr">
        <is>
          <t>Austria</t>
        </is>
      </c>
    </row>
    <row r="10236">
      <c r="A10236" t="inlineStr">
        <is>
          <t>PETCO Trading (UK) Limited,  London, United Kingdom</t>
        </is>
      </c>
      <c r="B10236" t="inlineStr">
        <is>
          <t>Trader</t>
        </is>
      </c>
      <c r="C10236" t="inlineStr">
        <is>
          <t>SGS Germany GmbH, Emstek, DE</t>
        </is>
      </c>
      <c r="D10236" t="inlineStr">
        <is>
          <t>20.12.2026</t>
        </is>
      </c>
      <c r="E10236" t="inlineStr">
        <is>
          <t>United Kingdom</t>
        </is>
      </c>
    </row>
    <row r="10237">
      <c r="A10237" t="inlineStr">
        <is>
          <t>PETCO Trading (UK) Limited,  London, United Kingdom</t>
        </is>
      </c>
      <c r="B10237" t="inlineStr">
        <is>
          <t>Trader</t>
        </is>
      </c>
      <c r="C10237" t="inlineStr">
        <is>
          <t>SGS Germany GmbH, Emstek, DE</t>
        </is>
      </c>
      <c r="D10237" t="inlineStr">
        <is>
          <t>20.12.2026</t>
        </is>
      </c>
      <c r="E10237" t="inlineStr">
        <is>
          <t>United Kingdom</t>
        </is>
      </c>
    </row>
    <row r="10238">
      <c r="A10238" t="inlineStr">
        <is>
          <t>Mi.So,  Caivano, Italy</t>
        </is>
      </c>
      <c r="B10238" t="inlineStr">
        <is>
          <t>Collecting Point, Point of Origin, Processing Unit, Trader with Storage</t>
        </is>
      </c>
      <c r="C10238" t="inlineStr">
        <is>
          <t>SGS Germany GmbH, Emstek, DE</t>
        </is>
      </c>
      <c r="D10238" t="inlineStr">
        <is>
          <t>20.12.2026</t>
        </is>
      </c>
      <c r="E10238" t="inlineStr">
        <is>
          <t>Italy</t>
        </is>
      </c>
    </row>
    <row r="10239">
      <c r="A10239" t="inlineStr">
        <is>
          <t>FLAGA Suisse,  Gossau, Switzerland</t>
        </is>
      </c>
      <c r="B10239" t="inlineStr">
        <is>
          <t>Trader with Storage</t>
        </is>
      </c>
      <c r="C10239" t="inlineStr">
        <is>
          <t>Double Helix Tracking Technologies Pte Ltd, Singapore, SG</t>
        </is>
      </c>
      <c r="D10239" t="inlineStr">
        <is>
          <t>20.12.2026</t>
        </is>
      </c>
      <c r="E10239" t="inlineStr">
        <is>
          <t>Switzerland</t>
        </is>
      </c>
    </row>
    <row r="10240">
      <c r="A10240" t="inlineStr">
        <is>
          <t>FLAGA Suisse,  Gossau, Switzerland</t>
        </is>
      </c>
      <c r="B10240" t="inlineStr">
        <is>
          <t>Trader with Storage</t>
        </is>
      </c>
      <c r="C10240" t="inlineStr">
        <is>
          <t>Double Helix Tracking Technologies Pte Ltd, Singapore, SG</t>
        </is>
      </c>
      <c r="D10240" t="inlineStr">
        <is>
          <t>20.12.2026</t>
        </is>
      </c>
      <c r="E10240" t="inlineStr">
        <is>
          <t>Switzerland</t>
        </is>
      </c>
    </row>
    <row r="10241">
      <c r="A10241" t="inlineStr">
        <is>
          <t>FLAGA GmbH,  Vienna, Austria</t>
        </is>
      </c>
      <c r="B10241" t="inlineStr">
        <is>
          <t>Trader with Storage</t>
        </is>
      </c>
      <c r="C10241" t="inlineStr">
        <is>
          <t>Double Helix Tracking Technologies Pte Ltd, Singapore, SG</t>
        </is>
      </c>
      <c r="D10241" t="inlineStr">
        <is>
          <t>20.12.2026</t>
        </is>
      </c>
      <c r="E10241" t="inlineStr">
        <is>
          <t>Austria</t>
        </is>
      </c>
    </row>
    <row r="10242">
      <c r="A10242" t="inlineStr">
        <is>
          <t>FLAGA GmbH,  Vienna, Austria</t>
        </is>
      </c>
      <c r="B10242" t="inlineStr">
        <is>
          <t>Trader with Storage</t>
        </is>
      </c>
      <c r="C10242" t="inlineStr">
        <is>
          <t>Double Helix Tracking Technologies Pte Ltd, Singapore, SG</t>
        </is>
      </c>
      <c r="D10242" t="inlineStr">
        <is>
          <t>20.12.2026</t>
        </is>
      </c>
      <c r="E10242" t="inlineStr">
        <is>
          <t>Austria</t>
        </is>
      </c>
    </row>
    <row r="10243">
      <c r="A10243" t="inlineStr">
        <is>
          <t>Euro-Silo,  Gent, Belgium</t>
        </is>
      </c>
      <c r="B10243" t="inlineStr">
        <is>
          <t>Logistics Center</t>
        </is>
      </c>
      <c r="C10243" t="inlineStr">
        <is>
          <t>SGS Germany GmbH, Emstek, DE</t>
        </is>
      </c>
      <c r="D10243" t="inlineStr">
        <is>
          <t>20.12.2026</t>
        </is>
      </c>
      <c r="E10243" t="inlineStr">
        <is>
          <t>Belgium</t>
        </is>
      </c>
    </row>
    <row r="10244">
      <c r="A10244" t="inlineStr">
        <is>
          <t>Neste Markkinointi,  Espoo, Finland</t>
        </is>
      </c>
      <c r="B10244" t="inlineStr">
        <is>
          <t>Trader</t>
        </is>
      </c>
      <c r="C10244" t="inlineStr">
        <is>
          <t>SGS Germany GmbH, Emstek, DE</t>
        </is>
      </c>
      <c r="D10244" t="inlineStr">
        <is>
          <t>20.12.2026</t>
        </is>
      </c>
      <c r="E10244" t="inlineStr">
        <is>
          <t>Finland</t>
        </is>
      </c>
    </row>
    <row r="10245">
      <c r="A10245" t="inlineStr">
        <is>
          <t>Neste Markkinointi,  Espoo, Finland</t>
        </is>
      </c>
      <c r="B10245" t="inlineStr">
        <is>
          <t>Trader</t>
        </is>
      </c>
      <c r="C10245" t="inlineStr">
        <is>
          <t>SGS Germany GmbH, Emstek, DE</t>
        </is>
      </c>
      <c r="D10245" t="inlineStr">
        <is>
          <t>20.12.2026</t>
        </is>
      </c>
      <c r="E10245" t="inlineStr">
        <is>
          <t>Finland</t>
        </is>
      </c>
    </row>
    <row r="10246">
      <c r="A10246" t="inlineStr">
        <is>
          <t>Total Energies Marketing Belgium SA,  Brussels, Belgium</t>
        </is>
      </c>
      <c r="B10246" t="inlineStr">
        <is>
          <t>Trader with Storage</t>
        </is>
      </c>
      <c r="C10246" t="inlineStr">
        <is>
          <t>SGS Germany GmbH, Emstek, DE</t>
        </is>
      </c>
      <c r="D10246" t="inlineStr">
        <is>
          <t>20.12.2026</t>
        </is>
      </c>
      <c r="E10246" t="inlineStr">
        <is>
          <t>Belgium</t>
        </is>
      </c>
    </row>
    <row r="10247">
      <c r="A10247" t="inlineStr">
        <is>
          <t>Grana Kereskedőház Zrt.,  Körmend, Hungary</t>
        </is>
      </c>
      <c r="B10247" t="inlineStr">
        <is>
          <t>First Gathering Point</t>
        </is>
      </c>
      <c r="C10247" t="inlineStr">
        <is>
          <t>SGS Germany GmbH, Emstek, DE</t>
        </is>
      </c>
      <c r="D10247" t="inlineStr">
        <is>
          <t>20.12.2026</t>
        </is>
      </c>
      <c r="E10247" t="inlineStr">
        <is>
          <t>Hungary</t>
        </is>
      </c>
    </row>
    <row r="10248">
      <c r="A10248" t="inlineStr">
        <is>
          <t>BPS Horný Jatov, s.r.o.,  Trnovec nad Váhom, Slovakia</t>
        </is>
      </c>
      <c r="B10248" t="inlineStr">
        <is>
          <t>Collecting Point, Processing Unit, Trader with Storage</t>
        </is>
      </c>
      <c r="C10248" t="inlineStr">
        <is>
          <t>United Registrar of Systems Polska Sp. z o.o., Wrocław, PL</t>
        </is>
      </c>
      <c r="D10248" t="inlineStr">
        <is>
          <t>20.12.2026</t>
        </is>
      </c>
      <c r="E10248" t="inlineStr">
        <is>
          <t>Slovakia</t>
        </is>
      </c>
    </row>
    <row r="10249">
      <c r="A10249" t="inlineStr">
        <is>
          <t>VIITORUL IN ROZ SRL,  Sendreni, Jud. Galati, Romania</t>
        </is>
      </c>
      <c r="B10249" t="inlineStr">
        <is>
          <t>Collecting Point</t>
        </is>
      </c>
      <c r="C10249" t="inlineStr">
        <is>
          <t>SGS Germany GmbH, Emstek, DE</t>
        </is>
      </c>
      <c r="D10249" t="inlineStr">
        <is>
          <t>20.12.2026</t>
        </is>
      </c>
      <c r="E10249" t="inlineStr">
        <is>
          <t>Romania</t>
        </is>
      </c>
    </row>
    <row r="10250">
      <c r="A10250" t="inlineStr">
        <is>
          <t>Irplast SpA,  Empoli, Italy</t>
        </is>
      </c>
      <c r="B10250" t="inlineStr">
        <is>
          <t>Final Product Refinement</t>
        </is>
      </c>
      <c r="C10250" t="inlineStr">
        <is>
          <t>ICIM SpA, sesto san giovanni, IT</t>
        </is>
      </c>
      <c r="D10250" t="inlineStr">
        <is>
          <t>20.12.2026</t>
        </is>
      </c>
      <c r="E10250" t="inlineStr">
        <is>
          <t>Italy</t>
        </is>
      </c>
    </row>
    <row r="10251">
      <c r="A10251" t="inlineStr">
        <is>
          <t>MEG SRL,  San Giovanni Ilarione (VR), Italy</t>
        </is>
      </c>
      <c r="B10251" t="inlineStr">
        <is>
          <t>Collecting Point, Processing Unit</t>
        </is>
      </c>
      <c r="C10251" t="inlineStr">
        <is>
          <t>ICIM SpA, sesto san giovanni, IT</t>
        </is>
      </c>
      <c r="D10251" t="inlineStr">
        <is>
          <t>20.12.2026</t>
        </is>
      </c>
      <c r="E10251" t="inlineStr">
        <is>
          <t>Italy</t>
        </is>
      </c>
    </row>
    <row r="10252">
      <c r="A10252" t="inlineStr">
        <is>
          <t>ROL BO d.o.o.,  Samobor, Croatia</t>
        </is>
      </c>
      <c r="B10252" t="inlineStr">
        <is>
          <t>Collecting Point, Trader</t>
        </is>
      </c>
      <c r="C10252" t="inlineStr">
        <is>
          <t>Bureau Veritas Polska Sp. z o.o., Warsaw, PL</t>
        </is>
      </c>
      <c r="D10252" t="inlineStr">
        <is>
          <t>20.12.2026</t>
        </is>
      </c>
      <c r="E10252" t="inlineStr">
        <is>
          <t>Croatia</t>
        </is>
      </c>
    </row>
    <row r="10253">
      <c r="A10253" t="inlineStr">
        <is>
          <t>Eco Fuels Danube GmbH,  Krems, Austria</t>
        </is>
      </c>
      <c r="B10253" t="inlineStr">
        <is>
          <t>Point of Origin, Trader with Storage, Warehouse, Processing Unit</t>
        </is>
      </c>
      <c r="C10253" t="inlineStr">
        <is>
          <t>Bureau Veritas Polska Sp. z o.o., Warsaw, PL</t>
        </is>
      </c>
      <c r="D10253" t="inlineStr">
        <is>
          <t>20.12.2026</t>
        </is>
      </c>
      <c r="E10253" t="inlineStr">
        <is>
          <t>Austria</t>
        </is>
      </c>
    </row>
    <row r="10254">
      <c r="A10254" t="inlineStr">
        <is>
          <t>Bunge Netherlands,  Amsterdam, Netherlands</t>
        </is>
      </c>
      <c r="B10254" t="inlineStr">
        <is>
          <t>Trader with Storage, Processing Unit</t>
        </is>
      </c>
      <c r="C10254" t="inlineStr">
        <is>
          <t>Control Union Poland Sp. z o.o., Zielona Gora, PL</t>
        </is>
      </c>
      <c r="D10254" t="inlineStr">
        <is>
          <t>20.12.2026</t>
        </is>
      </c>
      <c r="E10254" t="inlineStr">
        <is>
          <t>Netherlands</t>
        </is>
      </c>
    </row>
    <row r="10255">
      <c r="A10255" t="inlineStr">
        <is>
          <t>Bunge Netherlands,  Amsterdam, Netherlands</t>
        </is>
      </c>
      <c r="B10255" t="inlineStr">
        <is>
          <t>Point of Origin, Processing Unit, Trader with Storage</t>
        </is>
      </c>
      <c r="C10255" t="inlineStr">
        <is>
          <t>Control Union Poland Sp. z o.o., Zielona Gora, PL</t>
        </is>
      </c>
      <c r="D10255" t="inlineStr">
        <is>
          <t>20.12.2026</t>
        </is>
      </c>
      <c r="E10255" t="inlineStr">
        <is>
          <t>Netherlands</t>
        </is>
      </c>
    </row>
    <row r="10256">
      <c r="A10256" t="inlineStr">
        <is>
          <t>ITC Packaging SLU,  Ibi (Alicante), Spain</t>
        </is>
      </c>
      <c r="B10256" t="inlineStr">
        <is>
          <t>Processing Unit</t>
        </is>
      </c>
      <c r="C10256" t="inlineStr">
        <is>
          <t>Control Union Poland Sp. z o.o., Zielona Gora, PL</t>
        </is>
      </c>
      <c r="D10256" t="inlineStr">
        <is>
          <t>20.12.2026</t>
        </is>
      </c>
      <c r="E10256" t="inlineStr">
        <is>
          <t>Spain</t>
        </is>
      </c>
    </row>
    <row r="10257">
      <c r="A10257" t="inlineStr">
        <is>
          <t>GESTCOMPOST, S.L,  PINA DE EBRO, Spain</t>
        </is>
      </c>
      <c r="B10257" t="inlineStr">
        <is>
          <t>Collecting Point, Processing Unit</t>
        </is>
      </c>
      <c r="C10257" t="inlineStr">
        <is>
          <t>Bureau Veritas Polska Sp. z o.o., Warsaw, PL</t>
        </is>
      </c>
      <c r="D10257" t="inlineStr">
        <is>
          <t>20.12.2026</t>
        </is>
      </c>
      <c r="E10257" t="inlineStr">
        <is>
          <t>Spain</t>
        </is>
      </c>
    </row>
    <row r="10258">
      <c r="A10258" t="inlineStr">
        <is>
          <t>Anhui Yisheng New Energy Co., Ltd.,  Chuzhou City, Anhui Province, China</t>
        </is>
      </c>
      <c r="B10258" t="inlineStr">
        <is>
          <t>Processing Unit, Trader with Storage</t>
        </is>
      </c>
      <c r="C10258" t="inlineStr">
        <is>
          <t>RINA Services S.p.A., Genova, IT</t>
        </is>
      </c>
      <c r="D10258" t="inlineStr">
        <is>
          <t>20.12.2026</t>
        </is>
      </c>
      <c r="E10258" t="inlineStr">
        <is>
          <t>China</t>
        </is>
      </c>
    </row>
    <row r="10259">
      <c r="A10259" t="inlineStr">
        <is>
          <t>HIPAC,  Cazzago San Martino, Italy</t>
        </is>
      </c>
      <c r="B10259" t="inlineStr">
        <is>
          <t>Processing Unit</t>
        </is>
      </c>
      <c r="C10259" t="inlineStr">
        <is>
          <t>IIP S.r.l., Monza, IT</t>
        </is>
      </c>
      <c r="D10259" t="inlineStr">
        <is>
          <t>20.12.2026</t>
        </is>
      </c>
      <c r="E10259" t="inlineStr">
        <is>
          <t>Italy</t>
        </is>
      </c>
    </row>
    <row r="10260">
      <c r="A10260" t="inlineStr">
        <is>
          <t>CENTRALTUBI,  Lunano, Italy</t>
        </is>
      </c>
      <c r="B10260" t="inlineStr">
        <is>
          <t>Processing Unit</t>
        </is>
      </c>
      <c r="C10260" t="inlineStr">
        <is>
          <t>IIP S.r.l., Monza, IT</t>
        </is>
      </c>
      <c r="D10260" t="inlineStr">
        <is>
          <t>19.12.2026</t>
        </is>
      </c>
      <c r="E10260" t="inlineStr">
        <is>
          <t>Italy</t>
        </is>
      </c>
    </row>
    <row r="10261">
      <c r="A10261" t="inlineStr">
        <is>
          <t>SOFIWAGA INFRA (WAGA ENERGY),  Lieoux, France</t>
        </is>
      </c>
      <c r="B10261" t="inlineStr">
        <is>
          <t>Collecting Point, Processing Unit</t>
        </is>
      </c>
      <c r="C10261" t="inlineStr">
        <is>
          <t>SI Cert Italy S.R.L., Parma, IT</t>
        </is>
      </c>
      <c r="D10261" t="inlineStr">
        <is>
          <t>19.12.2026</t>
        </is>
      </c>
      <c r="E10261" t="inlineStr">
        <is>
          <t>France</t>
        </is>
      </c>
    </row>
    <row r="10262">
      <c r="A10262" t="inlineStr">
        <is>
          <t>PT Indomal Nusantara,  Kota Adm. Jakarta Pusat, Indonesia</t>
        </is>
      </c>
      <c r="B10262" t="inlineStr">
        <is>
          <t>Trader</t>
        </is>
      </c>
      <c r="C10262" t="inlineStr">
        <is>
          <t>PT. CBQA GLOBAL INDONESIA, JAKARTA SELATAN, ID</t>
        </is>
      </c>
      <c r="D10262" t="inlineStr">
        <is>
          <t>19.12.2026</t>
        </is>
      </c>
      <c r="E10262" t="inlineStr">
        <is>
          <t>Indonesia</t>
        </is>
      </c>
    </row>
    <row r="10263">
      <c r="A10263" t="inlineStr">
        <is>
          <t>Q8 Quaser S.r.l.,  Roma, Italy</t>
        </is>
      </c>
      <c r="B10263" t="inlineStr">
        <is>
          <t>Trader</t>
        </is>
      </c>
      <c r="C10263" t="inlineStr">
        <is>
          <t>RINA Services S.p.A., Genova, IT</t>
        </is>
      </c>
      <c r="D10263" t="inlineStr">
        <is>
          <t>19.12.2026</t>
        </is>
      </c>
      <c r="E10263" t="inlineStr">
        <is>
          <t>Italy</t>
        </is>
      </c>
    </row>
    <row r="10264">
      <c r="A10264" t="inlineStr">
        <is>
          <t>BIORED LORCA,  Lorca, Spain</t>
        </is>
      </c>
      <c r="B10264" t="inlineStr">
        <is>
          <t>Collecting Point, Processing Unit</t>
        </is>
      </c>
      <c r="C10264" t="inlineStr">
        <is>
          <t>Certificadora Gallega del Noroeste SL, Vilagarcia de Arousa-Pontevedra, ES</t>
        </is>
      </c>
      <c r="D10264" t="inlineStr">
        <is>
          <t>19.12.2026</t>
        </is>
      </c>
      <c r="E10264" t="inlineStr">
        <is>
          <t>Spain</t>
        </is>
      </c>
    </row>
    <row r="10265">
      <c r="A10265" t="inlineStr">
        <is>
          <t>Celanese (Nanjing) Chemical Co., Ltd.,  Jiangbei New Materials High-Tech Park, Nanjing, China</t>
        </is>
      </c>
      <c r="B10265" t="inlineStr">
        <is>
          <t>Processing Unit</t>
        </is>
      </c>
      <c r="C10265" t="inlineStr">
        <is>
          <t>DIN CERTCO GmbH, Berlin, DE</t>
        </is>
      </c>
      <c r="D10265" t="inlineStr">
        <is>
          <t>19.12.2026</t>
        </is>
      </c>
      <c r="E10265" t="inlineStr">
        <is>
          <t>China</t>
        </is>
      </c>
    </row>
    <row r="10266">
      <c r="A10266" t="inlineStr">
        <is>
          <t>Hubei Tianji Bioenergy Co.,Ltd.,  Hanchuan City,, China</t>
        </is>
      </c>
      <c r="B10266" t="inlineStr">
        <is>
          <t>Trader with Storage</t>
        </is>
      </c>
      <c r="C10266" t="inlineStr">
        <is>
          <t>RINA Services S.p.A., Genova, IT</t>
        </is>
      </c>
      <c r="D10266" t="inlineStr">
        <is>
          <t>19.12.2026</t>
        </is>
      </c>
      <c r="E10266" t="inlineStr">
        <is>
          <t>China</t>
        </is>
      </c>
    </row>
    <row r="10267">
      <c r="A10267" t="inlineStr">
        <is>
          <t>KUKDO CHEMICAL CO., LTD. Iksan Production Site,  Iksan-si, Jeollabuk-do, Korea, Republic of</t>
        </is>
      </c>
      <c r="B10267" t="inlineStr">
        <is>
          <t>Processing Unit</t>
        </is>
      </c>
      <c r="C10267" t="inlineStr">
        <is>
          <t>Control Union Certifications Germany GmbH, Berlin, DE</t>
        </is>
      </c>
      <c r="D10267" t="inlineStr">
        <is>
          <t>19.12.2026</t>
        </is>
      </c>
      <c r="E10267" t="inlineStr">
        <is>
          <t>Republic of</t>
        </is>
      </c>
    </row>
    <row r="10268">
      <c r="A10268" t="inlineStr">
        <is>
          <t>KUKDO CHEMICAL CO., LTD. Sihwa Production Site,  Siheung-si, Gyunggi-do, Korea, Republic of</t>
        </is>
      </c>
      <c r="B10268" t="inlineStr">
        <is>
          <t>Processing Unit</t>
        </is>
      </c>
      <c r="C10268" t="inlineStr">
        <is>
          <t>Control Union Certifications Germany GmbH, Berlin, DE</t>
        </is>
      </c>
      <c r="D10268" t="inlineStr">
        <is>
          <t>19.12.2026</t>
        </is>
      </c>
      <c r="E10268" t="inlineStr">
        <is>
          <t>Republic of</t>
        </is>
      </c>
    </row>
    <row r="10269">
      <c r="A10269" t="inlineStr">
        <is>
          <t>KUKDO CHEMICAL CO., LTD. Busan Production Site,  Busan, Korea, Republic of</t>
        </is>
      </c>
      <c r="B10269" t="inlineStr">
        <is>
          <t>Processing Unit</t>
        </is>
      </c>
      <c r="C10269" t="inlineStr">
        <is>
          <t>Control Union Certifications Germany GmbH, Berlin, DE</t>
        </is>
      </c>
      <c r="D10269" t="inlineStr">
        <is>
          <t>19.12.2026</t>
        </is>
      </c>
      <c r="E10269" t="inlineStr">
        <is>
          <t>Republic of</t>
        </is>
      </c>
    </row>
    <row r="10270">
      <c r="A10270" t="inlineStr">
        <is>
          <t>KUKDO CHEMICAL CO.,LTD,  Seoul, Korea, Republic of</t>
        </is>
      </c>
      <c r="B10270" t="inlineStr">
        <is>
          <t>Trader</t>
        </is>
      </c>
      <c r="C10270" t="inlineStr">
        <is>
          <t>Control Union Certifications Germany GmbH, Berlin, DE</t>
        </is>
      </c>
      <c r="D10270" t="inlineStr">
        <is>
          <t>19.12.2026</t>
        </is>
      </c>
      <c r="E10270" t="inlineStr">
        <is>
          <t>Republic of</t>
        </is>
      </c>
    </row>
    <row r="10271">
      <c r="A10271" t="inlineStr">
        <is>
          <t>UniFuji,  Hilir Perak, Malaysia</t>
        </is>
      </c>
      <c r="B10271" t="inlineStr">
        <is>
          <t>Point of Origin</t>
        </is>
      </c>
      <c r="C10271" t="inlineStr">
        <is>
          <t>Global Gateway Certifications Sdn Bhd, Ampang, MY</t>
        </is>
      </c>
      <c r="D10271" t="inlineStr">
        <is>
          <t>19.12.2026</t>
        </is>
      </c>
      <c r="E10271" t="inlineStr">
        <is>
          <t>Malaysia</t>
        </is>
      </c>
    </row>
    <row r="10272">
      <c r="A10272" t="inlineStr">
        <is>
          <t>AdvanSix Resins and Chemicals,  Philadelphia, Pennsylvania, United States</t>
        </is>
      </c>
      <c r="B10272" t="inlineStr">
        <is>
          <t>Processing Unit</t>
        </is>
      </c>
      <c r="C10272" t="inlineStr">
        <is>
          <t>SCS Global Services, Emeryville, CA, US</t>
        </is>
      </c>
      <c r="D10272" t="inlineStr">
        <is>
          <t>19.12.2026</t>
        </is>
      </c>
      <c r="E10272" t="inlineStr">
        <is>
          <t>United States</t>
        </is>
      </c>
    </row>
    <row r="10273">
      <c r="A10273" t="inlineStr">
        <is>
          <t>NATÜRLICHE ENERGIEN-NEV GmbH,  Viersen, Germany</t>
        </is>
      </c>
      <c r="B10273" t="inlineStr">
        <is>
          <t>Trader</t>
        </is>
      </c>
      <c r="C10273" t="inlineStr">
        <is>
          <t>TÜV NORD CERT GmbH, Essen, DE</t>
        </is>
      </c>
      <c r="D10273" t="inlineStr">
        <is>
          <t>19.12.2026</t>
        </is>
      </c>
      <c r="E10273" t="inlineStr">
        <is>
          <t>Germany</t>
        </is>
      </c>
    </row>
    <row r="10274">
      <c r="A10274" t="inlineStr">
        <is>
          <t>Langkat Makmur Sawit Sejati,  Langkat, Indonesia</t>
        </is>
      </c>
      <c r="B10274" t="inlineStr">
        <is>
          <t>Point of Origin</t>
        </is>
      </c>
      <c r="C10274" t="inlineStr">
        <is>
          <t>BM Certification, Riga, LV</t>
        </is>
      </c>
      <c r="D10274" t="inlineStr">
        <is>
          <t>19.12.2026</t>
        </is>
      </c>
      <c r="E10274" t="inlineStr">
        <is>
          <t>Indonesia</t>
        </is>
      </c>
    </row>
    <row r="10275">
      <c r="A10275" t="inlineStr">
        <is>
          <t>Wavin GmbH,  Börde-Hakel, Germany</t>
        </is>
      </c>
      <c r="B10275" t="inlineStr">
        <is>
          <t>Processing Unit</t>
        </is>
      </c>
      <c r="C10275" t="inlineStr">
        <is>
          <t>DNV Business Assurance Sweden AB, Solna, SE</t>
        </is>
      </c>
      <c r="D10275" t="inlineStr">
        <is>
          <t>19.12.2026</t>
        </is>
      </c>
      <c r="E10275" t="inlineStr">
        <is>
          <t>Germany</t>
        </is>
      </c>
    </row>
    <row r="10276">
      <c r="A10276" t="inlineStr">
        <is>
          <t>Wenzhou Jialong Glasses Co., Ltd.,  Wenzhou,Zhejiang Province, China</t>
        </is>
      </c>
      <c r="B10276" t="inlineStr">
        <is>
          <t>Final Product Refinement, Processing Unit</t>
        </is>
      </c>
      <c r="C10276" t="inlineStr">
        <is>
          <t>PT Intertek Utama Services, Jakarta, ID</t>
        </is>
      </c>
      <c r="D10276" t="inlineStr">
        <is>
          <t>19.12.2026</t>
        </is>
      </c>
      <c r="E10276" t="inlineStr">
        <is>
          <t>China</t>
        </is>
      </c>
    </row>
    <row r="10277">
      <c r="A10277" t="inlineStr">
        <is>
          <t>MENGHI,  LORETO (AN), Italy</t>
        </is>
      </c>
      <c r="B10277" t="inlineStr">
        <is>
          <t>Final Product Refinement, Processing Unit</t>
        </is>
      </c>
      <c r="C10277" t="inlineStr">
        <is>
          <t>RINA Services S.p.A., Genova, IT</t>
        </is>
      </c>
      <c r="D10277" t="inlineStr">
        <is>
          <t>19.12.2026</t>
        </is>
      </c>
      <c r="E10277" t="inlineStr">
        <is>
          <t>Italy</t>
        </is>
      </c>
    </row>
    <row r="10278">
      <c r="A10278" t="inlineStr">
        <is>
          <t>Hayco Precision Industrial (Zhongshan) Co., Ltd.,  Zhongshan City, Guangdong Province, China</t>
        </is>
      </c>
      <c r="B10278" t="inlineStr">
        <is>
          <t>Processing Unit, Trader with Storage</t>
        </is>
      </c>
      <c r="C10278" t="inlineStr">
        <is>
          <t>China Quality Certification Centre Co., Ltd., Beijing, CN</t>
        </is>
      </c>
      <c r="D10278" t="inlineStr">
        <is>
          <t>19.12.2026</t>
        </is>
      </c>
      <c r="E10278" t="inlineStr">
        <is>
          <t>China</t>
        </is>
      </c>
    </row>
    <row r="10279">
      <c r="A10279" t="inlineStr">
        <is>
          <t>HEBEI DERUI TONGDA INTL TRADE CO., LTD.,  Shijiazhuang City, Hebei Province, China</t>
        </is>
      </c>
      <c r="B10279" t="inlineStr">
        <is>
          <t>Trader</t>
        </is>
      </c>
      <c r="C10279" t="inlineStr">
        <is>
          <t>SCS Global Services, Emeryville, CA, US</t>
        </is>
      </c>
      <c r="D10279" t="inlineStr">
        <is>
          <t>19.12.2026</t>
        </is>
      </c>
      <c r="E10279" t="inlineStr">
        <is>
          <t>China</t>
        </is>
      </c>
    </row>
    <row r="10280">
      <c r="A10280" t="inlineStr">
        <is>
          <t>Veetar Palm Oil Mill Sdn Bhd,  Kota Kinabalu, Sabah, Malaysia</t>
        </is>
      </c>
      <c r="B10280" t="inlineStr">
        <is>
          <t>Point of Origin</t>
        </is>
      </c>
      <c r="C10280" t="inlineStr">
        <is>
          <t>Control Union Certifications Germany GmbH, Berlin, DE</t>
        </is>
      </c>
      <c r="D10280" t="inlineStr">
        <is>
          <t>19.12.2026</t>
        </is>
      </c>
      <c r="E10280" t="inlineStr">
        <is>
          <t>Malaysia</t>
        </is>
      </c>
    </row>
    <row r="10281">
      <c r="A10281" t="inlineStr">
        <is>
          <t>GOOD QUALITY OPTICAL COMPANY LIMITED,  Hong Kong, Hong Kong, SAR, China</t>
        </is>
      </c>
      <c r="B10281" t="inlineStr">
        <is>
          <t>Trader</t>
        </is>
      </c>
      <c r="C10281" t="inlineStr">
        <is>
          <t>SCS Global Services, Emeryville, CA, US</t>
        </is>
      </c>
      <c r="D10281" t="inlineStr">
        <is>
          <t>19.12.2026</t>
        </is>
      </c>
      <c r="E10281" t="inlineStr">
        <is>
          <t>China</t>
        </is>
      </c>
    </row>
    <row r="10282">
      <c r="A10282" t="inlineStr">
        <is>
          <t>Oil Pool,  Wels, Austria</t>
        </is>
      </c>
      <c r="B10282" t="inlineStr">
        <is>
          <t>Trader</t>
        </is>
      </c>
      <c r="C10282" t="inlineStr">
        <is>
          <t>agroVet GmbH, Enzersfeld, AT</t>
        </is>
      </c>
      <c r="D10282" t="inlineStr">
        <is>
          <t>19.12.2026</t>
        </is>
      </c>
      <c r="E10282" t="inlineStr">
        <is>
          <t>Austria</t>
        </is>
      </c>
    </row>
    <row r="10283">
      <c r="A10283" t="inlineStr">
        <is>
          <t>Castoria Group,  Tallinn, Estonia</t>
        </is>
      </c>
      <c r="B10283" t="inlineStr">
        <is>
          <t>Trader</t>
        </is>
      </c>
      <c r="C10283" t="inlineStr">
        <is>
          <t>NCS Estonia OÜ, Tallinn, EE</t>
        </is>
      </c>
      <c r="D10283" t="inlineStr">
        <is>
          <t>19.12.2026</t>
        </is>
      </c>
      <c r="E10283" t="inlineStr">
        <is>
          <t>Estonia</t>
        </is>
      </c>
    </row>
    <row r="10284">
      <c r="A10284" t="inlineStr">
        <is>
          <t>Ramex trade, s.r.o.,  Sereď, Slovakia</t>
        </is>
      </c>
      <c r="B10284" t="inlineStr">
        <is>
          <t>First Gathering Point, Trader</t>
        </is>
      </c>
      <c r="C10284" t="inlineStr">
        <is>
          <t>United Registrar of Systems Polska Sp. z o.o., Wrocław, PL</t>
        </is>
      </c>
      <c r="D10284" t="inlineStr">
        <is>
          <t>19.12.2026</t>
        </is>
      </c>
      <c r="E10284" t="inlineStr">
        <is>
          <t>Slovakia</t>
        </is>
      </c>
    </row>
    <row r="10285">
      <c r="A10285" t="inlineStr">
        <is>
          <t>Anja, spol. s. r.o.,  Bratislava, Slovakia</t>
        </is>
      </c>
      <c r="B10285" t="inlineStr">
        <is>
          <t>First Gathering Point, Trader with Storage</t>
        </is>
      </c>
      <c r="C10285" t="inlineStr">
        <is>
          <t>United Registrar of Systems Polska Sp. z o.o., Wrocław, PL</t>
        </is>
      </c>
      <c r="D10285" t="inlineStr">
        <is>
          <t>19.12.2026</t>
        </is>
      </c>
      <c r="E10285" t="inlineStr">
        <is>
          <t>Slovakia</t>
        </is>
      </c>
    </row>
    <row r="10286">
      <c r="A10286" t="inlineStr">
        <is>
          <t>PLIXXENT BV,  Foxhol, Netherlands</t>
        </is>
      </c>
      <c r="B10286" t="inlineStr">
        <is>
          <t>Trader with Storage</t>
        </is>
      </c>
      <c r="C10286" t="inlineStr">
        <is>
          <t>GUT Certifizierungsgesellschaft für Managementsysteme mbH Umweltgutachter, Berlin, DE</t>
        </is>
      </c>
      <c r="D10286" t="inlineStr">
        <is>
          <t>19.12.2026</t>
        </is>
      </c>
      <c r="E10286" t="inlineStr">
        <is>
          <t>Netherlands</t>
        </is>
      </c>
    </row>
    <row r="10287">
      <c r="A10287" t="inlineStr">
        <is>
          <t>COFCO International Netherlands B.V.,  Rotterdam, The Netherlands</t>
        </is>
      </c>
      <c r="B10287" t="inlineStr">
        <is>
          <t>Trader with Storage</t>
        </is>
      </c>
      <c r="C10287" t="inlineStr">
        <is>
          <t>Control Union Certifications Germany GmbH, Berlin, DE</t>
        </is>
      </c>
      <c r="D10287" t="inlineStr">
        <is>
          <t>19.12.2026</t>
        </is>
      </c>
      <c r="E10287" t="inlineStr">
        <is>
          <t>The Netherlands</t>
        </is>
      </c>
    </row>
    <row r="10288">
      <c r="A10288" t="inlineStr">
        <is>
          <t>oil &amp; bio trade sa,  paradiso, Switzerland</t>
        </is>
      </c>
      <c r="B10288" t="inlineStr">
        <is>
          <t>Trader with Storage</t>
        </is>
      </c>
      <c r="C10288" t="inlineStr">
        <is>
          <t>SGS Germany GmbH, Emstek, DE</t>
        </is>
      </c>
      <c r="D10288" t="inlineStr">
        <is>
          <t>19.12.2026</t>
        </is>
      </c>
      <c r="E10288" t="inlineStr">
        <is>
          <t>Switzerland</t>
        </is>
      </c>
    </row>
    <row r="10289">
      <c r="A10289" t="inlineStr">
        <is>
          <t>Orim Energy International LTD,  Bergen op Zoom, Netherlands</t>
        </is>
      </c>
      <c r="B10289" t="inlineStr">
        <is>
          <t>Proof of Compliance Trader, Trader with Storage</t>
        </is>
      </c>
      <c r="C10289" t="inlineStr">
        <is>
          <t>DEKRA Certification B.V., Arnhem, NL</t>
        </is>
      </c>
      <c r="D10289" t="inlineStr">
        <is>
          <t>19.12.2026</t>
        </is>
      </c>
      <c r="E10289" t="inlineStr">
        <is>
          <t>Netherlands</t>
        </is>
      </c>
    </row>
    <row r="10290">
      <c r="A10290" t="inlineStr">
        <is>
          <t>PROTEG S.p.a.,  Caivano (NA), Italy</t>
        </is>
      </c>
      <c r="B10290" t="inlineStr">
        <is>
          <t>Processing Unit, Trader with Storage</t>
        </is>
      </c>
      <c r="C10290" t="inlineStr">
        <is>
          <t>SGS Germany GmbH, Emstek, DE</t>
        </is>
      </c>
      <c r="D10290" t="inlineStr">
        <is>
          <t>19.12.2026</t>
        </is>
      </c>
      <c r="E10290" t="inlineStr">
        <is>
          <t>Italy</t>
        </is>
      </c>
    </row>
    <row r="10291">
      <c r="A10291" t="inlineStr">
        <is>
          <t>Linde,  Pasadena, United States</t>
        </is>
      </c>
      <c r="B10291" t="inlineStr">
        <is>
          <t>Processing Unit</t>
        </is>
      </c>
      <c r="C10291" t="inlineStr">
        <is>
          <t>SCS Global Services, Emeryville, CA, US</t>
        </is>
      </c>
      <c r="D10291" t="inlineStr">
        <is>
          <t>19.12.2026</t>
        </is>
      </c>
      <c r="E10291" t="inlineStr">
        <is>
          <t>United States</t>
        </is>
      </c>
    </row>
    <row r="10292">
      <c r="A10292" t="inlineStr">
        <is>
          <t>Ambrian Energy GmbH,  Bremen, Germany</t>
        </is>
      </c>
      <c r="B10292" t="inlineStr">
        <is>
          <t>Trader with Storage</t>
        </is>
      </c>
      <c r="C10292" t="inlineStr">
        <is>
          <t>SGS Germany GmbH, Emstek, DE</t>
        </is>
      </c>
      <c r="D10292" t="inlineStr">
        <is>
          <t>19.12.2026</t>
        </is>
      </c>
      <c r="E10292" t="inlineStr">
        <is>
          <t>Germany</t>
        </is>
      </c>
    </row>
    <row r="10293">
      <c r="A10293" t="inlineStr">
        <is>
          <t>Agro Limburg,  Sevenum, Netherlands</t>
        </is>
      </c>
      <c r="B10293" t="inlineStr">
        <is>
          <t>Collecting Point, Trader</t>
        </is>
      </c>
      <c r="C10293" t="inlineStr">
        <is>
          <t>DEKRA Certification B.V., Arnhem, NL</t>
        </is>
      </c>
      <c r="D10293" t="inlineStr">
        <is>
          <t>19.12.2026</t>
        </is>
      </c>
      <c r="E10293" t="inlineStr">
        <is>
          <t>Netherlands</t>
        </is>
      </c>
    </row>
    <row r="10294">
      <c r="A10294" t="inlineStr">
        <is>
          <t>Loop Industries,  Clayton South, Australia</t>
        </is>
      </c>
      <c r="B10294" t="inlineStr">
        <is>
          <t>Point of Origin, Processing Unit</t>
        </is>
      </c>
      <c r="C10294" t="inlineStr">
        <is>
          <t>SGS Germany GmbH, Emstek, DE</t>
        </is>
      </c>
      <c r="D10294" t="inlineStr">
        <is>
          <t>19.12.2026</t>
        </is>
      </c>
      <c r="E10294" t="inlineStr">
        <is>
          <t>Australia</t>
        </is>
      </c>
    </row>
    <row r="10295">
      <c r="A10295" t="inlineStr">
        <is>
          <t>Verasuwan Co., Ltd.,  Tambon Na Di, Amphoe Mueang Samut Sakhon, Thailand</t>
        </is>
      </c>
      <c r="B10295" t="inlineStr">
        <is>
          <t>Processing Unit</t>
        </is>
      </c>
      <c r="C10295" t="inlineStr">
        <is>
          <t>SGS Germany GmbH, Emstek, DE</t>
        </is>
      </c>
      <c r="D10295" t="inlineStr">
        <is>
          <t>19.12.2026</t>
        </is>
      </c>
      <c r="E10295" t="inlineStr">
        <is>
          <t>Thailand</t>
        </is>
      </c>
    </row>
    <row r="10296">
      <c r="A10296" t="inlineStr">
        <is>
          <t>EFI “BUNGE UKRAINE”,  Kyiv, Ukraine</t>
        </is>
      </c>
      <c r="B10296" t="inlineStr">
        <is>
          <t>First Gathering Point, Trader with Storage</t>
        </is>
      </c>
      <c r="C10296" t="inlineStr">
        <is>
          <t>SGS Germany GmbH, Emstek, DE</t>
        </is>
      </c>
      <c r="D10296" t="inlineStr">
        <is>
          <t>19.12.2026</t>
        </is>
      </c>
      <c r="E10296" t="inlineStr">
        <is>
          <t>Ukraine</t>
        </is>
      </c>
    </row>
    <row r="10297">
      <c r="A10297" t="inlineStr">
        <is>
          <t>YM Liquid Gas, LLC,  Shyroka Hreblya village, Ukraine</t>
        </is>
      </c>
      <c r="B10297" t="inlineStr">
        <is>
          <t>Processing Unit</t>
        </is>
      </c>
      <c r="C10297" t="inlineStr">
        <is>
          <t>BM Certification, Riga, LV</t>
        </is>
      </c>
      <c r="D10297" t="inlineStr">
        <is>
          <t>19.12.2026</t>
        </is>
      </c>
      <c r="E10297" t="inlineStr">
        <is>
          <t>Ukraine</t>
        </is>
      </c>
    </row>
    <row r="10298">
      <c r="A10298" t="inlineStr">
        <is>
          <t>The Oil Company Spain SL,  Madrid, Spain</t>
        </is>
      </c>
      <c r="B10298" t="inlineStr">
        <is>
          <t>Trader</t>
        </is>
      </c>
      <c r="C10298" t="inlineStr">
        <is>
          <t>RINA Services S.p.A., Genova, IT</t>
        </is>
      </c>
      <c r="D10298" t="inlineStr">
        <is>
          <t>19.12.2026</t>
        </is>
      </c>
      <c r="E10298" t="inlineStr">
        <is>
          <t>Spain</t>
        </is>
      </c>
    </row>
    <row r="10299">
      <c r="A10299" t="inlineStr">
        <is>
          <t>EBS,  Schiavon, Italy</t>
        </is>
      </c>
      <c r="B10299" t="inlineStr">
        <is>
          <t>Collecting Point, Processing Unit</t>
        </is>
      </c>
      <c r="C10299" t="inlineStr">
        <is>
          <t>agroVet GmbH, Enzersfeld, AT</t>
        </is>
      </c>
      <c r="D10299" t="inlineStr">
        <is>
          <t>19.12.2026</t>
        </is>
      </c>
      <c r="E10299" t="inlineStr">
        <is>
          <t>Italy</t>
        </is>
      </c>
    </row>
    <row r="10300">
      <c r="A10300" t="inlineStr">
        <is>
          <t>Cargill BV,  Rotterdam -Botlek, Netherlands</t>
        </is>
      </c>
      <c r="B10300" t="inlineStr">
        <is>
          <t>Point of Origin, Processing Unit, Trader with Storage</t>
        </is>
      </c>
      <c r="C10300" t="inlineStr">
        <is>
          <t>SGS Germany GmbH, Emstek, DE</t>
        </is>
      </c>
      <c r="D10300" t="inlineStr">
        <is>
          <t>19.12.2026</t>
        </is>
      </c>
      <c r="E10300" t="inlineStr">
        <is>
          <t>Netherlands</t>
        </is>
      </c>
    </row>
    <row r="10301">
      <c r="A10301" t="inlineStr">
        <is>
          <t>Laxmi Organic Industries Limited,  Bharuch, India</t>
        </is>
      </c>
      <c r="B10301" t="inlineStr">
        <is>
          <t>Processing Unit</t>
        </is>
      </c>
      <c r="C10301" t="inlineStr">
        <is>
          <t>Cotecna India Inspection Pvt Ltd, Kolkata, IN</t>
        </is>
      </c>
      <c r="D10301" t="inlineStr">
        <is>
          <t>19.12.2026</t>
        </is>
      </c>
      <c r="E10301" t="inlineStr">
        <is>
          <t>India</t>
        </is>
      </c>
    </row>
    <row r="10302">
      <c r="A10302" t="inlineStr">
        <is>
          <t>Toscano Indah Pratama,  Kab. Pasangkayu, Indonesia</t>
        </is>
      </c>
      <c r="B10302" t="inlineStr">
        <is>
          <t>Point of Origin</t>
        </is>
      </c>
      <c r="C10302" t="inlineStr">
        <is>
          <t>PT. CBQA GLOBAL INDONESIA, JAKARTA SELATAN, ID</t>
        </is>
      </c>
      <c r="D10302" t="inlineStr">
        <is>
          <t>19.12.2026</t>
        </is>
      </c>
      <c r="E10302" t="inlineStr">
        <is>
          <t>Indonesia</t>
        </is>
      </c>
    </row>
    <row r="10303">
      <c r="A10303" t="inlineStr">
        <is>
          <t>Trinity Palmas Plantation,  Mamuju Tengah, Indonesia</t>
        </is>
      </c>
      <c r="B10303" t="inlineStr">
        <is>
          <t>Point of Origin</t>
        </is>
      </c>
      <c r="C10303" t="inlineStr">
        <is>
          <t>PT. CBQA GLOBAL INDONESIA, JAKARTA SELATAN, ID</t>
        </is>
      </c>
      <c r="D10303" t="inlineStr">
        <is>
          <t>19.12.2026</t>
        </is>
      </c>
      <c r="E10303" t="inlineStr">
        <is>
          <t>Indonesia</t>
        </is>
      </c>
    </row>
    <row r="10304">
      <c r="A10304" t="inlineStr">
        <is>
          <t>Bukit Jejer Sukses,  Morowali, Indonesia</t>
        </is>
      </c>
      <c r="B10304" t="inlineStr">
        <is>
          <t>Point of Origin</t>
        </is>
      </c>
      <c r="C10304" t="inlineStr">
        <is>
          <t>PT. CBQA GLOBAL INDONESIA, JAKARTA SELATAN, ID</t>
        </is>
      </c>
      <c r="D10304" t="inlineStr">
        <is>
          <t>19.12.2026</t>
        </is>
      </c>
      <c r="E10304" t="inlineStr">
        <is>
          <t>Indonesia</t>
        </is>
      </c>
    </row>
    <row r="10305">
      <c r="A10305" t="inlineStr">
        <is>
          <t>Anhui Oursun Resource Technology Co., Ltd.,  Lujiang County,Hefei City, China</t>
        </is>
      </c>
      <c r="B10305" t="inlineStr">
        <is>
          <t>Processing Unit</t>
        </is>
      </c>
      <c r="C10305" t="inlineStr">
        <is>
          <t>TÜV NORD CERT GmbH, Essen, DE</t>
        </is>
      </c>
      <c r="D10305" t="inlineStr">
        <is>
          <t>19.12.2026</t>
        </is>
      </c>
      <c r="E10305" t="inlineStr">
        <is>
          <t>China</t>
        </is>
      </c>
    </row>
    <row r="10306">
      <c r="A10306" t="inlineStr">
        <is>
          <t>TotalEnergies Marketing UK Limited,  London, United Kingdom</t>
        </is>
      </c>
      <c r="B10306" t="inlineStr">
        <is>
          <t>Trader with Storage</t>
        </is>
      </c>
      <c r="C10306" t="inlineStr">
        <is>
          <t>Aardvark Certification Ltd, Wiveliscombe, Somerset, GB</t>
        </is>
      </c>
      <c r="D10306" t="inlineStr">
        <is>
          <t>19.12.2026</t>
        </is>
      </c>
      <c r="E10306" t="inlineStr">
        <is>
          <t>United Kingdom</t>
        </is>
      </c>
    </row>
    <row r="10307">
      <c r="A10307" t="inlineStr">
        <is>
          <t>DTU INTERTRACKSYSTEM DOO,  Vasilevo, Macedonia</t>
        </is>
      </c>
      <c r="B10307" t="inlineStr">
        <is>
          <t>Collecting Point, Trader</t>
        </is>
      </c>
      <c r="C10307" t="inlineStr">
        <is>
          <t>TÜV NORD CERT GmbH, Essen, DE</t>
        </is>
      </c>
      <c r="D10307" t="inlineStr">
        <is>
          <t>19.12.2026</t>
        </is>
      </c>
      <c r="E10307" t="inlineStr">
        <is>
          <t>Macedonia</t>
        </is>
      </c>
    </row>
    <row r="10308">
      <c r="A10308" t="inlineStr">
        <is>
          <t>SAS HUB-Ardoix,  Hauterives, France</t>
        </is>
      </c>
      <c r="B10308" t="inlineStr">
        <is>
          <t>Processing Unit</t>
        </is>
      </c>
      <c r="C10308" t="inlineStr">
        <is>
          <t>Control Union Certifications Germany GmbH, Berlin, DE</t>
        </is>
      </c>
      <c r="D10308" t="inlineStr">
        <is>
          <t>19.12.2026</t>
        </is>
      </c>
      <c r="E10308" t="inlineStr">
        <is>
          <t>France</t>
        </is>
      </c>
    </row>
    <row r="10309">
      <c r="A10309" t="inlineStr">
        <is>
          <t>N&amp;G Psychogios E.E "Argoil",  Nafplio, Greece</t>
        </is>
      </c>
      <c r="B10309" t="inlineStr">
        <is>
          <t>Collecting Point</t>
        </is>
      </c>
      <c r="C10309" t="inlineStr">
        <is>
          <t>Eurocert SA, Metamorfosi, Athens, GR</t>
        </is>
      </c>
      <c r="D10309" t="inlineStr">
        <is>
          <t>19.12.2026</t>
        </is>
      </c>
      <c r="E10309" t="inlineStr">
        <is>
          <t>Greece</t>
        </is>
      </c>
    </row>
    <row r="10310">
      <c r="A10310" t="inlineStr">
        <is>
          <t>Envirolla,  Vilnius, Lithuania</t>
        </is>
      </c>
      <c r="B10310" t="inlineStr">
        <is>
          <t>Trader with Storage</t>
        </is>
      </c>
      <c r="C10310" t="inlineStr">
        <is>
          <t>Bureau Veritas Polska Sp. z o.o., Warsaw, PL</t>
        </is>
      </c>
      <c r="D10310" t="inlineStr">
        <is>
          <t>19.12.2026</t>
        </is>
      </c>
      <c r="E10310" t="inlineStr">
        <is>
          <t>Lithuania</t>
        </is>
      </c>
    </row>
    <row r="10311">
      <c r="A10311" t="inlineStr">
        <is>
          <t>Diesel Go Pte Ltd,  Singapore, The JTC Summit, Singapore</t>
        </is>
      </c>
      <c r="B10311" t="inlineStr">
        <is>
          <t>Trader with Storage</t>
        </is>
      </c>
      <c r="C10311" t="inlineStr">
        <is>
          <t>Control Union Certifications Germany GmbH, Berlin, DE</t>
        </is>
      </c>
      <c r="D10311" t="inlineStr">
        <is>
          <t>19.12.2026</t>
        </is>
      </c>
      <c r="E10311" t="inlineStr">
        <is>
          <t>Singapore</t>
        </is>
      </c>
    </row>
    <row r="10312">
      <c r="A10312" t="inlineStr">
        <is>
          <t>BBGI BIODIESEL COMPANY LIMITED,  BANG KRASON, BANG PA-IN, PHRA NAKHON SI AYUTTHAYA, Thailand</t>
        </is>
      </c>
      <c r="B10312" t="inlineStr">
        <is>
          <t>Trader with Storage, Processing Unit, Collecting Point, Point of Origin</t>
        </is>
      </c>
      <c r="C10312" t="inlineStr">
        <is>
          <t>SGS Germany GmbH, Emstek, DE</t>
        </is>
      </c>
      <c r="D10312" t="inlineStr">
        <is>
          <t>19.12.2026</t>
        </is>
      </c>
      <c r="E10312" t="inlineStr">
        <is>
          <t>Thailand</t>
        </is>
      </c>
    </row>
    <row r="10313">
      <c r="A10313" t="inlineStr">
        <is>
          <t>Biométhane du Bois d'Arnelle,  Frasnes-lez-Gosselies, Belgium</t>
        </is>
      </c>
      <c r="B10313" t="inlineStr">
        <is>
          <t>Processing Unit</t>
        </is>
      </c>
      <c r="C10313" t="inlineStr">
        <is>
          <t>Control Union Certifications Germany GmbH, Berlin, DE</t>
        </is>
      </c>
      <c r="D10313" t="inlineStr">
        <is>
          <t>19.12.2026</t>
        </is>
      </c>
      <c r="E10313" t="inlineStr">
        <is>
          <t>Belgium</t>
        </is>
      </c>
    </row>
    <row r="10314">
      <c r="A10314" t="inlineStr">
        <is>
          <t>Destiladora de Alcoholes y Rones S.A.,  Retalhuleu, Guatemala</t>
        </is>
      </c>
      <c r="B10314" t="inlineStr">
        <is>
          <t>Processing Unit</t>
        </is>
      </c>
      <c r="C10314" t="inlineStr">
        <is>
          <t>Control Union Certifications Germany GmbH, Berlin, DE</t>
        </is>
      </c>
      <c r="D10314" t="inlineStr">
        <is>
          <t>19.12.2026</t>
        </is>
      </c>
      <c r="E10314" t="inlineStr">
        <is>
          <t>Guatemala</t>
        </is>
      </c>
    </row>
    <row r="10315">
      <c r="A10315" t="inlineStr">
        <is>
          <t>ROMERO ALVAREZ S.A,  ALANIS (SEVILLA), Spain</t>
        </is>
      </c>
      <c r="B10315" t="inlineStr">
        <is>
          <t>Processing Unit</t>
        </is>
      </c>
      <c r="C10315" t="inlineStr">
        <is>
          <t>Eurocert SA, Metamorfosi, Athens, GR</t>
        </is>
      </c>
      <c r="D10315" t="inlineStr">
        <is>
          <t>19.12.2026</t>
        </is>
      </c>
      <c r="E10315" t="inlineStr">
        <is>
          <t>Spain</t>
        </is>
      </c>
    </row>
    <row r="10316">
      <c r="A10316" t="inlineStr">
        <is>
          <t>Destiladora de Alcoholes y Rones S.A.,  Retalhuleu, Guatemala</t>
        </is>
      </c>
      <c r="B10316" t="inlineStr">
        <is>
          <t>Processing Unit</t>
        </is>
      </c>
      <c r="C10316" t="inlineStr">
        <is>
          <t>Control Union Certifications Germany GmbH, Berlin, DE</t>
        </is>
      </c>
      <c r="D10316" t="inlineStr">
        <is>
          <t>19.12.2026</t>
        </is>
      </c>
      <c r="E10316" t="inlineStr">
        <is>
          <t>Guatemala</t>
        </is>
      </c>
    </row>
    <row r="10317">
      <c r="A10317" t="inlineStr">
        <is>
          <t>Kuwait Petroleum Italia S.p.A.,  Rome, Italy</t>
        </is>
      </c>
      <c r="B10317" t="inlineStr">
        <is>
          <t>ETBE plant, Proof of Compliance Trader, Trader with Storage</t>
        </is>
      </c>
      <c r="C10317" t="inlineStr">
        <is>
          <t>RINA Services S.p.A., Genova, IT</t>
        </is>
      </c>
      <c r="D10317" t="inlineStr">
        <is>
          <t>19.12.2026</t>
        </is>
      </c>
      <c r="E10317" t="inlineStr">
        <is>
          <t>Italy</t>
        </is>
      </c>
    </row>
    <row r="10318">
      <c r="A10318" t="inlineStr">
        <is>
          <t>Repsol Renewable and Circular Solutions,  Madrid, Spain</t>
        </is>
      </c>
      <c r="B10318" t="inlineStr">
        <is>
          <t>Trader with Storage</t>
        </is>
      </c>
      <c r="C10318" t="inlineStr">
        <is>
          <t>Control Union Poland Sp. z o.o., Zielona Gora, PL</t>
        </is>
      </c>
      <c r="D10318" t="inlineStr">
        <is>
          <t>19.12.2026</t>
        </is>
      </c>
      <c r="E10318" t="inlineStr">
        <is>
          <t>Spain</t>
        </is>
      </c>
    </row>
    <row r="10319">
      <c r="A10319" t="inlineStr">
        <is>
          <t>Repsol Renewable and Circular Solutions,  Madrid, Spain</t>
        </is>
      </c>
      <c r="B10319" t="inlineStr">
        <is>
          <t>Trader with Storage</t>
        </is>
      </c>
      <c r="C10319" t="inlineStr">
        <is>
          <t>Control Union Poland Sp. z o.o., Zielona Gora, PL</t>
        </is>
      </c>
      <c r="D10319" t="inlineStr">
        <is>
          <t>19.12.2026</t>
        </is>
      </c>
      <c r="E10319" t="inlineStr">
        <is>
          <t>Spain</t>
        </is>
      </c>
    </row>
    <row r="10320">
      <c r="A10320" t="inlineStr">
        <is>
          <t>Galp Energia Espana,  Madrid, Alcobendas, Spain</t>
        </is>
      </c>
      <c r="B10320" t="inlineStr">
        <is>
          <t>Proof of Compliance Trader, Logistics Center</t>
        </is>
      </c>
      <c r="C10320" t="inlineStr">
        <is>
          <t>Control Union Poland Sp. z o.o., Zielona Gora, PL</t>
        </is>
      </c>
      <c r="D10320" t="inlineStr">
        <is>
          <t>19.12.2026</t>
        </is>
      </c>
      <c r="E10320" t="inlineStr">
        <is>
          <t>Spain</t>
        </is>
      </c>
    </row>
    <row r="10321">
      <c r="A10321" t="inlineStr">
        <is>
          <t>ENGIE Romania SA,  Bucharest, Romania</t>
        </is>
      </c>
      <c r="B10321" t="inlineStr">
        <is>
          <t>Trader</t>
        </is>
      </c>
      <c r="C10321" t="inlineStr">
        <is>
          <t>SRAC Cert SRL, Bucharest, RO</t>
        </is>
      </c>
      <c r="D10321" t="inlineStr">
        <is>
          <t>19.12.2026</t>
        </is>
      </c>
      <c r="E10321" t="inlineStr">
        <is>
          <t>Romania</t>
        </is>
      </c>
    </row>
    <row r="10322">
      <c r="A10322" t="inlineStr">
        <is>
          <t>Henkel US Operations Corporation,  Enoree, SC, United States</t>
        </is>
      </c>
      <c r="B10322" t="inlineStr">
        <is>
          <t>Processing Unit</t>
        </is>
      </c>
      <c r="C10322" t="inlineStr">
        <is>
          <t>DQS CFS GmbH - Deutsche Gesellschaft für Nachhaltigkeit, Frankfurt am Main, DE</t>
        </is>
      </c>
      <c r="D10322" t="inlineStr">
        <is>
          <t>19.12.2026</t>
        </is>
      </c>
      <c r="E10322" t="inlineStr">
        <is>
          <t>United States</t>
        </is>
      </c>
    </row>
    <row r="10323">
      <c r="A10323" t="inlineStr">
        <is>
          <t>CFG Trading Switzerland S A,  Ternopil, Ukraine</t>
        </is>
      </c>
      <c r="B10323" t="inlineStr">
        <is>
          <t>First Gathering Point, Trader</t>
        </is>
      </c>
      <c r="C10323" t="inlineStr">
        <is>
          <t>Control Union Certifications Germany GmbH, Berlin, DE</t>
        </is>
      </c>
      <c r="D10323" t="inlineStr">
        <is>
          <t>19.12.2026</t>
        </is>
      </c>
      <c r="E10323" t="inlineStr">
        <is>
          <t>Ukraine</t>
        </is>
      </c>
    </row>
    <row r="10324">
      <c r="A10324" t="inlineStr">
        <is>
          <t>Turitayev Murat Vladimirovich,  Aktobe city, Kazakhstan</t>
        </is>
      </c>
      <c r="B10324" t="inlineStr">
        <is>
          <t>Collecting Point</t>
        </is>
      </c>
      <c r="C10324" t="inlineStr">
        <is>
          <t>Aciter Genelab LLC, Odessa, UA</t>
        </is>
      </c>
      <c r="D10324" t="inlineStr">
        <is>
          <t>19.12.2026</t>
        </is>
      </c>
      <c r="E10324" t="inlineStr">
        <is>
          <t>Kazakhstan</t>
        </is>
      </c>
    </row>
    <row r="10325">
      <c r="A10325" t="inlineStr">
        <is>
          <t>COFCO International Resources España SL,  Pozuelo de Alarcon, Madrid, Spain</t>
        </is>
      </c>
      <c r="B10325" t="inlineStr">
        <is>
          <t>Trader with Storage</t>
        </is>
      </c>
      <c r="C10325" t="inlineStr">
        <is>
          <t>Control Union Poland Sp. z o.o., Zielona Gora, PL</t>
        </is>
      </c>
      <c r="D10325" t="inlineStr">
        <is>
          <t>19.12.2026</t>
        </is>
      </c>
      <c r="E10325" t="inlineStr">
        <is>
          <t>Spain</t>
        </is>
      </c>
    </row>
    <row r="10326">
      <c r="A10326" t="inlineStr">
        <is>
          <t>Pellegrino 1890,  Andria, Italy</t>
        </is>
      </c>
      <c r="B10326" t="inlineStr">
        <is>
          <t>First Gathering Point, Trader with Storage, Processing Unit</t>
        </is>
      </c>
      <c r="C10326" t="inlineStr">
        <is>
          <t>CSQA Certificazioni Srl, Thiene, IT</t>
        </is>
      </c>
      <c r="D10326" t="inlineStr">
        <is>
          <t>19.12.2026</t>
        </is>
      </c>
      <c r="E10326" t="inlineStr">
        <is>
          <t>Italy</t>
        </is>
      </c>
    </row>
    <row r="10327">
      <c r="A10327" t="inlineStr">
        <is>
          <t>Shantou Longqi Plastic Products Co., Ltd.,  Shantou City, Guangdong, China</t>
        </is>
      </c>
      <c r="B10327" t="inlineStr">
        <is>
          <t>Processing Unit</t>
        </is>
      </c>
      <c r="C10327" t="inlineStr">
        <is>
          <t>SCS Global Services, Emeryville, CA, US</t>
        </is>
      </c>
      <c r="D10327" t="inlineStr">
        <is>
          <t>19.12.2026</t>
        </is>
      </c>
      <c r="E10327" t="inlineStr">
        <is>
          <t>China</t>
        </is>
      </c>
    </row>
    <row r="10328">
      <c r="A10328" t="inlineStr">
        <is>
          <t>O&amp;C Goldoil Source Trading Sdn Bhd,  Masai, Johor Bahru Johor, Malaysia</t>
        </is>
      </c>
      <c r="B10328" t="inlineStr">
        <is>
          <t>Trader, Collecting Point</t>
        </is>
      </c>
      <c r="C10328" t="inlineStr">
        <is>
          <t>Global Gateway Certifications Sdn Bhd, Ampang, MY</t>
        </is>
      </c>
      <c r="D10328" t="inlineStr">
        <is>
          <t>19.12.2026</t>
        </is>
      </c>
      <c r="E10328" t="inlineStr">
        <is>
          <t>Malaysia</t>
        </is>
      </c>
    </row>
    <row r="10329">
      <c r="A10329" t="inlineStr">
        <is>
          <t>Fairway Methanol,  Pasadena, United States</t>
        </is>
      </c>
      <c r="B10329" t="inlineStr">
        <is>
          <t>Collecting Point, Processing Unit</t>
        </is>
      </c>
      <c r="C10329" t="inlineStr">
        <is>
          <t>SCS Global Services, Emeryville, CA, US</t>
        </is>
      </c>
      <c r="D10329" t="inlineStr">
        <is>
          <t>19.12.2026</t>
        </is>
      </c>
      <c r="E10329" t="inlineStr">
        <is>
          <t>United States</t>
        </is>
      </c>
    </row>
    <row r="10330">
      <c r="A10330" t="inlineStr">
        <is>
          <t>Agropecuaria Santamaria,  San Martin, Meta, Colombia</t>
        </is>
      </c>
      <c r="B10330" t="inlineStr">
        <is>
          <t>First Gathering Point, Processing Unit</t>
        </is>
      </c>
      <c r="C10330" t="inlineStr">
        <is>
          <t>SCS Global Services, Emeryville, CA, US</t>
        </is>
      </c>
      <c r="D10330" t="inlineStr">
        <is>
          <t>19.12.2026</t>
        </is>
      </c>
      <c r="E10330" t="inlineStr">
        <is>
          <t>Colombia</t>
        </is>
      </c>
    </row>
    <row r="10331">
      <c r="A10331" t="inlineStr">
        <is>
          <t>Agropecuaria Santamaria,  San Martin, Meta, Colombia</t>
        </is>
      </c>
      <c r="B10331" t="inlineStr">
        <is>
          <t>First Gathering Point, Processing Unit</t>
        </is>
      </c>
      <c r="C10331" t="inlineStr">
        <is>
          <t>SCS Global Services, Emeryville, CA, US</t>
        </is>
      </c>
      <c r="D10331" t="inlineStr">
        <is>
          <t>19.12.2026</t>
        </is>
      </c>
      <c r="E10331" t="inlineStr">
        <is>
          <t>Colombia</t>
        </is>
      </c>
    </row>
    <row r="10332">
      <c r="A10332" t="inlineStr">
        <is>
          <t>Sadepan Chimica NV,  Genk, Belgium</t>
        </is>
      </c>
      <c r="B10332" t="inlineStr">
        <is>
          <t>Processing Unit</t>
        </is>
      </c>
      <c r="C10332" t="inlineStr">
        <is>
          <t>Certiquality srl, Milano, IT</t>
        </is>
      </c>
      <c r="D10332" t="inlineStr">
        <is>
          <t>19.12.2026</t>
        </is>
      </c>
      <c r="E10332" t="inlineStr">
        <is>
          <t>Belgium</t>
        </is>
      </c>
    </row>
    <row r="10333">
      <c r="A10333" t="inlineStr">
        <is>
          <t>Jolei Enterprise Co.,Ltd.,  Tainan, Taiwan (Province of China)</t>
        </is>
      </c>
      <c r="B10333" t="inlineStr">
        <is>
          <t>Collecting Point, Trader with Storage</t>
        </is>
      </c>
      <c r="C10333" t="inlineStr">
        <is>
          <t>RINA Services S.p.A., Genova, IT</t>
        </is>
      </c>
      <c r="D10333" t="inlineStr">
        <is>
          <t>19.12.2026</t>
        </is>
      </c>
      <c r="E10333" t="inlineStr">
        <is>
          <t>Taiwan (Province of China)</t>
        </is>
      </c>
    </row>
    <row r="10334">
      <c r="A10334" t="inlineStr">
        <is>
          <t>Pirelli Tyre Spa,  Bollate (Milano), Italy</t>
        </is>
      </c>
      <c r="B10334" t="inlineStr">
        <is>
          <t>Final Product Refinement</t>
        </is>
      </c>
      <c r="C10334" t="inlineStr">
        <is>
          <t>RINA Services S.p.A., Genova, IT</t>
        </is>
      </c>
      <c r="D10334" t="inlineStr">
        <is>
          <t>19.12.2026</t>
        </is>
      </c>
      <c r="E10334" t="inlineStr">
        <is>
          <t>Italy</t>
        </is>
      </c>
    </row>
    <row r="10335">
      <c r="A10335" t="inlineStr">
        <is>
          <t>Jolei Enterprise Co.,Ltd.,  Tainan, Taiwan (Province of China)</t>
        </is>
      </c>
      <c r="B10335" t="inlineStr">
        <is>
          <t>Collecting Point, Trader with Storage</t>
        </is>
      </c>
      <c r="C10335" t="inlineStr">
        <is>
          <t>RINA Services S.p.A., Genova, IT</t>
        </is>
      </c>
      <c r="D10335" t="inlineStr">
        <is>
          <t>19.12.2026</t>
        </is>
      </c>
      <c r="E10335" t="inlineStr">
        <is>
          <t>Taiwan (Province of China)</t>
        </is>
      </c>
    </row>
    <row r="10336">
      <c r="A10336" t="inlineStr">
        <is>
          <t>Fry Fresh Edible Oils Ltd,  Wrexham, United Kingdom</t>
        </is>
      </c>
      <c r="B10336" t="inlineStr">
        <is>
          <t>Collecting Point</t>
        </is>
      </c>
      <c r="C10336" t="inlineStr">
        <is>
          <t>SGS Germany GmbH, Emstek, DE</t>
        </is>
      </c>
      <c r="D10336" t="inlineStr">
        <is>
          <t>18.12.2026</t>
        </is>
      </c>
      <c r="E10336" t="inlineStr">
        <is>
          <t>United Kingdom</t>
        </is>
      </c>
    </row>
    <row r="10337">
      <c r="A10337" t="inlineStr">
        <is>
          <t>Trinseo,  Midland, United States</t>
        </is>
      </c>
      <c r="B10337" t="inlineStr">
        <is>
          <t>Processing Unit</t>
        </is>
      </c>
      <c r="C10337" t="inlineStr">
        <is>
          <t>SGS Germany GmbH, Emstek, DE</t>
        </is>
      </c>
      <c r="D10337" t="inlineStr">
        <is>
          <t>18.12.2026</t>
        </is>
      </c>
      <c r="E10337" t="inlineStr">
        <is>
          <t>United States</t>
        </is>
      </c>
    </row>
    <row r="10338">
      <c r="A10338" t="inlineStr">
        <is>
          <t>Turtle Backpackers Sdn Bhd,  SUNGAI BULOH, Malaysia</t>
        </is>
      </c>
      <c r="B10338" t="inlineStr">
        <is>
          <t>Trader</t>
        </is>
      </c>
      <c r="C10338" t="inlineStr">
        <is>
          <t>Trans Certification and Inspection Sdn Bhd, Kuantan, MY</t>
        </is>
      </c>
      <c r="D10338" t="inlineStr">
        <is>
          <t>18.12.2026</t>
        </is>
      </c>
      <c r="E10338" t="inlineStr">
        <is>
          <t>Malaysia</t>
        </is>
      </c>
    </row>
    <row r="10339">
      <c r="A10339" t="inlineStr">
        <is>
          <t>ASNOBEL KİMYEVİ MADDELER İNŞAAT GIDA MADDELERİ YEM SANAYİ VE TİCARET LİMİTED ŞİRKETİ,  NİZİP/ GAZİANTEP, Turkey</t>
        </is>
      </c>
      <c r="B10339" t="inlineStr">
        <is>
          <t>Point of Origin</t>
        </is>
      </c>
      <c r="C10339" t="inlineStr">
        <is>
          <t>Trans Certification and Inspection Sdn Bhd, Kuantan, MY</t>
        </is>
      </c>
      <c r="D10339" t="inlineStr">
        <is>
          <t>18.12.2026</t>
        </is>
      </c>
      <c r="E10339" t="inlineStr">
        <is>
          <t>Turkey</t>
        </is>
      </c>
    </row>
    <row r="10340">
      <c r="A10340" t="inlineStr">
        <is>
          <t>ecol Trade, s.r.o.,  Alekšince, Slovakia</t>
        </is>
      </c>
      <c r="B10340" t="inlineStr">
        <is>
          <t>Collecting Point, Trader</t>
        </is>
      </c>
      <c r="C10340" t="inlineStr">
        <is>
          <t>United Registrar of Systems Polska Sp. z o.o., Wrocław, PL</t>
        </is>
      </c>
      <c r="D10340" t="inlineStr">
        <is>
          <t>18.12.2026</t>
        </is>
      </c>
      <c r="E10340" t="inlineStr">
        <is>
          <t>Slovakia</t>
        </is>
      </c>
    </row>
    <row r="10341">
      <c r="A10341" t="inlineStr">
        <is>
          <t>Zdroje Zeme, a.s.,  Trnovec nad Váhom, Slovakia</t>
        </is>
      </c>
      <c r="B10341" t="inlineStr">
        <is>
          <t>Collecting Point, Processing Unit, Trader with Storage</t>
        </is>
      </c>
      <c r="C10341" t="inlineStr">
        <is>
          <t>United Registrar of Systems Polska Sp. z o.o., Wrocław, PL</t>
        </is>
      </c>
      <c r="D10341" t="inlineStr">
        <is>
          <t>18.12.2026</t>
        </is>
      </c>
      <c r="E10341" t="inlineStr">
        <is>
          <t>Slovakia</t>
        </is>
      </c>
    </row>
    <row r="10342">
      <c r="A10342" t="inlineStr">
        <is>
          <t>BPS Horovce 4, s. r. o.,  Horovce, Slovakia</t>
        </is>
      </c>
      <c r="B10342" t="inlineStr">
        <is>
          <t>Collecting Point, First Gathering Point, Processing Unit</t>
        </is>
      </c>
      <c r="C10342" t="inlineStr">
        <is>
          <t>United Registrar of Systems Polska Sp. z o.o., Wrocław, PL</t>
        </is>
      </c>
      <c r="D10342" t="inlineStr">
        <is>
          <t>18.12.2026</t>
        </is>
      </c>
      <c r="E10342" t="inlineStr">
        <is>
          <t>Slovakia</t>
        </is>
      </c>
    </row>
    <row r="10343">
      <c r="A10343" t="inlineStr">
        <is>
          <t>VAN WERVEN POLAND Sp z o.o.,  Gromadka, Poland</t>
        </is>
      </c>
      <c r="B10343" t="inlineStr">
        <is>
          <t>Collecting Point, Processing Unit</t>
        </is>
      </c>
      <c r="C10343" t="inlineStr">
        <is>
          <t>Bureau Veritas Polska Sp. z o.o., Warsaw, PL</t>
        </is>
      </c>
      <c r="D10343" t="inlineStr">
        <is>
          <t>18.12.2026</t>
        </is>
      </c>
      <c r="E10343" t="inlineStr">
        <is>
          <t>Poland</t>
        </is>
      </c>
    </row>
    <row r="10344">
      <c r="A10344" t="inlineStr">
        <is>
          <t>Aceites Cimarrones S.A.S Zona franca permanente especial agroindustrial,  Vereda Candilejas, Puerto Rico, Meta, Colombia</t>
        </is>
      </c>
      <c r="B10344" t="inlineStr">
        <is>
          <t>Processing Unit, First Gathering Point</t>
        </is>
      </c>
      <c r="C10344" t="inlineStr">
        <is>
          <t>SCS Global Services, Emeryville, CA, US</t>
        </is>
      </c>
      <c r="D10344" t="inlineStr">
        <is>
          <t>18.12.2026</t>
        </is>
      </c>
      <c r="E10344" t="inlineStr">
        <is>
          <t>Colombia</t>
        </is>
      </c>
    </row>
    <row r="10345">
      <c r="A10345" t="inlineStr">
        <is>
          <t>medmix Switzerland AG,  Haag, Switzerland</t>
        </is>
      </c>
      <c r="B10345" t="inlineStr">
        <is>
          <t>Trader, Processing Unit</t>
        </is>
      </c>
      <c r="C10345" t="inlineStr">
        <is>
          <t>TÜV NORD CERT GmbH, Essen, DE</t>
        </is>
      </c>
      <c r="D10345" t="inlineStr">
        <is>
          <t>18.12.2026</t>
        </is>
      </c>
      <c r="E10345" t="inlineStr">
        <is>
          <t>Switzerland</t>
        </is>
      </c>
    </row>
    <row r="10346">
      <c r="A10346" t="inlineStr">
        <is>
          <t>Cargill NV,  Gent, Belgium</t>
        </is>
      </c>
      <c r="B10346" t="inlineStr">
        <is>
          <t>Point of Origin, Trader with Storage, Processing Unit, Proof of Compliance Trader, Biomarine Fuel Operator</t>
        </is>
      </c>
      <c r="C10346" t="inlineStr">
        <is>
          <t>SGS Germany GmbH, Emstek, DE</t>
        </is>
      </c>
      <c r="D10346" t="inlineStr">
        <is>
          <t>18.12.2026</t>
        </is>
      </c>
      <c r="E10346" t="inlineStr">
        <is>
          <t>Belgium</t>
        </is>
      </c>
    </row>
    <row r="10347">
      <c r="A10347" t="inlineStr">
        <is>
          <t>Repsol Butano,  Pinto, Spain</t>
        </is>
      </c>
      <c r="B10347" t="inlineStr">
        <is>
          <t>Trader with Storage</t>
        </is>
      </c>
      <c r="C10347" t="inlineStr">
        <is>
          <t>Control Union Poland Sp. z o.o., Zielona Gora, PL</t>
        </is>
      </c>
      <c r="D10347" t="inlineStr">
        <is>
          <t>18.12.2026</t>
        </is>
      </c>
      <c r="E10347" t="inlineStr">
        <is>
          <t>Spain</t>
        </is>
      </c>
    </row>
    <row r="10348">
      <c r="A10348" t="inlineStr">
        <is>
          <t>Biocirc Haderslev Biogas,  Haderslev, Denmark</t>
        </is>
      </c>
      <c r="B10348" t="inlineStr">
        <is>
          <t>Collecting Point, First Gathering Point, Processing Unit</t>
        </is>
      </c>
      <c r="C10348" t="inlineStr">
        <is>
          <t>Baltic Control Certification, Risskov, DK</t>
        </is>
      </c>
      <c r="D10348" t="inlineStr">
        <is>
          <t>18.12.2026</t>
        </is>
      </c>
      <c r="E10348" t="inlineStr">
        <is>
          <t>Denmark</t>
        </is>
      </c>
    </row>
    <row r="10349">
      <c r="A10349" t="inlineStr">
        <is>
          <t>Zhejiang Transfar Synthetic Material Co., Ltd.,  Jiaxing Port, China</t>
        </is>
      </c>
      <c r="B10349" t="inlineStr">
        <is>
          <t>Processing Unit</t>
        </is>
      </c>
      <c r="C10349" t="inlineStr">
        <is>
          <t>TÜV SÜD Industrie Service GmbH, München, DE</t>
        </is>
      </c>
      <c r="D10349" t="inlineStr">
        <is>
          <t>18.12.2026</t>
        </is>
      </c>
      <c r="E10349" t="inlineStr">
        <is>
          <t>China</t>
        </is>
      </c>
    </row>
    <row r="10350">
      <c r="A10350" t="inlineStr">
        <is>
          <t>Maxi Oils,  Stoke on Trent, United Kingdom</t>
        </is>
      </c>
      <c r="B10350" t="inlineStr">
        <is>
          <t>Collecting Point</t>
        </is>
      </c>
      <c r="C10350" t="inlineStr">
        <is>
          <t>SGS Germany GmbH, Emstek, DE</t>
        </is>
      </c>
      <c r="D10350" t="inlineStr">
        <is>
          <t>18.12.2026</t>
        </is>
      </c>
      <c r="E10350" t="inlineStr">
        <is>
          <t>United Kingdom</t>
        </is>
      </c>
    </row>
    <row r="10351">
      <c r="A10351" t="inlineStr">
        <is>
          <t>Cargill PLC,  Seaforth, Merseyside, United Kingdom</t>
        </is>
      </c>
      <c r="B10351" t="inlineStr">
        <is>
          <t>Processing Unit</t>
        </is>
      </c>
      <c r="C10351" t="inlineStr">
        <is>
          <t>Control Union Certifications Germany GmbH, Berlin, DE</t>
        </is>
      </c>
      <c r="D10351" t="inlineStr">
        <is>
          <t>18.12.2026</t>
        </is>
      </c>
      <c r="E10351" t="inlineStr">
        <is>
          <t>United Kingdom</t>
        </is>
      </c>
    </row>
    <row r="10352">
      <c r="A10352" t="inlineStr">
        <is>
          <t>Alvinesa Natural Ingredients S.A.,  Daimiel. Ciudad Real, Spain</t>
        </is>
      </c>
      <c r="B10352" t="inlineStr">
        <is>
          <t>Collecting Point, Processing Unit</t>
        </is>
      </c>
      <c r="C10352" t="inlineStr">
        <is>
          <t>Control Union Poland Sp. z o.o., Zielona Gora, PL</t>
        </is>
      </c>
      <c r="D10352" t="inlineStr">
        <is>
          <t>18.12.2026</t>
        </is>
      </c>
      <c r="E10352" t="inlineStr">
        <is>
          <t>Spain</t>
        </is>
      </c>
    </row>
    <row r="10353">
      <c r="A10353" t="inlineStr">
        <is>
          <t>FIELDTURF TARKETT SAS,  AUCHEL, France</t>
        </is>
      </c>
      <c r="B10353" t="inlineStr">
        <is>
          <t>Final Product Refinement</t>
        </is>
      </c>
      <c r="C10353" t="inlineStr">
        <is>
          <t>Bureau Veritas Polska Sp. z o.o., Warsaw, PL</t>
        </is>
      </c>
      <c r="D10353" t="inlineStr">
        <is>
          <t>18.12.2026</t>
        </is>
      </c>
      <c r="E10353" t="inlineStr">
        <is>
          <t>France</t>
        </is>
      </c>
    </row>
    <row r="10354">
      <c r="A10354" t="inlineStr">
        <is>
          <t>C&amp;C ENTEC Co.,Ltd,  Gangwon-do, South Korea</t>
        </is>
      </c>
      <c r="B10354" t="inlineStr">
        <is>
          <t>Collecting Point, Processing Unit</t>
        </is>
      </c>
      <c r="C10354" t="inlineStr">
        <is>
          <t>PT Intertek Utama Services, Jakarta, ID</t>
        </is>
      </c>
      <c r="D10354" t="inlineStr">
        <is>
          <t>18.12.2026</t>
        </is>
      </c>
      <c r="E10354" t="inlineStr">
        <is>
          <t>South Korea</t>
        </is>
      </c>
    </row>
    <row r="10355">
      <c r="A10355" t="inlineStr">
        <is>
          <t>Aceites Cimarrones S.A.S ZFPEA,  Vereda Candilejas, Puerto Rico, Meta, Colombia</t>
        </is>
      </c>
      <c r="B10355" t="inlineStr">
        <is>
          <t>First Gathering Point, Processing Unit, Point of Origin</t>
        </is>
      </c>
      <c r="C10355" t="inlineStr">
        <is>
          <t>SCS Global Services, Emeryville, CA, US</t>
        </is>
      </c>
      <c r="D10355" t="inlineStr">
        <is>
          <t>18.12.2026</t>
        </is>
      </c>
      <c r="E10355" t="inlineStr">
        <is>
          <t>Colombia</t>
        </is>
      </c>
    </row>
    <row r="10356">
      <c r="A10356" t="inlineStr">
        <is>
          <t>Plastipak Italia Preforme S.r.l.,  Verbania, Italy</t>
        </is>
      </c>
      <c r="B10356" t="inlineStr">
        <is>
          <t>Processing Unit, Warehouse</t>
        </is>
      </c>
      <c r="C10356" t="inlineStr">
        <is>
          <t>DNV Business Assurance Sweden AB, Solna, SE</t>
        </is>
      </c>
      <c r="D10356" t="inlineStr">
        <is>
          <t>18.12.2026</t>
        </is>
      </c>
      <c r="E10356" t="inlineStr">
        <is>
          <t>Italy</t>
        </is>
      </c>
    </row>
    <row r="10357">
      <c r="A10357" t="inlineStr">
        <is>
          <t>Mitsubishi Corporation,  Chiyoda-ku, Tokyo, Japan</t>
        </is>
      </c>
      <c r="B10357" t="inlineStr">
        <is>
          <t>Trader with Storage</t>
        </is>
      </c>
      <c r="C10357" t="inlineStr">
        <is>
          <t>SCS Global Services, Emeryville, CA, US</t>
        </is>
      </c>
      <c r="D10357" t="inlineStr">
        <is>
          <t>18.12.2026</t>
        </is>
      </c>
      <c r="E10357" t="inlineStr">
        <is>
          <t>Japan</t>
        </is>
      </c>
    </row>
    <row r="10358">
      <c r="A10358" t="inlineStr">
        <is>
          <t>McNeely Plastics,  Clinton, United States</t>
        </is>
      </c>
      <c r="B10358" t="inlineStr">
        <is>
          <t>Processing Unit</t>
        </is>
      </c>
      <c r="C10358" t="inlineStr">
        <is>
          <t>SCS Global Services, Emeryville, CA, US</t>
        </is>
      </c>
      <c r="D10358" t="inlineStr">
        <is>
          <t>18.12.2026</t>
        </is>
      </c>
      <c r="E10358" t="inlineStr">
        <is>
          <t>United States</t>
        </is>
      </c>
    </row>
    <row r="10359">
      <c r="A10359" t="inlineStr">
        <is>
          <t>Lotte Chemical Japan,  Tokyo, Japan</t>
        </is>
      </c>
      <c r="B10359" t="inlineStr">
        <is>
          <t>Trader</t>
        </is>
      </c>
      <c r="C10359" t="inlineStr">
        <is>
          <t>Control Union Certifications Germany GmbH, Berlin, DE</t>
        </is>
      </c>
      <c r="D10359" t="inlineStr">
        <is>
          <t>18.12.2026</t>
        </is>
      </c>
      <c r="E10359" t="inlineStr">
        <is>
          <t>Japan</t>
        </is>
      </c>
    </row>
    <row r="10360">
      <c r="A10360" t="inlineStr">
        <is>
          <t>Agrofirma “Dzvony”,  v. Bolotnya, Lviv district, Lviv region, Ukraine</t>
        </is>
      </c>
      <c r="B10360" t="inlineStr">
        <is>
          <t>Farm / Plantation</t>
        </is>
      </c>
      <c r="C10360" t="inlineStr">
        <is>
          <t>Organic Standard Ltd, Kyiv, UA</t>
        </is>
      </c>
      <c r="D10360" t="inlineStr">
        <is>
          <t>18.12.2026</t>
        </is>
      </c>
      <c r="E10360" t="inlineStr">
        <is>
          <t>Ukraine</t>
        </is>
      </c>
    </row>
    <row r="10361">
      <c r="A10361" t="inlineStr">
        <is>
          <t>Raiex,  Pontirolo Nuovo, Italy</t>
        </is>
      </c>
      <c r="B10361" t="inlineStr">
        <is>
          <t>Trader with Storage</t>
        </is>
      </c>
      <c r="C10361" t="inlineStr">
        <is>
          <t>Certiquality srl, Milano, IT</t>
        </is>
      </c>
      <c r="D10361" t="inlineStr">
        <is>
          <t>18.12.2026</t>
        </is>
      </c>
      <c r="E10361" t="inlineStr">
        <is>
          <t>Italy</t>
        </is>
      </c>
    </row>
    <row r="10362">
      <c r="A10362" t="inlineStr">
        <is>
          <t>Roth Energie,  Trofaiach, Austria</t>
        </is>
      </c>
      <c r="B10362" t="inlineStr">
        <is>
          <t>Trader with Storage</t>
        </is>
      </c>
      <c r="C10362" t="inlineStr">
        <is>
          <t>agroVet GmbH, Enzersfeld, AT</t>
        </is>
      </c>
      <c r="D10362" t="inlineStr">
        <is>
          <t>18.12.2026</t>
        </is>
      </c>
      <c r="E10362" t="inlineStr">
        <is>
          <t>Austria</t>
        </is>
      </c>
    </row>
    <row r="10363">
      <c r="A10363" t="inlineStr">
        <is>
          <t>UPM Biochemicals GmbH,  Leuna, Germany</t>
        </is>
      </c>
      <c r="B10363" t="inlineStr">
        <is>
          <t>Point of Origin, Processing Unit, Trader</t>
        </is>
      </c>
      <c r="C10363" t="inlineStr">
        <is>
          <t>BM Certification, Riga, LV</t>
        </is>
      </c>
      <c r="D10363" t="inlineStr">
        <is>
          <t>18.12.2026</t>
        </is>
      </c>
      <c r="E10363" t="inlineStr">
        <is>
          <t>Germany</t>
        </is>
      </c>
    </row>
    <row r="10364">
      <c r="A10364" t="inlineStr">
        <is>
          <t>PAPA,  Caivano, Italy</t>
        </is>
      </c>
      <c r="B10364" t="inlineStr">
        <is>
          <t>Collecting Point</t>
        </is>
      </c>
      <c r="C10364" t="inlineStr">
        <is>
          <t>SGS Germany GmbH, Emstek, DE</t>
        </is>
      </c>
      <c r="D10364" t="inlineStr">
        <is>
          <t>18.12.2026</t>
        </is>
      </c>
      <c r="E10364" t="inlineStr">
        <is>
          <t>Italy</t>
        </is>
      </c>
    </row>
    <row r="10365">
      <c r="A10365" t="inlineStr">
        <is>
          <t>UPM Raflatac Sp. z.o.o.,  Nowa Wies Wroclawska, Poland</t>
        </is>
      </c>
      <c r="B10365" t="inlineStr">
        <is>
          <t>Trader with Storage, Warehouse, Processing Unit</t>
        </is>
      </c>
      <c r="C10365" t="inlineStr">
        <is>
          <t>SGS Germany GmbH, Emstek, DE</t>
        </is>
      </c>
      <c r="D10365" t="inlineStr">
        <is>
          <t>18.12.2026</t>
        </is>
      </c>
      <c r="E10365" t="inlineStr">
        <is>
          <t>Poland</t>
        </is>
      </c>
    </row>
    <row r="10366">
      <c r="A10366" t="inlineStr">
        <is>
          <t>Cargill BV,  Amsterdam, Netherlands</t>
        </is>
      </c>
      <c r="B10366" t="inlineStr">
        <is>
          <t>Point of Origin, Processing Unit, Trader with Storage</t>
        </is>
      </c>
      <c r="C10366" t="inlineStr">
        <is>
          <t>SGS Germany GmbH, Emstek, DE</t>
        </is>
      </c>
      <c r="D10366" t="inlineStr">
        <is>
          <t>18.12.2026</t>
        </is>
      </c>
      <c r="E10366" t="inlineStr">
        <is>
          <t>Netherlands</t>
        </is>
      </c>
    </row>
    <row r="10367">
      <c r="A10367" t="inlineStr">
        <is>
          <t>Cargill BV,  Schiphol, Netherlands</t>
        </is>
      </c>
      <c r="B10367" t="inlineStr">
        <is>
          <t>Trader with Storage</t>
        </is>
      </c>
      <c r="C10367" t="inlineStr">
        <is>
          <t>SGS Germany GmbH, Emstek, DE</t>
        </is>
      </c>
      <c r="D10367" t="inlineStr">
        <is>
          <t>18.12.2026</t>
        </is>
      </c>
      <c r="E10367" t="inlineStr">
        <is>
          <t>Netherlands</t>
        </is>
      </c>
    </row>
    <row r="10368">
      <c r="A10368" t="inlineStr">
        <is>
          <t>SLOVNAFT, a.s.,  Bratislava, Slovakia</t>
        </is>
      </c>
      <c r="B10368" t="inlineStr">
        <is>
          <t>Processing Unit, Trader with Storage</t>
        </is>
      </c>
      <c r="C10368" t="inlineStr">
        <is>
          <t>SGS Germany GmbH, Emstek, DE</t>
        </is>
      </c>
      <c r="D10368" t="inlineStr">
        <is>
          <t>18.12.2026</t>
        </is>
      </c>
      <c r="E10368" t="inlineStr">
        <is>
          <t>Slovakia</t>
        </is>
      </c>
    </row>
    <row r="10369">
      <c r="A10369" t="inlineStr">
        <is>
          <t>Luxottica Brasil Produtos Óticos e Esportivos Ltda.,  Campinas, Brazil</t>
        </is>
      </c>
      <c r="B10369" t="inlineStr">
        <is>
          <t>Point of Origin, Processing Unit</t>
        </is>
      </c>
      <c r="C10369" t="inlineStr">
        <is>
          <t>SGS Germany GmbH, Emstek, DE</t>
        </is>
      </c>
      <c r="D10369" t="inlineStr">
        <is>
          <t>18.12.2026</t>
        </is>
      </c>
      <c r="E10369" t="inlineStr">
        <is>
          <t>Brazil</t>
        </is>
      </c>
    </row>
    <row r="10370">
      <c r="A10370" t="inlineStr">
        <is>
          <t>Synthomer Jefferson Hills LLC,  Jefferson Hills, United States</t>
        </is>
      </c>
      <c r="B10370" t="inlineStr">
        <is>
          <t>Processing Unit</t>
        </is>
      </c>
      <c r="C10370" t="inlineStr">
        <is>
          <t>SGS Germany GmbH, Emstek, DE</t>
        </is>
      </c>
      <c r="D10370" t="inlineStr">
        <is>
          <t>18.12.2026</t>
        </is>
      </c>
      <c r="E10370" t="inlineStr">
        <is>
          <t>United States</t>
        </is>
      </c>
    </row>
    <row r="10371">
      <c r="A10371" t="inlineStr">
        <is>
          <t>Shell Chemicals Europe B.V.,  Rotterdam, Netherlands</t>
        </is>
      </c>
      <c r="B10371" t="inlineStr">
        <is>
          <t>Processing Unit</t>
        </is>
      </c>
      <c r="C10371" t="inlineStr">
        <is>
          <t>SGS Germany GmbH, Emstek, DE</t>
        </is>
      </c>
      <c r="D10371" t="inlineStr">
        <is>
          <t>18.12.2026</t>
        </is>
      </c>
      <c r="E10371" t="inlineStr">
        <is>
          <t>Netherlands</t>
        </is>
      </c>
    </row>
    <row r="10372">
      <c r="A10372" t="inlineStr">
        <is>
          <t>Hua Yan Environmental industry Development (Suzhou) CO., LTD.,  Suzhou City, Jiangsu Province, China</t>
        </is>
      </c>
      <c r="B10372" t="inlineStr">
        <is>
          <t>Collecting Point, Processing Unit</t>
        </is>
      </c>
      <c r="C10372" t="inlineStr">
        <is>
          <t>SCS Global Services, Emeryville, CA, US</t>
        </is>
      </c>
      <c r="D10372" t="inlineStr">
        <is>
          <t>18.12.2026</t>
        </is>
      </c>
      <c r="E10372" t="inlineStr">
        <is>
          <t>China</t>
        </is>
      </c>
    </row>
    <row r="10373">
      <c r="A10373" t="inlineStr">
        <is>
          <t>CHETTA SRL,  Melissano, Italy</t>
        </is>
      </c>
      <c r="B10373" t="inlineStr">
        <is>
          <t>Processing Unit</t>
        </is>
      </c>
      <c r="C10373" t="inlineStr">
        <is>
          <t>DNV Business Assurance Sweden AB, Solna, SE</t>
        </is>
      </c>
      <c r="D10373" t="inlineStr">
        <is>
          <t>18.12.2026</t>
        </is>
      </c>
      <c r="E10373" t="inlineStr">
        <is>
          <t>Italy</t>
        </is>
      </c>
    </row>
    <row r="10374">
      <c r="A10374" t="inlineStr">
        <is>
          <t>Luzhou Hangfa Energy Investment Co., Ltd,  Luzhou City,,Sichuan Province,, China</t>
        </is>
      </c>
      <c r="B10374" t="inlineStr">
        <is>
          <t>Processing Unit</t>
        </is>
      </c>
      <c r="C10374" t="inlineStr">
        <is>
          <t>SCS Global Services, Emeryville, CA, US</t>
        </is>
      </c>
      <c r="D10374" t="inlineStr">
        <is>
          <t>18.12.2026</t>
        </is>
      </c>
      <c r="E10374" t="inlineStr">
        <is>
          <t>China</t>
        </is>
      </c>
    </row>
    <row r="10375">
      <c r="A10375" t="inlineStr">
        <is>
          <t>Biofilter Környezetvédelmi Zrt.,  Csévharaszt, Hungary</t>
        </is>
      </c>
      <c r="B10375" t="inlineStr">
        <is>
          <t>Collecting Point, Trader with Storage</t>
        </is>
      </c>
      <c r="C10375" t="inlineStr">
        <is>
          <t>SGS Germany GmbH, Emstek, DE</t>
        </is>
      </c>
      <c r="D10375" t="inlineStr">
        <is>
          <t>18.12.2026</t>
        </is>
      </c>
      <c r="E10375" t="inlineStr">
        <is>
          <t>Hungary</t>
        </is>
      </c>
    </row>
    <row r="10376">
      <c r="A10376" t="inlineStr">
        <is>
          <t>FU JIAN LIFENG FOOTWEAR INDUSTRIAL DEVELOPMENT COMPANY LIMITED,  Wutang Town, Hanjiang District, Putian City, China</t>
        </is>
      </c>
      <c r="B10376" t="inlineStr">
        <is>
          <t>Final Product Refinement, Processing Unit</t>
        </is>
      </c>
      <c r="C10376" t="inlineStr">
        <is>
          <t>CTI Certification Co. Ltd, Shenzhen, CN</t>
        </is>
      </c>
      <c r="D10376" t="inlineStr">
        <is>
          <t>18.12.2026</t>
        </is>
      </c>
      <c r="E10376" t="inlineStr">
        <is>
          <t>China</t>
        </is>
      </c>
    </row>
    <row r="10377">
      <c r="A10377" t="inlineStr">
        <is>
          <t>Regasificadora del Noroeste, S.A.,  Mugardos (A Coruña), Spain</t>
        </is>
      </c>
      <c r="B10377" t="inlineStr">
        <is>
          <t>Processing Unit</t>
        </is>
      </c>
      <c r="C10377" t="inlineStr">
        <is>
          <t>Certificadora Gallega del Noroeste SL, Vilagarcia de Arousa-Pontevedra, ES</t>
        </is>
      </c>
      <c r="D10377" t="inlineStr">
        <is>
          <t>18.12.2026</t>
        </is>
      </c>
      <c r="E10377" t="inlineStr">
        <is>
          <t>Spain</t>
        </is>
      </c>
    </row>
    <row r="10378">
      <c r="A10378" t="inlineStr">
        <is>
          <t>Renewlium,  Singapore, Singapore</t>
        </is>
      </c>
      <c r="B10378" t="inlineStr">
        <is>
          <t>Trader</t>
        </is>
      </c>
      <c r="C10378" t="inlineStr">
        <is>
          <t>PT TSI Sertifikasi Internasional, Jakarta Selatang, ID</t>
        </is>
      </c>
      <c r="D10378" t="inlineStr">
        <is>
          <t>18.12.2026</t>
        </is>
      </c>
      <c r="E10378" t="inlineStr">
        <is>
          <t>Singapore</t>
        </is>
      </c>
    </row>
    <row r="10379">
      <c r="A10379" t="inlineStr">
        <is>
          <t>CY EXPERT AGRO COOPERATIVA AGRICOLA,  Facau, Romania</t>
        </is>
      </c>
      <c r="B10379" t="inlineStr">
        <is>
          <t>First Gathering Point</t>
        </is>
      </c>
      <c r="C10379" t="inlineStr">
        <is>
          <t>BM Certification, Riga, LV</t>
        </is>
      </c>
      <c r="D10379" t="inlineStr">
        <is>
          <t>18.12.2026</t>
        </is>
      </c>
      <c r="E10379" t="inlineStr">
        <is>
          <t>Romania</t>
        </is>
      </c>
    </row>
    <row r="10380">
      <c r="A10380" t="inlineStr">
        <is>
          <t>College Biofuels Unlimited Company,  Co. Meath, Ireland</t>
        </is>
      </c>
      <c r="B10380" t="inlineStr">
        <is>
          <t>Point of Origin, Trader with Storage, Processing Unit</t>
        </is>
      </c>
      <c r="C10380" t="inlineStr">
        <is>
          <t>RINA Services S.p.A., Genova, IT</t>
        </is>
      </c>
      <c r="D10380" t="inlineStr">
        <is>
          <t>18.12.2026</t>
        </is>
      </c>
      <c r="E10380" t="inlineStr">
        <is>
          <t>Ireland</t>
        </is>
      </c>
    </row>
    <row r="10381">
      <c r="A10381" t="inlineStr">
        <is>
          <t>A.P.I. APPLICAZIONI PLASTICHE INDUSTRIALI S.P.A.,  Mussolente, Italy</t>
        </is>
      </c>
      <c r="B10381" t="inlineStr">
        <is>
          <t>Point of Origin, Processing Unit</t>
        </is>
      </c>
      <c r="C10381" t="inlineStr">
        <is>
          <t>SGS Germany GmbH, Emstek, DE</t>
        </is>
      </c>
      <c r="D10381" t="inlineStr">
        <is>
          <t>18.12.2026</t>
        </is>
      </c>
      <c r="E10381" t="inlineStr">
        <is>
          <t>Italy</t>
        </is>
      </c>
    </row>
    <row r="10382">
      <c r="A10382" t="inlineStr">
        <is>
          <t>Bettega Biomasse,  Seren del Grappa, Italy</t>
        </is>
      </c>
      <c r="B10382" t="inlineStr">
        <is>
          <t>Collecting Point, Processing Unit</t>
        </is>
      </c>
      <c r="C10382" t="inlineStr">
        <is>
          <t>DNV Business Assurance Sweden AB, Solna, SE</t>
        </is>
      </c>
      <c r="D10382" t="inlineStr">
        <is>
          <t>18.12.2026</t>
        </is>
      </c>
      <c r="E10382" t="inlineStr">
        <is>
          <t>Italy</t>
        </is>
      </c>
    </row>
    <row r="10383">
      <c r="A10383" t="inlineStr">
        <is>
          <t>Taagholm Biogas A/S,  Rødekro, Denmark</t>
        </is>
      </c>
      <c r="B10383" t="inlineStr">
        <is>
          <t>Collecting Point, First Gathering Point, Processing Unit</t>
        </is>
      </c>
      <c r="C10383" t="inlineStr">
        <is>
          <t>Baltic Control Certification, Risskov, DK</t>
        </is>
      </c>
      <c r="D10383" t="inlineStr">
        <is>
          <t>18.12.2026</t>
        </is>
      </c>
      <c r="E10383" t="inlineStr">
        <is>
          <t>Denmark</t>
        </is>
      </c>
    </row>
    <row r="10384">
      <c r="A10384" t="inlineStr">
        <is>
          <t>DEMECO,  VLADIMIRESCU, Romania</t>
        </is>
      </c>
      <c r="B10384" t="inlineStr">
        <is>
          <t>Collecting Point, Processing Unit, Trader</t>
        </is>
      </c>
      <c r="C10384" t="inlineStr">
        <is>
          <t>BM Certification, Riga, LV</t>
        </is>
      </c>
      <c r="D10384" t="inlineStr">
        <is>
          <t>18.12.2026</t>
        </is>
      </c>
      <c r="E10384" t="inlineStr">
        <is>
          <t>Romania</t>
        </is>
      </c>
    </row>
    <row r="10385">
      <c r="A10385" t="inlineStr">
        <is>
          <t>Repsol Butano,  Santurce, Spain</t>
        </is>
      </c>
      <c r="B10385" t="inlineStr">
        <is>
          <t>Trader with Storage</t>
        </is>
      </c>
      <c r="C10385" t="inlineStr">
        <is>
          <t>Control Union Poland Sp. z o.o., Zielona Gora, PL</t>
        </is>
      </c>
      <c r="D10385" t="inlineStr">
        <is>
          <t>18.12.2026</t>
        </is>
      </c>
      <c r="E10385" t="inlineStr">
        <is>
          <t>Spain</t>
        </is>
      </c>
    </row>
    <row r="10386">
      <c r="A10386" t="inlineStr">
        <is>
          <t>EUROTRANS CEREALE,  OVIDIU, Romania</t>
        </is>
      </c>
      <c r="B10386" t="inlineStr">
        <is>
          <t>First Gathering Point</t>
        </is>
      </c>
      <c r="C10386" t="inlineStr">
        <is>
          <t>BM Certification, Riga, LV</t>
        </is>
      </c>
      <c r="D10386" t="inlineStr">
        <is>
          <t>18.12.2026</t>
        </is>
      </c>
      <c r="E10386" t="inlineStr">
        <is>
          <t>Romania</t>
        </is>
      </c>
    </row>
    <row r="10387">
      <c r="A10387" t="inlineStr">
        <is>
          <t>OIL FOOD TECHNOLOGIES,  Dobrich, Bulgaria</t>
        </is>
      </c>
      <c r="B10387" t="inlineStr">
        <is>
          <t>Collecting Point, Trader with Storage</t>
        </is>
      </c>
      <c r="C10387" t="inlineStr">
        <is>
          <t>RINA Services S.p.A., Genova, IT</t>
        </is>
      </c>
      <c r="D10387" t="inlineStr">
        <is>
          <t>18.12.2026</t>
        </is>
      </c>
      <c r="E10387" t="inlineStr">
        <is>
          <t>Bulgaria</t>
        </is>
      </c>
    </row>
    <row r="10388">
      <c r="A10388" t="inlineStr">
        <is>
          <t>Valoléique,  Bouaye, France</t>
        </is>
      </c>
      <c r="B10388" t="inlineStr">
        <is>
          <t>Collecting Point, Trader with Storage</t>
        </is>
      </c>
      <c r="C10388" t="inlineStr">
        <is>
          <t>Control Union Certifications Germany GmbH, Berlin, DE</t>
        </is>
      </c>
      <c r="D10388" t="inlineStr">
        <is>
          <t>18.12.2026</t>
        </is>
      </c>
      <c r="E10388" t="inlineStr">
        <is>
          <t>France</t>
        </is>
      </c>
    </row>
    <row r="10389">
      <c r="A10389" t="inlineStr">
        <is>
          <t>Repsol Butano,  TARRAGONA, Spain</t>
        </is>
      </c>
      <c r="B10389" t="inlineStr">
        <is>
          <t>Trader with Storage</t>
        </is>
      </c>
      <c r="C10389" t="inlineStr">
        <is>
          <t>Control Union Poland Sp. z o.o., Zielona Gora, PL</t>
        </is>
      </c>
      <c r="D10389" t="inlineStr">
        <is>
          <t>18.12.2026</t>
        </is>
      </c>
      <c r="E10389" t="inlineStr">
        <is>
          <t>Spain</t>
        </is>
      </c>
    </row>
    <row r="10390">
      <c r="A10390" t="inlineStr">
        <is>
          <t>Vegoil E.P AB,  Karlshamn, Sweden</t>
        </is>
      </c>
      <c r="B10390" t="inlineStr">
        <is>
          <t>Trader with Storage</t>
        </is>
      </c>
      <c r="C10390" t="inlineStr">
        <is>
          <t>DNV Business Assurance Sweden AB, Solna, SE</t>
        </is>
      </c>
      <c r="D10390" t="inlineStr">
        <is>
          <t>18.12.2026</t>
        </is>
      </c>
      <c r="E10390" t="inlineStr">
        <is>
          <t>Sweden</t>
        </is>
      </c>
    </row>
    <row r="10391">
      <c r="A10391" t="inlineStr">
        <is>
          <t>MILLET TECHNICS,  MEUSSIA, France</t>
        </is>
      </c>
      <c r="B10391" t="inlineStr">
        <is>
          <t>Processing Unit</t>
        </is>
      </c>
      <c r="C10391" t="inlineStr">
        <is>
          <t>Bureau Veritas Polska Sp. z o.o., Warsaw, PL</t>
        </is>
      </c>
      <c r="D10391" t="inlineStr">
        <is>
          <t>18.12.2026</t>
        </is>
      </c>
      <c r="E10391" t="inlineStr">
        <is>
          <t>France</t>
        </is>
      </c>
    </row>
    <row r="10392">
      <c r="A10392" t="inlineStr">
        <is>
          <t>Lübecker Kunststoffwerk GmbH,  Föritztal / OT Rottmar, Germany</t>
        </is>
      </c>
      <c r="B10392" t="inlineStr">
        <is>
          <t>Processing Unit</t>
        </is>
      </c>
      <c r="C10392" t="inlineStr">
        <is>
          <t>Control Union Poland Sp. z o.o., Zielona Gora, PL</t>
        </is>
      </c>
      <c r="D10392" t="inlineStr">
        <is>
          <t>18.12.2026</t>
        </is>
      </c>
      <c r="E10392" t="inlineStr">
        <is>
          <t>Germany</t>
        </is>
      </c>
    </row>
    <row r="10393">
      <c r="A10393" t="inlineStr">
        <is>
          <t>AAK NIGERIA OILS AND FATS LTD,  Ibadan, Nigeria</t>
        </is>
      </c>
      <c r="B10393" t="inlineStr">
        <is>
          <t>First Gathering Point, Warehouse</t>
        </is>
      </c>
      <c r="C10393" t="inlineStr">
        <is>
          <t>SGS Germany GmbH, Emstek, DE</t>
        </is>
      </c>
      <c r="D10393" t="inlineStr">
        <is>
          <t>18.12.2026</t>
        </is>
      </c>
      <c r="E10393" t="inlineStr">
        <is>
          <t>Nigeria</t>
        </is>
      </c>
    </row>
    <row r="10394">
      <c r="A10394" t="inlineStr">
        <is>
          <t>Y2 SOLUTION CO., LTD,  Uiwang-si, South Korea</t>
        </is>
      </c>
      <c r="B10394" t="inlineStr">
        <is>
          <t>Trader with Storage</t>
        </is>
      </c>
      <c r="C10394" t="inlineStr">
        <is>
          <t>Control Union Certifications Germany GmbH, Berlin, DE</t>
        </is>
      </c>
      <c r="D10394" t="inlineStr">
        <is>
          <t>18.12.2026</t>
        </is>
      </c>
      <c r="E10394" t="inlineStr">
        <is>
          <t>South Korea</t>
        </is>
      </c>
    </row>
    <row r="10395">
      <c r="A10395" t="inlineStr">
        <is>
          <t>ZOUILA Central Mutual Company for Agricultural and Industrial Services,  MAHDIA, Tunisia</t>
        </is>
      </c>
      <c r="B10395" t="inlineStr">
        <is>
          <t>Point of Origin</t>
        </is>
      </c>
      <c r="C10395" t="inlineStr">
        <is>
          <t>RINA Services S.p.A., Genova, IT</t>
        </is>
      </c>
      <c r="D10395" t="inlineStr">
        <is>
          <t>18.12.2026</t>
        </is>
      </c>
      <c r="E10395" t="inlineStr">
        <is>
          <t>Tunisia</t>
        </is>
      </c>
    </row>
    <row r="10396">
      <c r="A10396" t="inlineStr">
        <is>
          <t>Repsol Butano,  Montornes del Valles, Spain</t>
        </is>
      </c>
      <c r="B10396" t="inlineStr">
        <is>
          <t>Trader with Storage</t>
        </is>
      </c>
      <c r="C10396" t="inlineStr">
        <is>
          <t>Control Union Poland Sp. z o.o., Zielona Gora, PL</t>
        </is>
      </c>
      <c r="D10396" t="inlineStr">
        <is>
          <t>18.12.2026</t>
        </is>
      </c>
      <c r="E10396" t="inlineStr">
        <is>
          <t>Spain</t>
        </is>
      </c>
    </row>
    <row r="10397">
      <c r="A10397" t="inlineStr">
        <is>
          <t>Wuhan Wanhong Renewable Resources Co., Ltd.,  Wuhan, China</t>
        </is>
      </c>
      <c r="B10397" t="inlineStr">
        <is>
          <t>Collecting Point</t>
        </is>
      </c>
      <c r="C10397" t="inlineStr">
        <is>
          <t>RINA Services S.p.A., Genova, IT</t>
        </is>
      </c>
      <c r="D10397" t="inlineStr">
        <is>
          <t>18.12.2026</t>
        </is>
      </c>
      <c r="E10397" t="inlineStr">
        <is>
          <t>China</t>
        </is>
      </c>
    </row>
    <row r="10398">
      <c r="A10398" t="inlineStr">
        <is>
          <t>Drive Systems,  Brussel, Belgium</t>
        </is>
      </c>
      <c r="B10398" t="inlineStr">
        <is>
          <t>Proof of Compliance Trader, Trader with Storage</t>
        </is>
      </c>
      <c r="C10398" t="inlineStr">
        <is>
          <t>Normec QS BV, Bennekom, NL</t>
        </is>
      </c>
      <c r="D10398" t="inlineStr">
        <is>
          <t>18.12.2026</t>
        </is>
      </c>
      <c r="E10398" t="inlineStr">
        <is>
          <t>Belgium</t>
        </is>
      </c>
    </row>
    <row r="10399">
      <c r="A10399" t="inlineStr">
        <is>
          <t>INVESTCOMPAGNIE,  PARIS, France</t>
        </is>
      </c>
      <c r="B10399" t="inlineStr">
        <is>
          <t>First Gathering Point, Trader</t>
        </is>
      </c>
      <c r="C10399" t="inlineStr">
        <is>
          <t>BM Certification, Riga, LV</t>
        </is>
      </c>
      <c r="D10399" t="inlineStr">
        <is>
          <t>18.12.2026</t>
        </is>
      </c>
      <c r="E10399" t="inlineStr">
        <is>
          <t>France</t>
        </is>
      </c>
    </row>
    <row r="10400">
      <c r="A10400" t="inlineStr">
        <is>
          <t>Nicaragua Sugar Estates Limited,  Chichigalpa, Chinandega, Nicaragua</t>
        </is>
      </c>
      <c r="B10400" t="inlineStr">
        <is>
          <t>First Gathering Point, Processing Unit, Warehouse</t>
        </is>
      </c>
      <c r="C10400" t="inlineStr">
        <is>
          <t>Control Union Poland Sp. z o.o., Zielona Gora, PL</t>
        </is>
      </c>
      <c r="D10400" t="inlineStr">
        <is>
          <t>18.12.2026</t>
        </is>
      </c>
      <c r="E10400" t="inlineStr">
        <is>
          <t>Nicaragua</t>
        </is>
      </c>
    </row>
    <row r="10401">
      <c r="A10401" t="inlineStr">
        <is>
          <t>Biomass Concept,  Barcelona, Spain</t>
        </is>
      </c>
      <c r="B10401" t="inlineStr">
        <is>
          <t>Trader</t>
        </is>
      </c>
      <c r="C10401" t="inlineStr">
        <is>
          <t>Control Union Poland Sp. z o.o., Zielona Gora, PL</t>
        </is>
      </c>
      <c r="D10401" t="inlineStr">
        <is>
          <t>18.12.2026</t>
        </is>
      </c>
      <c r="E10401" t="inlineStr">
        <is>
          <t>Spain</t>
        </is>
      </c>
    </row>
    <row r="10402">
      <c r="A10402" t="inlineStr">
        <is>
          <t>OLFAR S/A ALIMENTO E ENERGIA,  Porto Real / RJ, Brazil</t>
        </is>
      </c>
      <c r="B10402" t="inlineStr">
        <is>
          <t>Collecting Point, Point of Origin, Processing Unit</t>
        </is>
      </c>
      <c r="C10402" t="inlineStr">
        <is>
          <t>QIMA, Centro, Botucatu - SP, CEP, BR</t>
        </is>
      </c>
      <c r="D10402" t="inlineStr">
        <is>
          <t>18.12.2026</t>
        </is>
      </c>
      <c r="E10402" t="inlineStr">
        <is>
          <t>Brazil</t>
        </is>
      </c>
    </row>
    <row r="10403">
      <c r="A10403" t="inlineStr">
        <is>
          <t>PT Sejahtera Tani Damai,  Kab. Tanah Laut, Provinsi Kalimantan Selatan, Indonesia</t>
        </is>
      </c>
      <c r="B10403" t="inlineStr">
        <is>
          <t>Point of Origin</t>
        </is>
      </c>
      <c r="C10403" t="inlineStr">
        <is>
          <t>PT. Qualitas Sertifikasi Indonesia, Jakarta, ID</t>
        </is>
      </c>
      <c r="D10403" t="inlineStr">
        <is>
          <t>18.12.2026</t>
        </is>
      </c>
      <c r="E10403" t="inlineStr">
        <is>
          <t>Indonesia</t>
        </is>
      </c>
    </row>
    <row r="10404">
      <c r="A10404" t="inlineStr">
        <is>
          <t>PALMARY ENERGY SDN.BHD.,  Beijing, China</t>
        </is>
      </c>
      <c r="B10404" t="inlineStr">
        <is>
          <t>Trader</t>
        </is>
      </c>
      <c r="C10404" t="inlineStr">
        <is>
          <t>SCS Global Services, Emeryville, CA, US</t>
        </is>
      </c>
      <c r="D10404" t="inlineStr">
        <is>
          <t>18.12.2026</t>
        </is>
      </c>
      <c r="E10404" t="inlineStr">
        <is>
          <t>China</t>
        </is>
      </c>
    </row>
    <row r="10405">
      <c r="A10405" t="inlineStr">
        <is>
          <t>NINGBO ZHENHAI MAOYE CHEMICALINDUSTRY CO., LTD,  Ningbo City,Zhejiang Province, China</t>
        </is>
      </c>
      <c r="B10405" t="inlineStr">
        <is>
          <t>Trader</t>
        </is>
      </c>
      <c r="C10405" t="inlineStr">
        <is>
          <t>SCS Global Services, Emeryville, CA, US</t>
        </is>
      </c>
      <c r="D10405" t="inlineStr">
        <is>
          <t>18.12.2026</t>
        </is>
      </c>
      <c r="E10405" t="inlineStr">
        <is>
          <t>China</t>
        </is>
      </c>
    </row>
    <row r="10406">
      <c r="A10406" t="inlineStr">
        <is>
          <t>Guangdong Qiuhe Energy Chemical Co., Ltd,  Dongguan City, Guangdong Province, China</t>
        </is>
      </c>
      <c r="B10406" t="inlineStr">
        <is>
          <t>Trader</t>
        </is>
      </c>
      <c r="C10406" t="inlineStr">
        <is>
          <t>SCS Global Services, Emeryville, CA, US</t>
        </is>
      </c>
      <c r="D10406" t="inlineStr">
        <is>
          <t>18.12.2026</t>
        </is>
      </c>
      <c r="E10406" t="inlineStr">
        <is>
          <t>China</t>
        </is>
      </c>
    </row>
    <row r="10407">
      <c r="A10407" t="inlineStr">
        <is>
          <t>Coseco Waste,  Aricestii Rahtivani, Romania</t>
        </is>
      </c>
      <c r="B10407" t="inlineStr">
        <is>
          <t>Collecting Point, Processing Unit</t>
        </is>
      </c>
      <c r="C10407" t="inlineStr">
        <is>
          <t>SRAC Cert SRL, Bucharest, RO</t>
        </is>
      </c>
      <c r="D10407" t="inlineStr">
        <is>
          <t>18.12.2026</t>
        </is>
      </c>
      <c r="E10407" t="inlineStr">
        <is>
          <t>Romania</t>
        </is>
      </c>
    </row>
    <row r="10408">
      <c r="A10408" t="inlineStr">
        <is>
          <t>General Petroleum, LLC,  Grapevine, United States</t>
        </is>
      </c>
      <c r="B10408" t="inlineStr">
        <is>
          <t>Trader with Storage</t>
        </is>
      </c>
      <c r="C10408" t="inlineStr">
        <is>
          <t>SCS Global Services, Emeryville, CA, US</t>
        </is>
      </c>
      <c r="D10408" t="inlineStr">
        <is>
          <t>18.12.2026</t>
        </is>
      </c>
      <c r="E10408" t="inlineStr">
        <is>
          <t>United States</t>
        </is>
      </c>
    </row>
    <row r="10409">
      <c r="A10409" t="inlineStr">
        <is>
          <t>Borouge Pte Ltd,  Singapore, Singapore</t>
        </is>
      </c>
      <c r="B10409" t="inlineStr">
        <is>
          <t>Trader</t>
        </is>
      </c>
      <c r="C10409" t="inlineStr">
        <is>
          <t>SCS Global Services, Emeryville, CA, US</t>
        </is>
      </c>
      <c r="D10409" t="inlineStr">
        <is>
          <t>18.12.2026</t>
        </is>
      </c>
      <c r="E10409" t="inlineStr">
        <is>
          <t>Singapore</t>
        </is>
      </c>
    </row>
    <row r="10410">
      <c r="A10410" t="inlineStr">
        <is>
          <t>Barilla G. e R. F.lli S.p.A.,  Novara, Italy</t>
        </is>
      </c>
      <c r="B10410" t="inlineStr">
        <is>
          <t>Processing Unit</t>
        </is>
      </c>
      <c r="C10410" t="inlineStr">
        <is>
          <t>RINA Services S.p.A., Genova, IT</t>
        </is>
      </c>
      <c r="D10410" t="inlineStr">
        <is>
          <t>17.12.2026</t>
        </is>
      </c>
      <c r="E10410" t="inlineStr">
        <is>
          <t>Italy</t>
        </is>
      </c>
    </row>
    <row r="10411">
      <c r="A10411" t="inlineStr">
        <is>
          <t>Bioetanol Rio Cuarto S.A.,  Rio Cuarto, Argentina</t>
        </is>
      </c>
      <c r="B10411" t="inlineStr">
        <is>
          <t>Point of Origin, Processing Unit, Trader</t>
        </is>
      </c>
      <c r="C10411" t="inlineStr">
        <is>
          <t>Control Union Poland Sp. z o.o., Zielona Gora, PL</t>
        </is>
      </c>
      <c r="D10411" t="inlineStr">
        <is>
          <t>17.12.2026</t>
        </is>
      </c>
      <c r="E10411" t="inlineStr">
        <is>
          <t>Argentina</t>
        </is>
      </c>
    </row>
    <row r="10412">
      <c r="A10412" t="inlineStr">
        <is>
          <t>INEOS Polymers Sarralbe SAS,  Sarralbe, France</t>
        </is>
      </c>
      <c r="B10412" t="inlineStr">
        <is>
          <t>Processing Unit</t>
        </is>
      </c>
      <c r="C10412" t="inlineStr">
        <is>
          <t>SCS Global Services, Emeryville, CA, US</t>
        </is>
      </c>
      <c r="D10412" t="inlineStr">
        <is>
          <t>17.12.2026</t>
        </is>
      </c>
      <c r="E10412" t="inlineStr">
        <is>
          <t>France</t>
        </is>
      </c>
    </row>
    <row r="10413">
      <c r="A10413" t="inlineStr">
        <is>
          <t>Repsol Butano,  MADRID, Spain</t>
        </is>
      </c>
      <c r="B10413" t="inlineStr">
        <is>
          <t>Trader with Storage</t>
        </is>
      </c>
      <c r="C10413" t="inlineStr">
        <is>
          <t>Control Union Poland Sp. z o.o., Zielona Gora, PL</t>
        </is>
      </c>
      <c r="D10413" t="inlineStr">
        <is>
          <t>17.12.2026</t>
        </is>
      </c>
      <c r="E10413" t="inlineStr">
        <is>
          <t>Spain</t>
        </is>
      </c>
    </row>
    <row r="10414">
      <c r="A10414" t="inlineStr">
        <is>
          <t>SURTECO,  Gladbeck, Germany</t>
        </is>
      </c>
      <c r="B10414" t="inlineStr">
        <is>
          <t>Processing Unit</t>
        </is>
      </c>
      <c r="C10414" t="inlineStr">
        <is>
          <t>TÜV NORD CERT GmbH, Essen, DE</t>
        </is>
      </c>
      <c r="D10414" t="inlineStr">
        <is>
          <t>17.12.2026</t>
        </is>
      </c>
      <c r="E10414" t="inlineStr">
        <is>
          <t>Germany</t>
        </is>
      </c>
    </row>
    <row r="10415">
      <c r="A10415" t="inlineStr">
        <is>
          <t>Juyoubao Environment Tech (Jiangsu) Co., LTD,  zhangjiagang, Jiangsu, China</t>
        </is>
      </c>
      <c r="B10415" t="inlineStr">
        <is>
          <t>Collecting Point, Trader with Storage</t>
        </is>
      </c>
      <c r="C10415" t="inlineStr">
        <is>
          <t>SCS Global Services, Emeryville, CA, US</t>
        </is>
      </c>
      <c r="D10415" t="inlineStr">
        <is>
          <t>17.12.2026</t>
        </is>
      </c>
      <c r="E10415" t="inlineStr">
        <is>
          <t>China</t>
        </is>
      </c>
    </row>
    <row r="10416">
      <c r="A10416" t="inlineStr">
        <is>
          <t>ISOFlex Packaging, Vancouver, Washington,  Vancouver, WA, United States</t>
        </is>
      </c>
      <c r="B10416" t="inlineStr">
        <is>
          <t>Processing Unit</t>
        </is>
      </c>
      <c r="C10416" t="inlineStr">
        <is>
          <t>SCS Global Services, Emeryville, CA, US</t>
        </is>
      </c>
      <c r="D10416" t="inlineStr">
        <is>
          <t>17.12.2026</t>
        </is>
      </c>
      <c r="E10416" t="inlineStr">
        <is>
          <t>United States</t>
        </is>
      </c>
    </row>
    <row r="10417">
      <c r="A10417" t="inlineStr">
        <is>
          <t>Binzhou Xinhe Grease Co., Ltd.,  Binzhou City, Shandong Province, China</t>
        </is>
      </c>
      <c r="B10417" t="inlineStr">
        <is>
          <t>Collecting Point, Processing Unit, Trader with Storage</t>
        </is>
      </c>
      <c r="C10417" t="inlineStr">
        <is>
          <t>SCS Global Services, Emeryville, CA, US</t>
        </is>
      </c>
      <c r="D10417" t="inlineStr">
        <is>
          <t>17.12.2026</t>
        </is>
      </c>
      <c r="E10417" t="inlineStr">
        <is>
          <t>China</t>
        </is>
      </c>
    </row>
    <row r="10418">
      <c r="A10418" t="inlineStr">
        <is>
          <t>Zeon corporation,  Tokyo, Japan</t>
        </is>
      </c>
      <c r="B10418" t="inlineStr">
        <is>
          <t>Trader with Storage</t>
        </is>
      </c>
      <c r="C10418" t="inlineStr">
        <is>
          <t>Control Union Certifications Germany GmbH, Berlin, DE</t>
        </is>
      </c>
      <c r="D10418" t="inlineStr">
        <is>
          <t>17.12.2026</t>
        </is>
      </c>
      <c r="E10418" t="inlineStr">
        <is>
          <t>Japan</t>
        </is>
      </c>
    </row>
    <row r="10419">
      <c r="A10419" t="inlineStr">
        <is>
          <t>Carpenter AS,  Åndalsnes, Norway</t>
        </is>
      </c>
      <c r="B10419" t="inlineStr">
        <is>
          <t>Processing Unit</t>
        </is>
      </c>
      <c r="C10419" t="inlineStr">
        <is>
          <t>Baltic Control Certification, Risskov, DK</t>
        </is>
      </c>
      <c r="D10419" t="inlineStr">
        <is>
          <t>17.12.2026</t>
        </is>
      </c>
      <c r="E10419" t="inlineStr">
        <is>
          <t>Norway</t>
        </is>
      </c>
    </row>
    <row r="10420">
      <c r="A10420" t="inlineStr">
        <is>
          <t>Tupack Verpackungen GesmbH,  Wien, Austria</t>
        </is>
      </c>
      <c r="B10420" t="inlineStr">
        <is>
          <t>Processing Unit, Trader with Storage</t>
        </is>
      </c>
      <c r="C10420" t="inlineStr">
        <is>
          <t>agroVet GmbH, Enzersfeld, AT</t>
        </is>
      </c>
      <c r="D10420" t="inlineStr">
        <is>
          <t>17.12.2026</t>
        </is>
      </c>
      <c r="E10420" t="inlineStr">
        <is>
          <t>Austria</t>
        </is>
      </c>
    </row>
    <row r="10421">
      <c r="A10421" t="inlineStr">
        <is>
          <t>Wenzhou Zhantai Glasses CO., LTD.,  Ouhai Industrial Zone,Ouhai ,Wenzhou,Zhejiang, China</t>
        </is>
      </c>
      <c r="B10421" t="inlineStr">
        <is>
          <t>Processing Unit</t>
        </is>
      </c>
      <c r="C10421" t="inlineStr">
        <is>
          <t>PT Intertek Utama Services, Jakarta, ID</t>
        </is>
      </c>
      <c r="D10421" t="inlineStr">
        <is>
          <t>17.12.2026</t>
        </is>
      </c>
      <c r="E10421" t="inlineStr">
        <is>
          <t>China</t>
        </is>
      </c>
    </row>
    <row r="10422">
      <c r="A10422" t="inlineStr">
        <is>
          <t>C.X ENERGY CO., LTD.,  Daliao Dist., Kaohsiung City, Taiwan</t>
        </is>
      </c>
      <c r="B10422" t="inlineStr">
        <is>
          <t>Collecting Point, Trader with Storage</t>
        </is>
      </c>
      <c r="C10422" t="inlineStr">
        <is>
          <t>Bureau Veritas Polska Sp. z o.o., Warsaw, PL</t>
        </is>
      </c>
      <c r="D10422" t="inlineStr">
        <is>
          <t>17.12.2026</t>
        </is>
      </c>
      <c r="E10422" t="inlineStr">
        <is>
          <t>Taiwan</t>
        </is>
      </c>
    </row>
    <row r="10423">
      <c r="A10423" t="inlineStr">
        <is>
          <t>Kuala Lumpur Kepong Berhad - PT Steelindo Wahana Perkasa Refinery,  Provinsi Kepulauan, Bangka Belitung, Indonesia</t>
        </is>
      </c>
      <c r="B10423" t="inlineStr">
        <is>
          <t>Point of Origin, Processing Unit, Warehouse</t>
        </is>
      </c>
      <c r="C10423" t="inlineStr">
        <is>
          <t>Control Union Certifications Germany GmbH, Berlin, DE</t>
        </is>
      </c>
      <c r="D10423" t="inlineStr">
        <is>
          <t>17.12.2026</t>
        </is>
      </c>
      <c r="E10423" t="inlineStr">
        <is>
          <t>Indonesia</t>
        </is>
      </c>
    </row>
    <row r="10424">
      <c r="A10424" t="inlineStr">
        <is>
          <t>aktsiaselts Olerex,  Tartu, Estonia</t>
        </is>
      </c>
      <c r="B10424" t="inlineStr">
        <is>
          <t>Trader with Storage</t>
        </is>
      </c>
      <c r="C10424" t="inlineStr">
        <is>
          <t>NCS Estonia OÜ, Tallinn, EE</t>
        </is>
      </c>
      <c r="D10424" t="inlineStr">
        <is>
          <t>17.12.2026</t>
        </is>
      </c>
      <c r="E10424" t="inlineStr">
        <is>
          <t>Estonia</t>
        </is>
      </c>
    </row>
    <row r="10425">
      <c r="A10425" t="inlineStr">
        <is>
          <t>WAGA ENERGY,  Granges, France</t>
        </is>
      </c>
      <c r="B10425" t="inlineStr">
        <is>
          <t>Collecting Point, Processing Unit</t>
        </is>
      </c>
      <c r="C10425" t="inlineStr">
        <is>
          <t>Certi W Baltic SIA, Riga, LV</t>
        </is>
      </c>
      <c r="D10425" t="inlineStr">
        <is>
          <t>17.12.2026</t>
        </is>
      </c>
      <c r="E10425" t="inlineStr">
        <is>
          <t>France</t>
        </is>
      </c>
    </row>
    <row r="10426">
      <c r="A10426" t="inlineStr">
        <is>
          <t>ZEAS Puclice a.s.,  Holýšov, Czech Republic</t>
        </is>
      </c>
      <c r="B10426" t="inlineStr">
        <is>
          <t>Farm / Plantation, Point of Origin, Processing Unit</t>
        </is>
      </c>
      <c r="C10426" t="inlineStr">
        <is>
          <t>PT Intertek Utama Services, Jakarta, ID</t>
        </is>
      </c>
      <c r="D10426" t="inlineStr">
        <is>
          <t>17.12.2026</t>
        </is>
      </c>
      <c r="E10426" t="inlineStr">
        <is>
          <t>Czech Republic</t>
        </is>
      </c>
    </row>
    <row r="10427">
      <c r="A10427" t="inlineStr">
        <is>
          <t>EPL Limited,  Raigarh, India</t>
        </is>
      </c>
      <c r="B10427" t="inlineStr">
        <is>
          <t>Processing Unit</t>
        </is>
      </c>
      <c r="C10427" t="inlineStr">
        <is>
          <t>Alcumus ISOQAR Ltd, Stretford, Manchester, GB</t>
        </is>
      </c>
      <c r="D10427" t="inlineStr">
        <is>
          <t>17.12.2026</t>
        </is>
      </c>
      <c r="E10427" t="inlineStr">
        <is>
          <t>India</t>
        </is>
      </c>
    </row>
    <row r="10428">
      <c r="A10428" t="inlineStr">
        <is>
          <t>AdNext OÜ,  Tallinn, Peterburi tee, Estonia</t>
        </is>
      </c>
      <c r="B10428" t="inlineStr">
        <is>
          <t>Trader</t>
        </is>
      </c>
      <c r="C10428" t="inlineStr">
        <is>
          <t>BM Certification, Riga, LV</t>
        </is>
      </c>
      <c r="D10428" t="inlineStr">
        <is>
          <t>17.12.2026</t>
        </is>
      </c>
      <c r="E10428" t="inlineStr">
        <is>
          <t>Estonia</t>
        </is>
      </c>
    </row>
    <row r="10429">
      <c r="A10429" t="inlineStr">
        <is>
          <t>Extractora San Sebastiano,  Puerto Gaitán, Colombia</t>
        </is>
      </c>
      <c r="B10429" t="inlineStr">
        <is>
          <t>Point of Origin</t>
        </is>
      </c>
      <c r="C10429" t="inlineStr">
        <is>
          <t>QIMA, Centro, Botucatu - SP, CEP, BR</t>
        </is>
      </c>
      <c r="D10429" t="inlineStr">
        <is>
          <t>17.12.2026</t>
        </is>
      </c>
      <c r="E10429" t="inlineStr">
        <is>
          <t>Colombia</t>
        </is>
      </c>
    </row>
    <row r="10430">
      <c r="A10430" t="inlineStr">
        <is>
          <t>Extractora San Sebastiano,  Puerto Gaitán, Colombia</t>
        </is>
      </c>
      <c r="B10430" t="inlineStr">
        <is>
          <t>Point of Origin</t>
        </is>
      </c>
      <c r="C10430" t="inlineStr">
        <is>
          <t>QIMA, Centro, Botucatu - SP, CEP, BR</t>
        </is>
      </c>
      <c r="D10430" t="inlineStr">
        <is>
          <t>17.12.2026</t>
        </is>
      </c>
      <c r="E10430" t="inlineStr">
        <is>
          <t>Colombia</t>
        </is>
      </c>
    </row>
    <row r="10431">
      <c r="A10431" t="inlineStr">
        <is>
          <t>PT Langkat Makmur Jaya Sawita,  Langkat, Indonesia</t>
        </is>
      </c>
      <c r="B10431" t="inlineStr">
        <is>
          <t>Point of Origin</t>
        </is>
      </c>
      <c r="C10431" t="inlineStr">
        <is>
          <t>BM Certification, Riga, LV</t>
        </is>
      </c>
      <c r="D10431" t="inlineStr">
        <is>
          <t>17.12.2026</t>
        </is>
      </c>
      <c r="E10431" t="inlineStr">
        <is>
          <t>Indonesia</t>
        </is>
      </c>
    </row>
    <row r="10432">
      <c r="A10432" t="inlineStr">
        <is>
          <t>Franz Eigl GmbH,  Zwettl, Austria</t>
        </is>
      </c>
      <c r="B10432" t="inlineStr">
        <is>
          <t>Trader with Storage</t>
        </is>
      </c>
      <c r="C10432" t="inlineStr">
        <is>
          <t>agroVet GmbH, Enzersfeld, AT</t>
        </is>
      </c>
      <c r="D10432" t="inlineStr">
        <is>
          <t>17.12.2026</t>
        </is>
      </c>
      <c r="E10432" t="inlineStr">
        <is>
          <t>Austria</t>
        </is>
      </c>
    </row>
    <row r="10433">
      <c r="A10433" t="inlineStr">
        <is>
          <t>Ticona Polymers,  Grover, NC, United States</t>
        </is>
      </c>
      <c r="B10433" t="inlineStr">
        <is>
          <t>Processing Unit, Trader with Storage</t>
        </is>
      </c>
      <c r="C10433" t="inlineStr">
        <is>
          <t>DIN CERTCO GmbH, Berlin, DE</t>
        </is>
      </c>
      <c r="D10433" t="inlineStr">
        <is>
          <t>17.12.2026</t>
        </is>
      </c>
      <c r="E10433" t="inlineStr">
        <is>
          <t>United States</t>
        </is>
      </c>
    </row>
    <row r="10434">
      <c r="A10434" t="inlineStr">
        <is>
          <t>McNaughts Grain &amp; Fertilizers,  Finley, Australia</t>
        </is>
      </c>
      <c r="B10434" t="inlineStr">
        <is>
          <t>Trader with Storage</t>
        </is>
      </c>
      <c r="C10434" t="inlineStr">
        <is>
          <t>Control Union Certifications Germany GmbH, Berlin, DE</t>
        </is>
      </c>
      <c r="D10434" t="inlineStr">
        <is>
          <t>17.12.2026</t>
        </is>
      </c>
      <c r="E10434" t="inlineStr">
        <is>
          <t>Australia</t>
        </is>
      </c>
    </row>
    <row r="10435">
      <c r="A10435" t="inlineStr">
        <is>
          <t>Komercon,  Breda, Netherlands</t>
        </is>
      </c>
      <c r="B10435" t="inlineStr">
        <is>
          <t>Collecting Point</t>
        </is>
      </c>
      <c r="C10435" t="inlineStr">
        <is>
          <t>SGS Germany GmbH, Emstek, DE</t>
        </is>
      </c>
      <c r="D10435" t="inlineStr">
        <is>
          <t>17.12.2026</t>
        </is>
      </c>
      <c r="E10435" t="inlineStr">
        <is>
          <t>Netherlands</t>
        </is>
      </c>
    </row>
    <row r="10436">
      <c r="A10436" t="inlineStr">
        <is>
          <t>TotalEnergies Raffinage France,  Courbevoie, France</t>
        </is>
      </c>
      <c r="B10436" t="inlineStr">
        <is>
          <t>Trader</t>
        </is>
      </c>
      <c r="C10436" t="inlineStr">
        <is>
          <t>SGS Germany GmbH, Emstek, DE</t>
        </is>
      </c>
      <c r="D10436" t="inlineStr">
        <is>
          <t>17.12.2026</t>
        </is>
      </c>
      <c r="E10436" t="inlineStr">
        <is>
          <t>France</t>
        </is>
      </c>
    </row>
    <row r="10437">
      <c r="A10437" t="inlineStr">
        <is>
          <t>Alex Kunststoffe GmbH,  Postbauer-Heng, Germany</t>
        </is>
      </c>
      <c r="B10437" t="inlineStr">
        <is>
          <t>Processing Unit</t>
        </is>
      </c>
      <c r="C10437" t="inlineStr">
        <is>
          <t>SGS Germany GmbH, Emstek, DE</t>
        </is>
      </c>
      <c r="D10437" t="inlineStr">
        <is>
          <t>17.12.2026</t>
        </is>
      </c>
      <c r="E10437" t="inlineStr">
        <is>
          <t>Germany</t>
        </is>
      </c>
    </row>
    <row r="10438">
      <c r="A10438" t="inlineStr">
        <is>
          <t>SOF Connect AD,  Sofia, Bulgaria</t>
        </is>
      </c>
      <c r="B10438" t="inlineStr">
        <is>
          <t>Trader with Storage, Warehouse</t>
        </is>
      </c>
      <c r="C10438" t="inlineStr">
        <is>
          <t>SGS Germany GmbH, Emstek, DE</t>
        </is>
      </c>
      <c r="D10438" t="inlineStr">
        <is>
          <t>17.12.2026</t>
        </is>
      </c>
      <c r="E10438" t="inlineStr">
        <is>
          <t>Bulgaria</t>
        </is>
      </c>
    </row>
    <row r="10439">
      <c r="A10439" t="inlineStr">
        <is>
          <t>SOF Connect AD,  Sofia, Bulgaria</t>
        </is>
      </c>
      <c r="B10439" t="inlineStr">
        <is>
          <t>Trader with Storage, Warehouse</t>
        </is>
      </c>
      <c r="C10439" t="inlineStr">
        <is>
          <t>SGS Germany GmbH, Emstek, DE</t>
        </is>
      </c>
      <c r="D10439" t="inlineStr">
        <is>
          <t>17.12.2026</t>
        </is>
      </c>
      <c r="E10439" t="inlineStr">
        <is>
          <t>Bulgaria</t>
        </is>
      </c>
    </row>
    <row r="10440">
      <c r="A10440" t="inlineStr">
        <is>
          <t>Denka Singapore Private Limited,  Singapore, Singapore</t>
        </is>
      </c>
      <c r="B10440" t="inlineStr">
        <is>
          <t>Processing Unit</t>
        </is>
      </c>
      <c r="C10440" t="inlineStr">
        <is>
          <t>SGS Germany GmbH, Emstek, DE</t>
        </is>
      </c>
      <c r="D10440" t="inlineStr">
        <is>
          <t>17.12.2026</t>
        </is>
      </c>
      <c r="E10440" t="inlineStr">
        <is>
          <t>Singapore</t>
        </is>
      </c>
    </row>
    <row r="10441">
      <c r="A10441" t="inlineStr">
        <is>
          <t>Delamine BV,  Farmsum, Netherlands</t>
        </is>
      </c>
      <c r="B10441" t="inlineStr">
        <is>
          <t>Processing Unit</t>
        </is>
      </c>
      <c r="C10441" t="inlineStr">
        <is>
          <t>SGS Germany GmbH, Emstek, DE</t>
        </is>
      </c>
      <c r="D10441" t="inlineStr">
        <is>
          <t>17.12.2026</t>
        </is>
      </c>
      <c r="E10441" t="inlineStr">
        <is>
          <t>Netherlands</t>
        </is>
      </c>
    </row>
    <row r="10442">
      <c r="A10442" t="inlineStr">
        <is>
          <t>Fuji Seal Inc. Tsukuba Factory,  Saitama, Japan</t>
        </is>
      </c>
      <c r="B10442" t="inlineStr">
        <is>
          <t>Final Product Refinement</t>
        </is>
      </c>
      <c r="C10442" t="inlineStr">
        <is>
          <t>SGS Germany GmbH, Emstek, DE</t>
        </is>
      </c>
      <c r="D10442" t="inlineStr">
        <is>
          <t>17.12.2026</t>
        </is>
      </c>
      <c r="E10442" t="inlineStr">
        <is>
          <t>Japan</t>
        </is>
      </c>
    </row>
    <row r="10443">
      <c r="A10443" t="inlineStr">
        <is>
          <t>Lock &amp; Lock Vina,  Ba Ria - Vung Tau Province, Vietnam</t>
        </is>
      </c>
      <c r="B10443" t="inlineStr">
        <is>
          <t>Processing Unit, Final Product Refinement</t>
        </is>
      </c>
      <c r="C10443" t="inlineStr">
        <is>
          <t>SGS Germany GmbH, Emstek, DE</t>
        </is>
      </c>
      <c r="D10443" t="inlineStr">
        <is>
          <t>17.12.2026</t>
        </is>
      </c>
      <c r="E10443" t="inlineStr">
        <is>
          <t>Vietnam</t>
        </is>
      </c>
    </row>
    <row r="10444">
      <c r="A10444" t="inlineStr">
        <is>
          <t>Limited Liability Company "Production Processing Plant" REKAST"",  Harkiv, Ukraine</t>
        </is>
      </c>
      <c r="B10444" t="inlineStr">
        <is>
          <t>Collecting Point, Trader, Processing Unit</t>
        </is>
      </c>
      <c r="C10444" t="inlineStr">
        <is>
          <t>Baltic Control Certification, Risskov, DK</t>
        </is>
      </c>
      <c r="D10444" t="inlineStr">
        <is>
          <t>17.12.2026</t>
        </is>
      </c>
      <c r="E10444" t="inlineStr">
        <is>
          <t>Ukraine</t>
        </is>
      </c>
    </row>
    <row r="10445">
      <c r="A10445" t="inlineStr">
        <is>
          <t>Sojitz Pla-Net Corporation,  Chiyoda-ku, Tokyo, Japan</t>
        </is>
      </c>
      <c r="B10445" t="inlineStr">
        <is>
          <t>Trader with Storage, Collecting Point</t>
        </is>
      </c>
      <c r="C10445" t="inlineStr">
        <is>
          <t>SGS Germany GmbH, Emstek, DE</t>
        </is>
      </c>
      <c r="D10445" t="inlineStr">
        <is>
          <t>17.12.2026</t>
        </is>
      </c>
      <c r="E10445" t="inlineStr">
        <is>
          <t>Japan</t>
        </is>
      </c>
    </row>
    <row r="10446">
      <c r="A10446" t="inlineStr">
        <is>
          <t>Lops Asia Pte Ltd,  Singapore, Singapore</t>
        </is>
      </c>
      <c r="B10446" t="inlineStr">
        <is>
          <t>Trader</t>
        </is>
      </c>
      <c r="C10446" t="inlineStr">
        <is>
          <t>Double Helix Tracking Technologies Pte Ltd, Singapore, SG</t>
        </is>
      </c>
      <c r="D10446" t="inlineStr">
        <is>
          <t>17.12.2026</t>
        </is>
      </c>
      <c r="E10446" t="inlineStr">
        <is>
          <t>Singapore</t>
        </is>
      </c>
    </row>
    <row r="10447">
      <c r="A10447" t="inlineStr">
        <is>
          <t>Lops Asia Pte Ltd,  Singapore, Singapore</t>
        </is>
      </c>
      <c r="B10447" t="inlineStr">
        <is>
          <t>Trader</t>
        </is>
      </c>
      <c r="C10447" t="inlineStr">
        <is>
          <t>Double Helix Tracking Technologies Pte Ltd, Singapore, SG</t>
        </is>
      </c>
      <c r="D10447" t="inlineStr">
        <is>
          <t>17.12.2026</t>
        </is>
      </c>
      <c r="E10447" t="inlineStr">
        <is>
          <t>Singapore</t>
        </is>
      </c>
    </row>
    <row r="10448">
      <c r="A10448" t="inlineStr">
        <is>
          <t>GREENAURA ENTERPRISE SDN BHD,  GEORGETOWN, Malaysia</t>
        </is>
      </c>
      <c r="B10448" t="inlineStr">
        <is>
          <t>Trader</t>
        </is>
      </c>
      <c r="C10448" t="inlineStr">
        <is>
          <t>NIOSH Certification Sdn. Bhd., Selangor Darul Ehsan, MY</t>
        </is>
      </c>
      <c r="D10448" t="inlineStr">
        <is>
          <t>17.12.2026</t>
        </is>
      </c>
      <c r="E10448" t="inlineStr">
        <is>
          <t>Malaysia</t>
        </is>
      </c>
    </row>
    <row r="10449">
      <c r="A10449" t="inlineStr">
        <is>
          <t>Shenzhen Grace Eyewear Co., Ltd.,  shenzhen, China</t>
        </is>
      </c>
      <c r="B10449" t="inlineStr">
        <is>
          <t>Processing Unit</t>
        </is>
      </c>
      <c r="C10449" t="inlineStr">
        <is>
          <t>PT Intertek Utama Services, Jakarta, ID</t>
        </is>
      </c>
      <c r="D10449" t="inlineStr">
        <is>
          <t>17.12.2026</t>
        </is>
      </c>
      <c r="E10449" t="inlineStr">
        <is>
          <t>China</t>
        </is>
      </c>
    </row>
    <row r="10450">
      <c r="A10450" t="inlineStr">
        <is>
          <t>Fratelli Cosulich Unipessoal SA,  Funchal - Madeira, Portugal</t>
        </is>
      </c>
      <c r="B10450" t="inlineStr">
        <is>
          <t>Proof of Compliance Trader, Trader</t>
        </is>
      </c>
      <c r="C10450" t="inlineStr">
        <is>
          <t>SGS Germany GmbH, Emstek, DE</t>
        </is>
      </c>
      <c r="D10450" t="inlineStr">
        <is>
          <t>17.12.2026</t>
        </is>
      </c>
      <c r="E10450" t="inlineStr">
        <is>
          <t>Portugal</t>
        </is>
      </c>
    </row>
    <row r="10451">
      <c r="A10451" t="inlineStr">
        <is>
          <t>ST Powder Coatings,  Montecchio Maggiore, Italy</t>
        </is>
      </c>
      <c r="B10451" t="inlineStr">
        <is>
          <t>Processing Unit</t>
        </is>
      </c>
      <c r="C10451" t="inlineStr">
        <is>
          <t>Certiquality srl, Milano, IT</t>
        </is>
      </c>
      <c r="D10451" t="inlineStr">
        <is>
          <t>17.12.2026</t>
        </is>
      </c>
      <c r="E10451" t="inlineStr">
        <is>
          <t>Italy</t>
        </is>
      </c>
    </row>
    <row r="10452">
      <c r="A10452" t="inlineStr">
        <is>
          <t>Covestro Eternal Resins (Far East) Ltd.,  PINGTUNG, Taiwan, Province of China</t>
        </is>
      </c>
      <c r="B10452" t="inlineStr">
        <is>
          <t>Processing Unit</t>
        </is>
      </c>
      <c r="C10452" t="inlineStr">
        <is>
          <t>DIN CERTCO GmbH, Berlin, DE</t>
        </is>
      </c>
      <c r="D10452" t="inlineStr">
        <is>
          <t>17.12.2026</t>
        </is>
      </c>
      <c r="E10452" t="inlineStr">
        <is>
          <t>Province of China</t>
        </is>
      </c>
    </row>
    <row r="10453">
      <c r="A10453" t="inlineStr">
        <is>
          <t>VALENCIANA D' ENERGÍA I SOSTENIBILITAT,  ALICANTE, Spain</t>
        </is>
      </c>
      <c r="B10453" t="inlineStr">
        <is>
          <t>Trader</t>
        </is>
      </c>
      <c r="C10453" t="inlineStr">
        <is>
          <t>RINA Services S.p.A., Genova, IT</t>
        </is>
      </c>
      <c r="D10453" t="inlineStr">
        <is>
          <t>17.12.2026</t>
        </is>
      </c>
      <c r="E10453" t="inlineStr">
        <is>
          <t>Spain</t>
        </is>
      </c>
    </row>
    <row r="10454">
      <c r="A10454" t="inlineStr">
        <is>
          <t>EVERWELLE UKRAINE LLC,  Dubno, Ukraine</t>
        </is>
      </c>
      <c r="B10454" t="inlineStr">
        <is>
          <t>First Gathering Point, Trader</t>
        </is>
      </c>
      <c r="C10454" t="inlineStr">
        <is>
          <t>BM Certification, Riga, LV</t>
        </is>
      </c>
      <c r="D10454" t="inlineStr">
        <is>
          <t>17.12.2026</t>
        </is>
      </c>
      <c r="E10454" t="inlineStr">
        <is>
          <t>Ukraine</t>
        </is>
      </c>
    </row>
    <row r="10455">
      <c r="A10455" t="inlineStr">
        <is>
          <t>Venanzieffe,  Parabiago, Italy</t>
        </is>
      </c>
      <c r="B10455" t="inlineStr">
        <is>
          <t>Collecting Point</t>
        </is>
      </c>
      <c r="C10455" t="inlineStr">
        <is>
          <t>SGS Germany GmbH, Emstek, DE</t>
        </is>
      </c>
      <c r="D10455" t="inlineStr">
        <is>
          <t>17.12.2026</t>
        </is>
      </c>
      <c r="E10455" t="inlineStr">
        <is>
          <t>Italy</t>
        </is>
      </c>
    </row>
    <row r="10456">
      <c r="A10456" t="inlineStr">
        <is>
          <t>Sistema Plastics Limited,  Mangere, Auckland City, New Zealand</t>
        </is>
      </c>
      <c r="B10456" t="inlineStr">
        <is>
          <t>Processing Unit</t>
        </is>
      </c>
      <c r="C10456" t="inlineStr">
        <is>
          <t>SGS Germany GmbH, Emstek, DE</t>
        </is>
      </c>
      <c r="D10456" t="inlineStr">
        <is>
          <t>17.12.2026</t>
        </is>
      </c>
      <c r="E10456" t="inlineStr">
        <is>
          <t>New Zealand</t>
        </is>
      </c>
    </row>
    <row r="10457">
      <c r="A10457" t="inlineStr">
        <is>
          <t>SAUDARA SAWIT TRADING,  Johor - West Malaysia, Malaysia</t>
        </is>
      </c>
      <c r="B10457" t="inlineStr">
        <is>
          <t>Trader</t>
        </is>
      </c>
      <c r="C10457" t="inlineStr">
        <is>
          <t>PT TSI Sertifikasi Internasional, Jakarta Selatang, ID</t>
        </is>
      </c>
      <c r="D10457" t="inlineStr">
        <is>
          <t>17.12.2026</t>
        </is>
      </c>
      <c r="E10457" t="inlineStr">
        <is>
          <t>Malaysia</t>
        </is>
      </c>
    </row>
    <row r="10458">
      <c r="A10458" t="inlineStr">
        <is>
          <t>INV Nylon Chemicals Netherlands B.V.,  Botlek, Rotterdam, Netherlands</t>
        </is>
      </c>
      <c r="B10458" t="inlineStr">
        <is>
          <t>Processing Unit</t>
        </is>
      </c>
      <c r="C10458" t="inlineStr">
        <is>
          <t>SCS Global Services, Emeryville, CA, US</t>
        </is>
      </c>
      <c r="D10458" t="inlineStr">
        <is>
          <t>17.12.2026</t>
        </is>
      </c>
      <c r="E10458" t="inlineStr">
        <is>
          <t>Netherlands</t>
        </is>
      </c>
    </row>
    <row r="10459">
      <c r="A10459" t="inlineStr">
        <is>
          <t>Valorem Petrochemicals Trading L.L.C,  Singapore, Singapore</t>
        </is>
      </c>
      <c r="B10459" t="inlineStr">
        <is>
          <t>Trader</t>
        </is>
      </c>
      <c r="C10459" t="inlineStr">
        <is>
          <t>Control Union Certifications Germany GmbH, Berlin, DE</t>
        </is>
      </c>
      <c r="D10459" t="inlineStr">
        <is>
          <t>17.12.2026</t>
        </is>
      </c>
      <c r="E10459" t="inlineStr">
        <is>
          <t>Singapore</t>
        </is>
      </c>
    </row>
    <row r="10460">
      <c r="A10460" t="inlineStr">
        <is>
          <t>INVISTA TEXTILES (U.K.) LIMITED,  Botlek, Rotterdam, Netherlands</t>
        </is>
      </c>
      <c r="B10460" t="inlineStr">
        <is>
          <t>Trader with Storage</t>
        </is>
      </c>
      <c r="C10460" t="inlineStr">
        <is>
          <t>SCS Global Services, Emeryville, CA, US</t>
        </is>
      </c>
      <c r="D10460" t="inlineStr">
        <is>
          <t>17.12.2026</t>
        </is>
      </c>
      <c r="E10460" t="inlineStr">
        <is>
          <t>Netherlands</t>
        </is>
      </c>
    </row>
    <row r="10461">
      <c r="A10461" t="inlineStr">
        <is>
          <t>BERTI GROUP,  PRESSANA, Italy</t>
        </is>
      </c>
      <c r="B10461" t="inlineStr">
        <is>
          <t>First Gathering Point, Trader with Storage</t>
        </is>
      </c>
      <c r="C10461" t="inlineStr">
        <is>
          <t>SGS Germany GmbH, Emstek, DE</t>
        </is>
      </c>
      <c r="D10461" t="inlineStr">
        <is>
          <t>17.12.2026</t>
        </is>
      </c>
      <c r="E10461" t="inlineStr">
        <is>
          <t>Italy</t>
        </is>
      </c>
    </row>
    <row r="10462">
      <c r="A10462" t="inlineStr">
        <is>
          <t>London Cooking Oils Ltd,  Uxbridge, United Kingdom</t>
        </is>
      </c>
      <c r="B10462" t="inlineStr">
        <is>
          <t>Collecting Point, Trader with Storage</t>
        </is>
      </c>
      <c r="C10462" t="inlineStr">
        <is>
          <t>Control Union Certifications Germany GmbH, Berlin, DE</t>
        </is>
      </c>
      <c r="D10462" t="inlineStr">
        <is>
          <t>17.12.2026</t>
        </is>
      </c>
      <c r="E10462" t="inlineStr">
        <is>
          <t>United Kingdom</t>
        </is>
      </c>
    </row>
    <row r="10463">
      <c r="A10463" t="inlineStr">
        <is>
          <t>BERTI GROUP,  PRESSANA, Italy</t>
        </is>
      </c>
      <c r="B10463" t="inlineStr">
        <is>
          <t>First Gathering Point, Trader with Storage</t>
        </is>
      </c>
      <c r="C10463" t="inlineStr">
        <is>
          <t>SGS Germany GmbH, Emstek, DE</t>
        </is>
      </c>
      <c r="D10463" t="inlineStr">
        <is>
          <t>17.12.2026</t>
        </is>
      </c>
      <c r="E10463" t="inlineStr">
        <is>
          <t>Italy</t>
        </is>
      </c>
    </row>
    <row r="10464">
      <c r="A10464" t="inlineStr">
        <is>
          <t>BroadGrain Commodities Inc.,  STRATFORD, Canada</t>
        </is>
      </c>
      <c r="B10464" t="inlineStr">
        <is>
          <t>First Gathering Point</t>
        </is>
      </c>
      <c r="C10464" t="inlineStr">
        <is>
          <t>SGS Germany GmbH, Emstek, DE</t>
        </is>
      </c>
      <c r="D10464" t="inlineStr">
        <is>
          <t>17.12.2026</t>
        </is>
      </c>
      <c r="E10464" t="inlineStr">
        <is>
          <t>Canada</t>
        </is>
      </c>
    </row>
    <row r="10465">
      <c r="A10465" t="inlineStr">
        <is>
          <t>Integr8 Fuels,  #20-04 UIC Building, Singapore</t>
        </is>
      </c>
      <c r="B10465" t="inlineStr">
        <is>
          <t>Trader, Proof of Compliance Trader</t>
        </is>
      </c>
      <c r="C10465" t="inlineStr">
        <is>
          <t>Double Helix Tracking Technologies Pte Ltd, Singapore, SG</t>
        </is>
      </c>
      <c r="D10465" t="inlineStr">
        <is>
          <t>17.12.2026</t>
        </is>
      </c>
      <c r="E10465" t="inlineStr">
        <is>
          <t>Singapore</t>
        </is>
      </c>
    </row>
    <row r="10466">
      <c r="A10466" t="inlineStr">
        <is>
          <t>Integrate Fuels,  Dubai, United Arab Emirates</t>
        </is>
      </c>
      <c r="B10466" t="inlineStr">
        <is>
          <t>Trader, Proof of Compliance Trader</t>
        </is>
      </c>
      <c r="C10466" t="inlineStr">
        <is>
          <t>Double Helix Tracking Technologies Pte Ltd, Singapore, SG</t>
        </is>
      </c>
      <c r="D10466" t="inlineStr">
        <is>
          <t>17.12.2026</t>
        </is>
      </c>
      <c r="E10466" t="inlineStr">
        <is>
          <t>United Arab Emirates</t>
        </is>
      </c>
    </row>
    <row r="10467">
      <c r="A10467" t="inlineStr">
        <is>
          <t>Nobian,  Bitterfeld-Wolfen, Germany</t>
        </is>
      </c>
      <c r="B10467" t="inlineStr">
        <is>
          <t>Processing Unit</t>
        </is>
      </c>
      <c r="C10467" t="inlineStr">
        <is>
          <t>SGS Germany GmbH, Emstek, DE</t>
        </is>
      </c>
      <c r="D10467" t="inlineStr">
        <is>
          <t>17.12.2026</t>
        </is>
      </c>
      <c r="E10467" t="inlineStr">
        <is>
          <t>Germany</t>
        </is>
      </c>
    </row>
    <row r="10468">
      <c r="A10468" t="inlineStr">
        <is>
          <t>SELU s.r.o.,  Želovce, Slovakia</t>
        </is>
      </c>
      <c r="B10468" t="inlineStr">
        <is>
          <t>Collecting Point, First Gathering Point, Processing Unit, Trader with Storage</t>
        </is>
      </c>
      <c r="C10468" t="inlineStr">
        <is>
          <t>United Registrar of Systems Polska Sp. z o.o., Wrocław, PL</t>
        </is>
      </c>
      <c r="D10468" t="inlineStr">
        <is>
          <t>17.12.2026</t>
        </is>
      </c>
      <c r="E10468" t="inlineStr">
        <is>
          <t>Slovakia</t>
        </is>
      </c>
    </row>
    <row r="10469">
      <c r="A10469" t="inlineStr">
        <is>
          <t>EnergoTerra, s.r.o.,  Poprad-Matejovce, Slovakia</t>
        </is>
      </c>
      <c r="B10469" t="inlineStr">
        <is>
          <t>Collecting Point, First Gathering Point, Processing Unit</t>
        </is>
      </c>
      <c r="C10469" t="inlineStr">
        <is>
          <t>United Registrar of Systems Polska Sp. z o.o., Wrocław, PL</t>
        </is>
      </c>
      <c r="D10469" t="inlineStr">
        <is>
          <t>17.12.2026</t>
        </is>
      </c>
      <c r="E10469" t="inlineStr">
        <is>
          <t>Slovakia</t>
        </is>
      </c>
    </row>
    <row r="10470">
      <c r="A10470" t="inlineStr">
        <is>
          <t>Biolik s.r.o.,  Trakovice 1, Slovakia</t>
        </is>
      </c>
      <c r="B10470" t="inlineStr">
        <is>
          <t>Collecting Point, Trader with Storage</t>
        </is>
      </c>
      <c r="C10470" t="inlineStr">
        <is>
          <t>United Registrar of Systems Polska Sp. z o.o., Wrocław, PL</t>
        </is>
      </c>
      <c r="D10470" t="inlineStr">
        <is>
          <t>17.12.2026</t>
        </is>
      </c>
      <c r="E10470" t="inlineStr">
        <is>
          <t>Slovakia</t>
        </is>
      </c>
    </row>
    <row r="10471">
      <c r="A10471" t="inlineStr">
        <is>
          <t>Longyan Zhuoyue New Energy Co.,Ltd,Kailang Waste Materials Recycling Branch,  Longyan,Fujian, China</t>
        </is>
      </c>
      <c r="B10471" t="inlineStr">
        <is>
          <t>Collecting Point, Trader with Storage</t>
        </is>
      </c>
      <c r="C10471" t="inlineStr">
        <is>
          <t>TÜV NORD CERT GmbH, Essen, DE</t>
        </is>
      </c>
      <c r="D10471" t="inlineStr">
        <is>
          <t>17.12.2026</t>
        </is>
      </c>
      <c r="E10471" t="inlineStr">
        <is>
          <t>China</t>
        </is>
      </c>
    </row>
    <row r="10472">
      <c r="A10472" t="inlineStr">
        <is>
          <t>Right Source Manufacturing Limited,  Hong Kong, Hong Kong, SAR, China</t>
        </is>
      </c>
      <c r="B10472" t="inlineStr">
        <is>
          <t>Trader</t>
        </is>
      </c>
      <c r="C10472" t="inlineStr">
        <is>
          <t>SCS Global Services, Emeryville, CA, US</t>
        </is>
      </c>
      <c r="D10472" t="inlineStr">
        <is>
          <t>17.12.2026</t>
        </is>
      </c>
      <c r="E10472" t="inlineStr">
        <is>
          <t>China</t>
        </is>
      </c>
    </row>
    <row r="10473">
      <c r="A10473" t="inlineStr">
        <is>
          <t>Air BP Italia,  Roma, Italy</t>
        </is>
      </c>
      <c r="B10473" t="inlineStr">
        <is>
          <t>Trader with Storage, Proof of Compliance Trader</t>
        </is>
      </c>
      <c r="C10473" t="inlineStr">
        <is>
          <t>RINA Services S.p.A., Genova, IT</t>
        </is>
      </c>
      <c r="D10473" t="inlineStr">
        <is>
          <t>17.12.2026</t>
        </is>
      </c>
      <c r="E10473" t="inlineStr">
        <is>
          <t>Italy</t>
        </is>
      </c>
    </row>
    <row r="10474">
      <c r="A10474" t="inlineStr">
        <is>
          <t>Xiamen Zhuoyue Biomass Energy Co.,Ltd., Xianghe Branch,  Tong'an District, Xiamen, Fujian Province, China</t>
        </is>
      </c>
      <c r="B10474" t="inlineStr">
        <is>
          <t>Collecting Point, Trader with Storage</t>
        </is>
      </c>
      <c r="C10474" t="inlineStr">
        <is>
          <t>TÜV NORD CERT GmbH, Essen, DE</t>
        </is>
      </c>
      <c r="D10474" t="inlineStr">
        <is>
          <t>17.12.2026</t>
        </is>
      </c>
      <c r="E10474" t="inlineStr">
        <is>
          <t>China</t>
        </is>
      </c>
    </row>
    <row r="10475">
      <c r="A10475" t="inlineStr">
        <is>
          <t>Vodní sklo, a.s.,  Ústí nad Labem, Czech Republic</t>
        </is>
      </c>
      <c r="B10475" t="inlineStr">
        <is>
          <t>Collecting Point, Processing Unit</t>
        </is>
      </c>
      <c r="C10475" t="inlineStr">
        <is>
          <t>TÜV SÜD Czech s.r.o., Praha 4, CZ</t>
        </is>
      </c>
      <c r="D10475" t="inlineStr">
        <is>
          <t>17.12.2026</t>
        </is>
      </c>
      <c r="E10475" t="inlineStr">
        <is>
          <t>Czech Republic</t>
        </is>
      </c>
    </row>
    <row r="10476">
      <c r="A10476" t="inlineStr">
        <is>
          <t>Wenzhou Dongtian Glasses Manufacture Co., Ltd,  Wenzhou City, Zhejiang Province, China</t>
        </is>
      </c>
      <c r="B10476" t="inlineStr">
        <is>
          <t>Processing Unit</t>
        </is>
      </c>
      <c r="C10476" t="inlineStr">
        <is>
          <t>SCS Global Services, Emeryville, CA, US</t>
        </is>
      </c>
      <c r="D10476" t="inlineStr">
        <is>
          <t>17.12.2026</t>
        </is>
      </c>
      <c r="E10476" t="inlineStr">
        <is>
          <t>China</t>
        </is>
      </c>
    </row>
    <row r="10477">
      <c r="A10477" t="inlineStr">
        <is>
          <t>PT. Sabang Sawit Nusantara,  Kecamatan Bathin VIII, Kabupeten Sarolangun, Indonesia</t>
        </is>
      </c>
      <c r="B10477" t="inlineStr">
        <is>
          <t>Point of Origin</t>
        </is>
      </c>
      <c r="C10477" t="inlineStr">
        <is>
          <t>PT. Qualitas Sertifikasi Indonesia, Jakarta, ID</t>
        </is>
      </c>
      <c r="D10477" t="inlineStr">
        <is>
          <t>17.12.2026</t>
        </is>
      </c>
      <c r="E10477" t="inlineStr">
        <is>
          <t>Indonesia</t>
        </is>
      </c>
    </row>
    <row r="10478">
      <c r="A10478" t="inlineStr">
        <is>
          <t>Sobanscy Energy Sp. z o.o.,  Główczyce, Poland</t>
        </is>
      </c>
      <c r="B10478" t="inlineStr">
        <is>
          <t>Trader</t>
        </is>
      </c>
      <c r="C10478" t="inlineStr">
        <is>
          <t>Bureau Veritas Polska Sp. z o.o., Warsaw, PL</t>
        </is>
      </c>
      <c r="D10478" t="inlineStr">
        <is>
          <t>17.12.2026</t>
        </is>
      </c>
      <c r="E10478" t="inlineStr">
        <is>
          <t>Poland</t>
        </is>
      </c>
    </row>
    <row r="10479">
      <c r="A10479" t="inlineStr">
        <is>
          <t>Ants Energy Service Co,. Ltd,  Dalian City, Zhongshan District, China</t>
        </is>
      </c>
      <c r="B10479" t="inlineStr">
        <is>
          <t>Trader</t>
        </is>
      </c>
      <c r="C10479" t="inlineStr">
        <is>
          <t>China Classification Society Certification Co., Ltd, Dong Cheng District, Beijing, CN</t>
        </is>
      </c>
      <c r="D10479" t="inlineStr">
        <is>
          <t>17.12.2026</t>
        </is>
      </c>
      <c r="E10479" t="inlineStr">
        <is>
          <t>China</t>
        </is>
      </c>
    </row>
    <row r="10480">
      <c r="A10480" t="inlineStr">
        <is>
          <t>CFP Commodities Ltd,  Dublin, Ireland</t>
        </is>
      </c>
      <c r="B10480" t="inlineStr">
        <is>
          <t>Trader</t>
        </is>
      </c>
      <c r="C10480" t="inlineStr">
        <is>
          <t>SGS Germany GmbH, Emstek, DE</t>
        </is>
      </c>
      <c r="D10480" t="inlineStr">
        <is>
          <t>17.12.2026</t>
        </is>
      </c>
      <c r="E10480" t="inlineStr">
        <is>
          <t>Ireland</t>
        </is>
      </c>
    </row>
    <row r="10481">
      <c r="A10481" t="inlineStr">
        <is>
          <t>Syarikat Peladang &amp; Perusahaan Minyak,  Teluk Intan, Perak, Malaysia</t>
        </is>
      </c>
      <c r="B10481" t="inlineStr">
        <is>
          <t>Point of Origin</t>
        </is>
      </c>
      <c r="C10481" t="inlineStr">
        <is>
          <t>PT. CBQA GLOBAL INDONESIA, JAKARTA SELATAN, ID</t>
        </is>
      </c>
      <c r="D10481" t="inlineStr">
        <is>
          <t>17.12.2026</t>
        </is>
      </c>
      <c r="E10481" t="inlineStr">
        <is>
          <t>Malaysia</t>
        </is>
      </c>
    </row>
    <row r="10482">
      <c r="A10482" t="inlineStr">
        <is>
          <t>FELCRA PROCESSING &amp; ENGINEERING,  TELUK INTAN, PERAK, Malaysia</t>
        </is>
      </c>
      <c r="B10482" t="inlineStr">
        <is>
          <t>Point of Origin</t>
        </is>
      </c>
      <c r="C10482" t="inlineStr">
        <is>
          <t>PT. CBQA GLOBAL INDONESIA, JAKARTA SELATAN, ID</t>
        </is>
      </c>
      <c r="D10482" t="inlineStr">
        <is>
          <t>17.12.2026</t>
        </is>
      </c>
      <c r="E10482" t="inlineStr">
        <is>
          <t>Malaysia</t>
        </is>
      </c>
    </row>
    <row r="10483">
      <c r="A10483" t="inlineStr">
        <is>
          <t>United Oil Palm Industries,  SEBERANG PERAI SELATAN, PULAU PINANG, Malaysia</t>
        </is>
      </c>
      <c r="B10483" t="inlineStr">
        <is>
          <t>Point of Origin</t>
        </is>
      </c>
      <c r="C10483" t="inlineStr">
        <is>
          <t>PT. CBQA GLOBAL INDONESIA, JAKARTA SELATAN, ID</t>
        </is>
      </c>
      <c r="D10483" t="inlineStr">
        <is>
          <t>17.12.2026</t>
        </is>
      </c>
      <c r="E10483" t="inlineStr">
        <is>
          <t>Malaysia</t>
        </is>
      </c>
    </row>
    <row r="10484">
      <c r="A10484" t="inlineStr">
        <is>
          <t>San Ying Packaging (JiangSu) CO., LTD.,  Taicang City, Jiangsu Province, China</t>
        </is>
      </c>
      <c r="B10484" t="inlineStr">
        <is>
          <t>Final Product Refinement, Trader with Storage</t>
        </is>
      </c>
      <c r="C10484" t="inlineStr">
        <is>
          <t>SGS Germany GmbH, Emstek, DE</t>
        </is>
      </c>
      <c r="D10484" t="inlineStr">
        <is>
          <t>17.12.2026</t>
        </is>
      </c>
      <c r="E10484" t="inlineStr">
        <is>
          <t>China</t>
        </is>
      </c>
    </row>
    <row r="10485">
      <c r="A10485" t="inlineStr">
        <is>
          <t>HEXPOL TPE Ltd,  Manchester, Middleton, United Kingdom</t>
        </is>
      </c>
      <c r="B10485" t="inlineStr">
        <is>
          <t>Processing Unit</t>
        </is>
      </c>
      <c r="C10485" t="inlineStr">
        <is>
          <t>DQS CFS GmbH - Deutsche Gesellschaft für Nachhaltigkeit, Frankfurt am Main, DE</t>
        </is>
      </c>
      <c r="D10485" t="inlineStr">
        <is>
          <t>17.12.2026</t>
        </is>
      </c>
      <c r="E10485" t="inlineStr">
        <is>
          <t>United Kingdom</t>
        </is>
      </c>
    </row>
    <row r="10486">
      <c r="A10486" t="inlineStr">
        <is>
          <t>Fuji Oil Europe,  Gent, Belgium</t>
        </is>
      </c>
      <c r="B10486" t="inlineStr">
        <is>
          <t>Point of Origin</t>
        </is>
      </c>
      <c r="C10486" t="inlineStr">
        <is>
          <t>Control Union Certifications Germany GmbH, Berlin, DE</t>
        </is>
      </c>
      <c r="D10486" t="inlineStr">
        <is>
          <t>17.12.2026</t>
        </is>
      </c>
      <c r="E10486" t="inlineStr">
        <is>
          <t>Belgium</t>
        </is>
      </c>
    </row>
    <row r="10487">
      <c r="A10487" t="inlineStr">
        <is>
          <t>Green Gas Corp. s.r.o.,  Horovce, Slovakia</t>
        </is>
      </c>
      <c r="B10487" t="inlineStr">
        <is>
          <t>Collecting Point, First Gathering Point, Processing Unit</t>
        </is>
      </c>
      <c r="C10487" t="inlineStr">
        <is>
          <t>United Registrar of Systems Polska Sp. z o.o., Wrocław, PL</t>
        </is>
      </c>
      <c r="D10487" t="inlineStr">
        <is>
          <t>17.12.2026</t>
        </is>
      </c>
      <c r="E10487" t="inlineStr">
        <is>
          <t>Slovakia</t>
        </is>
      </c>
    </row>
    <row r="10488">
      <c r="A10488" t="inlineStr">
        <is>
          <t>BPS Servisná, s. r. o.,  Horovce, Slovakia</t>
        </is>
      </c>
      <c r="B10488" t="inlineStr">
        <is>
          <t>Collecting Point, First Gathering Point, Trader with Storage</t>
        </is>
      </c>
      <c r="C10488" t="inlineStr">
        <is>
          <t>United Registrar of Systems Polska Sp. z o.o., Wrocław, PL</t>
        </is>
      </c>
      <c r="D10488" t="inlineStr">
        <is>
          <t>17.12.2026</t>
        </is>
      </c>
      <c r="E10488" t="inlineStr">
        <is>
          <t>Slovakia</t>
        </is>
      </c>
    </row>
    <row r="10489">
      <c r="A10489" t="inlineStr">
        <is>
          <t>Taixing Jinhe Grease Co.,Ltd.,  Taixing, China</t>
        </is>
      </c>
      <c r="B10489" t="inlineStr">
        <is>
          <t>Collecting Point, Trader with Storage</t>
        </is>
      </c>
      <c r="C10489" t="inlineStr">
        <is>
          <t>RINA Services S.p.A., Genova, IT</t>
        </is>
      </c>
      <c r="D10489" t="inlineStr">
        <is>
          <t>17.12.2026</t>
        </is>
      </c>
      <c r="E10489" t="inlineStr">
        <is>
          <t>China</t>
        </is>
      </c>
    </row>
    <row r="10490">
      <c r="A10490" t="inlineStr">
        <is>
          <t>LEVACO Chemicals,  Leverkusen, Germany</t>
        </is>
      </c>
      <c r="B10490" t="inlineStr">
        <is>
          <t>Processing Unit, Trader with Storage</t>
        </is>
      </c>
      <c r="C10490" t="inlineStr">
        <is>
          <t>Control Union Certifications Germany GmbH, Berlin, DE</t>
        </is>
      </c>
      <c r="D10490" t="inlineStr">
        <is>
          <t>17.12.2026</t>
        </is>
      </c>
      <c r="E10490" t="inlineStr">
        <is>
          <t>Germany</t>
        </is>
      </c>
    </row>
    <row r="10491">
      <c r="A10491" t="inlineStr">
        <is>
          <t>Kansai Altan Boya San. ve Tic. A.Ş.,  Kemalpaşa - İzmir, Turkey</t>
        </is>
      </c>
      <c r="B10491" t="inlineStr">
        <is>
          <t>Processing Unit</t>
        </is>
      </c>
      <c r="C10491" t="inlineStr">
        <is>
          <t>Bureau Veritas Polska Sp. z o.o., Warsaw, PL</t>
        </is>
      </c>
      <c r="D10491" t="inlineStr">
        <is>
          <t>17.12.2026</t>
        </is>
      </c>
      <c r="E10491" t="inlineStr">
        <is>
          <t>Turkey</t>
        </is>
      </c>
    </row>
    <row r="10492">
      <c r="A10492" t="inlineStr">
        <is>
          <t>Copobras S/A Indústria e Comércio de Embalagens,  São Ludgero, Brazil</t>
        </is>
      </c>
      <c r="B10492" t="inlineStr">
        <is>
          <t>Processing Unit</t>
        </is>
      </c>
      <c r="C10492" t="inlineStr">
        <is>
          <t>QIMA, Centro, Botucatu - SP, CEP, BR</t>
        </is>
      </c>
      <c r="D10492" t="inlineStr">
        <is>
          <t>17.12.2026</t>
        </is>
      </c>
      <c r="E10492" t="inlineStr">
        <is>
          <t>Brazil</t>
        </is>
      </c>
    </row>
    <row r="10493">
      <c r="A10493" t="inlineStr">
        <is>
          <t>MINERVA BUNKERING PTE LTD,  SINGAPORE, Singapore</t>
        </is>
      </c>
      <c r="B10493" t="inlineStr">
        <is>
          <t>Trader with Storage</t>
        </is>
      </c>
      <c r="C10493" t="inlineStr">
        <is>
          <t>SGS Germany GmbH, Emstek, DE</t>
        </is>
      </c>
      <c r="D10493" t="inlineStr">
        <is>
          <t>17.12.2026</t>
        </is>
      </c>
      <c r="E10493" t="inlineStr">
        <is>
          <t>Singapore</t>
        </is>
      </c>
    </row>
    <row r="10494">
      <c r="A10494" t="inlineStr">
        <is>
          <t>Minsawi Palm Oil Mill,  Kuala Kangsar, Perak, Malaysia</t>
        </is>
      </c>
      <c r="B10494" t="inlineStr">
        <is>
          <t>Point of Origin</t>
        </is>
      </c>
      <c r="C10494" t="inlineStr">
        <is>
          <t>PT. CBQA GLOBAL INDONESIA, JAKARTA SELATAN, ID</t>
        </is>
      </c>
      <c r="D10494" t="inlineStr">
        <is>
          <t>17.12.2026</t>
        </is>
      </c>
      <c r="E10494" t="inlineStr">
        <is>
          <t>Malaysia</t>
        </is>
      </c>
    </row>
    <row r="10495">
      <c r="A10495" t="inlineStr">
        <is>
          <t>Westlake Compounds France,  REIMS, France</t>
        </is>
      </c>
      <c r="B10495" t="inlineStr">
        <is>
          <t>Processing Unit</t>
        </is>
      </c>
      <c r="C10495" t="inlineStr">
        <is>
          <t>Aardvark Certification Ltd, Wiveliscombe, Somerset, GB</t>
        </is>
      </c>
      <c r="D10495" t="inlineStr">
        <is>
          <t>17.12.2026</t>
        </is>
      </c>
      <c r="E10495" t="inlineStr">
        <is>
          <t>France</t>
        </is>
      </c>
    </row>
    <row r="10496">
      <c r="A10496" t="inlineStr">
        <is>
          <t>ALIANZA CONTAMINACIÓN CERO,  Corregimiento Playa Leona, Panama</t>
        </is>
      </c>
      <c r="B10496" t="inlineStr">
        <is>
          <t>Processing Unit</t>
        </is>
      </c>
      <c r="C10496" t="inlineStr">
        <is>
          <t>ICIM SpA, sesto san giovanni, IT</t>
        </is>
      </c>
      <c r="D10496" t="inlineStr">
        <is>
          <t>17.12.2026</t>
        </is>
      </c>
      <c r="E10496" t="inlineStr">
        <is>
          <t>Panama</t>
        </is>
      </c>
    </row>
    <row r="10497">
      <c r="A10497" t="inlineStr">
        <is>
          <t>ALIANZA CONTAMINACIÓN CERO,  Corregimiento Playa Leona, Panama</t>
        </is>
      </c>
      <c r="B10497" t="inlineStr">
        <is>
          <t>Processing Unit</t>
        </is>
      </c>
      <c r="C10497" t="inlineStr">
        <is>
          <t>ICIM SpA, sesto san giovanni, IT</t>
        </is>
      </c>
      <c r="D10497" t="inlineStr">
        <is>
          <t>17.12.2026</t>
        </is>
      </c>
      <c r="E10497" t="inlineStr">
        <is>
          <t>Panama</t>
        </is>
      </c>
    </row>
    <row r="10498">
      <c r="A10498" t="inlineStr">
        <is>
          <t>ALIANZA CONTAMINACION CERO (site: METRO),  Panama City, Panama</t>
        </is>
      </c>
      <c r="B10498" t="inlineStr">
        <is>
          <t>Processing Unit</t>
        </is>
      </c>
      <c r="C10498" t="inlineStr">
        <is>
          <t>ICIM SpA, sesto san giovanni, IT</t>
        </is>
      </c>
      <c r="D10498" t="inlineStr">
        <is>
          <t>17.12.2026</t>
        </is>
      </c>
      <c r="E10498" t="inlineStr">
        <is>
          <t>Panama</t>
        </is>
      </c>
    </row>
    <row r="10499">
      <c r="A10499" t="inlineStr">
        <is>
          <t>ALIANZA CONTAMINACION CERO (site: METRO),  Panama City, Panama</t>
        </is>
      </c>
      <c r="B10499" t="inlineStr">
        <is>
          <t>Processing Unit</t>
        </is>
      </c>
      <c r="C10499" t="inlineStr">
        <is>
          <t>ICIM SpA, sesto san giovanni, IT</t>
        </is>
      </c>
      <c r="D10499" t="inlineStr">
        <is>
          <t>17.12.2026</t>
        </is>
      </c>
      <c r="E10499" t="inlineStr">
        <is>
          <t>Panama</t>
        </is>
      </c>
    </row>
    <row r="10500">
      <c r="A10500" t="inlineStr">
        <is>
          <t>Madu Kenanga Sdn Bhd,  Pelabuhan Klang, Klang Selangor, Malaysia</t>
        </is>
      </c>
      <c r="B10500" t="inlineStr">
        <is>
          <t>Collecting Point, Trader with Storage</t>
        </is>
      </c>
      <c r="C10500" t="inlineStr">
        <is>
          <t>TÜV NORD CERT GmbH, Essen, DE</t>
        </is>
      </c>
      <c r="D10500" t="inlineStr">
        <is>
          <t>17.12.2026</t>
        </is>
      </c>
      <c r="E10500" t="inlineStr">
        <is>
          <t>Malaysia</t>
        </is>
      </c>
    </row>
    <row r="10501">
      <c r="A10501" t="inlineStr">
        <is>
          <t>ABAD GmbH,  Bad Vilbel, Germany</t>
        </is>
      </c>
      <c r="B10501" t="inlineStr">
        <is>
          <t>Trader</t>
        </is>
      </c>
      <c r="C10501" t="inlineStr">
        <is>
          <t>PT SBC Asia Sertifikasi, Kebumen, ID</t>
        </is>
      </c>
      <c r="D10501" t="inlineStr">
        <is>
          <t>16.12.2026</t>
        </is>
      </c>
      <c r="E10501" t="inlineStr">
        <is>
          <t>Germany</t>
        </is>
      </c>
    </row>
    <row r="10502">
      <c r="A10502" t="inlineStr">
        <is>
          <t>WayTrade,  Demarest, NJ, United States</t>
        </is>
      </c>
      <c r="B10502" t="inlineStr">
        <is>
          <t>Trader</t>
        </is>
      </c>
      <c r="C10502" t="inlineStr">
        <is>
          <t>SCS Global Services, Emeryville, CA, US</t>
        </is>
      </c>
      <c r="D10502" t="inlineStr">
        <is>
          <t>16.12.2026</t>
        </is>
      </c>
      <c r="E10502" t="inlineStr">
        <is>
          <t>United States</t>
        </is>
      </c>
    </row>
    <row r="10503">
      <c r="A10503" t="inlineStr">
        <is>
          <t>WayTrade,  Demarest, NJ, United States</t>
        </is>
      </c>
      <c r="B10503" t="inlineStr">
        <is>
          <t>Trader</t>
        </is>
      </c>
      <c r="C10503" t="inlineStr">
        <is>
          <t>SCS Global Services, Emeryville, CA, US</t>
        </is>
      </c>
      <c r="D10503" t="inlineStr">
        <is>
          <t>16.12.2026</t>
        </is>
      </c>
      <c r="E10503" t="inlineStr">
        <is>
          <t>United States</t>
        </is>
      </c>
    </row>
    <row r="10504">
      <c r="A10504" t="inlineStr">
        <is>
          <t>Cixi HaoKang Electrical Technology Co ., Ltd,  Ningbo City, China</t>
        </is>
      </c>
      <c r="B10504" t="inlineStr">
        <is>
          <t>Processing Unit</t>
        </is>
      </c>
      <c r="C10504" t="inlineStr">
        <is>
          <t>Extensive Standard Technical Services Co., Ltd., Hong Kong, CN</t>
        </is>
      </c>
      <c r="D10504" t="inlineStr">
        <is>
          <t>16.12.2026</t>
        </is>
      </c>
      <c r="E10504" t="inlineStr">
        <is>
          <t>China</t>
        </is>
      </c>
    </row>
    <row r="10505">
      <c r="A10505" t="inlineStr">
        <is>
          <t>Good Quality Optical Company (Dong Guan) Ltd.,  Dongguan City, Guangdong Province, China</t>
        </is>
      </c>
      <c r="B10505" t="inlineStr">
        <is>
          <t>Processing Unit</t>
        </is>
      </c>
      <c r="C10505" t="inlineStr">
        <is>
          <t>SCS Global Services, Emeryville, CA, US</t>
        </is>
      </c>
      <c r="D10505" t="inlineStr">
        <is>
          <t>16.12.2026</t>
        </is>
      </c>
      <c r="E10505" t="inlineStr">
        <is>
          <t>China</t>
        </is>
      </c>
    </row>
    <row r="10506">
      <c r="A10506" t="inlineStr">
        <is>
          <t>Chongqing Xiongye Toy and Garment Company Ltd,  CHONGQING, China</t>
        </is>
      </c>
      <c r="B10506" t="inlineStr">
        <is>
          <t>Processing Unit</t>
        </is>
      </c>
      <c r="C10506" t="inlineStr">
        <is>
          <t>PT Intertek Utama Services, Jakarta, ID</t>
        </is>
      </c>
      <c r="D10506" t="inlineStr">
        <is>
          <t>16.12.2026</t>
        </is>
      </c>
      <c r="E10506" t="inlineStr">
        <is>
          <t>China</t>
        </is>
      </c>
    </row>
    <row r="10507">
      <c r="A10507" t="inlineStr">
        <is>
          <t>Geo B.V.,  Stellendam, Netherlands</t>
        </is>
      </c>
      <c r="B10507" t="inlineStr">
        <is>
          <t>Trader with Storage</t>
        </is>
      </c>
      <c r="C10507" t="inlineStr">
        <is>
          <t>DEKRA Certification B.V., Arnhem, NL</t>
        </is>
      </c>
      <c r="D10507" t="inlineStr">
        <is>
          <t>16.12.2026</t>
        </is>
      </c>
      <c r="E10507" t="inlineStr">
        <is>
          <t>Netherlands</t>
        </is>
      </c>
    </row>
    <row r="10508">
      <c r="A10508" t="inlineStr">
        <is>
          <t>Biolik energy s.r.o.,  Moldava nad Bodvou, Slovakia</t>
        </is>
      </c>
      <c r="B10508" t="inlineStr">
        <is>
          <t>Collecting Point, Trader with Storage</t>
        </is>
      </c>
      <c r="C10508" t="inlineStr">
        <is>
          <t>United Registrar of Systems Polska Sp. z o.o., Wrocław, PL</t>
        </is>
      </c>
      <c r="D10508" t="inlineStr">
        <is>
          <t>16.12.2026</t>
        </is>
      </c>
      <c r="E10508" t="inlineStr">
        <is>
          <t>Slovakia</t>
        </is>
      </c>
    </row>
    <row r="10509">
      <c r="A10509" t="inlineStr">
        <is>
          <t>Subproductos Cárnicos Echevarría y Asociados, S.L.,  Lérida, Spain</t>
        </is>
      </c>
      <c r="B10509" t="inlineStr">
        <is>
          <t>Point of Origin</t>
        </is>
      </c>
      <c r="C10509" t="inlineStr">
        <is>
          <t>RINA Services S.p.A., Genova, IT</t>
        </is>
      </c>
      <c r="D10509" t="inlineStr">
        <is>
          <t>16.12.2026</t>
        </is>
      </c>
      <c r="E10509" t="inlineStr">
        <is>
          <t>Spain</t>
        </is>
      </c>
    </row>
    <row r="10510">
      <c r="A10510" t="inlineStr">
        <is>
          <t>POLITER RECICLAJE,  Montalbán, Spain</t>
        </is>
      </c>
      <c r="B10510" t="inlineStr">
        <is>
          <t>Collecting Point, Processing Unit</t>
        </is>
      </c>
      <c r="C10510" t="inlineStr">
        <is>
          <t>Certificadora Gallega del Noroeste SL, Vilagarcia de Arousa-Pontevedra, ES</t>
        </is>
      </c>
      <c r="D10510" t="inlineStr">
        <is>
          <t>16.12.2026</t>
        </is>
      </c>
      <c r="E10510" t="inlineStr">
        <is>
          <t>Spain</t>
        </is>
      </c>
    </row>
    <row r="10511">
      <c r="A10511" t="inlineStr">
        <is>
          <t>Subproductos Cárnicos Echevarría y Asociados, S.L.,  Cervera, Lerida, Spain</t>
        </is>
      </c>
      <c r="B10511" t="inlineStr">
        <is>
          <t>Point of Origin</t>
        </is>
      </c>
      <c r="C10511" t="inlineStr">
        <is>
          <t>RINA Services S.p.A., Genova, IT</t>
        </is>
      </c>
      <c r="D10511" t="inlineStr">
        <is>
          <t>16.12.2026</t>
        </is>
      </c>
      <c r="E10511" t="inlineStr">
        <is>
          <t>Spain</t>
        </is>
      </c>
    </row>
    <row r="10512">
      <c r="A10512" t="inlineStr">
        <is>
          <t>ZS Pilslejas,  Bebru pagasts, Latvia</t>
        </is>
      </c>
      <c r="B10512" t="inlineStr">
        <is>
          <t>Collecting Point, Processing Unit</t>
        </is>
      </c>
      <c r="C10512" t="inlineStr">
        <is>
          <t>BM Certification, Riga, LV</t>
        </is>
      </c>
      <c r="D10512" t="inlineStr">
        <is>
          <t>16.12.2026</t>
        </is>
      </c>
      <c r="E10512" t="inlineStr">
        <is>
          <t>Latvia</t>
        </is>
      </c>
    </row>
    <row r="10513">
      <c r="A10513" t="inlineStr">
        <is>
          <t>SAVRAN FAKTORY OF FOOD PRODUKTS,  village Savran, Ukraine</t>
        </is>
      </c>
      <c r="B10513" t="inlineStr">
        <is>
          <t>Farm / Plantation, First Gathering Point, Trader with Storage</t>
        </is>
      </c>
      <c r="C10513" t="inlineStr">
        <is>
          <t>BM Certification, Riga, LV</t>
        </is>
      </c>
      <c r="D10513" t="inlineStr">
        <is>
          <t>16.12.2026</t>
        </is>
      </c>
      <c r="E10513" t="inlineStr">
        <is>
          <t>Ukraine</t>
        </is>
      </c>
    </row>
    <row r="10514">
      <c r="A10514" t="inlineStr">
        <is>
          <t>SRF Industries (Thailand) Ltd.,  Amphur Pluakdaeng,, Thailand</t>
        </is>
      </c>
      <c r="B10514" t="inlineStr">
        <is>
          <t>Processing Unit</t>
        </is>
      </c>
      <c r="C10514" t="inlineStr">
        <is>
          <t>Cotecna India Inspection Pvt Ltd, Kolkata, IN</t>
        </is>
      </c>
      <c r="D10514" t="inlineStr">
        <is>
          <t>16.12.2026</t>
        </is>
      </c>
      <c r="E10514" t="inlineStr">
        <is>
          <t>Thailand</t>
        </is>
      </c>
    </row>
    <row r="10515">
      <c r="A10515" t="inlineStr">
        <is>
          <t>Singapore Trading Enterprises Pte Ltd,  Singapore, Singapore</t>
        </is>
      </c>
      <c r="B10515" t="inlineStr">
        <is>
          <t>Trader</t>
        </is>
      </c>
      <c r="C10515" t="inlineStr">
        <is>
          <t>PT. CBQA GLOBAL INDONESIA, JAKARTA SELATAN, ID</t>
        </is>
      </c>
      <c r="D10515" t="inlineStr">
        <is>
          <t>16.12.2026</t>
        </is>
      </c>
      <c r="E10515" t="inlineStr">
        <is>
          <t>Singapore</t>
        </is>
      </c>
    </row>
    <row r="10516">
      <c r="A10516" t="inlineStr">
        <is>
          <t>OCTA RENEWABLES, S.L.,  Majadahonda, Spain</t>
        </is>
      </c>
      <c r="B10516" t="inlineStr">
        <is>
          <t>Trader</t>
        </is>
      </c>
      <c r="C10516" t="inlineStr">
        <is>
          <t>Certificadora Gallega del Noroeste SL, Vilagarcia de Arousa-Pontevedra, ES</t>
        </is>
      </c>
      <c r="D10516" t="inlineStr">
        <is>
          <t>16.12.2026</t>
        </is>
      </c>
      <c r="E10516" t="inlineStr">
        <is>
          <t>Spain</t>
        </is>
      </c>
    </row>
    <row r="10517">
      <c r="A10517" t="inlineStr">
        <is>
          <t>OCTA RENEWABLES, S.L.,  Majadahonda, Spain</t>
        </is>
      </c>
      <c r="B10517" t="inlineStr">
        <is>
          <t>Trader</t>
        </is>
      </c>
      <c r="C10517" t="inlineStr">
        <is>
          <t>Certificadora Gallega del Noroeste SL, Vilagarcia de Arousa-Pontevedra, ES</t>
        </is>
      </c>
      <c r="D10517" t="inlineStr">
        <is>
          <t>16.12.2026</t>
        </is>
      </c>
      <c r="E10517" t="inlineStr">
        <is>
          <t>Spain</t>
        </is>
      </c>
    </row>
    <row r="10518">
      <c r="A10518" t="inlineStr">
        <is>
          <t>OCTA RENEWABLES, S.L.,  Majadahonda, Spain</t>
        </is>
      </c>
      <c r="B10518" t="inlineStr">
        <is>
          <t>Trader</t>
        </is>
      </c>
      <c r="C10518" t="inlineStr">
        <is>
          <t>Certificadora Gallega del Noroeste SL, Vilagarcia de Arousa-Pontevedra, ES</t>
        </is>
      </c>
      <c r="D10518" t="inlineStr">
        <is>
          <t>16.12.2026</t>
        </is>
      </c>
      <c r="E10518" t="inlineStr">
        <is>
          <t>Spain</t>
        </is>
      </c>
    </row>
    <row r="10519">
      <c r="A10519" t="inlineStr">
        <is>
          <t>World Kinect Colombia,  Bogota, Colombia</t>
        </is>
      </c>
      <c r="B10519" t="inlineStr">
        <is>
          <t>Trader</t>
        </is>
      </c>
      <c r="C10519" t="inlineStr">
        <is>
          <t>Control Union Poland Sp. z o.o., Zielona Gora, PL</t>
        </is>
      </c>
      <c r="D10519" t="inlineStr">
        <is>
          <t>16.12.2026</t>
        </is>
      </c>
      <c r="E10519" t="inlineStr">
        <is>
          <t>Colombia</t>
        </is>
      </c>
    </row>
    <row r="10520">
      <c r="A10520" t="inlineStr">
        <is>
          <t>World Fuel Services Company, LLC – Colombian Branch,  Bogota, Colombia</t>
        </is>
      </c>
      <c r="B10520" t="inlineStr">
        <is>
          <t>Trader</t>
        </is>
      </c>
      <c r="C10520" t="inlineStr">
        <is>
          <t>Control Union Poland Sp. z o.o., Zielona Gora, PL</t>
        </is>
      </c>
      <c r="D10520" t="inlineStr">
        <is>
          <t>16.12.2026</t>
        </is>
      </c>
      <c r="E10520" t="inlineStr">
        <is>
          <t>Colombia</t>
        </is>
      </c>
    </row>
    <row r="10521">
      <c r="A10521" t="inlineStr">
        <is>
          <t>SARTORIUS STEDIM BIOPROCESS,  M'hamdia, Tunisia</t>
        </is>
      </c>
      <c r="B10521" t="inlineStr">
        <is>
          <t>Final Product Refinement, Warehouse</t>
        </is>
      </c>
      <c r="C10521" t="inlineStr">
        <is>
          <t>Aardvark Certification Ltd, Wiveliscombe, Somerset, GB</t>
        </is>
      </c>
      <c r="D10521" t="inlineStr">
        <is>
          <t>16.12.2026</t>
        </is>
      </c>
      <c r="E10521" t="inlineStr">
        <is>
          <t>Tunisia</t>
        </is>
      </c>
    </row>
    <row r="10522">
      <c r="A10522" t="inlineStr">
        <is>
          <t>Compressed Energy Systems, LLC,  Raleigh, IL, United States</t>
        </is>
      </c>
      <c r="B10522" t="inlineStr">
        <is>
          <t>Collecting Point</t>
        </is>
      </c>
      <c r="C10522" t="inlineStr">
        <is>
          <t>Aardvark Certification Ltd, Wiveliscombe, Somerset, GB</t>
        </is>
      </c>
      <c r="D10522" t="inlineStr">
        <is>
          <t>16.12.2026</t>
        </is>
      </c>
      <c r="E10522" t="inlineStr">
        <is>
          <t>United States</t>
        </is>
      </c>
    </row>
    <row r="10523">
      <c r="A10523" t="inlineStr">
        <is>
          <t>IP3 Desarrollo, S.L.,  Sueca, Spain</t>
        </is>
      </c>
      <c r="B10523" t="inlineStr">
        <is>
          <t>Processing Unit</t>
        </is>
      </c>
      <c r="C10523" t="inlineStr">
        <is>
          <t>SGS Germany GmbH, Emstek, DE</t>
        </is>
      </c>
      <c r="D10523" t="inlineStr">
        <is>
          <t>16.12.2026</t>
        </is>
      </c>
      <c r="E10523" t="inlineStr">
        <is>
          <t>Spain</t>
        </is>
      </c>
    </row>
    <row r="10524">
      <c r="A10524" t="inlineStr">
        <is>
          <t>Deep South Commodities, LLC,  Winter Park, United States</t>
        </is>
      </c>
      <c r="B10524" t="inlineStr">
        <is>
          <t>Trader</t>
        </is>
      </c>
      <c r="C10524" t="inlineStr">
        <is>
          <t>SCS Global Services, Emeryville, CA, US</t>
        </is>
      </c>
      <c r="D10524" t="inlineStr">
        <is>
          <t>16.12.2026</t>
        </is>
      </c>
      <c r="E10524" t="inlineStr">
        <is>
          <t>United States</t>
        </is>
      </c>
    </row>
    <row r="10525">
      <c r="A10525" t="inlineStr">
        <is>
          <t>Deep South Commodities, LLC,  Winter Park, United States</t>
        </is>
      </c>
      <c r="B10525" t="inlineStr">
        <is>
          <t>Trader</t>
        </is>
      </c>
      <c r="C10525" t="inlineStr">
        <is>
          <t>SCS Global Services, Emeryville, CA, US</t>
        </is>
      </c>
      <c r="D10525" t="inlineStr">
        <is>
          <t>16.12.2026</t>
        </is>
      </c>
      <c r="E10525" t="inlineStr">
        <is>
          <t>United States</t>
        </is>
      </c>
    </row>
    <row r="10526">
      <c r="A10526" t="inlineStr">
        <is>
          <t>Repsan Energy S.R.L.,  Comuna Oarja, Romania</t>
        </is>
      </c>
      <c r="B10526" t="inlineStr">
        <is>
          <t>Collecting Point, Processing Unit</t>
        </is>
      </c>
      <c r="C10526" t="inlineStr">
        <is>
          <t>SRAC Cert SRL, Bucharest, RO</t>
        </is>
      </c>
      <c r="D10526" t="inlineStr">
        <is>
          <t>16.12.2026</t>
        </is>
      </c>
      <c r="E10526" t="inlineStr">
        <is>
          <t>Romania</t>
        </is>
      </c>
    </row>
    <row r="10527">
      <c r="A10527" t="inlineStr">
        <is>
          <t>Dongguan United Packaging Co., Ltd.,  Dongguan City, China</t>
        </is>
      </c>
      <c r="B10527" t="inlineStr">
        <is>
          <t>Processing Unit</t>
        </is>
      </c>
      <c r="C10527" t="inlineStr">
        <is>
          <t>SCS Global Services, Emeryville, CA, US</t>
        </is>
      </c>
      <c r="D10527" t="inlineStr">
        <is>
          <t>16.12.2026</t>
        </is>
      </c>
      <c r="E10527" t="inlineStr">
        <is>
          <t>China</t>
        </is>
      </c>
    </row>
    <row r="10528">
      <c r="A10528" t="inlineStr">
        <is>
          <t>Sinar Sawit Suburlestari,  -, Indonesia</t>
        </is>
      </c>
      <c r="B10528" t="inlineStr">
        <is>
          <t>Point of Origin</t>
        </is>
      </c>
      <c r="C10528" t="inlineStr">
        <is>
          <t>PT. Qualitas Sertifikasi Indonesia, Jakarta, ID</t>
        </is>
      </c>
      <c r="D10528" t="inlineStr">
        <is>
          <t>16.12.2026</t>
        </is>
      </c>
      <c r="E10528" t="inlineStr">
        <is>
          <t>Indonesia</t>
        </is>
      </c>
    </row>
    <row r="10529">
      <c r="A10529" t="inlineStr">
        <is>
          <t>FORMOSA TAFFETA CO., LTD.,  Douliu City, Yunlin County, Taiwan, Province of China</t>
        </is>
      </c>
      <c r="B10529" t="inlineStr">
        <is>
          <t>Processing Unit</t>
        </is>
      </c>
      <c r="C10529" t="inlineStr">
        <is>
          <t>Bureau Veritas Polska Sp. z o.o., Warsaw, PL</t>
        </is>
      </c>
      <c r="D10529" t="inlineStr">
        <is>
          <t>16.12.2026</t>
        </is>
      </c>
      <c r="E10529" t="inlineStr">
        <is>
          <t>Province of China</t>
        </is>
      </c>
    </row>
    <row r="10530">
      <c r="A10530" t="inlineStr">
        <is>
          <t>GME Chemicals (S) PTE LTD,  Singapore, Singapore</t>
        </is>
      </c>
      <c r="B10530" t="inlineStr">
        <is>
          <t>Trader with Storage</t>
        </is>
      </c>
      <c r="C10530" t="inlineStr">
        <is>
          <t>Double Helix Tracking Technologies Pte Ltd, Singapore, SG</t>
        </is>
      </c>
      <c r="D10530" t="inlineStr">
        <is>
          <t>16.12.2026</t>
        </is>
      </c>
      <c r="E10530" t="inlineStr">
        <is>
          <t>Singapore</t>
        </is>
      </c>
    </row>
    <row r="10531">
      <c r="A10531" t="inlineStr">
        <is>
          <t>TRUST AGRO,  Belomortsi village,Omurtag, Bulgaria</t>
        </is>
      </c>
      <c r="B10531" t="inlineStr">
        <is>
          <t>Point of Origin, First Gathering Point, Processing Unit</t>
        </is>
      </c>
      <c r="C10531" t="inlineStr">
        <is>
          <t>Bureau Veritas Polska Sp. z o.o., Warsaw, PL</t>
        </is>
      </c>
      <c r="D10531" t="inlineStr">
        <is>
          <t>16.12.2026</t>
        </is>
      </c>
      <c r="E10531" t="inlineStr">
        <is>
          <t>Bulgaria</t>
        </is>
      </c>
    </row>
    <row r="10532">
      <c r="A10532" t="inlineStr">
        <is>
          <t>GILOIL COMPANY LIMITED,  Nairobi, Industrial Area, Kenya</t>
        </is>
      </c>
      <c r="B10532" t="inlineStr">
        <is>
          <t>Point of Origin, Trader with Storage, Processing Unit</t>
        </is>
      </c>
      <c r="C10532" t="inlineStr">
        <is>
          <t>SGS Germany GmbH, Emstek, DE</t>
        </is>
      </c>
      <c r="D10532" t="inlineStr">
        <is>
          <t>16.12.2026</t>
        </is>
      </c>
      <c r="E10532" t="inlineStr">
        <is>
          <t>Kenya</t>
        </is>
      </c>
    </row>
    <row r="10533">
      <c r="A10533" t="inlineStr">
        <is>
          <t>Gts,  Arquà Polesine, Italy</t>
        </is>
      </c>
      <c r="B10533" t="inlineStr">
        <is>
          <t>Processing Unit</t>
        </is>
      </c>
      <c r="C10533" t="inlineStr">
        <is>
          <t>Certiquality srl, Milano, IT</t>
        </is>
      </c>
      <c r="D10533" t="inlineStr">
        <is>
          <t>16.12.2026</t>
        </is>
      </c>
      <c r="E10533" t="inlineStr">
        <is>
          <t>Italy</t>
        </is>
      </c>
    </row>
    <row r="10534">
      <c r="A10534" t="inlineStr">
        <is>
          <t>GILOIL COMPANY LIMITED,  Nairobi, Industrial Area, Kenya</t>
        </is>
      </c>
      <c r="B10534" t="inlineStr">
        <is>
          <t>Trader with Storage, Processing Unit</t>
        </is>
      </c>
      <c r="C10534" t="inlineStr">
        <is>
          <t>SGS Germany GmbH, Emstek, DE</t>
        </is>
      </c>
      <c r="D10534" t="inlineStr">
        <is>
          <t>16.12.2026</t>
        </is>
      </c>
      <c r="E10534" t="inlineStr">
        <is>
          <t>Kenya</t>
        </is>
      </c>
    </row>
    <row r="10535">
      <c r="A10535" t="inlineStr">
        <is>
          <t>Secanim Bio-Industries,  San Martín y Mudrián, Segovia, Spain</t>
        </is>
      </c>
      <c r="B10535" t="inlineStr">
        <is>
          <t>Point of Origin, Trader with Storage</t>
        </is>
      </c>
      <c r="C10535" t="inlineStr">
        <is>
          <t>Control Union Poland Sp. z o.o., Zielona Gora, PL</t>
        </is>
      </c>
      <c r="D10535" t="inlineStr">
        <is>
          <t>16.12.2026</t>
        </is>
      </c>
      <c r="E10535" t="inlineStr">
        <is>
          <t>Spain</t>
        </is>
      </c>
    </row>
    <row r="10536">
      <c r="A10536" t="inlineStr">
        <is>
          <t>Salvanos Ioannis,  Argos, Greece</t>
        </is>
      </c>
      <c r="B10536" t="inlineStr">
        <is>
          <t>Collecting Point</t>
        </is>
      </c>
      <c r="C10536" t="inlineStr">
        <is>
          <t>Eurocert SA, Metamorfosi, Athens, GR</t>
        </is>
      </c>
      <c r="D10536" t="inlineStr">
        <is>
          <t>16.12.2026</t>
        </is>
      </c>
      <c r="E10536" t="inlineStr">
        <is>
          <t>Greece</t>
        </is>
      </c>
    </row>
    <row r="10537">
      <c r="A10537" t="inlineStr">
        <is>
          <t>SAKAI TRADING CO., LTD.,  Shinagawa ku, Tokyo, Japan</t>
        </is>
      </c>
      <c r="B10537" t="inlineStr">
        <is>
          <t>Trader with Storage</t>
        </is>
      </c>
      <c r="C10537" t="inlineStr">
        <is>
          <t>SGS Germany GmbH, Emstek, DE</t>
        </is>
      </c>
      <c r="D10537" t="inlineStr">
        <is>
          <t>16.12.2026</t>
        </is>
      </c>
      <c r="E10537" t="inlineStr">
        <is>
          <t>Japan</t>
        </is>
      </c>
    </row>
    <row r="10538">
      <c r="A10538" t="inlineStr">
        <is>
          <t>Aramco Trading Fujairah,  Fujairah, United Arab Emirates</t>
        </is>
      </c>
      <c r="B10538" t="inlineStr">
        <is>
          <t>Trader with Storage</t>
        </is>
      </c>
      <c r="C10538" t="inlineStr">
        <is>
          <t>Control Union Certifications Germany GmbH, Berlin, DE</t>
        </is>
      </c>
      <c r="D10538" t="inlineStr">
        <is>
          <t>16.12.2026</t>
        </is>
      </c>
      <c r="E10538" t="inlineStr">
        <is>
          <t>United Arab Emirates</t>
        </is>
      </c>
    </row>
    <row r="10539">
      <c r="A10539" t="inlineStr">
        <is>
          <t>Aramco Trading Fujairah,  Fujairah, United Arab Emirates</t>
        </is>
      </c>
      <c r="B10539" t="inlineStr">
        <is>
          <t>Trader with Storage</t>
        </is>
      </c>
      <c r="C10539" t="inlineStr">
        <is>
          <t>Control Union Certifications Germany GmbH, Berlin, DE</t>
        </is>
      </c>
      <c r="D10539" t="inlineStr">
        <is>
          <t>16.12.2026</t>
        </is>
      </c>
      <c r="E10539" t="inlineStr">
        <is>
          <t>United Arab Emirates</t>
        </is>
      </c>
    </row>
    <row r="10540">
      <c r="A10540" t="inlineStr">
        <is>
          <t>Newlight Technologies, Inc.,  Huntington Beach, United States</t>
        </is>
      </c>
      <c r="B10540" t="inlineStr">
        <is>
          <t>Processing Unit</t>
        </is>
      </c>
      <c r="C10540" t="inlineStr">
        <is>
          <t>Aardvark Certification Ltd, Wiveliscombe, Somerset, GB</t>
        </is>
      </c>
      <c r="D10540" t="inlineStr">
        <is>
          <t>16.12.2026</t>
        </is>
      </c>
      <c r="E10540" t="inlineStr">
        <is>
          <t>United States</t>
        </is>
      </c>
    </row>
    <row r="10541">
      <c r="A10541" t="inlineStr">
        <is>
          <t>Gruppo Distribuzione Petroli,  Cervignano del Friuli, Italy</t>
        </is>
      </c>
      <c r="B10541" t="inlineStr">
        <is>
          <t>Trader with Storage</t>
        </is>
      </c>
      <c r="C10541" t="inlineStr">
        <is>
          <t>RINA Services S.p.A., Genova, IT</t>
        </is>
      </c>
      <c r="D10541" t="inlineStr">
        <is>
          <t>16.12.2026</t>
        </is>
      </c>
      <c r="E10541" t="inlineStr">
        <is>
          <t>Italy</t>
        </is>
      </c>
    </row>
    <row r="10542">
      <c r="A10542" t="inlineStr">
        <is>
          <t>WayTrade,  Demarest, NJ, United States</t>
        </is>
      </c>
      <c r="B10542" t="inlineStr">
        <is>
          <t>Trader</t>
        </is>
      </c>
      <c r="C10542" t="inlineStr">
        <is>
          <t>SCS Global Services, Emeryville, CA, US</t>
        </is>
      </c>
      <c r="D10542" t="inlineStr">
        <is>
          <t>16.12.2026</t>
        </is>
      </c>
      <c r="E10542" t="inlineStr">
        <is>
          <t>United States</t>
        </is>
      </c>
    </row>
    <row r="10543">
      <c r="A10543" t="inlineStr">
        <is>
          <t>TERMINAL AS,  Tartu vald, Tartu maakond, Estonia</t>
        </is>
      </c>
      <c r="B10543" t="inlineStr">
        <is>
          <t>Trader with Storage, Collecting Point, Warehouse, Processing Unit</t>
        </is>
      </c>
      <c r="C10543" t="inlineStr">
        <is>
          <t>Bureau Veritas Polska Sp. z o.o., Warsaw, PL</t>
        </is>
      </c>
      <c r="D10543" t="inlineStr">
        <is>
          <t>16.12.2026</t>
        </is>
      </c>
      <c r="E10543" t="inlineStr">
        <is>
          <t>Estonia</t>
        </is>
      </c>
    </row>
    <row r="10544">
      <c r="A10544" t="inlineStr">
        <is>
          <t>Ningbo Kechen Electric Appliance Co., Ltd.,  Yuyao City, China</t>
        </is>
      </c>
      <c r="B10544" t="inlineStr">
        <is>
          <t>Final Product Refinement</t>
        </is>
      </c>
      <c r="C10544" t="inlineStr">
        <is>
          <t>Extensive Standard Technical Services Co., Ltd., Hong Kong, CN</t>
        </is>
      </c>
      <c r="D10544" t="inlineStr">
        <is>
          <t>16.12.2026</t>
        </is>
      </c>
      <c r="E10544" t="inlineStr">
        <is>
          <t>China</t>
        </is>
      </c>
    </row>
    <row r="10545">
      <c r="A10545" t="inlineStr">
        <is>
          <t>Plastic Energy,  Alcala de Guadaira, Sevilla, Spain</t>
        </is>
      </c>
      <c r="B10545" t="inlineStr">
        <is>
          <t>Collecting Point, Processing Unit</t>
        </is>
      </c>
      <c r="C10545" t="inlineStr">
        <is>
          <t>Control Union Poland Sp. z o.o., Zielona Gora, PL</t>
        </is>
      </c>
      <c r="D10545" t="inlineStr">
        <is>
          <t>16.12.2026</t>
        </is>
      </c>
      <c r="E10545" t="inlineStr">
        <is>
          <t>Spain</t>
        </is>
      </c>
    </row>
    <row r="10546">
      <c r="A10546" t="inlineStr">
        <is>
          <t>PT Forestalestari Dwikarya,  Kab Belitung, Provinsi Kepulauan Bangka Belitung, Indonesia</t>
        </is>
      </c>
      <c r="B10546" t="inlineStr">
        <is>
          <t>First Gathering Point, Processing Unit</t>
        </is>
      </c>
      <c r="C10546" t="inlineStr">
        <is>
          <t>PT Intertek Utama Services, Jakarta, ID</t>
        </is>
      </c>
      <c r="D10546" t="inlineStr">
        <is>
          <t>16.12.2026</t>
        </is>
      </c>
      <c r="E10546" t="inlineStr">
        <is>
          <t>Indonesia</t>
        </is>
      </c>
    </row>
    <row r="10547">
      <c r="A10547" t="inlineStr">
        <is>
          <t>PT Forestalestari Dwikarya,  Kab Belitung, Prov Kepulauan Bangka Belitung, Indonesia</t>
        </is>
      </c>
      <c r="B10547" t="inlineStr">
        <is>
          <t>Warehouse</t>
        </is>
      </c>
      <c r="C10547" t="inlineStr">
        <is>
          <t>PT Intertek Utama Services, Jakarta, ID</t>
        </is>
      </c>
      <c r="D10547" t="inlineStr">
        <is>
          <t>16.12.2026</t>
        </is>
      </c>
      <c r="E10547" t="inlineStr">
        <is>
          <t>Indonesia</t>
        </is>
      </c>
    </row>
    <row r="10548">
      <c r="A10548" t="inlineStr">
        <is>
          <t>THP Kota Bahagia,  Rompin, Pahang, Malaysia</t>
        </is>
      </c>
      <c r="B10548" t="inlineStr">
        <is>
          <t>Point of Origin</t>
        </is>
      </c>
      <c r="C10548" t="inlineStr">
        <is>
          <t>Global Gateway Certifications Sdn Bhd, Ampang, MY</t>
        </is>
      </c>
      <c r="D10548" t="inlineStr">
        <is>
          <t>16.12.2026</t>
        </is>
      </c>
      <c r="E10548" t="inlineStr">
        <is>
          <t>Malaysia</t>
        </is>
      </c>
    </row>
    <row r="10549">
      <c r="A10549" t="inlineStr">
        <is>
          <t>Vitis Olei,  Mani Casanare, Colombia</t>
        </is>
      </c>
      <c r="B10549" t="inlineStr">
        <is>
          <t>Farm / Plantation</t>
        </is>
      </c>
      <c r="C10549" t="inlineStr">
        <is>
          <t>SCS Global Services, Emeryville, CA, US</t>
        </is>
      </c>
      <c r="D10549" t="inlineStr">
        <is>
          <t>16.12.2026</t>
        </is>
      </c>
      <c r="E10549" t="inlineStr">
        <is>
          <t>Colombia</t>
        </is>
      </c>
    </row>
    <row r="10550">
      <c r="A10550" t="inlineStr">
        <is>
          <t>Vitis Olei,  Mani Casanare, Colombia</t>
        </is>
      </c>
      <c r="B10550" t="inlineStr">
        <is>
          <t>Farm / Plantation</t>
        </is>
      </c>
      <c r="C10550" t="inlineStr">
        <is>
          <t>SCS Global Services, Emeryville, CA, US</t>
        </is>
      </c>
      <c r="D10550" t="inlineStr">
        <is>
          <t>16.12.2026</t>
        </is>
      </c>
      <c r="E10550" t="inlineStr">
        <is>
          <t>Colombia</t>
        </is>
      </c>
    </row>
    <row r="10551">
      <c r="A10551" t="inlineStr">
        <is>
          <t>ANSON OIL INDUSTRIES SDN BHD,  TELUK INTAN, Malaysia</t>
        </is>
      </c>
      <c r="B10551" t="inlineStr">
        <is>
          <t>Point of Origin</t>
        </is>
      </c>
      <c r="C10551" t="inlineStr">
        <is>
          <t>Trans Certification and Inspection Sdn Bhd, Kuantan, MY</t>
        </is>
      </c>
      <c r="D10551" t="inlineStr">
        <is>
          <t>16.12.2026</t>
        </is>
      </c>
      <c r="E10551" t="inlineStr">
        <is>
          <t>Malaysia</t>
        </is>
      </c>
    </row>
    <row r="10552">
      <c r="A10552" t="inlineStr">
        <is>
          <t>Lianyungang Zhengqi Bioenergy Co., Ltd,  Lianyungang City, Jiangsu Province, China</t>
        </is>
      </c>
      <c r="B10552" t="inlineStr">
        <is>
          <t>Collecting Point, Trader with Storage</t>
        </is>
      </c>
      <c r="C10552" t="inlineStr">
        <is>
          <t>SCS Global Services, Emeryville, CA, US</t>
        </is>
      </c>
      <c r="D10552" t="inlineStr">
        <is>
          <t>16.12.2026</t>
        </is>
      </c>
      <c r="E10552" t="inlineStr">
        <is>
          <t>China</t>
        </is>
      </c>
    </row>
    <row r="10553">
      <c r="A10553" t="inlineStr">
        <is>
          <t>Mandiri Sawit Bersama,  Padang Lawas Regency, North Sumatra Province, Indonesia</t>
        </is>
      </c>
      <c r="B10553" t="inlineStr">
        <is>
          <t>Point of Origin</t>
        </is>
      </c>
      <c r="C10553" t="inlineStr">
        <is>
          <t>PT. Qualitas Sertifikasi Indonesia, Jakarta, ID</t>
        </is>
      </c>
      <c r="D10553" t="inlineStr">
        <is>
          <t>16.12.2026</t>
        </is>
      </c>
      <c r="E10553" t="inlineStr">
        <is>
          <t>Indonesia</t>
        </is>
      </c>
    </row>
    <row r="10554">
      <c r="A10554" t="inlineStr">
        <is>
          <t>Merangkai Artha Nusantara,  Provinsi Riau Indonesia, Indonesia</t>
        </is>
      </c>
      <c r="B10554" t="inlineStr">
        <is>
          <t>Point of Origin</t>
        </is>
      </c>
      <c r="C10554" t="inlineStr">
        <is>
          <t>PT. Qualitas Sertifikasi Indonesia, Jakarta, ID</t>
        </is>
      </c>
      <c r="D10554" t="inlineStr">
        <is>
          <t>16.12.2026</t>
        </is>
      </c>
      <c r="E10554" t="inlineStr">
        <is>
          <t>Indonesia</t>
        </is>
      </c>
    </row>
    <row r="10555">
      <c r="A10555" t="inlineStr">
        <is>
          <t>Biochar (Qingdao) Intelligent Equipment Co., Ltd,  Laoshan District, Qingdao City, China</t>
        </is>
      </c>
      <c r="B10555" t="inlineStr">
        <is>
          <t>Processing Unit</t>
        </is>
      </c>
      <c r="C10555" t="inlineStr">
        <is>
          <t>NSF International, Ann Arbor, MI, US</t>
        </is>
      </c>
      <c r="D10555" t="inlineStr">
        <is>
          <t>16.12.2026</t>
        </is>
      </c>
      <c r="E10555" t="inlineStr">
        <is>
          <t>China</t>
        </is>
      </c>
    </row>
    <row r="10556">
      <c r="A10556" t="inlineStr">
        <is>
          <t>EPL Limited,  Asangaon -Thane, India</t>
        </is>
      </c>
      <c r="B10556" t="inlineStr">
        <is>
          <t>Processing Unit</t>
        </is>
      </c>
      <c r="C10556" t="inlineStr">
        <is>
          <t>Alcumus ISOQAR Ltd, Stretford, Manchester, GB</t>
        </is>
      </c>
      <c r="D10556" t="inlineStr">
        <is>
          <t>16.12.2026</t>
        </is>
      </c>
      <c r="E10556" t="inlineStr">
        <is>
          <t>India</t>
        </is>
      </c>
    </row>
    <row r="10557">
      <c r="A10557" t="inlineStr">
        <is>
          <t>OMV Downstream GmbH,  Schwechat, Austria</t>
        </is>
      </c>
      <c r="B10557" t="inlineStr">
        <is>
          <t>Trader with Storage, Processing Unit</t>
        </is>
      </c>
      <c r="C10557" t="inlineStr">
        <is>
          <t>TÜV SÜD Industrie Service GmbH, München, DE</t>
        </is>
      </c>
      <c r="D10557" t="inlineStr">
        <is>
          <t>16.12.2026</t>
        </is>
      </c>
      <c r="E10557" t="inlineStr">
        <is>
          <t>Austria</t>
        </is>
      </c>
    </row>
    <row r="10558">
      <c r="A10558" t="inlineStr">
        <is>
          <t>UPM Biochemicals Sales GmbH,  Leuna, Germany</t>
        </is>
      </c>
      <c r="B10558" t="inlineStr">
        <is>
          <t>Trader with Storage</t>
        </is>
      </c>
      <c r="C10558" t="inlineStr">
        <is>
          <t>BM Certification, Riga, LV</t>
        </is>
      </c>
      <c r="D10558" t="inlineStr">
        <is>
          <t>16.12.2026</t>
        </is>
      </c>
      <c r="E10558" t="inlineStr">
        <is>
          <t>Germany</t>
        </is>
      </c>
    </row>
    <row r="10559">
      <c r="A10559" t="inlineStr">
        <is>
          <t>Bunge Loders Croklaan B.V.,  Wormerveer, Netherlands</t>
        </is>
      </c>
      <c r="B10559" t="inlineStr">
        <is>
          <t>Point of Origin</t>
        </is>
      </c>
      <c r="C10559" t="inlineStr">
        <is>
          <t>SGS Germany GmbH, Emstek, DE</t>
        </is>
      </c>
      <c r="D10559" t="inlineStr">
        <is>
          <t>16.12.2026</t>
        </is>
      </c>
      <c r="E10559" t="inlineStr">
        <is>
          <t>Netherlands</t>
        </is>
      </c>
    </row>
    <row r="10560">
      <c r="A10560" t="inlineStr">
        <is>
          <t>TANN GERMANY,  Glinde, Germany</t>
        </is>
      </c>
      <c r="B10560" t="inlineStr">
        <is>
          <t>Final Product Refinement</t>
        </is>
      </c>
      <c r="C10560" t="inlineStr">
        <is>
          <t>GUT Certifizierungsgesellschaft für Managementsysteme mbH Umweltgutachter, Berlin, DE</t>
        </is>
      </c>
      <c r="D10560" t="inlineStr">
        <is>
          <t>16.12.2026</t>
        </is>
      </c>
      <c r="E10560" t="inlineStr">
        <is>
          <t>Germany</t>
        </is>
      </c>
    </row>
    <row r="10561">
      <c r="A10561" t="inlineStr">
        <is>
          <t>Nalge Nunc International Corporation,  Fairport, NY, United States</t>
        </is>
      </c>
      <c r="B10561" t="inlineStr">
        <is>
          <t>Processing Unit</t>
        </is>
      </c>
      <c r="C10561" t="inlineStr">
        <is>
          <t>SCS Global Services, Emeryville, CA, US</t>
        </is>
      </c>
      <c r="D10561" t="inlineStr">
        <is>
          <t>16.12.2026</t>
        </is>
      </c>
      <c r="E10561" t="inlineStr">
        <is>
          <t>United States</t>
        </is>
      </c>
    </row>
    <row r="10562">
      <c r="A10562" t="inlineStr">
        <is>
          <t>Yuanhai Energy Limited,  Hefei City, Anhui Province, China</t>
        </is>
      </c>
      <c r="B10562" t="inlineStr">
        <is>
          <t>Trader with Storage</t>
        </is>
      </c>
      <c r="C10562" t="inlineStr">
        <is>
          <t>RINA Services S.p.A., Genova, IT</t>
        </is>
      </c>
      <c r="D10562" t="inlineStr">
        <is>
          <t>15.12.2026</t>
        </is>
      </c>
      <c r="E10562" t="inlineStr">
        <is>
          <t>China</t>
        </is>
      </c>
    </row>
    <row r="10563">
      <c r="A10563" t="inlineStr">
        <is>
          <t>Polymix,  Horbourg-Wihr, France</t>
        </is>
      </c>
      <c r="B10563" t="inlineStr">
        <is>
          <t>Trader with Storage</t>
        </is>
      </c>
      <c r="C10563" t="inlineStr">
        <is>
          <t>Bureau Veritas Polska Sp. z o.o., Warsaw, PL</t>
        </is>
      </c>
      <c r="D10563" t="inlineStr">
        <is>
          <t>15.12.2026</t>
        </is>
      </c>
      <c r="E10563" t="inlineStr">
        <is>
          <t>France</t>
        </is>
      </c>
    </row>
    <row r="10564">
      <c r="A10564" t="inlineStr">
        <is>
          <t>VINILCHIMICA,  CAPRINO BERGAMASCO, Italy</t>
        </is>
      </c>
      <c r="B10564" t="inlineStr">
        <is>
          <t>Processing Unit</t>
        </is>
      </c>
      <c r="C10564" t="inlineStr">
        <is>
          <t>IIP S.r.l., Monza, IT</t>
        </is>
      </c>
      <c r="D10564" t="inlineStr">
        <is>
          <t>15.12.2026</t>
        </is>
      </c>
      <c r="E10564" t="inlineStr">
        <is>
          <t>Italy</t>
        </is>
      </c>
    </row>
    <row r="10565">
      <c r="A10565" t="inlineStr">
        <is>
          <t>Celplast Metallized Products,  Toronto, Canada</t>
        </is>
      </c>
      <c r="B10565" t="inlineStr">
        <is>
          <t>Trader with Storage, Processing Unit</t>
        </is>
      </c>
      <c r="C10565" t="inlineStr">
        <is>
          <t>SGS Germany GmbH, Emstek, DE</t>
        </is>
      </c>
      <c r="D10565" t="inlineStr">
        <is>
          <t>15.12.2026</t>
        </is>
      </c>
      <c r="E10565" t="inlineStr">
        <is>
          <t>Canada</t>
        </is>
      </c>
    </row>
    <row r="10566">
      <c r="A10566" t="inlineStr">
        <is>
          <t>BP Energía España S.A.U.,  Castellón, Spain</t>
        </is>
      </c>
      <c r="B10566" t="inlineStr">
        <is>
          <t>Processing Unit, Trader with Storage, Proof of Compliance Trader</t>
        </is>
      </c>
      <c r="C10566" t="inlineStr">
        <is>
          <t>Control Union Poland Sp. z o.o., Zielona Gora, PL</t>
        </is>
      </c>
      <c r="D10566" t="inlineStr">
        <is>
          <t>15.12.2026</t>
        </is>
      </c>
      <c r="E10566" t="inlineStr">
        <is>
          <t>Spain</t>
        </is>
      </c>
    </row>
    <row r="10567">
      <c r="A10567" t="inlineStr">
        <is>
          <t>Casfil - Indústria de Plásticos, S.A.,  Vila das Aves, Portugal</t>
        </is>
      </c>
      <c r="B10567" t="inlineStr">
        <is>
          <t>Processing Unit</t>
        </is>
      </c>
      <c r="C10567" t="inlineStr">
        <is>
          <t>Control Union Poland Sp. z o.o., Zielona Gora, PL</t>
        </is>
      </c>
      <c r="D10567" t="inlineStr">
        <is>
          <t>15.12.2026</t>
        </is>
      </c>
      <c r="E10567" t="inlineStr">
        <is>
          <t>Portugal</t>
        </is>
      </c>
    </row>
    <row r="10568">
      <c r="A10568" t="inlineStr">
        <is>
          <t>Bargain Oil(Pty)Ltd,  Polokwane, South Africa</t>
        </is>
      </c>
      <c r="B10568" t="inlineStr">
        <is>
          <t>Collecting Point, Trader</t>
        </is>
      </c>
      <c r="C10568" t="inlineStr">
        <is>
          <t>DEKRA Certification B.V., Arnhem, NL</t>
        </is>
      </c>
      <c r="D10568" t="inlineStr">
        <is>
          <t>15.12.2026</t>
        </is>
      </c>
      <c r="E10568" t="inlineStr">
        <is>
          <t>South Africa</t>
        </is>
      </c>
    </row>
    <row r="10569">
      <c r="A10569" t="inlineStr">
        <is>
          <t>XLANCE,  Varallo Pombia, Italy</t>
        </is>
      </c>
      <c r="B10569" t="inlineStr">
        <is>
          <t>Processing Unit</t>
        </is>
      </c>
      <c r="C10569" t="inlineStr">
        <is>
          <t>IIP S.r.l., Monza, IT</t>
        </is>
      </c>
      <c r="D10569" t="inlineStr">
        <is>
          <t>15.12.2026</t>
        </is>
      </c>
      <c r="E10569" t="inlineStr">
        <is>
          <t>Italy</t>
        </is>
      </c>
    </row>
    <row r="10570">
      <c r="A10570" t="inlineStr">
        <is>
          <t>Shanghai Huali Plastic Products Co.,Ltd.,  Shanghai, China</t>
        </is>
      </c>
      <c r="B10570" t="inlineStr">
        <is>
          <t>Processing Unit</t>
        </is>
      </c>
      <c r="C10570" t="inlineStr">
        <is>
          <t>CTI Certification Co. Ltd, Shenzhen, CN</t>
        </is>
      </c>
      <c r="D10570" t="inlineStr">
        <is>
          <t>15.12.2026</t>
        </is>
      </c>
      <c r="E10570" t="inlineStr">
        <is>
          <t>China</t>
        </is>
      </c>
    </row>
    <row r="10571">
      <c r="A10571" t="inlineStr">
        <is>
          <t>ENEOS Corporation,  Chiyoda-ku, Tokyo, Japan</t>
        </is>
      </c>
      <c r="B10571" t="inlineStr">
        <is>
          <t>Trader</t>
        </is>
      </c>
      <c r="C10571" t="inlineStr">
        <is>
          <t>Control Union Certifications Germany GmbH, Berlin, DE</t>
        </is>
      </c>
      <c r="D10571" t="inlineStr">
        <is>
          <t>15.12.2026</t>
        </is>
      </c>
      <c r="E10571" t="inlineStr">
        <is>
          <t>Japan</t>
        </is>
      </c>
    </row>
    <row r="10572">
      <c r="A10572" t="inlineStr">
        <is>
          <t>ENEOS,  Kamisu-City, Ibaraki, Japan</t>
        </is>
      </c>
      <c r="B10572" t="inlineStr">
        <is>
          <t>Processing Unit</t>
        </is>
      </c>
      <c r="C10572" t="inlineStr">
        <is>
          <t>Control Union Certifications Germany GmbH, Berlin, DE</t>
        </is>
      </c>
      <c r="D10572" t="inlineStr">
        <is>
          <t>15.12.2026</t>
        </is>
      </c>
      <c r="E10572" t="inlineStr">
        <is>
          <t>Japan</t>
        </is>
      </c>
    </row>
    <row r="10573">
      <c r="A10573" t="inlineStr">
        <is>
          <t>Mayborn UK,  Mansfield, United Kingdom</t>
        </is>
      </c>
      <c r="B10573" t="inlineStr">
        <is>
          <t>Processing Unit, Warehouse</t>
        </is>
      </c>
      <c r="C10573" t="inlineStr">
        <is>
          <t>PT Intertek Utama Services, Jakarta, ID</t>
        </is>
      </c>
      <c r="D10573" t="inlineStr">
        <is>
          <t>15.12.2026</t>
        </is>
      </c>
      <c r="E10573" t="inlineStr">
        <is>
          <t>United Kingdom</t>
        </is>
      </c>
    </row>
    <row r="10574">
      <c r="A10574" t="inlineStr">
        <is>
          <t>EE Corporation,  Gangnam-gu, Seoul, Korea, Republic of</t>
        </is>
      </c>
      <c r="B10574" t="inlineStr">
        <is>
          <t>Trader</t>
        </is>
      </c>
      <c r="C10574" t="inlineStr">
        <is>
          <t>Korean Foundation for Quality, Songpa-gu, Seoul, KR</t>
        </is>
      </c>
      <c r="D10574" t="inlineStr">
        <is>
          <t>15.12.2026</t>
        </is>
      </c>
      <c r="E10574" t="inlineStr">
        <is>
          <t>Republic of</t>
        </is>
      </c>
    </row>
    <row r="10575">
      <c r="A10575" t="inlineStr">
        <is>
          <t>Mexicomm Global Commodities Corp.,  Austin, United States</t>
        </is>
      </c>
      <c r="B10575" t="inlineStr">
        <is>
          <t>Trader</t>
        </is>
      </c>
      <c r="C10575" t="inlineStr">
        <is>
          <t>Certificadora Gallega del Noroeste SL, Vilagarcia de Arousa-Pontevedra, ES</t>
        </is>
      </c>
      <c r="D10575" t="inlineStr">
        <is>
          <t>15.12.2026</t>
        </is>
      </c>
      <c r="E10575" t="inlineStr">
        <is>
          <t>United States</t>
        </is>
      </c>
    </row>
    <row r="10576">
      <c r="A10576" t="inlineStr">
        <is>
          <t>Mexicomm Global Commodities Corp.,  Austin, United States</t>
        </is>
      </c>
      <c r="B10576" t="inlineStr">
        <is>
          <t>Trader</t>
        </is>
      </c>
      <c r="C10576" t="inlineStr">
        <is>
          <t>Certificadora Gallega del Noroeste SL, Vilagarcia de Arousa-Pontevedra, ES</t>
        </is>
      </c>
      <c r="D10576" t="inlineStr">
        <is>
          <t>15.12.2026</t>
        </is>
      </c>
      <c r="E10576" t="inlineStr">
        <is>
          <t>United States</t>
        </is>
      </c>
    </row>
    <row r="10577">
      <c r="A10577" t="inlineStr">
        <is>
          <t>Mexican Commodities S.A. de C.V.,  El Marques, Mexico</t>
        </is>
      </c>
      <c r="B10577" t="inlineStr">
        <is>
          <t>Collecting Point, Trader with Storage</t>
        </is>
      </c>
      <c r="C10577" t="inlineStr">
        <is>
          <t>Certificadora Gallega del Noroeste SL, Vilagarcia de Arousa-Pontevedra, ES</t>
        </is>
      </c>
      <c r="D10577" t="inlineStr">
        <is>
          <t>15.12.2026</t>
        </is>
      </c>
      <c r="E10577" t="inlineStr">
        <is>
          <t>Mexico</t>
        </is>
      </c>
    </row>
    <row r="10578">
      <c r="A10578" t="inlineStr">
        <is>
          <t>Mexican Commodities S.A. de C.V.,  El Marques, Mexico</t>
        </is>
      </c>
      <c r="B10578" t="inlineStr">
        <is>
          <t>Collecting Point, Trader with Storage</t>
        </is>
      </c>
      <c r="C10578" t="inlineStr">
        <is>
          <t>Amspec Iberia SL, Vilagarcia de Arousa-Pontevedra, ES</t>
        </is>
      </c>
      <c r="D10578" t="inlineStr">
        <is>
          <t>15.12.2026</t>
        </is>
      </c>
      <c r="E10578" t="inlineStr">
        <is>
          <t>Mexico</t>
        </is>
      </c>
    </row>
    <row r="10579">
      <c r="A10579" t="inlineStr">
        <is>
          <t>Wenzhou Creation Optical Co., Ltd.,  Wenzhou City, Zhejiang Province, China, China</t>
        </is>
      </c>
      <c r="B10579" t="inlineStr">
        <is>
          <t>Processing Unit</t>
        </is>
      </c>
      <c r="C10579" t="inlineStr">
        <is>
          <t>SCS Global Services, Emeryville, CA, US</t>
        </is>
      </c>
      <c r="D10579" t="inlineStr">
        <is>
          <t>15.12.2026</t>
        </is>
      </c>
      <c r="E10579" t="inlineStr">
        <is>
          <t>China</t>
        </is>
      </c>
    </row>
    <row r="10580">
      <c r="A10580" t="inlineStr">
        <is>
          <t>ENEOS (Shanghai) Corporation,  Shanghai, China</t>
        </is>
      </c>
      <c r="B10580" t="inlineStr">
        <is>
          <t>Trader</t>
        </is>
      </c>
      <c r="C10580" t="inlineStr">
        <is>
          <t>SCS Global Services, Emeryville, CA, US</t>
        </is>
      </c>
      <c r="D10580" t="inlineStr">
        <is>
          <t>15.12.2026</t>
        </is>
      </c>
      <c r="E10580" t="inlineStr">
        <is>
          <t>China</t>
        </is>
      </c>
    </row>
    <row r="10581">
      <c r="A10581" t="inlineStr">
        <is>
          <t>Fapro,  Ichtegem, Belgium</t>
        </is>
      </c>
      <c r="B10581" t="inlineStr">
        <is>
          <t>Point of Origin</t>
        </is>
      </c>
      <c r="C10581" t="inlineStr">
        <is>
          <t>Control Union Certifications Germany GmbH, Berlin, DE</t>
        </is>
      </c>
      <c r="D10581" t="inlineStr">
        <is>
          <t>15.12.2026</t>
        </is>
      </c>
      <c r="E10581" t="inlineStr">
        <is>
          <t>Belgium</t>
        </is>
      </c>
    </row>
    <row r="10582">
      <c r="A10582" t="inlineStr">
        <is>
          <t>Continental Reifen Deutschland,  Korbach, Germany</t>
        </is>
      </c>
      <c r="B10582" t="inlineStr">
        <is>
          <t>Processing Unit</t>
        </is>
      </c>
      <c r="C10582" t="inlineStr">
        <is>
          <t>DQS CFS GmbH - Deutsche Gesellschaft für Nachhaltigkeit, Frankfurt am Main, DE</t>
        </is>
      </c>
      <c r="D10582" t="inlineStr">
        <is>
          <t>15.12.2026</t>
        </is>
      </c>
      <c r="E10582" t="inlineStr">
        <is>
          <t>Germany</t>
        </is>
      </c>
    </row>
    <row r="10583">
      <c r="A10583" t="inlineStr">
        <is>
          <t>Tedcastles Oil Products Unlimited Company,  Dublin 3, Ireland</t>
        </is>
      </c>
      <c r="B10583" t="inlineStr">
        <is>
          <t>Trader with Storage</t>
        </is>
      </c>
      <c r="C10583" t="inlineStr">
        <is>
          <t>DNV Business Assurance Sweden AB, Solna, SE</t>
        </is>
      </c>
      <c r="D10583" t="inlineStr">
        <is>
          <t>15.12.2026</t>
        </is>
      </c>
      <c r="E10583" t="inlineStr">
        <is>
          <t>Ireland</t>
        </is>
      </c>
    </row>
    <row r="10584">
      <c r="A10584" t="inlineStr">
        <is>
          <t>Chimbusco Pan Nation Petro-Chemical Co., Ltd.,  Hong Kong, Hong Kong</t>
        </is>
      </c>
      <c r="B10584" t="inlineStr">
        <is>
          <t>Trader with Storage</t>
        </is>
      </c>
      <c r="C10584" t="inlineStr">
        <is>
          <t>Control Union Certifications Germany GmbH, Berlin, DE</t>
        </is>
      </c>
      <c r="D10584" t="inlineStr">
        <is>
          <t>15.12.2026</t>
        </is>
      </c>
      <c r="E10584" t="inlineStr">
        <is>
          <t>Hong Kong</t>
        </is>
      </c>
    </row>
    <row r="10585">
      <c r="A10585" t="inlineStr">
        <is>
          <t>Yu Shian UCO Cleaning Co., Ltd,  Taichung City, Taiwan</t>
        </is>
      </c>
      <c r="B10585" t="inlineStr">
        <is>
          <t>Collecting Point, Trader with Storage</t>
        </is>
      </c>
      <c r="C10585" t="inlineStr">
        <is>
          <t>Trans Certification and Inspection Sdn Bhd, Kuantan, MY</t>
        </is>
      </c>
      <c r="D10585" t="inlineStr">
        <is>
          <t>15.12.2026</t>
        </is>
      </c>
      <c r="E10585" t="inlineStr">
        <is>
          <t>Taiwan</t>
        </is>
      </c>
    </row>
    <row r="10586">
      <c r="A10586" t="inlineStr">
        <is>
          <t>NAKAGAWA BUSSAN CO., LTD.,  Nagoya, Aichi, Japan</t>
        </is>
      </c>
      <c r="B10586" t="inlineStr">
        <is>
          <t>Trader with Storage</t>
        </is>
      </c>
      <c r="C10586" t="inlineStr">
        <is>
          <t>Control Union Certifications Germany GmbH, Berlin, DE</t>
        </is>
      </c>
      <c r="D10586" t="inlineStr">
        <is>
          <t>15.12.2026</t>
        </is>
      </c>
      <c r="E10586" t="inlineStr">
        <is>
          <t>Japan</t>
        </is>
      </c>
    </row>
    <row r="10587">
      <c r="A10587" t="inlineStr">
        <is>
          <t>South-China Company, Sinopec Chemical Commercial Holding Company Limited,  Guangzhou, China</t>
        </is>
      </c>
      <c r="B10587" t="inlineStr">
        <is>
          <t>Trader</t>
        </is>
      </c>
      <c r="C10587" t="inlineStr">
        <is>
          <t>China Classification Society Certification Co., Ltd, Dong Cheng District, Beijing, CN</t>
        </is>
      </c>
      <c r="D10587" t="inlineStr">
        <is>
          <t>15.12.2026</t>
        </is>
      </c>
      <c r="E10587" t="inlineStr">
        <is>
          <t>China</t>
        </is>
      </c>
    </row>
    <row r="10588">
      <c r="A10588" t="inlineStr">
        <is>
          <t>Shandong High Speed Shifang Environmental Energy Group CO.LTD,  Jinan City, Shandong Province, China</t>
        </is>
      </c>
      <c r="B10588" t="inlineStr">
        <is>
          <t>Trader</t>
        </is>
      </c>
      <c r="C10588" t="inlineStr">
        <is>
          <t>SCS Global Services, Emeryville, CA, US</t>
        </is>
      </c>
      <c r="D10588" t="inlineStr">
        <is>
          <t>15.12.2026</t>
        </is>
      </c>
      <c r="E10588" t="inlineStr">
        <is>
          <t>China</t>
        </is>
      </c>
    </row>
    <row r="10589">
      <c r="A10589" t="inlineStr">
        <is>
          <t>Phillips 66 Limited,  South Killingholme, North Lincolnshire, United Kingdom</t>
        </is>
      </c>
      <c r="B10589" t="inlineStr">
        <is>
          <t>Processing Unit, Trader with Storage</t>
        </is>
      </c>
      <c r="C10589" t="inlineStr">
        <is>
          <t>SGS Germany GmbH, Emstek, DE</t>
        </is>
      </c>
      <c r="D10589" t="inlineStr">
        <is>
          <t>15.12.2026</t>
        </is>
      </c>
      <c r="E10589" t="inlineStr">
        <is>
          <t>United Kingdom</t>
        </is>
      </c>
    </row>
    <row r="10590">
      <c r="A10590" t="inlineStr">
        <is>
          <t>PRIVATE JOINT-STOCK COMPANY MYRONIVSKY PLANT OF MANUFACTURING FEEDS AND GROATS,  Myronivka city Obukhiv district Kyiv region, Ukraine</t>
        </is>
      </c>
      <c r="B10590" t="inlineStr">
        <is>
          <t>First Gathering Point, Point of Origin, Processing Unit, Trader with Storage</t>
        </is>
      </c>
      <c r="C10590" t="inlineStr">
        <is>
          <t>Aciter Genelab LLC, Odessa, UA</t>
        </is>
      </c>
      <c r="D10590" t="inlineStr">
        <is>
          <t>15.12.2026</t>
        </is>
      </c>
      <c r="E10590" t="inlineStr">
        <is>
          <t>Ukraine</t>
        </is>
      </c>
    </row>
    <row r="10591">
      <c r="A10591" t="inlineStr">
        <is>
          <t>RAG Austria AG,  Wien, Austria</t>
        </is>
      </c>
      <c r="B10591" t="inlineStr">
        <is>
          <t>Trader</t>
        </is>
      </c>
      <c r="C10591" t="inlineStr">
        <is>
          <t>agroVet GmbH, Enzersfeld, AT</t>
        </is>
      </c>
      <c r="D10591" t="inlineStr">
        <is>
          <t>15.12.2026</t>
        </is>
      </c>
      <c r="E10591" t="inlineStr">
        <is>
          <t>Austria</t>
        </is>
      </c>
    </row>
    <row r="10592">
      <c r="A10592" t="inlineStr">
        <is>
          <t>UTB BV,  Dordrecht, Netherlands</t>
        </is>
      </c>
      <c r="B10592" t="inlineStr">
        <is>
          <t>Trader with Storage, Proof of Compliance Trader</t>
        </is>
      </c>
      <c r="C10592" t="inlineStr">
        <is>
          <t>DEKRA Certification B.V., Arnhem, NL</t>
        </is>
      </c>
      <c r="D10592" t="inlineStr">
        <is>
          <t>15.12.2026</t>
        </is>
      </c>
      <c r="E10592" t="inlineStr">
        <is>
          <t>Netherlands</t>
        </is>
      </c>
    </row>
    <row r="10593">
      <c r="A10593" t="inlineStr">
        <is>
          <t>Itochu Singapore Pte Ltd,  Singapore, Singapore</t>
        </is>
      </c>
      <c r="B10593" t="inlineStr">
        <is>
          <t>Trader</t>
        </is>
      </c>
      <c r="C10593" t="inlineStr">
        <is>
          <t>Control Union Certifications Germany GmbH, Berlin, DE</t>
        </is>
      </c>
      <c r="D10593" t="inlineStr">
        <is>
          <t>15.12.2026</t>
        </is>
      </c>
      <c r="E10593" t="inlineStr">
        <is>
          <t>Singapore</t>
        </is>
      </c>
    </row>
    <row r="10594">
      <c r="A10594" t="inlineStr">
        <is>
          <t>Itochu Singapore Pte Ltd,  Singapore, Singapore</t>
        </is>
      </c>
      <c r="B10594" t="inlineStr">
        <is>
          <t>Trader</t>
        </is>
      </c>
      <c r="C10594" t="inlineStr">
        <is>
          <t>Control Union Certifications Germany GmbH, Berlin, DE</t>
        </is>
      </c>
      <c r="D10594" t="inlineStr">
        <is>
          <t>15.12.2026</t>
        </is>
      </c>
      <c r="E10594" t="inlineStr">
        <is>
          <t>Singapore</t>
        </is>
      </c>
    </row>
    <row r="10595">
      <c r="A10595" t="inlineStr">
        <is>
          <t>QINGDAO CHANGSHIN JIMO FACTORY,  Qingdao City, China</t>
        </is>
      </c>
      <c r="B10595" t="inlineStr">
        <is>
          <t>Processing Unit</t>
        </is>
      </c>
      <c r="C10595" t="inlineStr">
        <is>
          <t>SGS Germany GmbH, Emstek, DE</t>
        </is>
      </c>
      <c r="D10595" t="inlineStr">
        <is>
          <t>15.12.2026</t>
        </is>
      </c>
      <c r="E10595" t="inlineStr">
        <is>
          <t>China</t>
        </is>
      </c>
    </row>
    <row r="10596">
      <c r="A10596" t="inlineStr">
        <is>
          <t>Reagro- Importação e Exportação,S.A.,  Lisbon, Portugal</t>
        </is>
      </c>
      <c r="B10596" t="inlineStr">
        <is>
          <t>Trader with Storage</t>
        </is>
      </c>
      <c r="C10596" t="inlineStr">
        <is>
          <t>SGS Germany GmbH, Emstek, DE</t>
        </is>
      </c>
      <c r="D10596" t="inlineStr">
        <is>
          <t>15.12.2026</t>
        </is>
      </c>
      <c r="E10596" t="inlineStr">
        <is>
          <t>Portugal</t>
        </is>
      </c>
    </row>
    <row r="10597">
      <c r="A10597" t="inlineStr">
        <is>
          <t>F.FAIGES, S.L.,  Daimiel, Spain</t>
        </is>
      </c>
      <c r="B10597" t="inlineStr">
        <is>
          <t>Point of Origin</t>
        </is>
      </c>
      <c r="C10597" t="inlineStr">
        <is>
          <t>Bureau Veritas Polska Sp. z o.o., Warsaw, PL</t>
        </is>
      </c>
      <c r="D10597" t="inlineStr">
        <is>
          <t>15.12.2026</t>
        </is>
      </c>
      <c r="E10597" t="inlineStr">
        <is>
          <t>Spain</t>
        </is>
      </c>
    </row>
    <row r="10598">
      <c r="A10598" t="inlineStr">
        <is>
          <t>Yuzhef-Mykolayiv Biogas Company LLC,  Shyroka Hreblya village, Ukraine</t>
        </is>
      </c>
      <c r="B10598" t="inlineStr">
        <is>
          <t>Processing Unit</t>
        </is>
      </c>
      <c r="C10598" t="inlineStr">
        <is>
          <t>BM Certification, Riga, LV</t>
        </is>
      </c>
      <c r="D10598" t="inlineStr">
        <is>
          <t>15.12.2026</t>
        </is>
      </c>
      <c r="E10598" t="inlineStr">
        <is>
          <t>Ukraine</t>
        </is>
      </c>
    </row>
    <row r="10599">
      <c r="A10599" t="inlineStr">
        <is>
          <t>ENEOS Materials Corporation, Yokkaichi Plant,  Yokkaichi-shi, Mie-ken, Japan</t>
        </is>
      </c>
      <c r="B10599" t="inlineStr">
        <is>
          <t>Processing Unit, Trader with Storage</t>
        </is>
      </c>
      <c r="C10599" t="inlineStr">
        <is>
          <t>SGS Germany GmbH, Emstek, DE</t>
        </is>
      </c>
      <c r="D10599" t="inlineStr">
        <is>
          <t>15.12.2026</t>
        </is>
      </c>
      <c r="E10599" t="inlineStr">
        <is>
          <t>Japan</t>
        </is>
      </c>
    </row>
    <row r="10600">
      <c r="A10600" t="inlineStr">
        <is>
          <t>Com-Ital Plast,  Montemurlo, Prato, Italy</t>
        </is>
      </c>
      <c r="B10600" t="inlineStr">
        <is>
          <t>Trader with Storage</t>
        </is>
      </c>
      <c r="C10600" t="inlineStr">
        <is>
          <t>SGS Germany GmbH, Emstek, DE</t>
        </is>
      </c>
      <c r="D10600" t="inlineStr">
        <is>
          <t>15.12.2026</t>
        </is>
      </c>
      <c r="E10600" t="inlineStr">
        <is>
          <t>Italy</t>
        </is>
      </c>
    </row>
    <row r="10601">
      <c r="A10601" t="inlineStr">
        <is>
          <t>Shell Deutschland GmbH,  Hamburg, Germany</t>
        </is>
      </c>
      <c r="B10601" t="inlineStr">
        <is>
          <t>Trader with Storage, Proof of Compliance Trader</t>
        </is>
      </c>
      <c r="C10601" t="inlineStr">
        <is>
          <t>SGS Germany GmbH, Emstek, DE</t>
        </is>
      </c>
      <c r="D10601" t="inlineStr">
        <is>
          <t>15.12.2026</t>
        </is>
      </c>
      <c r="E10601" t="inlineStr">
        <is>
          <t>Germany</t>
        </is>
      </c>
    </row>
    <row r="10602">
      <c r="A10602" t="inlineStr">
        <is>
          <t>GSI Creos Corporation,  Chuo-ku, Osaka-shi,, Japan</t>
        </is>
      </c>
      <c r="B10602" t="inlineStr">
        <is>
          <t>Trader</t>
        </is>
      </c>
      <c r="C10602" t="inlineStr">
        <is>
          <t>PT Intertek Utama Services, Jakarta, ID</t>
        </is>
      </c>
      <c r="D10602" t="inlineStr">
        <is>
          <t>15.12.2026</t>
        </is>
      </c>
      <c r="E10602" t="inlineStr">
        <is>
          <t>Japan</t>
        </is>
      </c>
    </row>
    <row r="10603">
      <c r="A10603" t="inlineStr">
        <is>
          <t>Toray Industries, Inc. Osaka Head Office,  Osaka, Japan</t>
        </is>
      </c>
      <c r="B10603" t="inlineStr">
        <is>
          <t>Trader</t>
        </is>
      </c>
      <c r="C10603" t="inlineStr">
        <is>
          <t>PT Intertek Utama Services, Jakarta, ID</t>
        </is>
      </c>
      <c r="D10603" t="inlineStr">
        <is>
          <t>15.12.2026</t>
        </is>
      </c>
      <c r="E10603" t="inlineStr">
        <is>
          <t>Japan</t>
        </is>
      </c>
    </row>
    <row r="10604">
      <c r="A10604" t="inlineStr">
        <is>
          <t>Jineng Low Carbon Technology (Yulin) Co., Ltd.,  Yu Lin, Guangxi Zhuang Autonomous Region, China</t>
        </is>
      </c>
      <c r="B10604" t="inlineStr">
        <is>
          <t>Collecting Point, Processing Unit</t>
        </is>
      </c>
      <c r="C10604" t="inlineStr">
        <is>
          <t>SCS Global Services, Emeryville, CA, US</t>
        </is>
      </c>
      <c r="D10604" t="inlineStr">
        <is>
          <t>15.12.2026</t>
        </is>
      </c>
      <c r="E10604" t="inlineStr">
        <is>
          <t>China</t>
        </is>
      </c>
    </row>
    <row r="10605">
      <c r="A10605" t="inlineStr">
        <is>
          <t>Marubeni Intex Co., Ltd.,  Tokyo, Japan</t>
        </is>
      </c>
      <c r="B10605" t="inlineStr">
        <is>
          <t>Trader</t>
        </is>
      </c>
      <c r="C10605" t="inlineStr">
        <is>
          <t>Trans Certification and Inspection Sdn Bhd, Kuantan, MY</t>
        </is>
      </c>
      <c r="D10605" t="inlineStr">
        <is>
          <t>15.12.2026</t>
        </is>
      </c>
      <c r="E10605" t="inlineStr">
        <is>
          <t>Japan</t>
        </is>
      </c>
    </row>
    <row r="10606">
      <c r="A10606" t="inlineStr">
        <is>
          <t>Specialty Marine Products and Ventures, SL,  A Cañiza, Spain</t>
        </is>
      </c>
      <c r="B10606" t="inlineStr">
        <is>
          <t>Point of Origin</t>
        </is>
      </c>
      <c r="C10606" t="inlineStr">
        <is>
          <t>Certificadora Gallega del Noroeste SL, Vilagarcia de Arousa-Pontevedra, ES</t>
        </is>
      </c>
      <c r="D10606" t="inlineStr">
        <is>
          <t>15.12.2026</t>
        </is>
      </c>
      <c r="E10606" t="inlineStr">
        <is>
          <t>Spain</t>
        </is>
      </c>
    </row>
    <row r="10607">
      <c r="A10607" t="inlineStr">
        <is>
          <t>Empresa Figueirense de Pesca, Lda,  A Cañiza, Spain</t>
        </is>
      </c>
      <c r="B10607" t="inlineStr">
        <is>
          <t>Trader</t>
        </is>
      </c>
      <c r="C10607" t="inlineStr">
        <is>
          <t>Certificadora Gallega del Noroeste SL, Vilagarcia de Arousa-Pontevedra, ES</t>
        </is>
      </c>
      <c r="D10607" t="inlineStr">
        <is>
          <t>15.12.2026</t>
        </is>
      </c>
      <c r="E10607" t="inlineStr">
        <is>
          <t>Spain</t>
        </is>
      </c>
    </row>
    <row r="10608">
      <c r="A10608" t="inlineStr">
        <is>
          <t>bor biyokütle enerji yatırım a.ş.,  Davulga, Emirdağ, Afyonkarahisar, Turkey</t>
        </is>
      </c>
      <c r="B10608" t="inlineStr">
        <is>
          <t>Processing Unit, Collecting Point</t>
        </is>
      </c>
      <c r="C10608" t="inlineStr">
        <is>
          <t>BM Certification, Riga, LV</t>
        </is>
      </c>
      <c r="D10608" t="inlineStr">
        <is>
          <t>15.12.2026</t>
        </is>
      </c>
      <c r="E10608" t="inlineStr">
        <is>
          <t>Turkey</t>
        </is>
      </c>
    </row>
    <row r="10609">
      <c r="A10609" t="inlineStr">
        <is>
          <t>Olivia Petroleum, Sau,  Cadiz, Spain</t>
        </is>
      </c>
      <c r="B10609" t="inlineStr">
        <is>
          <t>Trader with Storage, Warehouse</t>
        </is>
      </c>
      <c r="C10609" t="inlineStr">
        <is>
          <t>PT Intertek Utama Services, Jakarta, ID</t>
        </is>
      </c>
      <c r="D10609" t="inlineStr">
        <is>
          <t>15.12.2026</t>
        </is>
      </c>
      <c r="E10609" t="inlineStr">
        <is>
          <t>Spain</t>
        </is>
      </c>
    </row>
    <row r="10610">
      <c r="A10610" t="inlineStr">
        <is>
          <t>Sumber Jaya Industri Oleo,  Dumai, Indonesia</t>
        </is>
      </c>
      <c r="B10610" t="inlineStr">
        <is>
          <t>Processing Unit, Point of Origin, Trader with Storage</t>
        </is>
      </c>
      <c r="C10610" t="inlineStr">
        <is>
          <t>PT SBC Asia Sertifikasi, Kebumen, ID</t>
        </is>
      </c>
      <c r="D10610" t="inlineStr">
        <is>
          <t>15.12.2026</t>
        </is>
      </c>
      <c r="E10610" t="inlineStr">
        <is>
          <t>Indonesia</t>
        </is>
      </c>
    </row>
    <row r="10611">
      <c r="A10611" t="inlineStr">
        <is>
          <t>AGROVIT,  village Babanka, Ukraine</t>
        </is>
      </c>
      <c r="B10611" t="inlineStr">
        <is>
          <t>Central Office (Farms/Plantations), Farm / Plantation, First Gathering Point, Trader</t>
        </is>
      </c>
      <c r="C10611" t="inlineStr">
        <is>
          <t>BM Certification, Riga, LV</t>
        </is>
      </c>
      <c r="D10611" t="inlineStr">
        <is>
          <t>15.12.2026</t>
        </is>
      </c>
      <c r="E10611" t="inlineStr">
        <is>
          <t>Ukraine</t>
        </is>
      </c>
    </row>
    <row r="10612">
      <c r="A10612" t="inlineStr">
        <is>
          <t>AvantiGas Ltd,  Staveley, United Kingdom</t>
        </is>
      </c>
      <c r="B10612" t="inlineStr">
        <is>
          <t>Trader with Storage</t>
        </is>
      </c>
      <c r="C10612" t="inlineStr">
        <is>
          <t>Double Helix Tracking Technologies Pte Ltd, Singapore, SG</t>
        </is>
      </c>
      <c r="D10612" t="inlineStr">
        <is>
          <t>15.12.2026</t>
        </is>
      </c>
      <c r="E10612" t="inlineStr">
        <is>
          <t>United Kingdom</t>
        </is>
      </c>
    </row>
    <row r="10613">
      <c r="A10613" t="inlineStr">
        <is>
          <t>AvantiGas Ltd,  Staveley, United Kingdom</t>
        </is>
      </c>
      <c r="B10613" t="inlineStr">
        <is>
          <t>Trader with Storage</t>
        </is>
      </c>
      <c r="C10613" t="inlineStr">
        <is>
          <t>Double Helix Tracking Technologies Pte Ltd, Singapore, SG</t>
        </is>
      </c>
      <c r="D10613" t="inlineStr">
        <is>
          <t>15.12.2026</t>
        </is>
      </c>
      <c r="E10613" t="inlineStr">
        <is>
          <t>United Kingdom</t>
        </is>
      </c>
    </row>
    <row r="10614">
      <c r="A10614" t="inlineStr">
        <is>
          <t>Vandemoortel E&amp;N,  Kortemark, Belgium</t>
        </is>
      </c>
      <c r="B10614" t="inlineStr">
        <is>
          <t>Collecting Point, Trader with Storage</t>
        </is>
      </c>
      <c r="C10614" t="inlineStr">
        <is>
          <t>SGS Germany GmbH, Emstek, DE</t>
        </is>
      </c>
      <c r="D10614" t="inlineStr">
        <is>
          <t>15.12.2026</t>
        </is>
      </c>
      <c r="E10614" t="inlineStr">
        <is>
          <t>Belgium</t>
        </is>
      </c>
    </row>
    <row r="10615">
      <c r="A10615" t="inlineStr">
        <is>
          <t>Berry Superfos Pori Oy,  Pori, Finland</t>
        </is>
      </c>
      <c r="B10615" t="inlineStr">
        <is>
          <t>Trader with Storage</t>
        </is>
      </c>
      <c r="C10615" t="inlineStr">
        <is>
          <t>SGS Germany GmbH, Emstek, DE</t>
        </is>
      </c>
      <c r="D10615" t="inlineStr">
        <is>
          <t>15.12.2026</t>
        </is>
      </c>
      <c r="E10615" t="inlineStr">
        <is>
          <t>Finland</t>
        </is>
      </c>
    </row>
    <row r="10616">
      <c r="A10616" t="inlineStr">
        <is>
          <t>ESPET EXTRUSIONS,  BANDAR PUNCAK ALAM, Malaysia</t>
        </is>
      </c>
      <c r="B10616" t="inlineStr">
        <is>
          <t>Processing Unit</t>
        </is>
      </c>
      <c r="C10616" t="inlineStr">
        <is>
          <t>SGS Germany GmbH, Emstek, DE</t>
        </is>
      </c>
      <c r="D10616" t="inlineStr">
        <is>
          <t>15.12.2026</t>
        </is>
      </c>
      <c r="E10616" t="inlineStr">
        <is>
          <t>Malaysia</t>
        </is>
      </c>
    </row>
    <row r="10617">
      <c r="A10617" t="inlineStr">
        <is>
          <t>Meraxis,  Muri bei Bern, Switzerland</t>
        </is>
      </c>
      <c r="B10617" t="inlineStr">
        <is>
          <t>Trader</t>
        </is>
      </c>
      <c r="C10617" t="inlineStr">
        <is>
          <t>DIN CERTCO GmbH, Berlin, DE</t>
        </is>
      </c>
      <c r="D10617" t="inlineStr">
        <is>
          <t>15.12.2026</t>
        </is>
      </c>
      <c r="E10617" t="inlineStr">
        <is>
          <t>Switzerland</t>
        </is>
      </c>
    </row>
    <row r="10618">
      <c r="A10618" t="inlineStr">
        <is>
          <t>Foam Creations Mexico,  León, Guanajuato, Mexico</t>
        </is>
      </c>
      <c r="B10618" t="inlineStr">
        <is>
          <t>Processing Unit</t>
        </is>
      </c>
      <c r="C10618" t="inlineStr">
        <is>
          <t>RINA Services S.p.A., Genova, IT</t>
        </is>
      </c>
      <c r="D10618" t="inlineStr">
        <is>
          <t>15.12.2026</t>
        </is>
      </c>
      <c r="E10618" t="inlineStr">
        <is>
          <t>Mexico</t>
        </is>
      </c>
    </row>
    <row r="10619">
      <c r="A10619" t="inlineStr">
        <is>
          <t>BP PORTUGAL - Comércio de Combustíveis e Lubrificantes,  Porto Salvo, Oeiras, Portugal</t>
        </is>
      </c>
      <c r="B10619" t="inlineStr">
        <is>
          <t>Trader with Storage</t>
        </is>
      </c>
      <c r="C10619" t="inlineStr">
        <is>
          <t>Control Union Poland Sp. z o.o., Zielona Gora, PL</t>
        </is>
      </c>
      <c r="D10619" t="inlineStr">
        <is>
          <t>15.12.2026</t>
        </is>
      </c>
      <c r="E10619" t="inlineStr">
        <is>
          <t>Portugal</t>
        </is>
      </c>
    </row>
    <row r="10620">
      <c r="A10620" t="inlineStr">
        <is>
          <t>BP PORTUGAL - Comércio de Combustíveis e Lubrificantes,  Porto Salvo, Oeiras, Portugal</t>
        </is>
      </c>
      <c r="B10620" t="inlineStr">
        <is>
          <t>Trader with Storage</t>
        </is>
      </c>
      <c r="C10620" t="inlineStr">
        <is>
          <t>Control Union Poland Sp. z o.o., Zielona Gora, PL</t>
        </is>
      </c>
      <c r="D10620" t="inlineStr">
        <is>
          <t>15.12.2026</t>
        </is>
      </c>
      <c r="E10620" t="inlineStr">
        <is>
          <t>Portugal</t>
        </is>
      </c>
    </row>
    <row r="10621">
      <c r="A10621" t="inlineStr">
        <is>
          <t>Vitol Plastics SA,  Geneva, Switzerland</t>
        </is>
      </c>
      <c r="B10621" t="inlineStr">
        <is>
          <t>Collecting Point, Trader</t>
        </is>
      </c>
      <c r="C10621" t="inlineStr">
        <is>
          <t>DEKRA Certification B.V., Arnhem, NL</t>
        </is>
      </c>
      <c r="D10621" t="inlineStr">
        <is>
          <t>15.12.2026</t>
        </is>
      </c>
      <c r="E10621" t="inlineStr">
        <is>
          <t>Switzerland</t>
        </is>
      </c>
    </row>
    <row r="10622">
      <c r="A10622" t="inlineStr">
        <is>
          <t>NOCCIOLE MARCHISIO,  Cortemilia, Italy</t>
        </is>
      </c>
      <c r="B10622" t="inlineStr">
        <is>
          <t>Central Office (Group of Point of Origin)</t>
        </is>
      </c>
      <c r="C10622" t="inlineStr">
        <is>
          <t>Control Union Poland Sp. z o.o., Zielona Gora, PL</t>
        </is>
      </c>
      <c r="D10622" t="inlineStr">
        <is>
          <t>15.12.2026</t>
        </is>
      </c>
      <c r="E10622" t="inlineStr">
        <is>
          <t>Italy</t>
        </is>
      </c>
    </row>
    <row r="10623">
      <c r="A10623" t="inlineStr">
        <is>
          <t>Lubuk Rezeki Serasi Enterprise,  Kelantan, Malaysia</t>
        </is>
      </c>
      <c r="B10623" t="inlineStr">
        <is>
          <t>Collecting Point</t>
        </is>
      </c>
      <c r="C10623" t="inlineStr">
        <is>
          <t>PT Mutuagung Lestari, Depok, ID</t>
        </is>
      </c>
      <c r="D10623" t="inlineStr">
        <is>
          <t>15.12.2026</t>
        </is>
      </c>
      <c r="E10623" t="inlineStr">
        <is>
          <t>Malaysia</t>
        </is>
      </c>
    </row>
    <row r="10624">
      <c r="A10624" t="inlineStr">
        <is>
          <t>SML Films Limited,  ICHHAPORE, SURAT, India</t>
        </is>
      </c>
      <c r="B10624" t="inlineStr">
        <is>
          <t>Processing Unit</t>
        </is>
      </c>
      <c r="C10624" t="inlineStr">
        <is>
          <t>SGS Germany GmbH, Emstek, DE</t>
        </is>
      </c>
      <c r="D10624" t="inlineStr">
        <is>
          <t>15.12.2026</t>
        </is>
      </c>
      <c r="E10624" t="inlineStr">
        <is>
          <t>India</t>
        </is>
      </c>
    </row>
    <row r="10625">
      <c r="A10625" t="inlineStr">
        <is>
          <t>Biovegetal Combustiveis Biológicos e Vegetais SA,  Alhandra, Portugal</t>
        </is>
      </c>
      <c r="B10625" t="inlineStr">
        <is>
          <t>Point of Origin, Trader with Storage, Processing Unit</t>
        </is>
      </c>
      <c r="C10625" t="inlineStr">
        <is>
          <t>Control Union Poland Sp. z o.o., Zielona Gora, PL</t>
        </is>
      </c>
      <c r="D10625" t="inlineStr">
        <is>
          <t>15.12.2026</t>
        </is>
      </c>
      <c r="E10625" t="inlineStr">
        <is>
          <t>Portugal</t>
        </is>
      </c>
    </row>
    <row r="10626">
      <c r="A10626" t="inlineStr">
        <is>
          <t>AIRBUS SAS,  blagnac, France</t>
        </is>
      </c>
      <c r="B10626" t="inlineStr">
        <is>
          <t>Trader</t>
        </is>
      </c>
      <c r="C10626" t="inlineStr">
        <is>
          <t>SGS Germany GmbH, Emstek, DE</t>
        </is>
      </c>
      <c r="D10626" t="inlineStr">
        <is>
          <t>15.12.2026</t>
        </is>
      </c>
      <c r="E10626" t="inlineStr">
        <is>
          <t>France</t>
        </is>
      </c>
    </row>
    <row r="10627">
      <c r="A10627" t="inlineStr">
        <is>
          <t>Phillips 66 Limited,  South Killingholme, North Lincolnshire, United Kingdom</t>
        </is>
      </c>
      <c r="B10627" t="inlineStr">
        <is>
          <t>Processing Unit, Proof of Compliance Trader, Trader with Storage</t>
        </is>
      </c>
      <c r="C10627" t="inlineStr">
        <is>
          <t>SGS Germany GmbH, Emstek, DE</t>
        </is>
      </c>
      <c r="D10627" t="inlineStr">
        <is>
          <t>15.12.2026</t>
        </is>
      </c>
      <c r="E10627" t="inlineStr">
        <is>
          <t>United Kingdom</t>
        </is>
      </c>
    </row>
    <row r="10628">
      <c r="A10628" t="inlineStr">
        <is>
          <t>DONGGUAN YIYI OPTICAL COMPANY LTD,  ZHANGMUTOU TOWN, DONGGUAN, China</t>
        </is>
      </c>
      <c r="B10628" t="inlineStr">
        <is>
          <t>Final Product Refinement</t>
        </is>
      </c>
      <c r="C10628" t="inlineStr">
        <is>
          <t>RINA Services S.p.A., Genova, IT</t>
        </is>
      </c>
      <c r="D10628" t="inlineStr">
        <is>
          <t>14.12.2026</t>
        </is>
      </c>
      <c r="E10628" t="inlineStr">
        <is>
          <t>China</t>
        </is>
      </c>
    </row>
    <row r="10629">
      <c r="A10629" t="inlineStr">
        <is>
          <t>GLOBAL GREEN, s.r.o.,  Bratislava, Slovakia</t>
        </is>
      </c>
      <c r="B10629" t="inlineStr">
        <is>
          <t>Collecting Point, Trader</t>
        </is>
      </c>
      <c r="C10629" t="inlineStr">
        <is>
          <t>United Registrar of Systems Polska Sp. z o.o., Wrocław, PL</t>
        </is>
      </c>
      <c r="D10629" t="inlineStr">
        <is>
          <t>14.12.2026</t>
        </is>
      </c>
      <c r="E10629" t="inlineStr">
        <is>
          <t>Slovakia</t>
        </is>
      </c>
    </row>
    <row r="10630">
      <c r="A10630" t="inlineStr">
        <is>
          <t>Energie Teplárny Brno, s.r.o.,  Brno - Lesná, Czech Republic</t>
        </is>
      </c>
      <c r="B10630" t="inlineStr">
        <is>
          <t>Trader</t>
        </is>
      </c>
      <c r="C10630" t="inlineStr">
        <is>
          <t>United Registrar of Systems Polska Sp. z o.o., Wrocław, PL</t>
        </is>
      </c>
      <c r="D10630" t="inlineStr">
        <is>
          <t>14.12.2026</t>
        </is>
      </c>
      <c r="E10630" t="inlineStr">
        <is>
          <t>Czech Republic</t>
        </is>
      </c>
    </row>
    <row r="10631">
      <c r="A10631" t="inlineStr">
        <is>
          <t>Jiangsu Andefu Energy Development,  Nanjing, China</t>
        </is>
      </c>
      <c r="B10631" t="inlineStr">
        <is>
          <t>Trader with Storage</t>
        </is>
      </c>
      <c r="C10631" t="inlineStr">
        <is>
          <t>Bureau Veritas Polska Sp. z o.o., Warsaw, PL</t>
        </is>
      </c>
      <c r="D10631" t="inlineStr">
        <is>
          <t>14.12.2026</t>
        </is>
      </c>
      <c r="E10631" t="inlineStr">
        <is>
          <t>China</t>
        </is>
      </c>
    </row>
    <row r="10632">
      <c r="A10632" t="inlineStr">
        <is>
          <t>SOC. AGR. SEMPLICE COPPICELLE,  Corato, Italy</t>
        </is>
      </c>
      <c r="B10632" t="inlineStr">
        <is>
          <t>Farm / Plantation, Final Product Refinement</t>
        </is>
      </c>
      <c r="C10632" t="inlineStr">
        <is>
          <t>CSQA Certificazioni Srl, Thiene, IT</t>
        </is>
      </c>
      <c r="D10632" t="inlineStr">
        <is>
          <t>14.12.2026</t>
        </is>
      </c>
      <c r="E10632" t="inlineStr">
        <is>
          <t>Italy</t>
        </is>
      </c>
    </row>
    <row r="10633">
      <c r="A10633" t="inlineStr">
        <is>
          <t>UNITED CAPS WILTZ S.A.,  Wiltz, Luxembourg</t>
        </is>
      </c>
      <c r="B10633" t="inlineStr">
        <is>
          <t>Processing Unit</t>
        </is>
      </c>
      <c r="C10633" t="inlineStr">
        <is>
          <t>SGS Germany GmbH, Emstek, DE</t>
        </is>
      </c>
      <c r="D10633" t="inlineStr">
        <is>
          <t>14.12.2026</t>
        </is>
      </c>
      <c r="E10633" t="inlineStr">
        <is>
          <t>Luxembourg</t>
        </is>
      </c>
    </row>
    <row r="10634">
      <c r="A10634" t="inlineStr">
        <is>
          <t>PT Cahaya Bintang Sawit Sejati Petangis,  Kecamatan Batu Engau, Kabupaten Paser, Provinsi Kalimantan Timur, Indonesia</t>
        </is>
      </c>
      <c r="B10634" t="inlineStr">
        <is>
          <t>Point of Origin</t>
        </is>
      </c>
      <c r="C10634" t="inlineStr">
        <is>
          <t>PT. CBQA GLOBAL INDONESIA, JAKARTA SELATAN, ID</t>
        </is>
      </c>
      <c r="D10634" t="inlineStr">
        <is>
          <t>14.12.2026</t>
        </is>
      </c>
      <c r="E10634" t="inlineStr">
        <is>
          <t>Indonesia</t>
        </is>
      </c>
    </row>
    <row r="10635">
      <c r="A10635" t="inlineStr">
        <is>
          <t>PT Cahaya Bintang Sawit Sejati,  Desa Kuaro, Kecamatan Kuaro, Kabupaten Paser, Provinsi Kalimantan Timur, Indonesia</t>
        </is>
      </c>
      <c r="B10635" t="inlineStr">
        <is>
          <t>Point of Origin</t>
        </is>
      </c>
      <c r="C10635" t="inlineStr">
        <is>
          <t>PT. CBQA GLOBAL INDONESIA, JAKARTA SELATAN, ID</t>
        </is>
      </c>
      <c r="D10635" t="inlineStr">
        <is>
          <t>14.12.2026</t>
        </is>
      </c>
      <c r="E10635" t="inlineStr">
        <is>
          <t>Indonesia</t>
        </is>
      </c>
    </row>
    <row r="10636">
      <c r="A10636" t="inlineStr">
        <is>
          <t>MODERN RENEWABLES PTE. LTD.,  Singapore, Singapore</t>
        </is>
      </c>
      <c r="B10636" t="inlineStr">
        <is>
          <t>Trader</t>
        </is>
      </c>
      <c r="C10636" t="inlineStr">
        <is>
          <t>SCS Global Services, Emeryville, CA, US</t>
        </is>
      </c>
      <c r="D10636" t="inlineStr">
        <is>
          <t>14.12.2026</t>
        </is>
      </c>
      <c r="E10636" t="inlineStr">
        <is>
          <t>Singapore</t>
        </is>
      </c>
    </row>
    <row r="10637">
      <c r="A10637" t="inlineStr">
        <is>
          <t>Extractora El Estero,  Maní Casanare, Colombia</t>
        </is>
      </c>
      <c r="B10637" t="inlineStr">
        <is>
          <t>Processing Unit</t>
        </is>
      </c>
      <c r="C10637" t="inlineStr">
        <is>
          <t>SCS Global Services, Emeryville, CA, US</t>
        </is>
      </c>
      <c r="D10637" t="inlineStr">
        <is>
          <t>14.12.2026</t>
        </is>
      </c>
      <c r="E10637" t="inlineStr">
        <is>
          <t>Colombia</t>
        </is>
      </c>
    </row>
    <row r="10638">
      <c r="A10638" t="inlineStr">
        <is>
          <t>Extractora El Estero,  Maní Casanare, Colombia</t>
        </is>
      </c>
      <c r="B10638" t="inlineStr">
        <is>
          <t>Processing Unit, Point of Origin</t>
        </is>
      </c>
      <c r="C10638" t="inlineStr">
        <is>
          <t>SCS Global Services, Emeryville, CA, US</t>
        </is>
      </c>
      <c r="D10638" t="inlineStr">
        <is>
          <t>14.12.2026</t>
        </is>
      </c>
      <c r="E10638" t="inlineStr">
        <is>
          <t>Colombia</t>
        </is>
      </c>
    </row>
    <row r="10639">
      <c r="A10639" t="inlineStr">
        <is>
          <t>OBRIST EASTERN EUROPE,  Parta, Timis county, Romania</t>
        </is>
      </c>
      <c r="B10639" t="inlineStr">
        <is>
          <t>Processing Unit</t>
        </is>
      </c>
      <c r="C10639" t="inlineStr">
        <is>
          <t>CertRom SRL, Bucuresti, RO</t>
        </is>
      </c>
      <c r="D10639" t="inlineStr">
        <is>
          <t>14.12.2026</t>
        </is>
      </c>
      <c r="E10639" t="inlineStr">
        <is>
          <t>Romania</t>
        </is>
      </c>
    </row>
    <row r="10640">
      <c r="A10640" t="inlineStr">
        <is>
          <t>Ethanol Energy a.s.,  Vrdy, Czech Republic</t>
        </is>
      </c>
      <c r="B10640" t="inlineStr">
        <is>
          <t>First Gathering Point, Collecting Point, Point of Origin, Trader, Processing Unit</t>
        </is>
      </c>
      <c r="C10640" t="inlineStr">
        <is>
          <t>TÜV SÜD Czech s.r.o., Praha 4, CZ</t>
        </is>
      </c>
      <c r="D10640" t="inlineStr">
        <is>
          <t>14.12.2026</t>
        </is>
      </c>
      <c r="E10640" t="inlineStr">
        <is>
          <t>Czech Republic</t>
        </is>
      </c>
    </row>
    <row r="10641">
      <c r="A10641" t="inlineStr">
        <is>
          <t>Anglo Beef Processors uc T/A Functional Ingredients Ireland,  Cahir, Ireland</t>
        </is>
      </c>
      <c r="B10641" t="inlineStr">
        <is>
          <t>Point of Origin</t>
        </is>
      </c>
      <c r="C10641" t="inlineStr">
        <is>
          <t>Control Union Certifications Germany GmbH, Berlin, DE</t>
        </is>
      </c>
      <c r="D10641" t="inlineStr">
        <is>
          <t>14.12.2026</t>
        </is>
      </c>
      <c r="E10641" t="inlineStr">
        <is>
          <t>Ireland</t>
        </is>
      </c>
    </row>
    <row r="10642">
      <c r="A10642" t="inlineStr">
        <is>
          <t>Engie Energy Management,  Brussels, Belgium</t>
        </is>
      </c>
      <c r="B10642" t="inlineStr">
        <is>
          <t>Trader with Storage</t>
        </is>
      </c>
      <c r="C10642" t="inlineStr">
        <is>
          <t>Control Union Certifications Germany GmbH, Berlin, DE</t>
        </is>
      </c>
      <c r="D10642" t="inlineStr">
        <is>
          <t>14.12.2026</t>
        </is>
      </c>
      <c r="E10642" t="inlineStr">
        <is>
          <t>Belgium</t>
        </is>
      </c>
    </row>
    <row r="10643">
      <c r="A10643" t="inlineStr">
        <is>
          <t>Terichem Tervakoski, a.s.,  Svit, Slovakia</t>
        </is>
      </c>
      <c r="B10643" t="inlineStr">
        <is>
          <t>Processing Unit</t>
        </is>
      </c>
      <c r="C10643" t="inlineStr">
        <is>
          <t>DNV Business Assurance Sweden AB, Solna, SE</t>
        </is>
      </c>
      <c r="D10643" t="inlineStr">
        <is>
          <t>14.12.2026</t>
        </is>
      </c>
      <c r="E10643" t="inlineStr">
        <is>
          <t>Slovakia</t>
        </is>
      </c>
    </row>
    <row r="10644">
      <c r="A10644" t="inlineStr">
        <is>
          <t>STOLTHAVEN (WESTPORT) SDN BHD,  Westport, Port Klang, Malaysia</t>
        </is>
      </c>
      <c r="B10644" t="inlineStr">
        <is>
          <t>Warehouse</t>
        </is>
      </c>
      <c r="C10644" t="inlineStr">
        <is>
          <t>Trans Certification and Inspection Sdn Bhd, Kuantan, MY</t>
        </is>
      </c>
      <c r="D10644" t="inlineStr">
        <is>
          <t>14.12.2026</t>
        </is>
      </c>
      <c r="E10644" t="inlineStr">
        <is>
          <t>Malaysia</t>
        </is>
      </c>
    </row>
    <row r="10645">
      <c r="A10645" t="inlineStr">
        <is>
          <t>Skymark Packaging International Ltd.,  Scunthorpe, United Kingdom</t>
        </is>
      </c>
      <c r="B10645" t="inlineStr">
        <is>
          <t>Processing Unit</t>
        </is>
      </c>
      <c r="C10645" t="inlineStr">
        <is>
          <t>Aardvark Certification Ltd, Wiveliscombe, Somerset, GB</t>
        </is>
      </c>
      <c r="D10645" t="inlineStr">
        <is>
          <t>14.12.2026</t>
        </is>
      </c>
      <c r="E10645" t="inlineStr">
        <is>
          <t>United Kingdom</t>
        </is>
      </c>
    </row>
    <row r="10646">
      <c r="A10646" t="inlineStr">
        <is>
          <t>Hongrita Precision Component (ZhongShan) Ltd.,  Zhongshan City, Guangdong Province, China</t>
        </is>
      </c>
      <c r="B10646" t="inlineStr">
        <is>
          <t>Processing Unit</t>
        </is>
      </c>
      <c r="C10646" t="inlineStr">
        <is>
          <t>DIN CERTCO GmbH, Berlin, DE</t>
        </is>
      </c>
      <c r="D10646" t="inlineStr">
        <is>
          <t>14.12.2026</t>
        </is>
      </c>
      <c r="E10646" t="inlineStr">
        <is>
          <t>China</t>
        </is>
      </c>
    </row>
    <row r="10647">
      <c r="A10647" t="inlineStr">
        <is>
          <t>Hongrita Precision Component (M) SDN BHD,  Simpang Ampat, Pulau Pinang PT.1213 &amp; 1216, Malaysia</t>
        </is>
      </c>
      <c r="B10647" t="inlineStr">
        <is>
          <t>Processing Unit</t>
        </is>
      </c>
      <c r="C10647" t="inlineStr">
        <is>
          <t>DIN CERTCO GmbH, Berlin, DE</t>
        </is>
      </c>
      <c r="D10647" t="inlineStr">
        <is>
          <t>14.12.2026</t>
        </is>
      </c>
      <c r="E10647" t="inlineStr">
        <is>
          <t>Malaysia</t>
        </is>
      </c>
    </row>
    <row r="10648">
      <c r="A10648" t="inlineStr">
        <is>
          <t>Hongrita Plastics Limited,  Hong Kong, China</t>
        </is>
      </c>
      <c r="B10648" t="inlineStr">
        <is>
          <t>Trader</t>
        </is>
      </c>
      <c r="C10648" t="inlineStr">
        <is>
          <t>DIN CERTCO GmbH, Berlin, DE</t>
        </is>
      </c>
      <c r="D10648" t="inlineStr">
        <is>
          <t>14.12.2026</t>
        </is>
      </c>
      <c r="E10648" t="inlineStr">
        <is>
          <t>China</t>
        </is>
      </c>
    </row>
    <row r="10649">
      <c r="A10649" t="inlineStr">
        <is>
          <t>Anja, spol. s. r.o.,  Bratislava, Slovakia</t>
        </is>
      </c>
      <c r="B10649" t="inlineStr">
        <is>
          <t>First Gathering Point, Trader with Storage</t>
        </is>
      </c>
      <c r="C10649" t="inlineStr">
        <is>
          <t>United Registrar of Systems Polska Sp. z o.o., Wrocław, PL</t>
        </is>
      </c>
      <c r="D10649" t="inlineStr">
        <is>
          <t>14.12.2026</t>
        </is>
      </c>
      <c r="E10649" t="inlineStr">
        <is>
          <t>Slovakia</t>
        </is>
      </c>
    </row>
    <row r="10650">
      <c r="A10650" t="inlineStr">
        <is>
          <t>Corsair Finland,  Jamsa, Kaipola Factory, Finland</t>
        </is>
      </c>
      <c r="B10650" t="inlineStr">
        <is>
          <t>Collecting Point, Processing Unit</t>
        </is>
      </c>
      <c r="C10650" t="inlineStr">
        <is>
          <t>Control Union Certifications Germany GmbH, Berlin, DE</t>
        </is>
      </c>
      <c r="D10650" t="inlineStr">
        <is>
          <t>14.12.2026</t>
        </is>
      </c>
      <c r="E10650" t="inlineStr">
        <is>
          <t>Finland</t>
        </is>
      </c>
    </row>
    <row r="10651">
      <c r="A10651" t="inlineStr">
        <is>
          <t>Sumitomo Corporation,  Tokyo, Japan</t>
        </is>
      </c>
      <c r="B10651" t="inlineStr">
        <is>
          <t>Trader with Storage</t>
        </is>
      </c>
      <c r="C10651" t="inlineStr">
        <is>
          <t>Control Union Certifications Germany GmbH, Berlin, DE</t>
        </is>
      </c>
      <c r="D10651" t="inlineStr">
        <is>
          <t>14.12.2026</t>
        </is>
      </c>
      <c r="E10651" t="inlineStr">
        <is>
          <t>Japan</t>
        </is>
      </c>
    </row>
    <row r="10652">
      <c r="A10652" t="inlineStr">
        <is>
          <t>Sumitomo Corporation,  Tokyo, Japan</t>
        </is>
      </c>
      <c r="B10652" t="inlineStr">
        <is>
          <t>Trader</t>
        </is>
      </c>
      <c r="C10652" t="inlineStr">
        <is>
          <t>Control Union Certifications Germany GmbH, Berlin, DE</t>
        </is>
      </c>
      <c r="D10652" t="inlineStr">
        <is>
          <t>14.12.2026</t>
        </is>
      </c>
      <c r="E10652" t="inlineStr">
        <is>
          <t>Japan</t>
        </is>
      </c>
    </row>
    <row r="10653">
      <c r="A10653" t="inlineStr">
        <is>
          <t>Sumitomo Corporation,  Tokyo, Japan</t>
        </is>
      </c>
      <c r="B10653" t="inlineStr">
        <is>
          <t>Trader with Storage</t>
        </is>
      </c>
      <c r="C10653" t="inlineStr">
        <is>
          <t>Control Union Certifications Germany GmbH, Berlin, DE</t>
        </is>
      </c>
      <c r="D10653" t="inlineStr">
        <is>
          <t>14.12.2026</t>
        </is>
      </c>
      <c r="E10653" t="inlineStr">
        <is>
          <t>Japan</t>
        </is>
      </c>
    </row>
    <row r="10654">
      <c r="A10654" t="inlineStr">
        <is>
          <t>Toray Industries,   Chiba-Plant,  Ichihara, Chiba, Japan</t>
        </is>
      </c>
      <c r="B10654" t="inlineStr">
        <is>
          <t>Processing Unit</t>
        </is>
      </c>
      <c r="C10654" t="inlineStr">
        <is>
          <t>TÜV SÜD Industrie Service GmbH, München, DE</t>
        </is>
      </c>
      <c r="D10654" t="inlineStr">
        <is>
          <t>14.12.2026</t>
        </is>
      </c>
      <c r="E10654" t="inlineStr">
        <is>
          <t>Japan</t>
        </is>
      </c>
    </row>
    <row r="10655">
      <c r="A10655" t="inlineStr">
        <is>
          <t>Braskem America, Inc - PP9 Marcus Hook Plant,  Marcus Hook. Pa, United States</t>
        </is>
      </c>
      <c r="B10655" t="inlineStr">
        <is>
          <t>Processing Unit</t>
        </is>
      </c>
      <c r="C10655" t="inlineStr">
        <is>
          <t>DQS CFS GmbH - Deutsche Gesellschaft für Nachhaltigkeit, Frankfurt am Main, DE</t>
        </is>
      </c>
      <c r="D10655" t="inlineStr">
        <is>
          <t>14.12.2026</t>
        </is>
      </c>
      <c r="E10655" t="inlineStr">
        <is>
          <t>United States</t>
        </is>
      </c>
    </row>
    <row r="10656">
      <c r="A10656" t="inlineStr">
        <is>
          <t>Abadi Energi Nabati,  Kota Bandar Lampung, Indonesia</t>
        </is>
      </c>
      <c r="B10656" t="inlineStr">
        <is>
          <t>Point of Origin, Trader with Storage, Processing Unit</t>
        </is>
      </c>
      <c r="C10656" t="inlineStr">
        <is>
          <t>PT. Qualitas Sertifikasi Indonesia, Jakarta, ID</t>
        </is>
      </c>
      <c r="D10656" t="inlineStr">
        <is>
          <t>14.12.2026</t>
        </is>
      </c>
      <c r="E10656" t="inlineStr">
        <is>
          <t>Indonesia</t>
        </is>
      </c>
    </row>
    <row r="10657">
      <c r="A10657" t="inlineStr">
        <is>
          <t>Vivochem B.V.,  Almelo, Netherlands</t>
        </is>
      </c>
      <c r="B10657" t="inlineStr">
        <is>
          <t>Trader with Storage</t>
        </is>
      </c>
      <c r="C10657" t="inlineStr">
        <is>
          <t>GUT Certifizierungsgesellschaft für Managementsysteme mbH Umweltgutachter, Berlin, DE</t>
        </is>
      </c>
      <c r="D10657" t="inlineStr">
        <is>
          <t>14.12.2026</t>
        </is>
      </c>
      <c r="E10657" t="inlineStr">
        <is>
          <t>Netherlands</t>
        </is>
      </c>
    </row>
    <row r="10658">
      <c r="A10658" t="inlineStr">
        <is>
          <t>BÜFA Chemikalien GmbH &amp; Co.KG,  Hude, Germany</t>
        </is>
      </c>
      <c r="B10658" t="inlineStr">
        <is>
          <t>Trader with Storage</t>
        </is>
      </c>
      <c r="C10658" t="inlineStr">
        <is>
          <t>GUT Certifizierungsgesellschaft für Managementsysteme mbH Umweltgutachter, Berlin, DE</t>
        </is>
      </c>
      <c r="D10658" t="inlineStr">
        <is>
          <t>14.12.2026</t>
        </is>
      </c>
      <c r="E10658" t="inlineStr">
        <is>
          <t>Germany</t>
        </is>
      </c>
    </row>
    <row r="10659">
      <c r="A10659" t="inlineStr">
        <is>
          <t>Sieco S.R.L.,  Viterbo, Italy</t>
        </is>
      </c>
      <c r="B10659" t="inlineStr">
        <is>
          <t>Collecting Point</t>
        </is>
      </c>
      <c r="C10659" t="inlineStr">
        <is>
          <t>SGS Germany GmbH, Emstek, DE</t>
        </is>
      </c>
      <c r="D10659" t="inlineStr">
        <is>
          <t>14.12.2026</t>
        </is>
      </c>
      <c r="E10659" t="inlineStr">
        <is>
          <t>Italy</t>
        </is>
      </c>
    </row>
    <row r="10660">
      <c r="A10660" t="inlineStr">
        <is>
          <t>Vitol Aviation B.V.,  Rotterdam, The Netherlands</t>
        </is>
      </c>
      <c r="B10660" t="inlineStr">
        <is>
          <t>Trader, Proof of Compliance Trader</t>
        </is>
      </c>
      <c r="C10660" t="inlineStr">
        <is>
          <t>DEKRA Certification B.V., Arnhem, NL</t>
        </is>
      </c>
      <c r="D10660" t="inlineStr">
        <is>
          <t>14.12.2026</t>
        </is>
      </c>
      <c r="E10660" t="inlineStr">
        <is>
          <t>The Netherlands</t>
        </is>
      </c>
    </row>
    <row r="10661">
      <c r="A10661" t="inlineStr">
        <is>
          <t>Sachsenmilch Leppersdorf GmbH,  Leppersdorf, Germany</t>
        </is>
      </c>
      <c r="B10661" t="inlineStr">
        <is>
          <t>Collecting Point, Processing Unit</t>
        </is>
      </c>
      <c r="C10661" t="inlineStr">
        <is>
          <t>SGS Germany GmbH, Emstek, DE</t>
        </is>
      </c>
      <c r="D10661" t="inlineStr">
        <is>
          <t>14.12.2026</t>
        </is>
      </c>
      <c r="E10661" t="inlineStr">
        <is>
          <t>Germany</t>
        </is>
      </c>
    </row>
    <row r="10662">
      <c r="A10662" t="inlineStr">
        <is>
          <t>Bischof &amp; Klein (UK) Ltd,  Telford, Shropshire, United Kingdom</t>
        </is>
      </c>
      <c r="B10662" t="inlineStr">
        <is>
          <t>Processing Unit</t>
        </is>
      </c>
      <c r="C10662" t="inlineStr">
        <is>
          <t>SGS Germany GmbH, Emstek, DE</t>
        </is>
      </c>
      <c r="D10662" t="inlineStr">
        <is>
          <t>14.12.2026</t>
        </is>
      </c>
      <c r="E10662" t="inlineStr">
        <is>
          <t>United Kingdom</t>
        </is>
      </c>
    </row>
    <row r="10663">
      <c r="A10663" t="inlineStr">
        <is>
          <t>Sumitomo Chemical Co, , Ltd.,  Niihama City, Ehime, Japan</t>
        </is>
      </c>
      <c r="B10663" t="inlineStr">
        <is>
          <t>Processing Unit, Trader with Storage</t>
        </is>
      </c>
      <c r="C10663" t="inlineStr">
        <is>
          <t>SGS Germany GmbH, Emstek, DE</t>
        </is>
      </c>
      <c r="D10663" t="inlineStr">
        <is>
          <t>14.12.2026</t>
        </is>
      </c>
      <c r="E10663" t="inlineStr">
        <is>
          <t>Japan</t>
        </is>
      </c>
    </row>
    <row r="10664">
      <c r="A10664" t="inlineStr">
        <is>
          <t>High Protein Ltd.,  Provadia, Bulgaria</t>
        </is>
      </c>
      <c r="B10664" t="inlineStr">
        <is>
          <t>Point of Origin, Processing Unit, Trader with Storage</t>
        </is>
      </c>
      <c r="C10664" t="inlineStr">
        <is>
          <t>SGS Germany GmbH, Emstek, DE</t>
        </is>
      </c>
      <c r="D10664" t="inlineStr">
        <is>
          <t>14.12.2026</t>
        </is>
      </c>
      <c r="E10664" t="inlineStr">
        <is>
          <t>Bulgaria</t>
        </is>
      </c>
    </row>
    <row r="10665">
      <c r="A10665" t="inlineStr">
        <is>
          <t>PRJSC ORIL-LEADER,  Petrykivka territorial community, Dnipro district, Ukraine</t>
        </is>
      </c>
      <c r="B10665" t="inlineStr">
        <is>
          <t>Point of Origin, Processing Unit</t>
        </is>
      </c>
      <c r="C10665" t="inlineStr">
        <is>
          <t>BM Certification, Riga, LV</t>
        </is>
      </c>
      <c r="D10665" t="inlineStr">
        <is>
          <t>14.12.2026</t>
        </is>
      </c>
      <c r="E10665" t="inlineStr">
        <is>
          <t>Ukraine</t>
        </is>
      </c>
    </row>
    <row r="10666">
      <c r="A10666" t="inlineStr">
        <is>
          <t>Oil2U,  Mangere, New Zealand</t>
        </is>
      </c>
      <c r="B10666" t="inlineStr">
        <is>
          <t>Collecting Point, Trader with Storage</t>
        </is>
      </c>
      <c r="C10666" t="inlineStr">
        <is>
          <t>SGS Germany GmbH, Emstek, DE</t>
        </is>
      </c>
      <c r="D10666" t="inlineStr">
        <is>
          <t>14.12.2026</t>
        </is>
      </c>
      <c r="E10666" t="inlineStr">
        <is>
          <t>New Zealand</t>
        </is>
      </c>
    </row>
    <row r="10667">
      <c r="A10667" t="inlineStr">
        <is>
          <t>UBE-MARUZEN POLYETHYLENE CO., LTD.,  Ichihara, Chiba, Japan</t>
        </is>
      </c>
      <c r="B10667" t="inlineStr">
        <is>
          <t>Processing Unit</t>
        </is>
      </c>
      <c r="C10667" t="inlineStr">
        <is>
          <t>SGS Germany GmbH, Emstek, DE</t>
        </is>
      </c>
      <c r="D10667" t="inlineStr">
        <is>
          <t>14.12.2026</t>
        </is>
      </c>
      <c r="E10667" t="inlineStr">
        <is>
          <t>Japan</t>
        </is>
      </c>
    </row>
    <row r="10668">
      <c r="A10668" t="inlineStr">
        <is>
          <t>Debaj Trading Establishment,  Riyadh, Saudi Arabia</t>
        </is>
      </c>
      <c r="B10668" t="inlineStr">
        <is>
          <t>Collecting Point, Trader with Storage</t>
        </is>
      </c>
      <c r="C10668" t="inlineStr">
        <is>
          <t>PT Mutuagung Lestari, Depok, ID</t>
        </is>
      </c>
      <c r="D10668" t="inlineStr">
        <is>
          <t>14.12.2026</t>
        </is>
      </c>
      <c r="E10668" t="inlineStr">
        <is>
          <t>Saudi Arabia</t>
        </is>
      </c>
    </row>
    <row r="10669">
      <c r="A10669" t="inlineStr">
        <is>
          <t>My Green,  Ferentino (Frosinone), Italy</t>
        </is>
      </c>
      <c r="B10669" t="inlineStr">
        <is>
          <t>Collecting Point, Trader with Storage, Processing Unit</t>
        </is>
      </c>
      <c r="C10669" t="inlineStr">
        <is>
          <t>SGS Germany GmbH, Emstek, DE</t>
        </is>
      </c>
      <c r="D10669" t="inlineStr">
        <is>
          <t>14.12.2026</t>
        </is>
      </c>
      <c r="E10669" t="inlineStr">
        <is>
          <t>Italy</t>
        </is>
      </c>
    </row>
    <row r="10670">
      <c r="A10670" t="inlineStr">
        <is>
          <t>ČEPRO,  Prag, Czech Republic</t>
        </is>
      </c>
      <c r="B10670" t="inlineStr">
        <is>
          <t>Trader with Storage</t>
        </is>
      </c>
      <c r="C10670" t="inlineStr">
        <is>
          <t>SGS Germany GmbH, Emstek, DE</t>
        </is>
      </c>
      <c r="D10670" t="inlineStr">
        <is>
          <t>14.12.2026</t>
        </is>
      </c>
      <c r="E10670" t="inlineStr">
        <is>
          <t>Czech Republic</t>
        </is>
      </c>
    </row>
    <row r="10671">
      <c r="A10671" t="inlineStr">
        <is>
          <t>Green Fire New Energy（Zhongshan）Co.,Ltd.,  Zhongshan City, Guangdong Province, China</t>
        </is>
      </c>
      <c r="B10671" t="inlineStr">
        <is>
          <t>Collecting Point, Processing Unit, Trader with Storage</t>
        </is>
      </c>
      <c r="C10671" t="inlineStr">
        <is>
          <t>SCS Global Services, Emeryville, CA, US</t>
        </is>
      </c>
      <c r="D10671" t="inlineStr">
        <is>
          <t>14.12.2026</t>
        </is>
      </c>
      <c r="E10671" t="inlineStr">
        <is>
          <t>China</t>
        </is>
      </c>
    </row>
    <row r="10672">
      <c r="A10672" t="inlineStr">
        <is>
          <t>Liberawise Co., Ltd.,  Kanda Tomiyamacho, Chiyoda-ku, Japan</t>
        </is>
      </c>
      <c r="B10672" t="inlineStr">
        <is>
          <t>Trader</t>
        </is>
      </c>
      <c r="C10672" t="inlineStr">
        <is>
          <t>PT Intertek Utama Services, Jakarta, ID</t>
        </is>
      </c>
      <c r="D10672" t="inlineStr">
        <is>
          <t>14.12.2026</t>
        </is>
      </c>
      <c r="E10672" t="inlineStr">
        <is>
          <t>Japan</t>
        </is>
      </c>
    </row>
    <row r="10673">
      <c r="A10673" t="inlineStr">
        <is>
          <t>Merangkai Artha Nusantara,  Provinsi Riau Indonesia, Indonesia</t>
        </is>
      </c>
      <c r="B10673" t="inlineStr">
        <is>
          <t>Point of Origin</t>
        </is>
      </c>
      <c r="C10673" t="inlineStr">
        <is>
          <t>PT. Qualitas Sertifikasi Indonesia, Jakarta, ID</t>
        </is>
      </c>
      <c r="D10673" t="inlineStr">
        <is>
          <t>14.12.2026</t>
        </is>
      </c>
      <c r="E10673" t="inlineStr">
        <is>
          <t>Indonesia</t>
        </is>
      </c>
    </row>
    <row r="10674">
      <c r="A10674" t="inlineStr">
        <is>
          <t>SÜDPACK Medica AG,  Baar, Switzerland</t>
        </is>
      </c>
      <c r="B10674" t="inlineStr">
        <is>
          <t>Trader</t>
        </is>
      </c>
      <c r="C10674" t="inlineStr">
        <is>
          <t>DIN CERTCO GmbH, Berlin, DE</t>
        </is>
      </c>
      <c r="D10674" t="inlineStr">
        <is>
          <t>14.12.2026</t>
        </is>
      </c>
      <c r="E10674" t="inlineStr">
        <is>
          <t>Switzerland</t>
        </is>
      </c>
    </row>
    <row r="10675">
      <c r="A10675" t="inlineStr">
        <is>
          <t>PT. PERMATA ANDALAN SAWIT,  Lampung Tengah Regency, Indonesia</t>
        </is>
      </c>
      <c r="B10675" t="inlineStr">
        <is>
          <t>Point of Origin</t>
        </is>
      </c>
      <c r="C10675" t="inlineStr">
        <is>
          <t>PT. Qualitas Sertifikasi Indonesia, Jakarta, ID</t>
        </is>
      </c>
      <c r="D10675" t="inlineStr">
        <is>
          <t>14.12.2026</t>
        </is>
      </c>
      <c r="E10675" t="inlineStr">
        <is>
          <t>Indonesia</t>
        </is>
      </c>
    </row>
    <row r="10676">
      <c r="A10676" t="inlineStr">
        <is>
          <t>GREENEX INTERNATIONAL LIMITED,  HONGKONG, Hong Kong (SAR)</t>
        </is>
      </c>
      <c r="B10676" t="inlineStr">
        <is>
          <t>Trader</t>
        </is>
      </c>
      <c r="C10676" t="inlineStr">
        <is>
          <t>SCS Global Services, Emeryville, CA, US</t>
        </is>
      </c>
      <c r="D10676" t="inlineStr">
        <is>
          <t>14.12.2026</t>
        </is>
      </c>
      <c r="E10676" t="inlineStr">
        <is>
          <t>Hong Kong (SAR)</t>
        </is>
      </c>
    </row>
    <row r="10677">
      <c r="A10677" t="inlineStr">
        <is>
          <t>SINOELITE PETROLEUM LIMITED,  Shanghai, China</t>
        </is>
      </c>
      <c r="B10677" t="inlineStr">
        <is>
          <t>Trader</t>
        </is>
      </c>
      <c r="C10677" t="inlineStr">
        <is>
          <t>SCS Global Services, Emeryville, CA, US</t>
        </is>
      </c>
      <c r="D10677" t="inlineStr">
        <is>
          <t>14.12.2026</t>
        </is>
      </c>
      <c r="E10677" t="inlineStr">
        <is>
          <t>China</t>
        </is>
      </c>
    </row>
    <row r="10678">
      <c r="A10678" t="inlineStr">
        <is>
          <t>Commonwealth Bank of Australia,  Sydney, New South Wales, Australia</t>
        </is>
      </c>
      <c r="B10678" t="inlineStr">
        <is>
          <t>Trader</t>
        </is>
      </c>
      <c r="C10678" t="inlineStr">
        <is>
          <t>Control Union Certifications Germany GmbH, Berlin, DE</t>
        </is>
      </c>
      <c r="D10678" t="inlineStr">
        <is>
          <t>14.12.2026</t>
        </is>
      </c>
      <c r="E10678" t="inlineStr">
        <is>
          <t>Australia</t>
        </is>
      </c>
    </row>
    <row r="10679">
      <c r="A10679" t="inlineStr">
        <is>
          <t>Commonwealth Bank of Australia,  Sydney, New South Wales, Australia</t>
        </is>
      </c>
      <c r="B10679" t="inlineStr">
        <is>
          <t>Trader</t>
        </is>
      </c>
      <c r="C10679" t="inlineStr">
        <is>
          <t>Control Union Certifications Germany GmbH, Berlin, DE</t>
        </is>
      </c>
      <c r="D10679" t="inlineStr">
        <is>
          <t>14.12.2026</t>
        </is>
      </c>
      <c r="E10679" t="inlineStr">
        <is>
          <t>Australia</t>
        </is>
      </c>
    </row>
    <row r="10680">
      <c r="A10680" t="inlineStr">
        <is>
          <t>Mandiri Sawit Bersama,  Padang Lawas Regency, North Sumatra Province, Indonesia</t>
        </is>
      </c>
      <c r="B10680" t="inlineStr">
        <is>
          <t>Point of Origin</t>
        </is>
      </c>
      <c r="C10680" t="inlineStr">
        <is>
          <t>PT. Qualitas Sertifikasi Indonesia, Jakarta, ID</t>
        </is>
      </c>
      <c r="D10680" t="inlineStr">
        <is>
          <t>14.12.2026</t>
        </is>
      </c>
      <c r="E10680" t="inlineStr">
        <is>
          <t>Indonesia</t>
        </is>
      </c>
    </row>
    <row r="10681">
      <c r="A10681" t="inlineStr">
        <is>
          <t>RITRAMA POLAND,  Dobroszyce, Poland</t>
        </is>
      </c>
      <c r="B10681" t="inlineStr">
        <is>
          <t>Final Product Refinement, Trader with Storage</t>
        </is>
      </c>
      <c r="C10681" t="inlineStr">
        <is>
          <t>SGS Germany GmbH, Emstek, DE</t>
        </is>
      </c>
      <c r="D10681" t="inlineStr">
        <is>
          <t>14.12.2026</t>
        </is>
      </c>
      <c r="E10681" t="inlineStr">
        <is>
          <t>Poland</t>
        </is>
      </c>
    </row>
    <row r="10682">
      <c r="A10682" t="inlineStr">
        <is>
          <t>PT. Musim Mas,  Medan, Sumatera Utara, Indonesia</t>
        </is>
      </c>
      <c r="B10682" t="inlineStr">
        <is>
          <t>Point of Origin, Processing Unit, Trader, Warehouse</t>
        </is>
      </c>
      <c r="C10682" t="inlineStr">
        <is>
          <t>Control Union Certifications Germany GmbH, Berlin, DE</t>
        </is>
      </c>
      <c r="D10682" t="inlineStr">
        <is>
          <t>14.12.2026</t>
        </is>
      </c>
      <c r="E10682" t="inlineStr">
        <is>
          <t>Indonesia</t>
        </is>
      </c>
    </row>
    <row r="10683">
      <c r="A10683" t="inlineStr">
        <is>
          <t>UNEQ S.R.L.,  Kyiv, Ukraine</t>
        </is>
      </c>
      <c r="B10683" t="inlineStr">
        <is>
          <t>Trader</t>
        </is>
      </c>
      <c r="C10683" t="inlineStr">
        <is>
          <t>Organic Standard Ltd, Kyiv, UA</t>
        </is>
      </c>
      <c r="D10683" t="inlineStr">
        <is>
          <t>14.12.2026</t>
        </is>
      </c>
      <c r="E10683" t="inlineStr">
        <is>
          <t>Ukraine</t>
        </is>
      </c>
    </row>
    <row r="10684">
      <c r="A10684" t="inlineStr">
        <is>
          <t>SAKAI TRADING CO., LTD.,  Kita-ku, Osaka, Japan</t>
        </is>
      </c>
      <c r="B10684" t="inlineStr">
        <is>
          <t>Trader with Storage</t>
        </is>
      </c>
      <c r="C10684" t="inlineStr">
        <is>
          <t>SGS Germany GmbH, Emstek, DE</t>
        </is>
      </c>
      <c r="D10684" t="inlineStr">
        <is>
          <t>14.12.2026</t>
        </is>
      </c>
      <c r="E10684" t="inlineStr">
        <is>
          <t>Japan</t>
        </is>
      </c>
    </row>
    <row r="10685">
      <c r="A10685" t="inlineStr">
        <is>
          <t>BE ATI,  Casablanca, Morocco</t>
        </is>
      </c>
      <c r="B10685" t="inlineStr">
        <is>
          <t>Collecting Point, Trader</t>
        </is>
      </c>
      <c r="C10685" t="inlineStr">
        <is>
          <t>SGS Germany GmbH, Emstek, DE</t>
        </is>
      </c>
      <c r="D10685" t="inlineStr">
        <is>
          <t>14.12.2026</t>
        </is>
      </c>
      <c r="E10685" t="inlineStr">
        <is>
          <t>Morocco</t>
        </is>
      </c>
    </row>
    <row r="10686">
      <c r="A10686" t="inlineStr">
        <is>
          <t>Associated Energy Group,  Miami, United States</t>
        </is>
      </c>
      <c r="B10686" t="inlineStr">
        <is>
          <t>Trader with Storage</t>
        </is>
      </c>
      <c r="C10686" t="inlineStr">
        <is>
          <t>TÜV SÜD Industrie Service GmbH, München, DE</t>
        </is>
      </c>
      <c r="D10686" t="inlineStr">
        <is>
          <t>14.12.2026</t>
        </is>
      </c>
      <c r="E10686" t="inlineStr">
        <is>
          <t>United States</t>
        </is>
      </c>
    </row>
    <row r="10687">
      <c r="A10687" t="inlineStr">
        <is>
          <t>Dolder Massara s.r.l.,  Saronno (VA), Italy</t>
        </is>
      </c>
      <c r="B10687" t="inlineStr">
        <is>
          <t>Trader with Storage</t>
        </is>
      </c>
      <c r="C10687" t="inlineStr">
        <is>
          <t>Double Helix Tracking Technologies Pte Ltd, Singapore, SG</t>
        </is>
      </c>
      <c r="D10687" t="inlineStr">
        <is>
          <t>14.12.2026</t>
        </is>
      </c>
      <c r="E10687" t="inlineStr">
        <is>
          <t>Italy</t>
        </is>
      </c>
    </row>
    <row r="10688">
      <c r="A10688" t="inlineStr">
        <is>
          <t>LCY CHEMICAL CORP.,  Linyuan Dist., Kaohsiung City, Taiwan</t>
        </is>
      </c>
      <c r="B10688" t="inlineStr">
        <is>
          <t>Processing Unit</t>
        </is>
      </c>
      <c r="C10688" t="inlineStr">
        <is>
          <t>Bureau Veritas Polska Sp. z o.o., Warsaw, PL</t>
        </is>
      </c>
      <c r="D10688" t="inlineStr">
        <is>
          <t>14.12.2026</t>
        </is>
      </c>
      <c r="E10688" t="inlineStr">
        <is>
          <t>Taiwan</t>
        </is>
      </c>
    </row>
    <row r="10689">
      <c r="A10689" t="inlineStr">
        <is>
          <t>CNOOC and Shell Petrochemicals Company Ltd.,  Hui Zhou, Guangdong Province, China</t>
        </is>
      </c>
      <c r="B10689" t="inlineStr">
        <is>
          <t>Point of Origin, Processing Unit, Trader with Storage</t>
        </is>
      </c>
      <c r="C10689" t="inlineStr">
        <is>
          <t>SGS Germany GmbH, Emstek, DE</t>
        </is>
      </c>
      <c r="D10689" t="inlineStr">
        <is>
          <t>14.12.2026</t>
        </is>
      </c>
      <c r="E10689" t="inlineStr">
        <is>
          <t>China</t>
        </is>
      </c>
    </row>
    <row r="10690">
      <c r="A10690" t="inlineStr">
        <is>
          <t>FertiStock,  Budapest, Hungary</t>
        </is>
      </c>
      <c r="B10690" t="inlineStr">
        <is>
          <t>First Gathering Point, Trader with Storage</t>
        </is>
      </c>
      <c r="C10690" t="inlineStr">
        <is>
          <t>Bureau Veritas Polska Sp. z o.o., Warsaw, PL</t>
        </is>
      </c>
      <c r="D10690" t="inlineStr">
        <is>
          <t>14.12.2026</t>
        </is>
      </c>
      <c r="E10690" t="inlineStr">
        <is>
          <t>Hungary</t>
        </is>
      </c>
    </row>
    <row r="10691">
      <c r="A10691" t="inlineStr">
        <is>
          <t>LA MADRE TERRA SOC. COOP. AGR.,  SCIACCA, Italy</t>
        </is>
      </c>
      <c r="B10691" t="inlineStr">
        <is>
          <t>First Gathering Point, Processing Unit</t>
        </is>
      </c>
      <c r="C10691" t="inlineStr">
        <is>
          <t>CSQA Certificazioni Srl, Thiene, IT</t>
        </is>
      </c>
      <c r="D10691" t="inlineStr">
        <is>
          <t>14.12.2026</t>
        </is>
      </c>
      <c r="E10691" t="inlineStr">
        <is>
          <t>Italy</t>
        </is>
      </c>
    </row>
    <row r="10692">
      <c r="A10692" t="inlineStr">
        <is>
          <t>AGRISANA SOCIETA’ COOPERATIVA AGRICOLA,  SCIACCA, Italy</t>
        </is>
      </c>
      <c r="B10692" t="inlineStr">
        <is>
          <t>Farm / Plantation, First Gathering Point, Trader</t>
        </is>
      </c>
      <c r="C10692" t="inlineStr">
        <is>
          <t>CSQA Certificazioni Srl, Thiene, IT</t>
        </is>
      </c>
      <c r="D10692" t="inlineStr">
        <is>
          <t>14.12.2026</t>
        </is>
      </c>
      <c r="E10692" t="inlineStr">
        <is>
          <t>Italy</t>
        </is>
      </c>
    </row>
    <row r="10693">
      <c r="A10693" t="inlineStr">
        <is>
          <t>OLFAR S/A ALIMENTO E ENERGIA,  Porangatu, Brazil</t>
        </is>
      </c>
      <c r="B10693" t="inlineStr">
        <is>
          <t>Collecting Point, Point of Origin, Processing Unit</t>
        </is>
      </c>
      <c r="C10693" t="inlineStr">
        <is>
          <t>QIMA, Centro, Botucatu - SP, CEP, BR</t>
        </is>
      </c>
      <c r="D10693" t="inlineStr">
        <is>
          <t>14.12.2026</t>
        </is>
      </c>
      <c r="E10693" t="inlineStr">
        <is>
          <t>Brazil</t>
        </is>
      </c>
    </row>
    <row r="10694">
      <c r="A10694" t="inlineStr">
        <is>
          <t>LIYOU INDUSTRIAL CO., LTD,  WENZHOU CITY, China</t>
        </is>
      </c>
      <c r="B10694" t="inlineStr">
        <is>
          <t>Final Product Refinement</t>
        </is>
      </c>
      <c r="C10694" t="inlineStr">
        <is>
          <t>DQS CFS GmbH - Deutsche Gesellschaft für Nachhaltigkeit, Frankfurt am Main, DE</t>
        </is>
      </c>
      <c r="D10694" t="inlineStr">
        <is>
          <t>14.12.2026</t>
        </is>
      </c>
      <c r="E10694" t="inlineStr">
        <is>
          <t>China</t>
        </is>
      </c>
    </row>
    <row r="10695">
      <c r="A10695" t="inlineStr">
        <is>
          <t>APROLI,  Bari, Italy</t>
        </is>
      </c>
      <c r="B10695" t="inlineStr">
        <is>
          <t>Trader</t>
        </is>
      </c>
      <c r="C10695" t="inlineStr">
        <is>
          <t>CSQA Certificazioni Srl, Thiene, IT</t>
        </is>
      </c>
      <c r="D10695" t="inlineStr">
        <is>
          <t>14.12.2026</t>
        </is>
      </c>
      <c r="E10695" t="inlineStr">
        <is>
          <t>Italy</t>
        </is>
      </c>
    </row>
    <row r="10696">
      <c r="A10696" t="inlineStr">
        <is>
          <t>Shandong Fulodia Arts&amp;craft Co..ltd,  Liaocheng City, China</t>
        </is>
      </c>
      <c r="B10696" t="inlineStr">
        <is>
          <t>Final Product Refinement</t>
        </is>
      </c>
      <c r="C10696" t="inlineStr">
        <is>
          <t>DQS CFS GmbH - Deutsche Gesellschaft für Nachhaltigkeit, Frankfurt am Main, DE</t>
        </is>
      </c>
      <c r="D10696" t="inlineStr">
        <is>
          <t>14.12.2026</t>
        </is>
      </c>
      <c r="E10696" t="inlineStr">
        <is>
          <t>China</t>
        </is>
      </c>
    </row>
    <row r="10697">
      <c r="A10697" t="inlineStr">
        <is>
          <t>Axilone USA,  New York, United States</t>
        </is>
      </c>
      <c r="B10697" t="inlineStr">
        <is>
          <t>Trader</t>
        </is>
      </c>
      <c r="C10697" t="inlineStr">
        <is>
          <t>SCS Global Services, Emeryville, CA, US</t>
        </is>
      </c>
      <c r="D10697" t="inlineStr">
        <is>
          <t>14.12.2026</t>
        </is>
      </c>
      <c r="E10697" t="inlineStr">
        <is>
          <t>United States</t>
        </is>
      </c>
    </row>
    <row r="10698">
      <c r="A10698" t="inlineStr">
        <is>
          <t>Mitsubishi Chemical UK,  Billingham, United Kingdom</t>
        </is>
      </c>
      <c r="B10698" t="inlineStr">
        <is>
          <t>Trader with Storage</t>
        </is>
      </c>
      <c r="C10698" t="inlineStr">
        <is>
          <t>TÜV NORD CERT GmbH, Essen, DE</t>
        </is>
      </c>
      <c r="D10698" t="inlineStr">
        <is>
          <t>14.12.2026</t>
        </is>
      </c>
      <c r="E10698" t="inlineStr">
        <is>
          <t>United Kingdom</t>
        </is>
      </c>
    </row>
    <row r="10699">
      <c r="A10699" t="inlineStr">
        <is>
          <t>IC Log d.o.o.,  Ozalj, Croatia</t>
        </is>
      </c>
      <c r="B10699" t="inlineStr">
        <is>
          <t>Collecting Point, Trader with Storage, Processing Unit</t>
        </is>
      </c>
      <c r="C10699" t="inlineStr">
        <is>
          <t>Bureau Veritas Polska Sp. z o.o., Warsaw, PL</t>
        </is>
      </c>
      <c r="D10699" t="inlineStr">
        <is>
          <t>14.12.2026</t>
        </is>
      </c>
      <c r="E10699" t="inlineStr">
        <is>
          <t>Croatia</t>
        </is>
      </c>
    </row>
    <row r="10700">
      <c r="A10700" t="inlineStr">
        <is>
          <t>Mitsubishi Chemical UK,  Billingham, United Kingdom</t>
        </is>
      </c>
      <c r="B10700" t="inlineStr">
        <is>
          <t>Trader with Storage</t>
        </is>
      </c>
      <c r="C10700" t="inlineStr">
        <is>
          <t>TÜV NORD CERT GmbH, Essen, DE</t>
        </is>
      </c>
      <c r="D10700" t="inlineStr">
        <is>
          <t>14.12.2026</t>
        </is>
      </c>
      <c r="E10700" t="inlineStr">
        <is>
          <t>United Kingdom</t>
        </is>
      </c>
    </row>
    <row r="10701">
      <c r="A10701" t="inlineStr">
        <is>
          <t>Toli Packaging Industries Sdn Bhd,  Taman Klang Utama, Malaysia</t>
        </is>
      </c>
      <c r="B10701" t="inlineStr">
        <is>
          <t>Point of Origin, Processing Unit</t>
        </is>
      </c>
      <c r="C10701" t="inlineStr">
        <is>
          <t>SGS Germany GmbH, Emstek, DE</t>
        </is>
      </c>
      <c r="D10701" t="inlineStr">
        <is>
          <t>14.12.2026</t>
        </is>
      </c>
      <c r="E10701" t="inlineStr">
        <is>
          <t>Malaysia</t>
        </is>
      </c>
    </row>
    <row r="10702">
      <c r="A10702" t="inlineStr">
        <is>
          <t>Südpack Verpackungen SE &amp; Co.KG - Werk Erolzheim,  Erolzheim, Germany</t>
        </is>
      </c>
      <c r="B10702" t="inlineStr">
        <is>
          <t>Final Product Refinement, Point of Origin</t>
        </is>
      </c>
      <c r="C10702" t="inlineStr">
        <is>
          <t>DIN CERTCO GmbH, Berlin, DE</t>
        </is>
      </c>
      <c r="D10702" t="inlineStr">
        <is>
          <t>14.12.2026</t>
        </is>
      </c>
      <c r="E10702" t="inlineStr">
        <is>
          <t>Germany</t>
        </is>
      </c>
    </row>
    <row r="10703">
      <c r="A10703" t="inlineStr">
        <is>
          <t>Raff Plastics,  Houthulst, Belgium</t>
        </is>
      </c>
      <c r="B10703" t="inlineStr">
        <is>
          <t>Collecting Point, Processing Unit</t>
        </is>
      </c>
      <c r="C10703" t="inlineStr">
        <is>
          <t>Bureau Veritas Polska Sp. z o.o., Warsaw, PL</t>
        </is>
      </c>
      <c r="D10703" t="inlineStr">
        <is>
          <t>14.12.2026</t>
        </is>
      </c>
      <c r="E10703" t="inlineStr">
        <is>
          <t>Belgium</t>
        </is>
      </c>
    </row>
    <row r="10704">
      <c r="A10704" t="inlineStr">
        <is>
          <t>ecoform Multifol Verpackungsfolien,  Erlenmoos, Germany</t>
        </is>
      </c>
      <c r="B10704" t="inlineStr">
        <is>
          <t>Final Product Refinement, Point of Origin, Processing Unit</t>
        </is>
      </c>
      <c r="C10704" t="inlineStr">
        <is>
          <t>DIN CERTCO GmbH, Berlin, DE</t>
        </is>
      </c>
      <c r="D10704" t="inlineStr">
        <is>
          <t>14.12.2026</t>
        </is>
      </c>
      <c r="E10704" t="inlineStr">
        <is>
          <t>Germany</t>
        </is>
      </c>
    </row>
    <row r="10705">
      <c r="A10705" t="inlineStr">
        <is>
          <t>Südpack Verpackungen SE &amp; Co. KG,  Ochsenhausen, Germany</t>
        </is>
      </c>
      <c r="B10705" t="inlineStr">
        <is>
          <t>Trader with Storage, Final Product Refinement, Point of Origin, Processing Unit</t>
        </is>
      </c>
      <c r="C10705" t="inlineStr">
        <is>
          <t>DIN CERTCO GmbH, Berlin, DE</t>
        </is>
      </c>
      <c r="D10705" t="inlineStr">
        <is>
          <t>14.12.2026</t>
        </is>
      </c>
      <c r="E10705" t="inlineStr">
        <is>
          <t>Germany</t>
        </is>
      </c>
    </row>
    <row r="10706">
      <c r="A10706" t="inlineStr">
        <is>
          <t>Ecoform Multifol Verpackungsfolien GmbH &amp; Co KG - Werk Schwendi,  Schwendi, Germany</t>
        </is>
      </c>
      <c r="B10706" t="inlineStr">
        <is>
          <t>Collecting Point, Processing Unit</t>
        </is>
      </c>
      <c r="C10706" t="inlineStr">
        <is>
          <t>DIN CERTCO GmbH, Berlin, DE</t>
        </is>
      </c>
      <c r="D10706" t="inlineStr">
        <is>
          <t>14.12.2026</t>
        </is>
      </c>
      <c r="E10706" t="inlineStr">
        <is>
          <t>Germany</t>
        </is>
      </c>
    </row>
    <row r="10707">
      <c r="A10707" t="inlineStr">
        <is>
          <t>PURAGLOBE Holding,  Elsteraue, Germany</t>
        </is>
      </c>
      <c r="B10707" t="inlineStr">
        <is>
          <t>Collecting Point, Processing Unit</t>
        </is>
      </c>
      <c r="C10707" t="inlineStr">
        <is>
          <t>SGS Germany GmbH, Emstek, DE</t>
        </is>
      </c>
      <c r="D10707" t="inlineStr">
        <is>
          <t>14.12.2026</t>
        </is>
      </c>
      <c r="E10707" t="inlineStr">
        <is>
          <t>Germany</t>
        </is>
      </c>
    </row>
    <row r="10708">
      <c r="A10708" t="inlineStr">
        <is>
          <t>TEGoilTank,  Larissa, Greece</t>
        </is>
      </c>
      <c r="B10708" t="inlineStr">
        <is>
          <t>Collecting Point</t>
        </is>
      </c>
      <c r="C10708" t="inlineStr">
        <is>
          <t>Eurocert SA, Metamorfosi, Athens, GR</t>
        </is>
      </c>
      <c r="D10708" t="inlineStr">
        <is>
          <t>14.12.2026</t>
        </is>
      </c>
      <c r="E10708" t="inlineStr">
        <is>
          <t>Greece</t>
        </is>
      </c>
    </row>
    <row r="10709">
      <c r="A10709" t="inlineStr">
        <is>
          <t>Surovina d.o.o.,  Maribor, Slovenia</t>
        </is>
      </c>
      <c r="B10709" t="inlineStr">
        <is>
          <t>Collecting Point, Point of Origin, Trader with Storage</t>
        </is>
      </c>
      <c r="C10709" t="inlineStr">
        <is>
          <t>Bureau Veritas Polska Sp. z o.o., Warsaw, PL</t>
        </is>
      </c>
      <c r="D10709" t="inlineStr">
        <is>
          <t>14.12.2026</t>
        </is>
      </c>
      <c r="E10709" t="inlineStr">
        <is>
          <t>Slovenia</t>
        </is>
      </c>
    </row>
    <row r="10710">
      <c r="A10710" t="inlineStr">
        <is>
          <t>KIT PROFIT LIMITED,  ZHANGMUTOU, DONGGUAN, China</t>
        </is>
      </c>
      <c r="B10710" t="inlineStr">
        <is>
          <t>Trader</t>
        </is>
      </c>
      <c r="C10710" t="inlineStr">
        <is>
          <t>RINA Services S.p.A., Genova, IT</t>
        </is>
      </c>
      <c r="D10710" t="inlineStr">
        <is>
          <t>14.12.2026</t>
        </is>
      </c>
      <c r="E10710" t="inlineStr">
        <is>
          <t>China</t>
        </is>
      </c>
    </row>
    <row r="10711">
      <c r="A10711" t="inlineStr">
        <is>
          <t>ORGANIZZAZIONE DEI PRODUTTORI OLIVICOLI APOUNASCO CATANZARO SOCIETA' COOPERATIVA AGRICOLA,  Catanzaro, Italy</t>
        </is>
      </c>
      <c r="B10711" t="inlineStr">
        <is>
          <t>Trader</t>
        </is>
      </c>
      <c r="C10711" t="inlineStr">
        <is>
          <t>CSQA Certificazioni Srl, Thiene, IT</t>
        </is>
      </c>
      <c r="D10711" t="inlineStr">
        <is>
          <t>14.12.2026</t>
        </is>
      </c>
      <c r="E10711" t="inlineStr">
        <is>
          <t>Italy</t>
        </is>
      </c>
    </row>
    <row r="10712">
      <c r="A10712" t="inlineStr">
        <is>
          <t>Polytan,  Burgheim, Germany</t>
        </is>
      </c>
      <c r="B10712" t="inlineStr">
        <is>
          <t>Trader</t>
        </is>
      </c>
      <c r="C10712" t="inlineStr">
        <is>
          <t>SGS Germany GmbH, Emstek, DE</t>
        </is>
      </c>
      <c r="D10712" t="inlineStr">
        <is>
          <t>14.12.2026</t>
        </is>
      </c>
      <c r="E10712" t="inlineStr">
        <is>
          <t>Germany</t>
        </is>
      </c>
    </row>
    <row r="10713">
      <c r="A10713" t="inlineStr">
        <is>
          <t>Molini Lario spa,  Alzate Brianza, Italy</t>
        </is>
      </c>
      <c r="B10713" t="inlineStr">
        <is>
          <t>Processing Unit</t>
        </is>
      </c>
      <c r="C10713" t="inlineStr">
        <is>
          <t>RINA Services S.p.A., Genova, IT</t>
        </is>
      </c>
      <c r="D10713" t="inlineStr">
        <is>
          <t>13.12.2026</t>
        </is>
      </c>
      <c r="E10713" t="inlineStr">
        <is>
          <t>Italy</t>
        </is>
      </c>
    </row>
    <row r="10714">
      <c r="A10714" t="inlineStr">
        <is>
          <t>Cedo Sp. Z o.o.,  Katy Wroclawskie, Poland</t>
        </is>
      </c>
      <c r="B10714" t="inlineStr">
        <is>
          <t>Final Product Refinement</t>
        </is>
      </c>
      <c r="C10714" t="inlineStr">
        <is>
          <t>Bureau Veritas Polska Sp. z o.o., Warsaw, PL</t>
        </is>
      </c>
      <c r="D10714" t="inlineStr">
        <is>
          <t>13.12.2026</t>
        </is>
      </c>
      <c r="E10714" t="inlineStr">
        <is>
          <t>Poland</t>
        </is>
      </c>
    </row>
    <row r="10715">
      <c r="A10715" t="inlineStr">
        <is>
          <t>PT Sumber Bunga Sawit Lestari,  Kecamatan Babulu, Kabupaten Penajam Paser Utara, Indonesia</t>
        </is>
      </c>
      <c r="B10715" t="inlineStr">
        <is>
          <t>Point of Origin</t>
        </is>
      </c>
      <c r="C10715" t="inlineStr">
        <is>
          <t>PT. CBQA GLOBAL INDONESIA, JAKARTA SELATAN, ID</t>
        </is>
      </c>
      <c r="D10715" t="inlineStr">
        <is>
          <t>13.12.2026</t>
        </is>
      </c>
      <c r="E10715" t="inlineStr">
        <is>
          <t>Indonesia</t>
        </is>
      </c>
    </row>
    <row r="10716">
      <c r="A10716" t="inlineStr">
        <is>
          <t>Brau Agro Asia,  Kab. Berau, Provinsi Kalimantan Timur, Indonesia</t>
        </is>
      </c>
      <c r="B10716" t="inlineStr">
        <is>
          <t>Point of Origin</t>
        </is>
      </c>
      <c r="C10716" t="inlineStr">
        <is>
          <t>PT. CBQA GLOBAL INDONESIA, JAKARTA SELATAN, ID</t>
        </is>
      </c>
      <c r="D10716" t="inlineStr">
        <is>
          <t>13.12.2026</t>
        </is>
      </c>
      <c r="E10716" t="inlineStr">
        <is>
          <t>Indonesia</t>
        </is>
      </c>
    </row>
    <row r="10717">
      <c r="A10717" t="inlineStr">
        <is>
          <t>Shenzhen Port Energy Development CO., LTD.,  Yantian District, Shenzhen, China</t>
        </is>
      </c>
      <c r="B10717" t="inlineStr">
        <is>
          <t>Trader with Storage</t>
        </is>
      </c>
      <c r="C10717" t="inlineStr">
        <is>
          <t>SCS Global Services, Emeryville, CA, US</t>
        </is>
      </c>
      <c r="D10717" t="inlineStr">
        <is>
          <t>13.12.2026</t>
        </is>
      </c>
      <c r="E10717" t="inlineStr">
        <is>
          <t>China</t>
        </is>
      </c>
    </row>
    <row r="10718">
      <c r="A10718" t="inlineStr">
        <is>
          <t>Taghleef Industries, Inc.,  Rosedale, IN, United States</t>
        </is>
      </c>
      <c r="B10718" t="inlineStr">
        <is>
          <t>Processing Unit, Trader with Storage</t>
        </is>
      </c>
      <c r="C10718" t="inlineStr">
        <is>
          <t>SCS Global Services, Emeryville, CA, US</t>
        </is>
      </c>
      <c r="D10718" t="inlineStr">
        <is>
          <t>13.12.2026</t>
        </is>
      </c>
      <c r="E10718" t="inlineStr">
        <is>
          <t>United States</t>
        </is>
      </c>
    </row>
    <row r="10719">
      <c r="A10719" t="inlineStr">
        <is>
          <t>Lyondell Chemical Company,  Houston, Texas, United States</t>
        </is>
      </c>
      <c r="B10719" t="inlineStr">
        <is>
          <t>ETBE plant</t>
        </is>
      </c>
      <c r="C10719" t="inlineStr">
        <is>
          <t>SCS Global Services, Emeryville, CA, US</t>
        </is>
      </c>
      <c r="D10719" t="inlineStr">
        <is>
          <t>13.12.2026</t>
        </is>
      </c>
      <c r="E10719" t="inlineStr">
        <is>
          <t>United States</t>
        </is>
      </c>
    </row>
    <row r="10720">
      <c r="A10720" t="inlineStr">
        <is>
          <t>Fluxys LNG,  Knokke-Heist, Belgium</t>
        </is>
      </c>
      <c r="B10720" t="inlineStr">
        <is>
          <t>Processing Unit</t>
        </is>
      </c>
      <c r="C10720" t="inlineStr">
        <is>
          <t>Normec QS BV, Bennekom, NL</t>
        </is>
      </c>
      <c r="D10720" t="inlineStr">
        <is>
          <t>13.12.2026</t>
        </is>
      </c>
      <c r="E10720" t="inlineStr">
        <is>
          <t>Belgium</t>
        </is>
      </c>
    </row>
    <row r="10721">
      <c r="A10721" t="inlineStr">
        <is>
          <t>Borneo Sawit Persada,  Desa Banua Lawas, Kec. Kelumpang Hulu, Kab. Kotabaru, Prov. Kalimantan Selatan, Indonesia</t>
        </is>
      </c>
      <c r="B10721" t="inlineStr">
        <is>
          <t>Point of Origin</t>
        </is>
      </c>
      <c r="C10721" t="inlineStr">
        <is>
          <t>PT. CBQA GLOBAL INDONESIA, JAKARTA SELATAN, ID</t>
        </is>
      </c>
      <c r="D10721" t="inlineStr">
        <is>
          <t>13.12.2026</t>
        </is>
      </c>
      <c r="E10721" t="inlineStr">
        <is>
          <t>Indonesia</t>
        </is>
      </c>
    </row>
    <row r="10722">
      <c r="A10722" t="inlineStr">
        <is>
          <t>Lyondell Chemical Company,  Channelview, United States</t>
        </is>
      </c>
      <c r="B10722" t="inlineStr">
        <is>
          <t>Processing Unit, ETBE plant</t>
        </is>
      </c>
      <c r="C10722" t="inlineStr">
        <is>
          <t>SCS Global Services, Emeryville, CA, US</t>
        </is>
      </c>
      <c r="D10722" t="inlineStr">
        <is>
          <t>13.12.2026</t>
        </is>
      </c>
      <c r="E10722" t="inlineStr">
        <is>
          <t>United States</t>
        </is>
      </c>
    </row>
    <row r="10723">
      <c r="A10723" t="inlineStr">
        <is>
          <t>Macquarie Products Ireland Limited,  Dublin 4, Ireland</t>
        </is>
      </c>
      <c r="B10723" t="inlineStr">
        <is>
          <t>Trader with Storage</t>
        </is>
      </c>
      <c r="C10723" t="inlineStr">
        <is>
          <t>Normec QS BV, Bennekom, NL</t>
        </is>
      </c>
      <c r="D10723" t="inlineStr">
        <is>
          <t>13.12.2026</t>
        </is>
      </c>
      <c r="E10723" t="inlineStr">
        <is>
          <t>Ireland</t>
        </is>
      </c>
    </row>
    <row r="10724">
      <c r="A10724" t="inlineStr">
        <is>
          <t>Macquarie Bank Limited (London Branch),  London, United Kingdom</t>
        </is>
      </c>
      <c r="B10724" t="inlineStr">
        <is>
          <t>Trader with Storage</t>
        </is>
      </c>
      <c r="C10724" t="inlineStr">
        <is>
          <t>Normec QS BV, Bennekom, NL</t>
        </is>
      </c>
      <c r="D10724" t="inlineStr">
        <is>
          <t>13.12.2026</t>
        </is>
      </c>
      <c r="E10724" t="inlineStr">
        <is>
          <t>United Kingdom</t>
        </is>
      </c>
    </row>
    <row r="10725">
      <c r="A10725" t="inlineStr">
        <is>
          <t>Macquarie Bank Limited,  Sydney, Australia</t>
        </is>
      </c>
      <c r="B10725" t="inlineStr">
        <is>
          <t>Trader</t>
        </is>
      </c>
      <c r="C10725" t="inlineStr">
        <is>
          <t>Normec QS BV, Bennekom, NL</t>
        </is>
      </c>
      <c r="D10725" t="inlineStr">
        <is>
          <t>13.12.2026</t>
        </is>
      </c>
      <c r="E10725" t="inlineStr">
        <is>
          <t>Australia</t>
        </is>
      </c>
    </row>
    <row r="10726">
      <c r="A10726" t="inlineStr">
        <is>
          <t>Anglo Beef Processors Ireland ul T/A Munster Proteins,  Cahir, Ireland</t>
        </is>
      </c>
      <c r="B10726" t="inlineStr">
        <is>
          <t>Point of Origin</t>
        </is>
      </c>
      <c r="C10726" t="inlineStr">
        <is>
          <t>Control Union Certifications Germany GmbH, Berlin, DE</t>
        </is>
      </c>
      <c r="D10726" t="inlineStr">
        <is>
          <t>13.12.2026</t>
        </is>
      </c>
      <c r="E10726" t="inlineStr">
        <is>
          <t>Ireland</t>
        </is>
      </c>
    </row>
    <row r="10727">
      <c r="A10727" t="inlineStr">
        <is>
          <t>Tokai Carbon CB LTD,  Addis, LA, United States</t>
        </is>
      </c>
      <c r="B10727" t="inlineStr">
        <is>
          <t>Processing Unit</t>
        </is>
      </c>
      <c r="C10727" t="inlineStr">
        <is>
          <t>SCS Global Services, Emeryville, CA, US</t>
        </is>
      </c>
      <c r="D10727" t="inlineStr">
        <is>
          <t>13.12.2026</t>
        </is>
      </c>
      <c r="E10727" t="inlineStr">
        <is>
          <t>United States</t>
        </is>
      </c>
    </row>
    <row r="10728">
      <c r="A10728" t="inlineStr">
        <is>
          <t>LCY Huizhou Advanced Rubber Corp.,  Huizhou, Guangdong, China</t>
        </is>
      </c>
      <c r="B10728" t="inlineStr">
        <is>
          <t>Processing Unit</t>
        </is>
      </c>
      <c r="C10728" t="inlineStr">
        <is>
          <t>DQS CFS GmbH - Deutsche Gesellschaft für Nachhaltigkeit, Frankfurt am Main, DE</t>
        </is>
      </c>
      <c r="D10728" t="inlineStr">
        <is>
          <t>13.12.2026</t>
        </is>
      </c>
      <c r="E10728" t="inlineStr">
        <is>
          <t>China</t>
        </is>
      </c>
    </row>
    <row r="10729">
      <c r="A10729" t="inlineStr">
        <is>
          <t>BAYERNOIL Raffineriegesellschaft mbH,  Neustadt an der Donau, Germany</t>
        </is>
      </c>
      <c r="B10729" t="inlineStr">
        <is>
          <t>Processing Unit</t>
        </is>
      </c>
      <c r="C10729" t="inlineStr">
        <is>
          <t>TÜV SÜD Industrie Service GmbH, München, DE</t>
        </is>
      </c>
      <c r="D10729" t="inlineStr">
        <is>
          <t>13.12.2026</t>
        </is>
      </c>
      <c r="E10729" t="inlineStr">
        <is>
          <t>Germany</t>
        </is>
      </c>
    </row>
    <row r="10730">
      <c r="A10730" t="inlineStr">
        <is>
          <t>ECOEVER SOLUTION CO.,LTD.,  Jecheon-si, Chungcheongbuk-do, Korea, Republic of</t>
        </is>
      </c>
      <c r="B10730" t="inlineStr">
        <is>
          <t>Collecting Point, Processing Unit</t>
        </is>
      </c>
      <c r="C10730" t="inlineStr">
        <is>
          <t>Control Union Certifications Germany GmbH, Berlin, DE</t>
        </is>
      </c>
      <c r="D10730" t="inlineStr">
        <is>
          <t>13.12.2026</t>
        </is>
      </c>
      <c r="E10730" t="inlineStr">
        <is>
          <t>Republic of</t>
        </is>
      </c>
    </row>
    <row r="10731">
      <c r="A10731" t="inlineStr">
        <is>
          <t>BAYERNOIL Raffineriegesellschaft mbH,  Neustadt an der Donau, Germany</t>
        </is>
      </c>
      <c r="B10731" t="inlineStr">
        <is>
          <t>Processing Unit, Trader with Storage</t>
        </is>
      </c>
      <c r="C10731" t="inlineStr">
        <is>
          <t>TÜV SÜD Industrie Service GmbH, München, DE</t>
        </is>
      </c>
      <c r="D10731" t="inlineStr">
        <is>
          <t>13.12.2026</t>
        </is>
      </c>
      <c r="E10731" t="inlineStr">
        <is>
          <t>Germany</t>
        </is>
      </c>
    </row>
    <row r="10732">
      <c r="A10732" t="inlineStr">
        <is>
          <t>Braskem America, Inc,  Philadelphia, United States</t>
        </is>
      </c>
      <c r="B10732" t="inlineStr">
        <is>
          <t>Trader with Storage</t>
        </is>
      </c>
      <c r="C10732" t="inlineStr">
        <is>
          <t>DQS CFS GmbH - Deutsche Gesellschaft für Nachhaltigkeit, Frankfurt am Main, DE</t>
        </is>
      </c>
      <c r="D10732" t="inlineStr">
        <is>
          <t>13.12.2026</t>
        </is>
      </c>
      <c r="E10732" t="inlineStr">
        <is>
          <t>United States</t>
        </is>
      </c>
    </row>
    <row r="10733">
      <c r="A10733" t="inlineStr">
        <is>
          <t>Beijing Yisheng Environment Protection  Energy Technology Co., Ltd.,  Beijing, China</t>
        </is>
      </c>
      <c r="B10733" t="inlineStr">
        <is>
          <t>Trader</t>
        </is>
      </c>
      <c r="C10733" t="inlineStr">
        <is>
          <t>SGS Germany GmbH, Emstek, DE</t>
        </is>
      </c>
      <c r="D10733" t="inlineStr">
        <is>
          <t>13.12.2026</t>
        </is>
      </c>
      <c r="E10733" t="inlineStr">
        <is>
          <t>China</t>
        </is>
      </c>
    </row>
    <row r="10734">
      <c r="A10734" t="inlineStr">
        <is>
          <t>MB Energy GmbH,  Hamburg, Germany</t>
        </is>
      </c>
      <c r="B10734" t="inlineStr">
        <is>
          <t>Proof of Compliance Trader, Trader with Storage</t>
        </is>
      </c>
      <c r="C10734" t="inlineStr">
        <is>
          <t>SGS Germany GmbH, Emstek, DE</t>
        </is>
      </c>
      <c r="D10734" t="inlineStr">
        <is>
          <t>13.12.2026</t>
        </is>
      </c>
      <c r="E10734" t="inlineStr">
        <is>
          <t>Germany</t>
        </is>
      </c>
    </row>
    <row r="10735">
      <c r="A10735" t="inlineStr">
        <is>
          <t>Taiyuan Tianrun Biological Energy Co., Ltd.,  Qingxu County, Taiyuan City, Shanxi Province, China</t>
        </is>
      </c>
      <c r="B10735" t="inlineStr">
        <is>
          <t>Collecting Point, Processing Unit</t>
        </is>
      </c>
      <c r="C10735" t="inlineStr">
        <is>
          <t>SCS Global Services, Emeryville, CA, US</t>
        </is>
      </c>
      <c r="D10735" t="inlineStr">
        <is>
          <t>13.12.2026</t>
        </is>
      </c>
      <c r="E10735" t="inlineStr">
        <is>
          <t>China</t>
        </is>
      </c>
    </row>
    <row r="10736">
      <c r="A10736" t="inlineStr">
        <is>
          <t>Nordic Green BioTrading,  Ry, Denmark</t>
        </is>
      </c>
      <c r="B10736" t="inlineStr">
        <is>
          <t>Trader</t>
        </is>
      </c>
      <c r="C10736" t="inlineStr">
        <is>
          <t>Bureau Veritas Polska Sp. z o.o., Warsaw, PL</t>
        </is>
      </c>
      <c r="D10736" t="inlineStr">
        <is>
          <t>13.12.2026</t>
        </is>
      </c>
      <c r="E10736" t="inlineStr">
        <is>
          <t>Denmark</t>
        </is>
      </c>
    </row>
    <row r="10737">
      <c r="A10737" t="inlineStr">
        <is>
          <t>BUNGE ARGENTINA SA,  Timbúes, Santa Fé, Argentina</t>
        </is>
      </c>
      <c r="B10737" t="inlineStr">
        <is>
          <t>Processing Unit</t>
        </is>
      </c>
      <c r="C10737" t="inlineStr">
        <is>
          <t>Control Union Poland Sp. z o.o., Zielona Gora, PL</t>
        </is>
      </c>
      <c r="D10737" t="inlineStr">
        <is>
          <t>13.12.2026</t>
        </is>
      </c>
      <c r="E10737" t="inlineStr">
        <is>
          <t>Argentina</t>
        </is>
      </c>
    </row>
    <row r="10738">
      <c r="A10738" t="inlineStr">
        <is>
          <t>Nordic Green BioTrading,  Ry, Denmark</t>
        </is>
      </c>
      <c r="B10738" t="inlineStr">
        <is>
          <t>Trader</t>
        </is>
      </c>
      <c r="C10738" t="inlineStr">
        <is>
          <t>Bureau Veritas Polska Sp. z o.o., Warsaw, PL</t>
        </is>
      </c>
      <c r="D10738" t="inlineStr">
        <is>
          <t>13.12.2026</t>
        </is>
      </c>
      <c r="E10738" t="inlineStr">
        <is>
          <t>Denmark</t>
        </is>
      </c>
    </row>
    <row r="10739">
      <c r="A10739" t="inlineStr">
        <is>
          <t>Circle K Lietuva, UAB,  Vilnius, Lithuania, Lithuania</t>
        </is>
      </c>
      <c r="B10739" t="inlineStr">
        <is>
          <t>Trader with Storage</t>
        </is>
      </c>
      <c r="C10739" t="inlineStr">
        <is>
          <t>Bureau Veritas Polska Sp. z o.o., Warsaw, PL</t>
        </is>
      </c>
      <c r="D10739" t="inlineStr">
        <is>
          <t>13.12.2026</t>
        </is>
      </c>
      <c r="E10739" t="inlineStr">
        <is>
          <t>Lithuania</t>
        </is>
      </c>
    </row>
    <row r="10740">
      <c r="A10740" t="inlineStr">
        <is>
          <t>Shell Austria GmbH,  Wien, Austria</t>
        </is>
      </c>
      <c r="B10740" t="inlineStr">
        <is>
          <t>Trader with Storage</t>
        </is>
      </c>
      <c r="C10740" t="inlineStr">
        <is>
          <t>SGS Germany GmbH, Emstek, DE</t>
        </is>
      </c>
      <c r="D10740" t="inlineStr">
        <is>
          <t>13.12.2026</t>
        </is>
      </c>
      <c r="E10740" t="inlineStr">
        <is>
          <t>Austria</t>
        </is>
      </c>
    </row>
    <row r="10741">
      <c r="A10741" t="inlineStr">
        <is>
          <t>Öl Express Özmen GmbH,  Wels, Austria</t>
        </is>
      </c>
      <c r="B10741" t="inlineStr">
        <is>
          <t>Collecting Point</t>
        </is>
      </c>
      <c r="C10741" t="inlineStr">
        <is>
          <t>agroVet GmbH, Enzersfeld, AT</t>
        </is>
      </c>
      <c r="D10741" t="inlineStr">
        <is>
          <t>13.12.2026</t>
        </is>
      </c>
      <c r="E10741" t="inlineStr">
        <is>
          <t>Austria</t>
        </is>
      </c>
    </row>
    <row r="10742">
      <c r="A10742" t="inlineStr">
        <is>
          <t>FINPROJECT SPA,  ASCOLI PICENO, Italy</t>
        </is>
      </c>
      <c r="B10742" t="inlineStr">
        <is>
          <t>Processing Unit, Trader with Storage</t>
        </is>
      </c>
      <c r="C10742" t="inlineStr">
        <is>
          <t>RINA Services S.p.A., Genova, IT</t>
        </is>
      </c>
      <c r="D10742" t="inlineStr">
        <is>
          <t>13.12.2026</t>
        </is>
      </c>
      <c r="E10742" t="inlineStr">
        <is>
          <t>Italy</t>
        </is>
      </c>
    </row>
    <row r="10743">
      <c r="A10743" t="inlineStr">
        <is>
          <t>Bunker One Sweden,  Västra Frölunda, Sweden</t>
        </is>
      </c>
      <c r="B10743" t="inlineStr">
        <is>
          <t>Trader with Storage</t>
        </is>
      </c>
      <c r="C10743" t="inlineStr">
        <is>
          <t>DNV Business Assurance Sweden AB, Solna, SE</t>
        </is>
      </c>
      <c r="D10743" t="inlineStr">
        <is>
          <t>13.12.2026</t>
        </is>
      </c>
      <c r="E10743" t="inlineStr">
        <is>
          <t>Sweden</t>
        </is>
      </c>
    </row>
    <row r="10744">
      <c r="A10744" t="inlineStr">
        <is>
          <t>CANINO S.R.L.,  Catanzaro, Italy</t>
        </is>
      </c>
      <c r="B10744" t="inlineStr">
        <is>
          <t>Farm / Plantation, First Gathering Point, Processing Unit</t>
        </is>
      </c>
      <c r="C10744" t="inlineStr">
        <is>
          <t>CSQA Certificazioni Srl, Thiene, IT</t>
        </is>
      </c>
      <c r="D10744" t="inlineStr">
        <is>
          <t>13.12.2026</t>
        </is>
      </c>
      <c r="E10744" t="inlineStr">
        <is>
          <t>Italy</t>
        </is>
      </c>
    </row>
    <row r="10745">
      <c r="A10745" t="inlineStr">
        <is>
          <t>NESPALM SDN. BHD.,  KULAI, Malaysia</t>
        </is>
      </c>
      <c r="B10745" t="inlineStr">
        <is>
          <t>Collecting Point, Trader with Storage</t>
        </is>
      </c>
      <c r="C10745" t="inlineStr">
        <is>
          <t>Trans Certification and Inspection Sdn Bhd, Kuantan, MY</t>
        </is>
      </c>
      <c r="D10745" t="inlineStr">
        <is>
          <t>12.12.2026</t>
        </is>
      </c>
      <c r="E10745" t="inlineStr">
        <is>
          <t>Malaysia</t>
        </is>
      </c>
    </row>
    <row r="10746">
      <c r="A10746" t="inlineStr">
        <is>
          <t>Shanghai Songlin Agricultural Development Co., Ltd,  Shanghai, China</t>
        </is>
      </c>
      <c r="B10746" t="inlineStr">
        <is>
          <t>Processing Unit, Point of Origin</t>
        </is>
      </c>
      <c r="C10746" t="inlineStr">
        <is>
          <t>China Classification Society Certification Co., Ltd, Dong Cheng District, Beijing, CN</t>
        </is>
      </c>
      <c r="D10746" t="inlineStr">
        <is>
          <t>12.12.2026</t>
        </is>
      </c>
      <c r="E10746" t="inlineStr">
        <is>
          <t>China</t>
        </is>
      </c>
    </row>
    <row r="10747">
      <c r="A10747" t="inlineStr">
        <is>
          <t>Greenval Technologies,  La Cartuja Baja, Spain</t>
        </is>
      </c>
      <c r="B10747" t="inlineStr">
        <is>
          <t>Collecting Point, Processing Unit</t>
        </is>
      </c>
      <c r="C10747" t="inlineStr">
        <is>
          <t>PT Intertek Utama Services, Jakarta, ID</t>
        </is>
      </c>
      <c r="D10747" t="inlineStr">
        <is>
          <t>12.12.2026</t>
        </is>
      </c>
      <c r="E10747" t="inlineStr">
        <is>
          <t>Spain</t>
        </is>
      </c>
    </row>
    <row r="10748">
      <c r="A10748" t="inlineStr">
        <is>
          <t>Greenval Technologies,  La Cartuja Baja, Spain</t>
        </is>
      </c>
      <c r="B10748" t="inlineStr">
        <is>
          <t>Collecting Point, Processing Unit</t>
        </is>
      </c>
      <c r="C10748" t="inlineStr">
        <is>
          <t>PT Intertek Utama Services, Jakarta, ID</t>
        </is>
      </c>
      <c r="D10748" t="inlineStr">
        <is>
          <t>12.12.2026</t>
        </is>
      </c>
      <c r="E10748" t="inlineStr">
        <is>
          <t>Spain</t>
        </is>
      </c>
    </row>
    <row r="10749">
      <c r="A10749" t="inlineStr">
        <is>
          <t>Shanghai Songlin Agricultural Development Co., Ltd,  Shanghai, China</t>
        </is>
      </c>
      <c r="B10749" t="inlineStr">
        <is>
          <t>Point of Origin, Processing Unit</t>
        </is>
      </c>
      <c r="C10749" t="inlineStr">
        <is>
          <t>China Classification Society Certification Co., Ltd, Dong Cheng District, Beijing, CN</t>
        </is>
      </c>
      <c r="D10749" t="inlineStr">
        <is>
          <t>12.12.2026</t>
        </is>
      </c>
      <c r="E10749" t="inlineStr">
        <is>
          <t>China</t>
        </is>
      </c>
    </row>
    <row r="10750">
      <c r="A10750" t="inlineStr">
        <is>
          <t>Shanghai Shenji Langneng Environmental Technology Co., Ltd,  Shanghai, China</t>
        </is>
      </c>
      <c r="B10750" t="inlineStr">
        <is>
          <t>Processing Unit, Trader with Storage</t>
        </is>
      </c>
      <c r="C10750" t="inlineStr">
        <is>
          <t>China Classification Society Certification Co., Ltd, Dong Cheng District, Beijing, CN</t>
        </is>
      </c>
      <c r="D10750" t="inlineStr">
        <is>
          <t>12.12.2026</t>
        </is>
      </c>
      <c r="E10750" t="inlineStr">
        <is>
          <t>China</t>
        </is>
      </c>
    </row>
    <row r="10751">
      <c r="A10751" t="inlineStr">
        <is>
          <t>Shanghai Shenji Langneng Environmental Technology Co., Ltd,  Shanghai, China</t>
        </is>
      </c>
      <c r="B10751" t="inlineStr">
        <is>
          <t>Processing Unit, Trader with Storage</t>
        </is>
      </c>
      <c r="C10751" t="inlineStr">
        <is>
          <t>China Classification Society Certification Co., Ltd, Dong Cheng District, Beijing, CN</t>
        </is>
      </c>
      <c r="D10751" t="inlineStr">
        <is>
          <t>12.12.2026</t>
        </is>
      </c>
      <c r="E10751" t="inlineStr">
        <is>
          <t>China</t>
        </is>
      </c>
    </row>
    <row r="10752">
      <c r="A10752" t="inlineStr">
        <is>
          <t>OUTLOOK INTERNATIONAL GROUP (VIETNAM) COMPANY LIMITED,  Thai Nguyen Province, Vietnam</t>
        </is>
      </c>
      <c r="B10752" t="inlineStr">
        <is>
          <t>Processing Unit</t>
        </is>
      </c>
      <c r="C10752" t="inlineStr">
        <is>
          <t>SCS Global Services, Emeryville, CA, US</t>
        </is>
      </c>
      <c r="D10752" t="inlineStr">
        <is>
          <t>12.12.2026</t>
        </is>
      </c>
      <c r="E10752" t="inlineStr">
        <is>
          <t>Vietnam</t>
        </is>
      </c>
    </row>
    <row r="10753">
      <c r="A10753" t="inlineStr">
        <is>
          <t>BASF Corporation,  Wyandotte, United States</t>
        </is>
      </c>
      <c r="B10753" t="inlineStr">
        <is>
          <t>Processing Unit</t>
        </is>
      </c>
      <c r="C10753" t="inlineStr">
        <is>
          <t>TÜV NORD CERT GmbH, Essen, DE</t>
        </is>
      </c>
      <c r="D10753" t="inlineStr">
        <is>
          <t>12.12.2026</t>
        </is>
      </c>
      <c r="E10753" t="inlineStr">
        <is>
          <t>United States</t>
        </is>
      </c>
    </row>
    <row r="10754">
      <c r="A10754" t="inlineStr">
        <is>
          <t>Biofuel Express S,  Landskrona, Sweden</t>
        </is>
      </c>
      <c r="B10754" t="inlineStr">
        <is>
          <t>Trader with Storage</t>
        </is>
      </c>
      <c r="C10754" t="inlineStr">
        <is>
          <t>Baltic Control Certification, Risskov, DK</t>
        </is>
      </c>
      <c r="D10754" t="inlineStr">
        <is>
          <t>12.12.2026</t>
        </is>
      </c>
      <c r="E10754" t="inlineStr">
        <is>
          <t>Sweden</t>
        </is>
      </c>
    </row>
    <row r="10755">
      <c r="A10755" t="inlineStr">
        <is>
          <t>BIOFUEL EXPRESS,  Dubai, United Arab Emirates</t>
        </is>
      </c>
      <c r="B10755" t="inlineStr">
        <is>
          <t>Trader</t>
        </is>
      </c>
      <c r="C10755" t="inlineStr">
        <is>
          <t>Baltic Control Certification, Risskov, DK</t>
        </is>
      </c>
      <c r="D10755" t="inlineStr">
        <is>
          <t>12.12.2026</t>
        </is>
      </c>
      <c r="E10755" t="inlineStr">
        <is>
          <t>United Arab Emirates</t>
        </is>
      </c>
    </row>
    <row r="10756">
      <c r="A10756" t="inlineStr">
        <is>
          <t>BASF Corporation,  Pasadena, United States</t>
        </is>
      </c>
      <c r="B10756" t="inlineStr">
        <is>
          <t>Processing Unit</t>
        </is>
      </c>
      <c r="C10756" t="inlineStr">
        <is>
          <t>TÜV NORD CERT GmbH, Essen, DE</t>
        </is>
      </c>
      <c r="D10756" t="inlineStr">
        <is>
          <t>12.12.2026</t>
        </is>
      </c>
      <c r="E10756" t="inlineStr">
        <is>
          <t>United States</t>
        </is>
      </c>
    </row>
    <row r="10757">
      <c r="A10757" t="inlineStr">
        <is>
          <t>Kuwait Petroleum Aviation Netherlands,  Woking, United Kingdom</t>
        </is>
      </c>
      <c r="B10757" t="inlineStr">
        <is>
          <t>Trader, Proof of Compliance Trader</t>
        </is>
      </c>
      <c r="C10757" t="inlineStr">
        <is>
          <t>SCS Global Services, Emeryville, CA, US</t>
        </is>
      </c>
      <c r="D10757" t="inlineStr">
        <is>
          <t>12.12.2026</t>
        </is>
      </c>
      <c r="E10757" t="inlineStr">
        <is>
          <t>United Kingdom</t>
        </is>
      </c>
    </row>
    <row r="10758">
      <c r="A10758" t="inlineStr">
        <is>
          <t>Kuwait Petroleum Austria,  Woking, The United Kingdom</t>
        </is>
      </c>
      <c r="B10758" t="inlineStr">
        <is>
          <t>Trader, Proof of Compliance Trader</t>
        </is>
      </c>
      <c r="C10758" t="inlineStr">
        <is>
          <t>SCS Global Services, Emeryville, CA, US</t>
        </is>
      </c>
      <c r="D10758" t="inlineStr">
        <is>
          <t>12.12.2026</t>
        </is>
      </c>
      <c r="E10758" t="inlineStr">
        <is>
          <t>The United Kingdom</t>
        </is>
      </c>
    </row>
    <row r="10759">
      <c r="A10759" t="inlineStr">
        <is>
          <t>Kuwait Petroleum Aviation Belgium,  Woking, The United Kingdom</t>
        </is>
      </c>
      <c r="B10759" t="inlineStr">
        <is>
          <t>Trader, Proof of Compliance Trader</t>
        </is>
      </c>
      <c r="C10759" t="inlineStr">
        <is>
          <t>SCS Global Services, Emeryville, CA, US</t>
        </is>
      </c>
      <c r="D10759" t="inlineStr">
        <is>
          <t>12.12.2026</t>
        </is>
      </c>
      <c r="E10759" t="inlineStr">
        <is>
          <t>The United Kingdom</t>
        </is>
      </c>
    </row>
    <row r="10760">
      <c r="A10760" t="inlineStr">
        <is>
          <t>Kuwait Petroleum Aviation Deutschland,  Woking, The United Kingdom</t>
        </is>
      </c>
      <c r="B10760" t="inlineStr">
        <is>
          <t>Trader, Proof of Compliance Trader</t>
        </is>
      </c>
      <c r="C10760" t="inlineStr">
        <is>
          <t>SCS Global Services, Emeryville, CA, US</t>
        </is>
      </c>
      <c r="D10760" t="inlineStr">
        <is>
          <t>12.12.2026</t>
        </is>
      </c>
      <c r="E10760" t="inlineStr">
        <is>
          <t>The United Kingdom</t>
        </is>
      </c>
    </row>
    <row r="10761">
      <c r="A10761" t="inlineStr">
        <is>
          <t>BASF Canada, Inc,  Cornwall, Canada</t>
        </is>
      </c>
      <c r="B10761" t="inlineStr">
        <is>
          <t>Processing Unit</t>
        </is>
      </c>
      <c r="C10761" t="inlineStr">
        <is>
          <t>TÜV NORD CERT GmbH, Essen, DE</t>
        </is>
      </c>
      <c r="D10761" t="inlineStr">
        <is>
          <t>12.12.2026</t>
        </is>
      </c>
      <c r="E10761" t="inlineStr">
        <is>
          <t>Canada</t>
        </is>
      </c>
    </row>
    <row r="10762">
      <c r="A10762" t="inlineStr">
        <is>
          <t>E D &amp; F Man Molasses B.V.,  Amsterdam, Netherlands</t>
        </is>
      </c>
      <c r="B10762" t="inlineStr">
        <is>
          <t>Trader with Storage</t>
        </is>
      </c>
      <c r="C10762" t="inlineStr">
        <is>
          <t>Control Union Certifications Germany GmbH, Berlin, DE</t>
        </is>
      </c>
      <c r="D10762" t="inlineStr">
        <is>
          <t>12.12.2026</t>
        </is>
      </c>
      <c r="E10762" t="inlineStr">
        <is>
          <t>Netherlands</t>
        </is>
      </c>
    </row>
    <row r="10763">
      <c r="A10763" t="inlineStr">
        <is>
          <t>Qingdao Huicheng Environmental Technology Co., LTD,  Jieyang City, Guangdong Province, China</t>
        </is>
      </c>
      <c r="B10763" t="inlineStr">
        <is>
          <t>Collecting Point</t>
        </is>
      </c>
      <c r="C10763" t="inlineStr">
        <is>
          <t>SCS Global Services, Emeryville, CA, US</t>
        </is>
      </c>
      <c r="D10763" t="inlineStr">
        <is>
          <t>12.12.2026</t>
        </is>
      </c>
      <c r="E10763" t="inlineStr">
        <is>
          <t>China</t>
        </is>
      </c>
    </row>
    <row r="10764">
      <c r="A10764" t="inlineStr">
        <is>
          <t>Kuwait Petroleum Aviation Luxembourg,  Woking, The United Kingdom</t>
        </is>
      </c>
      <c r="B10764" t="inlineStr">
        <is>
          <t>Trader, Proof of Compliance Trader</t>
        </is>
      </c>
      <c r="C10764" t="inlineStr">
        <is>
          <t>SCS Global Services, Emeryville, CA, US</t>
        </is>
      </c>
      <c r="D10764" t="inlineStr">
        <is>
          <t>12.12.2026</t>
        </is>
      </c>
      <c r="E10764" t="inlineStr">
        <is>
          <t>The United Kingdom</t>
        </is>
      </c>
    </row>
    <row r="10765">
      <c r="A10765" t="inlineStr">
        <is>
          <t>American Packaging Corporation,  Story City, Iowa, United States</t>
        </is>
      </c>
      <c r="B10765" t="inlineStr">
        <is>
          <t>Processing Unit</t>
        </is>
      </c>
      <c r="C10765" t="inlineStr">
        <is>
          <t>SCS Global Services, Emeryville, CA, US</t>
        </is>
      </c>
      <c r="D10765" t="inlineStr">
        <is>
          <t>12.12.2026</t>
        </is>
      </c>
      <c r="E10765" t="inlineStr">
        <is>
          <t>United States</t>
        </is>
      </c>
    </row>
    <row r="10766">
      <c r="A10766" t="inlineStr">
        <is>
          <t>MB Energy (SGP) Pte. Ltd,  Asia Square Tower 2, #25-01, Singapore, Singapore</t>
        </is>
      </c>
      <c r="B10766" t="inlineStr">
        <is>
          <t>Trader, Proof of Compliance Trader</t>
        </is>
      </c>
      <c r="C10766" t="inlineStr">
        <is>
          <t>Control Union Certifications Germany GmbH, Berlin, DE</t>
        </is>
      </c>
      <c r="D10766" t="inlineStr">
        <is>
          <t>12.12.2026</t>
        </is>
      </c>
      <c r="E10766" t="inlineStr">
        <is>
          <t>Singapore</t>
        </is>
      </c>
    </row>
    <row r="10767">
      <c r="A10767" t="inlineStr">
        <is>
          <t>HUIZHOU LCY ELASTOMERS CORP.,  HUIZHOU, China</t>
        </is>
      </c>
      <c r="B10767" t="inlineStr">
        <is>
          <t>Processing Unit</t>
        </is>
      </c>
      <c r="C10767" t="inlineStr">
        <is>
          <t>DQS CFS GmbH - Deutsche Gesellschaft für Nachhaltigkeit, Frankfurt am Main, DE</t>
        </is>
      </c>
      <c r="D10767" t="inlineStr">
        <is>
          <t>12.12.2026</t>
        </is>
      </c>
      <c r="E10767" t="inlineStr">
        <is>
          <t>China</t>
        </is>
      </c>
    </row>
    <row r="10768">
      <c r="A10768" t="inlineStr">
        <is>
          <t>Halusah Ladang Sdn Bhd (Sakilan Palm Oil Mill),  Sandakan , Malaysia</t>
        </is>
      </c>
      <c r="B10768" t="inlineStr">
        <is>
          <t>Point of Origin</t>
        </is>
      </c>
      <c r="C10768" t="inlineStr">
        <is>
          <t>PT Intertek Utama Services, Jakarta, ID</t>
        </is>
      </c>
      <c r="D10768" t="inlineStr">
        <is>
          <t>12.12.2026</t>
        </is>
      </c>
      <c r="E10768" t="inlineStr">
        <is>
          <t>Malaysia</t>
        </is>
      </c>
    </row>
    <row r="10769">
      <c r="A10769" t="inlineStr">
        <is>
          <t>Alkagesta Petrol ve Tarım Ticaret Limited Şirketi,  Sarıyer, Türkiye</t>
        </is>
      </c>
      <c r="B10769" t="inlineStr">
        <is>
          <t>Trader with Storage</t>
        </is>
      </c>
      <c r="C10769" t="inlineStr">
        <is>
          <t>PT Intertek Utama Services, Jakarta, ID</t>
        </is>
      </c>
      <c r="D10769" t="inlineStr">
        <is>
          <t>12.12.2026</t>
        </is>
      </c>
      <c r="E10769" t="inlineStr">
        <is>
          <t>Türkiye</t>
        </is>
      </c>
    </row>
    <row r="10770">
      <c r="A10770" t="inlineStr">
        <is>
          <t>RIMOWA CZ,  Pelhřimov, Czech Republic</t>
        </is>
      </c>
      <c r="B10770" t="inlineStr">
        <is>
          <t>Processing Unit</t>
        </is>
      </c>
      <c r="C10770" t="inlineStr">
        <is>
          <t>United Registrar of Systems Polska Sp. z o.o., Wrocław, PL</t>
        </is>
      </c>
      <c r="D10770" t="inlineStr">
        <is>
          <t>12.12.2026</t>
        </is>
      </c>
      <c r="E10770" t="inlineStr">
        <is>
          <t>Czech Republic</t>
        </is>
      </c>
    </row>
    <row r="10771">
      <c r="A10771" t="inlineStr">
        <is>
          <t>AJIN GENERAL CHEMICAL CO., LTD.,  Gunpo-si, Korea, Republic of</t>
        </is>
      </c>
      <c r="B10771" t="inlineStr">
        <is>
          <t>Trader</t>
        </is>
      </c>
      <c r="C10771" t="inlineStr">
        <is>
          <t>Control Union Certifications Germany GmbH, Berlin, DE</t>
        </is>
      </c>
      <c r="D10771" t="inlineStr">
        <is>
          <t>12.12.2026</t>
        </is>
      </c>
      <c r="E10771" t="inlineStr">
        <is>
          <t>Republic of</t>
        </is>
      </c>
    </row>
    <row r="10772">
      <c r="A10772" t="inlineStr">
        <is>
          <t>Taiwan Trinseo,  Hukou Hsinchu, Taiwan</t>
        </is>
      </c>
      <c r="B10772" t="inlineStr">
        <is>
          <t>Processing Unit</t>
        </is>
      </c>
      <c r="C10772" t="inlineStr">
        <is>
          <t>SGS Germany GmbH, Emstek, DE</t>
        </is>
      </c>
      <c r="D10772" t="inlineStr">
        <is>
          <t>12.12.2026</t>
        </is>
      </c>
      <c r="E10772" t="inlineStr">
        <is>
          <t>Taiwan</t>
        </is>
      </c>
    </row>
    <row r="10773">
      <c r="A10773" t="inlineStr">
        <is>
          <t>Alchemy Agencies Ltd,  Auckland, New Zealand</t>
        </is>
      </c>
      <c r="B10773" t="inlineStr">
        <is>
          <t>Trader with Storage</t>
        </is>
      </c>
      <c r="C10773" t="inlineStr">
        <is>
          <t>SGS Germany GmbH, Emstek, DE</t>
        </is>
      </c>
      <c r="D10773" t="inlineStr">
        <is>
          <t>12.12.2026</t>
        </is>
      </c>
      <c r="E10773" t="inlineStr">
        <is>
          <t>New Zealand</t>
        </is>
      </c>
    </row>
    <row r="10774">
      <c r="A10774" t="inlineStr">
        <is>
          <t>DONA VICTOR FOOTWEAR CO., LTD,  Dong Nai Province, Vietnam</t>
        </is>
      </c>
      <c r="B10774" t="inlineStr">
        <is>
          <t>Final Product Refinement, Processing Unit</t>
        </is>
      </c>
      <c r="C10774" t="inlineStr">
        <is>
          <t>SGS Germany GmbH, Emstek, DE</t>
        </is>
      </c>
      <c r="D10774" t="inlineStr">
        <is>
          <t>12.12.2026</t>
        </is>
      </c>
      <c r="E10774" t="inlineStr">
        <is>
          <t>Vietnam</t>
        </is>
      </c>
    </row>
    <row r="10775">
      <c r="A10775" t="inlineStr">
        <is>
          <t>Zeller Plastik Deutschland GmbH,  Finnentrop, Germany</t>
        </is>
      </c>
      <c r="B10775" t="inlineStr">
        <is>
          <t>Processing Unit</t>
        </is>
      </c>
      <c r="C10775" t="inlineStr">
        <is>
          <t>SGS Germany GmbH, Emstek, DE</t>
        </is>
      </c>
      <c r="D10775" t="inlineStr">
        <is>
          <t>12.12.2026</t>
        </is>
      </c>
      <c r="E10775" t="inlineStr">
        <is>
          <t>Germany</t>
        </is>
      </c>
    </row>
    <row r="10776">
      <c r="A10776" t="inlineStr">
        <is>
          <t>Green-Future.cz,  Dvorce, Czech Republic</t>
        </is>
      </c>
      <c r="B10776" t="inlineStr">
        <is>
          <t>Collecting Point, Processing Unit</t>
        </is>
      </c>
      <c r="C10776" t="inlineStr">
        <is>
          <t>SGS Germany GmbH, Emstek, DE</t>
        </is>
      </c>
      <c r="D10776" t="inlineStr">
        <is>
          <t>12.12.2026</t>
        </is>
      </c>
      <c r="E10776" t="inlineStr">
        <is>
          <t>Czech Republic</t>
        </is>
      </c>
    </row>
    <row r="10777">
      <c r="A10777" t="inlineStr">
        <is>
          <t>Victory Pte Ltd,  Singapore, Singapore</t>
        </is>
      </c>
      <c r="B10777" t="inlineStr">
        <is>
          <t>Trader</t>
        </is>
      </c>
      <c r="C10777" t="inlineStr">
        <is>
          <t>SGS Germany GmbH, Emstek, DE</t>
        </is>
      </c>
      <c r="D10777" t="inlineStr">
        <is>
          <t>12.12.2026</t>
        </is>
      </c>
      <c r="E10777" t="inlineStr">
        <is>
          <t>Singapore</t>
        </is>
      </c>
    </row>
    <row r="10778">
      <c r="A10778" t="inlineStr">
        <is>
          <t>Oltina Impex Prod Com Srl,  Urlati, Prahova region, Romania</t>
        </is>
      </c>
      <c r="B10778" t="inlineStr">
        <is>
          <t>First Gathering Point, Trader with Storage</t>
        </is>
      </c>
      <c r="C10778" t="inlineStr">
        <is>
          <t>SGS Germany GmbH, Emstek, DE</t>
        </is>
      </c>
      <c r="D10778" t="inlineStr">
        <is>
          <t>12.12.2026</t>
        </is>
      </c>
      <c r="E10778" t="inlineStr">
        <is>
          <t>Romania</t>
        </is>
      </c>
    </row>
    <row r="10779">
      <c r="A10779" t="inlineStr">
        <is>
          <t>Perstorp Chemicals GmbH,  Arnsberg, Germany</t>
        </is>
      </c>
      <c r="B10779" t="inlineStr">
        <is>
          <t>Processing Unit</t>
        </is>
      </c>
      <c r="C10779" t="inlineStr">
        <is>
          <t>SGS Germany GmbH, Emstek, DE</t>
        </is>
      </c>
      <c r="D10779" t="inlineStr">
        <is>
          <t>12.12.2026</t>
        </is>
      </c>
      <c r="E10779" t="inlineStr">
        <is>
          <t>Germany</t>
        </is>
      </c>
    </row>
    <row r="10780">
      <c r="A10780" t="inlineStr">
        <is>
          <t>VIETNAM DONA ORIENT CO., LTD.,  Dong Nai Province, Vietnam</t>
        </is>
      </c>
      <c r="B10780" t="inlineStr">
        <is>
          <t>Final Product Refinement, Processing Unit</t>
        </is>
      </c>
      <c r="C10780" t="inlineStr">
        <is>
          <t>SGS Germany GmbH, Emstek, DE</t>
        </is>
      </c>
      <c r="D10780" t="inlineStr">
        <is>
          <t>12.12.2026</t>
        </is>
      </c>
      <c r="E10780" t="inlineStr">
        <is>
          <t>Vietnam</t>
        </is>
      </c>
    </row>
    <row r="10781">
      <c r="A10781" t="inlineStr">
        <is>
          <t>ARAKAWA JUSHI CO., LTD.,  Tsukubamirai-shi, Ibaraki-ken, Japan</t>
        </is>
      </c>
      <c r="B10781" t="inlineStr">
        <is>
          <t>Processing Unit</t>
        </is>
      </c>
      <c r="C10781" t="inlineStr">
        <is>
          <t>SGS Germany GmbH, Emstek, DE</t>
        </is>
      </c>
      <c r="D10781" t="inlineStr">
        <is>
          <t>12.12.2026</t>
        </is>
      </c>
      <c r="E10781" t="inlineStr">
        <is>
          <t>Japan</t>
        </is>
      </c>
    </row>
    <row r="10782">
      <c r="A10782" t="inlineStr">
        <is>
          <t>Nibulon Ltd,  Mykolayiv, Ukraine</t>
        </is>
      </c>
      <c r="B10782" t="inlineStr">
        <is>
          <t>First Gathering Point, Warehouse, Trader with Storage</t>
        </is>
      </c>
      <c r="C10782" t="inlineStr">
        <is>
          <t>SGS Germany GmbH, Emstek, DE</t>
        </is>
      </c>
      <c r="D10782" t="inlineStr">
        <is>
          <t>12.12.2026</t>
        </is>
      </c>
      <c r="E10782" t="inlineStr">
        <is>
          <t>Ukraine</t>
        </is>
      </c>
    </row>
    <row r="10783">
      <c r="A10783" t="inlineStr">
        <is>
          <t>DONA PACIFIC VIETNAM COMPANY LIMITED,  Dong Nai Province, Vietnam</t>
        </is>
      </c>
      <c r="B10783" t="inlineStr">
        <is>
          <t>Processing Unit, Final Product Refinement</t>
        </is>
      </c>
      <c r="C10783" t="inlineStr">
        <is>
          <t>SGS Germany GmbH, Emstek, DE</t>
        </is>
      </c>
      <c r="D10783" t="inlineStr">
        <is>
          <t>12.12.2026</t>
        </is>
      </c>
      <c r="E10783" t="inlineStr">
        <is>
          <t>Vietnam</t>
        </is>
      </c>
    </row>
    <row r="10784">
      <c r="A10784" t="inlineStr">
        <is>
          <t>Fukusuke Kogyo,  Inabe-shi, Mie-ken, Japan</t>
        </is>
      </c>
      <c r="B10784" t="inlineStr">
        <is>
          <t>Processing Unit, Warehouse, Trader with Storage</t>
        </is>
      </c>
      <c r="C10784" t="inlineStr">
        <is>
          <t>SGS Germany GmbH, Emstek, DE</t>
        </is>
      </c>
      <c r="D10784" t="inlineStr">
        <is>
          <t>12.12.2026</t>
        </is>
      </c>
      <c r="E10784" t="inlineStr">
        <is>
          <t>Japan</t>
        </is>
      </c>
    </row>
    <row r="10785">
      <c r="A10785" t="inlineStr">
        <is>
          <t>New Rise Renewables Reno,  McCarran, United States</t>
        </is>
      </c>
      <c r="B10785" t="inlineStr">
        <is>
          <t>Processing Unit, Trader with Storage</t>
        </is>
      </c>
      <c r="C10785" t="inlineStr">
        <is>
          <t>SGS Germany GmbH, Emstek, DE</t>
        </is>
      </c>
      <c r="D10785" t="inlineStr">
        <is>
          <t>12.12.2026</t>
        </is>
      </c>
      <c r="E10785" t="inlineStr">
        <is>
          <t>United States</t>
        </is>
      </c>
    </row>
    <row r="10786">
      <c r="A10786" t="inlineStr">
        <is>
          <t>New Rise Renewables Reno,  McCarran, United States</t>
        </is>
      </c>
      <c r="B10786" t="inlineStr">
        <is>
          <t>Processing Unit, Trader with Storage</t>
        </is>
      </c>
      <c r="C10786" t="inlineStr">
        <is>
          <t>SGS Germany GmbH, Emstek, DE</t>
        </is>
      </c>
      <c r="D10786" t="inlineStr">
        <is>
          <t>12.12.2026</t>
        </is>
      </c>
      <c r="E10786" t="inlineStr">
        <is>
          <t>United States</t>
        </is>
      </c>
    </row>
    <row r="10787">
      <c r="A10787" t="inlineStr">
        <is>
          <t>New Rise Renewables Reno,  McCarran, United States</t>
        </is>
      </c>
      <c r="B10787" t="inlineStr">
        <is>
          <t>Processing Unit, Trader with Storage</t>
        </is>
      </c>
      <c r="C10787" t="inlineStr">
        <is>
          <t>SGS Germany GmbH, Emstek, DE</t>
        </is>
      </c>
      <c r="D10787" t="inlineStr">
        <is>
          <t>12.12.2026</t>
        </is>
      </c>
      <c r="E10787" t="inlineStr">
        <is>
          <t>United States</t>
        </is>
      </c>
    </row>
    <row r="10788">
      <c r="A10788" t="inlineStr">
        <is>
          <t>BlackCoral Energy SAM,  Monaco, Monaco</t>
        </is>
      </c>
      <c r="B10788" t="inlineStr">
        <is>
          <t>Trader</t>
        </is>
      </c>
      <c r="C10788" t="inlineStr">
        <is>
          <t>Control Union Poland Sp. z o.o., Zielona Gora, PL</t>
        </is>
      </c>
      <c r="D10788" t="inlineStr">
        <is>
          <t>12.12.2026</t>
        </is>
      </c>
      <c r="E10788" t="inlineStr">
        <is>
          <t>Monaco</t>
        </is>
      </c>
    </row>
    <row r="10789">
      <c r="A10789" t="inlineStr">
        <is>
          <t>Cargill NV,  Gent - Harbour 4510 A, Belgium</t>
        </is>
      </c>
      <c r="B10789" t="inlineStr">
        <is>
          <t>Point of Origin, Trader with Storage, Processing Unit</t>
        </is>
      </c>
      <c r="C10789" t="inlineStr">
        <is>
          <t>SGS Germany GmbH, Emstek, DE</t>
        </is>
      </c>
      <c r="D10789" t="inlineStr">
        <is>
          <t>12.12.2026</t>
        </is>
      </c>
      <c r="E10789" t="inlineStr">
        <is>
          <t>Belgium</t>
        </is>
      </c>
    </row>
    <row r="10790">
      <c r="A10790" t="inlineStr">
        <is>
          <t>UBE Elastomer Co. Ltd.,  Minato-ku, Tokyo, Japan</t>
        </is>
      </c>
      <c r="B10790" t="inlineStr">
        <is>
          <t>Trader</t>
        </is>
      </c>
      <c r="C10790" t="inlineStr">
        <is>
          <t>SGS Germany GmbH, Emstek, DE</t>
        </is>
      </c>
      <c r="D10790" t="inlineStr">
        <is>
          <t>12.12.2026</t>
        </is>
      </c>
      <c r="E10790" t="inlineStr">
        <is>
          <t>Japan</t>
        </is>
      </c>
    </row>
    <row r="10791">
      <c r="A10791" t="inlineStr">
        <is>
          <t>GENOIL,  Sousse, Tunisia</t>
        </is>
      </c>
      <c r="B10791" t="inlineStr">
        <is>
          <t>Trader with Storage</t>
        </is>
      </c>
      <c r="C10791" t="inlineStr">
        <is>
          <t>RINA Services S.p.A., Genova, IT</t>
        </is>
      </c>
      <c r="D10791" t="inlineStr">
        <is>
          <t>12.12.2026</t>
        </is>
      </c>
      <c r="E10791" t="inlineStr">
        <is>
          <t>Tunisia</t>
        </is>
      </c>
    </row>
    <row r="10792">
      <c r="A10792" t="inlineStr">
        <is>
          <t>Societe Anonyme Monastirienne,  Monastir, Tunisia</t>
        </is>
      </c>
      <c r="B10792" t="inlineStr">
        <is>
          <t>Point of Origin</t>
        </is>
      </c>
      <c r="C10792" t="inlineStr">
        <is>
          <t>RINA Services S.p.A., Genova, IT</t>
        </is>
      </c>
      <c r="D10792" t="inlineStr">
        <is>
          <t>12.12.2026</t>
        </is>
      </c>
      <c r="E10792" t="inlineStr">
        <is>
          <t>Tunisia</t>
        </is>
      </c>
    </row>
    <row r="10793">
      <c r="A10793" t="inlineStr">
        <is>
          <t>SINO COAST LIMITED,  Shanghai, China</t>
        </is>
      </c>
      <c r="B10793" t="inlineStr">
        <is>
          <t>Trader</t>
        </is>
      </c>
      <c r="C10793" t="inlineStr">
        <is>
          <t>RINA Services S.p.A., Genova, IT</t>
        </is>
      </c>
      <c r="D10793" t="inlineStr">
        <is>
          <t>12.12.2026</t>
        </is>
      </c>
      <c r="E10793" t="inlineStr">
        <is>
          <t>China</t>
        </is>
      </c>
    </row>
    <row r="10794">
      <c r="A10794" t="inlineStr">
        <is>
          <t>Biofuel Express,  Randers SV, Denmark</t>
        </is>
      </c>
      <c r="B10794" t="inlineStr">
        <is>
          <t>Trader with Storage</t>
        </is>
      </c>
      <c r="C10794" t="inlineStr">
        <is>
          <t>Baltic Control Certification, Risskov, DK</t>
        </is>
      </c>
      <c r="D10794" t="inlineStr">
        <is>
          <t>12.12.2026</t>
        </is>
      </c>
      <c r="E10794" t="inlineStr">
        <is>
          <t>Denmark</t>
        </is>
      </c>
    </row>
    <row r="10795">
      <c r="A10795" t="inlineStr">
        <is>
          <t>Cargill NV,  Gent, Belgium</t>
        </is>
      </c>
      <c r="B10795" t="inlineStr">
        <is>
          <t>Trader with Storage, Processing Unit, Point of Origin</t>
        </is>
      </c>
      <c r="C10795" t="inlineStr">
        <is>
          <t>SGS Germany GmbH, Emstek, DE</t>
        </is>
      </c>
      <c r="D10795" t="inlineStr">
        <is>
          <t>12.12.2026</t>
        </is>
      </c>
      <c r="E10795" t="inlineStr">
        <is>
          <t>Belgium</t>
        </is>
      </c>
    </row>
    <row r="10796">
      <c r="A10796" t="inlineStr">
        <is>
          <t>EVERMORE CHEMICAL INDUSTRY CO., LTD.,  Nantou City, Nantou County, Taiwan</t>
        </is>
      </c>
      <c r="B10796" t="inlineStr">
        <is>
          <t>Processing Unit, Trader with Storage</t>
        </is>
      </c>
      <c r="C10796" t="inlineStr">
        <is>
          <t>Bureau Veritas Polska Sp. z o.o., Warsaw, PL</t>
        </is>
      </c>
      <c r="D10796" t="inlineStr">
        <is>
          <t>12.12.2026</t>
        </is>
      </c>
      <c r="E10796" t="inlineStr">
        <is>
          <t>Taiwan</t>
        </is>
      </c>
    </row>
    <row r="10797">
      <c r="A10797" t="inlineStr">
        <is>
          <t>POLLENA KUROWSKI S.A.,  Łaskarzew, Poland</t>
        </is>
      </c>
      <c r="B10797" t="inlineStr">
        <is>
          <t>Processing Unit</t>
        </is>
      </c>
      <c r="C10797" t="inlineStr">
        <is>
          <t>Bureau Veritas Polska Sp. z o.o., Warsaw, PL</t>
        </is>
      </c>
      <c r="D10797" t="inlineStr">
        <is>
          <t>12.12.2026</t>
        </is>
      </c>
      <c r="E10797" t="inlineStr">
        <is>
          <t>Poland</t>
        </is>
      </c>
    </row>
    <row r="10798">
      <c r="A10798" t="inlineStr">
        <is>
          <t>BPS Huncovce, s.r.o.,  Huncovce, Slovakia</t>
        </is>
      </c>
      <c r="B10798" t="inlineStr">
        <is>
          <t>Collecting Point, First Gathering Point, Processing Unit</t>
        </is>
      </c>
      <c r="C10798" t="inlineStr">
        <is>
          <t>United Registrar of Systems Polska Sp. z o.o., Wrocław, PL</t>
        </is>
      </c>
      <c r="D10798" t="inlineStr">
        <is>
          <t>12.12.2026</t>
        </is>
      </c>
      <c r="E10798" t="inlineStr">
        <is>
          <t>Slovakia</t>
        </is>
      </c>
    </row>
    <row r="10799">
      <c r="A10799" t="inlineStr">
        <is>
          <t>BPS Cetín, s. r. o.,  Malý Cetín, Slovakia</t>
        </is>
      </c>
      <c r="B10799" t="inlineStr">
        <is>
          <t>Collecting Point, Processing Unit, First Gathering Point</t>
        </is>
      </c>
      <c r="C10799" t="inlineStr">
        <is>
          <t>United Registrar of Systems Polska Sp. z o.o., Wrocław, PL</t>
        </is>
      </c>
      <c r="D10799" t="inlineStr">
        <is>
          <t>12.12.2026</t>
        </is>
      </c>
      <c r="E10799" t="inlineStr">
        <is>
          <t>Slovakia</t>
        </is>
      </c>
    </row>
    <row r="10800">
      <c r="A10800" t="inlineStr">
        <is>
          <t>ENERGE B6 s.r.o.,  Sklabina, Slovakia</t>
        </is>
      </c>
      <c r="B10800" t="inlineStr">
        <is>
          <t>Collecting Point, First Gathering Point, Point of Origin, Processing Unit</t>
        </is>
      </c>
      <c r="C10800" t="inlineStr">
        <is>
          <t>United Registrar of Systems Polska Sp. z o.o., Wrocław, PL</t>
        </is>
      </c>
      <c r="D10800" t="inlineStr">
        <is>
          <t>12.12.2026</t>
        </is>
      </c>
      <c r="E10800" t="inlineStr">
        <is>
          <t>Slovakia</t>
        </is>
      </c>
    </row>
    <row r="10801">
      <c r="A10801" t="inlineStr">
        <is>
          <t>JURIKY s.r.o.,  Želovce, Slovakia</t>
        </is>
      </c>
      <c r="B10801" t="inlineStr">
        <is>
          <t>Collecting Point, First Gathering Point, Processing Unit, Trader with Storage</t>
        </is>
      </c>
      <c r="C10801" t="inlineStr">
        <is>
          <t>United Registrar of Systems Polska Sp. z o.o., Wrocław, PL</t>
        </is>
      </c>
      <c r="D10801" t="inlineStr">
        <is>
          <t>12.12.2026</t>
        </is>
      </c>
      <c r="E10801" t="inlineStr">
        <is>
          <t>Slovakia</t>
        </is>
      </c>
    </row>
    <row r="10802">
      <c r="A10802" t="inlineStr">
        <is>
          <t>BPS Horovce 2, s. r. o.,  Horovce, Slovakia</t>
        </is>
      </c>
      <c r="B10802" t="inlineStr">
        <is>
          <t>Collecting Point, First Gathering Point, Processing Unit</t>
        </is>
      </c>
      <c r="C10802" t="inlineStr">
        <is>
          <t>United Registrar of Systems Polska Sp. z o.o., Wrocław, PL</t>
        </is>
      </c>
      <c r="D10802" t="inlineStr">
        <is>
          <t>12.12.2026</t>
        </is>
      </c>
      <c r="E10802" t="inlineStr">
        <is>
          <t>Slovakia</t>
        </is>
      </c>
    </row>
    <row r="10803">
      <c r="A10803" t="inlineStr">
        <is>
          <t>V.E.D. Milieuservice B.V.,  Dronten, Netherlands</t>
        </is>
      </c>
      <c r="B10803" t="inlineStr">
        <is>
          <t>Collecting Point, Trader with Storage</t>
        </is>
      </c>
      <c r="C10803" t="inlineStr">
        <is>
          <t>Control Union Certifications Germany GmbH, Berlin, DE</t>
        </is>
      </c>
      <c r="D10803" t="inlineStr">
        <is>
          <t>12.12.2026</t>
        </is>
      </c>
      <c r="E10803" t="inlineStr">
        <is>
          <t>Netherlands</t>
        </is>
      </c>
    </row>
    <row r="10804">
      <c r="A10804" t="inlineStr">
        <is>
          <t>Muenzer Bharat Pvt. Ltd.,  Nerul, Navi Mumbai, India</t>
        </is>
      </c>
      <c r="B10804" t="inlineStr">
        <is>
          <t>Collecting Point</t>
        </is>
      </c>
      <c r="C10804" t="inlineStr">
        <is>
          <t>Trans Certification and Inspection Sdn Bhd, Kuantan, MY</t>
        </is>
      </c>
      <c r="D10804" t="inlineStr">
        <is>
          <t>12.12.2026</t>
        </is>
      </c>
      <c r="E10804" t="inlineStr">
        <is>
          <t>India</t>
        </is>
      </c>
    </row>
    <row r="10805">
      <c r="A10805" t="inlineStr">
        <is>
          <t>UEDAYUSHI CO.,LTD,  Daito City, Osaka, Japan</t>
        </is>
      </c>
      <c r="B10805" t="inlineStr">
        <is>
          <t>Collecting Point, Point of Origin, Trader with Storage</t>
        </is>
      </c>
      <c r="C10805" t="inlineStr">
        <is>
          <t>Trans Certification and Inspection Sdn Bhd, Kuantan, MY</t>
        </is>
      </c>
      <c r="D10805" t="inlineStr">
        <is>
          <t>12.12.2026</t>
        </is>
      </c>
      <c r="E10805" t="inlineStr">
        <is>
          <t>Japan</t>
        </is>
      </c>
    </row>
    <row r="10806">
      <c r="A10806" t="inlineStr">
        <is>
          <t>LINDBERG AG A4-BRANCH,  Subic Bay, Philippines</t>
        </is>
      </c>
      <c r="B10806" t="inlineStr">
        <is>
          <t>Final Product Refinement</t>
        </is>
      </c>
      <c r="C10806" t="inlineStr">
        <is>
          <t>Baltic Control Certification, Risskov, DK</t>
        </is>
      </c>
      <c r="D10806" t="inlineStr">
        <is>
          <t>12.12.2026</t>
        </is>
      </c>
      <c r="E10806" t="inlineStr">
        <is>
          <t>Philippines</t>
        </is>
      </c>
    </row>
    <row r="10807">
      <c r="A10807" t="inlineStr">
        <is>
          <t>Celanese US Holdings,  Pasadena, TX, United States</t>
        </is>
      </c>
      <c r="B10807" t="inlineStr">
        <is>
          <t>Point of Origin, Processing Unit</t>
        </is>
      </c>
      <c r="C10807" t="inlineStr">
        <is>
          <t>SCS Global Services, Emeryville, CA, US</t>
        </is>
      </c>
      <c r="D10807" t="inlineStr">
        <is>
          <t>12.12.2026</t>
        </is>
      </c>
      <c r="E10807" t="inlineStr">
        <is>
          <t>United States</t>
        </is>
      </c>
    </row>
    <row r="10808">
      <c r="A10808" t="inlineStr">
        <is>
          <t>Envalior,  Düsseldorf, Germany</t>
        </is>
      </c>
      <c r="B10808" t="inlineStr">
        <is>
          <t>Trader with Storage</t>
        </is>
      </c>
      <c r="C10808" t="inlineStr">
        <is>
          <t>TÜV NORD CERT GmbH, Essen, DE</t>
        </is>
      </c>
      <c r="D10808" t="inlineStr">
        <is>
          <t>12.12.2026</t>
        </is>
      </c>
      <c r="E10808" t="inlineStr">
        <is>
          <t>Germany</t>
        </is>
      </c>
    </row>
    <row r="10809">
      <c r="A10809" t="inlineStr">
        <is>
          <t>Aranga Valorizacion Sostenible SL,  Aranga (A Coruna), Spain</t>
        </is>
      </c>
      <c r="B10809" t="inlineStr">
        <is>
          <t>Collecting Point</t>
        </is>
      </c>
      <c r="C10809" t="inlineStr">
        <is>
          <t>Control Union Poland Sp. z o.o., Zielona Gora, PL</t>
        </is>
      </c>
      <c r="D10809" t="inlineStr">
        <is>
          <t>12.12.2026</t>
        </is>
      </c>
      <c r="E10809" t="inlineStr">
        <is>
          <t>Spain</t>
        </is>
      </c>
    </row>
    <row r="10810">
      <c r="A10810" t="inlineStr">
        <is>
          <t>Cargill NV,  Gent, Belgium</t>
        </is>
      </c>
      <c r="B10810" t="inlineStr">
        <is>
          <t>Processing Unit</t>
        </is>
      </c>
      <c r="C10810" t="inlineStr">
        <is>
          <t>SGS Germany GmbH, Emstek, DE</t>
        </is>
      </c>
      <c r="D10810" t="inlineStr">
        <is>
          <t>12.12.2026</t>
        </is>
      </c>
      <c r="E10810" t="inlineStr">
        <is>
          <t>Belgium</t>
        </is>
      </c>
    </row>
    <row r="10811">
      <c r="A10811" t="inlineStr">
        <is>
          <t>Alcotra North America Inc.,  Houston, TX, United States</t>
        </is>
      </c>
      <c r="B10811" t="inlineStr">
        <is>
          <t>Trader</t>
        </is>
      </c>
      <c r="C10811" t="inlineStr">
        <is>
          <t>Control Union Poland Sp. z o.o., Zielona Gora, PL</t>
        </is>
      </c>
      <c r="D10811" t="inlineStr">
        <is>
          <t>12.12.2026</t>
        </is>
      </c>
      <c r="E10811" t="inlineStr">
        <is>
          <t>United States</t>
        </is>
      </c>
    </row>
    <row r="10812">
      <c r="A10812" t="inlineStr">
        <is>
          <t>Alcotra North America Inc.,  Houston, TX, United States</t>
        </is>
      </c>
      <c r="B10812" t="inlineStr">
        <is>
          <t>Trader</t>
        </is>
      </c>
      <c r="C10812" t="inlineStr">
        <is>
          <t>Control Union Poland Sp. z o.o., Zielona Gora, PL</t>
        </is>
      </c>
      <c r="D10812" t="inlineStr">
        <is>
          <t>12.12.2026</t>
        </is>
      </c>
      <c r="E10812" t="inlineStr">
        <is>
          <t>United States</t>
        </is>
      </c>
    </row>
    <row r="10813">
      <c r="A10813" t="inlineStr">
        <is>
          <t>Goglio S.p.A.,  Cadorago, Italy</t>
        </is>
      </c>
      <c r="B10813" t="inlineStr">
        <is>
          <t>Processing Unit</t>
        </is>
      </c>
      <c r="C10813" t="inlineStr">
        <is>
          <t>DNV Business Assurance Sweden AB, Solna, SE</t>
        </is>
      </c>
      <c r="D10813" t="inlineStr">
        <is>
          <t>12.12.2026</t>
        </is>
      </c>
      <c r="E10813" t="inlineStr">
        <is>
          <t>Italy</t>
        </is>
      </c>
    </row>
    <row r="10814">
      <c r="A10814" t="inlineStr">
        <is>
          <t>APTAR FRANCE SAS,  Le Vaudreuil, France</t>
        </is>
      </c>
      <c r="B10814" t="inlineStr">
        <is>
          <t>Trader with Storage, Processing Unit, Final Product Refinement</t>
        </is>
      </c>
      <c r="C10814" t="inlineStr">
        <is>
          <t>Bureau Veritas Polska Sp. z o.o., Warsaw, PL</t>
        </is>
      </c>
      <c r="D10814" t="inlineStr">
        <is>
          <t>12.12.2026</t>
        </is>
      </c>
      <c r="E10814" t="inlineStr">
        <is>
          <t>France</t>
        </is>
      </c>
    </row>
    <row r="10815">
      <c r="A10815" t="inlineStr">
        <is>
          <t>Bio Ulja d.o.o.,  Šibenik, Croatia</t>
        </is>
      </c>
      <c r="B10815" t="inlineStr">
        <is>
          <t>Collecting Point, Trader with Storage</t>
        </is>
      </c>
      <c r="C10815" t="inlineStr">
        <is>
          <t>Bureau Veritas Polska Sp. z o.o., Warsaw, PL</t>
        </is>
      </c>
      <c r="D10815" t="inlineStr">
        <is>
          <t>11.12.2026</t>
        </is>
      </c>
      <c r="E10815" t="inlineStr">
        <is>
          <t>Croatia</t>
        </is>
      </c>
    </row>
    <row r="10816">
      <c r="A10816" t="inlineStr">
        <is>
          <t>Bio Blue Ieper,  Ieper, Belgium</t>
        </is>
      </c>
      <c r="B10816" t="inlineStr">
        <is>
          <t>Collecting Point, Processing Unit, Point of Origin</t>
        </is>
      </c>
      <c r="C10816" t="inlineStr">
        <is>
          <t>Control Union Certifications Germany GmbH, Berlin, DE</t>
        </is>
      </c>
      <c r="D10816" t="inlineStr">
        <is>
          <t>11.12.2026</t>
        </is>
      </c>
      <c r="E10816" t="inlineStr">
        <is>
          <t>Belgium</t>
        </is>
      </c>
    </row>
    <row r="10817">
      <c r="A10817" t="inlineStr">
        <is>
          <t>TRAKYA TARIMCILIK IC VE DIS TICARET LIMITED SIRKETI,  ESKITASLI KÖYÜ/ LÜLEBURGAZ/ KIRKLARELI, Türkiye</t>
        </is>
      </c>
      <c r="B10817" t="inlineStr">
        <is>
          <t>Collecting Point, Processing Unit, Trader with Storage</t>
        </is>
      </c>
      <c r="C10817" t="inlineStr">
        <is>
          <t>Trans Certification and Inspection Sdn Bhd, Kuantan, MY</t>
        </is>
      </c>
      <c r="D10817" t="inlineStr">
        <is>
          <t>11.12.2026</t>
        </is>
      </c>
      <c r="E10817" t="inlineStr">
        <is>
          <t>Türkiye</t>
        </is>
      </c>
    </row>
    <row r="10818">
      <c r="A10818" t="inlineStr">
        <is>
          <t>La Granda SRL,  Dogliani (Cuneo), Italy</t>
        </is>
      </c>
      <c r="B10818" t="inlineStr">
        <is>
          <t>Collecting Point, Trader with Storage</t>
        </is>
      </c>
      <c r="C10818" t="inlineStr">
        <is>
          <t>RINA Services S.p.A., Genova, IT</t>
        </is>
      </c>
      <c r="D10818" t="inlineStr">
        <is>
          <t>11.12.2026</t>
        </is>
      </c>
      <c r="E10818" t="inlineStr">
        <is>
          <t>Italy</t>
        </is>
      </c>
    </row>
    <row r="10819">
      <c r="A10819" t="inlineStr">
        <is>
          <t>GOODGRAIN, s.r.o.,  Streda nad Bodrogom, Slovakia</t>
        </is>
      </c>
      <c r="B10819" t="inlineStr">
        <is>
          <t>First Gathering Point, Processing Unit, Trader with Storage</t>
        </is>
      </c>
      <c r="C10819" t="inlineStr">
        <is>
          <t>United Registrar of Systems Polska Sp. z o.o., Wrocław, PL</t>
        </is>
      </c>
      <c r="D10819" t="inlineStr">
        <is>
          <t>11.12.2026</t>
        </is>
      </c>
      <c r="E10819" t="inlineStr">
        <is>
          <t>Slovakia</t>
        </is>
      </c>
    </row>
    <row r="10820">
      <c r="A10820" t="inlineStr">
        <is>
          <t>ipox chemicals kft,  Budapest, Hungary</t>
        </is>
      </c>
      <c r="B10820" t="inlineStr">
        <is>
          <t>Processing Unit</t>
        </is>
      </c>
      <c r="C10820" t="inlineStr">
        <is>
          <t>Control Union Certifications Germany GmbH, Berlin, DE</t>
        </is>
      </c>
      <c r="D10820" t="inlineStr">
        <is>
          <t>11.12.2026</t>
        </is>
      </c>
      <c r="E10820" t="inlineStr">
        <is>
          <t>Hungary</t>
        </is>
      </c>
    </row>
    <row r="10821">
      <c r="A10821" t="inlineStr">
        <is>
          <t>Nuseed Pty Ltd,  LAVERTON NORTH, Australia</t>
        </is>
      </c>
      <c r="B10821" t="inlineStr">
        <is>
          <t>Trader with Storage</t>
        </is>
      </c>
      <c r="C10821" t="inlineStr">
        <is>
          <t>Control Union Certifications Germany GmbH, Berlin, DE</t>
        </is>
      </c>
      <c r="D10821" t="inlineStr">
        <is>
          <t>11.12.2026</t>
        </is>
      </c>
      <c r="E10821" t="inlineStr">
        <is>
          <t>Australia</t>
        </is>
      </c>
    </row>
    <row r="10822">
      <c r="A10822" t="inlineStr">
        <is>
          <t>Eleftheria Deligianni,  Nea Artaki, Greece</t>
        </is>
      </c>
      <c r="B10822" t="inlineStr">
        <is>
          <t>Collecting Point, Warehouse</t>
        </is>
      </c>
      <c r="C10822" t="inlineStr">
        <is>
          <t>Eurocert SA, Metamorfosi, Athens, GR</t>
        </is>
      </c>
      <c r="D10822" t="inlineStr">
        <is>
          <t>11.12.2026</t>
        </is>
      </c>
      <c r="E10822" t="inlineStr">
        <is>
          <t>Greece</t>
        </is>
      </c>
    </row>
    <row r="10823">
      <c r="A10823" t="inlineStr">
        <is>
          <t>Golden Island Pte Ltd,  Singapore, Singapore</t>
        </is>
      </c>
      <c r="B10823" t="inlineStr">
        <is>
          <t>Trader with Storage</t>
        </is>
      </c>
      <c r="C10823" t="inlineStr">
        <is>
          <t>Double Helix Tracking Technologies Pte Ltd, Singapore, SG</t>
        </is>
      </c>
      <c r="D10823" t="inlineStr">
        <is>
          <t>11.12.2026</t>
        </is>
      </c>
      <c r="E10823" t="inlineStr">
        <is>
          <t>Singapore</t>
        </is>
      </c>
    </row>
    <row r="10824">
      <c r="A10824" t="inlineStr">
        <is>
          <t>Forest Co.,Ltd.,  Yeoncheon-gun, South Korea</t>
        </is>
      </c>
      <c r="B10824" t="inlineStr">
        <is>
          <t>Collecting Point</t>
        </is>
      </c>
      <c r="C10824" t="inlineStr">
        <is>
          <t>Control Union Certifications Germany GmbH, Berlin, DE</t>
        </is>
      </c>
      <c r="D10824" t="inlineStr">
        <is>
          <t>11.12.2026</t>
        </is>
      </c>
      <c r="E10824" t="inlineStr">
        <is>
          <t>South Korea</t>
        </is>
      </c>
    </row>
    <row r="10825">
      <c r="A10825" t="inlineStr">
        <is>
          <t>AT GEMER, spol. s r.o.,  Dubník, Slovakia</t>
        </is>
      </c>
      <c r="B10825" t="inlineStr">
        <is>
          <t>Collecting Point, Point of Origin, First Gathering Point, Processing Unit</t>
        </is>
      </c>
      <c r="C10825" t="inlineStr">
        <is>
          <t>United Registrar of Systems Polska Sp. z o.o., Wrocław, PL</t>
        </is>
      </c>
      <c r="D10825" t="inlineStr">
        <is>
          <t>11.12.2026</t>
        </is>
      </c>
      <c r="E10825" t="inlineStr">
        <is>
          <t>Slovakia</t>
        </is>
      </c>
    </row>
    <row r="10826">
      <c r="A10826" t="inlineStr">
        <is>
          <t>BASF Corporation,  Geismar, United States</t>
        </is>
      </c>
      <c r="B10826" t="inlineStr">
        <is>
          <t>Processing Unit</t>
        </is>
      </c>
      <c r="C10826" t="inlineStr">
        <is>
          <t>TÜV NORD CERT GmbH, Essen, DE</t>
        </is>
      </c>
      <c r="D10826" t="inlineStr">
        <is>
          <t>11.12.2026</t>
        </is>
      </c>
      <c r="E10826" t="inlineStr">
        <is>
          <t>United States</t>
        </is>
      </c>
    </row>
    <row r="10827">
      <c r="A10827" t="inlineStr">
        <is>
          <t>Morisem Palm Oil Mill Sdn Bhd,  Lahad Datu, Malaysia</t>
        </is>
      </c>
      <c r="B10827" t="inlineStr">
        <is>
          <t>Point of Origin</t>
        </is>
      </c>
      <c r="C10827" t="inlineStr">
        <is>
          <t>PT Intertek Utama Services, Jakarta, ID</t>
        </is>
      </c>
      <c r="D10827" t="inlineStr">
        <is>
          <t>11.12.2026</t>
        </is>
      </c>
      <c r="E10827" t="inlineStr">
        <is>
          <t>Malaysia</t>
        </is>
      </c>
    </row>
    <row r="10828">
      <c r="A10828" t="inlineStr">
        <is>
          <t>Destilerias San Valero,  Cariñena, Zaragoza, Spain</t>
        </is>
      </c>
      <c r="B10828" t="inlineStr">
        <is>
          <t>Collecting Point, Processing Unit</t>
        </is>
      </c>
      <c r="C10828" t="inlineStr">
        <is>
          <t>Bureau Veritas Polska Sp. z o.o., Warsaw, PL</t>
        </is>
      </c>
      <c r="D10828" t="inlineStr">
        <is>
          <t>11.12.2026</t>
        </is>
      </c>
      <c r="E10828" t="inlineStr">
        <is>
          <t>Spain</t>
        </is>
      </c>
    </row>
    <row r="10829">
      <c r="A10829" t="inlineStr">
        <is>
          <t>Osaka International Refining Company,  Ichihara, Japan</t>
        </is>
      </c>
      <c r="B10829" t="inlineStr">
        <is>
          <t>Trader with Storage</t>
        </is>
      </c>
      <c r="C10829" t="inlineStr">
        <is>
          <t>SCS Global Services, Emeryville, CA, US</t>
        </is>
      </c>
      <c r="D10829" t="inlineStr">
        <is>
          <t>11.12.2026</t>
        </is>
      </c>
      <c r="E10829" t="inlineStr">
        <is>
          <t>Japan</t>
        </is>
      </c>
    </row>
    <row r="10830">
      <c r="A10830" t="inlineStr">
        <is>
          <t>Beucke &amp; Söhne Gmbh &amp; Co.KG,  Dissen, Germany</t>
        </is>
      </c>
      <c r="B10830" t="inlineStr">
        <is>
          <t>Trader with Storage</t>
        </is>
      </c>
      <c r="C10830" t="inlineStr">
        <is>
          <t>GUT Certifizierungsgesellschaft für Managementsysteme mbH Umweltgutachter, Berlin, DE</t>
        </is>
      </c>
      <c r="D10830" t="inlineStr">
        <is>
          <t>11.12.2026</t>
        </is>
      </c>
      <c r="E10830" t="inlineStr">
        <is>
          <t>Germany</t>
        </is>
      </c>
    </row>
    <row r="10831">
      <c r="A10831" t="inlineStr">
        <is>
          <t>Beucke GmbH,  Dissen, Germany</t>
        </is>
      </c>
      <c r="B10831" t="inlineStr">
        <is>
          <t>Final Product Refinement</t>
        </is>
      </c>
      <c r="C10831" t="inlineStr">
        <is>
          <t>GUT Certifizierungsgesellschaft für Managementsysteme mbH Umweltgutachter, Berlin, DE</t>
        </is>
      </c>
      <c r="D10831" t="inlineStr">
        <is>
          <t>11.12.2026</t>
        </is>
      </c>
      <c r="E10831" t="inlineStr">
        <is>
          <t>Germany</t>
        </is>
      </c>
    </row>
    <row r="10832">
      <c r="A10832" t="inlineStr">
        <is>
          <t>Air BP Norway AS,  Oslo, Norway</t>
        </is>
      </c>
      <c r="B10832" t="inlineStr">
        <is>
          <t>Trader with Storage, Proof of Compliance Trader</t>
        </is>
      </c>
      <c r="C10832" t="inlineStr">
        <is>
          <t>Control Union Certifications Germany GmbH, Berlin, DE</t>
        </is>
      </c>
      <c r="D10832" t="inlineStr">
        <is>
          <t>11.12.2026</t>
        </is>
      </c>
      <c r="E10832" t="inlineStr">
        <is>
          <t>Norway</t>
        </is>
      </c>
    </row>
    <row r="10833">
      <c r="A10833" t="inlineStr">
        <is>
          <t>HAVI Logistics B.V.,  Amersfoort, The Netherlands</t>
        </is>
      </c>
      <c r="B10833" t="inlineStr">
        <is>
          <t>Collecting Point</t>
        </is>
      </c>
      <c r="C10833" t="inlineStr">
        <is>
          <t>Normec QS BV, Bennekom, NL</t>
        </is>
      </c>
      <c r="D10833" t="inlineStr">
        <is>
          <t>11.12.2026</t>
        </is>
      </c>
      <c r="E10833" t="inlineStr">
        <is>
          <t>The Netherlands</t>
        </is>
      </c>
    </row>
    <row r="10834">
      <c r="A10834" t="inlineStr">
        <is>
          <t>UEDAYUSHI CO.,LTD,  Daito City, Osaka, Japan</t>
        </is>
      </c>
      <c r="B10834" t="inlineStr">
        <is>
          <t>Collecting Point, Trader with Storage</t>
        </is>
      </c>
      <c r="C10834" t="inlineStr">
        <is>
          <t>Trans Certification and Inspection Sdn Bhd, Kuantan, MY</t>
        </is>
      </c>
      <c r="D10834" t="inlineStr">
        <is>
          <t>11.12.2026</t>
        </is>
      </c>
      <c r="E10834" t="inlineStr">
        <is>
          <t>Japan</t>
        </is>
      </c>
    </row>
    <row r="10835">
      <c r="A10835" t="inlineStr">
        <is>
          <t>Air BP Sweden AB,  111 53 stockholm, Sweden</t>
        </is>
      </c>
      <c r="B10835" t="inlineStr">
        <is>
          <t>Trader with Storage, Proof of Compliance Trader</t>
        </is>
      </c>
      <c r="C10835" t="inlineStr">
        <is>
          <t>Control Union Certifications Germany GmbH, Berlin, DE</t>
        </is>
      </c>
      <c r="D10835" t="inlineStr">
        <is>
          <t>11.12.2026</t>
        </is>
      </c>
      <c r="E10835" t="inlineStr">
        <is>
          <t>Sweden</t>
        </is>
      </c>
    </row>
    <row r="10836">
      <c r="A10836" t="inlineStr">
        <is>
          <t>Shanghai Anlun Chemicals Co.,Ltd.,  Pudong New Area Shanghai, China</t>
        </is>
      </c>
      <c r="B10836" t="inlineStr">
        <is>
          <t>Trader</t>
        </is>
      </c>
      <c r="C10836" t="inlineStr">
        <is>
          <t>China Classification Society Certification Co., Ltd, Dong Cheng District, Beijing, CN</t>
        </is>
      </c>
      <c r="D10836" t="inlineStr">
        <is>
          <t>11.12.2026</t>
        </is>
      </c>
      <c r="E10836" t="inlineStr">
        <is>
          <t>China</t>
        </is>
      </c>
    </row>
    <row r="10837">
      <c r="A10837" t="inlineStr">
        <is>
          <t>Woeis Vigor Sdn Bhd,  Sungai Buloh, Selangor, Malaysia</t>
        </is>
      </c>
      <c r="B10837" t="inlineStr">
        <is>
          <t>Collecting Point, Trader with Storage</t>
        </is>
      </c>
      <c r="C10837" t="inlineStr">
        <is>
          <t>SCS Global Services, Emeryville, CA, US</t>
        </is>
      </c>
      <c r="D10837" t="inlineStr">
        <is>
          <t>11.12.2026</t>
        </is>
      </c>
      <c r="E10837" t="inlineStr">
        <is>
          <t>Malaysia</t>
        </is>
      </c>
    </row>
    <row r="10838">
      <c r="A10838" t="inlineStr">
        <is>
          <t>revis bioenergy GmbH,  Münster, Germany</t>
        </is>
      </c>
      <c r="B10838" t="inlineStr">
        <is>
          <t>Trader</t>
        </is>
      </c>
      <c r="C10838" t="inlineStr">
        <is>
          <t>GUT Certifizierungsgesellschaft für Managementsysteme mbH Umweltgutachter, Berlin, DE</t>
        </is>
      </c>
      <c r="D10838" t="inlineStr">
        <is>
          <t>11.12.2026</t>
        </is>
      </c>
      <c r="E10838" t="inlineStr">
        <is>
          <t>Germany</t>
        </is>
      </c>
    </row>
    <row r="10839">
      <c r="A10839" t="inlineStr">
        <is>
          <t>FKuR Kunststoff GmbH,  Willich, Germany</t>
        </is>
      </c>
      <c r="B10839" t="inlineStr">
        <is>
          <t>Trader</t>
        </is>
      </c>
      <c r="C10839" t="inlineStr">
        <is>
          <t>DQS CFS GmbH - Deutsche Gesellschaft für Nachhaltigkeit, Frankfurt am Main, DE</t>
        </is>
      </c>
      <c r="D10839" t="inlineStr">
        <is>
          <t>11.12.2026</t>
        </is>
      </c>
      <c r="E10839" t="inlineStr">
        <is>
          <t>Germany</t>
        </is>
      </c>
    </row>
    <row r="10840">
      <c r="A10840" t="inlineStr">
        <is>
          <t>Hansen &amp; Rosenthal GmbH &amp; Co. KG,  Hamburg, Germany</t>
        </is>
      </c>
      <c r="B10840" t="inlineStr">
        <is>
          <t>Trader</t>
        </is>
      </c>
      <c r="C10840" t="inlineStr">
        <is>
          <t>DQS CFS GmbH - Deutsche Gesellschaft für Nachhaltigkeit, Frankfurt am Main, DE</t>
        </is>
      </c>
      <c r="D10840" t="inlineStr">
        <is>
          <t>11.12.2026</t>
        </is>
      </c>
      <c r="E10840" t="inlineStr">
        <is>
          <t>Germany</t>
        </is>
      </c>
    </row>
    <row r="10841">
      <c r="A10841" t="inlineStr">
        <is>
          <t>H&amp;R Refining GmbH,  Hamburg, Germany</t>
        </is>
      </c>
      <c r="B10841" t="inlineStr">
        <is>
          <t>Trader</t>
        </is>
      </c>
      <c r="C10841" t="inlineStr">
        <is>
          <t>DQS CFS GmbH - Deutsche Gesellschaft für Nachhaltigkeit, Frankfurt am Main, DE</t>
        </is>
      </c>
      <c r="D10841" t="inlineStr">
        <is>
          <t>11.12.2026</t>
        </is>
      </c>
      <c r="E10841" t="inlineStr">
        <is>
          <t>Germany</t>
        </is>
      </c>
    </row>
    <row r="10842">
      <c r="A10842" t="inlineStr">
        <is>
          <t>H&amp;R Wax &amp; Specialties GmbH,  Hamburg, Germany</t>
        </is>
      </c>
      <c r="B10842" t="inlineStr">
        <is>
          <t>Trader</t>
        </is>
      </c>
      <c r="C10842" t="inlineStr">
        <is>
          <t>DQS CFS GmbH - Deutsche Gesellschaft für Nachhaltigkeit, Frankfurt am Main, DE</t>
        </is>
      </c>
      <c r="D10842" t="inlineStr">
        <is>
          <t>11.12.2026</t>
        </is>
      </c>
      <c r="E10842" t="inlineStr">
        <is>
          <t>Germany</t>
        </is>
      </c>
    </row>
    <row r="10843">
      <c r="A10843" t="inlineStr">
        <is>
          <t>Klaus Dahleke GmbH &amp; Co. KG,  Hamburg, Germany</t>
        </is>
      </c>
      <c r="B10843" t="inlineStr">
        <is>
          <t>Trader</t>
        </is>
      </c>
      <c r="C10843" t="inlineStr">
        <is>
          <t>DQS CFS GmbH - Deutsche Gesellschaft für Nachhaltigkeit, Frankfurt am Main, DE</t>
        </is>
      </c>
      <c r="D10843" t="inlineStr">
        <is>
          <t>11.12.2026</t>
        </is>
      </c>
      <c r="E10843" t="inlineStr">
        <is>
          <t>Germany</t>
        </is>
      </c>
    </row>
    <row r="10844">
      <c r="A10844" t="inlineStr">
        <is>
          <t>Tudapetrol Mineralölerzeugnisse Nils Hansen GmbH &amp; Co KG,  Hamburg, Germany</t>
        </is>
      </c>
      <c r="B10844" t="inlineStr">
        <is>
          <t>Processing Unit</t>
        </is>
      </c>
      <c r="C10844" t="inlineStr">
        <is>
          <t>DQS CFS GmbH - Deutsche Gesellschaft für Nachhaltigkeit, Frankfurt am Main, DE</t>
        </is>
      </c>
      <c r="D10844" t="inlineStr">
        <is>
          <t>11.12.2026</t>
        </is>
      </c>
      <c r="E10844" t="inlineStr">
        <is>
          <t>Germany</t>
        </is>
      </c>
    </row>
    <row r="10845">
      <c r="A10845" t="inlineStr">
        <is>
          <t>Zhejiang Vista Sports Goods Co., LTD,  Songmen Town,Wenling city Taizhou city, China</t>
        </is>
      </c>
      <c r="B10845" t="inlineStr">
        <is>
          <t>Final Product Refinement, Processing Unit</t>
        </is>
      </c>
      <c r="C10845" t="inlineStr">
        <is>
          <t>SCS Global Services, Emeryville, CA, US</t>
        </is>
      </c>
      <c r="D10845" t="inlineStr">
        <is>
          <t>11.12.2026</t>
        </is>
      </c>
      <c r="E10845" t="inlineStr">
        <is>
          <t>China</t>
        </is>
      </c>
    </row>
    <row r="10846">
      <c r="A10846" t="inlineStr">
        <is>
          <t>Vinnytska ptakhofabryka,  Ladyzhyn city, Ukraine</t>
        </is>
      </c>
      <c r="B10846" t="inlineStr">
        <is>
          <t>First Gathering Point, Trader</t>
        </is>
      </c>
      <c r="C10846" t="inlineStr">
        <is>
          <t>Aciter Genelab LLC, Odessa, UA</t>
        </is>
      </c>
      <c r="D10846" t="inlineStr">
        <is>
          <t>11.12.2026</t>
        </is>
      </c>
      <c r="E10846" t="inlineStr">
        <is>
          <t>Ukraine</t>
        </is>
      </c>
    </row>
    <row r="10847">
      <c r="A10847" t="inlineStr">
        <is>
          <t>HCP Germany Cosmetic GmbH &amp; Co.KG,  Bechhofen, Germany</t>
        </is>
      </c>
      <c r="B10847" t="inlineStr">
        <is>
          <t>Processing Unit</t>
        </is>
      </c>
      <c r="C10847" t="inlineStr">
        <is>
          <t>SGS Germany GmbH, Emstek, DE</t>
        </is>
      </c>
      <c r="D10847" t="inlineStr">
        <is>
          <t>11.12.2026</t>
        </is>
      </c>
      <c r="E10847" t="inlineStr">
        <is>
          <t>Germany</t>
        </is>
      </c>
    </row>
    <row r="10848">
      <c r="A10848" t="inlineStr">
        <is>
          <t>Poľnonákup Galanta, a.s.,  Galanta, Slovakia</t>
        </is>
      </c>
      <c r="B10848" t="inlineStr">
        <is>
          <t>First Gathering Point, Trader with Storage, Warehouse</t>
        </is>
      </c>
      <c r="C10848" t="inlineStr">
        <is>
          <t>United Registrar of Systems Polska Sp. z o.o., Wrocław, PL</t>
        </is>
      </c>
      <c r="D10848" t="inlineStr">
        <is>
          <t>11.12.2026</t>
        </is>
      </c>
      <c r="E10848" t="inlineStr">
        <is>
          <t>Slovakia</t>
        </is>
      </c>
    </row>
    <row r="10849">
      <c r="A10849" t="inlineStr">
        <is>
          <t>Samsonite Europe NV,  Szekszard, Hungary</t>
        </is>
      </c>
      <c r="B10849" t="inlineStr">
        <is>
          <t>Final Product Refinement, Trader with Storage</t>
        </is>
      </c>
      <c r="C10849" t="inlineStr">
        <is>
          <t>Control Union Certifications Germany GmbH, Berlin, DE</t>
        </is>
      </c>
      <c r="D10849" t="inlineStr">
        <is>
          <t>11.12.2026</t>
        </is>
      </c>
      <c r="E10849" t="inlineStr">
        <is>
          <t>Hungary</t>
        </is>
      </c>
    </row>
    <row r="10850">
      <c r="A10850" t="inlineStr">
        <is>
          <t>NOGUERA BIO LNG SOCIEDAD LIMITADA,  Balaguer, Lleida, Spain</t>
        </is>
      </c>
      <c r="B10850" t="inlineStr">
        <is>
          <t>Trader</t>
        </is>
      </c>
      <c r="C10850" t="inlineStr">
        <is>
          <t>BMC Assurance, S.L, Santander, ES</t>
        </is>
      </c>
      <c r="D10850" t="inlineStr">
        <is>
          <t>11.12.2026</t>
        </is>
      </c>
      <c r="E10850" t="inlineStr">
        <is>
          <t>Spain</t>
        </is>
      </c>
    </row>
    <row r="10851">
      <c r="A10851" t="inlineStr">
        <is>
          <t>CEREA, spol. s r. o.,  Borinka, Slovakia</t>
        </is>
      </c>
      <c r="B10851" t="inlineStr">
        <is>
          <t>First Gathering Point, Trader</t>
        </is>
      </c>
      <c r="C10851" t="inlineStr">
        <is>
          <t>United Registrar of Systems Polska Sp. z o.o., Wrocław, PL</t>
        </is>
      </c>
      <c r="D10851" t="inlineStr">
        <is>
          <t>11.12.2026</t>
        </is>
      </c>
      <c r="E10851" t="inlineStr">
        <is>
          <t>Slovakia</t>
        </is>
      </c>
    </row>
    <row r="10852">
      <c r="A10852" t="inlineStr">
        <is>
          <t>Alberio S.P.A.,  Cirimido, Italy</t>
        </is>
      </c>
      <c r="B10852" t="inlineStr">
        <is>
          <t>Collecting Point, Point of Origin, Trader with Storage</t>
        </is>
      </c>
      <c r="C10852" t="inlineStr">
        <is>
          <t>SGS Germany GmbH, Emstek, DE</t>
        </is>
      </c>
      <c r="D10852" t="inlineStr">
        <is>
          <t>11.12.2026</t>
        </is>
      </c>
      <c r="E10852" t="inlineStr">
        <is>
          <t>Italy</t>
        </is>
      </c>
    </row>
    <row r="10853">
      <c r="A10853" t="inlineStr">
        <is>
          <t>Seifriedsberger GmbH,  Ried im Innkreis, Austria</t>
        </is>
      </c>
      <c r="B10853" t="inlineStr">
        <is>
          <t>Warehouse</t>
        </is>
      </c>
      <c r="C10853" t="inlineStr">
        <is>
          <t>agroVet GmbH, Enzersfeld, AT</t>
        </is>
      </c>
      <c r="D10853" t="inlineStr">
        <is>
          <t>11.12.2026</t>
        </is>
      </c>
      <c r="E10853" t="inlineStr">
        <is>
          <t>Austria</t>
        </is>
      </c>
    </row>
    <row r="10854">
      <c r="A10854" t="inlineStr">
        <is>
          <t>SK picglobal Co., Ltd (Ulsan Plant),  Ulsan, Korea, Republic of</t>
        </is>
      </c>
      <c r="B10854" t="inlineStr">
        <is>
          <t>Processing Unit</t>
        </is>
      </c>
      <c r="C10854" t="inlineStr">
        <is>
          <t>Control Union Certifications Germany GmbH, Berlin, DE</t>
        </is>
      </c>
      <c r="D10854" t="inlineStr">
        <is>
          <t>11.12.2026</t>
        </is>
      </c>
      <c r="E10854" t="inlineStr">
        <is>
          <t>Republic of</t>
        </is>
      </c>
    </row>
    <row r="10855">
      <c r="A10855" t="inlineStr">
        <is>
          <t>ATEMAX France,  Saint Langis Les Mortagne, France</t>
        </is>
      </c>
      <c r="B10855" t="inlineStr">
        <is>
          <t>Point of Origin</t>
        </is>
      </c>
      <c r="C10855" t="inlineStr">
        <is>
          <t>Control Union Certifications Germany GmbH, Berlin, DE</t>
        </is>
      </c>
      <c r="D10855" t="inlineStr">
        <is>
          <t>11.12.2026</t>
        </is>
      </c>
      <c r="E10855" t="inlineStr">
        <is>
          <t>France</t>
        </is>
      </c>
    </row>
    <row r="10856">
      <c r="A10856" t="inlineStr">
        <is>
          <t>SILK INVEST INTERNATION CO., LTD,  Truong Mit Commune, Tay Ninh Province, Vietnam</t>
        </is>
      </c>
      <c r="B10856" t="inlineStr">
        <is>
          <t>Trader</t>
        </is>
      </c>
      <c r="C10856" t="inlineStr">
        <is>
          <t>SGS Germany GmbH, Emstek, DE</t>
        </is>
      </c>
      <c r="D10856" t="inlineStr">
        <is>
          <t>11.12.2026</t>
        </is>
      </c>
      <c r="E10856" t="inlineStr">
        <is>
          <t>Vietnam</t>
        </is>
      </c>
    </row>
    <row r="10857">
      <c r="A10857" t="inlineStr">
        <is>
          <t>Arla Plast s.r.o.,  Pelhřimov, Czech Republic</t>
        </is>
      </c>
      <c r="B10857" t="inlineStr">
        <is>
          <t>Processing Unit</t>
        </is>
      </c>
      <c r="C10857" t="inlineStr">
        <is>
          <t>SGS Germany GmbH, Emstek, DE</t>
        </is>
      </c>
      <c r="D10857" t="inlineStr">
        <is>
          <t>11.12.2026</t>
        </is>
      </c>
      <c r="E10857" t="inlineStr">
        <is>
          <t>Czech Republic</t>
        </is>
      </c>
    </row>
    <row r="10858">
      <c r="A10858" t="inlineStr">
        <is>
          <t>Nowitex-Eco sp. zo.o. sp.k.,  Kościelec, Poland</t>
        </is>
      </c>
      <c r="B10858" t="inlineStr">
        <is>
          <t>Point of Origin, Collecting Point, Processing Unit</t>
        </is>
      </c>
      <c r="C10858" t="inlineStr">
        <is>
          <t>Bureau Veritas Polska Sp. z o.o., Warsaw, PL</t>
        </is>
      </c>
      <c r="D10858" t="inlineStr">
        <is>
          <t>11.12.2026</t>
        </is>
      </c>
      <c r="E10858" t="inlineStr">
        <is>
          <t>Poland</t>
        </is>
      </c>
    </row>
    <row r="10859">
      <c r="A10859" t="inlineStr">
        <is>
          <t>Supertape B.V.,  Etten-Leur, Netherlands</t>
        </is>
      </c>
      <c r="B10859" t="inlineStr">
        <is>
          <t>Final Product Refinement</t>
        </is>
      </c>
      <c r="C10859" t="inlineStr">
        <is>
          <t>DEKRA Certification B.V., Arnhem, NL</t>
        </is>
      </c>
      <c r="D10859" t="inlineStr">
        <is>
          <t>11.12.2026</t>
        </is>
      </c>
      <c r="E10859" t="inlineStr">
        <is>
          <t>Netherlands</t>
        </is>
      </c>
    </row>
    <row r="10860">
      <c r="A10860" t="inlineStr">
        <is>
          <t>Ajils Oils Ltd,  Birmingham, United Kingdom</t>
        </is>
      </c>
      <c r="B10860" t="inlineStr">
        <is>
          <t>Collecting Point</t>
        </is>
      </c>
      <c r="C10860" t="inlineStr">
        <is>
          <t>SGS Germany GmbH, Emstek, DE</t>
        </is>
      </c>
      <c r="D10860" t="inlineStr">
        <is>
          <t>11.12.2026</t>
        </is>
      </c>
      <c r="E10860" t="inlineStr">
        <is>
          <t>United Kingdom</t>
        </is>
      </c>
    </row>
    <row r="10861">
      <c r="A10861" t="inlineStr">
        <is>
          <t>Toray International Singapore Pte. Ltd.,  Singapore, Singapore</t>
        </is>
      </c>
      <c r="B10861" t="inlineStr">
        <is>
          <t>Trader</t>
        </is>
      </c>
      <c r="C10861" t="inlineStr">
        <is>
          <t>SGS Germany GmbH, Emstek, DE</t>
        </is>
      </c>
      <c r="D10861" t="inlineStr">
        <is>
          <t>11.12.2026</t>
        </is>
      </c>
      <c r="E10861" t="inlineStr">
        <is>
          <t>Singapore</t>
        </is>
      </c>
    </row>
    <row r="10862">
      <c r="A10862" t="inlineStr">
        <is>
          <t>Solprima Carbon Material Co.,Ltd,  Guangrao County, Dongying City, Shandong Province, China</t>
        </is>
      </c>
      <c r="B10862" t="inlineStr">
        <is>
          <t>Processing Unit</t>
        </is>
      </c>
      <c r="C10862" t="inlineStr">
        <is>
          <t>SGS Germany GmbH, Emstek, DE</t>
        </is>
      </c>
      <c r="D10862" t="inlineStr">
        <is>
          <t>11.12.2026</t>
        </is>
      </c>
      <c r="E10862" t="inlineStr">
        <is>
          <t>China</t>
        </is>
      </c>
    </row>
    <row r="10863">
      <c r="A10863" t="inlineStr">
        <is>
          <t>PT. Supra Matra Abadi,  Bilah Hulu District, Labuhan Batu Regency, Indonesia</t>
        </is>
      </c>
      <c r="B10863" t="inlineStr">
        <is>
          <t>Point of Origin</t>
        </is>
      </c>
      <c r="C10863" t="inlineStr">
        <is>
          <t>SGS Germany GmbH, Emstek, DE</t>
        </is>
      </c>
      <c r="D10863" t="inlineStr">
        <is>
          <t>11.12.2026</t>
        </is>
      </c>
      <c r="E10863" t="inlineStr">
        <is>
          <t>Indonesia</t>
        </is>
      </c>
    </row>
    <row r="10864">
      <c r="A10864" t="inlineStr">
        <is>
          <t>Methanex Fortier, LLC,  Geismar, United States</t>
        </is>
      </c>
      <c r="B10864" t="inlineStr">
        <is>
          <t>Processing Unit, Trader</t>
        </is>
      </c>
      <c r="C10864" t="inlineStr">
        <is>
          <t>SCS Global Services, Emeryville, CA, US</t>
        </is>
      </c>
      <c r="D10864" t="inlineStr">
        <is>
          <t>11.12.2026</t>
        </is>
      </c>
      <c r="E10864" t="inlineStr">
        <is>
          <t>United States</t>
        </is>
      </c>
    </row>
    <row r="10865">
      <c r="A10865" t="inlineStr">
        <is>
          <t>Methanex Fortier, LLC,  Geismar, United States</t>
        </is>
      </c>
      <c r="B10865" t="inlineStr">
        <is>
          <t>Processing Unit, Trader</t>
        </is>
      </c>
      <c r="C10865" t="inlineStr">
        <is>
          <t>SCS Global Services, Emeryville, CA, US</t>
        </is>
      </c>
      <c r="D10865" t="inlineStr">
        <is>
          <t>11.12.2026</t>
        </is>
      </c>
      <c r="E10865" t="inlineStr">
        <is>
          <t>United States</t>
        </is>
      </c>
    </row>
    <row r="10866">
      <c r="A10866" t="inlineStr">
        <is>
          <t>Bluestone SAL Offshore,  Riviera, Ivory Coast</t>
        </is>
      </c>
      <c r="B10866" t="inlineStr">
        <is>
          <t>Trader</t>
        </is>
      </c>
      <c r="C10866" t="inlineStr">
        <is>
          <t>PT Intertek Utama Services, Jakarta, ID</t>
        </is>
      </c>
      <c r="D10866" t="inlineStr">
        <is>
          <t>11.12.2026</t>
        </is>
      </c>
      <c r="E10866" t="inlineStr">
        <is>
          <t>Ivory Coast</t>
        </is>
      </c>
    </row>
    <row r="10867">
      <c r="A10867" t="inlineStr">
        <is>
          <t>SYC GREEN WORLD COMPANY LIMITED,  Son Loi Commune, Binh Xuyen District, Vietnam</t>
        </is>
      </c>
      <c r="B10867" t="inlineStr">
        <is>
          <t>Collecting Point, Processing Unit</t>
        </is>
      </c>
      <c r="C10867" t="inlineStr">
        <is>
          <t>FITI Testing &amp; Research Institute, Seoul, KR</t>
        </is>
      </c>
      <c r="D10867" t="inlineStr">
        <is>
          <t>11.12.2026</t>
        </is>
      </c>
      <c r="E10867" t="inlineStr">
        <is>
          <t>Vietnam</t>
        </is>
      </c>
    </row>
    <row r="10868">
      <c r="A10868" t="inlineStr">
        <is>
          <t>DEMECO,  BUHUSI, Romania</t>
        </is>
      </c>
      <c r="B10868" t="inlineStr">
        <is>
          <t>Collecting Point, Processing Unit, Trader with Storage</t>
        </is>
      </c>
      <c r="C10868" t="inlineStr">
        <is>
          <t>BM Certification, Riga, LV</t>
        </is>
      </c>
      <c r="D10868" t="inlineStr">
        <is>
          <t>11.12.2026</t>
        </is>
      </c>
      <c r="E10868" t="inlineStr">
        <is>
          <t>Romania</t>
        </is>
      </c>
    </row>
    <row r="10869">
      <c r="A10869" t="inlineStr">
        <is>
          <t>Petrobras Global Trading B.V.,  Rotterdam, Netherlands</t>
        </is>
      </c>
      <c r="B10869" t="inlineStr">
        <is>
          <t>Trader</t>
        </is>
      </c>
      <c r="C10869" t="inlineStr">
        <is>
          <t>Normec QS BV, Bennekom, NL</t>
        </is>
      </c>
      <c r="D10869" t="inlineStr">
        <is>
          <t>11.12.2026</t>
        </is>
      </c>
      <c r="E10869" t="inlineStr">
        <is>
          <t>Netherlands</t>
        </is>
      </c>
    </row>
    <row r="10870">
      <c r="A10870" t="inlineStr">
        <is>
          <t>Mexicomm Global Commodities Corp.,  Austin, United States</t>
        </is>
      </c>
      <c r="B10870" t="inlineStr">
        <is>
          <t>Trader</t>
        </is>
      </c>
      <c r="C10870" t="inlineStr">
        <is>
          <t>Certificadora Gallega del Noroeste SL, Vilagarcia de Arousa-Pontevedra, ES</t>
        </is>
      </c>
      <c r="D10870" t="inlineStr">
        <is>
          <t>11.12.2026</t>
        </is>
      </c>
      <c r="E10870" t="inlineStr">
        <is>
          <t>United States</t>
        </is>
      </c>
    </row>
    <row r="10871">
      <c r="A10871" t="inlineStr">
        <is>
          <t>Mexican Commodities S.A. de C.V.,  El Marques, Mexico</t>
        </is>
      </c>
      <c r="B10871" t="inlineStr">
        <is>
          <t>Collecting Point, Trader with Storage</t>
        </is>
      </c>
      <c r="C10871" t="inlineStr">
        <is>
          <t>Amspec Iberia SL, Vilagarcia de Arousa-Pontevedra, ES</t>
        </is>
      </c>
      <c r="D10871" t="inlineStr">
        <is>
          <t>11.12.2026</t>
        </is>
      </c>
      <c r="E10871" t="inlineStr">
        <is>
          <t>Mexico</t>
        </is>
      </c>
    </row>
    <row r="10872">
      <c r="A10872" t="inlineStr">
        <is>
          <t>Telko Oy,  Espoo, Finland</t>
        </is>
      </c>
      <c r="B10872" t="inlineStr">
        <is>
          <t>Trader with Storage</t>
        </is>
      </c>
      <c r="C10872" t="inlineStr">
        <is>
          <t>Bureau Veritas Polska Sp. z o.o., Warsaw, PL</t>
        </is>
      </c>
      <c r="D10872" t="inlineStr">
        <is>
          <t>11.12.2026</t>
        </is>
      </c>
      <c r="E10872" t="inlineStr">
        <is>
          <t>Finland</t>
        </is>
      </c>
    </row>
    <row r="10873">
      <c r="A10873" t="inlineStr">
        <is>
          <t>Peninsula Petroleum Far East PTE Ltd,  Singapore, Singapore</t>
        </is>
      </c>
      <c r="B10873" t="inlineStr">
        <is>
          <t>Trader</t>
        </is>
      </c>
      <c r="C10873" t="inlineStr">
        <is>
          <t>Control Union Certifications Germany GmbH, Berlin, DE</t>
        </is>
      </c>
      <c r="D10873" t="inlineStr">
        <is>
          <t>11.12.2026</t>
        </is>
      </c>
      <c r="E10873" t="inlineStr">
        <is>
          <t>Singapore</t>
        </is>
      </c>
    </row>
    <row r="10874">
      <c r="A10874" t="inlineStr">
        <is>
          <t>SEA-Tank Terminal,  Desteldonk, Belgium</t>
        </is>
      </c>
      <c r="B10874" t="inlineStr">
        <is>
          <t>Logistics Center</t>
        </is>
      </c>
      <c r="C10874" t="inlineStr">
        <is>
          <t>SGS Germany GmbH, Emstek, DE</t>
        </is>
      </c>
      <c r="D10874" t="inlineStr">
        <is>
          <t>11.12.2026</t>
        </is>
      </c>
      <c r="E10874" t="inlineStr">
        <is>
          <t>Belgium</t>
        </is>
      </c>
    </row>
    <row r="10875">
      <c r="A10875" t="inlineStr">
        <is>
          <t>Sherwin-Williams Sweden AB,  Arlandastad, Sweden</t>
        </is>
      </c>
      <c r="B10875" t="inlineStr">
        <is>
          <t>Processing Unit</t>
        </is>
      </c>
      <c r="C10875" t="inlineStr">
        <is>
          <t>SGS Germany GmbH, Emstek, DE</t>
        </is>
      </c>
      <c r="D10875" t="inlineStr">
        <is>
          <t>11.12.2026</t>
        </is>
      </c>
      <c r="E10875" t="inlineStr">
        <is>
          <t>Sweden</t>
        </is>
      </c>
    </row>
    <row r="10876">
      <c r="A10876" t="inlineStr">
        <is>
          <t>Flint Hills Resources, LP,  Wichita, United States</t>
        </is>
      </c>
      <c r="B10876" t="inlineStr">
        <is>
          <t>Trader</t>
        </is>
      </c>
      <c r="C10876" t="inlineStr">
        <is>
          <t>SCS Global Services, Emeryville, CA, US</t>
        </is>
      </c>
      <c r="D10876" t="inlineStr">
        <is>
          <t>11.12.2026</t>
        </is>
      </c>
      <c r="E10876" t="inlineStr">
        <is>
          <t>United States</t>
        </is>
      </c>
    </row>
    <row r="10877">
      <c r="A10877" t="inlineStr">
        <is>
          <t>Flint Hills Resources Corpus Christi, LLC West,  Corpus Christi, United States</t>
        </is>
      </c>
      <c r="B10877" t="inlineStr">
        <is>
          <t>Processing Unit</t>
        </is>
      </c>
      <c r="C10877" t="inlineStr">
        <is>
          <t>SCS Global Services, Emeryville, CA, US</t>
        </is>
      </c>
      <c r="D10877" t="inlineStr">
        <is>
          <t>11.12.2026</t>
        </is>
      </c>
      <c r="E10877" t="inlineStr">
        <is>
          <t>United States</t>
        </is>
      </c>
    </row>
    <row r="10878">
      <c r="A10878" t="inlineStr">
        <is>
          <t>Flint Hills Resources Corpus Christi, LLC East,  Corpus Christi, TX, United States</t>
        </is>
      </c>
      <c r="B10878" t="inlineStr">
        <is>
          <t>Processing Unit</t>
        </is>
      </c>
      <c r="C10878" t="inlineStr">
        <is>
          <t>SCS Global Services, Emeryville, CA, US</t>
        </is>
      </c>
      <c r="D10878" t="inlineStr">
        <is>
          <t>11.12.2026</t>
        </is>
      </c>
      <c r="E10878" t="inlineStr">
        <is>
          <t>United States</t>
        </is>
      </c>
    </row>
    <row r="10879">
      <c r="A10879" t="inlineStr">
        <is>
          <t>Hairma (Nantong) Technology Co., Ltd.,  Nantong City,Jiangsu Province, China</t>
        </is>
      </c>
      <c r="B10879" t="inlineStr">
        <is>
          <t>Processing Unit</t>
        </is>
      </c>
      <c r="C10879" t="inlineStr">
        <is>
          <t>DIN CERTCO GmbH, Berlin, DE</t>
        </is>
      </c>
      <c r="D10879" t="inlineStr">
        <is>
          <t>11.12.2026</t>
        </is>
      </c>
      <c r="E10879" t="inlineStr">
        <is>
          <t>China</t>
        </is>
      </c>
    </row>
    <row r="10880">
      <c r="A10880" t="inlineStr">
        <is>
          <t>Capwatt Supply&amp;Trading, S.L.U.,  Maia, Portugal</t>
        </is>
      </c>
      <c r="B10880" t="inlineStr">
        <is>
          <t>Trader</t>
        </is>
      </c>
      <c r="C10880" t="inlineStr">
        <is>
          <t>SGS Germany GmbH, Emstek, DE</t>
        </is>
      </c>
      <c r="D10880" t="inlineStr">
        <is>
          <t>11.12.2026</t>
        </is>
      </c>
      <c r="E10880" t="inlineStr">
        <is>
          <t>Portugal</t>
        </is>
      </c>
    </row>
    <row r="10881">
      <c r="A10881" t="inlineStr">
        <is>
          <t>Destilaria Levira Lda,  São Lourenço do Bairro, Portugal</t>
        </is>
      </c>
      <c r="B10881" t="inlineStr">
        <is>
          <t>Collecting Point, Processing Unit</t>
        </is>
      </c>
      <c r="C10881" t="inlineStr">
        <is>
          <t>Control Union Poland Sp. z o.o., Zielona Gora, PL</t>
        </is>
      </c>
      <c r="D10881" t="inlineStr">
        <is>
          <t>11.12.2026</t>
        </is>
      </c>
      <c r="E10881" t="inlineStr">
        <is>
          <t>Portugal</t>
        </is>
      </c>
    </row>
    <row r="10882">
      <c r="A10882" t="inlineStr">
        <is>
          <t>Valgroup Brasil I Indústria de Embalagens Plásticas,  Nova Iguaçu, Brazil</t>
        </is>
      </c>
      <c r="B10882" t="inlineStr">
        <is>
          <t>Collecting Point, Processing Unit</t>
        </is>
      </c>
      <c r="C10882" t="inlineStr">
        <is>
          <t>QIMA, Centro, Botucatu - SP, CEP, BR</t>
        </is>
      </c>
      <c r="D10882" t="inlineStr">
        <is>
          <t>11.12.2026</t>
        </is>
      </c>
      <c r="E10882" t="inlineStr">
        <is>
          <t>Brazil</t>
        </is>
      </c>
    </row>
    <row r="10883">
      <c r="A10883" t="inlineStr">
        <is>
          <t>Quechen Silicon Chemical (Hainan) Sales Co.,Ltd.,  Wuxi City, Jiangsu Province, China</t>
        </is>
      </c>
      <c r="B10883" t="inlineStr">
        <is>
          <t>Trader</t>
        </is>
      </c>
      <c r="C10883" t="inlineStr">
        <is>
          <t>RINA Services S.p.A., Genova, IT</t>
        </is>
      </c>
      <c r="D10883" t="inlineStr">
        <is>
          <t>10.12.2026</t>
        </is>
      </c>
      <c r="E10883" t="inlineStr">
        <is>
          <t>China</t>
        </is>
      </c>
    </row>
    <row r="10884">
      <c r="A10884" t="inlineStr">
        <is>
          <t>Sri Ganda Oil Mill Sdn. Bhd.,  Teluk Intan, Malaysia</t>
        </is>
      </c>
      <c r="B10884" t="inlineStr">
        <is>
          <t>Point of Origin</t>
        </is>
      </c>
      <c r="C10884" t="inlineStr">
        <is>
          <t>Trans Certification and Inspection Sdn Bhd, Kuantan, MY</t>
        </is>
      </c>
      <c r="D10884" t="inlineStr">
        <is>
          <t>10.12.2026</t>
        </is>
      </c>
      <c r="E10884" t="inlineStr">
        <is>
          <t>Malaysia</t>
        </is>
      </c>
    </row>
    <row r="10885">
      <c r="A10885" t="inlineStr">
        <is>
          <t>Jászkarajenői Mezőgazdasági Zrt.,  Jászkarajenő, Hungary</t>
        </is>
      </c>
      <c r="B10885" t="inlineStr">
        <is>
          <t>First Gathering Point</t>
        </is>
      </c>
      <c r="C10885" t="inlineStr">
        <is>
          <t>SGS Germany GmbH, Emstek, DE</t>
        </is>
      </c>
      <c r="D10885" t="inlineStr">
        <is>
          <t>10.12.2026</t>
        </is>
      </c>
      <c r="E10885" t="inlineStr">
        <is>
          <t>Hungary</t>
        </is>
      </c>
    </row>
    <row r="10886">
      <c r="A10886" t="inlineStr">
        <is>
          <t>Methanex Japan Ltd.,  Tokyo, Japan</t>
        </is>
      </c>
      <c r="B10886" t="inlineStr">
        <is>
          <t>Trader</t>
        </is>
      </c>
      <c r="C10886" t="inlineStr">
        <is>
          <t>SCS Global Services, Emeryville, CA, US</t>
        </is>
      </c>
      <c r="D10886" t="inlineStr">
        <is>
          <t>10.12.2026</t>
        </is>
      </c>
      <c r="E10886" t="inlineStr">
        <is>
          <t>Japan</t>
        </is>
      </c>
    </row>
    <row r="10887">
      <c r="A10887" t="inlineStr">
        <is>
          <t>Methanex Japan Ltd.,  Tokyo, Japan</t>
        </is>
      </c>
      <c r="B10887" t="inlineStr">
        <is>
          <t>Trader</t>
        </is>
      </c>
      <c r="C10887" t="inlineStr">
        <is>
          <t>SCS Global Services, Emeryville, CA, US</t>
        </is>
      </c>
      <c r="D10887" t="inlineStr">
        <is>
          <t>10.12.2026</t>
        </is>
      </c>
      <c r="E10887" t="inlineStr">
        <is>
          <t>Japan</t>
        </is>
      </c>
    </row>
    <row r="10888">
      <c r="A10888" t="inlineStr">
        <is>
          <t>Methanex Asia Pacific, Ltd,  Hong Kong, Hong Kong Island, Hong Kong</t>
        </is>
      </c>
      <c r="B10888" t="inlineStr">
        <is>
          <t>Trader with Storage</t>
        </is>
      </c>
      <c r="C10888" t="inlineStr">
        <is>
          <t>SCS Global Services, Emeryville, CA, US</t>
        </is>
      </c>
      <c r="D10888" t="inlineStr">
        <is>
          <t>10.12.2026</t>
        </is>
      </c>
      <c r="E10888" t="inlineStr">
        <is>
          <t>Hong Kong</t>
        </is>
      </c>
    </row>
    <row r="10889">
      <c r="A10889" t="inlineStr">
        <is>
          <t>Methanex Asia Pacific, Ltd,  Hong Kong, Hong Kong Island, Hong Kong</t>
        </is>
      </c>
      <c r="B10889" t="inlineStr">
        <is>
          <t>Trader with Storage</t>
        </is>
      </c>
      <c r="C10889" t="inlineStr">
        <is>
          <t>SCS Global Services, Emeryville, CA, US</t>
        </is>
      </c>
      <c r="D10889" t="inlineStr">
        <is>
          <t>10.12.2026</t>
        </is>
      </c>
      <c r="E10889" t="inlineStr">
        <is>
          <t>Hong Kong</t>
        </is>
      </c>
    </row>
    <row r="10890">
      <c r="A10890" t="inlineStr">
        <is>
          <t>TAMOIL ITALIA S.p.A.,  Milano, Italy</t>
        </is>
      </c>
      <c r="B10890" t="inlineStr">
        <is>
          <t>Trader with Storage, Proof of Compliance Trader</t>
        </is>
      </c>
      <c r="C10890" t="inlineStr">
        <is>
          <t>SGS Germany GmbH, Emstek, DE</t>
        </is>
      </c>
      <c r="D10890" t="inlineStr">
        <is>
          <t>10.12.2026</t>
        </is>
      </c>
      <c r="E10890" t="inlineStr">
        <is>
          <t>Italy</t>
        </is>
      </c>
    </row>
    <row r="10891">
      <c r="A10891" t="inlineStr">
        <is>
          <t>RUC5-Resources Under Control,  Porto, Portugal</t>
        </is>
      </c>
      <c r="B10891" t="inlineStr">
        <is>
          <t>Trader</t>
        </is>
      </c>
      <c r="C10891" t="inlineStr">
        <is>
          <t>Control Union Poland Sp. z o.o., Zielona Gora, PL</t>
        </is>
      </c>
      <c r="D10891" t="inlineStr">
        <is>
          <t>10.12.2026</t>
        </is>
      </c>
      <c r="E10891" t="inlineStr">
        <is>
          <t>Portugal</t>
        </is>
      </c>
    </row>
    <row r="10892">
      <c r="A10892" t="inlineStr">
        <is>
          <t>Aborder Products, lnc.,  Shenzhen, China</t>
        </is>
      </c>
      <c r="B10892" t="inlineStr">
        <is>
          <t>Trader</t>
        </is>
      </c>
      <c r="C10892" t="inlineStr">
        <is>
          <t>Extensive Standard Technical Services Co., Ltd., Hong Kong, CN</t>
        </is>
      </c>
      <c r="D10892" t="inlineStr">
        <is>
          <t>10.12.2026</t>
        </is>
      </c>
      <c r="E10892" t="inlineStr">
        <is>
          <t>China</t>
        </is>
      </c>
    </row>
    <row r="10893">
      <c r="A10893" t="inlineStr">
        <is>
          <t>Agrindo Indah Persada 3, Bengkulu,  Provinsi Bengkulu, Indonesia</t>
        </is>
      </c>
      <c r="B10893" t="inlineStr">
        <is>
          <t>Point of Origin</t>
        </is>
      </c>
      <c r="C10893" t="inlineStr">
        <is>
          <t>SGS Germany GmbH, Emstek, DE</t>
        </is>
      </c>
      <c r="D10893" t="inlineStr">
        <is>
          <t>10.12.2026</t>
        </is>
      </c>
      <c r="E10893" t="inlineStr">
        <is>
          <t>Indonesia</t>
        </is>
      </c>
    </row>
    <row r="10894">
      <c r="A10894" t="inlineStr">
        <is>
          <t>PT Envitec Multi Indonesia,  Dumai, Riau, Indonesia</t>
        </is>
      </c>
      <c r="B10894" t="inlineStr">
        <is>
          <t>Processing Unit, Trader</t>
        </is>
      </c>
      <c r="C10894" t="inlineStr">
        <is>
          <t>PT Intertek Utama Services, Jakarta, ID</t>
        </is>
      </c>
      <c r="D10894" t="inlineStr">
        <is>
          <t>10.12.2026</t>
        </is>
      </c>
      <c r="E10894" t="inlineStr">
        <is>
          <t>Indonesia</t>
        </is>
      </c>
    </row>
    <row r="10895">
      <c r="A10895" t="inlineStr">
        <is>
          <t>Jiangsu Qier New Energy Co., Ltd,  Lianyungang City, Jiangsu Province, China</t>
        </is>
      </c>
      <c r="B10895" t="inlineStr">
        <is>
          <t>Collecting Point, Trader with Storage</t>
        </is>
      </c>
      <c r="C10895" t="inlineStr">
        <is>
          <t>SCS Global Services, Emeryville, CA, US</t>
        </is>
      </c>
      <c r="D10895" t="inlineStr">
        <is>
          <t>10.12.2026</t>
        </is>
      </c>
      <c r="E10895" t="inlineStr">
        <is>
          <t>China</t>
        </is>
      </c>
    </row>
    <row r="10896">
      <c r="A10896" t="inlineStr">
        <is>
          <t>Methanex Methanol Company, LLC,  Plano, TX, United States</t>
        </is>
      </c>
      <c r="B10896" t="inlineStr">
        <is>
          <t>Trader with Storage</t>
        </is>
      </c>
      <c r="C10896" t="inlineStr">
        <is>
          <t>SCS Global Services, Emeryville, CA, US</t>
        </is>
      </c>
      <c r="D10896" t="inlineStr">
        <is>
          <t>10.12.2026</t>
        </is>
      </c>
      <c r="E10896" t="inlineStr">
        <is>
          <t>United States</t>
        </is>
      </c>
    </row>
    <row r="10897">
      <c r="A10897" t="inlineStr">
        <is>
          <t>Methanex Methanol Company, LLC,  Plano, TX, United States</t>
        </is>
      </c>
      <c r="B10897" t="inlineStr">
        <is>
          <t>Trader with Storage</t>
        </is>
      </c>
      <c r="C10897" t="inlineStr">
        <is>
          <t>SCS Global Services, Emeryville, CA, US</t>
        </is>
      </c>
      <c r="D10897" t="inlineStr">
        <is>
          <t>10.12.2026</t>
        </is>
      </c>
      <c r="E10897" t="inlineStr">
        <is>
          <t>United States</t>
        </is>
      </c>
    </row>
    <row r="10898">
      <c r="A10898" t="inlineStr">
        <is>
          <t>Anew RNG, LLC,  Houston, United States</t>
        </is>
      </c>
      <c r="B10898" t="inlineStr">
        <is>
          <t>Trader</t>
        </is>
      </c>
      <c r="C10898" t="inlineStr">
        <is>
          <t>SCS Global Services, Emeryville, CA, US</t>
        </is>
      </c>
      <c r="D10898" t="inlineStr">
        <is>
          <t>10.12.2026</t>
        </is>
      </c>
      <c r="E10898" t="inlineStr">
        <is>
          <t>United States</t>
        </is>
      </c>
    </row>
    <row r="10899">
      <c r="A10899" t="inlineStr">
        <is>
          <t>Anew RNG, LLC,  Houston, United States</t>
        </is>
      </c>
      <c r="B10899" t="inlineStr">
        <is>
          <t>Trader</t>
        </is>
      </c>
      <c r="C10899" t="inlineStr">
        <is>
          <t>SCS Global Services, Emeryville, CA, US</t>
        </is>
      </c>
      <c r="D10899" t="inlineStr">
        <is>
          <t>10.12.2026</t>
        </is>
      </c>
      <c r="E10899" t="inlineStr">
        <is>
          <t>United States</t>
        </is>
      </c>
    </row>
    <row r="10900">
      <c r="A10900" t="inlineStr">
        <is>
          <t>Equinor Metanol ANS,  Kjørsvikbugen, Norway</t>
        </is>
      </c>
      <c r="B10900" t="inlineStr">
        <is>
          <t>Processing Unit, Warehouse</t>
        </is>
      </c>
      <c r="C10900" t="inlineStr">
        <is>
          <t>SGS Germany GmbH, Emstek, DE</t>
        </is>
      </c>
      <c r="D10900" t="inlineStr">
        <is>
          <t>10.12.2026</t>
        </is>
      </c>
      <c r="E10900" t="inlineStr">
        <is>
          <t>Norway</t>
        </is>
      </c>
    </row>
    <row r="10901">
      <c r="A10901" t="inlineStr">
        <is>
          <t>DAIGAI, UAB,  Avizieniai, Vilnius distr.,, Lithuania</t>
        </is>
      </c>
      <c r="B10901" t="inlineStr">
        <is>
          <t>Processing Unit</t>
        </is>
      </c>
      <c r="C10901" t="inlineStr">
        <is>
          <t>Bureau Veritas Polska Sp. z o.o., Warsaw, PL</t>
        </is>
      </c>
      <c r="D10901" t="inlineStr">
        <is>
          <t>10.12.2026</t>
        </is>
      </c>
      <c r="E10901" t="inlineStr">
        <is>
          <t>Lithuania</t>
        </is>
      </c>
    </row>
    <row r="10902">
      <c r="A10902" t="inlineStr">
        <is>
          <t>Unishine Chemical Corp. Taichung Branch,  Wuqi Dist.,Taichung City, Taiwan</t>
        </is>
      </c>
      <c r="B10902" t="inlineStr">
        <is>
          <t>Trader with Storage</t>
        </is>
      </c>
      <c r="C10902" t="inlineStr">
        <is>
          <t>Bureau Veritas Polska Sp. z o.o., Warsaw, PL</t>
        </is>
      </c>
      <c r="D10902" t="inlineStr">
        <is>
          <t>10.12.2026</t>
        </is>
      </c>
      <c r="E10902" t="inlineStr">
        <is>
          <t>Taiwan</t>
        </is>
      </c>
    </row>
    <row r="10903">
      <c r="A10903" t="inlineStr">
        <is>
          <t>PT Mutiara Sawit Semesta,  Batang Hari Regency, Jambi Province, Indonesia</t>
        </is>
      </c>
      <c r="B10903" t="inlineStr">
        <is>
          <t>Point of Origin</t>
        </is>
      </c>
      <c r="C10903" t="inlineStr">
        <is>
          <t>PT. Qualitas Sertifikasi Indonesia, Jakarta, ID</t>
        </is>
      </c>
      <c r="D10903" t="inlineStr">
        <is>
          <t>10.12.2026</t>
        </is>
      </c>
      <c r="E10903" t="inlineStr">
        <is>
          <t>Indonesia</t>
        </is>
      </c>
    </row>
    <row r="10904">
      <c r="A10904" t="inlineStr">
        <is>
          <t>AKIOLIS IBERIA,  Ribera D'ondara, Spain</t>
        </is>
      </c>
      <c r="B10904" t="inlineStr">
        <is>
          <t>Point of Origin</t>
        </is>
      </c>
      <c r="C10904" t="inlineStr">
        <is>
          <t>Control Union Certifications Germany GmbH, Berlin, DE</t>
        </is>
      </c>
      <c r="D10904" t="inlineStr">
        <is>
          <t>10.12.2026</t>
        </is>
      </c>
      <c r="E10904" t="inlineStr">
        <is>
          <t>Spain</t>
        </is>
      </c>
    </row>
    <row r="10905">
      <c r="A10905" t="inlineStr">
        <is>
          <t>Methanex Europe S.A./N.V.,  Waterloo, Belgium</t>
        </is>
      </c>
      <c r="B10905" t="inlineStr">
        <is>
          <t>Trader with Storage</t>
        </is>
      </c>
      <c r="C10905" t="inlineStr">
        <is>
          <t>SCS Global Services, Emeryville, CA, US</t>
        </is>
      </c>
      <c r="D10905" t="inlineStr">
        <is>
          <t>10.12.2026</t>
        </is>
      </c>
      <c r="E10905" t="inlineStr">
        <is>
          <t>Belgium</t>
        </is>
      </c>
    </row>
    <row r="10906">
      <c r="A10906" t="inlineStr">
        <is>
          <t>Methanex Europe S.A./N.V.,  Waterloo, Belgium</t>
        </is>
      </c>
      <c r="B10906" t="inlineStr">
        <is>
          <t>Trader with Storage</t>
        </is>
      </c>
      <c r="C10906" t="inlineStr">
        <is>
          <t>SCS Global Services, Emeryville, CA, US</t>
        </is>
      </c>
      <c r="D10906" t="inlineStr">
        <is>
          <t>10.12.2026</t>
        </is>
      </c>
      <c r="E10906" t="inlineStr">
        <is>
          <t>Belgium</t>
        </is>
      </c>
    </row>
    <row r="10907">
      <c r="A10907" t="inlineStr">
        <is>
          <t>PTT Global Chemical Public Company Limited,  Map Ta Phut, Mueang Rayong, Rayong, Thailand</t>
        </is>
      </c>
      <c r="B10907" t="inlineStr">
        <is>
          <t>Processing Unit, Trader with Storage</t>
        </is>
      </c>
      <c r="C10907" t="inlineStr">
        <is>
          <t>Trans Certification and Inspection Sdn Bhd, Kuantan, MY</t>
        </is>
      </c>
      <c r="D10907" t="inlineStr">
        <is>
          <t>10.12.2026</t>
        </is>
      </c>
      <c r="E10907" t="inlineStr">
        <is>
          <t>Thailand</t>
        </is>
      </c>
    </row>
    <row r="10908">
      <c r="A10908" t="inlineStr">
        <is>
          <t>AN’AN (CHINA) CO., LTD.,  Zhangzhou, China</t>
        </is>
      </c>
      <c r="B10908" t="inlineStr">
        <is>
          <t>Processing Unit</t>
        </is>
      </c>
      <c r="C10908" t="inlineStr">
        <is>
          <t>Bureau Veritas Consumer Products Services, Inc., Littleton, MA, US</t>
        </is>
      </c>
      <c r="D10908" t="inlineStr">
        <is>
          <t>10.12.2026</t>
        </is>
      </c>
      <c r="E10908" t="inlineStr">
        <is>
          <t>China</t>
        </is>
      </c>
    </row>
    <row r="10909">
      <c r="A10909" t="inlineStr">
        <is>
          <t>Sekisui Specialty Chemicals America,  Calvert City, Kentucky, United States</t>
        </is>
      </c>
      <c r="B10909" t="inlineStr">
        <is>
          <t>Processing Unit</t>
        </is>
      </c>
      <c r="C10909" t="inlineStr">
        <is>
          <t>SCS Global Services, Emeryville, CA, US</t>
        </is>
      </c>
      <c r="D10909" t="inlineStr">
        <is>
          <t>10.12.2026</t>
        </is>
      </c>
      <c r="E10909" t="inlineStr">
        <is>
          <t>United States</t>
        </is>
      </c>
    </row>
    <row r="10910">
      <c r="A10910" t="inlineStr">
        <is>
          <t>Arimex Trade s.r.o.,  Domažlice, Czech Republic</t>
        </is>
      </c>
      <c r="B10910" t="inlineStr">
        <is>
          <t>First Gathering Point, Trader with Storage</t>
        </is>
      </c>
      <c r="C10910" t="inlineStr">
        <is>
          <t>United Registrar of Systems Polska Sp. z o.o., Wrocław, PL</t>
        </is>
      </c>
      <c r="D10910" t="inlineStr">
        <is>
          <t>10.12.2026</t>
        </is>
      </c>
      <c r="E10910" t="inlineStr">
        <is>
          <t>Czech Republic</t>
        </is>
      </c>
    </row>
    <row r="10911">
      <c r="A10911" t="inlineStr">
        <is>
          <t>Hunan Xinhui Bioenergy Co.,Ltd.,  Yiyang (HN), China</t>
        </is>
      </c>
      <c r="B10911" t="inlineStr">
        <is>
          <t>Processing Unit, Trader with Storage</t>
        </is>
      </c>
      <c r="C10911" t="inlineStr">
        <is>
          <t>RINA Services S.p.A., Genova, IT</t>
        </is>
      </c>
      <c r="D10911" t="inlineStr">
        <is>
          <t>10.12.2026</t>
        </is>
      </c>
      <c r="E10911" t="inlineStr">
        <is>
          <t>China</t>
        </is>
      </c>
    </row>
    <row r="10912">
      <c r="A10912" t="inlineStr">
        <is>
          <t>Arimex Trade s.r.o.,  Domažlice, Czech Republic</t>
        </is>
      </c>
      <c r="B10912" t="inlineStr">
        <is>
          <t>First Gathering Point, Trader with Storage</t>
        </is>
      </c>
      <c r="C10912" t="inlineStr">
        <is>
          <t>United Registrar of Systems Polska Sp. z o.o., Wrocław, PL</t>
        </is>
      </c>
      <c r="D10912" t="inlineStr">
        <is>
          <t>10.12.2026</t>
        </is>
      </c>
      <c r="E10912" t="inlineStr">
        <is>
          <t>Czech Republic</t>
        </is>
      </c>
    </row>
    <row r="10913">
      <c r="A10913" t="inlineStr">
        <is>
          <t>PT Selaras Mitra Sarimba,  Tebo, Indonesia</t>
        </is>
      </c>
      <c r="B10913" t="inlineStr">
        <is>
          <t>Point of Origin</t>
        </is>
      </c>
      <c r="C10913" t="inlineStr">
        <is>
          <t>PT. Qualitas Sertifikasi Indonesia, Jakarta, ID</t>
        </is>
      </c>
      <c r="D10913" t="inlineStr">
        <is>
          <t>10.12.2026</t>
        </is>
      </c>
      <c r="E10913" t="inlineStr">
        <is>
          <t>Indonesia</t>
        </is>
      </c>
    </row>
    <row r="10914">
      <c r="A10914" t="inlineStr">
        <is>
          <t>PTT Global Chemical Public Company Limited,  Map Ta Phut, Muang Rayong, Rayong, Thailand</t>
        </is>
      </c>
      <c r="B10914" t="inlineStr">
        <is>
          <t>Processing Unit</t>
        </is>
      </c>
      <c r="C10914" t="inlineStr">
        <is>
          <t>Trans Certification and Inspection Sdn Bhd, Kuantan, MY</t>
        </is>
      </c>
      <c r="D10914" t="inlineStr">
        <is>
          <t>10.12.2026</t>
        </is>
      </c>
      <c r="E10914" t="inlineStr">
        <is>
          <t>Thailand</t>
        </is>
      </c>
    </row>
    <row r="10915">
      <c r="A10915" t="inlineStr">
        <is>
          <t>PT Selaras Mitra Sarimba,  Tebo, Indonesia</t>
        </is>
      </c>
      <c r="B10915" t="inlineStr">
        <is>
          <t>Point of Origin</t>
        </is>
      </c>
      <c r="C10915" t="inlineStr">
        <is>
          <t>PT. Qualitas Sertifikasi Indonesia, Jakarta, ID</t>
        </is>
      </c>
      <c r="D10915" t="inlineStr">
        <is>
          <t>10.12.2026</t>
        </is>
      </c>
      <c r="E10915" t="inlineStr">
        <is>
          <t>Indonesia</t>
        </is>
      </c>
    </row>
    <row r="10916">
      <c r="A10916" t="inlineStr">
        <is>
          <t>Manfred Mayer MMM Mineralölvertrieb,  Neudörfl, Austria</t>
        </is>
      </c>
      <c r="B10916" t="inlineStr">
        <is>
          <t>Trader with Storage</t>
        </is>
      </c>
      <c r="C10916" t="inlineStr">
        <is>
          <t>agroVet GmbH, Enzersfeld, AT</t>
        </is>
      </c>
      <c r="D10916" t="inlineStr">
        <is>
          <t>10.12.2026</t>
        </is>
      </c>
      <c r="E10916" t="inlineStr">
        <is>
          <t>Austria</t>
        </is>
      </c>
    </row>
    <row r="10917">
      <c r="A10917" t="inlineStr">
        <is>
          <t>Asahi Kasei Corporation,  Kurashiki, Okayama, Japan</t>
        </is>
      </c>
      <c r="B10917" t="inlineStr">
        <is>
          <t>Processing Unit</t>
        </is>
      </c>
      <c r="C10917" t="inlineStr">
        <is>
          <t>Control Union Certifications Germany GmbH, Berlin, DE</t>
        </is>
      </c>
      <c r="D10917" t="inlineStr">
        <is>
          <t>10.12.2026</t>
        </is>
      </c>
      <c r="E10917" t="inlineStr">
        <is>
          <t>Japan</t>
        </is>
      </c>
    </row>
    <row r="10918">
      <c r="A10918" t="inlineStr">
        <is>
          <t>Riverina Australia Pty Ltd,  Milton, Australia</t>
        </is>
      </c>
      <c r="B10918" t="inlineStr">
        <is>
          <t>Trader</t>
        </is>
      </c>
      <c r="C10918" t="inlineStr">
        <is>
          <t>Control Union Certifications Germany GmbH, Berlin, DE</t>
        </is>
      </c>
      <c r="D10918" t="inlineStr">
        <is>
          <t>10.12.2026</t>
        </is>
      </c>
      <c r="E10918" t="inlineStr">
        <is>
          <t>Australia</t>
        </is>
      </c>
    </row>
    <row r="10919">
      <c r="A10919" t="inlineStr">
        <is>
          <t>PTT Global Chemical Public Company Limited,  Map Ta Phut, Mueang Rayong, Rayong, Thailand</t>
        </is>
      </c>
      <c r="B10919" t="inlineStr">
        <is>
          <t>Processing Unit</t>
        </is>
      </c>
      <c r="C10919" t="inlineStr">
        <is>
          <t>Trans Certification and Inspection Sdn Bhd, Kuantan, MY</t>
        </is>
      </c>
      <c r="D10919" t="inlineStr">
        <is>
          <t>10.12.2026</t>
        </is>
      </c>
      <c r="E10919" t="inlineStr">
        <is>
          <t>Thailand</t>
        </is>
      </c>
    </row>
    <row r="10920">
      <c r="A10920" t="inlineStr">
        <is>
          <t>Sinowin Chemical Fiber Co., Ltd.,  Qi County, Hebi City, China</t>
        </is>
      </c>
      <c r="B10920" t="inlineStr">
        <is>
          <t>Collecting Point, Processing Unit</t>
        </is>
      </c>
      <c r="C10920" t="inlineStr">
        <is>
          <t>SGS Germany GmbH, Emstek, DE</t>
        </is>
      </c>
      <c r="D10920" t="inlineStr">
        <is>
          <t>10.12.2026</t>
        </is>
      </c>
      <c r="E10920" t="inlineStr">
        <is>
          <t>China</t>
        </is>
      </c>
    </row>
    <row r="10921">
      <c r="A10921" t="inlineStr">
        <is>
          <t>Arrow Commodities,  Surry Hills, Australia</t>
        </is>
      </c>
      <c r="B10921" t="inlineStr">
        <is>
          <t>Trader with Storage</t>
        </is>
      </c>
      <c r="C10921" t="inlineStr">
        <is>
          <t>Control Union Certifications Germany GmbH, Berlin, DE</t>
        </is>
      </c>
      <c r="D10921" t="inlineStr">
        <is>
          <t>10.12.2026</t>
        </is>
      </c>
      <c r="E10921" t="inlineStr">
        <is>
          <t>Australia</t>
        </is>
      </c>
    </row>
    <row r="10922">
      <c r="A10922" t="inlineStr">
        <is>
          <t>Arrow Commodities,  Surry Hills, Australia</t>
        </is>
      </c>
      <c r="B10922" t="inlineStr">
        <is>
          <t>Trader with Storage</t>
        </is>
      </c>
      <c r="C10922" t="inlineStr">
        <is>
          <t>Control Union Certifications Germany GmbH, Berlin, DE</t>
        </is>
      </c>
      <c r="D10922" t="inlineStr">
        <is>
          <t>10.12.2026</t>
        </is>
      </c>
      <c r="E10922" t="inlineStr">
        <is>
          <t>Australia</t>
        </is>
      </c>
    </row>
    <row r="10923">
      <c r="A10923" t="inlineStr">
        <is>
          <t>VIETNAM DONA STANDARD FOOTWEAR CO., LTD,  Dong Nai Province, Vietnam</t>
        </is>
      </c>
      <c r="B10923" t="inlineStr">
        <is>
          <t>Processing Unit, Final Product Refinement</t>
        </is>
      </c>
      <c r="C10923" t="inlineStr">
        <is>
          <t>SGS Germany GmbH, Emstek, DE</t>
        </is>
      </c>
      <c r="D10923" t="inlineStr">
        <is>
          <t>10.12.2026</t>
        </is>
      </c>
      <c r="E10923" t="inlineStr">
        <is>
          <t>Vietnam</t>
        </is>
      </c>
    </row>
    <row r="10924">
      <c r="A10924" t="inlineStr">
        <is>
          <t>Astra Bioplant Ltd.,  Slivo Pole, Bulgaria</t>
        </is>
      </c>
      <c r="B10924" t="inlineStr">
        <is>
          <t>Trader</t>
        </is>
      </c>
      <c r="C10924" t="inlineStr">
        <is>
          <t>SGS Germany GmbH, Emstek, DE</t>
        </is>
      </c>
      <c r="D10924" t="inlineStr">
        <is>
          <t>10.12.2026</t>
        </is>
      </c>
      <c r="E10924" t="inlineStr">
        <is>
          <t>Bulgaria</t>
        </is>
      </c>
    </row>
    <row r="10925">
      <c r="A10925" t="inlineStr">
        <is>
          <t>Astra Bioplant Ltd.,  Slivo Pole, Bulgaria</t>
        </is>
      </c>
      <c r="B10925" t="inlineStr">
        <is>
          <t>Trader with Storage</t>
        </is>
      </c>
      <c r="C10925" t="inlineStr">
        <is>
          <t>SGS Germany GmbH, Emstek, DE</t>
        </is>
      </c>
      <c r="D10925" t="inlineStr">
        <is>
          <t>10.12.2026</t>
        </is>
      </c>
      <c r="E10925" t="inlineStr">
        <is>
          <t>Bulgaria</t>
        </is>
      </c>
    </row>
    <row r="10926">
      <c r="A10926" t="inlineStr">
        <is>
          <t>Bangchak Sriracha Public Company Limited,  Thung Sukhla Sub-district, Sriracha District, Thailand</t>
        </is>
      </c>
      <c r="B10926" t="inlineStr">
        <is>
          <t>Trader with Storage</t>
        </is>
      </c>
      <c r="C10926" t="inlineStr">
        <is>
          <t>SGS Germany GmbH, Emstek, DE</t>
        </is>
      </c>
      <c r="D10926" t="inlineStr">
        <is>
          <t>10.12.2026</t>
        </is>
      </c>
      <c r="E10926" t="inlineStr">
        <is>
          <t>Thailand</t>
        </is>
      </c>
    </row>
    <row r="10927">
      <c r="A10927" t="inlineStr">
        <is>
          <t>Okura Industrial Co., Ltd.,  Marugame, Kagawa, Japan</t>
        </is>
      </c>
      <c r="B10927" t="inlineStr">
        <is>
          <t>Trader, Collecting Point</t>
        </is>
      </c>
      <c r="C10927" t="inlineStr">
        <is>
          <t>SGS Germany GmbH, Emstek, DE</t>
        </is>
      </c>
      <c r="D10927" t="inlineStr">
        <is>
          <t>10.12.2026</t>
        </is>
      </c>
      <c r="E10927" t="inlineStr">
        <is>
          <t>Japan</t>
        </is>
      </c>
    </row>
    <row r="10928">
      <c r="A10928" t="inlineStr">
        <is>
          <t>Toyo Tire Corporation,  Iwanuma, Japan</t>
        </is>
      </c>
      <c r="B10928" t="inlineStr">
        <is>
          <t>Processing Unit</t>
        </is>
      </c>
      <c r="C10928" t="inlineStr">
        <is>
          <t>SGS Germany GmbH, Emstek, DE</t>
        </is>
      </c>
      <c r="D10928" t="inlineStr">
        <is>
          <t>10.12.2026</t>
        </is>
      </c>
      <c r="E10928" t="inlineStr">
        <is>
          <t>Japan</t>
        </is>
      </c>
    </row>
    <row r="10929">
      <c r="A10929" t="inlineStr">
        <is>
          <t>Shell Nederland Raffinaderij,  Vondelingenplaat Rt, Netherlands</t>
        </is>
      </c>
      <c r="B10929" t="inlineStr">
        <is>
          <t>Processing Unit</t>
        </is>
      </c>
      <c r="C10929" t="inlineStr">
        <is>
          <t>SGS Germany GmbH, Emstek, DE</t>
        </is>
      </c>
      <c r="D10929" t="inlineStr">
        <is>
          <t>10.12.2026</t>
        </is>
      </c>
      <c r="E10929" t="inlineStr">
        <is>
          <t>Netherlands</t>
        </is>
      </c>
    </row>
    <row r="10930">
      <c r="A10930" t="inlineStr">
        <is>
          <t>Equinor Metanol ANS,  Kjørsvikbugen, Norway</t>
        </is>
      </c>
      <c r="B10930" t="inlineStr">
        <is>
          <t>Processing Unit, Warehouse</t>
        </is>
      </c>
      <c r="C10930" t="inlineStr">
        <is>
          <t>SGS Germany GmbH, Emstek, DE</t>
        </is>
      </c>
      <c r="D10930" t="inlineStr">
        <is>
          <t>10.12.2026</t>
        </is>
      </c>
      <c r="E10930" t="inlineStr">
        <is>
          <t>Norway</t>
        </is>
      </c>
    </row>
    <row r="10931">
      <c r="A10931" t="inlineStr">
        <is>
          <t>Jiangxi Shengzhiyuan Renewable Resources Co., Ltd.,  Ganzhou City, China</t>
        </is>
      </c>
      <c r="B10931" t="inlineStr">
        <is>
          <t>Collecting Point, Processing Unit</t>
        </is>
      </c>
      <c r="C10931" t="inlineStr">
        <is>
          <t>Bureau Veritas Consumer Products Services, Inc., Littleton, MA, US</t>
        </is>
      </c>
      <c r="D10931" t="inlineStr">
        <is>
          <t>10.12.2026</t>
        </is>
      </c>
      <c r="E10931" t="inlineStr">
        <is>
          <t>China</t>
        </is>
      </c>
    </row>
    <row r="10932">
      <c r="A10932" t="inlineStr">
        <is>
          <t>DJ International Trading(shenzhen) Co.,LTD.,  Longgang District, Shenzhen, China</t>
        </is>
      </c>
      <c r="B10932" t="inlineStr">
        <is>
          <t>Trader with Storage</t>
        </is>
      </c>
      <c r="C10932" t="inlineStr">
        <is>
          <t>China Quality Certification Centre Co., Ltd., Beijing, CN</t>
        </is>
      </c>
      <c r="D10932" t="inlineStr">
        <is>
          <t>10.12.2026</t>
        </is>
      </c>
      <c r="E10932" t="inlineStr">
        <is>
          <t>China</t>
        </is>
      </c>
    </row>
    <row r="10933">
      <c r="A10933" t="inlineStr">
        <is>
          <t>Tianjin Yihang Shipping Service Co., Ltd,  Binhai New District,Tianjin, China</t>
        </is>
      </c>
      <c r="B10933" t="inlineStr">
        <is>
          <t>Collecting Point</t>
        </is>
      </c>
      <c r="C10933" t="inlineStr">
        <is>
          <t>China Standard Conformity Assessment Co. Ltd, Beijing, CN</t>
        </is>
      </c>
      <c r="D10933" t="inlineStr">
        <is>
          <t>10.12.2026</t>
        </is>
      </c>
      <c r="E10933" t="inlineStr">
        <is>
          <t>China</t>
        </is>
      </c>
    </row>
    <row r="10934">
      <c r="A10934" t="inlineStr">
        <is>
          <t>LINPAC Packaging Pontivy,  Noyal-Pontivy, France</t>
        </is>
      </c>
      <c r="B10934" t="inlineStr">
        <is>
          <t>Processing Unit</t>
        </is>
      </c>
      <c r="C10934" t="inlineStr">
        <is>
          <t>Bureau Veritas Polska Sp. z o.o., Warsaw, PL</t>
        </is>
      </c>
      <c r="D10934" t="inlineStr">
        <is>
          <t>10.12.2026</t>
        </is>
      </c>
      <c r="E10934" t="inlineStr">
        <is>
          <t>France</t>
        </is>
      </c>
    </row>
    <row r="10935">
      <c r="A10935" t="inlineStr">
        <is>
          <t>Cangzhou Bohai New Area Xinjiexiang Recycling Resources Development Co., Ltd.,  Cangzhou City, China</t>
        </is>
      </c>
      <c r="B10935" t="inlineStr">
        <is>
          <t>Processing Unit</t>
        </is>
      </c>
      <c r="C10935" t="inlineStr">
        <is>
          <t>China Standard Conformity Assessment Co. Ltd, Beijing, CN</t>
        </is>
      </c>
      <c r="D10935" t="inlineStr">
        <is>
          <t>10.12.2026</t>
        </is>
      </c>
      <c r="E10935" t="inlineStr">
        <is>
          <t>China</t>
        </is>
      </c>
    </row>
    <row r="10936">
      <c r="A10936" t="inlineStr">
        <is>
          <t>Narat Iberia,  Madrid, Spain</t>
        </is>
      </c>
      <c r="B10936" t="inlineStr">
        <is>
          <t>Trader with Storage</t>
        </is>
      </c>
      <c r="C10936" t="inlineStr">
        <is>
          <t>Certificadora Gallega del Noroeste SL, Vilagarcia de Arousa-Pontevedra, ES</t>
        </is>
      </c>
      <c r="D10936" t="inlineStr">
        <is>
          <t>10.12.2026</t>
        </is>
      </c>
      <c r="E10936" t="inlineStr">
        <is>
          <t>Spain</t>
        </is>
      </c>
    </row>
    <row r="10937">
      <c r="A10937" t="inlineStr">
        <is>
          <t>ENERGE B1 s.r.o.,  Cabradský Vrbovok, Slovakia</t>
        </is>
      </c>
      <c r="B10937" t="inlineStr">
        <is>
          <t>Collecting Point, First Gathering Point, Point of Origin, Processing Unit</t>
        </is>
      </c>
      <c r="C10937" t="inlineStr">
        <is>
          <t>United Registrar of Systems Polska Sp. z o.o., Wrocław, PL</t>
        </is>
      </c>
      <c r="D10937" t="inlineStr">
        <is>
          <t>10.12.2026</t>
        </is>
      </c>
      <c r="E10937" t="inlineStr">
        <is>
          <t>Slovakia</t>
        </is>
      </c>
    </row>
    <row r="10938">
      <c r="A10938" t="inlineStr">
        <is>
          <t>HATTA ENERGY,  MADRID, Spain</t>
        </is>
      </c>
      <c r="B10938" t="inlineStr">
        <is>
          <t>Trader with Storage</t>
        </is>
      </c>
      <c r="C10938" t="inlineStr">
        <is>
          <t>Certificadora Gallega del Noroeste SL, Vilagarcia de Arousa-Pontevedra, ES</t>
        </is>
      </c>
      <c r="D10938" t="inlineStr">
        <is>
          <t>10.12.2026</t>
        </is>
      </c>
      <c r="E10938" t="inlineStr">
        <is>
          <t>Spain</t>
        </is>
      </c>
    </row>
    <row r="10939">
      <c r="A10939" t="inlineStr">
        <is>
          <t>Sarval (Hartshill) Ltd,  Nuneaton, The United Kingdom</t>
        </is>
      </c>
      <c r="B10939" t="inlineStr">
        <is>
          <t>Point of Origin</t>
        </is>
      </c>
      <c r="C10939" t="inlineStr">
        <is>
          <t>Control Union Poland Sp. z o.o., Zielona Gora, PL</t>
        </is>
      </c>
      <c r="D10939" t="inlineStr">
        <is>
          <t>10.12.2026</t>
        </is>
      </c>
      <c r="E10939" t="inlineStr">
        <is>
          <t>The United Kingdom</t>
        </is>
      </c>
    </row>
    <row r="10940">
      <c r="A10940" t="inlineStr">
        <is>
          <t>POTOKY,  Dnipro, Ukraine</t>
        </is>
      </c>
      <c r="B10940" t="inlineStr">
        <is>
          <t>First Gathering Point, Point of Origin, Processing Unit, Trader with Storage, Collecting Point</t>
        </is>
      </c>
      <c r="C10940" t="inlineStr">
        <is>
          <t>BM Certification, Riga, LV</t>
        </is>
      </c>
      <c r="D10940" t="inlineStr">
        <is>
          <t>10.12.2026</t>
        </is>
      </c>
      <c r="E10940" t="inlineStr">
        <is>
          <t>Ukraine</t>
        </is>
      </c>
    </row>
    <row r="10941">
      <c r="A10941" t="inlineStr">
        <is>
          <t>BPS-VM s.r.o.,  Velke Mezirici, Czech Republic</t>
        </is>
      </c>
      <c r="B10941" t="inlineStr">
        <is>
          <t>Collecting Point, First Gathering Point, Processing Unit</t>
        </is>
      </c>
      <c r="C10941" t="inlineStr">
        <is>
          <t>TÜV SÜD Czech s.r.o., Praha 4, CZ</t>
        </is>
      </c>
      <c r="D10941" t="inlineStr">
        <is>
          <t>10.12.2026</t>
        </is>
      </c>
      <c r="E10941" t="inlineStr">
        <is>
          <t>Czech Republic</t>
        </is>
      </c>
    </row>
    <row r="10942">
      <c r="A10942" t="inlineStr">
        <is>
          <t>Mitsui Elastomers Singapore Pte Ltd,  Singapore, Singapore</t>
        </is>
      </c>
      <c r="B10942" t="inlineStr">
        <is>
          <t>Processing Unit</t>
        </is>
      </c>
      <c r="C10942" t="inlineStr">
        <is>
          <t>Control Union Certifications Germany GmbH, Berlin, DE</t>
        </is>
      </c>
      <c r="D10942" t="inlineStr">
        <is>
          <t>10.12.2026</t>
        </is>
      </c>
      <c r="E10942" t="inlineStr">
        <is>
          <t>Singapore</t>
        </is>
      </c>
    </row>
    <row r="10943">
      <c r="A10943" t="inlineStr">
        <is>
          <t>Mitsui Elastomers Singapore Pte Ltd,  Singapore, Singapore</t>
        </is>
      </c>
      <c r="B10943" t="inlineStr">
        <is>
          <t>Trader with Storage</t>
        </is>
      </c>
      <c r="C10943" t="inlineStr">
        <is>
          <t>Control Union Certifications Germany GmbH, Berlin, DE</t>
        </is>
      </c>
      <c r="D10943" t="inlineStr">
        <is>
          <t>10.12.2026</t>
        </is>
      </c>
      <c r="E10943" t="inlineStr">
        <is>
          <t>Singapore</t>
        </is>
      </c>
    </row>
    <row r="10944">
      <c r="A10944" t="inlineStr">
        <is>
          <t>POTOKY,  Dnipro, Ukraine</t>
        </is>
      </c>
      <c r="B10944" t="inlineStr">
        <is>
          <t>First Gathering Point, Point of Origin, Processing Unit, Trader with Storage, Collecting Point</t>
        </is>
      </c>
      <c r="C10944" t="inlineStr">
        <is>
          <t>BM Certification, Riga, LV</t>
        </is>
      </c>
      <c r="D10944" t="inlineStr">
        <is>
          <t>10.12.2026</t>
        </is>
      </c>
      <c r="E10944" t="inlineStr">
        <is>
          <t>Ukraine</t>
        </is>
      </c>
    </row>
    <row r="10945">
      <c r="A10945" t="inlineStr">
        <is>
          <t>Zait Cash WLL,  Manama, Bahrain</t>
        </is>
      </c>
      <c r="B10945" t="inlineStr">
        <is>
          <t>Collecting Point</t>
        </is>
      </c>
      <c r="C10945" t="inlineStr">
        <is>
          <t>ICIM SpA, sesto san giovanni, IT</t>
        </is>
      </c>
      <c r="D10945" t="inlineStr">
        <is>
          <t>10.12.2026</t>
        </is>
      </c>
      <c r="E10945" t="inlineStr">
        <is>
          <t>Bahrain</t>
        </is>
      </c>
    </row>
    <row r="10946">
      <c r="A10946" t="inlineStr">
        <is>
          <t>Nelipak Healthcare Packaging,  Derry, United Kingdom</t>
        </is>
      </c>
      <c r="B10946" t="inlineStr">
        <is>
          <t>Processing Unit</t>
        </is>
      </c>
      <c r="C10946" t="inlineStr">
        <is>
          <t>Aardvark Certification Ltd, Wiveliscombe, Somerset, GB</t>
        </is>
      </c>
      <c r="D10946" t="inlineStr">
        <is>
          <t>10.12.2026</t>
        </is>
      </c>
      <c r="E10946" t="inlineStr">
        <is>
          <t>United Kingdom</t>
        </is>
      </c>
    </row>
    <row r="10947">
      <c r="A10947" t="inlineStr">
        <is>
          <t>Dai Nippon Printing Co., Ltd.,  Izumizaki-mura, Nishishirakawa-gun, Fukushima, Japan</t>
        </is>
      </c>
      <c r="B10947" t="inlineStr">
        <is>
          <t>Processing Unit</t>
        </is>
      </c>
      <c r="C10947" t="inlineStr">
        <is>
          <t>SGS Germany GmbH, Emstek, DE</t>
        </is>
      </c>
      <c r="D10947" t="inlineStr">
        <is>
          <t>10.12.2026</t>
        </is>
      </c>
      <c r="E10947" t="inlineStr">
        <is>
          <t>Japan</t>
        </is>
      </c>
    </row>
    <row r="10948">
      <c r="A10948" t="inlineStr">
        <is>
          <t>Dow Chemical Thailand Limited,  Rayong, Thailand</t>
        </is>
      </c>
      <c r="B10948" t="inlineStr">
        <is>
          <t>Processing Unit</t>
        </is>
      </c>
      <c r="C10948" t="inlineStr">
        <is>
          <t>SGS Germany GmbH, Emstek, DE</t>
        </is>
      </c>
      <c r="D10948" t="inlineStr">
        <is>
          <t>10.12.2026</t>
        </is>
      </c>
      <c r="E10948" t="inlineStr">
        <is>
          <t>Thailand</t>
        </is>
      </c>
    </row>
    <row r="10949">
      <c r="A10949" t="inlineStr">
        <is>
          <t>Wight Farm Energy,  Newport, United Kingdom</t>
        </is>
      </c>
      <c r="B10949" t="inlineStr">
        <is>
          <t>First Gathering Point, Processing Unit</t>
        </is>
      </c>
      <c r="C10949" t="inlineStr">
        <is>
          <t>Aardvark Certification Ltd, Wiveliscombe, Somerset, GB</t>
        </is>
      </c>
      <c r="D10949" t="inlineStr">
        <is>
          <t>10.12.2026</t>
        </is>
      </c>
      <c r="E10949" t="inlineStr">
        <is>
          <t>United Kingdom</t>
        </is>
      </c>
    </row>
    <row r="10950">
      <c r="A10950" t="inlineStr">
        <is>
          <t>ABF Energy Marine B.V.,  Amsterdam, Netherlands</t>
        </is>
      </c>
      <c r="B10950" t="inlineStr">
        <is>
          <t>Proof of Compliance Trader, Trader</t>
        </is>
      </c>
      <c r="C10950" t="inlineStr">
        <is>
          <t>SGS Germany GmbH, Emstek, DE</t>
        </is>
      </c>
      <c r="D10950" t="inlineStr">
        <is>
          <t>10.12.2026</t>
        </is>
      </c>
      <c r="E10950" t="inlineStr">
        <is>
          <t>Netherlands</t>
        </is>
      </c>
    </row>
    <row r="10951">
      <c r="A10951" t="inlineStr">
        <is>
          <t>Arthea Group S.r.l.,  Monza, Italy</t>
        </is>
      </c>
      <c r="B10951" t="inlineStr">
        <is>
          <t>Trader</t>
        </is>
      </c>
      <c r="C10951" t="inlineStr">
        <is>
          <t>SGS Germany GmbH, Emstek, DE</t>
        </is>
      </c>
      <c r="D10951" t="inlineStr">
        <is>
          <t>10.12.2026</t>
        </is>
      </c>
      <c r="E10951" t="inlineStr">
        <is>
          <t>Italy</t>
        </is>
      </c>
    </row>
    <row r="10952">
      <c r="A10952" t="inlineStr">
        <is>
          <t>CARGILL URUGUAY,  Montevideo, Uruguay</t>
        </is>
      </c>
      <c r="B10952" t="inlineStr">
        <is>
          <t>Trader</t>
        </is>
      </c>
      <c r="C10952" t="inlineStr">
        <is>
          <t>Control Union Poland Sp. z o.o., Zielona Gora, PL</t>
        </is>
      </c>
      <c r="D10952" t="inlineStr">
        <is>
          <t>10.12.2026</t>
        </is>
      </c>
      <c r="E10952" t="inlineStr">
        <is>
          <t>Uruguay</t>
        </is>
      </c>
    </row>
    <row r="10953">
      <c r="A10953" t="inlineStr">
        <is>
          <t>Methanex Korea Limited,  Seoul, Korea, Republic of</t>
        </is>
      </c>
      <c r="B10953" t="inlineStr">
        <is>
          <t>Trader with Storage</t>
        </is>
      </c>
      <c r="C10953" t="inlineStr">
        <is>
          <t>SCS Global Services, Emeryville, CA, US</t>
        </is>
      </c>
      <c r="D10953" t="inlineStr">
        <is>
          <t>10.12.2026</t>
        </is>
      </c>
      <c r="E10953" t="inlineStr">
        <is>
          <t>Republic of</t>
        </is>
      </c>
    </row>
    <row r="10954">
      <c r="A10954" t="inlineStr">
        <is>
          <t>Methanex Korea Limited,  Seoul, Korea, Republic of</t>
        </is>
      </c>
      <c r="B10954" t="inlineStr">
        <is>
          <t>Trader with Storage</t>
        </is>
      </c>
      <c r="C10954" t="inlineStr">
        <is>
          <t>SCS Global Services, Emeryville, CA, US</t>
        </is>
      </c>
      <c r="D10954" t="inlineStr">
        <is>
          <t>10.12.2026</t>
        </is>
      </c>
      <c r="E10954" t="inlineStr">
        <is>
          <t>Republic of</t>
        </is>
      </c>
    </row>
    <row r="10955">
      <c r="A10955" t="inlineStr">
        <is>
          <t>Severn Trent Water Ltd,  Birmingham, United Kingdom</t>
        </is>
      </c>
      <c r="B10955" t="inlineStr">
        <is>
          <t>Collecting Point, Processing Unit</t>
        </is>
      </c>
      <c r="C10955" t="inlineStr">
        <is>
          <t>Double Helix Tracking Technologies Pte Ltd, Singapore, SG</t>
        </is>
      </c>
      <c r="D10955" t="inlineStr">
        <is>
          <t>10.12.2026</t>
        </is>
      </c>
      <c r="E10955" t="inlineStr">
        <is>
          <t>United Kingdom</t>
        </is>
      </c>
    </row>
    <row r="10956">
      <c r="A10956" t="inlineStr">
        <is>
          <t>PDO Technologies, Inc.,  Brooks, OR, United States</t>
        </is>
      </c>
      <c r="B10956" t="inlineStr">
        <is>
          <t>Collecting Point, Processing Unit</t>
        </is>
      </c>
      <c r="C10956" t="inlineStr">
        <is>
          <t>SCS Global Services, Emeryville, CA, US</t>
        </is>
      </c>
      <c r="D10956" t="inlineStr">
        <is>
          <t>10.12.2026</t>
        </is>
      </c>
      <c r="E10956" t="inlineStr">
        <is>
          <t>United States</t>
        </is>
      </c>
    </row>
    <row r="10957">
      <c r="A10957" t="inlineStr">
        <is>
          <t>PTT Global Chemical Public Company Limited,  Map Ta Phut, Mueang Rayong, Rayong, Thailand</t>
        </is>
      </c>
      <c r="B10957" t="inlineStr">
        <is>
          <t>Processing Unit</t>
        </is>
      </c>
      <c r="C10957" t="inlineStr">
        <is>
          <t>Trans Certification and Inspection Sdn Bhd, Kuantan, MY</t>
        </is>
      </c>
      <c r="D10957" t="inlineStr">
        <is>
          <t>10.12.2026</t>
        </is>
      </c>
      <c r="E10957" t="inlineStr">
        <is>
          <t>Thailand</t>
        </is>
      </c>
    </row>
    <row r="10958">
      <c r="A10958" t="inlineStr">
        <is>
          <t>Green Leaves Used Cooking Oils Trading L.L.C,  Dubai, United Arab Emirates</t>
        </is>
      </c>
      <c r="B10958" t="inlineStr">
        <is>
          <t>Collecting Point</t>
        </is>
      </c>
      <c r="C10958" t="inlineStr">
        <is>
          <t>PT Mutuagung Lestari, Depok, ID</t>
        </is>
      </c>
      <c r="D10958" t="inlineStr">
        <is>
          <t>10.12.2026</t>
        </is>
      </c>
      <c r="E10958" t="inlineStr">
        <is>
          <t>United Arab Emirates</t>
        </is>
      </c>
    </row>
    <row r="10959">
      <c r="A10959" t="inlineStr">
        <is>
          <t>PİLENPAK AMBALAJ SAN. VE TİC. A.Ş.,  YUNUSEMRE/MANİSA, Turkey</t>
        </is>
      </c>
      <c r="B10959" t="inlineStr">
        <is>
          <t>Processing Unit, Final Product Refinement</t>
        </is>
      </c>
      <c r="C10959" t="inlineStr">
        <is>
          <t>RINA Services S.p.A., Genova, IT</t>
        </is>
      </c>
      <c r="D10959" t="inlineStr">
        <is>
          <t>10.12.2026</t>
        </is>
      </c>
      <c r="E10959" t="inlineStr">
        <is>
          <t>Turkey</t>
        </is>
      </c>
    </row>
    <row r="10960">
      <c r="A10960" t="inlineStr">
        <is>
          <t>PİLENPAK AMBALAJ SAN. VE TİC. A.Ş.,  YUNUSEMRE / MANİSA, Turkey</t>
        </is>
      </c>
      <c r="B10960" t="inlineStr">
        <is>
          <t>Processing Unit, Final Product Refinement</t>
        </is>
      </c>
      <c r="C10960" t="inlineStr">
        <is>
          <t>RINA Services S.p.A., Genova, IT</t>
        </is>
      </c>
      <c r="D10960" t="inlineStr">
        <is>
          <t>10.12.2026</t>
        </is>
      </c>
      <c r="E10960" t="inlineStr">
        <is>
          <t>Turkey</t>
        </is>
      </c>
    </row>
    <row r="10961">
      <c r="A10961" t="inlineStr">
        <is>
          <t>Guangzhou Hongtai New Energy Technology Co., Ltd.,  Guangzhou City, Guangdong Province, China</t>
        </is>
      </c>
      <c r="B10961" t="inlineStr">
        <is>
          <t>Collecting Point, Trader with Storage</t>
        </is>
      </c>
      <c r="C10961" t="inlineStr">
        <is>
          <t>SCS Global Services, Emeryville, CA, US</t>
        </is>
      </c>
      <c r="D10961" t="inlineStr">
        <is>
          <t>10.12.2026</t>
        </is>
      </c>
      <c r="E10961" t="inlineStr">
        <is>
          <t>China</t>
        </is>
      </c>
    </row>
    <row r="10962">
      <c r="A10962" t="inlineStr">
        <is>
          <t>Terra Clean d.o.o.,  Maribor, Slovenia</t>
        </is>
      </c>
      <c r="B10962" t="inlineStr">
        <is>
          <t>Collecting Point, Trader</t>
        </is>
      </c>
      <c r="C10962" t="inlineStr">
        <is>
          <t>Bureau Veritas Polska Sp. z o.o., Warsaw, PL</t>
        </is>
      </c>
      <c r="D10962" t="inlineStr">
        <is>
          <t>10.12.2026</t>
        </is>
      </c>
      <c r="E10962" t="inlineStr">
        <is>
          <t>Slovenia</t>
        </is>
      </c>
    </row>
    <row r="10963">
      <c r="A10963" t="inlineStr">
        <is>
          <t>Tereos Açúcar &amp; Energia Brasil S.A. - Unidade Mandu,  Guaíra, Brazil</t>
        </is>
      </c>
      <c r="B10963" t="inlineStr">
        <is>
          <t>First Gathering Point</t>
        </is>
      </c>
      <c r="C10963" t="inlineStr">
        <is>
          <t>SCS Global Services, Emeryville, CA, US</t>
        </is>
      </c>
      <c r="D10963" t="inlineStr">
        <is>
          <t>09.12.2026</t>
        </is>
      </c>
      <c r="E10963" t="inlineStr">
        <is>
          <t>Brazil</t>
        </is>
      </c>
    </row>
    <row r="10964">
      <c r="A10964" t="inlineStr">
        <is>
          <t>Tereos Açúcar &amp; Energia Brasil S.A. - Unidade Mandu,  Guaíra, Brazil</t>
        </is>
      </c>
      <c r="B10964" t="inlineStr">
        <is>
          <t>First Gathering Point, Processing Unit</t>
        </is>
      </c>
      <c r="C10964" t="inlineStr">
        <is>
          <t>SCS Global Services, Emeryville, CA, US</t>
        </is>
      </c>
      <c r="D10964" t="inlineStr">
        <is>
          <t>09.12.2026</t>
        </is>
      </c>
      <c r="E10964" t="inlineStr">
        <is>
          <t>Brazil</t>
        </is>
      </c>
    </row>
    <row r="10965">
      <c r="A10965" t="inlineStr">
        <is>
          <t>Tereos Açúcar &amp; Energia Brasil S.A. - Unidade Mandu,  Guaíra, Brazil</t>
        </is>
      </c>
      <c r="B10965" t="inlineStr">
        <is>
          <t>First Gathering Point, Processing Unit</t>
        </is>
      </c>
      <c r="C10965" t="inlineStr">
        <is>
          <t>SCS Global Services, Emeryville, CA, US</t>
        </is>
      </c>
      <c r="D10965" t="inlineStr">
        <is>
          <t>09.12.2026</t>
        </is>
      </c>
      <c r="E10965" t="inlineStr">
        <is>
          <t>Brazil</t>
        </is>
      </c>
    </row>
    <row r="10966">
      <c r="A10966" t="inlineStr">
        <is>
          <t>Wuhan Baixin Environmental Protection Energy Technology Co. Ltd.,  Dongxihu District, Wuhan City, Hubei Province, China</t>
        </is>
      </c>
      <c r="B10966" t="inlineStr">
        <is>
          <t>Collecting Point, Processing Unit, Trader</t>
        </is>
      </c>
      <c r="C10966" t="inlineStr">
        <is>
          <t>SCS Global Services, Emeryville, CA, US</t>
        </is>
      </c>
      <c r="D10966" t="inlineStr">
        <is>
          <t>09.12.2026</t>
        </is>
      </c>
      <c r="E10966" t="inlineStr">
        <is>
          <t>China</t>
        </is>
      </c>
    </row>
    <row r="10967">
      <c r="A10967" t="inlineStr">
        <is>
          <t>PT Musim Mas,  Medan, Indonesia</t>
        </is>
      </c>
      <c r="B10967" t="inlineStr">
        <is>
          <t>Point of Origin, Processing Unit, Trader with Storage, Warehouse</t>
        </is>
      </c>
      <c r="C10967" t="inlineStr">
        <is>
          <t>Control Union Certifications Germany GmbH, Berlin, DE</t>
        </is>
      </c>
      <c r="D10967" t="inlineStr">
        <is>
          <t>09.12.2026</t>
        </is>
      </c>
      <c r="E10967" t="inlineStr">
        <is>
          <t>Indonesia</t>
        </is>
      </c>
    </row>
    <row r="10968">
      <c r="A10968" t="inlineStr">
        <is>
          <t>FORMOSA CHEMICALS AND FIBRE CORP.,  Mailiao Township, Yunlin County, Taiwan, Province of China</t>
        </is>
      </c>
      <c r="B10968" t="inlineStr">
        <is>
          <t>Processing Unit</t>
        </is>
      </c>
      <c r="C10968" t="inlineStr">
        <is>
          <t>Bureau Veritas Consumer Products Services, Inc., Littleton, MA, US</t>
        </is>
      </c>
      <c r="D10968" t="inlineStr">
        <is>
          <t>09.12.2026</t>
        </is>
      </c>
      <c r="E10968" t="inlineStr">
        <is>
          <t>Province of China</t>
        </is>
      </c>
    </row>
    <row r="10969">
      <c r="A10969" t="inlineStr">
        <is>
          <t>Nantong Borun New Energy Technology Co., Ltd.,  Rudong County, Jiangsu Province, China</t>
        </is>
      </c>
      <c r="B10969" t="inlineStr">
        <is>
          <t>Collecting Point, Trader with Storage</t>
        </is>
      </c>
      <c r="C10969" t="inlineStr">
        <is>
          <t>RINA Services S.p.A., Genova, IT</t>
        </is>
      </c>
      <c r="D10969" t="inlineStr">
        <is>
          <t>09.12.2026</t>
        </is>
      </c>
      <c r="E10969" t="inlineStr">
        <is>
          <t>China</t>
        </is>
      </c>
    </row>
    <row r="10970">
      <c r="A10970" t="inlineStr">
        <is>
          <t>CEAT LTD,  Taluka Halol, Dist.- Panchmahal, India</t>
        </is>
      </c>
      <c r="B10970" t="inlineStr">
        <is>
          <t>Processing Unit</t>
        </is>
      </c>
      <c r="C10970" t="inlineStr">
        <is>
          <t>Cotecna India Inspection Pvt Ltd, Kolkata, IN</t>
        </is>
      </c>
      <c r="D10970" t="inlineStr">
        <is>
          <t>09.12.2026</t>
        </is>
      </c>
      <c r="E10970" t="inlineStr">
        <is>
          <t>India</t>
        </is>
      </c>
    </row>
    <row r="10971">
      <c r="A10971" t="inlineStr">
        <is>
          <t>UNITED CREATION OPTICAL (CAMBODIA) COMPANY LIMITED,  Kampong Speu, Cambodia</t>
        </is>
      </c>
      <c r="B10971" t="inlineStr">
        <is>
          <t>Processing Unit</t>
        </is>
      </c>
      <c r="C10971" t="inlineStr">
        <is>
          <t>RINA Services S.p.A., Genova, IT</t>
        </is>
      </c>
      <c r="D10971" t="inlineStr">
        <is>
          <t>09.12.2026</t>
        </is>
      </c>
      <c r="E10971" t="inlineStr">
        <is>
          <t>Cambodia</t>
        </is>
      </c>
    </row>
    <row r="10972">
      <c r="A10972" t="inlineStr">
        <is>
          <t>Frey Australia Pty Ltd,  Collingwood, Australia</t>
        </is>
      </c>
      <c r="B10972" t="inlineStr">
        <is>
          <t>Trader with Storage</t>
        </is>
      </c>
      <c r="C10972" t="inlineStr">
        <is>
          <t>Control Union Certifications Germany GmbH, Berlin, DE</t>
        </is>
      </c>
      <c r="D10972" t="inlineStr">
        <is>
          <t>09.12.2026</t>
        </is>
      </c>
      <c r="E10972" t="inlineStr">
        <is>
          <t>Australia</t>
        </is>
      </c>
    </row>
    <row r="10973">
      <c r="A10973" t="inlineStr">
        <is>
          <t>Koperasi Perintis Telok Dagang Selangor Berhad,  Telok Panglima Garang, Malaysia</t>
        </is>
      </c>
      <c r="B10973" t="inlineStr">
        <is>
          <t>Collecting Point, Trader with Storage</t>
        </is>
      </c>
      <c r="C10973" t="inlineStr">
        <is>
          <t>SGS Germany GmbH, Emstek, DE</t>
        </is>
      </c>
      <c r="D10973" t="inlineStr">
        <is>
          <t>09.12.2026</t>
        </is>
      </c>
      <c r="E10973" t="inlineStr">
        <is>
          <t>Malaysia</t>
        </is>
      </c>
    </row>
    <row r="10974">
      <c r="A10974" t="inlineStr">
        <is>
          <t>Radius Systems Ltd,  South Normanton, Alfreton, United Kingdom</t>
        </is>
      </c>
      <c r="B10974" t="inlineStr">
        <is>
          <t>Processing Unit</t>
        </is>
      </c>
      <c r="C10974" t="inlineStr">
        <is>
          <t>Aardvark Certification Ltd, Wiveliscombe, Somerset, GB</t>
        </is>
      </c>
      <c r="D10974" t="inlineStr">
        <is>
          <t>09.12.2026</t>
        </is>
      </c>
      <c r="E10974" t="inlineStr">
        <is>
          <t>United Kingdom</t>
        </is>
      </c>
    </row>
    <row r="10975">
      <c r="A10975" t="inlineStr">
        <is>
          <t>Rissbacher Walter GmbH,  Brixlegg, Austria</t>
        </is>
      </c>
      <c r="B10975" t="inlineStr">
        <is>
          <t>Trader with Storage</t>
        </is>
      </c>
      <c r="C10975" t="inlineStr">
        <is>
          <t>agroVet GmbH, Enzersfeld, AT</t>
        </is>
      </c>
      <c r="D10975" t="inlineStr">
        <is>
          <t>09.12.2026</t>
        </is>
      </c>
      <c r="E10975" t="inlineStr">
        <is>
          <t>Austria</t>
        </is>
      </c>
    </row>
    <row r="10976">
      <c r="A10976" t="inlineStr">
        <is>
          <t>Cargill Bioindustrial B.V.,  Gouda, Netherlands</t>
        </is>
      </c>
      <c r="B10976" t="inlineStr">
        <is>
          <t>Processing Unit</t>
        </is>
      </c>
      <c r="C10976" t="inlineStr">
        <is>
          <t>DEKRA Certification B.V., Arnhem, NL</t>
        </is>
      </c>
      <c r="D10976" t="inlineStr">
        <is>
          <t>09.12.2026</t>
        </is>
      </c>
      <c r="E10976" t="inlineStr">
        <is>
          <t>Netherlands</t>
        </is>
      </c>
    </row>
    <row r="10977">
      <c r="A10977" t="inlineStr">
        <is>
          <t>CCL Secure LTD,  Wigton, United Kingdom</t>
        </is>
      </c>
      <c r="B10977" t="inlineStr">
        <is>
          <t>Final Product Refinement, Processing Unit</t>
        </is>
      </c>
      <c r="C10977" t="inlineStr">
        <is>
          <t>BM Certification, Riga, LV</t>
        </is>
      </c>
      <c r="D10977" t="inlineStr">
        <is>
          <t>09.12.2026</t>
        </is>
      </c>
      <c r="E10977" t="inlineStr">
        <is>
          <t>United Kingdom</t>
        </is>
      </c>
    </row>
    <row r="10978">
      <c r="A10978" t="inlineStr">
        <is>
          <t>IPLOM,  BUSALLA, Italy</t>
        </is>
      </c>
      <c r="B10978" t="inlineStr">
        <is>
          <t>Trader with Storage, Proof of Compliance Trader</t>
        </is>
      </c>
      <c r="C10978" t="inlineStr">
        <is>
          <t>SGS Germany GmbH, Emstek, DE</t>
        </is>
      </c>
      <c r="D10978" t="inlineStr">
        <is>
          <t>09.12.2026</t>
        </is>
      </c>
      <c r="E10978" t="inlineStr">
        <is>
          <t>Italy</t>
        </is>
      </c>
    </row>
    <row r="10979">
      <c r="A10979" t="inlineStr">
        <is>
          <t>Exolon Group,  Tielt, Belgium</t>
        </is>
      </c>
      <c r="B10979" t="inlineStr">
        <is>
          <t>Processing Unit</t>
        </is>
      </c>
      <c r="C10979" t="inlineStr">
        <is>
          <t>SGS Germany GmbH, Emstek, DE</t>
        </is>
      </c>
      <c r="D10979" t="inlineStr">
        <is>
          <t>09.12.2026</t>
        </is>
      </c>
      <c r="E10979" t="inlineStr">
        <is>
          <t>Belgium</t>
        </is>
      </c>
    </row>
    <row r="10980">
      <c r="A10980" t="inlineStr">
        <is>
          <t>Astra Bioplant Trading,  Geneva, Switzerland</t>
        </is>
      </c>
      <c r="B10980" t="inlineStr">
        <is>
          <t>Trader</t>
        </is>
      </c>
      <c r="C10980" t="inlineStr">
        <is>
          <t>SGS Germany GmbH, Emstek, DE</t>
        </is>
      </c>
      <c r="D10980" t="inlineStr">
        <is>
          <t>09.12.2026</t>
        </is>
      </c>
      <c r="E10980" t="inlineStr">
        <is>
          <t>Switzerland</t>
        </is>
      </c>
    </row>
    <row r="10981">
      <c r="A10981" t="inlineStr">
        <is>
          <t>VECTOR PACKAGING EUROPE N.V.,  Hasselt, Belgium</t>
        </is>
      </c>
      <c r="B10981" t="inlineStr">
        <is>
          <t>Processing Unit, Trader with Storage</t>
        </is>
      </c>
      <c r="C10981" t="inlineStr">
        <is>
          <t>SGS Germany GmbH, Emstek, DE</t>
        </is>
      </c>
      <c r="D10981" t="inlineStr">
        <is>
          <t>09.12.2026</t>
        </is>
      </c>
      <c r="E10981" t="inlineStr">
        <is>
          <t>Belgium</t>
        </is>
      </c>
    </row>
    <row r="10982">
      <c r="A10982" t="inlineStr">
        <is>
          <t>S.D. Polymer Private Limited,  Faridabad, India</t>
        </is>
      </c>
      <c r="B10982" t="inlineStr">
        <is>
          <t>Collecting Point, Processing Unit</t>
        </is>
      </c>
      <c r="C10982" t="inlineStr">
        <is>
          <t>Alcumus ISOQAR Ltd, Stretford, Manchester, GB</t>
        </is>
      </c>
      <c r="D10982" t="inlineStr">
        <is>
          <t>09.12.2026</t>
        </is>
      </c>
      <c r="E10982" t="inlineStr">
        <is>
          <t>India</t>
        </is>
      </c>
    </row>
    <row r="10983">
      <c r="A10983" t="inlineStr">
        <is>
          <t>OMC Chemicals (Jiangsu) Co.,Ltd,  Suzhou City, Jiangsu Province, China</t>
        </is>
      </c>
      <c r="B10983" t="inlineStr">
        <is>
          <t>Collecting Point, Trader with Storage</t>
        </is>
      </c>
      <c r="C10983" t="inlineStr">
        <is>
          <t>SCS Global Services, Emeryville, CA, US</t>
        </is>
      </c>
      <c r="D10983" t="inlineStr">
        <is>
          <t>09.12.2026</t>
        </is>
      </c>
      <c r="E10983" t="inlineStr">
        <is>
          <t>China</t>
        </is>
      </c>
    </row>
    <row r="10984">
      <c r="A10984" t="inlineStr">
        <is>
          <t>LIDONG GROUP (VIET NAM) COMPANY LIMITED,  PHU THO PROVINCE, Vietnam</t>
        </is>
      </c>
      <c r="B10984" t="inlineStr">
        <is>
          <t>Processing Unit</t>
        </is>
      </c>
      <c r="C10984" t="inlineStr">
        <is>
          <t>SCS Global Services, Emeryville, CA, US</t>
        </is>
      </c>
      <c r="D10984" t="inlineStr">
        <is>
          <t>09.12.2026</t>
        </is>
      </c>
      <c r="E10984" t="inlineStr">
        <is>
          <t>Vietnam</t>
        </is>
      </c>
    </row>
    <row r="10985">
      <c r="A10985" t="inlineStr">
        <is>
          <t>Amcor Flexibles España,  Alzira, Spain</t>
        </is>
      </c>
      <c r="B10985" t="inlineStr">
        <is>
          <t>Processing Unit</t>
        </is>
      </c>
      <c r="C10985" t="inlineStr">
        <is>
          <t>PT Intertek Utama Services, Jakarta, ID</t>
        </is>
      </c>
      <c r="D10985" t="inlineStr">
        <is>
          <t>09.12.2026</t>
        </is>
      </c>
      <c r="E10985" t="inlineStr">
        <is>
          <t>Spain</t>
        </is>
      </c>
    </row>
    <row r="10986">
      <c r="A10986" t="inlineStr">
        <is>
          <t>THE LYCRA COMPANY SINGAPORE,  Singapore, Singapore</t>
        </is>
      </c>
      <c r="B10986" t="inlineStr">
        <is>
          <t>Processing Unit</t>
        </is>
      </c>
      <c r="C10986" t="inlineStr">
        <is>
          <t>SCS Global Services, Emeryville, CA, US</t>
        </is>
      </c>
      <c r="D10986" t="inlineStr">
        <is>
          <t>09.12.2026</t>
        </is>
      </c>
      <c r="E10986" t="inlineStr">
        <is>
          <t>Singapore</t>
        </is>
      </c>
    </row>
    <row r="10987">
      <c r="A10987" t="inlineStr">
        <is>
          <t>THE LYCRA COMPANY SINGAPORE TRADING,  Singapore, Singapore</t>
        </is>
      </c>
      <c r="B10987" t="inlineStr">
        <is>
          <t>Trader with Storage</t>
        </is>
      </c>
      <c r="C10987" t="inlineStr">
        <is>
          <t>SCS Global Services, Emeryville, CA, US</t>
        </is>
      </c>
      <c r="D10987" t="inlineStr">
        <is>
          <t>09.12.2026</t>
        </is>
      </c>
      <c r="E10987" t="inlineStr">
        <is>
          <t>Singapore</t>
        </is>
      </c>
    </row>
    <row r="10988">
      <c r="A10988" t="inlineStr">
        <is>
          <t>Monjasa FZCO,  Dubai, United Arab Emirates</t>
        </is>
      </c>
      <c r="B10988" t="inlineStr">
        <is>
          <t>Trader with Storage</t>
        </is>
      </c>
      <c r="C10988" t="inlineStr">
        <is>
          <t>Certificadora Gallega del Noroeste SL, Vilagarcia de Arousa-Pontevedra, ES</t>
        </is>
      </c>
      <c r="D10988" t="inlineStr">
        <is>
          <t>09.12.2026</t>
        </is>
      </c>
      <c r="E10988" t="inlineStr">
        <is>
          <t>United Arab Emirates</t>
        </is>
      </c>
    </row>
    <row r="10989">
      <c r="A10989" t="inlineStr">
        <is>
          <t>Holcim (Romania) SA,  Valea Mare Pravat, Arges county, Romania</t>
        </is>
      </c>
      <c r="B10989" t="inlineStr">
        <is>
          <t>Collecting Point, Processing Unit</t>
        </is>
      </c>
      <c r="C10989" t="inlineStr">
        <is>
          <t>SRAC Cert SRL, Bucharest, RO</t>
        </is>
      </c>
      <c r="D10989" t="inlineStr">
        <is>
          <t>09.12.2026</t>
        </is>
      </c>
      <c r="E10989" t="inlineStr">
        <is>
          <t>Romania</t>
        </is>
      </c>
    </row>
    <row r="10990">
      <c r="A10990" t="inlineStr">
        <is>
          <t>SYNTEK BOUCHAGE,  RIVESALTES, France</t>
        </is>
      </c>
      <c r="B10990" t="inlineStr">
        <is>
          <t>Processing Unit</t>
        </is>
      </c>
      <c r="C10990" t="inlineStr">
        <is>
          <t>SGS Germany GmbH, Emstek, DE</t>
        </is>
      </c>
      <c r="D10990" t="inlineStr">
        <is>
          <t>09.12.2026</t>
        </is>
      </c>
      <c r="E10990" t="inlineStr">
        <is>
          <t>France</t>
        </is>
      </c>
    </row>
    <row r="10991">
      <c r="A10991" t="inlineStr">
        <is>
          <t>EAST GRAIN COMMODITIES SRL,  CLUJ NAPOCA, Romania</t>
        </is>
      </c>
      <c r="B10991" t="inlineStr">
        <is>
          <t>First Gathering Point, Trader with Storage</t>
        </is>
      </c>
      <c r="C10991" t="inlineStr">
        <is>
          <t>SGS Germany GmbH, Emstek, DE</t>
        </is>
      </c>
      <c r="D10991" t="inlineStr">
        <is>
          <t>09.12.2026</t>
        </is>
      </c>
      <c r="E10991" t="inlineStr">
        <is>
          <t>Romania</t>
        </is>
      </c>
    </row>
    <row r="10992">
      <c r="A10992" t="inlineStr">
        <is>
          <t>Hefei BondFound Project Management Co., LTD,  Hefei, China</t>
        </is>
      </c>
      <c r="B10992" t="inlineStr">
        <is>
          <t>Processing Unit</t>
        </is>
      </c>
      <c r="C10992" t="inlineStr">
        <is>
          <t>SGS Germany GmbH, Emstek, DE</t>
        </is>
      </c>
      <c r="D10992" t="inlineStr">
        <is>
          <t>09.12.2026</t>
        </is>
      </c>
      <c r="E10992" t="inlineStr">
        <is>
          <t>China</t>
        </is>
      </c>
    </row>
    <row r="10993">
      <c r="A10993" t="inlineStr">
        <is>
          <t>PT Cahaya Lestari Sawita,  KAb, Indra Giri Hulu, Indonesia</t>
        </is>
      </c>
      <c r="B10993" t="inlineStr">
        <is>
          <t>Point of Origin</t>
        </is>
      </c>
      <c r="C10993" t="inlineStr">
        <is>
          <t>BM Certification, Riga, LV</t>
        </is>
      </c>
      <c r="D10993" t="inlineStr">
        <is>
          <t>09.12.2026</t>
        </is>
      </c>
      <c r="E10993" t="inlineStr">
        <is>
          <t>Indonesia</t>
        </is>
      </c>
    </row>
    <row r="10994">
      <c r="A10994" t="inlineStr">
        <is>
          <t>KORMEL SPÓŁKA Z OGRANICZONĄ ODPOWIEDZIALNOŚCIĄ,  Warszawa, Poland</t>
        </is>
      </c>
      <c r="B10994" t="inlineStr">
        <is>
          <t>Trader</t>
        </is>
      </c>
      <c r="C10994" t="inlineStr">
        <is>
          <t>Control Union Poland Sp. z o.o., Zielona Gora, PL</t>
        </is>
      </c>
      <c r="D10994" t="inlineStr">
        <is>
          <t>09.12.2026</t>
        </is>
      </c>
      <c r="E10994" t="inlineStr">
        <is>
          <t>Poland</t>
        </is>
      </c>
    </row>
    <row r="10995">
      <c r="A10995" t="inlineStr">
        <is>
          <t>SEKAB BioFuels &amp; Chemicals AB,  Domsjö, Sweden</t>
        </is>
      </c>
      <c r="B10995" t="inlineStr">
        <is>
          <t>Processing Unit</t>
        </is>
      </c>
      <c r="C10995" t="inlineStr">
        <is>
          <t>DNV Business Assurance Sweden AB, Solna, SE</t>
        </is>
      </c>
      <c r="D10995" t="inlineStr">
        <is>
          <t>09.12.2026</t>
        </is>
      </c>
      <c r="E10995" t="inlineStr">
        <is>
          <t>Sweden</t>
        </is>
      </c>
    </row>
    <row r="10996">
      <c r="A10996" t="inlineStr">
        <is>
          <t>SEKAB BioFuels &amp; Chemicals AB,  Domsjö, Sweden</t>
        </is>
      </c>
      <c r="B10996" t="inlineStr">
        <is>
          <t>Processing Unit</t>
        </is>
      </c>
      <c r="C10996" t="inlineStr">
        <is>
          <t>DNV Business Assurance Sweden AB, Solna, SE</t>
        </is>
      </c>
      <c r="D10996" t="inlineStr">
        <is>
          <t>09.12.2026</t>
        </is>
      </c>
      <c r="E10996" t="inlineStr">
        <is>
          <t>Sweden</t>
        </is>
      </c>
    </row>
    <row r="10997">
      <c r="A10997" t="inlineStr">
        <is>
          <t>CNAF Beijing-Tianjin-He bei Logistics Transportation Co., Ltd,  Tianjin, China</t>
        </is>
      </c>
      <c r="B10997" t="inlineStr">
        <is>
          <t>Warehouse</t>
        </is>
      </c>
      <c r="C10997" t="inlineStr">
        <is>
          <t>SCS Global Services, Emeryville, CA, US</t>
        </is>
      </c>
      <c r="D10997" t="inlineStr">
        <is>
          <t>09.12.2026</t>
        </is>
      </c>
      <c r="E10997" t="inlineStr">
        <is>
          <t>China</t>
        </is>
      </c>
    </row>
    <row r="10998">
      <c r="A10998" t="inlineStr">
        <is>
          <t>StoneX Commodity Solutions LLC,  Kansas City, MO, United States</t>
        </is>
      </c>
      <c r="B10998" t="inlineStr">
        <is>
          <t>Trader</t>
        </is>
      </c>
      <c r="C10998" t="inlineStr">
        <is>
          <t>Control Union Poland Sp. z o.o., Zielona Gora, PL</t>
        </is>
      </c>
      <c r="D10998" t="inlineStr">
        <is>
          <t>09.12.2026</t>
        </is>
      </c>
      <c r="E10998" t="inlineStr">
        <is>
          <t>United States</t>
        </is>
      </c>
    </row>
    <row r="10999">
      <c r="A10999" t="inlineStr">
        <is>
          <t>StoneX Commodity Solutions LLC,  Kansas City, MO, United States</t>
        </is>
      </c>
      <c r="B10999" t="inlineStr">
        <is>
          <t>Trader</t>
        </is>
      </c>
      <c r="C10999" t="inlineStr">
        <is>
          <t>Control Union Poland Sp. z o.o., Zielona Gora, PL</t>
        </is>
      </c>
      <c r="D10999" t="inlineStr">
        <is>
          <t>09.12.2026</t>
        </is>
      </c>
      <c r="E10999" t="inlineStr">
        <is>
          <t>United States</t>
        </is>
      </c>
    </row>
    <row r="11000">
      <c r="A11000" t="inlineStr">
        <is>
          <t>StoneX Commodity Solutions LLC,  Kansas City, MO, United States</t>
        </is>
      </c>
      <c r="B11000" t="inlineStr">
        <is>
          <t>Trader</t>
        </is>
      </c>
      <c r="C11000" t="inlineStr">
        <is>
          <t>Control Union Poland Sp. z o.o., Zielona Gora, PL</t>
        </is>
      </c>
      <c r="D11000" t="inlineStr">
        <is>
          <t>09.12.2026</t>
        </is>
      </c>
      <c r="E11000" t="inlineStr">
        <is>
          <t>United States</t>
        </is>
      </c>
    </row>
    <row r="11001">
      <c r="A11001" t="inlineStr">
        <is>
          <t>Holcim (Romania) SA,  Localitatea Chistag, Comuna Astileu, Judetul Bihor, Romania</t>
        </is>
      </c>
      <c r="B11001" t="inlineStr">
        <is>
          <t>Collecting Point, Processing Unit</t>
        </is>
      </c>
      <c r="C11001" t="inlineStr">
        <is>
          <t>SRAC Cert SRL, Bucharest, RO</t>
        </is>
      </c>
      <c r="D11001" t="inlineStr">
        <is>
          <t>09.12.2026</t>
        </is>
      </c>
      <c r="E11001" t="inlineStr">
        <is>
          <t>Romania</t>
        </is>
      </c>
    </row>
    <row r="11002">
      <c r="A11002" t="inlineStr">
        <is>
          <t>Micaman Services Ltd,  Holywell, United Kingdom</t>
        </is>
      </c>
      <c r="B11002" t="inlineStr">
        <is>
          <t>Collecting Point</t>
        </is>
      </c>
      <c r="C11002" t="inlineStr">
        <is>
          <t>Control Union Certifications Germany GmbH, Berlin, DE</t>
        </is>
      </c>
      <c r="D11002" t="inlineStr">
        <is>
          <t>09.12.2026</t>
        </is>
      </c>
      <c r="E11002" t="inlineStr">
        <is>
          <t>United Kingdom</t>
        </is>
      </c>
    </row>
    <row r="11003">
      <c r="A11003" t="inlineStr">
        <is>
          <t>PTT Global Chemical Public Company Limited,  Tambon Huai Pong, Amphoe Mueang Rayong, Rayong,, Thailand</t>
        </is>
      </c>
      <c r="B11003" t="inlineStr">
        <is>
          <t>Processing Unit</t>
        </is>
      </c>
      <c r="C11003" t="inlineStr">
        <is>
          <t>Trans Certification and Inspection Sdn Bhd, Kuantan, MY</t>
        </is>
      </c>
      <c r="D11003" t="inlineStr">
        <is>
          <t>09.12.2026</t>
        </is>
      </c>
      <c r="E11003" t="inlineStr">
        <is>
          <t>Thailand</t>
        </is>
      </c>
    </row>
    <row r="11004">
      <c r="A11004" t="inlineStr">
        <is>
          <t>Rabbit Chotýšany a.s.,  Chotýšany, Czech Republic</t>
        </is>
      </c>
      <c r="B11004" t="inlineStr">
        <is>
          <t>First Gathering Point, Trader, Warehouse</t>
        </is>
      </c>
      <c r="C11004" t="inlineStr">
        <is>
          <t>Bureau Veritas Polska Sp. z o.o., Warsaw, PL</t>
        </is>
      </c>
      <c r="D11004" t="inlineStr">
        <is>
          <t>09.12.2026</t>
        </is>
      </c>
      <c r="E11004" t="inlineStr">
        <is>
          <t>Czech Republic</t>
        </is>
      </c>
    </row>
    <row r="11005">
      <c r="A11005" t="inlineStr">
        <is>
          <t>Sarval Dry,  Issé, France</t>
        </is>
      </c>
      <c r="B11005" t="inlineStr">
        <is>
          <t>Point of Origin</t>
        </is>
      </c>
      <c r="C11005" t="inlineStr">
        <is>
          <t>Control Union Certifications Germany GmbH, Berlin, DE</t>
        </is>
      </c>
      <c r="D11005" t="inlineStr">
        <is>
          <t>09.12.2026</t>
        </is>
      </c>
      <c r="E11005" t="inlineStr">
        <is>
          <t>France</t>
        </is>
      </c>
    </row>
    <row r="11006">
      <c r="A11006" t="inlineStr">
        <is>
          <t>VDK NaturaSyn Co., Ltd.,  Baoding City，Mancheng District,, China</t>
        </is>
      </c>
      <c r="B11006" t="inlineStr">
        <is>
          <t>Processing Unit</t>
        </is>
      </c>
      <c r="C11006" t="inlineStr">
        <is>
          <t>NSF International, Ann Arbor, MI, US</t>
        </is>
      </c>
      <c r="D11006" t="inlineStr">
        <is>
          <t>09.12.2026</t>
        </is>
      </c>
      <c r="E11006" t="inlineStr">
        <is>
          <t>China</t>
        </is>
      </c>
    </row>
    <row r="11007">
      <c r="A11007" t="inlineStr">
        <is>
          <t>New Energy Kft.,  Dunaharaszti, Hungary</t>
        </is>
      </c>
      <c r="B11007" t="inlineStr">
        <is>
          <t>Collecting Point, Point of Origin, Processing Unit</t>
        </is>
      </c>
      <c r="C11007" t="inlineStr">
        <is>
          <t>BM Certification, Riga, LV</t>
        </is>
      </c>
      <c r="D11007" t="inlineStr">
        <is>
          <t>09.12.2026</t>
        </is>
      </c>
      <c r="E11007" t="inlineStr">
        <is>
          <t>Hungary</t>
        </is>
      </c>
    </row>
    <row r="11008">
      <c r="A11008" t="inlineStr">
        <is>
          <t>Hebei Caomaotong Technology Group Co., Ltd,  TANGSHAN, China</t>
        </is>
      </c>
      <c r="B11008" t="inlineStr">
        <is>
          <t>Trader</t>
        </is>
      </c>
      <c r="C11008" t="inlineStr">
        <is>
          <t>TÜV NORD CERT GmbH, Essen, DE</t>
        </is>
      </c>
      <c r="D11008" t="inlineStr">
        <is>
          <t>09.12.2026</t>
        </is>
      </c>
      <c r="E11008" t="inlineStr">
        <is>
          <t>China</t>
        </is>
      </c>
    </row>
    <row r="11009">
      <c r="A11009" t="inlineStr">
        <is>
          <t>Elektrosystem Sp. z o.o. Sp.k.,  Gorzów Wlkp., Poland</t>
        </is>
      </c>
      <c r="B11009" t="inlineStr">
        <is>
          <t>Collecting Point</t>
        </is>
      </c>
      <c r="C11009" t="inlineStr">
        <is>
          <t>Bureau Veritas Polska Sp. z o.o., Warsaw, PL</t>
        </is>
      </c>
      <c r="D11009" t="inlineStr">
        <is>
          <t>09.12.2026</t>
        </is>
      </c>
      <c r="E11009" t="inlineStr">
        <is>
          <t>Poland</t>
        </is>
      </c>
    </row>
    <row r="11010">
      <c r="A11010" t="inlineStr">
        <is>
          <t>Pagaea Commodities SA,  Vasilika Viotias, Greece</t>
        </is>
      </c>
      <c r="B11010" t="inlineStr">
        <is>
          <t>First Gathering Point, Processing Unit</t>
        </is>
      </c>
      <c r="C11010" t="inlineStr">
        <is>
          <t>Eurocert SA, Metamorfosi, Athens, GR</t>
        </is>
      </c>
      <c r="D11010" t="inlineStr">
        <is>
          <t>09.12.2026</t>
        </is>
      </c>
      <c r="E11010" t="inlineStr">
        <is>
          <t>Greece</t>
        </is>
      </c>
    </row>
    <row r="11011">
      <c r="A11011" t="inlineStr">
        <is>
          <t>ROSIMA, s.r.o.,  Malacky, Slovakia</t>
        </is>
      </c>
      <c r="B11011" t="inlineStr">
        <is>
          <t>First Gathering Point, Point of Origin, Processing Unit</t>
        </is>
      </c>
      <c r="C11011" t="inlineStr">
        <is>
          <t>United Registrar of Systems Polska Sp. z o.o., Wrocław, PL</t>
        </is>
      </c>
      <c r="D11011" t="inlineStr">
        <is>
          <t>09.12.2026</t>
        </is>
      </c>
      <c r="E11011" t="inlineStr">
        <is>
          <t>Slovakia</t>
        </is>
      </c>
    </row>
    <row r="11012">
      <c r="A11012" t="inlineStr">
        <is>
          <t>Guangzhou COSCO SHIPPING JINGHAI Environmental Protection Technology Co., Ltd.,  Guangzhou City, Guangdong Province, China</t>
        </is>
      </c>
      <c r="B11012" t="inlineStr">
        <is>
          <t>Point of Origin, Processing Unit</t>
        </is>
      </c>
      <c r="C11012" t="inlineStr">
        <is>
          <t>SGS Germany GmbH, Emstek, DE</t>
        </is>
      </c>
      <c r="D11012" t="inlineStr">
        <is>
          <t>09.12.2026</t>
        </is>
      </c>
      <c r="E11012" t="inlineStr">
        <is>
          <t>China</t>
        </is>
      </c>
    </row>
    <row r="11013">
      <c r="A11013" t="inlineStr">
        <is>
          <t>Allnex Netherlands B.V.,  Bergen op Zoom, Netherlands</t>
        </is>
      </c>
      <c r="B11013" t="inlineStr">
        <is>
          <t>Processing Unit</t>
        </is>
      </c>
      <c r="C11013" t="inlineStr">
        <is>
          <t>SGS Germany GmbH, Emstek, DE</t>
        </is>
      </c>
      <c r="D11013" t="inlineStr">
        <is>
          <t>08.12.2026</t>
        </is>
      </c>
      <c r="E11013" t="inlineStr">
        <is>
          <t>Netherlands</t>
        </is>
      </c>
    </row>
    <row r="11014">
      <c r="A11014" t="inlineStr">
        <is>
          <t>allnex USA,  North Augusta, United States</t>
        </is>
      </c>
      <c r="B11014" t="inlineStr">
        <is>
          <t>Processing Unit</t>
        </is>
      </c>
      <c r="C11014" t="inlineStr">
        <is>
          <t>SGS Germany GmbH, Emstek, DE</t>
        </is>
      </c>
      <c r="D11014" t="inlineStr">
        <is>
          <t>08.12.2026</t>
        </is>
      </c>
      <c r="E11014" t="inlineStr">
        <is>
          <t>United States</t>
        </is>
      </c>
    </row>
    <row r="11015">
      <c r="A11015" t="inlineStr">
        <is>
          <t>GESTTA MEDIO AMBIENTAL S.L,  Villalbilla de Burgos, Spain</t>
        </is>
      </c>
      <c r="B11015" t="inlineStr">
        <is>
          <t>Collecting Point, Trader with Storage</t>
        </is>
      </c>
      <c r="C11015" t="inlineStr">
        <is>
          <t>RINA Services S.p.A., Genova, IT</t>
        </is>
      </c>
      <c r="D11015" t="inlineStr">
        <is>
          <t>08.12.2026</t>
        </is>
      </c>
      <c r="E11015" t="inlineStr">
        <is>
          <t>Spain</t>
        </is>
      </c>
    </row>
    <row r="11016">
      <c r="A11016" t="inlineStr">
        <is>
          <t>Adnoc Global Trading Europe SA,  Geneva, Switzerland</t>
        </is>
      </c>
      <c r="B11016" t="inlineStr">
        <is>
          <t>Trader with Storage</t>
        </is>
      </c>
      <c r="C11016" t="inlineStr">
        <is>
          <t>RINA Services S.p.A., Genova, IT</t>
        </is>
      </c>
      <c r="D11016" t="inlineStr">
        <is>
          <t>08.12.2026</t>
        </is>
      </c>
      <c r="E11016" t="inlineStr">
        <is>
          <t>Switzerland</t>
        </is>
      </c>
    </row>
    <row r="11017">
      <c r="A11017" t="inlineStr">
        <is>
          <t>AGRIBIO,  Verona, Italy</t>
        </is>
      </c>
      <c r="B11017" t="inlineStr">
        <is>
          <t>First Gathering Point, Trader with Storage</t>
        </is>
      </c>
      <c r="C11017" t="inlineStr">
        <is>
          <t>SGS Germany GmbH, Emstek, DE</t>
        </is>
      </c>
      <c r="D11017" t="inlineStr">
        <is>
          <t>08.12.2026</t>
        </is>
      </c>
      <c r="E11017" t="inlineStr">
        <is>
          <t>Italy</t>
        </is>
      </c>
    </row>
    <row r="11018">
      <c r="A11018" t="inlineStr">
        <is>
          <t>VR RNG Marketing, LLC,  Weston, United States</t>
        </is>
      </c>
      <c r="B11018" t="inlineStr">
        <is>
          <t>Trader</t>
        </is>
      </c>
      <c r="C11018" t="inlineStr">
        <is>
          <t>SCS Global Services, Emeryville, CA, US</t>
        </is>
      </c>
      <c r="D11018" t="inlineStr">
        <is>
          <t>08.12.2026</t>
        </is>
      </c>
      <c r="E11018" t="inlineStr">
        <is>
          <t>United States</t>
        </is>
      </c>
    </row>
    <row r="11019">
      <c r="A11019" t="inlineStr">
        <is>
          <t>VR RNG Marketing, LLC,  Weston, United States</t>
        </is>
      </c>
      <c r="B11019" t="inlineStr">
        <is>
          <t>Trader</t>
        </is>
      </c>
      <c r="C11019" t="inlineStr">
        <is>
          <t>SCS Global Services, Emeryville, CA, US</t>
        </is>
      </c>
      <c r="D11019" t="inlineStr">
        <is>
          <t>08.12.2026</t>
        </is>
      </c>
      <c r="E11019" t="inlineStr">
        <is>
          <t>United States</t>
        </is>
      </c>
    </row>
    <row r="11020">
      <c r="A11020" t="inlineStr">
        <is>
          <t>Pirelli UK Tyres,  Burton on Trent, United Kingdom</t>
        </is>
      </c>
      <c r="B11020" t="inlineStr">
        <is>
          <t>Processing Unit, Trader with Storage</t>
        </is>
      </c>
      <c r="C11020" t="inlineStr">
        <is>
          <t>RINA Services S.p.A., Genova, IT</t>
        </is>
      </c>
      <c r="D11020" t="inlineStr">
        <is>
          <t>08.12.2026</t>
        </is>
      </c>
      <c r="E11020" t="inlineStr">
        <is>
          <t>United Kingdom</t>
        </is>
      </c>
    </row>
    <row r="11021">
      <c r="A11021" t="inlineStr">
        <is>
          <t>Next Fuels Group GmbH,  Völkermarkt, Austria</t>
        </is>
      </c>
      <c r="B11021" t="inlineStr">
        <is>
          <t>Trader with Storage</t>
        </is>
      </c>
      <c r="C11021" t="inlineStr">
        <is>
          <t>agroVet GmbH, Enzersfeld, AT</t>
        </is>
      </c>
      <c r="D11021" t="inlineStr">
        <is>
          <t>08.12.2026</t>
        </is>
      </c>
      <c r="E11021" t="inlineStr">
        <is>
          <t>Austria</t>
        </is>
      </c>
    </row>
    <row r="11022">
      <c r="A11022" t="inlineStr">
        <is>
          <t>Pirelli UK Tyres,  Carlisle, United Kingdom</t>
        </is>
      </c>
      <c r="B11022" t="inlineStr">
        <is>
          <t>Processing Unit, Trader with Storage</t>
        </is>
      </c>
      <c r="C11022" t="inlineStr">
        <is>
          <t>RINA Services S.p.A., Genova, IT</t>
        </is>
      </c>
      <c r="D11022" t="inlineStr">
        <is>
          <t>08.12.2026</t>
        </is>
      </c>
      <c r="E11022" t="inlineStr">
        <is>
          <t>United Kingdom</t>
        </is>
      </c>
    </row>
    <row r="11023">
      <c r="A11023" t="inlineStr">
        <is>
          <t>Agribroker Trading,  Peciu Nou, Judet Timis, Romania</t>
        </is>
      </c>
      <c r="B11023" t="inlineStr">
        <is>
          <t>First Gathering Point, Trader with Storage</t>
        </is>
      </c>
      <c r="C11023" t="inlineStr">
        <is>
          <t>SGS Germany GmbH, Emstek, DE</t>
        </is>
      </c>
      <c r="D11023" t="inlineStr">
        <is>
          <t>08.12.2026</t>
        </is>
      </c>
      <c r="E11023" t="inlineStr">
        <is>
          <t>Romania</t>
        </is>
      </c>
    </row>
    <row r="11024">
      <c r="A11024" t="inlineStr">
        <is>
          <t>Marine Oil International (HK) Limited,  Hong Kong, Hong Kong, SAR, China</t>
        </is>
      </c>
      <c r="B11024" t="inlineStr">
        <is>
          <t>Trader</t>
        </is>
      </c>
      <c r="C11024" t="inlineStr">
        <is>
          <t>Control Union Poland Sp. z o.o., Zielona Gora, PL</t>
        </is>
      </c>
      <c r="D11024" t="inlineStr">
        <is>
          <t>08.12.2026</t>
        </is>
      </c>
      <c r="E11024" t="inlineStr">
        <is>
          <t>China</t>
        </is>
      </c>
    </row>
    <row r="11025">
      <c r="A11025" t="inlineStr">
        <is>
          <t>ATVOS BIOENERGIA BRENCO S.A. (Unidade Alto Taquari),  Alto Taquari, Brazil</t>
        </is>
      </c>
      <c r="B11025" t="inlineStr">
        <is>
          <t>First Gathering Point, Processing Unit</t>
        </is>
      </c>
      <c r="C11025" t="inlineStr">
        <is>
          <t>Control Union Poland Sp. z o.o., Zielona Gora, PL</t>
        </is>
      </c>
      <c r="D11025" t="inlineStr">
        <is>
          <t>08.12.2026</t>
        </is>
      </c>
      <c r="E11025" t="inlineStr">
        <is>
          <t>Brazil</t>
        </is>
      </c>
    </row>
    <row r="11026">
      <c r="A11026" t="inlineStr">
        <is>
          <t>Enagro, a.s.,  Leopoldov, Slovakia</t>
        </is>
      </c>
      <c r="B11026" t="inlineStr">
        <is>
          <t>First Gathering Point, Trader with Storage</t>
        </is>
      </c>
      <c r="C11026" t="inlineStr">
        <is>
          <t>SGS Germany GmbH, Emstek, DE</t>
        </is>
      </c>
      <c r="D11026" t="inlineStr">
        <is>
          <t>08.12.2026</t>
        </is>
      </c>
      <c r="E11026" t="inlineStr">
        <is>
          <t>Slovakia</t>
        </is>
      </c>
    </row>
    <row r="11027">
      <c r="A11027" t="inlineStr">
        <is>
          <t>Remmers Industrielacke,  Hiddenhausen, Germany</t>
        </is>
      </c>
      <c r="B11027" t="inlineStr">
        <is>
          <t>Processing Unit</t>
        </is>
      </c>
      <c r="C11027" t="inlineStr">
        <is>
          <t>SGS Germany GmbH, Emstek, DE</t>
        </is>
      </c>
      <c r="D11027" t="inlineStr">
        <is>
          <t>08.12.2026</t>
        </is>
      </c>
      <c r="E11027" t="inlineStr">
        <is>
          <t>Germany</t>
        </is>
      </c>
    </row>
    <row r="11028">
      <c r="A11028" t="inlineStr">
        <is>
          <t>JET Tankstellen Deutschland GmbH,  Hamburg, Germany</t>
        </is>
      </c>
      <c r="B11028" t="inlineStr">
        <is>
          <t>Trader with Storage</t>
        </is>
      </c>
      <c r="C11028" t="inlineStr">
        <is>
          <t>SGS Germany GmbH, Emstek, DE</t>
        </is>
      </c>
      <c r="D11028" t="inlineStr">
        <is>
          <t>08.12.2026</t>
        </is>
      </c>
      <c r="E11028" t="inlineStr">
        <is>
          <t>Germany</t>
        </is>
      </c>
    </row>
    <row r="11029">
      <c r="A11029" t="inlineStr">
        <is>
          <t>Chongqing Aitifu Green Energy Co., LTD,  Zunyi City, China</t>
        </is>
      </c>
      <c r="B11029" t="inlineStr">
        <is>
          <t>Processing Unit</t>
        </is>
      </c>
      <c r="C11029" t="inlineStr">
        <is>
          <t>Bureau Veritas Polska Sp. z o.o., Warsaw, PL</t>
        </is>
      </c>
      <c r="D11029" t="inlineStr">
        <is>
          <t>08.12.2026</t>
        </is>
      </c>
      <c r="E11029" t="inlineStr">
        <is>
          <t>China</t>
        </is>
      </c>
    </row>
    <row r="11030">
      <c r="A11030" t="inlineStr">
        <is>
          <t>Sinar Sawit Suburlestari,  -, Indonesia</t>
        </is>
      </c>
      <c r="B11030" t="inlineStr">
        <is>
          <t>Point of Origin</t>
        </is>
      </c>
      <c r="C11030" t="inlineStr">
        <is>
          <t>PT. Qualitas Sertifikasi Indonesia, Jakarta, ID</t>
        </is>
      </c>
      <c r="D11030" t="inlineStr">
        <is>
          <t>08.12.2026</t>
        </is>
      </c>
      <c r="E11030" t="inlineStr">
        <is>
          <t>Indonesia</t>
        </is>
      </c>
    </row>
    <row r="11031">
      <c r="A11031" t="inlineStr">
        <is>
          <t>Ampol Singapore Trading Pte Ltd,  Singapore, Singapore</t>
        </is>
      </c>
      <c r="B11031" t="inlineStr">
        <is>
          <t>Trader</t>
        </is>
      </c>
      <c r="C11031" t="inlineStr">
        <is>
          <t>SGS Germany GmbH, Emstek, DE</t>
        </is>
      </c>
      <c r="D11031" t="inlineStr">
        <is>
          <t>08.12.2026</t>
        </is>
      </c>
      <c r="E11031" t="inlineStr">
        <is>
          <t>Singapore</t>
        </is>
      </c>
    </row>
    <row r="11032">
      <c r="A11032" t="inlineStr">
        <is>
          <t>APERITIVOS TAPA, S.A.U.,  Mondéjar. Guadalajara., Spain</t>
        </is>
      </c>
      <c r="B11032" t="inlineStr">
        <is>
          <t>Point of Origin</t>
        </is>
      </c>
      <c r="C11032" t="inlineStr">
        <is>
          <t>Control Union Poland Sp. z o.o., Zielona Gora, PL</t>
        </is>
      </c>
      <c r="D11032" t="inlineStr">
        <is>
          <t>08.12.2026</t>
        </is>
      </c>
      <c r="E11032" t="inlineStr">
        <is>
          <t>Spain</t>
        </is>
      </c>
    </row>
    <row r="11033">
      <c r="A11033" t="inlineStr">
        <is>
          <t>Plastrans Technologies GmbH,  LInz, Austria</t>
        </is>
      </c>
      <c r="B11033" t="inlineStr">
        <is>
          <t>Trader</t>
        </is>
      </c>
      <c r="C11033" t="inlineStr">
        <is>
          <t>agroVet GmbH, Enzersfeld, AT</t>
        </is>
      </c>
      <c r="D11033" t="inlineStr">
        <is>
          <t>08.12.2026</t>
        </is>
      </c>
      <c r="E11033" t="inlineStr">
        <is>
          <t>Austria</t>
        </is>
      </c>
    </row>
    <row r="11034">
      <c r="A11034" t="inlineStr">
        <is>
          <t>Guala Closures Spa,  Spinetta Marengo (AL), Italy</t>
        </is>
      </c>
      <c r="B11034" t="inlineStr">
        <is>
          <t>Processing Unit</t>
        </is>
      </c>
      <c r="C11034" t="inlineStr">
        <is>
          <t>Bureau Veritas Polska Sp. z o.o., Warsaw, PL</t>
        </is>
      </c>
      <c r="D11034" t="inlineStr">
        <is>
          <t>08.12.2026</t>
        </is>
      </c>
      <c r="E11034" t="inlineStr">
        <is>
          <t>Italy</t>
        </is>
      </c>
    </row>
    <row r="11035">
      <c r="A11035" t="inlineStr">
        <is>
          <t>ATVOS BIOENERGIA BRENCO S.A. (Unidade Alto Taquari),  Alto Taquari, Brazil</t>
        </is>
      </c>
      <c r="B11035" t="inlineStr">
        <is>
          <t>First Gathering Point, Processing Unit</t>
        </is>
      </c>
      <c r="C11035" t="inlineStr">
        <is>
          <t>Control Union Poland Sp. z o.o., Zielona Gora, PL</t>
        </is>
      </c>
      <c r="D11035" t="inlineStr">
        <is>
          <t>08.12.2026</t>
        </is>
      </c>
      <c r="E11035" t="inlineStr">
        <is>
          <t>Brazil</t>
        </is>
      </c>
    </row>
    <row r="11036">
      <c r="A11036" t="inlineStr">
        <is>
          <t>Litasco SA,  Geneva, Switzerland</t>
        </is>
      </c>
      <c r="B11036" t="inlineStr">
        <is>
          <t>Trader with Storage</t>
        </is>
      </c>
      <c r="C11036" t="inlineStr">
        <is>
          <t>SGS Germany GmbH, Emstek, DE</t>
        </is>
      </c>
      <c r="D11036" t="inlineStr">
        <is>
          <t>08.12.2026</t>
        </is>
      </c>
      <c r="E11036" t="inlineStr">
        <is>
          <t>Switzerland</t>
        </is>
      </c>
    </row>
    <row r="11037">
      <c r="A11037" t="inlineStr">
        <is>
          <t>ATVOS BIOENERGIA BRENCO S.A. (Unidade Alto Taquari),  Alto Taquari, Brazil</t>
        </is>
      </c>
      <c r="B11037" t="inlineStr">
        <is>
          <t>First Gathering Point, Processing Unit</t>
        </is>
      </c>
      <c r="C11037" t="inlineStr">
        <is>
          <t>Control Union Poland Sp. z o.o., Zielona Gora, PL</t>
        </is>
      </c>
      <c r="D11037" t="inlineStr">
        <is>
          <t>08.12.2026</t>
        </is>
      </c>
      <c r="E11037" t="inlineStr">
        <is>
          <t>Brazil</t>
        </is>
      </c>
    </row>
    <row r="11038">
      <c r="A11038" t="inlineStr">
        <is>
          <t>Modern By Products A/S,  Silkeborg, Denmark</t>
        </is>
      </c>
      <c r="B11038" t="inlineStr">
        <is>
          <t>Collecting Point, Trader with Storage</t>
        </is>
      </c>
      <c r="C11038" t="inlineStr">
        <is>
          <t>Control Union Certifications Germany GmbH, Berlin, DE</t>
        </is>
      </c>
      <c r="D11038" t="inlineStr">
        <is>
          <t>08.12.2026</t>
        </is>
      </c>
      <c r="E11038" t="inlineStr">
        <is>
          <t>Denmark</t>
        </is>
      </c>
    </row>
    <row r="11039">
      <c r="A11039" t="inlineStr">
        <is>
          <t>Jennissen Melkveebedrijf,  Den Dungen, Netherlands</t>
        </is>
      </c>
      <c r="B11039" t="inlineStr">
        <is>
          <t>Collecting Point, Processing Unit</t>
        </is>
      </c>
      <c r="C11039" t="inlineStr">
        <is>
          <t>Normec QS BV, Bennekom, NL</t>
        </is>
      </c>
      <c r="D11039" t="inlineStr">
        <is>
          <t>08.12.2026</t>
        </is>
      </c>
      <c r="E11039" t="inlineStr">
        <is>
          <t>Netherlands</t>
        </is>
      </c>
    </row>
    <row r="11040">
      <c r="A11040" t="inlineStr">
        <is>
          <t>Kraton Chemical BV,  Oulu, Finland</t>
        </is>
      </c>
      <c r="B11040" t="inlineStr">
        <is>
          <t>Collecting Point, Point of Origin, Trader with Storage, Processing Unit</t>
        </is>
      </c>
      <c r="C11040" t="inlineStr">
        <is>
          <t>DNV Business Assurance Sweden AB, Solna, SE</t>
        </is>
      </c>
      <c r="D11040" t="inlineStr">
        <is>
          <t>08.12.2026</t>
        </is>
      </c>
      <c r="E11040" t="inlineStr">
        <is>
          <t>Finland</t>
        </is>
      </c>
    </row>
    <row r="11041">
      <c r="A11041" t="inlineStr">
        <is>
          <t>Kraton Chemical BV,  Oulu, Finland</t>
        </is>
      </c>
      <c r="B11041" t="inlineStr">
        <is>
          <t>Point of Origin, Collecting Point, Trader with Storage, Processing Unit</t>
        </is>
      </c>
      <c r="C11041" t="inlineStr">
        <is>
          <t>DNV Business Assurance Sweden AB, Solna, SE</t>
        </is>
      </c>
      <c r="D11041" t="inlineStr">
        <is>
          <t>08.12.2026</t>
        </is>
      </c>
      <c r="E11041" t="inlineStr">
        <is>
          <t>Finland</t>
        </is>
      </c>
    </row>
    <row r="11042">
      <c r="A11042" t="inlineStr">
        <is>
          <t>LANXESS Chemical B.V.,  Rotterdam/Botlek, Netherlands</t>
        </is>
      </c>
      <c r="B11042" t="inlineStr">
        <is>
          <t>Processing Unit</t>
        </is>
      </c>
      <c r="C11042" t="inlineStr">
        <is>
          <t>TÜV SÜD Industrie Service GmbH, München, DE</t>
        </is>
      </c>
      <c r="D11042" t="inlineStr">
        <is>
          <t>08.12.2026</t>
        </is>
      </c>
      <c r="E11042" t="inlineStr">
        <is>
          <t>Netherlands</t>
        </is>
      </c>
    </row>
    <row r="11043">
      <c r="A11043" t="inlineStr">
        <is>
          <t>WSA Biofuel Sdn. Bhd.,  Klang, Selangor, Malaysia</t>
        </is>
      </c>
      <c r="B11043" t="inlineStr">
        <is>
          <t>Trader with Storage</t>
        </is>
      </c>
      <c r="C11043" t="inlineStr">
        <is>
          <t>SCS Global Services, Emeryville, CA, US</t>
        </is>
      </c>
      <c r="D11043" t="inlineStr">
        <is>
          <t>08.12.2026</t>
        </is>
      </c>
      <c r="E11043" t="inlineStr">
        <is>
          <t>Malaysia</t>
        </is>
      </c>
    </row>
    <row r="11044">
      <c r="A11044" t="inlineStr">
        <is>
          <t>PT Asia Sawit Lestari,  Kabupaten Batanghari, Provinsi Jambi, Indonesia</t>
        </is>
      </c>
      <c r="B11044" t="inlineStr">
        <is>
          <t>Point of Origin</t>
        </is>
      </c>
      <c r="C11044" t="inlineStr">
        <is>
          <t>PT. Qualitas Sertifikasi Indonesia, Jakarta, ID</t>
        </is>
      </c>
      <c r="D11044" t="inlineStr">
        <is>
          <t>08.12.2026</t>
        </is>
      </c>
      <c r="E11044" t="inlineStr">
        <is>
          <t>Indonesia</t>
        </is>
      </c>
    </row>
    <row r="11045">
      <c r="A11045" t="inlineStr">
        <is>
          <t>ARPZ GmbH,  Hamburg, Germany</t>
        </is>
      </c>
      <c r="B11045" t="inlineStr">
        <is>
          <t>Proof of Compliance Trader, Trader with Storage</t>
        </is>
      </c>
      <c r="C11045" t="inlineStr">
        <is>
          <t>TÜV SÜD Industrie Service GmbH, München, DE</t>
        </is>
      </c>
      <c r="D11045" t="inlineStr">
        <is>
          <t>08.12.2026</t>
        </is>
      </c>
      <c r="E11045" t="inlineStr">
        <is>
          <t>Germany</t>
        </is>
      </c>
    </row>
    <row r="11046">
      <c r="A11046" t="inlineStr">
        <is>
          <t>Myeongseung Platech,  Hwaseong-si, Gyeonggi-do, Korea, Republic of</t>
        </is>
      </c>
      <c r="B11046" t="inlineStr">
        <is>
          <t>Collecting Point, Processing Unit</t>
        </is>
      </c>
      <c r="C11046" t="inlineStr">
        <is>
          <t>Control Union Certifications Germany GmbH, Berlin, DE</t>
        </is>
      </c>
      <c r="D11046" t="inlineStr">
        <is>
          <t>08.12.2026</t>
        </is>
      </c>
      <c r="E11046" t="inlineStr">
        <is>
          <t>Republic of</t>
        </is>
      </c>
    </row>
    <row r="11047">
      <c r="A11047" t="inlineStr">
        <is>
          <t>Arimex Bratislava spol. s r.o.,  Bratislava, Slovakia</t>
        </is>
      </c>
      <c r="B11047" t="inlineStr">
        <is>
          <t>First Gathering Point, Trader with Storage</t>
        </is>
      </c>
      <c r="C11047" t="inlineStr">
        <is>
          <t>United Registrar of Systems Polska Sp. z o.o., Wrocław, PL</t>
        </is>
      </c>
      <c r="D11047" t="inlineStr">
        <is>
          <t>08.12.2026</t>
        </is>
      </c>
      <c r="E11047" t="inlineStr">
        <is>
          <t>Slovakia</t>
        </is>
      </c>
    </row>
    <row r="11048">
      <c r="A11048" t="inlineStr">
        <is>
          <t>Repsol Butano,  A Coruña, Spain</t>
        </is>
      </c>
      <c r="B11048" t="inlineStr">
        <is>
          <t>Trader with Storage</t>
        </is>
      </c>
      <c r="C11048" t="inlineStr">
        <is>
          <t>Control Union Poland Sp. z o.o., Zielona Gora, PL</t>
        </is>
      </c>
      <c r="D11048" t="inlineStr">
        <is>
          <t>08.12.2026</t>
        </is>
      </c>
      <c r="E11048" t="inlineStr">
        <is>
          <t>Spain</t>
        </is>
      </c>
    </row>
    <row r="11049">
      <c r="A11049" t="inlineStr">
        <is>
          <t>Arimex Bratislava spol. s r.o.,  Bratislava, Slovakia</t>
        </is>
      </c>
      <c r="B11049" t="inlineStr">
        <is>
          <t>First Gathering Point, Trader with Storage</t>
        </is>
      </c>
      <c r="C11049" t="inlineStr">
        <is>
          <t>United Registrar of Systems Polska Sp. z o.o., Wrocław, PL</t>
        </is>
      </c>
      <c r="D11049" t="inlineStr">
        <is>
          <t>08.12.2026</t>
        </is>
      </c>
      <c r="E11049" t="inlineStr">
        <is>
          <t>Slovakia</t>
        </is>
      </c>
    </row>
    <row r="11050">
      <c r="A11050" t="inlineStr">
        <is>
          <t>AGRIBIO,  SANT'APOLLINARE DI ROVIGO, Italy</t>
        </is>
      </c>
      <c r="B11050" t="inlineStr">
        <is>
          <t>Processing Unit</t>
        </is>
      </c>
      <c r="C11050" t="inlineStr">
        <is>
          <t>SGS Germany GmbH, Emstek, DE</t>
        </is>
      </c>
      <c r="D11050" t="inlineStr">
        <is>
          <t>08.12.2026</t>
        </is>
      </c>
      <c r="E11050" t="inlineStr">
        <is>
          <t>Italy</t>
        </is>
      </c>
    </row>
    <row r="11051">
      <c r="A11051" t="inlineStr">
        <is>
          <t>Bidfood Makady N.V.,  Dilbeek, Belgium</t>
        </is>
      </c>
      <c r="B11051" t="inlineStr">
        <is>
          <t>Collecting Point</t>
        </is>
      </c>
      <c r="C11051" t="inlineStr">
        <is>
          <t>DEKRA Certification B.V., Arnhem, NL</t>
        </is>
      </c>
      <c r="D11051" t="inlineStr">
        <is>
          <t>08.12.2026</t>
        </is>
      </c>
      <c r="E11051" t="inlineStr">
        <is>
          <t>Belgium</t>
        </is>
      </c>
    </row>
    <row r="11052">
      <c r="A11052" t="inlineStr">
        <is>
          <t>ESE S.R.L.,  Roma, Italy</t>
        </is>
      </c>
      <c r="B11052" t="inlineStr">
        <is>
          <t>Proof of Compliance Trader, Trader with Storage</t>
        </is>
      </c>
      <c r="C11052" t="inlineStr">
        <is>
          <t>SGS Germany GmbH, Emstek, DE</t>
        </is>
      </c>
      <c r="D11052" t="inlineStr">
        <is>
          <t>08.12.2026</t>
        </is>
      </c>
      <c r="E11052" t="inlineStr">
        <is>
          <t>Italy</t>
        </is>
      </c>
    </row>
    <row r="11053">
      <c r="A11053" t="inlineStr">
        <is>
          <t>Gasum AS,  Gamle Fredrikstad, Norway</t>
        </is>
      </c>
      <c r="B11053" t="inlineStr">
        <is>
          <t>Trader with Storage, Warehouse</t>
        </is>
      </c>
      <c r="C11053" t="inlineStr">
        <is>
          <t>DEKRA Certification B.V., Arnhem, NL</t>
        </is>
      </c>
      <c r="D11053" t="inlineStr">
        <is>
          <t>08.12.2026</t>
        </is>
      </c>
      <c r="E11053" t="inlineStr">
        <is>
          <t>Norway</t>
        </is>
      </c>
    </row>
    <row r="11054">
      <c r="A11054" t="inlineStr">
        <is>
          <t>Neste Components B.V.,  Botlek, Rotterdam, Netherlands</t>
        </is>
      </c>
      <c r="B11054" t="inlineStr">
        <is>
          <t>Trader with Storage</t>
        </is>
      </c>
      <c r="C11054" t="inlineStr">
        <is>
          <t>SGS Germany GmbH, Emstek, DE</t>
        </is>
      </c>
      <c r="D11054" t="inlineStr">
        <is>
          <t>08.12.2026</t>
        </is>
      </c>
      <c r="E11054" t="inlineStr">
        <is>
          <t>Netherlands</t>
        </is>
      </c>
    </row>
    <row r="11055">
      <c r="A11055" t="inlineStr">
        <is>
          <t>Cofresco Poland Sp. z o.o. Manufacturing Sp. k.,  Brodnica, Poland</t>
        </is>
      </c>
      <c r="B11055" t="inlineStr">
        <is>
          <t>Processing Unit</t>
        </is>
      </c>
      <c r="C11055" t="inlineStr">
        <is>
          <t>SGS Germany GmbH, Emstek, DE</t>
        </is>
      </c>
      <c r="D11055" t="inlineStr">
        <is>
          <t>08.12.2026</t>
        </is>
      </c>
      <c r="E11055" t="inlineStr">
        <is>
          <t>Poland</t>
        </is>
      </c>
    </row>
    <row r="11056">
      <c r="A11056" t="inlineStr">
        <is>
          <t>FUKUSUKE KOGYO Co.,Ltd,  Inabe-shi,Mie, Japan</t>
        </is>
      </c>
      <c r="B11056" t="inlineStr">
        <is>
          <t>Processing Unit, Warehouse, Trader with Storage</t>
        </is>
      </c>
      <c r="C11056" t="inlineStr">
        <is>
          <t>SGS Germany GmbH, Emstek, DE</t>
        </is>
      </c>
      <c r="D11056" t="inlineStr">
        <is>
          <t>08.12.2026</t>
        </is>
      </c>
      <c r="E11056" t="inlineStr">
        <is>
          <t>Japan</t>
        </is>
      </c>
    </row>
    <row r="11057">
      <c r="A11057" t="inlineStr">
        <is>
          <t>Allnex Austria GmbH,  Werndorf, Austria</t>
        </is>
      </c>
      <c r="B11057" t="inlineStr">
        <is>
          <t>Processing Unit</t>
        </is>
      </c>
      <c r="C11057" t="inlineStr">
        <is>
          <t>SGS Germany GmbH, Emstek, DE</t>
        </is>
      </c>
      <c r="D11057" t="inlineStr">
        <is>
          <t>08.12.2026</t>
        </is>
      </c>
      <c r="E11057" t="inlineStr">
        <is>
          <t>Austria</t>
        </is>
      </c>
    </row>
    <row r="11058">
      <c r="A11058" t="inlineStr">
        <is>
          <t>Haining Tianyi Textile Co., Ltd,  Haining, China</t>
        </is>
      </c>
      <c r="B11058" t="inlineStr">
        <is>
          <t>Processing Unit</t>
        </is>
      </c>
      <c r="C11058" t="inlineStr">
        <is>
          <t>PT Intertek Utama Services, Jakarta, ID</t>
        </is>
      </c>
      <c r="D11058" t="inlineStr">
        <is>
          <t>08.12.2026</t>
        </is>
      </c>
      <c r="E11058" t="inlineStr">
        <is>
          <t>China</t>
        </is>
      </c>
    </row>
    <row r="11059">
      <c r="A11059" t="inlineStr">
        <is>
          <t>Guangxi Strawyuan Biotechnology Co., Ltd.,  Beihai City, Guangxi Zhuang Autonomous Region,, China</t>
        </is>
      </c>
      <c r="B11059" t="inlineStr">
        <is>
          <t>First Gathering Point, Processing Unit</t>
        </is>
      </c>
      <c r="C11059" t="inlineStr">
        <is>
          <t>SCS Global Services, Emeryville, CA, US</t>
        </is>
      </c>
      <c r="D11059" t="inlineStr">
        <is>
          <t>08.12.2026</t>
        </is>
      </c>
      <c r="E11059" t="inlineStr">
        <is>
          <t>China</t>
        </is>
      </c>
    </row>
    <row r="11060">
      <c r="A11060" t="inlineStr">
        <is>
          <t>Dongguan Kangda Toys &amp; Gift Mfg. Ltd.,  Dongguan, China</t>
        </is>
      </c>
      <c r="B11060" t="inlineStr">
        <is>
          <t>Processing Unit</t>
        </is>
      </c>
      <c r="C11060" t="inlineStr">
        <is>
          <t>PT Intertek Utama Services, Jakarta, ID</t>
        </is>
      </c>
      <c r="D11060" t="inlineStr">
        <is>
          <t>08.12.2026</t>
        </is>
      </c>
      <c r="E11060" t="inlineStr">
        <is>
          <t>China</t>
        </is>
      </c>
    </row>
    <row r="11061">
      <c r="A11061" t="inlineStr">
        <is>
          <t>PT LIANMEI INDUSTRIAL INDONESIA,  Kec. Masaran,Kab.Sragen, Indonesia</t>
        </is>
      </c>
      <c r="B11061" t="inlineStr">
        <is>
          <t>Final Product Refinement</t>
        </is>
      </c>
      <c r="C11061" t="inlineStr">
        <is>
          <t>PT Intertek Utama Services, Jakarta, ID</t>
        </is>
      </c>
      <c r="D11061" t="inlineStr">
        <is>
          <t>08.12.2026</t>
        </is>
      </c>
      <c r="E11061" t="inlineStr">
        <is>
          <t>Indonesia</t>
        </is>
      </c>
    </row>
    <row r="11062">
      <c r="A11062" t="inlineStr">
        <is>
          <t>Nagyrét Farm Kft.,  Szarvas, Hungary</t>
        </is>
      </c>
      <c r="B11062" t="inlineStr">
        <is>
          <t>First Gathering Point, Trader with Storage</t>
        </is>
      </c>
      <c r="C11062" t="inlineStr">
        <is>
          <t>Certificadora Gallega del Noroeste SL, Vilagarcia de Arousa-Pontevedra, ES</t>
        </is>
      </c>
      <c r="D11062" t="inlineStr">
        <is>
          <t>08.12.2026</t>
        </is>
      </c>
      <c r="E11062" t="inlineStr">
        <is>
          <t>Hungary</t>
        </is>
      </c>
    </row>
    <row r="11063">
      <c r="A11063" t="inlineStr">
        <is>
          <t>PT Mutiara Sawit Semesta,  Batang Hari Regency, Jambi Province, Indonesia</t>
        </is>
      </c>
      <c r="B11063" t="inlineStr">
        <is>
          <t>Point of Origin</t>
        </is>
      </c>
      <c r="C11063" t="inlineStr">
        <is>
          <t>PT. Qualitas Sertifikasi Indonesia, Jakarta, ID</t>
        </is>
      </c>
      <c r="D11063" t="inlineStr">
        <is>
          <t>08.12.2026</t>
        </is>
      </c>
      <c r="E11063" t="inlineStr">
        <is>
          <t>Indonesia</t>
        </is>
      </c>
    </row>
    <row r="11064">
      <c r="A11064" t="inlineStr">
        <is>
          <t>LOGOPLASTE ESTARREJA, LDA,  Estarreja, Portugal</t>
        </is>
      </c>
      <c r="B11064" t="inlineStr">
        <is>
          <t>Processing Unit</t>
        </is>
      </c>
      <c r="C11064" t="inlineStr">
        <is>
          <t>SGS Germany GmbH, Emstek, DE</t>
        </is>
      </c>
      <c r="D11064" t="inlineStr">
        <is>
          <t>08.12.2026</t>
        </is>
      </c>
      <c r="E11064" t="inlineStr">
        <is>
          <t>Portugal</t>
        </is>
      </c>
    </row>
    <row r="11065">
      <c r="A11065" t="inlineStr">
        <is>
          <t>Parwan Protein &amp; Tallow Pty Ltd,  Parwan, Australia</t>
        </is>
      </c>
      <c r="B11065" t="inlineStr">
        <is>
          <t>Point of Origin</t>
        </is>
      </c>
      <c r="C11065" t="inlineStr">
        <is>
          <t>SGS Germany GmbH, Emstek, DE</t>
        </is>
      </c>
      <c r="D11065" t="inlineStr">
        <is>
          <t>08.12.2026</t>
        </is>
      </c>
      <c r="E11065" t="inlineStr">
        <is>
          <t>Australia</t>
        </is>
      </c>
    </row>
    <row r="11066">
      <c r="A11066" t="inlineStr">
        <is>
          <t>Prima Mas Lestari,  Bungo Regency, Jambi Province, Indonesia</t>
        </is>
      </c>
      <c r="B11066" t="inlineStr">
        <is>
          <t>Point of Origin</t>
        </is>
      </c>
      <c r="C11066" t="inlineStr">
        <is>
          <t>PT. Qualitas Sertifikasi Indonesia, Jakarta, ID</t>
        </is>
      </c>
      <c r="D11066" t="inlineStr">
        <is>
          <t>07.12.2026</t>
        </is>
      </c>
      <c r="E11066" t="inlineStr">
        <is>
          <t>Indonesia</t>
        </is>
      </c>
    </row>
    <row r="11067">
      <c r="A11067" t="inlineStr">
        <is>
          <t>Panagiotis Andrea Kosmas,  Messinia, Greece</t>
        </is>
      </c>
      <c r="B11067" t="inlineStr">
        <is>
          <t>Collecting Point</t>
        </is>
      </c>
      <c r="C11067" t="inlineStr">
        <is>
          <t>Eurocert SA, Metamorfosi, Athens, GR</t>
        </is>
      </c>
      <c r="D11067" t="inlineStr">
        <is>
          <t>07.12.2026</t>
        </is>
      </c>
      <c r="E11067" t="inlineStr">
        <is>
          <t>Greece</t>
        </is>
      </c>
    </row>
    <row r="11068">
      <c r="A11068" t="inlineStr">
        <is>
          <t>Technické služby mesta Prešov, a.s.,  Prešov, Slovakia</t>
        </is>
      </c>
      <c r="B11068" t="inlineStr">
        <is>
          <t>First Gathering Point, Point of Origin, Processing Unit</t>
        </is>
      </c>
      <c r="C11068" t="inlineStr">
        <is>
          <t>United Registrar of Systems Polska Sp. z o.o., Wrocław, PL</t>
        </is>
      </c>
      <c r="D11068" t="inlineStr">
        <is>
          <t>07.12.2026</t>
        </is>
      </c>
      <c r="E11068" t="inlineStr">
        <is>
          <t>Slovakia</t>
        </is>
      </c>
    </row>
    <row r="11069">
      <c r="A11069" t="inlineStr">
        <is>
          <t>CORAPACK,  Brenna, Italy</t>
        </is>
      </c>
      <c r="B11069" t="inlineStr">
        <is>
          <t>Final Product Refinement</t>
        </is>
      </c>
      <c r="C11069" t="inlineStr">
        <is>
          <t>Bureau Veritas Polska Sp. z o.o., Warsaw, PL</t>
        </is>
      </c>
      <c r="D11069" t="inlineStr">
        <is>
          <t>07.12.2026</t>
        </is>
      </c>
      <c r="E11069" t="inlineStr">
        <is>
          <t>Italy</t>
        </is>
      </c>
    </row>
    <row r="11070">
      <c r="A11070" t="inlineStr">
        <is>
          <t>Europlastiques,  Changé, France</t>
        </is>
      </c>
      <c r="B11070" t="inlineStr">
        <is>
          <t>Processing Unit</t>
        </is>
      </c>
      <c r="C11070" t="inlineStr">
        <is>
          <t>Bureau Veritas Polska Sp. z o.o., Warsaw, PL</t>
        </is>
      </c>
      <c r="D11070" t="inlineStr">
        <is>
          <t>07.12.2026</t>
        </is>
      </c>
      <c r="E11070" t="inlineStr">
        <is>
          <t>France</t>
        </is>
      </c>
    </row>
    <row r="11071">
      <c r="A11071" t="inlineStr">
        <is>
          <t>Hanwa Co.,Ltd.,  Tokyo, Japan</t>
        </is>
      </c>
      <c r="B11071" t="inlineStr">
        <is>
          <t>Trader with Storage</t>
        </is>
      </c>
      <c r="C11071" t="inlineStr">
        <is>
          <t>Control Union Certifications Germany GmbH, Berlin, DE</t>
        </is>
      </c>
      <c r="D11071" t="inlineStr">
        <is>
          <t>07.12.2026</t>
        </is>
      </c>
      <c r="E11071" t="inlineStr">
        <is>
          <t>Japan</t>
        </is>
      </c>
    </row>
    <row r="11072">
      <c r="A11072" t="inlineStr">
        <is>
          <t>Shell Deutschland GmbH,  Cologne, Germany</t>
        </is>
      </c>
      <c r="B11072" t="inlineStr">
        <is>
          <t>Processing Unit, Trader</t>
        </is>
      </c>
      <c r="C11072" t="inlineStr">
        <is>
          <t>SGS Germany GmbH, Emstek, DE</t>
        </is>
      </c>
      <c r="D11072" t="inlineStr">
        <is>
          <t>07.12.2026</t>
        </is>
      </c>
      <c r="E11072" t="inlineStr">
        <is>
          <t>Germany</t>
        </is>
      </c>
    </row>
    <row r="11073">
      <c r="A11073" t="inlineStr">
        <is>
          <t>Classic Bioenergy Sdn Bhd,  Port Klang, Malaysia</t>
        </is>
      </c>
      <c r="B11073" t="inlineStr">
        <is>
          <t>Trader with Storage</t>
        </is>
      </c>
      <c r="C11073" t="inlineStr">
        <is>
          <t>PT Mutuagung Lestari, Depok, ID</t>
        </is>
      </c>
      <c r="D11073" t="inlineStr">
        <is>
          <t>07.12.2026</t>
        </is>
      </c>
      <c r="E11073" t="inlineStr">
        <is>
          <t>Malaysia</t>
        </is>
      </c>
    </row>
    <row r="11074">
      <c r="A11074" t="inlineStr">
        <is>
          <t>Far East Holdings Berhad,  Kuantan, Pahang Darul Makmur, Malaysia</t>
        </is>
      </c>
      <c r="B11074" t="inlineStr">
        <is>
          <t>Central Office (Farms/Plantations)</t>
        </is>
      </c>
      <c r="C11074" t="inlineStr">
        <is>
          <t>Global Gateway Certifications Sdn Bhd, Ampang, MY</t>
        </is>
      </c>
      <c r="D11074" t="inlineStr">
        <is>
          <t>07.12.2026</t>
        </is>
      </c>
      <c r="E11074" t="inlineStr">
        <is>
          <t>Malaysia</t>
        </is>
      </c>
    </row>
    <row r="11075">
      <c r="A11075" t="inlineStr">
        <is>
          <t>BUKOVYNSKE GRAIN-COLLECTING COMPANY LLC,  Kyiv, Ukraine</t>
        </is>
      </c>
      <c r="B11075" t="inlineStr">
        <is>
          <t>First Gathering Point, Trader with Storage</t>
        </is>
      </c>
      <c r="C11075" t="inlineStr">
        <is>
          <t>Aciter Genelab LLC, Odessa, UA</t>
        </is>
      </c>
      <c r="D11075" t="inlineStr">
        <is>
          <t>07.12.2026</t>
        </is>
      </c>
      <c r="E11075" t="inlineStr">
        <is>
          <t>Ukraine</t>
        </is>
      </c>
    </row>
    <row r="11076">
      <c r="A11076" t="inlineStr">
        <is>
          <t>Green Create Wijster BV,  Wijster, The Netherlands</t>
        </is>
      </c>
      <c r="B11076" t="inlineStr">
        <is>
          <t>Collecting Point, Processing Unit</t>
        </is>
      </c>
      <c r="C11076" t="inlineStr">
        <is>
          <t>Normec QS BV, Bennekom, NL</t>
        </is>
      </c>
      <c r="D11076" t="inlineStr">
        <is>
          <t>07.12.2026</t>
        </is>
      </c>
      <c r="E11076" t="inlineStr">
        <is>
          <t>The Netherlands</t>
        </is>
      </c>
    </row>
    <row r="11077">
      <c r="A11077" t="inlineStr">
        <is>
          <t>PT Bina Mitra Makmur,  Kabupaten Bungo, Provinsi Jambi, Indonesia</t>
        </is>
      </c>
      <c r="B11077" t="inlineStr">
        <is>
          <t>Point of Origin</t>
        </is>
      </c>
      <c r="C11077" t="inlineStr">
        <is>
          <t>PT. Qualitas Sertifikasi Indonesia, Jakarta, ID</t>
        </is>
      </c>
      <c r="D11077" t="inlineStr">
        <is>
          <t>07.12.2026</t>
        </is>
      </c>
      <c r="E11077" t="inlineStr">
        <is>
          <t>Indonesia</t>
        </is>
      </c>
    </row>
    <row r="11078">
      <c r="A11078" t="inlineStr">
        <is>
          <t>WM Renewable Energy,  East St. Louis, United States</t>
        </is>
      </c>
      <c r="B11078" t="inlineStr">
        <is>
          <t>Collecting Point, Processing Unit</t>
        </is>
      </c>
      <c r="C11078" t="inlineStr">
        <is>
          <t>SCS Global Services, Emeryville, CA, US</t>
        </is>
      </c>
      <c r="D11078" t="inlineStr">
        <is>
          <t>07.12.2026</t>
        </is>
      </c>
      <c r="E11078" t="inlineStr">
        <is>
          <t>United States</t>
        </is>
      </c>
    </row>
    <row r="11079">
      <c r="A11079" t="inlineStr">
        <is>
          <t>WM Renewable Energy,  East St. Louis, United States</t>
        </is>
      </c>
      <c r="B11079" t="inlineStr">
        <is>
          <t>Collecting Point, Processing Unit</t>
        </is>
      </c>
      <c r="C11079" t="inlineStr">
        <is>
          <t>SCS Global Services, Emeryville, CA, US</t>
        </is>
      </c>
      <c r="D11079" t="inlineStr">
        <is>
          <t>07.12.2026</t>
        </is>
      </c>
      <c r="E11079" t="inlineStr">
        <is>
          <t>United States</t>
        </is>
      </c>
    </row>
    <row r="11080">
      <c r="A11080" t="inlineStr">
        <is>
          <t>WM Renewable Energy,  Ferris, United States</t>
        </is>
      </c>
      <c r="B11080" t="inlineStr">
        <is>
          <t>Collecting Point, Processing Unit</t>
        </is>
      </c>
      <c r="C11080" t="inlineStr">
        <is>
          <t>SCS Global Services, Emeryville, CA, US</t>
        </is>
      </c>
      <c r="D11080" t="inlineStr">
        <is>
          <t>07.12.2026</t>
        </is>
      </c>
      <c r="E11080" t="inlineStr">
        <is>
          <t>United States</t>
        </is>
      </c>
    </row>
    <row r="11081">
      <c r="A11081" t="inlineStr">
        <is>
          <t>WM Renewable Energy,  Ferris, United States</t>
        </is>
      </c>
      <c r="B11081" t="inlineStr">
        <is>
          <t>Collecting Point, Processing Unit</t>
        </is>
      </c>
      <c r="C11081" t="inlineStr">
        <is>
          <t>SCS Global Services, Emeryville, CA, US</t>
        </is>
      </c>
      <c r="D11081" t="inlineStr">
        <is>
          <t>07.12.2026</t>
        </is>
      </c>
      <c r="E11081" t="inlineStr">
        <is>
          <t>United States</t>
        </is>
      </c>
    </row>
    <row r="11082">
      <c r="A11082" t="inlineStr">
        <is>
          <t>JF Polymers (Suzhou) Co. Ltd.,  Changshu, Jiangsu Province, China</t>
        </is>
      </c>
      <c r="B11082" t="inlineStr">
        <is>
          <t>Processing Unit, Trader with Storage</t>
        </is>
      </c>
      <c r="C11082" t="inlineStr">
        <is>
          <t>China Quality Certification Centre Co., Ltd., Beijing, CN</t>
        </is>
      </c>
      <c r="D11082" t="inlineStr">
        <is>
          <t>07.12.2026</t>
        </is>
      </c>
      <c r="E11082" t="inlineStr">
        <is>
          <t>China</t>
        </is>
      </c>
    </row>
    <row r="11083">
      <c r="A11083" t="inlineStr">
        <is>
          <t>Poseidon Global Industries, Corp. Ltd.,  Taoyuan City, Dayuan District, Taiwan, Province of China</t>
        </is>
      </c>
      <c r="B11083" t="inlineStr">
        <is>
          <t>Collecting Point, Processing Unit</t>
        </is>
      </c>
      <c r="C11083" t="inlineStr">
        <is>
          <t>SCS Global Services, Emeryville, CA, US</t>
        </is>
      </c>
      <c r="D11083" t="inlineStr">
        <is>
          <t>07.12.2026</t>
        </is>
      </c>
      <c r="E11083" t="inlineStr">
        <is>
          <t>Province of China</t>
        </is>
      </c>
    </row>
    <row r="11084">
      <c r="A11084" t="inlineStr">
        <is>
          <t>Toyoshina Film Co.,Ltd,  Azumino,Nagano, Japan</t>
        </is>
      </c>
      <c r="B11084" t="inlineStr">
        <is>
          <t>Processing Unit</t>
        </is>
      </c>
      <c r="C11084" t="inlineStr">
        <is>
          <t>Control Union Certifications Germany GmbH, Berlin, DE</t>
        </is>
      </c>
      <c r="D11084" t="inlineStr">
        <is>
          <t>07.12.2026</t>
        </is>
      </c>
      <c r="E11084" t="inlineStr">
        <is>
          <t>Japan</t>
        </is>
      </c>
    </row>
    <row r="11085">
      <c r="A11085" t="inlineStr">
        <is>
          <t>PT Sukses Inti Palma,  Desa Nyogan, Kecamatan Mestong, Kabupaten Muaro Jambi Provinsi Jambi, Indonesia</t>
        </is>
      </c>
      <c r="B11085" t="inlineStr">
        <is>
          <t>Point of Origin</t>
        </is>
      </c>
      <c r="C11085" t="inlineStr">
        <is>
          <t>PT. Qualitas Sertifikasi Indonesia, Jakarta, ID</t>
        </is>
      </c>
      <c r="D11085" t="inlineStr">
        <is>
          <t>07.12.2026</t>
        </is>
      </c>
      <c r="E11085" t="inlineStr">
        <is>
          <t>Indonesia</t>
        </is>
      </c>
    </row>
    <row r="11086">
      <c r="A11086" t="inlineStr">
        <is>
          <t>Sawit Permai Pratama,  Morowali Utara, Sulawesi Tengah, Indonesia</t>
        </is>
      </c>
      <c r="B11086" t="inlineStr">
        <is>
          <t>Point of Origin</t>
        </is>
      </c>
      <c r="C11086" t="inlineStr">
        <is>
          <t>PT. Qualitas Sertifikasi Indonesia, Jakarta, ID</t>
        </is>
      </c>
      <c r="D11086" t="inlineStr">
        <is>
          <t>07.12.2026</t>
        </is>
      </c>
      <c r="E11086" t="inlineStr">
        <is>
          <t>Indonesia</t>
        </is>
      </c>
    </row>
    <row r="11087">
      <c r="A11087" t="inlineStr">
        <is>
          <t>Optipack GmbH,  Leppersdorf, Germany</t>
        </is>
      </c>
      <c r="B11087" t="inlineStr">
        <is>
          <t>Processing Unit, Trader with Storage</t>
        </is>
      </c>
      <c r="C11087" t="inlineStr">
        <is>
          <t>SGS Germany GmbH, Emstek, DE</t>
        </is>
      </c>
      <c r="D11087" t="inlineStr">
        <is>
          <t>07.12.2026</t>
        </is>
      </c>
      <c r="E11087" t="inlineStr">
        <is>
          <t>Germany</t>
        </is>
      </c>
    </row>
    <row r="11088">
      <c r="A11088" t="inlineStr">
        <is>
          <t>Obrist (Thailand) Co., Ltd,  Samutprakarn, Thailand</t>
        </is>
      </c>
      <c r="B11088" t="inlineStr">
        <is>
          <t>Processing Unit</t>
        </is>
      </c>
      <c r="C11088" t="inlineStr">
        <is>
          <t>SGS Germany GmbH, Emstek, DE</t>
        </is>
      </c>
      <c r="D11088" t="inlineStr">
        <is>
          <t>07.12.2026</t>
        </is>
      </c>
      <c r="E11088" t="inlineStr">
        <is>
          <t>Thailand</t>
        </is>
      </c>
    </row>
    <row r="11089">
      <c r="A11089" t="inlineStr">
        <is>
          <t>Nuplex Resins (Vietnam) Pty. Ltd.,  Tran Bien Ward, Dong Nai province, Vietnam</t>
        </is>
      </c>
      <c r="B11089" t="inlineStr">
        <is>
          <t>Processing Unit, Trader with Storage</t>
        </is>
      </c>
      <c r="C11089" t="inlineStr">
        <is>
          <t>SGS Germany GmbH, Emstek, DE</t>
        </is>
      </c>
      <c r="D11089" t="inlineStr">
        <is>
          <t>07.12.2026</t>
        </is>
      </c>
      <c r="E11089" t="inlineStr">
        <is>
          <t>Vietnam</t>
        </is>
      </c>
    </row>
    <row r="11090">
      <c r="A11090" t="inlineStr">
        <is>
          <t>PT. Asiapalm Oleo Jaya,  Cilincing, North Jakarta City, Jakarta, Indonesia</t>
        </is>
      </c>
      <c r="B11090" t="inlineStr">
        <is>
          <t>Processing Unit</t>
        </is>
      </c>
      <c r="C11090" t="inlineStr">
        <is>
          <t>Trans Certification and Inspection Sdn Bhd, Kuantan, MY</t>
        </is>
      </c>
      <c r="D11090" t="inlineStr">
        <is>
          <t>07.12.2026</t>
        </is>
      </c>
      <c r="E11090" t="inlineStr">
        <is>
          <t>Indonesia</t>
        </is>
      </c>
    </row>
    <row r="11091">
      <c r="A11091" t="inlineStr">
        <is>
          <t>Shell Deutschland GmbH,  Cologne, Germany</t>
        </is>
      </c>
      <c r="B11091" t="inlineStr">
        <is>
          <t>Trader, Processing Unit</t>
        </is>
      </c>
      <c r="C11091" t="inlineStr">
        <is>
          <t>SGS Germany GmbH, Emstek, DE</t>
        </is>
      </c>
      <c r="D11091" t="inlineStr">
        <is>
          <t>07.12.2026</t>
        </is>
      </c>
      <c r="E11091" t="inlineStr">
        <is>
          <t>Germany</t>
        </is>
      </c>
    </row>
    <row r="11092">
      <c r="A11092" t="inlineStr">
        <is>
          <t>DONGGUAN YUJIE INDUSTRIAL INVESTMENT CO., LTD.,  Dongguan City,Guangdong Province, China</t>
        </is>
      </c>
      <c r="B11092" t="inlineStr">
        <is>
          <t>Collecting Point, Processing Unit</t>
        </is>
      </c>
      <c r="C11092" t="inlineStr">
        <is>
          <t>SCS Global Services, Emeryville, CA, US</t>
        </is>
      </c>
      <c r="D11092" t="inlineStr">
        <is>
          <t>07.12.2026</t>
        </is>
      </c>
      <c r="E11092" t="inlineStr">
        <is>
          <t>China</t>
        </is>
      </c>
    </row>
    <row r="11093">
      <c r="A11093" t="inlineStr">
        <is>
          <t>Daikou Industrial Corporation,  Okinawa-Shi, Okinawa, Japan</t>
        </is>
      </c>
      <c r="B11093" t="inlineStr">
        <is>
          <t>Collecting Point, Trader</t>
        </is>
      </c>
      <c r="C11093" t="inlineStr">
        <is>
          <t>Control Union Certifications Germany GmbH, Berlin, DE</t>
        </is>
      </c>
      <c r="D11093" t="inlineStr">
        <is>
          <t>07.12.2026</t>
        </is>
      </c>
      <c r="E11093" t="inlineStr">
        <is>
          <t>Japan</t>
        </is>
      </c>
    </row>
    <row r="11094">
      <c r="A11094" t="inlineStr">
        <is>
          <t>Langfang Huansheng Lvran Biotechnology Co., Ltd.,  Langfang City,Hebei Province, China</t>
        </is>
      </c>
      <c r="B11094" t="inlineStr">
        <is>
          <t>Trader, Collecting Point</t>
        </is>
      </c>
      <c r="C11094" t="inlineStr">
        <is>
          <t>CTI Certification Co. Ltd, Shenzhen, CN</t>
        </is>
      </c>
      <c r="D11094" t="inlineStr">
        <is>
          <t>07.12.2026</t>
        </is>
      </c>
      <c r="E11094" t="inlineStr">
        <is>
          <t>China</t>
        </is>
      </c>
    </row>
    <row r="11095">
      <c r="A11095" t="inlineStr">
        <is>
          <t>PT Handalan Agung Nabati,  Kecamatan Pademangan, Jakarta Utara, DKI Jakarta, Indonesia</t>
        </is>
      </c>
      <c r="B11095" t="inlineStr">
        <is>
          <t>Trader</t>
        </is>
      </c>
      <c r="C11095" t="inlineStr">
        <is>
          <t>PT SBC Asia Sertifikasi, Kebumen, ID</t>
        </is>
      </c>
      <c r="D11095" t="inlineStr">
        <is>
          <t>07.12.2026</t>
        </is>
      </c>
      <c r="E11095" t="inlineStr">
        <is>
          <t>Indonesia</t>
        </is>
      </c>
    </row>
    <row r="11096">
      <c r="A11096" t="inlineStr">
        <is>
          <t>H2 MOBILITY Deutschland GmbH &amp; Co. KG,  Berlin, Germany</t>
        </is>
      </c>
      <c r="B11096" t="inlineStr">
        <is>
          <t>Trader</t>
        </is>
      </c>
      <c r="C11096" t="inlineStr">
        <is>
          <t>TÜV SÜD Industrie Service GmbH, München, DE</t>
        </is>
      </c>
      <c r="D11096" t="inlineStr">
        <is>
          <t>07.12.2026</t>
        </is>
      </c>
      <c r="E11096" t="inlineStr">
        <is>
          <t>Germany</t>
        </is>
      </c>
    </row>
    <row r="11097">
      <c r="A11097" t="inlineStr">
        <is>
          <t>LX INTERNATIONAL,  Seoul, Korea, Republic of</t>
        </is>
      </c>
      <c r="B11097" t="inlineStr">
        <is>
          <t>Trader with Storage</t>
        </is>
      </c>
      <c r="C11097" t="inlineStr">
        <is>
          <t>Control Union Certifications Germany GmbH, Berlin, DE</t>
        </is>
      </c>
      <c r="D11097" t="inlineStr">
        <is>
          <t>07.12.2026</t>
        </is>
      </c>
      <c r="E11097" t="inlineStr">
        <is>
          <t>Republic of</t>
        </is>
      </c>
    </row>
    <row r="11098">
      <c r="A11098" t="inlineStr">
        <is>
          <t>KOEM,  Seoul, South Korea</t>
        </is>
      </c>
      <c r="B11098" t="inlineStr">
        <is>
          <t>Collecting Point</t>
        </is>
      </c>
      <c r="C11098" t="inlineStr">
        <is>
          <t>Korean Foundation for Quality, Songpa-gu, Seoul, KR</t>
        </is>
      </c>
      <c r="D11098" t="inlineStr">
        <is>
          <t>07.12.2026</t>
        </is>
      </c>
      <c r="E11098" t="inlineStr">
        <is>
          <t>South Korea</t>
        </is>
      </c>
    </row>
    <row r="11099">
      <c r="A11099" t="inlineStr">
        <is>
          <t>Hanwa Co.,Ltd.,  Tokyo, Japan</t>
        </is>
      </c>
      <c r="B11099" t="inlineStr">
        <is>
          <t>Trader</t>
        </is>
      </c>
      <c r="C11099" t="inlineStr">
        <is>
          <t>Control Union Certifications Germany GmbH, Berlin, DE</t>
        </is>
      </c>
      <c r="D11099" t="inlineStr">
        <is>
          <t>07.12.2026</t>
        </is>
      </c>
      <c r="E11099" t="inlineStr">
        <is>
          <t>Japan</t>
        </is>
      </c>
    </row>
    <row r="11100">
      <c r="A11100" t="inlineStr">
        <is>
          <t>Recycling Oil for Environmental Services,  Mansuriyah, Saudi Arabia</t>
        </is>
      </c>
      <c r="B11100" t="inlineStr">
        <is>
          <t>Collecting Point, Trader with Storage</t>
        </is>
      </c>
      <c r="C11100" t="inlineStr">
        <is>
          <t>PT Mutuagung Lestari, Depok, ID</t>
        </is>
      </c>
      <c r="D11100" t="inlineStr">
        <is>
          <t>07.12.2026</t>
        </is>
      </c>
      <c r="E11100" t="inlineStr">
        <is>
          <t>Saudi Arabia</t>
        </is>
      </c>
    </row>
    <row r="11101">
      <c r="A11101" t="inlineStr">
        <is>
          <t>Foubert Papiers Plastiques,  Plozevet, France</t>
        </is>
      </c>
      <c r="B11101" t="inlineStr">
        <is>
          <t>Final Product Refinement, Processing Unit</t>
        </is>
      </c>
      <c r="C11101" t="inlineStr">
        <is>
          <t>Bureau Veritas Polska Sp. z o.o., Warsaw, PL</t>
        </is>
      </c>
      <c r="D11101" t="inlineStr">
        <is>
          <t>07.12.2026</t>
        </is>
      </c>
      <c r="E11101" t="inlineStr">
        <is>
          <t>France</t>
        </is>
      </c>
    </row>
    <row r="11102">
      <c r="A11102" t="inlineStr">
        <is>
          <t>Daikou Industrial Corporation,  Okinawa-Shi, Okinawa, Japan</t>
        </is>
      </c>
      <c r="B11102" t="inlineStr">
        <is>
          <t>Collecting Point, Trader</t>
        </is>
      </c>
      <c r="C11102" t="inlineStr">
        <is>
          <t>Control Union Certifications Germany GmbH, Berlin, DE</t>
        </is>
      </c>
      <c r="D11102" t="inlineStr">
        <is>
          <t>07.12.2026</t>
        </is>
      </c>
      <c r="E11102" t="inlineStr">
        <is>
          <t>Japan</t>
        </is>
      </c>
    </row>
    <row r="11103">
      <c r="A11103" t="inlineStr">
        <is>
          <t>IPI,  Arzano (NA), Italy</t>
        </is>
      </c>
      <c r="B11103" t="inlineStr">
        <is>
          <t>Processing Unit</t>
        </is>
      </c>
      <c r="C11103" t="inlineStr">
        <is>
          <t>SGS Germany GmbH, Emstek, DE</t>
        </is>
      </c>
      <c r="D11103" t="inlineStr">
        <is>
          <t>07.12.2026</t>
        </is>
      </c>
      <c r="E11103" t="inlineStr">
        <is>
          <t>Italy</t>
        </is>
      </c>
    </row>
    <row r="11104">
      <c r="A11104" t="inlineStr">
        <is>
          <t>ACA RENEWABLES ITALIA S.R.L.,  Milano, Italy</t>
        </is>
      </c>
      <c r="B11104" t="inlineStr">
        <is>
          <t>Trader</t>
        </is>
      </c>
      <c r="C11104" t="inlineStr">
        <is>
          <t>SGS Germany GmbH, Emstek, DE</t>
        </is>
      </c>
      <c r="D11104" t="inlineStr">
        <is>
          <t>07.12.2026</t>
        </is>
      </c>
      <c r="E11104" t="inlineStr">
        <is>
          <t>Italy</t>
        </is>
      </c>
    </row>
    <row r="11105">
      <c r="A11105" t="inlineStr">
        <is>
          <t>Junction City Clean Fuels, LLC,  Junction City, United States</t>
        </is>
      </c>
      <c r="B11105" t="inlineStr">
        <is>
          <t>Collecting Point, Processing Unit</t>
        </is>
      </c>
      <c r="C11105" t="inlineStr">
        <is>
          <t>SCS Global Services, Emeryville, CA, US</t>
        </is>
      </c>
      <c r="D11105" t="inlineStr">
        <is>
          <t>07.12.2026</t>
        </is>
      </c>
      <c r="E11105" t="inlineStr">
        <is>
          <t>United States</t>
        </is>
      </c>
    </row>
    <row r="11106">
      <c r="A11106" t="inlineStr">
        <is>
          <t>Ornamin-Kunststoffwerke GmbH &amp; Co. KG,  Minden, Germany</t>
        </is>
      </c>
      <c r="B11106" t="inlineStr">
        <is>
          <t>Processing Unit</t>
        </is>
      </c>
      <c r="C11106" t="inlineStr">
        <is>
          <t>Aardvark Certification Ltd, Wiveliscombe, Somerset, GB</t>
        </is>
      </c>
      <c r="D11106" t="inlineStr">
        <is>
          <t>07.12.2026</t>
        </is>
      </c>
      <c r="E11106" t="inlineStr">
        <is>
          <t>Germany</t>
        </is>
      </c>
    </row>
    <row r="11107">
      <c r="A11107" t="inlineStr">
        <is>
          <t>BL GROUP,  Vilnius, Lithuania</t>
        </is>
      </c>
      <c r="B11107" t="inlineStr">
        <is>
          <t>Collecting Point, Trader</t>
        </is>
      </c>
      <c r="C11107" t="inlineStr">
        <is>
          <t>TÜV NORD CERT GmbH, Essen, DE</t>
        </is>
      </c>
      <c r="D11107" t="inlineStr">
        <is>
          <t>07.12.2026</t>
        </is>
      </c>
      <c r="E11107" t="inlineStr">
        <is>
          <t>Lithuania</t>
        </is>
      </c>
    </row>
    <row r="11108">
      <c r="A11108" t="inlineStr">
        <is>
          <t>TIAN SIANG OIL MILL SDN. BHD.,  LAHAD DATU, Malaysia</t>
        </is>
      </c>
      <c r="B11108" t="inlineStr">
        <is>
          <t>Point of Origin</t>
        </is>
      </c>
      <c r="C11108" t="inlineStr">
        <is>
          <t>Trans Certification and Inspection Sdn Bhd, Kuantan, MY</t>
        </is>
      </c>
      <c r="D11108" t="inlineStr">
        <is>
          <t>07.12.2026</t>
        </is>
      </c>
      <c r="E11108" t="inlineStr">
        <is>
          <t>Malaysia</t>
        </is>
      </c>
    </row>
    <row r="11109">
      <c r="A11109" t="inlineStr">
        <is>
          <t>S.C. Soufflet Agro Romania S.R.L.,  Buzau City, Romania</t>
        </is>
      </c>
      <c r="B11109" t="inlineStr">
        <is>
          <t>First Gathering Point, Trader with Storage</t>
        </is>
      </c>
      <c r="C11109" t="inlineStr">
        <is>
          <t>Control Union Certifications Germany GmbH, Berlin, DE</t>
        </is>
      </c>
      <c r="D11109" t="inlineStr">
        <is>
          <t>07.12.2026</t>
        </is>
      </c>
      <c r="E11109" t="inlineStr">
        <is>
          <t>Romania</t>
        </is>
      </c>
    </row>
    <row r="11110">
      <c r="A11110" t="inlineStr">
        <is>
          <t>Pasvalio agrochemija, UAB,  Pasvalys, Lithuania</t>
        </is>
      </c>
      <c r="B11110" t="inlineStr">
        <is>
          <t>First Gathering Point, Processing Unit, Trader with Storage</t>
        </is>
      </c>
      <c r="C11110" t="inlineStr">
        <is>
          <t>Bureau Veritas Polska Sp. z o.o., Warsaw, PL</t>
        </is>
      </c>
      <c r="D11110" t="inlineStr">
        <is>
          <t>07.12.2026</t>
        </is>
      </c>
      <c r="E11110" t="inlineStr">
        <is>
          <t>Lithuania</t>
        </is>
      </c>
    </row>
    <row r="11111">
      <c r="A11111" t="inlineStr">
        <is>
          <t>CARGILL BIOENERGIA LTDA,  QUIRINÓPOLIS, GOIÁS, Brazil</t>
        </is>
      </c>
      <c r="B11111" t="inlineStr">
        <is>
          <t>First Gathering Point, Processing Unit</t>
        </is>
      </c>
      <c r="C11111" t="inlineStr">
        <is>
          <t>Control Union Poland Sp. z o.o., Zielona Gora, PL</t>
        </is>
      </c>
      <c r="D11111" t="inlineStr">
        <is>
          <t>07.12.2026</t>
        </is>
      </c>
      <c r="E11111" t="inlineStr">
        <is>
          <t>Brazil</t>
        </is>
      </c>
    </row>
    <row r="11112">
      <c r="A11112" t="inlineStr">
        <is>
          <t>BIO D TECHNOLOGY FZCO,  Dubai, United Arab Emirates</t>
        </is>
      </c>
      <c r="B11112" t="inlineStr">
        <is>
          <t>Collecting Point, Point of Origin, Processing Unit, Trader with Storage</t>
        </is>
      </c>
      <c r="C11112" t="inlineStr">
        <is>
          <t>SGS Germany GmbH, Emstek, DE</t>
        </is>
      </c>
      <c r="D11112" t="inlineStr">
        <is>
          <t>06.12.2026</t>
        </is>
      </c>
      <c r="E11112" t="inlineStr">
        <is>
          <t>United Arab Emirates</t>
        </is>
      </c>
    </row>
    <row r="11113">
      <c r="A11113" t="inlineStr">
        <is>
          <t>Jiangsu Ruigao Biological Technology Co. Ltd,  Lianyungang City, Jiangsu Province, China</t>
        </is>
      </c>
      <c r="B11113" t="inlineStr">
        <is>
          <t>Collecting Point, Processing Unit, Trader with Storage</t>
        </is>
      </c>
      <c r="C11113" t="inlineStr">
        <is>
          <t>RINA Services S.p.A., Genova, IT</t>
        </is>
      </c>
      <c r="D11113" t="inlineStr">
        <is>
          <t>06.12.2026</t>
        </is>
      </c>
      <c r="E11113" t="inlineStr">
        <is>
          <t>China</t>
        </is>
      </c>
    </row>
    <row r="11114">
      <c r="A11114" t="inlineStr">
        <is>
          <t>MOLTECHGEN CO LTD,  Bangkok, Thailand</t>
        </is>
      </c>
      <c r="B11114" t="inlineStr">
        <is>
          <t>Collecting Point, Trader with Storage</t>
        </is>
      </c>
      <c r="C11114" t="inlineStr">
        <is>
          <t>PT Mutuagung Lestari, Depok, ID</t>
        </is>
      </c>
      <c r="D11114" t="inlineStr">
        <is>
          <t>06.12.2026</t>
        </is>
      </c>
      <c r="E11114" t="inlineStr">
        <is>
          <t>Thailand</t>
        </is>
      </c>
    </row>
    <row r="11115">
      <c r="A11115" t="inlineStr">
        <is>
          <t>Kozakura Shokai Co., Ltd.,  Minato-ku, Tokyo, Japan</t>
        </is>
      </c>
      <c r="B11115" t="inlineStr">
        <is>
          <t>Trader</t>
        </is>
      </c>
      <c r="C11115" t="inlineStr">
        <is>
          <t>SGS Germany GmbH, Emstek, DE</t>
        </is>
      </c>
      <c r="D11115" t="inlineStr">
        <is>
          <t>06.12.2026</t>
        </is>
      </c>
      <c r="E11115" t="inlineStr">
        <is>
          <t>Japan</t>
        </is>
      </c>
    </row>
    <row r="11116">
      <c r="A11116" t="inlineStr">
        <is>
          <t>ALPLAST,  TIGLIOLE D'ASTI, Italy</t>
        </is>
      </c>
      <c r="B11116" t="inlineStr">
        <is>
          <t>Processing Unit</t>
        </is>
      </c>
      <c r="C11116" t="inlineStr">
        <is>
          <t>RINA Services S.p.A., Genova, IT</t>
        </is>
      </c>
      <c r="D11116" t="inlineStr">
        <is>
          <t>06.12.2026</t>
        </is>
      </c>
      <c r="E11116" t="inlineStr">
        <is>
          <t>Italy</t>
        </is>
      </c>
    </row>
    <row r="11117">
      <c r="A11117" t="inlineStr">
        <is>
          <t>HAP SENG PLANTATIONS (RIVER ESTATES) SDN BHD,  Lahad Datu, Sabah, Malaysia</t>
        </is>
      </c>
      <c r="B11117" t="inlineStr">
        <is>
          <t>Central Office (Farms/Plantations)</t>
        </is>
      </c>
      <c r="C11117" t="inlineStr">
        <is>
          <t>Control Union Certifications Germany GmbH, Berlin, DE</t>
        </is>
      </c>
      <c r="D11117" t="inlineStr">
        <is>
          <t>06.12.2026</t>
        </is>
      </c>
      <c r="E11117" t="inlineStr">
        <is>
          <t>Malaysia</t>
        </is>
      </c>
    </row>
    <row r="11118">
      <c r="A11118" t="inlineStr">
        <is>
          <t>BP Energía España S.A.U.,  Castellón, Spain</t>
        </is>
      </c>
      <c r="B11118" t="inlineStr">
        <is>
          <t>Processing Unit, Trader with Storage</t>
        </is>
      </c>
      <c r="C11118" t="inlineStr">
        <is>
          <t>Control Union Poland Sp. z o.o., Zielona Gora, PL</t>
        </is>
      </c>
      <c r="D11118" t="inlineStr">
        <is>
          <t>06.12.2026</t>
        </is>
      </c>
      <c r="E11118" t="inlineStr">
        <is>
          <t>Spain</t>
        </is>
      </c>
    </row>
    <row r="11119">
      <c r="A11119" t="inlineStr">
        <is>
          <t>Gemilang Sawit Lestari,  Desa Lebuh Lurus, Pasar Inuman, Kelurahan Inuman, Indonesia</t>
        </is>
      </c>
      <c r="B11119" t="inlineStr">
        <is>
          <t>Point of Origin</t>
        </is>
      </c>
      <c r="C11119" t="inlineStr">
        <is>
          <t>PT. Qualitas Sertifikasi Indonesia, Jakarta, ID</t>
        </is>
      </c>
      <c r="D11119" t="inlineStr">
        <is>
          <t>06.12.2026</t>
        </is>
      </c>
      <c r="E11119" t="inlineStr">
        <is>
          <t>Indonesia</t>
        </is>
      </c>
    </row>
    <row r="11120">
      <c r="A11120" t="inlineStr">
        <is>
          <t>PT Mitra Sawit Jambi,  Tanjung Jabung Barat Regency, Jambi Province, Indonesia</t>
        </is>
      </c>
      <c r="B11120" t="inlineStr">
        <is>
          <t>Point of Origin</t>
        </is>
      </c>
      <c r="C11120" t="inlineStr">
        <is>
          <t>PT. Qualitas Sertifikasi Indonesia, Jakarta, ID</t>
        </is>
      </c>
      <c r="D11120" t="inlineStr">
        <is>
          <t>06.12.2026</t>
        </is>
      </c>
      <c r="E11120" t="inlineStr">
        <is>
          <t>Indonesia</t>
        </is>
      </c>
    </row>
    <row r="11121">
      <c r="A11121" t="inlineStr">
        <is>
          <t>Berkat Sawit Sejahtera,  Indragiri Hilir Regency, Riau Province, Indonesia</t>
        </is>
      </c>
      <c r="B11121" t="inlineStr">
        <is>
          <t>Point of Origin</t>
        </is>
      </c>
      <c r="C11121" t="inlineStr">
        <is>
          <t>PT. Qualitas Sertifikasi Indonesia, Jakarta, ID</t>
        </is>
      </c>
      <c r="D11121" t="inlineStr">
        <is>
          <t>06.12.2026</t>
        </is>
      </c>
      <c r="E11121" t="inlineStr">
        <is>
          <t>Indonesia</t>
        </is>
      </c>
    </row>
    <row r="11122">
      <c r="A11122" t="inlineStr">
        <is>
          <t>Berkat Sawit Sejahtera,  Indragiri Hilir Regency, Riau Province, Indonesia</t>
        </is>
      </c>
      <c r="B11122" t="inlineStr">
        <is>
          <t>Point of Origin</t>
        </is>
      </c>
      <c r="C11122" t="inlineStr">
        <is>
          <t>PT. Qualitas Sertifikasi Indonesia, Jakarta, ID</t>
        </is>
      </c>
      <c r="D11122" t="inlineStr">
        <is>
          <t>06.12.2026</t>
        </is>
      </c>
      <c r="E11122" t="inlineStr">
        <is>
          <t>Indonesia</t>
        </is>
      </c>
    </row>
    <row r="11123">
      <c r="A11123" t="inlineStr">
        <is>
          <t>Agro Trade Praha a.s.,  Praha, Czech Republic, Czech Republic</t>
        </is>
      </c>
      <c r="B11123" t="inlineStr">
        <is>
          <t>First Gathering Point, Trader</t>
        </is>
      </c>
      <c r="C11123" t="inlineStr">
        <is>
          <t>United Registrar of Systems Polska Sp. z o.o., Wrocław, PL</t>
        </is>
      </c>
      <c r="D11123" t="inlineStr">
        <is>
          <t>06.12.2026</t>
        </is>
      </c>
      <c r="E11123" t="inlineStr">
        <is>
          <t>Czech Republic</t>
        </is>
      </c>
    </row>
    <row r="11124">
      <c r="A11124" t="inlineStr">
        <is>
          <t>PT Mitra Sawit Jambi,  Tanjung Jabung Barat Regency, Jambi Province, Indonesia</t>
        </is>
      </c>
      <c r="B11124" t="inlineStr">
        <is>
          <t>Point of Origin</t>
        </is>
      </c>
      <c r="C11124" t="inlineStr">
        <is>
          <t>PT. Qualitas Sertifikasi Indonesia, Jakarta, ID</t>
        </is>
      </c>
      <c r="D11124" t="inlineStr">
        <is>
          <t>06.12.2026</t>
        </is>
      </c>
      <c r="E11124" t="inlineStr">
        <is>
          <t>Indonesia</t>
        </is>
      </c>
    </row>
    <row r="11125">
      <c r="A11125" t="inlineStr">
        <is>
          <t>Hua Qin International Trading (Singapore) PTE. LTD.,  Xi’an City, Shaanxi Province, China</t>
        </is>
      </c>
      <c r="B11125" t="inlineStr">
        <is>
          <t>Trader</t>
        </is>
      </c>
      <c r="C11125" t="inlineStr">
        <is>
          <t>SCS Global Services, Emeryville, CA, US</t>
        </is>
      </c>
      <c r="D11125" t="inlineStr">
        <is>
          <t>06.12.2026</t>
        </is>
      </c>
      <c r="E11125" t="inlineStr">
        <is>
          <t>China</t>
        </is>
      </c>
    </row>
    <row r="11126">
      <c r="A11126" t="inlineStr">
        <is>
          <t>Jinan Shifang Solid Waste Treatment Co., Ltd.,  Jinan City, Shandong Province, China</t>
        </is>
      </c>
      <c r="B11126" t="inlineStr">
        <is>
          <t>Collecting Point, Processing Unit, Trader</t>
        </is>
      </c>
      <c r="C11126" t="inlineStr">
        <is>
          <t>SCS Global Services, Emeryville, CA, US</t>
        </is>
      </c>
      <c r="D11126" t="inlineStr">
        <is>
          <t>06.12.2026</t>
        </is>
      </c>
      <c r="E11126" t="inlineStr">
        <is>
          <t>China</t>
        </is>
      </c>
    </row>
    <row r="11127">
      <c r="A11127" t="inlineStr">
        <is>
          <t>PT. ERASAKTI WIRAFORESTAMA,  Muaro Jambi, Indonesia</t>
        </is>
      </c>
      <c r="B11127" t="inlineStr">
        <is>
          <t>Point of Origin, Trader with Storage</t>
        </is>
      </c>
      <c r="C11127" t="inlineStr">
        <is>
          <t>PT. Qualitas Sertifikasi Indonesia, Jakarta, ID</t>
        </is>
      </c>
      <c r="D11127" t="inlineStr">
        <is>
          <t>06.12.2026</t>
        </is>
      </c>
      <c r="E11127" t="inlineStr">
        <is>
          <t>Indonesia</t>
        </is>
      </c>
    </row>
    <row r="11128">
      <c r="A11128" t="inlineStr">
        <is>
          <t>PT. ERASAKTI WIRAFORESTAMA,  Muaro Jambi, Indonesia</t>
        </is>
      </c>
      <c r="B11128" t="inlineStr">
        <is>
          <t>Point of Origin, Trader with Storage</t>
        </is>
      </c>
      <c r="C11128" t="inlineStr">
        <is>
          <t>PT. Qualitas Sertifikasi Indonesia, Jakarta, ID</t>
        </is>
      </c>
      <c r="D11128" t="inlineStr">
        <is>
          <t>06.12.2026</t>
        </is>
      </c>
      <c r="E11128" t="inlineStr">
        <is>
          <t>Indonesia</t>
        </is>
      </c>
    </row>
    <row r="11129">
      <c r="A11129" t="inlineStr">
        <is>
          <t>PT. ERASAKTI WIRAFORESTAMA,  Muaro Jambi, Indonesia</t>
        </is>
      </c>
      <c r="B11129" t="inlineStr">
        <is>
          <t>Point of Origin, Trader with Storage</t>
        </is>
      </c>
      <c r="C11129" t="inlineStr">
        <is>
          <t>PT. Qualitas Sertifikasi Indonesia, Jakarta, ID</t>
        </is>
      </c>
      <c r="D11129" t="inlineStr">
        <is>
          <t>06.12.2026</t>
        </is>
      </c>
      <c r="E11129" t="inlineStr">
        <is>
          <t>Indonesia</t>
        </is>
      </c>
    </row>
    <row r="11130">
      <c r="A11130" t="inlineStr">
        <is>
          <t>PT. ERASAKTI WIRAFORESTAMA,  Muaro Jambi, Indonesia</t>
        </is>
      </c>
      <c r="B11130" t="inlineStr">
        <is>
          <t>Point of Origin, Trader with Storage</t>
        </is>
      </c>
      <c r="C11130" t="inlineStr">
        <is>
          <t>PT. Qualitas Sertifikasi Indonesia, Jakarta, ID</t>
        </is>
      </c>
      <c r="D11130" t="inlineStr">
        <is>
          <t>06.12.2026</t>
        </is>
      </c>
      <c r="E11130" t="inlineStr">
        <is>
          <t>Indonesia</t>
        </is>
      </c>
    </row>
    <row r="11131">
      <c r="A11131" t="inlineStr">
        <is>
          <t>Eni Global Energy Markets SpA,  Bruxelles, Belgium</t>
        </is>
      </c>
      <c r="B11131" t="inlineStr">
        <is>
          <t>Trader</t>
        </is>
      </c>
      <c r="C11131" t="inlineStr">
        <is>
          <t>Bureau Veritas Polska Sp. z o.o., Warsaw, PL</t>
        </is>
      </c>
      <c r="D11131" t="inlineStr">
        <is>
          <t>06.12.2026</t>
        </is>
      </c>
      <c r="E11131" t="inlineStr">
        <is>
          <t>Belgium</t>
        </is>
      </c>
    </row>
    <row r="11132">
      <c r="A11132" t="inlineStr">
        <is>
          <t>PT Sukses Inti Palma,  Desa Nyogan, Kecamatan Mestong, Kabupaten Muaro Jambi Provinsi Jambi, Indonesia</t>
        </is>
      </c>
      <c r="B11132" t="inlineStr">
        <is>
          <t>Point of Origin</t>
        </is>
      </c>
      <c r="C11132" t="inlineStr">
        <is>
          <t>PT. Qualitas Sertifikasi Indonesia, Jakarta, ID</t>
        </is>
      </c>
      <c r="D11132" t="inlineStr">
        <is>
          <t>06.12.2026</t>
        </is>
      </c>
      <c r="E11132" t="inlineStr">
        <is>
          <t>Indonesia</t>
        </is>
      </c>
    </row>
    <row r="11133">
      <c r="A11133" t="inlineStr">
        <is>
          <t>DAICEL HPP SINGAPORE PTE. LTD.,  Singapore, Singapore</t>
        </is>
      </c>
      <c r="B11133" t="inlineStr">
        <is>
          <t>Trader with Storage</t>
        </is>
      </c>
      <c r="C11133" t="inlineStr">
        <is>
          <t>SGS Germany GmbH, Emstek, DE</t>
        </is>
      </c>
      <c r="D11133" t="inlineStr">
        <is>
          <t>06.12.2026</t>
        </is>
      </c>
      <c r="E11133" t="inlineStr">
        <is>
          <t>Singapore</t>
        </is>
      </c>
    </row>
    <row r="11134">
      <c r="A11134" t="inlineStr">
        <is>
          <t>RESIWAY - Solucoes Sustentáveis, S.A.,  Santa Maria da Feira, Sanfins, Portugal</t>
        </is>
      </c>
      <c r="B11134" t="inlineStr">
        <is>
          <t>Point of Origin, Collecting Point, Trader with Storage, Processing Unit</t>
        </is>
      </c>
      <c r="C11134" t="inlineStr">
        <is>
          <t>SGS Germany GmbH, Emstek, DE</t>
        </is>
      </c>
      <c r="D11134" t="inlineStr">
        <is>
          <t>06.12.2026</t>
        </is>
      </c>
      <c r="E11134" t="inlineStr">
        <is>
          <t>Portugal</t>
        </is>
      </c>
    </row>
    <row r="11135">
      <c r="A11135" t="inlineStr">
        <is>
          <t>Borealis UK Ltd,  Manchester, United Kingdom</t>
        </is>
      </c>
      <c r="B11135" t="inlineStr">
        <is>
          <t>Trader with Storage</t>
        </is>
      </c>
      <c r="C11135" t="inlineStr">
        <is>
          <t>SGS Germany GmbH, Emstek, DE</t>
        </is>
      </c>
      <c r="D11135" t="inlineStr">
        <is>
          <t>06.12.2026</t>
        </is>
      </c>
      <c r="E11135" t="inlineStr">
        <is>
          <t>United Kingdom</t>
        </is>
      </c>
    </row>
    <row r="11136">
      <c r="A11136" t="inlineStr">
        <is>
          <t>Pilstl Trading, s.r.o.,  Benice, Praha 10, Czech Republic</t>
        </is>
      </c>
      <c r="B11136" t="inlineStr">
        <is>
          <t>First Gathering Point, Trader</t>
        </is>
      </c>
      <c r="C11136" t="inlineStr">
        <is>
          <t>SGS Germany GmbH, Emstek, DE</t>
        </is>
      </c>
      <c r="D11136" t="inlineStr">
        <is>
          <t>06.12.2026</t>
        </is>
      </c>
      <c r="E11136" t="inlineStr">
        <is>
          <t>Czech Republic</t>
        </is>
      </c>
    </row>
    <row r="11137">
      <c r="A11137" t="inlineStr">
        <is>
          <t>ASAHI KASEI ADVANCE CORPORATION,  Tokyo, Japan</t>
        </is>
      </c>
      <c r="B11137" t="inlineStr">
        <is>
          <t>Collecting Point, Trader</t>
        </is>
      </c>
      <c r="C11137" t="inlineStr">
        <is>
          <t>SGS Germany GmbH, Emstek, DE</t>
        </is>
      </c>
      <c r="D11137" t="inlineStr">
        <is>
          <t>06.12.2026</t>
        </is>
      </c>
      <c r="E11137" t="inlineStr">
        <is>
          <t>Japan</t>
        </is>
      </c>
    </row>
    <row r="11138">
      <c r="A11138" t="inlineStr">
        <is>
          <t>PT Musim Mas,  KOTA BATAM, Indonesia</t>
        </is>
      </c>
      <c r="B11138" t="inlineStr">
        <is>
          <t>Point of Origin, Processing Unit, Trader with Storage</t>
        </is>
      </c>
      <c r="C11138" t="inlineStr">
        <is>
          <t>Control Union Certifications Germany GmbH, Berlin, DE</t>
        </is>
      </c>
      <c r="D11138" t="inlineStr">
        <is>
          <t>06.12.2026</t>
        </is>
      </c>
      <c r="E11138" t="inlineStr">
        <is>
          <t>Indonesia</t>
        </is>
      </c>
    </row>
    <row r="11139">
      <c r="A11139" t="inlineStr">
        <is>
          <t>EGGT GENERAL TRADING LLC.,,  AL QUOZ 3, United Arab Emirates</t>
        </is>
      </c>
      <c r="B11139" t="inlineStr">
        <is>
          <t>Trader</t>
        </is>
      </c>
      <c r="C11139" t="inlineStr">
        <is>
          <t>ASG Cert GmbH, Munich, DE</t>
        </is>
      </c>
      <c r="D11139" t="inlineStr">
        <is>
          <t>06.12.2026</t>
        </is>
      </c>
      <c r="E11139" t="inlineStr">
        <is>
          <t>United Arab Emirates</t>
        </is>
      </c>
    </row>
    <row r="11140">
      <c r="A11140" t="inlineStr">
        <is>
          <t>Mercuria Energy Trading SA,  Geneve, Switzerland</t>
        </is>
      </c>
      <c r="B11140" t="inlineStr">
        <is>
          <t>Trader with Storage</t>
        </is>
      </c>
      <c r="C11140" t="inlineStr">
        <is>
          <t>Control Union Certifications Germany GmbH, Berlin, DE</t>
        </is>
      </c>
      <c r="D11140" t="inlineStr">
        <is>
          <t>06.12.2026</t>
        </is>
      </c>
      <c r="E11140" t="inlineStr">
        <is>
          <t>Switzerland</t>
        </is>
      </c>
    </row>
    <row r="11141">
      <c r="A11141" t="inlineStr">
        <is>
          <t>BROKER WORLD SRL,  CIUDAD AUTONOMA DE BUENOS AIRES, Argentina</t>
        </is>
      </c>
      <c r="B11141" t="inlineStr">
        <is>
          <t>Trader</t>
        </is>
      </c>
      <c r="C11141" t="inlineStr">
        <is>
          <t>Control Union Poland Sp. z o.o., Zielona Gora, PL</t>
        </is>
      </c>
      <c r="D11141" t="inlineStr">
        <is>
          <t>06.12.2026</t>
        </is>
      </c>
      <c r="E11141" t="inlineStr">
        <is>
          <t>Argentina</t>
        </is>
      </c>
    </row>
    <row r="11142">
      <c r="A11142" t="inlineStr">
        <is>
          <t>CAN SPORTS VIETNAM CO., LTD,  TRUONG MIT COMMUNE, TAY NINH PROVINCE, Vietnam</t>
        </is>
      </c>
      <c r="B11142" t="inlineStr">
        <is>
          <t>Final Product Refinement, Processing Unit</t>
        </is>
      </c>
      <c r="C11142" t="inlineStr">
        <is>
          <t>SGS Germany GmbH, Emstek, DE</t>
        </is>
      </c>
      <c r="D11142" t="inlineStr">
        <is>
          <t>05.12.2026</t>
        </is>
      </c>
      <c r="E11142" t="inlineStr">
        <is>
          <t>Vietnam</t>
        </is>
      </c>
    </row>
    <row r="11143">
      <c r="A11143" t="inlineStr">
        <is>
          <t>BASF Polyurethanes (China) Co. Ltd.,  Guangzhou, Western Industrial District, China</t>
        </is>
      </c>
      <c r="B11143" t="inlineStr">
        <is>
          <t>Processing Unit</t>
        </is>
      </c>
      <c r="C11143" t="inlineStr">
        <is>
          <t>TÜV NORD CERT GmbH, Essen, DE</t>
        </is>
      </c>
      <c r="D11143" t="inlineStr">
        <is>
          <t>05.12.2026</t>
        </is>
      </c>
      <c r="E11143" t="inlineStr">
        <is>
          <t>China</t>
        </is>
      </c>
    </row>
    <row r="11144">
      <c r="A11144" t="inlineStr">
        <is>
          <t>Siam Polyethylene Co.,Ltd,  Rayong, Thailand</t>
        </is>
      </c>
      <c r="B11144" t="inlineStr">
        <is>
          <t>Processing Unit</t>
        </is>
      </c>
      <c r="C11144" t="inlineStr">
        <is>
          <t>SGS Germany GmbH, Emstek, DE</t>
        </is>
      </c>
      <c r="D11144" t="inlineStr">
        <is>
          <t>05.12.2026</t>
        </is>
      </c>
      <c r="E11144" t="inlineStr">
        <is>
          <t>Thailand</t>
        </is>
      </c>
    </row>
    <row r="11145">
      <c r="A11145" t="inlineStr">
        <is>
          <t>BIOPLAST,  Fisciano, Italy</t>
        </is>
      </c>
      <c r="B11145" t="inlineStr">
        <is>
          <t>Final Product Refinement, Processing Unit</t>
        </is>
      </c>
      <c r="C11145" t="inlineStr">
        <is>
          <t>IIP S.r.l., Monza, IT</t>
        </is>
      </c>
      <c r="D11145" t="inlineStr">
        <is>
          <t>05.12.2026</t>
        </is>
      </c>
      <c r="E11145" t="inlineStr">
        <is>
          <t>Italy</t>
        </is>
      </c>
    </row>
    <row r="11146">
      <c r="A11146" t="inlineStr">
        <is>
          <t>Ranama Resource Sdn Bhd,  Pasir Gudang, Johor, Malaysia</t>
        </is>
      </c>
      <c r="B11146" t="inlineStr">
        <is>
          <t>Trader with Storage</t>
        </is>
      </c>
      <c r="C11146" t="inlineStr">
        <is>
          <t>ASG Cert GmbH, Munich, DE</t>
        </is>
      </c>
      <c r="D11146" t="inlineStr">
        <is>
          <t>05.12.2026</t>
        </is>
      </c>
      <c r="E11146" t="inlineStr">
        <is>
          <t>Malaysia</t>
        </is>
      </c>
    </row>
    <row r="11147">
      <c r="A11147" t="inlineStr">
        <is>
          <t>Vavliakis Athanasios,  Municipality of Volos, Greece</t>
        </is>
      </c>
      <c r="B11147" t="inlineStr">
        <is>
          <t>Collecting Point</t>
        </is>
      </c>
      <c r="C11147" t="inlineStr">
        <is>
          <t>Eurocert SA, Metamorfosi, Athens, GR</t>
        </is>
      </c>
      <c r="D11147" t="inlineStr">
        <is>
          <t>05.12.2026</t>
        </is>
      </c>
      <c r="E11147" t="inlineStr">
        <is>
          <t>Greece</t>
        </is>
      </c>
    </row>
    <row r="11148">
      <c r="A11148" t="inlineStr">
        <is>
          <t>Lantmännen Aspen AB,  Hindås, Sweden</t>
        </is>
      </c>
      <c r="B11148" t="inlineStr">
        <is>
          <t>Trader with Storage</t>
        </is>
      </c>
      <c r="C11148" t="inlineStr">
        <is>
          <t>Bureau Veritas Polska Sp. z o.o., Warsaw, PL</t>
        </is>
      </c>
      <c r="D11148" t="inlineStr">
        <is>
          <t>05.12.2026</t>
        </is>
      </c>
      <c r="E11148" t="inlineStr">
        <is>
          <t>Sweden</t>
        </is>
      </c>
    </row>
    <row r="11149">
      <c r="A11149" t="inlineStr">
        <is>
          <t>Lantmännen Aspen AB,  Hindås, Sweden</t>
        </is>
      </c>
      <c r="B11149" t="inlineStr">
        <is>
          <t>Trader with Storage</t>
        </is>
      </c>
      <c r="C11149" t="inlineStr">
        <is>
          <t>Bureau Veritas Polska Sp. z o.o., Warsaw, PL</t>
        </is>
      </c>
      <c r="D11149" t="inlineStr">
        <is>
          <t>05.12.2026</t>
        </is>
      </c>
      <c r="E11149" t="inlineStr">
        <is>
          <t>Sweden</t>
        </is>
      </c>
    </row>
    <row r="11150">
      <c r="A11150" t="inlineStr">
        <is>
          <t>Green Plains Trade Group,  Omaha, Nebraska, United States</t>
        </is>
      </c>
      <c r="B11150" t="inlineStr">
        <is>
          <t>Collecting Point, Trader with Storage</t>
        </is>
      </c>
      <c r="C11150" t="inlineStr">
        <is>
          <t>SCS Global Services, Emeryville, CA, US</t>
        </is>
      </c>
      <c r="D11150" t="inlineStr">
        <is>
          <t>05.12.2026</t>
        </is>
      </c>
      <c r="E11150" t="inlineStr">
        <is>
          <t>United States</t>
        </is>
      </c>
    </row>
    <row r="11151">
      <c r="A11151" t="inlineStr">
        <is>
          <t>Process Oils, Inc.,  Sugar Land, TX, United States</t>
        </is>
      </c>
      <c r="B11151" t="inlineStr">
        <is>
          <t>Trader</t>
        </is>
      </c>
      <c r="C11151" t="inlineStr">
        <is>
          <t>Control Union Poland Sp. z o.o., Zielona Gora, PL</t>
        </is>
      </c>
      <c r="D11151" t="inlineStr">
        <is>
          <t>05.12.2026</t>
        </is>
      </c>
      <c r="E11151" t="inlineStr">
        <is>
          <t>United States</t>
        </is>
      </c>
    </row>
    <row r="11152">
      <c r="A11152" t="inlineStr">
        <is>
          <t>Green Plains Trade Group,  Omaha, Nebraska, United States</t>
        </is>
      </c>
      <c r="B11152" t="inlineStr">
        <is>
          <t>Collecting Point, Trader with Storage</t>
        </is>
      </c>
      <c r="C11152" t="inlineStr">
        <is>
          <t>SCS Global Services, Emeryville, CA, US</t>
        </is>
      </c>
      <c r="D11152" t="inlineStr">
        <is>
          <t>05.12.2026</t>
        </is>
      </c>
      <c r="E11152" t="inlineStr">
        <is>
          <t>United States</t>
        </is>
      </c>
    </row>
    <row r="11153">
      <c r="A11153" t="inlineStr">
        <is>
          <t>Prima Mas Lestari,  Bungo Regency, Jambi Province, Indonesia</t>
        </is>
      </c>
      <c r="B11153" t="inlineStr">
        <is>
          <t>Point of Origin</t>
        </is>
      </c>
      <c r="C11153" t="inlineStr">
        <is>
          <t>PT. Qualitas Sertifikasi Indonesia, Jakarta, ID</t>
        </is>
      </c>
      <c r="D11153" t="inlineStr">
        <is>
          <t>05.12.2026</t>
        </is>
      </c>
      <c r="E11153" t="inlineStr">
        <is>
          <t>Indonesia</t>
        </is>
      </c>
    </row>
    <row r="11154">
      <c r="A11154" t="inlineStr">
        <is>
          <t>Green Plains Trade Group,  Omaha, Nebraska, United States</t>
        </is>
      </c>
      <c r="B11154" t="inlineStr">
        <is>
          <t>Collecting Point, Trader with Storage</t>
        </is>
      </c>
      <c r="C11154" t="inlineStr">
        <is>
          <t>SCS Global Services, Emeryville, CA, US</t>
        </is>
      </c>
      <c r="D11154" t="inlineStr">
        <is>
          <t>05.12.2026</t>
        </is>
      </c>
      <c r="E11154" t="inlineStr">
        <is>
          <t>United States</t>
        </is>
      </c>
    </row>
    <row r="11155">
      <c r="A11155" t="inlineStr">
        <is>
          <t>PT Pertamina Patra Niaga,  Lomanis, Kec. Cilacap Tengah, Kabupaten Cilacap, Indonesia</t>
        </is>
      </c>
      <c r="B11155" t="inlineStr">
        <is>
          <t>Processing Unit</t>
        </is>
      </c>
      <c r="C11155" t="inlineStr">
        <is>
          <t>PT Intertek Utama Services, Jakarta, ID</t>
        </is>
      </c>
      <c r="D11155" t="inlineStr">
        <is>
          <t>05.12.2026</t>
        </is>
      </c>
      <c r="E11155" t="inlineStr">
        <is>
          <t>Indonesia</t>
        </is>
      </c>
    </row>
    <row r="11156">
      <c r="A11156" t="inlineStr">
        <is>
          <t>PT Pertamina Patra Niaga,  Lomanis, Kec. Cilacap Tengah, Kabupaten Cilacap, Indonesia</t>
        </is>
      </c>
      <c r="B11156" t="inlineStr">
        <is>
          <t>Processing Unit</t>
        </is>
      </c>
      <c r="C11156" t="inlineStr">
        <is>
          <t>PT Intertek Utama Services, Jakarta, ID</t>
        </is>
      </c>
      <c r="D11156" t="inlineStr">
        <is>
          <t>05.12.2026</t>
        </is>
      </c>
      <c r="E11156" t="inlineStr">
        <is>
          <t>Indonesia</t>
        </is>
      </c>
    </row>
    <row r="11157">
      <c r="A11157" t="inlineStr">
        <is>
          <t>BIOMASS ENERGY SOLUTIONS VSG,  VIELLE-SAINT-GIRONS, France</t>
        </is>
      </c>
      <c r="B11157" t="inlineStr">
        <is>
          <t>Processing Unit</t>
        </is>
      </c>
      <c r="C11157" t="inlineStr">
        <is>
          <t>Control Union Certifications Germany GmbH, Berlin, DE</t>
        </is>
      </c>
      <c r="D11157" t="inlineStr">
        <is>
          <t>05.12.2026</t>
        </is>
      </c>
      <c r="E11157" t="inlineStr">
        <is>
          <t>France</t>
        </is>
      </c>
    </row>
    <row r="11158">
      <c r="A11158" t="inlineStr">
        <is>
          <t>Orac NV,  Oostende, Belgium</t>
        </is>
      </c>
      <c r="B11158" t="inlineStr">
        <is>
          <t>Processing Unit, Final Product Refinement</t>
        </is>
      </c>
      <c r="C11158" t="inlineStr">
        <is>
          <t>Normec QS BV, Bennekom, NL</t>
        </is>
      </c>
      <c r="D11158" t="inlineStr">
        <is>
          <t>05.12.2026</t>
        </is>
      </c>
      <c r="E11158" t="inlineStr">
        <is>
          <t>Belgium</t>
        </is>
      </c>
    </row>
    <row r="11159">
      <c r="A11159" t="inlineStr">
        <is>
          <t>PT KMK GLOBAL SPORTS,  Kab. Tangerang, Indonesia</t>
        </is>
      </c>
      <c r="B11159" t="inlineStr">
        <is>
          <t>Final Product Refinement, Processing Unit</t>
        </is>
      </c>
      <c r="C11159" t="inlineStr">
        <is>
          <t>PT Intertek Utama Services, Jakarta, ID</t>
        </is>
      </c>
      <c r="D11159" t="inlineStr">
        <is>
          <t>05.12.2026</t>
        </is>
      </c>
      <c r="E11159" t="inlineStr">
        <is>
          <t>Indonesia</t>
        </is>
      </c>
    </row>
    <row r="11160">
      <c r="A11160" t="inlineStr">
        <is>
          <t>DONGYANG MFG. CO., LTD.,  BUSAN, South Korea</t>
        </is>
      </c>
      <c r="B11160" t="inlineStr">
        <is>
          <t>Processing Unit</t>
        </is>
      </c>
      <c r="C11160" t="inlineStr">
        <is>
          <t>Control Union Certifications Germany GmbH, Berlin, DE</t>
        </is>
      </c>
      <c r="D11160" t="inlineStr">
        <is>
          <t>05.12.2026</t>
        </is>
      </c>
      <c r="E11160" t="inlineStr">
        <is>
          <t>South Korea</t>
        </is>
      </c>
    </row>
    <row r="11161">
      <c r="A11161" t="inlineStr">
        <is>
          <t>PT Bina Mitra Makmur,  Kabupaten Bungo, Provinsi Jambi, Indonesia</t>
        </is>
      </c>
      <c r="B11161" t="inlineStr">
        <is>
          <t>Point of Origin</t>
        </is>
      </c>
      <c r="C11161" t="inlineStr">
        <is>
          <t>PT. Qualitas Sertifikasi Indonesia, Jakarta, ID</t>
        </is>
      </c>
      <c r="D11161" t="inlineStr">
        <is>
          <t>05.12.2026</t>
        </is>
      </c>
      <c r="E11161" t="inlineStr">
        <is>
          <t>Indonesia</t>
        </is>
      </c>
    </row>
    <row r="11162">
      <c r="A11162" t="inlineStr">
        <is>
          <t>PT Bina Mitra Makmur,  Kabupaten Bungo, Provinsi Jambi, Indonesia</t>
        </is>
      </c>
      <c r="B11162" t="inlineStr">
        <is>
          <t>Point of Origin</t>
        </is>
      </c>
      <c r="C11162" t="inlineStr">
        <is>
          <t>PT. Qualitas Sertifikasi Indonesia, Jakarta, ID</t>
        </is>
      </c>
      <c r="D11162" t="inlineStr">
        <is>
          <t>05.12.2026</t>
        </is>
      </c>
      <c r="E11162" t="inlineStr">
        <is>
          <t>Indonesia</t>
        </is>
      </c>
    </row>
    <row r="11163">
      <c r="A11163" t="inlineStr">
        <is>
          <t>PT. Kemilau Permata Sawit,  South Pesisir Regency, West Sumatera Province, Indonesia</t>
        </is>
      </c>
      <c r="B11163" t="inlineStr">
        <is>
          <t>Point of Origin</t>
        </is>
      </c>
      <c r="C11163" t="inlineStr">
        <is>
          <t>PT. Qualitas Sertifikasi Indonesia, Jakarta, ID</t>
        </is>
      </c>
      <c r="D11163" t="inlineStr">
        <is>
          <t>05.12.2026</t>
        </is>
      </c>
      <c r="E11163" t="inlineStr">
        <is>
          <t>Indonesia</t>
        </is>
      </c>
    </row>
    <row r="11164">
      <c r="A11164" t="inlineStr">
        <is>
          <t>PT. Kemilau Permata Sawit,  South Pesisir Regency, West Sumatera Province, Indonesia</t>
        </is>
      </c>
      <c r="B11164" t="inlineStr">
        <is>
          <t>Point of Origin</t>
        </is>
      </c>
      <c r="C11164" t="inlineStr">
        <is>
          <t>PT. Qualitas Sertifikasi Indonesia, Jakarta, ID</t>
        </is>
      </c>
      <c r="D11164" t="inlineStr">
        <is>
          <t>05.12.2026</t>
        </is>
      </c>
      <c r="E11164" t="inlineStr">
        <is>
          <t>Indonesia</t>
        </is>
      </c>
    </row>
    <row r="11165">
      <c r="A11165" t="inlineStr">
        <is>
          <t>EB Packaging Sdn Bhd,  Johor, Malaysia</t>
        </is>
      </c>
      <c r="B11165" t="inlineStr">
        <is>
          <t>Processing Unit</t>
        </is>
      </c>
      <c r="C11165" t="inlineStr">
        <is>
          <t>Control Union Certifications Germany GmbH, Berlin, DE</t>
        </is>
      </c>
      <c r="D11165" t="inlineStr">
        <is>
          <t>05.12.2026</t>
        </is>
      </c>
      <c r="E11165" t="inlineStr">
        <is>
          <t>Malaysia</t>
        </is>
      </c>
    </row>
    <row r="11166">
      <c r="A11166" t="inlineStr">
        <is>
          <t>Toray Plastics (Malaysia) Sdn. Berhad,  Prai, Penang, Malaysia</t>
        </is>
      </c>
      <c r="B11166" t="inlineStr">
        <is>
          <t>Processing Unit</t>
        </is>
      </c>
      <c r="C11166" t="inlineStr">
        <is>
          <t>Control Union Certifications Germany GmbH, Berlin, DE</t>
        </is>
      </c>
      <c r="D11166" t="inlineStr">
        <is>
          <t>05.12.2026</t>
        </is>
      </c>
      <c r="E11166" t="inlineStr">
        <is>
          <t>Malaysia</t>
        </is>
      </c>
    </row>
    <row r="11167">
      <c r="A11167" t="inlineStr">
        <is>
          <t>Printpack Packaging de Mexico,  El Marques, Mexico</t>
        </is>
      </c>
      <c r="B11167" t="inlineStr">
        <is>
          <t>Processing Unit</t>
        </is>
      </c>
      <c r="C11167" t="inlineStr">
        <is>
          <t>SCS Global Services, Emeryville, CA, US</t>
        </is>
      </c>
      <c r="D11167" t="inlineStr">
        <is>
          <t>05.12.2026</t>
        </is>
      </c>
      <c r="E11167" t="inlineStr">
        <is>
          <t>Mexico</t>
        </is>
      </c>
    </row>
    <row r="11168">
      <c r="A11168" t="inlineStr">
        <is>
          <t>Lyondell Chemical Company,  Pasadena, United States</t>
        </is>
      </c>
      <c r="B11168" t="inlineStr">
        <is>
          <t>Processing Unit, ETBE plant</t>
        </is>
      </c>
      <c r="C11168" t="inlineStr">
        <is>
          <t>SCS Global Services, Emeryville, CA, US</t>
        </is>
      </c>
      <c r="D11168" t="inlineStr">
        <is>
          <t>05.12.2026</t>
        </is>
      </c>
      <c r="E11168" t="inlineStr">
        <is>
          <t>United States</t>
        </is>
      </c>
    </row>
    <row r="11169">
      <c r="A11169" t="inlineStr">
        <is>
          <t>Usaha Sawit Mandiri,  Kec. Lubuk Pinang, Kab.Mukomuko - Bengkulu, Indonesia</t>
        </is>
      </c>
      <c r="B11169" t="inlineStr">
        <is>
          <t>Point of Origin</t>
        </is>
      </c>
      <c r="C11169" t="inlineStr">
        <is>
          <t>PT. Qualitas Sertifikasi Indonesia, Jakarta, ID</t>
        </is>
      </c>
      <c r="D11169" t="inlineStr">
        <is>
          <t>05.12.2026</t>
        </is>
      </c>
      <c r="E11169" t="inlineStr">
        <is>
          <t>Indonesia</t>
        </is>
      </c>
    </row>
    <row r="11170">
      <c r="A11170" t="inlineStr">
        <is>
          <t>Precision record pressing inc.,  Burlington, Canada</t>
        </is>
      </c>
      <c r="B11170" t="inlineStr">
        <is>
          <t>Processing Unit, Trader with Storage</t>
        </is>
      </c>
      <c r="C11170" t="inlineStr">
        <is>
          <t>SCS Global Services, Emeryville, CA, US</t>
        </is>
      </c>
      <c r="D11170" t="inlineStr">
        <is>
          <t>05.12.2026</t>
        </is>
      </c>
      <c r="E11170" t="inlineStr">
        <is>
          <t>Canada</t>
        </is>
      </c>
    </row>
    <row r="11171">
      <c r="A11171" t="inlineStr">
        <is>
          <t>Cofresco Frischhalteprodukte,  Minden, Germany</t>
        </is>
      </c>
      <c r="B11171" t="inlineStr">
        <is>
          <t>Trader with Storage</t>
        </is>
      </c>
      <c r="C11171" t="inlineStr">
        <is>
          <t>SGS Germany GmbH, Emstek, DE</t>
        </is>
      </c>
      <c r="D11171" t="inlineStr">
        <is>
          <t>05.12.2026</t>
        </is>
      </c>
      <c r="E11171" t="inlineStr">
        <is>
          <t>Germany</t>
        </is>
      </c>
    </row>
    <row r="11172">
      <c r="A11172" t="inlineStr">
        <is>
          <t>ABF Energy Trading B.V.,  Amsterdam, Netherlands</t>
        </is>
      </c>
      <c r="B11172" t="inlineStr">
        <is>
          <t>Trader with Storage</t>
        </is>
      </c>
      <c r="C11172" t="inlineStr">
        <is>
          <t>SGS Germany GmbH, Emstek, DE</t>
        </is>
      </c>
      <c r="D11172" t="inlineStr">
        <is>
          <t>05.12.2026</t>
        </is>
      </c>
      <c r="E11172" t="inlineStr">
        <is>
          <t>Netherlands</t>
        </is>
      </c>
    </row>
    <row r="11173">
      <c r="A11173" t="inlineStr">
        <is>
          <t>Toly Products Ltd.,  Zejtun, Malta</t>
        </is>
      </c>
      <c r="B11173" t="inlineStr">
        <is>
          <t>Processing Unit</t>
        </is>
      </c>
      <c r="C11173" t="inlineStr">
        <is>
          <t>SGS Germany GmbH, Emstek, DE</t>
        </is>
      </c>
      <c r="D11173" t="inlineStr">
        <is>
          <t>05.12.2026</t>
        </is>
      </c>
      <c r="E11173" t="inlineStr">
        <is>
          <t>Malta</t>
        </is>
      </c>
    </row>
    <row r="11174">
      <c r="A11174" t="inlineStr">
        <is>
          <t>PCK Raffinerie GmbH,  Schwedt/Oder, Germany</t>
        </is>
      </c>
      <c r="B11174" t="inlineStr">
        <is>
          <t>Warehouse, Trader with Storage</t>
        </is>
      </c>
      <c r="C11174" t="inlineStr">
        <is>
          <t>SGS Germany GmbH, Emstek, DE</t>
        </is>
      </c>
      <c r="D11174" t="inlineStr">
        <is>
          <t>05.12.2026</t>
        </is>
      </c>
      <c r="E11174" t="inlineStr">
        <is>
          <t>Germany</t>
        </is>
      </c>
    </row>
    <row r="11175">
      <c r="A11175" t="inlineStr">
        <is>
          <t>FUKUSUKE KOGYO Co.,Ltd.,  Shikokuchuo-shi, Japan</t>
        </is>
      </c>
      <c r="B11175" t="inlineStr">
        <is>
          <t>Trader with Storage</t>
        </is>
      </c>
      <c r="C11175" t="inlineStr">
        <is>
          <t>SGS Germany GmbH, Emstek, DE</t>
        </is>
      </c>
      <c r="D11175" t="inlineStr">
        <is>
          <t>05.12.2026</t>
        </is>
      </c>
      <c r="E11175" t="inlineStr">
        <is>
          <t>Japan</t>
        </is>
      </c>
    </row>
    <row r="11176">
      <c r="A11176" t="inlineStr">
        <is>
          <t>Borealis GmbH,  Beveren-Kruibeke-Zwijndrecht, Belgium</t>
        </is>
      </c>
      <c r="B11176" t="inlineStr">
        <is>
          <t>Trader with Storage, Processing Unit</t>
        </is>
      </c>
      <c r="C11176" t="inlineStr">
        <is>
          <t>SGS Germany GmbH, Emstek, DE</t>
        </is>
      </c>
      <c r="D11176" t="inlineStr">
        <is>
          <t>05.12.2026</t>
        </is>
      </c>
      <c r="E11176" t="inlineStr">
        <is>
          <t>Belgium</t>
        </is>
      </c>
    </row>
    <row r="11177">
      <c r="A11177" t="inlineStr">
        <is>
          <t>SHV Gas Supply &amp; Risk Management,  Courbevoie, France</t>
        </is>
      </c>
      <c r="B11177" t="inlineStr">
        <is>
          <t>Trader with Storage</t>
        </is>
      </c>
      <c r="C11177" t="inlineStr">
        <is>
          <t>SGS Germany GmbH, Emstek, DE</t>
        </is>
      </c>
      <c r="D11177" t="inlineStr">
        <is>
          <t>05.12.2026</t>
        </is>
      </c>
      <c r="E11177" t="inlineStr">
        <is>
          <t>France</t>
        </is>
      </c>
    </row>
    <row r="11178">
      <c r="A11178" t="inlineStr">
        <is>
          <t>SHV Gas Supply &amp; Risk Management,  Courbevoie, France</t>
        </is>
      </c>
      <c r="B11178" t="inlineStr">
        <is>
          <t>Trader with Storage</t>
        </is>
      </c>
      <c r="C11178" t="inlineStr">
        <is>
          <t>SGS Germany GmbH, Emstek, DE</t>
        </is>
      </c>
      <c r="D11178" t="inlineStr">
        <is>
          <t>05.12.2026</t>
        </is>
      </c>
      <c r="E11178" t="inlineStr">
        <is>
          <t>France</t>
        </is>
      </c>
    </row>
    <row r="11179">
      <c r="A11179" t="inlineStr">
        <is>
          <t>PT KHARISMA AGRO SEJAHTERA,  KAB. INDRAGIRI HULU, Indonesia</t>
        </is>
      </c>
      <c r="B11179" t="inlineStr">
        <is>
          <t>Point of Origin</t>
        </is>
      </c>
      <c r="C11179" t="inlineStr">
        <is>
          <t>PT. CBQA GLOBAL INDONESIA, JAKARTA SELATAN, ID</t>
        </is>
      </c>
      <c r="D11179" t="inlineStr">
        <is>
          <t>05.12.2026</t>
        </is>
      </c>
      <c r="E11179" t="inlineStr">
        <is>
          <t>Indonesia</t>
        </is>
      </c>
    </row>
    <row r="11180">
      <c r="A11180" t="inlineStr">
        <is>
          <t>Solenis Finland Oy,  tampere, Finland</t>
        </is>
      </c>
      <c r="B11180" t="inlineStr">
        <is>
          <t>Processing Unit, Trader with Storage</t>
        </is>
      </c>
      <c r="C11180" t="inlineStr">
        <is>
          <t>RINA Services S.p.A., Genova, IT</t>
        </is>
      </c>
      <c r="D11180" t="inlineStr">
        <is>
          <t>05.12.2026</t>
        </is>
      </c>
      <c r="E11180" t="inlineStr">
        <is>
          <t>Finland</t>
        </is>
      </c>
    </row>
    <row r="11181">
      <c r="A11181" t="inlineStr">
        <is>
          <t>Unitika Ltd.,  Chuo-ku, Osaka, Japan</t>
        </is>
      </c>
      <c r="B11181" t="inlineStr">
        <is>
          <t>Trader with Storage</t>
        </is>
      </c>
      <c r="C11181" t="inlineStr">
        <is>
          <t>SGS Germany GmbH, Emstek, DE</t>
        </is>
      </c>
      <c r="D11181" t="inlineStr">
        <is>
          <t>05.12.2026</t>
        </is>
      </c>
      <c r="E11181" t="inlineStr">
        <is>
          <t>Japan</t>
        </is>
      </c>
    </row>
    <row r="11182">
      <c r="A11182" t="inlineStr">
        <is>
          <t>The Dow Chemical Company,  Plaquemine, Louisiana, United States</t>
        </is>
      </c>
      <c r="B11182" t="inlineStr">
        <is>
          <t>Processing Unit, Trader with Storage</t>
        </is>
      </c>
      <c r="C11182" t="inlineStr">
        <is>
          <t>SGS Germany GmbH, Emstek, DE</t>
        </is>
      </c>
      <c r="D11182" t="inlineStr">
        <is>
          <t>05.12.2026</t>
        </is>
      </c>
      <c r="E11182" t="inlineStr">
        <is>
          <t>United States</t>
        </is>
      </c>
    </row>
    <row r="11183">
      <c r="A11183" t="inlineStr">
        <is>
          <t>American Packaging Corporation - Roto DeForest COE,  DeForest, WI, United States</t>
        </is>
      </c>
      <c r="B11183" t="inlineStr">
        <is>
          <t>Processing Unit</t>
        </is>
      </c>
      <c r="C11183" t="inlineStr">
        <is>
          <t>DQS CFS GmbH - Deutsche Gesellschaft für Nachhaltigkeit, Frankfurt am Main, DE</t>
        </is>
      </c>
      <c r="D11183" t="inlineStr">
        <is>
          <t>05.12.2026</t>
        </is>
      </c>
      <c r="E11183" t="inlineStr">
        <is>
          <t>United States</t>
        </is>
      </c>
    </row>
    <row r="11184">
      <c r="A11184" t="inlineStr">
        <is>
          <t>Lyondell Chemical Company,  Pasadena, United States</t>
        </is>
      </c>
      <c r="B11184" t="inlineStr">
        <is>
          <t>ETBE plant</t>
        </is>
      </c>
      <c r="C11184" t="inlineStr">
        <is>
          <t>SCS Global Services, Emeryville, CA, US</t>
        </is>
      </c>
      <c r="D11184" t="inlineStr">
        <is>
          <t>05.12.2026</t>
        </is>
      </c>
      <c r="E11184" t="inlineStr">
        <is>
          <t>United States</t>
        </is>
      </c>
    </row>
    <row r="11185">
      <c r="A11185" t="inlineStr">
        <is>
          <t>Oadash Pty Ltd t/a KM &amp; WM Kelly &amp; Sons,  Finley, Australia</t>
        </is>
      </c>
      <c r="B11185" t="inlineStr">
        <is>
          <t>Trader with Storage</t>
        </is>
      </c>
      <c r="C11185" t="inlineStr">
        <is>
          <t>Control Union Certifications Germany GmbH, Berlin, DE</t>
        </is>
      </c>
      <c r="D11185" t="inlineStr">
        <is>
          <t>05.12.2026</t>
        </is>
      </c>
      <c r="E11185" t="inlineStr">
        <is>
          <t>Australia</t>
        </is>
      </c>
    </row>
    <row r="11186">
      <c r="A11186" t="inlineStr">
        <is>
          <t>LIMPIEZAS NERVION S.A. LINERSA (NIF: A48252522),  Zierbena, Spain</t>
        </is>
      </c>
      <c r="B11186" t="inlineStr">
        <is>
          <t>Collecting Point</t>
        </is>
      </c>
      <c r="C11186" t="inlineStr">
        <is>
          <t>Control Union Poland Sp. z o.o., Zielona Gora, PL</t>
        </is>
      </c>
      <c r="D11186" t="inlineStr">
        <is>
          <t>05.12.2026</t>
        </is>
      </c>
      <c r="E11186" t="inlineStr">
        <is>
          <t>Spain</t>
        </is>
      </c>
    </row>
    <row r="11187">
      <c r="A11187" t="inlineStr">
        <is>
          <t>Palma Agroindo Mandiri,  Kotawaringin Barat, Indonesia</t>
        </is>
      </c>
      <c r="B11187" t="inlineStr">
        <is>
          <t>Point of Origin</t>
        </is>
      </c>
      <c r="C11187" t="inlineStr">
        <is>
          <t>PT. CBQA GLOBAL INDONESIA, JAKARTA SELATAN, ID</t>
        </is>
      </c>
      <c r="D11187" t="inlineStr">
        <is>
          <t>04.12.2026</t>
        </is>
      </c>
      <c r="E11187" t="inlineStr">
        <is>
          <t>Indonesia</t>
        </is>
      </c>
    </row>
    <row r="11188">
      <c r="A11188" t="inlineStr">
        <is>
          <t>Greenergy Biofuels Amsterdam BV,  Amsterdam, Netherlands</t>
        </is>
      </c>
      <c r="B11188" t="inlineStr">
        <is>
          <t>Point of Origin, Processing Unit</t>
        </is>
      </c>
      <c r="C11188" t="inlineStr">
        <is>
          <t>Control Union Certifications Germany GmbH, Berlin, DE</t>
        </is>
      </c>
      <c r="D11188" t="inlineStr">
        <is>
          <t>04.12.2026</t>
        </is>
      </c>
      <c r="E11188" t="inlineStr">
        <is>
          <t>Netherlands</t>
        </is>
      </c>
    </row>
    <row r="11189">
      <c r="A11189" t="inlineStr">
        <is>
          <t>QUIMIDROGA ITALIA,  Milano (MI), Italy</t>
        </is>
      </c>
      <c r="B11189" t="inlineStr">
        <is>
          <t>Trader</t>
        </is>
      </c>
      <c r="C11189" t="inlineStr">
        <is>
          <t>RINA Services S.p.A., Genova, IT</t>
        </is>
      </c>
      <c r="D11189" t="inlineStr">
        <is>
          <t>04.12.2026</t>
        </is>
      </c>
      <c r="E11189" t="inlineStr">
        <is>
          <t>Italy</t>
        </is>
      </c>
    </row>
    <row r="11190">
      <c r="A11190" t="inlineStr">
        <is>
          <t>Lianyungang Zhonggu New Energy Co., Ltd.,  Lianyungang City,Jiangsu Province, China</t>
        </is>
      </c>
      <c r="B11190" t="inlineStr">
        <is>
          <t>Collecting Point, Point of Origin, Processing Unit, Trader with Storage</t>
        </is>
      </c>
      <c r="C11190" t="inlineStr">
        <is>
          <t>SCS Global Services, Emeryville, CA, US</t>
        </is>
      </c>
      <c r="D11190" t="inlineStr">
        <is>
          <t>04.12.2026</t>
        </is>
      </c>
      <c r="E11190" t="inlineStr">
        <is>
          <t>China</t>
        </is>
      </c>
    </row>
    <row r="11191">
      <c r="A11191" t="inlineStr">
        <is>
          <t>PTT Oil and Retail Business Public Company Limited,  Bangkok, Thailand</t>
        </is>
      </c>
      <c r="B11191" t="inlineStr">
        <is>
          <t>Trader with Storage</t>
        </is>
      </c>
      <c r="C11191" t="inlineStr">
        <is>
          <t>Control Union Poland Sp. z o.o., Zielona Gora, PL</t>
        </is>
      </c>
      <c r="D11191" t="inlineStr">
        <is>
          <t>04.12.2026</t>
        </is>
      </c>
      <c r="E11191" t="inlineStr">
        <is>
          <t>Thailand</t>
        </is>
      </c>
    </row>
    <row r="11192">
      <c r="A11192" t="inlineStr">
        <is>
          <t>FULGENCIO GARCÍA MORA, S.L.,  Ossa de Montiel (Albacete), Spain</t>
        </is>
      </c>
      <c r="B11192" t="inlineStr">
        <is>
          <t>Collecting Point</t>
        </is>
      </c>
      <c r="C11192" t="inlineStr">
        <is>
          <t>Control Union Poland Sp. z o.o., Zielona Gora, PL</t>
        </is>
      </c>
      <c r="D11192" t="inlineStr">
        <is>
          <t>04.12.2026</t>
        </is>
      </c>
      <c r="E11192" t="inlineStr">
        <is>
          <t>Spain</t>
        </is>
      </c>
    </row>
    <row r="11193">
      <c r="A11193" t="inlineStr">
        <is>
          <t>Kraton Polymers Nederland B.V.,  Berre-L'Etang, France</t>
        </is>
      </c>
      <c r="B11193" t="inlineStr">
        <is>
          <t>Processing Unit, Trader with Storage</t>
        </is>
      </c>
      <c r="C11193" t="inlineStr">
        <is>
          <t>TÜV SÜD Industrie Service GmbH, München, DE</t>
        </is>
      </c>
      <c r="D11193" t="inlineStr">
        <is>
          <t>04.12.2026</t>
        </is>
      </c>
      <c r="E11193" t="inlineStr">
        <is>
          <t>France</t>
        </is>
      </c>
    </row>
    <row r="11194">
      <c r="A11194" t="inlineStr">
        <is>
          <t>EMS-CHEMIE (Deutschland),  Gross-Umstadt, Germany</t>
        </is>
      </c>
      <c r="B11194" t="inlineStr">
        <is>
          <t>Processing Unit</t>
        </is>
      </c>
      <c r="C11194" t="inlineStr">
        <is>
          <t>TÜV SÜD Industrie Service GmbH, München, DE</t>
        </is>
      </c>
      <c r="D11194" t="inlineStr">
        <is>
          <t>04.12.2026</t>
        </is>
      </c>
      <c r="E11194" t="inlineStr">
        <is>
          <t>Germany</t>
        </is>
      </c>
    </row>
    <row r="11195">
      <c r="A11195" t="inlineStr">
        <is>
          <t>OSC Siam Silica,  Rayong, Thailand</t>
        </is>
      </c>
      <c r="B11195" t="inlineStr">
        <is>
          <t>Processing Unit</t>
        </is>
      </c>
      <c r="C11195" t="inlineStr">
        <is>
          <t>Control Union Poland Sp. z o.o., Zielona Gora, PL</t>
        </is>
      </c>
      <c r="D11195" t="inlineStr">
        <is>
          <t>04.12.2026</t>
        </is>
      </c>
      <c r="E11195" t="inlineStr">
        <is>
          <t>Thailand</t>
        </is>
      </c>
    </row>
    <row r="11196">
      <c r="A11196" t="inlineStr">
        <is>
          <t>Toray Industries, Inc. Nagoya Plant,  Nagoya, Japan</t>
        </is>
      </c>
      <c r="B11196" t="inlineStr">
        <is>
          <t>Processing Unit</t>
        </is>
      </c>
      <c r="C11196" t="inlineStr">
        <is>
          <t>TÜV SÜD Industrie Service GmbH, München, DE</t>
        </is>
      </c>
      <c r="D11196" t="inlineStr">
        <is>
          <t>04.12.2026</t>
        </is>
      </c>
      <c r="E11196" t="inlineStr">
        <is>
          <t>Japan</t>
        </is>
      </c>
    </row>
    <row r="11197">
      <c r="A11197" t="inlineStr">
        <is>
          <t>The Fourth Branch of Liaoning Port Group Holdings (Yingkou) Co., Ltd.,  Yingkou City, China</t>
        </is>
      </c>
      <c r="B11197" t="inlineStr">
        <is>
          <t>Warehouse</t>
        </is>
      </c>
      <c r="C11197" t="inlineStr">
        <is>
          <t>China Classification Society Certification Co., Ltd, Dong Cheng District, Beijing, CN</t>
        </is>
      </c>
      <c r="D11197" t="inlineStr">
        <is>
          <t>04.12.2026</t>
        </is>
      </c>
      <c r="E11197" t="inlineStr">
        <is>
          <t>China</t>
        </is>
      </c>
    </row>
    <row r="11198">
      <c r="A11198" t="inlineStr">
        <is>
          <t>AVIA Mineralölhandels,  Zwettl, Austria</t>
        </is>
      </c>
      <c r="B11198" t="inlineStr">
        <is>
          <t>Trader</t>
        </is>
      </c>
      <c r="C11198" t="inlineStr">
        <is>
          <t>agroVet GmbH, Enzersfeld, AT</t>
        </is>
      </c>
      <c r="D11198" t="inlineStr">
        <is>
          <t>04.12.2026</t>
        </is>
      </c>
      <c r="E11198" t="inlineStr">
        <is>
          <t>Austria</t>
        </is>
      </c>
    </row>
    <row r="11199">
      <c r="A11199" t="inlineStr">
        <is>
          <t>MITSUBISHI GAS CHEMICAL COMPANY, INC.,  Niigata, Japan</t>
        </is>
      </c>
      <c r="B11199" t="inlineStr">
        <is>
          <t>Processing Unit</t>
        </is>
      </c>
      <c r="C11199" t="inlineStr">
        <is>
          <t>Control Union Certifications Germany GmbH, Berlin, DE</t>
        </is>
      </c>
      <c r="D11199" t="inlineStr">
        <is>
          <t>04.12.2026</t>
        </is>
      </c>
      <c r="E11199" t="inlineStr">
        <is>
          <t>Japan</t>
        </is>
      </c>
    </row>
    <row r="11200">
      <c r="A11200" t="inlineStr">
        <is>
          <t>DURY Chemical Co.Ltd,  Gimhae-si, Gyeongsangnam-do, Korea, Republic of</t>
        </is>
      </c>
      <c r="B11200" t="inlineStr">
        <is>
          <t>Processing Unit</t>
        </is>
      </c>
      <c r="C11200" t="inlineStr">
        <is>
          <t>Control Union Certifications Germany GmbH, Berlin, DE</t>
        </is>
      </c>
      <c r="D11200" t="inlineStr">
        <is>
          <t>04.12.2026</t>
        </is>
      </c>
      <c r="E11200" t="inlineStr">
        <is>
          <t>Republic of</t>
        </is>
      </c>
    </row>
    <row r="11201">
      <c r="A11201" t="inlineStr">
        <is>
          <t>Belgian Shell NV,  Bruxelles, Belgium</t>
        </is>
      </c>
      <c r="B11201" t="inlineStr">
        <is>
          <t>Trader with Storage, Proof of Compliance Trader</t>
        </is>
      </c>
      <c r="C11201" t="inlineStr">
        <is>
          <t>SGS Germany GmbH, Emstek, DE</t>
        </is>
      </c>
      <c r="D11201" t="inlineStr">
        <is>
          <t>04.12.2026</t>
        </is>
      </c>
      <c r="E11201" t="inlineStr">
        <is>
          <t>Belgium</t>
        </is>
      </c>
    </row>
    <row r="11202">
      <c r="A11202" t="inlineStr">
        <is>
          <t>LOUIS DREYFUS COMPANY GRAINS AUSTRALIA PTY LTD,  Abbotsford, Australia</t>
        </is>
      </c>
      <c r="B11202" t="inlineStr">
        <is>
          <t>Trader with Storage</t>
        </is>
      </c>
      <c r="C11202" t="inlineStr">
        <is>
          <t>Control Union Certifications Germany GmbH, Berlin, DE</t>
        </is>
      </c>
      <c r="D11202" t="inlineStr">
        <is>
          <t>04.12.2026</t>
        </is>
      </c>
      <c r="E11202" t="inlineStr">
        <is>
          <t>Australia</t>
        </is>
      </c>
    </row>
    <row r="11203">
      <c r="A11203" t="inlineStr">
        <is>
          <t>PIGEON INDUSTRIES (THAILAND) CO., LTD.,  Chonburi, Thailand</t>
        </is>
      </c>
      <c r="B11203" t="inlineStr">
        <is>
          <t>Processing Unit, Final Product Refinement</t>
        </is>
      </c>
      <c r="C11203" t="inlineStr">
        <is>
          <t>SGS Germany GmbH, Emstek, DE</t>
        </is>
      </c>
      <c r="D11203" t="inlineStr">
        <is>
          <t>04.12.2026</t>
        </is>
      </c>
      <c r="E11203" t="inlineStr">
        <is>
          <t>Thailand</t>
        </is>
      </c>
    </row>
    <row r="11204">
      <c r="A11204" t="inlineStr">
        <is>
          <t>Wintec,  Sabae, Fukui, Japan</t>
        </is>
      </c>
      <c r="B11204" t="inlineStr">
        <is>
          <t>Processing Unit</t>
        </is>
      </c>
      <c r="C11204" t="inlineStr">
        <is>
          <t>SGS Germany GmbH, Emstek, DE</t>
        </is>
      </c>
      <c r="D11204" t="inlineStr">
        <is>
          <t>04.12.2026</t>
        </is>
      </c>
      <c r="E11204" t="inlineStr">
        <is>
          <t>Japan</t>
        </is>
      </c>
    </row>
    <row r="11205">
      <c r="A11205" t="inlineStr">
        <is>
          <t>Fujian Xingxun New Materials Technology Co., Ltd.,  Shishi City, Quanzhou City, China</t>
        </is>
      </c>
      <c r="B11205" t="inlineStr">
        <is>
          <t>Processing Unit</t>
        </is>
      </c>
      <c r="C11205" t="inlineStr">
        <is>
          <t>Extensive Standard Technical Services Co., Ltd., Hong Kong, CN</t>
        </is>
      </c>
      <c r="D11205" t="inlineStr">
        <is>
          <t>04.12.2026</t>
        </is>
      </c>
      <c r="E11205" t="inlineStr">
        <is>
          <t>China</t>
        </is>
      </c>
    </row>
    <row r="11206">
      <c r="A11206" t="inlineStr">
        <is>
          <t>Prima Mas Lestari,  Bungo Regency, Jambi Province, Indonesia</t>
        </is>
      </c>
      <c r="B11206" t="inlineStr">
        <is>
          <t>Point of Origin</t>
        </is>
      </c>
      <c r="C11206" t="inlineStr">
        <is>
          <t>PT. Qualitas Sertifikasi Indonesia, Jakarta, ID</t>
        </is>
      </c>
      <c r="D11206" t="inlineStr">
        <is>
          <t>04.12.2026</t>
        </is>
      </c>
      <c r="E11206" t="inlineStr">
        <is>
          <t>Indonesia</t>
        </is>
      </c>
    </row>
    <row r="11207">
      <c r="A11207" t="inlineStr">
        <is>
          <t>Cixi Hongzhan Knitting Co., Ltd.,  Ningbo, China</t>
        </is>
      </c>
      <c r="B11207" t="inlineStr">
        <is>
          <t>Processing Unit</t>
        </is>
      </c>
      <c r="C11207" t="inlineStr">
        <is>
          <t>PT Intertek Utama Services, Jakarta, ID</t>
        </is>
      </c>
      <c r="D11207" t="inlineStr">
        <is>
          <t>04.12.2026</t>
        </is>
      </c>
      <c r="E11207" t="inlineStr">
        <is>
          <t>China</t>
        </is>
      </c>
    </row>
    <row r="11208">
      <c r="A11208" t="inlineStr">
        <is>
          <t>PT Asia Sawit Lestari,  Kabupaten Batanghari, Provinsi Jambi, Indonesia</t>
        </is>
      </c>
      <c r="B11208" t="inlineStr">
        <is>
          <t>Point of Origin</t>
        </is>
      </c>
      <c r="C11208" t="inlineStr">
        <is>
          <t>PT. Qualitas Sertifikasi Indonesia, Jakarta, ID</t>
        </is>
      </c>
      <c r="D11208" t="inlineStr">
        <is>
          <t>04.12.2026</t>
        </is>
      </c>
      <c r="E11208" t="inlineStr">
        <is>
          <t>Indonesia</t>
        </is>
      </c>
    </row>
    <row r="11209">
      <c r="A11209" t="inlineStr">
        <is>
          <t>Brantner Österreich GmbH,  Krems, Austria</t>
        </is>
      </c>
      <c r="B11209" t="inlineStr">
        <is>
          <t>Collecting Point</t>
        </is>
      </c>
      <c r="C11209" t="inlineStr">
        <is>
          <t>agroVet GmbH, Enzersfeld, AT</t>
        </is>
      </c>
      <c r="D11209" t="inlineStr">
        <is>
          <t>04.12.2026</t>
        </is>
      </c>
      <c r="E11209" t="inlineStr">
        <is>
          <t>Austria</t>
        </is>
      </c>
    </row>
    <row r="11210">
      <c r="A11210" t="inlineStr">
        <is>
          <t>DU PONT-TORAY CO., LTD.,  Chuo-ku, Tokyo, Japan</t>
        </is>
      </c>
      <c r="B11210" t="inlineStr">
        <is>
          <t>Trader</t>
        </is>
      </c>
      <c r="C11210" t="inlineStr">
        <is>
          <t>TÜV SÜD Industrie Service GmbH, München, DE</t>
        </is>
      </c>
      <c r="D11210" t="inlineStr">
        <is>
          <t>04.12.2026</t>
        </is>
      </c>
      <c r="E11210" t="inlineStr">
        <is>
          <t>Japan</t>
        </is>
      </c>
    </row>
    <row r="11211">
      <c r="A11211" t="inlineStr">
        <is>
          <t>DALLOZ CREATIONS,  Saint Claude, France</t>
        </is>
      </c>
      <c r="B11211" t="inlineStr">
        <is>
          <t>Processing Unit</t>
        </is>
      </c>
      <c r="C11211" t="inlineStr">
        <is>
          <t>SGS Germany GmbH, Emstek, DE</t>
        </is>
      </c>
      <c r="D11211" t="inlineStr">
        <is>
          <t>04.12.2026</t>
        </is>
      </c>
      <c r="E11211" t="inlineStr">
        <is>
          <t>France</t>
        </is>
      </c>
    </row>
    <row r="11212">
      <c r="A11212" t="inlineStr">
        <is>
          <t>HMS Bergbau Singapore Pte Ltd,  Singapore, Singapore</t>
        </is>
      </c>
      <c r="B11212" t="inlineStr">
        <is>
          <t>Trader</t>
        </is>
      </c>
      <c r="C11212" t="inlineStr">
        <is>
          <t>CTI Certification Co. Ltd, Shenzhen, CN</t>
        </is>
      </c>
      <c r="D11212" t="inlineStr">
        <is>
          <t>04.12.2026</t>
        </is>
      </c>
      <c r="E11212" t="inlineStr">
        <is>
          <t>Singapore</t>
        </is>
      </c>
    </row>
    <row r="11213">
      <c r="A11213" t="inlineStr">
        <is>
          <t>Liquin B.V.,  Rotterdam-Botlek, Netherlands</t>
        </is>
      </c>
      <c r="B11213" t="inlineStr">
        <is>
          <t>Logistics Center</t>
        </is>
      </c>
      <c r="C11213" t="inlineStr">
        <is>
          <t>SGS Germany GmbH, Emstek, DE</t>
        </is>
      </c>
      <c r="D11213" t="inlineStr">
        <is>
          <t>04.12.2026</t>
        </is>
      </c>
      <c r="E11213" t="inlineStr">
        <is>
          <t>Netherlands</t>
        </is>
      </c>
    </row>
    <row r="11214">
      <c r="A11214" t="inlineStr">
        <is>
          <t>ZD Dobruška a.s.,  Dobruška, Czech Republic</t>
        </is>
      </c>
      <c r="B11214" t="inlineStr">
        <is>
          <t>Collecting Point, Farm / Plantation, Point of Origin, Processing Unit</t>
        </is>
      </c>
      <c r="C11214" t="inlineStr">
        <is>
          <t>TÜV SÜD Czech s.r.o., Praha 4, CZ</t>
        </is>
      </c>
      <c r="D11214" t="inlineStr">
        <is>
          <t>04.12.2026</t>
        </is>
      </c>
      <c r="E11214" t="inlineStr">
        <is>
          <t>Czech Republic</t>
        </is>
      </c>
    </row>
    <row r="11215">
      <c r="A11215" t="inlineStr">
        <is>
          <t>HMS Bergbau Singapore Pte Ltd,  Singapore, Singapore</t>
        </is>
      </c>
      <c r="B11215" t="inlineStr">
        <is>
          <t>Trader</t>
        </is>
      </c>
      <c r="C11215" t="inlineStr">
        <is>
          <t>CTI Certification Co. Ltd, Shenzhen, CN</t>
        </is>
      </c>
      <c r="D11215" t="inlineStr">
        <is>
          <t>04.12.2026</t>
        </is>
      </c>
      <c r="E11215" t="inlineStr">
        <is>
          <t>Singapore</t>
        </is>
      </c>
    </row>
    <row r="11216">
      <c r="A11216" t="inlineStr">
        <is>
          <t>Xgility Pte. Ltd.,  Singapore, Singapore</t>
        </is>
      </c>
      <c r="B11216" t="inlineStr">
        <is>
          <t>Trader</t>
        </is>
      </c>
      <c r="C11216" t="inlineStr">
        <is>
          <t>PT TSI Sertifikasi Internasional, Jakarta Selatang, ID</t>
        </is>
      </c>
      <c r="D11216" t="inlineStr">
        <is>
          <t>04.12.2026</t>
        </is>
      </c>
      <c r="E11216" t="inlineStr">
        <is>
          <t>Singapore</t>
        </is>
      </c>
    </row>
    <row r="11217">
      <c r="A11217" t="inlineStr">
        <is>
          <t>Xgility Pte. Ltd.,  Singapore, Singapore</t>
        </is>
      </c>
      <c r="B11217" t="inlineStr">
        <is>
          <t>Trader</t>
        </is>
      </c>
      <c r="C11217" t="inlineStr">
        <is>
          <t>PT TSI Sertifikasi Internasional, Jakarta Selatang, ID</t>
        </is>
      </c>
      <c r="D11217" t="inlineStr">
        <is>
          <t>04.12.2026</t>
        </is>
      </c>
      <c r="E11217" t="inlineStr">
        <is>
          <t>Singapore</t>
        </is>
      </c>
    </row>
    <row r="11218">
      <c r="A11218" t="inlineStr">
        <is>
          <t>PLASTCHIM UKRAINE,  Lutsk, Ukraine</t>
        </is>
      </c>
      <c r="B11218" t="inlineStr">
        <is>
          <t>Processing Unit</t>
        </is>
      </c>
      <c r="C11218" t="inlineStr">
        <is>
          <t>Organic Standard Ltd, Kyiv, UA</t>
        </is>
      </c>
      <c r="D11218" t="inlineStr">
        <is>
          <t>04.12.2026</t>
        </is>
      </c>
      <c r="E11218" t="inlineStr">
        <is>
          <t>Ukraine</t>
        </is>
      </c>
    </row>
    <row r="11219">
      <c r="A11219" t="inlineStr">
        <is>
          <t>MB Energy AS,  Bergen, Norway</t>
        </is>
      </c>
      <c r="B11219" t="inlineStr">
        <is>
          <t>Proof of Compliance Trader, Trader with Storage</t>
        </is>
      </c>
      <c r="C11219" t="inlineStr">
        <is>
          <t>SGS Germany GmbH, Emstek, DE</t>
        </is>
      </c>
      <c r="D11219" t="inlineStr">
        <is>
          <t>04.12.2026</t>
        </is>
      </c>
      <c r="E11219" t="inlineStr">
        <is>
          <t>Norway</t>
        </is>
      </c>
    </row>
    <row r="11220">
      <c r="A11220" t="inlineStr">
        <is>
          <t>PT Green Energi Utama,  Malang, Jawa timur, Indonesia</t>
        </is>
      </c>
      <c r="B11220" t="inlineStr">
        <is>
          <t>Collecting Point, Trader with Storage, Processing Unit</t>
        </is>
      </c>
      <c r="C11220" t="inlineStr">
        <is>
          <t>BM Certification, Riga, LV</t>
        </is>
      </c>
      <c r="D11220" t="inlineStr">
        <is>
          <t>04.12.2026</t>
        </is>
      </c>
      <c r="E11220" t="inlineStr">
        <is>
          <t>Indonesia</t>
        </is>
      </c>
    </row>
    <row r="11221">
      <c r="A11221" t="inlineStr">
        <is>
          <t>Energis,  Koningsplein, Curacao</t>
        </is>
      </c>
      <c r="B11221" t="inlineStr">
        <is>
          <t>Processing Unit, Trader with Storage</t>
        </is>
      </c>
      <c r="C11221" t="inlineStr">
        <is>
          <t>PT. CBQA GLOBAL INDONESIA, JAKARTA SELATAN, ID</t>
        </is>
      </c>
      <c r="D11221" t="inlineStr">
        <is>
          <t>04.12.2026</t>
        </is>
      </c>
      <c r="E11221" t="inlineStr">
        <is>
          <t>Curacao</t>
        </is>
      </c>
    </row>
    <row r="11222">
      <c r="A11222" t="inlineStr">
        <is>
          <t>Utopia Envinergy,  BAN MAI SUBDISTRICT, PAK KRET DISTRICT, NONTHABURI, Thailand</t>
        </is>
      </c>
      <c r="B11222" t="inlineStr">
        <is>
          <t>Trader</t>
        </is>
      </c>
      <c r="C11222" t="inlineStr">
        <is>
          <t>Bureau Veritas Polska Sp. z o.o., Warsaw, PL</t>
        </is>
      </c>
      <c r="D11222" t="inlineStr">
        <is>
          <t>04.12.2026</t>
        </is>
      </c>
      <c r="E11222" t="inlineStr">
        <is>
          <t>Thailand</t>
        </is>
      </c>
    </row>
    <row r="11223">
      <c r="A11223" t="inlineStr">
        <is>
          <t>Utopia Envinergy,  BAN MAI SUBDISTRICT, PAK KRET DISTRICT, NONTHABURI, Thailand</t>
        </is>
      </c>
      <c r="B11223" t="inlineStr">
        <is>
          <t>Trader</t>
        </is>
      </c>
      <c r="C11223" t="inlineStr">
        <is>
          <t>Bureau Veritas Polska Sp. z o.o., Warsaw, PL</t>
        </is>
      </c>
      <c r="D11223" t="inlineStr">
        <is>
          <t>04.12.2026</t>
        </is>
      </c>
      <c r="E11223" t="inlineStr">
        <is>
          <t>Thailand</t>
        </is>
      </c>
    </row>
    <row r="11224">
      <c r="A11224" t="inlineStr">
        <is>
          <t>Sartorius Stedim Biotech,  Göttingen, Germany</t>
        </is>
      </c>
      <c r="B11224" t="inlineStr">
        <is>
          <t>Final Product Refinement, Warehouse</t>
        </is>
      </c>
      <c r="C11224" t="inlineStr">
        <is>
          <t>Aardvark Certification Ltd, Wiveliscombe, Somerset, GB</t>
        </is>
      </c>
      <c r="D11224" t="inlineStr">
        <is>
          <t>04.12.2026</t>
        </is>
      </c>
      <c r="E11224" t="inlineStr">
        <is>
          <t>Germany</t>
        </is>
      </c>
    </row>
    <row r="11225">
      <c r="A11225" t="inlineStr">
        <is>
          <t>Sartorius Stedim Biotech,  Göttingen, Germany</t>
        </is>
      </c>
      <c r="B11225" t="inlineStr">
        <is>
          <t>Processing Unit, Warehouse</t>
        </is>
      </c>
      <c r="C11225" t="inlineStr">
        <is>
          <t>Aardvark Certification Ltd, Wiveliscombe, Somerset, GB</t>
        </is>
      </c>
      <c r="D11225" t="inlineStr">
        <is>
          <t>04.12.2026</t>
        </is>
      </c>
      <c r="E11225" t="inlineStr">
        <is>
          <t>Germany</t>
        </is>
      </c>
    </row>
    <row r="11226">
      <c r="A11226" t="inlineStr">
        <is>
          <t>Wilmar Oleo North America,  Pearland, United States</t>
        </is>
      </c>
      <c r="B11226" t="inlineStr">
        <is>
          <t>Trader</t>
        </is>
      </c>
      <c r="C11226" t="inlineStr">
        <is>
          <t>Control Union Poland Sp. z o.o., Zielona Gora, PL</t>
        </is>
      </c>
      <c r="D11226" t="inlineStr">
        <is>
          <t>04.12.2026</t>
        </is>
      </c>
      <c r="E11226" t="inlineStr">
        <is>
          <t>United States</t>
        </is>
      </c>
    </row>
    <row r="11227">
      <c r="A11227" t="inlineStr">
        <is>
          <t>Wilmar Oleo North America,  Pearland, United States</t>
        </is>
      </c>
      <c r="B11227" t="inlineStr">
        <is>
          <t>Trader</t>
        </is>
      </c>
      <c r="C11227" t="inlineStr">
        <is>
          <t>Control Union Poland Sp. z o.o., Zielona Gora, PL</t>
        </is>
      </c>
      <c r="D11227" t="inlineStr">
        <is>
          <t>04.12.2026</t>
        </is>
      </c>
      <c r="E11227" t="inlineStr">
        <is>
          <t>United States</t>
        </is>
      </c>
    </row>
    <row r="11228">
      <c r="A11228" t="inlineStr">
        <is>
          <t>Sekiguchi Yushi Co., Ltd.,  Iwafunemachi, Tochigi-shi, Tochigi-ken, Japan</t>
        </is>
      </c>
      <c r="B11228" t="inlineStr">
        <is>
          <t>Collecting Point, Trader with Storage</t>
        </is>
      </c>
      <c r="C11228" t="inlineStr">
        <is>
          <t>SGS Germany GmbH, Emstek, DE</t>
        </is>
      </c>
      <c r="D11228" t="inlineStr">
        <is>
          <t>04.12.2026</t>
        </is>
      </c>
      <c r="E11228" t="inlineStr">
        <is>
          <t>Japan</t>
        </is>
      </c>
    </row>
    <row r="11229">
      <c r="A11229" t="inlineStr">
        <is>
          <t>Zhuji Haiyue Energy Co., Ltd.,  Zhuji City, Zhejiang Province, China</t>
        </is>
      </c>
      <c r="B11229" t="inlineStr">
        <is>
          <t>Trader</t>
        </is>
      </c>
      <c r="C11229" t="inlineStr">
        <is>
          <t>SCS Global Services, Emeryville, CA, US</t>
        </is>
      </c>
      <c r="D11229" t="inlineStr">
        <is>
          <t>04.12.2026</t>
        </is>
      </c>
      <c r="E11229" t="inlineStr">
        <is>
          <t>China</t>
        </is>
      </c>
    </row>
    <row r="11230">
      <c r="A11230" t="inlineStr">
        <is>
          <t>Altair Paramount,  Boston, United States</t>
        </is>
      </c>
      <c r="B11230" t="inlineStr">
        <is>
          <t>Trader with Storage</t>
        </is>
      </c>
      <c r="C11230" t="inlineStr">
        <is>
          <t>SCS Global Services, Emeryville, CA, US</t>
        </is>
      </c>
      <c r="D11230" t="inlineStr">
        <is>
          <t>04.12.2026</t>
        </is>
      </c>
      <c r="E11230" t="inlineStr">
        <is>
          <t>United States</t>
        </is>
      </c>
    </row>
    <row r="11231">
      <c r="A11231" t="inlineStr">
        <is>
          <t>Bio Oil SAS doo,  Novi Sad, Serbia</t>
        </is>
      </c>
      <c r="B11231" t="inlineStr">
        <is>
          <t>Collecting Point, Trader</t>
        </is>
      </c>
      <c r="C11231" t="inlineStr">
        <is>
          <t>Bureau Veritas Polska Sp. z o.o., Warsaw, PL</t>
        </is>
      </c>
      <c r="D11231" t="inlineStr">
        <is>
          <t>04.12.2026</t>
        </is>
      </c>
      <c r="E11231" t="inlineStr">
        <is>
          <t>Serbia</t>
        </is>
      </c>
    </row>
    <row r="11232">
      <c r="A11232" t="inlineStr">
        <is>
          <t>GREENSIDE ENERGY,  LA CHORRERA, Panama</t>
        </is>
      </c>
      <c r="B11232" t="inlineStr">
        <is>
          <t>Point of Origin, Trader</t>
        </is>
      </c>
      <c r="C11232" t="inlineStr">
        <is>
          <t>ICIM SpA, sesto san giovanni, IT</t>
        </is>
      </c>
      <c r="D11232" t="inlineStr">
        <is>
          <t>04.12.2026</t>
        </is>
      </c>
      <c r="E11232" t="inlineStr">
        <is>
          <t>Panama</t>
        </is>
      </c>
    </row>
    <row r="11233">
      <c r="A11233" t="inlineStr">
        <is>
          <t>GREENSIDE ENERGY,  LA CHORRERA, Panama</t>
        </is>
      </c>
      <c r="B11233" t="inlineStr">
        <is>
          <t>Point of Origin, Collecting Point, Trader</t>
        </is>
      </c>
      <c r="C11233" t="inlineStr">
        <is>
          <t>ICIM SpA, sesto san giovanni, IT</t>
        </is>
      </c>
      <c r="D11233" t="inlineStr">
        <is>
          <t>04.12.2026</t>
        </is>
      </c>
      <c r="E11233" t="inlineStr">
        <is>
          <t>Panama</t>
        </is>
      </c>
    </row>
    <row r="11234">
      <c r="A11234" t="inlineStr">
        <is>
          <t>C.S. IMPORT &amp; EXPORT TRADING SDN BHD,  CHERAS HULU LANGAT, Malaysia</t>
        </is>
      </c>
      <c r="B11234" t="inlineStr">
        <is>
          <t>Collecting Point, Trader with Storage</t>
        </is>
      </c>
      <c r="C11234" t="inlineStr">
        <is>
          <t>PT Mutuagung Lestari, Depok, ID</t>
        </is>
      </c>
      <c r="D11234" t="inlineStr">
        <is>
          <t>04.12.2026</t>
        </is>
      </c>
      <c r="E11234" t="inlineStr">
        <is>
          <t>Malaysia</t>
        </is>
      </c>
    </row>
    <row r="11235">
      <c r="A11235" t="inlineStr">
        <is>
          <t>ACE OIL PTE LTD,  Singapore, Singapore</t>
        </is>
      </c>
      <c r="B11235" t="inlineStr">
        <is>
          <t>Trader with Storage</t>
        </is>
      </c>
      <c r="C11235" t="inlineStr">
        <is>
          <t>SGS Germany GmbH, Emstek, DE</t>
        </is>
      </c>
      <c r="D11235" t="inlineStr">
        <is>
          <t>04.12.2026</t>
        </is>
      </c>
      <c r="E11235" t="inlineStr">
        <is>
          <t>Singapore</t>
        </is>
      </c>
    </row>
    <row r="11236">
      <c r="A11236" t="inlineStr">
        <is>
          <t>ACE OIL PTE LTD,  Singapore, Singapore</t>
        </is>
      </c>
      <c r="B11236" t="inlineStr">
        <is>
          <t>Trader with Storage</t>
        </is>
      </c>
      <c r="C11236" t="inlineStr">
        <is>
          <t>SGS Germany GmbH, Emstek, DE</t>
        </is>
      </c>
      <c r="D11236" t="inlineStr">
        <is>
          <t>04.12.2026</t>
        </is>
      </c>
      <c r="E11236" t="inlineStr">
        <is>
          <t>Singapore</t>
        </is>
      </c>
    </row>
    <row r="11237">
      <c r="A11237" t="inlineStr">
        <is>
          <t>EKO-PF,  Hlincová Hora, Czech Republic</t>
        </is>
      </c>
      <c r="B11237" t="inlineStr">
        <is>
          <t>Collecting Point, Trader with Storage</t>
        </is>
      </c>
      <c r="C11237" t="inlineStr">
        <is>
          <t>Bureau Veritas Polska Sp. z o.o., Warsaw, PL</t>
        </is>
      </c>
      <c r="D11237" t="inlineStr">
        <is>
          <t>04.12.2026</t>
        </is>
      </c>
      <c r="E11237" t="inlineStr">
        <is>
          <t>Czech Republic</t>
        </is>
      </c>
    </row>
    <row r="11238">
      <c r="A11238" t="inlineStr">
        <is>
          <t>Evonik Operations - High Performance Polymers,  Marl, Germany</t>
        </is>
      </c>
      <c r="B11238" t="inlineStr">
        <is>
          <t>Processing Unit, Trader</t>
        </is>
      </c>
      <c r="C11238" t="inlineStr">
        <is>
          <t>DIN CERTCO GmbH, Berlin, DE</t>
        </is>
      </c>
      <c r="D11238" t="inlineStr">
        <is>
          <t>04.12.2026</t>
        </is>
      </c>
      <c r="E11238" t="inlineStr">
        <is>
          <t>Germany</t>
        </is>
      </c>
    </row>
    <row r="11239">
      <c r="A11239" t="inlineStr">
        <is>
          <t>Evonik Operations GmbH - Custom Solutions - Coating &amp; Adhesive Resins,  Marl, Germany</t>
        </is>
      </c>
      <c r="B11239" t="inlineStr">
        <is>
          <t>Processing Unit</t>
        </is>
      </c>
      <c r="C11239" t="inlineStr">
        <is>
          <t>DIN CERTCO GmbH, Berlin, DE</t>
        </is>
      </c>
      <c r="D11239" t="inlineStr">
        <is>
          <t>04.12.2026</t>
        </is>
      </c>
      <c r="E11239" t="inlineStr">
        <is>
          <t>Germany</t>
        </is>
      </c>
    </row>
    <row r="11240">
      <c r="A11240" t="inlineStr">
        <is>
          <t>Baoding Yuanbo Renewable Resources Utilization Co., Ltd.,  Baoding, China</t>
        </is>
      </c>
      <c r="B11240" t="inlineStr">
        <is>
          <t>Collecting Point, Trader with Storage</t>
        </is>
      </c>
      <c r="C11240" t="inlineStr">
        <is>
          <t>RINA Services S.p.A., Genova, IT</t>
        </is>
      </c>
      <c r="D11240" t="inlineStr">
        <is>
          <t>04.12.2026</t>
        </is>
      </c>
      <c r="E11240" t="inlineStr">
        <is>
          <t>China</t>
        </is>
      </c>
    </row>
    <row r="11241">
      <c r="A11241" t="inlineStr">
        <is>
          <t>Hebei Nengzhuo International Trading Co., Ltd.,  Shijiazhuang, Hebei, China</t>
        </is>
      </c>
      <c r="B11241" t="inlineStr">
        <is>
          <t>Trader</t>
        </is>
      </c>
      <c r="C11241" t="inlineStr">
        <is>
          <t>RINA Services S.p.A., Genova, IT</t>
        </is>
      </c>
      <c r="D11241" t="inlineStr">
        <is>
          <t>04.12.2026</t>
        </is>
      </c>
      <c r="E11241" t="inlineStr">
        <is>
          <t>China</t>
        </is>
      </c>
    </row>
    <row r="11242">
      <c r="A11242" t="inlineStr">
        <is>
          <t>MAPAR SA,  Valentin Alsina, Argentina</t>
        </is>
      </c>
      <c r="B11242" t="inlineStr">
        <is>
          <t>Point of Origin</t>
        </is>
      </c>
      <c r="C11242" t="inlineStr">
        <is>
          <t>Certificadora Gallega del Noroeste SL, Vilagarcia de Arousa-Pontevedra, ES</t>
        </is>
      </c>
      <c r="D11242" t="inlineStr">
        <is>
          <t>04.12.2026</t>
        </is>
      </c>
      <c r="E11242" t="inlineStr">
        <is>
          <t>Argentina</t>
        </is>
      </c>
    </row>
    <row r="11243">
      <c r="A11243" t="inlineStr">
        <is>
          <t>JIANGSU SHIWEI INTERNATIONAL TRADE CO.,LTD,  LIANYUNGANG,JIANGSU, China</t>
        </is>
      </c>
      <c r="B11243" t="inlineStr">
        <is>
          <t>Trader</t>
        </is>
      </c>
      <c r="C11243" t="inlineStr">
        <is>
          <t>RINA Services S.p.A., Genova, IT</t>
        </is>
      </c>
      <c r="D11243" t="inlineStr">
        <is>
          <t>04.12.2026</t>
        </is>
      </c>
      <c r="E11243" t="inlineStr">
        <is>
          <t>China</t>
        </is>
      </c>
    </row>
    <row r="11244">
      <c r="A11244" t="inlineStr">
        <is>
          <t>BULO EYEWEAR,  CODROIPO, Italy</t>
        </is>
      </c>
      <c r="B11244" t="inlineStr">
        <is>
          <t>Trader with Storage</t>
        </is>
      </c>
      <c r="C11244" t="inlineStr">
        <is>
          <t>RINA Services S.p.A., Genova, IT</t>
        </is>
      </c>
      <c r="D11244" t="inlineStr">
        <is>
          <t>04.12.2026</t>
        </is>
      </c>
      <c r="E11244" t="inlineStr">
        <is>
          <t>Italy</t>
        </is>
      </c>
    </row>
    <row r="11245">
      <c r="A11245" t="inlineStr">
        <is>
          <t>KOMPOSTÁRNA JAROSOVICE, S.R.O.,  Tyn nad Vltavou, Czech Republic</t>
        </is>
      </c>
      <c r="B11245" t="inlineStr">
        <is>
          <t>Collecting Point, Processing Unit</t>
        </is>
      </c>
      <c r="C11245" t="inlineStr">
        <is>
          <t>TÜV SÜD Czech s.r.o., Praha 4, CZ</t>
        </is>
      </c>
      <c r="D11245" t="inlineStr">
        <is>
          <t>04.12.2026</t>
        </is>
      </c>
      <c r="E11245" t="inlineStr">
        <is>
          <t>Czech Republic</t>
        </is>
      </c>
    </row>
    <row r="11246">
      <c r="A11246" t="inlineStr">
        <is>
          <t>Oil Distribution Terminals,  Malaga, Spain</t>
        </is>
      </c>
      <c r="B11246" t="inlineStr">
        <is>
          <t>Warehouse</t>
        </is>
      </c>
      <c r="C11246" t="inlineStr">
        <is>
          <t>Bureau Veritas Polska Sp. z o.o., Warsaw, PL</t>
        </is>
      </c>
      <c r="D11246" t="inlineStr">
        <is>
          <t>04.12.2026</t>
        </is>
      </c>
      <c r="E11246" t="inlineStr">
        <is>
          <t>Spain</t>
        </is>
      </c>
    </row>
    <row r="11247">
      <c r="A11247" t="inlineStr">
        <is>
          <t>Agropodnik a.s. Trnava,  Trnava, Slovakia</t>
        </is>
      </c>
      <c r="B11247" t="inlineStr">
        <is>
          <t>First Gathering Point, Logistics Center, Trader with Storage</t>
        </is>
      </c>
      <c r="C11247" t="inlineStr">
        <is>
          <t>Bureau Veritas Polska Sp. z o.o., Warsaw, PL</t>
        </is>
      </c>
      <c r="D11247" t="inlineStr">
        <is>
          <t>04.12.2026</t>
        </is>
      </c>
      <c r="E11247" t="inlineStr">
        <is>
          <t>Slovakia</t>
        </is>
      </c>
    </row>
    <row r="11248">
      <c r="A11248" t="inlineStr">
        <is>
          <t>Handan Lingang Supply Chain Management Co., Ltd.,  Handan, Hebei, China</t>
        </is>
      </c>
      <c r="B11248" t="inlineStr">
        <is>
          <t>Trader</t>
        </is>
      </c>
      <c r="C11248" t="inlineStr">
        <is>
          <t>RINA Services S.p.A., Genova, IT</t>
        </is>
      </c>
      <c r="D11248" t="inlineStr">
        <is>
          <t>04.12.2026</t>
        </is>
      </c>
      <c r="E11248" t="inlineStr">
        <is>
          <t>China</t>
        </is>
      </c>
    </row>
    <row r="11249">
      <c r="A11249" t="inlineStr">
        <is>
          <t>Renaviv B.V.,  Den Haag, Netherlands</t>
        </is>
      </c>
      <c r="B11249" t="inlineStr">
        <is>
          <t>Trader</t>
        </is>
      </c>
      <c r="C11249" t="inlineStr">
        <is>
          <t>Trans Certification and Inspection Sdn Bhd, Kuantan, MY</t>
        </is>
      </c>
      <c r="D11249" t="inlineStr">
        <is>
          <t>04.12.2026</t>
        </is>
      </c>
      <c r="E11249" t="inlineStr">
        <is>
          <t>Netherlands</t>
        </is>
      </c>
    </row>
    <row r="11250">
      <c r="A11250" t="inlineStr">
        <is>
          <t>Liquin B.V.,  Rotterdam-Botlek, Netherlands</t>
        </is>
      </c>
      <c r="B11250" t="inlineStr">
        <is>
          <t>Logistics Center</t>
        </is>
      </c>
      <c r="C11250" t="inlineStr">
        <is>
          <t>SGS Germany GmbH, Emstek, DE</t>
        </is>
      </c>
      <c r="D11250" t="inlineStr">
        <is>
          <t>04.12.2026</t>
        </is>
      </c>
      <c r="E11250" t="inlineStr">
        <is>
          <t>Netherlands</t>
        </is>
      </c>
    </row>
    <row r="11251">
      <c r="A11251" t="inlineStr">
        <is>
          <t>LIMPIEZAS NERVION S.A. LINERSA (NIF: A48252522),  Zierbena, Spain</t>
        </is>
      </c>
      <c r="B11251" t="inlineStr">
        <is>
          <t>Collecting Point, Processing Unit</t>
        </is>
      </c>
      <c r="C11251" t="inlineStr">
        <is>
          <t>Control Union Poland Sp. z o.o., Zielona Gora, PL</t>
        </is>
      </c>
      <c r="D11251" t="inlineStr">
        <is>
          <t>04.12.2026</t>
        </is>
      </c>
      <c r="E11251" t="inlineStr">
        <is>
          <t>Spain</t>
        </is>
      </c>
    </row>
    <row r="11252">
      <c r="A11252" t="inlineStr">
        <is>
          <t>VG-EcoFuel,  Uusikaupunki, Finland</t>
        </is>
      </c>
      <c r="B11252" t="inlineStr">
        <is>
          <t>Processing Unit, Trader</t>
        </is>
      </c>
      <c r="C11252" t="inlineStr">
        <is>
          <t>BM Certification, Riga, LV</t>
        </is>
      </c>
      <c r="D11252" t="inlineStr">
        <is>
          <t>04.12.2026</t>
        </is>
      </c>
      <c r="E11252" t="inlineStr">
        <is>
          <t>Finland</t>
        </is>
      </c>
    </row>
    <row r="11253">
      <c r="A11253" t="inlineStr">
        <is>
          <t>ADM Agri-Industries Company,  Lloydminster, Canada</t>
        </is>
      </c>
      <c r="B11253" t="inlineStr">
        <is>
          <t>First Gathering Point, Processing Unit</t>
        </is>
      </c>
      <c r="C11253" t="inlineStr">
        <is>
          <t>ASG Cert GmbH, Munich, DE</t>
        </is>
      </c>
      <c r="D11253" t="inlineStr">
        <is>
          <t>04.12.2026</t>
        </is>
      </c>
      <c r="E11253" t="inlineStr">
        <is>
          <t>Canada</t>
        </is>
      </c>
    </row>
    <row r="11254">
      <c r="A11254" t="inlineStr">
        <is>
          <t>TUTU TRANS,  Targu Mures, Romania</t>
        </is>
      </c>
      <c r="B11254" t="inlineStr">
        <is>
          <t>First Gathering Point, Trader with Storage</t>
        </is>
      </c>
      <c r="C11254" t="inlineStr">
        <is>
          <t>Control Union Certifications Germany GmbH, Berlin, DE</t>
        </is>
      </c>
      <c r="D11254" t="inlineStr">
        <is>
          <t>04.12.2026</t>
        </is>
      </c>
      <c r="E11254" t="inlineStr">
        <is>
          <t>Romania</t>
        </is>
      </c>
    </row>
    <row r="11255">
      <c r="A11255" t="inlineStr">
        <is>
          <t>Repsol Butano,  Puertollano, Spain</t>
        </is>
      </c>
      <c r="B11255" t="inlineStr">
        <is>
          <t>Trader with Storage</t>
        </is>
      </c>
      <c r="C11255" t="inlineStr">
        <is>
          <t>Control Union Poland Sp. z o.o., Zielona Gora, PL</t>
        </is>
      </c>
      <c r="D11255" t="inlineStr">
        <is>
          <t>04.12.2026</t>
        </is>
      </c>
      <c r="E11255" t="inlineStr">
        <is>
          <t>Spain</t>
        </is>
      </c>
    </row>
    <row r="11256">
      <c r="A11256" t="inlineStr">
        <is>
          <t>Ilog,  Giugliano in Campania, Italy</t>
        </is>
      </c>
      <c r="B11256" t="inlineStr">
        <is>
          <t>Collecting Point</t>
        </is>
      </c>
      <c r="C11256" t="inlineStr">
        <is>
          <t>SGS Germany GmbH, Emstek, DE</t>
        </is>
      </c>
      <c r="D11256" t="inlineStr">
        <is>
          <t>04.12.2026</t>
        </is>
      </c>
      <c r="E11256" t="inlineStr">
        <is>
          <t>Italy</t>
        </is>
      </c>
    </row>
    <row r="11257">
      <c r="A11257" t="inlineStr">
        <is>
          <t>Green Planet Bio-Fuels Inc.,  Toronto, Canada</t>
        </is>
      </c>
      <c r="B11257" t="inlineStr">
        <is>
          <t>Collecting Point</t>
        </is>
      </c>
      <c r="C11257" t="inlineStr">
        <is>
          <t>SCS Global Services, Emeryville, CA, US</t>
        </is>
      </c>
      <c r="D11257" t="inlineStr">
        <is>
          <t>03.12.2026</t>
        </is>
      </c>
      <c r="E11257" t="inlineStr">
        <is>
          <t>Canada</t>
        </is>
      </c>
    </row>
    <row r="11258">
      <c r="A11258" t="inlineStr">
        <is>
          <t>KONEL PERU S.A.C,  San Antonio, Lima, Peru</t>
        </is>
      </c>
      <c r="B11258" t="inlineStr">
        <is>
          <t>Collecting Point</t>
        </is>
      </c>
      <c r="C11258" t="inlineStr">
        <is>
          <t>Certificadora Gallega del Noroeste SL, Vilagarcia de Arousa-Pontevedra, ES</t>
        </is>
      </c>
      <c r="D11258" t="inlineStr">
        <is>
          <t>03.12.2026</t>
        </is>
      </c>
      <c r="E11258" t="inlineStr">
        <is>
          <t>Peru</t>
        </is>
      </c>
    </row>
    <row r="11259">
      <c r="A11259" t="inlineStr">
        <is>
          <t>Green Planet Bio-Fuels Inc.,  Toronto, Canada</t>
        </is>
      </c>
      <c r="B11259" t="inlineStr">
        <is>
          <t>Collecting Point</t>
        </is>
      </c>
      <c r="C11259" t="inlineStr">
        <is>
          <t>SCS Global Services, Emeryville, CA, US</t>
        </is>
      </c>
      <c r="D11259" t="inlineStr">
        <is>
          <t>03.12.2026</t>
        </is>
      </c>
      <c r="E11259" t="inlineStr">
        <is>
          <t>Canada</t>
        </is>
      </c>
    </row>
    <row r="11260">
      <c r="A11260" t="inlineStr">
        <is>
          <t>LITOPLAS SA,  BARRANQUILLA, Colombia</t>
        </is>
      </c>
      <c r="B11260" t="inlineStr">
        <is>
          <t>Final Product Refinement, Processing Unit</t>
        </is>
      </c>
      <c r="C11260" t="inlineStr">
        <is>
          <t>KIWA COLOMBIA S.A.S., Zipaquirá, CO</t>
        </is>
      </c>
      <c r="D11260" t="inlineStr">
        <is>
          <t>03.12.2026</t>
        </is>
      </c>
      <c r="E11260" t="inlineStr">
        <is>
          <t>Colombia</t>
        </is>
      </c>
    </row>
    <row r="11261">
      <c r="A11261" t="inlineStr">
        <is>
          <t>Borealis GmbH,  Stenungsund, Sweden</t>
        </is>
      </c>
      <c r="B11261" t="inlineStr">
        <is>
          <t>ETBE plant</t>
        </is>
      </c>
      <c r="C11261" t="inlineStr">
        <is>
          <t>SGS Germany GmbH, Emstek, DE</t>
        </is>
      </c>
      <c r="D11261" t="inlineStr">
        <is>
          <t>03.12.2026</t>
        </is>
      </c>
      <c r="E11261" t="inlineStr">
        <is>
          <t>Sweden</t>
        </is>
      </c>
    </row>
    <row r="11262">
      <c r="A11262" t="inlineStr">
        <is>
          <t>Braskem America, Inc - PP7 Neal Plant,  Kenova, WV, United States</t>
        </is>
      </c>
      <c r="B11262" t="inlineStr">
        <is>
          <t>Processing Unit</t>
        </is>
      </c>
      <c r="C11262" t="inlineStr">
        <is>
          <t>DQS CFS GmbH - Deutsche Gesellschaft für Nachhaltigkeit, Frankfurt am Main, DE</t>
        </is>
      </c>
      <c r="D11262" t="inlineStr">
        <is>
          <t>03.12.2026</t>
        </is>
      </c>
      <c r="E11262" t="inlineStr">
        <is>
          <t>United States</t>
        </is>
      </c>
    </row>
    <row r="11263">
      <c r="A11263" t="inlineStr">
        <is>
          <t>East Grain Hungary Kft.,  Budapest, Hungary</t>
        </is>
      </c>
      <c r="B11263" t="inlineStr">
        <is>
          <t>First Gathering Point, Trader with Storage</t>
        </is>
      </c>
      <c r="C11263" t="inlineStr">
        <is>
          <t>Certificadora Gallega del Noroeste SL, Vilagarcia de Arousa-Pontevedra, ES</t>
        </is>
      </c>
      <c r="D11263" t="inlineStr">
        <is>
          <t>03.12.2026</t>
        </is>
      </c>
      <c r="E11263" t="inlineStr">
        <is>
          <t>Hungary</t>
        </is>
      </c>
    </row>
    <row r="11264">
      <c r="A11264" t="inlineStr">
        <is>
          <t>Braskem America, Inc - PP13 Oyster Creek Plant,  Freeport, United States</t>
        </is>
      </c>
      <c r="B11264" t="inlineStr">
        <is>
          <t>Processing Unit</t>
        </is>
      </c>
      <c r="C11264" t="inlineStr">
        <is>
          <t>DQS CFS GmbH - Deutsche Gesellschaft für Nachhaltigkeit, Frankfurt am Main, DE</t>
        </is>
      </c>
      <c r="D11264" t="inlineStr">
        <is>
          <t>03.12.2026</t>
        </is>
      </c>
      <c r="E11264" t="inlineStr">
        <is>
          <t>United States</t>
        </is>
      </c>
    </row>
    <row r="11265">
      <c r="A11265" t="inlineStr">
        <is>
          <t>Shandong Chuangjie International TradeServiceCo.,Ltd,  Jinxiang County, Jining City, Shandong Province, China</t>
        </is>
      </c>
      <c r="B11265" t="inlineStr">
        <is>
          <t>Trader</t>
        </is>
      </c>
      <c r="C11265" t="inlineStr">
        <is>
          <t>RINA Services S.p.A., Genova, IT</t>
        </is>
      </c>
      <c r="D11265" t="inlineStr">
        <is>
          <t>03.12.2026</t>
        </is>
      </c>
      <c r="E11265" t="inlineStr">
        <is>
          <t>China</t>
        </is>
      </c>
    </row>
    <row r="11266">
      <c r="A11266" t="inlineStr">
        <is>
          <t>CARGILL BIOENERGIA LTDA,  QUIRINÓPOLIS, GOIÁS, Brazil</t>
        </is>
      </c>
      <c r="B11266" t="inlineStr">
        <is>
          <t>Point of Origin, Processing Unit</t>
        </is>
      </c>
      <c r="C11266" t="inlineStr">
        <is>
          <t>Control Union Poland Sp. z o.o., Zielona Gora, PL</t>
        </is>
      </c>
      <c r="D11266" t="inlineStr">
        <is>
          <t>03.12.2026</t>
        </is>
      </c>
      <c r="E11266" t="inlineStr">
        <is>
          <t>Brazil</t>
        </is>
      </c>
    </row>
    <row r="11267">
      <c r="A11267" t="inlineStr">
        <is>
          <t>Braskem America, Inc - PP10 Seadrift,  Seadrift, Texas, United States</t>
        </is>
      </c>
      <c r="B11267" t="inlineStr">
        <is>
          <t>Processing Unit</t>
        </is>
      </c>
      <c r="C11267" t="inlineStr">
        <is>
          <t>DQS CFS GmbH - Deutsche Gesellschaft für Nachhaltigkeit, Frankfurt am Main, DE</t>
        </is>
      </c>
      <c r="D11267" t="inlineStr">
        <is>
          <t>03.12.2026</t>
        </is>
      </c>
      <c r="E11267" t="inlineStr">
        <is>
          <t>United States</t>
        </is>
      </c>
    </row>
    <row r="11268">
      <c r="A11268" t="inlineStr">
        <is>
          <t>Ecoslops Portugal S.A.,  Sines, Portugal</t>
        </is>
      </c>
      <c r="B11268" t="inlineStr">
        <is>
          <t>Point of Origin, Collecting Point, Processing Unit</t>
        </is>
      </c>
      <c r="C11268" t="inlineStr">
        <is>
          <t>SGS Germany GmbH, Emstek, DE</t>
        </is>
      </c>
      <c r="D11268" t="inlineStr">
        <is>
          <t>03.12.2026</t>
        </is>
      </c>
      <c r="E11268" t="inlineStr">
        <is>
          <t>Portugal</t>
        </is>
      </c>
    </row>
    <row r="11269">
      <c r="A11269" t="inlineStr">
        <is>
          <t>SHANDONG TIANLI PHARMACEUTICAL CO., LTD.,  Shouguang City, Weifang City，Shandong Province, China</t>
        </is>
      </c>
      <c r="B11269" t="inlineStr">
        <is>
          <t>Processing Unit</t>
        </is>
      </c>
      <c r="C11269" t="inlineStr">
        <is>
          <t>SGS Germany GmbH, Emstek, DE</t>
        </is>
      </c>
      <c r="D11269" t="inlineStr">
        <is>
          <t>03.12.2026</t>
        </is>
      </c>
      <c r="E11269" t="inlineStr">
        <is>
          <t>China</t>
        </is>
      </c>
    </row>
    <row r="11270">
      <c r="A11270" t="inlineStr">
        <is>
          <t>Imballplast SpA,  Napoli, Italy</t>
        </is>
      </c>
      <c r="B11270" t="inlineStr">
        <is>
          <t>Processing Unit</t>
        </is>
      </c>
      <c r="C11270" t="inlineStr">
        <is>
          <t>SGS Germany GmbH, Emstek, DE</t>
        </is>
      </c>
      <c r="D11270" t="inlineStr">
        <is>
          <t>03.12.2026</t>
        </is>
      </c>
      <c r="E11270" t="inlineStr">
        <is>
          <t>Italy</t>
        </is>
      </c>
    </row>
    <row r="11271">
      <c r="A11271" t="inlineStr">
        <is>
          <t>LABLABO,  Alby sur Chéran, France</t>
        </is>
      </c>
      <c r="B11271" t="inlineStr">
        <is>
          <t>Processing Unit</t>
        </is>
      </c>
      <c r="C11271" t="inlineStr">
        <is>
          <t>Bureau Veritas Polska Sp. z o.o., Warsaw, PL</t>
        </is>
      </c>
      <c r="D11271" t="inlineStr">
        <is>
          <t>03.12.2026</t>
        </is>
      </c>
      <c r="E11271" t="inlineStr">
        <is>
          <t>France</t>
        </is>
      </c>
    </row>
    <row r="11272">
      <c r="A11272" t="inlineStr">
        <is>
          <t>Gemilang Sawit Lestari,  Desa Lebuh Lurus, Pasar Inuman, Kelurahan Inuman, Indonesia</t>
        </is>
      </c>
      <c r="B11272" t="inlineStr">
        <is>
          <t>Point of Origin</t>
        </is>
      </c>
      <c r="C11272" t="inlineStr">
        <is>
          <t>PT. Qualitas Sertifikasi Indonesia, Jakarta, ID</t>
        </is>
      </c>
      <c r="D11272" t="inlineStr">
        <is>
          <t>03.12.2026</t>
        </is>
      </c>
      <c r="E11272" t="inlineStr">
        <is>
          <t>Indonesia</t>
        </is>
      </c>
    </row>
    <row r="11273">
      <c r="A11273" t="inlineStr">
        <is>
          <t>EAST OILSEEDS,  CLUJ NAPOCA, Romania</t>
        </is>
      </c>
      <c r="B11273" t="inlineStr">
        <is>
          <t>First Gathering Point, Trader with Storage</t>
        </is>
      </c>
      <c r="C11273" t="inlineStr">
        <is>
          <t>SGS Germany GmbH, Emstek, DE</t>
        </is>
      </c>
      <c r="D11273" t="inlineStr">
        <is>
          <t>03.12.2026</t>
        </is>
      </c>
      <c r="E11273" t="inlineStr">
        <is>
          <t>Romania</t>
        </is>
      </c>
    </row>
    <row r="11274">
      <c r="A11274" t="inlineStr">
        <is>
          <t>Destilerias Manchegas, S.C.L.,  La Roda, Albacete, Spain</t>
        </is>
      </c>
      <c r="B11274" t="inlineStr">
        <is>
          <t>Collecting Point, Processing Unit</t>
        </is>
      </c>
      <c r="C11274" t="inlineStr">
        <is>
          <t>Bureau Veritas Polska Sp. z o.o., Warsaw, PL</t>
        </is>
      </c>
      <c r="D11274" t="inlineStr">
        <is>
          <t>03.12.2026</t>
        </is>
      </c>
      <c r="E11274" t="inlineStr">
        <is>
          <t>Spain</t>
        </is>
      </c>
    </row>
    <row r="11275">
      <c r="A11275" t="inlineStr">
        <is>
          <t>Hélios Trans Kft.,  Iváncsa, Hungary</t>
        </is>
      </c>
      <c r="B11275" t="inlineStr">
        <is>
          <t>First Gathering Point, Trader with Storage</t>
        </is>
      </c>
      <c r="C11275" t="inlineStr">
        <is>
          <t>BM Certification, Riga, LV</t>
        </is>
      </c>
      <c r="D11275" t="inlineStr">
        <is>
          <t>03.12.2026</t>
        </is>
      </c>
      <c r="E11275" t="inlineStr">
        <is>
          <t>Hungary</t>
        </is>
      </c>
    </row>
    <row r="11276">
      <c r="A11276" t="inlineStr">
        <is>
          <t>Jiangsu Ruigao Biological Technology Co. Ltd,  Lianyungang City, Jiangsu Province, China</t>
        </is>
      </c>
      <c r="B11276" t="inlineStr">
        <is>
          <t>Collecting Point, Trader with Storage</t>
        </is>
      </c>
      <c r="C11276" t="inlineStr">
        <is>
          <t>RINA Services S.p.A., Genova, IT</t>
        </is>
      </c>
      <c r="D11276" t="inlineStr">
        <is>
          <t>03.12.2026</t>
        </is>
      </c>
      <c r="E11276" t="inlineStr">
        <is>
          <t>China</t>
        </is>
      </c>
    </row>
    <row r="11277">
      <c r="A11277" t="inlineStr">
        <is>
          <t>Olfood,  Borgo San Giacomo (BS), Italy</t>
        </is>
      </c>
      <c r="B11277" t="inlineStr">
        <is>
          <t>Trader with Storage</t>
        </is>
      </c>
      <c r="C11277" t="inlineStr">
        <is>
          <t>Bureau Veritas Polska Sp. z o.o., Warsaw, PL</t>
        </is>
      </c>
      <c r="D11277" t="inlineStr">
        <is>
          <t>03.12.2026</t>
        </is>
      </c>
      <c r="E11277" t="inlineStr">
        <is>
          <t>Italy</t>
        </is>
      </c>
    </row>
    <row r="11278">
      <c r="A11278" t="inlineStr">
        <is>
          <t>JIANGXI XINLIANXIN CHEMICAL INDUSTRY CO.,LTD,  PENGZE COUNTY JIUJIANG CITY, China</t>
        </is>
      </c>
      <c r="B11278" t="inlineStr">
        <is>
          <t>Processing Unit</t>
        </is>
      </c>
      <c r="C11278" t="inlineStr">
        <is>
          <t>Bureau Veritas Polska Sp. z o.o., Warsaw, PL</t>
        </is>
      </c>
      <c r="D11278" t="inlineStr">
        <is>
          <t>03.12.2026</t>
        </is>
      </c>
      <c r="E11278" t="inlineStr">
        <is>
          <t>China</t>
        </is>
      </c>
    </row>
    <row r="11279">
      <c r="A11279" t="inlineStr">
        <is>
          <t>Carton Pack,  Rutigliano, Italy</t>
        </is>
      </c>
      <c r="B11279" t="inlineStr">
        <is>
          <t>Processing Unit</t>
        </is>
      </c>
      <c r="C11279" t="inlineStr">
        <is>
          <t>DNV Business Assurance Sweden AB, Solna, SE</t>
        </is>
      </c>
      <c r="D11279" t="inlineStr">
        <is>
          <t>03.12.2026</t>
        </is>
      </c>
      <c r="E11279" t="inlineStr">
        <is>
          <t>Italy</t>
        </is>
      </c>
    </row>
    <row r="11280">
      <c r="A11280" t="inlineStr">
        <is>
          <t>Avenue - A Nolato company,  Sligo, Ireland</t>
        </is>
      </c>
      <c r="B11280" t="inlineStr">
        <is>
          <t>Processing Unit</t>
        </is>
      </c>
      <c r="C11280" t="inlineStr">
        <is>
          <t>Aardvark Certification Ltd, Wiveliscombe, Somerset, GB</t>
        </is>
      </c>
      <c r="D11280" t="inlineStr">
        <is>
          <t>03.12.2026</t>
        </is>
      </c>
      <c r="E11280" t="inlineStr">
        <is>
          <t>Ireland</t>
        </is>
      </c>
    </row>
    <row r="11281">
      <c r="A11281" t="inlineStr">
        <is>
          <t>Biodiesel Aragon, S.L.,  Altorricón, Spain</t>
        </is>
      </c>
      <c r="B11281" t="inlineStr">
        <is>
          <t>Point of Origin, Collecting Point, Trader with Storage, Processing Unit</t>
        </is>
      </c>
      <c r="C11281" t="inlineStr">
        <is>
          <t>Amspec Iberia SL, Vilagarcia de Arousa-Pontevedra, ES</t>
        </is>
      </c>
      <c r="D11281" t="inlineStr">
        <is>
          <t>03.12.2026</t>
        </is>
      </c>
      <c r="E11281" t="inlineStr">
        <is>
          <t>Spain</t>
        </is>
      </c>
    </row>
    <row r="11282">
      <c r="A11282" t="inlineStr">
        <is>
          <t>WAGO GmbH &amp; Co. KG,  Sondershausen, Germany</t>
        </is>
      </c>
      <c r="B11282" t="inlineStr">
        <is>
          <t>Final Product Refinement, Processing Unit</t>
        </is>
      </c>
      <c r="C11282" t="inlineStr">
        <is>
          <t>TÜV SÜD Industrie Service GmbH, München, DE</t>
        </is>
      </c>
      <c r="D11282" t="inlineStr">
        <is>
          <t>03.12.2026</t>
        </is>
      </c>
      <c r="E11282" t="inlineStr">
        <is>
          <t>Germany</t>
        </is>
      </c>
    </row>
    <row r="11283">
      <c r="A11283" t="inlineStr">
        <is>
          <t>PT Tolan Tiga Indonesia,  Sumatera Utara, Indonesia</t>
        </is>
      </c>
      <c r="B11283" t="inlineStr">
        <is>
          <t>First Gathering Point, Processing Unit</t>
        </is>
      </c>
      <c r="C11283" t="inlineStr">
        <is>
          <t>PT SBC Asia Sertifikasi, Kebumen, ID</t>
        </is>
      </c>
      <c r="D11283" t="inlineStr">
        <is>
          <t>03.12.2026</t>
        </is>
      </c>
      <c r="E11283" t="inlineStr">
        <is>
          <t>Indonesia</t>
        </is>
      </c>
    </row>
    <row r="11284">
      <c r="A11284" t="inlineStr">
        <is>
          <t>PT Eastern Sumatra Indonesia,  Sumatera Utara, Indonesia</t>
        </is>
      </c>
      <c r="B11284" t="inlineStr">
        <is>
          <t>First Gathering Point, Processing Unit</t>
        </is>
      </c>
      <c r="C11284" t="inlineStr">
        <is>
          <t>PT SBC Asia Sertifikasi, Kebumen, ID</t>
        </is>
      </c>
      <c r="D11284" t="inlineStr">
        <is>
          <t>03.12.2026</t>
        </is>
      </c>
      <c r="E11284" t="inlineStr">
        <is>
          <t>Indonesia</t>
        </is>
      </c>
    </row>
    <row r="11285">
      <c r="A11285" t="inlineStr">
        <is>
          <t>Keresa Mill Sdn Bhd,  Bintulu, Sarawak, Malaysia</t>
        </is>
      </c>
      <c r="B11285" t="inlineStr">
        <is>
          <t>First Gathering Point, Point of Origin, Processing Unit</t>
        </is>
      </c>
      <c r="C11285" t="inlineStr">
        <is>
          <t>Control Union Certifications Germany GmbH, Berlin, DE</t>
        </is>
      </c>
      <c r="D11285" t="inlineStr">
        <is>
          <t>03.12.2026</t>
        </is>
      </c>
      <c r="E11285" t="inlineStr">
        <is>
          <t>Malaysia</t>
        </is>
      </c>
    </row>
    <row r="11286">
      <c r="A11286" t="inlineStr">
        <is>
          <t>Epsilon carbon Pvt Ltd,  Bellary, India</t>
        </is>
      </c>
      <c r="B11286" t="inlineStr">
        <is>
          <t>Processing Unit</t>
        </is>
      </c>
      <c r="C11286" t="inlineStr">
        <is>
          <t>TÜV SÜD Industrie Service GmbH, München, DE</t>
        </is>
      </c>
      <c r="D11286" t="inlineStr">
        <is>
          <t>03.12.2026</t>
        </is>
      </c>
      <c r="E11286" t="inlineStr">
        <is>
          <t>India</t>
        </is>
      </c>
    </row>
    <row r="11287">
      <c r="A11287" t="inlineStr">
        <is>
          <t>WAGO GmbH &amp; Co. KG,  Minden, Germany</t>
        </is>
      </c>
      <c r="B11287" t="inlineStr">
        <is>
          <t>Processing Unit</t>
        </is>
      </c>
      <c r="C11287" t="inlineStr">
        <is>
          <t>TÜV SÜD Industrie Service GmbH, München, DE</t>
        </is>
      </c>
      <c r="D11287" t="inlineStr">
        <is>
          <t>03.12.2026</t>
        </is>
      </c>
      <c r="E11287" t="inlineStr">
        <is>
          <t>Germany</t>
        </is>
      </c>
    </row>
    <row r="11288">
      <c r="A11288" t="inlineStr">
        <is>
          <t>Baki-Trans Kft.,  Besnyő, Hungary</t>
        </is>
      </c>
      <c r="B11288" t="inlineStr">
        <is>
          <t>First Gathering Point, Trader with Storage</t>
        </is>
      </c>
      <c r="C11288" t="inlineStr">
        <is>
          <t>Amspec Iberia SL, Vilagarcia de Arousa-Pontevedra, ES</t>
        </is>
      </c>
      <c r="D11288" t="inlineStr">
        <is>
          <t>03.12.2026</t>
        </is>
      </c>
      <c r="E11288" t="inlineStr">
        <is>
          <t>Hungary</t>
        </is>
      </c>
    </row>
    <row r="11289">
      <c r="A11289" t="inlineStr">
        <is>
          <t>WAGO GmbH &amp; Co. KG,  Minden, Germany</t>
        </is>
      </c>
      <c r="B11289" t="inlineStr">
        <is>
          <t>Final Product Refinement, Processing Unit</t>
        </is>
      </c>
      <c r="C11289" t="inlineStr">
        <is>
          <t>TÜV SÜD Industrie Service GmbH, München, DE</t>
        </is>
      </c>
      <c r="D11289" t="inlineStr">
        <is>
          <t>03.12.2026</t>
        </is>
      </c>
      <c r="E11289" t="inlineStr">
        <is>
          <t>Germany</t>
        </is>
      </c>
    </row>
    <row r="11290">
      <c r="A11290" t="inlineStr">
        <is>
          <t>B-Grain,  Transcarpathian region, Berehiv district, Batyovo, Ukraine</t>
        </is>
      </c>
      <c r="B11290" t="inlineStr">
        <is>
          <t>First Gathering Point, Trader with Storage</t>
        </is>
      </c>
      <c r="C11290" t="inlineStr">
        <is>
          <t>Aciter Genelab LLC, Odessa, UA</t>
        </is>
      </c>
      <c r="D11290" t="inlineStr">
        <is>
          <t>03.12.2026</t>
        </is>
      </c>
      <c r="E11290" t="inlineStr">
        <is>
          <t>Ukraine</t>
        </is>
      </c>
    </row>
    <row r="11291">
      <c r="A11291" t="inlineStr">
        <is>
          <t>Xiamen skynew imp.exp co.,ltd,  Xiamen City, China</t>
        </is>
      </c>
      <c r="B11291" t="inlineStr">
        <is>
          <t>Trader with Storage</t>
        </is>
      </c>
      <c r="C11291" t="inlineStr">
        <is>
          <t>Bureau Veritas Polska Sp. z o.o., Warsaw, PL</t>
        </is>
      </c>
      <c r="D11291" t="inlineStr">
        <is>
          <t>03.12.2026</t>
        </is>
      </c>
      <c r="E11291" t="inlineStr">
        <is>
          <t>China</t>
        </is>
      </c>
    </row>
    <row r="11292">
      <c r="A11292" t="inlineStr">
        <is>
          <t>Varo Energy Germany,  Hamburg, Germany</t>
        </is>
      </c>
      <c r="B11292" t="inlineStr">
        <is>
          <t>Trader, Proof of Compliance Trader</t>
        </is>
      </c>
      <c r="C11292" t="inlineStr">
        <is>
          <t>Control Union Certifications Germany GmbH, Berlin, DE</t>
        </is>
      </c>
      <c r="D11292" t="inlineStr">
        <is>
          <t>03.12.2026</t>
        </is>
      </c>
      <c r="E11292" t="inlineStr">
        <is>
          <t>Germany</t>
        </is>
      </c>
    </row>
    <row r="11293">
      <c r="A11293" t="inlineStr">
        <is>
          <t>Guangzhou Sanhao New Energy Co. Ltd.,  Baiyun District,Guangzhou City, China</t>
        </is>
      </c>
      <c r="B11293" t="inlineStr">
        <is>
          <t>Collecting Point, Trader with Storage</t>
        </is>
      </c>
      <c r="C11293" t="inlineStr">
        <is>
          <t>RINA Services S.p.A., Genova, IT</t>
        </is>
      </c>
      <c r="D11293" t="inlineStr">
        <is>
          <t>03.12.2026</t>
        </is>
      </c>
      <c r="E11293" t="inlineStr">
        <is>
          <t>China</t>
        </is>
      </c>
    </row>
    <row r="11294">
      <c r="A11294" t="inlineStr">
        <is>
          <t>DALIAN DAPING OIL CHEMICALS CO.,LTD,  Dalian City, Liaoning Province, China</t>
        </is>
      </c>
      <c r="B11294" t="inlineStr">
        <is>
          <t>Collecting Point, Trader</t>
        </is>
      </c>
      <c r="C11294" t="inlineStr">
        <is>
          <t>RINA Services S.p.A., Genova, IT</t>
        </is>
      </c>
      <c r="D11294" t="inlineStr">
        <is>
          <t>03.12.2026</t>
        </is>
      </c>
      <c r="E11294" t="inlineStr">
        <is>
          <t>China</t>
        </is>
      </c>
    </row>
    <row r="11295">
      <c r="A11295" t="inlineStr">
        <is>
          <t>Kraton Chemical LLC,  Panama City, FL, United States</t>
        </is>
      </c>
      <c r="B11295" t="inlineStr">
        <is>
          <t>Collecting Point, Processing Unit, Point of Origin</t>
        </is>
      </c>
      <c r="C11295" t="inlineStr">
        <is>
          <t>TÜV SÜD Industrie Service GmbH, München, DE</t>
        </is>
      </c>
      <c r="D11295" t="inlineStr">
        <is>
          <t>03.12.2026</t>
        </is>
      </c>
      <c r="E11295" t="inlineStr">
        <is>
          <t>United States</t>
        </is>
      </c>
    </row>
    <row r="11296">
      <c r="A11296" t="inlineStr">
        <is>
          <t>Iniciativas Bioenergeticas, S.L.,  Calahorra, La Rioja, Spain</t>
        </is>
      </c>
      <c r="B11296" t="inlineStr">
        <is>
          <t>Point of Origin, Processing Unit</t>
        </is>
      </c>
      <c r="C11296" t="inlineStr">
        <is>
          <t>DEKRA Certification GmbH, Stuttgart, DE</t>
        </is>
      </c>
      <c r="D11296" t="inlineStr">
        <is>
          <t>03.12.2026</t>
        </is>
      </c>
      <c r="E11296" t="inlineStr">
        <is>
          <t>Spain</t>
        </is>
      </c>
    </row>
    <row r="11297">
      <c r="A11297" t="inlineStr">
        <is>
          <t>Kraton Chemical LLC,  Panama City, FL, United States</t>
        </is>
      </c>
      <c r="B11297" t="inlineStr">
        <is>
          <t>Collecting Point, Processing Unit, Point of Origin</t>
        </is>
      </c>
      <c r="C11297" t="inlineStr">
        <is>
          <t>TÜV SÜD Industrie Service GmbH, München, DE</t>
        </is>
      </c>
      <c r="D11297" t="inlineStr">
        <is>
          <t>03.12.2026</t>
        </is>
      </c>
      <c r="E11297" t="inlineStr">
        <is>
          <t>United States</t>
        </is>
      </c>
    </row>
    <row r="11298">
      <c r="A11298" t="inlineStr">
        <is>
          <t>Mainetti Omaf Srl,  Taranto, Italy</t>
        </is>
      </c>
      <c r="B11298" t="inlineStr">
        <is>
          <t>Processing Unit</t>
        </is>
      </c>
      <c r="C11298" t="inlineStr">
        <is>
          <t>RINA Services S.p.A., Genova, IT</t>
        </is>
      </c>
      <c r="D11298" t="inlineStr">
        <is>
          <t>03.12.2026</t>
        </is>
      </c>
      <c r="E11298" t="inlineStr">
        <is>
          <t>Italy</t>
        </is>
      </c>
    </row>
    <row r="11299">
      <c r="A11299" t="inlineStr">
        <is>
          <t>PERMATA TIMUR LESTARI,  Kotawaringin Timur, Kalimantan Tengah, Indonesia</t>
        </is>
      </c>
      <c r="B11299" t="inlineStr">
        <is>
          <t>Point of Origin</t>
        </is>
      </c>
      <c r="C11299" t="inlineStr">
        <is>
          <t>PT. Qualitas Sertifikasi Indonesia, Jakarta, ID</t>
        </is>
      </c>
      <c r="D11299" t="inlineStr">
        <is>
          <t>03.12.2026</t>
        </is>
      </c>
      <c r="E11299" t="inlineStr">
        <is>
          <t>Indonesia</t>
        </is>
      </c>
    </row>
    <row r="11300">
      <c r="A11300" t="inlineStr">
        <is>
          <t>Polytex Fibers LLC,  Houston, United States</t>
        </is>
      </c>
      <c r="B11300" t="inlineStr">
        <is>
          <t>Processing Unit</t>
        </is>
      </c>
      <c r="C11300" t="inlineStr">
        <is>
          <t>SCS Global Services, Emeryville, CA, US</t>
        </is>
      </c>
      <c r="D11300" t="inlineStr">
        <is>
          <t>03.12.2026</t>
        </is>
      </c>
      <c r="E11300" t="inlineStr">
        <is>
          <t>United States</t>
        </is>
      </c>
    </row>
    <row r="11301">
      <c r="A11301" t="inlineStr">
        <is>
          <t>GLOBAL RIAU MANDIRI,  Kabupaten Pelalawan, Provinsi Riau, Indonesia</t>
        </is>
      </c>
      <c r="B11301" t="inlineStr">
        <is>
          <t>Point of Origin</t>
        </is>
      </c>
      <c r="C11301" t="inlineStr">
        <is>
          <t>PT. Qualitas Sertifikasi Indonesia, Jakarta, ID</t>
        </is>
      </c>
      <c r="D11301" t="inlineStr">
        <is>
          <t>03.12.2026</t>
        </is>
      </c>
      <c r="E11301" t="inlineStr">
        <is>
          <t>Indonesia</t>
        </is>
      </c>
    </row>
    <row r="11302">
      <c r="A11302" t="inlineStr">
        <is>
          <t>Sakko Commercial B.V.,  Bergen op Zoom, Netherlands</t>
        </is>
      </c>
      <c r="B11302" t="inlineStr">
        <is>
          <t>Trader with Storage, Warehouse</t>
        </is>
      </c>
      <c r="C11302" t="inlineStr">
        <is>
          <t>DEKRA Certification B.V., Arnhem, NL</t>
        </is>
      </c>
      <c r="D11302" t="inlineStr">
        <is>
          <t>03.12.2026</t>
        </is>
      </c>
      <c r="E11302" t="inlineStr">
        <is>
          <t>Netherlands</t>
        </is>
      </c>
    </row>
    <row r="11303">
      <c r="A11303" t="inlineStr">
        <is>
          <t>Best Commodity Trade B.V.,  Son en Breugel, Netherlands</t>
        </is>
      </c>
      <c r="B11303" t="inlineStr">
        <is>
          <t>Trader with Storage, Collecting Point</t>
        </is>
      </c>
      <c r="C11303" t="inlineStr">
        <is>
          <t>DEKRA Certification B.V., Arnhem, NL</t>
        </is>
      </c>
      <c r="D11303" t="inlineStr">
        <is>
          <t>03.12.2026</t>
        </is>
      </c>
      <c r="E11303" t="inlineStr">
        <is>
          <t>Netherlands</t>
        </is>
      </c>
    </row>
    <row r="11304">
      <c r="A11304" t="inlineStr">
        <is>
          <t>SOUTHERN AGRO INDUSTRY LLC,  CIUDAD DE BUENOS AIRES, Argentina</t>
        </is>
      </c>
      <c r="B11304" t="inlineStr">
        <is>
          <t>Trader</t>
        </is>
      </c>
      <c r="C11304" t="inlineStr">
        <is>
          <t>Certificadora Gallega del Noroeste SL, Vilagarcia de Arousa-Pontevedra, ES</t>
        </is>
      </c>
      <c r="D11304" t="inlineStr">
        <is>
          <t>03.12.2026</t>
        </is>
      </c>
      <c r="E11304" t="inlineStr">
        <is>
          <t>Argentina</t>
        </is>
      </c>
    </row>
    <row r="11305">
      <c r="A11305" t="inlineStr">
        <is>
          <t>Best Commodity Trade B.V.,  Son en Breugel, Netherlands</t>
        </is>
      </c>
      <c r="B11305" t="inlineStr">
        <is>
          <t>Trader with Storage, Collecting Point</t>
        </is>
      </c>
      <c r="C11305" t="inlineStr">
        <is>
          <t>DEKRA Certification B.V., Arnhem, NL</t>
        </is>
      </c>
      <c r="D11305" t="inlineStr">
        <is>
          <t>03.12.2026</t>
        </is>
      </c>
      <c r="E11305" t="inlineStr">
        <is>
          <t>Netherlands</t>
        </is>
      </c>
    </row>
    <row r="11306">
      <c r="A11306" t="inlineStr">
        <is>
          <t>Anhui Tongcheng Zhongkang Plastic Co., LTD,  Anhui, China</t>
        </is>
      </c>
      <c r="B11306" t="inlineStr">
        <is>
          <t>Processing Unit</t>
        </is>
      </c>
      <c r="C11306" t="inlineStr">
        <is>
          <t>SGS Germany GmbH, Emstek, DE</t>
        </is>
      </c>
      <c r="D11306" t="inlineStr">
        <is>
          <t>03.12.2026</t>
        </is>
      </c>
      <c r="E11306" t="inlineStr">
        <is>
          <t>China</t>
        </is>
      </c>
    </row>
    <row r="11307">
      <c r="A11307" t="inlineStr">
        <is>
          <t>VIV,  Veenendaal, Netherlands</t>
        </is>
      </c>
      <c r="B11307" t="inlineStr">
        <is>
          <t>Trader with Storage, Final Product Refinement</t>
        </is>
      </c>
      <c r="C11307" t="inlineStr">
        <is>
          <t>DEKRA Certification B.V., Arnhem, NL</t>
        </is>
      </c>
      <c r="D11307" t="inlineStr">
        <is>
          <t>03.12.2026</t>
        </is>
      </c>
      <c r="E11307" t="inlineStr">
        <is>
          <t>Netherlands</t>
        </is>
      </c>
    </row>
    <row r="11308">
      <c r="A11308" t="inlineStr">
        <is>
          <t>Guangdong Kehong Green Energy Co., Ltd Leizhou Branch,  Leizhou, Zhanjiang, Guangdong, China</t>
        </is>
      </c>
      <c r="B11308" t="inlineStr">
        <is>
          <t>Processing Unit, Collecting Point</t>
        </is>
      </c>
      <c r="C11308" t="inlineStr">
        <is>
          <t>SGS Germany GmbH, Emstek, DE</t>
        </is>
      </c>
      <c r="D11308" t="inlineStr">
        <is>
          <t>03.12.2026</t>
        </is>
      </c>
      <c r="E11308" t="inlineStr">
        <is>
          <t>China</t>
        </is>
      </c>
    </row>
    <row r="11309">
      <c r="A11309" t="inlineStr">
        <is>
          <t>SDIC Bioenergy HaiLun Co., Ltd.,  Hailun City, Heilongjiang Province, China</t>
        </is>
      </c>
      <c r="B11309" t="inlineStr">
        <is>
          <t>Point of Origin</t>
        </is>
      </c>
      <c r="C11309" t="inlineStr">
        <is>
          <t>China Standard Conformity Assessment Co. Ltd, Beijing, CN</t>
        </is>
      </c>
      <c r="D11309" t="inlineStr">
        <is>
          <t>03.12.2026</t>
        </is>
      </c>
      <c r="E11309" t="inlineStr">
        <is>
          <t>China</t>
        </is>
      </c>
    </row>
    <row r="11310">
      <c r="A11310" t="inlineStr">
        <is>
          <t>ARAH BERSAMA SDN BHD,KUALA SUAI PALM OIL MILL,  MIRI, Malaysia</t>
        </is>
      </c>
      <c r="B11310" t="inlineStr">
        <is>
          <t>Point of Origin</t>
        </is>
      </c>
      <c r="C11310" t="inlineStr">
        <is>
          <t>Trans Certification and Inspection Sdn Bhd, Kuantan, MY</t>
        </is>
      </c>
      <c r="D11310" t="inlineStr">
        <is>
          <t>03.12.2026</t>
        </is>
      </c>
      <c r="E11310" t="inlineStr">
        <is>
          <t>Malaysia</t>
        </is>
      </c>
    </row>
    <row r="11311">
      <c r="A11311" t="inlineStr">
        <is>
          <t>Covestro Japan,  Amagasaki, Hyogo, Japan</t>
        </is>
      </c>
      <c r="B11311" t="inlineStr">
        <is>
          <t>Trader with Storage</t>
        </is>
      </c>
      <c r="C11311" t="inlineStr">
        <is>
          <t>DIN CERTCO GmbH, Berlin, DE</t>
        </is>
      </c>
      <c r="D11311" t="inlineStr">
        <is>
          <t>03.12.2026</t>
        </is>
      </c>
      <c r="E11311" t="inlineStr">
        <is>
          <t>Japan</t>
        </is>
      </c>
    </row>
    <row r="11312">
      <c r="A11312" t="inlineStr">
        <is>
          <t>Anew Climate Europe GmbH,  München, Germany</t>
        </is>
      </c>
      <c r="B11312" t="inlineStr">
        <is>
          <t>Proof of Compliance Trader, Trader with Storage</t>
        </is>
      </c>
      <c r="C11312" t="inlineStr">
        <is>
          <t>GUT Certifizierungsgesellschaft für Managementsysteme mbH Umweltgutachter, Berlin, DE</t>
        </is>
      </c>
      <c r="D11312" t="inlineStr">
        <is>
          <t>03.12.2026</t>
        </is>
      </c>
      <c r="E11312" t="inlineStr">
        <is>
          <t>Germany</t>
        </is>
      </c>
    </row>
    <row r="11313">
      <c r="A11313" t="inlineStr">
        <is>
          <t>Anew Gas GmbH,  München, Germany</t>
        </is>
      </c>
      <c r="B11313" t="inlineStr">
        <is>
          <t>Trader</t>
        </is>
      </c>
      <c r="C11313" t="inlineStr">
        <is>
          <t>GUT Certifizierungsgesellschaft für Managementsysteme mbH Umweltgutachter, Berlin, DE</t>
        </is>
      </c>
      <c r="D11313" t="inlineStr">
        <is>
          <t>03.12.2026</t>
        </is>
      </c>
      <c r="E11313" t="inlineStr">
        <is>
          <t>Germany</t>
        </is>
      </c>
    </row>
    <row r="11314">
      <c r="A11314" t="inlineStr">
        <is>
          <t>DEQING JIYUAN SYNTHETIC RESIN LTD.,  ZHAOQING CITY, GUANGDONG PROVINCE, China</t>
        </is>
      </c>
      <c r="B11314" t="inlineStr">
        <is>
          <t>Processing Unit</t>
        </is>
      </c>
      <c r="C11314" t="inlineStr">
        <is>
          <t>SCS Global Services, Emeryville, CA, US</t>
        </is>
      </c>
      <c r="D11314" t="inlineStr">
        <is>
          <t>03.12.2026</t>
        </is>
      </c>
      <c r="E11314" t="inlineStr">
        <is>
          <t>China</t>
        </is>
      </c>
    </row>
    <row r="11315">
      <c r="A11315" t="inlineStr">
        <is>
          <t>Landwärme GmbH,  München, Germany</t>
        </is>
      </c>
      <c r="B11315" t="inlineStr">
        <is>
          <t>Trader</t>
        </is>
      </c>
      <c r="C11315" t="inlineStr">
        <is>
          <t>GUT Certifizierungsgesellschaft für Managementsysteme mbH Umweltgutachter, Berlin, DE</t>
        </is>
      </c>
      <c r="D11315" t="inlineStr">
        <is>
          <t>03.12.2026</t>
        </is>
      </c>
      <c r="E11315" t="inlineStr">
        <is>
          <t>Germany</t>
        </is>
      </c>
    </row>
    <row r="11316">
      <c r="A11316" t="inlineStr">
        <is>
          <t>Ji Pyungsun Energy,  Yeonggwang-gun, Jeonsnam-do, Korea, Republic of</t>
        </is>
      </c>
      <c r="B11316" t="inlineStr">
        <is>
          <t>Collecting Point, Processing Unit</t>
        </is>
      </c>
      <c r="C11316" t="inlineStr">
        <is>
          <t>Korean Foundation for Quality, Songpa-gu, Seoul, KR</t>
        </is>
      </c>
      <c r="D11316" t="inlineStr">
        <is>
          <t>03.12.2026</t>
        </is>
      </c>
      <c r="E11316" t="inlineStr">
        <is>
          <t>Republic of</t>
        </is>
      </c>
    </row>
    <row r="11317">
      <c r="A11317" t="inlineStr">
        <is>
          <t>AB Jonavos grūdai,  Jonava, Lithuania</t>
        </is>
      </c>
      <c r="B11317" t="inlineStr">
        <is>
          <t>First Gathering Point, Trader with Storage</t>
        </is>
      </c>
      <c r="C11317" t="inlineStr">
        <is>
          <t>SGS Germany GmbH, Emstek, DE</t>
        </is>
      </c>
      <c r="D11317" t="inlineStr">
        <is>
          <t>03.12.2026</t>
        </is>
      </c>
      <c r="E11317" t="inlineStr">
        <is>
          <t>Lithuania</t>
        </is>
      </c>
    </row>
    <row r="11318">
      <c r="A11318" t="inlineStr">
        <is>
          <t>IMEKO,  Valparaíso, Chile</t>
        </is>
      </c>
      <c r="B11318" t="inlineStr">
        <is>
          <t>Collecting Point, Processing Unit</t>
        </is>
      </c>
      <c r="C11318" t="inlineStr">
        <is>
          <t>SCS Global Services, Emeryville, CA, US</t>
        </is>
      </c>
      <c r="D11318" t="inlineStr">
        <is>
          <t>03.12.2026</t>
        </is>
      </c>
      <c r="E11318" t="inlineStr">
        <is>
          <t>Chile</t>
        </is>
      </c>
    </row>
    <row r="11319">
      <c r="A11319" t="inlineStr">
        <is>
          <t>Innoltek,  Saint-Jean-sur-Richelieu, Canada</t>
        </is>
      </c>
      <c r="B11319" t="inlineStr">
        <is>
          <t>Collecting Point, Processing Unit</t>
        </is>
      </c>
      <c r="C11319" t="inlineStr">
        <is>
          <t>SCS Global Services, Emeryville, CA, US</t>
        </is>
      </c>
      <c r="D11319" t="inlineStr">
        <is>
          <t>03.12.2026</t>
        </is>
      </c>
      <c r="E11319" t="inlineStr">
        <is>
          <t>Canada</t>
        </is>
      </c>
    </row>
    <row r="11320">
      <c r="A11320" t="inlineStr">
        <is>
          <t>ACTEGA,  Bremen, Germany</t>
        </is>
      </c>
      <c r="B11320" t="inlineStr">
        <is>
          <t>Processing Unit</t>
        </is>
      </c>
      <c r="C11320" t="inlineStr">
        <is>
          <t>DEKRA Certification GmbH, Stuttgart, DE</t>
        </is>
      </c>
      <c r="D11320" t="inlineStr">
        <is>
          <t>03.12.2026</t>
        </is>
      </c>
      <c r="E11320" t="inlineStr">
        <is>
          <t>Germany</t>
        </is>
      </c>
    </row>
    <row r="11321">
      <c r="A11321" t="inlineStr">
        <is>
          <t>Innoltek,  Saint-Jean-sur-Richelieu, Canada</t>
        </is>
      </c>
      <c r="B11321" t="inlineStr">
        <is>
          <t>Collecting Point, Processing Unit</t>
        </is>
      </c>
      <c r="C11321" t="inlineStr">
        <is>
          <t>SCS Global Services, Emeryville, CA, US</t>
        </is>
      </c>
      <c r="D11321" t="inlineStr">
        <is>
          <t>03.12.2026</t>
        </is>
      </c>
      <c r="E11321" t="inlineStr">
        <is>
          <t>Canada</t>
        </is>
      </c>
    </row>
    <row r="11322">
      <c r="A11322" t="inlineStr">
        <is>
          <t>NMC Termonova,  Inkoo, Finland</t>
        </is>
      </c>
      <c r="B11322" t="inlineStr">
        <is>
          <t>Processing Unit</t>
        </is>
      </c>
      <c r="C11322" t="inlineStr">
        <is>
          <t>BM Certification, Riga, LV</t>
        </is>
      </c>
      <c r="D11322" t="inlineStr">
        <is>
          <t>03.12.2026</t>
        </is>
      </c>
      <c r="E11322" t="inlineStr">
        <is>
          <t>Finland</t>
        </is>
      </c>
    </row>
    <row r="11323">
      <c r="A11323" t="inlineStr">
        <is>
          <t>PT Rigunas Agri Utama,  Indragiri Hulu Regency, Riau Province, Indonesia</t>
        </is>
      </c>
      <c r="B11323" t="inlineStr">
        <is>
          <t>Point of Origin</t>
        </is>
      </c>
      <c r="C11323" t="inlineStr">
        <is>
          <t>SGS Germany GmbH, Emstek, DE</t>
        </is>
      </c>
      <c r="D11323" t="inlineStr">
        <is>
          <t>02.12.2026</t>
        </is>
      </c>
      <c r="E11323" t="inlineStr">
        <is>
          <t>Indonesia</t>
        </is>
      </c>
    </row>
    <row r="11324">
      <c r="A11324" t="inlineStr">
        <is>
          <t>ASPAC LUBRICANTS (MALAYSIA) SDN. BHD.,  PORT KLANG, Malaysia</t>
        </is>
      </c>
      <c r="B11324" t="inlineStr">
        <is>
          <t>Final Product Refinement</t>
        </is>
      </c>
      <c r="C11324" t="inlineStr">
        <is>
          <t>BM Certification, Riga, LV</t>
        </is>
      </c>
      <c r="D11324" t="inlineStr">
        <is>
          <t>02.12.2026</t>
        </is>
      </c>
      <c r="E11324" t="inlineStr">
        <is>
          <t>Malaysia</t>
        </is>
      </c>
    </row>
    <row r="11325">
      <c r="A11325" t="inlineStr">
        <is>
          <t>Mobimart Systems Limited,  Ukunda, Diani, Kwale, Kenya</t>
        </is>
      </c>
      <c r="B11325" t="inlineStr">
        <is>
          <t>Collecting Point, First Gathering Point, Trader with Storage, Warehouse</t>
        </is>
      </c>
      <c r="C11325" t="inlineStr">
        <is>
          <t>RINA Services S.p.A., Genova, IT</t>
        </is>
      </c>
      <c r="D11325" t="inlineStr">
        <is>
          <t>02.12.2026</t>
        </is>
      </c>
      <c r="E11325" t="inlineStr">
        <is>
          <t>Kenya</t>
        </is>
      </c>
    </row>
    <row r="11326">
      <c r="A11326" t="inlineStr">
        <is>
          <t>PRAX LINDSEY OIL REFINERY LIMITED,  Immingham, United Kingdom</t>
        </is>
      </c>
      <c r="B11326" t="inlineStr">
        <is>
          <t>MTBE plant, Trader with Storage</t>
        </is>
      </c>
      <c r="C11326" t="inlineStr">
        <is>
          <t>SGS Germany GmbH, Emstek, DE</t>
        </is>
      </c>
      <c r="D11326" t="inlineStr">
        <is>
          <t>02.12.2026</t>
        </is>
      </c>
      <c r="E11326" t="inlineStr">
        <is>
          <t>United Kingdom</t>
        </is>
      </c>
    </row>
    <row r="11327">
      <c r="A11327" t="inlineStr">
        <is>
          <t>Jiangmen Zhongcheng Oil Industry Co., Ltd,  Jiangmen City, China</t>
        </is>
      </c>
      <c r="B11327" t="inlineStr">
        <is>
          <t>Collecting Point</t>
        </is>
      </c>
      <c r="C11327" t="inlineStr">
        <is>
          <t>RINA Services S.p.A., Genova, IT</t>
        </is>
      </c>
      <c r="D11327" t="inlineStr">
        <is>
          <t>02.12.2026</t>
        </is>
      </c>
      <c r="E11327" t="inlineStr">
        <is>
          <t>China</t>
        </is>
      </c>
    </row>
    <row r="11328">
      <c r="A11328" t="inlineStr">
        <is>
          <t>Zhaoqing Jinpeng Oil Trading Co., Ltd,  Zhaoqing City, China</t>
        </is>
      </c>
      <c r="B11328" t="inlineStr">
        <is>
          <t>Collecting Point</t>
        </is>
      </c>
      <c r="C11328" t="inlineStr">
        <is>
          <t>RINA Services S.p.A., Genova, IT</t>
        </is>
      </c>
      <c r="D11328" t="inlineStr">
        <is>
          <t>02.12.2026</t>
        </is>
      </c>
      <c r="E11328" t="inlineStr">
        <is>
          <t>China</t>
        </is>
      </c>
    </row>
    <row r="11329">
      <c r="A11329" t="inlineStr">
        <is>
          <t>Novacel S.p.A.,  Sessa Aurunca, Italy</t>
        </is>
      </c>
      <c r="B11329" t="inlineStr">
        <is>
          <t>Final Product Refinement</t>
        </is>
      </c>
      <c r="C11329" t="inlineStr">
        <is>
          <t>DNV Business Assurance Sweden AB, Solna, SE</t>
        </is>
      </c>
      <c r="D11329" t="inlineStr">
        <is>
          <t>02.12.2026</t>
        </is>
      </c>
      <c r="E11329" t="inlineStr">
        <is>
          <t>Italy</t>
        </is>
      </c>
    </row>
    <row r="11330">
      <c r="A11330" t="inlineStr">
        <is>
          <t>GLOBAL TUBE,  Tortona, Italy</t>
        </is>
      </c>
      <c r="B11330" t="inlineStr">
        <is>
          <t>Processing Unit</t>
        </is>
      </c>
      <c r="C11330" t="inlineStr">
        <is>
          <t>RINA Services S.p.A., Genova, IT</t>
        </is>
      </c>
      <c r="D11330" t="inlineStr">
        <is>
          <t>02.12.2026</t>
        </is>
      </c>
      <c r="E11330" t="inlineStr">
        <is>
          <t>Italy</t>
        </is>
      </c>
    </row>
    <row r="11331">
      <c r="A11331" t="inlineStr">
        <is>
          <t>Louis Dreyfus Company Asia Pte Ltd.,  Singapore, Singapore</t>
        </is>
      </c>
      <c r="B11331" t="inlineStr">
        <is>
          <t>Trader with Storage</t>
        </is>
      </c>
      <c r="C11331" t="inlineStr">
        <is>
          <t>PT Intertek Utama Services, Jakarta, ID</t>
        </is>
      </c>
      <c r="D11331" t="inlineStr">
        <is>
          <t>02.12.2026</t>
        </is>
      </c>
      <c r="E11331" t="inlineStr">
        <is>
          <t>Singapore</t>
        </is>
      </c>
    </row>
    <row r="11332">
      <c r="A11332" t="inlineStr">
        <is>
          <t>Wilmar Europe Trading BV,  Rotterdam, Netherlands</t>
        </is>
      </c>
      <c r="B11332" t="inlineStr">
        <is>
          <t>Trader with Storage</t>
        </is>
      </c>
      <c r="C11332" t="inlineStr">
        <is>
          <t>Control Union Certifications Germany GmbH, Berlin, DE</t>
        </is>
      </c>
      <c r="D11332" t="inlineStr">
        <is>
          <t>02.12.2026</t>
        </is>
      </c>
      <c r="E11332" t="inlineStr">
        <is>
          <t>Netherlands</t>
        </is>
      </c>
    </row>
    <row r="11333">
      <c r="A11333" t="inlineStr">
        <is>
          <t>OMV Supply &amp; Trading Limited,  London, United Kingdom</t>
        </is>
      </c>
      <c r="B11333" t="inlineStr">
        <is>
          <t>Trader with Storage</t>
        </is>
      </c>
      <c r="C11333" t="inlineStr">
        <is>
          <t>TÜV SÜD Industrie Service GmbH, München, DE</t>
        </is>
      </c>
      <c r="D11333" t="inlineStr">
        <is>
          <t>02.12.2026</t>
        </is>
      </c>
      <c r="E11333" t="inlineStr">
        <is>
          <t>United Kingdom</t>
        </is>
      </c>
    </row>
    <row r="11334">
      <c r="A11334" t="inlineStr">
        <is>
          <t>Petrobras Singapore Private Limited,  Republic Plaza, Singapore</t>
        </is>
      </c>
      <c r="B11334" t="inlineStr">
        <is>
          <t>Trader with Storage</t>
        </is>
      </c>
      <c r="C11334" t="inlineStr">
        <is>
          <t>Guardian Independent Certification Limited, Singapore, SG</t>
        </is>
      </c>
      <c r="D11334" t="inlineStr">
        <is>
          <t>02.12.2026</t>
        </is>
      </c>
      <c r="E11334" t="inlineStr">
        <is>
          <t>Singapore</t>
        </is>
      </c>
    </row>
    <row r="11335">
      <c r="A11335" t="inlineStr">
        <is>
          <t>Italiana Petroli,  Roma, Italy</t>
        </is>
      </c>
      <c r="B11335" t="inlineStr">
        <is>
          <t>Proof of Compliance Trader, Trader with Storage</t>
        </is>
      </c>
      <c r="C11335" t="inlineStr">
        <is>
          <t>SGS Germany GmbH, Emstek, DE</t>
        </is>
      </c>
      <c r="D11335" t="inlineStr">
        <is>
          <t>02.12.2026</t>
        </is>
      </c>
      <c r="E11335" t="inlineStr">
        <is>
          <t>Italy</t>
        </is>
      </c>
    </row>
    <row r="11336">
      <c r="A11336" t="inlineStr">
        <is>
          <t>Tokan Kogyo Co., Ltd.Komaki Plant,  Komaki City Aichi prefecture, Japan</t>
        </is>
      </c>
      <c r="B11336" t="inlineStr">
        <is>
          <t>Processing Unit</t>
        </is>
      </c>
      <c r="C11336" t="inlineStr">
        <is>
          <t>SGS Germany GmbH, Emstek, DE</t>
        </is>
      </c>
      <c r="D11336" t="inlineStr">
        <is>
          <t>02.12.2026</t>
        </is>
      </c>
      <c r="E11336" t="inlineStr">
        <is>
          <t>Japan</t>
        </is>
      </c>
    </row>
    <row r="11337">
      <c r="A11337" t="inlineStr">
        <is>
          <t>Toyo Tire Corporation,  Fukushima City, Fukushima, Japan</t>
        </is>
      </c>
      <c r="B11337" t="inlineStr">
        <is>
          <t>Processing Unit</t>
        </is>
      </c>
      <c r="C11337" t="inlineStr">
        <is>
          <t>SGS Germany GmbH, Emstek, DE</t>
        </is>
      </c>
      <c r="D11337" t="inlineStr">
        <is>
          <t>02.12.2026</t>
        </is>
      </c>
      <c r="E11337" t="inlineStr">
        <is>
          <t>Japan</t>
        </is>
      </c>
    </row>
    <row r="11338">
      <c r="A11338" t="inlineStr">
        <is>
          <t>SUMITOMO BAKELITE CO., LTD.,  Kanuma, Tochigi, Japan</t>
        </is>
      </c>
      <c r="B11338" t="inlineStr">
        <is>
          <t>Processing Unit</t>
        </is>
      </c>
      <c r="C11338" t="inlineStr">
        <is>
          <t>SGS Germany GmbH, Emstek, DE</t>
        </is>
      </c>
      <c r="D11338" t="inlineStr">
        <is>
          <t>02.12.2026</t>
        </is>
      </c>
      <c r="E11338" t="inlineStr">
        <is>
          <t>Japan</t>
        </is>
      </c>
    </row>
    <row r="11339">
      <c r="A11339" t="inlineStr">
        <is>
          <t>Denkapolymer Company Limited Sakura Factory,  Sakura-shi,Chiba, Japan</t>
        </is>
      </c>
      <c r="B11339" t="inlineStr">
        <is>
          <t>Point of Origin, Processing Unit</t>
        </is>
      </c>
      <c r="C11339" t="inlineStr">
        <is>
          <t>SGS Germany GmbH, Emstek, DE</t>
        </is>
      </c>
      <c r="D11339" t="inlineStr">
        <is>
          <t>02.12.2026</t>
        </is>
      </c>
      <c r="E11339" t="inlineStr">
        <is>
          <t>Japan</t>
        </is>
      </c>
    </row>
    <row r="11340">
      <c r="A11340" t="inlineStr">
        <is>
          <t>Suzhou Jiepai Chemical Co., Ltd,  Suzhou City, Anhui Province, China</t>
        </is>
      </c>
      <c r="B11340" t="inlineStr">
        <is>
          <t>Processing Unit</t>
        </is>
      </c>
      <c r="C11340" t="inlineStr">
        <is>
          <t>SCS Global Services, Emeryville, CA, US</t>
        </is>
      </c>
      <c r="D11340" t="inlineStr">
        <is>
          <t>02.12.2026</t>
        </is>
      </c>
      <c r="E11340" t="inlineStr">
        <is>
          <t>China</t>
        </is>
      </c>
    </row>
    <row r="11341">
      <c r="A11341" t="inlineStr">
        <is>
          <t>Green Tag Renewable Energy LTD.,  Samutprakan, Thailand</t>
        </is>
      </c>
      <c r="B11341" t="inlineStr">
        <is>
          <t>Collecting Point, Trader with Storage</t>
        </is>
      </c>
      <c r="C11341" t="inlineStr">
        <is>
          <t>Trans Certification and Inspection Sdn Bhd, Kuantan, MY</t>
        </is>
      </c>
      <c r="D11341" t="inlineStr">
        <is>
          <t>02.12.2026</t>
        </is>
      </c>
      <c r="E11341" t="inlineStr">
        <is>
          <t>Thailand</t>
        </is>
      </c>
    </row>
    <row r="11342">
      <c r="A11342" t="inlineStr">
        <is>
          <t>ARLANXEO Brasil S.A.,  Polo Petroquímico, Via de Contorno 292 Triunfo, RS, Brazil</t>
        </is>
      </c>
      <c r="B11342" t="inlineStr">
        <is>
          <t>Processing Unit, Trader with Storage</t>
        </is>
      </c>
      <c r="C11342" t="inlineStr">
        <is>
          <t>QIMA, Centro, Botucatu - SP, CEP, BR</t>
        </is>
      </c>
      <c r="D11342" t="inlineStr">
        <is>
          <t>02.12.2026</t>
        </is>
      </c>
      <c r="E11342" t="inlineStr">
        <is>
          <t>Brazil</t>
        </is>
      </c>
    </row>
    <row r="11343">
      <c r="A11343" t="inlineStr">
        <is>
          <t>HONOR BENEFIT HOLDINGS LIMITED,  Dongguan, Guangdong, China</t>
        </is>
      </c>
      <c r="B11343" t="inlineStr">
        <is>
          <t>Trader</t>
        </is>
      </c>
      <c r="C11343" t="inlineStr">
        <is>
          <t>CTI Certification Co. Ltd, Shenzhen, CN</t>
        </is>
      </c>
      <c r="D11343" t="inlineStr">
        <is>
          <t>02.12.2026</t>
        </is>
      </c>
      <c r="E11343" t="inlineStr">
        <is>
          <t>China</t>
        </is>
      </c>
    </row>
    <row r="11344">
      <c r="A11344" t="inlineStr">
        <is>
          <t>Clariant International AG,  Muttenz, Switzerland</t>
        </is>
      </c>
      <c r="B11344" t="inlineStr">
        <is>
          <t>Logistics Center, Trader with Storage</t>
        </is>
      </c>
      <c r="C11344" t="inlineStr">
        <is>
          <t>GUT Certifizierungsgesellschaft für Managementsysteme mbH Umweltgutachter, Berlin, DE</t>
        </is>
      </c>
      <c r="D11344" t="inlineStr">
        <is>
          <t>02.12.2026</t>
        </is>
      </c>
      <c r="E11344" t="inlineStr">
        <is>
          <t>Switzerland</t>
        </is>
      </c>
    </row>
    <row r="11345">
      <c r="A11345" t="inlineStr">
        <is>
          <t>PT. Kalimantan Agro Nusantara,  Kutai Timur, Indonesia</t>
        </is>
      </c>
      <c r="B11345" t="inlineStr">
        <is>
          <t>Point of Origin</t>
        </is>
      </c>
      <c r="C11345" t="inlineStr">
        <is>
          <t>PT TSI Sertifikasi Internasional, Jakarta Selatang, ID</t>
        </is>
      </c>
      <c r="D11345" t="inlineStr">
        <is>
          <t>02.12.2026</t>
        </is>
      </c>
      <c r="E11345" t="inlineStr">
        <is>
          <t>Indonesia</t>
        </is>
      </c>
    </row>
    <row r="11346">
      <c r="A11346" t="inlineStr">
        <is>
          <t>Clariant Plastics &amp; Coatings (Deutschland) GmbH,  Frankfurt Höchst, Germany</t>
        </is>
      </c>
      <c r="B11346" t="inlineStr">
        <is>
          <t>Point of Origin, Processing Unit</t>
        </is>
      </c>
      <c r="C11346" t="inlineStr">
        <is>
          <t>GUT Certifizierungsgesellschaft für Managementsysteme mbH Umweltgutachter, Berlin, DE</t>
        </is>
      </c>
      <c r="D11346" t="inlineStr">
        <is>
          <t>02.12.2026</t>
        </is>
      </c>
      <c r="E11346" t="inlineStr">
        <is>
          <t>Germany</t>
        </is>
      </c>
    </row>
    <row r="11347">
      <c r="A11347" t="inlineStr">
        <is>
          <t>Dong Guan Fukai Crafts Co., Ltd.,  Dongguan City, Guangdong Province, China</t>
        </is>
      </c>
      <c r="B11347" t="inlineStr">
        <is>
          <t>Processing Unit</t>
        </is>
      </c>
      <c r="C11347" t="inlineStr">
        <is>
          <t>RINA Services S.p.A., Genova, IT</t>
        </is>
      </c>
      <c r="D11347" t="inlineStr">
        <is>
          <t>02.12.2026</t>
        </is>
      </c>
      <c r="E11347" t="inlineStr">
        <is>
          <t>China</t>
        </is>
      </c>
    </row>
    <row r="11348">
      <c r="A11348" t="inlineStr">
        <is>
          <t>Ülker Bisküvi San. A.Ş. Silivri Şubesi,  İstanbul, Turkey</t>
        </is>
      </c>
      <c r="B11348" t="inlineStr">
        <is>
          <t>Final Product Refinement</t>
        </is>
      </c>
      <c r="C11348" t="inlineStr">
        <is>
          <t>PT Intertek Utama Services, Jakarta, ID</t>
        </is>
      </c>
      <c r="D11348" t="inlineStr">
        <is>
          <t>02.12.2026</t>
        </is>
      </c>
      <c r="E11348" t="inlineStr">
        <is>
          <t>Turkey</t>
        </is>
      </c>
    </row>
    <row r="11349">
      <c r="A11349" t="inlineStr">
        <is>
          <t>Oviedoil SL,  Alicante, Spain</t>
        </is>
      </c>
      <c r="B11349" t="inlineStr">
        <is>
          <t>Trader with Storage</t>
        </is>
      </c>
      <c r="C11349" t="inlineStr">
        <is>
          <t>Certificadora Gallega del Noroeste SL, Vilagarcia de Arousa-Pontevedra, ES</t>
        </is>
      </c>
      <c r="D11349" t="inlineStr">
        <is>
          <t>02.12.2026</t>
        </is>
      </c>
      <c r="E11349" t="inlineStr">
        <is>
          <t>Spain</t>
        </is>
      </c>
    </row>
    <row r="11350">
      <c r="A11350" t="inlineStr">
        <is>
          <t>GITI TIRE (FUJIAN) COMPANY LTD.,  Putian City, Fujian Province, China</t>
        </is>
      </c>
      <c r="B11350" t="inlineStr">
        <is>
          <t>Processing Unit</t>
        </is>
      </c>
      <c r="C11350" t="inlineStr">
        <is>
          <t>SGS Germany GmbH, Emstek, DE</t>
        </is>
      </c>
      <c r="D11350" t="inlineStr">
        <is>
          <t>02.12.2026</t>
        </is>
      </c>
      <c r="E11350" t="inlineStr">
        <is>
          <t>China</t>
        </is>
      </c>
    </row>
    <row r="11351">
      <c r="A11351" t="inlineStr">
        <is>
          <t>PT Sumber Kencana Indo Palma,  Ringin, Batang Gangsal, Kab. Indragiri Hulu, Indonesia</t>
        </is>
      </c>
      <c r="B11351" t="inlineStr">
        <is>
          <t>Point of Origin</t>
        </is>
      </c>
      <c r="C11351" t="inlineStr">
        <is>
          <t>PT. CBQA GLOBAL INDONESIA, JAKARTA SELATAN, ID</t>
        </is>
      </c>
      <c r="D11351" t="inlineStr">
        <is>
          <t>02.12.2026</t>
        </is>
      </c>
      <c r="E11351" t="inlineStr">
        <is>
          <t>Indonesia</t>
        </is>
      </c>
    </row>
    <row r="11352">
      <c r="A11352" t="inlineStr">
        <is>
          <t>CYCLE0 COMERCIALIZADORA, SL,  Balaguer, Spain</t>
        </is>
      </c>
      <c r="B11352" t="inlineStr">
        <is>
          <t>Trader</t>
        </is>
      </c>
      <c r="C11352" t="inlineStr">
        <is>
          <t>Certificadora Gallega del Noroeste SL, Vilagarcia de Arousa-Pontevedra, ES</t>
        </is>
      </c>
      <c r="D11352" t="inlineStr">
        <is>
          <t>02.12.2026</t>
        </is>
      </c>
      <c r="E11352" t="inlineStr">
        <is>
          <t>Spain</t>
        </is>
      </c>
    </row>
    <row r="11353">
      <c r="A11353" t="inlineStr">
        <is>
          <t>Kuraray America, Inc.,  Pasadena, United States</t>
        </is>
      </c>
      <c r="B11353" t="inlineStr">
        <is>
          <t>Processing Unit</t>
        </is>
      </c>
      <c r="C11353" t="inlineStr">
        <is>
          <t>Control Union Poland Sp. z o.o., Zielona Gora, PL</t>
        </is>
      </c>
      <c r="D11353" t="inlineStr">
        <is>
          <t>02.12.2026</t>
        </is>
      </c>
      <c r="E11353" t="inlineStr">
        <is>
          <t>United States</t>
        </is>
      </c>
    </row>
    <row r="11354">
      <c r="A11354" t="inlineStr">
        <is>
          <t>ALPHA-POLYMER CO., LTD.,  Taipei City, Taiwan</t>
        </is>
      </c>
      <c r="B11354" t="inlineStr">
        <is>
          <t>Trader with Storage</t>
        </is>
      </c>
      <c r="C11354" t="inlineStr">
        <is>
          <t>Bureau Veritas Polska Sp. z o.o., Warsaw, PL</t>
        </is>
      </c>
      <c r="D11354" t="inlineStr">
        <is>
          <t>02.12.2026</t>
        </is>
      </c>
      <c r="E11354" t="inlineStr">
        <is>
          <t>Taiwan</t>
        </is>
      </c>
    </row>
    <row r="11355">
      <c r="A11355" t="inlineStr">
        <is>
          <t>Shinkong Synthetic Fibers Corporation,  Taoyuan City, Taiwan</t>
        </is>
      </c>
      <c r="B11355" t="inlineStr">
        <is>
          <t>Processing Unit</t>
        </is>
      </c>
      <c r="C11355" t="inlineStr">
        <is>
          <t>Bureau Veritas Polska Sp. z o.o., Warsaw, PL</t>
        </is>
      </c>
      <c r="D11355" t="inlineStr">
        <is>
          <t>02.12.2026</t>
        </is>
      </c>
      <c r="E11355" t="inlineStr">
        <is>
          <t>Taiwan</t>
        </is>
      </c>
    </row>
    <row r="11356">
      <c r="A11356" t="inlineStr">
        <is>
          <t>Stepan Company,  Elwood, United States</t>
        </is>
      </c>
      <c r="B11356" t="inlineStr">
        <is>
          <t>Processing Unit</t>
        </is>
      </c>
      <c r="C11356" t="inlineStr">
        <is>
          <t>Control Union Poland Sp. z o.o., Zielona Gora, PL</t>
        </is>
      </c>
      <c r="D11356" t="inlineStr">
        <is>
          <t>02.12.2026</t>
        </is>
      </c>
      <c r="E11356" t="inlineStr">
        <is>
          <t>United States</t>
        </is>
      </c>
    </row>
    <row r="11357">
      <c r="A11357" t="inlineStr">
        <is>
          <t>Tyczka Trading,  Geretsried, Germany</t>
        </is>
      </c>
      <c r="B11357" t="inlineStr">
        <is>
          <t>Trader</t>
        </is>
      </c>
      <c r="C11357" t="inlineStr">
        <is>
          <t>DIN CERTCO GmbH, Berlin, DE</t>
        </is>
      </c>
      <c r="D11357" t="inlineStr">
        <is>
          <t>02.12.2026</t>
        </is>
      </c>
      <c r="E11357" t="inlineStr">
        <is>
          <t>Germany</t>
        </is>
      </c>
    </row>
    <row r="11358">
      <c r="A11358" t="inlineStr">
        <is>
          <t>PT. Antang Sawit Perkasa,  Kabupaten Kapuas, Kalimantan Tengah, Indonesia</t>
        </is>
      </c>
      <c r="B11358" t="inlineStr">
        <is>
          <t>Point of Origin</t>
        </is>
      </c>
      <c r="C11358" t="inlineStr">
        <is>
          <t>SGS Germany GmbH, Emstek, DE</t>
        </is>
      </c>
      <c r="D11358" t="inlineStr">
        <is>
          <t>02.12.2026</t>
        </is>
      </c>
      <c r="E11358" t="inlineStr">
        <is>
          <t>Indonesia</t>
        </is>
      </c>
    </row>
    <row r="11359">
      <c r="A11359" t="inlineStr">
        <is>
          <t>Tyczka Energy,  Geretsried, Germany</t>
        </is>
      </c>
      <c r="B11359" t="inlineStr">
        <is>
          <t>Trader with Storage</t>
        </is>
      </c>
      <c r="C11359" t="inlineStr">
        <is>
          <t>DIN CERTCO GmbH, Berlin, DE</t>
        </is>
      </c>
      <c r="D11359" t="inlineStr">
        <is>
          <t>02.12.2026</t>
        </is>
      </c>
      <c r="E11359" t="inlineStr">
        <is>
          <t>Germany</t>
        </is>
      </c>
    </row>
    <row r="11360">
      <c r="A11360" t="inlineStr">
        <is>
          <t>PT. Primata Besi Bioenergy,  Provinsi Kalimantan Barat,, Indonesia</t>
        </is>
      </c>
      <c r="B11360" t="inlineStr">
        <is>
          <t>Processing Unit</t>
        </is>
      </c>
      <c r="C11360" t="inlineStr">
        <is>
          <t>Trans Certification and Inspection Sdn Bhd, Kuantan, MY</t>
        </is>
      </c>
      <c r="D11360" t="inlineStr">
        <is>
          <t>02.12.2026</t>
        </is>
      </c>
      <c r="E11360" t="inlineStr">
        <is>
          <t>Indonesia</t>
        </is>
      </c>
    </row>
    <row r="11361">
      <c r="A11361" t="inlineStr">
        <is>
          <t>Thai Polyacetal Co., Ltd.,  Rayong, Thailand</t>
        </is>
      </c>
      <c r="B11361" t="inlineStr">
        <is>
          <t>Processing Unit</t>
        </is>
      </c>
      <c r="C11361" t="inlineStr">
        <is>
          <t>SGS Germany GmbH, Emstek, DE</t>
        </is>
      </c>
      <c r="D11361" t="inlineStr">
        <is>
          <t>02.12.2026</t>
        </is>
      </c>
      <c r="E11361" t="inlineStr">
        <is>
          <t>Thailand</t>
        </is>
      </c>
    </row>
    <row r="11362">
      <c r="A11362" t="inlineStr">
        <is>
          <t>Modulpac AB,  Lagan, Sweden</t>
        </is>
      </c>
      <c r="B11362" t="inlineStr">
        <is>
          <t>Processing Unit</t>
        </is>
      </c>
      <c r="C11362" t="inlineStr">
        <is>
          <t>DNV Business Assurance Sweden AB, Solna, SE</t>
        </is>
      </c>
      <c r="D11362" t="inlineStr">
        <is>
          <t>02.12.2026</t>
        </is>
      </c>
      <c r="E11362" t="inlineStr">
        <is>
          <t>Sweden</t>
        </is>
      </c>
    </row>
    <row r="11363">
      <c r="A11363" t="inlineStr">
        <is>
          <t>Amcor Flexibles Valkeakoski Oy,  Valkeakoski, Finland</t>
        </is>
      </c>
      <c r="B11363" t="inlineStr">
        <is>
          <t>Processing Unit</t>
        </is>
      </c>
      <c r="C11363" t="inlineStr">
        <is>
          <t>SGS Germany GmbH, Emstek, DE</t>
        </is>
      </c>
      <c r="D11363" t="inlineStr">
        <is>
          <t>02.12.2026</t>
        </is>
      </c>
      <c r="E11363" t="inlineStr">
        <is>
          <t>Finland</t>
        </is>
      </c>
    </row>
    <row r="11364">
      <c r="A11364" t="inlineStr">
        <is>
          <t>Delta oil,  Saba Basha, Egypt</t>
        </is>
      </c>
      <c r="B11364" t="inlineStr">
        <is>
          <t>Collecting Point, Trader with Storage</t>
        </is>
      </c>
      <c r="C11364" t="inlineStr">
        <is>
          <t>Trans Certification and Inspection Sdn Bhd, Kuantan, MY</t>
        </is>
      </c>
      <c r="D11364" t="inlineStr">
        <is>
          <t>02.12.2026</t>
        </is>
      </c>
      <c r="E11364" t="inlineStr">
        <is>
          <t>Egypt</t>
        </is>
      </c>
    </row>
    <row r="11365">
      <c r="A11365" t="inlineStr">
        <is>
          <t>Plastimak SA,  Chalkidiki, Greece</t>
        </is>
      </c>
      <c r="B11365" t="inlineStr">
        <is>
          <t>Processing Unit</t>
        </is>
      </c>
      <c r="C11365" t="inlineStr">
        <is>
          <t>Eurocert SA, Metamorfosi, Athens, GR</t>
        </is>
      </c>
      <c r="D11365" t="inlineStr">
        <is>
          <t>02.12.2026</t>
        </is>
      </c>
      <c r="E11365" t="inlineStr">
        <is>
          <t>Greece</t>
        </is>
      </c>
    </row>
    <row r="11366">
      <c r="A11366" t="inlineStr">
        <is>
          <t>CASTROL AUSTRALIA PTY. LIMITED,  Docklands, Australia</t>
        </is>
      </c>
      <c r="B11366" t="inlineStr">
        <is>
          <t>Trader with Storage</t>
        </is>
      </c>
      <c r="C11366" t="inlineStr">
        <is>
          <t>BM Certification, Riga, LV</t>
        </is>
      </c>
      <c r="D11366" t="inlineStr">
        <is>
          <t>02.12.2026</t>
        </is>
      </c>
      <c r="E11366" t="inlineStr">
        <is>
          <t>Australia</t>
        </is>
      </c>
    </row>
    <row r="11367">
      <c r="A11367" t="inlineStr">
        <is>
          <t>Baker Commodities Inc.,  North Billerica, Massachusetts, United States</t>
        </is>
      </c>
      <c r="B11367" t="inlineStr">
        <is>
          <t>Collecting Point, Trader with Storage</t>
        </is>
      </c>
      <c r="C11367" t="inlineStr">
        <is>
          <t>Amspec Iberia SL, Vilagarcia de Arousa-Pontevedra, ES</t>
        </is>
      </c>
      <c r="D11367" t="inlineStr">
        <is>
          <t>02.12.2026</t>
        </is>
      </c>
      <c r="E11367" t="inlineStr">
        <is>
          <t>United States</t>
        </is>
      </c>
    </row>
    <row r="11368">
      <c r="A11368" t="inlineStr">
        <is>
          <t>New Leaf Biofuel,  San Diego, United States</t>
        </is>
      </c>
      <c r="B11368" t="inlineStr">
        <is>
          <t>Collecting Point, Trader with Storage</t>
        </is>
      </c>
      <c r="C11368" t="inlineStr">
        <is>
          <t>Amspec Iberia SL, Vilagarcia de Arousa-Pontevedra, ES</t>
        </is>
      </c>
      <c r="D11368" t="inlineStr">
        <is>
          <t>02.12.2026</t>
        </is>
      </c>
      <c r="E11368" t="inlineStr">
        <is>
          <t>United States</t>
        </is>
      </c>
    </row>
    <row r="11369">
      <c r="A11369" t="inlineStr">
        <is>
          <t>SUMEC HONG KONG COMPANY LIMITED,  XUANWU DISTRICT, NANJING, China</t>
        </is>
      </c>
      <c r="B11369" t="inlineStr">
        <is>
          <t>Trader with Storage</t>
        </is>
      </c>
      <c r="C11369" t="inlineStr">
        <is>
          <t>RINA Services S.p.A., Genova, IT</t>
        </is>
      </c>
      <c r="D11369" t="inlineStr">
        <is>
          <t>02.12.2026</t>
        </is>
      </c>
      <c r="E11369" t="inlineStr">
        <is>
          <t>China</t>
        </is>
      </c>
    </row>
    <row r="11370">
      <c r="A11370" t="inlineStr">
        <is>
          <t>New Leaf Biofuel,  San Diego, United States</t>
        </is>
      </c>
      <c r="B11370" t="inlineStr">
        <is>
          <t>Collecting Point, Trader with Storage</t>
        </is>
      </c>
      <c r="C11370" t="inlineStr">
        <is>
          <t>Certificadora Gallega del Noroeste SL, Vilagarcia de Arousa-Pontevedra, ES</t>
        </is>
      </c>
      <c r="D11370" t="inlineStr">
        <is>
          <t>02.12.2026</t>
        </is>
      </c>
      <c r="E11370" t="inlineStr">
        <is>
          <t>United States</t>
        </is>
      </c>
    </row>
    <row r="11371">
      <c r="A11371" t="inlineStr">
        <is>
          <t>New Leaf Biofuel,  San Diego, United States</t>
        </is>
      </c>
      <c r="B11371" t="inlineStr">
        <is>
          <t>Collecting Point, Trader with Storage</t>
        </is>
      </c>
      <c r="C11371" t="inlineStr">
        <is>
          <t>Amspec Iberia SL, Vilagarcia de Arousa-Pontevedra, ES</t>
        </is>
      </c>
      <c r="D11371" t="inlineStr">
        <is>
          <t>02.12.2026</t>
        </is>
      </c>
      <c r="E11371" t="inlineStr">
        <is>
          <t>United States</t>
        </is>
      </c>
    </row>
    <row r="11372">
      <c r="A11372" t="inlineStr">
        <is>
          <t>One More Time,  Vernon, United States</t>
        </is>
      </c>
      <c r="B11372" t="inlineStr">
        <is>
          <t>Collecting Point</t>
        </is>
      </c>
      <c r="C11372" t="inlineStr">
        <is>
          <t>Amspec Iberia SL, Vilagarcia de Arousa-Pontevedra, ES</t>
        </is>
      </c>
      <c r="D11372" t="inlineStr">
        <is>
          <t>02.12.2026</t>
        </is>
      </c>
      <c r="E11372" t="inlineStr">
        <is>
          <t>United States</t>
        </is>
      </c>
    </row>
    <row r="11373">
      <c r="A11373" t="inlineStr">
        <is>
          <t>One More Time,  Vernon, United States</t>
        </is>
      </c>
      <c r="B11373" t="inlineStr">
        <is>
          <t>Collecting Point</t>
        </is>
      </c>
      <c r="C11373" t="inlineStr">
        <is>
          <t>Certificadora Gallega del Noroeste SL, Vilagarcia de Arousa-Pontevedra, ES</t>
        </is>
      </c>
      <c r="D11373" t="inlineStr">
        <is>
          <t>02.12.2026</t>
        </is>
      </c>
      <c r="E11373" t="inlineStr">
        <is>
          <t>United States</t>
        </is>
      </c>
    </row>
    <row r="11374">
      <c r="A11374" t="inlineStr">
        <is>
          <t>One More Time,  Vernon, United States</t>
        </is>
      </c>
      <c r="B11374" t="inlineStr">
        <is>
          <t>Collecting Point</t>
        </is>
      </c>
      <c r="C11374" t="inlineStr">
        <is>
          <t>Amspec Iberia SL, Vilagarcia de Arousa-Pontevedra, ES</t>
        </is>
      </c>
      <c r="D11374" t="inlineStr">
        <is>
          <t>02.12.2026</t>
        </is>
      </c>
      <c r="E11374" t="inlineStr">
        <is>
          <t>United States</t>
        </is>
      </c>
    </row>
    <row r="11375">
      <c r="A11375" t="inlineStr">
        <is>
          <t>Cargill International SA,  Geneva, Switzerland</t>
        </is>
      </c>
      <c r="B11375" t="inlineStr">
        <is>
          <t>Trader with Storage</t>
        </is>
      </c>
      <c r="C11375" t="inlineStr">
        <is>
          <t>Control Union Certifications Germany GmbH, Berlin, DE</t>
        </is>
      </c>
      <c r="D11375" t="inlineStr">
        <is>
          <t>01.12.2026</t>
        </is>
      </c>
      <c r="E11375" t="inlineStr">
        <is>
          <t>Switzerland</t>
        </is>
      </c>
    </row>
    <row r="11376">
      <c r="A11376" t="inlineStr">
        <is>
          <t>OHT Handelsgesellschaft mbH,  Hamburg, Germany</t>
        </is>
      </c>
      <c r="B11376" t="inlineStr">
        <is>
          <t>Collecting Point, Trader, Proof of Compliance Trader</t>
        </is>
      </c>
      <c r="C11376" t="inlineStr">
        <is>
          <t>GUT Certifizierungsgesellschaft für Managementsysteme mbH Umweltgutachter, Berlin, DE</t>
        </is>
      </c>
      <c r="D11376" t="inlineStr">
        <is>
          <t>01.12.2026</t>
        </is>
      </c>
      <c r="E11376" t="inlineStr">
        <is>
          <t>Germany</t>
        </is>
      </c>
    </row>
    <row r="11377">
      <c r="A11377" t="inlineStr">
        <is>
          <t>JINAN QUANHUA PACKING PRODUCTS CO., LTD.,  Jinan City, Shandong Province, China</t>
        </is>
      </c>
      <c r="B11377" t="inlineStr">
        <is>
          <t>Processing Unit, Final Product Refinement</t>
        </is>
      </c>
      <c r="C11377" t="inlineStr">
        <is>
          <t>SGS Germany GmbH, Emstek, DE</t>
        </is>
      </c>
      <c r="D11377" t="inlineStr">
        <is>
          <t>01.12.2026</t>
        </is>
      </c>
      <c r="E11377" t="inlineStr">
        <is>
          <t>China</t>
        </is>
      </c>
    </row>
    <row r="11378">
      <c r="A11378" t="inlineStr">
        <is>
          <t>Proman USA (Pampa) LLC,  Pampa, Texas, United States</t>
        </is>
      </c>
      <c r="B11378" t="inlineStr">
        <is>
          <t>Processing Unit</t>
        </is>
      </c>
      <c r="C11378" t="inlineStr">
        <is>
          <t>SCS Global Services, Emeryville, CA, US</t>
        </is>
      </c>
      <c r="D11378" t="inlineStr">
        <is>
          <t>01.12.2026</t>
        </is>
      </c>
      <c r="E11378" t="inlineStr">
        <is>
          <t>United States</t>
        </is>
      </c>
    </row>
    <row r="11379">
      <c r="A11379" t="inlineStr">
        <is>
          <t>Proman USA (Pampa) LLC,  Pampa, Texas, United States</t>
        </is>
      </c>
      <c r="B11379" t="inlineStr">
        <is>
          <t>Processing Unit</t>
        </is>
      </c>
      <c r="C11379" t="inlineStr">
        <is>
          <t>SCS Global Services, Emeryville, CA, US</t>
        </is>
      </c>
      <c r="D11379" t="inlineStr">
        <is>
          <t>01.12.2026</t>
        </is>
      </c>
      <c r="E11379" t="inlineStr">
        <is>
          <t>United States</t>
        </is>
      </c>
    </row>
    <row r="11380">
      <c r="A11380" t="inlineStr">
        <is>
          <t>Proman USA Marketing LLC,  Houston, Texas, United States</t>
        </is>
      </c>
      <c r="B11380" t="inlineStr">
        <is>
          <t>Trader with Storage</t>
        </is>
      </c>
      <c r="C11380" t="inlineStr">
        <is>
          <t>SCS Global Services, Emeryville, CA, US</t>
        </is>
      </c>
      <c r="D11380" t="inlineStr">
        <is>
          <t>01.12.2026</t>
        </is>
      </c>
      <c r="E11380" t="inlineStr">
        <is>
          <t>United States</t>
        </is>
      </c>
    </row>
    <row r="11381">
      <c r="A11381" t="inlineStr">
        <is>
          <t>Proman USA Marketing LLC,  Houston, Texas, United States</t>
        </is>
      </c>
      <c r="B11381" t="inlineStr">
        <is>
          <t>Trader with Storage</t>
        </is>
      </c>
      <c r="C11381" t="inlineStr">
        <is>
          <t>SCS Global Services, Emeryville, CA, US</t>
        </is>
      </c>
      <c r="D11381" t="inlineStr">
        <is>
          <t>01.12.2026</t>
        </is>
      </c>
      <c r="E11381" t="inlineStr">
        <is>
          <t>United States</t>
        </is>
      </c>
    </row>
    <row r="11382">
      <c r="A11382" t="inlineStr">
        <is>
          <t>INEOS Styrolution Europe GmbH,  Frankfurt am Main, Germany</t>
        </is>
      </c>
      <c r="B11382" t="inlineStr">
        <is>
          <t>Trader with Storage, Logistics Center</t>
        </is>
      </c>
      <c r="C11382" t="inlineStr">
        <is>
          <t>TÜV NORD CERT GmbH, Essen, DE</t>
        </is>
      </c>
      <c r="D11382" t="inlineStr">
        <is>
          <t>01.12.2026</t>
        </is>
      </c>
      <c r="E11382" t="inlineStr">
        <is>
          <t>Germany</t>
        </is>
      </c>
    </row>
    <row r="11383">
      <c r="A11383" t="inlineStr">
        <is>
          <t>OHT Handelsgesellschaft mbH,  Hamburg, Germany</t>
        </is>
      </c>
      <c r="B11383" t="inlineStr">
        <is>
          <t>Trader, Collecting Point</t>
        </is>
      </c>
      <c r="C11383" t="inlineStr">
        <is>
          <t>GUT Certifizierungsgesellschaft für Managementsysteme mbH Umweltgutachter, Berlin, DE</t>
        </is>
      </c>
      <c r="D11383" t="inlineStr">
        <is>
          <t>01.12.2026</t>
        </is>
      </c>
      <c r="E11383" t="inlineStr">
        <is>
          <t>Germany</t>
        </is>
      </c>
    </row>
    <row r="11384">
      <c r="A11384" t="inlineStr">
        <is>
          <t>BP Sinopec Marine Fuels Pte. Ltd.,  MBFC Tower 3, Singapore, Singapore</t>
        </is>
      </c>
      <c r="B11384" t="inlineStr">
        <is>
          <t>Trader</t>
        </is>
      </c>
      <c r="C11384" t="inlineStr">
        <is>
          <t>PT Intertek Utama Services, Jakarta, ID</t>
        </is>
      </c>
      <c r="D11384" t="inlineStr">
        <is>
          <t>01.12.2026</t>
        </is>
      </c>
      <c r="E11384" t="inlineStr">
        <is>
          <t>Singapore</t>
        </is>
      </c>
    </row>
    <row r="11385">
      <c r="A11385" t="inlineStr">
        <is>
          <t>Gente de la Pampa SA,  Catrilo, Argentina</t>
        </is>
      </c>
      <c r="B11385" t="inlineStr">
        <is>
          <t>First Gathering Point, Processing Unit</t>
        </is>
      </c>
      <c r="C11385" t="inlineStr">
        <is>
          <t>PT Intertek Utama Services, Jakarta, ID</t>
        </is>
      </c>
      <c r="D11385" t="inlineStr">
        <is>
          <t>01.12.2026</t>
        </is>
      </c>
      <c r="E11385" t="inlineStr">
        <is>
          <t>Argentina</t>
        </is>
      </c>
    </row>
    <row r="11386">
      <c r="A11386" t="inlineStr">
        <is>
          <t>LABLABO,  Oyonnax, France</t>
        </is>
      </c>
      <c r="B11386" t="inlineStr">
        <is>
          <t>Processing Unit</t>
        </is>
      </c>
      <c r="C11386" t="inlineStr">
        <is>
          <t>Bureau Veritas Polska Sp. z o.o., Warsaw, PL</t>
        </is>
      </c>
      <c r="D11386" t="inlineStr">
        <is>
          <t>01.12.2026</t>
        </is>
      </c>
      <c r="E11386" t="inlineStr">
        <is>
          <t>France</t>
        </is>
      </c>
    </row>
    <row r="11387">
      <c r="A11387" t="inlineStr">
        <is>
          <t>WAGA ENERGY,  Saint florentin, France</t>
        </is>
      </c>
      <c r="B11387" t="inlineStr">
        <is>
          <t>Collecting Point, Processing Unit</t>
        </is>
      </c>
      <c r="C11387" t="inlineStr">
        <is>
          <t>Certi W Baltic SIA, Riga, LV</t>
        </is>
      </c>
      <c r="D11387" t="inlineStr">
        <is>
          <t>01.12.2026</t>
        </is>
      </c>
      <c r="E11387" t="inlineStr">
        <is>
          <t>France</t>
        </is>
      </c>
    </row>
    <row r="11388">
      <c r="A11388" t="inlineStr">
        <is>
          <t>Eco Goods Limited,  HONG KONG, Hong Kong</t>
        </is>
      </c>
      <c r="B11388" t="inlineStr">
        <is>
          <t>Trader</t>
        </is>
      </c>
      <c r="C11388" t="inlineStr">
        <is>
          <t>Certi W Baltic SIA, Riga, LV</t>
        </is>
      </c>
      <c r="D11388" t="inlineStr">
        <is>
          <t>01.12.2026</t>
        </is>
      </c>
      <c r="E11388" t="inlineStr">
        <is>
          <t>Hong Kong</t>
        </is>
      </c>
    </row>
    <row r="11389">
      <c r="A11389" t="inlineStr">
        <is>
          <t>WAGA ENERGY,  Pavie, France</t>
        </is>
      </c>
      <c r="B11389" t="inlineStr">
        <is>
          <t>Collecting Point, Processing Unit</t>
        </is>
      </c>
      <c r="C11389" t="inlineStr">
        <is>
          <t>Certi W Baltic SIA, Riga, LV</t>
        </is>
      </c>
      <c r="D11389" t="inlineStr">
        <is>
          <t>01.12.2026</t>
        </is>
      </c>
      <c r="E11389" t="inlineStr">
        <is>
          <t>France</t>
        </is>
      </c>
    </row>
    <row r="11390">
      <c r="A11390" t="inlineStr">
        <is>
          <t>Chane Terminals B.V.,  Zaandam, Netherlands</t>
        </is>
      </c>
      <c r="B11390" t="inlineStr">
        <is>
          <t>Logistics Center</t>
        </is>
      </c>
      <c r="C11390" t="inlineStr">
        <is>
          <t>Control Union Certifications Germany GmbH, Berlin, DE</t>
        </is>
      </c>
      <c r="D11390" t="inlineStr">
        <is>
          <t>01.12.2026</t>
        </is>
      </c>
      <c r="E11390" t="inlineStr">
        <is>
          <t>Netherlands</t>
        </is>
      </c>
    </row>
    <row r="11391">
      <c r="A11391" t="inlineStr">
        <is>
          <t>Siam Synthetic Latex Co., Ltd.,  Rayong, Thailand</t>
        </is>
      </c>
      <c r="B11391" t="inlineStr">
        <is>
          <t>Processing Unit</t>
        </is>
      </c>
      <c r="C11391" t="inlineStr">
        <is>
          <t>SGS Germany GmbH, Emstek, DE</t>
        </is>
      </c>
      <c r="D11391" t="inlineStr">
        <is>
          <t>01.12.2026</t>
        </is>
      </c>
      <c r="E11391" t="inlineStr">
        <is>
          <t>Thailand</t>
        </is>
      </c>
    </row>
    <row r="11392">
      <c r="A11392" t="inlineStr">
        <is>
          <t>INEOS Styrolution Europe GmbH,  Ludwigshafen, Germany</t>
        </is>
      </c>
      <c r="B11392" t="inlineStr">
        <is>
          <t>Processing Unit</t>
        </is>
      </c>
      <c r="C11392" t="inlineStr">
        <is>
          <t>TÜV NORD CERT GmbH, Essen, DE</t>
        </is>
      </c>
      <c r="D11392" t="inlineStr">
        <is>
          <t>01.12.2026</t>
        </is>
      </c>
      <c r="E11392" t="inlineStr">
        <is>
          <t>Germany</t>
        </is>
      </c>
    </row>
    <row r="11393">
      <c r="A11393" t="inlineStr">
        <is>
          <t>Petrogal, SA,  Lisboa, Portugal</t>
        </is>
      </c>
      <c r="B11393" t="inlineStr">
        <is>
          <t>Trader with Storage</t>
        </is>
      </c>
      <c r="C11393" t="inlineStr">
        <is>
          <t>Control Union Poland Sp. z o.o., Zielona Gora, PL</t>
        </is>
      </c>
      <c r="D11393" t="inlineStr">
        <is>
          <t>01.12.2026</t>
        </is>
      </c>
      <c r="E11393" t="inlineStr">
        <is>
          <t>Portugal</t>
        </is>
      </c>
    </row>
    <row r="11394">
      <c r="A11394" t="inlineStr">
        <is>
          <t>Petrogal, SA,  Sines, Portugal</t>
        </is>
      </c>
      <c r="B11394" t="inlineStr">
        <is>
          <t>Processing Unit, Warehouse</t>
        </is>
      </c>
      <c r="C11394" t="inlineStr">
        <is>
          <t>Control Union Poland Sp. z o.o., Zielona Gora, PL</t>
        </is>
      </c>
      <c r="D11394" t="inlineStr">
        <is>
          <t>01.12.2026</t>
        </is>
      </c>
      <c r="E11394" t="inlineStr">
        <is>
          <t>Portugal</t>
        </is>
      </c>
    </row>
    <row r="11395">
      <c r="A11395" t="inlineStr">
        <is>
          <t>Astarta Agro Trade,  Kyiv, Ukraine</t>
        </is>
      </c>
      <c r="B11395" t="inlineStr">
        <is>
          <t>First Gathering Point, Trader with Storage</t>
        </is>
      </c>
      <c r="C11395" t="inlineStr">
        <is>
          <t>Aciter Genelab LLC, Odessa, UA</t>
        </is>
      </c>
      <c r="D11395" t="inlineStr">
        <is>
          <t>01.12.2026</t>
        </is>
      </c>
      <c r="E11395" t="inlineStr">
        <is>
          <t>Ukraine</t>
        </is>
      </c>
    </row>
    <row r="11396">
      <c r="A11396" t="inlineStr">
        <is>
          <t>Astarta Agro Trade,  Kyiv, Ukraine</t>
        </is>
      </c>
      <c r="B11396" t="inlineStr">
        <is>
          <t>First Gathering Point, Trader with Storage</t>
        </is>
      </c>
      <c r="C11396" t="inlineStr">
        <is>
          <t>Aciter Genelab LLC, Odessa, UA</t>
        </is>
      </c>
      <c r="D11396" t="inlineStr">
        <is>
          <t>01.12.2026</t>
        </is>
      </c>
      <c r="E11396" t="inlineStr">
        <is>
          <t>Ukraine</t>
        </is>
      </c>
    </row>
    <row r="11397">
      <c r="A11397" t="inlineStr">
        <is>
          <t>Toray Industries, Inc. Okazaki Plant,  Okazaki, Aichi, Japan</t>
        </is>
      </c>
      <c r="B11397" t="inlineStr">
        <is>
          <t>Processing Unit</t>
        </is>
      </c>
      <c r="C11397" t="inlineStr">
        <is>
          <t>TÜV SÜD Industrie Service GmbH, München, DE</t>
        </is>
      </c>
      <c r="D11397" t="inlineStr">
        <is>
          <t>01.12.2026</t>
        </is>
      </c>
      <c r="E11397" t="inlineStr">
        <is>
          <t>Japan</t>
        </is>
      </c>
    </row>
    <row r="11398">
      <c r="A11398" t="inlineStr">
        <is>
          <t>FloraCraft Corporation,  Ludington, Michigan, United States</t>
        </is>
      </c>
      <c r="B11398" t="inlineStr">
        <is>
          <t>Processing Unit</t>
        </is>
      </c>
      <c r="C11398" t="inlineStr">
        <is>
          <t>SCS Global Services, Emeryville, CA, US</t>
        </is>
      </c>
      <c r="D11398" t="inlineStr">
        <is>
          <t>01.12.2026</t>
        </is>
      </c>
      <c r="E11398" t="inlineStr">
        <is>
          <t>United States</t>
        </is>
      </c>
    </row>
    <row r="11399">
      <c r="A11399" t="inlineStr">
        <is>
          <t>Polytex Fibers LLC,  Houston, United States</t>
        </is>
      </c>
      <c r="B11399" t="inlineStr">
        <is>
          <t>Collecting Point, Processing Unit</t>
        </is>
      </c>
      <c r="C11399" t="inlineStr">
        <is>
          <t>SCS Global Services, Emeryville, CA, US</t>
        </is>
      </c>
      <c r="D11399" t="inlineStr">
        <is>
          <t>01.12.2026</t>
        </is>
      </c>
      <c r="E11399" t="inlineStr">
        <is>
          <t>United States</t>
        </is>
      </c>
    </row>
    <row r="11400">
      <c r="A11400" t="inlineStr">
        <is>
          <t>Frapak France,  GRON, France</t>
        </is>
      </c>
      <c r="B11400" t="inlineStr">
        <is>
          <t>Final Product Refinement</t>
        </is>
      </c>
      <c r="C11400" t="inlineStr">
        <is>
          <t>Control Union Certifications Germany GmbH, Berlin, DE</t>
        </is>
      </c>
      <c r="D11400" t="inlineStr">
        <is>
          <t>01.12.2026</t>
        </is>
      </c>
      <c r="E11400" t="inlineStr">
        <is>
          <t>France</t>
        </is>
      </c>
    </row>
    <row r="11401">
      <c r="A11401" t="inlineStr">
        <is>
          <t>Indorama Ventures Polymers Germany GmbH,  Gersthofen, Germany</t>
        </is>
      </c>
      <c r="B11401" t="inlineStr">
        <is>
          <t>Processing Unit</t>
        </is>
      </c>
      <c r="C11401" t="inlineStr">
        <is>
          <t>Control Union Certifications Germany GmbH, Berlin, DE</t>
        </is>
      </c>
      <c r="D11401" t="inlineStr">
        <is>
          <t>01.12.2026</t>
        </is>
      </c>
      <c r="E11401" t="inlineStr">
        <is>
          <t>Germany</t>
        </is>
      </c>
    </row>
    <row r="11402">
      <c r="A11402" t="inlineStr">
        <is>
          <t>OMV Downstream GmbH,  Wien, Austria</t>
        </is>
      </c>
      <c r="B11402" t="inlineStr">
        <is>
          <t>Logistics Center, Proof of Compliance Trader, Trader with Storage</t>
        </is>
      </c>
      <c r="C11402" t="inlineStr">
        <is>
          <t>TÜV SÜD Industrie Service GmbH, München, DE</t>
        </is>
      </c>
      <c r="D11402" t="inlineStr">
        <is>
          <t>01.12.2026</t>
        </is>
      </c>
      <c r="E11402" t="inlineStr">
        <is>
          <t>Austria</t>
        </is>
      </c>
    </row>
    <row r="11403">
      <c r="A11403" t="inlineStr">
        <is>
          <t>OMV Supply &amp; Trading Italia s.r.l.,  Trieste, Italy</t>
        </is>
      </c>
      <c r="B11403" t="inlineStr">
        <is>
          <t>Trader with Storage</t>
        </is>
      </c>
      <c r="C11403" t="inlineStr">
        <is>
          <t>TÜV SÜD Industrie Service GmbH, München, DE</t>
        </is>
      </c>
      <c r="D11403" t="inlineStr">
        <is>
          <t>01.12.2026</t>
        </is>
      </c>
      <c r="E11403" t="inlineStr">
        <is>
          <t>Italy</t>
        </is>
      </c>
    </row>
    <row r="11404">
      <c r="A11404" t="inlineStr">
        <is>
          <t>OMV Supply &amp; Trading Limited,  London, United Kingdom</t>
        </is>
      </c>
      <c r="B11404" t="inlineStr">
        <is>
          <t>Proof of Compliance Trader, Trader with Storage</t>
        </is>
      </c>
      <c r="C11404" t="inlineStr">
        <is>
          <t>TÜV SÜD Industrie Service GmbH, München, DE</t>
        </is>
      </c>
      <c r="D11404" t="inlineStr">
        <is>
          <t>01.12.2026</t>
        </is>
      </c>
      <c r="E11404" t="inlineStr">
        <is>
          <t>United Kingdom</t>
        </is>
      </c>
    </row>
    <row r="11405">
      <c r="A11405" t="inlineStr">
        <is>
          <t>Taixing SUNKE Chemicals Co., Ltd.,  Jiangsu Province, China</t>
        </is>
      </c>
      <c r="B11405" t="inlineStr">
        <is>
          <t>Processing Unit, Trader</t>
        </is>
      </c>
      <c r="C11405" t="inlineStr">
        <is>
          <t>DIN CERTCO GmbH, Berlin, DE</t>
        </is>
      </c>
      <c r="D11405" t="inlineStr">
        <is>
          <t>01.12.2026</t>
        </is>
      </c>
      <c r="E11405" t="inlineStr">
        <is>
          <t>China</t>
        </is>
      </c>
    </row>
    <row r="11406">
      <c r="A11406" t="inlineStr">
        <is>
          <t>Neste Brazil LTDA,  São Paulo, Brazil</t>
        </is>
      </c>
      <c r="B11406" t="inlineStr">
        <is>
          <t>Collecting Point, Trader with Storage</t>
        </is>
      </c>
      <c r="C11406" t="inlineStr">
        <is>
          <t>SGS Germany GmbH, Emstek, DE</t>
        </is>
      </c>
      <c r="D11406" t="inlineStr">
        <is>
          <t>01.12.2026</t>
        </is>
      </c>
      <c r="E11406" t="inlineStr">
        <is>
          <t>Brazil</t>
        </is>
      </c>
    </row>
    <row r="11407">
      <c r="A11407" t="inlineStr">
        <is>
          <t>Rolande Germany Infra GmbH,  Emmerich, Germany</t>
        </is>
      </c>
      <c r="B11407" t="inlineStr">
        <is>
          <t>Trader</t>
        </is>
      </c>
      <c r="C11407" t="inlineStr">
        <is>
          <t>DEKRA Certification B.V., Arnhem, NL</t>
        </is>
      </c>
      <c r="D11407" t="inlineStr">
        <is>
          <t>01.12.2026</t>
        </is>
      </c>
      <c r="E11407" t="inlineStr">
        <is>
          <t>Germany</t>
        </is>
      </c>
    </row>
    <row r="11408">
      <c r="A11408" t="inlineStr">
        <is>
          <t>Phillips 66 Limited,  London, United Kingdom</t>
        </is>
      </c>
      <c r="B11408" t="inlineStr">
        <is>
          <t>Trader with Storage</t>
        </is>
      </c>
      <c r="C11408" t="inlineStr">
        <is>
          <t>SGS Germany GmbH, Emstek, DE</t>
        </is>
      </c>
      <c r="D11408" t="inlineStr">
        <is>
          <t>01.12.2026</t>
        </is>
      </c>
      <c r="E11408" t="inlineStr">
        <is>
          <t>United Kingdom</t>
        </is>
      </c>
    </row>
    <row r="11409">
      <c r="A11409" t="inlineStr">
        <is>
          <t>KISCO LTD.,  Niigata, Japan</t>
        </is>
      </c>
      <c r="B11409" t="inlineStr">
        <is>
          <t>Processing Unit</t>
        </is>
      </c>
      <c r="C11409" t="inlineStr">
        <is>
          <t>SGS Germany GmbH, Emstek, DE</t>
        </is>
      </c>
      <c r="D11409" t="inlineStr">
        <is>
          <t>01.12.2026</t>
        </is>
      </c>
      <c r="E11409" t="inlineStr">
        <is>
          <t>Japan</t>
        </is>
      </c>
    </row>
    <row r="11410">
      <c r="A11410" t="inlineStr">
        <is>
          <t>TotalEnergies Marketing Italia S.p.A.,  MILANO, Italy</t>
        </is>
      </c>
      <c r="B11410" t="inlineStr">
        <is>
          <t>Trader with Storage, Proof of Compliance Trader</t>
        </is>
      </c>
      <c r="C11410" t="inlineStr">
        <is>
          <t>SGS Germany GmbH, Emstek, DE</t>
        </is>
      </c>
      <c r="D11410" t="inlineStr">
        <is>
          <t>01.12.2026</t>
        </is>
      </c>
      <c r="E11410" t="inlineStr">
        <is>
          <t>Italy</t>
        </is>
      </c>
    </row>
    <row r="11411">
      <c r="A11411" t="inlineStr">
        <is>
          <t>League Optical (Zhongshan) Workshop Limited,  Zhongshan City, China</t>
        </is>
      </c>
      <c r="B11411" t="inlineStr">
        <is>
          <t>Processing Unit, Trader with Storage</t>
        </is>
      </c>
      <c r="C11411" t="inlineStr">
        <is>
          <t>China Quality Certification Centre Co., Ltd., Beijing, CN</t>
        </is>
      </c>
      <c r="D11411" t="inlineStr">
        <is>
          <t>01.12.2026</t>
        </is>
      </c>
      <c r="E11411" t="inlineStr">
        <is>
          <t>China</t>
        </is>
      </c>
    </row>
    <row r="11412">
      <c r="A11412" t="inlineStr">
        <is>
          <t>Panca Anugerah Oasis,  Ketapang, Indonesia</t>
        </is>
      </c>
      <c r="B11412" t="inlineStr">
        <is>
          <t>Point of Origin</t>
        </is>
      </c>
      <c r="C11412" t="inlineStr">
        <is>
          <t>PT SBC Asia Sertifikasi, Kebumen, ID</t>
        </is>
      </c>
      <c r="D11412" t="inlineStr">
        <is>
          <t>01.12.2026</t>
        </is>
      </c>
      <c r="E11412" t="inlineStr">
        <is>
          <t>Indonesia</t>
        </is>
      </c>
    </row>
    <row r="11413">
      <c r="A11413" t="inlineStr">
        <is>
          <t>PT Energee Bumi Harita,  Jakarta Selatan, Indonesia</t>
        </is>
      </c>
      <c r="B11413" t="inlineStr">
        <is>
          <t>Collecting Point</t>
        </is>
      </c>
      <c r="C11413" t="inlineStr">
        <is>
          <t>PT. CBQA GLOBAL INDONESIA, JAKARTA SELATAN, ID</t>
        </is>
      </c>
      <c r="D11413" t="inlineStr">
        <is>
          <t>01.12.2026</t>
        </is>
      </c>
      <c r="E11413" t="inlineStr">
        <is>
          <t>Indonesia</t>
        </is>
      </c>
    </row>
    <row r="11414">
      <c r="A11414" t="inlineStr">
        <is>
          <t>Bioscape Commodities Africa Limited,  Sagamu, Nigeria</t>
        </is>
      </c>
      <c r="B11414" t="inlineStr">
        <is>
          <t>Collecting Point, Point of Origin, Processing Unit, Trader with Storage</t>
        </is>
      </c>
      <c r="C11414" t="inlineStr">
        <is>
          <t>PT Intertek Utama Services, Jakarta, ID</t>
        </is>
      </c>
      <c r="D11414" t="inlineStr">
        <is>
          <t>01.12.2026</t>
        </is>
      </c>
      <c r="E11414" t="inlineStr">
        <is>
          <t>Nigeria</t>
        </is>
      </c>
    </row>
    <row r="11415">
      <c r="A11415" t="inlineStr">
        <is>
          <t>Zhejiang Longhuan Textile Co., Ltd,  Haining, China</t>
        </is>
      </c>
      <c r="B11415" t="inlineStr">
        <is>
          <t>Processing Unit</t>
        </is>
      </c>
      <c r="C11415" t="inlineStr">
        <is>
          <t>PT Intertek Utama Services, Jakarta, ID</t>
        </is>
      </c>
      <c r="D11415" t="inlineStr">
        <is>
          <t>01.12.2026</t>
        </is>
      </c>
      <c r="E11415" t="inlineStr">
        <is>
          <t>China</t>
        </is>
      </c>
    </row>
    <row r="11416">
      <c r="A11416" t="inlineStr">
        <is>
          <t>ESDWORK VINA,  Que Vo District, Vietnam</t>
        </is>
      </c>
      <c r="B11416" t="inlineStr">
        <is>
          <t>Processing Unit</t>
        </is>
      </c>
      <c r="C11416" t="inlineStr">
        <is>
          <t>FITI Testing &amp; Research Institute, Seoul, KR</t>
        </is>
      </c>
      <c r="D11416" t="inlineStr">
        <is>
          <t>01.12.2026</t>
        </is>
      </c>
      <c r="E11416" t="inlineStr">
        <is>
          <t>Vietnam</t>
        </is>
      </c>
    </row>
    <row r="11417">
      <c r="A11417" t="inlineStr">
        <is>
          <t>Sumitomo Corporation (Shanghai)Ltd.,  Shanghai, China</t>
        </is>
      </c>
      <c r="B11417" t="inlineStr">
        <is>
          <t>Trader</t>
        </is>
      </c>
      <c r="C11417" t="inlineStr">
        <is>
          <t>China Quality Certification Centre Co., Ltd., Beijing, CN</t>
        </is>
      </c>
      <c r="D11417" t="inlineStr">
        <is>
          <t>01.12.2026</t>
        </is>
      </c>
      <c r="E11417" t="inlineStr">
        <is>
          <t>China</t>
        </is>
      </c>
    </row>
    <row r="11418">
      <c r="A11418" t="inlineStr">
        <is>
          <t>Anhui Ruilong Bioenergy Technology Co., Ltd.,  Huaibei City, Anhui Province, China</t>
        </is>
      </c>
      <c r="B11418" t="inlineStr">
        <is>
          <t>Trader</t>
        </is>
      </c>
      <c r="C11418" t="inlineStr">
        <is>
          <t>SCS Global Services, Emeryville, CA, US</t>
        </is>
      </c>
      <c r="D11418" t="inlineStr">
        <is>
          <t>01.12.2026</t>
        </is>
      </c>
      <c r="E11418" t="inlineStr">
        <is>
          <t>China</t>
        </is>
      </c>
    </row>
    <row r="11419">
      <c r="A11419" t="inlineStr">
        <is>
          <t>Apical Oils and Fats,  Kuala Lumpur, Malaysia</t>
        </is>
      </c>
      <c r="B11419" t="inlineStr">
        <is>
          <t>Trader with Storage</t>
        </is>
      </c>
      <c r="C11419" t="inlineStr">
        <is>
          <t>PT. Qualitas Sertifikasi Indonesia, Jakarta, ID</t>
        </is>
      </c>
      <c r="D11419" t="inlineStr">
        <is>
          <t>01.12.2026</t>
        </is>
      </c>
      <c r="E11419" t="inlineStr">
        <is>
          <t>Malaysia</t>
        </is>
      </c>
    </row>
    <row r="11420">
      <c r="A11420" t="inlineStr">
        <is>
          <t>AGRO-SOY SK,  Nerushay village, Ukraine</t>
        </is>
      </c>
      <c r="B11420" t="inlineStr">
        <is>
          <t>Farm / Plantation</t>
        </is>
      </c>
      <c r="C11420" t="inlineStr">
        <is>
          <t>Organic Standard Ltd, Kyiv, UA</t>
        </is>
      </c>
      <c r="D11420" t="inlineStr">
        <is>
          <t>01.12.2026</t>
        </is>
      </c>
      <c r="E11420" t="inlineStr">
        <is>
          <t>Ukraine</t>
        </is>
      </c>
    </row>
    <row r="11421">
      <c r="A11421" t="inlineStr">
        <is>
          <t>Energy China Renewable Energy of Green Hydrogen and Ammonia(Songyuan) Co., Ltd.,  Songyuan, China</t>
        </is>
      </c>
      <c r="B11421" t="inlineStr">
        <is>
          <t>Processing Unit</t>
        </is>
      </c>
      <c r="C11421" t="inlineStr">
        <is>
          <t>Bureau Veritas Polska Sp. z o.o., Warsaw, PL</t>
        </is>
      </c>
      <c r="D11421" t="inlineStr">
        <is>
          <t>01.12.2026</t>
        </is>
      </c>
      <c r="E11421" t="inlineStr">
        <is>
          <t>China</t>
        </is>
      </c>
    </row>
    <row r="11422">
      <c r="A11422" t="inlineStr">
        <is>
          <t>Yu Soo Co.,Ltd.,  Wongok-myeon, Anseong-si, The Republic of Korea</t>
        </is>
      </c>
      <c r="B11422" t="inlineStr">
        <is>
          <t>Collecting Point, Trader with Storage</t>
        </is>
      </c>
      <c r="C11422" t="inlineStr">
        <is>
          <t>SGS Germany GmbH, Emstek, DE</t>
        </is>
      </c>
      <c r="D11422" t="inlineStr">
        <is>
          <t>01.12.2026</t>
        </is>
      </c>
      <c r="E11422" t="inlineStr">
        <is>
          <t>The Republic of Korea</t>
        </is>
      </c>
    </row>
    <row r="11423">
      <c r="A11423" t="inlineStr">
        <is>
          <t>Chengdu Hongji Borun Environmental Protection Technology Co., Ltd,  Chengdu, Sichuan, China</t>
        </is>
      </c>
      <c r="B11423" t="inlineStr">
        <is>
          <t>Collecting Point, Processing Unit</t>
        </is>
      </c>
      <c r="C11423" t="inlineStr">
        <is>
          <t>Bureau Veritas Polska Sp. z o.o., Warsaw, PL</t>
        </is>
      </c>
      <c r="D11423" t="inlineStr">
        <is>
          <t>01.12.2026</t>
        </is>
      </c>
      <c r="E11423" t="inlineStr">
        <is>
          <t>China</t>
        </is>
      </c>
    </row>
    <row r="11424">
      <c r="A11424" t="inlineStr">
        <is>
          <t>Chengdu Hongji Borun Environmental Protection Technology Co., Ltd,  Chengdu, Sichuan, China</t>
        </is>
      </c>
      <c r="B11424" t="inlineStr">
        <is>
          <t>Collecting Point, Processing Unit</t>
        </is>
      </c>
      <c r="C11424" t="inlineStr">
        <is>
          <t>Bureau Veritas Polska Sp. z o.o., Warsaw, PL</t>
        </is>
      </c>
      <c r="D11424" t="inlineStr">
        <is>
          <t>01.12.2026</t>
        </is>
      </c>
      <c r="E11424" t="inlineStr">
        <is>
          <t>China</t>
        </is>
      </c>
    </row>
    <row r="11425">
      <c r="A11425" t="inlineStr">
        <is>
          <t>Chane Terminals B.V.,  Zaandam, Netherlands</t>
        </is>
      </c>
      <c r="B11425" t="inlineStr">
        <is>
          <t>Logistics Center</t>
        </is>
      </c>
      <c r="C11425" t="inlineStr">
        <is>
          <t>Control Union Certifications Germany GmbH, Berlin, DE</t>
        </is>
      </c>
      <c r="D11425" t="inlineStr">
        <is>
          <t>01.12.2026</t>
        </is>
      </c>
      <c r="E11425" t="inlineStr">
        <is>
          <t>Netherlands</t>
        </is>
      </c>
    </row>
    <row r="11426">
      <c r="A11426" t="inlineStr">
        <is>
          <t>Roupanis Georgios,  Thessaloniki, Greece</t>
        </is>
      </c>
      <c r="B11426" t="inlineStr">
        <is>
          <t>Collecting Point, Trader with Storage</t>
        </is>
      </c>
      <c r="C11426" t="inlineStr">
        <is>
          <t>Eurocert SA, Metamorfosi, Athens, GR</t>
        </is>
      </c>
      <c r="D11426" t="inlineStr">
        <is>
          <t>01.12.2026</t>
        </is>
      </c>
      <c r="E11426" t="inlineStr">
        <is>
          <t>Greece</t>
        </is>
      </c>
    </row>
    <row r="11427">
      <c r="A11427" t="inlineStr">
        <is>
          <t>Chane Terminals B.V.,  Zaandam, Netherlands</t>
        </is>
      </c>
      <c r="B11427" t="inlineStr">
        <is>
          <t>Logistics Center</t>
        </is>
      </c>
      <c r="C11427" t="inlineStr">
        <is>
          <t>Control Union Certifications Germany GmbH, Berlin, DE</t>
        </is>
      </c>
      <c r="D11427" t="inlineStr">
        <is>
          <t>01.12.2026</t>
        </is>
      </c>
      <c r="E11427" t="inlineStr">
        <is>
          <t>Netherlands</t>
        </is>
      </c>
    </row>
    <row r="11428">
      <c r="A11428" t="inlineStr">
        <is>
          <t>SEVEN SEAS OIL (HONGKONG) LIMITED,  HONG KONG, Hong Kong</t>
        </is>
      </c>
      <c r="B11428" t="inlineStr">
        <is>
          <t>Trader with Storage</t>
        </is>
      </c>
      <c r="C11428" t="inlineStr">
        <is>
          <t>Bureau Veritas Polska Sp. z o.o., Warsaw, PL</t>
        </is>
      </c>
      <c r="D11428" t="inlineStr">
        <is>
          <t>01.12.2026</t>
        </is>
      </c>
      <c r="E11428" t="inlineStr">
        <is>
          <t>Hong Kong</t>
        </is>
      </c>
    </row>
    <row r="11429">
      <c r="A11429" t="inlineStr">
        <is>
          <t>SEVEN SEAS OIL (HONGKONG) LIMITED,  HONG KONG, Hong Kong</t>
        </is>
      </c>
      <c r="B11429" t="inlineStr">
        <is>
          <t>Trader with Storage</t>
        </is>
      </c>
      <c r="C11429" t="inlineStr">
        <is>
          <t>Bureau Veritas Polska Sp. z o.o., Warsaw, PL</t>
        </is>
      </c>
      <c r="D11429" t="inlineStr">
        <is>
          <t>01.12.2026</t>
        </is>
      </c>
      <c r="E11429" t="inlineStr">
        <is>
          <t>Hong Kong</t>
        </is>
      </c>
    </row>
    <row r="11430">
      <c r="A11430" t="inlineStr">
        <is>
          <t>HWA MAO Optical (Xiamen) CO., LTD.,  Xin Min Town, Tong An District, Xiamen, China</t>
        </is>
      </c>
      <c r="B11430" t="inlineStr">
        <is>
          <t>Final Product Refinement, Processing Unit</t>
        </is>
      </c>
      <c r="C11430" t="inlineStr">
        <is>
          <t>Bureau Veritas Polska Sp. z o.o., Warsaw, PL</t>
        </is>
      </c>
      <c r="D11430" t="inlineStr">
        <is>
          <t>01.12.2026</t>
        </is>
      </c>
      <c r="E11430" t="inlineStr">
        <is>
          <t>China</t>
        </is>
      </c>
    </row>
    <row r="11431">
      <c r="A11431" t="inlineStr">
        <is>
          <t>Versalis SpA,  Porto Torres (SS), Italy</t>
        </is>
      </c>
      <c r="B11431" t="inlineStr">
        <is>
          <t>Processing Unit</t>
        </is>
      </c>
      <c r="C11431" t="inlineStr">
        <is>
          <t>RINA Services S.p.A., Genova, IT</t>
        </is>
      </c>
      <c r="D11431" t="inlineStr">
        <is>
          <t>01.12.2026</t>
        </is>
      </c>
      <c r="E11431" t="inlineStr">
        <is>
          <t>Italy</t>
        </is>
      </c>
    </row>
    <row r="11432">
      <c r="A11432" t="inlineStr">
        <is>
          <t>Berry Superfos Bremervoerde Packaging GmbH,  Bremervoerde, Germany</t>
        </is>
      </c>
      <c r="B11432" t="inlineStr">
        <is>
          <t>Processing Unit, Final Product Refinement</t>
        </is>
      </c>
      <c r="C11432" t="inlineStr">
        <is>
          <t>SGS Germany GmbH, Emstek, DE</t>
        </is>
      </c>
      <c r="D11432" t="inlineStr">
        <is>
          <t>01.12.2026</t>
        </is>
      </c>
      <c r="E11432" t="inlineStr">
        <is>
          <t>Germany</t>
        </is>
      </c>
    </row>
    <row r="11433">
      <c r="A11433" t="inlineStr">
        <is>
          <t>SealedAir Magyarország Kft.,  Újhartyán, Hungary</t>
        </is>
      </c>
      <c r="B11433" t="inlineStr">
        <is>
          <t>Processing Unit</t>
        </is>
      </c>
      <c r="C11433" t="inlineStr">
        <is>
          <t>BM Certification, Riga, LV</t>
        </is>
      </c>
      <c r="D11433" t="inlineStr">
        <is>
          <t>01.12.2026</t>
        </is>
      </c>
      <c r="E11433" t="inlineStr">
        <is>
          <t>Hungary</t>
        </is>
      </c>
    </row>
    <row r="11434">
      <c r="A11434" t="inlineStr">
        <is>
          <t>VMA Food B. V.,  Amsterdam, Netherlands</t>
        </is>
      </c>
      <c r="B11434" t="inlineStr">
        <is>
          <t>Trader</t>
        </is>
      </c>
      <c r="C11434" t="inlineStr">
        <is>
          <t>Aciter Genelab LLC, Odessa, UA</t>
        </is>
      </c>
      <c r="D11434" t="inlineStr">
        <is>
          <t>01.12.2026</t>
        </is>
      </c>
      <c r="E11434" t="inlineStr">
        <is>
          <t>Netherlands</t>
        </is>
      </c>
    </row>
    <row r="11435">
      <c r="A11435" t="inlineStr">
        <is>
          <t>Solvay Poland sp. z o. o.,  WŁOCŁAWEK, Poland</t>
        </is>
      </c>
      <c r="B11435" t="inlineStr">
        <is>
          <t>Processing Unit</t>
        </is>
      </c>
      <c r="C11435" t="inlineStr">
        <is>
          <t>Bureau Veritas Polska Sp. z o.o., Warsaw, PL</t>
        </is>
      </c>
      <c r="D11435" t="inlineStr">
        <is>
          <t>01.12.2026</t>
        </is>
      </c>
      <c r="E11435" t="inlineStr">
        <is>
          <t>Poland</t>
        </is>
      </c>
    </row>
    <row r="11436">
      <c r="A11436" t="inlineStr">
        <is>
          <t>Sibo USA LLC.,  Harrisonburg, United States</t>
        </is>
      </c>
      <c r="B11436" t="inlineStr">
        <is>
          <t>Processing Unit</t>
        </is>
      </c>
      <c r="C11436" t="inlineStr">
        <is>
          <t>Bureau Veritas Polska Sp. z o.o., Warsaw, PL</t>
        </is>
      </c>
      <c r="D11436" t="inlineStr">
        <is>
          <t>01.12.2026</t>
        </is>
      </c>
      <c r="E11436" t="inlineStr">
        <is>
          <t>United States</t>
        </is>
      </c>
    </row>
    <row r="11437">
      <c r="A11437" t="inlineStr">
        <is>
          <t>Brightmark Plastics Ashley OpCo LLC,  Ashley, IN, United States</t>
        </is>
      </c>
      <c r="B11437" t="inlineStr">
        <is>
          <t>Collecting Point, Processing Unit</t>
        </is>
      </c>
      <c r="C11437" t="inlineStr">
        <is>
          <t>SCS Global Services, Emeryville, CA, US</t>
        </is>
      </c>
      <c r="D11437" t="inlineStr">
        <is>
          <t>01.12.2026</t>
        </is>
      </c>
      <c r="E11437" t="inlineStr">
        <is>
          <t>United States</t>
        </is>
      </c>
    </row>
    <row r="11438">
      <c r="A11438" t="inlineStr">
        <is>
          <t>PT Saudara Sejati Luhur,  Bandar Pulau District, Asahan Regency, North Sumatera , Indonesia</t>
        </is>
      </c>
      <c r="B11438" t="inlineStr">
        <is>
          <t>Point of Origin, Processing Unit</t>
        </is>
      </c>
      <c r="C11438" t="inlineStr">
        <is>
          <t>SGS Germany GmbH, Emstek, DE</t>
        </is>
      </c>
      <c r="D11438" t="inlineStr">
        <is>
          <t>01.12.2026</t>
        </is>
      </c>
      <c r="E11438" t="inlineStr">
        <is>
          <t>Indonesia</t>
        </is>
      </c>
    </row>
    <row r="11439">
      <c r="A11439" t="inlineStr">
        <is>
          <t>Yu Soo Co.,Ltd.,  Wongok-myeon, Anseong-si, The Republic of Korea</t>
        </is>
      </c>
      <c r="B11439" t="inlineStr">
        <is>
          <t>Collecting Point, Trader with Storage</t>
        </is>
      </c>
      <c r="C11439" t="inlineStr">
        <is>
          <t>SGS Germany GmbH, Emstek, DE</t>
        </is>
      </c>
      <c r="D11439" t="inlineStr">
        <is>
          <t>01.12.2026</t>
        </is>
      </c>
      <c r="E11439" t="inlineStr">
        <is>
          <t>The Republic of Korea</t>
        </is>
      </c>
    </row>
    <row r="11440">
      <c r="A11440" t="inlineStr">
        <is>
          <t>The Dow Chemical Company,  Houston, United States</t>
        </is>
      </c>
      <c r="B11440" t="inlineStr">
        <is>
          <t>Trader with Storage</t>
        </is>
      </c>
      <c r="C11440" t="inlineStr">
        <is>
          <t>SGS Germany GmbH, Emstek, DE</t>
        </is>
      </c>
      <c r="D11440" t="inlineStr">
        <is>
          <t>01.12.2026</t>
        </is>
      </c>
      <c r="E11440" t="inlineStr">
        <is>
          <t>United States</t>
        </is>
      </c>
    </row>
    <row r="11441">
      <c r="A11441" t="inlineStr">
        <is>
          <t>POLJOPRIVREDNA ZADRUGA ZRNO,  GRUBIŠNO POLJE, Croatia</t>
        </is>
      </c>
      <c r="B11441" t="inlineStr">
        <is>
          <t>Farm / Plantation, First Gathering Point</t>
        </is>
      </c>
      <c r="C11441" t="inlineStr">
        <is>
          <t>Bureau Veritas Polska Sp. z o.o., Warsaw, PL</t>
        </is>
      </c>
      <c r="D11441" t="inlineStr">
        <is>
          <t>01.12.2026</t>
        </is>
      </c>
      <c r="E11441" t="inlineStr">
        <is>
          <t>Croatia</t>
        </is>
      </c>
    </row>
    <row r="11442">
      <c r="A11442" t="inlineStr">
        <is>
          <t>Quatra UK Ltd,  London, United Kingdom</t>
        </is>
      </c>
      <c r="B11442" t="inlineStr">
        <is>
          <t>Collecting Point, Trader with Storage</t>
        </is>
      </c>
      <c r="C11442" t="inlineStr">
        <is>
          <t>Control Union Certifications Germany GmbH, Berlin, DE</t>
        </is>
      </c>
      <c r="D11442" t="inlineStr">
        <is>
          <t>01.12.2026</t>
        </is>
      </c>
      <c r="E11442" t="inlineStr">
        <is>
          <t>United Kingdom</t>
        </is>
      </c>
    </row>
    <row r="11443">
      <c r="A11443" t="inlineStr">
        <is>
          <t>Phillips 66 Limited,  London, United Kingdom</t>
        </is>
      </c>
      <c r="B11443" t="inlineStr">
        <is>
          <t>Trader with Storage, Proof of Compliance Trader</t>
        </is>
      </c>
      <c r="C11443" t="inlineStr">
        <is>
          <t>SGS Germany GmbH, Emstek, DE</t>
        </is>
      </c>
      <c r="D11443" t="inlineStr">
        <is>
          <t>01.12.2026</t>
        </is>
      </c>
      <c r="E11443" t="inlineStr">
        <is>
          <t>United Kingdom</t>
        </is>
      </c>
    </row>
    <row r="11444">
      <c r="A11444" t="inlineStr">
        <is>
          <t>NF Logistique,  Algiers, Algeria</t>
        </is>
      </c>
      <c r="B11444" t="inlineStr">
        <is>
          <t>Collecting Point</t>
        </is>
      </c>
      <c r="C11444" t="inlineStr">
        <is>
          <t>RINA Services S.p.A., Genova, IT</t>
        </is>
      </c>
      <c r="D11444" t="inlineStr">
        <is>
          <t>01.12.2026</t>
        </is>
      </c>
      <c r="E11444" t="inlineStr">
        <is>
          <t>Algeria</t>
        </is>
      </c>
    </row>
    <row r="11445">
      <c r="A11445" t="inlineStr">
        <is>
          <t>SC TRANS CAT SRL,  Codlea, Romania</t>
        </is>
      </c>
      <c r="B11445" t="inlineStr">
        <is>
          <t>First Gathering Point, Trader with Storage</t>
        </is>
      </c>
      <c r="C11445" t="inlineStr">
        <is>
          <t>Control Union Certifications Germany GmbH, Berlin, DE</t>
        </is>
      </c>
      <c r="D11445" t="inlineStr">
        <is>
          <t>01.12.2026</t>
        </is>
      </c>
      <c r="E11445" t="inlineStr">
        <is>
          <t>Romania</t>
        </is>
      </c>
    </row>
    <row r="11446">
      <c r="A11446" t="inlineStr">
        <is>
          <t>Baker Commodities Inc.,  North Billerica, Massachusetts, United States</t>
        </is>
      </c>
      <c r="B11446" t="inlineStr">
        <is>
          <t>Collecting Point, Trader with Storage</t>
        </is>
      </c>
      <c r="C11446" t="inlineStr">
        <is>
          <t>Certificadora Gallega del Noroeste SL, Vilagarcia de Arousa-Pontevedra, ES</t>
        </is>
      </c>
      <c r="D11446" t="inlineStr">
        <is>
          <t>01.12.2026</t>
        </is>
      </c>
      <c r="E11446" t="inlineStr">
        <is>
          <t>United States</t>
        </is>
      </c>
    </row>
    <row r="11447">
      <c r="A11447" t="inlineStr">
        <is>
          <t>Baker Commodities Inc.,  North Billerica, Massachusetts, United States</t>
        </is>
      </c>
      <c r="B11447" t="inlineStr">
        <is>
          <t>Collecting Point, Trader with Storage</t>
        </is>
      </c>
      <c r="C11447" t="inlineStr">
        <is>
          <t>Certificadora Gallega del Noroeste SL, Vilagarcia de Arousa-Pontevedra, ES</t>
        </is>
      </c>
      <c r="D11447" t="inlineStr">
        <is>
          <t>01.12.2026</t>
        </is>
      </c>
      <c r="E11447" t="inlineStr">
        <is>
          <t>United States</t>
        </is>
      </c>
    </row>
    <row r="11448">
      <c r="A11448" t="inlineStr">
        <is>
          <t>DHL Supply Chain,  Daventry, United Kingdom</t>
        </is>
      </c>
      <c r="B11448" t="inlineStr">
        <is>
          <t>Collecting Point</t>
        </is>
      </c>
      <c r="C11448" t="inlineStr">
        <is>
          <t>SGS Germany GmbH, Emstek, DE</t>
        </is>
      </c>
      <c r="D11448" t="inlineStr">
        <is>
          <t>01.12.2026</t>
        </is>
      </c>
      <c r="E11448" t="inlineStr">
        <is>
          <t>United Kingdom</t>
        </is>
      </c>
    </row>
    <row r="11449">
      <c r="A11449" t="inlineStr">
        <is>
          <t>Foresys,  Oedong-eup, Gyeongju, South Korea</t>
        </is>
      </c>
      <c r="B11449" t="inlineStr">
        <is>
          <t>Collecting Point, Processing Unit</t>
        </is>
      </c>
      <c r="C11449" t="inlineStr">
        <is>
          <t>Korean Foundation for Quality, Songpa-gu, Seoul, KR</t>
        </is>
      </c>
      <c r="D11449" t="inlineStr">
        <is>
          <t>30.11.2026</t>
        </is>
      </c>
      <c r="E11449" t="inlineStr">
        <is>
          <t>South Korea</t>
        </is>
      </c>
    </row>
    <row r="11450">
      <c r="A11450" t="inlineStr">
        <is>
          <t>Dongguan Pinjiamei Lighting Appliance Co., Ltd.,  Dongguan City, China</t>
        </is>
      </c>
      <c r="B11450" t="inlineStr">
        <is>
          <t>Final Product Refinement</t>
        </is>
      </c>
      <c r="C11450" t="inlineStr">
        <is>
          <t>Extensive Standard Technical Services Co., Ltd., Hong Kong, CN</t>
        </is>
      </c>
      <c r="D11450" t="inlineStr">
        <is>
          <t>30.11.2026</t>
        </is>
      </c>
      <c r="E11450" t="inlineStr">
        <is>
          <t>China</t>
        </is>
      </c>
    </row>
    <row r="11451">
      <c r="A11451" t="inlineStr">
        <is>
          <t>Mikasa Industry Co.,Ltd,  Koryo-cho,Kitakatsuragigun,Nara, Japan</t>
        </is>
      </c>
      <c r="B11451" t="inlineStr">
        <is>
          <t>Processing Unit</t>
        </is>
      </c>
      <c r="C11451" t="inlineStr">
        <is>
          <t>Control Union Certifications Germany GmbH, Berlin, DE</t>
        </is>
      </c>
      <c r="D11451" t="inlineStr">
        <is>
          <t>30.11.2026</t>
        </is>
      </c>
      <c r="E11451" t="inlineStr">
        <is>
          <t>Japan</t>
        </is>
      </c>
    </row>
    <row r="11452">
      <c r="A11452" t="inlineStr">
        <is>
          <t>Maersk Oil Trading Inc.,  New York, NY, United States</t>
        </is>
      </c>
      <c r="B11452" t="inlineStr">
        <is>
          <t>Trader with Storage</t>
        </is>
      </c>
      <c r="C11452" t="inlineStr">
        <is>
          <t>Control Union Poland Sp. z o.o., Zielona Gora, PL</t>
        </is>
      </c>
      <c r="D11452" t="inlineStr">
        <is>
          <t>30.11.2026</t>
        </is>
      </c>
      <c r="E11452" t="inlineStr">
        <is>
          <t>United States</t>
        </is>
      </c>
    </row>
    <row r="11453">
      <c r="A11453" t="inlineStr">
        <is>
          <t>Green Gas Generation Limited,  Monasterevin, Co. Kildare, Ireland</t>
        </is>
      </c>
      <c r="B11453" t="inlineStr">
        <is>
          <t>Trader with Storage</t>
        </is>
      </c>
      <c r="C11453" t="inlineStr">
        <is>
          <t>Control Union Certifications Germany GmbH, Berlin, DE</t>
        </is>
      </c>
      <c r="D11453" t="inlineStr">
        <is>
          <t>30.11.2026</t>
        </is>
      </c>
      <c r="E11453" t="inlineStr">
        <is>
          <t>Ireland</t>
        </is>
      </c>
    </row>
    <row r="11454">
      <c r="A11454" t="inlineStr">
        <is>
          <t>KLIMAD GROUP LTD,  NICOSIA, Cyprus</t>
        </is>
      </c>
      <c r="B11454" t="inlineStr">
        <is>
          <t>Trader with Storage</t>
        </is>
      </c>
      <c r="C11454" t="inlineStr">
        <is>
          <t>Bureau Veritas Polska Sp. z o.o., Warsaw, PL</t>
        </is>
      </c>
      <c r="D11454" t="inlineStr">
        <is>
          <t>30.11.2026</t>
        </is>
      </c>
      <c r="E11454" t="inlineStr">
        <is>
          <t>Cyprus</t>
        </is>
      </c>
    </row>
    <row r="11455">
      <c r="A11455" t="inlineStr">
        <is>
          <t>Synthos S.A.,  Oswiecim, Poland</t>
        </is>
      </c>
      <c r="B11455" t="inlineStr">
        <is>
          <t>Trader</t>
        </is>
      </c>
      <c r="C11455" t="inlineStr">
        <is>
          <t>Bureau Veritas Polska Sp. z o.o., Warsaw, PL</t>
        </is>
      </c>
      <c r="D11455" t="inlineStr">
        <is>
          <t>30.11.2026</t>
        </is>
      </c>
      <c r="E11455" t="inlineStr">
        <is>
          <t>Poland</t>
        </is>
      </c>
    </row>
    <row r="11456">
      <c r="A11456" t="inlineStr">
        <is>
          <t>Staoil Sp. z o.o.,  Kosów Lacki, Poland</t>
        </is>
      </c>
      <c r="B11456" t="inlineStr">
        <is>
          <t>First Gathering Point, Processing Unit</t>
        </is>
      </c>
      <c r="C11456" t="inlineStr">
        <is>
          <t>Control Union Poland Sp. z o.o., Zielona Gora, PL</t>
        </is>
      </c>
      <c r="D11456" t="inlineStr">
        <is>
          <t>30.11.2026</t>
        </is>
      </c>
      <c r="E11456" t="inlineStr">
        <is>
          <t>Poland</t>
        </is>
      </c>
    </row>
    <row r="11457">
      <c r="A11457" t="inlineStr">
        <is>
          <t>Secanim Bio-Industries,  Térmens Lleida, Spain</t>
        </is>
      </c>
      <c r="B11457" t="inlineStr">
        <is>
          <t>Point of Origin, Trader with Storage</t>
        </is>
      </c>
      <c r="C11457" t="inlineStr">
        <is>
          <t>Control Union Poland Sp. z o.o., Zielona Gora, PL</t>
        </is>
      </c>
      <c r="D11457" t="inlineStr">
        <is>
          <t>30.11.2026</t>
        </is>
      </c>
      <c r="E11457" t="inlineStr">
        <is>
          <t>Spain</t>
        </is>
      </c>
    </row>
    <row r="11458">
      <c r="A11458" t="inlineStr">
        <is>
          <t>Covestro,  Baytown, TX, United States</t>
        </is>
      </c>
      <c r="B11458" t="inlineStr">
        <is>
          <t>Processing Unit</t>
        </is>
      </c>
      <c r="C11458" t="inlineStr">
        <is>
          <t>DQS CFS GmbH - Deutsche Gesellschaft für Nachhaltigkeit, Frankfurt am Main, DE</t>
        </is>
      </c>
      <c r="D11458" t="inlineStr">
        <is>
          <t>30.11.2026</t>
        </is>
      </c>
      <c r="E11458" t="inlineStr">
        <is>
          <t>United States</t>
        </is>
      </c>
    </row>
    <row r="11459">
      <c r="A11459" t="inlineStr">
        <is>
          <t>Panagro Kereskedő és Szolgáltató Kft.,  Mezőfalva, Hungary</t>
        </is>
      </c>
      <c r="B11459" t="inlineStr">
        <is>
          <t>Farm / Plantation, First Gathering Point, Trader with Storage</t>
        </is>
      </c>
      <c r="C11459" t="inlineStr">
        <is>
          <t>Bureau Veritas Polska Sp. z o.o., Warsaw, PL</t>
        </is>
      </c>
      <c r="D11459" t="inlineStr">
        <is>
          <t>30.11.2026</t>
        </is>
      </c>
      <c r="E11459" t="inlineStr">
        <is>
          <t>Hungary</t>
        </is>
      </c>
    </row>
    <row r="11460">
      <c r="A11460" t="inlineStr">
        <is>
          <t>Kolb Bioenergy NM I, LLC,  Dexter, NM, The United States of America</t>
        </is>
      </c>
      <c r="B11460" t="inlineStr">
        <is>
          <t>Collecting Point, Processing Unit</t>
        </is>
      </c>
      <c r="C11460" t="inlineStr">
        <is>
          <t>SCS Global Services, Emeryville, CA, US</t>
        </is>
      </c>
      <c r="D11460" t="inlineStr">
        <is>
          <t>30.11.2026</t>
        </is>
      </c>
      <c r="E11460" t="inlineStr">
        <is>
          <t>The United States of America</t>
        </is>
      </c>
    </row>
    <row r="11461">
      <c r="A11461" t="inlineStr">
        <is>
          <t>Kolb Bioenergy NM I, LLC,  Dexter, NM, United States</t>
        </is>
      </c>
      <c r="B11461" t="inlineStr">
        <is>
          <t>Collecting Point, Processing Unit</t>
        </is>
      </c>
      <c r="C11461" t="inlineStr">
        <is>
          <t>SCS Global Services, Emeryville, CA, US</t>
        </is>
      </c>
      <c r="D11461" t="inlineStr">
        <is>
          <t>30.11.2026</t>
        </is>
      </c>
      <c r="E11461" t="inlineStr">
        <is>
          <t>United States</t>
        </is>
      </c>
    </row>
    <row r="11462">
      <c r="A11462" t="inlineStr">
        <is>
          <t>EXXONMOBIL ASIA PACIFIC PTE. LTD.,  Singapore, Singapore</t>
        </is>
      </c>
      <c r="B11462" t="inlineStr">
        <is>
          <t>Trader with Storage</t>
        </is>
      </c>
      <c r="C11462" t="inlineStr">
        <is>
          <t>Control Union Certifications Germany GmbH, Berlin, DE</t>
        </is>
      </c>
      <c r="D11462" t="inlineStr">
        <is>
          <t>30.11.2026</t>
        </is>
      </c>
      <c r="E11462" t="inlineStr">
        <is>
          <t>Singapore</t>
        </is>
      </c>
    </row>
    <row r="11463">
      <c r="A11463" t="inlineStr">
        <is>
          <t>EXXONMOBIL ASIA PACIFIC PTE. LTD.,  Singapore, Singapore</t>
        </is>
      </c>
      <c r="B11463" t="inlineStr">
        <is>
          <t>Trader</t>
        </is>
      </c>
      <c r="C11463" t="inlineStr">
        <is>
          <t>Control Union Certifications Germany GmbH, Berlin, DE</t>
        </is>
      </c>
      <c r="D11463" t="inlineStr">
        <is>
          <t>30.11.2026</t>
        </is>
      </c>
      <c r="E11463" t="inlineStr">
        <is>
          <t>Singapore</t>
        </is>
      </c>
    </row>
    <row r="11464">
      <c r="A11464" t="inlineStr">
        <is>
          <t>EXXONMOBIL ASIA PACIFIC PTE. LTD.,  Singapore, Singapore</t>
        </is>
      </c>
      <c r="B11464" t="inlineStr">
        <is>
          <t>Trader with Storage</t>
        </is>
      </c>
      <c r="C11464" t="inlineStr">
        <is>
          <t>Control Union Certifications Germany GmbH, Berlin, DE</t>
        </is>
      </c>
      <c r="D11464" t="inlineStr">
        <is>
          <t>30.11.2026</t>
        </is>
      </c>
      <c r="E11464" t="inlineStr">
        <is>
          <t>Singapore</t>
        </is>
      </c>
    </row>
    <row r="11465">
      <c r="A11465" t="inlineStr">
        <is>
          <t>ERIDON LOGISTIK,  Volyn region, Kovel district, Luboml city, Ukraine</t>
        </is>
      </c>
      <c r="B11465" t="inlineStr">
        <is>
          <t>Trader with Storage</t>
        </is>
      </c>
      <c r="C11465" t="inlineStr">
        <is>
          <t>United Registrar of Systems Polska Sp. z o.o., Wrocław, PL</t>
        </is>
      </c>
      <c r="D11465" t="inlineStr">
        <is>
          <t>30.11.2026</t>
        </is>
      </c>
      <c r="E11465" t="inlineStr">
        <is>
          <t>Ukraine</t>
        </is>
      </c>
    </row>
    <row r="11466">
      <c r="A11466" t="inlineStr">
        <is>
          <t>CPC CORPORATION, TAIWAN,  Xinyi Dist., Taipei City, Taiwan</t>
        </is>
      </c>
      <c r="B11466" t="inlineStr">
        <is>
          <t>Trader with Storage</t>
        </is>
      </c>
      <c r="C11466" t="inlineStr">
        <is>
          <t>Bureau Veritas Polska Sp. z o.o., Warsaw, PL</t>
        </is>
      </c>
      <c r="D11466" t="inlineStr">
        <is>
          <t>30.11.2026</t>
        </is>
      </c>
      <c r="E11466" t="inlineStr">
        <is>
          <t>Taiwan</t>
        </is>
      </c>
    </row>
    <row r="11467">
      <c r="A11467" t="inlineStr">
        <is>
          <t>Chevron Products Company,  San Ramon, United States</t>
        </is>
      </c>
      <c r="B11467" t="inlineStr">
        <is>
          <t>Trader with Storage</t>
        </is>
      </c>
      <c r="C11467" t="inlineStr">
        <is>
          <t>SCS Global Services, Emeryville, CA, US</t>
        </is>
      </c>
      <c r="D11467" t="inlineStr">
        <is>
          <t>30.11.2026</t>
        </is>
      </c>
      <c r="E11467" t="inlineStr">
        <is>
          <t>United States</t>
        </is>
      </c>
    </row>
    <row r="11468">
      <c r="A11468" t="inlineStr">
        <is>
          <t>SUNDIC.,  Suzuka-City, Japan</t>
        </is>
      </c>
      <c r="B11468" t="inlineStr">
        <is>
          <t>Processing Unit</t>
        </is>
      </c>
      <c r="C11468" t="inlineStr">
        <is>
          <t>SCS Global Services, Emeryville, CA, US</t>
        </is>
      </c>
      <c r="D11468" t="inlineStr">
        <is>
          <t>30.11.2026</t>
        </is>
      </c>
      <c r="E11468" t="inlineStr">
        <is>
          <t>Japan</t>
        </is>
      </c>
    </row>
    <row r="11469">
      <c r="A11469" t="inlineStr">
        <is>
          <t>Chevron Products Company,  San Ramon, United States</t>
        </is>
      </c>
      <c r="B11469" t="inlineStr">
        <is>
          <t>Trader with Storage</t>
        </is>
      </c>
      <c r="C11469" t="inlineStr">
        <is>
          <t>SCS Global Services, Emeryville, CA, US</t>
        </is>
      </c>
      <c r="D11469" t="inlineStr">
        <is>
          <t>30.11.2026</t>
        </is>
      </c>
      <c r="E11469" t="inlineStr">
        <is>
          <t>United States</t>
        </is>
      </c>
    </row>
    <row r="11470">
      <c r="A11470" t="inlineStr">
        <is>
          <t>Zeon corporation,  Toyama, Japan</t>
        </is>
      </c>
      <c r="B11470" t="inlineStr">
        <is>
          <t>Processing Unit</t>
        </is>
      </c>
      <c r="C11470" t="inlineStr">
        <is>
          <t>Control Union Certifications Germany GmbH, Berlin, DE</t>
        </is>
      </c>
      <c r="D11470" t="inlineStr">
        <is>
          <t>30.11.2026</t>
        </is>
      </c>
      <c r="E11470" t="inlineStr">
        <is>
          <t>Japan</t>
        </is>
      </c>
    </row>
    <row r="11471">
      <c r="A11471" t="inlineStr">
        <is>
          <t>Zeon corporation,  Kanagawa, Japan</t>
        </is>
      </c>
      <c r="B11471" t="inlineStr">
        <is>
          <t>Processing Unit</t>
        </is>
      </c>
      <c r="C11471" t="inlineStr">
        <is>
          <t>Control Union Certifications Germany GmbH, Berlin, DE</t>
        </is>
      </c>
      <c r="D11471" t="inlineStr">
        <is>
          <t>30.11.2026</t>
        </is>
      </c>
      <c r="E11471" t="inlineStr">
        <is>
          <t>Japan</t>
        </is>
      </c>
    </row>
    <row r="11472">
      <c r="A11472" t="inlineStr">
        <is>
          <t>ALBIS Distribution GmbH &amp; Co.KG,  Hamburg, Germany</t>
        </is>
      </c>
      <c r="B11472" t="inlineStr">
        <is>
          <t>Trader with Storage</t>
        </is>
      </c>
      <c r="C11472" t="inlineStr">
        <is>
          <t>DQS CFS GmbH - Deutsche Gesellschaft für Nachhaltigkeit, Frankfurt am Main, DE</t>
        </is>
      </c>
      <c r="D11472" t="inlineStr">
        <is>
          <t>30.11.2026</t>
        </is>
      </c>
      <c r="E11472" t="inlineStr">
        <is>
          <t>Germany</t>
        </is>
      </c>
    </row>
    <row r="11473">
      <c r="A11473" t="inlineStr">
        <is>
          <t>LOTTE Engineering Plastics CO. LTD(Yeosu Plant),  Yeosu-si, Jeollanam-do, Korea, Republic of</t>
        </is>
      </c>
      <c r="B11473" t="inlineStr">
        <is>
          <t>Processing Unit</t>
        </is>
      </c>
      <c r="C11473" t="inlineStr">
        <is>
          <t>Control Union Certifications Germany GmbH, Berlin, DE</t>
        </is>
      </c>
      <c r="D11473" t="inlineStr">
        <is>
          <t>30.11.2026</t>
        </is>
      </c>
      <c r="E11473" t="inlineStr">
        <is>
          <t>Republic of</t>
        </is>
      </c>
    </row>
    <row r="11474">
      <c r="A11474" t="inlineStr">
        <is>
          <t>TotalEnergies Marketing Nederland N.V.,  's-Gravenhage, Netherlands</t>
        </is>
      </c>
      <c r="B11474" t="inlineStr">
        <is>
          <t>Trader with Storage</t>
        </is>
      </c>
      <c r="C11474" t="inlineStr">
        <is>
          <t>SGS Germany GmbH, Emstek, DE</t>
        </is>
      </c>
      <c r="D11474" t="inlineStr">
        <is>
          <t>30.11.2026</t>
        </is>
      </c>
      <c r="E11474" t="inlineStr">
        <is>
          <t>Netherlands</t>
        </is>
      </c>
    </row>
    <row r="11475">
      <c r="A11475" t="inlineStr">
        <is>
          <t>Fibertex Personal Care Sdn. Bhd.,  Nilai, Negeri Sembilan, Malaysia</t>
        </is>
      </c>
      <c r="B11475" t="inlineStr">
        <is>
          <t>Processing Unit</t>
        </is>
      </c>
      <c r="C11475" t="inlineStr">
        <is>
          <t>SGS Germany GmbH, Emstek, DE</t>
        </is>
      </c>
      <c r="D11475" t="inlineStr">
        <is>
          <t>30.11.2026</t>
        </is>
      </c>
      <c r="E11475" t="inlineStr">
        <is>
          <t>Malaysia</t>
        </is>
      </c>
    </row>
    <row r="11476">
      <c r="A11476" t="inlineStr">
        <is>
          <t>KARYA SAMO MAS,  Pasir Pengaraian, Indonesia</t>
        </is>
      </c>
      <c r="B11476" t="inlineStr">
        <is>
          <t>Point of Origin</t>
        </is>
      </c>
      <c r="C11476" t="inlineStr">
        <is>
          <t>PT. Qualitas Sertifikasi Indonesia, Jakarta, ID</t>
        </is>
      </c>
      <c r="D11476" t="inlineStr">
        <is>
          <t>30.11.2026</t>
        </is>
      </c>
      <c r="E11476" t="inlineStr">
        <is>
          <t>Indonesia</t>
        </is>
      </c>
    </row>
    <row r="11477">
      <c r="A11477" t="inlineStr">
        <is>
          <t>sustainble oil collect,  Sfax, Tunisia</t>
        </is>
      </c>
      <c r="B11477" t="inlineStr">
        <is>
          <t>Collecting Point</t>
        </is>
      </c>
      <c r="C11477" t="inlineStr">
        <is>
          <t>PT Intertek Utama Services, Jakarta, ID</t>
        </is>
      </c>
      <c r="D11477" t="inlineStr">
        <is>
          <t>30.11.2026</t>
        </is>
      </c>
      <c r="E11477" t="inlineStr">
        <is>
          <t>Tunisia</t>
        </is>
      </c>
    </row>
    <row r="11478">
      <c r="A11478" t="inlineStr">
        <is>
          <t>South Pole AG,  Zurich, Switzerland</t>
        </is>
      </c>
      <c r="B11478" t="inlineStr">
        <is>
          <t>Trader</t>
        </is>
      </c>
      <c r="C11478" t="inlineStr">
        <is>
          <t>Baltic Control Certification, Risskov, DK</t>
        </is>
      </c>
      <c r="D11478" t="inlineStr">
        <is>
          <t>30.11.2026</t>
        </is>
      </c>
      <c r="E11478" t="inlineStr">
        <is>
          <t>Switzerland</t>
        </is>
      </c>
    </row>
    <row r="11479">
      <c r="A11479" t="inlineStr">
        <is>
          <t>SHPP Canada Inc.,  Cobourg, Ontario, Canada</t>
        </is>
      </c>
      <c r="B11479" t="inlineStr">
        <is>
          <t>Processing Unit, Trader</t>
        </is>
      </c>
      <c r="C11479" t="inlineStr">
        <is>
          <t>TÜV NORD CERT GmbH, Essen, DE</t>
        </is>
      </c>
      <c r="D11479" t="inlineStr">
        <is>
          <t>30.11.2026</t>
        </is>
      </c>
      <c r="E11479" t="inlineStr">
        <is>
          <t>Canada</t>
        </is>
      </c>
    </row>
    <row r="11480">
      <c r="A11480" t="inlineStr">
        <is>
          <t>KNEHO-LACKE,  Horn-Bad Meinberg, Germany</t>
        </is>
      </c>
      <c r="B11480" t="inlineStr">
        <is>
          <t>Processing Unit</t>
        </is>
      </c>
      <c r="C11480" t="inlineStr">
        <is>
          <t>GUT Certifizierungsgesellschaft für Managementsysteme mbH Umweltgutachter, Berlin, DE</t>
        </is>
      </c>
      <c r="D11480" t="inlineStr">
        <is>
          <t>30.11.2026</t>
        </is>
      </c>
      <c r="E11480" t="inlineStr">
        <is>
          <t>Germany</t>
        </is>
      </c>
    </row>
    <row r="11481">
      <c r="A11481" t="inlineStr">
        <is>
          <t>Fábrica Torrejana, SA,  Riachos, Portugal</t>
        </is>
      </c>
      <c r="B11481" t="inlineStr">
        <is>
          <t>Point of Origin, Processing Unit, Trader</t>
        </is>
      </c>
      <c r="C11481" t="inlineStr">
        <is>
          <t>ASG Cert GmbH, Munich, DE</t>
        </is>
      </c>
      <c r="D11481" t="inlineStr">
        <is>
          <t>30.11.2026</t>
        </is>
      </c>
      <c r="E11481" t="inlineStr">
        <is>
          <t>Portugal</t>
        </is>
      </c>
    </row>
    <row r="11482">
      <c r="A11482" t="inlineStr">
        <is>
          <t>Macquarie Energy Canada Ltd.,  Toronto, Canada</t>
        </is>
      </c>
      <c r="B11482" t="inlineStr">
        <is>
          <t>Trader with Storage</t>
        </is>
      </c>
      <c r="C11482" t="inlineStr">
        <is>
          <t>Normec QS BV, Bennekom, NL</t>
        </is>
      </c>
      <c r="D11482" t="inlineStr">
        <is>
          <t>30.11.2026</t>
        </is>
      </c>
      <c r="E11482" t="inlineStr">
        <is>
          <t>Canada</t>
        </is>
      </c>
    </row>
    <row r="11483">
      <c r="A11483" t="inlineStr">
        <is>
          <t>ANUGERAH TANI MAKMUR,  Kampung Maredan, Indonesia</t>
        </is>
      </c>
      <c r="B11483" t="inlineStr">
        <is>
          <t>Point of Origin</t>
        </is>
      </c>
      <c r="C11483" t="inlineStr">
        <is>
          <t>PT. Qualitas Sertifikasi Indonesia, Jakarta, ID</t>
        </is>
      </c>
      <c r="D11483" t="inlineStr">
        <is>
          <t>30.11.2026</t>
        </is>
      </c>
      <c r="E11483" t="inlineStr">
        <is>
          <t>Indonesia</t>
        </is>
      </c>
    </row>
    <row r="11484">
      <c r="A11484" t="inlineStr">
        <is>
          <t>BP Energy Company,  Houston,Texas, United States</t>
        </is>
      </c>
      <c r="B11484" t="inlineStr">
        <is>
          <t>Trader</t>
        </is>
      </c>
      <c r="C11484" t="inlineStr">
        <is>
          <t>SCS Global Services, Emeryville, CA, US</t>
        </is>
      </c>
      <c r="D11484" t="inlineStr">
        <is>
          <t>30.11.2026</t>
        </is>
      </c>
      <c r="E11484" t="inlineStr">
        <is>
          <t>United States</t>
        </is>
      </c>
    </row>
    <row r="11485">
      <c r="A11485" t="inlineStr">
        <is>
          <t>BP Energy Company,  Houston,Texas, United States</t>
        </is>
      </c>
      <c r="B11485" t="inlineStr">
        <is>
          <t>Trader</t>
        </is>
      </c>
      <c r="C11485" t="inlineStr">
        <is>
          <t>SCS Global Services, Emeryville, CA, US</t>
        </is>
      </c>
      <c r="D11485" t="inlineStr">
        <is>
          <t>30.11.2026</t>
        </is>
      </c>
      <c r="E11485" t="inlineStr">
        <is>
          <t>United States</t>
        </is>
      </c>
    </row>
    <row r="11486">
      <c r="A11486" t="inlineStr">
        <is>
          <t>AMCOR Rigid North America,  Brantford, Canada</t>
        </is>
      </c>
      <c r="B11486" t="inlineStr">
        <is>
          <t>Processing Unit</t>
        </is>
      </c>
      <c r="C11486" t="inlineStr">
        <is>
          <t>SCS Global Services, Emeryville, CA, US</t>
        </is>
      </c>
      <c r="D11486" t="inlineStr">
        <is>
          <t>30.11.2026</t>
        </is>
      </c>
      <c r="E11486" t="inlineStr">
        <is>
          <t>Canada</t>
        </is>
      </c>
    </row>
    <row r="11487">
      <c r="A11487" t="inlineStr">
        <is>
          <t>Biocom Cuenca S.L.U.,  Cuenca, Spain</t>
        </is>
      </c>
      <c r="B11487" t="inlineStr">
        <is>
          <t>Point of Origin, Processing Unit, Warehouse</t>
        </is>
      </c>
      <c r="C11487" t="inlineStr">
        <is>
          <t>SGS Germany GmbH, Emstek, DE</t>
        </is>
      </c>
      <c r="D11487" t="inlineStr">
        <is>
          <t>30.11.2026</t>
        </is>
      </c>
      <c r="E11487" t="inlineStr">
        <is>
          <t>Spain</t>
        </is>
      </c>
    </row>
    <row r="11488">
      <c r="A11488" t="inlineStr">
        <is>
          <t>CARGILL BIOENERGIA LTDA,  Cachoeira Dourada, Brazil</t>
        </is>
      </c>
      <c r="B11488" t="inlineStr">
        <is>
          <t>First Gathering Point, Processing Unit</t>
        </is>
      </c>
      <c r="C11488" t="inlineStr">
        <is>
          <t>Control Union Poland Sp. z o.o., Zielona Gora, PL</t>
        </is>
      </c>
      <c r="D11488" t="inlineStr">
        <is>
          <t>30.11.2026</t>
        </is>
      </c>
      <c r="E11488" t="inlineStr">
        <is>
          <t>Brazil</t>
        </is>
      </c>
    </row>
    <row r="11489">
      <c r="A11489" t="inlineStr">
        <is>
          <t>Amcor Rigid North America,  Morgantown, United States</t>
        </is>
      </c>
      <c r="B11489" t="inlineStr">
        <is>
          <t>Processing Unit</t>
        </is>
      </c>
      <c r="C11489" t="inlineStr">
        <is>
          <t>SCS Global Services, Emeryville, CA, US</t>
        </is>
      </c>
      <c r="D11489" t="inlineStr">
        <is>
          <t>30.11.2026</t>
        </is>
      </c>
      <c r="E11489" t="inlineStr">
        <is>
          <t>United States</t>
        </is>
      </c>
    </row>
    <row r="11490">
      <c r="A11490" t="inlineStr">
        <is>
          <t>Plasmel indústria e comércio de plásticos LTDA,  Cuiabá, Brazil</t>
        </is>
      </c>
      <c r="B11490" t="inlineStr">
        <is>
          <t>Collecting Point, Processing Unit</t>
        </is>
      </c>
      <c r="C11490" t="inlineStr">
        <is>
          <t>Control Union Poland Sp. z o.o., Zielona Gora, PL</t>
        </is>
      </c>
      <c r="D11490" t="inlineStr">
        <is>
          <t>30.11.2026</t>
        </is>
      </c>
      <c r="E11490" t="inlineStr">
        <is>
          <t>Brazil</t>
        </is>
      </c>
    </row>
    <row r="11491">
      <c r="A11491" t="inlineStr">
        <is>
          <t>ZHEN TAI COMPANY LIMITED,  Dong Nai Province,, Vietnam</t>
        </is>
      </c>
      <c r="B11491" t="inlineStr">
        <is>
          <t>Processing Unit, Trader with Storage</t>
        </is>
      </c>
      <c r="C11491" t="inlineStr">
        <is>
          <t>China Quality Certification Centre Co., Ltd., Beijing, CN</t>
        </is>
      </c>
      <c r="D11491" t="inlineStr">
        <is>
          <t>30.11.2026</t>
        </is>
      </c>
      <c r="E11491" t="inlineStr">
        <is>
          <t>Vietnam</t>
        </is>
      </c>
    </row>
    <row r="11492">
      <c r="A11492" t="inlineStr">
        <is>
          <t>NGP GLOBAL TRADING COMPANY LIMITED,  Hong Kong, Hong Kong, SAR, China</t>
        </is>
      </c>
      <c r="B11492" t="inlineStr">
        <is>
          <t>Trader with Storage</t>
        </is>
      </c>
      <c r="C11492" t="inlineStr">
        <is>
          <t>China Testing &amp; Certification International Group Co., Ltd., Beijing, CN</t>
        </is>
      </c>
      <c r="D11492" t="inlineStr">
        <is>
          <t>30.11.2026</t>
        </is>
      </c>
      <c r="E11492" t="inlineStr">
        <is>
          <t>China</t>
        </is>
      </c>
    </row>
    <row r="11493">
      <c r="A11493" t="inlineStr">
        <is>
          <t>Guangxi Laibin High Mountain Goushu Agriculture Development Co., Ltd.,  Laibin City, China</t>
        </is>
      </c>
      <c r="B11493" t="inlineStr">
        <is>
          <t>Collecting Point, Processing Unit</t>
        </is>
      </c>
      <c r="C11493" t="inlineStr">
        <is>
          <t>SCS Global Services, Emeryville, CA, US</t>
        </is>
      </c>
      <c r="D11493" t="inlineStr">
        <is>
          <t>30.11.2026</t>
        </is>
      </c>
      <c r="E11493" t="inlineStr">
        <is>
          <t>China</t>
        </is>
      </c>
    </row>
    <row r="11494">
      <c r="A11494" t="inlineStr">
        <is>
          <t>Genox LyondellBasell New Material Co., Ltd.,  Zhaoqing City, Guangdong Province, China</t>
        </is>
      </c>
      <c r="B11494" t="inlineStr">
        <is>
          <t>Collecting Point, Processing Unit</t>
        </is>
      </c>
      <c r="C11494" t="inlineStr">
        <is>
          <t>SCS Global Services, Emeryville, CA, US</t>
        </is>
      </c>
      <c r="D11494" t="inlineStr">
        <is>
          <t>30.11.2026</t>
        </is>
      </c>
      <c r="E11494" t="inlineStr">
        <is>
          <t>China</t>
        </is>
      </c>
    </row>
    <row r="11495">
      <c r="A11495" t="inlineStr">
        <is>
          <t>Irving Oil,  Co. Cork, Ireland</t>
        </is>
      </c>
      <c r="B11495" t="inlineStr">
        <is>
          <t>Processing Unit, Trader with Storage</t>
        </is>
      </c>
      <c r="C11495" t="inlineStr">
        <is>
          <t>DNV Business Assurance Sweden AB, Solna, SE</t>
        </is>
      </c>
      <c r="D11495" t="inlineStr">
        <is>
          <t>30.11.2026</t>
        </is>
      </c>
      <c r="E11495" t="inlineStr">
        <is>
          <t>Ireland</t>
        </is>
      </c>
    </row>
    <row r="11496">
      <c r="A11496" t="inlineStr">
        <is>
          <t>Irving Oil,  Co. Cork, Ireland</t>
        </is>
      </c>
      <c r="B11496" t="inlineStr">
        <is>
          <t>Processing Unit, Trader with Storage</t>
        </is>
      </c>
      <c r="C11496" t="inlineStr">
        <is>
          <t>DNV Business Assurance Sweden AB, Solna, SE</t>
        </is>
      </c>
      <c r="D11496" t="inlineStr">
        <is>
          <t>30.11.2026</t>
        </is>
      </c>
      <c r="E11496" t="inlineStr">
        <is>
          <t>Ireland</t>
        </is>
      </c>
    </row>
    <row r="11497">
      <c r="A11497" t="inlineStr">
        <is>
          <t>Toray Advanced Materials Korea Inc. (Gunsan Plant),  Gunsan, Jeollabuk-do, Korea, Republic of</t>
        </is>
      </c>
      <c r="B11497" t="inlineStr">
        <is>
          <t>Processing Unit</t>
        </is>
      </c>
      <c r="C11497" t="inlineStr">
        <is>
          <t>Korean Foundation for Quality, Songpa-gu, Seoul, KR</t>
        </is>
      </c>
      <c r="D11497" t="inlineStr">
        <is>
          <t>30.11.2026</t>
        </is>
      </c>
      <c r="E11497" t="inlineStr">
        <is>
          <t>Republic of</t>
        </is>
      </c>
    </row>
    <row r="11498">
      <c r="A11498" t="inlineStr">
        <is>
          <t>Toray Advanced Materials Korea Inc. (HQ),  Gangseo-gu, Seoul, Korea, Republic of</t>
        </is>
      </c>
      <c r="B11498" t="inlineStr">
        <is>
          <t>Trader</t>
        </is>
      </c>
      <c r="C11498" t="inlineStr">
        <is>
          <t>Korean Foundation for Quality, Songpa-gu, Seoul, KR</t>
        </is>
      </c>
      <c r="D11498" t="inlineStr">
        <is>
          <t>30.11.2026</t>
        </is>
      </c>
      <c r="E11498" t="inlineStr">
        <is>
          <t>Republic of</t>
        </is>
      </c>
    </row>
    <row r="11499">
      <c r="A11499" t="inlineStr">
        <is>
          <t>WESTNOL,  Horodok, Lviv district, Lviv region, Ukraine</t>
        </is>
      </c>
      <c r="B11499" t="inlineStr">
        <is>
          <t>Collecting Point, First Gathering Point, Point of Origin, Processing Unit</t>
        </is>
      </c>
      <c r="C11499" t="inlineStr">
        <is>
          <t>BM Certification, Riga, LV</t>
        </is>
      </c>
      <c r="D11499" t="inlineStr">
        <is>
          <t>30.11.2026</t>
        </is>
      </c>
      <c r="E11499" t="inlineStr">
        <is>
          <t>Ukraine</t>
        </is>
      </c>
    </row>
    <row r="11500">
      <c r="A11500" t="inlineStr">
        <is>
          <t>Hung Mau Environmental Technology Corporation,  Tongluo Township, Miaoli, Taiwan, Province of China</t>
        </is>
      </c>
      <c r="B11500" t="inlineStr">
        <is>
          <t>Collecting Point</t>
        </is>
      </c>
      <c r="C11500" t="inlineStr">
        <is>
          <t>Bureau Veritas Polska Sp. z o.o., Warsaw, PL</t>
        </is>
      </c>
      <c r="D11500" t="inlineStr">
        <is>
          <t>30.11.2026</t>
        </is>
      </c>
      <c r="E11500" t="inlineStr">
        <is>
          <t>Province of China</t>
        </is>
      </c>
    </row>
    <row r="11501">
      <c r="A11501" t="inlineStr">
        <is>
          <t>Shiyan Ecostar Renewable Resources Co. Ltd.,  Shiyan, China</t>
        </is>
      </c>
      <c r="B11501" t="inlineStr">
        <is>
          <t>Collecting Point, Processing Unit</t>
        </is>
      </c>
      <c r="C11501" t="inlineStr">
        <is>
          <t>Bureau Veritas Polska Sp. z o.o., Warsaw, PL</t>
        </is>
      </c>
      <c r="D11501" t="inlineStr">
        <is>
          <t>30.11.2026</t>
        </is>
      </c>
      <c r="E11501" t="inlineStr">
        <is>
          <t>China</t>
        </is>
      </c>
    </row>
    <row r="11502">
      <c r="A11502" t="inlineStr">
        <is>
          <t>RadiciFil,  Casnigo, Italy</t>
        </is>
      </c>
      <c r="B11502" t="inlineStr">
        <is>
          <t>Processing Unit</t>
        </is>
      </c>
      <c r="C11502" t="inlineStr">
        <is>
          <t>Bureau Veritas Polska Sp. z o.o., Warsaw, PL</t>
        </is>
      </c>
      <c r="D11502" t="inlineStr">
        <is>
          <t>30.11.2026</t>
        </is>
      </c>
      <c r="E11502" t="inlineStr">
        <is>
          <t>Italy</t>
        </is>
      </c>
    </row>
    <row r="11503">
      <c r="A11503" t="inlineStr">
        <is>
          <t>Axilone Plastique,  Guidel, France</t>
        </is>
      </c>
      <c r="B11503" t="inlineStr">
        <is>
          <t>Final Product Refinement, Processing Unit</t>
        </is>
      </c>
      <c r="C11503" t="inlineStr">
        <is>
          <t>Bureau Veritas Polska Sp. z o.o., Warsaw, PL</t>
        </is>
      </c>
      <c r="D11503" t="inlineStr">
        <is>
          <t>30.11.2026</t>
        </is>
      </c>
      <c r="E11503" t="inlineStr">
        <is>
          <t>France</t>
        </is>
      </c>
    </row>
    <row r="11504">
      <c r="A11504" t="inlineStr">
        <is>
          <t>Packman's Pack s.r.o.,  Prague 5, Czech Republic</t>
        </is>
      </c>
      <c r="B11504" t="inlineStr">
        <is>
          <t>Warehouse, Processing Unit</t>
        </is>
      </c>
      <c r="C11504" t="inlineStr">
        <is>
          <t>SGS Germany GmbH, Emstek, DE</t>
        </is>
      </c>
      <c r="D11504" t="inlineStr">
        <is>
          <t>30.11.2026</t>
        </is>
      </c>
      <c r="E11504" t="inlineStr">
        <is>
          <t>Czech Republic</t>
        </is>
      </c>
    </row>
    <row r="11505">
      <c r="A11505" t="inlineStr">
        <is>
          <t>Axilone Plastique,  Auray, France</t>
        </is>
      </c>
      <c r="B11505" t="inlineStr">
        <is>
          <t>Final Product Refinement, Processing Unit</t>
        </is>
      </c>
      <c r="C11505" t="inlineStr">
        <is>
          <t>Bureau Veritas Polska Sp. z o.o., Warsaw, PL</t>
        </is>
      </c>
      <c r="D11505" t="inlineStr">
        <is>
          <t>30.11.2026</t>
        </is>
      </c>
      <c r="E11505" t="inlineStr">
        <is>
          <t>France</t>
        </is>
      </c>
    </row>
    <row r="11506">
      <c r="A11506" t="inlineStr">
        <is>
          <t>A.R.O.,  Leno, Italy</t>
        </is>
      </c>
      <c r="B11506" t="inlineStr">
        <is>
          <t>Collecting Point, Trader with Storage</t>
        </is>
      </c>
      <c r="C11506" t="inlineStr">
        <is>
          <t>SGS Germany GmbH, Emstek, DE</t>
        </is>
      </c>
      <c r="D11506" t="inlineStr">
        <is>
          <t>30.11.2026</t>
        </is>
      </c>
      <c r="E11506" t="inlineStr">
        <is>
          <t>Italy</t>
        </is>
      </c>
    </row>
    <row r="11507">
      <c r="A11507" t="inlineStr">
        <is>
          <t>Furmix Waknor Sp. z o.o.,  Koźmin Wielkopolski, Poland</t>
        </is>
      </c>
      <c r="B11507" t="inlineStr">
        <is>
          <t>Point of Origin, Trader with Storage</t>
        </is>
      </c>
      <c r="C11507" t="inlineStr">
        <is>
          <t>Bureau Veritas Polska Sp. z o.o., Warsaw, PL</t>
        </is>
      </c>
      <c r="D11507" t="inlineStr">
        <is>
          <t>30.11.2026</t>
        </is>
      </c>
      <c r="E11507" t="inlineStr">
        <is>
          <t>Poland</t>
        </is>
      </c>
    </row>
    <row r="11508">
      <c r="A11508" t="inlineStr">
        <is>
          <t>DS BIOFUEL (PAHANG),  KUANTAN, Malaysia</t>
        </is>
      </c>
      <c r="B11508" t="inlineStr">
        <is>
          <t>Collecting Point, Trader with Storage, Processing Unit</t>
        </is>
      </c>
      <c r="C11508" t="inlineStr">
        <is>
          <t>Trans Certification and Inspection Sdn Bhd, Kuantan, MY</t>
        </is>
      </c>
      <c r="D11508" t="inlineStr">
        <is>
          <t>30.11.2026</t>
        </is>
      </c>
      <c r="E11508" t="inlineStr">
        <is>
          <t>Malaysia</t>
        </is>
      </c>
    </row>
    <row r="11509">
      <c r="A11509" t="inlineStr">
        <is>
          <t>Toray Advanced Material Korea Inc. (Gumi Plant3),  Gumi-si Gyeongsangbuk-do, South Korea</t>
        </is>
      </c>
      <c r="B11509" t="inlineStr">
        <is>
          <t>Point of Origin, Processing Unit</t>
        </is>
      </c>
      <c r="C11509" t="inlineStr">
        <is>
          <t>Korean Foundation for Quality, Songpa-gu, Seoul, KR</t>
        </is>
      </c>
      <c r="D11509" t="inlineStr">
        <is>
          <t>30.11.2026</t>
        </is>
      </c>
      <c r="E11509" t="inlineStr">
        <is>
          <t>South Korea</t>
        </is>
      </c>
    </row>
    <row r="11510">
      <c r="A11510" t="inlineStr">
        <is>
          <t>Toray Advanced Materials Korea Inc. (Gumi plant 4),  Gumi-si, South Korea</t>
        </is>
      </c>
      <c r="B11510" t="inlineStr">
        <is>
          <t>Processing Unit</t>
        </is>
      </c>
      <c r="C11510" t="inlineStr">
        <is>
          <t>Korean Foundation for Quality, Songpa-gu, Seoul, KR</t>
        </is>
      </c>
      <c r="D11510" t="inlineStr">
        <is>
          <t>30.11.2026</t>
        </is>
      </c>
      <c r="E11510" t="inlineStr">
        <is>
          <t>South Korea</t>
        </is>
      </c>
    </row>
    <row r="11511">
      <c r="A11511" t="inlineStr">
        <is>
          <t>VITAGRO BIO-TRADE,  Chortkivskyi district, Nahiryanka village, Ukraine</t>
        </is>
      </c>
      <c r="B11511" t="inlineStr">
        <is>
          <t>First Gathering Point, Collecting Point, Processing Unit</t>
        </is>
      </c>
      <c r="C11511" t="inlineStr">
        <is>
          <t>United Registrar of Systems Polska Sp. z o.o., Wrocław, PL</t>
        </is>
      </c>
      <c r="D11511" t="inlineStr">
        <is>
          <t>30.11.2026</t>
        </is>
      </c>
      <c r="E11511" t="inlineStr">
        <is>
          <t>Ukraine</t>
        </is>
      </c>
    </row>
    <row r="11512">
      <c r="A11512" t="inlineStr">
        <is>
          <t>Toray Advanced Material Korea Inc. (Gumi Plant1),  Gumi, Gyeongsangbuk-do, South Korea</t>
        </is>
      </c>
      <c r="B11512" t="inlineStr">
        <is>
          <t>Point of Origin, Processing Unit</t>
        </is>
      </c>
      <c r="C11512" t="inlineStr">
        <is>
          <t>Korean Foundation for Quality, Songpa-gu, Seoul, KR</t>
        </is>
      </c>
      <c r="D11512" t="inlineStr">
        <is>
          <t>30.11.2026</t>
        </is>
      </c>
      <c r="E11512" t="inlineStr">
        <is>
          <t>South Korea</t>
        </is>
      </c>
    </row>
    <row r="11513">
      <c r="A11513" t="inlineStr">
        <is>
          <t>CFG Trading LLC,  Ternopil, Ukraine</t>
        </is>
      </c>
      <c r="B11513" t="inlineStr">
        <is>
          <t>First Gathering Point, Trader with Storage</t>
        </is>
      </c>
      <c r="C11513" t="inlineStr">
        <is>
          <t>Control Union Certifications Germany GmbH, Berlin, DE</t>
        </is>
      </c>
      <c r="D11513" t="inlineStr">
        <is>
          <t>30.11.2026</t>
        </is>
      </c>
      <c r="E11513" t="inlineStr">
        <is>
          <t>Ukraine</t>
        </is>
      </c>
    </row>
    <row r="11514">
      <c r="A11514" t="inlineStr">
        <is>
          <t>DS BIOFUEL (PAHANG),  KUANTAN, Malaysia</t>
        </is>
      </c>
      <c r="B11514" t="inlineStr">
        <is>
          <t>Collecting Point, Trader with Storage, Processing Unit</t>
        </is>
      </c>
      <c r="C11514" t="inlineStr">
        <is>
          <t>Trans Certification and Inspection Sdn Bhd, Kuantan, MY</t>
        </is>
      </c>
      <c r="D11514" t="inlineStr">
        <is>
          <t>30.11.2026</t>
        </is>
      </c>
      <c r="E11514" t="inlineStr">
        <is>
          <t>Malaysia</t>
        </is>
      </c>
    </row>
    <row r="11515">
      <c r="A11515" t="inlineStr">
        <is>
          <t>Tianji Bioenergy (Jiangsu) Co., Ltd.,  Rugao City, Nantong City, Jiangsu Province, China</t>
        </is>
      </c>
      <c r="B11515" t="inlineStr">
        <is>
          <t>Trader with Storage</t>
        </is>
      </c>
      <c r="C11515" t="inlineStr">
        <is>
          <t>RINA Services S.p.A., Genova, IT</t>
        </is>
      </c>
      <c r="D11515" t="inlineStr">
        <is>
          <t>30.11.2026</t>
        </is>
      </c>
      <c r="E11515" t="inlineStr">
        <is>
          <t>China</t>
        </is>
      </c>
    </row>
    <row r="11516">
      <c r="A11516" t="inlineStr">
        <is>
          <t>Just Biodiesel Pty Ltd,  Indigo Valley, Australia</t>
        </is>
      </c>
      <c r="B11516" t="inlineStr">
        <is>
          <t>Processing Unit</t>
        </is>
      </c>
      <c r="C11516" t="inlineStr">
        <is>
          <t>SGS Germany GmbH, Emstek, DE</t>
        </is>
      </c>
      <c r="D11516" t="inlineStr">
        <is>
          <t>30.11.2026</t>
        </is>
      </c>
      <c r="E11516" t="inlineStr">
        <is>
          <t>Australia</t>
        </is>
      </c>
    </row>
    <row r="11517">
      <c r="A11517" t="inlineStr">
        <is>
          <t>Just Biodiesel Pty Ltd,  Indigo Valley, Australia</t>
        </is>
      </c>
      <c r="B11517" t="inlineStr">
        <is>
          <t>Processing Unit</t>
        </is>
      </c>
      <c r="C11517" t="inlineStr">
        <is>
          <t>SGS Germany GmbH, Emstek, DE</t>
        </is>
      </c>
      <c r="D11517" t="inlineStr">
        <is>
          <t>30.11.2026</t>
        </is>
      </c>
      <c r="E11517" t="inlineStr">
        <is>
          <t>Australia</t>
        </is>
      </c>
    </row>
    <row r="11518">
      <c r="A11518" t="inlineStr">
        <is>
          <t>Sumika Covestro Urethane,  Niihama, Ehime, Japan</t>
        </is>
      </c>
      <c r="B11518" t="inlineStr">
        <is>
          <t>Trader with Storage, Processing Unit</t>
        </is>
      </c>
      <c r="C11518" t="inlineStr">
        <is>
          <t>DIN CERTCO GmbH, Berlin, DE</t>
        </is>
      </c>
      <c r="D11518" t="inlineStr">
        <is>
          <t>30.11.2026</t>
        </is>
      </c>
      <c r="E11518" t="inlineStr">
        <is>
          <t>Japan</t>
        </is>
      </c>
    </row>
    <row r="11519">
      <c r="A11519" t="inlineStr">
        <is>
          <t>GREENVERSE HOLDING,  KERTIH, Malaysia</t>
        </is>
      </c>
      <c r="B11519" t="inlineStr">
        <is>
          <t>Collecting Point, Trader with Storage, Processing Unit</t>
        </is>
      </c>
      <c r="C11519" t="inlineStr">
        <is>
          <t>Trans Certification and Inspection Sdn Bhd, Kuantan, MY</t>
        </is>
      </c>
      <c r="D11519" t="inlineStr">
        <is>
          <t>30.11.2026</t>
        </is>
      </c>
      <c r="E11519" t="inlineStr">
        <is>
          <t>Malaysia</t>
        </is>
      </c>
    </row>
    <row r="11520">
      <c r="A11520" t="inlineStr">
        <is>
          <t>MST SRL SOCIETA' UNIPERSONALE DI MANGIALARDO SIMONE,  OSIMO (AN), Italy</t>
        </is>
      </c>
      <c r="B11520" t="inlineStr">
        <is>
          <t>Collecting Point, Processing Unit</t>
        </is>
      </c>
      <c r="C11520" t="inlineStr">
        <is>
          <t>RINA Services S.p.A., Genova, IT</t>
        </is>
      </c>
      <c r="D11520" t="inlineStr">
        <is>
          <t>30.11.2026</t>
        </is>
      </c>
      <c r="E11520" t="inlineStr">
        <is>
          <t>Italy</t>
        </is>
      </c>
    </row>
    <row r="11521">
      <c r="A11521" t="inlineStr">
        <is>
          <t>A Grain Eesti,  Tallinn, Estonia</t>
        </is>
      </c>
      <c r="B11521" t="inlineStr">
        <is>
          <t>First Gathering Point, Trader</t>
        </is>
      </c>
      <c r="C11521" t="inlineStr">
        <is>
          <t>BM Certification, Riga, LV</t>
        </is>
      </c>
      <c r="D11521" t="inlineStr">
        <is>
          <t>30.11.2026</t>
        </is>
      </c>
      <c r="E11521" t="inlineStr">
        <is>
          <t>Estonia</t>
        </is>
      </c>
    </row>
    <row r="11522">
      <c r="A11522" t="inlineStr">
        <is>
          <t>Covestro NV,  Antwerpen, Belgium</t>
        </is>
      </c>
      <c r="B11522" t="inlineStr">
        <is>
          <t>Processing Unit, Trader with Storage</t>
        </is>
      </c>
      <c r="C11522" t="inlineStr">
        <is>
          <t>DQS CFS GmbH - Deutsche Gesellschaft für Nachhaltigkeit, Frankfurt am Main, DE</t>
        </is>
      </c>
      <c r="D11522" t="inlineStr">
        <is>
          <t>29.11.2026</t>
        </is>
      </c>
      <c r="E11522" t="inlineStr">
        <is>
          <t>Belgium</t>
        </is>
      </c>
    </row>
    <row r="11523">
      <c r="A11523" t="inlineStr">
        <is>
          <t>Albis Plastique France,  GIF-SUR-YVETTE CEDEX, France</t>
        </is>
      </c>
      <c r="B11523" t="inlineStr">
        <is>
          <t>Trader with Storage</t>
        </is>
      </c>
      <c r="C11523" t="inlineStr">
        <is>
          <t>DQS CFS GmbH - Deutsche Gesellschaft für Nachhaltigkeit, Frankfurt am Main, DE</t>
        </is>
      </c>
      <c r="D11523" t="inlineStr">
        <is>
          <t>29.11.2026</t>
        </is>
      </c>
      <c r="E11523" t="inlineStr">
        <is>
          <t>France</t>
        </is>
      </c>
    </row>
    <row r="11524">
      <c r="A11524" t="inlineStr">
        <is>
          <t>Kim Dai Trading Company Limited,  Ho Chi Minh, Vietnam</t>
        </is>
      </c>
      <c r="B11524" t="inlineStr">
        <is>
          <t>Collecting Point</t>
        </is>
      </c>
      <c r="C11524" t="inlineStr">
        <is>
          <t>PT. Qualitas Sertifikasi Indonesia, Jakarta, ID</t>
        </is>
      </c>
      <c r="D11524" t="inlineStr">
        <is>
          <t>29.11.2026</t>
        </is>
      </c>
      <c r="E11524" t="inlineStr">
        <is>
          <t>Vietnam</t>
        </is>
      </c>
    </row>
    <row r="11525">
      <c r="A11525" t="inlineStr">
        <is>
          <t>Kim Dai Trading Company Limited,  Ho Chi Minh, Vietnam</t>
        </is>
      </c>
      <c r="B11525" t="inlineStr">
        <is>
          <t>Collecting Point</t>
        </is>
      </c>
      <c r="C11525" t="inlineStr">
        <is>
          <t>PT. Qualitas Sertifikasi Indonesia, Jakarta, ID</t>
        </is>
      </c>
      <c r="D11525" t="inlineStr">
        <is>
          <t>29.11.2026</t>
        </is>
      </c>
      <c r="E11525" t="inlineStr">
        <is>
          <t>Vietnam</t>
        </is>
      </c>
    </row>
    <row r="11526">
      <c r="A11526" t="inlineStr">
        <is>
          <t>Perstorp (Shanghai) Chemical Trading Co., Ltd,  Shanghai, China</t>
        </is>
      </c>
      <c r="B11526" t="inlineStr">
        <is>
          <t>Trader with Storage</t>
        </is>
      </c>
      <c r="C11526" t="inlineStr">
        <is>
          <t>SGS Germany GmbH, Emstek, DE</t>
        </is>
      </c>
      <c r="D11526" t="inlineStr">
        <is>
          <t>29.11.2026</t>
        </is>
      </c>
      <c r="E11526" t="inlineStr">
        <is>
          <t>China</t>
        </is>
      </c>
    </row>
    <row r="11527">
      <c r="A11527" t="inlineStr">
        <is>
          <t>LITASCO Benelux B.V.,  Rotterdam, Netherlands</t>
        </is>
      </c>
      <c r="B11527" t="inlineStr">
        <is>
          <t>Trader with Storage</t>
        </is>
      </c>
      <c r="C11527" t="inlineStr">
        <is>
          <t>SGS Germany GmbH, Emstek, DE</t>
        </is>
      </c>
      <c r="D11527" t="inlineStr">
        <is>
          <t>29.11.2026</t>
        </is>
      </c>
      <c r="E11527" t="inlineStr">
        <is>
          <t>Netherlands</t>
        </is>
      </c>
    </row>
    <row r="11528">
      <c r="A11528" t="inlineStr">
        <is>
          <t>KISCO LTD.,  Chuo-ku, Tokyo, Japan</t>
        </is>
      </c>
      <c r="B11528" t="inlineStr">
        <is>
          <t>Trader with Storage</t>
        </is>
      </c>
      <c r="C11528" t="inlineStr">
        <is>
          <t>SGS Germany GmbH, Emstek, DE</t>
        </is>
      </c>
      <c r="D11528" t="inlineStr">
        <is>
          <t>29.11.2026</t>
        </is>
      </c>
      <c r="E11528" t="inlineStr">
        <is>
          <t>Japan</t>
        </is>
      </c>
    </row>
    <row r="11529">
      <c r="A11529" t="inlineStr">
        <is>
          <t>CUINTEC TELECO,  MADRID, Spain</t>
        </is>
      </c>
      <c r="B11529" t="inlineStr">
        <is>
          <t>Collecting Point, Trader with Storage, Processing Unit, Point of Origin</t>
        </is>
      </c>
      <c r="C11529" t="inlineStr">
        <is>
          <t>RINA Services S.p.A., Genova, IT</t>
        </is>
      </c>
      <c r="D11529" t="inlineStr">
        <is>
          <t>29.11.2026</t>
        </is>
      </c>
      <c r="E11529" t="inlineStr">
        <is>
          <t>Spain</t>
        </is>
      </c>
    </row>
    <row r="11530">
      <c r="A11530" t="inlineStr">
        <is>
          <t>ENERGY DISTRIBUTION a.s.,  Moldava nad Bodvou, Slovakia</t>
        </is>
      </c>
      <c r="B11530" t="inlineStr">
        <is>
          <t>Collecting Point, First Gathering Point, Processing Unit, Trader with Storage</t>
        </is>
      </c>
      <c r="C11530" t="inlineStr">
        <is>
          <t>United Registrar of Systems Polska Sp. z o.o., Wrocław, PL</t>
        </is>
      </c>
      <c r="D11530" t="inlineStr">
        <is>
          <t>29.11.2026</t>
        </is>
      </c>
      <c r="E11530" t="inlineStr">
        <is>
          <t>Slovakia</t>
        </is>
      </c>
    </row>
    <row r="11531">
      <c r="A11531" t="inlineStr">
        <is>
          <t>BPS Wero 26 s.r.o.,  Šintava, Slovakia</t>
        </is>
      </c>
      <c r="B11531" t="inlineStr">
        <is>
          <t>Collecting Point, First Gathering Point, Processing Unit</t>
        </is>
      </c>
      <c r="C11531" t="inlineStr">
        <is>
          <t>United Registrar of Systems Polska Sp. z o.o., Wrocław, PL</t>
        </is>
      </c>
      <c r="D11531" t="inlineStr">
        <is>
          <t>29.11.2026</t>
        </is>
      </c>
      <c r="E11531" t="inlineStr">
        <is>
          <t>Slovakia</t>
        </is>
      </c>
    </row>
    <row r="11532">
      <c r="A11532" t="inlineStr">
        <is>
          <t>Wero 27 s.r.o.,  Sládkovičovo, Slovakia</t>
        </is>
      </c>
      <c r="B11532" t="inlineStr">
        <is>
          <t>Collecting Point, First Gathering Point, Processing Unit</t>
        </is>
      </c>
      <c r="C11532" t="inlineStr">
        <is>
          <t>United Registrar of Systems Polska Sp. z o.o., Wrocław, PL</t>
        </is>
      </c>
      <c r="D11532" t="inlineStr">
        <is>
          <t>29.11.2026</t>
        </is>
      </c>
      <c r="E11532" t="inlineStr">
        <is>
          <t>Slovakia</t>
        </is>
      </c>
    </row>
    <row r="11533">
      <c r="A11533" t="inlineStr">
        <is>
          <t>Silver Mine s.r.o.,  Kvašov, Slovakia</t>
        </is>
      </c>
      <c r="B11533" t="inlineStr">
        <is>
          <t>Collecting Point</t>
        </is>
      </c>
      <c r="C11533" t="inlineStr">
        <is>
          <t>United Registrar of Systems Polska Sp. z o.o., Wrocław, PL</t>
        </is>
      </c>
      <c r="D11533" t="inlineStr">
        <is>
          <t>29.11.2026</t>
        </is>
      </c>
      <c r="E11533" t="inlineStr">
        <is>
          <t>Slovakia</t>
        </is>
      </c>
    </row>
    <row r="11534">
      <c r="A11534" t="inlineStr">
        <is>
          <t>Olearia Clemente S.r.l.,  Manfredonia, Foggia, Italy</t>
        </is>
      </c>
      <c r="B11534" t="inlineStr">
        <is>
          <t>First Gathering Point, Trader with Storage, Processing Unit</t>
        </is>
      </c>
      <c r="C11534" t="inlineStr">
        <is>
          <t>DNV Business Assurance Sweden AB, Solna, SE</t>
        </is>
      </c>
      <c r="D11534" t="inlineStr">
        <is>
          <t>29.11.2026</t>
        </is>
      </c>
      <c r="E11534" t="inlineStr">
        <is>
          <t>Italy</t>
        </is>
      </c>
    </row>
    <row r="11535">
      <c r="A11535" t="inlineStr">
        <is>
          <t>DLH Fuel Company,  Hamburg, Germany</t>
        </is>
      </c>
      <c r="B11535" t="inlineStr">
        <is>
          <t>Proof of Compliance Trader, Trader with Storage</t>
        </is>
      </c>
      <c r="C11535" t="inlineStr">
        <is>
          <t>Control Union Certifications Germany GmbH, Berlin, DE</t>
        </is>
      </c>
      <c r="D11535" t="inlineStr">
        <is>
          <t>29.11.2026</t>
        </is>
      </c>
      <c r="E11535" t="inlineStr">
        <is>
          <t>Germany</t>
        </is>
      </c>
    </row>
    <row r="11536">
      <c r="A11536" t="inlineStr">
        <is>
          <t>Inchdairnie Renewable Energy,  Kinglassie Road, Glenrothes, United Kingdom</t>
        </is>
      </c>
      <c r="B11536" t="inlineStr">
        <is>
          <t>First Gathering Point, Processing Unit</t>
        </is>
      </c>
      <c r="C11536" t="inlineStr">
        <is>
          <t>Aardvark Certification Ltd, Wiveliscombe, Somerset, GB</t>
        </is>
      </c>
      <c r="D11536" t="inlineStr">
        <is>
          <t>29.11.2026</t>
        </is>
      </c>
      <c r="E11536" t="inlineStr">
        <is>
          <t>United Kingdom</t>
        </is>
      </c>
    </row>
    <row r="11537">
      <c r="A11537" t="inlineStr">
        <is>
          <t>Stracathro Renewable Energy,  Laurencekirk, United Kingdom</t>
        </is>
      </c>
      <c r="B11537" t="inlineStr">
        <is>
          <t>First Gathering Point, Processing Unit</t>
        </is>
      </c>
      <c r="C11537" t="inlineStr">
        <is>
          <t>Aardvark Certification Ltd, Wiveliscombe, Somerset, GB</t>
        </is>
      </c>
      <c r="D11537" t="inlineStr">
        <is>
          <t>29.11.2026</t>
        </is>
      </c>
      <c r="E11537" t="inlineStr">
        <is>
          <t>United Kingdom</t>
        </is>
      </c>
    </row>
    <row r="11538">
      <c r="A11538" t="inlineStr">
        <is>
          <t>Savock Renewable Energy,  Ellon, United Kingdom</t>
        </is>
      </c>
      <c r="B11538" t="inlineStr">
        <is>
          <t>Processing Unit</t>
        </is>
      </c>
      <c r="C11538" t="inlineStr">
        <is>
          <t>Aardvark Certification Ltd, Wiveliscombe, Somerset, GB</t>
        </is>
      </c>
      <c r="D11538" t="inlineStr">
        <is>
          <t>29.11.2026</t>
        </is>
      </c>
      <c r="E11538" t="inlineStr">
        <is>
          <t>United Kingdom</t>
        </is>
      </c>
    </row>
    <row r="11539">
      <c r="A11539" t="inlineStr">
        <is>
          <t>CLARUS Films GmbH,  Dietzenbach, Germany</t>
        </is>
      </c>
      <c r="B11539" t="inlineStr">
        <is>
          <t>Final Product Refinement, Trader with Storage</t>
        </is>
      </c>
      <c r="C11539" t="inlineStr">
        <is>
          <t>ASG Cert GmbH, Munich, DE</t>
        </is>
      </c>
      <c r="D11539" t="inlineStr">
        <is>
          <t>29.11.2026</t>
        </is>
      </c>
      <c r="E11539" t="inlineStr">
        <is>
          <t>Germany</t>
        </is>
      </c>
    </row>
    <row r="11540">
      <c r="A11540" t="inlineStr">
        <is>
          <t>Cargill France,  Saint Nazaire, France</t>
        </is>
      </c>
      <c r="B11540" t="inlineStr">
        <is>
          <t>Point of Origin, Processing Unit</t>
        </is>
      </c>
      <c r="C11540" t="inlineStr">
        <is>
          <t>Control Union Certifications Germany GmbH, Berlin, DE</t>
        </is>
      </c>
      <c r="D11540" t="inlineStr">
        <is>
          <t>29.11.2026</t>
        </is>
      </c>
      <c r="E11540" t="inlineStr">
        <is>
          <t>France</t>
        </is>
      </c>
    </row>
    <row r="11541">
      <c r="A11541" t="inlineStr">
        <is>
          <t>Cargill France,  Saint Nazaire, France</t>
        </is>
      </c>
      <c r="B11541" t="inlineStr">
        <is>
          <t>Processing Unit</t>
        </is>
      </c>
      <c r="C11541" t="inlineStr">
        <is>
          <t>Control Union Certifications Germany GmbH, Berlin, DE</t>
        </is>
      </c>
      <c r="D11541" t="inlineStr">
        <is>
          <t>29.11.2026</t>
        </is>
      </c>
      <c r="E11541" t="inlineStr">
        <is>
          <t>France</t>
        </is>
      </c>
    </row>
    <row r="11542">
      <c r="A11542" t="inlineStr">
        <is>
          <t>TRACOVAL,  Saint-Pol-Sur-Ternoise, France</t>
        </is>
      </c>
      <c r="B11542" t="inlineStr">
        <is>
          <t>Point of Origin</t>
        </is>
      </c>
      <c r="C11542" t="inlineStr">
        <is>
          <t>Control Union Certifications Germany GmbH, Berlin, DE</t>
        </is>
      </c>
      <c r="D11542" t="inlineStr">
        <is>
          <t>29.11.2026</t>
        </is>
      </c>
      <c r="E11542" t="inlineStr">
        <is>
          <t>France</t>
        </is>
      </c>
    </row>
    <row r="11543">
      <c r="A11543" t="inlineStr">
        <is>
          <t>Motta Energia,  Schiavon, loc. Campogallo, Italy</t>
        </is>
      </c>
      <c r="B11543" t="inlineStr">
        <is>
          <t>Processing Unit, Collecting Point</t>
        </is>
      </c>
      <c r="C11543" t="inlineStr">
        <is>
          <t>agroVet GmbH, Enzersfeld, AT</t>
        </is>
      </c>
      <c r="D11543" t="inlineStr">
        <is>
          <t>29.11.2026</t>
        </is>
      </c>
      <c r="E11543" t="inlineStr">
        <is>
          <t>Italy</t>
        </is>
      </c>
    </row>
    <row r="11544">
      <c r="A11544" t="inlineStr">
        <is>
          <t>Fletcher International Exports,  Dubbo, Australia</t>
        </is>
      </c>
      <c r="B11544" t="inlineStr">
        <is>
          <t>Trader with Storage</t>
        </is>
      </c>
      <c r="C11544" t="inlineStr">
        <is>
          <t>Control Union Certifications Germany GmbH, Berlin, DE</t>
        </is>
      </c>
      <c r="D11544" t="inlineStr">
        <is>
          <t>29.11.2026</t>
        </is>
      </c>
      <c r="E11544" t="inlineStr">
        <is>
          <t>Australia</t>
        </is>
      </c>
    </row>
    <row r="11545">
      <c r="A11545" t="inlineStr">
        <is>
          <t>OGLIARI,  Trescore Cremasco, Italy</t>
        </is>
      </c>
      <c r="B11545" t="inlineStr">
        <is>
          <t>Processing Unit</t>
        </is>
      </c>
      <c r="C11545" t="inlineStr">
        <is>
          <t>IIP S.r.l., Monza, IT</t>
        </is>
      </c>
      <c r="D11545" t="inlineStr">
        <is>
          <t>29.11.2026</t>
        </is>
      </c>
      <c r="E11545" t="inlineStr">
        <is>
          <t>Italy</t>
        </is>
      </c>
    </row>
    <row r="11546">
      <c r="A11546" t="inlineStr">
        <is>
          <t>Covestro Deutschland AG,  Krefeld-Uerdingen, Germany</t>
        </is>
      </c>
      <c r="B11546" t="inlineStr">
        <is>
          <t>Processing Unit, Trader with Storage</t>
        </is>
      </c>
      <c r="C11546" t="inlineStr">
        <is>
          <t>DQS CFS GmbH - Deutsche Gesellschaft für Nachhaltigkeit, Frankfurt am Main, DE</t>
        </is>
      </c>
      <c r="D11546" t="inlineStr">
        <is>
          <t>29.11.2026</t>
        </is>
      </c>
      <c r="E11546" t="inlineStr">
        <is>
          <t>Germany</t>
        </is>
      </c>
    </row>
    <row r="11547">
      <c r="A11547" t="inlineStr">
        <is>
          <t>Inter-Continental Oils &amp; Fats Pte Ltd,  Singapore, Singapore</t>
        </is>
      </c>
      <c r="B11547" t="inlineStr">
        <is>
          <t>Trader</t>
        </is>
      </c>
      <c r="C11547" t="inlineStr">
        <is>
          <t>Control Union Certifications Germany GmbH, Berlin, DE</t>
        </is>
      </c>
      <c r="D11547" t="inlineStr">
        <is>
          <t>29.11.2026</t>
        </is>
      </c>
      <c r="E11547" t="inlineStr">
        <is>
          <t>Singapore</t>
        </is>
      </c>
    </row>
    <row r="11548">
      <c r="A11548" t="inlineStr">
        <is>
          <t>Sumber Adinusa Lestari,  Lamandau, Indonesia</t>
        </is>
      </c>
      <c r="B11548" t="inlineStr">
        <is>
          <t>Point of Origin</t>
        </is>
      </c>
      <c r="C11548" t="inlineStr">
        <is>
          <t>PT. CBQA GLOBAL INDONESIA, JAKARTA SELATAN, ID</t>
        </is>
      </c>
      <c r="D11548" t="inlineStr">
        <is>
          <t>29.11.2026</t>
        </is>
      </c>
      <c r="E11548" t="inlineStr">
        <is>
          <t>Indonesia</t>
        </is>
      </c>
    </row>
    <row r="11549">
      <c r="A11549" t="inlineStr">
        <is>
          <t>Hanau Panenraya Sejahtera,  Seruyan, Indonesia</t>
        </is>
      </c>
      <c r="B11549" t="inlineStr">
        <is>
          <t>Point of Origin</t>
        </is>
      </c>
      <c r="C11549" t="inlineStr">
        <is>
          <t>PT. CBQA GLOBAL INDONESIA, JAKARTA SELATAN, ID</t>
        </is>
      </c>
      <c r="D11549" t="inlineStr">
        <is>
          <t>29.11.2026</t>
        </is>
      </c>
      <c r="E11549" t="inlineStr">
        <is>
          <t>Indonesia</t>
        </is>
      </c>
    </row>
    <row r="11550">
      <c r="A11550" t="inlineStr">
        <is>
          <t>PTT Global Chemical Public Company Limited,  Mueang Rayong, Thailand</t>
        </is>
      </c>
      <c r="B11550" t="inlineStr">
        <is>
          <t>Processing Unit</t>
        </is>
      </c>
      <c r="C11550" t="inlineStr">
        <is>
          <t>Control Union Poland Sp. z o.o., Zielona Gora, PL</t>
        </is>
      </c>
      <c r="D11550" t="inlineStr">
        <is>
          <t>29.11.2026</t>
        </is>
      </c>
      <c r="E11550" t="inlineStr">
        <is>
          <t>Thailand</t>
        </is>
      </c>
    </row>
    <row r="11551">
      <c r="A11551" t="inlineStr">
        <is>
          <t>CARGILL FRANCE,  Nantes, France</t>
        </is>
      </c>
      <c r="B11551" t="inlineStr">
        <is>
          <t>Trader</t>
        </is>
      </c>
      <c r="C11551" t="inlineStr">
        <is>
          <t>Control Union Certifications Germany GmbH, Berlin, DE</t>
        </is>
      </c>
      <c r="D11551" t="inlineStr">
        <is>
          <t>29.11.2026</t>
        </is>
      </c>
      <c r="E11551" t="inlineStr">
        <is>
          <t>France</t>
        </is>
      </c>
    </row>
    <row r="11552">
      <c r="A11552" t="inlineStr">
        <is>
          <t>PTT Global Chemical Public Company Limited,  Mueang Rayong, Thailand</t>
        </is>
      </c>
      <c r="B11552" t="inlineStr">
        <is>
          <t>Processing Unit</t>
        </is>
      </c>
      <c r="C11552" t="inlineStr">
        <is>
          <t>Control Union Poland Sp. z o.o., Zielona Gora, PL</t>
        </is>
      </c>
      <c r="D11552" t="inlineStr">
        <is>
          <t>29.11.2026</t>
        </is>
      </c>
      <c r="E11552" t="inlineStr">
        <is>
          <t>Thailand</t>
        </is>
      </c>
    </row>
    <row r="11553">
      <c r="A11553" t="inlineStr">
        <is>
          <t>Panca Mitra Katingan,  Katingan, Indonesia</t>
        </is>
      </c>
      <c r="B11553" t="inlineStr">
        <is>
          <t>Point of Origin</t>
        </is>
      </c>
      <c r="C11553" t="inlineStr">
        <is>
          <t>PT. CBQA GLOBAL INDONESIA, JAKARTA SELATAN, ID</t>
        </is>
      </c>
      <c r="D11553" t="inlineStr">
        <is>
          <t>29.11.2026</t>
        </is>
      </c>
      <c r="E11553" t="inlineStr">
        <is>
          <t>Indonesia</t>
        </is>
      </c>
    </row>
    <row r="11554">
      <c r="A11554" t="inlineStr">
        <is>
          <t>SIG Combibloc do Brasil Ltda,  Curitiba, Campo Largo, Brazil</t>
        </is>
      </c>
      <c r="B11554" t="inlineStr">
        <is>
          <t>Processing Unit, Trader with Storage</t>
        </is>
      </c>
      <c r="C11554" t="inlineStr">
        <is>
          <t>PT Intertek Utama Services, Jakarta, ID</t>
        </is>
      </c>
      <c r="D11554" t="inlineStr">
        <is>
          <t>29.11.2026</t>
        </is>
      </c>
      <c r="E11554" t="inlineStr">
        <is>
          <t>Brazil</t>
        </is>
      </c>
    </row>
    <row r="11555">
      <c r="A11555" t="inlineStr">
        <is>
          <t>Anqing Jinling Environmental Protection Technology Co. Ltd.,  Anqing City, Anhui Province, China</t>
        </is>
      </c>
      <c r="B11555" t="inlineStr">
        <is>
          <t>Collecting Point, Trader with Storage</t>
        </is>
      </c>
      <c r="C11555" t="inlineStr">
        <is>
          <t>SCS Global Services, Emeryville, CA, US</t>
        </is>
      </c>
      <c r="D11555" t="inlineStr">
        <is>
          <t>29.11.2026</t>
        </is>
      </c>
      <c r="E11555" t="inlineStr">
        <is>
          <t>China</t>
        </is>
      </c>
    </row>
    <row r="11556">
      <c r="A11556" t="inlineStr">
        <is>
          <t>PTT Global Chemical Public Company Limited,  Mueang Rayong, Thailand</t>
        </is>
      </c>
      <c r="B11556" t="inlineStr">
        <is>
          <t>Processing Unit, Warehouse</t>
        </is>
      </c>
      <c r="C11556" t="inlineStr">
        <is>
          <t>Control Union Poland Sp. z o.o., Zielona Gora, PL</t>
        </is>
      </c>
      <c r="D11556" t="inlineStr">
        <is>
          <t>29.11.2026</t>
        </is>
      </c>
      <c r="E11556" t="inlineStr">
        <is>
          <t>Thailand</t>
        </is>
      </c>
    </row>
    <row r="11557">
      <c r="A11557" t="inlineStr">
        <is>
          <t>Shantou Chantai Chemical Co.,Ltd,  Shantou City, Guangdong Province, China</t>
        </is>
      </c>
      <c r="B11557" t="inlineStr">
        <is>
          <t>Trader</t>
        </is>
      </c>
      <c r="C11557" t="inlineStr">
        <is>
          <t>SCS Global Services, Emeryville, CA, US</t>
        </is>
      </c>
      <c r="D11557" t="inlineStr">
        <is>
          <t>29.11.2026</t>
        </is>
      </c>
      <c r="E11557" t="inlineStr">
        <is>
          <t>China</t>
        </is>
      </c>
    </row>
    <row r="11558">
      <c r="A11558" t="inlineStr">
        <is>
          <t>Adesso Bioproducts AS,  Gamle Fredrikstad, Norway</t>
        </is>
      </c>
      <c r="B11558" t="inlineStr">
        <is>
          <t>Point of Origin, Processing Unit, Trader with Storage</t>
        </is>
      </c>
      <c r="C11558" t="inlineStr">
        <is>
          <t>ASG Cert GmbH, Munich, DE</t>
        </is>
      </c>
      <c r="D11558" t="inlineStr">
        <is>
          <t>29.11.2026</t>
        </is>
      </c>
      <c r="E11558" t="inlineStr">
        <is>
          <t>Norway</t>
        </is>
      </c>
    </row>
    <row r="11559">
      <c r="A11559" t="inlineStr">
        <is>
          <t>Slurink,  Dordrecht, Netherlands</t>
        </is>
      </c>
      <c r="B11559" t="inlineStr">
        <is>
          <t>Trader with Storage</t>
        </is>
      </c>
      <c r="C11559" t="inlineStr">
        <is>
          <t>Control Union Certifications Germany GmbH, Berlin, DE</t>
        </is>
      </c>
      <c r="D11559" t="inlineStr">
        <is>
          <t>29.11.2026</t>
        </is>
      </c>
      <c r="E11559" t="inlineStr">
        <is>
          <t>Netherlands</t>
        </is>
      </c>
    </row>
    <row r="11560">
      <c r="A11560" t="inlineStr">
        <is>
          <t>ZZN Pelhřimov a. s.,  Pelhřimov, Czech Republic</t>
        </is>
      </c>
      <c r="B11560" t="inlineStr">
        <is>
          <t>First Gathering Point, Trader with Storage, Logistics Center</t>
        </is>
      </c>
      <c r="C11560" t="inlineStr">
        <is>
          <t>PT Intertek Utama Services, Jakarta, ID</t>
        </is>
      </c>
      <c r="D11560" t="inlineStr">
        <is>
          <t>29.11.2026</t>
        </is>
      </c>
      <c r="E11560" t="inlineStr">
        <is>
          <t>Czech Republic</t>
        </is>
      </c>
    </row>
    <row r="11561">
      <c r="A11561" t="inlineStr">
        <is>
          <t>Arte Bunkering,  Hamburg, Germany</t>
        </is>
      </c>
      <c r="B11561" t="inlineStr">
        <is>
          <t>Proof of Compliance Trader, Trader</t>
        </is>
      </c>
      <c r="C11561" t="inlineStr">
        <is>
          <t>Global-Creative-Energy GmbH, Berlin, DE</t>
        </is>
      </c>
      <c r="D11561" t="inlineStr">
        <is>
          <t>28.11.2026</t>
        </is>
      </c>
      <c r="E11561" t="inlineStr">
        <is>
          <t>Germany</t>
        </is>
      </c>
    </row>
    <row r="11562">
      <c r="A11562" t="inlineStr">
        <is>
          <t>China National Aviation Fuel International Holdings South China Ltd.,  Guangzhou City, Guangdong Province, China</t>
        </is>
      </c>
      <c r="B11562" t="inlineStr">
        <is>
          <t>Trader</t>
        </is>
      </c>
      <c r="C11562" t="inlineStr">
        <is>
          <t>SCS Global Services, Emeryville, CA, US</t>
        </is>
      </c>
      <c r="D11562" t="inlineStr">
        <is>
          <t>28.11.2026</t>
        </is>
      </c>
      <c r="E11562" t="inlineStr">
        <is>
          <t>China</t>
        </is>
      </c>
    </row>
    <row r="11563">
      <c r="A11563" t="inlineStr">
        <is>
          <t>Ecofuel Spa,  San Donato Milanese, Italy</t>
        </is>
      </c>
      <c r="B11563" t="inlineStr">
        <is>
          <t>ETBE plant, MTBE plant, Trader with Storage</t>
        </is>
      </c>
      <c r="C11563" t="inlineStr">
        <is>
          <t>RINA Services S.p.A., Genova, IT</t>
        </is>
      </c>
      <c r="D11563" t="inlineStr">
        <is>
          <t>28.11.2026</t>
        </is>
      </c>
      <c r="E11563" t="inlineStr">
        <is>
          <t>Italy</t>
        </is>
      </c>
    </row>
    <row r="11564">
      <c r="A11564" t="inlineStr">
        <is>
          <t>Eni S.p.A,  San Donato Milanese (MI), Italy</t>
        </is>
      </c>
      <c r="B11564" t="inlineStr">
        <is>
          <t>Trader</t>
        </is>
      </c>
      <c r="C11564" t="inlineStr">
        <is>
          <t>Bureau Veritas Polska Sp. z o.o., Warsaw, PL</t>
        </is>
      </c>
      <c r="D11564" t="inlineStr">
        <is>
          <t>28.11.2026</t>
        </is>
      </c>
      <c r="E11564" t="inlineStr">
        <is>
          <t>Italy</t>
        </is>
      </c>
    </row>
    <row r="11565">
      <c r="A11565" t="inlineStr">
        <is>
          <t>Soloil Italia,  Casoria, Italy</t>
        </is>
      </c>
      <c r="B11565" t="inlineStr">
        <is>
          <t>Collecting Point, Processing Unit</t>
        </is>
      </c>
      <c r="C11565" t="inlineStr">
        <is>
          <t>SGS Germany GmbH, Emstek, DE</t>
        </is>
      </c>
      <c r="D11565" t="inlineStr">
        <is>
          <t>28.11.2026</t>
        </is>
      </c>
      <c r="E11565" t="inlineStr">
        <is>
          <t>Italy</t>
        </is>
      </c>
    </row>
    <row r="11566">
      <c r="A11566" t="inlineStr">
        <is>
          <t>Imlitex Grūdai, UAB,  Kaunas, Lithuania</t>
        </is>
      </c>
      <c r="B11566" t="inlineStr">
        <is>
          <t>First Gathering Point, Trader with Storage</t>
        </is>
      </c>
      <c r="C11566" t="inlineStr">
        <is>
          <t>RINA Services S.p.A., Genova, IT</t>
        </is>
      </c>
      <c r="D11566" t="inlineStr">
        <is>
          <t>28.11.2026</t>
        </is>
      </c>
      <c r="E11566" t="inlineStr">
        <is>
          <t>Lithuania</t>
        </is>
      </c>
    </row>
    <row r="11567">
      <c r="A11567" t="inlineStr">
        <is>
          <t>ISAB S.R.L,  PRIOLO GARGALLO (SIRACUSA), Italy</t>
        </is>
      </c>
      <c r="B11567" t="inlineStr">
        <is>
          <t>Processing Unit</t>
        </is>
      </c>
      <c r="C11567" t="inlineStr">
        <is>
          <t>SGS Germany GmbH, Emstek, DE</t>
        </is>
      </c>
      <c r="D11567" t="inlineStr">
        <is>
          <t>28.11.2026</t>
        </is>
      </c>
      <c r="E11567" t="inlineStr">
        <is>
          <t>Italy</t>
        </is>
      </c>
    </row>
    <row r="11568">
      <c r="A11568" t="inlineStr">
        <is>
          <t>PANTALEO AGRICOLTURA SOC. AGRICOLA SRL,  SPEZIALE DI FASANO, Italy</t>
        </is>
      </c>
      <c r="B11568" t="inlineStr">
        <is>
          <t>Farm / Plantation, Processing Unit</t>
        </is>
      </c>
      <c r="C11568" t="inlineStr">
        <is>
          <t>DNV Business Assurance Sweden AB, Solna, SE</t>
        </is>
      </c>
      <c r="D11568" t="inlineStr">
        <is>
          <t>28.11.2026</t>
        </is>
      </c>
      <c r="E11568" t="inlineStr">
        <is>
          <t>Italy</t>
        </is>
      </c>
    </row>
    <row r="11569">
      <c r="A11569" t="inlineStr">
        <is>
          <t>Korozo Ambalaj San. Tic. A.Ş.,  ERGENE TEKİRDAĞ, Turkey</t>
        </is>
      </c>
      <c r="B11569" t="inlineStr">
        <is>
          <t>Processing Unit</t>
        </is>
      </c>
      <c r="C11569" t="inlineStr">
        <is>
          <t>RINA Services S.p.A., Genova, IT</t>
        </is>
      </c>
      <c r="D11569" t="inlineStr">
        <is>
          <t>28.11.2026</t>
        </is>
      </c>
      <c r="E11569" t="inlineStr">
        <is>
          <t>Turkey</t>
        </is>
      </c>
    </row>
    <row r="11570">
      <c r="A11570" t="inlineStr">
        <is>
          <t>LABLABO,  Groissiat, France</t>
        </is>
      </c>
      <c r="B11570" t="inlineStr">
        <is>
          <t>Final Product Refinement, Processing Unit</t>
        </is>
      </c>
      <c r="C11570" t="inlineStr">
        <is>
          <t>Bureau Veritas Polska Sp. z o.o., Warsaw, PL</t>
        </is>
      </c>
      <c r="D11570" t="inlineStr">
        <is>
          <t>28.11.2026</t>
        </is>
      </c>
      <c r="E11570" t="inlineStr">
        <is>
          <t>France</t>
        </is>
      </c>
    </row>
    <row r="11571">
      <c r="A11571" t="inlineStr">
        <is>
          <t>Novassu,  Molinges, France</t>
        </is>
      </c>
      <c r="B11571" t="inlineStr">
        <is>
          <t>Final Product Refinement, Processing Unit</t>
        </is>
      </c>
      <c r="C11571" t="inlineStr">
        <is>
          <t>Bureau Veritas Polska Sp. z o.o., Warsaw, PL</t>
        </is>
      </c>
      <c r="D11571" t="inlineStr">
        <is>
          <t>28.11.2026</t>
        </is>
      </c>
      <c r="E11571" t="inlineStr">
        <is>
          <t>France</t>
        </is>
      </c>
    </row>
    <row r="11572">
      <c r="A11572" t="inlineStr">
        <is>
          <t>Ningbo Sayeah Tools Co., Ltd.,  Ningbo City, China</t>
        </is>
      </c>
      <c r="B11572" t="inlineStr">
        <is>
          <t>Final Product Refinement</t>
        </is>
      </c>
      <c r="C11572" t="inlineStr">
        <is>
          <t>DQS CFS GmbH - Deutsche Gesellschaft für Nachhaltigkeit, Frankfurt am Main, DE</t>
        </is>
      </c>
      <c r="D11572" t="inlineStr">
        <is>
          <t>28.11.2026</t>
        </is>
      </c>
      <c r="E11572" t="inlineStr">
        <is>
          <t>China</t>
        </is>
      </c>
    </row>
    <row r="11573">
      <c r="A11573" t="inlineStr">
        <is>
          <t>Sociedade de Destilação da Longra,  Beselga Tomar, Portugal</t>
        </is>
      </c>
      <c r="B11573" t="inlineStr">
        <is>
          <t>Collecting Point, Processing Unit</t>
        </is>
      </c>
      <c r="C11573" t="inlineStr">
        <is>
          <t>United Registrar of Systems Polska Sp. z o.o., Wrocław, PL</t>
        </is>
      </c>
      <c r="D11573" t="inlineStr">
        <is>
          <t>28.11.2026</t>
        </is>
      </c>
      <c r="E11573" t="inlineStr">
        <is>
          <t>Portugal</t>
        </is>
      </c>
    </row>
    <row r="11574">
      <c r="A11574" t="inlineStr">
        <is>
          <t>São Martinho S/A - Usina Boa Vista,  Quirinópolis, Brazil</t>
        </is>
      </c>
      <c r="B11574" t="inlineStr">
        <is>
          <t>Point of Origin</t>
        </is>
      </c>
      <c r="C11574" t="inlineStr">
        <is>
          <t>SCS Global Services, Emeryville, CA, US</t>
        </is>
      </c>
      <c r="D11574" t="inlineStr">
        <is>
          <t>28.11.2026</t>
        </is>
      </c>
      <c r="E11574" t="inlineStr">
        <is>
          <t>Brazil</t>
        </is>
      </c>
    </row>
    <row r="11575">
      <c r="A11575" t="inlineStr">
        <is>
          <t>São Martinho S/A - Usina Boa Vista,  Quirinópolis, Brazil</t>
        </is>
      </c>
      <c r="B11575" t="inlineStr">
        <is>
          <t>Point of Origin</t>
        </is>
      </c>
      <c r="C11575" t="inlineStr">
        <is>
          <t>SCS Global Services, Emeryville, CA, US</t>
        </is>
      </c>
      <c r="D11575" t="inlineStr">
        <is>
          <t>28.11.2026</t>
        </is>
      </c>
      <c r="E11575" t="inlineStr">
        <is>
          <t>Brazil</t>
        </is>
      </c>
    </row>
    <row r="11576">
      <c r="A11576" t="inlineStr">
        <is>
          <t>Marius Pedersen A/S,  Århus N, Denmark</t>
        </is>
      </c>
      <c r="B11576" t="inlineStr">
        <is>
          <t>Collecting Point, Processing Unit</t>
        </is>
      </c>
      <c r="C11576" t="inlineStr">
        <is>
          <t>DNV Business Assurance Sweden AB, Solna, SE</t>
        </is>
      </c>
      <c r="D11576" t="inlineStr">
        <is>
          <t>28.11.2026</t>
        </is>
      </c>
      <c r="E11576" t="inlineStr">
        <is>
          <t>Denmark</t>
        </is>
      </c>
    </row>
    <row r="11577">
      <c r="A11577" t="inlineStr">
        <is>
          <t>Marius Pedersen A/S,  Ferritslev, Denmark</t>
        </is>
      </c>
      <c r="B11577" t="inlineStr">
        <is>
          <t>Collecting Point</t>
        </is>
      </c>
      <c r="C11577" t="inlineStr">
        <is>
          <t>DNV Business Assurance Sweden AB, Solna, SE</t>
        </is>
      </c>
      <c r="D11577" t="inlineStr">
        <is>
          <t>28.11.2026</t>
        </is>
      </c>
      <c r="E11577" t="inlineStr">
        <is>
          <t>Denmark</t>
        </is>
      </c>
    </row>
    <row r="11578">
      <c r="A11578" t="inlineStr">
        <is>
          <t>Rompetrol Rafinare SA,  Navodari, Romania</t>
        </is>
      </c>
      <c r="B11578" t="inlineStr">
        <is>
          <t>Trader with Storage</t>
        </is>
      </c>
      <c r="C11578" t="inlineStr">
        <is>
          <t>CertRom SRL, Bucuresti, RO</t>
        </is>
      </c>
      <c r="D11578" t="inlineStr">
        <is>
          <t>28.11.2026</t>
        </is>
      </c>
      <c r="E11578" t="inlineStr">
        <is>
          <t>Romania</t>
        </is>
      </c>
    </row>
    <row r="11579">
      <c r="A11579" t="inlineStr">
        <is>
          <t>Chemieuro International,  Zaragoza, Spain</t>
        </is>
      </c>
      <c r="B11579" t="inlineStr">
        <is>
          <t>Trader</t>
        </is>
      </c>
      <c r="C11579" t="inlineStr">
        <is>
          <t>Certificadora Gallega del Noroeste SL, Vilagarcia de Arousa-Pontevedra, ES</t>
        </is>
      </c>
      <c r="D11579" t="inlineStr">
        <is>
          <t>28.11.2026</t>
        </is>
      </c>
      <c r="E11579" t="inlineStr">
        <is>
          <t>Spain</t>
        </is>
      </c>
    </row>
    <row r="11580">
      <c r="A11580" t="inlineStr">
        <is>
          <t>YOULI UCO CO.,  Dashu Dist, Kaohsiung City, Taiwan, Province of China</t>
        </is>
      </c>
      <c r="B11580" t="inlineStr">
        <is>
          <t>Collecting Point, Trader</t>
        </is>
      </c>
      <c r="C11580" t="inlineStr">
        <is>
          <t>Bureau Veritas Polska Sp. z o.o., Warsaw, PL</t>
        </is>
      </c>
      <c r="D11580" t="inlineStr">
        <is>
          <t>28.11.2026</t>
        </is>
      </c>
      <c r="E11580" t="inlineStr">
        <is>
          <t>Province of China</t>
        </is>
      </c>
    </row>
    <row r="11581">
      <c r="A11581" t="inlineStr">
        <is>
          <t>Orlen Austria GmbH,  Wels, Austria</t>
        </is>
      </c>
      <c r="B11581" t="inlineStr">
        <is>
          <t>Proof of Compliance Trader, Trader with Storage</t>
        </is>
      </c>
      <c r="C11581" t="inlineStr">
        <is>
          <t>agroVet GmbH, Enzersfeld, AT</t>
        </is>
      </c>
      <c r="D11581" t="inlineStr">
        <is>
          <t>28.11.2026</t>
        </is>
      </c>
      <c r="E11581" t="inlineStr">
        <is>
          <t>Austria</t>
        </is>
      </c>
    </row>
    <row r="11582">
      <c r="A11582" t="inlineStr">
        <is>
          <t>CMD Aeropuertos Canarios,  Güimar, Spain</t>
        </is>
      </c>
      <c r="B11582" t="inlineStr">
        <is>
          <t>Logistics Center</t>
        </is>
      </c>
      <c r="C11582" t="inlineStr">
        <is>
          <t>Control Union Poland Sp. z o.o., Zielona Gora, PL</t>
        </is>
      </c>
      <c r="D11582" t="inlineStr">
        <is>
          <t>28.11.2026</t>
        </is>
      </c>
      <c r="E11582" t="inlineStr">
        <is>
          <t>Spain</t>
        </is>
      </c>
    </row>
    <row r="11583">
      <c r="A11583" t="inlineStr">
        <is>
          <t>Louis Dreyfus Company Polska Sp.z.o.o.,  Warsaw, Poland</t>
        </is>
      </c>
      <c r="B11583" t="inlineStr">
        <is>
          <t>First Gathering Point, Trader with Storage</t>
        </is>
      </c>
      <c r="C11583" t="inlineStr">
        <is>
          <t>Bureau Veritas Polska Sp. z o.o., Warsaw, PL</t>
        </is>
      </c>
      <c r="D11583" t="inlineStr">
        <is>
          <t>28.11.2026</t>
        </is>
      </c>
      <c r="E11583" t="inlineStr">
        <is>
          <t>Poland</t>
        </is>
      </c>
    </row>
    <row r="11584">
      <c r="A11584" t="inlineStr">
        <is>
          <t>Tricon Dry Chemicals New Zealand Limited,  Auckland, New Zealand</t>
        </is>
      </c>
      <c r="B11584" t="inlineStr">
        <is>
          <t>Trader with Storage</t>
        </is>
      </c>
      <c r="C11584" t="inlineStr">
        <is>
          <t>Control Union Certifications Germany GmbH, Berlin, DE</t>
        </is>
      </c>
      <c r="D11584" t="inlineStr">
        <is>
          <t>28.11.2026</t>
        </is>
      </c>
      <c r="E11584" t="inlineStr">
        <is>
          <t>New Zealand</t>
        </is>
      </c>
    </row>
    <row r="11585">
      <c r="A11585" t="inlineStr">
        <is>
          <t>Greatview Aseptic Packaging (Shandong) Co., Ltd.,  Liaocheng City, Shandong Province, China</t>
        </is>
      </c>
      <c r="B11585" t="inlineStr">
        <is>
          <t>Processing Unit</t>
        </is>
      </c>
      <c r="C11585" t="inlineStr">
        <is>
          <t>SCS Global Services, Emeryville, CA, US</t>
        </is>
      </c>
      <c r="D11585" t="inlineStr">
        <is>
          <t>28.11.2026</t>
        </is>
      </c>
      <c r="E11585" t="inlineStr">
        <is>
          <t>China</t>
        </is>
      </c>
    </row>
    <row r="11586">
      <c r="A11586" t="inlineStr">
        <is>
          <t>COLYER FEHR TALLOW PTY LIMITED,  MOUNT DRUITT SYDNEY, Australia</t>
        </is>
      </c>
      <c r="B11586" t="inlineStr">
        <is>
          <t>Trader with Storage</t>
        </is>
      </c>
      <c r="C11586" t="inlineStr">
        <is>
          <t>Control Union Certifications Germany GmbH, Berlin, DE</t>
        </is>
      </c>
      <c r="D11586" t="inlineStr">
        <is>
          <t>28.11.2026</t>
        </is>
      </c>
      <c r="E11586" t="inlineStr">
        <is>
          <t>Australia</t>
        </is>
      </c>
    </row>
    <row r="11587">
      <c r="A11587" t="inlineStr">
        <is>
          <t>Alicohre,  Rolle, Switzerland</t>
        </is>
      </c>
      <c r="B11587" t="inlineStr">
        <is>
          <t>Trader with Storage, Collecting Point</t>
        </is>
      </c>
      <c r="C11587" t="inlineStr">
        <is>
          <t>ASG Cert GmbH, Munich, DE</t>
        </is>
      </c>
      <c r="D11587" t="inlineStr">
        <is>
          <t>28.11.2026</t>
        </is>
      </c>
      <c r="E11587" t="inlineStr">
        <is>
          <t>Switzerland</t>
        </is>
      </c>
    </row>
    <row r="11588">
      <c r="A11588" t="inlineStr">
        <is>
          <t>E Legend Distribution Ltd,  Gibraltar, Gibraltar</t>
        </is>
      </c>
      <c r="B11588" t="inlineStr">
        <is>
          <t>Collecting Point</t>
        </is>
      </c>
      <c r="C11588" t="inlineStr">
        <is>
          <t>Bureau Veritas Polska Sp. z o.o., Warsaw, PL</t>
        </is>
      </c>
      <c r="D11588" t="inlineStr">
        <is>
          <t>28.11.2026</t>
        </is>
      </c>
      <c r="E11588" t="inlineStr">
        <is>
          <t>Gibraltar</t>
        </is>
      </c>
    </row>
    <row r="11589">
      <c r="A11589" t="inlineStr">
        <is>
          <t>Verbano Film Srl,  Varallo Pombia (NO), Italy</t>
        </is>
      </c>
      <c r="B11589" t="inlineStr">
        <is>
          <t>Processing Unit</t>
        </is>
      </c>
      <c r="C11589" t="inlineStr">
        <is>
          <t>DNV Business Assurance Sweden AB, Solna, SE</t>
        </is>
      </c>
      <c r="D11589" t="inlineStr">
        <is>
          <t>28.11.2026</t>
        </is>
      </c>
      <c r="E11589" t="inlineStr">
        <is>
          <t>Italy</t>
        </is>
      </c>
    </row>
    <row r="11590">
      <c r="A11590" t="inlineStr">
        <is>
          <t>EnergieDirect Austria,  Graz, Austria</t>
        </is>
      </c>
      <c r="B11590" t="inlineStr">
        <is>
          <t>Trader with Storage</t>
        </is>
      </c>
      <c r="C11590" t="inlineStr">
        <is>
          <t>agroVet GmbH, Enzersfeld, AT</t>
        </is>
      </c>
      <c r="D11590" t="inlineStr">
        <is>
          <t>28.11.2026</t>
        </is>
      </c>
      <c r="E11590" t="inlineStr">
        <is>
          <t>Austria</t>
        </is>
      </c>
    </row>
    <row r="11591">
      <c r="A11591" t="inlineStr">
        <is>
          <t>DCC Energy Austria,  Graz, Austria</t>
        </is>
      </c>
      <c r="B11591" t="inlineStr">
        <is>
          <t>Trader, Logistics Center</t>
        </is>
      </c>
      <c r="C11591" t="inlineStr">
        <is>
          <t>agroVet GmbH, Enzersfeld, AT</t>
        </is>
      </c>
      <c r="D11591" t="inlineStr">
        <is>
          <t>28.11.2026</t>
        </is>
      </c>
      <c r="E11591" t="inlineStr">
        <is>
          <t>Austria</t>
        </is>
      </c>
    </row>
    <row r="11592">
      <c r="A11592" t="inlineStr">
        <is>
          <t>Poľnonákup ŠARIŠ, a.s.,  Prešov, Slovakia</t>
        </is>
      </c>
      <c r="B11592" t="inlineStr">
        <is>
          <t>First Gathering Point, Trader with Storage</t>
        </is>
      </c>
      <c r="C11592" t="inlineStr">
        <is>
          <t>United Registrar of Systems Polska Sp. z o.o., Wrocław, PL</t>
        </is>
      </c>
      <c r="D11592" t="inlineStr">
        <is>
          <t>28.11.2026</t>
        </is>
      </c>
      <c r="E11592" t="inlineStr">
        <is>
          <t>Slovakia</t>
        </is>
      </c>
    </row>
    <row r="11593">
      <c r="A11593" t="inlineStr">
        <is>
          <t>Tricon Dry Chemicals Australia Pty Ltd,  Docklands, Australia</t>
        </is>
      </c>
      <c r="B11593" t="inlineStr">
        <is>
          <t>Trader with Storage</t>
        </is>
      </c>
      <c r="C11593" t="inlineStr">
        <is>
          <t>Control Union Certifications Germany GmbH, Berlin, DE</t>
        </is>
      </c>
      <c r="D11593" t="inlineStr">
        <is>
          <t>28.11.2026</t>
        </is>
      </c>
      <c r="E11593" t="inlineStr">
        <is>
          <t>Australia</t>
        </is>
      </c>
    </row>
    <row r="11594">
      <c r="A11594" t="inlineStr">
        <is>
          <t>OMV Supply &amp; Trading Limited,  London, United Kingdom</t>
        </is>
      </c>
      <c r="B11594" t="inlineStr">
        <is>
          <t>Trader with Storage</t>
        </is>
      </c>
      <c r="C11594" t="inlineStr">
        <is>
          <t>TÜV SÜD Industrie Service GmbH, München, DE</t>
        </is>
      </c>
      <c r="D11594" t="inlineStr">
        <is>
          <t>28.11.2026</t>
        </is>
      </c>
      <c r="E11594" t="inlineStr">
        <is>
          <t>United Kingdom</t>
        </is>
      </c>
    </row>
    <row r="11595">
      <c r="A11595" t="inlineStr">
        <is>
          <t>Eko-Oylis LLC,  Kiev, Ukraine</t>
        </is>
      </c>
      <c r="B11595" t="inlineStr">
        <is>
          <t>Collecting Point</t>
        </is>
      </c>
      <c r="C11595" t="inlineStr">
        <is>
          <t>Aciter Genelab LLC, Odessa, UA</t>
        </is>
      </c>
      <c r="D11595" t="inlineStr">
        <is>
          <t>28.11.2026</t>
        </is>
      </c>
      <c r="E11595" t="inlineStr">
        <is>
          <t>Ukraine</t>
        </is>
      </c>
    </row>
    <row r="11596">
      <c r="A11596" t="inlineStr">
        <is>
          <t>Clariant Plastics &amp; Coatings (Deutschland) GmbH,  Hürth, Germany</t>
        </is>
      </c>
      <c r="B11596" t="inlineStr">
        <is>
          <t>Processing Unit</t>
        </is>
      </c>
      <c r="C11596" t="inlineStr">
        <is>
          <t>GUT Certifizierungsgesellschaft für Managementsysteme mbH Umweltgutachter, Berlin, DE</t>
        </is>
      </c>
      <c r="D11596" t="inlineStr">
        <is>
          <t>28.11.2026</t>
        </is>
      </c>
      <c r="E11596" t="inlineStr">
        <is>
          <t>Germany</t>
        </is>
      </c>
    </row>
    <row r="11597">
      <c r="A11597" t="inlineStr">
        <is>
          <t>Thommen-Furler AG,  Rüti b. Büren, Switzerland</t>
        </is>
      </c>
      <c r="B11597" t="inlineStr">
        <is>
          <t>Collecting Point</t>
        </is>
      </c>
      <c r="C11597" t="inlineStr">
        <is>
          <t>DEKRA Certification B.V., Arnhem, NL</t>
        </is>
      </c>
      <c r="D11597" t="inlineStr">
        <is>
          <t>28.11.2026</t>
        </is>
      </c>
      <c r="E11597" t="inlineStr">
        <is>
          <t>Switzerland</t>
        </is>
      </c>
    </row>
    <row r="11598">
      <c r="A11598" t="inlineStr">
        <is>
          <t>Marubeni International (Europe) Paris Branch,  Paris, France</t>
        </is>
      </c>
      <c r="B11598" t="inlineStr">
        <is>
          <t>Trader</t>
        </is>
      </c>
      <c r="C11598" t="inlineStr">
        <is>
          <t>SGS Germany GmbH, Emstek, DE</t>
        </is>
      </c>
      <c r="D11598" t="inlineStr">
        <is>
          <t>28.11.2026</t>
        </is>
      </c>
      <c r="E11598" t="inlineStr">
        <is>
          <t>France</t>
        </is>
      </c>
    </row>
    <row r="11599">
      <c r="A11599" t="inlineStr">
        <is>
          <t>Oztek Holdings Pty Ltd,  Barnawartha, Australia</t>
        </is>
      </c>
      <c r="B11599" t="inlineStr">
        <is>
          <t>Point of Origin, Trader with Storage</t>
        </is>
      </c>
      <c r="C11599" t="inlineStr">
        <is>
          <t>SGS Germany GmbH, Emstek, DE</t>
        </is>
      </c>
      <c r="D11599" t="inlineStr">
        <is>
          <t>28.11.2026</t>
        </is>
      </c>
      <c r="E11599" t="inlineStr">
        <is>
          <t>Australia</t>
        </is>
      </c>
    </row>
    <row r="11600">
      <c r="A11600" t="inlineStr">
        <is>
          <t>ENEOS Materials Corporation,  Minato-ku, Tokyo, Japan</t>
        </is>
      </c>
      <c r="B11600" t="inlineStr">
        <is>
          <t>Trader</t>
        </is>
      </c>
      <c r="C11600" t="inlineStr">
        <is>
          <t>SGS Germany GmbH, Emstek, DE</t>
        </is>
      </c>
      <c r="D11600" t="inlineStr">
        <is>
          <t>28.11.2026</t>
        </is>
      </c>
      <c r="E11600" t="inlineStr">
        <is>
          <t>Japan</t>
        </is>
      </c>
    </row>
    <row r="11601">
      <c r="A11601" t="inlineStr">
        <is>
          <t>EXCELLENT SUMMIT INTERNATION LIMITED,  Dong Nai Province, Vietnam</t>
        </is>
      </c>
      <c r="B11601" t="inlineStr">
        <is>
          <t>Trader</t>
        </is>
      </c>
      <c r="C11601" t="inlineStr">
        <is>
          <t>SGS Germany GmbH, Emstek, DE</t>
        </is>
      </c>
      <c r="D11601" t="inlineStr">
        <is>
          <t>28.11.2026</t>
        </is>
      </c>
      <c r="E11601" t="inlineStr">
        <is>
          <t>Vietnam</t>
        </is>
      </c>
    </row>
    <row r="11602">
      <c r="A11602" t="inlineStr">
        <is>
          <t>Yusung A-Tech Vina Co., LTD,  Ho Chi Minh, Vietnam</t>
        </is>
      </c>
      <c r="B11602" t="inlineStr">
        <is>
          <t>Processing Unit</t>
        </is>
      </c>
      <c r="C11602" t="inlineStr">
        <is>
          <t>SGS Germany GmbH, Emstek, DE</t>
        </is>
      </c>
      <c r="D11602" t="inlineStr">
        <is>
          <t>28.11.2026</t>
        </is>
      </c>
      <c r="E11602" t="inlineStr">
        <is>
          <t>Vietnam</t>
        </is>
      </c>
    </row>
    <row r="11603">
      <c r="A11603" t="inlineStr">
        <is>
          <t>Future Bio Tech (Guangdong) Ltd,  Zhongshan City, China</t>
        </is>
      </c>
      <c r="B11603" t="inlineStr">
        <is>
          <t>Collecting Point, Trader with Storage</t>
        </is>
      </c>
      <c r="C11603" t="inlineStr">
        <is>
          <t>SCS Global Services, Emeryville, CA, US</t>
        </is>
      </c>
      <c r="D11603" t="inlineStr">
        <is>
          <t>27.11.2026</t>
        </is>
      </c>
      <c r="E11603" t="inlineStr">
        <is>
          <t>China</t>
        </is>
      </c>
    </row>
    <row r="11604">
      <c r="A11604" t="inlineStr">
        <is>
          <t>Wuchan Zhongda Chemical Group Co., Ltd.,  Hangzhou City, Zhejiang Province, China</t>
        </is>
      </c>
      <c r="B11604" t="inlineStr">
        <is>
          <t>Trader</t>
        </is>
      </c>
      <c r="C11604" t="inlineStr">
        <is>
          <t>SCS Global Services, Emeryville, CA, US</t>
        </is>
      </c>
      <c r="D11604" t="inlineStr">
        <is>
          <t>27.11.2026</t>
        </is>
      </c>
      <c r="E11604" t="inlineStr">
        <is>
          <t>China</t>
        </is>
      </c>
    </row>
    <row r="11605">
      <c r="A11605" t="inlineStr">
        <is>
          <t>Rex Commodities Pte Ltd.,  Singapore, Singapore</t>
        </is>
      </c>
      <c r="B11605" t="inlineStr">
        <is>
          <t>Trader</t>
        </is>
      </c>
      <c r="C11605" t="inlineStr">
        <is>
          <t>SCS Global Services, Emeryville, CA, US</t>
        </is>
      </c>
      <c r="D11605" t="inlineStr">
        <is>
          <t>27.11.2026</t>
        </is>
      </c>
      <c r="E11605" t="inlineStr">
        <is>
          <t>Singapore</t>
        </is>
      </c>
    </row>
    <row r="11606">
      <c r="A11606" t="inlineStr">
        <is>
          <t>Osaka International Refining Company,  Ichihara, Japan</t>
        </is>
      </c>
      <c r="B11606" t="inlineStr">
        <is>
          <t>Trader with Storage</t>
        </is>
      </c>
      <c r="C11606" t="inlineStr">
        <is>
          <t>SCS Global Services, Emeryville, CA, US</t>
        </is>
      </c>
      <c r="D11606" t="inlineStr">
        <is>
          <t>27.11.2026</t>
        </is>
      </c>
      <c r="E11606" t="inlineStr">
        <is>
          <t>Japan</t>
        </is>
      </c>
    </row>
    <row r="11607">
      <c r="A11607" t="inlineStr">
        <is>
          <t>INTOP INTERNATIONAL (SINGAPORE) PTE.LTD,  Hangzhou City, Zhejiang Province, China</t>
        </is>
      </c>
      <c r="B11607" t="inlineStr">
        <is>
          <t>Trader</t>
        </is>
      </c>
      <c r="C11607" t="inlineStr">
        <is>
          <t>SCS Global Services, Emeryville, CA, US</t>
        </is>
      </c>
      <c r="D11607" t="inlineStr">
        <is>
          <t>27.11.2026</t>
        </is>
      </c>
      <c r="E11607" t="inlineStr">
        <is>
          <t>China</t>
        </is>
      </c>
    </row>
    <row r="11608">
      <c r="A11608" t="inlineStr">
        <is>
          <t>Phillips 66 Limited,  London, United Kingdom</t>
        </is>
      </c>
      <c r="B11608" t="inlineStr">
        <is>
          <t>Trader with Storage</t>
        </is>
      </c>
      <c r="C11608" t="inlineStr">
        <is>
          <t>SGS Germany GmbH, Emstek, DE</t>
        </is>
      </c>
      <c r="D11608" t="inlineStr">
        <is>
          <t>27.11.2026</t>
        </is>
      </c>
      <c r="E11608" t="inlineStr">
        <is>
          <t>United Kingdom</t>
        </is>
      </c>
    </row>
    <row r="11609">
      <c r="A11609" t="inlineStr">
        <is>
          <t>Agricola Castiglionese società agricola,  Castiglione Torinese, Italy</t>
        </is>
      </c>
      <c r="B11609" t="inlineStr">
        <is>
          <t>Collecting Point, First Gathering Point, Processing Unit</t>
        </is>
      </c>
      <c r="C11609" t="inlineStr">
        <is>
          <t>RINA Services S.p.A., Genova, IT</t>
        </is>
      </c>
      <c r="D11609" t="inlineStr">
        <is>
          <t>27.11.2026</t>
        </is>
      </c>
      <c r="E11609" t="inlineStr">
        <is>
          <t>Italy</t>
        </is>
      </c>
    </row>
    <row r="11610">
      <c r="A11610" t="inlineStr">
        <is>
          <t>Enviral, a.s.,  Leopoldov, Slovakia</t>
        </is>
      </c>
      <c r="B11610" t="inlineStr">
        <is>
          <t>Point of Origin, Collecting Point, Trader with Storage, Processing Unit</t>
        </is>
      </c>
      <c r="C11610" t="inlineStr">
        <is>
          <t>SGS Germany GmbH, Emstek, DE</t>
        </is>
      </c>
      <c r="D11610" t="inlineStr">
        <is>
          <t>27.11.2026</t>
        </is>
      </c>
      <c r="E11610" t="inlineStr">
        <is>
          <t>Slovakia</t>
        </is>
      </c>
    </row>
    <row r="11611">
      <c r="A11611" t="inlineStr">
        <is>
          <t>DEMETER ÉS TÁRSA SZÁRÍTÓ Kft.,  Ibrány, Hungary</t>
        </is>
      </c>
      <c r="B11611" t="inlineStr">
        <is>
          <t>First Gathering Point</t>
        </is>
      </c>
      <c r="C11611" t="inlineStr">
        <is>
          <t>Certificadora Gallega del Noroeste SL, Vilagarcia de Arousa-Pontevedra, ES</t>
        </is>
      </c>
      <c r="D11611" t="inlineStr">
        <is>
          <t>27.11.2026</t>
        </is>
      </c>
      <c r="E11611" t="inlineStr">
        <is>
          <t>Hungary</t>
        </is>
      </c>
    </row>
    <row r="11612">
      <c r="A11612" t="inlineStr">
        <is>
          <t>800 SUPER WASTE MANAGEMENT PTE LTD,  SINGAPORE, Singapore</t>
        </is>
      </c>
      <c r="B11612" t="inlineStr">
        <is>
          <t>Collecting Point, Processing Unit</t>
        </is>
      </c>
      <c r="C11612" t="inlineStr">
        <is>
          <t>Trans Certification and Inspection Sdn Bhd, Kuantan, MY</t>
        </is>
      </c>
      <c r="D11612" t="inlineStr">
        <is>
          <t>27.11.2026</t>
        </is>
      </c>
      <c r="E11612" t="inlineStr">
        <is>
          <t>Singapore</t>
        </is>
      </c>
    </row>
    <row r="11613">
      <c r="A11613" t="inlineStr">
        <is>
          <t>ECO.GEO. SRL,  Cirò Marina, Italy</t>
        </is>
      </c>
      <c r="B11613" t="inlineStr">
        <is>
          <t>Collecting Point</t>
        </is>
      </c>
      <c r="C11613" t="inlineStr">
        <is>
          <t>ICIM SpA, sesto san giovanni, IT</t>
        </is>
      </c>
      <c r="D11613" t="inlineStr">
        <is>
          <t>27.11.2026</t>
        </is>
      </c>
      <c r="E11613" t="inlineStr">
        <is>
          <t>Italy</t>
        </is>
      </c>
    </row>
    <row r="11614">
      <c r="A11614" t="inlineStr">
        <is>
          <t>BIOMETHANE GREEN,  Milano, Italy</t>
        </is>
      </c>
      <c r="B11614" t="inlineStr">
        <is>
          <t>Trader</t>
        </is>
      </c>
      <c r="C11614" t="inlineStr">
        <is>
          <t>ICIM SpA, sesto san giovanni, IT</t>
        </is>
      </c>
      <c r="D11614" t="inlineStr">
        <is>
          <t>27.11.2026</t>
        </is>
      </c>
      <c r="E11614" t="inlineStr">
        <is>
          <t>Italy</t>
        </is>
      </c>
    </row>
    <row r="11615">
      <c r="A11615" t="inlineStr">
        <is>
          <t>SYNTHESIA TECHNOLOGY EUROPE,  Castellbisbal, Spain</t>
        </is>
      </c>
      <c r="B11615" t="inlineStr">
        <is>
          <t>Processing Unit</t>
        </is>
      </c>
      <c r="C11615" t="inlineStr">
        <is>
          <t>Control Union Poland Sp. z o.o., Zielona Gora, PL</t>
        </is>
      </c>
      <c r="D11615" t="inlineStr">
        <is>
          <t>27.11.2026</t>
        </is>
      </c>
      <c r="E11615" t="inlineStr">
        <is>
          <t>Spain</t>
        </is>
      </c>
    </row>
    <row r="11616">
      <c r="A11616" t="inlineStr">
        <is>
          <t>ITALSAN S.L.,  GAVÀ, Spain</t>
        </is>
      </c>
      <c r="B11616" t="inlineStr">
        <is>
          <t>Trader with Storage</t>
        </is>
      </c>
      <c r="C11616" t="inlineStr">
        <is>
          <t>Control Union Poland Sp. z o.o., Zielona Gora, PL</t>
        </is>
      </c>
      <c r="D11616" t="inlineStr">
        <is>
          <t>27.11.2026</t>
        </is>
      </c>
      <c r="E11616" t="inlineStr">
        <is>
          <t>Spain</t>
        </is>
      </c>
    </row>
    <row r="11617">
      <c r="A11617" t="inlineStr">
        <is>
          <t>Toray Industries, Ishikawa plant,  Kitaicihmachi, Nomi-shi, Ishikawa, Japan</t>
        </is>
      </c>
      <c r="B11617" t="inlineStr">
        <is>
          <t>Processing Unit</t>
        </is>
      </c>
      <c r="C11617" t="inlineStr">
        <is>
          <t>TÜV SÜD Industrie Service GmbH, München, DE</t>
        </is>
      </c>
      <c r="D11617" t="inlineStr">
        <is>
          <t>27.11.2026</t>
        </is>
      </c>
      <c r="E11617" t="inlineStr">
        <is>
          <t>Japan</t>
        </is>
      </c>
    </row>
    <row r="11618">
      <c r="A11618" t="inlineStr">
        <is>
          <t>Shell Singapore Pte Ltd (SSPL),  The Metropolis Tower 1, Singapore</t>
        </is>
      </c>
      <c r="B11618" t="inlineStr">
        <is>
          <t>Trader with Storage</t>
        </is>
      </c>
      <c r="C11618" t="inlineStr">
        <is>
          <t>Control Union Certifications Germany GmbH, Berlin, DE</t>
        </is>
      </c>
      <c r="D11618" t="inlineStr">
        <is>
          <t>27.11.2026</t>
        </is>
      </c>
      <c r="E11618" t="inlineStr">
        <is>
          <t>Singapore</t>
        </is>
      </c>
    </row>
    <row r="11619">
      <c r="A11619" t="inlineStr">
        <is>
          <t>Edge Controls Singapore Pte Ltd,  #04-14, Enterprise One, Singapore</t>
        </is>
      </c>
      <c r="B11619" t="inlineStr">
        <is>
          <t>Trader</t>
        </is>
      </c>
      <c r="C11619" t="inlineStr">
        <is>
          <t>ASG Cert GmbH, Munich, DE</t>
        </is>
      </c>
      <c r="D11619" t="inlineStr">
        <is>
          <t>27.11.2026</t>
        </is>
      </c>
      <c r="E11619" t="inlineStr">
        <is>
          <t>Singapore</t>
        </is>
      </c>
    </row>
    <row r="11620">
      <c r="A11620" t="inlineStr">
        <is>
          <t>Edge Controls Singapore Pte Ltd,  #04-14, Enterprise One, Singapore</t>
        </is>
      </c>
      <c r="B11620" t="inlineStr">
        <is>
          <t>Trader</t>
        </is>
      </c>
      <c r="C11620" t="inlineStr">
        <is>
          <t>ASG Cert GmbH, Munich, DE</t>
        </is>
      </c>
      <c r="D11620" t="inlineStr">
        <is>
          <t>27.11.2026</t>
        </is>
      </c>
      <c r="E11620" t="inlineStr">
        <is>
          <t>Singapore</t>
        </is>
      </c>
    </row>
    <row r="11621">
      <c r="A11621" t="inlineStr">
        <is>
          <t>Hood Packaging Corporation,  Summerville, United States</t>
        </is>
      </c>
      <c r="B11621" t="inlineStr">
        <is>
          <t>Processing Unit</t>
        </is>
      </c>
      <c r="C11621" t="inlineStr">
        <is>
          <t>SCS Global Services, Emeryville, CA, US</t>
        </is>
      </c>
      <c r="D11621" t="inlineStr">
        <is>
          <t>27.11.2026</t>
        </is>
      </c>
      <c r="E11621" t="inlineStr">
        <is>
          <t>United States</t>
        </is>
      </c>
    </row>
    <row r="11622">
      <c r="A11622" t="inlineStr">
        <is>
          <t>Toray Industries, Inc. Tokai Plant,  Tokai-shi, Japan</t>
        </is>
      </c>
      <c r="B11622" t="inlineStr">
        <is>
          <t>Processing Unit</t>
        </is>
      </c>
      <c r="C11622" t="inlineStr">
        <is>
          <t>TÜV SÜD Industrie Service GmbH, München, DE</t>
        </is>
      </c>
      <c r="D11622" t="inlineStr">
        <is>
          <t>27.11.2026</t>
        </is>
      </c>
      <c r="E11622" t="inlineStr">
        <is>
          <t>Japan</t>
        </is>
      </c>
    </row>
    <row r="11623">
      <c r="A11623" t="inlineStr">
        <is>
          <t>Fuji Oil (Singapore) Pte Ltd,  Singapore, Singapore</t>
        </is>
      </c>
      <c r="B11623" t="inlineStr">
        <is>
          <t>Point of Origin, Trader with Storage</t>
        </is>
      </c>
      <c r="C11623" t="inlineStr">
        <is>
          <t>Control Union Certifications Germany GmbH, Berlin, DE</t>
        </is>
      </c>
      <c r="D11623" t="inlineStr">
        <is>
          <t>27.11.2026</t>
        </is>
      </c>
      <c r="E11623" t="inlineStr">
        <is>
          <t>Singapore</t>
        </is>
      </c>
    </row>
    <row r="11624">
      <c r="A11624" t="inlineStr">
        <is>
          <t>Röhm GmbH,  Wesseling, Germany</t>
        </is>
      </c>
      <c r="B11624" t="inlineStr">
        <is>
          <t>Processing Unit, Trader with Storage</t>
        </is>
      </c>
      <c r="C11624" t="inlineStr">
        <is>
          <t>DQS CFS GmbH - Deutsche Gesellschaft für Nachhaltigkeit, Frankfurt am Main, DE</t>
        </is>
      </c>
      <c r="D11624" t="inlineStr">
        <is>
          <t>27.11.2026</t>
        </is>
      </c>
      <c r="E11624" t="inlineStr">
        <is>
          <t>Germany</t>
        </is>
      </c>
    </row>
    <row r="11625">
      <c r="A11625" t="inlineStr">
        <is>
          <t>TANIMAS SOAP INDUSTRIES,  Deli Serdang, Indonesia</t>
        </is>
      </c>
      <c r="B11625" t="inlineStr">
        <is>
          <t>Trader with Storage</t>
        </is>
      </c>
      <c r="C11625" t="inlineStr">
        <is>
          <t>PT. Qualitas Sertifikasi Indonesia, Jakarta, ID</t>
        </is>
      </c>
      <c r="D11625" t="inlineStr">
        <is>
          <t>27.11.2026</t>
        </is>
      </c>
      <c r="E11625" t="inlineStr">
        <is>
          <t>Indonesia</t>
        </is>
      </c>
    </row>
    <row r="11626">
      <c r="A11626" t="inlineStr">
        <is>
          <t>CM Biomass Partners A/S,  Copenhagen, Denmark</t>
        </is>
      </c>
      <c r="B11626" t="inlineStr">
        <is>
          <t>Trader with Storage</t>
        </is>
      </c>
      <c r="C11626" t="inlineStr">
        <is>
          <t>Control Union Certifications Germany GmbH, Berlin, DE</t>
        </is>
      </c>
      <c r="D11626" t="inlineStr">
        <is>
          <t>27.11.2026</t>
        </is>
      </c>
      <c r="E11626" t="inlineStr">
        <is>
          <t>Denmark</t>
        </is>
      </c>
    </row>
    <row r="11627">
      <c r="A11627" t="inlineStr">
        <is>
          <t>Erk Energy B.V.,  Zeewolde, The Netherlands</t>
        </is>
      </c>
      <c r="B11627" t="inlineStr">
        <is>
          <t>Collecting Point, Processing Unit</t>
        </is>
      </c>
      <c r="C11627" t="inlineStr">
        <is>
          <t>DEKRA Certification B.V., Arnhem, NL</t>
        </is>
      </c>
      <c r="D11627" t="inlineStr">
        <is>
          <t>27.11.2026</t>
        </is>
      </c>
      <c r="E11627" t="inlineStr">
        <is>
          <t>The Netherlands</t>
        </is>
      </c>
    </row>
    <row r="11628">
      <c r="A11628" t="inlineStr">
        <is>
          <t>Getoil,  Genova, Italy</t>
        </is>
      </c>
      <c r="B11628" t="inlineStr">
        <is>
          <t>Trader with Storage</t>
        </is>
      </c>
      <c r="C11628" t="inlineStr">
        <is>
          <t>SGS Germany GmbH, Emstek, DE</t>
        </is>
      </c>
      <c r="D11628" t="inlineStr">
        <is>
          <t>27.11.2026</t>
        </is>
      </c>
      <c r="E11628" t="inlineStr">
        <is>
          <t>Italy</t>
        </is>
      </c>
    </row>
    <row r="11629">
      <c r="A11629" t="inlineStr">
        <is>
          <t>Green Recycling Pte Ltd,  Tuas, Singapore</t>
        </is>
      </c>
      <c r="B11629" t="inlineStr">
        <is>
          <t>Collecting Point, Processing Unit</t>
        </is>
      </c>
      <c r="C11629" t="inlineStr">
        <is>
          <t>Trans Certification and Inspection Sdn Bhd, Kuantan, MY</t>
        </is>
      </c>
      <c r="D11629" t="inlineStr">
        <is>
          <t>27.11.2026</t>
        </is>
      </c>
      <c r="E11629" t="inlineStr">
        <is>
          <t>Singapore</t>
        </is>
      </c>
    </row>
    <row r="11630">
      <c r="A11630" t="inlineStr">
        <is>
          <t>Primaplas Pty Ltd,  Pyrmont, Australia</t>
        </is>
      </c>
      <c r="B11630" t="inlineStr">
        <is>
          <t>Trader</t>
        </is>
      </c>
      <c r="C11630" t="inlineStr">
        <is>
          <t>SGS Germany GmbH, Emstek, DE</t>
        </is>
      </c>
      <c r="D11630" t="inlineStr">
        <is>
          <t>27.11.2026</t>
        </is>
      </c>
      <c r="E11630" t="inlineStr">
        <is>
          <t>Australia</t>
        </is>
      </c>
    </row>
    <row r="11631">
      <c r="A11631" t="inlineStr">
        <is>
          <t>China Resources Recycling Group International Investment(Shenzhen) Co., Ltd.,  Shenzhen, City Guangdong Province, China</t>
        </is>
      </c>
      <c r="B11631" t="inlineStr">
        <is>
          <t>Trader with Storage</t>
        </is>
      </c>
      <c r="C11631" t="inlineStr">
        <is>
          <t>RINA Services S.p.A., Genova, IT</t>
        </is>
      </c>
      <c r="D11631" t="inlineStr">
        <is>
          <t>27.11.2026</t>
        </is>
      </c>
      <c r="E11631" t="inlineStr">
        <is>
          <t>China</t>
        </is>
      </c>
    </row>
    <row r="11632">
      <c r="A11632" t="inlineStr">
        <is>
          <t>PT WASA KHARISMA INDONESIA,  Kec. Cikupa, Kab. Tangerang, Provinsi Banten, Indonesia</t>
        </is>
      </c>
      <c r="B11632" t="inlineStr">
        <is>
          <t>Processing Unit</t>
        </is>
      </c>
      <c r="C11632" t="inlineStr">
        <is>
          <t>PT Intertek Utama Services, Jakarta, ID</t>
        </is>
      </c>
      <c r="D11632" t="inlineStr">
        <is>
          <t>27.11.2026</t>
        </is>
      </c>
      <c r="E11632" t="inlineStr">
        <is>
          <t>Indonesia</t>
        </is>
      </c>
    </row>
    <row r="11633">
      <c r="A11633" t="inlineStr">
        <is>
          <t>PT WASA KHARISMA INDONESIA,  Kec. Cikupa, Kab. Tangerang, Provinsi Banten, Indonesia</t>
        </is>
      </c>
      <c r="B11633" t="inlineStr">
        <is>
          <t>Processing Unit</t>
        </is>
      </c>
      <c r="C11633" t="inlineStr">
        <is>
          <t>PT Intertek Utama Services, Jakarta, ID</t>
        </is>
      </c>
      <c r="D11633" t="inlineStr">
        <is>
          <t>27.11.2026</t>
        </is>
      </c>
      <c r="E11633" t="inlineStr">
        <is>
          <t>Indonesia</t>
        </is>
      </c>
    </row>
    <row r="11634">
      <c r="A11634" t="inlineStr">
        <is>
          <t>Clariant IGL Specialty Chemicals Private Limited,  Kashipur, District Udham Singh Nagar, India</t>
        </is>
      </c>
      <c r="B11634" t="inlineStr">
        <is>
          <t>Processing Unit</t>
        </is>
      </c>
      <c r="C11634" t="inlineStr">
        <is>
          <t>DNV Business Assurance Sweden AB, Solna, SE</t>
        </is>
      </c>
      <c r="D11634" t="inlineStr">
        <is>
          <t>27.11.2026</t>
        </is>
      </c>
      <c r="E11634" t="inlineStr">
        <is>
          <t>India</t>
        </is>
      </c>
    </row>
    <row r="11635">
      <c r="A11635" t="inlineStr">
        <is>
          <t>SHENZHEN LIGHT INDUSTRIAL PRODUCTS IMP. &amp; EXP. CO. LTD,  SHENZHEN, China</t>
        </is>
      </c>
      <c r="B11635" t="inlineStr">
        <is>
          <t>Trader with Storage</t>
        </is>
      </c>
      <c r="C11635" t="inlineStr">
        <is>
          <t>SCS Global Services, Emeryville, CA, US</t>
        </is>
      </c>
      <c r="D11635" t="inlineStr">
        <is>
          <t>27.11.2026</t>
        </is>
      </c>
      <c r="E11635" t="inlineStr">
        <is>
          <t>China</t>
        </is>
      </c>
    </row>
    <row r="11636">
      <c r="A11636" t="inlineStr">
        <is>
          <t>Genco Oil Ltd. (HK),  Hunghom, Kowloon, Hong Kong</t>
        </is>
      </c>
      <c r="B11636" t="inlineStr">
        <is>
          <t>Trader</t>
        </is>
      </c>
      <c r="C11636" t="inlineStr">
        <is>
          <t>BM Certification, Riga, LV</t>
        </is>
      </c>
      <c r="D11636" t="inlineStr">
        <is>
          <t>27.11.2026</t>
        </is>
      </c>
      <c r="E11636" t="inlineStr">
        <is>
          <t>Hong Kong</t>
        </is>
      </c>
    </row>
    <row r="11637">
      <c r="A11637" t="inlineStr">
        <is>
          <t>RIJHOPOOL,  Lima, Peru</t>
        </is>
      </c>
      <c r="B11637" t="inlineStr">
        <is>
          <t>Collecting Point</t>
        </is>
      </c>
      <c r="C11637" t="inlineStr">
        <is>
          <t>Certificadora Gallega del Noroeste SL, Vilagarcia de Arousa-Pontevedra, ES</t>
        </is>
      </c>
      <c r="D11637" t="inlineStr">
        <is>
          <t>27.11.2026</t>
        </is>
      </c>
      <c r="E11637" t="inlineStr">
        <is>
          <t>Peru</t>
        </is>
      </c>
    </row>
    <row r="11638">
      <c r="A11638" t="inlineStr">
        <is>
          <t>Hirsch France,  VIENNE, France</t>
        </is>
      </c>
      <c r="B11638" t="inlineStr">
        <is>
          <t>Processing Unit</t>
        </is>
      </c>
      <c r="C11638" t="inlineStr">
        <is>
          <t>Bureau Veritas Polska Sp. z o.o., Warsaw, PL</t>
        </is>
      </c>
      <c r="D11638" t="inlineStr">
        <is>
          <t>27.11.2026</t>
        </is>
      </c>
      <c r="E11638" t="inlineStr">
        <is>
          <t>France</t>
        </is>
      </c>
    </row>
    <row r="11639">
      <c r="A11639" t="inlineStr">
        <is>
          <t>Air Liquide UK Limited,  Gainsborough, United Kingdom</t>
        </is>
      </c>
      <c r="B11639" t="inlineStr">
        <is>
          <t>Processing Unit</t>
        </is>
      </c>
      <c r="C11639" t="inlineStr">
        <is>
          <t>Double Helix Tracking Technologies Pte Ltd, Singapore, SG</t>
        </is>
      </c>
      <c r="D11639" t="inlineStr">
        <is>
          <t>27.11.2026</t>
        </is>
      </c>
      <c r="E11639" t="inlineStr">
        <is>
          <t>United Kingdom</t>
        </is>
      </c>
    </row>
    <row r="11640">
      <c r="A11640" t="inlineStr">
        <is>
          <t>Reace,  Borgo Valbelluna, BL, Italy</t>
        </is>
      </c>
      <c r="B11640" t="inlineStr">
        <is>
          <t>Collecting Point, Processing Unit</t>
        </is>
      </c>
      <c r="C11640" t="inlineStr">
        <is>
          <t>RINA Services S.p.A., Genova, IT</t>
        </is>
      </c>
      <c r="D11640" t="inlineStr">
        <is>
          <t>27.11.2026</t>
        </is>
      </c>
      <c r="E11640" t="inlineStr">
        <is>
          <t>Italy</t>
        </is>
      </c>
    </row>
    <row r="11641">
      <c r="A11641" t="inlineStr">
        <is>
          <t>Kingspan Insulation B.V.,  Tiel, Netherlands</t>
        </is>
      </c>
      <c r="B11641" t="inlineStr">
        <is>
          <t>Processing Unit</t>
        </is>
      </c>
      <c r="C11641" t="inlineStr">
        <is>
          <t>SGS Germany GmbH, Emstek, DE</t>
        </is>
      </c>
      <c r="D11641" t="inlineStr">
        <is>
          <t>27.11.2026</t>
        </is>
      </c>
      <c r="E11641" t="inlineStr">
        <is>
          <t>Netherlands</t>
        </is>
      </c>
    </row>
    <row r="11642">
      <c r="A11642" t="inlineStr">
        <is>
          <t>Kanematsu Petroleum Corporation,  Chiyoda-ku,Tokyo, Japan</t>
        </is>
      </c>
      <c r="B11642" t="inlineStr">
        <is>
          <t>Trader</t>
        </is>
      </c>
      <c r="C11642" t="inlineStr">
        <is>
          <t>SGS Germany GmbH, Emstek, DE</t>
        </is>
      </c>
      <c r="D11642" t="inlineStr">
        <is>
          <t>27.11.2026</t>
        </is>
      </c>
      <c r="E11642" t="inlineStr">
        <is>
          <t>Japan</t>
        </is>
      </c>
    </row>
    <row r="11643">
      <c r="A11643" t="inlineStr">
        <is>
          <t>Sinochem Petrochemical Distribution Co.,Ltd,  Shanghai, China</t>
        </is>
      </c>
      <c r="B11643" t="inlineStr">
        <is>
          <t>Trader</t>
        </is>
      </c>
      <c r="C11643" t="inlineStr">
        <is>
          <t>CTI Certification Co. Ltd, Shenzhen, CN</t>
        </is>
      </c>
      <c r="D11643" t="inlineStr">
        <is>
          <t>27.11.2026</t>
        </is>
      </c>
      <c r="E11643" t="inlineStr">
        <is>
          <t>China</t>
        </is>
      </c>
    </row>
    <row r="11644">
      <c r="A11644" t="inlineStr">
        <is>
          <t>Biolast AS,  Hornindal, Norway</t>
        </is>
      </c>
      <c r="B11644" t="inlineStr">
        <is>
          <t>Collecting Point, Trader with Storage</t>
        </is>
      </c>
      <c r="C11644" t="inlineStr">
        <is>
          <t>DEKRA Certification B.V., Arnhem, NL</t>
        </is>
      </c>
      <c r="D11644" t="inlineStr">
        <is>
          <t>27.11.2026</t>
        </is>
      </c>
      <c r="E11644" t="inlineStr">
        <is>
          <t>Norway</t>
        </is>
      </c>
    </row>
    <row r="11645">
      <c r="A11645" t="inlineStr">
        <is>
          <t>UNITED BIOFUEL LTD,  LONDON, United Kingdom</t>
        </is>
      </c>
      <c r="B11645" t="inlineStr">
        <is>
          <t>Collecting Point</t>
        </is>
      </c>
      <c r="C11645" t="inlineStr">
        <is>
          <t>BM Certification, Riga, LV</t>
        </is>
      </c>
      <c r="D11645" t="inlineStr">
        <is>
          <t>27.11.2026</t>
        </is>
      </c>
      <c r="E11645" t="inlineStr">
        <is>
          <t>United Kingdom</t>
        </is>
      </c>
    </row>
    <row r="11646">
      <c r="A11646" t="inlineStr">
        <is>
          <t>Lianyungang Huachuan Ecological Environmental Protection Technology Co., Ltd.,  Lianyungang City, Jiangsu Province,, China</t>
        </is>
      </c>
      <c r="B11646" t="inlineStr">
        <is>
          <t>Collecting Point, Processing Unit, Trader with Storage</t>
        </is>
      </c>
      <c r="C11646" t="inlineStr">
        <is>
          <t>RINA Services S.p.A., Genova, IT</t>
        </is>
      </c>
      <c r="D11646" t="inlineStr">
        <is>
          <t>27.11.2026</t>
        </is>
      </c>
      <c r="E11646" t="inlineStr">
        <is>
          <t>China</t>
        </is>
      </c>
    </row>
    <row r="11647">
      <c r="A11647" t="inlineStr">
        <is>
          <t>XIAMEN KINGRAY OPTICAL CO.,LTD.,  Fujian, China</t>
        </is>
      </c>
      <c r="B11647" t="inlineStr">
        <is>
          <t>Processing Unit</t>
        </is>
      </c>
      <c r="C11647" t="inlineStr">
        <is>
          <t>RINA Services S.p.A., Genova, IT</t>
        </is>
      </c>
      <c r="D11647" t="inlineStr">
        <is>
          <t>27.11.2026</t>
        </is>
      </c>
      <c r="E11647" t="inlineStr">
        <is>
          <t>China</t>
        </is>
      </c>
    </row>
    <row r="11648">
      <c r="A11648" t="inlineStr">
        <is>
          <t>Prowell (Vietnam) Co.,Ltd,  Dong Nai Province, Vietnam</t>
        </is>
      </c>
      <c r="B11648" t="inlineStr">
        <is>
          <t>Final Product Refinement</t>
        </is>
      </c>
      <c r="C11648" t="inlineStr">
        <is>
          <t>SGS Germany GmbH, Emstek, DE</t>
        </is>
      </c>
      <c r="D11648" t="inlineStr">
        <is>
          <t>27.11.2026</t>
        </is>
      </c>
      <c r="E11648" t="inlineStr">
        <is>
          <t>Vietnam</t>
        </is>
      </c>
    </row>
    <row r="11649">
      <c r="A11649" t="inlineStr">
        <is>
          <t>The Brick Chick,  Nairobi, Kenya</t>
        </is>
      </c>
      <c r="B11649" t="inlineStr">
        <is>
          <t>Collecting Point, Trader with Storage</t>
        </is>
      </c>
      <c r="C11649" t="inlineStr">
        <is>
          <t>RINA Services S.p.A., Genova, IT</t>
        </is>
      </c>
      <c r="D11649" t="inlineStr">
        <is>
          <t>26.11.2026</t>
        </is>
      </c>
      <c r="E11649" t="inlineStr">
        <is>
          <t>Kenya</t>
        </is>
      </c>
    </row>
    <row r="11650">
      <c r="A11650" t="inlineStr">
        <is>
          <t>Flemstofte Knus og Bio,  Fuglebjerg, Denmark</t>
        </is>
      </c>
      <c r="B11650" t="inlineStr">
        <is>
          <t>Collecting Point, First Gathering Point</t>
        </is>
      </c>
      <c r="C11650" t="inlineStr">
        <is>
          <t>Baltic Control Certification, Risskov, DK</t>
        </is>
      </c>
      <c r="D11650" t="inlineStr">
        <is>
          <t>26.11.2026</t>
        </is>
      </c>
      <c r="E11650" t="inlineStr">
        <is>
          <t>Denmark</t>
        </is>
      </c>
    </row>
    <row r="11651">
      <c r="A11651" t="inlineStr">
        <is>
          <t>Tangshan Jinlihai Biodiesel Co., Ltd,  Luannan County, Tangshan City, Hebei Province, China</t>
        </is>
      </c>
      <c r="B11651" t="inlineStr">
        <is>
          <t>Processing Unit, Collecting Point, Trader with Storage</t>
        </is>
      </c>
      <c r="C11651" t="inlineStr">
        <is>
          <t>TÜV NORD CERT GmbH, Essen, DE</t>
        </is>
      </c>
      <c r="D11651" t="inlineStr">
        <is>
          <t>26.11.2026</t>
        </is>
      </c>
      <c r="E11651" t="inlineStr">
        <is>
          <t>China</t>
        </is>
      </c>
    </row>
    <row r="11652">
      <c r="A11652" t="inlineStr">
        <is>
          <t>WESTERN FRESH INDUSTRIES,  Homabay, Kenya</t>
        </is>
      </c>
      <c r="B11652" t="inlineStr">
        <is>
          <t>First Gathering Point, Trader with Storage</t>
        </is>
      </c>
      <c r="C11652" t="inlineStr">
        <is>
          <t>RINA Services S.p.A., Genova, IT</t>
        </is>
      </c>
      <c r="D11652" t="inlineStr">
        <is>
          <t>26.11.2026</t>
        </is>
      </c>
      <c r="E11652" t="inlineStr">
        <is>
          <t>Kenya</t>
        </is>
      </c>
    </row>
    <row r="11653">
      <c r="A11653" t="inlineStr">
        <is>
          <t>PT AGRO MERAK SEJAHTERA,  Jambi, Indonesia</t>
        </is>
      </c>
      <c r="B11653" t="inlineStr">
        <is>
          <t>Point of Origin</t>
        </is>
      </c>
      <c r="C11653" t="inlineStr">
        <is>
          <t>RINA Services S.p.A., Genova, IT</t>
        </is>
      </c>
      <c r="D11653" t="inlineStr">
        <is>
          <t>26.11.2026</t>
        </is>
      </c>
      <c r="E11653" t="inlineStr">
        <is>
          <t>Indonesia</t>
        </is>
      </c>
    </row>
    <row r="11654">
      <c r="A11654" t="inlineStr">
        <is>
          <t>Firestone Liberia,  Margibi County, Liberia</t>
        </is>
      </c>
      <c r="B11654" t="inlineStr">
        <is>
          <t>Farm / Plantation, First Gathering Point</t>
        </is>
      </c>
      <c r="C11654" t="inlineStr">
        <is>
          <t>SCS Global Services, Emeryville, CA, US</t>
        </is>
      </c>
      <c r="D11654" t="inlineStr">
        <is>
          <t>26.11.2026</t>
        </is>
      </c>
      <c r="E11654" t="inlineStr">
        <is>
          <t>Liberia</t>
        </is>
      </c>
    </row>
    <row r="11655">
      <c r="A11655" t="inlineStr">
        <is>
          <t>TSRC CORPORATION,  Kaohsiung City, Taiwan</t>
        </is>
      </c>
      <c r="B11655" t="inlineStr">
        <is>
          <t>Processing Unit, Trader with Storage</t>
        </is>
      </c>
      <c r="C11655" t="inlineStr">
        <is>
          <t>Bureau Veritas Polska Sp. z o.o., Warsaw, PL</t>
        </is>
      </c>
      <c r="D11655" t="inlineStr">
        <is>
          <t>26.11.2026</t>
        </is>
      </c>
      <c r="E11655" t="inlineStr">
        <is>
          <t>Taiwan</t>
        </is>
      </c>
    </row>
    <row r="11656">
      <c r="A11656" t="inlineStr">
        <is>
          <t>JIANGSU REBO NEW MATERIAL TECHNOLOGY Co., Ltd.,  Lianyungang City, Jiangsu Province, China</t>
        </is>
      </c>
      <c r="B11656" t="inlineStr">
        <is>
          <t>Processing Unit</t>
        </is>
      </c>
      <c r="C11656" t="inlineStr">
        <is>
          <t>SCS Global Services, Emeryville, CA, US</t>
        </is>
      </c>
      <c r="D11656" t="inlineStr">
        <is>
          <t>26.11.2026</t>
        </is>
      </c>
      <c r="E11656" t="inlineStr">
        <is>
          <t>China</t>
        </is>
      </c>
    </row>
    <row r="11657">
      <c r="A11657" t="inlineStr">
        <is>
          <t>PT Binasawit Abadi Pratama,  Kabupaten Kotawaringin Timur, Kalimantan Tengah, Indonesia</t>
        </is>
      </c>
      <c r="B11657" t="inlineStr">
        <is>
          <t>Warehouse</t>
        </is>
      </c>
      <c r="C11657" t="inlineStr">
        <is>
          <t>PT Intertek Utama Services, Jakarta, ID</t>
        </is>
      </c>
      <c r="D11657" t="inlineStr">
        <is>
          <t>26.11.2026</t>
        </is>
      </c>
      <c r="E11657" t="inlineStr">
        <is>
          <t>Indonesia</t>
        </is>
      </c>
    </row>
    <row r="11658">
      <c r="A11658" t="inlineStr">
        <is>
          <t>RISUPACK,  Isesaki-city, Japan</t>
        </is>
      </c>
      <c r="B11658" t="inlineStr">
        <is>
          <t>Processing Unit</t>
        </is>
      </c>
      <c r="C11658" t="inlineStr">
        <is>
          <t>SCS Global Services, Emeryville, CA, US</t>
        </is>
      </c>
      <c r="D11658" t="inlineStr">
        <is>
          <t>26.11.2026</t>
        </is>
      </c>
      <c r="E11658" t="inlineStr">
        <is>
          <t>Japan</t>
        </is>
      </c>
    </row>
    <row r="11659">
      <c r="A11659" t="inlineStr">
        <is>
          <t>PT Tapian Nadenggan,  Kabupaten Seruyan, Kalimantan Tengah, Indonesia</t>
        </is>
      </c>
      <c r="B11659" t="inlineStr">
        <is>
          <t>First Gathering Point, Processing Unit</t>
        </is>
      </c>
      <c r="C11659" t="inlineStr">
        <is>
          <t>PT Intertek Utama Services, Jakarta, ID</t>
        </is>
      </c>
      <c r="D11659" t="inlineStr">
        <is>
          <t>26.11.2026</t>
        </is>
      </c>
      <c r="E11659" t="inlineStr">
        <is>
          <t>Indonesia</t>
        </is>
      </c>
    </row>
    <row r="11660">
      <c r="A11660" t="inlineStr">
        <is>
          <t>Olipro Gestion SL,  Elche, Spain</t>
        </is>
      </c>
      <c r="B11660" t="inlineStr">
        <is>
          <t>Collecting Point</t>
        </is>
      </c>
      <c r="C11660" t="inlineStr">
        <is>
          <t>Control Union Poland Sp. z o.o., Zielona Gora, PL</t>
        </is>
      </c>
      <c r="D11660" t="inlineStr">
        <is>
          <t>26.11.2026</t>
        </is>
      </c>
      <c r="E11660" t="inlineStr">
        <is>
          <t>Spain</t>
        </is>
      </c>
    </row>
    <row r="11661">
      <c r="A11661" t="inlineStr">
        <is>
          <t>Chongqing Yikang Environmental Engineering Co.,Ltd Qianjiang Branch,  Chongqing, China</t>
        </is>
      </c>
      <c r="B11661" t="inlineStr">
        <is>
          <t>Collecting Point, Processing Unit</t>
        </is>
      </c>
      <c r="C11661" t="inlineStr">
        <is>
          <t>RINA Services S.p.A., Genova, IT</t>
        </is>
      </c>
      <c r="D11661" t="inlineStr">
        <is>
          <t>26.11.2026</t>
        </is>
      </c>
      <c r="E11661" t="inlineStr">
        <is>
          <t>China</t>
        </is>
      </c>
    </row>
    <row r="11662">
      <c r="A11662" t="inlineStr">
        <is>
          <t>Cerea, a.s.,  Pardubice, Czech Republic</t>
        </is>
      </c>
      <c r="B11662" t="inlineStr">
        <is>
          <t>First Gathering Point, Logistics Center, Trader with Storage</t>
        </is>
      </c>
      <c r="C11662" t="inlineStr">
        <is>
          <t>PT Intertek Utama Services, Jakarta, ID</t>
        </is>
      </c>
      <c r="D11662" t="inlineStr">
        <is>
          <t>26.11.2026</t>
        </is>
      </c>
      <c r="E11662" t="inlineStr">
        <is>
          <t>Czech Republic</t>
        </is>
      </c>
    </row>
    <row r="11663">
      <c r="A11663" t="inlineStr">
        <is>
          <t>Genol Gesellschaft m.b.H.,  Korneuburg, Austria</t>
        </is>
      </c>
      <c r="B11663" t="inlineStr">
        <is>
          <t>Trader</t>
        </is>
      </c>
      <c r="C11663" t="inlineStr">
        <is>
          <t>agroVet GmbH, Enzersfeld, AT</t>
        </is>
      </c>
      <c r="D11663" t="inlineStr">
        <is>
          <t>26.11.2026</t>
        </is>
      </c>
      <c r="E11663" t="inlineStr">
        <is>
          <t>Austria</t>
        </is>
      </c>
    </row>
    <row r="11664">
      <c r="A11664" t="inlineStr">
        <is>
          <t>KG Deutsche Gasrußwerke GmbH&amp; Co,  Dortmund, Germany</t>
        </is>
      </c>
      <c r="B11664" t="inlineStr">
        <is>
          <t>Processing Unit, Trader with Storage</t>
        </is>
      </c>
      <c r="C11664" t="inlineStr">
        <is>
          <t>DQS CFS GmbH - Deutsche Gesellschaft für Nachhaltigkeit, Frankfurt am Main, DE</t>
        </is>
      </c>
      <c r="D11664" t="inlineStr">
        <is>
          <t>26.11.2026</t>
        </is>
      </c>
      <c r="E11664" t="inlineStr">
        <is>
          <t>Germany</t>
        </is>
      </c>
    </row>
    <row r="11665">
      <c r="A11665" t="inlineStr">
        <is>
          <t>FincoEnergies – International Marine B.V.,  Rotterdam, Netherlands</t>
        </is>
      </c>
      <c r="B11665" t="inlineStr">
        <is>
          <t>Proof of Compliance Trader, Trader</t>
        </is>
      </c>
      <c r="C11665" t="inlineStr">
        <is>
          <t>Control Union Certifications Germany GmbH, Berlin, DE</t>
        </is>
      </c>
      <c r="D11665" t="inlineStr">
        <is>
          <t>26.11.2026</t>
        </is>
      </c>
      <c r="E11665" t="inlineStr">
        <is>
          <t>Netherlands</t>
        </is>
      </c>
    </row>
    <row r="11666">
      <c r="A11666" t="inlineStr">
        <is>
          <t>Olleco Ireland Unlimited Company,  Liverpool, United Kingdom</t>
        </is>
      </c>
      <c r="B11666" t="inlineStr">
        <is>
          <t>Collecting Point, Trader</t>
        </is>
      </c>
      <c r="C11666" t="inlineStr">
        <is>
          <t>Control Union Certifications Germany GmbH, Berlin, DE</t>
        </is>
      </c>
      <c r="D11666" t="inlineStr">
        <is>
          <t>26.11.2026</t>
        </is>
      </c>
      <c r="E11666" t="inlineStr">
        <is>
          <t>United Kingdom</t>
        </is>
      </c>
    </row>
    <row r="11667">
      <c r="A11667" t="inlineStr">
        <is>
          <t>SC LTA MONDIAL SRL,  Baia, Romania</t>
        </is>
      </c>
      <c r="B11667" t="inlineStr">
        <is>
          <t>First Gathering Point, Processing Unit</t>
        </is>
      </c>
      <c r="C11667" t="inlineStr">
        <is>
          <t>SGS Germany GmbH, Emstek, DE</t>
        </is>
      </c>
      <c r="D11667" t="inlineStr">
        <is>
          <t>26.11.2026</t>
        </is>
      </c>
      <c r="E11667" t="inlineStr">
        <is>
          <t>Romania</t>
        </is>
      </c>
    </row>
    <row r="11668">
      <c r="A11668" t="inlineStr">
        <is>
          <t>Fuji Seal Inc. Tsukuba Factory,  Ibaraki, Japan</t>
        </is>
      </c>
      <c r="B11668" t="inlineStr">
        <is>
          <t>Processing Unit, Final Product Refinement</t>
        </is>
      </c>
      <c r="C11668" t="inlineStr">
        <is>
          <t>SGS Germany GmbH, Emstek, DE</t>
        </is>
      </c>
      <c r="D11668" t="inlineStr">
        <is>
          <t>26.11.2026</t>
        </is>
      </c>
      <c r="E11668" t="inlineStr">
        <is>
          <t>Japan</t>
        </is>
      </c>
    </row>
    <row r="11669">
      <c r="A11669" t="inlineStr">
        <is>
          <t>North West Edible Oils,  Southport, United Kingdom</t>
        </is>
      </c>
      <c r="B11669" t="inlineStr">
        <is>
          <t>Collecting Point</t>
        </is>
      </c>
      <c r="C11669" t="inlineStr">
        <is>
          <t>SGS Germany GmbH, Emstek, DE</t>
        </is>
      </c>
      <c r="D11669" t="inlineStr">
        <is>
          <t>26.11.2026</t>
        </is>
      </c>
      <c r="E11669" t="inlineStr">
        <is>
          <t>United Kingdom</t>
        </is>
      </c>
    </row>
    <row r="11670">
      <c r="A11670" t="inlineStr">
        <is>
          <t>Fuji Seal Inc. Nabari Factory,  Nabari-Shi. Mie, Japan</t>
        </is>
      </c>
      <c r="B11670" t="inlineStr">
        <is>
          <t>Final Product Refinement</t>
        </is>
      </c>
      <c r="C11670" t="inlineStr">
        <is>
          <t>SGS Germany GmbH, Emstek, DE</t>
        </is>
      </c>
      <c r="D11670" t="inlineStr">
        <is>
          <t>26.11.2026</t>
        </is>
      </c>
      <c r="E11670" t="inlineStr">
        <is>
          <t>Japan</t>
        </is>
      </c>
    </row>
    <row r="11671">
      <c r="A11671" t="inlineStr">
        <is>
          <t>MITSUWA CO.,LTD. OSAKA Branch,  Cyuo-ku, Osaka, Japan</t>
        </is>
      </c>
      <c r="B11671" t="inlineStr">
        <is>
          <t>Trader</t>
        </is>
      </c>
      <c r="C11671" t="inlineStr">
        <is>
          <t>SGS Germany GmbH, Emstek, DE</t>
        </is>
      </c>
      <c r="D11671" t="inlineStr">
        <is>
          <t>26.11.2026</t>
        </is>
      </c>
      <c r="E11671" t="inlineStr">
        <is>
          <t>Japan</t>
        </is>
      </c>
    </row>
    <row r="11672">
      <c r="A11672" t="inlineStr">
        <is>
          <t>APLIS Corporation,  Musashino-shi, Tokyo, Japan</t>
        </is>
      </c>
      <c r="B11672" t="inlineStr">
        <is>
          <t>Trader</t>
        </is>
      </c>
      <c r="C11672" t="inlineStr">
        <is>
          <t>SGS Germany GmbH, Emstek, DE</t>
        </is>
      </c>
      <c r="D11672" t="inlineStr">
        <is>
          <t>26.11.2026</t>
        </is>
      </c>
      <c r="E11672" t="inlineStr">
        <is>
          <t>Japan</t>
        </is>
      </c>
    </row>
    <row r="11673">
      <c r="A11673" t="inlineStr">
        <is>
          <t>MIROAD CO., LTD.,  Samseong-myeon, Eumseong-gun, Chungcheongbuk-do, South Korea</t>
        </is>
      </c>
      <c r="B11673" t="inlineStr">
        <is>
          <t>Trader</t>
        </is>
      </c>
      <c r="C11673" t="inlineStr">
        <is>
          <t>Control Union Certifications Germany GmbH, Berlin, DE</t>
        </is>
      </c>
      <c r="D11673" t="inlineStr">
        <is>
          <t>26.11.2026</t>
        </is>
      </c>
      <c r="E11673" t="inlineStr">
        <is>
          <t>South Korea</t>
        </is>
      </c>
    </row>
    <row r="11674">
      <c r="A11674" t="inlineStr">
        <is>
          <t>KRT Co.,LTD.,  Daeya-myeon, Gunsan-si, Jeonbuk-do, South Korea</t>
        </is>
      </c>
      <c r="B11674" t="inlineStr">
        <is>
          <t>Collecting Point, Processing Unit</t>
        </is>
      </c>
      <c r="C11674" t="inlineStr">
        <is>
          <t>Control Union Certifications Germany GmbH, Berlin, DE</t>
        </is>
      </c>
      <c r="D11674" t="inlineStr">
        <is>
          <t>26.11.2026</t>
        </is>
      </c>
      <c r="E11674" t="inlineStr">
        <is>
          <t>South Korea</t>
        </is>
      </c>
    </row>
    <row r="11675">
      <c r="A11675" t="inlineStr">
        <is>
          <t>CheeShine New Material (Shandong) Co., Ltd.,  Linyi City, Shandong Province, China</t>
        </is>
      </c>
      <c r="B11675" t="inlineStr">
        <is>
          <t>Processing Unit</t>
        </is>
      </c>
      <c r="C11675" t="inlineStr">
        <is>
          <t>SCS Global Services, Emeryville, CA, US</t>
        </is>
      </c>
      <c r="D11675" t="inlineStr">
        <is>
          <t>26.11.2026</t>
        </is>
      </c>
      <c r="E11675" t="inlineStr">
        <is>
          <t>China</t>
        </is>
      </c>
    </row>
    <row r="11676">
      <c r="A11676" t="inlineStr">
        <is>
          <t>SUN YUAN OPTICAL (VIETNAM) COMPANY LIMITED,  /, Vietnam</t>
        </is>
      </c>
      <c r="B11676" t="inlineStr">
        <is>
          <t>Processing Unit, Final Product Refinement</t>
        </is>
      </c>
      <c r="C11676" t="inlineStr">
        <is>
          <t>PT Intertek Utama Services, Jakarta, ID</t>
        </is>
      </c>
      <c r="D11676" t="inlineStr">
        <is>
          <t>26.11.2026</t>
        </is>
      </c>
      <c r="E11676" t="inlineStr">
        <is>
          <t>Vietnam</t>
        </is>
      </c>
    </row>
    <row r="11677">
      <c r="A11677" t="inlineStr">
        <is>
          <t>Fertiglobe Distribution Limited,  Al Maryah Island, Abu Dhabi, United Arab Emirates</t>
        </is>
      </c>
      <c r="B11677" t="inlineStr">
        <is>
          <t>Trader</t>
        </is>
      </c>
      <c r="C11677" t="inlineStr">
        <is>
          <t>SGS Germany GmbH, Emstek, DE</t>
        </is>
      </c>
      <c r="D11677" t="inlineStr">
        <is>
          <t>26.11.2026</t>
        </is>
      </c>
      <c r="E11677" t="inlineStr">
        <is>
          <t>United Arab Emirates</t>
        </is>
      </c>
    </row>
    <row r="11678">
      <c r="A11678" t="inlineStr">
        <is>
          <t>CITUS TRADING PTE LTD,  SUNTEC TOWER ONE, Singapore</t>
        </is>
      </c>
      <c r="B11678" t="inlineStr">
        <is>
          <t>Trader</t>
        </is>
      </c>
      <c r="C11678" t="inlineStr">
        <is>
          <t>Double Helix Tracking Technologies Pte Ltd, Singapore, SG</t>
        </is>
      </c>
      <c r="D11678" t="inlineStr">
        <is>
          <t>26.11.2026</t>
        </is>
      </c>
      <c r="E11678" t="inlineStr">
        <is>
          <t>Singapore</t>
        </is>
      </c>
    </row>
    <row r="11679">
      <c r="A11679" t="inlineStr">
        <is>
          <t>CITUS TRADING PTE LTD,  SUNTEC TOWER ONE, Singapore</t>
        </is>
      </c>
      <c r="B11679" t="inlineStr">
        <is>
          <t>Trader</t>
        </is>
      </c>
      <c r="C11679" t="inlineStr">
        <is>
          <t>Double Helix Tracking Technologies Pte Ltd, Singapore, SG</t>
        </is>
      </c>
      <c r="D11679" t="inlineStr">
        <is>
          <t>26.11.2026</t>
        </is>
      </c>
      <c r="E11679" t="inlineStr">
        <is>
          <t>Singapore</t>
        </is>
      </c>
    </row>
    <row r="11680">
      <c r="A11680" t="inlineStr">
        <is>
          <t>F. Leitner D.O.O.,  Koper, Slovenia</t>
        </is>
      </c>
      <c r="B11680" t="inlineStr">
        <is>
          <t>Trader with Storage</t>
        </is>
      </c>
      <c r="C11680" t="inlineStr">
        <is>
          <t>agroVet GmbH, Enzersfeld, AT</t>
        </is>
      </c>
      <c r="D11680" t="inlineStr">
        <is>
          <t>26.11.2026</t>
        </is>
      </c>
      <c r="E11680" t="inlineStr">
        <is>
          <t>Slovenia</t>
        </is>
      </c>
    </row>
    <row r="11681">
      <c r="A11681" t="inlineStr">
        <is>
          <t>RP FUELS LIMITED,  MONTE CARLO, Monaco</t>
        </is>
      </c>
      <c r="B11681" t="inlineStr">
        <is>
          <t>Trader with Storage</t>
        </is>
      </c>
      <c r="C11681" t="inlineStr">
        <is>
          <t>Certificadora Gallega del Noroeste SL, Vilagarcia de Arousa-Pontevedra, ES</t>
        </is>
      </c>
      <c r="D11681" t="inlineStr">
        <is>
          <t>26.11.2026</t>
        </is>
      </c>
      <c r="E11681" t="inlineStr">
        <is>
          <t>Monaco</t>
        </is>
      </c>
    </row>
    <row r="11682">
      <c r="A11682" t="inlineStr">
        <is>
          <t>Nestlé France,  PONTARLIER, France</t>
        </is>
      </c>
      <c r="B11682" t="inlineStr">
        <is>
          <t>Final Product Refinement, Processing Unit</t>
        </is>
      </c>
      <c r="C11682" t="inlineStr">
        <is>
          <t>Bureau Veritas Polska Sp. z o.o., Warsaw, PL</t>
        </is>
      </c>
      <c r="D11682" t="inlineStr">
        <is>
          <t>26.11.2026</t>
        </is>
      </c>
      <c r="E11682" t="inlineStr">
        <is>
          <t>France</t>
        </is>
      </c>
    </row>
    <row r="11683">
      <c r="A11683" t="inlineStr">
        <is>
          <t>UBAG - Unterflurbetankungsanlage Flughafen Zürich AG,  Rümlang, Switzerland</t>
        </is>
      </c>
      <c r="B11683" t="inlineStr">
        <is>
          <t>Warehouse</t>
        </is>
      </c>
      <c r="C11683" t="inlineStr">
        <is>
          <t>Control Union Certifications Germany GmbH, Berlin, DE</t>
        </is>
      </c>
      <c r="D11683" t="inlineStr">
        <is>
          <t>26.11.2026</t>
        </is>
      </c>
      <c r="E11683" t="inlineStr">
        <is>
          <t>Switzerland</t>
        </is>
      </c>
    </row>
    <row r="11684">
      <c r="A11684" t="inlineStr">
        <is>
          <t>RP FUELS LIMITED,  MONTE CARLO, Monaco</t>
        </is>
      </c>
      <c r="B11684" t="inlineStr">
        <is>
          <t>Trader with Storage</t>
        </is>
      </c>
      <c r="C11684" t="inlineStr">
        <is>
          <t>Certificadora Gallega del Noroeste SL, Vilagarcia de Arousa-Pontevedra, ES</t>
        </is>
      </c>
      <c r="D11684" t="inlineStr">
        <is>
          <t>26.11.2026</t>
        </is>
      </c>
      <c r="E11684" t="inlineStr">
        <is>
          <t>Monaco</t>
        </is>
      </c>
    </row>
    <row r="11685">
      <c r="A11685" t="inlineStr">
        <is>
          <t>Hunan Xincheng New Energy Technology Co., Ltd.,  Xiangtan , Hunan, China</t>
        </is>
      </c>
      <c r="B11685" t="inlineStr">
        <is>
          <t>Collecting Point, Trader</t>
        </is>
      </c>
      <c r="C11685" t="inlineStr">
        <is>
          <t>SCS Global Services, Emeryville, CA, US</t>
        </is>
      </c>
      <c r="D11685" t="inlineStr">
        <is>
          <t>26.11.2026</t>
        </is>
      </c>
      <c r="E11685" t="inlineStr">
        <is>
          <t>China</t>
        </is>
      </c>
    </row>
    <row r="11686">
      <c r="A11686" t="inlineStr">
        <is>
          <t>Clarebout Potatoes,  Heuvelland, Belgium</t>
        </is>
      </c>
      <c r="B11686" t="inlineStr">
        <is>
          <t>Point of Origin, Processing Unit</t>
        </is>
      </c>
      <c r="C11686" t="inlineStr">
        <is>
          <t>Control Union Certifications Germany GmbH, Berlin, DE</t>
        </is>
      </c>
      <c r="D11686" t="inlineStr">
        <is>
          <t>26.11.2026</t>
        </is>
      </c>
      <c r="E11686" t="inlineStr">
        <is>
          <t>Belgium</t>
        </is>
      </c>
    </row>
    <row r="11687">
      <c r="A11687" t="inlineStr">
        <is>
          <t>ENGIE ESPAÑA SL,  Madrid, Spain</t>
        </is>
      </c>
      <c r="B11687" t="inlineStr">
        <is>
          <t>Trader</t>
        </is>
      </c>
      <c r="C11687" t="inlineStr">
        <is>
          <t>Double Helix Tracking Technologies Pte Ltd, Singapore, SG</t>
        </is>
      </c>
      <c r="D11687" t="inlineStr">
        <is>
          <t>26.11.2026</t>
        </is>
      </c>
      <c r="E11687" t="inlineStr">
        <is>
          <t>Spain</t>
        </is>
      </c>
    </row>
    <row r="11688">
      <c r="A11688" t="inlineStr">
        <is>
          <t>Kuwait Petroleum Aviation (Australia),  Sydney, Australia</t>
        </is>
      </c>
      <c r="B11688" t="inlineStr">
        <is>
          <t>Trader with Storage</t>
        </is>
      </c>
      <c r="C11688" t="inlineStr">
        <is>
          <t>SCS Global Services, Emeryville, CA, US</t>
        </is>
      </c>
      <c r="D11688" t="inlineStr">
        <is>
          <t>26.11.2026</t>
        </is>
      </c>
      <c r="E11688" t="inlineStr">
        <is>
          <t>Australia</t>
        </is>
      </c>
    </row>
    <row r="11689">
      <c r="A11689" t="inlineStr">
        <is>
          <t>Genco Oil Ltd. (HK),  Hunghom, Kowloon, Hong Kong</t>
        </is>
      </c>
      <c r="B11689" t="inlineStr">
        <is>
          <t>Trader</t>
        </is>
      </c>
      <c r="C11689" t="inlineStr">
        <is>
          <t>BM Certification, Riga, LV</t>
        </is>
      </c>
      <c r="D11689" t="inlineStr">
        <is>
          <t>26.11.2026</t>
        </is>
      </c>
      <c r="E11689" t="inlineStr">
        <is>
          <t>Hong Kong</t>
        </is>
      </c>
    </row>
    <row r="11690">
      <c r="A11690" t="inlineStr">
        <is>
          <t>CL Warneton,  Comines-Warneton, Belgium</t>
        </is>
      </c>
      <c r="B11690" t="inlineStr">
        <is>
          <t>Point of Origin, Processing Unit</t>
        </is>
      </c>
      <c r="C11690" t="inlineStr">
        <is>
          <t>Control Union Certifications Germany GmbH, Berlin, DE</t>
        </is>
      </c>
      <c r="D11690" t="inlineStr">
        <is>
          <t>26.11.2026</t>
        </is>
      </c>
      <c r="E11690" t="inlineStr">
        <is>
          <t>Belgium</t>
        </is>
      </c>
    </row>
    <row r="11691">
      <c r="A11691" t="inlineStr">
        <is>
          <t>Continental Tire the Americas,  Mount Vernon, United States</t>
        </is>
      </c>
      <c r="B11691" t="inlineStr">
        <is>
          <t>Processing Unit</t>
        </is>
      </c>
      <c r="C11691" t="inlineStr">
        <is>
          <t>DQS CFS GmbH - Deutsche Gesellschaft für Nachhaltigkeit, Frankfurt am Main, DE</t>
        </is>
      </c>
      <c r="D11691" t="inlineStr">
        <is>
          <t>26.11.2026</t>
        </is>
      </c>
      <c r="E11691" t="inlineStr">
        <is>
          <t>United States</t>
        </is>
      </c>
    </row>
    <row r="11692">
      <c r="A11692" t="inlineStr">
        <is>
          <t>BIO COMMODITIES 2024,  Madrid, Spain</t>
        </is>
      </c>
      <c r="B11692" t="inlineStr">
        <is>
          <t>Trader</t>
        </is>
      </c>
      <c r="C11692" t="inlineStr">
        <is>
          <t>RINA Services S.p.A., Genova, IT</t>
        </is>
      </c>
      <c r="D11692" t="inlineStr">
        <is>
          <t>26.11.2026</t>
        </is>
      </c>
      <c r="E11692" t="inlineStr">
        <is>
          <t>Spain</t>
        </is>
      </c>
    </row>
    <row r="11693">
      <c r="A11693" t="inlineStr">
        <is>
          <t>MOON MOLES SL,  AZNALCOLLAR, Spain</t>
        </is>
      </c>
      <c r="B11693" t="inlineStr">
        <is>
          <t>Collecting Point, Trader with Storage</t>
        </is>
      </c>
      <c r="C11693" t="inlineStr">
        <is>
          <t>RINA Services S.p.A., Genova, IT</t>
        </is>
      </c>
      <c r="D11693" t="inlineStr">
        <is>
          <t>26.11.2026</t>
        </is>
      </c>
      <c r="E11693" t="inlineStr">
        <is>
          <t>Spain</t>
        </is>
      </c>
    </row>
    <row r="11694">
      <c r="A11694" t="inlineStr">
        <is>
          <t>PLANTA SARANDÍ,  Buenos Aires, Argentina</t>
        </is>
      </c>
      <c r="B11694" t="inlineStr">
        <is>
          <t>Collecting Point, Point of Origin, Trader with Storage</t>
        </is>
      </c>
      <c r="C11694" t="inlineStr">
        <is>
          <t>Control Union Certifications Germany GmbH, Berlin, DE</t>
        </is>
      </c>
      <c r="D11694" t="inlineStr">
        <is>
          <t>26.11.2026</t>
        </is>
      </c>
      <c r="E11694" t="inlineStr">
        <is>
          <t>Argentina</t>
        </is>
      </c>
    </row>
    <row r="11695">
      <c r="A11695" t="inlineStr">
        <is>
          <t>EUROFILM MANTZARIS S.A.,  ZEVGOLATIO, KORINTHIAS, Greece</t>
        </is>
      </c>
      <c r="B11695" t="inlineStr">
        <is>
          <t>Processing Unit</t>
        </is>
      </c>
      <c r="C11695" t="inlineStr">
        <is>
          <t>Eurocert SA, Metamorfosi, Athens, GR</t>
        </is>
      </c>
      <c r="D11695" t="inlineStr">
        <is>
          <t>26.11.2026</t>
        </is>
      </c>
      <c r="E11695" t="inlineStr">
        <is>
          <t>Greece</t>
        </is>
      </c>
    </row>
    <row r="11696">
      <c r="A11696" t="inlineStr">
        <is>
          <t>Chatzimichail Ourania,  Kos, Greece</t>
        </is>
      </c>
      <c r="B11696" t="inlineStr">
        <is>
          <t>Collecting Point</t>
        </is>
      </c>
      <c r="C11696" t="inlineStr">
        <is>
          <t>Eurocert SA, Metamorfosi, Athens, GR</t>
        </is>
      </c>
      <c r="D11696" t="inlineStr">
        <is>
          <t>26.11.2026</t>
        </is>
      </c>
      <c r="E11696" t="inlineStr">
        <is>
          <t>Greece</t>
        </is>
      </c>
    </row>
    <row r="11697">
      <c r="A11697" t="inlineStr">
        <is>
          <t>Chongqing Yikang Environmental Engineering Co.,Ltd Qijiang Branch,  Chongqing, China</t>
        </is>
      </c>
      <c r="B11697" t="inlineStr">
        <is>
          <t>Collecting Point, Processing Unit</t>
        </is>
      </c>
      <c r="C11697" t="inlineStr">
        <is>
          <t>RINA Services S.p.A., Genova, IT</t>
        </is>
      </c>
      <c r="D11697" t="inlineStr">
        <is>
          <t>26.11.2026</t>
        </is>
      </c>
      <c r="E11697" t="inlineStr">
        <is>
          <t>China</t>
        </is>
      </c>
    </row>
    <row r="11698">
      <c r="A11698" t="inlineStr">
        <is>
          <t>DB TARIMSAL ENERJI SAN VE TİCARET A.Ş.,  TORBALI/İZMİR, Turkey</t>
        </is>
      </c>
      <c r="B11698" t="inlineStr">
        <is>
          <t>Collecting Point, First Gathering Point, Point of Origin, Processing Unit</t>
        </is>
      </c>
      <c r="C11698" t="inlineStr">
        <is>
          <t>BM Certification, Riga, LV</t>
        </is>
      </c>
      <c r="D11698" t="inlineStr">
        <is>
          <t>26.11.2026</t>
        </is>
      </c>
      <c r="E11698" t="inlineStr">
        <is>
          <t>Turkey</t>
        </is>
      </c>
    </row>
    <row r="11699">
      <c r="A11699" t="inlineStr">
        <is>
          <t>SUN GIN,  Meru, Kenya</t>
        </is>
      </c>
      <c r="B11699" t="inlineStr">
        <is>
          <t>First Gathering Point, Processing Unit, Trader with Storage</t>
        </is>
      </c>
      <c r="C11699" t="inlineStr">
        <is>
          <t>RINA Services S.p.A., Genova, IT</t>
        </is>
      </c>
      <c r="D11699" t="inlineStr">
        <is>
          <t>26.11.2026</t>
        </is>
      </c>
      <c r="E11699" t="inlineStr">
        <is>
          <t>Kenya</t>
        </is>
      </c>
    </row>
    <row r="11700">
      <c r="A11700" t="inlineStr">
        <is>
          <t>Chongqing Yikang Environmental Engineering Co.,Ltd Fuling Branch,  Chongqing, China</t>
        </is>
      </c>
      <c r="B11700" t="inlineStr">
        <is>
          <t>Collecting Point, Processing Unit</t>
        </is>
      </c>
      <c r="C11700" t="inlineStr">
        <is>
          <t>RINA Services S.p.A., Genova, IT</t>
        </is>
      </c>
      <c r="D11700" t="inlineStr">
        <is>
          <t>26.11.2026</t>
        </is>
      </c>
      <c r="E11700" t="inlineStr">
        <is>
          <t>China</t>
        </is>
      </c>
    </row>
    <row r="11701">
      <c r="A11701" t="inlineStr">
        <is>
          <t>Vodovody a kanalizace Havlíčkův Brod, a. s.,  HAvlíčkův Brod, Czech Republic</t>
        </is>
      </c>
      <c r="B11701" t="inlineStr">
        <is>
          <t>Point of Origin, Collecting Point, Processing Unit</t>
        </is>
      </c>
      <c r="C11701" t="inlineStr">
        <is>
          <t>TÜV SÜD Czech s.r.o., Praha 4, CZ</t>
        </is>
      </c>
      <c r="D11701" t="inlineStr">
        <is>
          <t>26.11.2026</t>
        </is>
      </c>
      <c r="E11701" t="inlineStr">
        <is>
          <t>Czech Republic</t>
        </is>
      </c>
    </row>
    <row r="11702">
      <c r="A11702" t="inlineStr">
        <is>
          <t>Meroco, a.s.,  Leopoldov, Slovakia</t>
        </is>
      </c>
      <c r="B11702" t="inlineStr">
        <is>
          <t>Point of Origin, Collecting Point, Trader with Storage, Processing Unit</t>
        </is>
      </c>
      <c r="C11702" t="inlineStr">
        <is>
          <t>SGS Germany GmbH, Emstek, DE</t>
        </is>
      </c>
      <c r="D11702" t="inlineStr">
        <is>
          <t>26.11.2026</t>
        </is>
      </c>
      <c r="E11702" t="inlineStr">
        <is>
          <t>Slovakia</t>
        </is>
      </c>
    </row>
    <row r="11703">
      <c r="A11703" t="inlineStr">
        <is>
          <t>Chongqing Yikang Environmental Engineering Co.,Ltd Yongchuan Branch,  Chongqing, China</t>
        </is>
      </c>
      <c r="B11703" t="inlineStr">
        <is>
          <t>Collecting Point, Processing Unit</t>
        </is>
      </c>
      <c r="C11703" t="inlineStr">
        <is>
          <t>RINA Services S.p.A., Genova, IT</t>
        </is>
      </c>
      <c r="D11703" t="inlineStr">
        <is>
          <t>26.11.2026</t>
        </is>
      </c>
      <c r="E11703" t="inlineStr">
        <is>
          <t>China</t>
        </is>
      </c>
    </row>
    <row r="11704">
      <c r="A11704" t="inlineStr">
        <is>
          <t>Distillerie Bonollo Umberto Spa,  Conselve, Italy</t>
        </is>
      </c>
      <c r="B11704" t="inlineStr">
        <is>
          <t>Collecting Point, Trader with Storage, Processing Unit</t>
        </is>
      </c>
      <c r="C11704" t="inlineStr">
        <is>
          <t>SGS Germany GmbH, Emstek, DE</t>
        </is>
      </c>
      <c r="D11704" t="inlineStr">
        <is>
          <t>26.11.2026</t>
        </is>
      </c>
      <c r="E11704" t="inlineStr">
        <is>
          <t>Italy</t>
        </is>
      </c>
    </row>
    <row r="11705">
      <c r="A11705" t="inlineStr">
        <is>
          <t>IBERDROLA ENERGIA ESPAÑA,  Madrid, Spain</t>
        </is>
      </c>
      <c r="B11705" t="inlineStr">
        <is>
          <t>Trader</t>
        </is>
      </c>
      <c r="C11705" t="inlineStr">
        <is>
          <t>SGS Germany GmbH, Emstek, DE</t>
        </is>
      </c>
      <c r="D11705" t="inlineStr">
        <is>
          <t>26.11.2026</t>
        </is>
      </c>
      <c r="E11705" t="inlineStr">
        <is>
          <t>Spain</t>
        </is>
      </c>
    </row>
    <row r="11706">
      <c r="A11706" t="inlineStr">
        <is>
          <t>Chevron Phillips Chemical Company,  Pasadena, Texas, United States</t>
        </is>
      </c>
      <c r="B11706" t="inlineStr">
        <is>
          <t>Processing Unit</t>
        </is>
      </c>
      <c r="C11706" t="inlineStr">
        <is>
          <t>SCS Global Services, Emeryville, CA, US</t>
        </is>
      </c>
      <c r="D11706" t="inlineStr">
        <is>
          <t>25.11.2026</t>
        </is>
      </c>
      <c r="E11706" t="inlineStr">
        <is>
          <t>United States</t>
        </is>
      </c>
    </row>
    <row r="11707">
      <c r="A11707" t="inlineStr">
        <is>
          <t>Chevron Phillips Chemical Company,  Orange, Texas, United States</t>
        </is>
      </c>
      <c r="B11707" t="inlineStr">
        <is>
          <t>Processing Unit</t>
        </is>
      </c>
      <c r="C11707" t="inlineStr">
        <is>
          <t>SCS Global Services, Emeryville, CA, US</t>
        </is>
      </c>
      <c r="D11707" t="inlineStr">
        <is>
          <t>25.11.2026</t>
        </is>
      </c>
      <c r="E11707" t="inlineStr">
        <is>
          <t>United States</t>
        </is>
      </c>
    </row>
    <row r="11708">
      <c r="A11708" t="inlineStr">
        <is>
          <t>Sekundar usluge d.o.o.,  Jurdani, Croatia</t>
        </is>
      </c>
      <c r="B11708" t="inlineStr">
        <is>
          <t>Collecting Point</t>
        </is>
      </c>
      <c r="C11708" t="inlineStr">
        <is>
          <t>DNV Business Assurance Sweden AB, Solna, SE</t>
        </is>
      </c>
      <c r="D11708" t="inlineStr">
        <is>
          <t>25.11.2026</t>
        </is>
      </c>
      <c r="E11708" t="inlineStr">
        <is>
          <t>Croatia</t>
        </is>
      </c>
    </row>
    <row r="11709">
      <c r="A11709" t="inlineStr">
        <is>
          <t>Qingdao Xihai Huiyang Renewable Resources Co., Ltd,  Linyi City, Shandong Province,, China</t>
        </is>
      </c>
      <c r="B11709" t="inlineStr">
        <is>
          <t>Collecting Point, Trader with Storage</t>
        </is>
      </c>
      <c r="C11709" t="inlineStr">
        <is>
          <t>SCS Global Services, Emeryville, CA, US</t>
        </is>
      </c>
      <c r="D11709" t="inlineStr">
        <is>
          <t>25.11.2026</t>
        </is>
      </c>
      <c r="E11709" t="inlineStr">
        <is>
          <t>China</t>
        </is>
      </c>
    </row>
    <row r="11710">
      <c r="A11710" t="inlineStr">
        <is>
          <t>Chongqing Fuzhongfu Import&amp;Export Company Limited,  Jiangjin District, Chongqing, China</t>
        </is>
      </c>
      <c r="B11710" t="inlineStr">
        <is>
          <t>Collecting Point, Processing Unit</t>
        </is>
      </c>
      <c r="C11710" t="inlineStr">
        <is>
          <t>SCS Global Services, Emeryville, CA, US</t>
        </is>
      </c>
      <c r="D11710" t="inlineStr">
        <is>
          <t>25.11.2026</t>
        </is>
      </c>
      <c r="E11710" t="inlineStr">
        <is>
          <t>China</t>
        </is>
      </c>
    </row>
    <row r="11711">
      <c r="A11711" t="inlineStr">
        <is>
          <t>Dongguan Junyu Plastic Mold Co., Ltd,  Dongguan City, China</t>
        </is>
      </c>
      <c r="B11711" t="inlineStr">
        <is>
          <t>Final Product Refinement, Processing Unit</t>
        </is>
      </c>
      <c r="C11711" t="inlineStr">
        <is>
          <t>Extensive Standard Technical Services Co., Ltd., Hong Kong, CN</t>
        </is>
      </c>
      <c r="D11711" t="inlineStr">
        <is>
          <t>25.11.2026</t>
        </is>
      </c>
      <c r="E11711" t="inlineStr">
        <is>
          <t>China</t>
        </is>
      </c>
    </row>
    <row r="11712">
      <c r="A11712" t="inlineStr">
        <is>
          <t>Qiyang Sung Shin China Limited,  Qiyang, Yongzhou City, Hunan Province, China</t>
        </is>
      </c>
      <c r="B11712" t="inlineStr">
        <is>
          <t>Processing Unit</t>
        </is>
      </c>
      <c r="C11712" t="inlineStr">
        <is>
          <t>China Quality Certification Centre Co., Ltd., Beijing, CN</t>
        </is>
      </c>
      <c r="D11712" t="inlineStr">
        <is>
          <t>25.11.2026</t>
        </is>
      </c>
      <c r="E11712" t="inlineStr">
        <is>
          <t>China</t>
        </is>
      </c>
    </row>
    <row r="11713">
      <c r="A11713" t="inlineStr">
        <is>
          <t>Shell NA LNG LLC,  Savannah, GA, United States</t>
        </is>
      </c>
      <c r="B11713" t="inlineStr">
        <is>
          <t>Processing Unit</t>
        </is>
      </c>
      <c r="C11713" t="inlineStr">
        <is>
          <t>SCS Global Services, Emeryville, CA, US</t>
        </is>
      </c>
      <c r="D11713" t="inlineStr">
        <is>
          <t>25.11.2026</t>
        </is>
      </c>
      <c r="E11713" t="inlineStr">
        <is>
          <t>United States</t>
        </is>
      </c>
    </row>
    <row r="11714">
      <c r="A11714" t="inlineStr">
        <is>
          <t>Shell NA LNG LLC,  Savannah, GA, United States</t>
        </is>
      </c>
      <c r="B11714" t="inlineStr">
        <is>
          <t>Processing Unit</t>
        </is>
      </c>
      <c r="C11714" t="inlineStr">
        <is>
          <t>SCS Global Services, Emeryville, CA, US</t>
        </is>
      </c>
      <c r="D11714" t="inlineStr">
        <is>
          <t>25.11.2026</t>
        </is>
      </c>
      <c r="E11714" t="inlineStr">
        <is>
          <t>United States</t>
        </is>
      </c>
    </row>
    <row r="11715">
      <c r="A11715" t="inlineStr">
        <is>
          <t>Bergé Marítima, S.L.,  Cartagena (Murcia), Spain</t>
        </is>
      </c>
      <c r="B11715" t="inlineStr">
        <is>
          <t>Logistics Center</t>
        </is>
      </c>
      <c r="C11715" t="inlineStr">
        <is>
          <t>Control Union Poland Sp. z o.o., Zielona Gora, PL</t>
        </is>
      </c>
      <c r="D11715" t="inlineStr">
        <is>
          <t>25.11.2026</t>
        </is>
      </c>
      <c r="E11715" t="inlineStr">
        <is>
          <t>Spain</t>
        </is>
      </c>
    </row>
    <row r="11716">
      <c r="A11716" t="inlineStr">
        <is>
          <t>Ellba CV,  Klundert, The Netherlands</t>
        </is>
      </c>
      <c r="B11716" t="inlineStr">
        <is>
          <t>Processing Unit</t>
        </is>
      </c>
      <c r="C11716" t="inlineStr">
        <is>
          <t>SGS Germany GmbH, Emstek, DE</t>
        </is>
      </c>
      <c r="D11716" t="inlineStr">
        <is>
          <t>25.11.2026</t>
        </is>
      </c>
      <c r="E11716" t="inlineStr">
        <is>
          <t>The Netherlands</t>
        </is>
      </c>
    </row>
    <row r="11717">
      <c r="A11717" t="inlineStr">
        <is>
          <t>Kerteminde Biogas ApS,  Kerteminde, Denmark</t>
        </is>
      </c>
      <c r="B11717" t="inlineStr">
        <is>
          <t>Collecting Point, First Gathering Point, Processing Unit</t>
        </is>
      </c>
      <c r="C11717" t="inlineStr">
        <is>
          <t>Baltic Control Certification, Risskov, DK</t>
        </is>
      </c>
      <c r="D11717" t="inlineStr">
        <is>
          <t>25.11.2026</t>
        </is>
      </c>
      <c r="E11717" t="inlineStr">
        <is>
          <t>Denmark</t>
        </is>
      </c>
    </row>
    <row r="11718">
      <c r="A11718" t="inlineStr">
        <is>
          <t>Enviq PTE LTD,  Singapore, Singapore</t>
        </is>
      </c>
      <c r="B11718" t="inlineStr">
        <is>
          <t>Trader</t>
        </is>
      </c>
      <c r="C11718" t="inlineStr">
        <is>
          <t>ASG Cert GmbH, Munich, DE</t>
        </is>
      </c>
      <c r="D11718" t="inlineStr">
        <is>
          <t>25.11.2026</t>
        </is>
      </c>
      <c r="E11718" t="inlineStr">
        <is>
          <t>Singapore</t>
        </is>
      </c>
    </row>
    <row r="11719">
      <c r="A11719" t="inlineStr">
        <is>
          <t>OSC SIAM SILICA,  Rayong, Thailand</t>
        </is>
      </c>
      <c r="B11719" t="inlineStr">
        <is>
          <t>Processing Unit</t>
        </is>
      </c>
      <c r="C11719" t="inlineStr">
        <is>
          <t>Control Union Poland Sp. z o.o., Zielona Gora, PL</t>
        </is>
      </c>
      <c r="D11719" t="inlineStr">
        <is>
          <t>25.11.2026</t>
        </is>
      </c>
      <c r="E11719" t="inlineStr">
        <is>
          <t>Thailand</t>
        </is>
      </c>
    </row>
    <row r="11720">
      <c r="A11720" t="inlineStr">
        <is>
          <t>Trenti Industria Occhiali,  Perarolo di Cadore, Italy</t>
        </is>
      </c>
      <c r="B11720" t="inlineStr">
        <is>
          <t>Processing Unit</t>
        </is>
      </c>
      <c r="C11720" t="inlineStr">
        <is>
          <t>RINA Services S.p.A., Genova, IT</t>
        </is>
      </c>
      <c r="D11720" t="inlineStr">
        <is>
          <t>25.11.2026</t>
        </is>
      </c>
      <c r="E11720" t="inlineStr">
        <is>
          <t>Italy</t>
        </is>
      </c>
    </row>
    <row r="11721">
      <c r="A11721" t="inlineStr">
        <is>
          <t>INEOS Styrolution Switzerland SA,  Antwerpen, Belgium</t>
        </is>
      </c>
      <c r="B11721" t="inlineStr">
        <is>
          <t>Processing Unit</t>
        </is>
      </c>
      <c r="C11721" t="inlineStr">
        <is>
          <t>TÜV NORD CERT GmbH, Essen, DE</t>
        </is>
      </c>
      <c r="D11721" t="inlineStr">
        <is>
          <t>25.11.2026</t>
        </is>
      </c>
      <c r="E11721" t="inlineStr">
        <is>
          <t>Belgium</t>
        </is>
      </c>
    </row>
    <row r="11722">
      <c r="A11722" t="inlineStr">
        <is>
          <t>Charles Tennant &amp; Company Limited,  Blantyre, United Kingdom</t>
        </is>
      </c>
      <c r="B11722" t="inlineStr">
        <is>
          <t>Trader with Storage, Warehouse</t>
        </is>
      </c>
      <c r="C11722" t="inlineStr">
        <is>
          <t>Aardvark Certification Ltd, Wiveliscombe, Somerset, GB</t>
        </is>
      </c>
      <c r="D11722" t="inlineStr">
        <is>
          <t>25.11.2026</t>
        </is>
      </c>
      <c r="E11722" t="inlineStr">
        <is>
          <t>United Kingdom</t>
        </is>
      </c>
    </row>
    <row r="11723">
      <c r="A11723" t="inlineStr">
        <is>
          <t>Vanguard GREEN CO LTD,  Chonburi, Thailand</t>
        </is>
      </c>
      <c r="B11723" t="inlineStr">
        <is>
          <t>Collecting Point</t>
        </is>
      </c>
      <c r="C11723" t="inlineStr">
        <is>
          <t>BM Certification, Riga, LV</t>
        </is>
      </c>
      <c r="D11723" t="inlineStr">
        <is>
          <t>25.11.2026</t>
        </is>
      </c>
      <c r="E11723" t="inlineStr">
        <is>
          <t>Thailand</t>
        </is>
      </c>
    </row>
    <row r="11724">
      <c r="A11724" t="inlineStr">
        <is>
          <t>GrønGas, Hjørring A/S,  Hjørring, Denmark</t>
        </is>
      </c>
      <c r="B11724" t="inlineStr">
        <is>
          <t>Processing Unit</t>
        </is>
      </c>
      <c r="C11724" t="inlineStr">
        <is>
          <t>Baltic Control Certification, Risskov, DK</t>
        </is>
      </c>
      <c r="D11724" t="inlineStr">
        <is>
          <t>25.11.2026</t>
        </is>
      </c>
      <c r="E11724" t="inlineStr">
        <is>
          <t>Denmark</t>
        </is>
      </c>
    </row>
    <row r="11725">
      <c r="A11725" t="inlineStr">
        <is>
          <t>Vanguard GREEN CO LTD,  Chonburi, Thailand</t>
        </is>
      </c>
      <c r="B11725" t="inlineStr">
        <is>
          <t>Collecting Point</t>
        </is>
      </c>
      <c r="C11725" t="inlineStr">
        <is>
          <t>BM Certification, Riga, LV</t>
        </is>
      </c>
      <c r="D11725" t="inlineStr">
        <is>
          <t>25.11.2026</t>
        </is>
      </c>
      <c r="E11725" t="inlineStr">
        <is>
          <t>Thailand</t>
        </is>
      </c>
    </row>
    <row r="11726">
      <c r="A11726" t="inlineStr">
        <is>
          <t>TENCITY Energiehandel GmbH,  Vienna, Austria</t>
        </is>
      </c>
      <c r="B11726" t="inlineStr">
        <is>
          <t>Trader</t>
        </is>
      </c>
      <c r="C11726" t="inlineStr">
        <is>
          <t>agroVet GmbH, Enzersfeld, AT</t>
        </is>
      </c>
      <c r="D11726" t="inlineStr">
        <is>
          <t>25.11.2026</t>
        </is>
      </c>
      <c r="E11726" t="inlineStr">
        <is>
          <t>Austria</t>
        </is>
      </c>
    </row>
    <row r="11727">
      <c r="A11727" t="inlineStr">
        <is>
          <t>Premium Fashion International Limited,  Kowloon, Hong Kong</t>
        </is>
      </c>
      <c r="B11727" t="inlineStr">
        <is>
          <t>Trader</t>
        </is>
      </c>
      <c r="C11727" t="inlineStr">
        <is>
          <t>Control Union Certifications Germany GmbH, Berlin, DE</t>
        </is>
      </c>
      <c r="D11727" t="inlineStr">
        <is>
          <t>25.11.2026</t>
        </is>
      </c>
      <c r="E11727" t="inlineStr">
        <is>
          <t>Hong Kong</t>
        </is>
      </c>
    </row>
    <row r="11728">
      <c r="A11728" t="inlineStr">
        <is>
          <t>Uponor AB,  Virsbo, Sweden</t>
        </is>
      </c>
      <c r="B11728" t="inlineStr">
        <is>
          <t>Processing Unit, Trader with Storage</t>
        </is>
      </c>
      <c r="C11728" t="inlineStr">
        <is>
          <t>DNV Business Assurance Sweden AB, Solna, SE</t>
        </is>
      </c>
      <c r="D11728" t="inlineStr">
        <is>
          <t>25.11.2026</t>
        </is>
      </c>
      <c r="E11728" t="inlineStr">
        <is>
          <t>Sweden</t>
        </is>
      </c>
    </row>
    <row r="11729">
      <c r="A11729" t="inlineStr">
        <is>
          <t>Achilles,  Ashikaga-Shi, Japan</t>
        </is>
      </c>
      <c r="B11729" t="inlineStr">
        <is>
          <t>Processing Unit</t>
        </is>
      </c>
      <c r="C11729" t="inlineStr">
        <is>
          <t>SCS Global Services, Emeryville, CA, US</t>
        </is>
      </c>
      <c r="D11729" t="inlineStr">
        <is>
          <t>25.11.2026</t>
        </is>
      </c>
      <c r="E11729" t="inlineStr">
        <is>
          <t>Japan</t>
        </is>
      </c>
    </row>
    <row r="11730">
      <c r="A11730" t="inlineStr">
        <is>
          <t>Shell Chemicals Europe B.V.,  Rotterdam, Netherlands</t>
        </is>
      </c>
      <c r="B11730" t="inlineStr">
        <is>
          <t>Trader with Storage</t>
        </is>
      </c>
      <c r="C11730" t="inlineStr">
        <is>
          <t>SGS Germany GmbH, Emstek, DE</t>
        </is>
      </c>
      <c r="D11730" t="inlineStr">
        <is>
          <t>25.11.2026</t>
        </is>
      </c>
      <c r="E11730" t="inlineStr">
        <is>
          <t>Netherlands</t>
        </is>
      </c>
    </row>
    <row r="11731">
      <c r="A11731" t="inlineStr">
        <is>
          <t>Borealis GmbH,  Stenungsund, Sweden</t>
        </is>
      </c>
      <c r="B11731" t="inlineStr">
        <is>
          <t>Processing Unit</t>
        </is>
      </c>
      <c r="C11731" t="inlineStr">
        <is>
          <t>SGS Germany GmbH, Emstek, DE</t>
        </is>
      </c>
      <c r="D11731" t="inlineStr">
        <is>
          <t>25.11.2026</t>
        </is>
      </c>
      <c r="E11731" t="inlineStr">
        <is>
          <t>Sweden</t>
        </is>
      </c>
    </row>
    <row r="11732">
      <c r="A11732" t="inlineStr">
        <is>
          <t>Kering Eyewear S.p.A.,  Vescovana, Padova, Italy</t>
        </is>
      </c>
      <c r="B11732" t="inlineStr">
        <is>
          <t>Trader with Storage</t>
        </is>
      </c>
      <c r="C11732" t="inlineStr">
        <is>
          <t>RINA Services S.p.A., Genova, IT</t>
        </is>
      </c>
      <c r="D11732" t="inlineStr">
        <is>
          <t>25.11.2026</t>
        </is>
      </c>
      <c r="E11732" t="inlineStr">
        <is>
          <t>Italy</t>
        </is>
      </c>
    </row>
    <row r="11733">
      <c r="A11733" t="inlineStr">
        <is>
          <t>ROXXON AGRI ENERGY,  JAKARTA SELATAN, Indonesia</t>
        </is>
      </c>
      <c r="B11733" t="inlineStr">
        <is>
          <t>Trader</t>
        </is>
      </c>
      <c r="C11733" t="inlineStr">
        <is>
          <t>PT SBC Asia Sertifikasi, Kebumen, ID</t>
        </is>
      </c>
      <c r="D11733" t="inlineStr">
        <is>
          <t>25.11.2026</t>
        </is>
      </c>
      <c r="E11733" t="inlineStr">
        <is>
          <t>Indonesia</t>
        </is>
      </c>
    </row>
    <row r="11734">
      <c r="A11734" t="inlineStr">
        <is>
          <t>Seauto (Zhuhai) Robotics Co., Ltd.,  Zhuhai City, China</t>
        </is>
      </c>
      <c r="B11734" t="inlineStr">
        <is>
          <t>Final Product Refinement</t>
        </is>
      </c>
      <c r="C11734" t="inlineStr">
        <is>
          <t>Extensive Standard Technical Services Co., Ltd., Hong Kong, CN</t>
        </is>
      </c>
      <c r="D11734" t="inlineStr">
        <is>
          <t>25.11.2026</t>
        </is>
      </c>
      <c r="E11734" t="inlineStr">
        <is>
          <t>China</t>
        </is>
      </c>
    </row>
    <row r="11735">
      <c r="A11735" t="inlineStr">
        <is>
          <t>Weifang Juntao Chemical Co., Ltd.,  Weifang City, Shandong Province, China</t>
        </is>
      </c>
      <c r="B11735" t="inlineStr">
        <is>
          <t>Processing Unit</t>
        </is>
      </c>
      <c r="C11735" t="inlineStr">
        <is>
          <t>CTI Certification Co. Ltd, Shenzhen, CN</t>
        </is>
      </c>
      <c r="D11735" t="inlineStr">
        <is>
          <t>25.11.2026</t>
        </is>
      </c>
      <c r="E11735" t="inlineStr">
        <is>
          <t>China</t>
        </is>
      </c>
    </row>
    <row r="11736">
      <c r="A11736" t="inlineStr">
        <is>
          <t>XIAMEN ITG BAODARUN INDUSTRIAL CO., LTD.,  HULI DISTRICT, XIAMEN, China</t>
        </is>
      </c>
      <c r="B11736" t="inlineStr">
        <is>
          <t>Trader with Storage</t>
        </is>
      </c>
      <c r="C11736" t="inlineStr">
        <is>
          <t>SCS Global Services, Emeryville, CA, US</t>
        </is>
      </c>
      <c r="D11736" t="inlineStr">
        <is>
          <t>25.11.2026</t>
        </is>
      </c>
      <c r="E11736" t="inlineStr">
        <is>
          <t>China</t>
        </is>
      </c>
    </row>
    <row r="11737">
      <c r="A11737" t="inlineStr">
        <is>
          <t>GOLD LEAF SUSTAINABLE SOLUTIONS PTE. LTD.,  SINGAPORE, Singapore</t>
        </is>
      </c>
      <c r="B11737" t="inlineStr">
        <is>
          <t>Trader</t>
        </is>
      </c>
      <c r="C11737" t="inlineStr">
        <is>
          <t>China Standard Conformity Assessment Co. Ltd, Beijing, CN</t>
        </is>
      </c>
      <c r="D11737" t="inlineStr">
        <is>
          <t>25.11.2026</t>
        </is>
      </c>
      <c r="E11737" t="inlineStr">
        <is>
          <t>Singapore</t>
        </is>
      </c>
    </row>
    <row r="11738">
      <c r="A11738" t="inlineStr">
        <is>
          <t>Beijing Ruihe Ecotech Trading Co., Ltd.,  Tongzhou District, Beijing, China</t>
        </is>
      </c>
      <c r="B11738" t="inlineStr">
        <is>
          <t>Trader</t>
        </is>
      </c>
      <c r="C11738" t="inlineStr">
        <is>
          <t>China Standard Conformity Assessment Co. Ltd, Beijing, CN</t>
        </is>
      </c>
      <c r="D11738" t="inlineStr">
        <is>
          <t>25.11.2026</t>
        </is>
      </c>
      <c r="E11738" t="inlineStr">
        <is>
          <t>China</t>
        </is>
      </c>
    </row>
    <row r="11739">
      <c r="A11739" t="inlineStr">
        <is>
          <t>OLIVIA 2000,  Barcelona, Spain</t>
        </is>
      </c>
      <c r="B11739" t="inlineStr">
        <is>
          <t>Trader</t>
        </is>
      </c>
      <c r="C11739" t="inlineStr">
        <is>
          <t>RINA Services S.p.A., Genova, IT</t>
        </is>
      </c>
      <c r="D11739" t="inlineStr">
        <is>
          <t>25.11.2026</t>
        </is>
      </c>
      <c r="E11739" t="inlineStr">
        <is>
          <t>Spain</t>
        </is>
      </c>
    </row>
    <row r="11740">
      <c r="A11740" t="inlineStr">
        <is>
          <t>BPS Čalomija service, s. r. o.,  Veľká Čalomija, Slovakia</t>
        </is>
      </c>
      <c r="B11740" t="inlineStr">
        <is>
          <t>Collecting Point, First Gathering Point, Processing Unit</t>
        </is>
      </c>
      <c r="C11740" t="inlineStr">
        <is>
          <t>United Registrar of Systems Polska Sp. z o.o., Wrocław, PL</t>
        </is>
      </c>
      <c r="D11740" t="inlineStr">
        <is>
          <t>25.11.2026</t>
        </is>
      </c>
      <c r="E11740" t="inlineStr">
        <is>
          <t>Slovakia</t>
        </is>
      </c>
    </row>
    <row r="11741">
      <c r="A11741" t="inlineStr">
        <is>
          <t>ESDWORK,  Namyang-eup, Hwaseong-si, South Korea</t>
        </is>
      </c>
      <c r="B11741" t="inlineStr">
        <is>
          <t>Processing Unit</t>
        </is>
      </c>
      <c r="C11741" t="inlineStr">
        <is>
          <t>FITI Testing &amp; Research Institute, Seoul, KR</t>
        </is>
      </c>
      <c r="D11741" t="inlineStr">
        <is>
          <t>25.11.2026</t>
        </is>
      </c>
      <c r="E11741" t="inlineStr">
        <is>
          <t>South Korea</t>
        </is>
      </c>
    </row>
    <row r="11742">
      <c r="A11742" t="inlineStr">
        <is>
          <t>Durmont GmbH,  Hartberg, Austria</t>
        </is>
      </c>
      <c r="B11742" t="inlineStr">
        <is>
          <t>Processing Unit</t>
        </is>
      </c>
      <c r="C11742" t="inlineStr">
        <is>
          <t>agroVet GmbH, Enzersfeld, AT</t>
        </is>
      </c>
      <c r="D11742" t="inlineStr">
        <is>
          <t>25.11.2026</t>
        </is>
      </c>
      <c r="E11742" t="inlineStr">
        <is>
          <t>Austria</t>
        </is>
      </c>
    </row>
    <row r="11743">
      <c r="A11743" t="inlineStr">
        <is>
          <t>SIMMETRIC CORP.,  HARTFORD, United States</t>
        </is>
      </c>
      <c r="B11743" t="inlineStr">
        <is>
          <t>Trader</t>
        </is>
      </c>
      <c r="C11743" t="inlineStr">
        <is>
          <t>BM Certification, Riga, LV</t>
        </is>
      </c>
      <c r="D11743" t="inlineStr">
        <is>
          <t>25.11.2026</t>
        </is>
      </c>
      <c r="E11743" t="inlineStr">
        <is>
          <t>United States</t>
        </is>
      </c>
    </row>
    <row r="11744">
      <c r="A11744" t="inlineStr">
        <is>
          <t>NOF CORPORATION OITA WORKS,  Oita, Japan</t>
        </is>
      </c>
      <c r="B11744" t="inlineStr">
        <is>
          <t>Processing Unit</t>
        </is>
      </c>
      <c r="C11744" t="inlineStr">
        <is>
          <t>SGS Germany GmbH, Emstek, DE</t>
        </is>
      </c>
      <c r="D11744" t="inlineStr">
        <is>
          <t>25.11.2026</t>
        </is>
      </c>
      <c r="E11744" t="inlineStr">
        <is>
          <t>Japan</t>
        </is>
      </c>
    </row>
    <row r="11745">
      <c r="A11745" t="inlineStr">
        <is>
          <t>MVM CEEnergy CZ s.r.o.,  Praha 10, Czech Republic</t>
        </is>
      </c>
      <c r="B11745" t="inlineStr">
        <is>
          <t>Trader</t>
        </is>
      </c>
      <c r="C11745" t="inlineStr">
        <is>
          <t>TÜV SÜD Czech s.r.o., Praha 4, CZ</t>
        </is>
      </c>
      <c r="D11745" t="inlineStr">
        <is>
          <t>25.11.2026</t>
        </is>
      </c>
      <c r="E11745" t="inlineStr">
        <is>
          <t>Czech Republic</t>
        </is>
      </c>
    </row>
    <row r="11746">
      <c r="A11746" t="inlineStr">
        <is>
          <t>MVM ONEnergy Zrt.,  Budapest, Hungary</t>
        </is>
      </c>
      <c r="B11746" t="inlineStr">
        <is>
          <t>Trader</t>
        </is>
      </c>
      <c r="C11746" t="inlineStr">
        <is>
          <t>TÜV SÜD Czech s.r.o., Praha 4, CZ</t>
        </is>
      </c>
      <c r="D11746" t="inlineStr">
        <is>
          <t>25.11.2026</t>
        </is>
      </c>
      <c r="E11746" t="inlineStr">
        <is>
          <t>Hungary</t>
        </is>
      </c>
    </row>
    <row r="11747">
      <c r="A11747" t="inlineStr">
        <is>
          <t>IBERDROLA CLIENTES,  Madrid, Spain</t>
        </is>
      </c>
      <c r="B11747" t="inlineStr">
        <is>
          <t>Trader</t>
        </is>
      </c>
      <c r="C11747" t="inlineStr">
        <is>
          <t>SGS Germany GmbH, Emstek, DE</t>
        </is>
      </c>
      <c r="D11747" t="inlineStr">
        <is>
          <t>25.11.2026</t>
        </is>
      </c>
      <c r="E11747" t="inlineStr">
        <is>
          <t>Spain</t>
        </is>
      </c>
    </row>
    <row r="11748">
      <c r="A11748" t="inlineStr">
        <is>
          <t>Scandinavian Health Limited (SHL),  Luzhu District Taoyuan City, Taiwan, Province of China</t>
        </is>
      </c>
      <c r="B11748" t="inlineStr">
        <is>
          <t>Processing Unit, Trader with Storage</t>
        </is>
      </c>
      <c r="C11748" t="inlineStr">
        <is>
          <t>TÜV SÜD Industrie Service GmbH, München, DE</t>
        </is>
      </c>
      <c r="D11748" t="inlineStr">
        <is>
          <t>25.11.2026</t>
        </is>
      </c>
      <c r="E11748" t="inlineStr">
        <is>
          <t>Province of China</t>
        </is>
      </c>
    </row>
    <row r="11749">
      <c r="A11749" t="inlineStr">
        <is>
          <t>Scandinavian Health Limited (SHL),  Luzhu Dist., Taoyuan City, Taiwan, Province of China</t>
        </is>
      </c>
      <c r="B11749" t="inlineStr">
        <is>
          <t>Final Product Refinement, Processing Unit</t>
        </is>
      </c>
      <c r="C11749" t="inlineStr">
        <is>
          <t>TÜV SÜD Industrie Service GmbH, München, DE</t>
        </is>
      </c>
      <c r="D11749" t="inlineStr">
        <is>
          <t>25.11.2026</t>
        </is>
      </c>
      <c r="E11749" t="inlineStr">
        <is>
          <t>Province of China</t>
        </is>
      </c>
    </row>
    <row r="11750">
      <c r="A11750" t="inlineStr">
        <is>
          <t>Classico Italiano Limited,  Vicenza, Italy</t>
        </is>
      </c>
      <c r="B11750" t="inlineStr">
        <is>
          <t>Trader</t>
        </is>
      </c>
      <c r="C11750" t="inlineStr">
        <is>
          <t>CSQA Certificazioni Srl, Thiene, IT</t>
        </is>
      </c>
      <c r="D11750" t="inlineStr">
        <is>
          <t>25.11.2026</t>
        </is>
      </c>
      <c r="E11750" t="inlineStr">
        <is>
          <t>Italy</t>
        </is>
      </c>
    </row>
    <row r="11751">
      <c r="A11751" t="inlineStr">
        <is>
          <t>Scandinavian Health Limited (SHL),  Taoyuan Dist., Taoyuan City, Taiwan, Province of China</t>
        </is>
      </c>
      <c r="B11751" t="inlineStr">
        <is>
          <t>Processing Unit</t>
        </is>
      </c>
      <c r="C11751" t="inlineStr">
        <is>
          <t>TÜV SÜD Industrie Service GmbH, München, DE</t>
        </is>
      </c>
      <c r="D11751" t="inlineStr">
        <is>
          <t>25.11.2026</t>
        </is>
      </c>
      <c r="E11751" t="inlineStr">
        <is>
          <t>Province of China</t>
        </is>
      </c>
    </row>
    <row r="11752">
      <c r="A11752" t="inlineStr">
        <is>
          <t>Gerflor,  Tarare, France</t>
        </is>
      </c>
      <c r="B11752" t="inlineStr">
        <is>
          <t>Processing Unit, Final Product Refinement</t>
        </is>
      </c>
      <c r="C11752" t="inlineStr">
        <is>
          <t>Bureau Veritas Polska Sp. z o.o., Warsaw, PL</t>
        </is>
      </c>
      <c r="D11752" t="inlineStr">
        <is>
          <t>25.11.2026</t>
        </is>
      </c>
      <c r="E11752" t="inlineStr">
        <is>
          <t>France</t>
        </is>
      </c>
    </row>
    <row r="11753">
      <c r="A11753" t="inlineStr">
        <is>
          <t>Alianza del Humea,  Cabuyaro, Colombia</t>
        </is>
      </c>
      <c r="B11753" t="inlineStr">
        <is>
          <t>First Gathering Point, Point of Origin, Processing Unit</t>
        </is>
      </c>
      <c r="C11753" t="inlineStr">
        <is>
          <t>Control Union Poland Sp. z o.o., Zielona Gora, PL</t>
        </is>
      </c>
      <c r="D11753" t="inlineStr">
        <is>
          <t>25.11.2026</t>
        </is>
      </c>
      <c r="E11753" t="inlineStr">
        <is>
          <t>Colombia</t>
        </is>
      </c>
    </row>
    <row r="11754">
      <c r="A11754" t="inlineStr">
        <is>
          <t>Alianza del Humea,  Cabuyaro, Colombia</t>
        </is>
      </c>
      <c r="B11754" t="inlineStr">
        <is>
          <t>First Gathering Point, Point of Origin, Processing Unit</t>
        </is>
      </c>
      <c r="C11754" t="inlineStr">
        <is>
          <t>Control Union Poland Sp. z o.o., Zielona Gora, PL</t>
        </is>
      </c>
      <c r="D11754" t="inlineStr">
        <is>
          <t>25.11.2026</t>
        </is>
      </c>
      <c r="E11754" t="inlineStr">
        <is>
          <t>Colombia</t>
        </is>
      </c>
    </row>
    <row r="11755">
      <c r="A11755" t="inlineStr">
        <is>
          <t>WM Renewable Energy,  Simi Valley, United States</t>
        </is>
      </c>
      <c r="B11755" t="inlineStr">
        <is>
          <t>Collecting Point, Processing Unit</t>
        </is>
      </c>
      <c r="C11755" t="inlineStr">
        <is>
          <t>SCS Global Services, Emeryville, CA, US</t>
        </is>
      </c>
      <c r="D11755" t="inlineStr">
        <is>
          <t>25.11.2026</t>
        </is>
      </c>
      <c r="E11755" t="inlineStr">
        <is>
          <t>United States</t>
        </is>
      </c>
    </row>
    <row r="11756">
      <c r="A11756" t="inlineStr">
        <is>
          <t>WM Renewable Energy,  Simi Valley, United States</t>
        </is>
      </c>
      <c r="B11756" t="inlineStr">
        <is>
          <t>Collecting Point, Processing Unit</t>
        </is>
      </c>
      <c r="C11756" t="inlineStr">
        <is>
          <t>SCS Global Services, Emeryville, CA, US</t>
        </is>
      </c>
      <c r="D11756" t="inlineStr">
        <is>
          <t>25.11.2026</t>
        </is>
      </c>
      <c r="E11756" t="inlineStr">
        <is>
          <t>United States</t>
        </is>
      </c>
    </row>
    <row r="11757">
      <c r="A11757" t="inlineStr">
        <is>
          <t>Alianza del Humea,  Cabuyaro, Colombia</t>
        </is>
      </c>
      <c r="B11757" t="inlineStr">
        <is>
          <t>First Gathering Point, Point of Origin, Processing Unit</t>
        </is>
      </c>
      <c r="C11757" t="inlineStr">
        <is>
          <t>Control Union Poland Sp. z o.o., Zielona Gora, PL</t>
        </is>
      </c>
      <c r="D11757" t="inlineStr">
        <is>
          <t>25.11.2026</t>
        </is>
      </c>
      <c r="E11757" t="inlineStr">
        <is>
          <t>Colombia</t>
        </is>
      </c>
    </row>
    <row r="11758">
      <c r="A11758" t="inlineStr">
        <is>
          <t>BUNGE CHEVRON AG RENEWABLES,  Cairo, United States</t>
        </is>
      </c>
      <c r="B11758" t="inlineStr">
        <is>
          <t>First Gathering Point, Processing Unit</t>
        </is>
      </c>
      <c r="C11758" t="inlineStr">
        <is>
          <t>Control Union Poland Sp. z o.o., Zielona Gora, PL</t>
        </is>
      </c>
      <c r="D11758" t="inlineStr">
        <is>
          <t>25.11.2026</t>
        </is>
      </c>
      <c r="E11758" t="inlineStr">
        <is>
          <t>United States</t>
        </is>
      </c>
    </row>
    <row r="11759">
      <c r="A11759" t="inlineStr">
        <is>
          <t>BUNGE CHEVRON AG RENEWABLES,  Cairo, United States</t>
        </is>
      </c>
      <c r="B11759" t="inlineStr">
        <is>
          <t>First Gathering Point, Processing Unit</t>
        </is>
      </c>
      <c r="C11759" t="inlineStr">
        <is>
          <t>Control Union Poland Sp. z o.o., Zielona Gora, PL</t>
        </is>
      </c>
      <c r="D11759" t="inlineStr">
        <is>
          <t>25.11.2026</t>
        </is>
      </c>
      <c r="E11759" t="inlineStr">
        <is>
          <t>United States</t>
        </is>
      </c>
    </row>
    <row r="11760">
      <c r="A11760" t="inlineStr">
        <is>
          <t>BUNGE CHEVRON AG RENEWABLES,  Cairo, United States</t>
        </is>
      </c>
      <c r="B11760" t="inlineStr">
        <is>
          <t>First Gathering Point, Processing Unit</t>
        </is>
      </c>
      <c r="C11760" t="inlineStr">
        <is>
          <t>Control Union Poland Sp. z o.o., Zielona Gora, PL</t>
        </is>
      </c>
      <c r="D11760" t="inlineStr">
        <is>
          <t>25.11.2026</t>
        </is>
      </c>
      <c r="E11760" t="inlineStr">
        <is>
          <t>United States</t>
        </is>
      </c>
    </row>
    <row r="11761">
      <c r="A11761" t="inlineStr">
        <is>
          <t>Bunge North America,  Destrehan, United States</t>
        </is>
      </c>
      <c r="B11761" t="inlineStr">
        <is>
          <t>Processing Unit</t>
        </is>
      </c>
      <c r="C11761" t="inlineStr">
        <is>
          <t>Control Union Poland Sp. z o.o., Zielona Gora, PL</t>
        </is>
      </c>
      <c r="D11761" t="inlineStr">
        <is>
          <t>25.11.2026</t>
        </is>
      </c>
      <c r="E11761" t="inlineStr">
        <is>
          <t>United States</t>
        </is>
      </c>
    </row>
    <row r="11762">
      <c r="A11762" t="inlineStr">
        <is>
          <t>Bunge North America,  Destrehan, United States</t>
        </is>
      </c>
      <c r="B11762" t="inlineStr">
        <is>
          <t>Processing Unit</t>
        </is>
      </c>
      <c r="C11762" t="inlineStr">
        <is>
          <t>Control Union Poland Sp. z o.o., Zielona Gora, PL</t>
        </is>
      </c>
      <c r="D11762" t="inlineStr">
        <is>
          <t>25.11.2026</t>
        </is>
      </c>
      <c r="E11762" t="inlineStr">
        <is>
          <t>United States</t>
        </is>
      </c>
    </row>
    <row r="11763">
      <c r="A11763" t="inlineStr">
        <is>
          <t>Bunge North America,  Destrehan, United States</t>
        </is>
      </c>
      <c r="B11763" t="inlineStr">
        <is>
          <t>Processing Unit</t>
        </is>
      </c>
      <c r="C11763" t="inlineStr">
        <is>
          <t>Control Union Poland Sp. z o.o., Zielona Gora, PL</t>
        </is>
      </c>
      <c r="D11763" t="inlineStr">
        <is>
          <t>25.11.2026</t>
        </is>
      </c>
      <c r="E11763" t="inlineStr">
        <is>
          <t>United States</t>
        </is>
      </c>
    </row>
    <row r="11764">
      <c r="A11764" t="inlineStr">
        <is>
          <t>Guangzhou Sunnovo New Energy Technology Co., LTD,  Guangzhou, China</t>
        </is>
      </c>
      <c r="B11764" t="inlineStr">
        <is>
          <t>Collecting Point, Trader with Storage, Processing Unit</t>
        </is>
      </c>
      <c r="C11764" t="inlineStr">
        <is>
          <t>RINA Services S.p.A., Genova, IT</t>
        </is>
      </c>
      <c r="D11764" t="inlineStr">
        <is>
          <t>25.11.2026</t>
        </is>
      </c>
      <c r="E11764" t="inlineStr">
        <is>
          <t>China</t>
        </is>
      </c>
    </row>
    <row r="11765">
      <c r="A11765" t="inlineStr">
        <is>
          <t>YUCHEON BIOTECH,  Gimhae-si, Gyeongsangnam-do, South Korea</t>
        </is>
      </c>
      <c r="B11765" t="inlineStr">
        <is>
          <t>Point of Origin, Processing Unit</t>
        </is>
      </c>
      <c r="C11765" t="inlineStr">
        <is>
          <t>Control Union Certifications Germany GmbH, Berlin, DE</t>
        </is>
      </c>
      <c r="D11765" t="inlineStr">
        <is>
          <t>25.11.2026</t>
        </is>
      </c>
      <c r="E11765" t="inlineStr">
        <is>
          <t>South Korea</t>
        </is>
      </c>
    </row>
    <row r="11766">
      <c r="A11766" t="inlineStr">
        <is>
          <t>GUO SU PLASTIC INDUSTRY CO., LTD.,  Erzhen Vil., Guantian Dist., Tainan City, Taiwan, Province of China</t>
        </is>
      </c>
      <c r="B11766" t="inlineStr">
        <is>
          <t>Collecting Point, Processing Unit</t>
        </is>
      </c>
      <c r="C11766" t="inlineStr">
        <is>
          <t>Control Union Certifications Germany GmbH, Berlin, DE</t>
        </is>
      </c>
      <c r="D11766" t="inlineStr">
        <is>
          <t>25.11.2026</t>
        </is>
      </c>
      <c r="E11766" t="inlineStr">
        <is>
          <t>Province of China</t>
        </is>
      </c>
    </row>
    <row r="11767">
      <c r="A11767" t="inlineStr">
        <is>
          <t>Pirinenca de Serveis S.A.,  Andorra la Vella, Andorra</t>
        </is>
      </c>
      <c r="B11767" t="inlineStr">
        <is>
          <t>Collecting Point</t>
        </is>
      </c>
      <c r="C11767" t="inlineStr">
        <is>
          <t>Certificadora Gallega del Noroeste SL, Vilagarcia de Arousa-Pontevedra, ES</t>
        </is>
      </c>
      <c r="D11767" t="inlineStr">
        <is>
          <t>25.11.2026</t>
        </is>
      </c>
      <c r="E11767" t="inlineStr">
        <is>
          <t>Andorra</t>
        </is>
      </c>
    </row>
    <row r="11768">
      <c r="A11768" t="inlineStr">
        <is>
          <t>BPS Turčianske Teplice II. s. r. o.,  Turčianske Teplice, Slovakia</t>
        </is>
      </c>
      <c r="B11768" t="inlineStr">
        <is>
          <t>Collecting Point, First Gathering Point, Processing Unit</t>
        </is>
      </c>
      <c r="C11768" t="inlineStr">
        <is>
          <t>United Registrar of Systems Polska Sp. z o.o., Wrocław, PL</t>
        </is>
      </c>
      <c r="D11768" t="inlineStr">
        <is>
          <t>25.11.2026</t>
        </is>
      </c>
      <c r="E11768" t="inlineStr">
        <is>
          <t>Slovakia</t>
        </is>
      </c>
    </row>
    <row r="11769">
      <c r="A11769" t="inlineStr">
        <is>
          <t>BPS Koš s. r. o.,  Koš, Slovakia</t>
        </is>
      </c>
      <c r="B11769" t="inlineStr">
        <is>
          <t>Collecting Point, First Gathering Point, Processing Unit</t>
        </is>
      </c>
      <c r="C11769" t="inlineStr">
        <is>
          <t>United Registrar of Systems Polska Sp. z o.o., Wrocław, PL</t>
        </is>
      </c>
      <c r="D11769" t="inlineStr">
        <is>
          <t>25.11.2026</t>
        </is>
      </c>
      <c r="E11769" t="inlineStr">
        <is>
          <t>Slovakia</t>
        </is>
      </c>
    </row>
    <row r="11770">
      <c r="A11770" t="inlineStr">
        <is>
          <t>PETROILUM ENERGIAS, LDA,  Alverca do Ribatejo, Portugal</t>
        </is>
      </c>
      <c r="B11770" t="inlineStr">
        <is>
          <t>Trader</t>
        </is>
      </c>
      <c r="C11770" t="inlineStr">
        <is>
          <t>Certificadora Gallega del Noroeste SL, Vilagarcia de Arousa-Pontevedra, ES</t>
        </is>
      </c>
      <c r="D11770" t="inlineStr">
        <is>
          <t>25.11.2026</t>
        </is>
      </c>
      <c r="E11770" t="inlineStr">
        <is>
          <t>Portugal</t>
        </is>
      </c>
    </row>
    <row r="11771">
      <c r="A11771" t="inlineStr">
        <is>
          <t>Shell Chemicals Europe B.V.,  Moerdijk, Netherlands</t>
        </is>
      </c>
      <c r="B11771" t="inlineStr">
        <is>
          <t>Warehouse, Processing Unit</t>
        </is>
      </c>
      <c r="C11771" t="inlineStr">
        <is>
          <t>SGS Germany GmbH, Emstek, DE</t>
        </is>
      </c>
      <c r="D11771" t="inlineStr">
        <is>
          <t>25.11.2026</t>
        </is>
      </c>
      <c r="E11771" t="inlineStr">
        <is>
          <t>Netherlands</t>
        </is>
      </c>
    </row>
    <row r="11772">
      <c r="A11772" t="inlineStr">
        <is>
          <t>Scientex Packaging (Air Keroh) Berhad,  Melaka, Malaysia</t>
        </is>
      </c>
      <c r="B11772" t="inlineStr">
        <is>
          <t>Processing Unit</t>
        </is>
      </c>
      <c r="C11772" t="inlineStr">
        <is>
          <t>SGS Germany GmbH, Emstek, DE</t>
        </is>
      </c>
      <c r="D11772" t="inlineStr">
        <is>
          <t>25.11.2026</t>
        </is>
      </c>
      <c r="E11772" t="inlineStr">
        <is>
          <t>Malaysia</t>
        </is>
      </c>
    </row>
    <row r="11773">
      <c r="A11773" t="inlineStr">
        <is>
          <t>Nanjing Guofu Environmental Protection Waste Oil Collection and Treatment Co., Ltd,  Nanjing, Jiangsu, China</t>
        </is>
      </c>
      <c r="B11773" t="inlineStr">
        <is>
          <t>Collecting Point, Trader with Storage</t>
        </is>
      </c>
      <c r="C11773" t="inlineStr">
        <is>
          <t>RINA Services S.p.A., Genova, IT</t>
        </is>
      </c>
      <c r="D11773" t="inlineStr">
        <is>
          <t>25.11.2026</t>
        </is>
      </c>
      <c r="E11773" t="inlineStr">
        <is>
          <t>China</t>
        </is>
      </c>
    </row>
    <row r="11774">
      <c r="A11774" t="inlineStr">
        <is>
          <t>Adesso BioProducts AB,  Ödsmål, Sweden</t>
        </is>
      </c>
      <c r="B11774" t="inlineStr">
        <is>
          <t>Point of Origin, Trader with Storage, Processing Unit</t>
        </is>
      </c>
      <c r="C11774" t="inlineStr">
        <is>
          <t>SGS Germany GmbH, Emstek, DE</t>
        </is>
      </c>
      <c r="D11774" t="inlineStr">
        <is>
          <t>25.11.2026</t>
        </is>
      </c>
      <c r="E11774" t="inlineStr">
        <is>
          <t>Sweden</t>
        </is>
      </c>
    </row>
    <row r="11775">
      <c r="A11775" t="inlineStr">
        <is>
          <t>Henan Agricultural Investment International Trading CO.,LTD.,  Zhengzhou, China</t>
        </is>
      </c>
      <c r="B11775" t="inlineStr">
        <is>
          <t>Trader</t>
        </is>
      </c>
      <c r="C11775" t="inlineStr">
        <is>
          <t>RINA Services S.p.A., Genova, IT</t>
        </is>
      </c>
      <c r="D11775" t="inlineStr">
        <is>
          <t>25.11.2026</t>
        </is>
      </c>
      <c r="E11775" t="inlineStr">
        <is>
          <t>China</t>
        </is>
      </c>
    </row>
    <row r="11776">
      <c r="A11776" t="inlineStr">
        <is>
          <t>Snam Energy Terminals,  Fezzano, Italy</t>
        </is>
      </c>
      <c r="B11776" t="inlineStr">
        <is>
          <t>Processing Unit</t>
        </is>
      </c>
      <c r="C11776" t="inlineStr">
        <is>
          <t>DNV Business Assurance Sweden AB, Solna, SE</t>
        </is>
      </c>
      <c r="D11776" t="inlineStr">
        <is>
          <t>25.11.2026</t>
        </is>
      </c>
      <c r="E11776" t="inlineStr">
        <is>
          <t>Italy</t>
        </is>
      </c>
    </row>
    <row r="11777">
      <c r="A11777" t="inlineStr">
        <is>
          <t>Poľnoservis, a.s.,  Leopoldov, Slovakia</t>
        </is>
      </c>
      <c r="B11777" t="inlineStr">
        <is>
          <t>Point of Origin, Processing Unit</t>
        </is>
      </c>
      <c r="C11777" t="inlineStr">
        <is>
          <t>SGS Germany GmbH, Emstek, DE</t>
        </is>
      </c>
      <c r="D11777" t="inlineStr">
        <is>
          <t>24.11.2026</t>
        </is>
      </c>
      <c r="E11777" t="inlineStr">
        <is>
          <t>Slovakia</t>
        </is>
      </c>
    </row>
    <row r="11778">
      <c r="A11778" t="inlineStr">
        <is>
          <t>TUAN THANH TRADING PRODUCTION AND INVESTMENT COMPANY LIMITED,  Phuoc Ly Commune, Vietnam</t>
        </is>
      </c>
      <c r="B11778" t="inlineStr">
        <is>
          <t>Collecting Point, Trader with Storage, Processing Unit, Point of Origin</t>
        </is>
      </c>
      <c r="C11778" t="inlineStr">
        <is>
          <t>BM Certification, Riga, LV</t>
        </is>
      </c>
      <c r="D11778" t="inlineStr">
        <is>
          <t>24.11.2026</t>
        </is>
      </c>
      <c r="E11778" t="inlineStr">
        <is>
          <t>Vietnam</t>
        </is>
      </c>
    </row>
    <row r="11779">
      <c r="A11779" t="inlineStr">
        <is>
          <t>TUAN THANH TRADING PRODUCTION AND INVESTMENT COMPANY LIMITED,  Phuoc Ly Commune, Vietnam</t>
        </is>
      </c>
      <c r="B11779" t="inlineStr">
        <is>
          <t>Collecting Point, Processing Unit, Trader with Storage</t>
        </is>
      </c>
      <c r="C11779" t="inlineStr">
        <is>
          <t>BM Certification, Riga, LV</t>
        </is>
      </c>
      <c r="D11779" t="inlineStr">
        <is>
          <t>24.11.2026</t>
        </is>
      </c>
      <c r="E11779" t="inlineStr">
        <is>
          <t>Vietnam</t>
        </is>
      </c>
    </row>
    <row r="11780">
      <c r="A11780" t="inlineStr">
        <is>
          <t>Lianyungang Boulder Industrial Co., Ltd.,  Lianyungang City, Jiangsu Province, China</t>
        </is>
      </c>
      <c r="B11780" t="inlineStr">
        <is>
          <t>Processing Unit</t>
        </is>
      </c>
      <c r="C11780" t="inlineStr">
        <is>
          <t>SGS Germany GmbH, Emstek, DE</t>
        </is>
      </c>
      <c r="D11780" t="inlineStr">
        <is>
          <t>24.11.2026</t>
        </is>
      </c>
      <c r="E11780" t="inlineStr">
        <is>
          <t>China</t>
        </is>
      </c>
    </row>
    <row r="11781">
      <c r="A11781" t="inlineStr">
        <is>
          <t>Trinseo Netherlands BV,  Terneuzen, Netherlands</t>
        </is>
      </c>
      <c r="B11781" t="inlineStr">
        <is>
          <t>Processing Unit, Trader with Storage</t>
        </is>
      </c>
      <c r="C11781" t="inlineStr">
        <is>
          <t>SGS Germany GmbH, Emstek, DE</t>
        </is>
      </c>
      <c r="D11781" t="inlineStr">
        <is>
          <t>24.11.2026</t>
        </is>
      </c>
      <c r="E11781" t="inlineStr">
        <is>
          <t>Netherlands</t>
        </is>
      </c>
    </row>
    <row r="11782">
      <c r="A11782" t="inlineStr">
        <is>
          <t>Holme Bioenergy,  Holme on Spalding Moor, United Kingdom</t>
        </is>
      </c>
      <c r="B11782" t="inlineStr">
        <is>
          <t>Processing Unit</t>
        </is>
      </c>
      <c r="C11782" t="inlineStr">
        <is>
          <t>Double Helix Tracking Technologies Pte Ltd, Singapore, SG</t>
        </is>
      </c>
      <c r="D11782" t="inlineStr">
        <is>
          <t>24.11.2026</t>
        </is>
      </c>
      <c r="E11782" t="inlineStr">
        <is>
          <t>United Kingdom</t>
        </is>
      </c>
    </row>
    <row r="11783">
      <c r="A11783" t="inlineStr">
        <is>
          <t>AKRO-PLASTIC GmbH (Zweigniederlassung BIO-FED),  Köln, Germany</t>
        </is>
      </c>
      <c r="B11783" t="inlineStr">
        <is>
          <t>Trader</t>
        </is>
      </c>
      <c r="C11783" t="inlineStr">
        <is>
          <t>DQS CFS GmbH - Deutsche Gesellschaft für Nachhaltigkeit, Frankfurt am Main, DE</t>
        </is>
      </c>
      <c r="D11783" t="inlineStr">
        <is>
          <t>24.11.2026</t>
        </is>
      </c>
      <c r="E11783" t="inlineStr">
        <is>
          <t>Germany</t>
        </is>
      </c>
    </row>
    <row r="11784">
      <c r="A11784" t="inlineStr">
        <is>
          <t>Polytainers, Inc.,  Lees Summit, United States</t>
        </is>
      </c>
      <c r="B11784" t="inlineStr">
        <is>
          <t>Processing Unit</t>
        </is>
      </c>
      <c r="C11784" t="inlineStr">
        <is>
          <t>SCS Global Services, Emeryville, CA, US</t>
        </is>
      </c>
      <c r="D11784" t="inlineStr">
        <is>
          <t>24.11.2026</t>
        </is>
      </c>
      <c r="E11784" t="inlineStr">
        <is>
          <t>United States</t>
        </is>
      </c>
    </row>
    <row r="11785">
      <c r="A11785" t="inlineStr">
        <is>
          <t>Sam Chem Sphere JSC,  Duc Hoa District, Long An Province, Vietnam</t>
        </is>
      </c>
      <c r="B11785" t="inlineStr">
        <is>
          <t>Trader with Storage</t>
        </is>
      </c>
      <c r="C11785" t="inlineStr">
        <is>
          <t>SGS Germany GmbH, Emstek, DE</t>
        </is>
      </c>
      <c r="D11785" t="inlineStr">
        <is>
          <t>24.11.2026</t>
        </is>
      </c>
      <c r="E11785" t="inlineStr">
        <is>
          <t>Vietnam</t>
        </is>
      </c>
    </row>
    <row r="11786">
      <c r="A11786" t="inlineStr">
        <is>
          <t>PT. Enviro Agro Abadi,  Kab. Langkat, Indonesia</t>
        </is>
      </c>
      <c r="B11786" t="inlineStr">
        <is>
          <t>Trader with Storage, Processing Unit, Warehouse</t>
        </is>
      </c>
      <c r="C11786" t="inlineStr">
        <is>
          <t>RINA Services S.p.A., Genova, IT</t>
        </is>
      </c>
      <c r="D11786" t="inlineStr">
        <is>
          <t>24.11.2026</t>
        </is>
      </c>
      <c r="E11786" t="inlineStr">
        <is>
          <t>Indonesia</t>
        </is>
      </c>
    </row>
    <row r="11787">
      <c r="A11787" t="inlineStr">
        <is>
          <t>Jinhua Li Jia Yuan Biological Engineering Co., LTD,  Jinhua, China</t>
        </is>
      </c>
      <c r="B11787" t="inlineStr">
        <is>
          <t>Processing Unit</t>
        </is>
      </c>
      <c r="C11787" t="inlineStr">
        <is>
          <t>NSF International, Ann Arbor, MI, US</t>
        </is>
      </c>
      <c r="D11787" t="inlineStr">
        <is>
          <t>24.11.2026</t>
        </is>
      </c>
      <c r="E11787" t="inlineStr">
        <is>
          <t>China</t>
        </is>
      </c>
    </row>
    <row r="11788">
      <c r="A11788" t="inlineStr">
        <is>
          <t>Veolia Services Suomi Oy,  Äänekoski, Finland</t>
        </is>
      </c>
      <c r="B11788" t="inlineStr">
        <is>
          <t>Collecting Point, Processing Unit, Trader with Storage</t>
        </is>
      </c>
      <c r="C11788" t="inlineStr">
        <is>
          <t>Bureau Veritas Polska Sp. z o.o., Warsaw, PL</t>
        </is>
      </c>
      <c r="D11788" t="inlineStr">
        <is>
          <t>24.11.2026</t>
        </is>
      </c>
      <c r="E11788" t="inlineStr">
        <is>
          <t>Finland</t>
        </is>
      </c>
    </row>
    <row r="11789">
      <c r="A11789" t="inlineStr">
        <is>
          <t>Veolia Services Suomi Oy,  Äänekoski, Finland</t>
        </is>
      </c>
      <c r="B11789" t="inlineStr">
        <is>
          <t>Processing Unit, Trader with Storage</t>
        </is>
      </c>
      <c r="C11789" t="inlineStr">
        <is>
          <t>Bureau Veritas Polska Sp. z o.o., Warsaw, PL</t>
        </is>
      </c>
      <c r="D11789" t="inlineStr">
        <is>
          <t>24.11.2026</t>
        </is>
      </c>
      <c r="E11789" t="inlineStr">
        <is>
          <t>Finland</t>
        </is>
      </c>
    </row>
    <row r="11790">
      <c r="A11790" t="inlineStr">
        <is>
          <t>LABLABO,  Juvigny, France</t>
        </is>
      </c>
      <c r="B11790" t="inlineStr">
        <is>
          <t>Final Product Refinement, Processing Unit, Trader with Storage</t>
        </is>
      </c>
      <c r="C11790" t="inlineStr">
        <is>
          <t>Bureau Veritas Polska Sp. z o.o., Warsaw, PL</t>
        </is>
      </c>
      <c r="D11790" t="inlineStr">
        <is>
          <t>24.11.2026</t>
        </is>
      </c>
      <c r="E11790" t="inlineStr">
        <is>
          <t>France</t>
        </is>
      </c>
    </row>
    <row r="11791">
      <c r="A11791" t="inlineStr">
        <is>
          <t>Ogawa-Econos Co., Ltd.,  Fuchu-shi,Hiroshima-ken, Japan</t>
        </is>
      </c>
      <c r="B11791" t="inlineStr">
        <is>
          <t>Collecting Point, Trader</t>
        </is>
      </c>
      <c r="C11791" t="inlineStr">
        <is>
          <t>Bureau Veritas Polska Sp. z o.o., Warsaw, PL</t>
        </is>
      </c>
      <c r="D11791" t="inlineStr">
        <is>
          <t>24.11.2026</t>
        </is>
      </c>
      <c r="E11791" t="inlineStr">
        <is>
          <t>Japan</t>
        </is>
      </c>
    </row>
    <row r="11792">
      <c r="A11792" t="inlineStr">
        <is>
          <t>Chongqing Yikang Environmental Engineering Co., Ltd Hechuan Branch,  Chongqing, China</t>
        </is>
      </c>
      <c r="B11792" t="inlineStr">
        <is>
          <t>Collecting Point, Processing Unit</t>
        </is>
      </c>
      <c r="C11792" t="inlineStr">
        <is>
          <t>RINA Services S.p.A., Genova, IT</t>
        </is>
      </c>
      <c r="D11792" t="inlineStr">
        <is>
          <t>24.11.2026</t>
        </is>
      </c>
      <c r="E11792" t="inlineStr">
        <is>
          <t>China</t>
        </is>
      </c>
    </row>
    <row r="11793">
      <c r="A11793" t="inlineStr">
        <is>
          <t>PROMAIZ S.A.,  Alejandro Roca, Argentina</t>
        </is>
      </c>
      <c r="B11793" t="inlineStr">
        <is>
          <t>Point of Origin, Processing Unit</t>
        </is>
      </c>
      <c r="C11793" t="inlineStr">
        <is>
          <t>Control Union Poland Sp. z o.o., Zielona Gora, PL</t>
        </is>
      </c>
      <c r="D11793" t="inlineStr">
        <is>
          <t>24.11.2026</t>
        </is>
      </c>
      <c r="E11793" t="inlineStr">
        <is>
          <t>Argentina</t>
        </is>
      </c>
    </row>
    <row r="11794">
      <c r="A11794" t="inlineStr">
        <is>
          <t>Cargill France,  MONTOIR, France</t>
        </is>
      </c>
      <c r="B11794" t="inlineStr">
        <is>
          <t>Processing Unit</t>
        </is>
      </c>
      <c r="C11794" t="inlineStr">
        <is>
          <t>Control Union Certifications Germany GmbH, Berlin, DE</t>
        </is>
      </c>
      <c r="D11794" t="inlineStr">
        <is>
          <t>24.11.2026</t>
        </is>
      </c>
      <c r="E11794" t="inlineStr">
        <is>
          <t>France</t>
        </is>
      </c>
    </row>
    <row r="11795">
      <c r="A11795" t="inlineStr">
        <is>
          <t>Mistral S.R.L.,  Setteville, Italy</t>
        </is>
      </c>
      <c r="B11795" t="inlineStr">
        <is>
          <t>Processing Unit</t>
        </is>
      </c>
      <c r="C11795" t="inlineStr">
        <is>
          <t>RINA Services S.p.A., Genova, IT</t>
        </is>
      </c>
      <c r="D11795" t="inlineStr">
        <is>
          <t>24.11.2026</t>
        </is>
      </c>
      <c r="E11795" t="inlineStr">
        <is>
          <t>Italy</t>
        </is>
      </c>
    </row>
    <row r="11796">
      <c r="A11796" t="inlineStr">
        <is>
          <t>BPS Turčianske Teplice s. r. o.,  Turčianske Teplice, Slovakia</t>
        </is>
      </c>
      <c r="B11796" t="inlineStr">
        <is>
          <t>Collecting Point, First Gathering Point, Processing Unit</t>
        </is>
      </c>
      <c r="C11796" t="inlineStr">
        <is>
          <t>United Registrar of Systems Polska Sp. z o.o., Wrocław, PL</t>
        </is>
      </c>
      <c r="D11796" t="inlineStr">
        <is>
          <t>24.11.2026</t>
        </is>
      </c>
      <c r="E11796" t="inlineStr">
        <is>
          <t>Slovakia</t>
        </is>
      </c>
    </row>
    <row r="11797">
      <c r="A11797" t="inlineStr">
        <is>
          <t>Jingjiang Huihe New Energy Co.,Ltd,  Jingjiang City Jiangsu Province, China</t>
        </is>
      </c>
      <c r="B11797" t="inlineStr">
        <is>
          <t>Trader with Storage</t>
        </is>
      </c>
      <c r="C11797" t="inlineStr">
        <is>
          <t>RINA Services S.p.A., Genova, IT</t>
        </is>
      </c>
      <c r="D11797" t="inlineStr">
        <is>
          <t>24.11.2026</t>
        </is>
      </c>
      <c r="E11797" t="inlineStr">
        <is>
          <t>China</t>
        </is>
      </c>
    </row>
    <row r="11798">
      <c r="A11798" t="inlineStr">
        <is>
          <t>Glencore Energy UK,  London, United Kingdom</t>
        </is>
      </c>
      <c r="B11798" t="inlineStr">
        <is>
          <t>Trader with Storage</t>
        </is>
      </c>
      <c r="C11798" t="inlineStr">
        <is>
          <t>SGS Germany GmbH, Emstek, DE</t>
        </is>
      </c>
      <c r="D11798" t="inlineStr">
        <is>
          <t>24.11.2026</t>
        </is>
      </c>
      <c r="E11798" t="inlineStr">
        <is>
          <t>United Kingdom</t>
        </is>
      </c>
    </row>
    <row r="11799">
      <c r="A11799" t="inlineStr">
        <is>
          <t>AKRO-PLASTIC GmbH (Zweigniederlassung AF-COLOR),  Niederzissen, Germany</t>
        </is>
      </c>
      <c r="B11799" t="inlineStr">
        <is>
          <t>Point of Origin, Processing Unit, Trader</t>
        </is>
      </c>
      <c r="C11799" t="inlineStr">
        <is>
          <t>DQS CFS GmbH - Deutsche Gesellschaft für Nachhaltigkeit, Frankfurt am Main, DE</t>
        </is>
      </c>
      <c r="D11799" t="inlineStr">
        <is>
          <t>24.11.2026</t>
        </is>
      </c>
      <c r="E11799" t="inlineStr">
        <is>
          <t>Germany</t>
        </is>
      </c>
    </row>
    <row r="11800">
      <c r="A11800" t="inlineStr">
        <is>
          <t>AKRO-PLASTIC GmbH,  Niederzissen, Germany</t>
        </is>
      </c>
      <c r="B11800" t="inlineStr">
        <is>
          <t>Collecting Point, Point of Origin, Processing Unit, Trader</t>
        </is>
      </c>
      <c r="C11800" t="inlineStr">
        <is>
          <t>DQS CFS GmbH - Deutsche Gesellschaft für Nachhaltigkeit, Frankfurt am Main, DE</t>
        </is>
      </c>
      <c r="D11800" t="inlineStr">
        <is>
          <t>24.11.2026</t>
        </is>
      </c>
      <c r="E11800" t="inlineStr">
        <is>
          <t>Germany</t>
        </is>
      </c>
    </row>
    <row r="11801">
      <c r="A11801" t="inlineStr">
        <is>
          <t>CHENGDU HUARONG INTERNATIONAL TRADE CO., LTD.,  Jinjiang Industrial Zone, Chengdu, Sichuan, China</t>
        </is>
      </c>
      <c r="B11801" t="inlineStr">
        <is>
          <t>Trader</t>
        </is>
      </c>
      <c r="C11801" t="inlineStr">
        <is>
          <t>RINA Services S.p.A., Genova, IT</t>
        </is>
      </c>
      <c r="D11801" t="inlineStr">
        <is>
          <t>24.11.2026</t>
        </is>
      </c>
      <c r="E11801" t="inlineStr">
        <is>
          <t>China</t>
        </is>
      </c>
    </row>
    <row r="11802">
      <c r="A11802" t="inlineStr">
        <is>
          <t>Polycomp GmbH,  Norderstedt, Germany</t>
        </is>
      </c>
      <c r="B11802" t="inlineStr">
        <is>
          <t>Point of Origin, Processing Unit, Trader</t>
        </is>
      </c>
      <c r="C11802" t="inlineStr">
        <is>
          <t>DQS CFS GmbH - Deutsche Gesellschaft für Nachhaltigkeit, Frankfurt am Main, DE</t>
        </is>
      </c>
      <c r="D11802" t="inlineStr">
        <is>
          <t>24.11.2026</t>
        </is>
      </c>
      <c r="E11802" t="inlineStr">
        <is>
          <t>Germany</t>
        </is>
      </c>
    </row>
    <row r="11803">
      <c r="A11803" t="inlineStr">
        <is>
          <t>Changzhou City Jintan District Weige Biological Technology Co.,Ltd,  Changzhou, Jiangsu Province, China</t>
        </is>
      </c>
      <c r="B11803" t="inlineStr">
        <is>
          <t>Collecting Point, Processing Unit, Trader with Storage</t>
        </is>
      </c>
      <c r="C11803" t="inlineStr">
        <is>
          <t>SCS Global Services, Emeryville, CA, US</t>
        </is>
      </c>
      <c r="D11803" t="inlineStr">
        <is>
          <t>24.11.2026</t>
        </is>
      </c>
      <c r="E11803" t="inlineStr">
        <is>
          <t>China</t>
        </is>
      </c>
    </row>
    <row r="11804">
      <c r="A11804" t="inlineStr">
        <is>
          <t>Biocombustibles Mallorca,  Marratxì, Islas Baleares, Spain</t>
        </is>
      </c>
      <c r="B11804" t="inlineStr">
        <is>
          <t>Collecting Point</t>
        </is>
      </c>
      <c r="C11804" t="inlineStr">
        <is>
          <t>RINA Services S.p.A., Genova, IT</t>
        </is>
      </c>
      <c r="D11804" t="inlineStr">
        <is>
          <t>24.11.2026</t>
        </is>
      </c>
      <c r="E11804" t="inlineStr">
        <is>
          <t>Spain</t>
        </is>
      </c>
    </row>
    <row r="11805">
      <c r="A11805" t="inlineStr">
        <is>
          <t>WM Renewable Energy,  Davis Junction, United States</t>
        </is>
      </c>
      <c r="B11805" t="inlineStr">
        <is>
          <t>Collecting Point, Processing Unit</t>
        </is>
      </c>
      <c r="C11805" t="inlineStr">
        <is>
          <t>SCS Global Services, Emeryville, CA, US</t>
        </is>
      </c>
      <c r="D11805" t="inlineStr">
        <is>
          <t>24.11.2026</t>
        </is>
      </c>
      <c r="E11805" t="inlineStr">
        <is>
          <t>United States</t>
        </is>
      </c>
    </row>
    <row r="11806">
      <c r="A11806" t="inlineStr">
        <is>
          <t>WM Renewable Energy,  Davis Junction, United States</t>
        </is>
      </c>
      <c r="B11806" t="inlineStr">
        <is>
          <t>Collecting Point, Processing Unit</t>
        </is>
      </c>
      <c r="C11806" t="inlineStr">
        <is>
          <t>SCS Global Services, Emeryville, CA, US</t>
        </is>
      </c>
      <c r="D11806" t="inlineStr">
        <is>
          <t>24.11.2026</t>
        </is>
      </c>
      <c r="E11806" t="inlineStr">
        <is>
          <t>United States</t>
        </is>
      </c>
    </row>
    <row r="11807">
      <c r="A11807" t="inlineStr">
        <is>
          <t>GUANGDONG BEACON TECHNOLOGY CO., LTD,  DONGGUAN CITY, GUANGDONG, China</t>
        </is>
      </c>
      <c r="B11807" t="inlineStr">
        <is>
          <t>Processing Unit</t>
        </is>
      </c>
      <c r="C11807" t="inlineStr">
        <is>
          <t>China Quality Certification Centre Co., Ltd., Beijing, CN</t>
        </is>
      </c>
      <c r="D11807" t="inlineStr">
        <is>
          <t>24.11.2026</t>
        </is>
      </c>
      <c r="E11807" t="inlineStr">
        <is>
          <t>China</t>
        </is>
      </c>
    </row>
    <row r="11808">
      <c r="A11808" t="inlineStr">
        <is>
          <t>LANXESS Deutschland GmbH,  Krefeld, Germany</t>
        </is>
      </c>
      <c r="B11808" t="inlineStr">
        <is>
          <t>Processing Unit</t>
        </is>
      </c>
      <c r="C11808" t="inlineStr">
        <is>
          <t>TÜV NORD CERT GmbH, Essen, DE</t>
        </is>
      </c>
      <c r="D11808" t="inlineStr">
        <is>
          <t>24.11.2026</t>
        </is>
      </c>
      <c r="E11808" t="inlineStr">
        <is>
          <t>Germany</t>
        </is>
      </c>
    </row>
    <row r="11809">
      <c r="A11809" t="inlineStr">
        <is>
          <t>AL INVEST Břidličná a.s., TAPA Tábor,  Tábor, Czech Republic</t>
        </is>
      </c>
      <c r="B11809" t="inlineStr">
        <is>
          <t>Final Product Refinement</t>
        </is>
      </c>
      <c r="C11809" t="inlineStr">
        <is>
          <t>TÜV SÜD Czech s.r.o., Praha 4, CZ</t>
        </is>
      </c>
      <c r="D11809" t="inlineStr">
        <is>
          <t>24.11.2026</t>
        </is>
      </c>
      <c r="E11809" t="inlineStr">
        <is>
          <t>Czech Republic</t>
        </is>
      </c>
    </row>
    <row r="11810">
      <c r="A11810" t="inlineStr">
        <is>
          <t>Palmeras del Llano S.A.S. BIC.,  acacias, Colombia</t>
        </is>
      </c>
      <c r="B11810" t="inlineStr">
        <is>
          <t>Point of Origin</t>
        </is>
      </c>
      <c r="C11810" t="inlineStr">
        <is>
          <t>Control Union Poland Sp. z o.o., Zielona Gora, PL</t>
        </is>
      </c>
      <c r="D11810" t="inlineStr">
        <is>
          <t>24.11.2026</t>
        </is>
      </c>
      <c r="E11810" t="inlineStr">
        <is>
          <t>Colombia</t>
        </is>
      </c>
    </row>
    <row r="11811">
      <c r="A11811" t="inlineStr">
        <is>
          <t>CI BIOWASTE COLOMBIA SAS,  Bogota, Colombia</t>
        </is>
      </c>
      <c r="B11811" t="inlineStr">
        <is>
          <t>Trader</t>
        </is>
      </c>
      <c r="C11811" t="inlineStr">
        <is>
          <t>Control Union Poland Sp. z o.o., Zielona Gora, PL</t>
        </is>
      </c>
      <c r="D11811" t="inlineStr">
        <is>
          <t>24.11.2026</t>
        </is>
      </c>
      <c r="E11811" t="inlineStr">
        <is>
          <t>Colombia</t>
        </is>
      </c>
    </row>
    <row r="11812">
      <c r="A11812" t="inlineStr">
        <is>
          <t>M Braker Transport,  Gramsbergen, Netherlands</t>
        </is>
      </c>
      <c r="B11812" t="inlineStr">
        <is>
          <t>Collecting Point</t>
        </is>
      </c>
      <c r="C11812" t="inlineStr">
        <is>
          <t>Normec QS BV, Bennekom, NL</t>
        </is>
      </c>
      <c r="D11812" t="inlineStr">
        <is>
          <t>24.11.2026</t>
        </is>
      </c>
      <c r="E11812" t="inlineStr">
        <is>
          <t>Netherlands</t>
        </is>
      </c>
    </row>
    <row r="11813">
      <c r="A11813" t="inlineStr">
        <is>
          <t>ALIANZA ORIENTAL S.A.,  ACACIAS, Colombia</t>
        </is>
      </c>
      <c r="B11813" t="inlineStr">
        <is>
          <t>Point of Origin</t>
        </is>
      </c>
      <c r="C11813" t="inlineStr">
        <is>
          <t>Control Union Poland Sp. z o.o., Zielona Gora, PL</t>
        </is>
      </c>
      <c r="D11813" t="inlineStr">
        <is>
          <t>24.11.2026</t>
        </is>
      </c>
      <c r="E11813" t="inlineStr">
        <is>
          <t>Colombia</t>
        </is>
      </c>
    </row>
    <row r="11814">
      <c r="A11814" t="inlineStr">
        <is>
          <t>Bunge France SAS,  Brest, France</t>
        </is>
      </c>
      <c r="B11814" t="inlineStr">
        <is>
          <t>Processing Unit, Trader</t>
        </is>
      </c>
      <c r="C11814" t="inlineStr">
        <is>
          <t>Control Union Certifications Germany GmbH, Berlin, DE</t>
        </is>
      </c>
      <c r="D11814" t="inlineStr">
        <is>
          <t>24.11.2026</t>
        </is>
      </c>
      <c r="E11814" t="inlineStr">
        <is>
          <t>France</t>
        </is>
      </c>
    </row>
    <row r="11815">
      <c r="A11815" t="inlineStr">
        <is>
          <t>Bunge France SAS,  Brest, France</t>
        </is>
      </c>
      <c r="B11815" t="inlineStr">
        <is>
          <t>Trader, Processing Unit</t>
        </is>
      </c>
      <c r="C11815" t="inlineStr">
        <is>
          <t>Control Union Certifications Germany GmbH, Berlin, DE</t>
        </is>
      </c>
      <c r="D11815" t="inlineStr">
        <is>
          <t>24.11.2026</t>
        </is>
      </c>
      <c r="E11815" t="inlineStr">
        <is>
          <t>France</t>
        </is>
      </c>
    </row>
    <row r="11816">
      <c r="A11816" t="inlineStr">
        <is>
          <t>Producargo S.A. Productora de Alcoholes,  La Troncal, Ecuador</t>
        </is>
      </c>
      <c r="B11816" t="inlineStr">
        <is>
          <t>Processing Unit</t>
        </is>
      </c>
      <c r="C11816" t="inlineStr">
        <is>
          <t>SCS Global Services, Emeryville, CA, US</t>
        </is>
      </c>
      <c r="D11816" t="inlineStr">
        <is>
          <t>24.11.2026</t>
        </is>
      </c>
      <c r="E11816" t="inlineStr">
        <is>
          <t>Ecuador</t>
        </is>
      </c>
    </row>
    <row r="11817">
      <c r="A11817" t="inlineStr">
        <is>
          <t>Polychim Industrie,  Loon-Plage, France</t>
        </is>
      </c>
      <c r="B11817" t="inlineStr">
        <is>
          <t>Processing Unit</t>
        </is>
      </c>
      <c r="C11817" t="inlineStr">
        <is>
          <t>Control Union Certifications Germany GmbH, Berlin, DE</t>
        </is>
      </c>
      <c r="D11817" t="inlineStr">
        <is>
          <t>24.11.2026</t>
        </is>
      </c>
      <c r="E11817" t="inlineStr">
        <is>
          <t>France</t>
        </is>
      </c>
    </row>
    <row r="11818">
      <c r="A11818" t="inlineStr">
        <is>
          <t>De Torenhoeve Biogas B.V.,  Biddinghuizen, Netherlands</t>
        </is>
      </c>
      <c r="B11818" t="inlineStr">
        <is>
          <t>Collecting Point, Processing Unit</t>
        </is>
      </c>
      <c r="C11818" t="inlineStr">
        <is>
          <t>Normec QS BV, Bennekom, NL</t>
        </is>
      </c>
      <c r="D11818" t="inlineStr">
        <is>
          <t>24.11.2026</t>
        </is>
      </c>
      <c r="E11818" t="inlineStr">
        <is>
          <t>Netherlands</t>
        </is>
      </c>
    </row>
    <row r="11819">
      <c r="A11819" t="inlineStr">
        <is>
          <t>Varo Energy Netherlands,  Rotterdam, Netherlands</t>
        </is>
      </c>
      <c r="B11819" t="inlineStr">
        <is>
          <t>Proof of Compliance Trader, Trader with Storage</t>
        </is>
      </c>
      <c r="C11819" t="inlineStr">
        <is>
          <t>Control Union Certifications Germany GmbH, Berlin, DE</t>
        </is>
      </c>
      <c r="D11819" t="inlineStr">
        <is>
          <t>24.11.2026</t>
        </is>
      </c>
      <c r="E11819" t="inlineStr">
        <is>
          <t>Netherlands</t>
        </is>
      </c>
    </row>
    <row r="11820">
      <c r="A11820" t="inlineStr">
        <is>
          <t>Bioiberica,  Niederlassung Rheda-Wiedenbrück, Germany</t>
        </is>
      </c>
      <c r="B11820" t="inlineStr">
        <is>
          <t>Point of Origin</t>
        </is>
      </c>
      <c r="C11820" t="inlineStr">
        <is>
          <t>BMC Assurance, S.L, Santander, ES</t>
        </is>
      </c>
      <c r="D11820" t="inlineStr">
        <is>
          <t>24.11.2026</t>
        </is>
      </c>
      <c r="E11820" t="inlineStr">
        <is>
          <t>Germany</t>
        </is>
      </c>
    </row>
    <row r="11821">
      <c r="A11821" t="inlineStr">
        <is>
          <t>SAWIT ANUGRAH SEJAHTERA,  Kel. Muara Basung, Kec. Pinggir, Kab. Bengkalis, Provinsi Riau, Indonesia</t>
        </is>
      </c>
      <c r="B11821" t="inlineStr">
        <is>
          <t>Point of Origin</t>
        </is>
      </c>
      <c r="C11821" t="inlineStr">
        <is>
          <t>PT. Qualitas Sertifikasi Indonesia, Jakarta, ID</t>
        </is>
      </c>
      <c r="D11821" t="inlineStr">
        <is>
          <t>24.11.2026</t>
        </is>
      </c>
      <c r="E11821" t="inlineStr">
        <is>
          <t>Indonesia</t>
        </is>
      </c>
    </row>
    <row r="11822">
      <c r="A11822" t="inlineStr">
        <is>
          <t>SHIRAISHI CALCIUM KAISHA,  Osaka, Japan</t>
        </is>
      </c>
      <c r="B11822" t="inlineStr">
        <is>
          <t>Trader</t>
        </is>
      </c>
      <c r="C11822" t="inlineStr">
        <is>
          <t>Control Union Certifications Germany GmbH, Berlin, DE</t>
        </is>
      </c>
      <c r="D11822" t="inlineStr">
        <is>
          <t>24.11.2026</t>
        </is>
      </c>
      <c r="E11822" t="inlineStr">
        <is>
          <t>Japan</t>
        </is>
      </c>
    </row>
    <row r="11823">
      <c r="A11823" t="inlineStr">
        <is>
          <t>ProPig GmbH,  Ankum, Germany</t>
        </is>
      </c>
      <c r="B11823" t="inlineStr">
        <is>
          <t>Trader with Storage</t>
        </is>
      </c>
      <c r="C11823" t="inlineStr">
        <is>
          <t>BM Certification, Riga, LV</t>
        </is>
      </c>
      <c r="D11823" t="inlineStr">
        <is>
          <t>24.11.2026</t>
        </is>
      </c>
      <c r="E11823" t="inlineStr">
        <is>
          <t>Germany</t>
        </is>
      </c>
    </row>
    <row r="11824">
      <c r="A11824" t="inlineStr">
        <is>
          <t>Glencore Energy UK,  London, United Kingdom</t>
        </is>
      </c>
      <c r="B11824" t="inlineStr">
        <is>
          <t>Trader with Storage</t>
        </is>
      </c>
      <c r="C11824" t="inlineStr">
        <is>
          <t>SGS Germany GmbH, Emstek, DE</t>
        </is>
      </c>
      <c r="D11824" t="inlineStr">
        <is>
          <t>24.11.2026</t>
        </is>
      </c>
      <c r="E11824" t="inlineStr">
        <is>
          <t>United Kingdom</t>
        </is>
      </c>
    </row>
    <row r="11825">
      <c r="A11825" t="inlineStr">
        <is>
          <t>Borealis GmbH,  Stenungsund, Sweden</t>
        </is>
      </c>
      <c r="B11825" t="inlineStr">
        <is>
          <t>Warehouse, Processing Unit</t>
        </is>
      </c>
      <c r="C11825" t="inlineStr">
        <is>
          <t>SGS Germany GmbH, Emstek, DE</t>
        </is>
      </c>
      <c r="D11825" t="inlineStr">
        <is>
          <t>24.11.2026</t>
        </is>
      </c>
      <c r="E11825" t="inlineStr">
        <is>
          <t>Sweden</t>
        </is>
      </c>
    </row>
    <row r="11826">
      <c r="A11826" t="inlineStr">
        <is>
          <t>Maxwell Glocom Pte. Ltd.,  Singapore, Singapore</t>
        </is>
      </c>
      <c r="B11826" t="inlineStr">
        <is>
          <t>Trader</t>
        </is>
      </c>
      <c r="C11826" t="inlineStr">
        <is>
          <t>China Testing &amp; Certification International Group Co., Ltd., Beijing, CN</t>
        </is>
      </c>
      <c r="D11826" t="inlineStr">
        <is>
          <t>24.11.2026</t>
        </is>
      </c>
      <c r="E11826" t="inlineStr">
        <is>
          <t>Singapore</t>
        </is>
      </c>
    </row>
    <row r="11827">
      <c r="A11827" t="inlineStr">
        <is>
          <t>Jiangxi Lanrui Optical Co., Ltd.,  Yingtan City, Jiangxi Province, China</t>
        </is>
      </c>
      <c r="B11827" t="inlineStr">
        <is>
          <t>Processing Unit</t>
        </is>
      </c>
      <c r="C11827" t="inlineStr">
        <is>
          <t>SCS Global Services, Emeryville, CA, US</t>
        </is>
      </c>
      <c r="D11827" t="inlineStr">
        <is>
          <t>24.11.2026</t>
        </is>
      </c>
      <c r="E11827" t="inlineStr">
        <is>
          <t>China</t>
        </is>
      </c>
    </row>
    <row r="11828">
      <c r="A11828" t="inlineStr">
        <is>
          <t>UD. Mitra Niaga,  Dumai, Indonesia</t>
        </is>
      </c>
      <c r="B11828" t="inlineStr">
        <is>
          <t>Collecting Point, Trader with Storage</t>
        </is>
      </c>
      <c r="C11828" t="inlineStr">
        <is>
          <t>China Testing &amp; Certification International Group Co., Ltd., Beijing, CN</t>
        </is>
      </c>
      <c r="D11828" t="inlineStr">
        <is>
          <t>24.11.2026</t>
        </is>
      </c>
      <c r="E11828" t="inlineStr">
        <is>
          <t>Indonesia</t>
        </is>
      </c>
    </row>
    <row r="11829">
      <c r="A11829" t="inlineStr">
        <is>
          <t>Godavari Biorefineries Limited,  Dist. : Bagalkot, India</t>
        </is>
      </c>
      <c r="B11829" t="inlineStr">
        <is>
          <t>First Gathering Point, Processing Unit</t>
        </is>
      </c>
      <c r="C11829" t="inlineStr">
        <is>
          <t>Cotecna India Inspection Pvt Ltd, Kolkata, IN</t>
        </is>
      </c>
      <c r="D11829" t="inlineStr">
        <is>
          <t>24.11.2026</t>
        </is>
      </c>
      <c r="E11829" t="inlineStr">
        <is>
          <t>India</t>
        </is>
      </c>
    </row>
    <row r="11830">
      <c r="A11830" t="inlineStr">
        <is>
          <t>Ji Pyungsun Energy,  Gunsan-si, Jeonbuk-do, South Korea</t>
        </is>
      </c>
      <c r="B11830" t="inlineStr">
        <is>
          <t>Collecting Point, Processing Unit</t>
        </is>
      </c>
      <c r="C11830" t="inlineStr">
        <is>
          <t>Korean Foundation for Quality, Songpa-gu, Seoul, KR</t>
        </is>
      </c>
      <c r="D11830" t="inlineStr">
        <is>
          <t>24.11.2026</t>
        </is>
      </c>
      <c r="E11830" t="inlineStr">
        <is>
          <t>South Korea</t>
        </is>
      </c>
    </row>
    <row r="11831">
      <c r="A11831" t="inlineStr">
        <is>
          <t>Kowa Emori Company, Ltd.,  Fukui, Japan</t>
        </is>
      </c>
      <c r="B11831" t="inlineStr">
        <is>
          <t>Trader</t>
        </is>
      </c>
      <c r="C11831" t="inlineStr">
        <is>
          <t>Control Union Certifications Germany GmbH, Berlin, DE</t>
        </is>
      </c>
      <c r="D11831" t="inlineStr">
        <is>
          <t>24.11.2026</t>
        </is>
      </c>
      <c r="E11831" t="inlineStr">
        <is>
          <t>Japan</t>
        </is>
      </c>
    </row>
    <row r="11832">
      <c r="A11832" t="inlineStr">
        <is>
          <t>TEZKİM TARIMSAL KİMYA SAN. VE TİC. A.Ş.,  ADANA/TURKEY, Türkiye</t>
        </is>
      </c>
      <c r="B11832" t="inlineStr">
        <is>
          <t>Point of Origin, Processing Unit</t>
        </is>
      </c>
      <c r="C11832" t="inlineStr">
        <is>
          <t>PT SBC Asia Sertifikasi, Kebumen, ID</t>
        </is>
      </c>
      <c r="D11832" t="inlineStr">
        <is>
          <t>24.11.2026</t>
        </is>
      </c>
      <c r="E11832" t="inlineStr">
        <is>
          <t>Türkiye</t>
        </is>
      </c>
    </row>
    <row r="11833">
      <c r="A11833" t="inlineStr">
        <is>
          <t>Garware Hi-Tech Films Ltd,  Waluj, Chhatrapati SambhajiNagar, India</t>
        </is>
      </c>
      <c r="B11833" t="inlineStr">
        <is>
          <t>Processing Unit</t>
        </is>
      </c>
      <c r="C11833" t="inlineStr">
        <is>
          <t>Alcumus ISOQAR Ltd, Stretford, Manchester, GB</t>
        </is>
      </c>
      <c r="D11833" t="inlineStr">
        <is>
          <t>24.11.2026</t>
        </is>
      </c>
      <c r="E11833" t="inlineStr">
        <is>
          <t>India</t>
        </is>
      </c>
    </row>
    <row r="11834">
      <c r="A11834" t="inlineStr">
        <is>
          <t>Garware Hi-Tech Films Ltd,  Chhatrapati Sambhaji Nagar, India</t>
        </is>
      </c>
      <c r="B11834" t="inlineStr">
        <is>
          <t>Processing Unit</t>
        </is>
      </c>
      <c r="C11834" t="inlineStr">
        <is>
          <t>Alcumus ISOQAR Ltd, Stretford, Manchester, GB</t>
        </is>
      </c>
      <c r="D11834" t="inlineStr">
        <is>
          <t>24.11.2026</t>
        </is>
      </c>
      <c r="E11834" t="inlineStr">
        <is>
          <t>India</t>
        </is>
      </c>
    </row>
    <row r="11835">
      <c r="A11835" t="inlineStr">
        <is>
          <t>HK Gua Musang,  Bandar Gua Musang, Jajahan Gua Musang, Malaysia</t>
        </is>
      </c>
      <c r="B11835" t="inlineStr">
        <is>
          <t>Point of Origin</t>
        </is>
      </c>
      <c r="C11835" t="inlineStr">
        <is>
          <t>PT. CBQA GLOBAL INDONESIA, JAKARTA SELATAN, ID</t>
        </is>
      </c>
      <c r="D11835" t="inlineStr">
        <is>
          <t>24.11.2026</t>
        </is>
      </c>
      <c r="E11835" t="inlineStr">
        <is>
          <t>Malaysia</t>
        </is>
      </c>
    </row>
    <row r="11836">
      <c r="A11836" t="inlineStr">
        <is>
          <t>Carpenter Ltd,  Glossop, United Kingdom</t>
        </is>
      </c>
      <c r="B11836" t="inlineStr">
        <is>
          <t>Processing Unit</t>
        </is>
      </c>
      <c r="C11836" t="inlineStr">
        <is>
          <t>Alcumus ISOQAR Ltd, Stretford, Manchester, GB</t>
        </is>
      </c>
      <c r="D11836" t="inlineStr">
        <is>
          <t>24.11.2026</t>
        </is>
      </c>
      <c r="E11836" t="inlineStr">
        <is>
          <t>United Kingdom</t>
        </is>
      </c>
    </row>
    <row r="11837">
      <c r="A11837" t="inlineStr">
        <is>
          <t>Topeco Environmental Technology Co., Ltd,  Dongguan City, China</t>
        </is>
      </c>
      <c r="B11837" t="inlineStr">
        <is>
          <t>Collecting Point, Processing Unit</t>
        </is>
      </c>
      <c r="C11837" t="inlineStr">
        <is>
          <t>China Standard Conformity Assessment Co. Ltd, Beijing, CN</t>
        </is>
      </c>
      <c r="D11837" t="inlineStr">
        <is>
          <t>24.11.2026</t>
        </is>
      </c>
      <c r="E11837" t="inlineStr">
        <is>
          <t>China</t>
        </is>
      </c>
    </row>
    <row r="11838">
      <c r="A11838" t="inlineStr">
        <is>
          <t>TUAN THANH TRADING PRODUCTION AND INVESTMENT COMPANY LIMITED,  Phuoc Ly Commune, Vietnam</t>
        </is>
      </c>
      <c r="B11838" t="inlineStr">
        <is>
          <t>Collecting Point, Processing Unit, Trader with Storage, Point of Origin</t>
        </is>
      </c>
      <c r="C11838" t="inlineStr">
        <is>
          <t>BM Certification, Riga, LV</t>
        </is>
      </c>
      <c r="D11838" t="inlineStr">
        <is>
          <t>24.11.2026</t>
        </is>
      </c>
      <c r="E11838" t="inlineStr">
        <is>
          <t>Vietnam</t>
        </is>
      </c>
    </row>
    <row r="11839">
      <c r="A11839" t="inlineStr">
        <is>
          <t>Ionian Recycle Hellas Koin.S.EP.,  Thessaloniki, Greece</t>
        </is>
      </c>
      <c r="B11839" t="inlineStr">
        <is>
          <t>Collecting Point</t>
        </is>
      </c>
      <c r="C11839" t="inlineStr">
        <is>
          <t>QMSCERT S.A., Pylaia, Thessaloniki, GR</t>
        </is>
      </c>
      <c r="D11839" t="inlineStr">
        <is>
          <t>24.11.2026</t>
        </is>
      </c>
      <c r="E11839" t="inlineStr">
        <is>
          <t>Greece</t>
        </is>
      </c>
    </row>
    <row r="11840">
      <c r="A11840" t="inlineStr">
        <is>
          <t>Caligen,  Accrington, United Kingdom</t>
        </is>
      </c>
      <c r="B11840" t="inlineStr">
        <is>
          <t>Final Product Refinement, Processing Unit</t>
        </is>
      </c>
      <c r="C11840" t="inlineStr">
        <is>
          <t>SGS Germany GmbH, Emstek, DE</t>
        </is>
      </c>
      <c r="D11840" t="inlineStr">
        <is>
          <t>24.11.2026</t>
        </is>
      </c>
      <c r="E11840" t="inlineStr">
        <is>
          <t>United Kingdom</t>
        </is>
      </c>
    </row>
    <row r="11841">
      <c r="A11841" t="inlineStr">
        <is>
          <t>SHPP Singapore Pte. Ltd.,  Singapore, Singapore</t>
        </is>
      </c>
      <c r="B11841" t="inlineStr">
        <is>
          <t>Processing Unit, Warehouse</t>
        </is>
      </c>
      <c r="C11841" t="inlineStr">
        <is>
          <t>TÜV NORD CERT GmbH, Essen, DE</t>
        </is>
      </c>
      <c r="D11841" t="inlineStr">
        <is>
          <t>23.11.2026</t>
        </is>
      </c>
      <c r="E11841" t="inlineStr">
        <is>
          <t>Singapore</t>
        </is>
      </c>
    </row>
    <row r="11842">
      <c r="A11842" t="inlineStr">
        <is>
          <t>Forestal del Atlántico,  Mugardos, Spain</t>
        </is>
      </c>
      <c r="B11842" t="inlineStr">
        <is>
          <t>Warehouse</t>
        </is>
      </c>
      <c r="C11842" t="inlineStr">
        <is>
          <t>Control Union Poland Sp. z o.o., Zielona Gora, PL</t>
        </is>
      </c>
      <c r="D11842" t="inlineStr">
        <is>
          <t>23.11.2026</t>
        </is>
      </c>
      <c r="E11842" t="inlineStr">
        <is>
          <t>Spain</t>
        </is>
      </c>
    </row>
    <row r="11843">
      <c r="A11843" t="inlineStr">
        <is>
          <t>LLC "Kremenchuk Carbon Black Plant",  Kremenchuk, Poltava Region,, Ukraine</t>
        </is>
      </c>
      <c r="B11843" t="inlineStr">
        <is>
          <t>Collecting Point, Processing Unit, Trader</t>
        </is>
      </c>
      <c r="C11843" t="inlineStr">
        <is>
          <t>TÜV NORD CERT GmbH, Essen, DE</t>
        </is>
      </c>
      <c r="D11843" t="inlineStr">
        <is>
          <t>23.11.2026</t>
        </is>
      </c>
      <c r="E11843" t="inlineStr">
        <is>
          <t>Ukraine</t>
        </is>
      </c>
    </row>
    <row r="11844">
      <c r="A11844" t="inlineStr">
        <is>
          <t>LLC "Kremenchuk Carbon Black Plant",  Obukhiv district, Mala Vilshanka village, Ukraine</t>
        </is>
      </c>
      <c r="B11844" t="inlineStr">
        <is>
          <t>Processing Unit</t>
        </is>
      </c>
      <c r="C11844" t="inlineStr">
        <is>
          <t>TÜV NORD CERT GmbH, Essen, DE</t>
        </is>
      </c>
      <c r="D11844" t="inlineStr">
        <is>
          <t>23.11.2026</t>
        </is>
      </c>
      <c r="E11844" t="inlineStr">
        <is>
          <t>Ukraine</t>
        </is>
      </c>
    </row>
    <row r="11845">
      <c r="A11845" t="inlineStr">
        <is>
          <t>BE Shifang (Hunan) Environmental Energy Co. LTD,  High-tech Zone, Xiangtan City, Hunan Province, China</t>
        </is>
      </c>
      <c r="B11845" t="inlineStr">
        <is>
          <t>Collecting Point, Processing Unit, Trader with Storage</t>
        </is>
      </c>
      <c r="C11845" t="inlineStr">
        <is>
          <t>SCS Global Services, Emeryville, CA, US</t>
        </is>
      </c>
      <c r="D11845" t="inlineStr">
        <is>
          <t>23.11.2026</t>
        </is>
      </c>
      <c r="E11845" t="inlineStr">
        <is>
          <t>China</t>
        </is>
      </c>
    </row>
    <row r="11846">
      <c r="A11846" t="inlineStr">
        <is>
          <t>MartinoRossi SpA,  Malagnino, Italy</t>
        </is>
      </c>
      <c r="B11846" t="inlineStr">
        <is>
          <t>Processing Unit, First Gathering Point</t>
        </is>
      </c>
      <c r="C11846" t="inlineStr">
        <is>
          <t>CSQA Certificazioni Srl, Thiene, IT</t>
        </is>
      </c>
      <c r="D11846" t="inlineStr">
        <is>
          <t>23.11.2026</t>
        </is>
      </c>
      <c r="E11846" t="inlineStr">
        <is>
          <t>Italy</t>
        </is>
      </c>
    </row>
    <row r="11847">
      <c r="A11847" t="inlineStr">
        <is>
          <t>United Rotterdam Biofuels FZ,  AL Hamra Industrial Zone-FZ, Ras Al Khaimah,UAE, United Arab Emirates</t>
        </is>
      </c>
      <c r="B11847" t="inlineStr">
        <is>
          <t>Trader</t>
        </is>
      </c>
      <c r="C11847" t="inlineStr">
        <is>
          <t>ICIM SpA, sesto san giovanni, IT</t>
        </is>
      </c>
      <c r="D11847" t="inlineStr">
        <is>
          <t>23.11.2026</t>
        </is>
      </c>
      <c r="E11847" t="inlineStr">
        <is>
          <t>United Arab Emirates</t>
        </is>
      </c>
    </row>
    <row r="11848">
      <c r="A11848" t="inlineStr">
        <is>
          <t>ORLEN Unipetrol RPA s.r.o.,  Litvinov, Czech Republic</t>
        </is>
      </c>
      <c r="B11848" t="inlineStr">
        <is>
          <t>Processing Unit</t>
        </is>
      </c>
      <c r="C11848" t="inlineStr">
        <is>
          <t>TÜV SÜD Czech s.r.o., Praha 4, CZ</t>
        </is>
      </c>
      <c r="D11848" t="inlineStr">
        <is>
          <t>23.11.2026</t>
        </is>
      </c>
      <c r="E11848" t="inlineStr">
        <is>
          <t>Czech Republic</t>
        </is>
      </c>
    </row>
    <row r="11849">
      <c r="A11849" t="inlineStr">
        <is>
          <t>Dunastyr Polystyrene Manufacturing,  Szazhalombatta, Hungary</t>
        </is>
      </c>
      <c r="B11849" t="inlineStr">
        <is>
          <t>Processing Unit</t>
        </is>
      </c>
      <c r="C11849" t="inlineStr">
        <is>
          <t>RINA Services S.p.A., Genova, IT</t>
        </is>
      </c>
      <c r="D11849" t="inlineStr">
        <is>
          <t>23.11.2026</t>
        </is>
      </c>
      <c r="E11849" t="inlineStr">
        <is>
          <t>Hungary</t>
        </is>
      </c>
    </row>
    <row r="11850">
      <c r="A11850" t="inlineStr">
        <is>
          <t>New Wincup Holdings,  Jacksonville, Florida, United States</t>
        </is>
      </c>
      <c r="B11850" t="inlineStr">
        <is>
          <t>Processing Unit</t>
        </is>
      </c>
      <c r="C11850" t="inlineStr">
        <is>
          <t>SCS Global Services, Emeryville, CA, US</t>
        </is>
      </c>
      <c r="D11850" t="inlineStr">
        <is>
          <t>23.11.2026</t>
        </is>
      </c>
      <c r="E11850" t="inlineStr">
        <is>
          <t>United States</t>
        </is>
      </c>
    </row>
    <row r="11851">
      <c r="A11851" t="inlineStr">
        <is>
          <t>Agroazucar Ecuador S.A.,  La Troncal, Ecuador</t>
        </is>
      </c>
      <c r="B11851" t="inlineStr">
        <is>
          <t>First Gathering Point, Processing Unit</t>
        </is>
      </c>
      <c r="C11851" t="inlineStr">
        <is>
          <t>SCS Global Services, Emeryville, CA, US</t>
        </is>
      </c>
      <c r="D11851" t="inlineStr">
        <is>
          <t>23.11.2026</t>
        </is>
      </c>
      <c r="E11851" t="inlineStr">
        <is>
          <t>Ecuador</t>
        </is>
      </c>
    </row>
    <row r="11852">
      <c r="A11852" t="inlineStr">
        <is>
          <t>Agroazucar Ecuador S.A.,  La Troncal, Ecuador</t>
        </is>
      </c>
      <c r="B11852" t="inlineStr">
        <is>
          <t>First Gathering Point, Processing Unit</t>
        </is>
      </c>
      <c r="C11852" t="inlineStr">
        <is>
          <t>SCS Global Services, Emeryville, CA, US</t>
        </is>
      </c>
      <c r="D11852" t="inlineStr">
        <is>
          <t>23.11.2026</t>
        </is>
      </c>
      <c r="E11852" t="inlineStr">
        <is>
          <t>Ecuador</t>
        </is>
      </c>
    </row>
    <row r="11853">
      <c r="A11853" t="inlineStr">
        <is>
          <t>Hartai Gazdák Mezőgazdasági Szövetkezet,  Harta, Hungary</t>
        </is>
      </c>
      <c r="B11853" t="inlineStr">
        <is>
          <t>First Gathering Point</t>
        </is>
      </c>
      <c r="C11853" t="inlineStr">
        <is>
          <t>Certificadora Gallega del Noroeste SL, Vilagarcia de Arousa-Pontevedra, ES</t>
        </is>
      </c>
      <c r="D11853" t="inlineStr">
        <is>
          <t>23.11.2026</t>
        </is>
      </c>
      <c r="E11853" t="inlineStr">
        <is>
          <t>Hungary</t>
        </is>
      </c>
    </row>
    <row r="11854">
      <c r="A11854" t="inlineStr">
        <is>
          <t>PT Sukajadi Sawit Mekar,  Kabupaten Kotawaringin Timur, Indonesia</t>
        </is>
      </c>
      <c r="B11854" t="inlineStr">
        <is>
          <t>Processing Unit, Trader, Warehouse</t>
        </is>
      </c>
      <c r="C11854" t="inlineStr">
        <is>
          <t>Control Union Certifications Germany GmbH, Berlin, DE</t>
        </is>
      </c>
      <c r="D11854" t="inlineStr">
        <is>
          <t>23.11.2026</t>
        </is>
      </c>
      <c r="E11854" t="inlineStr">
        <is>
          <t>Indonesia</t>
        </is>
      </c>
    </row>
    <row r="11855">
      <c r="A11855" t="inlineStr">
        <is>
          <t>AgroKorn trade s.r.o.,  Olomouc, Czech Republic</t>
        </is>
      </c>
      <c r="B11855" t="inlineStr">
        <is>
          <t>First Gathering Point, Trader</t>
        </is>
      </c>
      <c r="C11855" t="inlineStr">
        <is>
          <t>United Registrar of Systems Polska Sp. z o.o., Wrocław, PL</t>
        </is>
      </c>
      <c r="D11855" t="inlineStr">
        <is>
          <t>23.11.2026</t>
        </is>
      </c>
      <c r="E11855" t="inlineStr">
        <is>
          <t>Czech Republic</t>
        </is>
      </c>
    </row>
    <row r="11856">
      <c r="A11856" t="inlineStr">
        <is>
          <t>PT Hari Sawit Jaya,  Bilah Hilir District, Labuhan Batu Regency, North Sumatera, Indonesia</t>
        </is>
      </c>
      <c r="B11856" t="inlineStr">
        <is>
          <t>Point of Origin, Processing Unit</t>
        </is>
      </c>
      <c r="C11856" t="inlineStr">
        <is>
          <t>SGS Germany GmbH, Emstek, DE</t>
        </is>
      </c>
      <c r="D11856" t="inlineStr">
        <is>
          <t>23.11.2026</t>
        </is>
      </c>
      <c r="E11856" t="inlineStr">
        <is>
          <t>Indonesia</t>
        </is>
      </c>
    </row>
    <row r="11857">
      <c r="A11857" t="inlineStr">
        <is>
          <t>ACE srl,  Angleur, Belgium</t>
        </is>
      </c>
      <c r="B11857" t="inlineStr">
        <is>
          <t>Processing Unit</t>
        </is>
      </c>
      <c r="C11857" t="inlineStr">
        <is>
          <t>SGS Germany GmbH, Emstek, DE</t>
        </is>
      </c>
      <c r="D11857" t="inlineStr">
        <is>
          <t>23.11.2026</t>
        </is>
      </c>
      <c r="E11857" t="inlineStr">
        <is>
          <t>Belgium</t>
        </is>
      </c>
    </row>
    <row r="11858">
      <c r="A11858" t="inlineStr">
        <is>
          <t>PT. Supra Matra Abadi,  Kampung Rakyat District, Labuhan Batu Regency, Indonesia</t>
        </is>
      </c>
      <c r="B11858" t="inlineStr">
        <is>
          <t>Point of Origin, Processing Unit</t>
        </is>
      </c>
      <c r="C11858" t="inlineStr">
        <is>
          <t>SGS Germany GmbH, Emstek, DE</t>
        </is>
      </c>
      <c r="D11858" t="inlineStr">
        <is>
          <t>23.11.2026</t>
        </is>
      </c>
      <c r="E11858" t="inlineStr">
        <is>
          <t>Indonesia</t>
        </is>
      </c>
    </row>
    <row r="11859">
      <c r="A11859" t="inlineStr">
        <is>
          <t>Bernd Jurenich,  Heiligeneich, Austria</t>
        </is>
      </c>
      <c r="B11859" t="inlineStr">
        <is>
          <t>Collecting Point</t>
        </is>
      </c>
      <c r="C11859" t="inlineStr">
        <is>
          <t>agroVet GmbH, Enzersfeld, AT</t>
        </is>
      </c>
      <c r="D11859" t="inlineStr">
        <is>
          <t>23.11.2026</t>
        </is>
      </c>
      <c r="E11859" t="inlineStr">
        <is>
          <t>Austria</t>
        </is>
      </c>
    </row>
    <row r="11860">
      <c r="A11860" t="inlineStr">
        <is>
          <t>DONG QIANG HOLDING PTE LTD,  SINGAPORE, Singapore</t>
        </is>
      </c>
      <c r="B11860" t="inlineStr">
        <is>
          <t>Trader</t>
        </is>
      </c>
      <c r="C11860" t="inlineStr">
        <is>
          <t>PT SBC Asia Sertifikasi, Kebumen, ID</t>
        </is>
      </c>
      <c r="D11860" t="inlineStr">
        <is>
          <t>23.11.2026</t>
        </is>
      </c>
      <c r="E11860" t="inlineStr">
        <is>
          <t>Singapore</t>
        </is>
      </c>
    </row>
    <row r="11861">
      <c r="A11861" t="inlineStr">
        <is>
          <t>Süper Film Ambalaj San. ve Tic. AŞ.,  Büyükkarıştıran, Lüleburgaz, Turkey</t>
        </is>
      </c>
      <c r="B11861" t="inlineStr">
        <is>
          <t>Processing Unit</t>
        </is>
      </c>
      <c r="C11861" t="inlineStr">
        <is>
          <t>PT Intertek Utama Services, Jakarta, ID</t>
        </is>
      </c>
      <c r="D11861" t="inlineStr">
        <is>
          <t>23.11.2026</t>
        </is>
      </c>
      <c r="E11861" t="inlineStr">
        <is>
          <t>Turkey</t>
        </is>
      </c>
    </row>
    <row r="11862">
      <c r="A11862" t="inlineStr">
        <is>
          <t>Hong Kong Green Environment Trading Co., Limited,  GUANGZHOU, China</t>
        </is>
      </c>
      <c r="B11862" t="inlineStr">
        <is>
          <t>Trader</t>
        </is>
      </c>
      <c r="C11862" t="inlineStr">
        <is>
          <t>RINA Services S.p.A., Genova, IT</t>
        </is>
      </c>
      <c r="D11862" t="inlineStr">
        <is>
          <t>23.11.2026</t>
        </is>
      </c>
      <c r="E11862" t="inlineStr">
        <is>
          <t>China</t>
        </is>
      </c>
    </row>
    <row r="11863">
      <c r="A11863" t="inlineStr">
        <is>
          <t>Hong Kong Green Environment Trading Co., Limited,  GUANGZHOU, China</t>
        </is>
      </c>
      <c r="B11863" t="inlineStr">
        <is>
          <t>Trader</t>
        </is>
      </c>
      <c r="C11863" t="inlineStr">
        <is>
          <t>RINA Services S.p.A., Genova, IT</t>
        </is>
      </c>
      <c r="D11863" t="inlineStr">
        <is>
          <t>23.11.2026</t>
        </is>
      </c>
      <c r="E11863" t="inlineStr">
        <is>
          <t>China</t>
        </is>
      </c>
    </row>
    <row r="11864">
      <c r="A11864" t="inlineStr">
        <is>
          <t>Shandong Safu New Energy Technology Co., Ltd,  Zibo City, Shandong Province, China</t>
        </is>
      </c>
      <c r="B11864" t="inlineStr">
        <is>
          <t>Processing Unit</t>
        </is>
      </c>
      <c r="C11864" t="inlineStr">
        <is>
          <t>RINA Services S.p.A., Genova, IT</t>
        </is>
      </c>
      <c r="D11864" t="inlineStr">
        <is>
          <t>23.11.2026</t>
        </is>
      </c>
      <c r="E11864" t="inlineStr">
        <is>
          <t>China</t>
        </is>
      </c>
    </row>
    <row r="11865">
      <c r="A11865" t="inlineStr">
        <is>
          <t>Celanese Performance Solutions Switzerland Sàrl,  Hamm, Germany</t>
        </is>
      </c>
      <c r="B11865" t="inlineStr">
        <is>
          <t>Processing Unit</t>
        </is>
      </c>
      <c r="C11865" t="inlineStr">
        <is>
          <t>TÜV NORD CERT GmbH, Essen, DE</t>
        </is>
      </c>
      <c r="D11865" t="inlineStr">
        <is>
          <t>23.11.2026</t>
        </is>
      </c>
      <c r="E11865" t="inlineStr">
        <is>
          <t>Germany</t>
        </is>
      </c>
    </row>
    <row r="11866">
      <c r="A11866" t="inlineStr">
        <is>
          <t>Sichuan Chuangneng Shidai New Energy Technology Co., LTD,  Leshan, China</t>
        </is>
      </c>
      <c r="B11866" t="inlineStr">
        <is>
          <t>Collecting Point, Processing Unit, Trader with Storage</t>
        </is>
      </c>
      <c r="C11866" t="inlineStr">
        <is>
          <t>RINA Services S.p.A., Genova, IT</t>
        </is>
      </c>
      <c r="D11866" t="inlineStr">
        <is>
          <t>23.11.2026</t>
        </is>
      </c>
      <c r="E11866" t="inlineStr">
        <is>
          <t>China</t>
        </is>
      </c>
    </row>
    <row r="11867">
      <c r="A11867" t="inlineStr">
        <is>
          <t>HAIXIN ENERGY TECHNOLOGY (TIANJIN) COMPANY LIMITED,  Tianjin, China</t>
        </is>
      </c>
      <c r="B11867" t="inlineStr">
        <is>
          <t>Trader</t>
        </is>
      </c>
      <c r="C11867" t="inlineStr">
        <is>
          <t>SCS Global Services, Emeryville, CA, US</t>
        </is>
      </c>
      <c r="D11867" t="inlineStr">
        <is>
          <t>23.11.2026</t>
        </is>
      </c>
      <c r="E11867" t="inlineStr">
        <is>
          <t>China</t>
        </is>
      </c>
    </row>
    <row r="11868">
      <c r="A11868" t="inlineStr">
        <is>
          <t>DS DANSUK China,  Qingdao City, Shandong Province, China</t>
        </is>
      </c>
      <c r="B11868" t="inlineStr">
        <is>
          <t>Trader</t>
        </is>
      </c>
      <c r="C11868" t="inlineStr">
        <is>
          <t>SCS Global Services, Emeryville, CA, US</t>
        </is>
      </c>
      <c r="D11868" t="inlineStr">
        <is>
          <t>23.11.2026</t>
        </is>
      </c>
      <c r="E11868" t="inlineStr">
        <is>
          <t>China</t>
        </is>
      </c>
    </row>
    <row r="11869">
      <c r="A11869" t="inlineStr">
        <is>
          <t>HONG KONG HSIN MING ENERGY LIMITED,  Huangpu District, Guangzhou City,, China</t>
        </is>
      </c>
      <c r="B11869" t="inlineStr">
        <is>
          <t>Trader</t>
        </is>
      </c>
      <c r="C11869" t="inlineStr">
        <is>
          <t>China Standard Conformity Assessment Co. Ltd, Beijing, CN</t>
        </is>
      </c>
      <c r="D11869" t="inlineStr">
        <is>
          <t>23.11.2026</t>
        </is>
      </c>
      <c r="E11869" t="inlineStr">
        <is>
          <t>China</t>
        </is>
      </c>
    </row>
    <row r="11870">
      <c r="A11870" t="inlineStr">
        <is>
          <t>FPS.Energy,  Berlin, Germany</t>
        </is>
      </c>
      <c r="B11870" t="inlineStr">
        <is>
          <t>Trader</t>
        </is>
      </c>
      <c r="C11870" t="inlineStr">
        <is>
          <t>DEKRA Certification GmbH, Stuttgart, DE</t>
        </is>
      </c>
      <c r="D11870" t="inlineStr">
        <is>
          <t>23.11.2026</t>
        </is>
      </c>
      <c r="E11870" t="inlineStr">
        <is>
          <t>Germany</t>
        </is>
      </c>
    </row>
    <row r="11871">
      <c r="A11871" t="inlineStr">
        <is>
          <t>J G Pears (Newark) Ltd.,  Market Harborough, United Kingdom</t>
        </is>
      </c>
      <c r="B11871" t="inlineStr">
        <is>
          <t>Point of Origin</t>
        </is>
      </c>
      <c r="C11871" t="inlineStr">
        <is>
          <t>SGS Germany GmbH, Emstek, DE</t>
        </is>
      </c>
      <c r="D11871" t="inlineStr">
        <is>
          <t>23.11.2026</t>
        </is>
      </c>
      <c r="E11871" t="inlineStr">
        <is>
          <t>United Kingdom</t>
        </is>
      </c>
    </row>
    <row r="11872">
      <c r="A11872" t="inlineStr">
        <is>
          <t>A &amp; L Tierfrischmehl Produktions-GmbH,  Diepholz, Germany</t>
        </is>
      </c>
      <c r="B11872" t="inlineStr">
        <is>
          <t>Point of Origin</t>
        </is>
      </c>
      <c r="C11872" t="inlineStr">
        <is>
          <t>BM Certification, Riga, LV</t>
        </is>
      </c>
      <c r="D11872" t="inlineStr">
        <is>
          <t>23.11.2026</t>
        </is>
      </c>
      <c r="E11872" t="inlineStr">
        <is>
          <t>Germany</t>
        </is>
      </c>
    </row>
    <row r="11873">
      <c r="A11873" t="inlineStr">
        <is>
          <t>Super Materia,  Outeiro-Seco, Portugal</t>
        </is>
      </c>
      <c r="B11873" t="inlineStr">
        <is>
          <t>Collecting Point, Trader with Storage</t>
        </is>
      </c>
      <c r="C11873" t="inlineStr">
        <is>
          <t>Certificadora Gallega del Noroeste SL, Vilagarcia de Arousa-Pontevedra, ES</t>
        </is>
      </c>
      <c r="D11873" t="inlineStr">
        <is>
          <t>23.11.2026</t>
        </is>
      </c>
      <c r="E11873" t="inlineStr">
        <is>
          <t>Portugal</t>
        </is>
      </c>
    </row>
    <row r="11874">
      <c r="A11874" t="inlineStr">
        <is>
          <t>Envalior Deutschland,  Hamm, Germany</t>
        </is>
      </c>
      <c r="B11874" t="inlineStr">
        <is>
          <t>Processing Unit</t>
        </is>
      </c>
      <c r="C11874" t="inlineStr">
        <is>
          <t>TÜV NORD CERT GmbH, Essen, DE</t>
        </is>
      </c>
      <c r="D11874" t="inlineStr">
        <is>
          <t>23.11.2026</t>
        </is>
      </c>
      <c r="E11874" t="inlineStr">
        <is>
          <t>Germany</t>
        </is>
      </c>
    </row>
    <row r="11875">
      <c r="A11875" t="inlineStr">
        <is>
          <t>Amcor Flexibles India Pvt ltd,  Palej, Bharuch, India</t>
        </is>
      </c>
      <c r="B11875" t="inlineStr">
        <is>
          <t>Final Product Refinement, Processing Unit</t>
        </is>
      </c>
      <c r="C11875" t="inlineStr">
        <is>
          <t>Cotecna India Inspection Pvt Ltd, Kolkata, IN</t>
        </is>
      </c>
      <c r="D11875" t="inlineStr">
        <is>
          <t>23.11.2026</t>
        </is>
      </c>
      <c r="E11875" t="inlineStr">
        <is>
          <t>India</t>
        </is>
      </c>
    </row>
    <row r="11876">
      <c r="A11876" t="inlineStr">
        <is>
          <t>Chongqing Yikang Environmental Engineering Co.,Ltd,  Chongqing, China</t>
        </is>
      </c>
      <c r="B11876" t="inlineStr">
        <is>
          <t>Trader</t>
        </is>
      </c>
      <c r="C11876" t="inlineStr">
        <is>
          <t>RINA Services S.p.A., Genova, IT</t>
        </is>
      </c>
      <c r="D11876" t="inlineStr">
        <is>
          <t>23.11.2026</t>
        </is>
      </c>
      <c r="E11876" t="inlineStr">
        <is>
          <t>China</t>
        </is>
      </c>
    </row>
    <row r="11877">
      <c r="A11877" t="inlineStr">
        <is>
          <t>Saudi European Petrochemical (Ibn Zahr),  Jubail, Kingdom of Saudi Arabia, Saudi Arabia</t>
        </is>
      </c>
      <c r="B11877" t="inlineStr">
        <is>
          <t>Processing Unit</t>
        </is>
      </c>
      <c r="C11877" t="inlineStr">
        <is>
          <t>Cotecna India Inspection Pvt Ltd, Kolkata, IN</t>
        </is>
      </c>
      <c r="D11877" t="inlineStr">
        <is>
          <t>23.11.2026</t>
        </is>
      </c>
      <c r="E11877" t="inlineStr">
        <is>
          <t>Saudi Arabia</t>
        </is>
      </c>
    </row>
    <row r="11878">
      <c r="A11878" t="inlineStr">
        <is>
          <t>Central Energy AG,  Zug, Switzerland</t>
        </is>
      </c>
      <c r="B11878" t="inlineStr">
        <is>
          <t>Trader</t>
        </is>
      </c>
      <c r="C11878" t="inlineStr">
        <is>
          <t>SGS Germany GmbH, Emstek, DE</t>
        </is>
      </c>
      <c r="D11878" t="inlineStr">
        <is>
          <t>23.11.2026</t>
        </is>
      </c>
      <c r="E11878" t="inlineStr">
        <is>
          <t>Switzerland</t>
        </is>
      </c>
    </row>
    <row r="11879">
      <c r="A11879" t="inlineStr">
        <is>
          <t>Central Energy AG,  Zug, Switzerland</t>
        </is>
      </c>
      <c r="B11879" t="inlineStr">
        <is>
          <t>Trader</t>
        </is>
      </c>
      <c r="C11879" t="inlineStr">
        <is>
          <t>SGS Germany GmbH, Emstek, DE</t>
        </is>
      </c>
      <c r="D11879" t="inlineStr">
        <is>
          <t>23.11.2026</t>
        </is>
      </c>
      <c r="E11879" t="inlineStr">
        <is>
          <t>Switzerland</t>
        </is>
      </c>
    </row>
    <row r="11880">
      <c r="A11880" t="inlineStr">
        <is>
          <t>Viñaoliva, Gestora de Subproductos Vínicos,  Almendralejo ( Badajoz), Spain</t>
        </is>
      </c>
      <c r="B11880" t="inlineStr">
        <is>
          <t>Collecting Point, Processing Unit</t>
        </is>
      </c>
      <c r="C11880" t="inlineStr">
        <is>
          <t>Control Union Poland Sp. z o.o., Zielona Gora, PL</t>
        </is>
      </c>
      <c r="D11880" t="inlineStr">
        <is>
          <t>23.11.2026</t>
        </is>
      </c>
      <c r="E11880" t="inlineStr">
        <is>
          <t>Spain</t>
        </is>
      </c>
    </row>
    <row r="11881">
      <c r="A11881" t="inlineStr">
        <is>
          <t>QM Recycled Energy Ltd.,  Rochester, United Kingdom</t>
        </is>
      </c>
      <c r="B11881" t="inlineStr">
        <is>
          <t>Collecting Point, Processing Unit</t>
        </is>
      </c>
      <c r="C11881" t="inlineStr">
        <is>
          <t>Aardvark Certification Ltd, Wiveliscombe, Somerset, GB</t>
        </is>
      </c>
      <c r="D11881" t="inlineStr">
        <is>
          <t>23.11.2026</t>
        </is>
      </c>
      <c r="E11881" t="inlineStr">
        <is>
          <t>United Kingdom</t>
        </is>
      </c>
    </row>
    <row r="11882">
      <c r="A11882" t="inlineStr">
        <is>
          <t>Pipelife Austria GmbH &amp; Co KG,  Wiener Neudorf, Austria</t>
        </is>
      </c>
      <c r="B11882" t="inlineStr">
        <is>
          <t>Processing Unit</t>
        </is>
      </c>
      <c r="C11882" t="inlineStr">
        <is>
          <t>agroVet GmbH, Enzersfeld, AT</t>
        </is>
      </c>
      <c r="D11882" t="inlineStr">
        <is>
          <t>23.11.2026</t>
        </is>
      </c>
      <c r="E11882" t="inlineStr">
        <is>
          <t>Austria</t>
        </is>
      </c>
    </row>
    <row r="11883">
      <c r="A11883" t="inlineStr">
        <is>
          <t>Shanxi Bio Ethanol New Energy Co.,Ltd.,  Changzhi City,Shanxi-Province, China, China</t>
        </is>
      </c>
      <c r="B11883" t="inlineStr">
        <is>
          <t>Collecting Point, Processing Unit</t>
        </is>
      </c>
      <c r="C11883" t="inlineStr">
        <is>
          <t>SCS Global Services, Emeryville, CA, US</t>
        </is>
      </c>
      <c r="D11883" t="inlineStr">
        <is>
          <t>23.11.2026</t>
        </is>
      </c>
      <c r="E11883" t="inlineStr">
        <is>
          <t>China</t>
        </is>
      </c>
    </row>
    <row r="11884">
      <c r="A11884" t="inlineStr">
        <is>
          <t>Shanxi Bio Ethanol New Energy Co.,Ltd.,  Changzhi City,Shanxi-Province, China, China</t>
        </is>
      </c>
      <c r="B11884" t="inlineStr">
        <is>
          <t>Collecting Point, Processing Unit</t>
        </is>
      </c>
      <c r="C11884" t="inlineStr">
        <is>
          <t>SCS Global Services, Emeryville, CA, US</t>
        </is>
      </c>
      <c r="D11884" t="inlineStr">
        <is>
          <t>23.11.2026</t>
        </is>
      </c>
      <c r="E11884" t="inlineStr">
        <is>
          <t>China</t>
        </is>
      </c>
    </row>
    <row r="11885">
      <c r="A11885" t="inlineStr">
        <is>
          <t>Hunan Jucheng Biotechnology Co., Ltd,  Qiyang City, Yongzhou City, Hunan Province, China</t>
        </is>
      </c>
      <c r="B11885" t="inlineStr">
        <is>
          <t>Processing Unit, Collecting Point, Trader</t>
        </is>
      </c>
      <c r="C11885" t="inlineStr">
        <is>
          <t>SCS Global Services, Emeryville, CA, US</t>
        </is>
      </c>
      <c r="D11885" t="inlineStr">
        <is>
          <t>23.11.2026</t>
        </is>
      </c>
      <c r="E11885" t="inlineStr">
        <is>
          <t>China</t>
        </is>
      </c>
    </row>
    <row r="11886">
      <c r="A11886" t="inlineStr">
        <is>
          <t>Hunan Jucheng Biotechnology Co., Ltd,  Qiyang City, Yongzhou City, Hunan Province, China</t>
        </is>
      </c>
      <c r="B11886" t="inlineStr">
        <is>
          <t>Collecting Point, Processing Unit, Trader</t>
        </is>
      </c>
      <c r="C11886" t="inlineStr">
        <is>
          <t>SCS Global Services, Emeryville, CA, US</t>
        </is>
      </c>
      <c r="D11886" t="inlineStr">
        <is>
          <t>23.11.2026</t>
        </is>
      </c>
      <c r="E11886" t="inlineStr">
        <is>
          <t>China</t>
        </is>
      </c>
    </row>
    <row r="11887">
      <c r="A11887" t="inlineStr">
        <is>
          <t>Chongqing Yuhuan Bio-energy Co.,Ltd.,  Chongqing, China</t>
        </is>
      </c>
      <c r="B11887" t="inlineStr">
        <is>
          <t>Collecting Point, Processing Unit, Warehouse</t>
        </is>
      </c>
      <c r="C11887" t="inlineStr">
        <is>
          <t>RINA Services S.p.A., Genova, IT</t>
        </is>
      </c>
      <c r="D11887" t="inlineStr">
        <is>
          <t>23.11.2026</t>
        </is>
      </c>
      <c r="E11887" t="inlineStr">
        <is>
          <t>China</t>
        </is>
      </c>
    </row>
    <row r="11888">
      <c r="A11888" t="inlineStr">
        <is>
          <t>Butan plin d.o.o.,  Novigrad, Croatia</t>
        </is>
      </c>
      <c r="B11888" t="inlineStr">
        <is>
          <t>Trader with Storage</t>
        </is>
      </c>
      <c r="C11888" t="inlineStr">
        <is>
          <t>Bureau Veritas Polska Sp. z o.o., Warsaw, PL</t>
        </is>
      </c>
      <c r="D11888" t="inlineStr">
        <is>
          <t>23.11.2026</t>
        </is>
      </c>
      <c r="E11888" t="inlineStr">
        <is>
          <t>Croatia</t>
        </is>
      </c>
    </row>
    <row r="11889">
      <c r="A11889" t="inlineStr">
        <is>
          <t>Butan plin d.o.o.,  Novigrad, Croatia</t>
        </is>
      </c>
      <c r="B11889" t="inlineStr">
        <is>
          <t>Trader with Storage</t>
        </is>
      </c>
      <c r="C11889" t="inlineStr">
        <is>
          <t>Bureau Veritas Polska Sp. z o.o., Warsaw, PL</t>
        </is>
      </c>
      <c r="D11889" t="inlineStr">
        <is>
          <t>23.11.2026</t>
        </is>
      </c>
      <c r="E11889" t="inlineStr">
        <is>
          <t>Croatia</t>
        </is>
      </c>
    </row>
    <row r="11890">
      <c r="A11890" t="inlineStr">
        <is>
          <t>Icimendue s.r.l,  Marcianise, Italy</t>
        </is>
      </c>
      <c r="B11890" t="inlineStr">
        <is>
          <t>Processing Unit</t>
        </is>
      </c>
      <c r="C11890" t="inlineStr">
        <is>
          <t>DNV Business Assurance Sweden AB, Solna, SE</t>
        </is>
      </c>
      <c r="D11890" t="inlineStr">
        <is>
          <t>23.11.2026</t>
        </is>
      </c>
      <c r="E11890" t="inlineStr">
        <is>
          <t>Italy</t>
        </is>
      </c>
    </row>
    <row r="11891">
      <c r="A11891" t="inlineStr">
        <is>
          <t>PT. Supra Matra Abadi,  Talawi District, Asahan Regency, North Sumatera, Indonesia</t>
        </is>
      </c>
      <c r="B11891" t="inlineStr">
        <is>
          <t>Point of Origin, Processing Unit</t>
        </is>
      </c>
      <c r="C11891" t="inlineStr">
        <is>
          <t>SGS Germany GmbH, Emstek, DE</t>
        </is>
      </c>
      <c r="D11891" t="inlineStr">
        <is>
          <t>23.11.2026</t>
        </is>
      </c>
      <c r="E11891" t="inlineStr">
        <is>
          <t>Indonesia</t>
        </is>
      </c>
    </row>
    <row r="11892">
      <c r="A11892" t="inlineStr">
        <is>
          <t>BP France,  Cergy Pontoise, France</t>
        </is>
      </c>
      <c r="B11892" t="inlineStr">
        <is>
          <t>Trader with Storage</t>
        </is>
      </c>
      <c r="C11892" t="inlineStr">
        <is>
          <t>Control Union Certifications Germany GmbH, Berlin, DE</t>
        </is>
      </c>
      <c r="D11892" t="inlineStr">
        <is>
          <t>22.11.2026</t>
        </is>
      </c>
      <c r="E11892" t="inlineStr">
        <is>
          <t>France</t>
        </is>
      </c>
    </row>
    <row r="11893">
      <c r="A11893" t="inlineStr">
        <is>
          <t>Apeiron Twin Gem Biofuel,  West Point Bizhub, Singapore</t>
        </is>
      </c>
      <c r="B11893" t="inlineStr">
        <is>
          <t>Collecting Point, Trader with Storage</t>
        </is>
      </c>
      <c r="C11893" t="inlineStr">
        <is>
          <t>ASG Cert GmbH, Munich, DE</t>
        </is>
      </c>
      <c r="D11893" t="inlineStr">
        <is>
          <t>22.11.2026</t>
        </is>
      </c>
      <c r="E11893" t="inlineStr">
        <is>
          <t>Singapore</t>
        </is>
      </c>
    </row>
    <row r="11894">
      <c r="A11894" t="inlineStr">
        <is>
          <t>Ravago Canada Company,  Ontario, Canada</t>
        </is>
      </c>
      <c r="B11894" t="inlineStr">
        <is>
          <t>Collecting Point, Trader with Storage</t>
        </is>
      </c>
      <c r="C11894" t="inlineStr">
        <is>
          <t>SCS Global Services, Emeryville, CA, US</t>
        </is>
      </c>
      <c r="D11894" t="inlineStr">
        <is>
          <t>22.11.2026</t>
        </is>
      </c>
      <c r="E11894" t="inlineStr">
        <is>
          <t>Canada</t>
        </is>
      </c>
    </row>
    <row r="11895">
      <c r="A11895" t="inlineStr">
        <is>
          <t>Ravago Americas,  Orlando, United States</t>
        </is>
      </c>
      <c r="B11895" t="inlineStr">
        <is>
          <t>Collecting Point, Trader with Storage</t>
        </is>
      </c>
      <c r="C11895" t="inlineStr">
        <is>
          <t>SCS Global Services, Emeryville, CA, US</t>
        </is>
      </c>
      <c r="D11895" t="inlineStr">
        <is>
          <t>22.11.2026</t>
        </is>
      </c>
      <c r="E11895" t="inlineStr">
        <is>
          <t>United States</t>
        </is>
      </c>
    </row>
    <row r="11896">
      <c r="A11896" t="inlineStr">
        <is>
          <t>PT Wira Inno Mas,  Padang, Indonesia</t>
        </is>
      </c>
      <c r="B11896" t="inlineStr">
        <is>
          <t>Point of Origin, Processing Unit, Trader with Storage</t>
        </is>
      </c>
      <c r="C11896" t="inlineStr">
        <is>
          <t>Control Union Certifications Germany GmbH, Berlin, DE</t>
        </is>
      </c>
      <c r="D11896" t="inlineStr">
        <is>
          <t>22.11.2026</t>
        </is>
      </c>
      <c r="E11896" t="inlineStr">
        <is>
          <t>Indonesia</t>
        </is>
      </c>
    </row>
    <row r="11897">
      <c r="A11897" t="inlineStr">
        <is>
          <t>Excel Criterion Sdn Bhd,  Shah Alam, Malaysia</t>
        </is>
      </c>
      <c r="B11897" t="inlineStr">
        <is>
          <t>Collecting Point, Trader with Storage</t>
        </is>
      </c>
      <c r="C11897" t="inlineStr">
        <is>
          <t>Trans Certification and Inspection Sdn Bhd, Kuantan, MY</t>
        </is>
      </c>
      <c r="D11897" t="inlineStr">
        <is>
          <t>22.11.2026</t>
        </is>
      </c>
      <c r="E11897" t="inlineStr">
        <is>
          <t>Malaysia</t>
        </is>
      </c>
    </row>
    <row r="11898">
      <c r="A11898" t="inlineStr">
        <is>
          <t>HK Wanjiaxin Footwear Industry Development Limited,  Quanzhou City, Fujian Province, China</t>
        </is>
      </c>
      <c r="B11898" t="inlineStr">
        <is>
          <t>Trader</t>
        </is>
      </c>
      <c r="C11898" t="inlineStr">
        <is>
          <t>SCS Global Services, Emeryville, CA, US</t>
        </is>
      </c>
      <c r="D11898" t="inlineStr">
        <is>
          <t>22.11.2026</t>
        </is>
      </c>
      <c r="E11898" t="inlineStr">
        <is>
          <t>China</t>
        </is>
      </c>
    </row>
    <row r="11899">
      <c r="A11899" t="inlineStr">
        <is>
          <t>REPSOL COMERCIALIZADORA DE ELECTRICIDAD Y GAS,  SANTANDER, Spain</t>
        </is>
      </c>
      <c r="B11899" t="inlineStr">
        <is>
          <t>Trader</t>
        </is>
      </c>
      <c r="C11899" t="inlineStr">
        <is>
          <t>Control Union Poland Sp. z o.o., Zielona Gora, PL</t>
        </is>
      </c>
      <c r="D11899" t="inlineStr">
        <is>
          <t>22.11.2026</t>
        </is>
      </c>
      <c r="E11899" t="inlineStr">
        <is>
          <t>Spain</t>
        </is>
      </c>
    </row>
    <row r="11900">
      <c r="A11900" t="inlineStr">
        <is>
          <t>Green Edible Oil Sdn Bhd,  Sandakan, Sabah, Malaysia</t>
        </is>
      </c>
      <c r="B11900" t="inlineStr">
        <is>
          <t>Point of Origin, Processing Unit, Trader with Storage</t>
        </is>
      </c>
      <c r="C11900" t="inlineStr">
        <is>
          <t>PT Intertek Utama Services, Jakarta, ID</t>
        </is>
      </c>
      <c r="D11900" t="inlineStr">
        <is>
          <t>22.11.2026</t>
        </is>
      </c>
      <c r="E11900" t="inlineStr">
        <is>
          <t>Malaysia</t>
        </is>
      </c>
    </row>
    <row r="11901">
      <c r="A11901" t="inlineStr">
        <is>
          <t>Green Edible Oil Sdn Bhd,  Sandakan, Sabah, Malaysia</t>
        </is>
      </c>
      <c r="B11901" t="inlineStr">
        <is>
          <t>Point of Origin, Processing Unit, Trader with Storage</t>
        </is>
      </c>
      <c r="C11901" t="inlineStr">
        <is>
          <t>PT Intertek Utama Services, Jakarta, ID</t>
        </is>
      </c>
      <c r="D11901" t="inlineStr">
        <is>
          <t>22.11.2026</t>
        </is>
      </c>
      <c r="E11901" t="inlineStr">
        <is>
          <t>Malaysia</t>
        </is>
      </c>
    </row>
    <row r="11902">
      <c r="A11902" t="inlineStr">
        <is>
          <t>BioValue Supply B.V.,  Sint nicolaasga, Netherlands</t>
        </is>
      </c>
      <c r="B11902" t="inlineStr">
        <is>
          <t>Trader</t>
        </is>
      </c>
      <c r="C11902" t="inlineStr">
        <is>
          <t>Control Union Certifications Germany GmbH, Berlin, DE</t>
        </is>
      </c>
      <c r="D11902" t="inlineStr">
        <is>
          <t>22.11.2026</t>
        </is>
      </c>
      <c r="E11902" t="inlineStr">
        <is>
          <t>Netherlands</t>
        </is>
      </c>
    </row>
    <row r="11903">
      <c r="A11903" t="inlineStr">
        <is>
          <t>Preture Liquid Gas (CY), Ltd,  Mykhaylyn village, Ukraine</t>
        </is>
      </c>
      <c r="B11903" t="inlineStr">
        <is>
          <t>Trader</t>
        </is>
      </c>
      <c r="C11903" t="inlineStr">
        <is>
          <t>BM Certification, Riga, LV</t>
        </is>
      </c>
      <c r="D11903" t="inlineStr">
        <is>
          <t>22.11.2026</t>
        </is>
      </c>
      <c r="E11903" t="inlineStr">
        <is>
          <t>Ukraine</t>
        </is>
      </c>
    </row>
    <row r="11904">
      <c r="A11904" t="inlineStr">
        <is>
          <t>STEPAN NETHERLANDS B.V.,  RITTHEM, Netherlands</t>
        </is>
      </c>
      <c r="B11904" t="inlineStr">
        <is>
          <t>Processing Unit</t>
        </is>
      </c>
      <c r="C11904" t="inlineStr">
        <is>
          <t>Control Union Certifications Germany GmbH, Berlin, DE</t>
        </is>
      </c>
      <c r="D11904" t="inlineStr">
        <is>
          <t>22.11.2026</t>
        </is>
      </c>
      <c r="E11904" t="inlineStr">
        <is>
          <t>Netherlands</t>
        </is>
      </c>
    </row>
    <row r="11905">
      <c r="A11905" t="inlineStr">
        <is>
          <t>C.A.F. spol. s.r.o.,  Trnava, Slovakia</t>
        </is>
      </c>
      <c r="B11905" t="inlineStr">
        <is>
          <t>First Gathering Point, Trader</t>
        </is>
      </c>
      <c r="C11905" t="inlineStr">
        <is>
          <t>United Registrar of Systems Polska Sp. z o.o., Wrocław, PL</t>
        </is>
      </c>
      <c r="D11905" t="inlineStr">
        <is>
          <t>22.11.2026</t>
        </is>
      </c>
      <c r="E11905" t="inlineStr">
        <is>
          <t>Slovakia</t>
        </is>
      </c>
    </row>
    <row r="11906">
      <c r="A11906" t="inlineStr">
        <is>
          <t>Tokyo Zairyo Co., Ltd.,  Tokyo, Japan</t>
        </is>
      </c>
      <c r="B11906" t="inlineStr">
        <is>
          <t>Trader</t>
        </is>
      </c>
      <c r="C11906" t="inlineStr">
        <is>
          <t>Control Union Certifications Germany GmbH, Berlin, DE</t>
        </is>
      </c>
      <c r="D11906" t="inlineStr">
        <is>
          <t>22.11.2026</t>
        </is>
      </c>
      <c r="E11906" t="inlineStr">
        <is>
          <t>Japan</t>
        </is>
      </c>
    </row>
    <row r="11907">
      <c r="A11907" t="inlineStr">
        <is>
          <t>Palma Jaya Sejahtera,  Jambi, Indonesia</t>
        </is>
      </c>
      <c r="B11907" t="inlineStr">
        <is>
          <t>Point of Origin</t>
        </is>
      </c>
      <c r="C11907" t="inlineStr">
        <is>
          <t>PT. Qualitas Sertifikasi Indonesia, Jakarta, ID</t>
        </is>
      </c>
      <c r="D11907" t="inlineStr">
        <is>
          <t>22.11.2026</t>
        </is>
      </c>
      <c r="E11907" t="inlineStr">
        <is>
          <t>Indonesia</t>
        </is>
      </c>
    </row>
    <row r="11908">
      <c r="A11908" t="inlineStr">
        <is>
          <t>Cefetra B.V.,  Rotterdam, Netherlands</t>
        </is>
      </c>
      <c r="B11908" t="inlineStr">
        <is>
          <t>Trader with Storage</t>
        </is>
      </c>
      <c r="C11908" t="inlineStr">
        <is>
          <t>Control Union Certifications Germany GmbH, Berlin, DE</t>
        </is>
      </c>
      <c r="D11908" t="inlineStr">
        <is>
          <t>22.11.2026</t>
        </is>
      </c>
      <c r="E11908" t="inlineStr">
        <is>
          <t>Netherlands</t>
        </is>
      </c>
    </row>
    <row r="11909">
      <c r="A11909" t="inlineStr">
        <is>
          <t>Cefetra Feed Service B.V.,  Rotterdam, Netherlands</t>
        </is>
      </c>
      <c r="B11909" t="inlineStr">
        <is>
          <t>Trader</t>
        </is>
      </c>
      <c r="C11909" t="inlineStr">
        <is>
          <t>Control Union Certifications Germany GmbH, Berlin, DE</t>
        </is>
      </c>
      <c r="D11909" t="inlineStr">
        <is>
          <t>22.11.2026</t>
        </is>
      </c>
      <c r="E11909" t="inlineStr">
        <is>
          <t>Netherlands</t>
        </is>
      </c>
    </row>
    <row r="11910">
      <c r="A11910" t="inlineStr">
        <is>
          <t>Berry Superfos Pamplona S.A.,  Orkoien, Navarra, Spain</t>
        </is>
      </c>
      <c r="B11910" t="inlineStr">
        <is>
          <t>Processing Unit</t>
        </is>
      </c>
      <c r="C11910" t="inlineStr">
        <is>
          <t>SGS Germany GmbH, Emstek, DE</t>
        </is>
      </c>
      <c r="D11910" t="inlineStr">
        <is>
          <t>22.11.2026</t>
        </is>
      </c>
      <c r="E11910" t="inlineStr">
        <is>
          <t>Spain</t>
        </is>
      </c>
    </row>
    <row r="11911">
      <c r="A11911" t="inlineStr">
        <is>
          <t>Fertiglobe MENA B.V.,  Amsterdam, Netherlands</t>
        </is>
      </c>
      <c r="B11911" t="inlineStr">
        <is>
          <t>Trader</t>
        </is>
      </c>
      <c r="C11911" t="inlineStr">
        <is>
          <t>SGS Germany GmbH, Emstek, DE</t>
        </is>
      </c>
      <c r="D11911" t="inlineStr">
        <is>
          <t>22.11.2026</t>
        </is>
      </c>
      <c r="E11911" t="inlineStr">
        <is>
          <t>Netherlands</t>
        </is>
      </c>
    </row>
    <row r="11912">
      <c r="A11912" t="inlineStr">
        <is>
          <t>Hang Fung International Industrial Company Limited,  Dongcheng District,Dongguan,Guangdong, China</t>
        </is>
      </c>
      <c r="B11912" t="inlineStr">
        <is>
          <t>Trader</t>
        </is>
      </c>
      <c r="C11912" t="inlineStr">
        <is>
          <t>SGS Germany GmbH, Emstek, DE</t>
        </is>
      </c>
      <c r="D11912" t="inlineStr">
        <is>
          <t>22.11.2026</t>
        </is>
      </c>
      <c r="E11912" t="inlineStr">
        <is>
          <t>China</t>
        </is>
      </c>
    </row>
    <row r="11913">
      <c r="A11913" t="inlineStr">
        <is>
          <t>Sumitomo Shoji Chemicals Co., Ltd.,  Chiyoda-ku, Tokyo, Japan</t>
        </is>
      </c>
      <c r="B11913" t="inlineStr">
        <is>
          <t>Trader with Storage</t>
        </is>
      </c>
      <c r="C11913" t="inlineStr">
        <is>
          <t>SGS Germany GmbH, Emstek, DE</t>
        </is>
      </c>
      <c r="D11913" t="inlineStr">
        <is>
          <t>22.11.2026</t>
        </is>
      </c>
      <c r="E11913" t="inlineStr">
        <is>
          <t>Japan</t>
        </is>
      </c>
    </row>
    <row r="11914">
      <c r="A11914" t="inlineStr">
        <is>
          <t>TotalEnergies Trading Europe,  Courbevoie, France</t>
        </is>
      </c>
      <c r="B11914" t="inlineStr">
        <is>
          <t>Trader with Storage</t>
        </is>
      </c>
      <c r="C11914" t="inlineStr">
        <is>
          <t>SGS Germany GmbH, Emstek, DE</t>
        </is>
      </c>
      <c r="D11914" t="inlineStr">
        <is>
          <t>22.11.2026</t>
        </is>
      </c>
      <c r="E11914" t="inlineStr">
        <is>
          <t>France</t>
        </is>
      </c>
    </row>
    <row r="11915">
      <c r="A11915" t="inlineStr">
        <is>
          <t>GZ Media, a. s.,  Loděnice, Czech Republic</t>
        </is>
      </c>
      <c r="B11915" t="inlineStr">
        <is>
          <t>Processing Unit, Final Product Refinement</t>
        </is>
      </c>
      <c r="C11915" t="inlineStr">
        <is>
          <t>TÜV SÜD Czech s.r.o., Praha 4, CZ</t>
        </is>
      </c>
      <c r="D11915" t="inlineStr">
        <is>
          <t>22.11.2026</t>
        </is>
      </c>
      <c r="E11915" t="inlineStr">
        <is>
          <t>Czech Republic</t>
        </is>
      </c>
    </row>
    <row r="11916">
      <c r="A11916" t="inlineStr">
        <is>
          <t>TK Agro Slovakia, s. r. o.,  Stará Lubovňa, Slovakia</t>
        </is>
      </c>
      <c r="B11916" t="inlineStr">
        <is>
          <t>First Gathering Point, Logistics Center, Trader with Storage</t>
        </is>
      </c>
      <c r="C11916" t="inlineStr">
        <is>
          <t>Bureau Veritas Polska Sp. z o.o., Warsaw, PL</t>
        </is>
      </c>
      <c r="D11916" t="inlineStr">
        <is>
          <t>22.11.2026</t>
        </is>
      </c>
      <c r="E11916" t="inlineStr">
        <is>
          <t>Slovakia</t>
        </is>
      </c>
    </row>
    <row r="11917">
      <c r="A11917" t="inlineStr">
        <is>
          <t>GP Biotec,  Talgarth, United Kingdom</t>
        </is>
      </c>
      <c r="B11917" t="inlineStr">
        <is>
          <t>Collecting Point, First Gathering Point, Processing Unit</t>
        </is>
      </c>
      <c r="C11917" t="inlineStr">
        <is>
          <t>Aardvark Certification Ltd, Wiveliscombe, Somerset, GB</t>
        </is>
      </c>
      <c r="D11917" t="inlineStr">
        <is>
          <t>22.11.2026</t>
        </is>
      </c>
      <c r="E11917" t="inlineStr">
        <is>
          <t>United Kingdom</t>
        </is>
      </c>
    </row>
    <row r="11918">
      <c r="A11918" t="inlineStr">
        <is>
          <t>Antipollution SA,  Piraeus, Athens, Greece</t>
        </is>
      </c>
      <c r="B11918" t="inlineStr">
        <is>
          <t>Collecting Point</t>
        </is>
      </c>
      <c r="C11918" t="inlineStr">
        <is>
          <t>Eurocert SA, Metamorfosi, Athens, GR</t>
        </is>
      </c>
      <c r="D11918" t="inlineStr">
        <is>
          <t>22.11.2026</t>
        </is>
      </c>
      <c r="E11918" t="inlineStr">
        <is>
          <t>Greece</t>
        </is>
      </c>
    </row>
    <row r="11919">
      <c r="A11919" t="inlineStr">
        <is>
          <t>Ruhr Oel GmbH,  Gelsenkirchen, Germany</t>
        </is>
      </c>
      <c r="B11919" t="inlineStr">
        <is>
          <t>Trader</t>
        </is>
      </c>
      <c r="C11919" t="inlineStr">
        <is>
          <t>Control Union Certifications Germany GmbH, Berlin, DE</t>
        </is>
      </c>
      <c r="D11919" t="inlineStr">
        <is>
          <t>22.11.2026</t>
        </is>
      </c>
      <c r="E11919" t="inlineStr">
        <is>
          <t>Germany</t>
        </is>
      </c>
    </row>
    <row r="11920">
      <c r="A11920" t="inlineStr">
        <is>
          <t>Westlake Epoxy,  Duisburg, Germany</t>
        </is>
      </c>
      <c r="B11920" t="inlineStr">
        <is>
          <t>Processing Unit</t>
        </is>
      </c>
      <c r="C11920" t="inlineStr">
        <is>
          <t>ASG Cert GmbH, Munich, DE</t>
        </is>
      </c>
      <c r="D11920" t="inlineStr">
        <is>
          <t>21.11.2026</t>
        </is>
      </c>
      <c r="E11920" t="inlineStr">
        <is>
          <t>Germany</t>
        </is>
      </c>
    </row>
    <row r="11921">
      <c r="A11921" t="inlineStr">
        <is>
          <t>Kadotoku Corporation,  Habikino City Osaka, Japan</t>
        </is>
      </c>
      <c r="B11921" t="inlineStr">
        <is>
          <t>Trader with Storage</t>
        </is>
      </c>
      <c r="C11921" t="inlineStr">
        <is>
          <t>SGS Germany GmbH, Emstek, DE</t>
        </is>
      </c>
      <c r="D11921" t="inlineStr">
        <is>
          <t>21.11.2026</t>
        </is>
      </c>
      <c r="E11921" t="inlineStr">
        <is>
          <t>Japan</t>
        </is>
      </c>
    </row>
    <row r="11922">
      <c r="A11922" t="inlineStr">
        <is>
          <t>Mitsui &amp; Co. Energy Marketing and Services (USA) Inc.,  Houston, United States</t>
        </is>
      </c>
      <c r="B11922" t="inlineStr">
        <is>
          <t>Trader</t>
        </is>
      </c>
      <c r="C11922" t="inlineStr">
        <is>
          <t>SGS Germany GmbH, Emstek, DE</t>
        </is>
      </c>
      <c r="D11922" t="inlineStr">
        <is>
          <t>21.11.2026</t>
        </is>
      </c>
      <c r="E11922" t="inlineStr">
        <is>
          <t>United States</t>
        </is>
      </c>
    </row>
    <row r="11923">
      <c r="A11923" t="inlineStr">
        <is>
          <t>Mitsui &amp; Co. Energy Marketing and Services (USA) Inc.,  Houston, TX, United States</t>
        </is>
      </c>
      <c r="B11923" t="inlineStr">
        <is>
          <t>Trader</t>
        </is>
      </c>
      <c r="C11923" t="inlineStr">
        <is>
          <t>SGS Germany GmbH, Emstek, DE</t>
        </is>
      </c>
      <c r="D11923" t="inlineStr">
        <is>
          <t>21.11.2026</t>
        </is>
      </c>
      <c r="E11923" t="inlineStr">
        <is>
          <t>United States</t>
        </is>
      </c>
    </row>
    <row r="11924">
      <c r="A11924" t="inlineStr">
        <is>
          <t>Rebuli S.r.l.,  Valdobbiadene, Italy</t>
        </is>
      </c>
      <c r="B11924" t="inlineStr">
        <is>
          <t>Processing Unit</t>
        </is>
      </c>
      <c r="C11924" t="inlineStr">
        <is>
          <t>RINA Services S.p.A., Genova, IT</t>
        </is>
      </c>
      <c r="D11924" t="inlineStr">
        <is>
          <t>21.11.2026</t>
        </is>
      </c>
      <c r="E11924" t="inlineStr">
        <is>
          <t>Italy</t>
        </is>
      </c>
    </row>
    <row r="11925">
      <c r="A11925" t="inlineStr">
        <is>
          <t>Kedaton Mulia Primas,  Jambi, Indonesia</t>
        </is>
      </c>
      <c r="B11925" t="inlineStr">
        <is>
          <t>Point of Origin</t>
        </is>
      </c>
      <c r="C11925" t="inlineStr">
        <is>
          <t>PT. Qualitas Sertifikasi Indonesia, Jakarta, ID</t>
        </is>
      </c>
      <c r="D11925" t="inlineStr">
        <is>
          <t>21.11.2026</t>
        </is>
      </c>
      <c r="E11925" t="inlineStr">
        <is>
          <t>Indonesia</t>
        </is>
      </c>
    </row>
    <row r="11926">
      <c r="A11926" t="inlineStr">
        <is>
          <t>GEKA GmbH,  Bechhofen, Germany</t>
        </is>
      </c>
      <c r="B11926" t="inlineStr">
        <is>
          <t>Processing Unit</t>
        </is>
      </c>
      <c r="C11926" t="inlineStr">
        <is>
          <t>ASG Cert GmbH, Munich, DE</t>
        </is>
      </c>
      <c r="D11926" t="inlineStr">
        <is>
          <t>21.11.2026</t>
        </is>
      </c>
      <c r="E11926" t="inlineStr">
        <is>
          <t>Germany</t>
        </is>
      </c>
    </row>
    <row r="11927">
      <c r="A11927" t="inlineStr">
        <is>
          <t>Zermatt S.A.,  Fuenlabrada, Madrid, Spain</t>
        </is>
      </c>
      <c r="B11927" t="inlineStr">
        <is>
          <t>Processing Unit</t>
        </is>
      </c>
      <c r="C11927" t="inlineStr">
        <is>
          <t>Control Union Poland Sp. z o.o., Zielona Gora, PL</t>
        </is>
      </c>
      <c r="D11927" t="inlineStr">
        <is>
          <t>21.11.2026</t>
        </is>
      </c>
      <c r="E11927" t="inlineStr">
        <is>
          <t>Spain</t>
        </is>
      </c>
    </row>
    <row r="11928">
      <c r="A11928" t="inlineStr">
        <is>
          <t>Riaran Resources (M) Sdn Bhd,  Masai , Johor Bahru, Malaysia</t>
        </is>
      </c>
      <c r="B11928" t="inlineStr">
        <is>
          <t>Trader with Storage, Collecting Point</t>
        </is>
      </c>
      <c r="C11928" t="inlineStr">
        <is>
          <t>TÜV NORD CERT GmbH, Essen, DE</t>
        </is>
      </c>
      <c r="D11928" t="inlineStr">
        <is>
          <t>21.11.2026</t>
        </is>
      </c>
      <c r="E11928" t="inlineStr">
        <is>
          <t>Malaysia</t>
        </is>
      </c>
    </row>
    <row r="11929">
      <c r="A11929" t="inlineStr">
        <is>
          <t>Anugerah Energi Sawit Persada,  Riau, Indonesia</t>
        </is>
      </c>
      <c r="B11929" t="inlineStr">
        <is>
          <t>Point of Origin</t>
        </is>
      </c>
      <c r="C11929" t="inlineStr">
        <is>
          <t>PT SBC Asia Sertifikasi, Kebumen, ID</t>
        </is>
      </c>
      <c r="D11929" t="inlineStr">
        <is>
          <t>21.11.2026</t>
        </is>
      </c>
      <c r="E11929" t="inlineStr">
        <is>
          <t>Indonesia</t>
        </is>
      </c>
    </row>
    <row r="11930">
      <c r="A11930" t="inlineStr">
        <is>
          <t>Lantmännen Biorefineries AB,  Norrköping, Sweden</t>
        </is>
      </c>
      <c r="B11930" t="inlineStr">
        <is>
          <t>Collecting Point, Point of Origin, Processing Unit, Trader with Storage</t>
        </is>
      </c>
      <c r="C11930" t="inlineStr">
        <is>
          <t>PT Intertek Utama Services, Jakarta, ID</t>
        </is>
      </c>
      <c r="D11930" t="inlineStr">
        <is>
          <t>21.11.2026</t>
        </is>
      </c>
      <c r="E11930" t="inlineStr">
        <is>
          <t>Sweden</t>
        </is>
      </c>
    </row>
    <row r="11931">
      <c r="A11931" t="inlineStr">
        <is>
          <t>HEXPOL Middlefield,  Middlefield, United States</t>
        </is>
      </c>
      <c r="B11931" t="inlineStr">
        <is>
          <t>Processing Unit</t>
        </is>
      </c>
      <c r="C11931" t="inlineStr">
        <is>
          <t>SCS Global Services, Emeryville, CA, US</t>
        </is>
      </c>
      <c r="D11931" t="inlineStr">
        <is>
          <t>21.11.2026</t>
        </is>
      </c>
      <c r="E11931" t="inlineStr">
        <is>
          <t>United States</t>
        </is>
      </c>
    </row>
    <row r="11932">
      <c r="A11932" t="inlineStr">
        <is>
          <t>Swancote Energy Ltd,  Bridgnorth, United Kingdom</t>
        </is>
      </c>
      <c r="B11932" t="inlineStr">
        <is>
          <t>Collecting Point, Processing Unit</t>
        </is>
      </c>
      <c r="C11932" t="inlineStr">
        <is>
          <t>Aardvark Certification Ltd, Wiveliscombe, Somerset, GB</t>
        </is>
      </c>
      <c r="D11932" t="inlineStr">
        <is>
          <t>21.11.2026</t>
        </is>
      </c>
      <c r="E11932" t="inlineStr">
        <is>
          <t>United Kingdom</t>
        </is>
      </c>
    </row>
    <row r="11933">
      <c r="A11933" t="inlineStr">
        <is>
          <t>THEVENIN DUCROT DISTRIBUTION,  Chevigny-Saint-Sauveur, France</t>
        </is>
      </c>
      <c r="B11933" t="inlineStr">
        <is>
          <t>Trader</t>
        </is>
      </c>
      <c r="C11933" t="inlineStr">
        <is>
          <t>Control Union Certifications Germany GmbH, Berlin, DE</t>
        </is>
      </c>
      <c r="D11933" t="inlineStr">
        <is>
          <t>21.11.2026</t>
        </is>
      </c>
      <c r="E11933" t="inlineStr">
        <is>
          <t>France</t>
        </is>
      </c>
    </row>
    <row r="11934">
      <c r="A11934" t="inlineStr">
        <is>
          <t>NYÍRSÉG-HASSO Kft.,  Nyíregyháza, Hungary</t>
        </is>
      </c>
      <c r="B11934" t="inlineStr">
        <is>
          <t>First Gathering Point</t>
        </is>
      </c>
      <c r="C11934" t="inlineStr">
        <is>
          <t>Certificadora Gallega del Noroeste SL, Vilagarcia de Arousa-Pontevedra, ES</t>
        </is>
      </c>
      <c r="D11934" t="inlineStr">
        <is>
          <t>21.11.2026</t>
        </is>
      </c>
      <c r="E11934" t="inlineStr">
        <is>
          <t>Hungary</t>
        </is>
      </c>
    </row>
    <row r="11935">
      <c r="A11935" t="inlineStr">
        <is>
          <t>GS Caltex Corporation yeosu,  Yeosu-si, Jeollanam-do, Korea, Republic of</t>
        </is>
      </c>
      <c r="B11935" t="inlineStr">
        <is>
          <t>Processing Unit</t>
        </is>
      </c>
      <c r="C11935" t="inlineStr">
        <is>
          <t>Control Union Certifications Germany GmbH, Berlin, DE</t>
        </is>
      </c>
      <c r="D11935" t="inlineStr">
        <is>
          <t>21.11.2026</t>
        </is>
      </c>
      <c r="E11935" t="inlineStr">
        <is>
          <t>Republic of</t>
        </is>
      </c>
    </row>
    <row r="11936">
      <c r="A11936" t="inlineStr">
        <is>
          <t>GS Caltex Corporation yeosu,  Yeosu-si, Jeollanam-do, Korea, Republic of</t>
        </is>
      </c>
      <c r="B11936" t="inlineStr">
        <is>
          <t>Processing Unit</t>
        </is>
      </c>
      <c r="C11936" t="inlineStr">
        <is>
          <t>Control Union Certifications Germany GmbH, Berlin, DE</t>
        </is>
      </c>
      <c r="D11936" t="inlineStr">
        <is>
          <t>21.11.2026</t>
        </is>
      </c>
      <c r="E11936" t="inlineStr">
        <is>
          <t>Republic of</t>
        </is>
      </c>
    </row>
    <row r="11937">
      <c r="A11937" t="inlineStr">
        <is>
          <t>Cathay Marine Fuel Oil Trading,  Midview City, Singapore</t>
        </is>
      </c>
      <c r="B11937" t="inlineStr">
        <is>
          <t>Trader</t>
        </is>
      </c>
      <c r="C11937" t="inlineStr">
        <is>
          <t>RINA Services S.p.A., Genova, IT</t>
        </is>
      </c>
      <c r="D11937" t="inlineStr">
        <is>
          <t>21.11.2026</t>
        </is>
      </c>
      <c r="E11937" t="inlineStr">
        <is>
          <t>Singapore</t>
        </is>
      </c>
    </row>
    <row r="11938">
      <c r="A11938" t="inlineStr">
        <is>
          <t>Aluprint S de RL de CV,  San Luis Potosí, Mexico</t>
        </is>
      </c>
      <c r="B11938" t="inlineStr">
        <is>
          <t>Processing Unit, Final Product Refinement</t>
        </is>
      </c>
      <c r="C11938" t="inlineStr">
        <is>
          <t>SCS Global Services, Emeryville, CA, US</t>
        </is>
      </c>
      <c r="D11938" t="inlineStr">
        <is>
          <t>21.11.2026</t>
        </is>
      </c>
      <c r="E11938" t="inlineStr">
        <is>
          <t>Mexico</t>
        </is>
      </c>
    </row>
    <row r="11939">
      <c r="A11939" t="inlineStr">
        <is>
          <t>Chevron Singapore Pte Ltd,  Singapore, Singapore</t>
        </is>
      </c>
      <c r="B11939" t="inlineStr">
        <is>
          <t>Trader with Storage</t>
        </is>
      </c>
      <c r="C11939" t="inlineStr">
        <is>
          <t>PT Intertek Utama Services, Jakarta, ID</t>
        </is>
      </c>
      <c r="D11939" t="inlineStr">
        <is>
          <t>21.11.2026</t>
        </is>
      </c>
      <c r="E11939" t="inlineStr">
        <is>
          <t>Singapore</t>
        </is>
      </c>
    </row>
    <row r="11940">
      <c r="A11940" t="inlineStr">
        <is>
          <t>Astarta Trading,  Nicosia, Cyprus</t>
        </is>
      </c>
      <c r="B11940" t="inlineStr">
        <is>
          <t>Trader with Storage</t>
        </is>
      </c>
      <c r="C11940" t="inlineStr">
        <is>
          <t>Aciter Genelab LLC, Odessa, UA</t>
        </is>
      </c>
      <c r="D11940" t="inlineStr">
        <is>
          <t>21.11.2026</t>
        </is>
      </c>
      <c r="E11940" t="inlineStr">
        <is>
          <t>Cyprus</t>
        </is>
      </c>
    </row>
    <row r="11941">
      <c r="A11941" t="inlineStr">
        <is>
          <t>Cargill BV,  Sas van Gent, The Netherlands</t>
        </is>
      </c>
      <c r="B11941" t="inlineStr">
        <is>
          <t>Point of Origin, Processing Unit</t>
        </is>
      </c>
      <c r="C11941" t="inlineStr">
        <is>
          <t>Control Union Certifications Germany GmbH, Berlin, DE</t>
        </is>
      </c>
      <c r="D11941" t="inlineStr">
        <is>
          <t>21.11.2026</t>
        </is>
      </c>
      <c r="E11941" t="inlineStr">
        <is>
          <t>The Netherlands</t>
        </is>
      </c>
    </row>
    <row r="11942">
      <c r="A11942" t="inlineStr">
        <is>
          <t>Astarta Trading,  Nicosia, Cyprus</t>
        </is>
      </c>
      <c r="B11942" t="inlineStr">
        <is>
          <t>First Gathering Point, Trader with Storage</t>
        </is>
      </c>
      <c r="C11942" t="inlineStr">
        <is>
          <t>Aciter Genelab LLC, Odessa, UA</t>
        </is>
      </c>
      <c r="D11942" t="inlineStr">
        <is>
          <t>21.11.2026</t>
        </is>
      </c>
      <c r="E11942" t="inlineStr">
        <is>
          <t>Cyprus</t>
        </is>
      </c>
    </row>
    <row r="11943">
      <c r="A11943" t="inlineStr">
        <is>
          <t>BA LONG BL TRADING SERVICES COMPANY LIMITED,  Ho Chi Minh, Vietnam</t>
        </is>
      </c>
      <c r="B11943" t="inlineStr">
        <is>
          <t>Collecting Point</t>
        </is>
      </c>
      <c r="C11943" t="inlineStr">
        <is>
          <t>RINA Services S.p.A., Genova, IT</t>
        </is>
      </c>
      <c r="D11943" t="inlineStr">
        <is>
          <t>21.11.2026</t>
        </is>
      </c>
      <c r="E11943" t="inlineStr">
        <is>
          <t>Vietnam</t>
        </is>
      </c>
    </row>
    <row r="11944">
      <c r="A11944" t="inlineStr">
        <is>
          <t>Shell Energy North America (US), L.P.,  Houston, Texas, United States</t>
        </is>
      </c>
      <c r="B11944" t="inlineStr">
        <is>
          <t>Trader</t>
        </is>
      </c>
      <c r="C11944" t="inlineStr">
        <is>
          <t>SCS Global Services, Emeryville, CA, US</t>
        </is>
      </c>
      <c r="D11944" t="inlineStr">
        <is>
          <t>21.11.2026</t>
        </is>
      </c>
      <c r="E11944" t="inlineStr">
        <is>
          <t>United States</t>
        </is>
      </c>
    </row>
    <row r="11945">
      <c r="A11945" t="inlineStr">
        <is>
          <t>Shell Energy North America (US), L.P.,  Houston, Texas, United States</t>
        </is>
      </c>
      <c r="B11945" t="inlineStr">
        <is>
          <t>Trader</t>
        </is>
      </c>
      <c r="C11945" t="inlineStr">
        <is>
          <t>SCS Global Services, Emeryville, CA, US</t>
        </is>
      </c>
      <c r="D11945" t="inlineStr">
        <is>
          <t>21.11.2026</t>
        </is>
      </c>
      <c r="E11945" t="inlineStr">
        <is>
          <t>United States</t>
        </is>
      </c>
    </row>
    <row r="11946">
      <c r="A11946" t="inlineStr">
        <is>
          <t>MCAM Symalit AG, Polymer Recycling,  Lenzburg, Switzerland</t>
        </is>
      </c>
      <c r="B11946" t="inlineStr">
        <is>
          <t>Collecting Point, Processing Unit, Warehouse</t>
        </is>
      </c>
      <c r="C11946" t="inlineStr">
        <is>
          <t>DQS CFS GmbH - Deutsche Gesellschaft für Nachhaltigkeit, Frankfurt am Main, DE</t>
        </is>
      </c>
      <c r="D11946" t="inlineStr">
        <is>
          <t>21.11.2026</t>
        </is>
      </c>
      <c r="E11946" t="inlineStr">
        <is>
          <t>Switzerland</t>
        </is>
      </c>
    </row>
    <row r="11947">
      <c r="A11947" t="inlineStr">
        <is>
          <t>BA LONG BL TRADING SERVICES COMPANY LIMITED,  Ho Chi Minh, Vietnam</t>
        </is>
      </c>
      <c r="B11947" t="inlineStr">
        <is>
          <t>Collecting Point</t>
        </is>
      </c>
      <c r="C11947" t="inlineStr">
        <is>
          <t>RINA Services S.p.A., Genova, IT</t>
        </is>
      </c>
      <c r="D11947" t="inlineStr">
        <is>
          <t>21.11.2026</t>
        </is>
      </c>
      <c r="E11947" t="inlineStr">
        <is>
          <t>Vietnam</t>
        </is>
      </c>
    </row>
    <row r="11948">
      <c r="A11948" t="inlineStr">
        <is>
          <t>Palma Alam Hijau,  Jakarta Utara, DKI Jakarta, Indonesia</t>
        </is>
      </c>
      <c r="B11948" t="inlineStr">
        <is>
          <t>Trader</t>
        </is>
      </c>
      <c r="C11948" t="inlineStr">
        <is>
          <t>PT. Qualitas Sertifikasi Indonesia, Jakarta, ID</t>
        </is>
      </c>
      <c r="D11948" t="inlineStr">
        <is>
          <t>21.11.2026</t>
        </is>
      </c>
      <c r="E11948" t="inlineStr">
        <is>
          <t>Indonesia</t>
        </is>
      </c>
    </row>
    <row r="11949">
      <c r="A11949" t="inlineStr">
        <is>
          <t>Mitsui &amp; Co., (Thailand) Ltd.,  Bangkok, Thailand</t>
        </is>
      </c>
      <c r="B11949" t="inlineStr">
        <is>
          <t>Trader</t>
        </is>
      </c>
      <c r="C11949" t="inlineStr">
        <is>
          <t>SGS Germany GmbH, Emstek, DE</t>
        </is>
      </c>
      <c r="D11949" t="inlineStr">
        <is>
          <t>21.11.2026</t>
        </is>
      </c>
      <c r="E11949" t="inlineStr">
        <is>
          <t>Thailand</t>
        </is>
      </c>
    </row>
    <row r="11950">
      <c r="A11950" t="inlineStr">
        <is>
          <t>BP Oil New Zealand Limited,  Newmarket, Auckland, New Zealand</t>
        </is>
      </c>
      <c r="B11950" t="inlineStr">
        <is>
          <t>Trader with Storage</t>
        </is>
      </c>
      <c r="C11950" t="inlineStr">
        <is>
          <t>Control Union Certifications Germany GmbH, Berlin, DE</t>
        </is>
      </c>
      <c r="D11950" t="inlineStr">
        <is>
          <t>21.11.2026</t>
        </is>
      </c>
      <c r="E11950" t="inlineStr">
        <is>
          <t>New Zealand</t>
        </is>
      </c>
    </row>
    <row r="11951">
      <c r="A11951" t="inlineStr">
        <is>
          <t>BP Oil New Zealand Limited,  Newmarket, Auckland, New Zealand</t>
        </is>
      </c>
      <c r="B11951" t="inlineStr">
        <is>
          <t>Trader with Storage</t>
        </is>
      </c>
      <c r="C11951" t="inlineStr">
        <is>
          <t>Control Union Certifications Germany GmbH, Berlin, DE</t>
        </is>
      </c>
      <c r="D11951" t="inlineStr">
        <is>
          <t>21.11.2026</t>
        </is>
      </c>
      <c r="E11951" t="inlineStr">
        <is>
          <t>New Zealand</t>
        </is>
      </c>
    </row>
    <row r="11952">
      <c r="A11952" t="inlineStr">
        <is>
          <t>Dow Europe GmbH,  Böhlen, Germany</t>
        </is>
      </c>
      <c r="B11952" t="inlineStr">
        <is>
          <t>Processing Unit</t>
        </is>
      </c>
      <c r="C11952" t="inlineStr">
        <is>
          <t>SGS Germany GmbH, Emstek, DE</t>
        </is>
      </c>
      <c r="D11952" t="inlineStr">
        <is>
          <t>21.11.2026</t>
        </is>
      </c>
      <c r="E11952" t="inlineStr">
        <is>
          <t>Germany</t>
        </is>
      </c>
    </row>
    <row r="11953">
      <c r="A11953" t="inlineStr">
        <is>
          <t>Zayn Agro Industries Limited,  Kitui, Kenya</t>
        </is>
      </c>
      <c r="B11953" t="inlineStr">
        <is>
          <t>First Gathering Point, Processing Unit</t>
        </is>
      </c>
      <c r="C11953" t="inlineStr">
        <is>
          <t>RINA Services S.p.A., Genova, IT</t>
        </is>
      </c>
      <c r="D11953" t="inlineStr">
        <is>
          <t>21.11.2026</t>
        </is>
      </c>
      <c r="E11953" t="inlineStr">
        <is>
          <t>Kenya</t>
        </is>
      </c>
    </row>
    <row r="11954">
      <c r="A11954" t="inlineStr">
        <is>
          <t>Progra,  Hulshout, Belgium</t>
        </is>
      </c>
      <c r="B11954" t="inlineStr">
        <is>
          <t>Point of Origin</t>
        </is>
      </c>
      <c r="C11954" t="inlineStr">
        <is>
          <t>Control Union Certifications Germany GmbH, Berlin, DE</t>
        </is>
      </c>
      <c r="D11954" t="inlineStr">
        <is>
          <t>21.11.2026</t>
        </is>
      </c>
      <c r="E11954" t="inlineStr">
        <is>
          <t>Belgium</t>
        </is>
      </c>
    </row>
    <row r="11955">
      <c r="A11955" t="inlineStr">
        <is>
          <t>Bunge (Tianjin) Trading Co., Ltd,  Shanghai, China</t>
        </is>
      </c>
      <c r="B11955" t="inlineStr">
        <is>
          <t>Trader with Storage</t>
        </is>
      </c>
      <c r="C11955" t="inlineStr">
        <is>
          <t>SGS Germany GmbH, Emstek, DE</t>
        </is>
      </c>
      <c r="D11955" t="inlineStr">
        <is>
          <t>21.11.2026</t>
        </is>
      </c>
      <c r="E11955" t="inlineStr">
        <is>
          <t>China</t>
        </is>
      </c>
    </row>
    <row r="11956">
      <c r="A11956" t="inlineStr">
        <is>
          <t>Bunge (Tianjin) Trading Co., Ltd,  Shanghai, China</t>
        </is>
      </c>
      <c r="B11956" t="inlineStr">
        <is>
          <t>Trader with Storage</t>
        </is>
      </c>
      <c r="C11956" t="inlineStr">
        <is>
          <t>SGS Germany GmbH, Emstek, DE</t>
        </is>
      </c>
      <c r="D11956" t="inlineStr">
        <is>
          <t>21.11.2026</t>
        </is>
      </c>
      <c r="E11956" t="inlineStr">
        <is>
          <t>China</t>
        </is>
      </c>
    </row>
    <row r="11957">
      <c r="A11957" t="inlineStr">
        <is>
          <t>Mitsui &amp; Co., (Thailand) Ltd.,  Bangkok, Thailand</t>
        </is>
      </c>
      <c r="B11957" t="inlineStr">
        <is>
          <t>Trader</t>
        </is>
      </c>
      <c r="C11957" t="inlineStr">
        <is>
          <t>SGS Germany GmbH, Emstek, DE</t>
        </is>
      </c>
      <c r="D11957" t="inlineStr">
        <is>
          <t>21.11.2026</t>
        </is>
      </c>
      <c r="E11957" t="inlineStr">
        <is>
          <t>Thailand</t>
        </is>
      </c>
    </row>
    <row r="11958">
      <c r="A11958" t="inlineStr">
        <is>
          <t>Polyplastics-Evonik Corporation,  Shinjuku-ku, Tokyo, Japan</t>
        </is>
      </c>
      <c r="B11958" t="inlineStr">
        <is>
          <t>Trader with Storage</t>
        </is>
      </c>
      <c r="C11958" t="inlineStr">
        <is>
          <t>SGS Germany GmbH, Emstek, DE</t>
        </is>
      </c>
      <c r="D11958" t="inlineStr">
        <is>
          <t>21.11.2026</t>
        </is>
      </c>
      <c r="E11958" t="inlineStr">
        <is>
          <t>Japan</t>
        </is>
      </c>
    </row>
    <row r="11959">
      <c r="A11959" t="inlineStr">
        <is>
          <t>Scientex Packaging Film Sdn. Bhd.,  Port Klang, Selangor Darul Ehsan, Malaysia</t>
        </is>
      </c>
      <c r="B11959" t="inlineStr">
        <is>
          <t>Processing Unit</t>
        </is>
      </c>
      <c r="C11959" t="inlineStr">
        <is>
          <t>SGS Germany GmbH, Emstek, DE</t>
        </is>
      </c>
      <c r="D11959" t="inlineStr">
        <is>
          <t>21.11.2026</t>
        </is>
      </c>
      <c r="E11959" t="inlineStr">
        <is>
          <t>Malaysia</t>
        </is>
      </c>
    </row>
    <row r="11960">
      <c r="A11960" t="inlineStr">
        <is>
          <t>Mebius Packaging Co., Ltd.,  Settsu-shi, Osaka, Japan</t>
        </is>
      </c>
      <c r="B11960" t="inlineStr">
        <is>
          <t>Processing Unit</t>
        </is>
      </c>
      <c r="C11960" t="inlineStr">
        <is>
          <t>SGS Germany GmbH, Emstek, DE</t>
        </is>
      </c>
      <c r="D11960" t="inlineStr">
        <is>
          <t>21.11.2026</t>
        </is>
      </c>
      <c r="E11960" t="inlineStr">
        <is>
          <t>Japan</t>
        </is>
      </c>
    </row>
    <row r="11961">
      <c r="A11961" t="inlineStr">
        <is>
          <t>Bestagro Kft,  Budapest, Hungary</t>
        </is>
      </c>
      <c r="B11961" t="inlineStr">
        <is>
          <t>First Gathering Point, Trader</t>
        </is>
      </c>
      <c r="C11961" t="inlineStr">
        <is>
          <t>SGS Germany GmbH, Emstek, DE</t>
        </is>
      </c>
      <c r="D11961" t="inlineStr">
        <is>
          <t>21.11.2026</t>
        </is>
      </c>
      <c r="E11961" t="inlineStr">
        <is>
          <t>Hungary</t>
        </is>
      </c>
    </row>
    <row r="11962">
      <c r="A11962" t="inlineStr">
        <is>
          <t>Kuraray America, Inc.,  Pasadena, United States</t>
        </is>
      </c>
      <c r="B11962" t="inlineStr">
        <is>
          <t>Processing Unit</t>
        </is>
      </c>
      <c r="C11962" t="inlineStr">
        <is>
          <t>Control Union Poland Sp. z o.o., Zielona Gora, PL</t>
        </is>
      </c>
      <c r="D11962" t="inlineStr">
        <is>
          <t>21.11.2026</t>
        </is>
      </c>
      <c r="E11962" t="inlineStr">
        <is>
          <t>United States</t>
        </is>
      </c>
    </row>
    <row r="11963">
      <c r="A11963" t="inlineStr">
        <is>
          <t>Shandong Safu New Energy Technology Co., Ltd,  Zibo City, Shandong Province, China</t>
        </is>
      </c>
      <c r="B11963" t="inlineStr">
        <is>
          <t>Processing Unit</t>
        </is>
      </c>
      <c r="C11963" t="inlineStr">
        <is>
          <t>RINA Services S.p.A., Genova, IT</t>
        </is>
      </c>
      <c r="D11963" t="inlineStr">
        <is>
          <t>21.11.2026</t>
        </is>
      </c>
      <c r="E11963" t="inlineStr">
        <is>
          <t>China</t>
        </is>
      </c>
    </row>
    <row r="11964">
      <c r="A11964" t="inlineStr">
        <is>
          <t>IM Biofuel Italy,  Milan, Italy</t>
        </is>
      </c>
      <c r="B11964" t="inlineStr">
        <is>
          <t>Trader with Storage</t>
        </is>
      </c>
      <c r="C11964" t="inlineStr">
        <is>
          <t>RINA Services S.p.A., Genova, IT</t>
        </is>
      </c>
      <c r="D11964" t="inlineStr">
        <is>
          <t>21.11.2026</t>
        </is>
      </c>
      <c r="E11964" t="inlineStr">
        <is>
          <t>Italy</t>
        </is>
      </c>
    </row>
    <row r="11965">
      <c r="A11965" t="inlineStr">
        <is>
          <t>AHAVA UKRAINE LLC,  Kyiv, Ukraine</t>
        </is>
      </c>
      <c r="B11965" t="inlineStr">
        <is>
          <t>First Gathering Point, Trader with Storage</t>
        </is>
      </c>
      <c r="C11965" t="inlineStr">
        <is>
          <t>Bureau Veritas Polska Sp. z o.o., Warsaw, PL</t>
        </is>
      </c>
      <c r="D11965" t="inlineStr">
        <is>
          <t>21.11.2026</t>
        </is>
      </c>
      <c r="E11965" t="inlineStr">
        <is>
          <t>Ukraine</t>
        </is>
      </c>
    </row>
    <row r="11966">
      <c r="A11966" t="inlineStr">
        <is>
          <t>EG Green Yangsan Co., Ltd.,  Yangsan-si, Gyeongsangnam-do, The Republic of Korea</t>
        </is>
      </c>
      <c r="B11966" t="inlineStr">
        <is>
          <t>Collecting Point, Trader with Storage</t>
        </is>
      </c>
      <c r="C11966" t="inlineStr">
        <is>
          <t>Control Union Certifications Germany GmbH, Berlin, DE</t>
        </is>
      </c>
      <c r="D11966" t="inlineStr">
        <is>
          <t>21.11.2026</t>
        </is>
      </c>
      <c r="E11966" t="inlineStr">
        <is>
          <t>The Republic of Korea</t>
        </is>
      </c>
    </row>
    <row r="11967">
      <c r="A11967" t="inlineStr">
        <is>
          <t>Joeplast S.p.A.,  Casteltermini (AG), Italy</t>
        </is>
      </c>
      <c r="B11967" t="inlineStr">
        <is>
          <t>Processing Unit</t>
        </is>
      </c>
      <c r="C11967" t="inlineStr">
        <is>
          <t>IIP S.r.l., Monza, IT</t>
        </is>
      </c>
      <c r="D11967" t="inlineStr">
        <is>
          <t>21.11.2026</t>
        </is>
      </c>
      <c r="E11967" t="inlineStr">
        <is>
          <t>Italy</t>
        </is>
      </c>
    </row>
    <row r="11968">
      <c r="A11968" t="inlineStr">
        <is>
          <t>Montachem International UK Limited,  Reading Berkshire, United Kingdom</t>
        </is>
      </c>
      <c r="B11968" t="inlineStr">
        <is>
          <t>Trader</t>
        </is>
      </c>
      <c r="C11968" t="inlineStr">
        <is>
          <t>Normec QS BV, Bennekom, NL</t>
        </is>
      </c>
      <c r="D11968" t="inlineStr">
        <is>
          <t>20.11.2026</t>
        </is>
      </c>
      <c r="E11968" t="inlineStr">
        <is>
          <t>United Kingdom</t>
        </is>
      </c>
    </row>
    <row r="11969">
      <c r="A11969" t="inlineStr">
        <is>
          <t>Montachem International B.V,  Amsterdam, Netherlands</t>
        </is>
      </c>
      <c r="B11969" t="inlineStr">
        <is>
          <t>Trader</t>
        </is>
      </c>
      <c r="C11969" t="inlineStr">
        <is>
          <t>Normec QS BV, Bennekom, NL</t>
        </is>
      </c>
      <c r="D11969" t="inlineStr">
        <is>
          <t>20.11.2026</t>
        </is>
      </c>
      <c r="E11969" t="inlineStr">
        <is>
          <t>Netherlands</t>
        </is>
      </c>
    </row>
    <row r="11970">
      <c r="A11970" t="inlineStr">
        <is>
          <t>PCBL CHEMICAL LIMITED,  Durgapur, India</t>
        </is>
      </c>
      <c r="B11970" t="inlineStr">
        <is>
          <t>Processing Unit</t>
        </is>
      </c>
      <c r="C11970" t="inlineStr">
        <is>
          <t>Cotecna India Inspection Pvt Ltd, Kolkata, IN</t>
        </is>
      </c>
      <c r="D11970" t="inlineStr">
        <is>
          <t>20.11.2026</t>
        </is>
      </c>
      <c r="E11970" t="inlineStr">
        <is>
          <t>India</t>
        </is>
      </c>
    </row>
    <row r="11971">
      <c r="A11971" t="inlineStr">
        <is>
          <t>Synthos Breda,  Breda, Netherlands</t>
        </is>
      </c>
      <c r="B11971" t="inlineStr">
        <is>
          <t>Processing Unit</t>
        </is>
      </c>
      <c r="C11971" t="inlineStr">
        <is>
          <t>Bureau Veritas Polska Sp. z o.o., Warsaw, PL</t>
        </is>
      </c>
      <c r="D11971" t="inlineStr">
        <is>
          <t>20.11.2026</t>
        </is>
      </c>
      <c r="E11971" t="inlineStr">
        <is>
          <t>Netherlands</t>
        </is>
      </c>
    </row>
    <row r="11972">
      <c r="A11972" t="inlineStr">
        <is>
          <t>ST. JOHNS PACKAGING (VIET NAM) COMPANY LIMITED,  Ho Chi Minh, Vietnam</t>
        </is>
      </c>
      <c r="B11972" t="inlineStr">
        <is>
          <t>Final Product Refinement, Trader with Storage</t>
        </is>
      </c>
      <c r="C11972" t="inlineStr">
        <is>
          <t>PT Intertek Utama Services, Jakarta, ID</t>
        </is>
      </c>
      <c r="D11972" t="inlineStr">
        <is>
          <t>20.11.2026</t>
        </is>
      </c>
      <c r="E11972" t="inlineStr">
        <is>
          <t>Vietnam</t>
        </is>
      </c>
    </row>
    <row r="11973">
      <c r="A11973" t="inlineStr">
        <is>
          <t>YORGO ANUGERAH NUSANTARA,  Medan, Indonesia</t>
        </is>
      </c>
      <c r="B11973" t="inlineStr">
        <is>
          <t>Processing Unit, Trader with Storage</t>
        </is>
      </c>
      <c r="C11973" t="inlineStr">
        <is>
          <t>PT SBC Asia Sertifikasi, Kebumen, ID</t>
        </is>
      </c>
      <c r="D11973" t="inlineStr">
        <is>
          <t>20.11.2026</t>
        </is>
      </c>
      <c r="E11973" t="inlineStr">
        <is>
          <t>Indonesia</t>
        </is>
      </c>
    </row>
    <row r="11974">
      <c r="A11974" t="inlineStr">
        <is>
          <t>Polaris Bio,  Seoul, South Korea</t>
        </is>
      </c>
      <c r="B11974" t="inlineStr">
        <is>
          <t>Trader</t>
        </is>
      </c>
      <c r="C11974" t="inlineStr">
        <is>
          <t>Korean Foundation for Quality, Songpa-gu, Seoul, KR</t>
        </is>
      </c>
      <c r="D11974" t="inlineStr">
        <is>
          <t>20.11.2026</t>
        </is>
      </c>
      <c r="E11974" t="inlineStr">
        <is>
          <t>South Korea</t>
        </is>
      </c>
    </row>
    <row r="11975">
      <c r="A11975" t="inlineStr">
        <is>
          <t>Barilla G. e R. F.lli S.p.A.,  Galliate (NO), Italy</t>
        </is>
      </c>
      <c r="B11975" t="inlineStr">
        <is>
          <t>Processing Unit, Trader with Storage</t>
        </is>
      </c>
      <c r="C11975" t="inlineStr">
        <is>
          <t>RINA Services S.p.A., Genova, IT</t>
        </is>
      </c>
      <c r="D11975" t="inlineStr">
        <is>
          <t>20.11.2026</t>
        </is>
      </c>
      <c r="E11975" t="inlineStr">
        <is>
          <t>Italy</t>
        </is>
      </c>
    </row>
    <row r="11976">
      <c r="A11976" t="inlineStr">
        <is>
          <t>SAS Oléor,  Saint-Apollinaire, France</t>
        </is>
      </c>
      <c r="B11976" t="inlineStr">
        <is>
          <t>Collecting Point</t>
        </is>
      </c>
      <c r="C11976" t="inlineStr">
        <is>
          <t>Control Union Certifications Germany GmbH, Berlin, DE</t>
        </is>
      </c>
      <c r="D11976" t="inlineStr">
        <is>
          <t>20.11.2026</t>
        </is>
      </c>
      <c r="E11976" t="inlineStr">
        <is>
          <t>France</t>
        </is>
      </c>
    </row>
    <row r="11977">
      <c r="A11977" t="inlineStr">
        <is>
          <t>MOL Austria Handels GmbH,  Vienna, Austria</t>
        </is>
      </c>
      <c r="B11977" t="inlineStr">
        <is>
          <t>Trader with Storage</t>
        </is>
      </c>
      <c r="C11977" t="inlineStr">
        <is>
          <t>agroVet GmbH, Enzersfeld, AT</t>
        </is>
      </c>
      <c r="D11977" t="inlineStr">
        <is>
          <t>20.11.2026</t>
        </is>
      </c>
      <c r="E11977" t="inlineStr">
        <is>
          <t>Austria</t>
        </is>
      </c>
    </row>
    <row r="11978">
      <c r="A11978" t="inlineStr">
        <is>
          <t>GLOBAL PERFORMANCE FILMS COMPANY LIMITED,  Ho Chi Minh City, Vietnam</t>
        </is>
      </c>
      <c r="B11978" t="inlineStr">
        <is>
          <t>Processing Unit, Trader with Storage</t>
        </is>
      </c>
      <c r="C11978" t="inlineStr">
        <is>
          <t>PT Intertek Utama Services, Jakarta, ID</t>
        </is>
      </c>
      <c r="D11978" t="inlineStr">
        <is>
          <t>20.11.2026</t>
        </is>
      </c>
      <c r="E11978" t="inlineStr">
        <is>
          <t>Vietnam</t>
        </is>
      </c>
    </row>
    <row r="11979">
      <c r="A11979" t="inlineStr">
        <is>
          <t>FUNDACION CISA. CENTRAL INTEGRAL DE SERVICIOS ASPANIAS,  Villariezo, Burgos, Spain</t>
        </is>
      </c>
      <c r="B11979" t="inlineStr">
        <is>
          <t>Collecting Point, Trader with Storage</t>
        </is>
      </c>
      <c r="C11979" t="inlineStr">
        <is>
          <t>Certificadora Gallega del Noroeste SL, Vilagarcia de Arousa-Pontevedra, ES</t>
        </is>
      </c>
      <c r="D11979" t="inlineStr">
        <is>
          <t>20.11.2026</t>
        </is>
      </c>
      <c r="E11979" t="inlineStr">
        <is>
          <t>Spain</t>
        </is>
      </c>
    </row>
    <row r="11980">
      <c r="A11980" t="inlineStr">
        <is>
          <t>Komagra Sp. z o.o.,  Kosów Lacki, Poland</t>
        </is>
      </c>
      <c r="B11980" t="inlineStr">
        <is>
          <t>Point of Origin, Trader with Storage, Processing Unit</t>
        </is>
      </c>
      <c r="C11980" t="inlineStr">
        <is>
          <t>Control Union Poland Sp. z o.o., Zielona Gora, PL</t>
        </is>
      </c>
      <c r="D11980" t="inlineStr">
        <is>
          <t>20.11.2026</t>
        </is>
      </c>
      <c r="E11980" t="inlineStr">
        <is>
          <t>Poland</t>
        </is>
      </c>
    </row>
    <row r="11981">
      <c r="A11981" t="inlineStr">
        <is>
          <t>Americas Styrenics (AmSty),  Channahon, United States</t>
        </is>
      </c>
      <c r="B11981" t="inlineStr">
        <is>
          <t>Point of Origin, Processing Unit, Trader with Storage</t>
        </is>
      </c>
      <c r="C11981" t="inlineStr">
        <is>
          <t>SCS Global Services, Emeryville, CA, US</t>
        </is>
      </c>
      <c r="D11981" t="inlineStr">
        <is>
          <t>20.11.2026</t>
        </is>
      </c>
      <c r="E11981" t="inlineStr">
        <is>
          <t>United States</t>
        </is>
      </c>
    </row>
    <row r="11982">
      <c r="A11982" t="inlineStr">
        <is>
          <t>Vimeksim International GmbH,  Wien, Austria</t>
        </is>
      </c>
      <c r="B11982" t="inlineStr">
        <is>
          <t>Trader</t>
        </is>
      </c>
      <c r="C11982" t="inlineStr">
        <is>
          <t>agroVet GmbH, Enzersfeld, AT</t>
        </is>
      </c>
      <c r="D11982" t="inlineStr">
        <is>
          <t>20.11.2026</t>
        </is>
      </c>
      <c r="E11982" t="inlineStr">
        <is>
          <t>Austria</t>
        </is>
      </c>
    </row>
    <row r="11983">
      <c r="A11983" t="inlineStr">
        <is>
          <t>Avery Dennison Materials Europe GmbH,  Kreuzlingen, Switzerland</t>
        </is>
      </c>
      <c r="B11983" t="inlineStr">
        <is>
          <t>Processing Unit</t>
        </is>
      </c>
      <c r="C11983" t="inlineStr">
        <is>
          <t>TÜV SÜD Industrie Service GmbH, München, DE</t>
        </is>
      </c>
      <c r="D11983" t="inlineStr">
        <is>
          <t>20.11.2026</t>
        </is>
      </c>
      <c r="E11983" t="inlineStr">
        <is>
          <t>Switzerland</t>
        </is>
      </c>
    </row>
    <row r="11984">
      <c r="A11984" t="inlineStr">
        <is>
          <t>Yueyang Junshan Jixing Bioenergy Co.,Ltd.,  Yueyang City, Hunan province, China</t>
        </is>
      </c>
      <c r="B11984" t="inlineStr">
        <is>
          <t>Collecting Point</t>
        </is>
      </c>
      <c r="C11984" t="inlineStr">
        <is>
          <t>RINA Services S.p.A., Genova, IT</t>
        </is>
      </c>
      <c r="D11984" t="inlineStr">
        <is>
          <t>20.11.2026</t>
        </is>
      </c>
      <c r="E11984" t="inlineStr">
        <is>
          <t>China</t>
        </is>
      </c>
    </row>
    <row r="11985">
      <c r="A11985" t="inlineStr">
        <is>
          <t>Socar Trading SA,  Geneva, Switzerland</t>
        </is>
      </c>
      <c r="B11985" t="inlineStr">
        <is>
          <t>Trader</t>
        </is>
      </c>
      <c r="C11985" t="inlineStr">
        <is>
          <t>BM Certification, Riga, LV</t>
        </is>
      </c>
      <c r="D11985" t="inlineStr">
        <is>
          <t>20.11.2026</t>
        </is>
      </c>
      <c r="E11985" t="inlineStr">
        <is>
          <t>Switzerland</t>
        </is>
      </c>
    </row>
    <row r="11986">
      <c r="A11986" t="inlineStr">
        <is>
          <t>Socar Trading SA,  Geneva, Switzerland</t>
        </is>
      </c>
      <c r="B11986" t="inlineStr">
        <is>
          <t>Trader</t>
        </is>
      </c>
      <c r="C11986" t="inlineStr">
        <is>
          <t>BM Certification, Riga, LV</t>
        </is>
      </c>
      <c r="D11986" t="inlineStr">
        <is>
          <t>20.11.2026</t>
        </is>
      </c>
      <c r="E11986" t="inlineStr">
        <is>
          <t>Switzerland</t>
        </is>
      </c>
    </row>
    <row r="11987">
      <c r="A11987" t="inlineStr">
        <is>
          <t>Adamant BioNRG AG,  ZUG, Switzerland</t>
        </is>
      </c>
      <c r="B11987" t="inlineStr">
        <is>
          <t>Trader, Trader with Storage</t>
        </is>
      </c>
      <c r="C11987" t="inlineStr">
        <is>
          <t>SGS Germany GmbH, Emstek, DE</t>
        </is>
      </c>
      <c r="D11987" t="inlineStr">
        <is>
          <t>20.11.2026</t>
        </is>
      </c>
      <c r="E11987" t="inlineStr">
        <is>
          <t>Switzerland</t>
        </is>
      </c>
    </row>
    <row r="11988">
      <c r="A11988" t="inlineStr">
        <is>
          <t>Kasem International,  Samutsakhon, Thailand</t>
        </is>
      </c>
      <c r="B11988" t="inlineStr">
        <is>
          <t>Processing Unit</t>
        </is>
      </c>
      <c r="C11988" t="inlineStr">
        <is>
          <t>SGS Germany GmbH, Emstek, DE</t>
        </is>
      </c>
      <c r="D11988" t="inlineStr">
        <is>
          <t>20.11.2026</t>
        </is>
      </c>
      <c r="E11988" t="inlineStr">
        <is>
          <t>Thailand</t>
        </is>
      </c>
    </row>
    <row r="11989">
      <c r="A11989" t="inlineStr">
        <is>
          <t>COSMO OIL MARKETING CO. ,LTD.,  Chuo-ku, Japan</t>
        </is>
      </c>
      <c r="B11989" t="inlineStr">
        <is>
          <t>Trader</t>
        </is>
      </c>
      <c r="C11989" t="inlineStr">
        <is>
          <t>SGS Germany GmbH, Emstek, DE</t>
        </is>
      </c>
      <c r="D11989" t="inlineStr">
        <is>
          <t>20.11.2026</t>
        </is>
      </c>
      <c r="E11989" t="inlineStr">
        <is>
          <t>Japan</t>
        </is>
      </c>
    </row>
    <row r="11990">
      <c r="A11990" t="inlineStr">
        <is>
          <t>Egyptian Fertilizers Company,  Ain Sokhna, Egypt</t>
        </is>
      </c>
      <c r="B11990" t="inlineStr">
        <is>
          <t>Processing Unit</t>
        </is>
      </c>
      <c r="C11990" t="inlineStr">
        <is>
          <t>SGS Germany GmbH, Emstek, DE</t>
        </is>
      </c>
      <c r="D11990" t="inlineStr">
        <is>
          <t>20.11.2026</t>
        </is>
      </c>
      <c r="E11990" t="inlineStr">
        <is>
          <t>Egypt</t>
        </is>
      </c>
    </row>
    <row r="11991">
      <c r="A11991" t="inlineStr">
        <is>
          <t>Delta Energy Monaco,  Monaco, Monaco</t>
        </is>
      </c>
      <c r="B11991" t="inlineStr">
        <is>
          <t>Trader, Proof of Compliance Trader</t>
        </is>
      </c>
      <c r="C11991" t="inlineStr">
        <is>
          <t>SGS Germany GmbH, Emstek, DE</t>
        </is>
      </c>
      <c r="D11991" t="inlineStr">
        <is>
          <t>20.11.2026</t>
        </is>
      </c>
      <c r="E11991" t="inlineStr">
        <is>
          <t>Monaco</t>
        </is>
      </c>
    </row>
    <row r="11992">
      <c r="A11992" t="inlineStr">
        <is>
          <t>COSMO OIL MARKETING CO. ,LTD.,  Chuo-ku, Japan</t>
        </is>
      </c>
      <c r="B11992" t="inlineStr">
        <is>
          <t>Trader</t>
        </is>
      </c>
      <c r="C11992" t="inlineStr">
        <is>
          <t>SGS Germany GmbH, Emstek, DE</t>
        </is>
      </c>
      <c r="D11992" t="inlineStr">
        <is>
          <t>20.11.2026</t>
        </is>
      </c>
      <c r="E11992" t="inlineStr">
        <is>
          <t>Japan</t>
        </is>
      </c>
    </row>
    <row r="11993">
      <c r="A11993" t="inlineStr">
        <is>
          <t>ESTCHEM CO., LTD.,  Chuo-ku,Tokyo, Japan</t>
        </is>
      </c>
      <c r="B11993" t="inlineStr">
        <is>
          <t>Trader with Storage</t>
        </is>
      </c>
      <c r="C11993" t="inlineStr">
        <is>
          <t>SGS Germany GmbH, Emstek, DE</t>
        </is>
      </c>
      <c r="D11993" t="inlineStr">
        <is>
          <t>20.11.2026</t>
        </is>
      </c>
      <c r="E11993" t="inlineStr">
        <is>
          <t>Japan</t>
        </is>
      </c>
    </row>
    <row r="11994">
      <c r="A11994" t="inlineStr">
        <is>
          <t>COSCO SHIPPING (Japan) Co., Ltd.,  Chiyoda-ku Tokyo, Japan</t>
        </is>
      </c>
      <c r="B11994" t="inlineStr">
        <is>
          <t>Trader</t>
        </is>
      </c>
      <c r="C11994" t="inlineStr">
        <is>
          <t>Guardian Independent Certification Limited, Singapore, SG</t>
        </is>
      </c>
      <c r="D11994" t="inlineStr">
        <is>
          <t>20.11.2026</t>
        </is>
      </c>
      <c r="E11994" t="inlineStr">
        <is>
          <t>Japan</t>
        </is>
      </c>
    </row>
    <row r="11995">
      <c r="A11995" t="inlineStr">
        <is>
          <t>NANTONG JINLI OIL INDUSTRIAL CO., LTD.,  Nantong, Jiangsu, China</t>
        </is>
      </c>
      <c r="B11995" t="inlineStr">
        <is>
          <t>Processing Unit</t>
        </is>
      </c>
      <c r="C11995" t="inlineStr">
        <is>
          <t>SCS Global Services, Emeryville, CA, US</t>
        </is>
      </c>
      <c r="D11995" t="inlineStr">
        <is>
          <t>20.11.2026</t>
        </is>
      </c>
      <c r="E11995" t="inlineStr">
        <is>
          <t>China</t>
        </is>
      </c>
    </row>
    <row r="11996">
      <c r="A11996" t="inlineStr">
        <is>
          <t>PINESTAR GH B.V.,  Singapore, Singapore</t>
        </is>
      </c>
      <c r="B11996" t="inlineStr">
        <is>
          <t>Trader</t>
        </is>
      </c>
      <c r="C11996" t="inlineStr">
        <is>
          <t>Guardian Independent Certification Limited, Singapore, SG</t>
        </is>
      </c>
      <c r="D11996" t="inlineStr">
        <is>
          <t>20.11.2026</t>
        </is>
      </c>
      <c r="E11996" t="inlineStr">
        <is>
          <t>Singapore</t>
        </is>
      </c>
    </row>
    <row r="11997">
      <c r="A11997" t="inlineStr">
        <is>
          <t>BESLER GIDA VE KİMYA SAN. TİC. A.Ş.,  İstanbul, Turkey</t>
        </is>
      </c>
      <c r="B11997" t="inlineStr">
        <is>
          <t>Final Product Refinement, Trader with Storage</t>
        </is>
      </c>
      <c r="C11997" t="inlineStr">
        <is>
          <t>PT Intertek Utama Services, Jakarta, ID</t>
        </is>
      </c>
      <c r="D11997" t="inlineStr">
        <is>
          <t>20.11.2026</t>
        </is>
      </c>
      <c r="E11997" t="inlineStr">
        <is>
          <t>Turkey</t>
        </is>
      </c>
    </row>
    <row r="11998">
      <c r="A11998" t="inlineStr">
        <is>
          <t>Air Liquide UK Limited,  Holme Upon Spalding Moor, United Kingdom</t>
        </is>
      </c>
      <c r="B11998" t="inlineStr">
        <is>
          <t>Processing Unit</t>
        </is>
      </c>
      <c r="C11998" t="inlineStr">
        <is>
          <t>Double Helix Tracking Technologies Pte Ltd, Singapore, SG</t>
        </is>
      </c>
      <c r="D11998" t="inlineStr">
        <is>
          <t>20.11.2026</t>
        </is>
      </c>
      <c r="E11998" t="inlineStr">
        <is>
          <t>United Kingdom</t>
        </is>
      </c>
    </row>
    <row r="11999">
      <c r="A11999" t="inlineStr">
        <is>
          <t>Air Liquide UK Limited,  March, United Kingdom</t>
        </is>
      </c>
      <c r="B11999" t="inlineStr">
        <is>
          <t>Processing Unit</t>
        </is>
      </c>
      <c r="C11999" t="inlineStr">
        <is>
          <t>Double Helix Tracking Technologies Pte Ltd, Singapore, SG</t>
        </is>
      </c>
      <c r="D11999" t="inlineStr">
        <is>
          <t>20.11.2026</t>
        </is>
      </c>
      <c r="E11999" t="inlineStr">
        <is>
          <t>United Kingdom</t>
        </is>
      </c>
    </row>
    <row r="12000">
      <c r="A12000" t="inlineStr">
        <is>
          <t>Air Liquide UK Limited,  Goole, United Kingdom</t>
        </is>
      </c>
      <c r="B12000" t="inlineStr">
        <is>
          <t>Processing Unit</t>
        </is>
      </c>
      <c r="C12000" t="inlineStr">
        <is>
          <t>Double Helix Tracking Technologies Pte Ltd, Singapore, SG</t>
        </is>
      </c>
      <c r="D12000" t="inlineStr">
        <is>
          <t>20.11.2026</t>
        </is>
      </c>
      <c r="E12000" t="inlineStr">
        <is>
          <t>United Kingdom</t>
        </is>
      </c>
    </row>
    <row r="12001">
      <c r="A12001" t="inlineStr">
        <is>
          <t>Carbon Zero Markets Limited,  King's Lynn, Norfolk, UK, United Kingdom</t>
        </is>
      </c>
      <c r="B12001" t="inlineStr">
        <is>
          <t>Trader</t>
        </is>
      </c>
      <c r="C12001" t="inlineStr">
        <is>
          <t>Double Helix Tracking Technologies Pte Ltd, Singapore, SG</t>
        </is>
      </c>
      <c r="D12001" t="inlineStr">
        <is>
          <t>20.11.2026</t>
        </is>
      </c>
      <c r="E12001" t="inlineStr">
        <is>
          <t>United Kingdom</t>
        </is>
      </c>
    </row>
    <row r="12002">
      <c r="A12002" t="inlineStr">
        <is>
          <t>Carmeuse Western Europe,  Wanze, Belgium</t>
        </is>
      </c>
      <c r="B12002" t="inlineStr">
        <is>
          <t>Processing Unit</t>
        </is>
      </c>
      <c r="C12002" t="inlineStr">
        <is>
          <t>CertRom SRL, Bucuresti, RO</t>
        </is>
      </c>
      <c r="D12002" t="inlineStr">
        <is>
          <t>20.11.2026</t>
        </is>
      </c>
      <c r="E12002" t="inlineStr">
        <is>
          <t>Belgium</t>
        </is>
      </c>
    </row>
    <row r="12003">
      <c r="A12003" t="inlineStr">
        <is>
          <t>Carmeuse Western Europe,  Aisemont, Belgium</t>
        </is>
      </c>
      <c r="B12003" t="inlineStr">
        <is>
          <t>Processing Unit</t>
        </is>
      </c>
      <c r="C12003" t="inlineStr">
        <is>
          <t>CertRom SRL, Bucuresti, RO</t>
        </is>
      </c>
      <c r="D12003" t="inlineStr">
        <is>
          <t>20.11.2026</t>
        </is>
      </c>
      <c r="E12003" t="inlineStr">
        <is>
          <t>Belgium</t>
        </is>
      </c>
    </row>
    <row r="12004">
      <c r="A12004" t="inlineStr">
        <is>
          <t>AGROOLEAGINOSAS LOS RIOS OLEORIOS,  VENTANAS, Ecuador</t>
        </is>
      </c>
      <c r="B12004" t="inlineStr">
        <is>
          <t>Point of Origin</t>
        </is>
      </c>
      <c r="C12004" t="inlineStr">
        <is>
          <t>Control Union Poland Sp. z o.o., Zielona Gora, PL</t>
        </is>
      </c>
      <c r="D12004" t="inlineStr">
        <is>
          <t>20.11.2026</t>
        </is>
      </c>
      <c r="E12004" t="inlineStr">
        <is>
          <t>Ecuador</t>
        </is>
      </c>
    </row>
    <row r="12005">
      <c r="A12005" t="inlineStr">
        <is>
          <t>Coster Tecnologie Speciali S.p.a,  Calceranica al Lago, Italy</t>
        </is>
      </c>
      <c r="B12005" t="inlineStr">
        <is>
          <t>Trader with Storage</t>
        </is>
      </c>
      <c r="C12005" t="inlineStr">
        <is>
          <t>PT Intertek Utama Services, Jakarta, ID</t>
        </is>
      </c>
      <c r="D12005" t="inlineStr">
        <is>
          <t>20.11.2026</t>
        </is>
      </c>
      <c r="E12005" t="inlineStr">
        <is>
          <t>Italy</t>
        </is>
      </c>
    </row>
    <row r="12006">
      <c r="A12006" t="inlineStr">
        <is>
          <t>OCI Energy,  Antwerpen, Belgium</t>
        </is>
      </c>
      <c r="B12006" t="inlineStr">
        <is>
          <t>Trader with Storage, Proof of Compliance Trader</t>
        </is>
      </c>
      <c r="C12006" t="inlineStr">
        <is>
          <t>DEKRA Certification B.V., Arnhem, NL</t>
        </is>
      </c>
      <c r="D12006" t="inlineStr">
        <is>
          <t>20.11.2026</t>
        </is>
      </c>
      <c r="E12006" t="inlineStr">
        <is>
          <t>Belgium</t>
        </is>
      </c>
    </row>
    <row r="12007">
      <c r="A12007" t="inlineStr">
        <is>
          <t>Kharisma Wirajaya Palma,  KABUPATEN KAMPAR, PROVINSI RIAU, Indonesia</t>
        </is>
      </c>
      <c r="B12007" t="inlineStr">
        <is>
          <t>Point of Origin</t>
        </is>
      </c>
      <c r="C12007" t="inlineStr">
        <is>
          <t>PT. CBQA GLOBAL INDONESIA, JAKARTA SELATAN, ID</t>
        </is>
      </c>
      <c r="D12007" t="inlineStr">
        <is>
          <t>20.11.2026</t>
        </is>
      </c>
      <c r="E12007" t="inlineStr">
        <is>
          <t>Indonesia</t>
        </is>
      </c>
    </row>
    <row r="12008">
      <c r="A12008" t="inlineStr">
        <is>
          <t>NUREL S.A.,  Zaragoza, Spain</t>
        </is>
      </c>
      <c r="B12008" t="inlineStr">
        <is>
          <t>Processing Unit, Trader with Storage</t>
        </is>
      </c>
      <c r="C12008" t="inlineStr">
        <is>
          <t>SGS Germany GmbH, Emstek, DE</t>
        </is>
      </c>
      <c r="D12008" t="inlineStr">
        <is>
          <t>20.11.2026</t>
        </is>
      </c>
      <c r="E12008" t="inlineStr">
        <is>
          <t>Spain</t>
        </is>
      </c>
    </row>
    <row r="12009">
      <c r="A12009" t="inlineStr">
        <is>
          <t>Frupack Plastic,  Hamburg, Germany</t>
        </is>
      </c>
      <c r="B12009" t="inlineStr">
        <is>
          <t>Trader with Storage</t>
        </is>
      </c>
      <c r="C12009" t="inlineStr">
        <is>
          <t>SGS Germany GmbH, Emstek, DE</t>
        </is>
      </c>
      <c r="D12009" t="inlineStr">
        <is>
          <t>20.11.2026</t>
        </is>
      </c>
      <c r="E12009" t="inlineStr">
        <is>
          <t>Germany</t>
        </is>
      </c>
    </row>
    <row r="12010">
      <c r="A12010" t="inlineStr">
        <is>
          <t>TM-AGRO LLC,  Cherkasy, Ukraine</t>
        </is>
      </c>
      <c r="B12010" t="inlineStr">
        <is>
          <t>First Gathering Point, Trader with Storage</t>
        </is>
      </c>
      <c r="C12010" t="inlineStr">
        <is>
          <t>Bureau Veritas Polska Sp. z o.o., Warsaw, PL</t>
        </is>
      </c>
      <c r="D12010" t="inlineStr">
        <is>
          <t>20.11.2026</t>
        </is>
      </c>
      <c r="E12010" t="inlineStr">
        <is>
          <t>Ukraine</t>
        </is>
      </c>
    </row>
    <row r="12011">
      <c r="A12011" t="inlineStr">
        <is>
          <t>Air Liquide B.V.,  Eindhoven, Netherlands</t>
        </is>
      </c>
      <c r="B12011" t="inlineStr">
        <is>
          <t>Trader</t>
        </is>
      </c>
      <c r="C12011" t="inlineStr">
        <is>
          <t>DEKRA Certification B.V., Arnhem, NL</t>
        </is>
      </c>
      <c r="D12011" t="inlineStr">
        <is>
          <t>20.11.2026</t>
        </is>
      </c>
      <c r="E12011" t="inlineStr">
        <is>
          <t>Netherlands</t>
        </is>
      </c>
    </row>
    <row r="12012">
      <c r="A12012" t="inlineStr">
        <is>
          <t>L'Air Liquide Belge N.V.,  Lillo, Belgium</t>
        </is>
      </c>
      <c r="B12012" t="inlineStr">
        <is>
          <t>Processing Unit</t>
        </is>
      </c>
      <c r="C12012" t="inlineStr">
        <is>
          <t>DEKRA Certification B.V., Arnhem, NL</t>
        </is>
      </c>
      <c r="D12012" t="inlineStr">
        <is>
          <t>20.11.2026</t>
        </is>
      </c>
      <c r="E12012" t="inlineStr">
        <is>
          <t>Belgium</t>
        </is>
      </c>
    </row>
    <row r="12013">
      <c r="A12013" t="inlineStr">
        <is>
          <t>Air Liquide Industries Belgium SA,  Lillo, Belgium</t>
        </is>
      </c>
      <c r="B12013" t="inlineStr">
        <is>
          <t>Processing Unit</t>
        </is>
      </c>
      <c r="C12013" t="inlineStr">
        <is>
          <t>DEKRA Certification B.V., Arnhem, NL</t>
        </is>
      </c>
      <c r="D12013" t="inlineStr">
        <is>
          <t>20.11.2026</t>
        </is>
      </c>
      <c r="E12013" t="inlineStr">
        <is>
          <t>Belgium</t>
        </is>
      </c>
    </row>
    <row r="12014">
      <c r="A12014" t="inlineStr">
        <is>
          <t>Bioropean MMC,  Baku, Azerbaijan</t>
        </is>
      </c>
      <c r="B12014" t="inlineStr">
        <is>
          <t>Collecting Point, Trader with Storage</t>
        </is>
      </c>
      <c r="C12014" t="inlineStr">
        <is>
          <t>SGS Germany GmbH, Emstek, DE</t>
        </is>
      </c>
      <c r="D12014" t="inlineStr">
        <is>
          <t>20.11.2026</t>
        </is>
      </c>
      <c r="E12014" t="inlineStr">
        <is>
          <t>Azerbaijan</t>
        </is>
      </c>
    </row>
    <row r="12015">
      <c r="A12015" t="inlineStr">
        <is>
          <t>N. Karagiorgos Bros S.A.,  Stavros Farsala, Greece</t>
        </is>
      </c>
      <c r="B12015" t="inlineStr">
        <is>
          <t>First Gathering Point, Processing Unit</t>
        </is>
      </c>
      <c r="C12015" t="inlineStr">
        <is>
          <t>QMSCERT S.A., Pylaia, Thessaloniki, GR</t>
        </is>
      </c>
      <c r="D12015" t="inlineStr">
        <is>
          <t>20.11.2026</t>
        </is>
      </c>
      <c r="E12015" t="inlineStr">
        <is>
          <t>Greece</t>
        </is>
      </c>
    </row>
    <row r="12016">
      <c r="A12016" t="inlineStr">
        <is>
          <t>Gleaner,  Isle of Islay, United Kingdom</t>
        </is>
      </c>
      <c r="B12016" t="inlineStr">
        <is>
          <t>Trader with Storage</t>
        </is>
      </c>
      <c r="C12016" t="inlineStr">
        <is>
          <t>Aardvark Certification Ltd, Wiveliscombe, Somerset, GB</t>
        </is>
      </c>
      <c r="D12016" t="inlineStr">
        <is>
          <t>20.11.2026</t>
        </is>
      </c>
      <c r="E12016" t="inlineStr">
        <is>
          <t>United Kingdom</t>
        </is>
      </c>
    </row>
    <row r="12017">
      <c r="A12017" t="inlineStr">
        <is>
          <t>MINERVA S.A.,  Palmeiras de Goiás, Brazil</t>
        </is>
      </c>
      <c r="B12017" t="inlineStr">
        <is>
          <t>Trader with Storage, Processing Unit, Point of Origin</t>
        </is>
      </c>
      <c r="C12017" t="inlineStr">
        <is>
          <t>Control Union Certifications Germany GmbH, Berlin, DE</t>
        </is>
      </c>
      <c r="D12017" t="inlineStr">
        <is>
          <t>20.11.2026</t>
        </is>
      </c>
      <c r="E12017" t="inlineStr">
        <is>
          <t>Brazil</t>
        </is>
      </c>
    </row>
    <row r="12018">
      <c r="A12018" t="inlineStr">
        <is>
          <t>Frupack Nordic,  Hamburg, Germany</t>
        </is>
      </c>
      <c r="B12018" t="inlineStr">
        <is>
          <t>Trader</t>
        </is>
      </c>
      <c r="C12018" t="inlineStr">
        <is>
          <t>SGS Germany GmbH, Emstek, DE</t>
        </is>
      </c>
      <c r="D12018" t="inlineStr">
        <is>
          <t>20.11.2026</t>
        </is>
      </c>
      <c r="E12018" t="inlineStr">
        <is>
          <t>Germany</t>
        </is>
      </c>
    </row>
    <row r="12019">
      <c r="A12019" t="inlineStr">
        <is>
          <t>Chemiehandelsgesellschaft Thermoplast mbH,  Hamburg, Germany</t>
        </is>
      </c>
      <c r="B12019" t="inlineStr">
        <is>
          <t>Trader</t>
        </is>
      </c>
      <c r="C12019" t="inlineStr">
        <is>
          <t>SGS Germany GmbH, Emstek, DE</t>
        </is>
      </c>
      <c r="D12019" t="inlineStr">
        <is>
          <t>20.11.2026</t>
        </is>
      </c>
      <c r="E12019" t="inlineStr">
        <is>
          <t>Germany</t>
        </is>
      </c>
    </row>
    <row r="12020">
      <c r="A12020" t="inlineStr">
        <is>
          <t>ELYDAN,  Saint Etienne de Saint Geoirs, France</t>
        </is>
      </c>
      <c r="B12020" t="inlineStr">
        <is>
          <t>Processing Unit</t>
        </is>
      </c>
      <c r="C12020" t="inlineStr">
        <is>
          <t>SGS Germany GmbH, Emstek, DE</t>
        </is>
      </c>
      <c r="D12020" t="inlineStr">
        <is>
          <t>20.11.2026</t>
        </is>
      </c>
      <c r="E12020" t="inlineStr">
        <is>
          <t>France</t>
        </is>
      </c>
    </row>
    <row r="12021">
      <c r="A12021" t="inlineStr">
        <is>
          <t>UAB Baltic Agro,  Vilnius, Lithuania</t>
        </is>
      </c>
      <c r="B12021" t="inlineStr">
        <is>
          <t>First Gathering Point, Trader with Storage</t>
        </is>
      </c>
      <c r="C12021" t="inlineStr">
        <is>
          <t>Bureau Veritas Polska Sp. z o.o., Warsaw, PL</t>
        </is>
      </c>
      <c r="D12021" t="inlineStr">
        <is>
          <t>20.11.2026</t>
        </is>
      </c>
      <c r="E12021" t="inlineStr">
        <is>
          <t>Lithuania</t>
        </is>
      </c>
    </row>
    <row r="12022">
      <c r="A12022" t="inlineStr">
        <is>
          <t>UAB Kvantus,  Aukštikalnių k., Pasvalio r., Lithuania</t>
        </is>
      </c>
      <c r="B12022" t="inlineStr">
        <is>
          <t>Collecting Point, Processing Unit, Trader</t>
        </is>
      </c>
      <c r="C12022" t="inlineStr">
        <is>
          <t>Bureau Veritas Polska Sp. z o.o., Warsaw, PL</t>
        </is>
      </c>
      <c r="D12022" t="inlineStr">
        <is>
          <t>20.11.2026</t>
        </is>
      </c>
      <c r="E12022" t="inlineStr">
        <is>
          <t>Lithuania</t>
        </is>
      </c>
    </row>
    <row r="12023">
      <c r="A12023" t="inlineStr">
        <is>
          <t>AMBERES CHEMICAL,  POZUELO DE ALARCON, MADRID, Spain</t>
        </is>
      </c>
      <c r="B12023" t="inlineStr">
        <is>
          <t>Trader</t>
        </is>
      </c>
      <c r="C12023" t="inlineStr">
        <is>
          <t>Certificadora Gallega del Noroeste SL, Vilagarcia de Arousa-Pontevedra, ES</t>
        </is>
      </c>
      <c r="D12023" t="inlineStr">
        <is>
          <t>20.11.2026</t>
        </is>
      </c>
      <c r="E12023" t="inlineStr">
        <is>
          <t>Spain</t>
        </is>
      </c>
    </row>
    <row r="12024">
      <c r="A12024" t="inlineStr">
        <is>
          <t>Oil Rivers for Environmental Services Co,  Riyadh, Saudi Arabia</t>
        </is>
      </c>
      <c r="B12024" t="inlineStr">
        <is>
          <t>Collecting Point</t>
        </is>
      </c>
      <c r="C12024" t="inlineStr">
        <is>
          <t>RINA Services S.p.A., Genova, IT</t>
        </is>
      </c>
      <c r="D12024" t="inlineStr">
        <is>
          <t>20.11.2026</t>
        </is>
      </c>
      <c r="E12024" t="inlineStr">
        <is>
          <t>Saudi Arabia</t>
        </is>
      </c>
    </row>
    <row r="12025">
      <c r="A12025" t="inlineStr">
        <is>
          <t>CEP COSMETIQUE,  THIERS, France</t>
        </is>
      </c>
      <c r="B12025" t="inlineStr">
        <is>
          <t>Final Product Refinement, Processing Unit</t>
        </is>
      </c>
      <c r="C12025" t="inlineStr">
        <is>
          <t>Bureau Veritas Polska Sp. z o.o., Warsaw, PL</t>
        </is>
      </c>
      <c r="D12025" t="inlineStr">
        <is>
          <t>19.11.2026</t>
        </is>
      </c>
      <c r="E12025" t="inlineStr">
        <is>
          <t>France</t>
        </is>
      </c>
    </row>
    <row r="12026">
      <c r="A12026" t="inlineStr">
        <is>
          <t>Sumitomo Chemical Europe N.V./S.A.,  Zaventem, Belgium</t>
        </is>
      </c>
      <c r="B12026" t="inlineStr">
        <is>
          <t>Trader</t>
        </is>
      </c>
      <c r="C12026" t="inlineStr">
        <is>
          <t>Normec QS BV, Bennekom, NL</t>
        </is>
      </c>
      <c r="D12026" t="inlineStr">
        <is>
          <t>19.11.2026</t>
        </is>
      </c>
      <c r="E12026" t="inlineStr">
        <is>
          <t>Belgium</t>
        </is>
      </c>
    </row>
    <row r="12027">
      <c r="A12027" t="inlineStr">
        <is>
          <t>Cabot Chemical （Tianjin）Co. Ltd,  Tianjin, China</t>
        </is>
      </c>
      <c r="B12027" t="inlineStr">
        <is>
          <t>Trader with Storage, Final Product Refinement, Processing Unit</t>
        </is>
      </c>
      <c r="C12027" t="inlineStr">
        <is>
          <t>Bureau Veritas Polska Sp. z o.o., Warsaw, PL</t>
        </is>
      </c>
      <c r="D12027" t="inlineStr">
        <is>
          <t>19.11.2026</t>
        </is>
      </c>
      <c r="E12027" t="inlineStr">
        <is>
          <t>China</t>
        </is>
      </c>
    </row>
    <row r="12028">
      <c r="A12028" t="inlineStr">
        <is>
          <t>PT SMART Tbk,  Jakarta, Indonesia</t>
        </is>
      </c>
      <c r="B12028" t="inlineStr">
        <is>
          <t>Logistics Center, Trader with Storage</t>
        </is>
      </c>
      <c r="C12028" t="inlineStr">
        <is>
          <t>PT Intertek Utama Services, Jakarta, ID</t>
        </is>
      </c>
      <c r="D12028" t="inlineStr">
        <is>
          <t>19.11.2026</t>
        </is>
      </c>
      <c r="E12028" t="inlineStr">
        <is>
          <t>Indonesia</t>
        </is>
      </c>
    </row>
    <row r="12029">
      <c r="A12029" t="inlineStr">
        <is>
          <t>Calmit GmbH,  Bad Ischl, Austria</t>
        </is>
      </c>
      <c r="B12029" t="inlineStr">
        <is>
          <t>Processing Unit</t>
        </is>
      </c>
      <c r="C12029" t="inlineStr">
        <is>
          <t>BM Certification, Riga, LV</t>
        </is>
      </c>
      <c r="D12029" t="inlineStr">
        <is>
          <t>19.11.2026</t>
        </is>
      </c>
      <c r="E12029" t="inlineStr">
        <is>
          <t>Austria</t>
        </is>
      </c>
    </row>
    <row r="12030">
      <c r="A12030" t="inlineStr">
        <is>
          <t>Nefco Storage &amp; Trading BV,  Waardenburg, Netherlands</t>
        </is>
      </c>
      <c r="B12030" t="inlineStr">
        <is>
          <t>Trader with Storage</t>
        </is>
      </c>
      <c r="C12030" t="inlineStr">
        <is>
          <t>DEKRA Certification B.V., Arnhem, NL</t>
        </is>
      </c>
      <c r="D12030" t="inlineStr">
        <is>
          <t>19.11.2026</t>
        </is>
      </c>
      <c r="E12030" t="inlineStr">
        <is>
          <t>Netherlands</t>
        </is>
      </c>
    </row>
    <row r="12031">
      <c r="A12031" t="inlineStr">
        <is>
          <t>Nefco Storage &amp; Trading BV,  Waardenburg, Netherlands</t>
        </is>
      </c>
      <c r="B12031" t="inlineStr">
        <is>
          <t>Trader with Storage</t>
        </is>
      </c>
      <c r="C12031" t="inlineStr">
        <is>
          <t>DEKRA Certification B.V., Arnhem, NL</t>
        </is>
      </c>
      <c r="D12031" t="inlineStr">
        <is>
          <t>19.11.2026</t>
        </is>
      </c>
      <c r="E12031" t="inlineStr">
        <is>
          <t>Netherlands</t>
        </is>
      </c>
    </row>
    <row r="12032">
      <c r="A12032" t="inlineStr">
        <is>
          <t>Scientex Packaging (Teluk Emas) Sdn Bhd,  Melaka, Malaysia</t>
        </is>
      </c>
      <c r="B12032" t="inlineStr">
        <is>
          <t>Processing Unit</t>
        </is>
      </c>
      <c r="C12032" t="inlineStr">
        <is>
          <t>SGS Germany GmbH, Emstek, DE</t>
        </is>
      </c>
      <c r="D12032" t="inlineStr">
        <is>
          <t>19.11.2026</t>
        </is>
      </c>
      <c r="E12032" t="inlineStr">
        <is>
          <t>Malaysia</t>
        </is>
      </c>
    </row>
    <row r="12033">
      <c r="A12033" t="inlineStr">
        <is>
          <t>Wanna Make It Farm Grain Corp,  Moose Creek, Canada</t>
        </is>
      </c>
      <c r="B12033" t="inlineStr">
        <is>
          <t>First Gathering Point, Warehouse</t>
        </is>
      </c>
      <c r="C12033" t="inlineStr">
        <is>
          <t>SGS Germany GmbH, Emstek, DE</t>
        </is>
      </c>
      <c r="D12033" t="inlineStr">
        <is>
          <t>19.11.2026</t>
        </is>
      </c>
      <c r="E12033" t="inlineStr">
        <is>
          <t>Canada</t>
        </is>
      </c>
    </row>
    <row r="12034">
      <c r="A12034" t="inlineStr">
        <is>
          <t>POET Grain, LLC,  Wichita, Kansas, United States</t>
        </is>
      </c>
      <c r="B12034" t="inlineStr">
        <is>
          <t>First Gathering Point</t>
        </is>
      </c>
      <c r="C12034" t="inlineStr">
        <is>
          <t>SCS Global Services, Emeryville, CA, US</t>
        </is>
      </c>
      <c r="D12034" t="inlineStr">
        <is>
          <t>19.11.2026</t>
        </is>
      </c>
      <c r="E12034" t="inlineStr">
        <is>
          <t>United States</t>
        </is>
      </c>
    </row>
    <row r="12035">
      <c r="A12035" t="inlineStr">
        <is>
          <t>Grøn Brint A/S,  Hjørring, Denmark</t>
        </is>
      </c>
      <c r="B12035" t="inlineStr">
        <is>
          <t>Processing Unit</t>
        </is>
      </c>
      <c r="C12035" t="inlineStr">
        <is>
          <t>Baltic Control Certification, Risskov, DK</t>
        </is>
      </c>
      <c r="D12035" t="inlineStr">
        <is>
          <t>19.11.2026</t>
        </is>
      </c>
      <c r="E12035" t="inlineStr">
        <is>
          <t>Denmark</t>
        </is>
      </c>
    </row>
    <row r="12036">
      <c r="A12036" t="inlineStr">
        <is>
          <t>Potencial Agro,  Lapa, Brazil</t>
        </is>
      </c>
      <c r="B12036" t="inlineStr">
        <is>
          <t>Collecting Point, Processing Unit, Trader, Point of Origin</t>
        </is>
      </c>
      <c r="C12036" t="inlineStr">
        <is>
          <t>Control Union Certifications Germany GmbH, Berlin, DE</t>
        </is>
      </c>
      <c r="D12036" t="inlineStr">
        <is>
          <t>19.11.2026</t>
        </is>
      </c>
      <c r="E12036" t="inlineStr">
        <is>
          <t>Brazil</t>
        </is>
      </c>
    </row>
    <row r="12037">
      <c r="A12037" t="inlineStr">
        <is>
          <t>Dong Phu Cashew Nut Shell Liquid Company Limited,  Dong Phu Commune, Dong Nai Province, Vietnam</t>
        </is>
      </c>
      <c r="B12037" t="inlineStr">
        <is>
          <t>Trader with Storage</t>
        </is>
      </c>
      <c r="C12037" t="inlineStr">
        <is>
          <t>BM Certification, Riga, LV</t>
        </is>
      </c>
      <c r="D12037" t="inlineStr">
        <is>
          <t>19.11.2026</t>
        </is>
      </c>
      <c r="E12037" t="inlineStr">
        <is>
          <t>Vietnam</t>
        </is>
      </c>
    </row>
    <row r="12038">
      <c r="A12038" t="inlineStr">
        <is>
          <t>Drylock Technologies s.r.o.,  Hradek nad Nisou, Czech Republic</t>
        </is>
      </c>
      <c r="B12038" t="inlineStr">
        <is>
          <t>Final Product Refinement</t>
        </is>
      </c>
      <c r="C12038" t="inlineStr">
        <is>
          <t>TÜV SÜD Czech s.r.o., Praha 4, CZ</t>
        </is>
      </c>
      <c r="D12038" t="inlineStr">
        <is>
          <t>19.11.2026</t>
        </is>
      </c>
      <c r="E12038" t="inlineStr">
        <is>
          <t>Czech Republic</t>
        </is>
      </c>
    </row>
    <row r="12039">
      <c r="A12039" t="inlineStr">
        <is>
          <t>PETROL GOLD OPT,  Ostriv village, Ternopil region, Ukraine</t>
        </is>
      </c>
      <c r="B12039" t="inlineStr">
        <is>
          <t>Collecting Point</t>
        </is>
      </c>
      <c r="C12039" t="inlineStr">
        <is>
          <t>Organic Standard Ltd, Kyiv, UA</t>
        </is>
      </c>
      <c r="D12039" t="inlineStr">
        <is>
          <t>19.11.2026</t>
        </is>
      </c>
      <c r="E12039" t="inlineStr">
        <is>
          <t>Ukraine</t>
        </is>
      </c>
    </row>
    <row r="12040">
      <c r="A12040" t="inlineStr">
        <is>
          <t>SOVENA ESPAÑA, S.A.U.,  Brenes, Spain</t>
        </is>
      </c>
      <c r="B12040" t="inlineStr">
        <is>
          <t>Point of Origin</t>
        </is>
      </c>
      <c r="C12040" t="inlineStr">
        <is>
          <t>Control Union Poland Sp. z o.o., Zielona Gora, PL</t>
        </is>
      </c>
      <c r="D12040" t="inlineStr">
        <is>
          <t>19.11.2026</t>
        </is>
      </c>
      <c r="E12040" t="inlineStr">
        <is>
          <t>Spain</t>
        </is>
      </c>
    </row>
    <row r="12041">
      <c r="A12041" t="inlineStr">
        <is>
          <t>UAB Parsekas,  Klaipėda, Lithuania</t>
        </is>
      </c>
      <c r="B12041" t="inlineStr">
        <is>
          <t>Collecting Point, Processing Unit, Trader</t>
        </is>
      </c>
      <c r="C12041" t="inlineStr">
        <is>
          <t>BM Certification, Riga, LV</t>
        </is>
      </c>
      <c r="D12041" t="inlineStr">
        <is>
          <t>19.11.2026</t>
        </is>
      </c>
      <c r="E12041" t="inlineStr">
        <is>
          <t>Lithuania</t>
        </is>
      </c>
    </row>
    <row r="12042">
      <c r="A12042" t="inlineStr">
        <is>
          <t>GPM Energy Limited,  Ovens Co. Cork, Ireland</t>
        </is>
      </c>
      <c r="B12042" t="inlineStr">
        <is>
          <t>Trader</t>
        </is>
      </c>
      <c r="C12042" t="inlineStr">
        <is>
          <t>BM Certification, Riga, LV</t>
        </is>
      </c>
      <c r="D12042" t="inlineStr">
        <is>
          <t>19.11.2026</t>
        </is>
      </c>
      <c r="E12042" t="inlineStr">
        <is>
          <t>Ireland</t>
        </is>
      </c>
    </row>
    <row r="12043">
      <c r="A12043" t="inlineStr">
        <is>
          <t>Voer- en Weihandel Gijsenbergh,  Ermelo, The Netherlands</t>
        </is>
      </c>
      <c r="B12043" t="inlineStr">
        <is>
          <t>Collecting Point, Trader with Storage, Processing Unit</t>
        </is>
      </c>
      <c r="C12043" t="inlineStr">
        <is>
          <t>DEKRA Certification B.V., Arnhem, NL</t>
        </is>
      </c>
      <c r="D12043" t="inlineStr">
        <is>
          <t>19.11.2026</t>
        </is>
      </c>
      <c r="E12043" t="inlineStr">
        <is>
          <t>The Netherlands</t>
        </is>
      </c>
    </row>
    <row r="12044">
      <c r="A12044" t="inlineStr">
        <is>
          <t>SCG GAS S.p.A.,  FIDENZA, Italy</t>
        </is>
      </c>
      <c r="B12044" t="inlineStr">
        <is>
          <t>Trader with Storage</t>
        </is>
      </c>
      <c r="C12044" t="inlineStr">
        <is>
          <t>Double Helix Tracking Technologies Pte Ltd, Singapore, SG</t>
        </is>
      </c>
      <c r="D12044" t="inlineStr">
        <is>
          <t>19.11.2026</t>
        </is>
      </c>
      <c r="E12044" t="inlineStr">
        <is>
          <t>Italy</t>
        </is>
      </c>
    </row>
    <row r="12045">
      <c r="A12045" t="inlineStr">
        <is>
          <t>Haiyu (Zhejiang Zhoushan) Energy Co., Ltd.,  Cangzhou City, Hebei Province, China</t>
        </is>
      </c>
      <c r="B12045" t="inlineStr">
        <is>
          <t>Trader</t>
        </is>
      </c>
      <c r="C12045" t="inlineStr">
        <is>
          <t>SCS Global Services, Emeryville, CA, US</t>
        </is>
      </c>
      <c r="D12045" t="inlineStr">
        <is>
          <t>19.11.2026</t>
        </is>
      </c>
      <c r="E12045" t="inlineStr">
        <is>
          <t>China</t>
        </is>
      </c>
    </row>
    <row r="12046">
      <c r="A12046" t="inlineStr">
        <is>
          <t>swisspor italia,  Roverbella, Italy</t>
        </is>
      </c>
      <c r="B12046" t="inlineStr">
        <is>
          <t>Collecting Point, Processing Unit</t>
        </is>
      </c>
      <c r="C12046" t="inlineStr">
        <is>
          <t>ICIM SpA, sesto san giovanni, IT</t>
        </is>
      </c>
      <c r="D12046" t="inlineStr">
        <is>
          <t>19.11.2026</t>
        </is>
      </c>
      <c r="E12046" t="inlineStr">
        <is>
          <t>Italy</t>
        </is>
      </c>
    </row>
    <row r="12047">
      <c r="A12047" t="inlineStr">
        <is>
          <t>Tomato Farm,  Pozzolo Formigaro, Italy</t>
        </is>
      </c>
      <c r="B12047" t="inlineStr">
        <is>
          <t>Processing Unit</t>
        </is>
      </c>
      <c r="C12047" t="inlineStr">
        <is>
          <t>RINA Services S.p.A., Genova, IT</t>
        </is>
      </c>
      <c r="D12047" t="inlineStr">
        <is>
          <t>19.11.2026</t>
        </is>
      </c>
      <c r="E12047" t="inlineStr">
        <is>
          <t>Italy</t>
        </is>
      </c>
    </row>
    <row r="12048">
      <c r="A12048" t="inlineStr">
        <is>
          <t>HARI HARI SAWITA SEJAHTERA,  Provinsi Sumatera Utara, Indonesia</t>
        </is>
      </c>
      <c r="B12048" t="inlineStr">
        <is>
          <t>Point of Origin</t>
        </is>
      </c>
      <c r="C12048" t="inlineStr">
        <is>
          <t>Trans Certification and Inspection Sdn Bhd, Kuantan, MY</t>
        </is>
      </c>
      <c r="D12048" t="inlineStr">
        <is>
          <t>19.11.2026</t>
        </is>
      </c>
      <c r="E12048" t="inlineStr">
        <is>
          <t>Indonesia</t>
        </is>
      </c>
    </row>
    <row r="12049">
      <c r="A12049" t="inlineStr">
        <is>
          <t>HUTA BAYU MARSADA,  Provinsi Sumatera Utara, Indonesia</t>
        </is>
      </c>
      <c r="B12049" t="inlineStr">
        <is>
          <t>Point of Origin</t>
        </is>
      </c>
      <c r="C12049" t="inlineStr">
        <is>
          <t>Trans Certification and Inspection Sdn Bhd, Kuantan, MY</t>
        </is>
      </c>
      <c r="D12049" t="inlineStr">
        <is>
          <t>19.11.2026</t>
        </is>
      </c>
      <c r="E12049" t="inlineStr">
        <is>
          <t>Indonesia</t>
        </is>
      </c>
    </row>
    <row r="12050">
      <c r="A12050" t="inlineStr">
        <is>
          <t>CV. Sawit Sumatera Perkasa,  Sumatera Utara, Indonesia</t>
        </is>
      </c>
      <c r="B12050" t="inlineStr">
        <is>
          <t>Point of Origin</t>
        </is>
      </c>
      <c r="C12050" t="inlineStr">
        <is>
          <t>Trans Certification and Inspection Sdn Bhd, Kuantan, MY</t>
        </is>
      </c>
      <c r="D12050" t="inlineStr">
        <is>
          <t>19.11.2026</t>
        </is>
      </c>
      <c r="E12050" t="inlineStr">
        <is>
          <t>Indonesia</t>
        </is>
      </c>
    </row>
    <row r="12051">
      <c r="A12051" t="inlineStr">
        <is>
          <t>AustroCel Hallein,  Hallein, Austria</t>
        </is>
      </c>
      <c r="B12051" t="inlineStr">
        <is>
          <t>Point of Origin, Collecting Point, Processing Unit</t>
        </is>
      </c>
      <c r="C12051" t="inlineStr">
        <is>
          <t>agroVet GmbH, Enzersfeld, AT</t>
        </is>
      </c>
      <c r="D12051" t="inlineStr">
        <is>
          <t>19.11.2026</t>
        </is>
      </c>
      <c r="E12051" t="inlineStr">
        <is>
          <t>Austria</t>
        </is>
      </c>
    </row>
    <row r="12052">
      <c r="A12052" t="inlineStr">
        <is>
          <t>KOTO Trade d.o.o.,  Ljubljana, Slovenia</t>
        </is>
      </c>
      <c r="B12052" t="inlineStr">
        <is>
          <t>Trader</t>
        </is>
      </c>
      <c r="C12052" t="inlineStr">
        <is>
          <t>Bureau Veritas Polska Sp. z o.o., Warsaw, PL</t>
        </is>
      </c>
      <c r="D12052" t="inlineStr">
        <is>
          <t>19.11.2026</t>
        </is>
      </c>
      <c r="E12052" t="inlineStr">
        <is>
          <t>Slovenia</t>
        </is>
      </c>
    </row>
    <row r="12053">
      <c r="A12053" t="inlineStr">
        <is>
          <t>Beiersdorf AG,  Hamburg, Germany</t>
        </is>
      </c>
      <c r="B12053" t="inlineStr">
        <is>
          <t>Final Product Refinement, Trader with Storage</t>
        </is>
      </c>
      <c r="C12053" t="inlineStr">
        <is>
          <t>Control Union Certifications Germany GmbH, Berlin, DE</t>
        </is>
      </c>
      <c r="D12053" t="inlineStr">
        <is>
          <t>19.11.2026</t>
        </is>
      </c>
      <c r="E12053" t="inlineStr">
        <is>
          <t>Germany</t>
        </is>
      </c>
    </row>
    <row r="12054">
      <c r="A12054" t="inlineStr">
        <is>
          <t>MARMA POLSKIE FOLIE Sp. z o.o.,  Kańczuga, Poland</t>
        </is>
      </c>
      <c r="B12054" t="inlineStr">
        <is>
          <t>Trader with Storage, Processing Unit, Final Product Refinement</t>
        </is>
      </c>
      <c r="C12054" t="inlineStr">
        <is>
          <t>Control Union Poland Sp. z o.o., Zielona Gora, PL</t>
        </is>
      </c>
      <c r="D12054" t="inlineStr">
        <is>
          <t>19.11.2026</t>
        </is>
      </c>
      <c r="E12054" t="inlineStr">
        <is>
          <t>Poland</t>
        </is>
      </c>
    </row>
    <row r="12055">
      <c r="A12055" t="inlineStr">
        <is>
          <t>Suzhou Benteng Science and Technology CO., LTD.,  Suzhou,Jiangsu Province, China</t>
        </is>
      </c>
      <c r="B12055" t="inlineStr">
        <is>
          <t>Processing Unit</t>
        </is>
      </c>
      <c r="C12055" t="inlineStr">
        <is>
          <t>China Quality Certification Centre Co., Ltd., Beijing, CN</t>
        </is>
      </c>
      <c r="D12055" t="inlineStr">
        <is>
          <t>19.11.2026</t>
        </is>
      </c>
      <c r="E12055" t="inlineStr">
        <is>
          <t>China</t>
        </is>
      </c>
    </row>
    <row r="12056">
      <c r="A12056" t="inlineStr">
        <is>
          <t>Ferrero Trading Lux S.A.,  Senningerberg, Luxembourg</t>
        </is>
      </c>
      <c r="B12056" t="inlineStr">
        <is>
          <t>Trader with Storage</t>
        </is>
      </c>
      <c r="C12056" t="inlineStr">
        <is>
          <t>Bureau Veritas Polska Sp. z o.o., Warsaw, PL</t>
        </is>
      </c>
      <c r="D12056" t="inlineStr">
        <is>
          <t>19.11.2026</t>
        </is>
      </c>
      <c r="E12056" t="inlineStr">
        <is>
          <t>Luxembourg</t>
        </is>
      </c>
    </row>
    <row r="12057">
      <c r="A12057" t="inlineStr">
        <is>
          <t>RapSol GmbH,  Lübz, Germany</t>
        </is>
      </c>
      <c r="B12057" t="inlineStr">
        <is>
          <t>Point of Origin, Processing Unit, Trader</t>
        </is>
      </c>
      <c r="C12057" t="inlineStr">
        <is>
          <t>ASG Cert GmbH, Munich, DE</t>
        </is>
      </c>
      <c r="D12057" t="inlineStr">
        <is>
          <t>19.11.2026</t>
        </is>
      </c>
      <c r="E12057" t="inlineStr">
        <is>
          <t>Germany</t>
        </is>
      </c>
    </row>
    <row r="12058">
      <c r="A12058" t="inlineStr">
        <is>
          <t>Kuraray America, Inc.,  La Porte, TX, United States</t>
        </is>
      </c>
      <c r="B12058" t="inlineStr">
        <is>
          <t>Processing Unit</t>
        </is>
      </c>
      <c r="C12058" t="inlineStr">
        <is>
          <t>Control Union Poland Sp. z o.o., Zielona Gora, PL</t>
        </is>
      </c>
      <c r="D12058" t="inlineStr">
        <is>
          <t>19.11.2026</t>
        </is>
      </c>
      <c r="E12058" t="inlineStr">
        <is>
          <t>United States</t>
        </is>
      </c>
    </row>
    <row r="12059">
      <c r="A12059" t="inlineStr">
        <is>
          <t>A &amp; K Waste Systems Inc.,  Boston, Massachusetts, United States</t>
        </is>
      </c>
      <c r="B12059" t="inlineStr">
        <is>
          <t>Collecting Point</t>
        </is>
      </c>
      <c r="C12059" t="inlineStr">
        <is>
          <t>Amspec Iberia SL, Vilagarcia de Arousa-Pontevedra, ES</t>
        </is>
      </c>
      <c r="D12059" t="inlineStr">
        <is>
          <t>19.11.2026</t>
        </is>
      </c>
      <c r="E12059" t="inlineStr">
        <is>
          <t>United States</t>
        </is>
      </c>
    </row>
    <row r="12060">
      <c r="A12060" t="inlineStr">
        <is>
          <t>A &amp; K Waste Systems Inc.,  Boston, Massachusetts, United States</t>
        </is>
      </c>
      <c r="B12060" t="inlineStr">
        <is>
          <t>Collecting Point</t>
        </is>
      </c>
      <c r="C12060" t="inlineStr">
        <is>
          <t>Certificadora Gallega del Noroeste SL, Vilagarcia de Arousa-Pontevedra, ES</t>
        </is>
      </c>
      <c r="D12060" t="inlineStr">
        <is>
          <t>19.11.2026</t>
        </is>
      </c>
      <c r="E12060" t="inlineStr">
        <is>
          <t>United States</t>
        </is>
      </c>
    </row>
    <row r="12061">
      <c r="A12061" t="inlineStr">
        <is>
          <t>A &amp; K Waste Systems Inc.,  Boston, Massachusetts, United States</t>
        </is>
      </c>
      <c r="B12061" t="inlineStr">
        <is>
          <t>Collecting Point</t>
        </is>
      </c>
      <c r="C12061" t="inlineStr">
        <is>
          <t>Certificadora Gallega del Noroeste SL, Vilagarcia de Arousa-Pontevedra, ES</t>
        </is>
      </c>
      <c r="D12061" t="inlineStr">
        <is>
          <t>19.11.2026</t>
        </is>
      </c>
      <c r="E12061" t="inlineStr">
        <is>
          <t>United States</t>
        </is>
      </c>
    </row>
    <row r="12062">
      <c r="A12062" t="inlineStr">
        <is>
          <t>DONG GUAN LONGIEN OPTICAL COMPANY LTD,  zhangmutou town, dongguan, China</t>
        </is>
      </c>
      <c r="B12062" t="inlineStr">
        <is>
          <t>Processing Unit</t>
        </is>
      </c>
      <c r="C12062" t="inlineStr">
        <is>
          <t>RINA Services S.p.A., Genova, IT</t>
        </is>
      </c>
      <c r="D12062" t="inlineStr">
        <is>
          <t>19.11.2026</t>
        </is>
      </c>
      <c r="E12062" t="inlineStr">
        <is>
          <t>China</t>
        </is>
      </c>
    </row>
    <row r="12063">
      <c r="A12063" t="inlineStr">
        <is>
          <t>POET Grain, LLC,  Wichita, Kansas, United States</t>
        </is>
      </c>
      <c r="B12063" t="inlineStr">
        <is>
          <t>First Gathering Point</t>
        </is>
      </c>
      <c r="C12063" t="inlineStr">
        <is>
          <t>SCS Global Services, Emeryville, CA, US</t>
        </is>
      </c>
      <c r="D12063" t="inlineStr">
        <is>
          <t>19.11.2026</t>
        </is>
      </c>
      <c r="E12063" t="inlineStr">
        <is>
          <t>United States</t>
        </is>
      </c>
    </row>
    <row r="12064">
      <c r="A12064" t="inlineStr">
        <is>
          <t>DSAK GROUP INTERNATIONAL,  SHAH ALAM, Malaysia</t>
        </is>
      </c>
      <c r="B12064" t="inlineStr">
        <is>
          <t>Trader</t>
        </is>
      </c>
      <c r="C12064" t="inlineStr">
        <is>
          <t>Global Gateway Certifications Sdn Bhd, Ampang, MY</t>
        </is>
      </c>
      <c r="D12064" t="inlineStr">
        <is>
          <t>19.11.2026</t>
        </is>
      </c>
      <c r="E12064" t="inlineStr">
        <is>
          <t>Malaysia</t>
        </is>
      </c>
    </row>
    <row r="12065">
      <c r="A12065" t="inlineStr">
        <is>
          <t>ALOA SRL,  FIUMICINO, Italy</t>
        </is>
      </c>
      <c r="B12065" t="inlineStr">
        <is>
          <t>Trader with Storage, Proof of Compliance Trader</t>
        </is>
      </c>
      <c r="C12065" t="inlineStr">
        <is>
          <t>RINA Services S.p.A., Genova, IT</t>
        </is>
      </c>
      <c r="D12065" t="inlineStr">
        <is>
          <t>18.11.2026</t>
        </is>
      </c>
      <c r="E12065" t="inlineStr">
        <is>
          <t>Italy</t>
        </is>
      </c>
    </row>
    <row r="12066">
      <c r="A12066" t="inlineStr">
        <is>
          <t>Anhui Clean Tire Renewable Resources Science and Technology Co., Ltd.,  Anqing, Anhui, China</t>
        </is>
      </c>
      <c r="B12066" t="inlineStr">
        <is>
          <t>Processing Unit</t>
        </is>
      </c>
      <c r="C12066" t="inlineStr">
        <is>
          <t>Trans Certification and Inspection Sdn Bhd, Kuantan, MY</t>
        </is>
      </c>
      <c r="D12066" t="inlineStr">
        <is>
          <t>18.11.2026</t>
        </is>
      </c>
      <c r="E12066" t="inlineStr">
        <is>
          <t>China</t>
        </is>
      </c>
    </row>
    <row r="12067">
      <c r="A12067" t="inlineStr">
        <is>
          <t>Trafigura Energy (Zhejiang) Co.,Ltd,  Pudong, Shanghai, China</t>
        </is>
      </c>
      <c r="B12067" t="inlineStr">
        <is>
          <t>Trader with Storage</t>
        </is>
      </c>
      <c r="C12067" t="inlineStr">
        <is>
          <t>RINA Services S.p.A., Genova, IT</t>
        </is>
      </c>
      <c r="D12067" t="inlineStr">
        <is>
          <t>18.11.2026</t>
        </is>
      </c>
      <c r="E12067" t="inlineStr">
        <is>
          <t>China</t>
        </is>
      </c>
    </row>
    <row r="12068">
      <c r="A12068" t="inlineStr">
        <is>
          <t>ODO - Odbytové družstvo obilnín Trnava,  Trnava, Slovakia</t>
        </is>
      </c>
      <c r="B12068" t="inlineStr">
        <is>
          <t>First Gathering Point, Trader</t>
        </is>
      </c>
      <c r="C12068" t="inlineStr">
        <is>
          <t>United Registrar of Systems Polska Sp. z o.o., Wrocław, PL</t>
        </is>
      </c>
      <c r="D12068" t="inlineStr">
        <is>
          <t>18.11.2026</t>
        </is>
      </c>
      <c r="E12068" t="inlineStr">
        <is>
          <t>Slovakia</t>
        </is>
      </c>
    </row>
    <row r="12069">
      <c r="A12069" t="inlineStr">
        <is>
          <t>ODO - Odbytové družstvo obilnín Trnava,  Trnava, Slovakia</t>
        </is>
      </c>
      <c r="B12069" t="inlineStr">
        <is>
          <t>First Gathering Point, Trader</t>
        </is>
      </c>
      <c r="C12069" t="inlineStr">
        <is>
          <t>United Registrar of Systems Polska Sp. z o.o., Wrocław, PL</t>
        </is>
      </c>
      <c r="D12069" t="inlineStr">
        <is>
          <t>18.11.2026</t>
        </is>
      </c>
      <c r="E12069" t="inlineStr">
        <is>
          <t>Slovakia</t>
        </is>
      </c>
    </row>
    <row r="12070">
      <c r="A12070" t="inlineStr">
        <is>
          <t>La Molisana S.p.A.,  Campobasso, Italy</t>
        </is>
      </c>
      <c r="B12070" t="inlineStr">
        <is>
          <t>Processing Unit</t>
        </is>
      </c>
      <c r="C12070" t="inlineStr">
        <is>
          <t>DNV Business Assurance Sweden AB, Solna, SE</t>
        </is>
      </c>
      <c r="D12070" t="inlineStr">
        <is>
          <t>18.11.2026</t>
        </is>
      </c>
      <c r="E12070" t="inlineStr">
        <is>
          <t>Italy</t>
        </is>
      </c>
    </row>
    <row r="12071">
      <c r="A12071" t="inlineStr">
        <is>
          <t>Energy Chemicals Company - FZCO,   Dubai, Silicon Oasis, United Arab Emirates</t>
        </is>
      </c>
      <c r="B12071" t="inlineStr">
        <is>
          <t>Trader</t>
        </is>
      </c>
      <c r="C12071" t="inlineStr">
        <is>
          <t>Trans Certification and Inspection Sdn Bhd, Kuantan, MY</t>
        </is>
      </c>
      <c r="D12071" t="inlineStr">
        <is>
          <t>18.11.2026</t>
        </is>
      </c>
      <c r="E12071" t="inlineStr">
        <is>
          <t>United Arab Emirates</t>
        </is>
      </c>
    </row>
    <row r="12072">
      <c r="A12072" t="inlineStr">
        <is>
          <t>Gestione Residui s.r.l.,  Milano, Italy</t>
        </is>
      </c>
      <c r="B12072" t="inlineStr">
        <is>
          <t>Collecting Point, Trader</t>
        </is>
      </c>
      <c r="C12072" t="inlineStr">
        <is>
          <t>SGS Germany GmbH, Emstek, DE</t>
        </is>
      </c>
      <c r="D12072" t="inlineStr">
        <is>
          <t>18.11.2026</t>
        </is>
      </c>
      <c r="E12072" t="inlineStr">
        <is>
          <t>Italy</t>
        </is>
      </c>
    </row>
    <row r="12073">
      <c r="A12073" t="inlineStr">
        <is>
          <t>CNOOC TRADING (SINGAPORE) PTE. LTD.,  Singapore, Singapore</t>
        </is>
      </c>
      <c r="B12073" t="inlineStr">
        <is>
          <t>Trader</t>
        </is>
      </c>
      <c r="C12073" t="inlineStr">
        <is>
          <t>Double Helix Tracking Technologies Pte Ltd, Singapore, SG</t>
        </is>
      </c>
      <c r="D12073" t="inlineStr">
        <is>
          <t>18.11.2026</t>
        </is>
      </c>
      <c r="E12073" t="inlineStr">
        <is>
          <t>Singapore</t>
        </is>
      </c>
    </row>
    <row r="12074">
      <c r="A12074" t="inlineStr">
        <is>
          <t>CNOOC TRADING (SINGAPORE) PTE. LTD.,  Singapore, Singapore</t>
        </is>
      </c>
      <c r="B12074" t="inlineStr">
        <is>
          <t>Trader</t>
        </is>
      </c>
      <c r="C12074" t="inlineStr">
        <is>
          <t>Double Helix Tracking Technologies Pte Ltd, Singapore, SG</t>
        </is>
      </c>
      <c r="D12074" t="inlineStr">
        <is>
          <t>18.11.2026</t>
        </is>
      </c>
      <c r="E12074" t="inlineStr">
        <is>
          <t>Singapore</t>
        </is>
      </c>
    </row>
    <row r="12075">
      <c r="A12075" t="inlineStr">
        <is>
          <t>CNOOC TRADING (SINGAPORE) PTE. LTD.,  Singapore, Singapore</t>
        </is>
      </c>
      <c r="B12075" t="inlineStr">
        <is>
          <t>Trader</t>
        </is>
      </c>
      <c r="C12075" t="inlineStr">
        <is>
          <t>Double Helix Tracking Technologies Pte Ltd, Singapore, SG</t>
        </is>
      </c>
      <c r="D12075" t="inlineStr">
        <is>
          <t>18.11.2026</t>
        </is>
      </c>
      <c r="E12075" t="inlineStr">
        <is>
          <t>Singapore</t>
        </is>
      </c>
    </row>
    <row r="12076">
      <c r="A12076" t="inlineStr">
        <is>
          <t>Rosneft Deutschland GmbH,  Berlin, Germany</t>
        </is>
      </c>
      <c r="B12076" t="inlineStr">
        <is>
          <t>Trader with Storage, Proof of Compliance Trader</t>
        </is>
      </c>
      <c r="C12076" t="inlineStr">
        <is>
          <t>SGS Germany GmbH, Emstek, DE</t>
        </is>
      </c>
      <c r="D12076" t="inlineStr">
        <is>
          <t>18.11.2026</t>
        </is>
      </c>
      <c r="E12076" t="inlineStr">
        <is>
          <t>Germany</t>
        </is>
      </c>
    </row>
    <row r="12077">
      <c r="A12077" t="inlineStr">
        <is>
          <t>Nantong Haomeng Eco-Technologies Co., Ltd.,  Haimen City, Jiangsu, China</t>
        </is>
      </c>
      <c r="B12077" t="inlineStr">
        <is>
          <t>Trader with Storage</t>
        </is>
      </c>
      <c r="C12077" t="inlineStr">
        <is>
          <t>RINA Services S.p.A., Genova, IT</t>
        </is>
      </c>
      <c r="D12077" t="inlineStr">
        <is>
          <t>18.11.2026</t>
        </is>
      </c>
      <c r="E12077" t="inlineStr">
        <is>
          <t>China</t>
        </is>
      </c>
    </row>
    <row r="12078">
      <c r="A12078" t="inlineStr">
        <is>
          <t>PT Unilever Oleochemical Indonesia,  Bosar Maligas, Indonesia</t>
        </is>
      </c>
      <c r="B12078" t="inlineStr">
        <is>
          <t>Point of Origin</t>
        </is>
      </c>
      <c r="C12078" t="inlineStr">
        <is>
          <t>PT Intertek Utama Services, Jakarta, ID</t>
        </is>
      </c>
      <c r="D12078" t="inlineStr">
        <is>
          <t>18.11.2026</t>
        </is>
      </c>
      <c r="E12078" t="inlineStr">
        <is>
          <t>Indonesia</t>
        </is>
      </c>
    </row>
    <row r="12079">
      <c r="A12079" t="inlineStr">
        <is>
          <t>Dongguan Ce Link Limited,  Dongguan City, China</t>
        </is>
      </c>
      <c r="B12079" t="inlineStr">
        <is>
          <t>Final Product Refinement</t>
        </is>
      </c>
      <c r="C12079" t="inlineStr">
        <is>
          <t>Extensive Standard Technical Services Co., Ltd., Hong Kong, CN</t>
        </is>
      </c>
      <c r="D12079" t="inlineStr">
        <is>
          <t>18.11.2026</t>
        </is>
      </c>
      <c r="E12079" t="inlineStr">
        <is>
          <t>China</t>
        </is>
      </c>
    </row>
    <row r="12080">
      <c r="A12080" t="inlineStr">
        <is>
          <t>IOI Commodity Trading Sdn Bhd,  Putrajaya, Malaysia</t>
        </is>
      </c>
      <c r="B12080" t="inlineStr">
        <is>
          <t>Trader with Storage</t>
        </is>
      </c>
      <c r="C12080" t="inlineStr">
        <is>
          <t>PT Intertek Utama Services, Jakarta, ID</t>
        </is>
      </c>
      <c r="D12080" t="inlineStr">
        <is>
          <t>18.11.2026</t>
        </is>
      </c>
      <c r="E12080" t="inlineStr">
        <is>
          <t>Malaysia</t>
        </is>
      </c>
    </row>
    <row r="12081">
      <c r="A12081" t="inlineStr">
        <is>
          <t>Zhejiang University Agricultural Sci-Tech Park Co., Ltd.,  Hangzhou (ZJ), China</t>
        </is>
      </c>
      <c r="B12081" t="inlineStr">
        <is>
          <t>Trader</t>
        </is>
      </c>
      <c r="C12081" t="inlineStr">
        <is>
          <t>RINA Services S.p.A., Genova, IT</t>
        </is>
      </c>
      <c r="D12081" t="inlineStr">
        <is>
          <t>18.11.2026</t>
        </is>
      </c>
      <c r="E12081" t="inlineStr">
        <is>
          <t>China</t>
        </is>
      </c>
    </row>
    <row r="12082">
      <c r="A12082" t="inlineStr">
        <is>
          <t>Mercantil Comercial S.A. - Complejo Agro Industrial S.A. (CAIASA),  Villeta, Paraguay</t>
        </is>
      </c>
      <c r="B12082" t="inlineStr">
        <is>
          <t>Trader with Storage, Processing Unit</t>
        </is>
      </c>
      <c r="C12082" t="inlineStr">
        <is>
          <t>Control Union Certifications Germany GmbH, Berlin, DE</t>
        </is>
      </c>
      <c r="D12082" t="inlineStr">
        <is>
          <t>18.11.2026</t>
        </is>
      </c>
      <c r="E12082" t="inlineStr">
        <is>
          <t>Paraguay</t>
        </is>
      </c>
    </row>
    <row r="12083">
      <c r="A12083" t="inlineStr">
        <is>
          <t>Arcoplex Group,  Pontirolo Nuovo, Italy</t>
        </is>
      </c>
      <c r="B12083" t="inlineStr">
        <is>
          <t>Trader with Storage</t>
        </is>
      </c>
      <c r="C12083" t="inlineStr">
        <is>
          <t>Certiquality srl, Milano, IT</t>
        </is>
      </c>
      <c r="D12083" t="inlineStr">
        <is>
          <t>18.11.2026</t>
        </is>
      </c>
      <c r="E12083" t="inlineStr">
        <is>
          <t>Italy</t>
        </is>
      </c>
    </row>
    <row r="12084">
      <c r="A12084" t="inlineStr">
        <is>
          <t>Taghleef Industries,  Wodonga, Australia</t>
        </is>
      </c>
      <c r="B12084" t="inlineStr">
        <is>
          <t>Trader with Storage, Processing Unit</t>
        </is>
      </c>
      <c r="C12084" t="inlineStr">
        <is>
          <t>SCS Global Services, Emeryville, CA, US</t>
        </is>
      </c>
      <c r="D12084" t="inlineStr">
        <is>
          <t>18.11.2026</t>
        </is>
      </c>
      <c r="E12084" t="inlineStr">
        <is>
          <t>Australia</t>
        </is>
      </c>
    </row>
    <row r="12085">
      <c r="A12085" t="inlineStr">
        <is>
          <t>Denkapolymer Company Limited Katori Factory,  Tako-machi, Katori-gun, Chiba, Japan</t>
        </is>
      </c>
      <c r="B12085" t="inlineStr">
        <is>
          <t>Processing Unit, Warehouse</t>
        </is>
      </c>
      <c r="C12085" t="inlineStr">
        <is>
          <t>SGS Germany GmbH, Emstek, DE</t>
        </is>
      </c>
      <c r="D12085" t="inlineStr">
        <is>
          <t>18.11.2026</t>
        </is>
      </c>
      <c r="E12085" t="inlineStr">
        <is>
          <t>Japan</t>
        </is>
      </c>
    </row>
    <row r="12086">
      <c r="A12086" t="inlineStr">
        <is>
          <t>GEHR Kunststoffwerk GmbH &amp; Co. KG,  Mannheim, Germany</t>
        </is>
      </c>
      <c r="B12086" t="inlineStr">
        <is>
          <t>Processing Unit</t>
        </is>
      </c>
      <c r="C12086" t="inlineStr">
        <is>
          <t>SGS Germany GmbH, Emstek, DE</t>
        </is>
      </c>
      <c r="D12086" t="inlineStr">
        <is>
          <t>18.11.2026</t>
        </is>
      </c>
      <c r="E12086" t="inlineStr">
        <is>
          <t>Germany</t>
        </is>
      </c>
    </row>
    <row r="12087">
      <c r="A12087" t="inlineStr">
        <is>
          <t>Moltech Australia PTY LTD,  Tullamarine, Australia</t>
        </is>
      </c>
      <c r="B12087" t="inlineStr">
        <is>
          <t>Trader</t>
        </is>
      </c>
      <c r="C12087" t="inlineStr">
        <is>
          <t>PT Mutuagung Lestari, Depok, ID</t>
        </is>
      </c>
      <c r="D12087" t="inlineStr">
        <is>
          <t>18.11.2026</t>
        </is>
      </c>
      <c r="E12087" t="inlineStr">
        <is>
          <t>Australia</t>
        </is>
      </c>
    </row>
    <row r="12088">
      <c r="A12088" t="inlineStr">
        <is>
          <t>ULTRAX ENERGY FZCO,  Dubai Silicon Oasis, United Arab Emirates</t>
        </is>
      </c>
      <c r="B12088" t="inlineStr">
        <is>
          <t>Trader</t>
        </is>
      </c>
      <c r="C12088" t="inlineStr">
        <is>
          <t>Eurocert SA, Metamorfosi, Athens, GR</t>
        </is>
      </c>
      <c r="D12088" t="inlineStr">
        <is>
          <t>18.11.2026</t>
        </is>
      </c>
      <c r="E12088" t="inlineStr">
        <is>
          <t>United Arab Emirates</t>
        </is>
      </c>
    </row>
    <row r="12089">
      <c r="A12089" t="inlineStr">
        <is>
          <t>LIANMEI TOYS MANUFACTURING COMPANY LIMITED,  Hong Kong SAR, China</t>
        </is>
      </c>
      <c r="B12089" t="inlineStr">
        <is>
          <t>Trader</t>
        </is>
      </c>
      <c r="C12089" t="inlineStr">
        <is>
          <t>PT Intertek Utama Services, Jakarta, ID</t>
        </is>
      </c>
      <c r="D12089" t="inlineStr">
        <is>
          <t>18.11.2026</t>
        </is>
      </c>
      <c r="E12089" t="inlineStr">
        <is>
          <t>China</t>
        </is>
      </c>
    </row>
    <row r="12090">
      <c r="A12090" t="inlineStr">
        <is>
          <t>NESPALM SDN. BHD.,  KULAI, Malaysia</t>
        </is>
      </c>
      <c r="B12090" t="inlineStr">
        <is>
          <t>Collecting Point, Trader with Storage</t>
        </is>
      </c>
      <c r="C12090" t="inlineStr">
        <is>
          <t>PT Intertek Utama Services, Jakarta, ID</t>
        </is>
      </c>
      <c r="D12090" t="inlineStr">
        <is>
          <t>18.11.2026</t>
        </is>
      </c>
      <c r="E12090" t="inlineStr">
        <is>
          <t>Malaysia</t>
        </is>
      </c>
    </row>
    <row r="12091">
      <c r="A12091" t="inlineStr">
        <is>
          <t>KANEKA PASTE POLYMERS SDN. BHD.,  KUANTAN, Malaysia</t>
        </is>
      </c>
      <c r="B12091" t="inlineStr">
        <is>
          <t>Processing Unit</t>
        </is>
      </c>
      <c r="C12091" t="inlineStr">
        <is>
          <t>Trans Certification and Inspection Sdn Bhd, Kuantan, MY</t>
        </is>
      </c>
      <c r="D12091" t="inlineStr">
        <is>
          <t>18.11.2026</t>
        </is>
      </c>
      <c r="E12091" t="inlineStr">
        <is>
          <t>Malaysia</t>
        </is>
      </c>
    </row>
    <row r="12092">
      <c r="A12092" t="inlineStr">
        <is>
          <t>PT LAUTAN SAWIT MAS,  Labuhan Batu Selatan, Indonesia</t>
        </is>
      </c>
      <c r="B12092" t="inlineStr">
        <is>
          <t>Point of Origin</t>
        </is>
      </c>
      <c r="C12092" t="inlineStr">
        <is>
          <t>PT. Qualitas Sertifikasi Indonesia, Jakarta, ID</t>
        </is>
      </c>
      <c r="D12092" t="inlineStr">
        <is>
          <t>18.11.2026</t>
        </is>
      </c>
      <c r="E12092" t="inlineStr">
        <is>
          <t>Indonesia</t>
        </is>
      </c>
    </row>
    <row r="12093">
      <c r="A12093" t="inlineStr">
        <is>
          <t>TRAYO LINK GENERAL TRADING L.L.C,  Dubai, The United Arab Emirates</t>
        </is>
      </c>
      <c r="B12093" t="inlineStr">
        <is>
          <t>Collecting Point</t>
        </is>
      </c>
      <c r="C12093" t="inlineStr">
        <is>
          <t>Eurocert SA, Metamorfosi, Athens, GR</t>
        </is>
      </c>
      <c r="D12093" t="inlineStr">
        <is>
          <t>18.11.2026</t>
        </is>
      </c>
      <c r="E12093" t="inlineStr">
        <is>
          <t>The United Arab Emirates</t>
        </is>
      </c>
    </row>
    <row r="12094">
      <c r="A12094" t="inlineStr">
        <is>
          <t>KILANG SAWIRA MAKMUR SDN BHD,  ROMPIN, Malaysia</t>
        </is>
      </c>
      <c r="B12094" t="inlineStr">
        <is>
          <t>Point of Origin</t>
        </is>
      </c>
      <c r="C12094" t="inlineStr">
        <is>
          <t>Control Union Poland Sp. z o.o., Zielona Gora, PL</t>
        </is>
      </c>
      <c r="D12094" t="inlineStr">
        <is>
          <t>18.11.2026</t>
        </is>
      </c>
      <c r="E12094" t="inlineStr">
        <is>
          <t>Malaysia</t>
        </is>
      </c>
    </row>
    <row r="12095">
      <c r="A12095" t="inlineStr">
        <is>
          <t>Prosper Capital Holdings Sdn Bhd,  Bandar Seri Jempol, Malaysia</t>
        </is>
      </c>
      <c r="B12095" t="inlineStr">
        <is>
          <t>Point of Origin</t>
        </is>
      </c>
      <c r="C12095" t="inlineStr">
        <is>
          <t>Control Union Poland Sp. z o.o., Zielona Gora, PL</t>
        </is>
      </c>
      <c r="D12095" t="inlineStr">
        <is>
          <t>18.11.2026</t>
        </is>
      </c>
      <c r="E12095" t="inlineStr">
        <is>
          <t>Malaysia</t>
        </is>
      </c>
    </row>
    <row r="12096">
      <c r="A12096" t="inlineStr">
        <is>
          <t>D.M.B. GESTIÓN DE RESIDUOS S.L.,  Palma de Mallorca , Illes Balears, Spain</t>
        </is>
      </c>
      <c r="B12096" t="inlineStr">
        <is>
          <t>Collecting Point, Trader with Storage</t>
        </is>
      </c>
      <c r="C12096" t="inlineStr">
        <is>
          <t>RINA Services S.p.A., Genova, IT</t>
        </is>
      </c>
      <c r="D12096" t="inlineStr">
        <is>
          <t>18.11.2026</t>
        </is>
      </c>
      <c r="E12096" t="inlineStr">
        <is>
          <t>Spain</t>
        </is>
      </c>
    </row>
    <row r="12097">
      <c r="A12097" t="inlineStr">
        <is>
          <t>AAK TOGO SASU,  Lomé, Togo</t>
        </is>
      </c>
      <c r="B12097" t="inlineStr">
        <is>
          <t>First Gathering Point</t>
        </is>
      </c>
      <c r="C12097" t="inlineStr">
        <is>
          <t>SGS Germany GmbH, Emstek, DE</t>
        </is>
      </c>
      <c r="D12097" t="inlineStr">
        <is>
          <t>17.11.2026</t>
        </is>
      </c>
      <c r="E12097" t="inlineStr">
        <is>
          <t>Togo</t>
        </is>
      </c>
    </row>
    <row r="12098">
      <c r="A12098" t="inlineStr">
        <is>
          <t>P.G.TRADE, spol. s r.o.,  Dvory nad Žitavou, Slovakia</t>
        </is>
      </c>
      <c r="B12098" t="inlineStr">
        <is>
          <t>Collecting Point, First Gathering Point, Processing Unit</t>
        </is>
      </c>
      <c r="C12098" t="inlineStr">
        <is>
          <t>United Registrar of Systems Polska Sp. z o.o., Wrocław, PL</t>
        </is>
      </c>
      <c r="D12098" t="inlineStr">
        <is>
          <t>17.11.2026</t>
        </is>
      </c>
      <c r="E12098" t="inlineStr">
        <is>
          <t>Slovakia</t>
        </is>
      </c>
    </row>
    <row r="12099">
      <c r="A12099" t="inlineStr">
        <is>
          <t>VIBA,  TRADATE, Italy</t>
        </is>
      </c>
      <c r="B12099" t="inlineStr">
        <is>
          <t>Processing Unit</t>
        </is>
      </c>
      <c r="C12099" t="inlineStr">
        <is>
          <t>IIP S.r.l., Monza, IT</t>
        </is>
      </c>
      <c r="D12099" t="inlineStr">
        <is>
          <t>17.11.2026</t>
        </is>
      </c>
      <c r="E12099" t="inlineStr">
        <is>
          <t>Italy</t>
        </is>
      </c>
    </row>
    <row r="12100">
      <c r="A12100" t="inlineStr">
        <is>
          <t>BUNGE AGRIBUSINESS IBERICA, S.L.,  Madrid, Spain</t>
        </is>
      </c>
      <c r="B12100" t="inlineStr">
        <is>
          <t>First Gathering Point, Trader with Storage</t>
        </is>
      </c>
      <c r="C12100" t="inlineStr">
        <is>
          <t>Control Union Poland Sp. z o.o., Zielona Gora, PL</t>
        </is>
      </c>
      <c r="D12100" t="inlineStr">
        <is>
          <t>17.11.2026</t>
        </is>
      </c>
      <c r="E12100" t="inlineStr">
        <is>
          <t>Spain</t>
        </is>
      </c>
    </row>
    <row r="12101">
      <c r="A12101" t="inlineStr">
        <is>
          <t>Borealis GmbH,  Vienna, Austria</t>
        </is>
      </c>
      <c r="B12101" t="inlineStr">
        <is>
          <t>Trader with Storage</t>
        </is>
      </c>
      <c r="C12101" t="inlineStr">
        <is>
          <t>SGS Germany GmbH, Emstek, DE</t>
        </is>
      </c>
      <c r="D12101" t="inlineStr">
        <is>
          <t>17.11.2026</t>
        </is>
      </c>
      <c r="E12101" t="inlineStr">
        <is>
          <t>Austria</t>
        </is>
      </c>
    </row>
    <row r="12102">
      <c r="A12102" t="inlineStr">
        <is>
          <t>Al Harameen Oleochemicals,  10th of Ramadan industrial, Egypt</t>
        </is>
      </c>
      <c r="B12102" t="inlineStr">
        <is>
          <t>Collecting Point, Processing Unit, Trader with Storage</t>
        </is>
      </c>
      <c r="C12102" t="inlineStr">
        <is>
          <t>SGS Germany GmbH, Emstek, DE</t>
        </is>
      </c>
      <c r="D12102" t="inlineStr">
        <is>
          <t>17.11.2026</t>
        </is>
      </c>
      <c r="E12102" t="inlineStr">
        <is>
          <t>Egypt</t>
        </is>
      </c>
    </row>
    <row r="12103">
      <c r="A12103" t="inlineStr">
        <is>
          <t>GRENCO GRAINS ENERGY COMPANY SAS,  Canelones, Uruguay</t>
        </is>
      </c>
      <c r="B12103" t="inlineStr">
        <is>
          <t>Trader with Storage</t>
        </is>
      </c>
      <c r="C12103" t="inlineStr">
        <is>
          <t>Control Union Poland Sp. z o.o., Zielona Gora, PL</t>
        </is>
      </c>
      <c r="D12103" t="inlineStr">
        <is>
          <t>17.11.2026</t>
        </is>
      </c>
      <c r="E12103" t="inlineStr">
        <is>
          <t>Uruguay</t>
        </is>
      </c>
    </row>
    <row r="12104">
      <c r="A12104" t="inlineStr">
        <is>
          <t>Thelios USA,  Rutherford, United States</t>
        </is>
      </c>
      <c r="B12104" t="inlineStr">
        <is>
          <t>Trader with Storage</t>
        </is>
      </c>
      <c r="C12104" t="inlineStr">
        <is>
          <t>SCS Global Services, Emeryville, CA, US</t>
        </is>
      </c>
      <c r="D12104" t="inlineStr">
        <is>
          <t>17.11.2026</t>
        </is>
      </c>
      <c r="E12104" t="inlineStr">
        <is>
          <t>United States</t>
        </is>
      </c>
    </row>
    <row r="12105">
      <c r="A12105" t="inlineStr">
        <is>
          <t>Huizhou City Hesin New Energy Technology Co., Ltd.,  Huizhou City, China</t>
        </is>
      </c>
      <c r="B12105" t="inlineStr">
        <is>
          <t>Final Product Refinement</t>
        </is>
      </c>
      <c r="C12105" t="inlineStr">
        <is>
          <t>Extensive Standard Technical Services Co., Ltd., Hong Kong, CN</t>
        </is>
      </c>
      <c r="D12105" t="inlineStr">
        <is>
          <t>17.11.2026</t>
        </is>
      </c>
      <c r="E12105" t="inlineStr">
        <is>
          <t>China</t>
        </is>
      </c>
    </row>
    <row r="12106">
      <c r="A12106" t="inlineStr">
        <is>
          <t>Nordic Grain &amp; Seed A/S,  Aarhus C., Denmark</t>
        </is>
      </c>
      <c r="B12106" t="inlineStr">
        <is>
          <t>Trader</t>
        </is>
      </c>
      <c r="C12106" t="inlineStr">
        <is>
          <t>Baltic Control Certification, Risskov, DK</t>
        </is>
      </c>
      <c r="D12106" t="inlineStr">
        <is>
          <t>17.11.2026</t>
        </is>
      </c>
      <c r="E12106" t="inlineStr">
        <is>
          <t>Denmark</t>
        </is>
      </c>
    </row>
    <row r="12107">
      <c r="A12107" t="inlineStr">
        <is>
          <t>URBÁN és URBÁN Mezőgazdasági és Kereskedelmi Kft.,  Tiszaszentimre, Hungary</t>
        </is>
      </c>
      <c r="B12107" t="inlineStr">
        <is>
          <t>First Gathering Point, Trader</t>
        </is>
      </c>
      <c r="C12107" t="inlineStr">
        <is>
          <t>Control Union Certifications Germany GmbH, Berlin, DE</t>
        </is>
      </c>
      <c r="D12107" t="inlineStr">
        <is>
          <t>17.11.2026</t>
        </is>
      </c>
      <c r="E12107" t="inlineStr">
        <is>
          <t>Hungary</t>
        </is>
      </c>
    </row>
    <row r="12108">
      <c r="A12108" t="inlineStr">
        <is>
          <t>Petroineos Trading Limited,  London, United Kingdom</t>
        </is>
      </c>
      <c r="B12108" t="inlineStr">
        <is>
          <t>Trader with Storage, Proof of Compliance Trader</t>
        </is>
      </c>
      <c r="C12108" t="inlineStr">
        <is>
          <t>RINA Services S.p.A., Genova, IT</t>
        </is>
      </c>
      <c r="D12108" t="inlineStr">
        <is>
          <t>17.11.2026</t>
        </is>
      </c>
      <c r="E12108" t="inlineStr">
        <is>
          <t>United Kingdom</t>
        </is>
      </c>
    </row>
    <row r="12109">
      <c r="A12109" t="inlineStr">
        <is>
          <t>KRASNOPAVLIVSKYI KKHP,  Lozova, Ukraine</t>
        </is>
      </c>
      <c r="B12109" t="inlineStr">
        <is>
          <t>Farm / Plantation, Trader with Storage</t>
        </is>
      </c>
      <c r="C12109" t="inlineStr">
        <is>
          <t>Bureau Veritas Polska Sp. z o.o., Warsaw, PL</t>
        </is>
      </c>
      <c r="D12109" t="inlineStr">
        <is>
          <t>17.11.2026</t>
        </is>
      </c>
      <c r="E12109" t="inlineStr">
        <is>
          <t>Ukraine</t>
        </is>
      </c>
    </row>
    <row r="12110">
      <c r="A12110" t="inlineStr">
        <is>
          <t>PT Ivo Mas Tunggal,  Kota Dumai, Provinsi Riau, Indonesia</t>
        </is>
      </c>
      <c r="B12110" t="inlineStr">
        <is>
          <t>Point of Origin, Processing Unit, Trader with Storage</t>
        </is>
      </c>
      <c r="C12110" t="inlineStr">
        <is>
          <t>PT Intertek Utama Services, Jakarta, ID</t>
        </is>
      </c>
      <c r="D12110" t="inlineStr">
        <is>
          <t>17.11.2026</t>
        </is>
      </c>
      <c r="E12110" t="inlineStr">
        <is>
          <t>Indonesia</t>
        </is>
      </c>
    </row>
    <row r="12111">
      <c r="A12111" t="inlineStr">
        <is>
          <t>PT Gunung Pelawan Lestari,  Provinsi Bangka Belitung, Indonesia</t>
        </is>
      </c>
      <c r="B12111" t="inlineStr">
        <is>
          <t>First Gathering Point, Processing Unit</t>
        </is>
      </c>
      <c r="C12111" t="inlineStr">
        <is>
          <t>ASG Cert GmbH, Munich, DE</t>
        </is>
      </c>
      <c r="D12111" t="inlineStr">
        <is>
          <t>17.11.2026</t>
        </is>
      </c>
      <c r="E12111" t="inlineStr">
        <is>
          <t>Indonesia</t>
        </is>
      </c>
    </row>
    <row r="12112">
      <c r="A12112" t="inlineStr">
        <is>
          <t>PT Sinar Alam Permai,  Kalimantan Tengah Province, Indonesia</t>
        </is>
      </c>
      <c r="B12112" t="inlineStr">
        <is>
          <t>Point of Origin, Processing Unit, Trader with Storage, Warehouse</t>
        </is>
      </c>
      <c r="C12112" t="inlineStr">
        <is>
          <t>ASG Cert GmbH, Munich, DE</t>
        </is>
      </c>
      <c r="D12112" t="inlineStr">
        <is>
          <t>17.11.2026</t>
        </is>
      </c>
      <c r="E12112" t="inlineStr">
        <is>
          <t>Indonesia</t>
        </is>
      </c>
    </row>
    <row r="12113">
      <c r="A12113" t="inlineStr">
        <is>
          <t>PT Mustika Sembuluh (POM 1),  Kalimantan Tengah Province, Indonesia</t>
        </is>
      </c>
      <c r="B12113" t="inlineStr">
        <is>
          <t>Point of Origin</t>
        </is>
      </c>
      <c r="C12113" t="inlineStr">
        <is>
          <t>ASG Cert GmbH, Munich, DE</t>
        </is>
      </c>
      <c r="D12113" t="inlineStr">
        <is>
          <t>17.11.2026</t>
        </is>
      </c>
      <c r="E12113" t="inlineStr">
        <is>
          <t>Indonesia</t>
        </is>
      </c>
    </row>
    <row r="12114">
      <c r="A12114" t="inlineStr">
        <is>
          <t>PT Mustika Sembuluh (POM 2),  Kalimantan Tengah Province, Indonesia</t>
        </is>
      </c>
      <c r="B12114" t="inlineStr">
        <is>
          <t>Point of Origin</t>
        </is>
      </c>
      <c r="C12114" t="inlineStr">
        <is>
          <t>ASG Cert GmbH, Munich, DE</t>
        </is>
      </c>
      <c r="D12114" t="inlineStr">
        <is>
          <t>17.11.2026</t>
        </is>
      </c>
      <c r="E12114" t="inlineStr">
        <is>
          <t>Indonesia</t>
        </is>
      </c>
    </row>
    <row r="12115">
      <c r="A12115" t="inlineStr">
        <is>
          <t>PT Kerry Sawit Indonesia (POM 1),  Kalimantan Tengah Province, Indonesia</t>
        </is>
      </c>
      <c r="B12115" t="inlineStr">
        <is>
          <t>Point of Origin</t>
        </is>
      </c>
      <c r="C12115" t="inlineStr">
        <is>
          <t>ASG Cert GmbH, Munich, DE</t>
        </is>
      </c>
      <c r="D12115" t="inlineStr">
        <is>
          <t>17.11.2026</t>
        </is>
      </c>
      <c r="E12115" t="inlineStr">
        <is>
          <t>Indonesia</t>
        </is>
      </c>
    </row>
    <row r="12116">
      <c r="A12116" t="inlineStr">
        <is>
          <t>PT Kerry Sawit Indonesia (POM 2),  Kalimantan Tengah Province, Indonesia</t>
        </is>
      </c>
      <c r="B12116" t="inlineStr">
        <is>
          <t>Point of Origin</t>
        </is>
      </c>
      <c r="C12116" t="inlineStr">
        <is>
          <t>ASG Cert GmbH, Munich, DE</t>
        </is>
      </c>
      <c r="D12116" t="inlineStr">
        <is>
          <t>17.11.2026</t>
        </is>
      </c>
      <c r="E12116" t="inlineStr">
        <is>
          <t>Indonesia</t>
        </is>
      </c>
    </row>
    <row r="12117">
      <c r="A12117" t="inlineStr">
        <is>
          <t>PT Bumi Sawit Kencana,  Kalimantan Tengah Province, Indonesia</t>
        </is>
      </c>
      <c r="B12117" t="inlineStr">
        <is>
          <t>Point of Origin</t>
        </is>
      </c>
      <c r="C12117" t="inlineStr">
        <is>
          <t>ASG Cert GmbH, Munich, DE</t>
        </is>
      </c>
      <c r="D12117" t="inlineStr">
        <is>
          <t>17.11.2026</t>
        </is>
      </c>
      <c r="E12117" t="inlineStr">
        <is>
          <t>Indonesia</t>
        </is>
      </c>
    </row>
    <row r="12118">
      <c r="A12118" t="inlineStr">
        <is>
          <t>PT Mentaya Sawit Mas,  Kalimantan Tengah Province, Indonesia</t>
        </is>
      </c>
      <c r="B12118" t="inlineStr">
        <is>
          <t>Point of Origin</t>
        </is>
      </c>
      <c r="C12118" t="inlineStr">
        <is>
          <t>ASG Cert GmbH, Munich, DE</t>
        </is>
      </c>
      <c r="D12118" t="inlineStr">
        <is>
          <t>17.11.2026</t>
        </is>
      </c>
      <c r="E12118" t="inlineStr">
        <is>
          <t>Indonesia</t>
        </is>
      </c>
    </row>
    <row r="12119">
      <c r="A12119" t="inlineStr">
        <is>
          <t>PT Rimba Harapan Sakti,  Kalimantan Tengah Province, Indonesia</t>
        </is>
      </c>
      <c r="B12119" t="inlineStr">
        <is>
          <t>Point of Origin</t>
        </is>
      </c>
      <c r="C12119" t="inlineStr">
        <is>
          <t>ASG Cert GmbH, Munich, DE</t>
        </is>
      </c>
      <c r="D12119" t="inlineStr">
        <is>
          <t>17.11.2026</t>
        </is>
      </c>
      <c r="E12119" t="inlineStr">
        <is>
          <t>Indonesia</t>
        </is>
      </c>
    </row>
    <row r="12120">
      <c r="A12120" t="inlineStr">
        <is>
          <t>PT Karunia Kencana Permaisejati,  Kalimantan Tengah Province, Indonesia</t>
        </is>
      </c>
      <c r="B12120" t="inlineStr">
        <is>
          <t>Point of Origin</t>
        </is>
      </c>
      <c r="C12120" t="inlineStr">
        <is>
          <t>ASG Cert GmbH, Munich, DE</t>
        </is>
      </c>
      <c r="D12120" t="inlineStr">
        <is>
          <t>17.11.2026</t>
        </is>
      </c>
      <c r="E12120" t="inlineStr">
        <is>
          <t>Indonesia</t>
        </is>
      </c>
    </row>
    <row r="12121">
      <c r="A12121" t="inlineStr">
        <is>
          <t>PT Wilmar Nabati Indonesia,  Kalimantan Tengah Province, Indonesia</t>
        </is>
      </c>
      <c r="B12121" t="inlineStr">
        <is>
          <t>Trader with Storage, Warehouse</t>
        </is>
      </c>
      <c r="C12121" t="inlineStr">
        <is>
          <t>ASG Cert GmbH, Munich, DE</t>
        </is>
      </c>
      <c r="D12121" t="inlineStr">
        <is>
          <t>17.11.2026</t>
        </is>
      </c>
      <c r="E12121" t="inlineStr">
        <is>
          <t>Indonesia</t>
        </is>
      </c>
    </row>
    <row r="12122">
      <c r="A12122" t="inlineStr">
        <is>
          <t>PT Sarana Titian Permata (POM 1),  Kalimantan Tengah Province, Indonesia</t>
        </is>
      </c>
      <c r="B12122" t="inlineStr">
        <is>
          <t>Point of Origin</t>
        </is>
      </c>
      <c r="C12122" t="inlineStr">
        <is>
          <t>ASG Cert GmbH, Munich, DE</t>
        </is>
      </c>
      <c r="D12122" t="inlineStr">
        <is>
          <t>17.11.2026</t>
        </is>
      </c>
      <c r="E12122" t="inlineStr">
        <is>
          <t>Indonesia</t>
        </is>
      </c>
    </row>
    <row r="12123">
      <c r="A12123" t="inlineStr">
        <is>
          <t>PT Sarana Titian Permata (POM 2),  Kalimantan Tengah Province, Indonesia</t>
        </is>
      </c>
      <c r="B12123" t="inlineStr">
        <is>
          <t>Point of Origin</t>
        </is>
      </c>
      <c r="C12123" t="inlineStr">
        <is>
          <t>ASG Cert GmbH, Munich, DE</t>
        </is>
      </c>
      <c r="D12123" t="inlineStr">
        <is>
          <t>17.11.2026</t>
        </is>
      </c>
      <c r="E12123" t="inlineStr">
        <is>
          <t>Indonesia</t>
        </is>
      </c>
    </row>
    <row r="12124">
      <c r="A12124" t="inlineStr">
        <is>
          <t>FORMOSA CHEMICALS AND FIBRE CORP.,  Mailiao Township, Yunlin County, Taiwan</t>
        </is>
      </c>
      <c r="B12124" t="inlineStr">
        <is>
          <t>Processing Unit</t>
        </is>
      </c>
      <c r="C12124" t="inlineStr">
        <is>
          <t>Bureau Veritas Polska Sp. z o.o., Warsaw, PL</t>
        </is>
      </c>
      <c r="D12124" t="inlineStr">
        <is>
          <t>17.11.2026</t>
        </is>
      </c>
      <c r="E12124" t="inlineStr">
        <is>
          <t>Taiwan</t>
        </is>
      </c>
    </row>
    <row r="12125">
      <c r="A12125" t="inlineStr">
        <is>
          <t>Eurial Ultra Frais,  Riec SUR BELON, France</t>
        </is>
      </c>
      <c r="B12125" t="inlineStr">
        <is>
          <t>Final Product Refinement</t>
        </is>
      </c>
      <c r="C12125" t="inlineStr">
        <is>
          <t>Bureau Veritas Polska Sp. z o.o., Warsaw, PL</t>
        </is>
      </c>
      <c r="D12125" t="inlineStr">
        <is>
          <t>17.11.2026</t>
        </is>
      </c>
      <c r="E12125" t="inlineStr">
        <is>
          <t>France</t>
        </is>
      </c>
    </row>
    <row r="12126">
      <c r="A12126" t="inlineStr">
        <is>
          <t>Ecobio-Huile,  Groslay, France</t>
        </is>
      </c>
      <c r="B12126" t="inlineStr">
        <is>
          <t>Collecting Point</t>
        </is>
      </c>
      <c r="C12126" t="inlineStr">
        <is>
          <t>SGS Germany GmbH, Emstek, DE</t>
        </is>
      </c>
      <c r="D12126" t="inlineStr">
        <is>
          <t>17.11.2026</t>
        </is>
      </c>
      <c r="E12126" t="inlineStr">
        <is>
          <t>France</t>
        </is>
      </c>
    </row>
    <row r="12127">
      <c r="A12127" t="inlineStr">
        <is>
          <t>Fytoenergeia S.A.,  Paralimnio, Serres, Greece</t>
        </is>
      </c>
      <c r="B12127" t="inlineStr">
        <is>
          <t>First Gathering Point, Processing Unit, Point of Origin, Trader with Storage</t>
        </is>
      </c>
      <c r="C12127" t="inlineStr">
        <is>
          <t>QMSCERT S.A., Pylaia, Thessaloniki, GR</t>
        </is>
      </c>
      <c r="D12127" t="inlineStr">
        <is>
          <t>17.11.2026</t>
        </is>
      </c>
      <c r="E12127" t="inlineStr">
        <is>
          <t>Greece</t>
        </is>
      </c>
    </row>
    <row r="12128">
      <c r="A12128" t="inlineStr">
        <is>
          <t>Evervan ShuangFeng Footwear Co. Ltd,  Loudi, Hunan, China</t>
        </is>
      </c>
      <c r="B12128" t="inlineStr">
        <is>
          <t>Final Product Refinement, Processing Unit</t>
        </is>
      </c>
      <c r="C12128" t="inlineStr">
        <is>
          <t>China Quality Certification Centre Co., Ltd., Beijing, CN</t>
        </is>
      </c>
      <c r="D12128" t="inlineStr">
        <is>
          <t>17.11.2026</t>
        </is>
      </c>
      <c r="E12128" t="inlineStr">
        <is>
          <t>China</t>
        </is>
      </c>
    </row>
    <row r="12129">
      <c r="A12129" t="inlineStr">
        <is>
          <t>AXOIL ENERGY,  Esparreguera- Barcelona, Spain</t>
        </is>
      </c>
      <c r="B12129" t="inlineStr">
        <is>
          <t>Trader with Storage</t>
        </is>
      </c>
      <c r="C12129" t="inlineStr">
        <is>
          <t>Certificadora Gallega del Noroeste SL, Vilagarcia de Arousa-Pontevedra, ES</t>
        </is>
      </c>
      <c r="D12129" t="inlineStr">
        <is>
          <t>17.11.2026</t>
        </is>
      </c>
      <c r="E12129" t="inlineStr">
        <is>
          <t>Spain</t>
        </is>
      </c>
    </row>
    <row r="12130">
      <c r="A12130" t="inlineStr">
        <is>
          <t>Wenzhou Xipu Plastic Co. Ltd.,  Wenzhou City, Zhenjiang Province, China</t>
        </is>
      </c>
      <c r="B12130" t="inlineStr">
        <is>
          <t>Processing Unit</t>
        </is>
      </c>
      <c r="C12130" t="inlineStr">
        <is>
          <t>China Quality Certification Centre Co., Ltd., Beijing, CN</t>
        </is>
      </c>
      <c r="D12130" t="inlineStr">
        <is>
          <t>17.11.2026</t>
        </is>
      </c>
      <c r="E12130" t="inlineStr">
        <is>
          <t>China</t>
        </is>
      </c>
    </row>
    <row r="12131">
      <c r="A12131" t="inlineStr">
        <is>
          <t>TRIOWORLD Brive,  Brive La Gaillarde, France</t>
        </is>
      </c>
      <c r="B12131" t="inlineStr">
        <is>
          <t>Final Product Refinement</t>
        </is>
      </c>
      <c r="C12131" t="inlineStr">
        <is>
          <t>Control Union Certifications Germany GmbH, Berlin, DE</t>
        </is>
      </c>
      <c r="D12131" t="inlineStr">
        <is>
          <t>17.11.2026</t>
        </is>
      </c>
      <c r="E12131" t="inlineStr">
        <is>
          <t>France</t>
        </is>
      </c>
    </row>
    <row r="12132">
      <c r="A12132" t="inlineStr">
        <is>
          <t>SK Enmove Europe,  Amsterdam, Netherlands</t>
        </is>
      </c>
      <c r="B12132" t="inlineStr">
        <is>
          <t>Trader with Storage</t>
        </is>
      </c>
      <c r="C12132" t="inlineStr">
        <is>
          <t>Control Union Certifications Germany GmbH, Berlin, DE</t>
        </is>
      </c>
      <c r="D12132" t="inlineStr">
        <is>
          <t>17.11.2026</t>
        </is>
      </c>
      <c r="E12132" t="inlineStr">
        <is>
          <t>Netherlands</t>
        </is>
      </c>
    </row>
    <row r="12133">
      <c r="A12133" t="inlineStr">
        <is>
          <t>Mondi Szada,  Szada, Hungary</t>
        </is>
      </c>
      <c r="B12133" t="inlineStr">
        <is>
          <t>Processing Unit</t>
        </is>
      </c>
      <c r="C12133" t="inlineStr">
        <is>
          <t>SGS Germany GmbH, Emstek, DE</t>
        </is>
      </c>
      <c r="D12133" t="inlineStr">
        <is>
          <t>17.11.2026</t>
        </is>
      </c>
      <c r="E12133" t="inlineStr">
        <is>
          <t>Hungary</t>
        </is>
      </c>
    </row>
    <row r="12134">
      <c r="A12134" t="inlineStr">
        <is>
          <t>PT Rigunas Agri Utama,  Indragiri Hulu Regency, Riau, Indonesia</t>
        </is>
      </c>
      <c r="B12134" t="inlineStr">
        <is>
          <t>Point of Origin</t>
        </is>
      </c>
      <c r="C12134" t="inlineStr">
        <is>
          <t>SGS Germany GmbH, Emstek, DE</t>
        </is>
      </c>
      <c r="D12134" t="inlineStr">
        <is>
          <t>17.11.2026</t>
        </is>
      </c>
      <c r="E12134" t="inlineStr">
        <is>
          <t>Indonesia</t>
        </is>
      </c>
    </row>
    <row r="12135">
      <c r="A12135" t="inlineStr">
        <is>
          <t>Ecoplast Kunststoffrecycling GmbH,  Wildon, Austria</t>
        </is>
      </c>
      <c r="B12135" t="inlineStr">
        <is>
          <t>Point of Origin</t>
        </is>
      </c>
      <c r="C12135" t="inlineStr">
        <is>
          <t>TÜV SÜD Industrie Service GmbH, München, DE</t>
        </is>
      </c>
      <c r="D12135" t="inlineStr">
        <is>
          <t>17.11.2026</t>
        </is>
      </c>
      <c r="E12135" t="inlineStr">
        <is>
          <t>Austria</t>
        </is>
      </c>
    </row>
    <row r="12136">
      <c r="A12136" t="inlineStr">
        <is>
          <t>TIGA BERSAUDARA SEUNEUAM JAYA,  Kab. Nagan Raya, Indonesia</t>
        </is>
      </c>
      <c r="B12136" t="inlineStr">
        <is>
          <t>Point of Origin</t>
        </is>
      </c>
      <c r="C12136" t="inlineStr">
        <is>
          <t>PT SBC Asia Sertifikasi, Kebumen, ID</t>
        </is>
      </c>
      <c r="D12136" t="inlineStr">
        <is>
          <t>17.11.2026</t>
        </is>
      </c>
      <c r="E12136" t="inlineStr">
        <is>
          <t>Indonesia</t>
        </is>
      </c>
    </row>
    <row r="12137">
      <c r="A12137" t="inlineStr">
        <is>
          <t>HIJAU PRIMA ABADI,  T.MORAWA, Indonesia</t>
        </is>
      </c>
      <c r="B12137" t="inlineStr">
        <is>
          <t>Point of Origin</t>
        </is>
      </c>
      <c r="C12137" t="inlineStr">
        <is>
          <t>PT. Qualitas Sertifikasi Indonesia, Jakarta, ID</t>
        </is>
      </c>
      <c r="D12137" t="inlineStr">
        <is>
          <t>17.11.2026</t>
        </is>
      </c>
      <c r="E12137" t="inlineStr">
        <is>
          <t>Indonesia</t>
        </is>
      </c>
    </row>
    <row r="12138">
      <c r="A12138" t="inlineStr">
        <is>
          <t>Lipids Terminal Sdn Bhd,  Pulau Indah, Port Klang, Malaysia</t>
        </is>
      </c>
      <c r="B12138" t="inlineStr">
        <is>
          <t>Warehouse</t>
        </is>
      </c>
      <c r="C12138" t="inlineStr">
        <is>
          <t>Bureau Veritas Polska Sp. z o.o., Warsaw, PL</t>
        </is>
      </c>
      <c r="D12138" t="inlineStr">
        <is>
          <t>17.11.2026</t>
        </is>
      </c>
      <c r="E12138" t="inlineStr">
        <is>
          <t>Malaysia</t>
        </is>
      </c>
    </row>
    <row r="12139">
      <c r="A12139" t="inlineStr">
        <is>
          <t>Lipids Terminal Sdn Bhd,  Pulau Indah, Port Klang, Malaysia</t>
        </is>
      </c>
      <c r="B12139" t="inlineStr">
        <is>
          <t>Warehouse</t>
        </is>
      </c>
      <c r="C12139" t="inlineStr">
        <is>
          <t>Bureau Veritas Polska Sp. z o.o., Warsaw, PL</t>
        </is>
      </c>
      <c r="D12139" t="inlineStr">
        <is>
          <t>17.11.2026</t>
        </is>
      </c>
      <c r="E12139" t="inlineStr">
        <is>
          <t>Malaysia</t>
        </is>
      </c>
    </row>
    <row r="12140">
      <c r="A12140" t="inlineStr">
        <is>
          <t>Allnex (Thailand) Ltd,  WHA Industrial Estate, Huay Pong Muang, Rayong, Thailand</t>
        </is>
      </c>
      <c r="B12140" t="inlineStr">
        <is>
          <t>Processing Unit</t>
        </is>
      </c>
      <c r="C12140" t="inlineStr">
        <is>
          <t>SGS Germany GmbH, Emstek, DE</t>
        </is>
      </c>
      <c r="D12140" t="inlineStr">
        <is>
          <t>17.11.2026</t>
        </is>
      </c>
      <c r="E12140" t="inlineStr">
        <is>
          <t>Thailand</t>
        </is>
      </c>
    </row>
    <row r="12141">
      <c r="A12141" t="inlineStr">
        <is>
          <t>Rendertech Georgia LLC,  Tbilisi, Georgia</t>
        </is>
      </c>
      <c r="B12141" t="inlineStr">
        <is>
          <t>Collecting Point, Processing Unit</t>
        </is>
      </c>
      <c r="C12141" t="inlineStr">
        <is>
          <t>Aciter Genelab LLC, Odessa, UA</t>
        </is>
      </c>
      <c r="D12141" t="inlineStr">
        <is>
          <t>17.11.2026</t>
        </is>
      </c>
      <c r="E12141" t="inlineStr">
        <is>
          <t>Georgia</t>
        </is>
      </c>
    </row>
    <row r="12142">
      <c r="A12142" t="inlineStr">
        <is>
          <t>Zhejiang Tianwei Umbrella Co., Ltd.,  Shangyu, Zhejiang Province, China</t>
        </is>
      </c>
      <c r="B12142" t="inlineStr">
        <is>
          <t>Processing Unit</t>
        </is>
      </c>
      <c r="C12142" t="inlineStr">
        <is>
          <t>SCS Global Services, Emeryville, CA, US</t>
        </is>
      </c>
      <c r="D12142" t="inlineStr">
        <is>
          <t>17.11.2026</t>
        </is>
      </c>
      <c r="E12142" t="inlineStr">
        <is>
          <t>China</t>
        </is>
      </c>
    </row>
    <row r="12143">
      <c r="A12143" t="inlineStr">
        <is>
          <t>Jiangsu Furun Petrochemical Co., Ltd,  LianYungang, China</t>
        </is>
      </c>
      <c r="B12143" t="inlineStr">
        <is>
          <t>Trader with Storage</t>
        </is>
      </c>
      <c r="C12143" t="inlineStr">
        <is>
          <t>CTI Certification Co. Ltd, Shenzhen, CN</t>
        </is>
      </c>
      <c r="D12143" t="inlineStr">
        <is>
          <t>17.11.2026</t>
        </is>
      </c>
      <c r="E12143" t="inlineStr">
        <is>
          <t>China</t>
        </is>
      </c>
    </row>
    <row r="12144">
      <c r="A12144" t="inlineStr">
        <is>
          <t>PT. Minyak Nusantara Mandiri,  Pekanbaru, Indonesia</t>
        </is>
      </c>
      <c r="B12144" t="inlineStr">
        <is>
          <t>Trader</t>
        </is>
      </c>
      <c r="C12144" t="inlineStr">
        <is>
          <t>PT TSI Sertifikasi Internasional, Jakarta Selatang, ID</t>
        </is>
      </c>
      <c r="D12144" t="inlineStr">
        <is>
          <t>17.11.2026</t>
        </is>
      </c>
      <c r="E12144" t="inlineStr">
        <is>
          <t>Indonesia</t>
        </is>
      </c>
    </row>
    <row r="12145">
      <c r="A12145" t="inlineStr">
        <is>
          <t>Synthomer Trading Ltd,  Harlow, United Kingdom</t>
        </is>
      </c>
      <c r="B12145" t="inlineStr">
        <is>
          <t>Logistics Center, Trader with Storage</t>
        </is>
      </c>
      <c r="C12145" t="inlineStr">
        <is>
          <t>SGS Germany GmbH, Emstek, DE</t>
        </is>
      </c>
      <c r="D12145" t="inlineStr">
        <is>
          <t>17.11.2026</t>
        </is>
      </c>
      <c r="E12145" t="inlineStr">
        <is>
          <t>United Kingdom</t>
        </is>
      </c>
    </row>
    <row r="12146">
      <c r="A12146" t="inlineStr">
        <is>
          <t>Oliehandel Klaas de Boer B.V.,  Harlingen, Netherlands</t>
        </is>
      </c>
      <c r="B12146" t="inlineStr">
        <is>
          <t>Trader with Storage</t>
        </is>
      </c>
      <c r="C12146" t="inlineStr">
        <is>
          <t>DEKRA Certification B.V., Arnhem, NL</t>
        </is>
      </c>
      <c r="D12146" t="inlineStr">
        <is>
          <t>17.11.2026</t>
        </is>
      </c>
      <c r="E12146" t="inlineStr">
        <is>
          <t>Netherlands</t>
        </is>
      </c>
    </row>
    <row r="12147">
      <c r="A12147" t="inlineStr">
        <is>
          <t>Oliehandel Klaas de Boer B.V.,  Harlingen, Netherlands</t>
        </is>
      </c>
      <c r="B12147" t="inlineStr">
        <is>
          <t>Trader with Storage</t>
        </is>
      </c>
      <c r="C12147" t="inlineStr">
        <is>
          <t>DEKRA Certification B.V., Arnhem, NL</t>
        </is>
      </c>
      <c r="D12147" t="inlineStr">
        <is>
          <t>17.11.2026</t>
        </is>
      </c>
      <c r="E12147" t="inlineStr">
        <is>
          <t>Netherlands</t>
        </is>
      </c>
    </row>
    <row r="12148">
      <c r="A12148" t="inlineStr">
        <is>
          <t>Brevodisseia Valorização de Residuos,  Beiriz, Póvoa de Varzim, Portugal</t>
        </is>
      </c>
      <c r="B12148" t="inlineStr">
        <is>
          <t>Collecting Point</t>
        </is>
      </c>
      <c r="C12148" t="inlineStr">
        <is>
          <t>Certificadora Gallega del Noroeste SL, Vilagarcia de Arousa-Pontevedra, ES</t>
        </is>
      </c>
      <c r="D12148" t="inlineStr">
        <is>
          <t>17.11.2026</t>
        </is>
      </c>
      <c r="E12148" t="inlineStr">
        <is>
          <t>Portugal</t>
        </is>
      </c>
    </row>
    <row r="12149">
      <c r="A12149" t="inlineStr">
        <is>
          <t>Vitafoam Magyarország,  Paks, Hungary</t>
        </is>
      </c>
      <c r="B12149" t="inlineStr">
        <is>
          <t>Processing Unit, Trader with Storage</t>
        </is>
      </c>
      <c r="C12149" t="inlineStr">
        <is>
          <t>BM Certification, Riga, LV</t>
        </is>
      </c>
      <c r="D12149" t="inlineStr">
        <is>
          <t>17.11.2026</t>
        </is>
      </c>
      <c r="E12149" t="inlineStr">
        <is>
          <t>Hungary</t>
        </is>
      </c>
    </row>
    <row r="12150">
      <c r="A12150" t="inlineStr">
        <is>
          <t>TECNARO,  Ilsfeld, Germany</t>
        </is>
      </c>
      <c r="B12150" t="inlineStr">
        <is>
          <t>Processing Unit, Trader with Storage</t>
        </is>
      </c>
      <c r="C12150" t="inlineStr">
        <is>
          <t>DIN CERTCO GmbH, Berlin, DE</t>
        </is>
      </c>
      <c r="D12150" t="inlineStr">
        <is>
          <t>17.11.2026</t>
        </is>
      </c>
      <c r="E12150" t="inlineStr">
        <is>
          <t>Germany</t>
        </is>
      </c>
    </row>
    <row r="12151">
      <c r="A12151" t="inlineStr">
        <is>
          <t>GLOBAL GRAIN TRADING OPERATOR SRL,  SUCEAVA, Romania</t>
        </is>
      </c>
      <c r="B12151" t="inlineStr">
        <is>
          <t>First Gathering Point</t>
        </is>
      </c>
      <c r="C12151" t="inlineStr">
        <is>
          <t>BM Certification, Riga, LV</t>
        </is>
      </c>
      <c r="D12151" t="inlineStr">
        <is>
          <t>17.11.2026</t>
        </is>
      </c>
      <c r="E12151" t="inlineStr">
        <is>
          <t>Romania</t>
        </is>
      </c>
    </row>
    <row r="12152">
      <c r="A12152" t="inlineStr">
        <is>
          <t>TKM OIL GROUP,  BRANESTI, ILFOV, Romania</t>
        </is>
      </c>
      <c r="B12152" t="inlineStr">
        <is>
          <t>Collecting Point, Trader with Storage</t>
        </is>
      </c>
      <c r="C12152" t="inlineStr">
        <is>
          <t>PT Intertek Utama Services, Jakarta, ID</t>
        </is>
      </c>
      <c r="D12152" t="inlineStr">
        <is>
          <t>17.11.2026</t>
        </is>
      </c>
      <c r="E12152" t="inlineStr">
        <is>
          <t>Romania</t>
        </is>
      </c>
    </row>
    <row r="12153">
      <c r="A12153" t="inlineStr">
        <is>
          <t>RS ENERGIA SRL,  TORRE SANTA SUSANNA, Italy</t>
        </is>
      </c>
      <c r="B12153" t="inlineStr">
        <is>
          <t>Trader</t>
        </is>
      </c>
      <c r="C12153" t="inlineStr">
        <is>
          <t>SGS Germany GmbH, Emstek, DE</t>
        </is>
      </c>
      <c r="D12153" t="inlineStr">
        <is>
          <t>17.11.2026</t>
        </is>
      </c>
      <c r="E12153" t="inlineStr">
        <is>
          <t>Italy</t>
        </is>
      </c>
    </row>
    <row r="12154">
      <c r="A12154" t="inlineStr">
        <is>
          <t>BGN INT B.V.,  Pendik/Istanbul, Turkey</t>
        </is>
      </c>
      <c r="B12154" t="inlineStr">
        <is>
          <t>Trader with Storage</t>
        </is>
      </c>
      <c r="C12154" t="inlineStr">
        <is>
          <t>Certificadora Gallega del Noroeste SL, Vilagarcia de Arousa-Pontevedra, ES</t>
        </is>
      </c>
      <c r="D12154" t="inlineStr">
        <is>
          <t>17.11.2026</t>
        </is>
      </c>
      <c r="E12154" t="inlineStr">
        <is>
          <t>Turkey</t>
        </is>
      </c>
    </row>
    <row r="12155">
      <c r="A12155" t="inlineStr">
        <is>
          <t>BGN INT B.V.,  Pendik/Istanbul, Turkey</t>
        </is>
      </c>
      <c r="B12155" t="inlineStr">
        <is>
          <t>Trader with Storage</t>
        </is>
      </c>
      <c r="C12155" t="inlineStr">
        <is>
          <t>Certificadora Gallega del Noroeste SL, Vilagarcia de Arousa-Pontevedra, ES</t>
        </is>
      </c>
      <c r="D12155" t="inlineStr">
        <is>
          <t>17.11.2026</t>
        </is>
      </c>
      <c r="E12155" t="inlineStr">
        <is>
          <t>Turkey</t>
        </is>
      </c>
    </row>
    <row r="12156">
      <c r="A12156" t="inlineStr">
        <is>
          <t>BGN INT B.V.,  Pendik/Istanbul, Turkey</t>
        </is>
      </c>
      <c r="B12156" t="inlineStr">
        <is>
          <t>Trader</t>
        </is>
      </c>
      <c r="C12156" t="inlineStr">
        <is>
          <t>Certificadora Gallega del Noroeste SL, Vilagarcia de Arousa-Pontevedra, ES</t>
        </is>
      </c>
      <c r="D12156" t="inlineStr">
        <is>
          <t>17.11.2026</t>
        </is>
      </c>
      <c r="E12156" t="inlineStr">
        <is>
          <t>Turkey</t>
        </is>
      </c>
    </row>
    <row r="12157">
      <c r="A12157" t="inlineStr">
        <is>
          <t>BGN INT DMCC,  Pendik/İstanbul, Turkey</t>
        </is>
      </c>
      <c r="B12157" t="inlineStr">
        <is>
          <t>Trader with Storage</t>
        </is>
      </c>
      <c r="C12157" t="inlineStr">
        <is>
          <t>Certificadora Gallega del Noroeste SL, Vilagarcia de Arousa-Pontevedra, ES</t>
        </is>
      </c>
      <c r="D12157" t="inlineStr">
        <is>
          <t>17.11.2026</t>
        </is>
      </c>
      <c r="E12157" t="inlineStr">
        <is>
          <t>Turkey</t>
        </is>
      </c>
    </row>
    <row r="12158">
      <c r="A12158" t="inlineStr">
        <is>
          <t>BGN INT DMCC,  Pendik/İstanbul, Turkey</t>
        </is>
      </c>
      <c r="B12158" t="inlineStr">
        <is>
          <t>Trader with Storage</t>
        </is>
      </c>
      <c r="C12158" t="inlineStr">
        <is>
          <t>Certificadora Gallega del Noroeste SL, Vilagarcia de Arousa-Pontevedra, ES</t>
        </is>
      </c>
      <c r="D12158" t="inlineStr">
        <is>
          <t>17.11.2026</t>
        </is>
      </c>
      <c r="E12158" t="inlineStr">
        <is>
          <t>Turkey</t>
        </is>
      </c>
    </row>
    <row r="12159">
      <c r="A12159" t="inlineStr">
        <is>
          <t>BGN INT DMCC,  Pendik/İstanbul, Turkey</t>
        </is>
      </c>
      <c r="B12159" t="inlineStr">
        <is>
          <t>Trader</t>
        </is>
      </c>
      <c r="C12159" t="inlineStr">
        <is>
          <t>Certificadora Gallega del Noroeste SL, Vilagarcia de Arousa-Pontevedra, ES</t>
        </is>
      </c>
      <c r="D12159" t="inlineStr">
        <is>
          <t>17.11.2026</t>
        </is>
      </c>
      <c r="E12159" t="inlineStr">
        <is>
          <t>Turkey</t>
        </is>
      </c>
    </row>
    <row r="12160">
      <c r="A12160" t="inlineStr">
        <is>
          <t>Wuhan Yongmei Biotechnology Co., Ltd,  Wuhan, Hubei, China</t>
        </is>
      </c>
      <c r="B12160" t="inlineStr">
        <is>
          <t>Collecting Point, Trader</t>
        </is>
      </c>
      <c r="C12160" t="inlineStr">
        <is>
          <t>RINA Services S.p.A., Genova, IT</t>
        </is>
      </c>
      <c r="D12160" t="inlineStr">
        <is>
          <t>17.11.2026</t>
        </is>
      </c>
      <c r="E12160" t="inlineStr">
        <is>
          <t>China</t>
        </is>
      </c>
    </row>
    <row r="12161">
      <c r="A12161" t="inlineStr">
        <is>
          <t>China National Aviation Fuel Group Sichuan Petroleum Co.,Ltd.,  Guanghan, Sichuan Province, China</t>
        </is>
      </c>
      <c r="B12161" t="inlineStr">
        <is>
          <t>Trader</t>
        </is>
      </c>
      <c r="C12161" t="inlineStr">
        <is>
          <t>SCS Global Services, Emeryville, CA, US</t>
        </is>
      </c>
      <c r="D12161" t="inlineStr">
        <is>
          <t>17.11.2026</t>
        </is>
      </c>
      <c r="E12161" t="inlineStr">
        <is>
          <t>China</t>
        </is>
      </c>
    </row>
    <row r="12162">
      <c r="A12162" t="inlineStr">
        <is>
          <t>Eagle Beverage and Accessory Products,  Kent, United States</t>
        </is>
      </c>
      <c r="B12162" t="inlineStr">
        <is>
          <t>Processing Unit</t>
        </is>
      </c>
      <c r="C12162" t="inlineStr">
        <is>
          <t>SCS Global Services, Emeryville, CA, US</t>
        </is>
      </c>
      <c r="D12162" t="inlineStr">
        <is>
          <t>17.11.2026</t>
        </is>
      </c>
      <c r="E12162" t="inlineStr">
        <is>
          <t>United States</t>
        </is>
      </c>
    </row>
    <row r="12163">
      <c r="A12163" t="inlineStr">
        <is>
          <t>Everbright Environmental Kitchen Treatment (Jiangyin) Co., Ltd.,  Jiangyin City Jiangsu Provinc, China</t>
        </is>
      </c>
      <c r="B12163" t="inlineStr">
        <is>
          <t>Collecting Point, Processing Unit</t>
        </is>
      </c>
      <c r="C12163" t="inlineStr">
        <is>
          <t>RINA Services S.p.A., Genova, IT</t>
        </is>
      </c>
      <c r="D12163" t="inlineStr">
        <is>
          <t>17.11.2026</t>
        </is>
      </c>
      <c r="E12163" t="inlineStr">
        <is>
          <t>China</t>
        </is>
      </c>
    </row>
    <row r="12164">
      <c r="A12164" t="inlineStr">
        <is>
          <t>Produttori Ortofrutticoli Associati S.C.P.A,  Piacenza, Italy</t>
        </is>
      </c>
      <c r="B12164" t="inlineStr">
        <is>
          <t>First Gathering Point</t>
        </is>
      </c>
      <c r="C12164" t="inlineStr">
        <is>
          <t>RINA Services S.p.A., Genova, IT</t>
        </is>
      </c>
      <c r="D12164" t="inlineStr">
        <is>
          <t>17.11.2026</t>
        </is>
      </c>
      <c r="E12164" t="inlineStr">
        <is>
          <t>Italy</t>
        </is>
      </c>
    </row>
    <row r="12165">
      <c r="A12165" t="inlineStr">
        <is>
          <t>Eton Petrochemical Co., Ltd.,  TAIPEI, Taiwan</t>
        </is>
      </c>
      <c r="B12165" t="inlineStr">
        <is>
          <t>Trader</t>
        </is>
      </c>
      <c r="C12165" t="inlineStr">
        <is>
          <t>Bureau Veritas Polska Sp. z o.o., Warsaw, PL</t>
        </is>
      </c>
      <c r="D12165" t="inlineStr">
        <is>
          <t>17.11.2026</t>
        </is>
      </c>
      <c r="E12165" t="inlineStr">
        <is>
          <t>Taiwan</t>
        </is>
      </c>
    </row>
    <row r="12166">
      <c r="A12166" t="inlineStr">
        <is>
          <t>DYKA Plastics n.v.,  Pelt, Belgium</t>
        </is>
      </c>
      <c r="B12166" t="inlineStr">
        <is>
          <t>Processing Unit, Trader with Storage</t>
        </is>
      </c>
      <c r="C12166" t="inlineStr">
        <is>
          <t>DEKRA Certification B.V., Arnhem, NL</t>
        </is>
      </c>
      <c r="D12166" t="inlineStr">
        <is>
          <t>17.11.2026</t>
        </is>
      </c>
      <c r="E12166" t="inlineStr">
        <is>
          <t>Belgium</t>
        </is>
      </c>
    </row>
    <row r="12167">
      <c r="A12167" t="inlineStr">
        <is>
          <t>The Hawks (SG) Pte Ltd,  Singapore, Singapore</t>
        </is>
      </c>
      <c r="B12167" t="inlineStr">
        <is>
          <t>Trader</t>
        </is>
      </c>
      <c r="C12167" t="inlineStr">
        <is>
          <t>Double Helix Tracking Technologies Pte Ltd, Singapore, SG</t>
        </is>
      </c>
      <c r="D12167" t="inlineStr">
        <is>
          <t>17.11.2026</t>
        </is>
      </c>
      <c r="E12167" t="inlineStr">
        <is>
          <t>Singapore</t>
        </is>
      </c>
    </row>
    <row r="12168">
      <c r="A12168" t="inlineStr">
        <is>
          <t>PROFIL B SA,  CHIASSO, Switzerland</t>
        </is>
      </c>
      <c r="B12168" t="inlineStr">
        <is>
          <t>Trader</t>
        </is>
      </c>
      <c r="C12168" t="inlineStr">
        <is>
          <t>Certiquality srl, Milano, IT</t>
        </is>
      </c>
      <c r="D12168" t="inlineStr">
        <is>
          <t>16.11.2026</t>
        </is>
      </c>
      <c r="E12168" t="inlineStr">
        <is>
          <t>Switzerland</t>
        </is>
      </c>
    </row>
    <row r="12169">
      <c r="A12169" t="inlineStr">
        <is>
          <t>PROFIL B SA,  CHIASSO, Switzerland</t>
        </is>
      </c>
      <c r="B12169" t="inlineStr">
        <is>
          <t>Trader</t>
        </is>
      </c>
      <c r="C12169" t="inlineStr">
        <is>
          <t>Certiquality srl, Milano, IT</t>
        </is>
      </c>
      <c r="D12169" t="inlineStr">
        <is>
          <t>16.11.2026</t>
        </is>
      </c>
      <c r="E12169" t="inlineStr">
        <is>
          <t>Switzerland</t>
        </is>
      </c>
    </row>
    <row r="12170">
      <c r="A12170" t="inlineStr">
        <is>
          <t>MONTELLO,  Montello, Italy</t>
        </is>
      </c>
      <c r="B12170" t="inlineStr">
        <is>
          <t>Collecting Point, Processing Unit</t>
        </is>
      </c>
      <c r="C12170" t="inlineStr">
        <is>
          <t>RINA Services S.p.A., Genova, IT</t>
        </is>
      </c>
      <c r="D12170" t="inlineStr">
        <is>
          <t>16.11.2026</t>
        </is>
      </c>
      <c r="E12170" t="inlineStr">
        <is>
          <t>Italy</t>
        </is>
      </c>
    </row>
    <row r="12171">
      <c r="A12171" t="inlineStr">
        <is>
          <t>Anew Canada Low Carbon Fuels,  Calgary, Canada</t>
        </is>
      </c>
      <c r="B12171" t="inlineStr">
        <is>
          <t>Trader</t>
        </is>
      </c>
      <c r="C12171" t="inlineStr">
        <is>
          <t>SCS Global Services, Emeryville, CA, US</t>
        </is>
      </c>
      <c r="D12171" t="inlineStr">
        <is>
          <t>16.11.2026</t>
        </is>
      </c>
      <c r="E12171" t="inlineStr">
        <is>
          <t>Canada</t>
        </is>
      </c>
    </row>
    <row r="12172">
      <c r="A12172" t="inlineStr">
        <is>
          <t>Anew Canada Low Carbon Fuels,  Calgary, Canada</t>
        </is>
      </c>
      <c r="B12172" t="inlineStr">
        <is>
          <t>Trader</t>
        </is>
      </c>
      <c r="C12172" t="inlineStr">
        <is>
          <t>SCS Global Services, Emeryville, CA, US</t>
        </is>
      </c>
      <c r="D12172" t="inlineStr">
        <is>
          <t>16.11.2026</t>
        </is>
      </c>
      <c r="E12172" t="inlineStr">
        <is>
          <t>Canada</t>
        </is>
      </c>
    </row>
    <row r="12173">
      <c r="A12173" t="inlineStr">
        <is>
          <t>Seaspan Energy Ltd.,  Delta, Canada</t>
        </is>
      </c>
      <c r="B12173" t="inlineStr">
        <is>
          <t>Trader with Storage</t>
        </is>
      </c>
      <c r="C12173" t="inlineStr">
        <is>
          <t>SCS Global Services, Emeryville, CA, US</t>
        </is>
      </c>
      <c r="D12173" t="inlineStr">
        <is>
          <t>16.11.2026</t>
        </is>
      </c>
      <c r="E12173" t="inlineStr">
        <is>
          <t>Canada</t>
        </is>
      </c>
    </row>
    <row r="12174">
      <c r="A12174" t="inlineStr">
        <is>
          <t>Seaspan Energy Ltd.,  Delta, Canada</t>
        </is>
      </c>
      <c r="B12174" t="inlineStr">
        <is>
          <t>Trader with Storage</t>
        </is>
      </c>
      <c r="C12174" t="inlineStr">
        <is>
          <t>SCS Global Services, Emeryville, CA, US</t>
        </is>
      </c>
      <c r="D12174" t="inlineStr">
        <is>
          <t>16.11.2026</t>
        </is>
      </c>
      <c r="E12174" t="inlineStr">
        <is>
          <t>Canada</t>
        </is>
      </c>
    </row>
    <row r="12175">
      <c r="A12175" t="inlineStr">
        <is>
          <t>Guangzhou Anbo Energy Technology Co., Ltd,  Guangzhou City,Guangdong Province, China</t>
        </is>
      </c>
      <c r="B12175" t="inlineStr">
        <is>
          <t>Trader with Storage</t>
        </is>
      </c>
      <c r="C12175" t="inlineStr">
        <is>
          <t>RINA Services S.p.A., Genova, IT</t>
        </is>
      </c>
      <c r="D12175" t="inlineStr">
        <is>
          <t>16.11.2026</t>
        </is>
      </c>
      <c r="E12175" t="inlineStr">
        <is>
          <t>China</t>
        </is>
      </c>
    </row>
    <row r="12176">
      <c r="A12176" t="inlineStr">
        <is>
          <t>Süper Film Ambalaj San. ve Tic. AŞ.,  Gaziantep, Turkey</t>
        </is>
      </c>
      <c r="B12176" t="inlineStr">
        <is>
          <t>Processing Unit</t>
        </is>
      </c>
      <c r="C12176" t="inlineStr">
        <is>
          <t>PT Intertek Utama Services, Jakarta, ID</t>
        </is>
      </c>
      <c r="D12176" t="inlineStr">
        <is>
          <t>16.11.2026</t>
        </is>
      </c>
      <c r="E12176" t="inlineStr">
        <is>
          <t>Turkey</t>
        </is>
      </c>
    </row>
    <row r="12177">
      <c r="A12177" t="inlineStr">
        <is>
          <t>ENEOS Oil &amp; Energy Asia Pte. Ltd.,  Singapore, Singapore</t>
        </is>
      </c>
      <c r="B12177" t="inlineStr">
        <is>
          <t>Trader</t>
        </is>
      </c>
      <c r="C12177" t="inlineStr">
        <is>
          <t>Control Union Certifications Germany GmbH, Berlin, DE</t>
        </is>
      </c>
      <c r="D12177" t="inlineStr">
        <is>
          <t>16.11.2026</t>
        </is>
      </c>
      <c r="E12177" t="inlineStr">
        <is>
          <t>Singapore</t>
        </is>
      </c>
    </row>
    <row r="12178">
      <c r="A12178" t="inlineStr">
        <is>
          <t>ENEOS Oil &amp; Energy Asia Pte. Ltd.,  Singapore, Singapore</t>
        </is>
      </c>
      <c r="B12178" t="inlineStr">
        <is>
          <t>Trader</t>
        </is>
      </c>
      <c r="C12178" t="inlineStr">
        <is>
          <t>Control Union Certifications Germany GmbH, Berlin, DE</t>
        </is>
      </c>
      <c r="D12178" t="inlineStr">
        <is>
          <t>16.11.2026</t>
        </is>
      </c>
      <c r="E12178" t="inlineStr">
        <is>
          <t>Singapore</t>
        </is>
      </c>
    </row>
    <row r="12179">
      <c r="A12179" t="inlineStr">
        <is>
          <t>ENEOS Oil &amp; Energy Asia Pte. Ltd.,  Singapore, Singapore</t>
        </is>
      </c>
      <c r="B12179" t="inlineStr">
        <is>
          <t>Trader with Storage</t>
        </is>
      </c>
      <c r="C12179" t="inlineStr">
        <is>
          <t>Control Union Certifications Germany GmbH, Berlin, DE</t>
        </is>
      </c>
      <c r="D12179" t="inlineStr">
        <is>
          <t>16.11.2026</t>
        </is>
      </c>
      <c r="E12179" t="inlineStr">
        <is>
          <t>Singapore</t>
        </is>
      </c>
    </row>
    <row r="12180">
      <c r="A12180" t="inlineStr">
        <is>
          <t>Ruhr Oel GmbH,  Gelsenkirchen, Germany</t>
        </is>
      </c>
      <c r="B12180" t="inlineStr">
        <is>
          <t>Processing Unit, Trader with Storage</t>
        </is>
      </c>
      <c r="C12180" t="inlineStr">
        <is>
          <t>Control Union Certifications Germany GmbH, Berlin, DE</t>
        </is>
      </c>
      <c r="D12180" t="inlineStr">
        <is>
          <t>16.11.2026</t>
        </is>
      </c>
      <c r="E12180" t="inlineStr">
        <is>
          <t>Germany</t>
        </is>
      </c>
    </row>
    <row r="12181">
      <c r="A12181" t="inlineStr">
        <is>
          <t>PT Mattel Indonesia,  Bekasi, Jawa Barat, Indonesia</t>
        </is>
      </c>
      <c r="B12181" t="inlineStr">
        <is>
          <t>Processing Unit, Trader with Storage</t>
        </is>
      </c>
      <c r="C12181" t="inlineStr">
        <is>
          <t>SCS Global Services, Emeryville, CA, US</t>
        </is>
      </c>
      <c r="D12181" t="inlineStr">
        <is>
          <t>16.11.2026</t>
        </is>
      </c>
      <c r="E12181" t="inlineStr">
        <is>
          <t>Indonesia</t>
        </is>
      </c>
    </row>
    <row r="12182">
      <c r="A12182" t="inlineStr">
        <is>
          <t>Connex B.V.,  Rotterdam, Netherlands</t>
        </is>
      </c>
      <c r="B12182" t="inlineStr">
        <is>
          <t>Collecting Point, Trader with Storage</t>
        </is>
      </c>
      <c r="C12182" t="inlineStr">
        <is>
          <t>Control Union Certifications Germany GmbH, Berlin, DE</t>
        </is>
      </c>
      <c r="D12182" t="inlineStr">
        <is>
          <t>16.11.2026</t>
        </is>
      </c>
      <c r="E12182" t="inlineStr">
        <is>
          <t>Netherlands</t>
        </is>
      </c>
    </row>
    <row r="12183">
      <c r="A12183" t="inlineStr">
        <is>
          <t>Erteco Rubber &amp; Plastics AB,  Stockholm, Sweden</t>
        </is>
      </c>
      <c r="B12183" t="inlineStr">
        <is>
          <t>Trader with Storage</t>
        </is>
      </c>
      <c r="C12183" t="inlineStr">
        <is>
          <t>Bureau Veritas Polska Sp. z o.o., Warsaw, PL</t>
        </is>
      </c>
      <c r="D12183" t="inlineStr">
        <is>
          <t>16.11.2026</t>
        </is>
      </c>
      <c r="E12183" t="inlineStr">
        <is>
          <t>Sweden</t>
        </is>
      </c>
    </row>
    <row r="12184">
      <c r="A12184" t="inlineStr">
        <is>
          <t>BLACK SEA INDUSTRIES UKRAINA LIMITED, LLC,  Chornomorsk, Odesa region, Ukraine</t>
        </is>
      </c>
      <c r="B12184" t="inlineStr">
        <is>
          <t>Processing Unit</t>
        </is>
      </c>
      <c r="C12184" t="inlineStr">
        <is>
          <t>Bureau Veritas Polska Sp. z o.o., Warsaw, PL</t>
        </is>
      </c>
      <c r="D12184" t="inlineStr">
        <is>
          <t>16.11.2026</t>
        </is>
      </c>
      <c r="E12184" t="inlineStr">
        <is>
          <t>Ukraine</t>
        </is>
      </c>
    </row>
    <row r="12185">
      <c r="A12185" t="inlineStr">
        <is>
          <t>MRIIA,  Petrivka, Ukraine</t>
        </is>
      </c>
      <c r="B12185" t="inlineStr">
        <is>
          <t>Farm / Plantation, Trader with Storage</t>
        </is>
      </c>
      <c r="C12185" t="inlineStr">
        <is>
          <t>Bureau Veritas Polska Sp. z o.o., Warsaw, PL</t>
        </is>
      </c>
      <c r="D12185" t="inlineStr">
        <is>
          <t>16.11.2026</t>
        </is>
      </c>
      <c r="E12185" t="inlineStr">
        <is>
          <t>Ukraine</t>
        </is>
      </c>
    </row>
    <row r="12186">
      <c r="A12186" t="inlineStr">
        <is>
          <t>Gebr. Ostendorf Kunststoffe,  Vechta, Germany</t>
        </is>
      </c>
      <c r="B12186" t="inlineStr">
        <is>
          <t>Processing Unit</t>
        </is>
      </c>
      <c r="C12186" t="inlineStr">
        <is>
          <t>SGS Germany GmbH, Emstek, DE</t>
        </is>
      </c>
      <c r="D12186" t="inlineStr">
        <is>
          <t>16.11.2026</t>
        </is>
      </c>
      <c r="E12186" t="inlineStr">
        <is>
          <t>Germany</t>
        </is>
      </c>
    </row>
    <row r="12187">
      <c r="A12187" t="inlineStr">
        <is>
          <t>Soft Commodity Trading Pty,  Sydney, Australia</t>
        </is>
      </c>
      <c r="B12187" t="inlineStr">
        <is>
          <t>Trader</t>
        </is>
      </c>
      <c r="C12187" t="inlineStr">
        <is>
          <t>Control Union Certifications Germany GmbH, Berlin, DE</t>
        </is>
      </c>
      <c r="D12187" t="inlineStr">
        <is>
          <t>16.11.2026</t>
        </is>
      </c>
      <c r="E12187" t="inlineStr">
        <is>
          <t>Australia</t>
        </is>
      </c>
    </row>
    <row r="12188">
      <c r="A12188" t="inlineStr">
        <is>
          <t>Soft Commodity Trading Pty,  Sydney, Australia</t>
        </is>
      </c>
      <c r="B12188" t="inlineStr">
        <is>
          <t>Trader</t>
        </is>
      </c>
      <c r="C12188" t="inlineStr">
        <is>
          <t>Control Union Certifications Germany GmbH, Berlin, DE</t>
        </is>
      </c>
      <c r="D12188" t="inlineStr">
        <is>
          <t>16.11.2026</t>
        </is>
      </c>
      <c r="E12188" t="inlineStr">
        <is>
          <t>Australia</t>
        </is>
      </c>
    </row>
    <row r="12189">
      <c r="A12189" t="inlineStr">
        <is>
          <t>Evonik Antwerpen,  Antwerpen, Belgium</t>
        </is>
      </c>
      <c r="B12189" t="inlineStr">
        <is>
          <t>Processing Unit</t>
        </is>
      </c>
      <c r="C12189" t="inlineStr">
        <is>
          <t>DIN CERTCO GmbH, Berlin, DE</t>
        </is>
      </c>
      <c r="D12189" t="inlineStr">
        <is>
          <t>16.11.2026</t>
        </is>
      </c>
      <c r="E12189" t="inlineStr">
        <is>
          <t>Belgium</t>
        </is>
      </c>
    </row>
    <row r="12190">
      <c r="A12190" t="inlineStr">
        <is>
          <t>XIANGYU (SINGAPORE) PTE. LTD.,  SINGAPORE, Singapore</t>
        </is>
      </c>
      <c r="B12190" t="inlineStr">
        <is>
          <t>Trader</t>
        </is>
      </c>
      <c r="C12190" t="inlineStr">
        <is>
          <t>Control Union Certifications Germany GmbH, Berlin, DE</t>
        </is>
      </c>
      <c r="D12190" t="inlineStr">
        <is>
          <t>16.11.2026</t>
        </is>
      </c>
      <c r="E12190" t="inlineStr">
        <is>
          <t>Singapore</t>
        </is>
      </c>
    </row>
    <row r="12191">
      <c r="A12191" t="inlineStr">
        <is>
          <t>ARAH KAWASAN SDN BHD,  Selama, Kedah, Malaysia</t>
        </is>
      </c>
      <c r="B12191" t="inlineStr">
        <is>
          <t>Point of Origin</t>
        </is>
      </c>
      <c r="C12191" t="inlineStr">
        <is>
          <t>Trans Certification and Inspection Sdn Bhd, Kuantan, MY</t>
        </is>
      </c>
      <c r="D12191" t="inlineStr">
        <is>
          <t>16.11.2026</t>
        </is>
      </c>
      <c r="E12191" t="inlineStr">
        <is>
          <t>Malaysia</t>
        </is>
      </c>
    </row>
    <row r="12192">
      <c r="A12192" t="inlineStr">
        <is>
          <t>ZHEJIANG RECYCLE NEW MATERIAL INSTITUTE CO., LTD.,  Tongxiang, China</t>
        </is>
      </c>
      <c r="B12192" t="inlineStr">
        <is>
          <t>Processing Unit, Trader with Storage</t>
        </is>
      </c>
      <c r="C12192" t="inlineStr">
        <is>
          <t>PT Intertek Utama Services, Jakarta, ID</t>
        </is>
      </c>
      <c r="D12192" t="inlineStr">
        <is>
          <t>16.11.2026</t>
        </is>
      </c>
      <c r="E12192" t="inlineStr">
        <is>
          <t>China</t>
        </is>
      </c>
    </row>
    <row r="12193">
      <c r="A12193" t="inlineStr">
        <is>
          <t>Hankook Tire &amp; Technology Co., Ltd. Daejeon Plant,  Daejeon, South Korea</t>
        </is>
      </c>
      <c r="B12193" t="inlineStr">
        <is>
          <t>Processing Unit</t>
        </is>
      </c>
      <c r="C12193" t="inlineStr">
        <is>
          <t>Control Union Certifications Germany GmbH, Berlin, DE</t>
        </is>
      </c>
      <c r="D12193" t="inlineStr">
        <is>
          <t>16.11.2026</t>
        </is>
      </c>
      <c r="E12193" t="inlineStr">
        <is>
          <t>South Korea</t>
        </is>
      </c>
    </row>
    <row r="12194">
      <c r="A12194" t="inlineStr">
        <is>
          <t>SOL SPA,  Monza, Italy</t>
        </is>
      </c>
      <c r="B12194" t="inlineStr">
        <is>
          <t>Trader, Trader with Storage</t>
        </is>
      </c>
      <c r="C12194" t="inlineStr">
        <is>
          <t>DNV Business Assurance Sweden AB, Solna, SE</t>
        </is>
      </c>
      <c r="D12194" t="inlineStr">
        <is>
          <t>16.11.2026</t>
        </is>
      </c>
      <c r="E12194" t="inlineStr">
        <is>
          <t>Italy</t>
        </is>
      </c>
    </row>
    <row r="12195">
      <c r="A12195" t="inlineStr">
        <is>
          <t>Rucheng Aidifu Environmental Protection Technology Co., Ltd.,  Chenzhou City, Hunan Province, China</t>
        </is>
      </c>
      <c r="B12195" t="inlineStr">
        <is>
          <t>Collecting Point, Processing Unit</t>
        </is>
      </c>
      <c r="C12195" t="inlineStr">
        <is>
          <t>CTI Certification Co. Ltd, Shenzhen, CN</t>
        </is>
      </c>
      <c r="D12195" t="inlineStr">
        <is>
          <t>16.11.2026</t>
        </is>
      </c>
      <c r="E12195" t="inlineStr">
        <is>
          <t>China</t>
        </is>
      </c>
    </row>
    <row r="12196">
      <c r="A12196" t="inlineStr">
        <is>
          <t>PT Albatross Teknologi Inti,  Jakarta Selatan, Indonesia</t>
        </is>
      </c>
      <c r="B12196" t="inlineStr">
        <is>
          <t>Trader</t>
        </is>
      </c>
      <c r="C12196" t="inlineStr">
        <is>
          <t>PT. CBQA GLOBAL INDONESIA, JAKARTA SELATAN, ID</t>
        </is>
      </c>
      <c r="D12196" t="inlineStr">
        <is>
          <t>16.11.2026</t>
        </is>
      </c>
      <c r="E12196" t="inlineStr">
        <is>
          <t>Indonesia</t>
        </is>
      </c>
    </row>
    <row r="12197">
      <c r="A12197" t="inlineStr">
        <is>
          <t>APERHAM,  Vilademuls, Spain</t>
        </is>
      </c>
      <c r="B12197" t="inlineStr">
        <is>
          <t>Collecting Point, Processing Unit</t>
        </is>
      </c>
      <c r="C12197" t="inlineStr">
        <is>
          <t>Certificadora Gallega del Noroeste SL, Vilagarcia de Arousa-Pontevedra, ES</t>
        </is>
      </c>
      <c r="D12197" t="inlineStr">
        <is>
          <t>16.11.2026</t>
        </is>
      </c>
      <c r="E12197" t="inlineStr">
        <is>
          <t>Spain</t>
        </is>
      </c>
    </row>
    <row r="12198">
      <c r="A12198" t="inlineStr">
        <is>
          <t>GES Furnizare,  Bucharest, Romania</t>
        </is>
      </c>
      <c r="B12198" t="inlineStr">
        <is>
          <t>Trader</t>
        </is>
      </c>
      <c r="C12198" t="inlineStr">
        <is>
          <t>CertRom SRL, Bucuresti, RO</t>
        </is>
      </c>
      <c r="D12198" t="inlineStr">
        <is>
          <t>16.11.2026</t>
        </is>
      </c>
      <c r="E12198" t="inlineStr">
        <is>
          <t>Romania</t>
        </is>
      </c>
    </row>
    <row r="12199">
      <c r="A12199" t="inlineStr">
        <is>
          <t>Kilang Sawit Lembing Sdn Bhd,  Kuantan, Pahang Darul Makmur., Malaysia</t>
        </is>
      </c>
      <c r="B12199" t="inlineStr">
        <is>
          <t>Point of Origin</t>
        </is>
      </c>
      <c r="C12199" t="inlineStr">
        <is>
          <t>Control Union Certifications Germany GmbH, Berlin, DE</t>
        </is>
      </c>
      <c r="D12199" t="inlineStr">
        <is>
          <t>16.11.2026</t>
        </is>
      </c>
      <c r="E12199" t="inlineStr">
        <is>
          <t>Malaysia</t>
        </is>
      </c>
    </row>
    <row r="12200">
      <c r="A12200" t="inlineStr">
        <is>
          <t>MHP VERDANT,  Bar village, Zhmeryn district, Ukraine</t>
        </is>
      </c>
      <c r="B12200" t="inlineStr">
        <is>
          <t>Processing Unit</t>
        </is>
      </c>
      <c r="C12200" t="inlineStr">
        <is>
          <t>Apex Genelab LLC, Odessa, UA</t>
        </is>
      </c>
      <c r="D12200" t="inlineStr">
        <is>
          <t>16.11.2026</t>
        </is>
      </c>
      <c r="E12200" t="inlineStr">
        <is>
          <t>Ukraine</t>
        </is>
      </c>
    </row>
    <row r="12201">
      <c r="A12201" t="inlineStr">
        <is>
          <t>ORGANOFERM Környezetvédelmi Kft.,  Tárkány, Hungary</t>
        </is>
      </c>
      <c r="B12201" t="inlineStr">
        <is>
          <t>Collecting Point</t>
        </is>
      </c>
      <c r="C12201" t="inlineStr">
        <is>
          <t>Certificadora Gallega del Noroeste SL, Vilagarcia de Arousa-Pontevedra, ES</t>
        </is>
      </c>
      <c r="D12201" t="inlineStr">
        <is>
          <t>16.11.2026</t>
        </is>
      </c>
      <c r="E12201" t="inlineStr">
        <is>
          <t>Hungary</t>
        </is>
      </c>
    </row>
    <row r="12202">
      <c r="A12202" t="inlineStr">
        <is>
          <t>Italcol Spa Italiana Alcool e Olii,  Castelfiorentino, Italy</t>
        </is>
      </c>
      <c r="B12202" t="inlineStr">
        <is>
          <t>Processing Unit</t>
        </is>
      </c>
      <c r="C12202" t="inlineStr">
        <is>
          <t>RINA Services S.p.A., Genova, IT</t>
        </is>
      </c>
      <c r="D12202" t="inlineStr">
        <is>
          <t>16.11.2026</t>
        </is>
      </c>
      <c r="E12202" t="inlineStr">
        <is>
          <t>Italy</t>
        </is>
      </c>
    </row>
    <row r="12203">
      <c r="A12203" t="inlineStr">
        <is>
          <t>Gan Teng Siew Realty Sdn Bhd,  Rantau, Malaysia</t>
        </is>
      </c>
      <c r="B12203" t="inlineStr">
        <is>
          <t>First Gathering Point, Processing Unit, Point of Origin</t>
        </is>
      </c>
      <c r="C12203" t="inlineStr">
        <is>
          <t>SGS Germany GmbH, Emstek, DE</t>
        </is>
      </c>
      <c r="D12203" t="inlineStr">
        <is>
          <t>16.11.2026</t>
        </is>
      </c>
      <c r="E12203" t="inlineStr">
        <is>
          <t>Malaysia</t>
        </is>
      </c>
    </row>
    <row r="12204">
      <c r="A12204" t="inlineStr">
        <is>
          <t>Gebr. Ostendorf Kunststoffe,  Vechta, Germany</t>
        </is>
      </c>
      <c r="B12204" t="inlineStr">
        <is>
          <t>Processing Unit</t>
        </is>
      </c>
      <c r="C12204" t="inlineStr">
        <is>
          <t>SGS Germany GmbH, Emstek, DE</t>
        </is>
      </c>
      <c r="D12204" t="inlineStr">
        <is>
          <t>16.11.2026</t>
        </is>
      </c>
      <c r="E12204" t="inlineStr">
        <is>
          <t>Germany</t>
        </is>
      </c>
    </row>
    <row r="12205">
      <c r="A12205" t="inlineStr">
        <is>
          <t>Röchling Industrial SE &amp; Co. KG,  Geeste, Germany</t>
        </is>
      </c>
      <c r="B12205" t="inlineStr">
        <is>
          <t>Collecting Point, Processing Unit</t>
        </is>
      </c>
      <c r="C12205" t="inlineStr">
        <is>
          <t>SGS Germany GmbH, Emstek, DE</t>
        </is>
      </c>
      <c r="D12205" t="inlineStr">
        <is>
          <t>16.11.2026</t>
        </is>
      </c>
      <c r="E12205" t="inlineStr">
        <is>
          <t>Germany</t>
        </is>
      </c>
    </row>
    <row r="12206">
      <c r="A12206" t="inlineStr">
        <is>
          <t>LLC Popilnyanskiy KZ,  Popilnja, Zhytomyr region, Ukraine</t>
        </is>
      </c>
      <c r="B12206" t="inlineStr">
        <is>
          <t>First Gathering Point, Farm / Plantation, Warehouse</t>
        </is>
      </c>
      <c r="C12206" t="inlineStr">
        <is>
          <t>Bureau Veritas Polska Sp. z o.o., Warsaw, PL</t>
        </is>
      </c>
      <c r="D12206" t="inlineStr">
        <is>
          <t>16.11.2026</t>
        </is>
      </c>
      <c r="E12206" t="inlineStr">
        <is>
          <t>Ukraine</t>
        </is>
      </c>
    </row>
    <row r="12207">
      <c r="A12207" t="inlineStr">
        <is>
          <t>MOTOR OIL (HELLAS) CORINTH REFINERIES S.A.,  Korinthos, Greece</t>
        </is>
      </c>
      <c r="B12207" t="inlineStr">
        <is>
          <t>Processing Unit, Trader with Storage</t>
        </is>
      </c>
      <c r="C12207" t="inlineStr">
        <is>
          <t>Bureau Veritas Polska Sp. z o.o., Warsaw, PL</t>
        </is>
      </c>
      <c r="D12207" t="inlineStr">
        <is>
          <t>16.11.2026</t>
        </is>
      </c>
      <c r="E12207" t="inlineStr">
        <is>
          <t>Greece</t>
        </is>
      </c>
    </row>
    <row r="12208">
      <c r="A12208" t="inlineStr">
        <is>
          <t>Heilongjiang Boneng Green Energy Technology Co., LTD,  Daqing City, Heilongjiang Province, China</t>
        </is>
      </c>
      <c r="B12208" t="inlineStr">
        <is>
          <t>Collecting Point, First Gathering Point, Processing Unit</t>
        </is>
      </c>
      <c r="C12208" t="inlineStr">
        <is>
          <t>SCS Global Services, Emeryville, CA, US</t>
        </is>
      </c>
      <c r="D12208" t="inlineStr">
        <is>
          <t>16.11.2026</t>
        </is>
      </c>
      <c r="E12208" t="inlineStr">
        <is>
          <t>China</t>
        </is>
      </c>
    </row>
    <row r="12209">
      <c r="A12209" t="inlineStr">
        <is>
          <t>SPARK FOAMTECH ENTERPRISE COMPANY LIMITED,  Tay Ninh Province, Vietnam</t>
        </is>
      </c>
      <c r="B12209" t="inlineStr">
        <is>
          <t>Collecting Point, Point of Origin, Processing Unit</t>
        </is>
      </c>
      <c r="C12209" t="inlineStr">
        <is>
          <t>SCS Global Services, Emeryville, CA, US</t>
        </is>
      </c>
      <c r="D12209" t="inlineStr">
        <is>
          <t>16.11.2026</t>
        </is>
      </c>
      <c r="E12209" t="inlineStr">
        <is>
          <t>Vietnam</t>
        </is>
      </c>
    </row>
    <row r="12210">
      <c r="A12210" t="inlineStr">
        <is>
          <t>PT Rigunas Agri Utama,  Jambi, Indonesia</t>
        </is>
      </c>
      <c r="B12210" t="inlineStr">
        <is>
          <t>Central Office (Farms/Plantations)</t>
        </is>
      </c>
      <c r="C12210" t="inlineStr">
        <is>
          <t>SGS Germany GmbH, Emstek, DE</t>
        </is>
      </c>
      <c r="D12210" t="inlineStr">
        <is>
          <t>16.11.2026</t>
        </is>
      </c>
      <c r="E12210" t="inlineStr">
        <is>
          <t>Indonesia</t>
        </is>
      </c>
    </row>
    <row r="12211">
      <c r="A12211" t="inlineStr">
        <is>
          <t>Yan'an Yuanchuang Environmental Protection Technology Co., Ltd.,  Yan'an, China</t>
        </is>
      </c>
      <c r="B12211" t="inlineStr">
        <is>
          <t>Collecting Point, Processing Unit</t>
        </is>
      </c>
      <c r="C12211" t="inlineStr">
        <is>
          <t>RINA Services S.p.A., Genova, IT</t>
        </is>
      </c>
      <c r="D12211" t="inlineStr">
        <is>
          <t>16.11.2026</t>
        </is>
      </c>
      <c r="E12211" t="inlineStr">
        <is>
          <t>China</t>
        </is>
      </c>
    </row>
    <row r="12212">
      <c r="A12212" t="inlineStr">
        <is>
          <t>Jinzhou Hechen Grease Co., Ltd,  Shijiazhuang, China</t>
        </is>
      </c>
      <c r="B12212" t="inlineStr">
        <is>
          <t>Collecting Point, Trader with Storage</t>
        </is>
      </c>
      <c r="C12212" t="inlineStr">
        <is>
          <t>RINA Services S.p.A., Genova, IT</t>
        </is>
      </c>
      <c r="D12212" t="inlineStr">
        <is>
          <t>16.11.2026</t>
        </is>
      </c>
      <c r="E12212" t="inlineStr">
        <is>
          <t>China</t>
        </is>
      </c>
    </row>
    <row r="12213">
      <c r="A12213" t="inlineStr">
        <is>
          <t>Cobelplast,  Lokeren, Belgium</t>
        </is>
      </c>
      <c r="B12213" t="inlineStr">
        <is>
          <t>Processing Unit</t>
        </is>
      </c>
      <c r="C12213" t="inlineStr">
        <is>
          <t>Bureau Veritas Polska Sp. z o.o., Warsaw, PL</t>
        </is>
      </c>
      <c r="D12213" t="inlineStr">
        <is>
          <t>16.11.2026</t>
        </is>
      </c>
      <c r="E12213" t="inlineStr">
        <is>
          <t>Belgium</t>
        </is>
      </c>
    </row>
    <row r="12214">
      <c r="A12214" t="inlineStr">
        <is>
          <t>Connex B.V.,  Rotterdam, Netherlands</t>
        </is>
      </c>
      <c r="B12214" t="inlineStr">
        <is>
          <t>Collecting Point, Trader with Storage</t>
        </is>
      </c>
      <c r="C12214" t="inlineStr">
        <is>
          <t>Control Union Certifications Germany GmbH, Berlin, DE</t>
        </is>
      </c>
      <c r="D12214" t="inlineStr">
        <is>
          <t>16.11.2026</t>
        </is>
      </c>
      <c r="E12214" t="inlineStr">
        <is>
          <t>Netherlands</t>
        </is>
      </c>
    </row>
    <row r="12215">
      <c r="A12215" t="inlineStr">
        <is>
          <t>Yujiali Environmental Protection Co., Ltd.Tainan Branch,  Xinying District, Tainan City, Taiwan</t>
        </is>
      </c>
      <c r="B12215" t="inlineStr">
        <is>
          <t>Collecting Point, Trader with Storage</t>
        </is>
      </c>
      <c r="C12215" t="inlineStr">
        <is>
          <t>RINA Services S.p.A., Genova, IT</t>
        </is>
      </c>
      <c r="D12215" t="inlineStr">
        <is>
          <t>15.11.2026</t>
        </is>
      </c>
      <c r="E12215" t="inlineStr">
        <is>
          <t>Taiwan</t>
        </is>
      </c>
    </row>
    <row r="12216">
      <c r="A12216" t="inlineStr">
        <is>
          <t>Dongguan Guan Yuan Biological Technology Co., LTD,  Dongguan City, Guangdong Province, China</t>
        </is>
      </c>
      <c r="B12216" t="inlineStr">
        <is>
          <t>Collecting Point</t>
        </is>
      </c>
      <c r="C12216" t="inlineStr">
        <is>
          <t>RINA Services S.p.A., Genova, IT</t>
        </is>
      </c>
      <c r="D12216" t="inlineStr">
        <is>
          <t>15.11.2026</t>
        </is>
      </c>
      <c r="E12216" t="inlineStr">
        <is>
          <t>China</t>
        </is>
      </c>
    </row>
    <row r="12217">
      <c r="A12217" t="inlineStr">
        <is>
          <t>Foshan Dong Sheng Jie Bioenergy Co., LTD,  Foshan City，Guangdong Province, China</t>
        </is>
      </c>
      <c r="B12217" t="inlineStr">
        <is>
          <t>Collecting Point</t>
        </is>
      </c>
      <c r="C12217" t="inlineStr">
        <is>
          <t>RINA Services S.p.A., Genova, IT</t>
        </is>
      </c>
      <c r="D12217" t="inlineStr">
        <is>
          <t>15.11.2026</t>
        </is>
      </c>
      <c r="E12217" t="inlineStr">
        <is>
          <t>China</t>
        </is>
      </c>
    </row>
    <row r="12218">
      <c r="A12218" t="inlineStr">
        <is>
          <t>Guangzhou Anbo Energy Technology Co., Ltd,  Guangzhou City,Guangdong Province, China</t>
        </is>
      </c>
      <c r="B12218" t="inlineStr">
        <is>
          <t>Trader with Storage</t>
        </is>
      </c>
      <c r="C12218" t="inlineStr">
        <is>
          <t>RINA Services S.p.A., Genova, IT</t>
        </is>
      </c>
      <c r="D12218" t="inlineStr">
        <is>
          <t>15.11.2026</t>
        </is>
      </c>
      <c r="E12218" t="inlineStr">
        <is>
          <t>China</t>
        </is>
      </c>
    </row>
    <row r="12219">
      <c r="A12219" t="inlineStr">
        <is>
          <t>Tampieri S.P.A.,  faenza, Italy</t>
        </is>
      </c>
      <c r="B12219" t="inlineStr">
        <is>
          <t>Processing Unit</t>
        </is>
      </c>
      <c r="C12219" t="inlineStr">
        <is>
          <t>CSQA Certificazioni Srl, Thiene, IT</t>
        </is>
      </c>
      <c r="D12219" t="inlineStr">
        <is>
          <t>15.11.2026</t>
        </is>
      </c>
      <c r="E12219" t="inlineStr">
        <is>
          <t>Italy</t>
        </is>
      </c>
    </row>
    <row r="12220">
      <c r="A12220" t="inlineStr">
        <is>
          <t>China Down Jiangxi Company Limited,  RM 707, CHANGQING INTERNATIONAL BUILD, NANCHANG,, China</t>
        </is>
      </c>
      <c r="B12220" t="inlineStr">
        <is>
          <t>Trader</t>
        </is>
      </c>
      <c r="C12220" t="inlineStr">
        <is>
          <t>ASG Cert GmbH, Munich, DE</t>
        </is>
      </c>
      <c r="D12220" t="inlineStr">
        <is>
          <t>15.11.2026</t>
        </is>
      </c>
      <c r="E12220" t="inlineStr">
        <is>
          <t>China</t>
        </is>
      </c>
    </row>
    <row r="12221">
      <c r="A12221" t="inlineStr">
        <is>
          <t>Aqua Chempro Sdn Bhd,  Kuching, Sarawak, Malaysia</t>
        </is>
      </c>
      <c r="B12221" t="inlineStr">
        <is>
          <t>Trader</t>
        </is>
      </c>
      <c r="C12221" t="inlineStr">
        <is>
          <t>PT. CBQA GLOBAL INDONESIA, JAKARTA SELATAN, ID</t>
        </is>
      </c>
      <c r="D12221" t="inlineStr">
        <is>
          <t>15.11.2026</t>
        </is>
      </c>
      <c r="E12221" t="inlineStr">
        <is>
          <t>Malaysia</t>
        </is>
      </c>
    </row>
    <row r="12222">
      <c r="A12222" t="inlineStr">
        <is>
          <t>Biodiesel Georgia LLC,  Tbilisi, Georgia</t>
        </is>
      </c>
      <c r="B12222" t="inlineStr">
        <is>
          <t>Collecting Point, Processing Unit, Trader with Storage</t>
        </is>
      </c>
      <c r="C12222" t="inlineStr">
        <is>
          <t>Aciter Genelab LLC, Odessa, UA</t>
        </is>
      </c>
      <c r="D12222" t="inlineStr">
        <is>
          <t>15.11.2026</t>
        </is>
      </c>
      <c r="E12222" t="inlineStr">
        <is>
          <t>Georgia</t>
        </is>
      </c>
    </row>
    <row r="12223">
      <c r="A12223" t="inlineStr">
        <is>
          <t>Long Yi Shoes (Shenzhen) Industrial Co., LTD,  Longgang District, Shenzhen City, China</t>
        </is>
      </c>
      <c r="B12223" t="inlineStr">
        <is>
          <t>Processing Unit, Final Product Refinement, Trader with Storage</t>
        </is>
      </c>
      <c r="C12223" t="inlineStr">
        <is>
          <t>China Quality Certification Centre Co., Ltd., Beijing, CN</t>
        </is>
      </c>
      <c r="D12223" t="inlineStr">
        <is>
          <t>15.11.2026</t>
        </is>
      </c>
      <c r="E12223" t="inlineStr">
        <is>
          <t>China</t>
        </is>
      </c>
    </row>
    <row r="12224">
      <c r="A12224" t="inlineStr">
        <is>
          <t>biogeen Mobility GmbH, odštěpný závod,  Prague, Czech Republic</t>
        </is>
      </c>
      <c r="B12224" t="inlineStr">
        <is>
          <t>Trader</t>
        </is>
      </c>
      <c r="C12224" t="inlineStr">
        <is>
          <t>TÜV SÜD Czech s.r.o., Praha 4, CZ</t>
        </is>
      </c>
      <c r="D12224" t="inlineStr">
        <is>
          <t>15.11.2026</t>
        </is>
      </c>
      <c r="E12224" t="inlineStr">
        <is>
          <t>Czech Republic</t>
        </is>
      </c>
    </row>
    <row r="12225">
      <c r="A12225" t="inlineStr">
        <is>
          <t>Konzul doo,  Novi Sad, Serbia</t>
        </is>
      </c>
      <c r="B12225" t="inlineStr">
        <is>
          <t>First Gathering Point, Trader with Storage</t>
        </is>
      </c>
      <c r="C12225" t="inlineStr">
        <is>
          <t>Control Union Certifications Germany GmbH, Berlin, DE</t>
        </is>
      </c>
      <c r="D12225" t="inlineStr">
        <is>
          <t>15.11.2026</t>
        </is>
      </c>
      <c r="E12225" t="inlineStr">
        <is>
          <t>Serbia</t>
        </is>
      </c>
    </row>
    <row r="12226">
      <c r="A12226" t="inlineStr">
        <is>
          <t>BERICAP Záródástechnikai Bt.,  Székesfehérvár, Hungary</t>
        </is>
      </c>
      <c r="B12226" t="inlineStr">
        <is>
          <t>Processing Unit</t>
        </is>
      </c>
      <c r="C12226" t="inlineStr">
        <is>
          <t>SGS Germany GmbH, Emstek, DE</t>
        </is>
      </c>
      <c r="D12226" t="inlineStr">
        <is>
          <t>15.11.2026</t>
        </is>
      </c>
      <c r="E12226" t="inlineStr">
        <is>
          <t>Hungary</t>
        </is>
      </c>
    </row>
    <row r="12227">
      <c r="A12227" t="inlineStr">
        <is>
          <t>Gestora de Residuos Vinicos, S.C.V.,  Utiel (Valencia), Spain</t>
        </is>
      </c>
      <c r="B12227" t="inlineStr">
        <is>
          <t>Collecting Point, Processing Unit</t>
        </is>
      </c>
      <c r="C12227" t="inlineStr">
        <is>
          <t>Bureau Veritas Polska Sp. z o.o., Warsaw, PL</t>
        </is>
      </c>
      <c r="D12227" t="inlineStr">
        <is>
          <t>15.11.2026</t>
        </is>
      </c>
      <c r="E12227" t="inlineStr">
        <is>
          <t>Spain</t>
        </is>
      </c>
    </row>
    <row r="12228">
      <c r="A12228" t="inlineStr">
        <is>
          <t>Trivalue,  Ridderkerk, Netherlands</t>
        </is>
      </c>
      <c r="B12228" t="inlineStr">
        <is>
          <t>Trader</t>
        </is>
      </c>
      <c r="C12228" t="inlineStr">
        <is>
          <t>DEKRA Certification B.V., Arnhem, NL</t>
        </is>
      </c>
      <c r="D12228" t="inlineStr">
        <is>
          <t>15.11.2026</t>
        </is>
      </c>
      <c r="E12228" t="inlineStr">
        <is>
          <t>Netherlands</t>
        </is>
      </c>
    </row>
    <row r="12229">
      <c r="A12229" t="inlineStr">
        <is>
          <t>Stadtwerke Brixen - ASM Bressanone,  Bressanone/Brixen, Italy</t>
        </is>
      </c>
      <c r="B12229" t="inlineStr">
        <is>
          <t>Collecting Point</t>
        </is>
      </c>
      <c r="C12229" t="inlineStr">
        <is>
          <t>SGS Germany GmbH, Emstek, DE</t>
        </is>
      </c>
      <c r="D12229" t="inlineStr">
        <is>
          <t>15.11.2026</t>
        </is>
      </c>
      <c r="E12229" t="inlineStr">
        <is>
          <t>Italy</t>
        </is>
      </c>
    </row>
    <row r="12230">
      <c r="A12230" t="inlineStr">
        <is>
          <t>Soa Service,  Lugo, Italy</t>
        </is>
      </c>
      <c r="B12230" t="inlineStr">
        <is>
          <t>Collecting Point</t>
        </is>
      </c>
      <c r="C12230" t="inlineStr">
        <is>
          <t>SGS Germany GmbH, Emstek, DE</t>
        </is>
      </c>
      <c r="D12230" t="inlineStr">
        <is>
          <t>15.11.2026</t>
        </is>
      </c>
      <c r="E12230" t="inlineStr">
        <is>
          <t>Italy</t>
        </is>
      </c>
    </row>
    <row r="12231">
      <c r="A12231" t="inlineStr">
        <is>
          <t>Solvay Silica Korea Co., Ltd,  Gunsan, South Korea</t>
        </is>
      </c>
      <c r="B12231" t="inlineStr">
        <is>
          <t>Processing Unit</t>
        </is>
      </c>
      <c r="C12231" t="inlineStr">
        <is>
          <t>DNV Business Assurance Sweden AB, Solna, SE</t>
        </is>
      </c>
      <c r="D12231" t="inlineStr">
        <is>
          <t>15.11.2026</t>
        </is>
      </c>
      <c r="E12231" t="inlineStr">
        <is>
          <t>South Korea</t>
        </is>
      </c>
    </row>
    <row r="12232">
      <c r="A12232" t="inlineStr">
        <is>
          <t>Dorf-Ketal Chemicals India Limited,  Raigad, India</t>
        </is>
      </c>
      <c r="B12232" t="inlineStr">
        <is>
          <t>Processing Unit, Trader, Trader with Storage</t>
        </is>
      </c>
      <c r="C12232" t="inlineStr">
        <is>
          <t>Alcumus ISOQAR Ltd, Stretford, Manchester, GB</t>
        </is>
      </c>
      <c r="D12232" t="inlineStr">
        <is>
          <t>15.11.2026</t>
        </is>
      </c>
      <c r="E12232" t="inlineStr">
        <is>
          <t>India</t>
        </is>
      </c>
    </row>
    <row r="12233">
      <c r="A12233" t="inlineStr">
        <is>
          <t>ATS GREEN GLOBAL (M) SDN BHD,  BANDAR BARU BANGI, SELANGOR, Malaysia</t>
        </is>
      </c>
      <c r="B12233" t="inlineStr">
        <is>
          <t>Collecting Point, Trader with Storage</t>
        </is>
      </c>
      <c r="C12233" t="inlineStr">
        <is>
          <t>Trans Certification and Inspection Sdn Bhd, Kuantan, MY</t>
        </is>
      </c>
      <c r="D12233" t="inlineStr">
        <is>
          <t>15.11.2026</t>
        </is>
      </c>
      <c r="E12233" t="inlineStr">
        <is>
          <t>Malaysia</t>
        </is>
      </c>
    </row>
    <row r="12234">
      <c r="A12234" t="inlineStr">
        <is>
          <t>Kuala Lumpur Kepong Berhad,  Lahad Datu, Sabah, Malaysia</t>
        </is>
      </c>
      <c r="B12234" t="inlineStr">
        <is>
          <t>Point of Origin, Processing Unit</t>
        </is>
      </c>
      <c r="C12234" t="inlineStr">
        <is>
          <t>Control Union Certifications Germany GmbH, Berlin, DE</t>
        </is>
      </c>
      <c r="D12234" t="inlineStr">
        <is>
          <t>15.11.2026</t>
        </is>
      </c>
      <c r="E12234" t="inlineStr">
        <is>
          <t>Malaysia</t>
        </is>
      </c>
    </row>
    <row r="12235">
      <c r="A12235" t="inlineStr">
        <is>
          <t>J G Pears (Newark) Ltd.,  Newark, United Kingdom</t>
        </is>
      </c>
      <c r="B12235" t="inlineStr">
        <is>
          <t>Point of Origin</t>
        </is>
      </c>
      <c r="C12235" t="inlineStr">
        <is>
          <t>SGS Germany GmbH, Emstek, DE</t>
        </is>
      </c>
      <c r="D12235" t="inlineStr">
        <is>
          <t>15.11.2026</t>
        </is>
      </c>
      <c r="E12235" t="inlineStr">
        <is>
          <t>United Kingdom</t>
        </is>
      </c>
    </row>
    <row r="12236">
      <c r="A12236" t="inlineStr">
        <is>
          <t>SC Miralexa Comercial SRL,  Cogealac Locality, Romania</t>
        </is>
      </c>
      <c r="B12236" t="inlineStr">
        <is>
          <t>First Gathering Point</t>
        </is>
      </c>
      <c r="C12236" t="inlineStr">
        <is>
          <t>SGS Germany GmbH, Emstek, DE</t>
        </is>
      </c>
      <c r="D12236" t="inlineStr">
        <is>
          <t>15.11.2026</t>
        </is>
      </c>
      <c r="E12236" t="inlineStr">
        <is>
          <t>Romania</t>
        </is>
      </c>
    </row>
    <row r="12237">
      <c r="A12237" t="inlineStr">
        <is>
          <t>Dongguan Zhongtang Chuangji industrial grease business Department,  Dongguan City, China</t>
        </is>
      </c>
      <c r="B12237" t="inlineStr">
        <is>
          <t>Collecting Point</t>
        </is>
      </c>
      <c r="C12237" t="inlineStr">
        <is>
          <t>RINA Services S.p.A., Genova, IT</t>
        </is>
      </c>
      <c r="D12237" t="inlineStr">
        <is>
          <t>15.11.2026</t>
        </is>
      </c>
      <c r="E12237" t="inlineStr">
        <is>
          <t>China</t>
        </is>
      </c>
    </row>
    <row r="12238">
      <c r="A12238" t="inlineStr">
        <is>
          <t>Ocean Energy Pte Ltd,  Suntec Tower 4, Singapore</t>
        </is>
      </c>
      <c r="B12238" t="inlineStr">
        <is>
          <t>Trader</t>
        </is>
      </c>
      <c r="C12238" t="inlineStr">
        <is>
          <t>Double Helix Tracking Technologies Pte Ltd, Singapore, SG</t>
        </is>
      </c>
      <c r="D12238" t="inlineStr">
        <is>
          <t>14.11.2026</t>
        </is>
      </c>
      <c r="E12238" t="inlineStr">
        <is>
          <t>Singapore</t>
        </is>
      </c>
    </row>
    <row r="12239">
      <c r="A12239" t="inlineStr">
        <is>
          <t>Greenergy Fuels Ltd.,  London, United Kingdom</t>
        </is>
      </c>
      <c r="B12239" t="inlineStr">
        <is>
          <t>Trader with Storage, Proof of Compliance Trader</t>
        </is>
      </c>
      <c r="C12239" t="inlineStr">
        <is>
          <t>Control Union Certifications Germany GmbH, Berlin, DE</t>
        </is>
      </c>
      <c r="D12239" t="inlineStr">
        <is>
          <t>14.11.2026</t>
        </is>
      </c>
      <c r="E12239" t="inlineStr">
        <is>
          <t>United Kingdom</t>
        </is>
      </c>
    </row>
    <row r="12240">
      <c r="A12240" t="inlineStr">
        <is>
          <t>EGC Enterprises,  Angono, The Philippines</t>
        </is>
      </c>
      <c r="B12240" t="inlineStr">
        <is>
          <t>Collecting Point, Trader with Storage</t>
        </is>
      </c>
      <c r="C12240" t="inlineStr">
        <is>
          <t>Control Union Certifications Germany GmbH, Berlin, DE</t>
        </is>
      </c>
      <c r="D12240" t="inlineStr">
        <is>
          <t>14.11.2026</t>
        </is>
      </c>
      <c r="E12240" t="inlineStr">
        <is>
          <t>The Philippines</t>
        </is>
      </c>
    </row>
    <row r="12241">
      <c r="A12241" t="inlineStr">
        <is>
          <t>Greensprout oil,  hallam, Australia</t>
        </is>
      </c>
      <c r="B12241" t="inlineStr">
        <is>
          <t>Collecting Point</t>
        </is>
      </c>
      <c r="C12241" t="inlineStr">
        <is>
          <t>Control Union Certifications Germany GmbH, Berlin, DE</t>
        </is>
      </c>
      <c r="D12241" t="inlineStr">
        <is>
          <t>14.11.2026</t>
        </is>
      </c>
      <c r="E12241" t="inlineStr">
        <is>
          <t>Australia</t>
        </is>
      </c>
    </row>
    <row r="12242">
      <c r="A12242" t="inlineStr">
        <is>
          <t>Enterprise Products Operating LLC,  Mont Belvieu, United States</t>
        </is>
      </c>
      <c r="B12242" t="inlineStr">
        <is>
          <t>Processing Unit</t>
        </is>
      </c>
      <c r="C12242" t="inlineStr">
        <is>
          <t>SCS Global Services, Emeryville, CA, US</t>
        </is>
      </c>
      <c r="D12242" t="inlineStr">
        <is>
          <t>14.11.2026</t>
        </is>
      </c>
      <c r="E12242" t="inlineStr">
        <is>
          <t>United States</t>
        </is>
      </c>
    </row>
    <row r="12243">
      <c r="A12243" t="inlineStr">
        <is>
          <t>Lixin Jingshun Animal Products Co., Ltd,  Bozhou (AH), China</t>
        </is>
      </c>
      <c r="B12243" t="inlineStr">
        <is>
          <t>Collecting Point</t>
        </is>
      </c>
      <c r="C12243" t="inlineStr">
        <is>
          <t>RINA Services S.p.A., Genova, IT</t>
        </is>
      </c>
      <c r="D12243" t="inlineStr">
        <is>
          <t>14.11.2026</t>
        </is>
      </c>
      <c r="E12243" t="inlineStr">
        <is>
          <t>China</t>
        </is>
      </c>
    </row>
    <row r="12244">
      <c r="A12244" t="inlineStr">
        <is>
          <t>FOL MEX, S.A. de C.V.,  ESTADO DE MEXICO, Mexico</t>
        </is>
      </c>
      <c r="B12244" t="inlineStr">
        <is>
          <t>Processing Unit</t>
        </is>
      </c>
      <c r="C12244" t="inlineStr">
        <is>
          <t>SCS Global Services, Emeryville, CA, US</t>
        </is>
      </c>
      <c r="D12244" t="inlineStr">
        <is>
          <t>14.11.2026</t>
        </is>
      </c>
      <c r="E12244" t="inlineStr">
        <is>
          <t>Mexico</t>
        </is>
      </c>
    </row>
    <row r="12245">
      <c r="A12245" t="inlineStr">
        <is>
          <t>First Editions Ltd,  Birmingham, United Kingdom</t>
        </is>
      </c>
      <c r="B12245" t="inlineStr">
        <is>
          <t>Processing Unit</t>
        </is>
      </c>
      <c r="C12245" t="inlineStr">
        <is>
          <t>Aardvark Certification Ltd, Wiveliscombe, Somerset, GB</t>
        </is>
      </c>
      <c r="D12245" t="inlineStr">
        <is>
          <t>14.11.2026</t>
        </is>
      </c>
      <c r="E12245" t="inlineStr">
        <is>
          <t>United Kingdom</t>
        </is>
      </c>
    </row>
    <row r="12246">
      <c r="A12246" t="inlineStr">
        <is>
          <t>Future Prelude Sdn Bhd,  Pelabuhan Klang, Malaysia</t>
        </is>
      </c>
      <c r="B12246" t="inlineStr">
        <is>
          <t>Point of Origin, Processing Unit, Trader with Storage</t>
        </is>
      </c>
      <c r="C12246" t="inlineStr">
        <is>
          <t>Global Gateway Certifications Sdn Bhd, Ampang, MY</t>
        </is>
      </c>
      <c r="D12246" t="inlineStr">
        <is>
          <t>14.11.2026</t>
        </is>
      </c>
      <c r="E12246" t="inlineStr">
        <is>
          <t>Malaysia</t>
        </is>
      </c>
    </row>
    <row r="12247">
      <c r="A12247" t="inlineStr">
        <is>
          <t>BATARA ELOK SEMESTA TERPADU,  GRESIK, Indonesia</t>
        </is>
      </c>
      <c r="B12247" t="inlineStr">
        <is>
          <t>Point of Origin</t>
        </is>
      </c>
      <c r="C12247" t="inlineStr">
        <is>
          <t>PT Intertek Utama Services, Jakarta, ID</t>
        </is>
      </c>
      <c r="D12247" t="inlineStr">
        <is>
          <t>14.11.2026</t>
        </is>
      </c>
      <c r="E12247" t="inlineStr">
        <is>
          <t>Indonesia</t>
        </is>
      </c>
    </row>
    <row r="12248">
      <c r="A12248" t="inlineStr">
        <is>
          <t>DRYLOCK TECHNOLOGIES, S.L.,  Segovia, Spain</t>
        </is>
      </c>
      <c r="B12248" t="inlineStr">
        <is>
          <t>Processing Unit</t>
        </is>
      </c>
      <c r="C12248" t="inlineStr">
        <is>
          <t>BMC Assurance, S.L, Santander, ES</t>
        </is>
      </c>
      <c r="D12248" t="inlineStr">
        <is>
          <t>14.11.2026</t>
        </is>
      </c>
      <c r="E12248" t="inlineStr">
        <is>
          <t>Spain</t>
        </is>
      </c>
    </row>
    <row r="12249">
      <c r="A12249" t="inlineStr">
        <is>
          <t>Agro-Szab Kft.,  Botykapeterd, Hungary</t>
        </is>
      </c>
      <c r="B12249" t="inlineStr">
        <is>
          <t>First Gathering Point, Trader with Storage</t>
        </is>
      </c>
      <c r="C12249" t="inlineStr">
        <is>
          <t>Certificadora Gallega del Noroeste SL, Vilagarcia de Arousa-Pontevedra, ES</t>
        </is>
      </c>
      <c r="D12249" t="inlineStr">
        <is>
          <t>14.11.2026</t>
        </is>
      </c>
      <c r="E12249" t="inlineStr">
        <is>
          <t>Hungary</t>
        </is>
      </c>
    </row>
    <row r="12250">
      <c r="A12250" t="inlineStr">
        <is>
          <t>Sichuan Jingu Environmental Protection Technology Co., Ltd.,  Guang'an City, Sichuan Province, China</t>
        </is>
      </c>
      <c r="B12250" t="inlineStr">
        <is>
          <t>Collecting Point, Processing Unit, Trader with Storage</t>
        </is>
      </c>
      <c r="C12250" t="inlineStr">
        <is>
          <t>China Standard Conformity Assessment Co. Ltd, Beijing, CN</t>
        </is>
      </c>
      <c r="D12250" t="inlineStr">
        <is>
          <t>14.11.2026</t>
        </is>
      </c>
      <c r="E12250" t="inlineStr">
        <is>
          <t>China</t>
        </is>
      </c>
    </row>
    <row r="12251">
      <c r="A12251" t="inlineStr">
        <is>
          <t>Dřevotvar Družstvo,  Jablonné nad Orlicí, Czech Republic</t>
        </is>
      </c>
      <c r="B12251" t="inlineStr">
        <is>
          <t>Final Product Refinement</t>
        </is>
      </c>
      <c r="C12251" t="inlineStr">
        <is>
          <t>TÜV SÜD Czech s.r.o., Praha 4, CZ</t>
        </is>
      </c>
      <c r="D12251" t="inlineStr">
        <is>
          <t>14.11.2026</t>
        </is>
      </c>
      <c r="E12251" t="inlineStr">
        <is>
          <t>Czech Republic</t>
        </is>
      </c>
    </row>
    <row r="12252">
      <c r="A12252" t="inlineStr">
        <is>
          <t>Evos Amsterdam West B.V.,  Amsterdam, Netherlands</t>
        </is>
      </c>
      <c r="B12252" t="inlineStr">
        <is>
          <t>Warehouse</t>
        </is>
      </c>
      <c r="C12252" t="inlineStr">
        <is>
          <t>Control Union Certifications Germany GmbH, Berlin, DE</t>
        </is>
      </c>
      <c r="D12252" t="inlineStr">
        <is>
          <t>14.11.2026</t>
        </is>
      </c>
      <c r="E12252" t="inlineStr">
        <is>
          <t>Netherlands</t>
        </is>
      </c>
    </row>
    <row r="12253">
      <c r="A12253" t="inlineStr">
        <is>
          <t>Amarus International PTE LTD,  Singapore, Singapore</t>
        </is>
      </c>
      <c r="B12253" t="inlineStr">
        <is>
          <t>Trader with Storage</t>
        </is>
      </c>
      <c r="C12253" t="inlineStr">
        <is>
          <t>Certificadora Gallega del Noroeste SL, Vilagarcia de Arousa-Pontevedra, ES</t>
        </is>
      </c>
      <c r="D12253" t="inlineStr">
        <is>
          <t>14.11.2026</t>
        </is>
      </c>
      <c r="E12253" t="inlineStr">
        <is>
          <t>Singapore</t>
        </is>
      </c>
    </row>
    <row r="12254">
      <c r="A12254" t="inlineStr">
        <is>
          <t>PATAGONIA BIOENERGIA,  SAN LORENZO, Argentina</t>
        </is>
      </c>
      <c r="B12254" t="inlineStr">
        <is>
          <t>Point of Origin, Warehouse</t>
        </is>
      </c>
      <c r="C12254" t="inlineStr">
        <is>
          <t>Control Union Certifications Germany GmbH, Berlin, DE</t>
        </is>
      </c>
      <c r="D12254" t="inlineStr">
        <is>
          <t>14.11.2026</t>
        </is>
      </c>
      <c r="E12254" t="inlineStr">
        <is>
          <t>Argentina</t>
        </is>
      </c>
    </row>
    <row r="12255">
      <c r="A12255" t="inlineStr">
        <is>
          <t>AL Grain Kft.,  Tamási, Hungary</t>
        </is>
      </c>
      <c r="B12255" t="inlineStr">
        <is>
          <t>First Gathering Point, Trader with Storage</t>
        </is>
      </c>
      <c r="C12255" t="inlineStr">
        <is>
          <t>Certificadora Gallega del Noroeste SL, Vilagarcia de Arousa-Pontevedra, ES</t>
        </is>
      </c>
      <c r="D12255" t="inlineStr">
        <is>
          <t>14.11.2026</t>
        </is>
      </c>
      <c r="E12255" t="inlineStr">
        <is>
          <t>Hungary</t>
        </is>
      </c>
    </row>
    <row r="12256">
      <c r="A12256" t="inlineStr">
        <is>
          <t>Lianchuang Insulating Materials (Taixing) Co., Ltd.,  Taixing, China</t>
        </is>
      </c>
      <c r="B12256" t="inlineStr">
        <is>
          <t>Processing Unit</t>
        </is>
      </c>
      <c r="C12256" t="inlineStr">
        <is>
          <t>PT Intertek Utama Services, Jakarta, ID</t>
        </is>
      </c>
      <c r="D12256" t="inlineStr">
        <is>
          <t>14.11.2026</t>
        </is>
      </c>
      <c r="E12256" t="inlineStr">
        <is>
          <t>China</t>
        </is>
      </c>
    </row>
    <row r="12257">
      <c r="A12257" t="inlineStr">
        <is>
          <t>Tailun Electronic Materials (Suzhou) Co., Ltd.,  Suzhou, China</t>
        </is>
      </c>
      <c r="B12257" t="inlineStr">
        <is>
          <t>Trader with Storage</t>
        </is>
      </c>
      <c r="C12257" t="inlineStr">
        <is>
          <t>PT Intertek Utama Services, Jakarta, ID</t>
        </is>
      </c>
      <c r="D12257" t="inlineStr">
        <is>
          <t>14.11.2026</t>
        </is>
      </c>
      <c r="E12257" t="inlineStr">
        <is>
          <t>China</t>
        </is>
      </c>
    </row>
    <row r="12258">
      <c r="A12258" t="inlineStr">
        <is>
          <t>Rakyat Ketengah Perwira,  Bandar Cheneh Baru, Malaysia</t>
        </is>
      </c>
      <c r="B12258" t="inlineStr">
        <is>
          <t>Point of Origin</t>
        </is>
      </c>
      <c r="C12258" t="inlineStr">
        <is>
          <t>Global Gateway Certifications Sdn Bhd, Ampang, MY</t>
        </is>
      </c>
      <c r="D12258" t="inlineStr">
        <is>
          <t>14.11.2026</t>
        </is>
      </c>
      <c r="E12258" t="inlineStr">
        <is>
          <t>Malaysia</t>
        </is>
      </c>
    </row>
    <row r="12259">
      <c r="A12259" t="inlineStr">
        <is>
          <t>SEMERENKY AGROFARM,  Pechyny Village, Ukraine</t>
        </is>
      </c>
      <c r="B12259" t="inlineStr">
        <is>
          <t>Farm / Plantation, Trader with Storage</t>
        </is>
      </c>
      <c r="C12259" t="inlineStr">
        <is>
          <t>Bureau Veritas Polska Sp. z o.o., Warsaw, PL</t>
        </is>
      </c>
      <c r="D12259" t="inlineStr">
        <is>
          <t>14.11.2026</t>
        </is>
      </c>
      <c r="E12259" t="inlineStr">
        <is>
          <t>Ukraine</t>
        </is>
      </c>
    </row>
    <row r="12260">
      <c r="A12260" t="inlineStr">
        <is>
          <t>Shanxi Anlun Chemical Co., Ltd.,  Hejin, Yuncheng，Shanxi, China</t>
        </is>
      </c>
      <c r="B12260" t="inlineStr">
        <is>
          <t>Processing Unit</t>
        </is>
      </c>
      <c r="C12260" t="inlineStr">
        <is>
          <t>China Classification Society Certification Co., Ltd, Dong Cheng District, Beijing, CN</t>
        </is>
      </c>
      <c r="D12260" t="inlineStr">
        <is>
          <t>14.11.2026</t>
        </is>
      </c>
      <c r="E12260" t="inlineStr">
        <is>
          <t>China</t>
        </is>
      </c>
    </row>
    <row r="12261">
      <c r="A12261" t="inlineStr">
        <is>
          <t>R.P.G.,  Spello, Italy</t>
        </is>
      </c>
      <c r="B12261" t="inlineStr">
        <is>
          <t>Collecting Point, Trader with Storage</t>
        </is>
      </c>
      <c r="C12261" t="inlineStr">
        <is>
          <t>SGS Germany GmbH, Emstek, DE</t>
        </is>
      </c>
      <c r="D12261" t="inlineStr">
        <is>
          <t>14.11.2026</t>
        </is>
      </c>
      <c r="E12261" t="inlineStr">
        <is>
          <t>Italy</t>
        </is>
      </c>
    </row>
    <row r="12262">
      <c r="A12262" t="inlineStr">
        <is>
          <t>Lubrizol Specialty Chemicals Manufacturing (Shanghai) Co., Ltd,  Shanghai, China</t>
        </is>
      </c>
      <c r="B12262" t="inlineStr">
        <is>
          <t>Processing Unit</t>
        </is>
      </c>
      <c r="C12262" t="inlineStr">
        <is>
          <t>SGS Germany GmbH, Emstek, DE</t>
        </is>
      </c>
      <c r="D12262" t="inlineStr">
        <is>
          <t>14.11.2026</t>
        </is>
      </c>
      <c r="E12262" t="inlineStr">
        <is>
          <t>China</t>
        </is>
      </c>
    </row>
    <row r="12263">
      <c r="A12263" t="inlineStr">
        <is>
          <t>DYKA RESEAUX SAS,  GAILLON, France</t>
        </is>
      </c>
      <c r="B12263" t="inlineStr">
        <is>
          <t>Processing Unit</t>
        </is>
      </c>
      <c r="C12263" t="inlineStr">
        <is>
          <t>DEKRA Certification B.V., Arnhem, NL</t>
        </is>
      </c>
      <c r="D12263" t="inlineStr">
        <is>
          <t>14.11.2026</t>
        </is>
      </c>
      <c r="E12263" t="inlineStr">
        <is>
          <t>France</t>
        </is>
      </c>
    </row>
    <row r="12264">
      <c r="A12264" t="inlineStr">
        <is>
          <t>Perstorp Specialty Chemicals AB,  Perstorp, Sweden</t>
        </is>
      </c>
      <c r="B12264" t="inlineStr">
        <is>
          <t>Trader, Trader with Storage, Processing Unit</t>
        </is>
      </c>
      <c r="C12264" t="inlineStr">
        <is>
          <t>SGS Germany GmbH, Emstek, DE</t>
        </is>
      </c>
      <c r="D12264" t="inlineStr">
        <is>
          <t>14.11.2026</t>
        </is>
      </c>
      <c r="E12264" t="inlineStr">
        <is>
          <t>Sweden</t>
        </is>
      </c>
    </row>
    <row r="12265">
      <c r="A12265" t="inlineStr">
        <is>
          <t>Fujiseal Inc.,  Kanda,Chiyoda-ku,Tokyo, Japan</t>
        </is>
      </c>
      <c r="B12265" t="inlineStr">
        <is>
          <t>Trader</t>
        </is>
      </c>
      <c r="C12265" t="inlineStr">
        <is>
          <t>SGS Germany GmbH, Emstek, DE</t>
        </is>
      </c>
      <c r="D12265" t="inlineStr">
        <is>
          <t>14.11.2026</t>
        </is>
      </c>
      <c r="E12265" t="inlineStr">
        <is>
          <t>Japan</t>
        </is>
      </c>
    </row>
    <row r="12266">
      <c r="A12266" t="inlineStr">
        <is>
          <t>PUNTO PACK ,  ZOLA PREDOSA, Italy</t>
        </is>
      </c>
      <c r="B12266" t="inlineStr">
        <is>
          <t>Processing Unit</t>
        </is>
      </c>
      <c r="C12266" t="inlineStr">
        <is>
          <t>ICIM SpA, sesto san giovanni, IT</t>
        </is>
      </c>
      <c r="D12266" t="inlineStr">
        <is>
          <t>14.11.2026</t>
        </is>
      </c>
      <c r="E12266" t="inlineStr">
        <is>
          <t>Italy</t>
        </is>
      </c>
    </row>
    <row r="12267">
      <c r="A12267" t="inlineStr">
        <is>
          <t>Tian Siang Oil Mill (Triang),  Paya Lang Triang, Malaysia</t>
        </is>
      </c>
      <c r="B12267" t="inlineStr">
        <is>
          <t>Point of Origin</t>
        </is>
      </c>
      <c r="C12267" t="inlineStr">
        <is>
          <t>Trans Certification and Inspection Sdn Bhd, Kuantan, MY</t>
        </is>
      </c>
      <c r="D12267" t="inlineStr">
        <is>
          <t>14.11.2026</t>
        </is>
      </c>
      <c r="E12267" t="inlineStr">
        <is>
          <t>Malaysia</t>
        </is>
      </c>
    </row>
    <row r="12268">
      <c r="A12268" t="inlineStr">
        <is>
          <t>Sindal Biogas,  Sindal, Denmark</t>
        </is>
      </c>
      <c r="B12268" t="inlineStr">
        <is>
          <t>Collecting Point, First Gathering Point, Processing Unit</t>
        </is>
      </c>
      <c r="C12268" t="inlineStr">
        <is>
          <t>Baltic Control Certification, Risskov, DK</t>
        </is>
      </c>
      <c r="D12268" t="inlineStr">
        <is>
          <t>14.11.2026</t>
        </is>
      </c>
      <c r="E12268" t="inlineStr">
        <is>
          <t>Denmark</t>
        </is>
      </c>
    </row>
    <row r="12269">
      <c r="A12269" t="inlineStr">
        <is>
          <t>NAN YA PLASTICS CORPORATION,  Zhongxing Village, Mailiao Township, Yunlin County, Taiwan</t>
        </is>
      </c>
      <c r="B12269" t="inlineStr">
        <is>
          <t>Processing Unit</t>
        </is>
      </c>
      <c r="C12269" t="inlineStr">
        <is>
          <t>Control Union Certifications Germany GmbH, Berlin, DE</t>
        </is>
      </c>
      <c r="D12269" t="inlineStr">
        <is>
          <t>14.11.2026</t>
        </is>
      </c>
      <c r="E12269" t="inlineStr">
        <is>
          <t>Taiwan</t>
        </is>
      </c>
    </row>
    <row r="12270">
      <c r="A12270" t="inlineStr">
        <is>
          <t>Arkema,  Gissi, Italy</t>
        </is>
      </c>
      <c r="B12270" t="inlineStr">
        <is>
          <t>Processing Unit</t>
        </is>
      </c>
      <c r="C12270" t="inlineStr">
        <is>
          <t>DNV Business Assurance Sweden AB, Solna, SE</t>
        </is>
      </c>
      <c r="D12270" t="inlineStr">
        <is>
          <t>14.11.2026</t>
        </is>
      </c>
      <c r="E12270" t="inlineStr">
        <is>
          <t>Italy</t>
        </is>
      </c>
    </row>
    <row r="12271">
      <c r="A12271" t="inlineStr">
        <is>
          <t>Lubrizol Specialty Chemicals Manufacturing (Shanghai) Co., Ltd,  Shanghai, China</t>
        </is>
      </c>
      <c r="B12271" t="inlineStr">
        <is>
          <t>Processing Unit</t>
        </is>
      </c>
      <c r="C12271" t="inlineStr">
        <is>
          <t>SGS Germany GmbH, Emstek, DE</t>
        </is>
      </c>
      <c r="D12271" t="inlineStr">
        <is>
          <t>14.11.2026</t>
        </is>
      </c>
      <c r="E12271" t="inlineStr">
        <is>
          <t>China</t>
        </is>
      </c>
    </row>
    <row r="12272">
      <c r="A12272" t="inlineStr">
        <is>
          <t>Anthopoulos Stefanos,  Municipality of Axarnes, Greece</t>
        </is>
      </c>
      <c r="B12272" t="inlineStr">
        <is>
          <t>Collecting Point</t>
        </is>
      </c>
      <c r="C12272" t="inlineStr">
        <is>
          <t>Eurocert SA, Metamorfosi, Athens, GR</t>
        </is>
      </c>
      <c r="D12272" t="inlineStr">
        <is>
          <t>14.11.2026</t>
        </is>
      </c>
      <c r="E12272" t="inlineStr">
        <is>
          <t>Greece</t>
        </is>
      </c>
    </row>
    <row r="12273">
      <c r="A12273" t="inlineStr">
        <is>
          <t>Cabot China Limited,  Shanghai, China</t>
        </is>
      </c>
      <c r="B12273" t="inlineStr">
        <is>
          <t>Trader with Storage</t>
        </is>
      </c>
      <c r="C12273" t="inlineStr">
        <is>
          <t>Bureau Veritas Polska Sp. z o.o., Warsaw, PL</t>
        </is>
      </c>
      <c r="D12273" t="inlineStr">
        <is>
          <t>13.11.2026</t>
        </is>
      </c>
      <c r="E12273" t="inlineStr">
        <is>
          <t>China</t>
        </is>
      </c>
    </row>
    <row r="12274">
      <c r="A12274" t="inlineStr">
        <is>
          <t>Hammarplast Medical,  Lidköping, Sweden</t>
        </is>
      </c>
      <c r="B12274" t="inlineStr">
        <is>
          <t>Processing Unit</t>
        </is>
      </c>
      <c r="C12274" t="inlineStr">
        <is>
          <t>DNV Business Assurance Sweden AB, Solna, SE</t>
        </is>
      </c>
      <c r="D12274" t="inlineStr">
        <is>
          <t>13.11.2026</t>
        </is>
      </c>
      <c r="E12274" t="inlineStr">
        <is>
          <t>Sweden</t>
        </is>
      </c>
    </row>
    <row r="12275">
      <c r="A12275" t="inlineStr">
        <is>
          <t>Fitesa Italy srl,  Trezzano Rosa, Italy</t>
        </is>
      </c>
      <c r="B12275" t="inlineStr">
        <is>
          <t>Processing Unit</t>
        </is>
      </c>
      <c r="C12275" t="inlineStr">
        <is>
          <t>DNV Business Assurance Sweden AB, Solna, SE</t>
        </is>
      </c>
      <c r="D12275" t="inlineStr">
        <is>
          <t>13.11.2026</t>
        </is>
      </c>
      <c r="E12275" t="inlineStr">
        <is>
          <t>Italy</t>
        </is>
      </c>
    </row>
    <row r="12276">
      <c r="A12276" t="inlineStr">
        <is>
          <t>St1 Biokaasu Oy,  Helsinki, Finland</t>
        </is>
      </c>
      <c r="B12276" t="inlineStr">
        <is>
          <t>Trader</t>
        </is>
      </c>
      <c r="C12276" t="inlineStr">
        <is>
          <t>SCS Global Services, Emeryville, CA, US</t>
        </is>
      </c>
      <c r="D12276" t="inlineStr">
        <is>
          <t>13.11.2026</t>
        </is>
      </c>
      <c r="E12276" t="inlineStr">
        <is>
          <t>Finland</t>
        </is>
      </c>
    </row>
    <row r="12277">
      <c r="A12277" t="inlineStr">
        <is>
          <t>St1 Biogas AB,  Stockholm, Sweden</t>
        </is>
      </c>
      <c r="B12277" t="inlineStr">
        <is>
          <t>Trader with Storage</t>
        </is>
      </c>
      <c r="C12277" t="inlineStr">
        <is>
          <t>SCS Global Services, Emeryville, CA, US</t>
        </is>
      </c>
      <c r="D12277" t="inlineStr">
        <is>
          <t>13.11.2026</t>
        </is>
      </c>
      <c r="E12277" t="inlineStr">
        <is>
          <t>Sweden</t>
        </is>
      </c>
    </row>
    <row r="12278">
      <c r="A12278" t="inlineStr">
        <is>
          <t>Gemernákup, a.s.,  Rimavská Sobota, Slovakia</t>
        </is>
      </c>
      <c r="B12278" t="inlineStr">
        <is>
          <t>First Gathering Point, Trader with Storage</t>
        </is>
      </c>
      <c r="C12278" t="inlineStr">
        <is>
          <t>United Registrar of Systems Polska Sp. z o.o., Wrocław, PL</t>
        </is>
      </c>
      <c r="D12278" t="inlineStr">
        <is>
          <t>13.11.2026</t>
        </is>
      </c>
      <c r="E12278" t="inlineStr">
        <is>
          <t>Slovakia</t>
        </is>
      </c>
    </row>
    <row r="12279">
      <c r="A12279" t="inlineStr">
        <is>
          <t>PT. EcoOils Jaya Indonesia,  Gresik, Jawa Timur, Indonesia</t>
        </is>
      </c>
      <c r="B12279" t="inlineStr">
        <is>
          <t>Processing Unit, Trader with Storage</t>
        </is>
      </c>
      <c r="C12279" t="inlineStr">
        <is>
          <t>Control Union Certifications Germany GmbH, Berlin, DE</t>
        </is>
      </c>
      <c r="D12279" t="inlineStr">
        <is>
          <t>13.11.2026</t>
        </is>
      </c>
      <c r="E12279" t="inlineStr">
        <is>
          <t>Indonesia</t>
        </is>
      </c>
    </row>
    <row r="12280">
      <c r="A12280" t="inlineStr">
        <is>
          <t>GG2D, Get Green 2 Day,  Glostrup, Denmark</t>
        </is>
      </c>
      <c r="B12280" t="inlineStr">
        <is>
          <t>Collecting Point, Trader, Warehouse</t>
        </is>
      </c>
      <c r="C12280" t="inlineStr">
        <is>
          <t>Baltic Control Certification, Risskov, DK</t>
        </is>
      </c>
      <c r="D12280" t="inlineStr">
        <is>
          <t>13.11.2026</t>
        </is>
      </c>
      <c r="E12280" t="inlineStr">
        <is>
          <t>Denmark</t>
        </is>
      </c>
    </row>
    <row r="12281">
      <c r="A12281" t="inlineStr">
        <is>
          <t>Raizen Trading SA,  Geneva, Switzerland</t>
        </is>
      </c>
      <c r="B12281" t="inlineStr">
        <is>
          <t>Trader with Storage</t>
        </is>
      </c>
      <c r="C12281" t="inlineStr">
        <is>
          <t>PT Intertek Utama Services, Jakarta, ID</t>
        </is>
      </c>
      <c r="D12281" t="inlineStr">
        <is>
          <t>13.11.2026</t>
        </is>
      </c>
      <c r="E12281" t="inlineStr">
        <is>
          <t>Switzerland</t>
        </is>
      </c>
    </row>
    <row r="12282">
      <c r="A12282" t="inlineStr">
        <is>
          <t>Raizen Trading SA,  Geneva, Switzerland</t>
        </is>
      </c>
      <c r="B12282" t="inlineStr">
        <is>
          <t>Trader with Storage</t>
        </is>
      </c>
      <c r="C12282" t="inlineStr">
        <is>
          <t>PT Intertek Utama Services, Jakarta, ID</t>
        </is>
      </c>
      <c r="D12282" t="inlineStr">
        <is>
          <t>13.11.2026</t>
        </is>
      </c>
      <c r="E12282" t="inlineStr">
        <is>
          <t>Switzerland</t>
        </is>
      </c>
    </row>
    <row r="12283">
      <c r="A12283" t="inlineStr">
        <is>
          <t>Raizen Trading SA,  Geneva, Switzerland</t>
        </is>
      </c>
      <c r="B12283" t="inlineStr">
        <is>
          <t>Trader with Storage</t>
        </is>
      </c>
      <c r="C12283" t="inlineStr">
        <is>
          <t>PT Intertek Utama Services, Jakarta, ID</t>
        </is>
      </c>
      <c r="D12283" t="inlineStr">
        <is>
          <t>13.11.2026</t>
        </is>
      </c>
      <c r="E12283" t="inlineStr">
        <is>
          <t>Switzerland</t>
        </is>
      </c>
    </row>
    <row r="12284">
      <c r="A12284" t="inlineStr">
        <is>
          <t>The LYCRA Company, LLC,  Wilmington, United States</t>
        </is>
      </c>
      <c r="B12284" t="inlineStr">
        <is>
          <t>Trader with Storage</t>
        </is>
      </c>
      <c r="C12284" t="inlineStr">
        <is>
          <t>SCS Global Services, Emeryville, CA, US</t>
        </is>
      </c>
      <c r="D12284" t="inlineStr">
        <is>
          <t>13.11.2026</t>
        </is>
      </c>
      <c r="E12284" t="inlineStr">
        <is>
          <t>United States</t>
        </is>
      </c>
    </row>
    <row r="12285">
      <c r="A12285" t="inlineStr">
        <is>
          <t>Bons Negocios Comercio Importacao e exportacao,  Marmeleiro - Pr, Brazil</t>
        </is>
      </c>
      <c r="B12285" t="inlineStr">
        <is>
          <t>Collecting Point, Trader, Trader with Storage</t>
        </is>
      </c>
      <c r="C12285" t="inlineStr">
        <is>
          <t>QIMA, Centro, Botucatu - SP, CEP, BR</t>
        </is>
      </c>
      <c r="D12285" t="inlineStr">
        <is>
          <t>13.11.2026</t>
        </is>
      </c>
      <c r="E12285" t="inlineStr">
        <is>
          <t>Brazil</t>
        </is>
      </c>
    </row>
    <row r="12286">
      <c r="A12286" t="inlineStr">
        <is>
          <t>Pinghu Chengyi Biotechnology Co., LTD,  Pinghu City, Jiaxing City, China</t>
        </is>
      </c>
      <c r="B12286" t="inlineStr">
        <is>
          <t>Collecting Point, Trader with Storage</t>
        </is>
      </c>
      <c r="C12286" t="inlineStr">
        <is>
          <t>RINA Services S.p.A., Genova, IT</t>
        </is>
      </c>
      <c r="D12286" t="inlineStr">
        <is>
          <t>13.11.2026</t>
        </is>
      </c>
      <c r="E12286" t="inlineStr">
        <is>
          <t>China</t>
        </is>
      </c>
    </row>
    <row r="12287">
      <c r="A12287" t="inlineStr">
        <is>
          <t>PALMA GROUP SA,  Fribourg, Switzerland</t>
        </is>
      </c>
      <c r="B12287" t="inlineStr">
        <is>
          <t>Trader</t>
        </is>
      </c>
      <c r="C12287" t="inlineStr">
        <is>
          <t>Baltic Control Certification, Risskov, DK</t>
        </is>
      </c>
      <c r="D12287" t="inlineStr">
        <is>
          <t>13.11.2026</t>
        </is>
      </c>
      <c r="E12287" t="inlineStr">
        <is>
          <t>Switzerland</t>
        </is>
      </c>
    </row>
    <row r="12288">
      <c r="A12288" t="inlineStr">
        <is>
          <t>Shandong Mingquan New Material Technology Co., Ltd.,  Zhangqiu District, Jinan City, China</t>
        </is>
      </c>
      <c r="B12288" t="inlineStr">
        <is>
          <t>Processing Unit</t>
        </is>
      </c>
      <c r="C12288" t="inlineStr">
        <is>
          <t>SGS Germany GmbH, Emstek, DE</t>
        </is>
      </c>
      <c r="D12288" t="inlineStr">
        <is>
          <t>13.11.2026</t>
        </is>
      </c>
      <c r="E12288" t="inlineStr">
        <is>
          <t>China</t>
        </is>
      </c>
    </row>
    <row r="12289">
      <c r="A12289" t="inlineStr">
        <is>
          <t>Moor Bio-Energy,  Grantham, United Kingdom</t>
        </is>
      </c>
      <c r="B12289" t="inlineStr">
        <is>
          <t>First Gathering Point, Processing Unit</t>
        </is>
      </c>
      <c r="C12289" t="inlineStr">
        <is>
          <t>Double Helix Tracking Technologies Pte Ltd, Singapore, SG</t>
        </is>
      </c>
      <c r="D12289" t="inlineStr">
        <is>
          <t>13.11.2026</t>
        </is>
      </c>
      <c r="E12289" t="inlineStr">
        <is>
          <t>United Kingdom</t>
        </is>
      </c>
    </row>
    <row r="12290">
      <c r="A12290" t="inlineStr">
        <is>
          <t>MS BESTARI JAYA SDN BHD,  PASIR GUDANG, Malaysia</t>
        </is>
      </c>
      <c r="B12290" t="inlineStr">
        <is>
          <t>Collecting Point, Trader with Storage</t>
        </is>
      </c>
      <c r="C12290" t="inlineStr">
        <is>
          <t>PT Mutuagung Lestari, Depok, ID</t>
        </is>
      </c>
      <c r="D12290" t="inlineStr">
        <is>
          <t>13.11.2026</t>
        </is>
      </c>
      <c r="E12290" t="inlineStr">
        <is>
          <t>Malaysia</t>
        </is>
      </c>
    </row>
    <row r="12291">
      <c r="A12291" t="inlineStr">
        <is>
          <t>AXT Solutions Inc,  Rosario, Argentina</t>
        </is>
      </c>
      <c r="B12291" t="inlineStr">
        <is>
          <t>Trader</t>
        </is>
      </c>
      <c r="C12291" t="inlineStr">
        <is>
          <t>Amspec Iberia SL, Vilagarcia de Arousa-Pontevedra, ES</t>
        </is>
      </c>
      <c r="D12291" t="inlineStr">
        <is>
          <t>13.11.2026</t>
        </is>
      </c>
      <c r="E12291" t="inlineStr">
        <is>
          <t>Argentina</t>
        </is>
      </c>
    </row>
    <row r="12292">
      <c r="A12292" t="inlineStr">
        <is>
          <t>JIANGSU RUIXIANG CHEMICAL CO.,LTD,  Yizheng, China</t>
        </is>
      </c>
      <c r="B12292" t="inlineStr">
        <is>
          <t>Processing Unit</t>
        </is>
      </c>
      <c r="C12292" t="inlineStr">
        <is>
          <t>SGS Germany GmbH, Emstek, DE</t>
        </is>
      </c>
      <c r="D12292" t="inlineStr">
        <is>
          <t>13.11.2026</t>
        </is>
      </c>
      <c r="E12292" t="inlineStr">
        <is>
          <t>China</t>
        </is>
      </c>
    </row>
    <row r="12293">
      <c r="A12293" t="inlineStr">
        <is>
          <t>DWT BIO FUEL SDN BHD,  Senai, Malaysia</t>
        </is>
      </c>
      <c r="B12293" t="inlineStr">
        <is>
          <t>Collecting Point, Trader with Storage</t>
        </is>
      </c>
      <c r="C12293" t="inlineStr">
        <is>
          <t>Trans Certification and Inspection Sdn Bhd, Kuantan, MY</t>
        </is>
      </c>
      <c r="D12293" t="inlineStr">
        <is>
          <t>13.11.2026</t>
        </is>
      </c>
      <c r="E12293" t="inlineStr">
        <is>
          <t>Malaysia</t>
        </is>
      </c>
    </row>
    <row r="12294">
      <c r="A12294" t="inlineStr">
        <is>
          <t>Soloil Italia,  Modugno, Italy</t>
        </is>
      </c>
      <c r="B12294" t="inlineStr">
        <is>
          <t>Collecting Point, Processing Unit</t>
        </is>
      </c>
      <c r="C12294" t="inlineStr">
        <is>
          <t>SGS Germany GmbH, Emstek, DE</t>
        </is>
      </c>
      <c r="D12294" t="inlineStr">
        <is>
          <t>13.11.2026</t>
        </is>
      </c>
      <c r="E12294" t="inlineStr">
        <is>
          <t>Italy</t>
        </is>
      </c>
    </row>
    <row r="12295">
      <c r="A12295" t="inlineStr">
        <is>
          <t>Gansu Chinai Bioenergy System Co. Ltd.,  Lanzhou City, Gansu Province, China</t>
        </is>
      </c>
      <c r="B12295" t="inlineStr">
        <is>
          <t>Collecting Point, Processing Unit, Trader with Storage</t>
        </is>
      </c>
      <c r="C12295" t="inlineStr">
        <is>
          <t>SCS Global Services, Emeryville, CA, US</t>
        </is>
      </c>
      <c r="D12295" t="inlineStr">
        <is>
          <t>13.11.2026</t>
        </is>
      </c>
      <c r="E12295" t="inlineStr">
        <is>
          <t>China</t>
        </is>
      </c>
    </row>
    <row r="12296">
      <c r="A12296" t="inlineStr">
        <is>
          <t>BiogasTec Trading,  Gent, Belgium</t>
        </is>
      </c>
      <c r="B12296" t="inlineStr">
        <is>
          <t>Collecting Point, First Gathering Point, Trader with Storage</t>
        </is>
      </c>
      <c r="C12296" t="inlineStr">
        <is>
          <t>Control Union Certifications Germany GmbH, Berlin, DE</t>
        </is>
      </c>
      <c r="D12296" t="inlineStr">
        <is>
          <t>13.11.2026</t>
        </is>
      </c>
      <c r="E12296" t="inlineStr">
        <is>
          <t>Belgium</t>
        </is>
      </c>
    </row>
    <row r="12297">
      <c r="A12297" t="inlineStr">
        <is>
          <t>Zemes ukio kooperatyvas Vilkaviskio grudai,  Vilkaviškio r.sav., Lithuania</t>
        </is>
      </c>
      <c r="B12297" t="inlineStr">
        <is>
          <t>First Gathering Point, Trader with Storage</t>
        </is>
      </c>
      <c r="C12297" t="inlineStr">
        <is>
          <t>Bureau Veritas Polska Sp. z o.o., Warsaw, PL</t>
        </is>
      </c>
      <c r="D12297" t="inlineStr">
        <is>
          <t>13.11.2026</t>
        </is>
      </c>
      <c r="E12297" t="inlineStr">
        <is>
          <t>Lithuania</t>
        </is>
      </c>
    </row>
    <row r="12298">
      <c r="A12298" t="inlineStr">
        <is>
          <t>Wilmar Trading (Australia) Pty Ltd,  Hamilton, New Zealand</t>
        </is>
      </c>
      <c r="B12298" t="inlineStr">
        <is>
          <t>Collecting Point, Trader with Storage</t>
        </is>
      </c>
      <c r="C12298" t="inlineStr">
        <is>
          <t>SCS Global Services, Emeryville, CA, US</t>
        </is>
      </c>
      <c r="D12298" t="inlineStr">
        <is>
          <t>13.11.2026</t>
        </is>
      </c>
      <c r="E12298" t="inlineStr">
        <is>
          <t>New Zealand</t>
        </is>
      </c>
    </row>
    <row r="12299">
      <c r="A12299" t="inlineStr">
        <is>
          <t>Wilmar Trading (Australia) Pty Ltd,  Hamilton, New Zealand</t>
        </is>
      </c>
      <c r="B12299" t="inlineStr">
        <is>
          <t>Collecting Point, Trader with Storage</t>
        </is>
      </c>
      <c r="C12299" t="inlineStr">
        <is>
          <t>SCS Global Services, Emeryville, CA, US</t>
        </is>
      </c>
      <c r="D12299" t="inlineStr">
        <is>
          <t>13.11.2026</t>
        </is>
      </c>
      <c r="E12299" t="inlineStr">
        <is>
          <t>New Zealand</t>
        </is>
      </c>
    </row>
    <row r="12300">
      <c r="A12300" t="inlineStr">
        <is>
          <t>Wilmar Trading (Australia) Pty Ltd,  Darra, Australia</t>
        </is>
      </c>
      <c r="B12300" t="inlineStr">
        <is>
          <t>Collecting Point, Trader with Storage</t>
        </is>
      </c>
      <c r="C12300" t="inlineStr">
        <is>
          <t>SCS Global Services, Emeryville, CA, US</t>
        </is>
      </c>
      <c r="D12300" t="inlineStr">
        <is>
          <t>13.11.2026</t>
        </is>
      </c>
      <c r="E12300" t="inlineStr">
        <is>
          <t>Australia</t>
        </is>
      </c>
    </row>
    <row r="12301">
      <c r="A12301" t="inlineStr">
        <is>
          <t>Collanti concorde,  Vittorio Veneto, Italy</t>
        </is>
      </c>
      <c r="B12301" t="inlineStr">
        <is>
          <t>Processing Unit</t>
        </is>
      </c>
      <c r="C12301" t="inlineStr">
        <is>
          <t>DNV Business Assurance Sweden AB, Solna, SE</t>
        </is>
      </c>
      <c r="D12301" t="inlineStr">
        <is>
          <t>13.11.2026</t>
        </is>
      </c>
      <c r="E12301" t="inlineStr">
        <is>
          <t>Italy</t>
        </is>
      </c>
    </row>
    <row r="12302">
      <c r="A12302" t="inlineStr">
        <is>
          <t>HEIGHT INTERNATIONAL TRADE PTE. LTD.,  Jiangyin City, Jiangsu Province, China</t>
        </is>
      </c>
      <c r="B12302" t="inlineStr">
        <is>
          <t>Trader</t>
        </is>
      </c>
      <c r="C12302" t="inlineStr">
        <is>
          <t>RINA Services S.p.A., Genova, IT</t>
        </is>
      </c>
      <c r="D12302" t="inlineStr">
        <is>
          <t>13.11.2026</t>
        </is>
      </c>
      <c r="E12302" t="inlineStr">
        <is>
          <t>China</t>
        </is>
      </c>
    </row>
    <row r="12303">
      <c r="A12303" t="inlineStr">
        <is>
          <t>Changzhou Jintan Liangyou Oil &amp; Fats Co.,Ltd.,  Changzhou City, Jiangsu Province, China</t>
        </is>
      </c>
      <c r="B12303" t="inlineStr">
        <is>
          <t>Collecting Point, Processing Unit, Trader with Storage</t>
        </is>
      </c>
      <c r="C12303" t="inlineStr">
        <is>
          <t>SCS Global Services, Emeryville, CA, US</t>
        </is>
      </c>
      <c r="D12303" t="inlineStr">
        <is>
          <t>13.11.2026</t>
        </is>
      </c>
      <c r="E12303" t="inlineStr">
        <is>
          <t>China</t>
        </is>
      </c>
    </row>
    <row r="12304">
      <c r="A12304" t="inlineStr">
        <is>
          <t>Seda Iberica - Embalagens SA,  Paco de Arcos, Portugal</t>
        </is>
      </c>
      <c r="B12304" t="inlineStr">
        <is>
          <t>Processing Unit</t>
        </is>
      </c>
      <c r="C12304" t="inlineStr">
        <is>
          <t>SGS Germany GmbH, Emstek, DE</t>
        </is>
      </c>
      <c r="D12304" t="inlineStr">
        <is>
          <t>13.11.2026</t>
        </is>
      </c>
      <c r="E12304" t="inlineStr">
        <is>
          <t>Portugal</t>
        </is>
      </c>
    </row>
    <row r="12305">
      <c r="A12305" t="inlineStr">
        <is>
          <t>MJ GREEN ENERGY SDN BHD,  MIRI, Malaysia</t>
        </is>
      </c>
      <c r="B12305" t="inlineStr">
        <is>
          <t>Collecting Point, Trader with Storage</t>
        </is>
      </c>
      <c r="C12305" t="inlineStr">
        <is>
          <t>Trans Certification and Inspection Sdn Bhd, Kuantan, MY</t>
        </is>
      </c>
      <c r="D12305" t="inlineStr">
        <is>
          <t>13.11.2026</t>
        </is>
      </c>
      <c r="E12305" t="inlineStr">
        <is>
          <t>Malaysia</t>
        </is>
      </c>
    </row>
    <row r="12306">
      <c r="A12306" t="inlineStr">
        <is>
          <t>Kelompok Tani Bersama Tani Maju,  Kab. Mempawah, Indonesia</t>
        </is>
      </c>
      <c r="B12306" t="inlineStr">
        <is>
          <t>Point of Origin</t>
        </is>
      </c>
      <c r="C12306" t="inlineStr">
        <is>
          <t>Trans Certification and Inspection Sdn Bhd, Kuantan, MY</t>
        </is>
      </c>
      <c r="D12306" t="inlineStr">
        <is>
          <t>13.11.2026</t>
        </is>
      </c>
      <c r="E12306" t="inlineStr">
        <is>
          <t>Indonesia</t>
        </is>
      </c>
    </row>
    <row r="12307">
      <c r="A12307" t="inlineStr">
        <is>
          <t>Vitafoam Ltd,  Dukinfield, United Kingdom</t>
        </is>
      </c>
      <c r="B12307" t="inlineStr">
        <is>
          <t>Final Product Refinement</t>
        </is>
      </c>
      <c r="C12307" t="inlineStr">
        <is>
          <t>SGS Germany GmbH, Emstek, DE</t>
        </is>
      </c>
      <c r="D12307" t="inlineStr">
        <is>
          <t>13.11.2026</t>
        </is>
      </c>
      <c r="E12307" t="inlineStr">
        <is>
          <t>United Kingdom</t>
        </is>
      </c>
    </row>
    <row r="12308">
      <c r="A12308" t="inlineStr">
        <is>
          <t>Biocom Energía S.L.U.,  Algemesí, Valencia, Spain</t>
        </is>
      </c>
      <c r="B12308" t="inlineStr">
        <is>
          <t>Point of Origin, Trader with Storage, Processing Unit</t>
        </is>
      </c>
      <c r="C12308" t="inlineStr">
        <is>
          <t>SGS Germany GmbH, Emstek, DE</t>
        </is>
      </c>
      <c r="D12308" t="inlineStr">
        <is>
          <t>13.11.2026</t>
        </is>
      </c>
      <c r="E12308" t="inlineStr">
        <is>
          <t>Spain</t>
        </is>
      </c>
    </row>
    <row r="12309">
      <c r="A12309" t="inlineStr">
        <is>
          <t>H &amp; L GREEN ENERGY SDN. BHD.,  KUCHING, Malaysia</t>
        </is>
      </c>
      <c r="B12309" t="inlineStr">
        <is>
          <t>Collecting Point, Trader with Storage</t>
        </is>
      </c>
      <c r="C12309" t="inlineStr">
        <is>
          <t>Trans Certification and Inspection Sdn Bhd, Kuantan, MY</t>
        </is>
      </c>
      <c r="D12309" t="inlineStr">
        <is>
          <t>13.11.2026</t>
        </is>
      </c>
      <c r="E12309" t="inlineStr">
        <is>
          <t>Malaysia</t>
        </is>
      </c>
    </row>
    <row r="12310">
      <c r="A12310" t="inlineStr">
        <is>
          <t>FIRST FOUNDATION VIET NAM COMPANY LIMITED,  HAI PHONG City, Vietnam</t>
        </is>
      </c>
      <c r="B12310" t="inlineStr">
        <is>
          <t>Trader with Storage</t>
        </is>
      </c>
      <c r="C12310" t="inlineStr">
        <is>
          <t>Bureau Veritas Polska Sp. z o.o., Warsaw, PL</t>
        </is>
      </c>
      <c r="D12310" t="inlineStr">
        <is>
          <t>13.11.2026</t>
        </is>
      </c>
      <c r="E12310" t="inlineStr">
        <is>
          <t>Vietnam</t>
        </is>
      </c>
    </row>
    <row r="12311">
      <c r="A12311" t="inlineStr">
        <is>
          <t>ADACAT COMPANY,  Dong Nai Province, Vietnam</t>
        </is>
      </c>
      <c r="B12311" t="inlineStr">
        <is>
          <t>Processing Unit, Trader with Storage</t>
        </is>
      </c>
      <c r="C12311" t="inlineStr">
        <is>
          <t>RINA Services S.p.A., Genova, IT</t>
        </is>
      </c>
      <c r="D12311" t="inlineStr">
        <is>
          <t>13.11.2026</t>
        </is>
      </c>
      <c r="E12311" t="inlineStr">
        <is>
          <t>Vietnam</t>
        </is>
      </c>
    </row>
    <row r="12312">
      <c r="A12312" t="inlineStr">
        <is>
          <t>JOC International Technical Engineering Co.,Ltd.,  NanJing City, Jiangsu Province, China</t>
        </is>
      </c>
      <c r="B12312" t="inlineStr">
        <is>
          <t>Trader with Storage</t>
        </is>
      </c>
      <c r="C12312" t="inlineStr">
        <is>
          <t>RINA Services S.p.A., Genova, IT</t>
        </is>
      </c>
      <c r="D12312" t="inlineStr">
        <is>
          <t>13.11.2026</t>
        </is>
      </c>
      <c r="E12312" t="inlineStr">
        <is>
          <t>China</t>
        </is>
      </c>
    </row>
    <row r="12313">
      <c r="A12313" t="inlineStr">
        <is>
          <t>Residuos Murcia,  Lorqui, Murcia, Spain</t>
        </is>
      </c>
      <c r="B12313" t="inlineStr">
        <is>
          <t>Collecting Point, Trader with Storage</t>
        </is>
      </c>
      <c r="C12313" t="inlineStr">
        <is>
          <t>RINA Services S.p.A., Genova, IT</t>
        </is>
      </c>
      <c r="D12313" t="inlineStr">
        <is>
          <t>13.11.2026</t>
        </is>
      </c>
      <c r="E12313" t="inlineStr">
        <is>
          <t>Spain</t>
        </is>
      </c>
    </row>
    <row r="12314">
      <c r="A12314" t="inlineStr">
        <is>
          <t>BQ Dronten,  Dronten, Netherlands</t>
        </is>
      </c>
      <c r="B12314" t="inlineStr">
        <is>
          <t>Collecting Point, Trader with Storage</t>
        </is>
      </c>
      <c r="C12314" t="inlineStr">
        <is>
          <t>Control Union Certifications Germany GmbH, Berlin, DE</t>
        </is>
      </c>
      <c r="D12314" t="inlineStr">
        <is>
          <t>13.11.2026</t>
        </is>
      </c>
      <c r="E12314" t="inlineStr">
        <is>
          <t>Netherlands</t>
        </is>
      </c>
    </row>
    <row r="12315">
      <c r="A12315" t="inlineStr">
        <is>
          <t>PUREA Austria,  Regau, Austria</t>
        </is>
      </c>
      <c r="B12315" t="inlineStr">
        <is>
          <t>Point of Origin</t>
        </is>
      </c>
      <c r="C12315" t="inlineStr">
        <is>
          <t>agroVet GmbH, Enzersfeld, AT</t>
        </is>
      </c>
      <c r="D12315" t="inlineStr">
        <is>
          <t>13.11.2026</t>
        </is>
      </c>
      <c r="E12315" t="inlineStr">
        <is>
          <t>Austria</t>
        </is>
      </c>
    </row>
    <row r="12316">
      <c r="A12316" t="inlineStr">
        <is>
          <t>ADM Agri-Industries Company,  Winnipeg, Manitoba, Canada</t>
        </is>
      </c>
      <c r="B12316" t="inlineStr">
        <is>
          <t>Trader</t>
        </is>
      </c>
      <c r="C12316" t="inlineStr">
        <is>
          <t>Control Union Poland Sp. z o.o., Zielona Gora, PL</t>
        </is>
      </c>
      <c r="D12316" t="inlineStr">
        <is>
          <t>13.11.2026</t>
        </is>
      </c>
      <c r="E12316" t="inlineStr">
        <is>
          <t>Canada</t>
        </is>
      </c>
    </row>
    <row r="12317">
      <c r="A12317" t="inlineStr">
        <is>
          <t>Datong Chinai Energy Technology Co., Ltd.,  Yungang District, Datong City, Shanxi Province, China</t>
        </is>
      </c>
      <c r="B12317" t="inlineStr">
        <is>
          <t>Collecting Point, Processing Unit</t>
        </is>
      </c>
      <c r="C12317" t="inlineStr">
        <is>
          <t>SCS Global Services, Emeryville, CA, US</t>
        </is>
      </c>
      <c r="D12317" t="inlineStr">
        <is>
          <t>13.11.2026</t>
        </is>
      </c>
      <c r="E12317" t="inlineStr">
        <is>
          <t>China</t>
        </is>
      </c>
    </row>
    <row r="12318">
      <c r="A12318" t="inlineStr">
        <is>
          <t>Lianyungang Weites New Energy Technology Co., Ltd,  Lianyungang, Jiangsu Province, China</t>
        </is>
      </c>
      <c r="B12318" t="inlineStr">
        <is>
          <t>Trader</t>
        </is>
      </c>
      <c r="C12318" t="inlineStr">
        <is>
          <t>SCS Global Services, Emeryville, CA, US</t>
        </is>
      </c>
      <c r="D12318" t="inlineStr">
        <is>
          <t>13.11.2026</t>
        </is>
      </c>
      <c r="E12318" t="inlineStr">
        <is>
          <t>China</t>
        </is>
      </c>
    </row>
    <row r="12319">
      <c r="A12319" t="inlineStr">
        <is>
          <t>Hebei Humei Energy Technology Co., Ltd.,  Nanhe District Xingtai City, Hebei Province, China</t>
        </is>
      </c>
      <c r="B12319" t="inlineStr">
        <is>
          <t>Collecting Point, Trader with Storage</t>
        </is>
      </c>
      <c r="C12319" t="inlineStr">
        <is>
          <t>SCS Global Services, Emeryville, CA, US</t>
        </is>
      </c>
      <c r="D12319" t="inlineStr">
        <is>
          <t>13.11.2026</t>
        </is>
      </c>
      <c r="E12319" t="inlineStr">
        <is>
          <t>China</t>
        </is>
      </c>
    </row>
    <row r="12320">
      <c r="A12320" t="inlineStr">
        <is>
          <t>North Petroleum International Company Limited,  HONG KONG, China</t>
        </is>
      </c>
      <c r="B12320" t="inlineStr">
        <is>
          <t>Trader</t>
        </is>
      </c>
      <c r="C12320" t="inlineStr">
        <is>
          <t>SCS Global Services, Emeryville, CA, US</t>
        </is>
      </c>
      <c r="D12320" t="inlineStr">
        <is>
          <t>13.11.2026</t>
        </is>
      </c>
      <c r="E12320" t="inlineStr">
        <is>
          <t>China</t>
        </is>
      </c>
    </row>
    <row r="12321">
      <c r="A12321" t="inlineStr">
        <is>
          <t>OMV Bulgaria,  Sofia, Bulgaria</t>
        </is>
      </c>
      <c r="B12321" t="inlineStr">
        <is>
          <t>Proof of Compliance Trader, Trader with Storage</t>
        </is>
      </c>
      <c r="C12321" t="inlineStr">
        <is>
          <t>Bureau Veritas Polska Sp. z o.o., Warsaw, PL</t>
        </is>
      </c>
      <c r="D12321" t="inlineStr">
        <is>
          <t>13.11.2026</t>
        </is>
      </c>
      <c r="E12321" t="inlineStr">
        <is>
          <t>Bulgaria</t>
        </is>
      </c>
    </row>
    <row r="12322">
      <c r="A12322" t="inlineStr">
        <is>
          <t>New Chor Meng Co., Ltd.,  Bangpla, Bangplee, Samutprakarn, Thailand</t>
        </is>
      </c>
      <c r="B12322" t="inlineStr">
        <is>
          <t>Collecting Point, Processing Unit</t>
        </is>
      </c>
      <c r="C12322" t="inlineStr">
        <is>
          <t>SGS Germany GmbH, Emstek, DE</t>
        </is>
      </c>
      <c r="D12322" t="inlineStr">
        <is>
          <t>12.11.2026</t>
        </is>
      </c>
      <c r="E12322" t="inlineStr">
        <is>
          <t>Thailand</t>
        </is>
      </c>
    </row>
    <row r="12323">
      <c r="A12323" t="inlineStr">
        <is>
          <t>Jeroco Plantations Sdn Bhd,  Lahad Datu, Sabah, Malaysia</t>
        </is>
      </c>
      <c r="B12323" t="inlineStr">
        <is>
          <t>Point of Origin, Processing Unit</t>
        </is>
      </c>
      <c r="C12323" t="inlineStr">
        <is>
          <t>Control Union Certifications Germany GmbH, Berlin, DE</t>
        </is>
      </c>
      <c r="D12323" t="inlineStr">
        <is>
          <t>12.11.2026</t>
        </is>
      </c>
      <c r="E12323" t="inlineStr">
        <is>
          <t>Malaysia</t>
        </is>
      </c>
    </row>
    <row r="12324">
      <c r="A12324" t="inlineStr">
        <is>
          <t>Jeroco Plantations Sdn Bhd,  Lahad Datu, Sabah, Malaysia</t>
        </is>
      </c>
      <c r="B12324" t="inlineStr">
        <is>
          <t>Point of Origin, Processing Unit</t>
        </is>
      </c>
      <c r="C12324" t="inlineStr">
        <is>
          <t>Control Union Certifications Germany GmbH, Berlin, DE</t>
        </is>
      </c>
      <c r="D12324" t="inlineStr">
        <is>
          <t>12.11.2026</t>
        </is>
      </c>
      <c r="E12324" t="inlineStr">
        <is>
          <t>Malaysia</t>
        </is>
      </c>
    </row>
    <row r="12325">
      <c r="A12325" t="inlineStr">
        <is>
          <t>Hap Seng Plantations (River Estates) Sdn Bhd,  Lahad Datu, Sabah, Malaysia</t>
        </is>
      </c>
      <c r="B12325" t="inlineStr">
        <is>
          <t>Processing Unit</t>
        </is>
      </c>
      <c r="C12325" t="inlineStr">
        <is>
          <t>Control Union Certifications Germany GmbH, Berlin, DE</t>
        </is>
      </c>
      <c r="D12325" t="inlineStr">
        <is>
          <t>12.11.2026</t>
        </is>
      </c>
      <c r="E12325" t="inlineStr">
        <is>
          <t>Malaysia</t>
        </is>
      </c>
    </row>
    <row r="12326">
      <c r="A12326" t="inlineStr">
        <is>
          <t>Vale Rio Agro Industrial LTDA,  Apucarana / Paraná, Brazil</t>
        </is>
      </c>
      <c r="B12326" t="inlineStr">
        <is>
          <t>Collecting Point, Point of Origin, Processing Unit</t>
        </is>
      </c>
      <c r="C12326" t="inlineStr">
        <is>
          <t>QIMA, Centro, Botucatu - SP, CEP, BR</t>
        </is>
      </c>
      <c r="D12326" t="inlineStr">
        <is>
          <t>12.11.2026</t>
        </is>
      </c>
      <c r="E12326" t="inlineStr">
        <is>
          <t>Brazil</t>
        </is>
      </c>
    </row>
    <row r="12327">
      <c r="A12327" t="inlineStr">
        <is>
          <t>Gibaplast,  Gazzada Schianno, Italy</t>
        </is>
      </c>
      <c r="B12327" t="inlineStr">
        <is>
          <t>Processing Unit</t>
        </is>
      </c>
      <c r="C12327" t="inlineStr">
        <is>
          <t>ICIM SpA, sesto san giovanni, IT</t>
        </is>
      </c>
      <c r="D12327" t="inlineStr">
        <is>
          <t>12.11.2026</t>
        </is>
      </c>
      <c r="E12327" t="inlineStr">
        <is>
          <t>Italy</t>
        </is>
      </c>
    </row>
    <row r="12328">
      <c r="A12328" t="inlineStr">
        <is>
          <t>Wuyi New Sunny Industry&amp;Trading Co., Ltd.,  Wuyi County, Zhejiang Province, China</t>
        </is>
      </c>
      <c r="B12328" t="inlineStr">
        <is>
          <t>Final Product Refinement, Processing Unit, Trader</t>
        </is>
      </c>
      <c r="C12328" t="inlineStr">
        <is>
          <t>SCS Global Services, Emeryville, CA, US</t>
        </is>
      </c>
      <c r="D12328" t="inlineStr">
        <is>
          <t>12.11.2026</t>
        </is>
      </c>
      <c r="E12328" t="inlineStr">
        <is>
          <t>China</t>
        </is>
      </c>
    </row>
    <row r="12329">
      <c r="A12329" t="inlineStr">
        <is>
          <t>Hap Seng Plantations (River Estates) Sdn Bhd,  Lahad Datu, Sabah, Malaysia</t>
        </is>
      </c>
      <c r="B12329" t="inlineStr">
        <is>
          <t>Processing Unit</t>
        </is>
      </c>
      <c r="C12329" t="inlineStr">
        <is>
          <t>Control Union Certifications Germany GmbH, Berlin, DE</t>
        </is>
      </c>
      <c r="D12329" t="inlineStr">
        <is>
          <t>12.11.2026</t>
        </is>
      </c>
      <c r="E12329" t="inlineStr">
        <is>
          <t>Malaysia</t>
        </is>
      </c>
    </row>
    <row r="12330">
      <c r="A12330" t="inlineStr">
        <is>
          <t>BPS Kaloša s.r.o.,  Nižná Kaloša, Slovakia</t>
        </is>
      </c>
      <c r="B12330" t="inlineStr">
        <is>
          <t>Collecting Point, First Gathering Point, Processing Unit</t>
        </is>
      </c>
      <c r="C12330" t="inlineStr">
        <is>
          <t>United Registrar of Systems Polska Sp. z o.o., Wrocław, PL</t>
        </is>
      </c>
      <c r="D12330" t="inlineStr">
        <is>
          <t>12.11.2026</t>
        </is>
      </c>
      <c r="E12330" t="inlineStr">
        <is>
          <t>Slovakia</t>
        </is>
      </c>
    </row>
    <row r="12331">
      <c r="A12331" t="inlineStr">
        <is>
          <t>CAP SUSTAINABLE SOLUTIONS,  St Cugat Sesgarrigues, Spain</t>
        </is>
      </c>
      <c r="B12331" t="inlineStr">
        <is>
          <t>Processing Unit</t>
        </is>
      </c>
      <c r="C12331" t="inlineStr">
        <is>
          <t>SGS Germany GmbH, Emstek, DE</t>
        </is>
      </c>
      <c r="D12331" t="inlineStr">
        <is>
          <t>12.11.2026</t>
        </is>
      </c>
      <c r="E12331" t="inlineStr">
        <is>
          <t>Spain</t>
        </is>
      </c>
    </row>
    <row r="12332">
      <c r="A12332" t="inlineStr">
        <is>
          <t>Berry Global,  Chippewa Falls, United States</t>
        </is>
      </c>
      <c r="B12332" t="inlineStr">
        <is>
          <t>Processing Unit</t>
        </is>
      </c>
      <c r="C12332" t="inlineStr">
        <is>
          <t>SCS Global Services, Emeryville, CA, US</t>
        </is>
      </c>
      <c r="D12332" t="inlineStr">
        <is>
          <t>12.11.2026</t>
        </is>
      </c>
      <c r="E12332" t="inlineStr">
        <is>
          <t>United States</t>
        </is>
      </c>
    </row>
    <row r="12333">
      <c r="A12333" t="inlineStr">
        <is>
          <t>PT Musim Mas,  Kabupaten Pelalawan, Propinsi Riau, Indonesia, Indonesia</t>
        </is>
      </c>
      <c r="B12333" t="inlineStr">
        <is>
          <t>Farm / Plantation</t>
        </is>
      </c>
      <c r="C12333" t="inlineStr">
        <is>
          <t>Control Union Certifications Germany GmbH, Berlin, DE</t>
        </is>
      </c>
      <c r="D12333" t="inlineStr">
        <is>
          <t>12.11.2026</t>
        </is>
      </c>
      <c r="E12333" t="inlineStr">
        <is>
          <t>Indonesia</t>
        </is>
      </c>
    </row>
    <row r="12334">
      <c r="A12334" t="inlineStr">
        <is>
          <t>JE Green Solutions Pte Ltd,  Singapore, Singapore</t>
        </is>
      </c>
      <c r="B12334" t="inlineStr">
        <is>
          <t>Collecting Point, Processing Unit</t>
        </is>
      </c>
      <c r="C12334" t="inlineStr">
        <is>
          <t>Trans Certification and Inspection Sdn Bhd, Kuantan, MY</t>
        </is>
      </c>
      <c r="D12334" t="inlineStr">
        <is>
          <t>12.11.2026</t>
        </is>
      </c>
      <c r="E12334" t="inlineStr">
        <is>
          <t>Singapore</t>
        </is>
      </c>
    </row>
    <row r="12335">
      <c r="A12335" t="inlineStr">
        <is>
          <t>Synthos Wingles SAS,  Wingles, France</t>
        </is>
      </c>
      <c r="B12335" t="inlineStr">
        <is>
          <t>Processing Unit</t>
        </is>
      </c>
      <c r="C12335" t="inlineStr">
        <is>
          <t>Bureau Veritas Polska Sp. z o.o., Warsaw, PL</t>
        </is>
      </c>
      <c r="D12335" t="inlineStr">
        <is>
          <t>12.11.2026</t>
        </is>
      </c>
      <c r="E12335" t="inlineStr">
        <is>
          <t>France</t>
        </is>
      </c>
    </row>
    <row r="12336">
      <c r="A12336" t="inlineStr">
        <is>
          <t>ASSOFRUTTI SRL ORGANIZZAZIONE DI PRODUTTORI FRUTTA IN GUSCIO,  SORIANO NEL CIMINO (VT), Italy</t>
        </is>
      </c>
      <c r="B12336" t="inlineStr">
        <is>
          <t>First Gathering Point, Processing Unit</t>
        </is>
      </c>
      <c r="C12336" t="inlineStr">
        <is>
          <t>DNV Business Assurance Sweden AB, Solna, SE</t>
        </is>
      </c>
      <c r="D12336" t="inlineStr">
        <is>
          <t>12.11.2026</t>
        </is>
      </c>
      <c r="E12336" t="inlineStr">
        <is>
          <t>Italy</t>
        </is>
      </c>
    </row>
    <row r="12337">
      <c r="A12337" t="inlineStr">
        <is>
          <t>SOVEN,  Paris la Défense Cedex, France</t>
        </is>
      </c>
      <c r="B12337" t="inlineStr">
        <is>
          <t>Trader</t>
        </is>
      </c>
      <c r="C12337" t="inlineStr">
        <is>
          <t>Control Union Certifications Germany GmbH, Berlin, DE</t>
        </is>
      </c>
      <c r="D12337" t="inlineStr">
        <is>
          <t>12.11.2026</t>
        </is>
      </c>
      <c r="E12337" t="inlineStr">
        <is>
          <t>France</t>
        </is>
      </c>
    </row>
    <row r="12338">
      <c r="A12338" t="inlineStr">
        <is>
          <t>SOCIÉTÉ D'IMPORTATION DE CARBURANTS ET DÉRIVÉS (S.I.C.A.R.),  Courbevoie Cedex, France</t>
        </is>
      </c>
      <c r="B12338" t="inlineStr">
        <is>
          <t>Trader</t>
        </is>
      </c>
      <c r="C12338" t="inlineStr">
        <is>
          <t>Control Union Certifications Germany GmbH, Berlin, DE</t>
        </is>
      </c>
      <c r="D12338" t="inlineStr">
        <is>
          <t>12.11.2026</t>
        </is>
      </c>
      <c r="E12338" t="inlineStr">
        <is>
          <t>France</t>
        </is>
      </c>
    </row>
    <row r="12339">
      <c r="A12339" t="inlineStr">
        <is>
          <t>WGT GROUP Spolka z ograniczona odpowiedzialnoscia Sp.K,  Bialystok, Poland</t>
        </is>
      </c>
      <c r="B12339" t="inlineStr">
        <is>
          <t>Trader</t>
        </is>
      </c>
      <c r="C12339" t="inlineStr">
        <is>
          <t>Control Union Poland Sp. z o.o., Zielona Gora, PL</t>
        </is>
      </c>
      <c r="D12339" t="inlineStr">
        <is>
          <t>12.11.2026</t>
        </is>
      </c>
      <c r="E12339" t="inlineStr">
        <is>
          <t>Poland</t>
        </is>
      </c>
    </row>
    <row r="12340">
      <c r="A12340" t="inlineStr">
        <is>
          <t>CI CARIBBEAN OILS AND FATS,  BARRANQUILLA, ATLÁNTICO, Colombia</t>
        </is>
      </c>
      <c r="B12340" t="inlineStr">
        <is>
          <t>Trader with Storage</t>
        </is>
      </c>
      <c r="C12340" t="inlineStr">
        <is>
          <t>SCS Global Services, Emeryville, CA, US</t>
        </is>
      </c>
      <c r="D12340" t="inlineStr">
        <is>
          <t>12.11.2026</t>
        </is>
      </c>
      <c r="E12340" t="inlineStr">
        <is>
          <t>Colombia</t>
        </is>
      </c>
    </row>
    <row r="12341">
      <c r="A12341" t="inlineStr">
        <is>
          <t>UTÓD-KER Kereskedelmi Kft.,  Szigetvár, Hungary</t>
        </is>
      </c>
      <c r="B12341" t="inlineStr">
        <is>
          <t>First Gathering Point, Trader with Storage</t>
        </is>
      </c>
      <c r="C12341" t="inlineStr">
        <is>
          <t>Bureau Veritas Polska Sp. z o.o., Warsaw, PL</t>
        </is>
      </c>
      <c r="D12341" t="inlineStr">
        <is>
          <t>12.11.2026</t>
        </is>
      </c>
      <c r="E12341" t="inlineStr">
        <is>
          <t>Hungary</t>
        </is>
      </c>
    </row>
    <row r="12342">
      <c r="A12342" t="inlineStr">
        <is>
          <t>Hebei Humei Energy Technology Co., Ltd.,  Nanhe District Xingtai City, Hebei Province, China</t>
        </is>
      </c>
      <c r="B12342" t="inlineStr">
        <is>
          <t>Collecting Point, Trader with Storage</t>
        </is>
      </c>
      <c r="C12342" t="inlineStr">
        <is>
          <t>SCS Global Services, Emeryville, CA, US</t>
        </is>
      </c>
      <c r="D12342" t="inlineStr">
        <is>
          <t>12.11.2026</t>
        </is>
      </c>
      <c r="E12342" t="inlineStr">
        <is>
          <t>China</t>
        </is>
      </c>
    </row>
    <row r="12343">
      <c r="A12343" t="inlineStr">
        <is>
          <t>PT. SWAKARSA SINARSENTOSA,  East Kalimantan, Indonesia, Indonesia</t>
        </is>
      </c>
      <c r="B12343" t="inlineStr">
        <is>
          <t>First Gathering Point, Processing Unit</t>
        </is>
      </c>
      <c r="C12343" t="inlineStr">
        <is>
          <t>PT Intertek Utama Services, Jakarta, ID</t>
        </is>
      </c>
      <c r="D12343" t="inlineStr">
        <is>
          <t>12.11.2026</t>
        </is>
      </c>
      <c r="E12343" t="inlineStr">
        <is>
          <t>Indonesia</t>
        </is>
      </c>
    </row>
    <row r="12344">
      <c r="A12344" t="inlineStr">
        <is>
          <t>Calmit Hungária Kft.,  Lábatlan, Hungary</t>
        </is>
      </c>
      <c r="B12344" t="inlineStr">
        <is>
          <t>Processing Unit, Trader with Storage</t>
        </is>
      </c>
      <c r="C12344" t="inlineStr">
        <is>
          <t>BM Certification, Riga, LV</t>
        </is>
      </c>
      <c r="D12344" t="inlineStr">
        <is>
          <t>12.11.2026</t>
        </is>
      </c>
      <c r="E12344" t="inlineStr">
        <is>
          <t>Hungary</t>
        </is>
      </c>
    </row>
    <row r="12345">
      <c r="A12345" t="inlineStr">
        <is>
          <t>FinCo Supply &amp; Trading B.V.,  Rotterdam, The Netherlands</t>
        </is>
      </c>
      <c r="B12345" t="inlineStr">
        <is>
          <t>Proof of Compliance Trader, Trader with Storage</t>
        </is>
      </c>
      <c r="C12345" t="inlineStr">
        <is>
          <t>Control Union Certifications Germany GmbH, Berlin, DE</t>
        </is>
      </c>
      <c r="D12345" t="inlineStr">
        <is>
          <t>12.11.2026</t>
        </is>
      </c>
      <c r="E12345" t="inlineStr">
        <is>
          <t>The Netherlands</t>
        </is>
      </c>
    </row>
    <row r="12346">
      <c r="A12346" t="inlineStr">
        <is>
          <t>Kizukasei Kogyo,  kizugawashi, Japan</t>
        </is>
      </c>
      <c r="B12346" t="inlineStr">
        <is>
          <t>Processing Unit</t>
        </is>
      </c>
      <c r="C12346" t="inlineStr">
        <is>
          <t>SCS Global Services, Emeryville, CA, US</t>
        </is>
      </c>
      <c r="D12346" t="inlineStr">
        <is>
          <t>12.11.2026</t>
        </is>
      </c>
      <c r="E12346" t="inlineStr">
        <is>
          <t>Japan</t>
        </is>
      </c>
    </row>
    <row r="12347">
      <c r="A12347" t="inlineStr">
        <is>
          <t>Daishin Kakou,  Nara shi, Japan</t>
        </is>
      </c>
      <c r="B12347" t="inlineStr">
        <is>
          <t>Trader, Processing Unit</t>
        </is>
      </c>
      <c r="C12347" t="inlineStr">
        <is>
          <t>SCS Global Services, Emeryville, CA, US</t>
        </is>
      </c>
      <c r="D12347" t="inlineStr">
        <is>
          <t>12.11.2026</t>
        </is>
      </c>
      <c r="E12347" t="inlineStr">
        <is>
          <t>Japan</t>
        </is>
      </c>
    </row>
    <row r="12348">
      <c r="A12348" t="inlineStr">
        <is>
          <t>Odbytové a hospodářské družstvo Kolín,  Pečky, Czech Republic</t>
        </is>
      </c>
      <c r="B12348" t="inlineStr">
        <is>
          <t>First Gathering Point</t>
        </is>
      </c>
      <c r="C12348" t="inlineStr">
        <is>
          <t>United Registrar of Systems Polska Sp. z o.o., Wrocław, PL</t>
        </is>
      </c>
      <c r="D12348" t="inlineStr">
        <is>
          <t>12.11.2026</t>
        </is>
      </c>
      <c r="E12348" t="inlineStr">
        <is>
          <t>Czech Republic</t>
        </is>
      </c>
    </row>
    <row r="12349">
      <c r="A12349" t="inlineStr">
        <is>
          <t>FCI CORP.,  Seoul, Korea, Republic of</t>
        </is>
      </c>
      <c r="B12349" t="inlineStr">
        <is>
          <t>Trader with Storage</t>
        </is>
      </c>
      <c r="C12349" t="inlineStr">
        <is>
          <t>Control Union Certifications Germany GmbH, Berlin, DE</t>
        </is>
      </c>
      <c r="D12349" t="inlineStr">
        <is>
          <t>12.11.2026</t>
        </is>
      </c>
      <c r="E12349" t="inlineStr">
        <is>
          <t>Republic of</t>
        </is>
      </c>
    </row>
    <row r="12350">
      <c r="A12350" t="inlineStr">
        <is>
          <t>KAIYUAN FUEL TRADING CO., LIMITED,  Shanghai, China</t>
        </is>
      </c>
      <c r="B12350" t="inlineStr">
        <is>
          <t>Trader</t>
        </is>
      </c>
      <c r="C12350" t="inlineStr">
        <is>
          <t>SGS Germany GmbH, Emstek, DE</t>
        </is>
      </c>
      <c r="D12350" t="inlineStr">
        <is>
          <t>12.11.2026</t>
        </is>
      </c>
      <c r="E12350" t="inlineStr">
        <is>
          <t>China</t>
        </is>
      </c>
    </row>
    <row r="12351">
      <c r="A12351" t="inlineStr">
        <is>
          <t>Nowofol Kunststoffprodukte GmbH &amp; Co. KG,  Siegsdorf, Germany</t>
        </is>
      </c>
      <c r="B12351" t="inlineStr">
        <is>
          <t>Processing Unit</t>
        </is>
      </c>
      <c r="C12351" t="inlineStr">
        <is>
          <t>SGS Germany GmbH, Emstek, DE</t>
        </is>
      </c>
      <c r="D12351" t="inlineStr">
        <is>
          <t>12.11.2026</t>
        </is>
      </c>
      <c r="E12351" t="inlineStr">
        <is>
          <t>Germany</t>
        </is>
      </c>
    </row>
    <row r="12352">
      <c r="A12352" t="inlineStr">
        <is>
          <t>UNITED BUNKERS BV,  ZWIJNDRECHT, Netherlands</t>
        </is>
      </c>
      <c r="B12352" t="inlineStr">
        <is>
          <t>Trader with Storage, Proof of Compliance Trader</t>
        </is>
      </c>
      <c r="C12352" t="inlineStr">
        <is>
          <t>DEKRA Certification B.V., Arnhem, NL</t>
        </is>
      </c>
      <c r="D12352" t="inlineStr">
        <is>
          <t>12.11.2026</t>
        </is>
      </c>
      <c r="E12352" t="inlineStr">
        <is>
          <t>Netherlands</t>
        </is>
      </c>
    </row>
    <row r="12353">
      <c r="A12353" t="inlineStr">
        <is>
          <t>MITRA AGROLIKA SEJAHTERA,  Muara Bahar, Indonesia</t>
        </is>
      </c>
      <c r="B12353" t="inlineStr">
        <is>
          <t>Point of Origin</t>
        </is>
      </c>
      <c r="C12353" t="inlineStr">
        <is>
          <t>PT. Qualitas Sertifikasi Indonesia, Jakarta, ID</t>
        </is>
      </c>
      <c r="D12353" t="inlineStr">
        <is>
          <t>12.11.2026</t>
        </is>
      </c>
      <c r="E12353" t="inlineStr">
        <is>
          <t>Indonesia</t>
        </is>
      </c>
    </row>
    <row r="12354">
      <c r="A12354" t="inlineStr">
        <is>
          <t>Fritz Mauthner,  Wien, Austria</t>
        </is>
      </c>
      <c r="B12354" t="inlineStr">
        <is>
          <t>First Gathering Point, Trader</t>
        </is>
      </c>
      <c r="C12354" t="inlineStr">
        <is>
          <t>agroVet GmbH, Enzersfeld, AT</t>
        </is>
      </c>
      <c r="D12354" t="inlineStr">
        <is>
          <t>12.11.2026</t>
        </is>
      </c>
      <c r="E12354" t="inlineStr">
        <is>
          <t>Austria</t>
        </is>
      </c>
    </row>
    <row r="12355">
      <c r="A12355" t="inlineStr">
        <is>
          <t>PERSADA AGRO SAWITA,  Pematang Jaya, Indonesia</t>
        </is>
      </c>
      <c r="B12355" t="inlineStr">
        <is>
          <t>Point of Origin</t>
        </is>
      </c>
      <c r="C12355" t="inlineStr">
        <is>
          <t>PT. Qualitas Sertifikasi Indonesia, Jakarta, ID</t>
        </is>
      </c>
      <c r="D12355" t="inlineStr">
        <is>
          <t>12.11.2026</t>
        </is>
      </c>
      <c r="E12355" t="inlineStr">
        <is>
          <t>Indonesia</t>
        </is>
      </c>
    </row>
    <row r="12356">
      <c r="A12356" t="inlineStr">
        <is>
          <t>Fritz Mauthner,  Wien, Austria</t>
        </is>
      </c>
      <c r="B12356" t="inlineStr">
        <is>
          <t>First Gathering Point</t>
        </is>
      </c>
      <c r="C12356" t="inlineStr">
        <is>
          <t>agroVet GmbH, Enzersfeld, AT</t>
        </is>
      </c>
      <c r="D12356" t="inlineStr">
        <is>
          <t>12.11.2026</t>
        </is>
      </c>
      <c r="E12356" t="inlineStr">
        <is>
          <t>Austria</t>
        </is>
      </c>
    </row>
    <row r="12357">
      <c r="A12357" t="inlineStr">
        <is>
          <t>Bensuli Asam Sawit,  Kabupaten Labuhan Batu Selatan, Indonesia</t>
        </is>
      </c>
      <c r="B12357" t="inlineStr">
        <is>
          <t>Point of Origin</t>
        </is>
      </c>
      <c r="C12357" t="inlineStr">
        <is>
          <t>PT. Qualitas Sertifikasi Indonesia, Jakarta, ID</t>
        </is>
      </c>
      <c r="D12357" t="inlineStr">
        <is>
          <t>12.11.2026</t>
        </is>
      </c>
      <c r="E12357" t="inlineStr">
        <is>
          <t>Indonesia</t>
        </is>
      </c>
    </row>
    <row r="12358">
      <c r="A12358" t="inlineStr">
        <is>
          <t>Jinzhou Guangchen Grease Co., Ltd,  Shijiazhuang, China</t>
        </is>
      </c>
      <c r="B12358" t="inlineStr">
        <is>
          <t>Collecting Point, Trader with Storage</t>
        </is>
      </c>
      <c r="C12358" t="inlineStr">
        <is>
          <t>RINA Services S.p.A., Genova, IT</t>
        </is>
      </c>
      <c r="D12358" t="inlineStr">
        <is>
          <t>12.11.2026</t>
        </is>
      </c>
      <c r="E12358" t="inlineStr">
        <is>
          <t>China</t>
        </is>
      </c>
    </row>
    <row r="12359">
      <c r="A12359" t="inlineStr">
        <is>
          <t>Vita Cellular Foams (UK),  Ashton-Under- Lyne, United Kingdom</t>
        </is>
      </c>
      <c r="B12359" t="inlineStr">
        <is>
          <t>Processing Unit</t>
        </is>
      </c>
      <c r="C12359" t="inlineStr">
        <is>
          <t>SGS Germany GmbH, Emstek, DE</t>
        </is>
      </c>
      <c r="D12359" t="inlineStr">
        <is>
          <t>12.11.2026</t>
        </is>
      </c>
      <c r="E12359" t="inlineStr">
        <is>
          <t>United Kingdom</t>
        </is>
      </c>
    </row>
    <row r="12360">
      <c r="A12360" t="inlineStr">
        <is>
          <t>Nowofol Kunststoffprodukte GmbH &amp; Co. KG,  Siegsdorf, Germany</t>
        </is>
      </c>
      <c r="B12360" t="inlineStr">
        <is>
          <t>Processing Unit</t>
        </is>
      </c>
      <c r="C12360" t="inlineStr">
        <is>
          <t>SGS Germany GmbH, Emstek, DE</t>
        </is>
      </c>
      <c r="D12360" t="inlineStr">
        <is>
          <t>12.11.2026</t>
        </is>
      </c>
      <c r="E12360" t="inlineStr">
        <is>
          <t>Germany</t>
        </is>
      </c>
    </row>
    <row r="12361">
      <c r="A12361" t="inlineStr">
        <is>
          <t>Octobercrew co. ltd,  Seoul, South Korea</t>
        </is>
      </c>
      <c r="B12361" t="inlineStr">
        <is>
          <t>Trader</t>
        </is>
      </c>
      <c r="C12361" t="inlineStr">
        <is>
          <t>Control Union Certifications Germany GmbH, Berlin, DE</t>
        </is>
      </c>
      <c r="D12361" t="inlineStr">
        <is>
          <t>12.11.2026</t>
        </is>
      </c>
      <c r="E12361" t="inlineStr">
        <is>
          <t>South Korea</t>
        </is>
      </c>
    </row>
    <row r="12362">
      <c r="A12362" t="inlineStr">
        <is>
          <t>CCD (Singapore) Pte. Ltd.,  Jurong Island, Singapore</t>
        </is>
      </c>
      <c r="B12362" t="inlineStr">
        <is>
          <t>Processing Unit, Trader with Storage</t>
        </is>
      </c>
      <c r="C12362" t="inlineStr">
        <is>
          <t>TÜV NORD CERT GmbH, Essen, DE</t>
        </is>
      </c>
      <c r="D12362" t="inlineStr">
        <is>
          <t>12.11.2026</t>
        </is>
      </c>
      <c r="E12362" t="inlineStr">
        <is>
          <t>Singapore</t>
        </is>
      </c>
    </row>
    <row r="12363">
      <c r="A12363" t="inlineStr">
        <is>
          <t>Rolande Belgium B.V.,  Kontich, Belgium</t>
        </is>
      </c>
      <c r="B12363" t="inlineStr">
        <is>
          <t>Trader</t>
        </is>
      </c>
      <c r="C12363" t="inlineStr">
        <is>
          <t>DEKRA Certification B.V., Arnhem, NL</t>
        </is>
      </c>
      <c r="D12363" t="inlineStr">
        <is>
          <t>12.11.2026</t>
        </is>
      </c>
      <c r="E12363" t="inlineStr">
        <is>
          <t>Belgium</t>
        </is>
      </c>
    </row>
    <row r="12364">
      <c r="A12364" t="inlineStr">
        <is>
          <t>Everbridge Commodities Ltd (UK),  London, United Kingdom</t>
        </is>
      </c>
      <c r="B12364" t="inlineStr">
        <is>
          <t>Trader</t>
        </is>
      </c>
      <c r="C12364" t="inlineStr">
        <is>
          <t>Control Union Certifications Germany GmbH, Berlin, DE</t>
        </is>
      </c>
      <c r="D12364" t="inlineStr">
        <is>
          <t>12.11.2026</t>
        </is>
      </c>
      <c r="E12364" t="inlineStr">
        <is>
          <t>United Kingdom</t>
        </is>
      </c>
    </row>
    <row r="12365">
      <c r="A12365" t="inlineStr">
        <is>
          <t>Wiener Wasserstoff,  Wien, Austria</t>
        </is>
      </c>
      <c r="B12365" t="inlineStr">
        <is>
          <t>Processing Unit</t>
        </is>
      </c>
      <c r="C12365" t="inlineStr">
        <is>
          <t>TÜV SÜD Industrie Service GmbH, München, DE</t>
        </is>
      </c>
      <c r="D12365" t="inlineStr">
        <is>
          <t>12.11.2026</t>
        </is>
      </c>
      <c r="E12365" t="inlineStr">
        <is>
          <t>Austria</t>
        </is>
      </c>
    </row>
    <row r="12366">
      <c r="A12366" t="inlineStr">
        <is>
          <t>Hainan Huanyu New Energy Co., Ltd.,  Haikou, Hainan Province, China</t>
        </is>
      </c>
      <c r="B12366" t="inlineStr">
        <is>
          <t>Processing Unit, Trader with Storage</t>
        </is>
      </c>
      <c r="C12366" t="inlineStr">
        <is>
          <t>TÜV NORD CERT GmbH, Essen, DE</t>
        </is>
      </c>
      <c r="D12366" t="inlineStr">
        <is>
          <t>12.11.2026</t>
        </is>
      </c>
      <c r="E12366" t="inlineStr">
        <is>
          <t>China</t>
        </is>
      </c>
    </row>
    <row r="12367">
      <c r="A12367" t="inlineStr">
        <is>
          <t>Ying Hui Energy Technology (Hebei) Co., Ltd.,  Cangzhou, China</t>
        </is>
      </c>
      <c r="B12367" t="inlineStr">
        <is>
          <t>Collecting Point, Trader with Storage</t>
        </is>
      </c>
      <c r="C12367" t="inlineStr">
        <is>
          <t>RINA Services S.p.A., Genova, IT</t>
        </is>
      </c>
      <c r="D12367" t="inlineStr">
        <is>
          <t>11.11.2026</t>
        </is>
      </c>
      <c r="E12367" t="inlineStr">
        <is>
          <t>China</t>
        </is>
      </c>
    </row>
    <row r="12368">
      <c r="A12368" t="inlineStr">
        <is>
          <t>INGESPANER, S.L.U.,  Villagonzalo Pedernales, Burgos, Spain</t>
        </is>
      </c>
      <c r="B12368" t="inlineStr">
        <is>
          <t>Collecting Point, Trader with Storage</t>
        </is>
      </c>
      <c r="C12368" t="inlineStr">
        <is>
          <t>RINA Services S.p.A., Genova, IT</t>
        </is>
      </c>
      <c r="D12368" t="inlineStr">
        <is>
          <t>11.11.2026</t>
        </is>
      </c>
      <c r="E12368" t="inlineStr">
        <is>
          <t>Spain</t>
        </is>
      </c>
    </row>
    <row r="12369">
      <c r="A12369" t="inlineStr">
        <is>
          <t>Jiaao International trading (Singapore) PTE Ltd,  Tongxiang, Jiaxing City, Zhejiang Province, China</t>
        </is>
      </c>
      <c r="B12369" t="inlineStr">
        <is>
          <t>Trader</t>
        </is>
      </c>
      <c r="C12369" t="inlineStr">
        <is>
          <t>RINA Services S.p.A., Genova, IT</t>
        </is>
      </c>
      <c r="D12369" t="inlineStr">
        <is>
          <t>11.11.2026</t>
        </is>
      </c>
      <c r="E12369" t="inlineStr">
        <is>
          <t>China</t>
        </is>
      </c>
    </row>
    <row r="12370">
      <c r="A12370" t="inlineStr">
        <is>
          <t>Anqing Jin Bao Bei Energy Technology Co.,Ltd.,  Anqing City Anhui Province, China</t>
        </is>
      </c>
      <c r="B12370" t="inlineStr">
        <is>
          <t>Collecting Point, Processing Unit, Trader with Storage</t>
        </is>
      </c>
      <c r="C12370" t="inlineStr">
        <is>
          <t>SCS Global Services, Emeryville, CA, US</t>
        </is>
      </c>
      <c r="D12370" t="inlineStr">
        <is>
          <t>11.11.2026</t>
        </is>
      </c>
      <c r="E12370" t="inlineStr">
        <is>
          <t>China</t>
        </is>
      </c>
    </row>
    <row r="12371">
      <c r="A12371" t="inlineStr">
        <is>
          <t>Miraeoil. Co., Ltd,  Gasan-myeon, Pocheon-si, Gyeonggi-do, Korea, Republic of</t>
        </is>
      </c>
      <c r="B12371" t="inlineStr">
        <is>
          <t>Collecting Point, Trader with Storage</t>
        </is>
      </c>
      <c r="C12371" t="inlineStr">
        <is>
          <t>Control Union Certifications Germany GmbH, Berlin, DE</t>
        </is>
      </c>
      <c r="D12371" t="inlineStr">
        <is>
          <t>11.11.2026</t>
        </is>
      </c>
      <c r="E12371" t="inlineStr">
        <is>
          <t>Republic of</t>
        </is>
      </c>
    </row>
    <row r="12372">
      <c r="A12372" t="inlineStr">
        <is>
          <t>Future Eco Global Sdn Bhd,  Bandar Sultan Suleiman, Port Klang, Malaysia</t>
        </is>
      </c>
      <c r="B12372" t="inlineStr">
        <is>
          <t>Collecting Point, Trader with Storage</t>
        </is>
      </c>
      <c r="C12372" t="inlineStr">
        <is>
          <t>PT SBC Asia Sertifikasi, Kebumen, ID</t>
        </is>
      </c>
      <c r="D12372" t="inlineStr">
        <is>
          <t>11.11.2026</t>
        </is>
      </c>
      <c r="E12372" t="inlineStr">
        <is>
          <t>Malaysia</t>
        </is>
      </c>
    </row>
    <row r="12373">
      <c r="A12373" t="inlineStr">
        <is>
          <t>Alfapac AB,  Åsbro, Sweden</t>
        </is>
      </c>
      <c r="B12373" t="inlineStr">
        <is>
          <t>Processing Unit</t>
        </is>
      </c>
      <c r="C12373" t="inlineStr">
        <is>
          <t>Bureau Veritas Polska Sp. z o.o., Warsaw, PL</t>
        </is>
      </c>
      <c r="D12373" t="inlineStr">
        <is>
          <t>11.11.2026</t>
        </is>
      </c>
      <c r="E12373" t="inlineStr">
        <is>
          <t>Sweden</t>
        </is>
      </c>
    </row>
    <row r="12374">
      <c r="A12374" t="inlineStr">
        <is>
          <t>Bender GmbH,  Frankenthal, Germany</t>
        </is>
      </c>
      <c r="B12374" t="inlineStr">
        <is>
          <t>Point of Origin, Processing Unit, Trader with Storage</t>
        </is>
      </c>
      <c r="C12374" t="inlineStr">
        <is>
          <t>GUT Certifizierungsgesellschaft für Managementsysteme mbH Umweltgutachter, Berlin, DE</t>
        </is>
      </c>
      <c r="D12374" t="inlineStr">
        <is>
          <t>11.11.2026</t>
        </is>
      </c>
      <c r="E12374" t="inlineStr">
        <is>
          <t>Germany</t>
        </is>
      </c>
    </row>
    <row r="12375">
      <c r="A12375" t="inlineStr">
        <is>
          <t>Miraeoil. Co., Ltd,  Gasan-myeon, Pocheon-si, Kyounggi-do, Korea, Korea, Republic of</t>
        </is>
      </c>
      <c r="B12375" t="inlineStr">
        <is>
          <t>Collecting Point, Trader with Storage</t>
        </is>
      </c>
      <c r="C12375" t="inlineStr">
        <is>
          <t>Control Union Certifications Germany GmbH, Berlin, DE</t>
        </is>
      </c>
      <c r="D12375" t="inlineStr">
        <is>
          <t>11.11.2026</t>
        </is>
      </c>
      <c r="E12375" t="inlineStr">
        <is>
          <t>Republic of</t>
        </is>
      </c>
    </row>
    <row r="12376">
      <c r="A12376" t="inlineStr">
        <is>
          <t>ANZHE TRADING CO LTD,  TAINAN CITY, Taiwan</t>
        </is>
      </c>
      <c r="B12376" t="inlineStr">
        <is>
          <t>Collecting Point</t>
        </is>
      </c>
      <c r="C12376" t="inlineStr">
        <is>
          <t>PT. Qualitas Sertifikasi Indonesia, Jakarta, ID</t>
        </is>
      </c>
      <c r="D12376" t="inlineStr">
        <is>
          <t>11.11.2026</t>
        </is>
      </c>
      <c r="E12376" t="inlineStr">
        <is>
          <t>Taiwan</t>
        </is>
      </c>
    </row>
    <row r="12377">
      <c r="A12377" t="inlineStr">
        <is>
          <t>Chanrol Pty Ltd,  Blacktown, Australia</t>
        </is>
      </c>
      <c r="B12377" t="inlineStr">
        <is>
          <t>Processing Unit</t>
        </is>
      </c>
      <c r="C12377" t="inlineStr">
        <is>
          <t>SGS Germany GmbH, Emstek, DE</t>
        </is>
      </c>
      <c r="D12377" t="inlineStr">
        <is>
          <t>11.11.2026</t>
        </is>
      </c>
      <c r="E12377" t="inlineStr">
        <is>
          <t>Australia</t>
        </is>
      </c>
    </row>
    <row r="12378">
      <c r="A12378" t="inlineStr">
        <is>
          <t>ANZHE TRADING CO LTD,  TAINAN CITY, Taiwan</t>
        </is>
      </c>
      <c r="B12378" t="inlineStr">
        <is>
          <t>Collecting Point</t>
        </is>
      </c>
      <c r="C12378" t="inlineStr">
        <is>
          <t>PT. Qualitas Sertifikasi Indonesia, Jakarta, ID</t>
        </is>
      </c>
      <c r="D12378" t="inlineStr">
        <is>
          <t>11.11.2026</t>
        </is>
      </c>
      <c r="E12378" t="inlineStr">
        <is>
          <t>Taiwan</t>
        </is>
      </c>
    </row>
    <row r="12379">
      <c r="A12379" t="inlineStr">
        <is>
          <t>Amcor Flexibles Cumbria,  Workington, Cumbria, United Kingdom</t>
        </is>
      </c>
      <c r="B12379" t="inlineStr">
        <is>
          <t>Processing Unit, Final Product Refinement, Trader with Storage</t>
        </is>
      </c>
      <c r="C12379" t="inlineStr">
        <is>
          <t>SGS Germany GmbH, Emstek, DE</t>
        </is>
      </c>
      <c r="D12379" t="inlineStr">
        <is>
          <t>11.11.2026</t>
        </is>
      </c>
      <c r="E12379" t="inlineStr">
        <is>
          <t>United Kingdom</t>
        </is>
      </c>
    </row>
    <row r="12380">
      <c r="A12380" t="inlineStr">
        <is>
          <t>Dongguan Lewe Electronics Co.Ltd,  Dongguan City, China</t>
        </is>
      </c>
      <c r="B12380" t="inlineStr">
        <is>
          <t>Final Product Refinement</t>
        </is>
      </c>
      <c r="C12380" t="inlineStr">
        <is>
          <t>Extensive Standard Technical Services Co., Ltd., Hong Kong, CN</t>
        </is>
      </c>
      <c r="D12380" t="inlineStr">
        <is>
          <t>11.11.2026</t>
        </is>
      </c>
      <c r="E12380" t="inlineStr">
        <is>
          <t>China</t>
        </is>
      </c>
    </row>
    <row r="12381">
      <c r="A12381" t="inlineStr">
        <is>
          <t>D.V.T. ESPAÑA,  Tomellosos, Ciudad Real, Spain</t>
        </is>
      </c>
      <c r="B12381" t="inlineStr">
        <is>
          <t>Collecting Point, Processing Unit</t>
        </is>
      </c>
      <c r="C12381" t="inlineStr">
        <is>
          <t>Bureau Veritas Polska Sp. z o.o., Warsaw, PL</t>
        </is>
      </c>
      <c r="D12381" t="inlineStr">
        <is>
          <t>11.11.2026</t>
        </is>
      </c>
      <c r="E12381" t="inlineStr">
        <is>
          <t>Spain</t>
        </is>
      </c>
    </row>
    <row r="12382">
      <c r="A12382" t="inlineStr">
        <is>
          <t>BIO GREENWARE LIMITED,  London, United Kingdom</t>
        </is>
      </c>
      <c r="B12382" t="inlineStr">
        <is>
          <t>Trader</t>
        </is>
      </c>
      <c r="C12382" t="inlineStr">
        <is>
          <t>Alcumus ISOQAR Ltd, Stretford, Manchester, GB</t>
        </is>
      </c>
      <c r="D12382" t="inlineStr">
        <is>
          <t>11.11.2026</t>
        </is>
      </c>
      <c r="E12382" t="inlineStr">
        <is>
          <t>United Kingdom</t>
        </is>
      </c>
    </row>
    <row r="12383">
      <c r="A12383" t="inlineStr">
        <is>
          <t>BIO GREENWARE LIMITED,  London, United Kingdom</t>
        </is>
      </c>
      <c r="B12383" t="inlineStr">
        <is>
          <t>Trader</t>
        </is>
      </c>
      <c r="C12383" t="inlineStr">
        <is>
          <t>Alcumus ISOQAR Ltd, Stretford, Manchester, GB</t>
        </is>
      </c>
      <c r="D12383" t="inlineStr">
        <is>
          <t>11.11.2026</t>
        </is>
      </c>
      <c r="E12383" t="inlineStr">
        <is>
          <t>United Kingdom</t>
        </is>
      </c>
    </row>
    <row r="12384">
      <c r="A12384" t="inlineStr">
        <is>
          <t>TotalEnergies Raffinage France,  Gonfreville L'Orcher, France</t>
        </is>
      </c>
      <c r="B12384" t="inlineStr">
        <is>
          <t>Processing Unit</t>
        </is>
      </c>
      <c r="C12384" t="inlineStr">
        <is>
          <t>Bureau Veritas Polska Sp. z o.o., Warsaw, PL</t>
        </is>
      </c>
      <c r="D12384" t="inlineStr">
        <is>
          <t>11.11.2026</t>
        </is>
      </c>
      <c r="E12384" t="inlineStr">
        <is>
          <t>France</t>
        </is>
      </c>
    </row>
    <row r="12385">
      <c r="A12385" t="inlineStr">
        <is>
          <t>TotalEnergies Raffinage France,  Gonfreville L'Orcher, France</t>
        </is>
      </c>
      <c r="B12385" t="inlineStr">
        <is>
          <t>Processing Unit, Trader with Storage</t>
        </is>
      </c>
      <c r="C12385" t="inlineStr">
        <is>
          <t>Bureau Veritas Polska Sp. z o.o., Warsaw, PL</t>
        </is>
      </c>
      <c r="D12385" t="inlineStr">
        <is>
          <t>11.11.2026</t>
        </is>
      </c>
      <c r="E12385" t="inlineStr">
        <is>
          <t>France</t>
        </is>
      </c>
    </row>
    <row r="12386">
      <c r="A12386" t="inlineStr">
        <is>
          <t>LLC Katerynopilsky Elevator,  Yerky Urban-type Settlement Cherkasy Region, Ukraine</t>
        </is>
      </c>
      <c r="B12386" t="inlineStr">
        <is>
          <t>Processing Unit, First Gathering Point, Trader with Storage</t>
        </is>
      </c>
      <c r="C12386" t="inlineStr">
        <is>
          <t>BM Certification, Riga, LV</t>
        </is>
      </c>
      <c r="D12386" t="inlineStr">
        <is>
          <t>11.11.2026</t>
        </is>
      </c>
      <c r="E12386" t="inlineStr">
        <is>
          <t>Ukraine</t>
        </is>
      </c>
    </row>
    <row r="12387">
      <c r="A12387" t="inlineStr">
        <is>
          <t>P2X Solutions Oy,  Harjavalta, Finland</t>
        </is>
      </c>
      <c r="B12387" t="inlineStr">
        <is>
          <t>Processing Unit, Trader</t>
        </is>
      </c>
      <c r="C12387" t="inlineStr">
        <is>
          <t>BM Certification, Riga, LV</t>
        </is>
      </c>
      <c r="D12387" t="inlineStr">
        <is>
          <t>11.11.2026</t>
        </is>
      </c>
      <c r="E12387" t="inlineStr">
        <is>
          <t>Finland</t>
        </is>
      </c>
    </row>
    <row r="12388">
      <c r="A12388" t="inlineStr">
        <is>
          <t>Fertiglobe Fertilizer Trading LTD - Dubai Branch,  Dubai, United Arab Emirates</t>
        </is>
      </c>
      <c r="B12388" t="inlineStr">
        <is>
          <t>Trader</t>
        </is>
      </c>
      <c r="C12388" t="inlineStr">
        <is>
          <t>SGS Germany GmbH, Emstek, DE</t>
        </is>
      </c>
      <c r="D12388" t="inlineStr">
        <is>
          <t>11.11.2026</t>
        </is>
      </c>
      <c r="E12388" t="inlineStr">
        <is>
          <t>United Arab Emirates</t>
        </is>
      </c>
    </row>
    <row r="12389">
      <c r="A12389" t="inlineStr">
        <is>
          <t>Richardson Oilseed Limited,  Yorkton, Canada</t>
        </is>
      </c>
      <c r="B12389" t="inlineStr">
        <is>
          <t>Processing Unit</t>
        </is>
      </c>
      <c r="C12389" t="inlineStr">
        <is>
          <t>SGS Germany GmbH, Emstek, DE</t>
        </is>
      </c>
      <c r="D12389" t="inlineStr">
        <is>
          <t>11.11.2026</t>
        </is>
      </c>
      <c r="E12389" t="inlineStr">
        <is>
          <t>Canada</t>
        </is>
      </c>
    </row>
    <row r="12390">
      <c r="A12390" t="inlineStr">
        <is>
          <t>Richardson Oilseed Limited,  Yorkton, Canada</t>
        </is>
      </c>
      <c r="B12390" t="inlineStr">
        <is>
          <t>Processing Unit</t>
        </is>
      </c>
      <c r="C12390" t="inlineStr">
        <is>
          <t>SGS Germany GmbH, Emstek, DE</t>
        </is>
      </c>
      <c r="D12390" t="inlineStr">
        <is>
          <t>11.11.2026</t>
        </is>
      </c>
      <c r="E12390" t="inlineStr">
        <is>
          <t>Canada</t>
        </is>
      </c>
    </row>
    <row r="12391">
      <c r="A12391" t="inlineStr">
        <is>
          <t>Richardson Oilseed Limited,  Yorkton, Canada</t>
        </is>
      </c>
      <c r="B12391" t="inlineStr">
        <is>
          <t>Processing Unit</t>
        </is>
      </c>
      <c r="C12391" t="inlineStr">
        <is>
          <t>SGS Germany GmbH, Emstek, DE</t>
        </is>
      </c>
      <c r="D12391" t="inlineStr">
        <is>
          <t>11.11.2026</t>
        </is>
      </c>
      <c r="E12391" t="inlineStr">
        <is>
          <t>Canada</t>
        </is>
      </c>
    </row>
    <row r="12392">
      <c r="A12392" t="inlineStr">
        <is>
          <t>SHANDONG LAIZHOU WELFARE SODIUM SILICATE CO.,LTD.,  Laizhou City, Yantai City, Shandong Province, China</t>
        </is>
      </c>
      <c r="B12392" t="inlineStr">
        <is>
          <t>Point of Origin, Processing Unit, Collecting Point</t>
        </is>
      </c>
      <c r="C12392" t="inlineStr">
        <is>
          <t>SGS Germany GmbH, Emstek, DE</t>
        </is>
      </c>
      <c r="D12392" t="inlineStr">
        <is>
          <t>11.11.2026</t>
        </is>
      </c>
      <c r="E12392" t="inlineStr">
        <is>
          <t>China</t>
        </is>
      </c>
    </row>
    <row r="12393">
      <c r="A12393" t="inlineStr">
        <is>
          <t>Richardson Oilseed Limited,  Lethbridge, Canada</t>
        </is>
      </c>
      <c r="B12393" t="inlineStr">
        <is>
          <t>Processing Unit</t>
        </is>
      </c>
      <c r="C12393" t="inlineStr">
        <is>
          <t>SGS Germany GmbH, Emstek, DE</t>
        </is>
      </c>
      <c r="D12393" t="inlineStr">
        <is>
          <t>11.11.2026</t>
        </is>
      </c>
      <c r="E12393" t="inlineStr">
        <is>
          <t>Canada</t>
        </is>
      </c>
    </row>
    <row r="12394">
      <c r="A12394" t="inlineStr">
        <is>
          <t>Richardson Oilseed Limited,  Lethbridge, Canada</t>
        </is>
      </c>
      <c r="B12394" t="inlineStr">
        <is>
          <t>Processing Unit</t>
        </is>
      </c>
      <c r="C12394" t="inlineStr">
        <is>
          <t>SGS Germany GmbH, Emstek, DE</t>
        </is>
      </c>
      <c r="D12394" t="inlineStr">
        <is>
          <t>11.11.2026</t>
        </is>
      </c>
      <c r="E12394" t="inlineStr">
        <is>
          <t>Canada</t>
        </is>
      </c>
    </row>
    <row r="12395">
      <c r="A12395" t="inlineStr">
        <is>
          <t>Richardson Oilseed Limited,  Lethbridge, Canada</t>
        </is>
      </c>
      <c r="B12395" t="inlineStr">
        <is>
          <t>Processing Unit</t>
        </is>
      </c>
      <c r="C12395" t="inlineStr">
        <is>
          <t>SGS Germany GmbH, Emstek, DE</t>
        </is>
      </c>
      <c r="D12395" t="inlineStr">
        <is>
          <t>11.11.2026</t>
        </is>
      </c>
      <c r="E12395" t="inlineStr">
        <is>
          <t>Canada</t>
        </is>
      </c>
    </row>
    <row r="12396">
      <c r="A12396" t="inlineStr">
        <is>
          <t>Wuhan Taiyuxin Renewable Resources Recycling Co., Ltd,  Wuhan, Hubei, China</t>
        </is>
      </c>
      <c r="B12396" t="inlineStr">
        <is>
          <t>Collecting Point, Trader</t>
        </is>
      </c>
      <c r="C12396" t="inlineStr">
        <is>
          <t>RINA Services S.p.A., Genova, IT</t>
        </is>
      </c>
      <c r="D12396" t="inlineStr">
        <is>
          <t>11.11.2026</t>
        </is>
      </c>
      <c r="E12396" t="inlineStr">
        <is>
          <t>China</t>
        </is>
      </c>
    </row>
    <row r="12397">
      <c r="A12397" t="inlineStr">
        <is>
          <t>OLTINA TRADING S.A.,  Ploiesti, Romania</t>
        </is>
      </c>
      <c r="B12397" t="inlineStr">
        <is>
          <t>First Gathering Point</t>
        </is>
      </c>
      <c r="C12397" t="inlineStr">
        <is>
          <t>SGS Germany GmbH, Emstek, DE</t>
        </is>
      </c>
      <c r="D12397" t="inlineStr">
        <is>
          <t>11.11.2026</t>
        </is>
      </c>
      <c r="E12397" t="inlineStr">
        <is>
          <t>Romania</t>
        </is>
      </c>
    </row>
    <row r="12398">
      <c r="A12398" t="inlineStr">
        <is>
          <t>SAFFAIRE SKY ENERGY LLC,  NISHI-KU, SAKAI-CITY, Japan</t>
        </is>
      </c>
      <c r="B12398" t="inlineStr">
        <is>
          <t>Processing Unit</t>
        </is>
      </c>
      <c r="C12398" t="inlineStr">
        <is>
          <t>SGS Germany GmbH, Emstek, DE</t>
        </is>
      </c>
      <c r="D12398" t="inlineStr">
        <is>
          <t>11.11.2026</t>
        </is>
      </c>
      <c r="E12398" t="inlineStr">
        <is>
          <t>Japan</t>
        </is>
      </c>
    </row>
    <row r="12399">
      <c r="A12399" t="inlineStr">
        <is>
          <t>SAFFAIRE SKY ENERGY LLC,  NISHI-KU, SAKAI-CITY, Japan</t>
        </is>
      </c>
      <c r="B12399" t="inlineStr">
        <is>
          <t>Processing Unit</t>
        </is>
      </c>
      <c r="C12399" t="inlineStr">
        <is>
          <t>SGS Germany GmbH, Emstek, DE</t>
        </is>
      </c>
      <c r="D12399" t="inlineStr">
        <is>
          <t>11.11.2026</t>
        </is>
      </c>
      <c r="E12399" t="inlineStr">
        <is>
          <t>Japan</t>
        </is>
      </c>
    </row>
    <row r="12400">
      <c r="A12400" t="inlineStr">
        <is>
          <t>PT. Timur Mitra Karya,  Kota Dumai, Riau, Indonesia</t>
        </is>
      </c>
      <c r="B12400" t="inlineStr">
        <is>
          <t>Collecting Point, Trader with Storage</t>
        </is>
      </c>
      <c r="C12400" t="inlineStr">
        <is>
          <t>Trans Certification and Inspection Sdn Bhd, Kuantan, MY</t>
        </is>
      </c>
      <c r="D12400" t="inlineStr">
        <is>
          <t>10.11.2026</t>
        </is>
      </c>
      <c r="E12400" t="inlineStr">
        <is>
          <t>Indonesia</t>
        </is>
      </c>
    </row>
    <row r="12401">
      <c r="A12401" t="inlineStr">
        <is>
          <t>Elachem Spa,  Vigevano, Italy</t>
        </is>
      </c>
      <c r="B12401" t="inlineStr">
        <is>
          <t>Processing Unit</t>
        </is>
      </c>
      <c r="C12401" t="inlineStr">
        <is>
          <t>ICIM SpA, sesto san giovanni, IT</t>
        </is>
      </c>
      <c r="D12401" t="inlineStr">
        <is>
          <t>10.11.2026</t>
        </is>
      </c>
      <c r="E12401" t="inlineStr">
        <is>
          <t>Italy</t>
        </is>
      </c>
    </row>
    <row r="12402">
      <c r="A12402" t="inlineStr">
        <is>
          <t>SIA Linas Agro,  Cenu pagasts, Ozolnieku novads, Latvia</t>
        </is>
      </c>
      <c r="B12402" t="inlineStr">
        <is>
          <t>First Gathering Point, Trader with Storage</t>
        </is>
      </c>
      <c r="C12402" t="inlineStr">
        <is>
          <t>Bureau Veritas Polska Sp. z o.o., Warsaw, PL</t>
        </is>
      </c>
      <c r="D12402" t="inlineStr">
        <is>
          <t>10.11.2026</t>
        </is>
      </c>
      <c r="E12402" t="inlineStr">
        <is>
          <t>Latvia</t>
        </is>
      </c>
    </row>
    <row r="12403">
      <c r="A12403" t="inlineStr">
        <is>
          <t>LianYunGang Jiaao Enproenergy Co., Ltd,  Lianyungang City, Jiangsu, China</t>
        </is>
      </c>
      <c r="B12403" t="inlineStr">
        <is>
          <t>Trader with Storage, Processing Unit</t>
        </is>
      </c>
      <c r="C12403" t="inlineStr">
        <is>
          <t>RINA Services S.p.A., Genova, IT</t>
        </is>
      </c>
      <c r="D12403" t="inlineStr">
        <is>
          <t>10.11.2026</t>
        </is>
      </c>
      <c r="E12403" t="inlineStr">
        <is>
          <t>China</t>
        </is>
      </c>
    </row>
    <row r="12404">
      <c r="A12404" t="inlineStr">
        <is>
          <t>Guangzhou Yaokun Environmental Protection Co., Ltd,  Guangzhou City, China</t>
        </is>
      </c>
      <c r="B12404" t="inlineStr">
        <is>
          <t>Collecting Point</t>
        </is>
      </c>
      <c r="C12404" t="inlineStr">
        <is>
          <t>RINA Services S.p.A., Genova, IT</t>
        </is>
      </c>
      <c r="D12404" t="inlineStr">
        <is>
          <t>10.11.2026</t>
        </is>
      </c>
      <c r="E12404" t="inlineStr">
        <is>
          <t>China</t>
        </is>
      </c>
    </row>
    <row r="12405">
      <c r="A12405" t="inlineStr">
        <is>
          <t>Guangzhou Yaokun Environmental Protection Co., Ltd,  Guangzhou City, China</t>
        </is>
      </c>
      <c r="B12405" t="inlineStr">
        <is>
          <t>Collecting Point</t>
        </is>
      </c>
      <c r="C12405" t="inlineStr">
        <is>
          <t>RINA Services S.p.A., Genova, IT</t>
        </is>
      </c>
      <c r="D12405" t="inlineStr">
        <is>
          <t>10.11.2026</t>
        </is>
      </c>
      <c r="E12405" t="inlineStr">
        <is>
          <t>China</t>
        </is>
      </c>
    </row>
    <row r="12406">
      <c r="A12406" t="inlineStr">
        <is>
          <t>Sherwin-Williams Baltic,  Vilnius, Lithuania</t>
        </is>
      </c>
      <c r="B12406" t="inlineStr">
        <is>
          <t>Final Product Refinement</t>
        </is>
      </c>
      <c r="C12406" t="inlineStr">
        <is>
          <t>SGS Germany GmbH, Emstek, DE</t>
        </is>
      </c>
      <c r="D12406" t="inlineStr">
        <is>
          <t>10.11.2026</t>
        </is>
      </c>
      <c r="E12406" t="inlineStr">
        <is>
          <t>Lithuania</t>
        </is>
      </c>
    </row>
    <row r="12407">
      <c r="A12407" t="inlineStr">
        <is>
          <t>V.E.D. Inzameling B.V.,  Dronten, The Netherlands</t>
        </is>
      </c>
      <c r="B12407" t="inlineStr">
        <is>
          <t>Collecting Point</t>
        </is>
      </c>
      <c r="C12407" t="inlineStr">
        <is>
          <t>Control Union Certifications Germany GmbH, Berlin, DE</t>
        </is>
      </c>
      <c r="D12407" t="inlineStr">
        <is>
          <t>10.11.2026</t>
        </is>
      </c>
      <c r="E12407" t="inlineStr">
        <is>
          <t>The Netherlands</t>
        </is>
      </c>
    </row>
    <row r="12408">
      <c r="A12408" t="inlineStr">
        <is>
          <t>SOCAR Petroleum S.A,  Bucharest, Romania</t>
        </is>
      </c>
      <c r="B12408" t="inlineStr">
        <is>
          <t>Trader</t>
        </is>
      </c>
      <c r="C12408" t="inlineStr">
        <is>
          <t>BM Certification, Riga, LV</t>
        </is>
      </c>
      <c r="D12408" t="inlineStr">
        <is>
          <t>10.11.2026</t>
        </is>
      </c>
      <c r="E12408" t="inlineStr">
        <is>
          <t>Romania</t>
        </is>
      </c>
    </row>
    <row r="12409">
      <c r="A12409" t="inlineStr">
        <is>
          <t>BP Guangzhou Development Oil Products Company Limited,  Nansha District, Guanghzou City, China</t>
        </is>
      </c>
      <c r="B12409" t="inlineStr">
        <is>
          <t>Warehouse, Trader with Storage</t>
        </is>
      </c>
      <c r="C12409" t="inlineStr">
        <is>
          <t>China Standard Conformity Assessment Co. Ltd, Beijing, CN</t>
        </is>
      </c>
      <c r="D12409" t="inlineStr">
        <is>
          <t>10.11.2026</t>
        </is>
      </c>
      <c r="E12409" t="inlineStr">
        <is>
          <t>China</t>
        </is>
      </c>
    </row>
    <row r="12410">
      <c r="A12410" t="inlineStr">
        <is>
          <t>Vetőmag és Szárító,  Timár, Hungary</t>
        </is>
      </c>
      <c r="B12410" t="inlineStr">
        <is>
          <t>Farm / Plantation, First Gathering Point, Trader with Storage</t>
        </is>
      </c>
      <c r="C12410" t="inlineStr">
        <is>
          <t>BM Certification, Riga, LV</t>
        </is>
      </c>
      <c r="D12410" t="inlineStr">
        <is>
          <t>10.11.2026</t>
        </is>
      </c>
      <c r="E12410" t="inlineStr">
        <is>
          <t>Hungary</t>
        </is>
      </c>
    </row>
    <row r="12411">
      <c r="A12411" t="inlineStr">
        <is>
          <t>Logistics Prime Indonesia,  Medan, North Sumatra, Indonesia</t>
        </is>
      </c>
      <c r="B12411" t="inlineStr">
        <is>
          <t>Trader</t>
        </is>
      </c>
      <c r="C12411" t="inlineStr">
        <is>
          <t>BM Certification, Riga, LV</t>
        </is>
      </c>
      <c r="D12411" t="inlineStr">
        <is>
          <t>10.11.2026</t>
        </is>
      </c>
      <c r="E12411" t="inlineStr">
        <is>
          <t>Indonesia</t>
        </is>
      </c>
    </row>
    <row r="12412">
      <c r="A12412" t="inlineStr">
        <is>
          <t>PLASTICTECNIC (M) SDN BHD,  NILAI, Malaysia</t>
        </is>
      </c>
      <c r="B12412" t="inlineStr">
        <is>
          <t>Processing Unit</t>
        </is>
      </c>
      <c r="C12412" t="inlineStr">
        <is>
          <t>PT Intertek Utama Services, Jakarta, ID</t>
        </is>
      </c>
      <c r="D12412" t="inlineStr">
        <is>
          <t>10.11.2026</t>
        </is>
      </c>
      <c r="E12412" t="inlineStr">
        <is>
          <t>Malaysia</t>
        </is>
      </c>
    </row>
    <row r="12413">
      <c r="A12413" t="inlineStr">
        <is>
          <t>EG Green,  Cheongbuk-eup, Pyeongtaek-si, Gyeonggi-do, Korea, Republic of</t>
        </is>
      </c>
      <c r="B12413" t="inlineStr">
        <is>
          <t>Collecting Point</t>
        </is>
      </c>
      <c r="C12413" t="inlineStr">
        <is>
          <t>Control Union Certifications Germany GmbH, Berlin, DE</t>
        </is>
      </c>
      <c r="D12413" t="inlineStr">
        <is>
          <t>10.11.2026</t>
        </is>
      </c>
      <c r="E12413" t="inlineStr">
        <is>
          <t>Republic of</t>
        </is>
      </c>
    </row>
    <row r="12414">
      <c r="A12414" t="inlineStr">
        <is>
          <t>NEW AREA TOYS(ZHUHAI) LIMITED,  ZHUHAI, China</t>
        </is>
      </c>
      <c r="B12414" t="inlineStr">
        <is>
          <t>Processing Unit</t>
        </is>
      </c>
      <c r="C12414" t="inlineStr">
        <is>
          <t>DIN CERTCO GmbH, Berlin, DE</t>
        </is>
      </c>
      <c r="D12414" t="inlineStr">
        <is>
          <t>10.11.2026</t>
        </is>
      </c>
      <c r="E12414" t="inlineStr">
        <is>
          <t>China</t>
        </is>
      </c>
    </row>
    <row r="12415">
      <c r="A12415" t="inlineStr">
        <is>
          <t>Liquigas,  Milano, Italy</t>
        </is>
      </c>
      <c r="B12415" t="inlineStr">
        <is>
          <t>Trader with Storage</t>
        </is>
      </c>
      <c r="C12415" t="inlineStr">
        <is>
          <t>SGS Germany GmbH, Emstek, DE</t>
        </is>
      </c>
      <c r="D12415" t="inlineStr">
        <is>
          <t>10.11.2026</t>
        </is>
      </c>
      <c r="E12415" t="inlineStr">
        <is>
          <t>Italy</t>
        </is>
      </c>
    </row>
    <row r="12416">
      <c r="A12416" t="inlineStr">
        <is>
          <t>SRL Rusagro-Prim,  Edinet Cupcini, Moldova</t>
        </is>
      </c>
      <c r="B12416" t="inlineStr">
        <is>
          <t>First Gathering Point, Trader with Storage</t>
        </is>
      </c>
      <c r="C12416" t="inlineStr">
        <is>
          <t>BM Certification, Riga, LV</t>
        </is>
      </c>
      <c r="D12416" t="inlineStr">
        <is>
          <t>10.11.2026</t>
        </is>
      </c>
      <c r="E12416" t="inlineStr">
        <is>
          <t>Moldova</t>
        </is>
      </c>
    </row>
    <row r="12417">
      <c r="A12417" t="inlineStr">
        <is>
          <t>Liquigas,  Milano, Italy</t>
        </is>
      </c>
      <c r="B12417" t="inlineStr">
        <is>
          <t>Trader with Storage</t>
        </is>
      </c>
      <c r="C12417" t="inlineStr">
        <is>
          <t>SGS Germany GmbH, Emstek, DE</t>
        </is>
      </c>
      <c r="D12417" t="inlineStr">
        <is>
          <t>10.11.2026</t>
        </is>
      </c>
      <c r="E12417" t="inlineStr">
        <is>
          <t>Italy</t>
        </is>
      </c>
    </row>
    <row r="12418">
      <c r="A12418" t="inlineStr">
        <is>
          <t>Raja Marga,  Aceh, Indonesia</t>
        </is>
      </c>
      <c r="B12418" t="inlineStr">
        <is>
          <t>Point of Origin</t>
        </is>
      </c>
      <c r="C12418" t="inlineStr">
        <is>
          <t>PT. Qualitas Sertifikasi Indonesia, Jakarta, ID</t>
        </is>
      </c>
      <c r="D12418" t="inlineStr">
        <is>
          <t>10.11.2026</t>
        </is>
      </c>
      <c r="E12418" t="inlineStr">
        <is>
          <t>Indonesia</t>
        </is>
      </c>
    </row>
    <row r="12419">
      <c r="A12419" t="inlineStr">
        <is>
          <t>THUAN THANH DAT TRADING EXPORT IMPORT LIMITED LIABILITY COMPANY,  Can Tho, Vietnam</t>
        </is>
      </c>
      <c r="B12419" t="inlineStr">
        <is>
          <t>Collecting Point, Trader with Storage</t>
        </is>
      </c>
      <c r="C12419" t="inlineStr">
        <is>
          <t>SGS Germany GmbH, Emstek, DE</t>
        </is>
      </c>
      <c r="D12419" t="inlineStr">
        <is>
          <t>10.11.2026</t>
        </is>
      </c>
      <c r="E12419" t="inlineStr">
        <is>
          <t>Vietnam</t>
        </is>
      </c>
    </row>
    <row r="12420">
      <c r="A12420" t="inlineStr">
        <is>
          <t>Kalyna Farming,  Chortkiv disctrict, Bila village, Ukraine</t>
        </is>
      </c>
      <c r="B12420" t="inlineStr">
        <is>
          <t>Farm / Plantation</t>
        </is>
      </c>
      <c r="C12420" t="inlineStr">
        <is>
          <t>Organic Standard Ltd, Kyiv, UA</t>
        </is>
      </c>
      <c r="D12420" t="inlineStr">
        <is>
          <t>10.11.2026</t>
        </is>
      </c>
      <c r="E12420" t="inlineStr">
        <is>
          <t>Ukraine</t>
        </is>
      </c>
    </row>
    <row r="12421">
      <c r="A12421" t="inlineStr">
        <is>
          <t>China Down Jiangxi Company Limited,  RM 707, CHANGQING INTERNATIONAL BUILD, NANCHANG,, China</t>
        </is>
      </c>
      <c r="B12421" t="inlineStr">
        <is>
          <t>Trader</t>
        </is>
      </c>
      <c r="C12421" t="inlineStr">
        <is>
          <t>ASG Cert GmbH, Munich, DE</t>
        </is>
      </c>
      <c r="D12421" t="inlineStr">
        <is>
          <t>10.11.2026</t>
        </is>
      </c>
      <c r="E12421" t="inlineStr">
        <is>
          <t>China</t>
        </is>
      </c>
    </row>
    <row r="12422">
      <c r="A12422" t="inlineStr">
        <is>
          <t>Joonil,  Incheon, South Korea</t>
        </is>
      </c>
      <c r="B12422" t="inlineStr">
        <is>
          <t>Processing Unit</t>
        </is>
      </c>
      <c r="C12422" t="inlineStr">
        <is>
          <t>Korean Foundation for Quality, Songpa-gu, Seoul, KR</t>
        </is>
      </c>
      <c r="D12422" t="inlineStr">
        <is>
          <t>10.11.2026</t>
        </is>
      </c>
      <c r="E12422" t="inlineStr">
        <is>
          <t>South Korea</t>
        </is>
      </c>
    </row>
    <row r="12423">
      <c r="A12423" t="inlineStr">
        <is>
          <t>Waskönig + Walter Kabel-Werk GmbH u. Co. KG,  Saterland, Germany</t>
        </is>
      </c>
      <c r="B12423" t="inlineStr">
        <is>
          <t>Processing Unit</t>
        </is>
      </c>
      <c r="C12423" t="inlineStr">
        <is>
          <t>SGS Germany GmbH, Emstek, DE</t>
        </is>
      </c>
      <c r="D12423" t="inlineStr">
        <is>
          <t>10.11.2026</t>
        </is>
      </c>
      <c r="E12423" t="inlineStr">
        <is>
          <t>Germany</t>
        </is>
      </c>
    </row>
    <row r="12424">
      <c r="A12424" t="inlineStr">
        <is>
          <t>Endaya Industries Corporation,  Quezon City, Philippines</t>
        </is>
      </c>
      <c r="B12424" t="inlineStr">
        <is>
          <t>Collecting Point, Trader with Storage</t>
        </is>
      </c>
      <c r="C12424" t="inlineStr">
        <is>
          <t>Control Union Certifications Germany GmbH, Berlin, DE</t>
        </is>
      </c>
      <c r="D12424" t="inlineStr">
        <is>
          <t>10.11.2026</t>
        </is>
      </c>
      <c r="E12424" t="inlineStr">
        <is>
          <t>Philippines</t>
        </is>
      </c>
    </row>
    <row r="12425">
      <c r="A12425" t="inlineStr">
        <is>
          <t>Maselis Hungária Kft.,  Csévharaszt, Hungary</t>
        </is>
      </c>
      <c r="B12425" t="inlineStr">
        <is>
          <t>Processing Unit</t>
        </is>
      </c>
      <c r="C12425" t="inlineStr">
        <is>
          <t>SGS Germany GmbH, Emstek, DE</t>
        </is>
      </c>
      <c r="D12425" t="inlineStr">
        <is>
          <t>10.11.2026</t>
        </is>
      </c>
      <c r="E12425" t="inlineStr">
        <is>
          <t>Hungary</t>
        </is>
      </c>
    </row>
    <row r="12426">
      <c r="A12426" t="inlineStr">
        <is>
          <t>CALMATUI IZVOARE COOPERATIVA AGRICOLA,  ULMENI, Romania</t>
        </is>
      </c>
      <c r="B12426" t="inlineStr">
        <is>
          <t>First Gathering Point</t>
        </is>
      </c>
      <c r="C12426" t="inlineStr">
        <is>
          <t>SRAC Cert SRL, Bucharest, RO</t>
        </is>
      </c>
      <c r="D12426" t="inlineStr">
        <is>
          <t>10.11.2026</t>
        </is>
      </c>
      <c r="E12426" t="inlineStr">
        <is>
          <t>Romania</t>
        </is>
      </c>
    </row>
    <row r="12427">
      <c r="A12427" t="inlineStr">
        <is>
          <t>COMPAÑÍA DE CEREALES SALTO S.R.L,  Salto, Argentina</t>
        </is>
      </c>
      <c r="B12427" t="inlineStr">
        <is>
          <t>Point of Origin, Trader with Storage</t>
        </is>
      </c>
      <c r="C12427" t="inlineStr">
        <is>
          <t>Control Union Poland Sp. z o.o., Zielona Gora, PL</t>
        </is>
      </c>
      <c r="D12427" t="inlineStr">
        <is>
          <t>10.11.2026</t>
        </is>
      </c>
      <c r="E12427" t="inlineStr">
        <is>
          <t>Argentina</t>
        </is>
      </c>
    </row>
    <row r="12428">
      <c r="A12428" t="inlineStr">
        <is>
          <t>SK Geo Centric International Trading (shanghai) Co., Ltd.,  Shanghai，Pilot Free Trade Zone, China</t>
        </is>
      </c>
      <c r="B12428" t="inlineStr">
        <is>
          <t>Trader</t>
        </is>
      </c>
      <c r="C12428" t="inlineStr">
        <is>
          <t>Control Union Certifications Germany GmbH, Berlin, DE</t>
        </is>
      </c>
      <c r="D12428" t="inlineStr">
        <is>
          <t>10.11.2026</t>
        </is>
      </c>
      <c r="E12428" t="inlineStr">
        <is>
          <t>China</t>
        </is>
      </c>
    </row>
    <row r="12429">
      <c r="A12429" t="inlineStr">
        <is>
          <t>Axpo Italia S.p.A.,  Genova (GE), Italy</t>
        </is>
      </c>
      <c r="B12429" t="inlineStr">
        <is>
          <t>Trader with Storage</t>
        </is>
      </c>
      <c r="C12429" t="inlineStr">
        <is>
          <t>RINA Services S.p.A., Genova, IT</t>
        </is>
      </c>
      <c r="D12429" t="inlineStr">
        <is>
          <t>10.11.2026</t>
        </is>
      </c>
      <c r="E12429" t="inlineStr">
        <is>
          <t>Italy</t>
        </is>
      </c>
    </row>
    <row r="12430">
      <c r="A12430" t="inlineStr">
        <is>
          <t>Tradesped,  Budapest, Hungary</t>
        </is>
      </c>
      <c r="B12430" t="inlineStr">
        <is>
          <t>Trader</t>
        </is>
      </c>
      <c r="C12430" t="inlineStr">
        <is>
          <t>SGS Germany GmbH, Emstek, DE</t>
        </is>
      </c>
      <c r="D12430" t="inlineStr">
        <is>
          <t>10.11.2026</t>
        </is>
      </c>
      <c r="E12430" t="inlineStr">
        <is>
          <t>Hungary</t>
        </is>
      </c>
    </row>
    <row r="12431">
      <c r="A12431" t="inlineStr">
        <is>
          <t>Xiamen Everyoung Optical Hi-Tec. Co., Ltd.,  Haicang, Xiamen, Fujian, China</t>
        </is>
      </c>
      <c r="B12431" t="inlineStr">
        <is>
          <t>Processing Unit</t>
        </is>
      </c>
      <c r="C12431" t="inlineStr">
        <is>
          <t>SGS Germany GmbH, Emstek, DE</t>
        </is>
      </c>
      <c r="D12431" t="inlineStr">
        <is>
          <t>10.11.2026</t>
        </is>
      </c>
      <c r="E12431" t="inlineStr">
        <is>
          <t>China</t>
        </is>
      </c>
    </row>
    <row r="12432">
      <c r="A12432" t="inlineStr">
        <is>
          <t>Fuchsluger GmbH,  Aschbach, Austria</t>
        </is>
      </c>
      <c r="B12432" t="inlineStr">
        <is>
          <t>Point of Origin, Collecting Point, Processing Unit</t>
        </is>
      </c>
      <c r="C12432" t="inlineStr">
        <is>
          <t>agroVet GmbH, Enzersfeld, AT</t>
        </is>
      </c>
      <c r="D12432" t="inlineStr">
        <is>
          <t>10.11.2026</t>
        </is>
      </c>
      <c r="E12432" t="inlineStr">
        <is>
          <t>Austria</t>
        </is>
      </c>
    </row>
    <row r="12433">
      <c r="A12433" t="inlineStr">
        <is>
          <t>Kanadevia Inova Biogas Leeming,  Leeming, United Kingdom</t>
        </is>
      </c>
      <c r="B12433" t="inlineStr">
        <is>
          <t>Collecting Point, Processing Unit</t>
        </is>
      </c>
      <c r="C12433" t="inlineStr">
        <is>
          <t>Double Helix Tracking Technologies Pte Ltd, Singapore, SG</t>
        </is>
      </c>
      <c r="D12433" t="inlineStr">
        <is>
          <t>10.11.2026</t>
        </is>
      </c>
      <c r="E12433" t="inlineStr">
        <is>
          <t>United Kingdom</t>
        </is>
      </c>
    </row>
    <row r="12434">
      <c r="A12434" t="inlineStr">
        <is>
          <t>PETRO&amp;BIOFUEL Trading SRL,  Milano, Italy</t>
        </is>
      </c>
      <c r="B12434" t="inlineStr">
        <is>
          <t>Trader</t>
        </is>
      </c>
      <c r="C12434" t="inlineStr">
        <is>
          <t>Bureau Veritas Polska Sp. z o.o., Warsaw, PL</t>
        </is>
      </c>
      <c r="D12434" t="inlineStr">
        <is>
          <t>10.11.2026</t>
        </is>
      </c>
      <c r="E12434" t="inlineStr">
        <is>
          <t>Italy</t>
        </is>
      </c>
    </row>
    <row r="12435">
      <c r="A12435" t="inlineStr">
        <is>
          <t>SLADOVŇA, a.s. Michalovce,  Michalovce, Slovakia</t>
        </is>
      </c>
      <c r="B12435" t="inlineStr">
        <is>
          <t>First Gathering Point, Trader with Storage</t>
        </is>
      </c>
      <c r="C12435" t="inlineStr">
        <is>
          <t>Bureau Veritas Polska Sp. z o.o., Warsaw, PL</t>
        </is>
      </c>
      <c r="D12435" t="inlineStr">
        <is>
          <t>10.11.2026</t>
        </is>
      </c>
      <c r="E12435" t="inlineStr">
        <is>
          <t>Slovakia</t>
        </is>
      </c>
    </row>
    <row r="12436">
      <c r="A12436" t="inlineStr">
        <is>
          <t>PT. Nusa Raya Palma,  Surabaya, Indonesia</t>
        </is>
      </c>
      <c r="B12436" t="inlineStr">
        <is>
          <t>Collecting Point, Trader with Storage</t>
        </is>
      </c>
      <c r="C12436" t="inlineStr">
        <is>
          <t>RINA Services S.p.A., Genova, IT</t>
        </is>
      </c>
      <c r="D12436" t="inlineStr">
        <is>
          <t>10.11.2026</t>
        </is>
      </c>
      <c r="E12436" t="inlineStr">
        <is>
          <t>Indonesia</t>
        </is>
      </c>
    </row>
    <row r="12437">
      <c r="A12437" t="inlineStr">
        <is>
          <t>Yongkang Greater Houseware Co., Ltd.,  Yuyao City, Zheijang Province, China</t>
        </is>
      </c>
      <c r="B12437" t="inlineStr">
        <is>
          <t>Processing Unit, Trader</t>
        </is>
      </c>
      <c r="C12437" t="inlineStr">
        <is>
          <t>SCS Global Services, Emeryville, CA, US</t>
        </is>
      </c>
      <c r="D12437" t="inlineStr">
        <is>
          <t>09.11.2026</t>
        </is>
      </c>
      <c r="E12437" t="inlineStr">
        <is>
          <t>China</t>
        </is>
      </c>
    </row>
    <row r="12438">
      <c r="A12438" t="inlineStr">
        <is>
          <t>RDT Semin Co.,  Caloocan, Philippines</t>
        </is>
      </c>
      <c r="B12438" t="inlineStr">
        <is>
          <t>Collecting Point, Trader with Storage</t>
        </is>
      </c>
      <c r="C12438" t="inlineStr">
        <is>
          <t>Trans Certification and Inspection Sdn Bhd, Kuantan, MY</t>
        </is>
      </c>
      <c r="D12438" t="inlineStr">
        <is>
          <t>09.11.2026</t>
        </is>
      </c>
      <c r="E12438" t="inlineStr">
        <is>
          <t>Philippines</t>
        </is>
      </c>
    </row>
    <row r="12439">
      <c r="A12439" t="inlineStr">
        <is>
          <t>Zhongyun Haike Environmental Protection Technology (Yangjiang) Co., Ltd.,  Yangjiang City, Guangdong Province, China</t>
        </is>
      </c>
      <c r="B12439" t="inlineStr">
        <is>
          <t>Collecting Point, Trader</t>
        </is>
      </c>
      <c r="C12439" t="inlineStr">
        <is>
          <t>RINA Services S.p.A., Genova, IT</t>
        </is>
      </c>
      <c r="D12439" t="inlineStr">
        <is>
          <t>09.11.2026</t>
        </is>
      </c>
      <c r="E12439" t="inlineStr">
        <is>
          <t>China</t>
        </is>
      </c>
    </row>
    <row r="12440">
      <c r="A12440" t="inlineStr">
        <is>
          <t>Anhui Zhongming Bozhou New Energy Technology Co., Ltd.,  Anqing City, Anhui Province, China</t>
        </is>
      </c>
      <c r="B12440" t="inlineStr">
        <is>
          <t>Trader</t>
        </is>
      </c>
      <c r="C12440" t="inlineStr">
        <is>
          <t>RINA Services S.p.A., Genova, IT</t>
        </is>
      </c>
      <c r="D12440" t="inlineStr">
        <is>
          <t>09.11.2026</t>
        </is>
      </c>
      <c r="E12440" t="inlineStr">
        <is>
          <t>China</t>
        </is>
      </c>
    </row>
    <row r="12441">
      <c r="A12441" t="inlineStr">
        <is>
          <t>Mitsui &amp; Co. Deutschland GmbH,  Düsseldorf, Germany</t>
        </is>
      </c>
      <c r="B12441" t="inlineStr">
        <is>
          <t>Trader with Storage</t>
        </is>
      </c>
      <c r="C12441" t="inlineStr">
        <is>
          <t>SGS Germany GmbH, Emstek, DE</t>
        </is>
      </c>
      <c r="D12441" t="inlineStr">
        <is>
          <t>09.11.2026</t>
        </is>
      </c>
      <c r="E12441" t="inlineStr">
        <is>
          <t>Germany</t>
        </is>
      </c>
    </row>
    <row r="12442">
      <c r="A12442" t="inlineStr">
        <is>
          <t>Wuhan Tanhuan Ecology Co., Ltd,  Wuhan, Hubei, China</t>
        </is>
      </c>
      <c r="B12442" t="inlineStr">
        <is>
          <t>Collecting Point, Trader with Storage, Processing Unit</t>
        </is>
      </c>
      <c r="C12442" t="inlineStr">
        <is>
          <t>RINA Services S.p.A., Genova, IT</t>
        </is>
      </c>
      <c r="D12442" t="inlineStr">
        <is>
          <t>09.11.2026</t>
        </is>
      </c>
      <c r="E12442" t="inlineStr">
        <is>
          <t>China</t>
        </is>
      </c>
    </row>
    <row r="12443">
      <c r="A12443" t="inlineStr">
        <is>
          <t>Mitsui &amp; Co. Deutschland GmbH,  Düsseldorf, Germany</t>
        </is>
      </c>
      <c r="B12443" t="inlineStr">
        <is>
          <t>Trader with Storage</t>
        </is>
      </c>
      <c r="C12443" t="inlineStr">
        <is>
          <t>SGS Germany GmbH, Emstek, DE</t>
        </is>
      </c>
      <c r="D12443" t="inlineStr">
        <is>
          <t>09.11.2026</t>
        </is>
      </c>
      <c r="E12443" t="inlineStr">
        <is>
          <t>Germany</t>
        </is>
      </c>
    </row>
    <row r="12444">
      <c r="A12444" t="inlineStr">
        <is>
          <t>AEKYUNG CHEMICAL CO., LTD.,  Ulsan, Korea, Republic of</t>
        </is>
      </c>
      <c r="B12444" t="inlineStr">
        <is>
          <t>Collecting Point, Point of Origin, Processing Unit</t>
        </is>
      </c>
      <c r="C12444" t="inlineStr">
        <is>
          <t>Control Union Certifications Germany GmbH, Berlin, DE</t>
        </is>
      </c>
      <c r="D12444" t="inlineStr">
        <is>
          <t>09.11.2026</t>
        </is>
      </c>
      <c r="E12444" t="inlineStr">
        <is>
          <t>Republic of</t>
        </is>
      </c>
    </row>
    <row r="12445">
      <c r="A12445" t="inlineStr">
        <is>
          <t>MOEVE AVIATION,  La Laguna (Tenerife), Spain</t>
        </is>
      </c>
      <c r="B12445" t="inlineStr">
        <is>
          <t>Logistics Center</t>
        </is>
      </c>
      <c r="C12445" t="inlineStr">
        <is>
          <t>Control Union Poland Sp. z o.o., Zielona Gora, PL</t>
        </is>
      </c>
      <c r="D12445" t="inlineStr">
        <is>
          <t>09.11.2026</t>
        </is>
      </c>
      <c r="E12445" t="inlineStr">
        <is>
          <t>Spain</t>
        </is>
      </c>
    </row>
    <row r="12446">
      <c r="A12446" t="inlineStr">
        <is>
          <t>MOEVE AVIATION,  La Laguna (Tenerife), Spain</t>
        </is>
      </c>
      <c r="B12446" t="inlineStr">
        <is>
          <t>Logistics Center</t>
        </is>
      </c>
      <c r="C12446" t="inlineStr">
        <is>
          <t>Control Union Poland Sp. z o.o., Zielona Gora, PL</t>
        </is>
      </c>
      <c r="D12446" t="inlineStr">
        <is>
          <t>09.11.2026</t>
        </is>
      </c>
      <c r="E12446" t="inlineStr">
        <is>
          <t>Spain</t>
        </is>
      </c>
    </row>
    <row r="12447">
      <c r="A12447" t="inlineStr">
        <is>
          <t>Embe Press sp. z o.o.,  Lublin, Poland</t>
        </is>
      </c>
      <c r="B12447" t="inlineStr">
        <is>
          <t>Processing Unit</t>
        </is>
      </c>
      <c r="C12447" t="inlineStr">
        <is>
          <t>DNV Business Assurance Sweden AB, Solna, SE</t>
        </is>
      </c>
      <c r="D12447" t="inlineStr">
        <is>
          <t>09.11.2026</t>
        </is>
      </c>
      <c r="E12447" t="inlineStr">
        <is>
          <t>Poland</t>
        </is>
      </c>
    </row>
    <row r="12448">
      <c r="A12448" t="inlineStr">
        <is>
          <t>Indorama,  San Roque, Cádiz, Spain</t>
        </is>
      </c>
      <c r="B12448" t="inlineStr">
        <is>
          <t>Processing Unit</t>
        </is>
      </c>
      <c r="C12448" t="inlineStr">
        <is>
          <t>Control Union Poland Sp. z o.o., Zielona Gora, PL</t>
        </is>
      </c>
      <c r="D12448" t="inlineStr">
        <is>
          <t>09.11.2026</t>
        </is>
      </c>
      <c r="E12448" t="inlineStr">
        <is>
          <t>Spain</t>
        </is>
      </c>
    </row>
    <row r="12449">
      <c r="A12449" t="inlineStr">
        <is>
          <t>Trafigura Pte Ltd, branch office Geneva,  Geneva, Switzerland</t>
        </is>
      </c>
      <c r="B12449" t="inlineStr">
        <is>
          <t>Trader</t>
        </is>
      </c>
      <c r="C12449" t="inlineStr">
        <is>
          <t>Control Union Certifications Germany GmbH, Berlin, DE</t>
        </is>
      </c>
      <c r="D12449" t="inlineStr">
        <is>
          <t>09.11.2026</t>
        </is>
      </c>
      <c r="E12449" t="inlineStr">
        <is>
          <t>Switzerland</t>
        </is>
      </c>
    </row>
    <row r="12450">
      <c r="A12450" t="inlineStr">
        <is>
          <t>GeoYoung Corporation,  Deoksan-eup, Jincheon-gun, South Korea</t>
        </is>
      </c>
      <c r="B12450" t="inlineStr">
        <is>
          <t>Trader</t>
        </is>
      </c>
      <c r="C12450" t="inlineStr">
        <is>
          <t>FITI Testing &amp; Research Institute, Seoul, KR</t>
        </is>
      </c>
      <c r="D12450" t="inlineStr">
        <is>
          <t>09.11.2026</t>
        </is>
      </c>
      <c r="E12450" t="inlineStr">
        <is>
          <t>South Korea</t>
        </is>
      </c>
    </row>
    <row r="12451">
      <c r="A12451" t="inlineStr">
        <is>
          <t>PT Multimas Nabati Asahan,  Serang, Indonesia</t>
        </is>
      </c>
      <c r="B12451" t="inlineStr">
        <is>
          <t>Processing Unit, Point of Origin, Trader with Storage</t>
        </is>
      </c>
      <c r="C12451" t="inlineStr">
        <is>
          <t>PT SBC Asia Sertifikasi, Kebumen, ID</t>
        </is>
      </c>
      <c r="D12451" t="inlineStr">
        <is>
          <t>09.11.2026</t>
        </is>
      </c>
      <c r="E12451" t="inlineStr">
        <is>
          <t>Indonesia</t>
        </is>
      </c>
    </row>
    <row r="12452">
      <c r="A12452" t="inlineStr">
        <is>
          <t>ASIA ALFA LOGISTICS,  Kulai, Johor., Malaysia</t>
        </is>
      </c>
      <c r="B12452" t="inlineStr">
        <is>
          <t>Trader with Storage</t>
        </is>
      </c>
      <c r="C12452" t="inlineStr">
        <is>
          <t>Global Gateway Certifications Sdn Bhd, Ampang, MY</t>
        </is>
      </c>
      <c r="D12452" t="inlineStr">
        <is>
          <t>09.11.2026</t>
        </is>
      </c>
      <c r="E12452" t="inlineStr">
        <is>
          <t>Malaysia</t>
        </is>
      </c>
    </row>
    <row r="12453">
      <c r="A12453" t="inlineStr">
        <is>
          <t>ECO Aviation Fuel Services Limited,  Hong Kong, Hong Kong, SAR, China</t>
        </is>
      </c>
      <c r="B12453" t="inlineStr">
        <is>
          <t>Warehouse</t>
        </is>
      </c>
      <c r="C12453" t="inlineStr">
        <is>
          <t>SCS Global Services, Emeryville, CA, US</t>
        </is>
      </c>
      <c r="D12453" t="inlineStr">
        <is>
          <t>09.11.2026</t>
        </is>
      </c>
      <c r="E12453" t="inlineStr">
        <is>
          <t>China</t>
        </is>
      </c>
    </row>
    <row r="12454">
      <c r="A12454" t="inlineStr">
        <is>
          <t>NORTHSTAR BUNKERING,  HALSTEREN, Netherlands</t>
        </is>
      </c>
      <c r="B12454" t="inlineStr">
        <is>
          <t>Trader with Storage, Proof of Compliance Trader</t>
        </is>
      </c>
      <c r="C12454" t="inlineStr">
        <is>
          <t>Normec QS BV, Bennekom, NL</t>
        </is>
      </c>
      <c r="D12454" t="inlineStr">
        <is>
          <t>09.11.2026</t>
        </is>
      </c>
      <c r="E12454" t="inlineStr">
        <is>
          <t>Netherlands</t>
        </is>
      </c>
    </row>
    <row r="12455">
      <c r="A12455" t="inlineStr">
        <is>
          <t>Northstar,  Antwerpen, Belgium</t>
        </is>
      </c>
      <c r="B12455" t="inlineStr">
        <is>
          <t>Trader with Storage, Proof of Compliance Trader</t>
        </is>
      </c>
      <c r="C12455" t="inlineStr">
        <is>
          <t>Normec QS BV, Bennekom, NL</t>
        </is>
      </c>
      <c r="D12455" t="inlineStr">
        <is>
          <t>09.11.2026</t>
        </is>
      </c>
      <c r="E12455" t="inlineStr">
        <is>
          <t>Belgium</t>
        </is>
      </c>
    </row>
    <row r="12456">
      <c r="A12456" t="inlineStr">
        <is>
          <t>Zemedelske druzstvo chovatelu a pestitelu Litomysl,  Litomysl, Czech Republic</t>
        </is>
      </c>
      <c r="B12456" t="inlineStr">
        <is>
          <t>Collecting Point, Farm / Plantation, Point of Origin, Processing Unit</t>
        </is>
      </c>
      <c r="C12456" t="inlineStr">
        <is>
          <t>United Registrar of Systems Polska Sp. z o.o., Wrocław, PL</t>
        </is>
      </c>
      <c r="D12456" t="inlineStr">
        <is>
          <t>09.11.2026</t>
        </is>
      </c>
      <c r="E12456" t="inlineStr">
        <is>
          <t>Czech Republic</t>
        </is>
      </c>
    </row>
    <row r="12457">
      <c r="A12457" t="inlineStr">
        <is>
          <t>CS AGRO s.r.o.,  Prague, Czech Republic</t>
        </is>
      </c>
      <c r="B12457" t="inlineStr">
        <is>
          <t>First Gathering Point, Trader</t>
        </is>
      </c>
      <c r="C12457" t="inlineStr">
        <is>
          <t>United Registrar of Systems Polska Sp. z o.o., Wrocław, PL</t>
        </is>
      </c>
      <c r="D12457" t="inlineStr">
        <is>
          <t>09.11.2026</t>
        </is>
      </c>
      <c r="E12457" t="inlineStr">
        <is>
          <t>Czech Republic</t>
        </is>
      </c>
    </row>
    <row r="12458">
      <c r="A12458" t="inlineStr">
        <is>
          <t>Hyundai Corporation,  Seoul, Korea, Republic of</t>
        </is>
      </c>
      <c r="B12458" t="inlineStr">
        <is>
          <t>Trader</t>
        </is>
      </c>
      <c r="C12458" t="inlineStr">
        <is>
          <t>Control Union Certifications Germany GmbH, Berlin, DE</t>
        </is>
      </c>
      <c r="D12458" t="inlineStr">
        <is>
          <t>09.11.2026</t>
        </is>
      </c>
      <c r="E12458" t="inlineStr">
        <is>
          <t>Republic of</t>
        </is>
      </c>
    </row>
    <row r="12459">
      <c r="A12459" t="inlineStr">
        <is>
          <t>NUTRIPACK FLINES,  Flines-Lez-Raches, France</t>
        </is>
      </c>
      <c r="B12459" t="inlineStr">
        <is>
          <t>Processing Unit</t>
        </is>
      </c>
      <c r="C12459" t="inlineStr">
        <is>
          <t>SGS Germany GmbH, Emstek, DE</t>
        </is>
      </c>
      <c r="D12459" t="inlineStr">
        <is>
          <t>09.11.2026</t>
        </is>
      </c>
      <c r="E12459" t="inlineStr">
        <is>
          <t>France</t>
        </is>
      </c>
    </row>
    <row r="12460">
      <c r="A12460" t="inlineStr">
        <is>
          <t>Inoplast Kunststoff GmbH,  Windischeschenbach-Neuhaus, Germany</t>
        </is>
      </c>
      <c r="B12460" t="inlineStr">
        <is>
          <t>Processing Unit</t>
        </is>
      </c>
      <c r="C12460" t="inlineStr">
        <is>
          <t>SGS Germany GmbH, Emstek, DE</t>
        </is>
      </c>
      <c r="D12460" t="inlineStr">
        <is>
          <t>09.11.2026</t>
        </is>
      </c>
      <c r="E12460" t="inlineStr">
        <is>
          <t>Germany</t>
        </is>
      </c>
    </row>
    <row r="12461">
      <c r="A12461" t="inlineStr">
        <is>
          <t>Kurnia Mitra Sawit,  Sumatera Utara, Indonesia</t>
        </is>
      </c>
      <c r="B12461" t="inlineStr">
        <is>
          <t>Point of Origin</t>
        </is>
      </c>
      <c r="C12461" t="inlineStr">
        <is>
          <t>PT. Qualitas Sertifikasi Indonesia, Jakarta, ID</t>
        </is>
      </c>
      <c r="D12461" t="inlineStr">
        <is>
          <t>09.11.2026</t>
        </is>
      </c>
      <c r="E12461" t="inlineStr">
        <is>
          <t>Indonesia</t>
        </is>
      </c>
    </row>
    <row r="12462">
      <c r="A12462" t="inlineStr">
        <is>
          <t>PT. Mahato Inti Sawit,  Rokan Hulu, Indonesia</t>
        </is>
      </c>
      <c r="B12462" t="inlineStr">
        <is>
          <t>Point of Origin</t>
        </is>
      </c>
      <c r="C12462" t="inlineStr">
        <is>
          <t>PT TSI Sertifikasi Internasional, Jakarta Selatang, ID</t>
        </is>
      </c>
      <c r="D12462" t="inlineStr">
        <is>
          <t>09.11.2026</t>
        </is>
      </c>
      <c r="E12462" t="inlineStr">
        <is>
          <t>Indonesia</t>
        </is>
      </c>
    </row>
    <row r="12463">
      <c r="A12463" t="inlineStr">
        <is>
          <t>MIDER-Helm Methanol Vertriebs GmbH,  Hamburg, Germany</t>
        </is>
      </c>
      <c r="B12463" t="inlineStr">
        <is>
          <t>Trader with Storage</t>
        </is>
      </c>
      <c r="C12463" t="inlineStr">
        <is>
          <t>GUT Certifizierungsgesellschaft für Managementsysteme mbH Umweltgutachter, Berlin, DE</t>
        </is>
      </c>
      <c r="D12463" t="inlineStr">
        <is>
          <t>09.11.2026</t>
        </is>
      </c>
      <c r="E12463" t="inlineStr">
        <is>
          <t>Germany</t>
        </is>
      </c>
    </row>
    <row r="12464">
      <c r="A12464" t="inlineStr">
        <is>
          <t>MIDER-Helm Methanol Vertriebs GmbH,  Hamburg, Germany</t>
        </is>
      </c>
      <c r="B12464" t="inlineStr">
        <is>
          <t>Trader with Storage</t>
        </is>
      </c>
      <c r="C12464" t="inlineStr">
        <is>
          <t>GUT Certifizierungsgesellschaft für Managementsysteme mbH Umweltgutachter, Berlin, DE</t>
        </is>
      </c>
      <c r="D12464" t="inlineStr">
        <is>
          <t>09.11.2026</t>
        </is>
      </c>
      <c r="E12464" t="inlineStr">
        <is>
          <t>Germany</t>
        </is>
      </c>
    </row>
    <row r="12465">
      <c r="A12465" t="inlineStr">
        <is>
          <t>Interzero Plastics Sorting GmbH,  Steyerberg, Germany</t>
        </is>
      </c>
      <c r="B12465" t="inlineStr">
        <is>
          <t>Processing Unit</t>
        </is>
      </c>
      <c r="C12465" t="inlineStr">
        <is>
          <t>GUT Certifizierungsgesellschaft für Managementsysteme mbH Umweltgutachter, Berlin, DE</t>
        </is>
      </c>
      <c r="D12465" t="inlineStr">
        <is>
          <t>09.11.2026</t>
        </is>
      </c>
      <c r="E12465" t="inlineStr">
        <is>
          <t>Germany</t>
        </is>
      </c>
    </row>
    <row r="12466">
      <c r="A12466" t="inlineStr">
        <is>
          <t>PT. PESONA SAWIT MAKMUR - 2,  Lampung Timur Regency, Indonesia</t>
        </is>
      </c>
      <c r="B12466" t="inlineStr">
        <is>
          <t>Point of Origin</t>
        </is>
      </c>
      <c r="C12466" t="inlineStr">
        <is>
          <t>PT. Qualitas Sertifikasi Indonesia, Jakarta, ID</t>
        </is>
      </c>
      <c r="D12466" t="inlineStr">
        <is>
          <t>09.11.2026</t>
        </is>
      </c>
      <c r="E12466" t="inlineStr">
        <is>
          <t>Indonesia</t>
        </is>
      </c>
    </row>
    <row r="12467">
      <c r="A12467" t="inlineStr">
        <is>
          <t>PT Paluta Inti Sawit,  Gunung Intan, Indonesia</t>
        </is>
      </c>
      <c r="B12467" t="inlineStr">
        <is>
          <t>Point of Origin</t>
        </is>
      </c>
      <c r="C12467" t="inlineStr">
        <is>
          <t>PT TSI Sertifikasi Internasional, Jakarta Selatang, ID</t>
        </is>
      </c>
      <c r="D12467" t="inlineStr">
        <is>
          <t>09.11.2026</t>
        </is>
      </c>
      <c r="E12467" t="inlineStr">
        <is>
          <t>Indonesia</t>
        </is>
      </c>
    </row>
    <row r="12468">
      <c r="A12468" t="inlineStr">
        <is>
          <t>PT. BAGAN MULTI SAWIT,  Balai Jaya, Indonesia</t>
        </is>
      </c>
      <c r="B12468" t="inlineStr">
        <is>
          <t>Point of Origin</t>
        </is>
      </c>
      <c r="C12468" t="inlineStr">
        <is>
          <t>PT TSI Sertifikasi Internasional, Jakarta Selatang, ID</t>
        </is>
      </c>
      <c r="D12468" t="inlineStr">
        <is>
          <t>09.11.2026</t>
        </is>
      </c>
      <c r="E12468" t="inlineStr">
        <is>
          <t>Indonesia</t>
        </is>
      </c>
    </row>
    <row r="12469">
      <c r="A12469" t="inlineStr">
        <is>
          <t>RDB plastics d.o.o.,  Koper/Dekani, Slovenia</t>
        </is>
      </c>
      <c r="B12469" t="inlineStr">
        <is>
          <t>Collecting Point, Point of Origin, Processing Unit</t>
        </is>
      </c>
      <c r="C12469" t="inlineStr">
        <is>
          <t>GUT Certifizierungsgesellschaft für Managementsysteme mbH Umweltgutachter, Berlin, DE</t>
        </is>
      </c>
      <c r="D12469" t="inlineStr">
        <is>
          <t>09.11.2026</t>
        </is>
      </c>
      <c r="E12469" t="inlineStr">
        <is>
          <t>Slovenia</t>
        </is>
      </c>
    </row>
    <row r="12470">
      <c r="A12470" t="inlineStr">
        <is>
          <t>Biogra Trading,  Dubai, United Arab Emirates</t>
        </is>
      </c>
      <c r="B12470" t="inlineStr">
        <is>
          <t>Trader, Trader with Storage</t>
        </is>
      </c>
      <c r="C12470" t="inlineStr">
        <is>
          <t>SGS Germany GmbH, Emstek, DE</t>
        </is>
      </c>
      <c r="D12470" t="inlineStr">
        <is>
          <t>09.11.2026</t>
        </is>
      </c>
      <c r="E12470" t="inlineStr">
        <is>
          <t>United Arab Emirates</t>
        </is>
      </c>
    </row>
    <row r="12471">
      <c r="A12471" t="inlineStr">
        <is>
          <t>Interzero Material Supplies GmbH,  Duisburg, Germany</t>
        </is>
      </c>
      <c r="B12471" t="inlineStr">
        <is>
          <t>Collecting Point, Point of Origin, Processing Unit</t>
        </is>
      </c>
      <c r="C12471" t="inlineStr">
        <is>
          <t>GUT Certifizierungsgesellschaft für Managementsysteme mbH Umweltgutachter, Berlin, DE</t>
        </is>
      </c>
      <c r="D12471" t="inlineStr">
        <is>
          <t>09.11.2026</t>
        </is>
      </c>
      <c r="E12471" t="inlineStr">
        <is>
          <t>Germany</t>
        </is>
      </c>
    </row>
    <row r="12472">
      <c r="A12472" t="inlineStr">
        <is>
          <t>Texchem Materials Sdn Bhd,  Johor Bahru, Malaysia</t>
        </is>
      </c>
      <c r="B12472" t="inlineStr">
        <is>
          <t>Trader with Storage</t>
        </is>
      </c>
      <c r="C12472" t="inlineStr">
        <is>
          <t>Bureau Veritas Polska Sp. z o.o., Warsaw, PL</t>
        </is>
      </c>
      <c r="D12472" t="inlineStr">
        <is>
          <t>09.11.2026</t>
        </is>
      </c>
      <c r="E12472" t="inlineStr">
        <is>
          <t>Malaysia</t>
        </is>
      </c>
    </row>
    <row r="12473">
      <c r="A12473" t="inlineStr">
        <is>
          <t>Prime Elements,  Berlin, Germany</t>
        </is>
      </c>
      <c r="B12473" t="inlineStr">
        <is>
          <t>Trader</t>
        </is>
      </c>
      <c r="C12473" t="inlineStr">
        <is>
          <t>Global-Creative-Energy GmbH, Berlin, DE</t>
        </is>
      </c>
      <c r="D12473" t="inlineStr">
        <is>
          <t>09.11.2026</t>
        </is>
      </c>
      <c r="E12473" t="inlineStr">
        <is>
          <t>Germany</t>
        </is>
      </c>
    </row>
    <row r="12474">
      <c r="A12474" t="inlineStr">
        <is>
          <t>CMD Aeropuertos Canarios,  Güimar, Spain</t>
        </is>
      </c>
      <c r="B12474" t="inlineStr">
        <is>
          <t>Logistics Center</t>
        </is>
      </c>
      <c r="C12474" t="inlineStr">
        <is>
          <t>Control Union Poland Sp. z o.o., Zielona Gora, PL</t>
        </is>
      </c>
      <c r="D12474" t="inlineStr">
        <is>
          <t>09.11.2026</t>
        </is>
      </c>
      <c r="E12474" t="inlineStr">
        <is>
          <t>Spain</t>
        </is>
      </c>
    </row>
    <row r="12475">
      <c r="A12475" t="inlineStr">
        <is>
          <t>YH Oil Enterprise,  Hutan Melintang, Perak, Malaysia</t>
        </is>
      </c>
      <c r="B12475" t="inlineStr">
        <is>
          <t>Collecting Point, Trader, Trader with Storage</t>
        </is>
      </c>
      <c r="C12475" t="inlineStr">
        <is>
          <t>PT. CBQA GLOBAL INDONESIA, JAKARTA SELATAN, ID</t>
        </is>
      </c>
      <c r="D12475" t="inlineStr">
        <is>
          <t>09.11.2026</t>
        </is>
      </c>
      <c r="E12475" t="inlineStr">
        <is>
          <t>Malaysia</t>
        </is>
      </c>
    </row>
    <row r="12476">
      <c r="A12476" t="inlineStr">
        <is>
          <t>BPS Belá, s.r.o.,  Belá nad Cirochou, Slovakia</t>
        </is>
      </c>
      <c r="B12476" t="inlineStr">
        <is>
          <t>Collecting Point, First Gathering Point, Processing Unit</t>
        </is>
      </c>
      <c r="C12476" t="inlineStr">
        <is>
          <t>United Registrar of Systems Polska Sp. z o.o., Wrocław, PL</t>
        </is>
      </c>
      <c r="D12476" t="inlineStr">
        <is>
          <t>09.11.2026</t>
        </is>
      </c>
      <c r="E12476" t="inlineStr">
        <is>
          <t>Slovakia</t>
        </is>
      </c>
    </row>
    <row r="12477">
      <c r="A12477" t="inlineStr">
        <is>
          <t>Bunge Paraguay S.A. - Complejo Agro Industrial S.A. (CAIASA),  Villeta, Departamento Central, Paraguay</t>
        </is>
      </c>
      <c r="B12477" t="inlineStr">
        <is>
          <t>Processing Unit</t>
        </is>
      </c>
      <c r="C12477" t="inlineStr">
        <is>
          <t>Control Union Certifications Germany GmbH, Berlin, DE</t>
        </is>
      </c>
      <c r="D12477" t="inlineStr">
        <is>
          <t>09.11.2026</t>
        </is>
      </c>
      <c r="E12477" t="inlineStr">
        <is>
          <t>Paraguay</t>
        </is>
      </c>
    </row>
    <row r="12478">
      <c r="A12478" t="inlineStr">
        <is>
          <t>LDC Paraguay S.A.- Complejo Agro Industrial S.A. (CAIASA),  Villeta, Departamento Central, Paraguay</t>
        </is>
      </c>
      <c r="B12478" t="inlineStr">
        <is>
          <t>Processing Unit, Trader with Storage</t>
        </is>
      </c>
      <c r="C12478" t="inlineStr">
        <is>
          <t>Control Union Certifications Germany GmbH, Berlin, DE</t>
        </is>
      </c>
      <c r="D12478" t="inlineStr">
        <is>
          <t>09.11.2026</t>
        </is>
      </c>
      <c r="E12478" t="inlineStr">
        <is>
          <t>Paraguay</t>
        </is>
      </c>
    </row>
    <row r="12479">
      <c r="A12479" t="inlineStr">
        <is>
          <t>Petro-Diamond Incorporated,  Irvine, United States</t>
        </is>
      </c>
      <c r="B12479" t="inlineStr">
        <is>
          <t>Trader with Storage</t>
        </is>
      </c>
      <c r="C12479" t="inlineStr">
        <is>
          <t>SCS Global Services, Emeryville, CA, US</t>
        </is>
      </c>
      <c r="D12479" t="inlineStr">
        <is>
          <t>09.11.2026</t>
        </is>
      </c>
      <c r="E12479" t="inlineStr">
        <is>
          <t>United States</t>
        </is>
      </c>
    </row>
    <row r="12480">
      <c r="A12480" t="inlineStr">
        <is>
          <t>Petro-Diamond Incorporated,  Irvine, United States</t>
        </is>
      </c>
      <c r="B12480" t="inlineStr">
        <is>
          <t>Trader with Storage</t>
        </is>
      </c>
      <c r="C12480" t="inlineStr">
        <is>
          <t>SCS Global Services, Emeryville, CA, US</t>
        </is>
      </c>
      <c r="D12480" t="inlineStr">
        <is>
          <t>09.11.2026</t>
        </is>
      </c>
      <c r="E12480" t="inlineStr">
        <is>
          <t>United States</t>
        </is>
      </c>
    </row>
    <row r="12481">
      <c r="A12481" t="inlineStr">
        <is>
          <t>Isola Trading Srl,  Cadoneghe, Italy</t>
        </is>
      </c>
      <c r="B12481" t="inlineStr">
        <is>
          <t>Trader with Storage</t>
        </is>
      </c>
      <c r="C12481" t="inlineStr">
        <is>
          <t>ICIM SpA, sesto san giovanni, IT</t>
        </is>
      </c>
      <c r="D12481" t="inlineStr">
        <is>
          <t>09.11.2026</t>
        </is>
      </c>
      <c r="E12481" t="inlineStr">
        <is>
          <t>Italy</t>
        </is>
      </c>
    </row>
    <row r="12482">
      <c r="A12482" t="inlineStr">
        <is>
          <t>Grasas Martínez González, S.L.,  Abanilla, Spain</t>
        </is>
      </c>
      <c r="B12482" t="inlineStr">
        <is>
          <t>Point of Origin</t>
        </is>
      </c>
      <c r="C12482" t="inlineStr">
        <is>
          <t>SGS Germany GmbH, Emstek, DE</t>
        </is>
      </c>
      <c r="D12482" t="inlineStr">
        <is>
          <t>09.11.2026</t>
        </is>
      </c>
      <c r="E12482" t="inlineStr">
        <is>
          <t>Spain</t>
        </is>
      </c>
    </row>
    <row r="12483">
      <c r="A12483" t="inlineStr">
        <is>
          <t>AEKYUNG CHEMICAL CO., LTD.,  Seoul, Korea, Republic of</t>
        </is>
      </c>
      <c r="B12483" t="inlineStr">
        <is>
          <t>Trader with Storage, Biomarine Fuel Operator</t>
        </is>
      </c>
      <c r="C12483" t="inlineStr">
        <is>
          <t>Control Union Certifications Germany GmbH, Berlin, DE</t>
        </is>
      </c>
      <c r="D12483" t="inlineStr">
        <is>
          <t>09.11.2026</t>
        </is>
      </c>
      <c r="E12483" t="inlineStr">
        <is>
          <t>Republic of</t>
        </is>
      </c>
    </row>
    <row r="12484">
      <c r="A12484" t="inlineStr">
        <is>
          <t>KLK TENSACHEM,  SERAING, Belgium</t>
        </is>
      </c>
      <c r="B12484" t="inlineStr">
        <is>
          <t>Processing Unit</t>
        </is>
      </c>
      <c r="C12484" t="inlineStr">
        <is>
          <t>SGS Germany GmbH, Emstek, DE</t>
        </is>
      </c>
      <c r="D12484" t="inlineStr">
        <is>
          <t>09.11.2026</t>
        </is>
      </c>
      <c r="E12484" t="inlineStr">
        <is>
          <t>Belgium</t>
        </is>
      </c>
    </row>
    <row r="12485">
      <c r="A12485" t="inlineStr">
        <is>
          <t>MOEVE TRADING,  MADRID, Spain</t>
        </is>
      </c>
      <c r="B12485" t="inlineStr">
        <is>
          <t>Trader with Storage</t>
        </is>
      </c>
      <c r="C12485" t="inlineStr">
        <is>
          <t>Control Union Poland Sp. z o.o., Zielona Gora, PL</t>
        </is>
      </c>
      <c r="D12485" t="inlineStr">
        <is>
          <t>09.11.2026</t>
        </is>
      </c>
      <c r="E12485" t="inlineStr">
        <is>
          <t>Spain</t>
        </is>
      </c>
    </row>
    <row r="12486">
      <c r="A12486" t="inlineStr">
        <is>
          <t>UBE Corporation Europe S.A.U.,  Castellón, Spain</t>
        </is>
      </c>
      <c r="B12486" t="inlineStr">
        <is>
          <t>Processing Unit, Point of Origin</t>
        </is>
      </c>
      <c r="C12486" t="inlineStr">
        <is>
          <t>DNV Business Assurance Sweden AB, Solna, SE</t>
        </is>
      </c>
      <c r="D12486" t="inlineStr">
        <is>
          <t>09.11.2026</t>
        </is>
      </c>
      <c r="E12486" t="inlineStr">
        <is>
          <t>Spain</t>
        </is>
      </c>
    </row>
    <row r="12487">
      <c r="A12487" t="inlineStr">
        <is>
          <t>Zakhidnyi Buh,  Pavliv vil., Sheptytskyi district, Lviv region, Ukraine</t>
        </is>
      </c>
      <c r="B12487" t="inlineStr">
        <is>
          <t>Farm / Plantation, Trader with Storage</t>
        </is>
      </c>
      <c r="C12487" t="inlineStr">
        <is>
          <t>Aciter Genelab LLC, Odessa, UA</t>
        </is>
      </c>
      <c r="D12487" t="inlineStr">
        <is>
          <t>08.11.2026</t>
        </is>
      </c>
      <c r="E12487" t="inlineStr">
        <is>
          <t>Ukraine</t>
        </is>
      </c>
    </row>
    <row r="12488">
      <c r="A12488" t="inlineStr">
        <is>
          <t>SECANIM - Etablissement de Benet,  Benet, France</t>
        </is>
      </c>
      <c r="B12488" t="inlineStr">
        <is>
          <t>Point of Origin, Trader with Storage</t>
        </is>
      </c>
      <c r="C12488" t="inlineStr">
        <is>
          <t>Control Union Certifications Germany GmbH, Berlin, DE</t>
        </is>
      </c>
      <c r="D12488" t="inlineStr">
        <is>
          <t>08.11.2026</t>
        </is>
      </c>
      <c r="E12488" t="inlineStr">
        <is>
          <t>France</t>
        </is>
      </c>
    </row>
    <row r="12489">
      <c r="A12489" t="inlineStr">
        <is>
          <t>TOKO BUSSAN TRADING CO.,LTD.,  SHANGHAI, China</t>
        </is>
      </c>
      <c r="B12489" t="inlineStr">
        <is>
          <t>Trader</t>
        </is>
      </c>
      <c r="C12489" t="inlineStr">
        <is>
          <t>PT Intertek Utama Services, Jakarta, ID</t>
        </is>
      </c>
      <c r="D12489" t="inlineStr">
        <is>
          <t>08.11.2026</t>
        </is>
      </c>
      <c r="E12489" t="inlineStr">
        <is>
          <t>China</t>
        </is>
      </c>
    </row>
    <row r="12490">
      <c r="A12490" t="inlineStr">
        <is>
          <t>Nouryon Performance Formulation B.V.,  Groningen, Netherlands</t>
        </is>
      </c>
      <c r="B12490" t="inlineStr">
        <is>
          <t>Processing Unit</t>
        </is>
      </c>
      <c r="C12490" t="inlineStr">
        <is>
          <t>DNV Business Assurance Sweden AB, Solna, SE</t>
        </is>
      </c>
      <c r="D12490" t="inlineStr">
        <is>
          <t>08.11.2026</t>
        </is>
      </c>
      <c r="E12490" t="inlineStr">
        <is>
          <t>Netherlands</t>
        </is>
      </c>
    </row>
    <row r="12491">
      <c r="A12491" t="inlineStr">
        <is>
          <t>Hartree Partners (UK) Limited,  London, United Kingdom</t>
        </is>
      </c>
      <c r="B12491" t="inlineStr">
        <is>
          <t>Trader with Storage</t>
        </is>
      </c>
      <c r="C12491" t="inlineStr">
        <is>
          <t>Control Union Certifications Germany GmbH, Berlin, DE</t>
        </is>
      </c>
      <c r="D12491" t="inlineStr">
        <is>
          <t>08.11.2026</t>
        </is>
      </c>
      <c r="E12491" t="inlineStr">
        <is>
          <t>United Kingdom</t>
        </is>
      </c>
    </row>
    <row r="12492">
      <c r="A12492" t="inlineStr">
        <is>
          <t>Zhejiang Axilone Shunhua Aluminum &amp; Plastic Co., Ltd,  Shangyu District, Shaoxing, Zhejiang Province, China</t>
        </is>
      </c>
      <c r="B12492" t="inlineStr">
        <is>
          <t>Processing Unit</t>
        </is>
      </c>
      <c r="C12492" t="inlineStr">
        <is>
          <t>China Quality Certification Centre Co., Ltd., Beijing, CN</t>
        </is>
      </c>
      <c r="D12492" t="inlineStr">
        <is>
          <t>08.11.2026</t>
        </is>
      </c>
      <c r="E12492" t="inlineStr">
        <is>
          <t>China</t>
        </is>
      </c>
    </row>
    <row r="12493">
      <c r="A12493" t="inlineStr">
        <is>
          <t>INEOS Olefins SA,  Lavera, France</t>
        </is>
      </c>
      <c r="B12493" t="inlineStr">
        <is>
          <t>Processing Unit</t>
        </is>
      </c>
      <c r="C12493" t="inlineStr">
        <is>
          <t>SCS Global Services, Emeryville, CA, US</t>
        </is>
      </c>
      <c r="D12493" t="inlineStr">
        <is>
          <t>08.11.2026</t>
        </is>
      </c>
      <c r="E12493" t="inlineStr">
        <is>
          <t>France</t>
        </is>
      </c>
    </row>
    <row r="12494">
      <c r="A12494" t="inlineStr">
        <is>
          <t>AGRO WIRA LIGATSA,  Kec. Gn. Tuleh, Kabupaten Pasaman Barat, Sumatera Barat, Indonesia</t>
        </is>
      </c>
      <c r="B12494" t="inlineStr">
        <is>
          <t>Point of Origin</t>
        </is>
      </c>
      <c r="C12494" t="inlineStr">
        <is>
          <t>PT. Qualitas Sertifikasi Indonesia, Jakarta, ID</t>
        </is>
      </c>
      <c r="D12494" t="inlineStr">
        <is>
          <t>08.11.2026</t>
        </is>
      </c>
      <c r="E12494" t="inlineStr">
        <is>
          <t>Indonesia</t>
        </is>
      </c>
    </row>
    <row r="12495">
      <c r="A12495" t="inlineStr">
        <is>
          <t>Horus Pharma,  Nice, France</t>
        </is>
      </c>
      <c r="B12495" t="inlineStr">
        <is>
          <t>Trader</t>
        </is>
      </c>
      <c r="C12495" t="inlineStr">
        <is>
          <t>SGS Germany GmbH, Emstek, DE</t>
        </is>
      </c>
      <c r="D12495" t="inlineStr">
        <is>
          <t>08.11.2026</t>
        </is>
      </c>
      <c r="E12495" t="inlineStr">
        <is>
          <t>France</t>
        </is>
      </c>
    </row>
    <row r="12496">
      <c r="A12496" t="inlineStr">
        <is>
          <t>MCT OILS TRADING,  KLANG, Malaysia</t>
        </is>
      </c>
      <c r="B12496" t="inlineStr">
        <is>
          <t>Collecting Point</t>
        </is>
      </c>
      <c r="C12496" t="inlineStr">
        <is>
          <t>PT. CBQA GLOBAL INDONESIA, JAKARTA SELATAN, ID</t>
        </is>
      </c>
      <c r="D12496" t="inlineStr">
        <is>
          <t>08.11.2026</t>
        </is>
      </c>
      <c r="E12496" t="inlineStr">
        <is>
          <t>Malaysia</t>
        </is>
      </c>
    </row>
    <row r="12497">
      <c r="A12497" t="inlineStr">
        <is>
          <t>Formosa Chemicals And Fibre Corporation,  Hsin-Kang Township, Chiayi County, Taiwan, Province of China</t>
        </is>
      </c>
      <c r="B12497" t="inlineStr">
        <is>
          <t>Processing Unit</t>
        </is>
      </c>
      <c r="C12497" t="inlineStr">
        <is>
          <t>Bureau Veritas Polska Sp. z o.o., Warsaw, PL</t>
        </is>
      </c>
      <c r="D12497" t="inlineStr">
        <is>
          <t>08.11.2026</t>
        </is>
      </c>
      <c r="E12497" t="inlineStr">
        <is>
          <t>Province of China</t>
        </is>
      </c>
    </row>
    <row r="12498">
      <c r="A12498" t="inlineStr">
        <is>
          <t>Nestle Polska S.A.,  Kalisz, Poland</t>
        </is>
      </c>
      <c r="B12498" t="inlineStr">
        <is>
          <t>Processing Unit</t>
        </is>
      </c>
      <c r="C12498" t="inlineStr">
        <is>
          <t>Bureau Veritas Polska Sp. z o.o., Warsaw, PL</t>
        </is>
      </c>
      <c r="D12498" t="inlineStr">
        <is>
          <t>08.11.2026</t>
        </is>
      </c>
      <c r="E12498" t="inlineStr">
        <is>
          <t>Poland</t>
        </is>
      </c>
    </row>
    <row r="12499">
      <c r="A12499" t="inlineStr">
        <is>
          <t>Agroproekt,  Dobrich, Bulgaria</t>
        </is>
      </c>
      <c r="B12499" t="inlineStr">
        <is>
          <t>First Gathering Point</t>
        </is>
      </c>
      <c r="C12499" t="inlineStr">
        <is>
          <t>Bureau Veritas Polska Sp. z o.o., Warsaw, PL</t>
        </is>
      </c>
      <c r="D12499" t="inlineStr">
        <is>
          <t>08.11.2026</t>
        </is>
      </c>
      <c r="E12499" t="inlineStr">
        <is>
          <t>Bulgaria</t>
        </is>
      </c>
    </row>
    <row r="12500">
      <c r="A12500" t="inlineStr">
        <is>
          <t>MALPOM INDUSTRIES BERHAD,  NIBONG TEBAL, Malaysia</t>
        </is>
      </c>
      <c r="B12500" t="inlineStr">
        <is>
          <t>Point of Origin, Trader with Storage</t>
        </is>
      </c>
      <c r="C12500" t="inlineStr">
        <is>
          <t>Trans Certification and Inspection Sdn Bhd, Kuantan, MY</t>
        </is>
      </c>
      <c r="D12500" t="inlineStr">
        <is>
          <t>08.11.2026</t>
        </is>
      </c>
      <c r="E12500" t="inlineStr">
        <is>
          <t>Malaysia</t>
        </is>
      </c>
    </row>
    <row r="12501">
      <c r="A12501" t="inlineStr">
        <is>
          <t>Biotech Energy Limited,  Dhaka, Bangladesh</t>
        </is>
      </c>
      <c r="B12501" t="inlineStr">
        <is>
          <t>Collecting Point, Processing Unit, Trader with Storage</t>
        </is>
      </c>
      <c r="C12501" t="inlineStr">
        <is>
          <t>Trans Certification and Inspection Sdn Bhd, Kuantan, MY</t>
        </is>
      </c>
      <c r="D12501" t="inlineStr">
        <is>
          <t>08.11.2026</t>
        </is>
      </c>
      <c r="E12501" t="inlineStr">
        <is>
          <t>Bangladesh</t>
        </is>
      </c>
    </row>
    <row r="12502">
      <c r="A12502" t="inlineStr">
        <is>
          <t>Yunfu Shunxiang Chemical Co., Ltd,  Yunfu, China</t>
        </is>
      </c>
      <c r="B12502" t="inlineStr">
        <is>
          <t>Trader with Storage</t>
        </is>
      </c>
      <c r="C12502" t="inlineStr">
        <is>
          <t>RINA Services S.p.A., Genova, IT</t>
        </is>
      </c>
      <c r="D12502" t="inlineStr">
        <is>
          <t>07.11.2026</t>
        </is>
      </c>
      <c r="E12502" t="inlineStr">
        <is>
          <t>China</t>
        </is>
      </c>
    </row>
    <row r="12503">
      <c r="A12503" t="inlineStr">
        <is>
          <t>SARL Ets Grandidier,  Rehaincourt, France</t>
        </is>
      </c>
      <c r="B12503" t="inlineStr">
        <is>
          <t>Collecting Point</t>
        </is>
      </c>
      <c r="C12503" t="inlineStr">
        <is>
          <t>Control Union Certifications Germany GmbH, Berlin, DE</t>
        </is>
      </c>
      <c r="D12503" t="inlineStr">
        <is>
          <t>07.11.2026</t>
        </is>
      </c>
      <c r="E12503" t="inlineStr">
        <is>
          <t>France</t>
        </is>
      </c>
    </row>
    <row r="12504">
      <c r="A12504" t="inlineStr">
        <is>
          <t>Bioenergy Peru S.A.C.,  Lima, Peru</t>
        </is>
      </c>
      <c r="B12504" t="inlineStr">
        <is>
          <t>Point of Origin, Processing Unit, Trader with Storage</t>
        </is>
      </c>
      <c r="C12504" t="inlineStr">
        <is>
          <t>Certificadora Gallega del Noroeste SL, Vilagarcia de Arousa-Pontevedra, ES</t>
        </is>
      </c>
      <c r="D12504" t="inlineStr">
        <is>
          <t>07.11.2026</t>
        </is>
      </c>
      <c r="E12504" t="inlineStr">
        <is>
          <t>Peru</t>
        </is>
      </c>
    </row>
    <row r="12505">
      <c r="A12505" t="inlineStr">
        <is>
          <t>Shenzhen jiayuxiang audio Electronics Co., Ltd,  Guangming District, Shenzhen City, China</t>
        </is>
      </c>
      <c r="B12505" t="inlineStr">
        <is>
          <t>Processing Unit</t>
        </is>
      </c>
      <c r="C12505" t="inlineStr">
        <is>
          <t>Extensive Standard Technical Services Co., Ltd., Hong Kong, CN</t>
        </is>
      </c>
      <c r="D12505" t="inlineStr">
        <is>
          <t>07.11.2026</t>
        </is>
      </c>
      <c r="E12505" t="inlineStr">
        <is>
          <t>China</t>
        </is>
      </c>
    </row>
    <row r="12506">
      <c r="A12506" t="inlineStr">
        <is>
          <t>INEOS Oligomers at INEOS Chemicals Lavera SAS,  Lavera, France</t>
        </is>
      </c>
      <c r="B12506" t="inlineStr">
        <is>
          <t>Processing Unit</t>
        </is>
      </c>
      <c r="C12506" t="inlineStr">
        <is>
          <t>SCS Global Services, Emeryville, CA, US</t>
        </is>
      </c>
      <c r="D12506" t="inlineStr">
        <is>
          <t>07.11.2026</t>
        </is>
      </c>
      <c r="E12506" t="inlineStr">
        <is>
          <t>France</t>
        </is>
      </c>
    </row>
    <row r="12507">
      <c r="A12507" t="inlineStr">
        <is>
          <t>INEOS Olefins,  Lavera, France</t>
        </is>
      </c>
      <c r="B12507" t="inlineStr">
        <is>
          <t>Processing Unit</t>
        </is>
      </c>
      <c r="C12507" t="inlineStr">
        <is>
          <t>SCS Global Services, Emeryville, CA, US</t>
        </is>
      </c>
      <c r="D12507" t="inlineStr">
        <is>
          <t>07.11.2026</t>
        </is>
      </c>
      <c r="E12507" t="inlineStr">
        <is>
          <t>France</t>
        </is>
      </c>
    </row>
    <row r="12508">
      <c r="A12508" t="inlineStr">
        <is>
          <t>Vrejlev Biogas,  Vrå, Denmark</t>
        </is>
      </c>
      <c r="B12508" t="inlineStr">
        <is>
          <t>Collecting Point, First Gathering Point, Processing Unit</t>
        </is>
      </c>
      <c r="C12508" t="inlineStr">
        <is>
          <t>Baltic Control Certification, Risskov, DK</t>
        </is>
      </c>
      <c r="D12508" t="inlineStr">
        <is>
          <t>07.11.2026</t>
        </is>
      </c>
      <c r="E12508" t="inlineStr">
        <is>
          <t>Denmark</t>
        </is>
      </c>
    </row>
    <row r="12509">
      <c r="A12509" t="inlineStr">
        <is>
          <t>Jiangsu ACE International Trade Co.,Ltd.,  Lianyungang City, Jiangsu Province, China</t>
        </is>
      </c>
      <c r="B12509" t="inlineStr">
        <is>
          <t>Trader with Storage</t>
        </is>
      </c>
      <c r="C12509" t="inlineStr">
        <is>
          <t>SCS Global Services, Emeryville, CA, US</t>
        </is>
      </c>
      <c r="D12509" t="inlineStr">
        <is>
          <t>07.11.2026</t>
        </is>
      </c>
      <c r="E12509" t="inlineStr">
        <is>
          <t>China</t>
        </is>
      </c>
    </row>
    <row r="12510">
      <c r="A12510" t="inlineStr">
        <is>
          <t>JUTA,  Dvůr Králové nad Labem, Czech Republic</t>
        </is>
      </c>
      <c r="B12510" t="inlineStr">
        <is>
          <t>Processing Unit</t>
        </is>
      </c>
      <c r="C12510" t="inlineStr">
        <is>
          <t>TÜV NORD CERT GmbH, Essen, DE</t>
        </is>
      </c>
      <c r="D12510" t="inlineStr">
        <is>
          <t>07.11.2026</t>
        </is>
      </c>
      <c r="E12510" t="inlineStr">
        <is>
          <t>Czech Republic</t>
        </is>
      </c>
    </row>
    <row r="12511">
      <c r="A12511" t="inlineStr">
        <is>
          <t>Tetra Pak Production d.o.o. Beograd,  Gornji Milanovac, Serbia</t>
        </is>
      </c>
      <c r="B12511" t="inlineStr">
        <is>
          <t>Processing Unit</t>
        </is>
      </c>
      <c r="C12511" t="inlineStr">
        <is>
          <t>SCS Global Services, Emeryville, CA, US</t>
        </is>
      </c>
      <c r="D12511" t="inlineStr">
        <is>
          <t>07.11.2026</t>
        </is>
      </c>
      <c r="E12511" t="inlineStr">
        <is>
          <t>Serbia</t>
        </is>
      </c>
    </row>
    <row r="12512">
      <c r="A12512" t="inlineStr">
        <is>
          <t>Zastrow Bioenergi ApS,  Søndersø, Denmark</t>
        </is>
      </c>
      <c r="B12512" t="inlineStr">
        <is>
          <t>Collecting Point, First Gathering Point, Processing Unit</t>
        </is>
      </c>
      <c r="C12512" t="inlineStr">
        <is>
          <t>NCS Estonia OÜ, Tallinn, EE</t>
        </is>
      </c>
      <c r="D12512" t="inlineStr">
        <is>
          <t>07.11.2026</t>
        </is>
      </c>
      <c r="E12512" t="inlineStr">
        <is>
          <t>Denmark</t>
        </is>
      </c>
    </row>
    <row r="12513">
      <c r="A12513" t="inlineStr">
        <is>
          <t>INEOS Chemicals Lavera,  Lavera, France</t>
        </is>
      </c>
      <c r="B12513" t="inlineStr">
        <is>
          <t>Processing Unit</t>
        </is>
      </c>
      <c r="C12513" t="inlineStr">
        <is>
          <t>SCS Global Services, Emeryville, CA, US</t>
        </is>
      </c>
      <c r="D12513" t="inlineStr">
        <is>
          <t>07.11.2026</t>
        </is>
      </c>
      <c r="E12513" t="inlineStr">
        <is>
          <t>France</t>
        </is>
      </c>
    </row>
    <row r="12514">
      <c r="A12514" t="inlineStr">
        <is>
          <t>OCI Company,  Jung-gu, Seoul, Korea, Republic of</t>
        </is>
      </c>
      <c r="B12514" t="inlineStr">
        <is>
          <t>Trader</t>
        </is>
      </c>
      <c r="C12514" t="inlineStr">
        <is>
          <t>Control Union Certifications Germany GmbH, Berlin, DE</t>
        </is>
      </c>
      <c r="D12514" t="inlineStr">
        <is>
          <t>07.11.2026</t>
        </is>
      </c>
      <c r="E12514" t="inlineStr">
        <is>
          <t>Republic of</t>
        </is>
      </c>
    </row>
    <row r="12515">
      <c r="A12515" t="inlineStr">
        <is>
          <t>OCI Company,  Gwangyang-si, Jeollanam-do, Korea, Republic of</t>
        </is>
      </c>
      <c r="B12515" t="inlineStr">
        <is>
          <t>Processing Unit</t>
        </is>
      </c>
      <c r="C12515" t="inlineStr">
        <is>
          <t>Control Union Certifications Germany GmbH, Berlin, DE</t>
        </is>
      </c>
      <c r="D12515" t="inlineStr">
        <is>
          <t>07.11.2026</t>
        </is>
      </c>
      <c r="E12515" t="inlineStr">
        <is>
          <t>Republic of</t>
        </is>
      </c>
    </row>
    <row r="12516">
      <c r="A12516" t="inlineStr">
        <is>
          <t>Nantong Huili Rubber Co.,Ltd.,  Nantong City, China</t>
        </is>
      </c>
      <c r="B12516" t="inlineStr">
        <is>
          <t>Processing Unit</t>
        </is>
      </c>
      <c r="C12516" t="inlineStr">
        <is>
          <t>PT Intertek Utama Services, Jakarta, ID</t>
        </is>
      </c>
      <c r="D12516" t="inlineStr">
        <is>
          <t>07.11.2026</t>
        </is>
      </c>
      <c r="E12516" t="inlineStr">
        <is>
          <t>China</t>
        </is>
      </c>
    </row>
    <row r="12517">
      <c r="A12517" t="inlineStr">
        <is>
          <t>PETRO SUNRICH SINGAPORE PTE. LTD.,  OUE DOWNTOWN, Singapore</t>
        </is>
      </c>
      <c r="B12517" t="inlineStr">
        <is>
          <t>Trader</t>
        </is>
      </c>
      <c r="C12517" t="inlineStr">
        <is>
          <t>SCS Global Services, Emeryville, CA, US</t>
        </is>
      </c>
      <c r="D12517" t="inlineStr">
        <is>
          <t>07.11.2026</t>
        </is>
      </c>
      <c r="E12517" t="inlineStr">
        <is>
          <t>Singapore</t>
        </is>
      </c>
    </row>
    <row r="12518">
      <c r="A12518" t="inlineStr">
        <is>
          <t>Hexion,  Baytown, TX, United States</t>
        </is>
      </c>
      <c r="B12518" t="inlineStr">
        <is>
          <t>Processing Unit</t>
        </is>
      </c>
      <c r="C12518" t="inlineStr">
        <is>
          <t>DQS CFS GmbH - Deutsche Gesellschaft für Nachhaltigkeit, Frankfurt am Main, DE</t>
        </is>
      </c>
      <c r="D12518" t="inlineStr">
        <is>
          <t>07.11.2026</t>
        </is>
      </c>
      <c r="E12518" t="inlineStr">
        <is>
          <t>United States</t>
        </is>
      </c>
    </row>
    <row r="12519">
      <c r="A12519" t="inlineStr">
        <is>
          <t>Hungrana Ltd.,  Szabadegyháza, Hungary</t>
        </is>
      </c>
      <c r="B12519" t="inlineStr">
        <is>
          <t>First Gathering Point, Trader with Storage, Processing Unit, Point of Origin</t>
        </is>
      </c>
      <c r="C12519" t="inlineStr">
        <is>
          <t>Bureau Veritas Polska Sp. z o.o., Warsaw, PL</t>
        </is>
      </c>
      <c r="D12519" t="inlineStr">
        <is>
          <t>07.11.2026</t>
        </is>
      </c>
      <c r="E12519" t="inlineStr">
        <is>
          <t>Hungary</t>
        </is>
      </c>
    </row>
    <row r="12520">
      <c r="A12520" t="inlineStr">
        <is>
          <t>Rebinmas Jaya,  Bangka Belitung, Indonesia</t>
        </is>
      </c>
      <c r="B12520" t="inlineStr">
        <is>
          <t>Point of Origin</t>
        </is>
      </c>
      <c r="C12520" t="inlineStr">
        <is>
          <t>PT. Qualitas Sertifikasi Indonesia, Jakarta, ID</t>
        </is>
      </c>
      <c r="D12520" t="inlineStr">
        <is>
          <t>07.11.2026</t>
        </is>
      </c>
      <c r="E12520" t="inlineStr">
        <is>
          <t>Indonesia</t>
        </is>
      </c>
    </row>
    <row r="12521">
      <c r="A12521" t="inlineStr">
        <is>
          <t>Agriplast spa,  Modica, Italy</t>
        </is>
      </c>
      <c r="B12521" t="inlineStr">
        <is>
          <t>Processing Unit</t>
        </is>
      </c>
      <c r="C12521" t="inlineStr">
        <is>
          <t>SGS Germany GmbH, Emstek, DE</t>
        </is>
      </c>
      <c r="D12521" t="inlineStr">
        <is>
          <t>07.11.2026</t>
        </is>
      </c>
      <c r="E12521" t="inlineStr">
        <is>
          <t>Italy</t>
        </is>
      </c>
    </row>
    <row r="12522">
      <c r="A12522" t="inlineStr">
        <is>
          <t>Adamant Europe,  Amsterdam, Netherlands</t>
        </is>
      </c>
      <c r="B12522" t="inlineStr">
        <is>
          <t>Trader with Storage, Proof of Compliance Trader</t>
        </is>
      </c>
      <c r="C12522" t="inlineStr">
        <is>
          <t>SGS Germany GmbH, Emstek, DE</t>
        </is>
      </c>
      <c r="D12522" t="inlineStr">
        <is>
          <t>07.11.2026</t>
        </is>
      </c>
      <c r="E12522" t="inlineStr">
        <is>
          <t>Netherlands</t>
        </is>
      </c>
    </row>
    <row r="12523">
      <c r="A12523" t="inlineStr">
        <is>
          <t>HUAFON MICROFIBRE (JIANGSU) CO., LTD,  Qidong City, Jiangsu, China</t>
        </is>
      </c>
      <c r="B12523" t="inlineStr">
        <is>
          <t>Processing Unit</t>
        </is>
      </c>
      <c r="C12523" t="inlineStr">
        <is>
          <t>DIN CERTCO GmbH, Berlin, DE</t>
        </is>
      </c>
      <c r="D12523" t="inlineStr">
        <is>
          <t>07.11.2026</t>
        </is>
      </c>
      <c r="E12523" t="inlineStr">
        <is>
          <t>China</t>
        </is>
      </c>
    </row>
    <row r="12524">
      <c r="A12524" t="inlineStr">
        <is>
          <t>Basell Advanced Polyolefins (Dalian) Co., Ltd.,  Dalian, Liaoning Province, China</t>
        </is>
      </c>
      <c r="B12524" t="inlineStr">
        <is>
          <t>Processing Unit, Trader with Storage</t>
        </is>
      </c>
      <c r="C12524" t="inlineStr">
        <is>
          <t>SGS Germany GmbH, Emstek, DE</t>
        </is>
      </c>
      <c r="D12524" t="inlineStr">
        <is>
          <t>07.11.2026</t>
        </is>
      </c>
      <c r="E12524" t="inlineStr">
        <is>
          <t>China</t>
        </is>
      </c>
    </row>
    <row r="12525">
      <c r="A12525" t="inlineStr">
        <is>
          <t>Basell Advanced Polyolefin (Suzhou) Co., Ltd,  Suzhou, Jiangsu, China</t>
        </is>
      </c>
      <c r="B12525" t="inlineStr">
        <is>
          <t>Processing Unit, Trader with Storage</t>
        </is>
      </c>
      <c r="C12525" t="inlineStr">
        <is>
          <t>SGS Germany GmbH, Emstek, DE</t>
        </is>
      </c>
      <c r="D12525" t="inlineStr">
        <is>
          <t>07.11.2026</t>
        </is>
      </c>
      <c r="E12525" t="inlineStr">
        <is>
          <t>China</t>
        </is>
      </c>
    </row>
    <row r="12526">
      <c r="A12526" t="inlineStr">
        <is>
          <t>DOW CHEMICAL CANADA ULC,  Prentiss, Alberta, Canada</t>
        </is>
      </c>
      <c r="B12526" t="inlineStr">
        <is>
          <t>Processing Unit</t>
        </is>
      </c>
      <c r="C12526" t="inlineStr">
        <is>
          <t>SGS Germany GmbH, Emstek, DE</t>
        </is>
      </c>
      <c r="D12526" t="inlineStr">
        <is>
          <t>07.11.2026</t>
        </is>
      </c>
      <c r="E12526" t="inlineStr">
        <is>
          <t>Canada</t>
        </is>
      </c>
    </row>
    <row r="12527">
      <c r="A12527" t="inlineStr">
        <is>
          <t>Hiap Huat Services Sdn. Bhd.,  Pelabuhan Klang, Selangor, Malaysia</t>
        </is>
      </c>
      <c r="B12527" t="inlineStr">
        <is>
          <t>Trader with Storage, Processing Unit</t>
        </is>
      </c>
      <c r="C12527" t="inlineStr">
        <is>
          <t>SGS Germany GmbH, Emstek, DE</t>
        </is>
      </c>
      <c r="D12527" t="inlineStr">
        <is>
          <t>07.11.2026</t>
        </is>
      </c>
      <c r="E12527" t="inlineStr">
        <is>
          <t>Malaysia</t>
        </is>
      </c>
    </row>
    <row r="12528">
      <c r="A12528" t="inlineStr">
        <is>
          <t>Saudi Yanbu Petrochemical Company ( YANPET),  Yanbu, Saudi Arabia</t>
        </is>
      </c>
      <c r="B12528" t="inlineStr">
        <is>
          <t>Processing Unit</t>
        </is>
      </c>
      <c r="C12528" t="inlineStr">
        <is>
          <t>Cotecna India Inspection Pvt Ltd, Kolkata, IN</t>
        </is>
      </c>
      <c r="D12528" t="inlineStr">
        <is>
          <t>07.11.2026</t>
        </is>
      </c>
      <c r="E12528" t="inlineStr">
        <is>
          <t>Saudi Arabia</t>
        </is>
      </c>
    </row>
    <row r="12529">
      <c r="A12529" t="inlineStr">
        <is>
          <t>Al-Jubail Petrochemical Company KEMYA,  AL-jubail, Saudi Arabia</t>
        </is>
      </c>
      <c r="B12529" t="inlineStr">
        <is>
          <t>Processing Unit</t>
        </is>
      </c>
      <c r="C12529" t="inlineStr">
        <is>
          <t>Cotecna India Inspection Pvt Ltd, Kolkata, IN</t>
        </is>
      </c>
      <c r="D12529" t="inlineStr">
        <is>
          <t>07.11.2026</t>
        </is>
      </c>
      <c r="E12529" t="inlineStr">
        <is>
          <t>Saudi Arabia</t>
        </is>
      </c>
    </row>
    <row r="12530">
      <c r="A12530" t="inlineStr">
        <is>
          <t>Xinji Xiangteng Oil&amp;Fat Co., Ltd.,  Xinji, Hebei, China</t>
        </is>
      </c>
      <c r="B12530" t="inlineStr">
        <is>
          <t>Collecting Point, Trader with Storage</t>
        </is>
      </c>
      <c r="C12530" t="inlineStr">
        <is>
          <t>RINA Services S.p.A., Genova, IT</t>
        </is>
      </c>
      <c r="D12530" t="inlineStr">
        <is>
          <t>07.11.2026</t>
        </is>
      </c>
      <c r="E12530" t="inlineStr">
        <is>
          <t>China</t>
        </is>
      </c>
    </row>
    <row r="12531">
      <c r="A12531" t="inlineStr">
        <is>
          <t>BBMARITIME,  MADRID, Spain</t>
        </is>
      </c>
      <c r="B12531" t="inlineStr">
        <is>
          <t>Trader</t>
        </is>
      </c>
      <c r="C12531" t="inlineStr">
        <is>
          <t>Certificadora Gallega del Noroeste SL, Vilagarcia de Arousa-Pontevedra, ES</t>
        </is>
      </c>
      <c r="D12531" t="inlineStr">
        <is>
          <t>07.11.2026</t>
        </is>
      </c>
      <c r="E12531" t="inlineStr">
        <is>
          <t>Spain</t>
        </is>
      </c>
    </row>
    <row r="12532">
      <c r="A12532" t="inlineStr">
        <is>
          <t>LCY GRIT CORP.,  Xiaogang Dist., Kaohsiung City, Taiwan</t>
        </is>
      </c>
      <c r="B12532" t="inlineStr">
        <is>
          <t>Processing Unit</t>
        </is>
      </c>
      <c r="C12532" t="inlineStr">
        <is>
          <t>Bureau Veritas Polska Sp. z o.o., Warsaw, PL</t>
        </is>
      </c>
      <c r="D12532" t="inlineStr">
        <is>
          <t>07.11.2026</t>
        </is>
      </c>
      <c r="E12532" t="inlineStr">
        <is>
          <t>Taiwan</t>
        </is>
      </c>
    </row>
    <row r="12533">
      <c r="A12533" t="inlineStr">
        <is>
          <t>FORMOSA CHEMICALS AND FIBRE CORP.,  Mailiao Township, Yunlin County, Taiwan</t>
        </is>
      </c>
      <c r="B12533" t="inlineStr">
        <is>
          <t>Processing Unit</t>
        </is>
      </c>
      <c r="C12533" t="inlineStr">
        <is>
          <t>Bureau Veritas Polska Sp. z o.o., Warsaw, PL</t>
        </is>
      </c>
      <c r="D12533" t="inlineStr">
        <is>
          <t>07.11.2026</t>
        </is>
      </c>
      <c r="E12533" t="inlineStr">
        <is>
          <t>Taiwan</t>
        </is>
      </c>
    </row>
    <row r="12534">
      <c r="A12534" t="inlineStr">
        <is>
          <t>TODOGOMAS VALENCIANO, S.L,  SEVILLA, Spain</t>
        </is>
      </c>
      <c r="B12534" t="inlineStr">
        <is>
          <t>Trader</t>
        </is>
      </c>
      <c r="C12534" t="inlineStr">
        <is>
          <t>RINA Services S.p.A., Genova, IT</t>
        </is>
      </c>
      <c r="D12534" t="inlineStr">
        <is>
          <t>07.11.2026</t>
        </is>
      </c>
      <c r="E12534" t="inlineStr">
        <is>
          <t>Spain</t>
        </is>
      </c>
    </row>
    <row r="12535">
      <c r="A12535" t="inlineStr">
        <is>
          <t>Preem Norge AS,  Lysaker, Norway</t>
        </is>
      </c>
      <c r="B12535" t="inlineStr">
        <is>
          <t>Logistics Center, Trader with Storage, Proof of Compliance Trader</t>
        </is>
      </c>
      <c r="C12535" t="inlineStr">
        <is>
          <t>DNV Business Assurance Sweden AB, Solna, SE</t>
        </is>
      </c>
      <c r="D12535" t="inlineStr">
        <is>
          <t>07.11.2026</t>
        </is>
      </c>
      <c r="E12535" t="inlineStr">
        <is>
          <t>Norway</t>
        </is>
      </c>
    </row>
    <row r="12536">
      <c r="A12536" t="inlineStr">
        <is>
          <t>WINNER GLOBAL RESOURCES,  PASIR GUDANG, Malaysia</t>
        </is>
      </c>
      <c r="B12536" t="inlineStr">
        <is>
          <t>Collecting Point, Trader with Storage</t>
        </is>
      </c>
      <c r="C12536" t="inlineStr">
        <is>
          <t>Trans Certification and Inspection Sdn Bhd, Kuantan, MY</t>
        </is>
      </c>
      <c r="D12536" t="inlineStr">
        <is>
          <t>07.11.2026</t>
        </is>
      </c>
      <c r="E12536" t="inlineStr">
        <is>
          <t>Malaysia</t>
        </is>
      </c>
    </row>
    <row r="12537">
      <c r="A12537" t="inlineStr">
        <is>
          <t>PT Musim Mas,  Provinsi Riau, Indonesia, Indonesia</t>
        </is>
      </c>
      <c r="B12537" t="inlineStr">
        <is>
          <t>Farm / Plantation</t>
        </is>
      </c>
      <c r="C12537" t="inlineStr">
        <is>
          <t>Control Union Certifications Germany GmbH, Berlin, DE</t>
        </is>
      </c>
      <c r="D12537" t="inlineStr">
        <is>
          <t>07.11.2026</t>
        </is>
      </c>
      <c r="E12537" t="inlineStr">
        <is>
          <t>Indonesia</t>
        </is>
      </c>
    </row>
    <row r="12538">
      <c r="A12538" t="inlineStr">
        <is>
          <t>Adibro Group,  Novi Ligure (Alessandria), Italy</t>
        </is>
      </c>
      <c r="B12538" t="inlineStr">
        <is>
          <t>Collecting Point, Trader</t>
        </is>
      </c>
      <c r="C12538" t="inlineStr">
        <is>
          <t>RINA Services S.p.A., Genova, IT</t>
        </is>
      </c>
      <c r="D12538" t="inlineStr">
        <is>
          <t>07.11.2026</t>
        </is>
      </c>
      <c r="E12538" t="inlineStr">
        <is>
          <t>Italy</t>
        </is>
      </c>
    </row>
    <row r="12539">
      <c r="A12539" t="inlineStr">
        <is>
          <t>CHINA-BASE RESOURCE SINGAPORE PTE. LTD.,  RAFFLES CITY TOWER SINGAPORE, Singapore</t>
        </is>
      </c>
      <c r="B12539" t="inlineStr">
        <is>
          <t>Trader</t>
        </is>
      </c>
      <c r="C12539" t="inlineStr">
        <is>
          <t>Control Union Certifications Germany GmbH, Berlin, DE</t>
        </is>
      </c>
      <c r="D12539" t="inlineStr">
        <is>
          <t>06.11.2026</t>
        </is>
      </c>
      <c r="E12539" t="inlineStr">
        <is>
          <t>Singapore</t>
        </is>
      </c>
    </row>
    <row r="12540">
      <c r="A12540" t="inlineStr">
        <is>
          <t>Greiner Packaging Sp z o.o.,  Teresin, Poland</t>
        </is>
      </c>
      <c r="B12540" t="inlineStr">
        <is>
          <t>Processing Unit</t>
        </is>
      </c>
      <c r="C12540" t="inlineStr">
        <is>
          <t>SGS Germany GmbH, Emstek, DE</t>
        </is>
      </c>
      <c r="D12540" t="inlineStr">
        <is>
          <t>06.11.2026</t>
        </is>
      </c>
      <c r="E12540" t="inlineStr">
        <is>
          <t>Poland</t>
        </is>
      </c>
    </row>
    <row r="12541">
      <c r="A12541" t="inlineStr">
        <is>
          <t>PVG Liquids,  Gent, Belgium</t>
        </is>
      </c>
      <c r="B12541" t="inlineStr">
        <is>
          <t>Final Product Refinement</t>
        </is>
      </c>
      <c r="C12541" t="inlineStr">
        <is>
          <t>SGS Germany GmbH, Emstek, DE</t>
        </is>
      </c>
      <c r="D12541" t="inlineStr">
        <is>
          <t>06.11.2026</t>
        </is>
      </c>
      <c r="E12541" t="inlineStr">
        <is>
          <t>Belgium</t>
        </is>
      </c>
    </row>
    <row r="12542">
      <c r="A12542" t="inlineStr">
        <is>
          <t>Dunavecsei Mg. Zrt.,  Dunavecse, Hungary</t>
        </is>
      </c>
      <c r="B12542" t="inlineStr">
        <is>
          <t>First Gathering Point</t>
        </is>
      </c>
      <c r="C12542" t="inlineStr">
        <is>
          <t>SGS Germany GmbH, Emstek, DE</t>
        </is>
      </c>
      <c r="D12542" t="inlineStr">
        <is>
          <t>06.11.2026</t>
        </is>
      </c>
      <c r="E12542" t="inlineStr">
        <is>
          <t>Hungary</t>
        </is>
      </c>
    </row>
    <row r="12543">
      <c r="A12543" t="inlineStr">
        <is>
          <t>KYOEI JUSHI Corporation Main Factory,  Hyogo, Japan</t>
        </is>
      </c>
      <c r="B12543" t="inlineStr">
        <is>
          <t>Processing Unit</t>
        </is>
      </c>
      <c r="C12543" t="inlineStr">
        <is>
          <t>SGS Germany GmbH, Emstek, DE</t>
        </is>
      </c>
      <c r="D12543" t="inlineStr">
        <is>
          <t>06.11.2026</t>
        </is>
      </c>
      <c r="E12543" t="inlineStr">
        <is>
          <t>Japan</t>
        </is>
      </c>
    </row>
    <row r="12544">
      <c r="A12544" t="inlineStr">
        <is>
          <t>PUTERA KERITANG SAWIT,  Riau, Indonesia</t>
        </is>
      </c>
      <c r="B12544" t="inlineStr">
        <is>
          <t>Point of Origin</t>
        </is>
      </c>
      <c r="C12544" t="inlineStr">
        <is>
          <t>PT. Qualitas Sertifikasi Indonesia, Jakarta, ID</t>
        </is>
      </c>
      <c r="D12544" t="inlineStr">
        <is>
          <t>06.11.2026</t>
        </is>
      </c>
      <c r="E12544" t="inlineStr">
        <is>
          <t>Indonesia</t>
        </is>
      </c>
    </row>
    <row r="12545">
      <c r="A12545" t="inlineStr">
        <is>
          <t>VIET NAM JWEC COMPANY LIMITED,  Thuy Nguyen District, Hai Phong City, Vietnam</t>
        </is>
      </c>
      <c r="B12545" t="inlineStr">
        <is>
          <t>Processing Unit</t>
        </is>
      </c>
      <c r="C12545" t="inlineStr">
        <is>
          <t>RINA Services S.p.A., Genova, IT</t>
        </is>
      </c>
      <c r="D12545" t="inlineStr">
        <is>
          <t>06.11.2026</t>
        </is>
      </c>
      <c r="E12545" t="inlineStr">
        <is>
          <t>Vietnam</t>
        </is>
      </c>
    </row>
    <row r="12546">
      <c r="A12546" t="inlineStr">
        <is>
          <t>MITOL, tovarna lepil, d.o.o., Sežana,  Sežana, Slovenia</t>
        </is>
      </c>
      <c r="B12546" t="inlineStr">
        <is>
          <t>Final Product Refinement, Processing Unit</t>
        </is>
      </c>
      <c r="C12546" t="inlineStr">
        <is>
          <t>Bureau Veritas Polska Sp. z o.o., Warsaw, PL</t>
        </is>
      </c>
      <c r="D12546" t="inlineStr">
        <is>
          <t>06.11.2026</t>
        </is>
      </c>
      <c r="E12546" t="inlineStr">
        <is>
          <t>Slovenia</t>
        </is>
      </c>
    </row>
    <row r="12547">
      <c r="A12547" t="inlineStr">
        <is>
          <t>PCE,  Ventspils, Latvia</t>
        </is>
      </c>
      <c r="B12547" t="inlineStr">
        <is>
          <t>Point of Origin, Trader with Storage</t>
        </is>
      </c>
      <c r="C12547" t="inlineStr">
        <is>
          <t>BM Certification, Riga, LV</t>
        </is>
      </c>
      <c r="D12547" t="inlineStr">
        <is>
          <t>06.11.2026</t>
        </is>
      </c>
      <c r="E12547" t="inlineStr">
        <is>
          <t>Latvia</t>
        </is>
      </c>
    </row>
    <row r="12548">
      <c r="A12548" t="inlineStr">
        <is>
          <t>Ziedi Biometans,  Dobeles pag., Latvia</t>
        </is>
      </c>
      <c r="B12548" t="inlineStr">
        <is>
          <t>Collecting Point, Processing Unit</t>
        </is>
      </c>
      <c r="C12548" t="inlineStr">
        <is>
          <t>BM Certification, Riga, LV</t>
        </is>
      </c>
      <c r="D12548" t="inlineStr">
        <is>
          <t>06.11.2026</t>
        </is>
      </c>
      <c r="E12548" t="inlineStr">
        <is>
          <t>Latvia</t>
        </is>
      </c>
    </row>
    <row r="12549">
      <c r="A12549" t="inlineStr">
        <is>
          <t>Hi-Green Carbon Limited,  Dondaicha Warwade, Dhule, India</t>
        </is>
      </c>
      <c r="B12549" t="inlineStr">
        <is>
          <t>Collecting Point, Processing Unit</t>
        </is>
      </c>
      <c r="C12549" t="inlineStr">
        <is>
          <t>Cotecna India Inspection Pvt Ltd, Kolkata, IN</t>
        </is>
      </c>
      <c r="D12549" t="inlineStr">
        <is>
          <t>06.11.2026</t>
        </is>
      </c>
      <c r="E12549" t="inlineStr">
        <is>
          <t>India</t>
        </is>
      </c>
    </row>
    <row r="12550">
      <c r="A12550" t="inlineStr">
        <is>
          <t>Shandong Jinxingtai Biotechnology Co., Ltd.,  Binzhou City, Shandong Province, China</t>
        </is>
      </c>
      <c r="B12550" t="inlineStr">
        <is>
          <t>Collecting Point, Trader</t>
        </is>
      </c>
      <c r="C12550" t="inlineStr">
        <is>
          <t>RINA Services S.p.A., Genova, IT</t>
        </is>
      </c>
      <c r="D12550" t="inlineStr">
        <is>
          <t>06.11.2026</t>
        </is>
      </c>
      <c r="E12550" t="inlineStr">
        <is>
          <t>China</t>
        </is>
      </c>
    </row>
    <row r="12551">
      <c r="A12551" t="inlineStr">
        <is>
          <t>SJ Logistics Limited,  Shenzhen, Guangdong, China</t>
        </is>
      </c>
      <c r="B12551" t="inlineStr">
        <is>
          <t>Warehouse</t>
        </is>
      </c>
      <c r="C12551" t="inlineStr">
        <is>
          <t>SGS Germany GmbH, Emstek, DE</t>
        </is>
      </c>
      <c r="D12551" t="inlineStr">
        <is>
          <t>06.11.2026</t>
        </is>
      </c>
      <c r="E12551" t="inlineStr">
        <is>
          <t>China</t>
        </is>
      </c>
    </row>
    <row r="12552">
      <c r="A12552" t="inlineStr">
        <is>
          <t>Minerali Industriali S.r.l.,  Bernate Ticino MI, Italy</t>
        </is>
      </c>
      <c r="B12552" t="inlineStr">
        <is>
          <t>Central Office (Group of Point of Origin), Collecting Point, Processing Unit, Trader</t>
        </is>
      </c>
      <c r="C12552" t="inlineStr">
        <is>
          <t>GUT Certifizierungsgesellschaft für Managementsysteme mbH Umweltgutachter, Berlin, DE</t>
        </is>
      </c>
      <c r="D12552" t="inlineStr">
        <is>
          <t>06.11.2026</t>
        </is>
      </c>
      <c r="E12552" t="inlineStr">
        <is>
          <t>Italy</t>
        </is>
      </c>
    </row>
    <row r="12553">
      <c r="A12553" t="inlineStr">
        <is>
          <t>OCV Italia srl,  BESANA IN BRIANZA, Italy</t>
        </is>
      </c>
      <c r="B12553" t="inlineStr">
        <is>
          <t>Collecting Point, Point of Origin, Processing Unit</t>
        </is>
      </c>
      <c r="C12553" t="inlineStr">
        <is>
          <t>GUT Certifizierungsgesellschaft für Managementsysteme mbH Umweltgutachter, Berlin, DE</t>
        </is>
      </c>
      <c r="D12553" t="inlineStr">
        <is>
          <t>06.11.2026</t>
        </is>
      </c>
      <c r="E12553" t="inlineStr">
        <is>
          <t>Italy</t>
        </is>
      </c>
    </row>
    <row r="12554">
      <c r="A12554" t="inlineStr">
        <is>
          <t>DXT Commodities SA,  Lugano, Switzerland</t>
        </is>
      </c>
      <c r="B12554" t="inlineStr">
        <is>
          <t>Trader</t>
        </is>
      </c>
      <c r="C12554" t="inlineStr">
        <is>
          <t>SGS Germany GmbH, Emstek, DE</t>
        </is>
      </c>
      <c r="D12554" t="inlineStr">
        <is>
          <t>06.11.2026</t>
        </is>
      </c>
      <c r="E12554" t="inlineStr">
        <is>
          <t>Switzerland</t>
        </is>
      </c>
    </row>
    <row r="12555">
      <c r="A12555" t="inlineStr">
        <is>
          <t>TEIJIN CARBON VIETNAM CO., LTD,  NINH BINH, Vietnam</t>
        </is>
      </c>
      <c r="B12555" t="inlineStr">
        <is>
          <t>Processing Unit</t>
        </is>
      </c>
      <c r="C12555" t="inlineStr">
        <is>
          <t>SGS Germany GmbH, Emstek, DE</t>
        </is>
      </c>
      <c r="D12555" t="inlineStr">
        <is>
          <t>06.11.2026</t>
        </is>
      </c>
      <c r="E12555" t="inlineStr">
        <is>
          <t>Vietnam</t>
        </is>
      </c>
    </row>
    <row r="12556">
      <c r="A12556" t="inlineStr">
        <is>
          <t>Cargill, Inc. - Bioenergy,  Coral Gables, United States</t>
        </is>
      </c>
      <c r="B12556" t="inlineStr">
        <is>
          <t>Trader</t>
        </is>
      </c>
      <c r="C12556" t="inlineStr">
        <is>
          <t>Control Union Poland Sp. z o.o., Zielona Gora, PL</t>
        </is>
      </c>
      <c r="D12556" t="inlineStr">
        <is>
          <t>06.11.2026</t>
        </is>
      </c>
      <c r="E12556" t="inlineStr">
        <is>
          <t>United States</t>
        </is>
      </c>
    </row>
    <row r="12557">
      <c r="A12557" t="inlineStr">
        <is>
          <t>SUPERGASBRAS,  Canoas, Brazil</t>
        </is>
      </c>
      <c r="B12557" t="inlineStr">
        <is>
          <t>Trader with Storage</t>
        </is>
      </c>
      <c r="C12557" t="inlineStr">
        <is>
          <t>QIMA, Centro, Botucatu - SP, CEP, BR</t>
        </is>
      </c>
      <c r="D12557" t="inlineStr">
        <is>
          <t>06.11.2026</t>
        </is>
      </c>
      <c r="E12557" t="inlineStr">
        <is>
          <t>Brazil</t>
        </is>
      </c>
    </row>
    <row r="12558">
      <c r="A12558" t="inlineStr">
        <is>
          <t>CEREAL TRANSPORTING SRL,  COGEALAC, Romania</t>
        </is>
      </c>
      <c r="B12558" t="inlineStr">
        <is>
          <t>First Gathering Point, Trader with Storage</t>
        </is>
      </c>
      <c r="C12558" t="inlineStr">
        <is>
          <t>SGS Germany GmbH, Emstek, DE</t>
        </is>
      </c>
      <c r="D12558" t="inlineStr">
        <is>
          <t>06.11.2026</t>
        </is>
      </c>
      <c r="E12558" t="inlineStr">
        <is>
          <t>Romania</t>
        </is>
      </c>
    </row>
    <row r="12559">
      <c r="A12559" t="inlineStr">
        <is>
          <t>Versalis S.p.A.,  Crescentino - VC, Italy</t>
        </is>
      </c>
      <c r="B12559" t="inlineStr">
        <is>
          <t>Collecting Point, Processing Unit</t>
        </is>
      </c>
      <c r="C12559" t="inlineStr">
        <is>
          <t>RINA Services S.p.A., Genova, IT</t>
        </is>
      </c>
      <c r="D12559" t="inlineStr">
        <is>
          <t>06.11.2026</t>
        </is>
      </c>
      <c r="E12559" t="inlineStr">
        <is>
          <t>Italy</t>
        </is>
      </c>
    </row>
    <row r="12560">
      <c r="A12560" t="inlineStr">
        <is>
          <t>Longyan Zhuoyue New Energy Co., Ltd,  Longyan, FUJIAN Province, China</t>
        </is>
      </c>
      <c r="B12560" t="inlineStr">
        <is>
          <t>Collecting Point, Processing Unit, Trader with Storage</t>
        </is>
      </c>
      <c r="C12560" t="inlineStr">
        <is>
          <t>TÜV NORD CERT GmbH, Essen, DE</t>
        </is>
      </c>
      <c r="D12560" t="inlineStr">
        <is>
          <t>06.11.2026</t>
        </is>
      </c>
      <c r="E12560" t="inlineStr">
        <is>
          <t>China</t>
        </is>
      </c>
    </row>
    <row r="12561">
      <c r="A12561" t="inlineStr">
        <is>
          <t>BALAM BERLIAN SAWIT,  Provinsi Riau, Indonesia</t>
        </is>
      </c>
      <c r="B12561" t="inlineStr">
        <is>
          <t>Point of Origin</t>
        </is>
      </c>
      <c r="C12561" t="inlineStr">
        <is>
          <t>PT. Qualitas Sertifikasi Indonesia, Jakarta, ID</t>
        </is>
      </c>
      <c r="D12561" t="inlineStr">
        <is>
          <t>06.11.2026</t>
        </is>
      </c>
      <c r="E12561" t="inlineStr">
        <is>
          <t>Indonesia</t>
        </is>
      </c>
    </row>
    <row r="12562">
      <c r="A12562" t="inlineStr">
        <is>
          <t>Sinopec Ningbo Zhenhai Refining &amp; Chemical Co., Ltd.,  Ningbo City, China</t>
        </is>
      </c>
      <c r="B12562" t="inlineStr">
        <is>
          <t>Processing Unit, Trader with Storage</t>
        </is>
      </c>
      <c r="C12562" t="inlineStr">
        <is>
          <t>China Quality Certification Centre Co., Ltd., Beijing, CN</t>
        </is>
      </c>
      <c r="D12562" t="inlineStr">
        <is>
          <t>06.11.2026</t>
        </is>
      </c>
      <c r="E12562" t="inlineStr">
        <is>
          <t>China</t>
        </is>
      </c>
    </row>
    <row r="12563">
      <c r="A12563" t="inlineStr">
        <is>
          <t>BIOXIGEMA S.L.,  Valdemoro, Spain</t>
        </is>
      </c>
      <c r="B12563" t="inlineStr">
        <is>
          <t>Collecting Point</t>
        </is>
      </c>
      <c r="C12563" t="inlineStr">
        <is>
          <t>Control Union Poland Sp. z o.o., Zielona Gora, PL</t>
        </is>
      </c>
      <c r="D12563" t="inlineStr">
        <is>
          <t>06.11.2026</t>
        </is>
      </c>
      <c r="E12563" t="inlineStr">
        <is>
          <t>Spain</t>
        </is>
      </c>
    </row>
    <row r="12564">
      <c r="A12564" t="inlineStr">
        <is>
          <t>TSRC (Lux.) Corporation S.à.r.l.,  Luxembourg, Luxembourg</t>
        </is>
      </c>
      <c r="B12564" t="inlineStr">
        <is>
          <t>Trader with Storage</t>
        </is>
      </c>
      <c r="C12564" t="inlineStr">
        <is>
          <t>Bureau Veritas Polska Sp. z o.o., Warsaw, PL</t>
        </is>
      </c>
      <c r="D12564" t="inlineStr">
        <is>
          <t>06.11.2026</t>
        </is>
      </c>
      <c r="E12564" t="inlineStr">
        <is>
          <t>Luxembourg</t>
        </is>
      </c>
    </row>
    <row r="12565">
      <c r="A12565" t="inlineStr">
        <is>
          <t>Wei Xing Ind. (Shen Zhen) Co., Ltd.,  Shen Zhen City, China</t>
        </is>
      </c>
      <c r="B12565" t="inlineStr">
        <is>
          <t>Final Product Refinement, Processing Unit</t>
        </is>
      </c>
      <c r="C12565" t="inlineStr">
        <is>
          <t>DIN CERTCO GmbH, Berlin, DE</t>
        </is>
      </c>
      <c r="D12565" t="inlineStr">
        <is>
          <t>06.11.2026</t>
        </is>
      </c>
      <c r="E12565" t="inlineStr">
        <is>
          <t>China</t>
        </is>
      </c>
    </row>
    <row r="12566">
      <c r="A12566" t="inlineStr">
        <is>
          <t>Oleicfat,  Puente Genil (Cordoba), Spain</t>
        </is>
      </c>
      <c r="B12566" t="inlineStr">
        <is>
          <t>Point of Origin, Processing Unit, Trader</t>
        </is>
      </c>
      <c r="C12566" t="inlineStr">
        <is>
          <t>Bureau Veritas Polska Sp. z o.o., Warsaw, PL</t>
        </is>
      </c>
      <c r="D12566" t="inlineStr">
        <is>
          <t>06.11.2026</t>
        </is>
      </c>
      <c r="E12566" t="inlineStr">
        <is>
          <t>Spain</t>
        </is>
      </c>
    </row>
    <row r="12567">
      <c r="A12567" t="inlineStr">
        <is>
          <t>Montalbano Agricola Alimentare Toscana,  Vinci-Firenze, Italy</t>
        </is>
      </c>
      <c r="B12567" t="inlineStr">
        <is>
          <t>Trader with Storage, Final Product Refinement</t>
        </is>
      </c>
      <c r="C12567" t="inlineStr">
        <is>
          <t>Bureau Veritas Polska Sp. z o.o., Warsaw, PL</t>
        </is>
      </c>
      <c r="D12567" t="inlineStr">
        <is>
          <t>06.11.2026</t>
        </is>
      </c>
      <c r="E12567" t="inlineStr">
        <is>
          <t>Italy</t>
        </is>
      </c>
    </row>
    <row r="12568">
      <c r="A12568" t="inlineStr">
        <is>
          <t>Albea Cosmetic France,  Parigné L'Evêque, France</t>
        </is>
      </c>
      <c r="B12568" t="inlineStr">
        <is>
          <t>Final Product Refinement, Processing Unit, Warehouse</t>
        </is>
      </c>
      <c r="C12568" t="inlineStr">
        <is>
          <t>Bureau Veritas Polska Sp. z o.o., Warsaw, PL</t>
        </is>
      </c>
      <c r="D12568" t="inlineStr">
        <is>
          <t>06.11.2026</t>
        </is>
      </c>
      <c r="E12568" t="inlineStr">
        <is>
          <t>France</t>
        </is>
      </c>
    </row>
    <row r="12569">
      <c r="A12569" t="inlineStr">
        <is>
          <t>Soa Service,  Viareggio (Lucca), Italy</t>
        </is>
      </c>
      <c r="B12569" t="inlineStr">
        <is>
          <t>Collecting Point</t>
        </is>
      </c>
      <c r="C12569" t="inlineStr">
        <is>
          <t>SGS Germany GmbH, Emstek, DE</t>
        </is>
      </c>
      <c r="D12569" t="inlineStr">
        <is>
          <t>06.11.2026</t>
        </is>
      </c>
      <c r="E12569" t="inlineStr">
        <is>
          <t>Italy</t>
        </is>
      </c>
    </row>
    <row r="12570">
      <c r="A12570" t="inlineStr">
        <is>
          <t>PLANET OIL RECYCLE LTD - E.KAGIAS P.PASALIMANIOTIS E.E.,  TAVROS, Greece</t>
        </is>
      </c>
      <c r="B12570" t="inlineStr">
        <is>
          <t>Collecting Point</t>
        </is>
      </c>
      <c r="C12570" t="inlineStr">
        <is>
          <t>Eurocert SA, Metamorfosi, Athens, GR</t>
        </is>
      </c>
      <c r="D12570" t="inlineStr">
        <is>
          <t>06.11.2026</t>
        </is>
      </c>
      <c r="E12570" t="inlineStr">
        <is>
          <t>Greece</t>
        </is>
      </c>
    </row>
    <row r="12571">
      <c r="A12571" t="inlineStr">
        <is>
          <t>Hangzhou Ecopack Technology co.,Ltd.,  Hangzhou City, China</t>
        </is>
      </c>
      <c r="B12571" t="inlineStr">
        <is>
          <t>Processing Unit</t>
        </is>
      </c>
      <c r="C12571" t="inlineStr">
        <is>
          <t>SGS Germany GmbH, Emstek, DE</t>
        </is>
      </c>
      <c r="D12571" t="inlineStr">
        <is>
          <t>06.11.2026</t>
        </is>
      </c>
      <c r="E12571" t="inlineStr">
        <is>
          <t>China</t>
        </is>
      </c>
    </row>
    <row r="12572">
      <c r="A12572" t="inlineStr">
        <is>
          <t>MFV Co.,  Osaka, Japan</t>
        </is>
      </c>
      <c r="B12572" t="inlineStr">
        <is>
          <t>Processing Unit, Trader with Storage</t>
        </is>
      </c>
      <c r="C12572" t="inlineStr">
        <is>
          <t>Control Union Certifications Germany GmbH, Berlin, DE</t>
        </is>
      </c>
      <c r="D12572" t="inlineStr">
        <is>
          <t>06.11.2026</t>
        </is>
      </c>
      <c r="E12572" t="inlineStr">
        <is>
          <t>Japan</t>
        </is>
      </c>
    </row>
    <row r="12573">
      <c r="A12573" t="inlineStr">
        <is>
          <t>Seri Indah Gemilang SDN BHD,  Menglembu, Perak, Malaysia</t>
        </is>
      </c>
      <c r="B12573" t="inlineStr">
        <is>
          <t>Collecting Point</t>
        </is>
      </c>
      <c r="C12573" t="inlineStr">
        <is>
          <t>Trans Certification and Inspection Sdn Bhd, Kuantan, MY</t>
        </is>
      </c>
      <c r="D12573" t="inlineStr">
        <is>
          <t>06.11.2026</t>
        </is>
      </c>
      <c r="E12573" t="inlineStr">
        <is>
          <t>Malaysia</t>
        </is>
      </c>
    </row>
    <row r="12574">
      <c r="A12574" t="inlineStr">
        <is>
          <t>AGRA Entsorgungs GmbH,  Maria Rain, Austria</t>
        </is>
      </c>
      <c r="B12574" t="inlineStr">
        <is>
          <t>Collecting Point</t>
        </is>
      </c>
      <c r="C12574" t="inlineStr">
        <is>
          <t>agroVet GmbH, Enzersfeld, AT</t>
        </is>
      </c>
      <c r="D12574" t="inlineStr">
        <is>
          <t>06.11.2026</t>
        </is>
      </c>
      <c r="E12574" t="inlineStr">
        <is>
          <t>Austria</t>
        </is>
      </c>
    </row>
    <row r="12575">
      <c r="A12575" t="inlineStr">
        <is>
          <t>Guangzhou Hongtai New Energy Technology Co., Ltd.,  Guangzhou City, Guangdong Province, China</t>
        </is>
      </c>
      <c r="B12575" t="inlineStr">
        <is>
          <t>Collecting Point, Point of Origin, Processing Unit, Trader with Storage</t>
        </is>
      </c>
      <c r="C12575" t="inlineStr">
        <is>
          <t>SCS Global Services, Emeryville, CA, US</t>
        </is>
      </c>
      <c r="D12575" t="inlineStr">
        <is>
          <t>06.11.2026</t>
        </is>
      </c>
      <c r="E12575" t="inlineStr">
        <is>
          <t>China</t>
        </is>
      </c>
    </row>
    <row r="12576">
      <c r="A12576" t="inlineStr">
        <is>
          <t>STL GREEN ENERGY SDN. BHD.,  PENAMPANG, Malaysia</t>
        </is>
      </c>
      <c r="B12576" t="inlineStr">
        <is>
          <t>Collecting Point, Trader with Storage</t>
        </is>
      </c>
      <c r="C12576" t="inlineStr">
        <is>
          <t>Trans Certification and Inspection Sdn Bhd, Kuantan, MY</t>
        </is>
      </c>
      <c r="D12576" t="inlineStr">
        <is>
          <t>06.11.2026</t>
        </is>
      </c>
      <c r="E12576" t="inlineStr">
        <is>
          <t>Malaysia</t>
        </is>
      </c>
    </row>
    <row r="12577">
      <c r="A12577" t="inlineStr">
        <is>
          <t>PETROL d.d., Ljubljana,  Ljubljana, Slovenia</t>
        </is>
      </c>
      <c r="B12577" t="inlineStr">
        <is>
          <t>Proof of Compliance Trader, Trader with Storage</t>
        </is>
      </c>
      <c r="C12577" t="inlineStr">
        <is>
          <t>Bureau Veritas Polska Sp. z o.o., Warsaw, PL</t>
        </is>
      </c>
      <c r="D12577" t="inlineStr">
        <is>
          <t>06.11.2026</t>
        </is>
      </c>
      <c r="E12577" t="inlineStr">
        <is>
          <t>Slovenia</t>
        </is>
      </c>
    </row>
    <row r="12578">
      <c r="A12578" t="inlineStr">
        <is>
          <t>Halmselskabet Danmark A,m.b.a,  Skærbæk, Denmark</t>
        </is>
      </c>
      <c r="B12578" t="inlineStr">
        <is>
          <t>First Gathering Point</t>
        </is>
      </c>
      <c r="C12578" t="inlineStr">
        <is>
          <t>Baltic Control Certification, Risskov, DK</t>
        </is>
      </c>
      <c r="D12578" t="inlineStr">
        <is>
          <t>06.11.2026</t>
        </is>
      </c>
      <c r="E12578" t="inlineStr">
        <is>
          <t>Denmark</t>
        </is>
      </c>
    </row>
    <row r="12579">
      <c r="A12579" t="inlineStr">
        <is>
          <t>ENI NATURAL ENERGIES,  San Donato Milanese, Italy</t>
        </is>
      </c>
      <c r="B12579" t="inlineStr">
        <is>
          <t>Trader with Storage</t>
        </is>
      </c>
      <c r="C12579" t="inlineStr">
        <is>
          <t>RINA Services S.p.A., Genova, IT</t>
        </is>
      </c>
      <c r="D12579" t="inlineStr">
        <is>
          <t>06.11.2026</t>
        </is>
      </c>
      <c r="E12579" t="inlineStr">
        <is>
          <t>Italy</t>
        </is>
      </c>
    </row>
    <row r="12580">
      <c r="A12580" t="inlineStr">
        <is>
          <t>EXTRACTORA DE ACEITE LA JOYA EXTRAJOYA CIA,  LAS VILLEGAS, Ecuador</t>
        </is>
      </c>
      <c r="B12580" t="inlineStr">
        <is>
          <t>Point of Origin</t>
        </is>
      </c>
      <c r="C12580" t="inlineStr">
        <is>
          <t>Control Union Poland Sp. z o.o., Zielona Gora, PL</t>
        </is>
      </c>
      <c r="D12580" t="inlineStr">
        <is>
          <t>06.11.2026</t>
        </is>
      </c>
      <c r="E12580" t="inlineStr">
        <is>
          <t>Ecuador</t>
        </is>
      </c>
    </row>
    <row r="12581">
      <c r="A12581" t="inlineStr">
        <is>
          <t>Korea Alcohol Industrial Co,  Ulsan, Nam-gu, Korea, Republic of</t>
        </is>
      </c>
      <c r="B12581" t="inlineStr">
        <is>
          <t>Processing Unit</t>
        </is>
      </c>
      <c r="C12581" t="inlineStr">
        <is>
          <t>Control Union Certifications Germany GmbH, Berlin, DE</t>
        </is>
      </c>
      <c r="D12581" t="inlineStr">
        <is>
          <t>06.11.2026</t>
        </is>
      </c>
      <c r="E12581" t="inlineStr">
        <is>
          <t>Republic of</t>
        </is>
      </c>
    </row>
    <row r="12582">
      <c r="A12582" t="inlineStr">
        <is>
          <t>Garcia-Munte Energia,  El Prat de Llobregat, Spain</t>
        </is>
      </c>
      <c r="B12582" t="inlineStr">
        <is>
          <t>Trader with Storage</t>
        </is>
      </c>
      <c r="C12582" t="inlineStr">
        <is>
          <t>Certificadora Gallega del Noroeste SL, Vilagarcia de Arousa-Pontevedra, ES</t>
        </is>
      </c>
      <c r="D12582" t="inlineStr">
        <is>
          <t>06.11.2026</t>
        </is>
      </c>
      <c r="E12582" t="inlineStr">
        <is>
          <t>Spain</t>
        </is>
      </c>
    </row>
    <row r="12583">
      <c r="A12583" t="inlineStr">
        <is>
          <t>Garcia-Munte Energia,  El Prat de Llobregat, Spain</t>
        </is>
      </c>
      <c r="B12583" t="inlineStr">
        <is>
          <t>Trader with Storage</t>
        </is>
      </c>
      <c r="C12583" t="inlineStr">
        <is>
          <t>Certificadora Gallega del Noroeste SL, Vilagarcia de Arousa-Pontevedra, ES</t>
        </is>
      </c>
      <c r="D12583" t="inlineStr">
        <is>
          <t>06.11.2026</t>
        </is>
      </c>
      <c r="E12583" t="inlineStr">
        <is>
          <t>Spain</t>
        </is>
      </c>
    </row>
    <row r="12584">
      <c r="A12584" t="inlineStr">
        <is>
          <t>Wien Energie,  Wien, Austria</t>
        </is>
      </c>
      <c r="B12584" t="inlineStr">
        <is>
          <t>Trader</t>
        </is>
      </c>
      <c r="C12584" t="inlineStr">
        <is>
          <t>TÜV SÜD Industrie Service GmbH, München, DE</t>
        </is>
      </c>
      <c r="D12584" t="inlineStr">
        <is>
          <t>06.11.2026</t>
        </is>
      </c>
      <c r="E12584" t="inlineStr">
        <is>
          <t>Austria</t>
        </is>
      </c>
    </row>
    <row r="12585">
      <c r="A12585" t="inlineStr">
        <is>
          <t>PT. YC TEC INDONESIA,  PURWAKARTA, Indonesia</t>
        </is>
      </c>
      <c r="B12585" t="inlineStr">
        <is>
          <t>Processing Unit</t>
        </is>
      </c>
      <c r="C12585" t="inlineStr">
        <is>
          <t>Control Union Certifications Germany GmbH, Berlin, DE</t>
        </is>
      </c>
      <c r="D12585" t="inlineStr">
        <is>
          <t>06.11.2026</t>
        </is>
      </c>
      <c r="E12585" t="inlineStr">
        <is>
          <t>Indonesia</t>
        </is>
      </c>
    </row>
    <row r="12586">
      <c r="A12586" t="inlineStr">
        <is>
          <t>N. Karagiorgos Bros S.A.,  Achialos, Thessaloniki, Greece</t>
        </is>
      </c>
      <c r="B12586" t="inlineStr">
        <is>
          <t>First Gathering Point, Processing Unit</t>
        </is>
      </c>
      <c r="C12586" t="inlineStr">
        <is>
          <t>QMSCERT S.A., Pylaia, Thessaloniki, GR</t>
        </is>
      </c>
      <c r="D12586" t="inlineStr">
        <is>
          <t>06.11.2026</t>
        </is>
      </c>
      <c r="E12586" t="inlineStr">
        <is>
          <t>Greece</t>
        </is>
      </c>
    </row>
    <row r="12587">
      <c r="A12587" t="inlineStr">
        <is>
          <t>S. Ioannou - N. Kapousizis G.P.,  Thessaloniki, Greece</t>
        </is>
      </c>
      <c r="B12587" t="inlineStr">
        <is>
          <t>Collecting Point</t>
        </is>
      </c>
      <c r="C12587" t="inlineStr">
        <is>
          <t>QMSCERT S.A., Pylaia, Thessaloniki, GR</t>
        </is>
      </c>
      <c r="D12587" t="inlineStr">
        <is>
          <t>06.11.2026</t>
        </is>
      </c>
      <c r="E12587" t="inlineStr">
        <is>
          <t>Greece</t>
        </is>
      </c>
    </row>
    <row r="12588">
      <c r="A12588" t="inlineStr">
        <is>
          <t>AGROFERT, a.s.,  Praha 4 - Chodov, Czech Republic</t>
        </is>
      </c>
      <c r="B12588" t="inlineStr">
        <is>
          <t>Trader</t>
        </is>
      </c>
      <c r="C12588" t="inlineStr">
        <is>
          <t>PT Intertek Utama Services, Jakarta, ID</t>
        </is>
      </c>
      <c r="D12588" t="inlineStr">
        <is>
          <t>06.11.2026</t>
        </is>
      </c>
      <c r="E12588" t="inlineStr">
        <is>
          <t>Czech Republic</t>
        </is>
      </c>
    </row>
    <row r="12589">
      <c r="A12589" t="inlineStr">
        <is>
          <t>Changchun Cainoe Automotive Materials Co.,Ltd,  Changchun City, China</t>
        </is>
      </c>
      <c r="B12589" t="inlineStr">
        <is>
          <t>Trader with Storage</t>
        </is>
      </c>
      <c r="C12589" t="inlineStr">
        <is>
          <t>DIN CERTCO GmbH, Berlin, DE</t>
        </is>
      </c>
      <c r="D12589" t="inlineStr">
        <is>
          <t>06.11.2026</t>
        </is>
      </c>
      <c r="E12589" t="inlineStr">
        <is>
          <t>China</t>
        </is>
      </c>
    </row>
    <row r="12590">
      <c r="A12590" t="inlineStr">
        <is>
          <t>Karyaindo Sejatitama,  Musi Rawas Regency, South Sumatera Province, Indonesia</t>
        </is>
      </c>
      <c r="B12590" t="inlineStr">
        <is>
          <t>Point of Origin</t>
        </is>
      </c>
      <c r="C12590" t="inlineStr">
        <is>
          <t>PT. Qualitas Sertifikasi Indonesia, Jakarta, ID</t>
        </is>
      </c>
      <c r="D12590" t="inlineStr">
        <is>
          <t>05.11.2026</t>
        </is>
      </c>
      <c r="E12590" t="inlineStr">
        <is>
          <t>Indonesia</t>
        </is>
      </c>
    </row>
    <row r="12591">
      <c r="A12591" t="inlineStr">
        <is>
          <t>PT Sawit Nusantara Indonesia,  Kabupaten Empat Lawang, Provinsi Sumatera Selatan, Indonesia</t>
        </is>
      </c>
      <c r="B12591" t="inlineStr">
        <is>
          <t>Point of Origin</t>
        </is>
      </c>
      <c r="C12591" t="inlineStr">
        <is>
          <t>PT. Qualitas Sertifikasi Indonesia, Jakarta, ID</t>
        </is>
      </c>
      <c r="D12591" t="inlineStr">
        <is>
          <t>05.11.2026</t>
        </is>
      </c>
      <c r="E12591" t="inlineStr">
        <is>
          <t>Indonesia</t>
        </is>
      </c>
    </row>
    <row r="12592">
      <c r="A12592" t="inlineStr">
        <is>
          <t>Leygatech,  Yssingeaux, France</t>
        </is>
      </c>
      <c r="B12592" t="inlineStr">
        <is>
          <t>Processing Unit</t>
        </is>
      </c>
      <c r="C12592" t="inlineStr">
        <is>
          <t>Bureau Veritas Polska Sp. z o.o., Warsaw, PL</t>
        </is>
      </c>
      <c r="D12592" t="inlineStr">
        <is>
          <t>05.11.2026</t>
        </is>
      </c>
      <c r="E12592" t="inlineStr">
        <is>
          <t>France</t>
        </is>
      </c>
    </row>
    <row r="12593">
      <c r="A12593" t="inlineStr">
        <is>
          <t>AnQore B.V.,  Geleen, Netherlands</t>
        </is>
      </c>
      <c r="B12593" t="inlineStr">
        <is>
          <t>Trader, Processing Unit</t>
        </is>
      </c>
      <c r="C12593" t="inlineStr">
        <is>
          <t>SGS Germany GmbH, Emstek, DE</t>
        </is>
      </c>
      <c r="D12593" t="inlineStr">
        <is>
          <t>05.11.2026</t>
        </is>
      </c>
      <c r="E12593" t="inlineStr">
        <is>
          <t>Netherlands</t>
        </is>
      </c>
    </row>
    <row r="12594">
      <c r="A12594" t="inlineStr">
        <is>
          <t>Shandong Jiujiu Environmental Protection Technology Co., LTD,  Yantai City, Shandong Province, China</t>
        </is>
      </c>
      <c r="B12594" t="inlineStr">
        <is>
          <t>Collecting Point</t>
        </is>
      </c>
      <c r="C12594" t="inlineStr">
        <is>
          <t>RINA Services S.p.A., Genova, IT</t>
        </is>
      </c>
      <c r="D12594" t="inlineStr">
        <is>
          <t>05.11.2026</t>
        </is>
      </c>
      <c r="E12594" t="inlineStr">
        <is>
          <t>China</t>
        </is>
      </c>
    </row>
    <row r="12595">
      <c r="A12595" t="inlineStr">
        <is>
          <t>Produttori del Pomodoro Società Cooperativa Agricola,  Alessandria, Italy</t>
        </is>
      </c>
      <c r="B12595" t="inlineStr">
        <is>
          <t>First Gathering Point</t>
        </is>
      </c>
      <c r="C12595" t="inlineStr">
        <is>
          <t>RINA Services S.p.A., Genova, IT</t>
        </is>
      </c>
      <c r="D12595" t="inlineStr">
        <is>
          <t>05.11.2026</t>
        </is>
      </c>
      <c r="E12595" t="inlineStr">
        <is>
          <t>Italy</t>
        </is>
      </c>
    </row>
    <row r="12596">
      <c r="A12596" t="inlineStr">
        <is>
          <t>Ainpo società agricola cooperativa,  Parma, Italy</t>
        </is>
      </c>
      <c r="B12596" t="inlineStr">
        <is>
          <t>First Gathering Point</t>
        </is>
      </c>
      <c r="C12596" t="inlineStr">
        <is>
          <t>Bureau Veritas Polska Sp. z o.o., Warsaw, PL</t>
        </is>
      </c>
      <c r="D12596" t="inlineStr">
        <is>
          <t>05.11.2026</t>
        </is>
      </c>
      <c r="E12596" t="inlineStr">
        <is>
          <t>Italy</t>
        </is>
      </c>
    </row>
    <row r="12597">
      <c r="A12597" t="inlineStr">
        <is>
          <t>Middlesex County Utilities Authority,  East Brunswick, NJ, United States</t>
        </is>
      </c>
      <c r="B12597" t="inlineStr">
        <is>
          <t>Collecting Point, Processing Unit</t>
        </is>
      </c>
      <c r="C12597" t="inlineStr">
        <is>
          <t>Control Union Poland Sp. z o.o., Zielona Gora, PL</t>
        </is>
      </c>
      <c r="D12597" t="inlineStr">
        <is>
          <t>05.11.2026</t>
        </is>
      </c>
      <c r="E12597" t="inlineStr">
        <is>
          <t>United States</t>
        </is>
      </c>
    </row>
    <row r="12598">
      <c r="A12598" t="inlineStr">
        <is>
          <t>ABB AG,  Bad Berleburg, Germany</t>
        </is>
      </c>
      <c r="B12598" t="inlineStr">
        <is>
          <t>Processing Unit</t>
        </is>
      </c>
      <c r="C12598" t="inlineStr">
        <is>
          <t>ASG Cert GmbH, Munich, DE</t>
        </is>
      </c>
      <c r="D12598" t="inlineStr">
        <is>
          <t>05.11.2026</t>
        </is>
      </c>
      <c r="E12598" t="inlineStr">
        <is>
          <t>Germany</t>
        </is>
      </c>
    </row>
    <row r="12599">
      <c r="A12599" t="inlineStr">
        <is>
          <t>Middlesex County Utilities Authority,  Edison, NJ, United States</t>
        </is>
      </c>
      <c r="B12599" t="inlineStr">
        <is>
          <t>Collecting Point, Processing Unit</t>
        </is>
      </c>
      <c r="C12599" t="inlineStr">
        <is>
          <t>Control Union Poland Sp. z o.o., Zielona Gora, PL</t>
        </is>
      </c>
      <c r="D12599" t="inlineStr">
        <is>
          <t>05.11.2026</t>
        </is>
      </c>
      <c r="E12599" t="inlineStr">
        <is>
          <t>United States</t>
        </is>
      </c>
    </row>
    <row r="12600">
      <c r="A12600" t="inlineStr">
        <is>
          <t>AKTI PROJECT AND RESEARCH CENTRE,  Nicosia, Cyprus</t>
        </is>
      </c>
      <c r="B12600" t="inlineStr">
        <is>
          <t>Collecting Point</t>
        </is>
      </c>
      <c r="C12600" t="inlineStr">
        <is>
          <t>Eurocert SA, Metamorfosi, Athens, GR</t>
        </is>
      </c>
      <c r="D12600" t="inlineStr">
        <is>
          <t>05.11.2026</t>
        </is>
      </c>
      <c r="E12600" t="inlineStr">
        <is>
          <t>Cyprus</t>
        </is>
      </c>
    </row>
    <row r="12601">
      <c r="A12601" t="inlineStr">
        <is>
          <t>Sigma Stretch Film of Europe Sp. z o.o.,  Karczew, Poland</t>
        </is>
      </c>
      <c r="B12601" t="inlineStr">
        <is>
          <t>Processing Unit</t>
        </is>
      </c>
      <c r="C12601" t="inlineStr">
        <is>
          <t>Bureau Veritas Polska Sp. z o.o., Warsaw, PL</t>
        </is>
      </c>
      <c r="D12601" t="inlineStr">
        <is>
          <t>05.11.2026</t>
        </is>
      </c>
      <c r="E12601" t="inlineStr">
        <is>
          <t>Poland</t>
        </is>
      </c>
    </row>
    <row r="12602">
      <c r="A12602" t="inlineStr">
        <is>
          <t>PUREA Austria,  Gabersdorf, Austria</t>
        </is>
      </c>
      <c r="B12602" t="inlineStr">
        <is>
          <t>Point of Origin</t>
        </is>
      </c>
      <c r="C12602" t="inlineStr">
        <is>
          <t>agroVet GmbH, Enzersfeld, AT</t>
        </is>
      </c>
      <c r="D12602" t="inlineStr">
        <is>
          <t>05.11.2026</t>
        </is>
      </c>
      <c r="E12602" t="inlineStr">
        <is>
          <t>Austria</t>
        </is>
      </c>
    </row>
    <row r="12603">
      <c r="A12603" t="inlineStr">
        <is>
          <t>Amcor Flexibles,  Evesham, United Kingdom</t>
        </is>
      </c>
      <c r="B12603" t="inlineStr">
        <is>
          <t>Final Product Refinement</t>
        </is>
      </c>
      <c r="C12603" t="inlineStr">
        <is>
          <t>SGS Germany GmbH, Emstek, DE</t>
        </is>
      </c>
      <c r="D12603" t="inlineStr">
        <is>
          <t>05.11.2026</t>
        </is>
      </c>
      <c r="E12603" t="inlineStr">
        <is>
          <t>United Kingdom</t>
        </is>
      </c>
    </row>
    <row r="12604">
      <c r="A12604" t="inlineStr">
        <is>
          <t>Celanese US Holdings LLC,  Frankfurt am Main, Germany</t>
        </is>
      </c>
      <c r="B12604" t="inlineStr">
        <is>
          <t>Processing Unit</t>
        </is>
      </c>
      <c r="C12604" t="inlineStr">
        <is>
          <t>DIN CERTCO GmbH, Berlin, DE</t>
        </is>
      </c>
      <c r="D12604" t="inlineStr">
        <is>
          <t>05.11.2026</t>
        </is>
      </c>
      <c r="E12604" t="inlineStr">
        <is>
          <t>Germany</t>
        </is>
      </c>
    </row>
    <row r="12605">
      <c r="A12605" t="inlineStr">
        <is>
          <t>Envalior Japan K.K.,  Tochigi, Japan</t>
        </is>
      </c>
      <c r="B12605" t="inlineStr">
        <is>
          <t>Processing Unit</t>
        </is>
      </c>
      <c r="C12605" t="inlineStr">
        <is>
          <t>TÜV NORD CERT GmbH, Essen, DE</t>
        </is>
      </c>
      <c r="D12605" t="inlineStr">
        <is>
          <t>05.11.2026</t>
        </is>
      </c>
      <c r="E12605" t="inlineStr">
        <is>
          <t>Japan</t>
        </is>
      </c>
    </row>
    <row r="12606">
      <c r="A12606" t="inlineStr">
        <is>
          <t>PT. Kreasijaya Adhikarya,  Dumai, Riau, Indonesia</t>
        </is>
      </c>
      <c r="B12606" t="inlineStr">
        <is>
          <t>Point of Origin, Processing Unit</t>
        </is>
      </c>
      <c r="C12606" t="inlineStr">
        <is>
          <t>Control Union Certifications Germany GmbH, Berlin, DE</t>
        </is>
      </c>
      <c r="D12606" t="inlineStr">
        <is>
          <t>05.11.2026</t>
        </is>
      </c>
      <c r="E12606" t="inlineStr">
        <is>
          <t>Indonesia</t>
        </is>
      </c>
    </row>
    <row r="12607">
      <c r="A12607" t="inlineStr">
        <is>
          <t>Lanxess Deutschland GmbH,  Brunsbüttel, Germany</t>
        </is>
      </c>
      <c r="B12607" t="inlineStr">
        <is>
          <t>Processing Unit</t>
        </is>
      </c>
      <c r="C12607" t="inlineStr">
        <is>
          <t>TÜV NORD CERT GmbH, Essen, DE</t>
        </is>
      </c>
      <c r="D12607" t="inlineStr">
        <is>
          <t>05.11.2026</t>
        </is>
      </c>
      <c r="E12607" t="inlineStr">
        <is>
          <t>Germany</t>
        </is>
      </c>
    </row>
    <row r="12608">
      <c r="A12608" t="inlineStr">
        <is>
          <t>Kaura Coproducts, SL,  Salteras (Sevilla), Spain</t>
        </is>
      </c>
      <c r="B12608" t="inlineStr">
        <is>
          <t>Point of Origin, Trader with Storage</t>
        </is>
      </c>
      <c r="C12608" t="inlineStr">
        <is>
          <t>Control Union Poland Sp. z o.o., Zielona Gora, PL</t>
        </is>
      </c>
      <c r="D12608" t="inlineStr">
        <is>
          <t>05.11.2026</t>
        </is>
      </c>
      <c r="E12608" t="inlineStr">
        <is>
          <t>Spain</t>
        </is>
      </c>
    </row>
    <row r="12609">
      <c r="A12609" t="inlineStr">
        <is>
          <t>Dongguan Kinghal Electronic Technology Co., LTD,  Dongguan City,, China</t>
        </is>
      </c>
      <c r="B12609" t="inlineStr">
        <is>
          <t>Processing Unit</t>
        </is>
      </c>
      <c r="C12609" t="inlineStr">
        <is>
          <t>Extensive Standard Technical Services Co., Ltd., Hong Kong, CN</t>
        </is>
      </c>
      <c r="D12609" t="inlineStr">
        <is>
          <t>05.11.2026</t>
        </is>
      </c>
      <c r="E12609" t="inlineStr">
        <is>
          <t>China</t>
        </is>
      </c>
    </row>
    <row r="12610">
      <c r="A12610" t="inlineStr">
        <is>
          <t>CH CHEMICALS LOGISTICS PTE. LTD.,  Taizhou, Jiangsu, China</t>
        </is>
      </c>
      <c r="B12610" t="inlineStr">
        <is>
          <t>Trader</t>
        </is>
      </c>
      <c r="C12610" t="inlineStr">
        <is>
          <t>RINA Services S.p.A., Genova, IT</t>
        </is>
      </c>
      <c r="D12610" t="inlineStr">
        <is>
          <t>05.11.2026</t>
        </is>
      </c>
      <c r="E12610" t="inlineStr">
        <is>
          <t>China</t>
        </is>
      </c>
    </row>
    <row r="12611">
      <c r="A12611" t="inlineStr">
        <is>
          <t>AFSC Operations Limited,  Hong Kong, Hong Kong, SAR, China</t>
        </is>
      </c>
      <c r="B12611" t="inlineStr">
        <is>
          <t>Warehouse</t>
        </is>
      </c>
      <c r="C12611" t="inlineStr">
        <is>
          <t>SCS Global Services, Emeryville, CA, US</t>
        </is>
      </c>
      <c r="D12611" t="inlineStr">
        <is>
          <t>05.11.2026</t>
        </is>
      </c>
      <c r="E12611" t="inlineStr">
        <is>
          <t>China</t>
        </is>
      </c>
    </row>
    <row r="12612">
      <c r="A12612" t="inlineStr">
        <is>
          <t>AGROPOLIS,  Zavodske Urban Village, Ukraine</t>
        </is>
      </c>
      <c r="B12612" t="inlineStr">
        <is>
          <t>Farm / Plantation, Trader with Storage</t>
        </is>
      </c>
      <c r="C12612" t="inlineStr">
        <is>
          <t>Bureau Veritas Polska Sp. z o.o., Warsaw, PL</t>
        </is>
      </c>
      <c r="D12612" t="inlineStr">
        <is>
          <t>05.11.2026</t>
        </is>
      </c>
      <c r="E12612" t="inlineStr">
        <is>
          <t>Ukraine</t>
        </is>
      </c>
    </row>
    <row r="12613">
      <c r="A12613" t="inlineStr">
        <is>
          <t>Formosa Idemitsu Petrochemical Corporation,  Neihu Dist., Taipei city, Taiwan</t>
        </is>
      </c>
      <c r="B12613" t="inlineStr">
        <is>
          <t>Trader</t>
        </is>
      </c>
      <c r="C12613" t="inlineStr">
        <is>
          <t>Bureau Veritas Polska Sp. z o.o., Warsaw, PL</t>
        </is>
      </c>
      <c r="D12613" t="inlineStr">
        <is>
          <t>05.11.2026</t>
        </is>
      </c>
      <c r="E12613" t="inlineStr">
        <is>
          <t>Taiwan</t>
        </is>
      </c>
    </row>
    <row r="12614">
      <c r="A12614" t="inlineStr">
        <is>
          <t>DRUZHBA 6,  Markivka Village, Ukraine</t>
        </is>
      </c>
      <c r="B12614" t="inlineStr">
        <is>
          <t>Farm / Plantation, Trader with Storage</t>
        </is>
      </c>
      <c r="C12614" t="inlineStr">
        <is>
          <t>Bureau Veritas Polska Sp. z o.o., Warsaw, PL</t>
        </is>
      </c>
      <c r="D12614" t="inlineStr">
        <is>
          <t>05.11.2026</t>
        </is>
      </c>
      <c r="E12614" t="inlineStr">
        <is>
          <t>Ukraine</t>
        </is>
      </c>
    </row>
    <row r="12615">
      <c r="A12615" t="inlineStr">
        <is>
          <t>Air Liquide Korea Co.,Ltd,  Yeosu-si, South Korea</t>
        </is>
      </c>
      <c r="B12615" t="inlineStr">
        <is>
          <t>Processing Unit</t>
        </is>
      </c>
      <c r="C12615" t="inlineStr">
        <is>
          <t>Control Union Certifications Germany GmbH, Berlin, DE</t>
        </is>
      </c>
      <c r="D12615" t="inlineStr">
        <is>
          <t>05.11.2026</t>
        </is>
      </c>
      <c r="E12615" t="inlineStr">
        <is>
          <t>South Korea</t>
        </is>
      </c>
    </row>
    <row r="12616">
      <c r="A12616" t="inlineStr">
        <is>
          <t>APD Malčice, s. r. o.,  Malčice, Slovakia</t>
        </is>
      </c>
      <c r="B12616" t="inlineStr">
        <is>
          <t>First Gathering Point, Trader with Storage</t>
        </is>
      </c>
      <c r="C12616" t="inlineStr">
        <is>
          <t>United Registrar of Systems Polska Sp. z o.o., Wrocław, PL</t>
        </is>
      </c>
      <c r="D12616" t="inlineStr">
        <is>
          <t>05.11.2026</t>
        </is>
      </c>
      <c r="E12616" t="inlineStr">
        <is>
          <t>Slovakia</t>
        </is>
      </c>
    </row>
    <row r="12617">
      <c r="A12617" t="inlineStr">
        <is>
          <t>Alpha Biofuels (S) Pte Ltd,  Singapore, Singapore</t>
        </is>
      </c>
      <c r="B12617" t="inlineStr">
        <is>
          <t>Collecting Point, Processing Unit, Trader with Storage</t>
        </is>
      </c>
      <c r="C12617" t="inlineStr">
        <is>
          <t>Bureau Veritas Polska Sp. z o.o., Warsaw, PL</t>
        </is>
      </c>
      <c r="D12617" t="inlineStr">
        <is>
          <t>05.11.2026</t>
        </is>
      </c>
      <c r="E12617" t="inlineStr">
        <is>
          <t>Singapore</t>
        </is>
      </c>
    </row>
    <row r="12618">
      <c r="A12618" t="inlineStr">
        <is>
          <t>Horizon3 Sustainable Plastic Solutions,  HENDRIK-IDO-AMBACHT, The Netherlands</t>
        </is>
      </c>
      <c r="B12618" t="inlineStr">
        <is>
          <t>Collecting Point, Trader</t>
        </is>
      </c>
      <c r="C12618" t="inlineStr">
        <is>
          <t>Control Union Certifications Germany GmbH, Berlin, DE</t>
        </is>
      </c>
      <c r="D12618" t="inlineStr">
        <is>
          <t>05.11.2026</t>
        </is>
      </c>
      <c r="E12618" t="inlineStr">
        <is>
          <t>The Netherlands</t>
        </is>
      </c>
    </row>
    <row r="12619">
      <c r="A12619" t="inlineStr">
        <is>
          <t>HELM Asia Pte. Ltd.,  Singapore, Singapore</t>
        </is>
      </c>
      <c r="B12619" t="inlineStr">
        <is>
          <t>Trader</t>
        </is>
      </c>
      <c r="C12619" t="inlineStr">
        <is>
          <t>Control Union Certifications Germany GmbH, Berlin, DE</t>
        </is>
      </c>
      <c r="D12619" t="inlineStr">
        <is>
          <t>05.11.2026</t>
        </is>
      </c>
      <c r="E12619" t="inlineStr">
        <is>
          <t>Singapore</t>
        </is>
      </c>
    </row>
    <row r="12620">
      <c r="A12620" t="inlineStr">
        <is>
          <t>Woodman Kuala Baram Estate Sdn Bhd - Usaha Sepadan Palm Oil Mill,  BINTULU, Malaysia</t>
        </is>
      </c>
      <c r="B12620" t="inlineStr">
        <is>
          <t>Point of Origin</t>
        </is>
      </c>
      <c r="C12620" t="inlineStr">
        <is>
          <t>NIOSH Certification Sdn. Bhd., Selangor Darul Ehsan, MY</t>
        </is>
      </c>
      <c r="D12620" t="inlineStr">
        <is>
          <t>05.11.2026</t>
        </is>
      </c>
      <c r="E12620" t="inlineStr">
        <is>
          <t>Malaysia</t>
        </is>
      </c>
    </row>
    <row r="12621">
      <c r="A12621" t="inlineStr">
        <is>
          <t>Woodman Kuala Baram Estate Sdn Bhd - Semanok Palm Oil Mill,  BINTULU, Malaysia</t>
        </is>
      </c>
      <c r="B12621" t="inlineStr">
        <is>
          <t>Point of Origin</t>
        </is>
      </c>
      <c r="C12621" t="inlineStr">
        <is>
          <t>NIOSH Certification Sdn. Bhd., Selangor Darul Ehsan, MY</t>
        </is>
      </c>
      <c r="D12621" t="inlineStr">
        <is>
          <t>05.11.2026</t>
        </is>
      </c>
      <c r="E12621" t="inlineStr">
        <is>
          <t>Malaysia</t>
        </is>
      </c>
    </row>
    <row r="12622">
      <c r="A12622" t="inlineStr">
        <is>
          <t>Woodman Kuala Baram Estate Sdn Bhd - Adong Palm Oil Mill,  MIRI, Malaysia</t>
        </is>
      </c>
      <c r="B12622" t="inlineStr">
        <is>
          <t>Point of Origin</t>
        </is>
      </c>
      <c r="C12622" t="inlineStr">
        <is>
          <t>NIOSH Certification Sdn. Bhd., Selangor Darul Ehsan, MY</t>
        </is>
      </c>
      <c r="D12622" t="inlineStr">
        <is>
          <t>05.11.2026</t>
        </is>
      </c>
      <c r="E12622" t="inlineStr">
        <is>
          <t>Malaysia</t>
        </is>
      </c>
    </row>
    <row r="12623">
      <c r="A12623" t="inlineStr">
        <is>
          <t>Berkat Sawit Sejahtera,  Indragiri Hilir Regency, Riau Province, Indonesia</t>
        </is>
      </c>
      <c r="B12623" t="inlineStr">
        <is>
          <t>Point of Origin</t>
        </is>
      </c>
      <c r="C12623" t="inlineStr">
        <is>
          <t>PT. Qualitas Sertifikasi Indonesia, Jakarta, ID</t>
        </is>
      </c>
      <c r="D12623" t="inlineStr">
        <is>
          <t>05.11.2026</t>
        </is>
      </c>
      <c r="E12623" t="inlineStr">
        <is>
          <t>Indonesia</t>
        </is>
      </c>
    </row>
    <row r="12624">
      <c r="A12624" t="inlineStr">
        <is>
          <t>SIA "Grow Energy",  Limbazu pagasts, Latvia</t>
        </is>
      </c>
      <c r="B12624" t="inlineStr">
        <is>
          <t>Collecting Point, Processing Unit</t>
        </is>
      </c>
      <c r="C12624" t="inlineStr">
        <is>
          <t>BM Certification, Riga, LV</t>
        </is>
      </c>
      <c r="D12624" t="inlineStr">
        <is>
          <t>05.11.2026</t>
        </is>
      </c>
      <c r="E12624" t="inlineStr">
        <is>
          <t>Latvia</t>
        </is>
      </c>
    </row>
    <row r="12625">
      <c r="A12625" t="inlineStr">
        <is>
          <t>Valmet Technologies,  Tampere, Finland</t>
        </is>
      </c>
      <c r="B12625" t="inlineStr">
        <is>
          <t>Processing Unit</t>
        </is>
      </c>
      <c r="C12625" t="inlineStr">
        <is>
          <t>BM Certification, Riga, LV</t>
        </is>
      </c>
      <c r="D12625" t="inlineStr">
        <is>
          <t>05.11.2026</t>
        </is>
      </c>
      <c r="E12625" t="inlineStr">
        <is>
          <t>Finland</t>
        </is>
      </c>
    </row>
    <row r="12626">
      <c r="A12626" t="inlineStr">
        <is>
          <t>Cargill Australia Limited,  Kooragang, Australia</t>
        </is>
      </c>
      <c r="B12626" t="inlineStr">
        <is>
          <t>Processing Unit</t>
        </is>
      </c>
      <c r="C12626" t="inlineStr">
        <is>
          <t>Control Union Certifications Germany GmbH, Berlin, DE</t>
        </is>
      </c>
      <c r="D12626" t="inlineStr">
        <is>
          <t>05.11.2026</t>
        </is>
      </c>
      <c r="E12626" t="inlineStr">
        <is>
          <t>Australia</t>
        </is>
      </c>
    </row>
    <row r="12627">
      <c r="A12627" t="inlineStr">
        <is>
          <t>Cargill Australia Limited,  Kooragang, Australia</t>
        </is>
      </c>
      <c r="B12627" t="inlineStr">
        <is>
          <t>Processing Unit</t>
        </is>
      </c>
      <c r="C12627" t="inlineStr">
        <is>
          <t>Control Union Certifications Germany GmbH, Berlin, DE</t>
        </is>
      </c>
      <c r="D12627" t="inlineStr">
        <is>
          <t>05.11.2026</t>
        </is>
      </c>
      <c r="E12627" t="inlineStr">
        <is>
          <t>Australia</t>
        </is>
      </c>
    </row>
    <row r="12628">
      <c r="A12628" t="inlineStr">
        <is>
          <t>Guangzhou Basell Advanced Polyolefins Co., Ltd.,  Guangzhou, China, China</t>
        </is>
      </c>
      <c r="B12628" t="inlineStr">
        <is>
          <t>Processing Unit, Trader with Storage</t>
        </is>
      </c>
      <c r="C12628" t="inlineStr">
        <is>
          <t>SGS Germany GmbH, Emstek, DE</t>
        </is>
      </c>
      <c r="D12628" t="inlineStr">
        <is>
          <t>05.11.2026</t>
        </is>
      </c>
      <c r="E12628" t="inlineStr">
        <is>
          <t>China</t>
        </is>
      </c>
    </row>
    <row r="12629">
      <c r="A12629" t="inlineStr">
        <is>
          <t>Cosmo Oil Co., Ltd.,  Tokyo, Japan</t>
        </is>
      </c>
      <c r="B12629" t="inlineStr">
        <is>
          <t>Trader with Storage</t>
        </is>
      </c>
      <c r="C12629" t="inlineStr">
        <is>
          <t>SGS Germany GmbH, Emstek, DE</t>
        </is>
      </c>
      <c r="D12629" t="inlineStr">
        <is>
          <t>05.11.2026</t>
        </is>
      </c>
      <c r="E12629" t="inlineStr">
        <is>
          <t>Japan</t>
        </is>
      </c>
    </row>
    <row r="12630">
      <c r="A12630" t="inlineStr">
        <is>
          <t>Cosmo Oil Co., Ltd.,  Tokyo, Japan</t>
        </is>
      </c>
      <c r="B12630" t="inlineStr">
        <is>
          <t>Trader with Storage</t>
        </is>
      </c>
      <c r="C12630" t="inlineStr">
        <is>
          <t>SGS Germany GmbH, Emstek, DE</t>
        </is>
      </c>
      <c r="D12630" t="inlineStr">
        <is>
          <t>05.11.2026</t>
        </is>
      </c>
      <c r="E12630" t="inlineStr">
        <is>
          <t>Japan</t>
        </is>
      </c>
    </row>
    <row r="12631">
      <c r="A12631" t="inlineStr">
        <is>
          <t>tongyangind,  Anseong-si, South Korea</t>
        </is>
      </c>
      <c r="B12631" t="inlineStr">
        <is>
          <t>Processing Unit</t>
        </is>
      </c>
      <c r="C12631" t="inlineStr">
        <is>
          <t>Korean Foundation for Quality, Songpa-gu, Seoul, KR</t>
        </is>
      </c>
      <c r="D12631" t="inlineStr">
        <is>
          <t>05.11.2026</t>
        </is>
      </c>
      <c r="E12631" t="inlineStr">
        <is>
          <t>South Korea</t>
        </is>
      </c>
    </row>
    <row r="12632">
      <c r="A12632" t="inlineStr">
        <is>
          <t>Shell LNG Bunkering B.V.,  The Hague, Netherlands</t>
        </is>
      </c>
      <c r="B12632" t="inlineStr">
        <is>
          <t>Trader</t>
        </is>
      </c>
      <c r="C12632" t="inlineStr">
        <is>
          <t>Normec QS BV, Bennekom, NL</t>
        </is>
      </c>
      <c r="D12632" t="inlineStr">
        <is>
          <t>05.11.2026</t>
        </is>
      </c>
      <c r="E12632" t="inlineStr">
        <is>
          <t>Netherlands</t>
        </is>
      </c>
    </row>
    <row r="12633">
      <c r="A12633" t="inlineStr">
        <is>
          <t>ARAMCO TRADING AMERICAS,  Houston, United States</t>
        </is>
      </c>
      <c r="B12633" t="inlineStr">
        <is>
          <t>Trader with Storage</t>
        </is>
      </c>
      <c r="C12633" t="inlineStr">
        <is>
          <t>Certificadora Gallega del Noroeste SL, Vilagarcia de Arousa-Pontevedra, ES</t>
        </is>
      </c>
      <c r="D12633" t="inlineStr">
        <is>
          <t>05.11.2026</t>
        </is>
      </c>
      <c r="E12633" t="inlineStr">
        <is>
          <t>United States</t>
        </is>
      </c>
    </row>
    <row r="12634">
      <c r="A12634" t="inlineStr">
        <is>
          <t>ARAMCO TRADING AMERICAS,  Houston, United States</t>
        </is>
      </c>
      <c r="B12634" t="inlineStr">
        <is>
          <t>Trader with Storage</t>
        </is>
      </c>
      <c r="C12634" t="inlineStr">
        <is>
          <t>Certificadora Gallega del Noroeste SL, Vilagarcia de Arousa-Pontevedra, ES</t>
        </is>
      </c>
      <c r="D12634" t="inlineStr">
        <is>
          <t>05.11.2026</t>
        </is>
      </c>
      <c r="E12634" t="inlineStr">
        <is>
          <t>United States</t>
        </is>
      </c>
    </row>
    <row r="12635">
      <c r="A12635" t="inlineStr">
        <is>
          <t>ARAMCO TRADING AMERICAS,  Houston, United States</t>
        </is>
      </c>
      <c r="B12635" t="inlineStr">
        <is>
          <t>Trader with Storage</t>
        </is>
      </c>
      <c r="C12635" t="inlineStr">
        <is>
          <t>Certificadora Gallega del Noroeste SL, Vilagarcia de Arousa-Pontevedra, ES</t>
        </is>
      </c>
      <c r="D12635" t="inlineStr">
        <is>
          <t>05.11.2026</t>
        </is>
      </c>
      <c r="E12635" t="inlineStr">
        <is>
          <t>United States</t>
        </is>
      </c>
    </row>
    <row r="12636">
      <c r="A12636" t="inlineStr">
        <is>
          <t>KHANG GIA PRODUCTION TRADING CO.,LTD,  Dong Xoai Ward, Dong Nai Province, Vietnam</t>
        </is>
      </c>
      <c r="B12636" t="inlineStr">
        <is>
          <t>Point of Origin, Collecting Point, Processing Unit, Trader with Storage</t>
        </is>
      </c>
      <c r="C12636" t="inlineStr">
        <is>
          <t>BM Certification, Riga, LV</t>
        </is>
      </c>
      <c r="D12636" t="inlineStr">
        <is>
          <t>05.11.2026</t>
        </is>
      </c>
      <c r="E12636" t="inlineStr">
        <is>
          <t>Vietnam</t>
        </is>
      </c>
    </row>
    <row r="12637">
      <c r="A12637" t="inlineStr">
        <is>
          <t>Guangdong Weifu Packaging Material Co., Ltd.,  Jieyang, China</t>
        </is>
      </c>
      <c r="B12637" t="inlineStr">
        <is>
          <t>Processing Unit</t>
        </is>
      </c>
      <c r="C12637" t="inlineStr">
        <is>
          <t>Control Union Certifications Germany GmbH, Berlin, DE</t>
        </is>
      </c>
      <c r="D12637" t="inlineStr">
        <is>
          <t>05.11.2026</t>
        </is>
      </c>
      <c r="E12637" t="inlineStr">
        <is>
          <t>China</t>
        </is>
      </c>
    </row>
    <row r="12638">
      <c r="A12638" t="inlineStr">
        <is>
          <t>Citigroup Global Markets Ltd.,  London, United Kingdom</t>
        </is>
      </c>
      <c r="B12638" t="inlineStr">
        <is>
          <t>Trader with Storage</t>
        </is>
      </c>
      <c r="C12638" t="inlineStr">
        <is>
          <t>SGS Germany GmbH, Emstek, DE</t>
        </is>
      </c>
      <c r="D12638" t="inlineStr">
        <is>
          <t>05.11.2026</t>
        </is>
      </c>
      <c r="E12638" t="inlineStr">
        <is>
          <t>United Kingdom</t>
        </is>
      </c>
    </row>
    <row r="12639">
      <c r="A12639" t="inlineStr">
        <is>
          <t>TOSOH CORPORATION,  Yokkaichi, Japan</t>
        </is>
      </c>
      <c r="B12639" t="inlineStr">
        <is>
          <t>Processing Unit</t>
        </is>
      </c>
      <c r="C12639" t="inlineStr">
        <is>
          <t>SGS Germany GmbH, Emstek, DE</t>
        </is>
      </c>
      <c r="D12639" t="inlineStr">
        <is>
          <t>05.11.2026</t>
        </is>
      </c>
      <c r="E12639" t="inlineStr">
        <is>
          <t>Japan</t>
        </is>
      </c>
    </row>
    <row r="12640">
      <c r="A12640" t="inlineStr">
        <is>
          <t>SLCA S.L,  MADRID, Spain</t>
        </is>
      </c>
      <c r="B12640" t="inlineStr">
        <is>
          <t>Logistics Center</t>
        </is>
      </c>
      <c r="C12640" t="inlineStr">
        <is>
          <t>Control Union Poland Sp. z o.o., Zielona Gora, PL</t>
        </is>
      </c>
      <c r="D12640" t="inlineStr">
        <is>
          <t>05.11.2026</t>
        </is>
      </c>
      <c r="E12640" t="inlineStr">
        <is>
          <t>Spain</t>
        </is>
      </c>
    </row>
    <row r="12641">
      <c r="A12641" t="inlineStr">
        <is>
          <t>Omnia Nişasta San.Tic.A.Ş.,  Sarıçam / Adana, Turkey</t>
        </is>
      </c>
      <c r="B12641" t="inlineStr">
        <is>
          <t>Processing Unit</t>
        </is>
      </c>
      <c r="C12641" t="inlineStr">
        <is>
          <t>RINA Services S.p.A., Genova, IT</t>
        </is>
      </c>
      <c r="D12641" t="inlineStr">
        <is>
          <t>05.11.2026</t>
        </is>
      </c>
      <c r="E12641" t="inlineStr">
        <is>
          <t>Turkey</t>
        </is>
      </c>
    </row>
    <row r="12642">
      <c r="A12642" t="inlineStr">
        <is>
          <t>Sammontana Italia S.p.A. Società Benefit,  Empoli, Italy</t>
        </is>
      </c>
      <c r="B12642" t="inlineStr">
        <is>
          <t>Processing Unit, Trader with Storage</t>
        </is>
      </c>
      <c r="C12642" t="inlineStr">
        <is>
          <t>RINA Services S.p.A., Genova, IT</t>
        </is>
      </c>
      <c r="D12642" t="inlineStr">
        <is>
          <t>05.11.2026</t>
        </is>
      </c>
      <c r="E12642" t="inlineStr">
        <is>
          <t>Italy</t>
        </is>
      </c>
    </row>
    <row r="12643">
      <c r="A12643" t="inlineStr">
        <is>
          <t>AGRODIM.,  Horodyshche, Ukraine</t>
        </is>
      </c>
      <c r="B12643" t="inlineStr">
        <is>
          <t>Farm / Plantation, Trader with Storage</t>
        </is>
      </c>
      <c r="C12643" t="inlineStr">
        <is>
          <t>Bureau Veritas Polska Sp. z o.o., Warsaw, PL</t>
        </is>
      </c>
      <c r="D12643" t="inlineStr">
        <is>
          <t>05.11.2026</t>
        </is>
      </c>
      <c r="E12643" t="inlineStr">
        <is>
          <t>Ukraine</t>
        </is>
      </c>
    </row>
    <row r="12644">
      <c r="A12644" t="inlineStr">
        <is>
          <t>Middlesex County Utilities Authority,  East Brunswick, NJ, United States</t>
        </is>
      </c>
      <c r="B12644" t="inlineStr">
        <is>
          <t>Collecting Point, Processing Unit</t>
        </is>
      </c>
      <c r="C12644" t="inlineStr">
        <is>
          <t>Control Union Poland Sp. z o.o., Zielona Gora, PL</t>
        </is>
      </c>
      <c r="D12644" t="inlineStr">
        <is>
          <t>05.11.2026</t>
        </is>
      </c>
      <c r="E12644" t="inlineStr">
        <is>
          <t>United States</t>
        </is>
      </c>
    </row>
    <row r="12645">
      <c r="A12645" t="inlineStr">
        <is>
          <t>SLCA S.L,  MADRID, Spain</t>
        </is>
      </c>
      <c r="B12645" t="inlineStr">
        <is>
          <t>Logistics Center</t>
        </is>
      </c>
      <c r="C12645" t="inlineStr">
        <is>
          <t>Control Union Poland Sp. z o.o., Zielona Gora, PL</t>
        </is>
      </c>
      <c r="D12645" t="inlineStr">
        <is>
          <t>05.11.2026</t>
        </is>
      </c>
      <c r="E12645" t="inlineStr">
        <is>
          <t>Spain</t>
        </is>
      </c>
    </row>
    <row r="12646">
      <c r="A12646" t="inlineStr">
        <is>
          <t>ELENGY,  Fos-sur-Mer, France</t>
        </is>
      </c>
      <c r="B12646" t="inlineStr">
        <is>
          <t>Processing Unit, Warehouse</t>
        </is>
      </c>
      <c r="C12646" t="inlineStr">
        <is>
          <t>Normec QS BV, Bennekom, NL</t>
        </is>
      </c>
      <c r="D12646" t="inlineStr">
        <is>
          <t>05.11.2026</t>
        </is>
      </c>
      <c r="E12646" t="inlineStr">
        <is>
          <t>France</t>
        </is>
      </c>
    </row>
    <row r="12647">
      <c r="A12647" t="inlineStr">
        <is>
          <t>ELENGY,  Fos sur Mer, France</t>
        </is>
      </c>
      <c r="B12647" t="inlineStr">
        <is>
          <t>Processing Unit, Warehouse</t>
        </is>
      </c>
      <c r="C12647" t="inlineStr">
        <is>
          <t>Normec QS BV, Bennekom, NL</t>
        </is>
      </c>
      <c r="D12647" t="inlineStr">
        <is>
          <t>05.11.2026</t>
        </is>
      </c>
      <c r="E12647" t="inlineStr">
        <is>
          <t>France</t>
        </is>
      </c>
    </row>
    <row r="12648">
      <c r="A12648" t="inlineStr">
        <is>
          <t>INFINITY VAULT SDN BHD,  Kampung sungai penchala, Malaysia</t>
        </is>
      </c>
      <c r="B12648" t="inlineStr">
        <is>
          <t>Collecting Point, Trader with Storage</t>
        </is>
      </c>
      <c r="C12648" t="inlineStr">
        <is>
          <t>Trans Certification and Inspection Sdn Bhd, Kuantan, MY</t>
        </is>
      </c>
      <c r="D12648" t="inlineStr">
        <is>
          <t>04.11.2026</t>
        </is>
      </c>
      <c r="E12648" t="inlineStr">
        <is>
          <t>Malaysia</t>
        </is>
      </c>
    </row>
    <row r="12649">
      <c r="A12649" t="inlineStr">
        <is>
          <t>CITA VIA, s.r.o.,  Oždany, Slovakia</t>
        </is>
      </c>
      <c r="B12649" t="inlineStr">
        <is>
          <t>Collecting Point, First Gathering Point, Processing Unit, Trader with Storage</t>
        </is>
      </c>
      <c r="C12649" t="inlineStr">
        <is>
          <t>United Registrar of Systems Polska Sp. z o.o., Wrocław, PL</t>
        </is>
      </c>
      <c r="D12649" t="inlineStr">
        <is>
          <t>04.11.2026</t>
        </is>
      </c>
      <c r="E12649" t="inlineStr">
        <is>
          <t>Slovakia</t>
        </is>
      </c>
    </row>
    <row r="12650">
      <c r="A12650" t="inlineStr">
        <is>
          <t>Riviera Marine SAM,  Monaco, Monaco</t>
        </is>
      </c>
      <c r="B12650" t="inlineStr">
        <is>
          <t>Trader, Proof of Compliance Trader</t>
        </is>
      </c>
      <c r="C12650" t="inlineStr">
        <is>
          <t>RINA Services S.p.A., Genova, IT</t>
        </is>
      </c>
      <c r="D12650" t="inlineStr">
        <is>
          <t>04.11.2026</t>
        </is>
      </c>
      <c r="E12650" t="inlineStr">
        <is>
          <t>Monaco</t>
        </is>
      </c>
    </row>
    <row r="12651">
      <c r="A12651" t="inlineStr">
        <is>
          <t>Americas Styrenics de Colombia,  Cartagena, Colombia</t>
        </is>
      </c>
      <c r="B12651" t="inlineStr">
        <is>
          <t>Processing Unit</t>
        </is>
      </c>
      <c r="C12651" t="inlineStr">
        <is>
          <t>SCS Global Services, Emeryville, CA, US</t>
        </is>
      </c>
      <c r="D12651" t="inlineStr">
        <is>
          <t>04.11.2026</t>
        </is>
      </c>
      <c r="E12651" t="inlineStr">
        <is>
          <t>Colombia</t>
        </is>
      </c>
    </row>
    <row r="12652">
      <c r="A12652" t="inlineStr">
        <is>
          <t>Mondi Halle GmbH,  Halle, Germany</t>
        </is>
      </c>
      <c r="B12652" t="inlineStr">
        <is>
          <t>Final Product Refinement, Trader with Storage, Processing Unit</t>
        </is>
      </c>
      <c r="C12652" t="inlineStr">
        <is>
          <t>GUT Certifizierungsgesellschaft für Managementsysteme mbH Umweltgutachter, Berlin, DE</t>
        </is>
      </c>
      <c r="D12652" t="inlineStr">
        <is>
          <t>04.11.2026</t>
        </is>
      </c>
      <c r="E12652" t="inlineStr">
        <is>
          <t>Germany</t>
        </is>
      </c>
    </row>
    <row r="12653">
      <c r="A12653" t="inlineStr">
        <is>
          <t>Mitsubishi Chemical Corporation,  Toyohashi-shi, Japan</t>
        </is>
      </c>
      <c r="B12653" t="inlineStr">
        <is>
          <t>Processing Unit</t>
        </is>
      </c>
      <c r="C12653" t="inlineStr">
        <is>
          <t>Control Union Certifications Germany GmbH, Berlin, DE</t>
        </is>
      </c>
      <c r="D12653" t="inlineStr">
        <is>
          <t>04.11.2026</t>
        </is>
      </c>
      <c r="E12653" t="inlineStr">
        <is>
          <t>Japan</t>
        </is>
      </c>
    </row>
    <row r="12654">
      <c r="A12654" t="inlineStr">
        <is>
          <t>BIMAL SUNCE doo,  Sombor, Serbia</t>
        </is>
      </c>
      <c r="B12654" t="inlineStr">
        <is>
          <t>Processing Unit</t>
        </is>
      </c>
      <c r="C12654" t="inlineStr">
        <is>
          <t>Control Union Certifications Germany GmbH, Berlin, DE</t>
        </is>
      </c>
      <c r="D12654" t="inlineStr">
        <is>
          <t>04.11.2026</t>
        </is>
      </c>
      <c r="E12654" t="inlineStr">
        <is>
          <t>Serbia</t>
        </is>
      </c>
    </row>
    <row r="12655">
      <c r="A12655" t="inlineStr">
        <is>
          <t>BIMAL Trading doo,  Belgrade, Serbia</t>
        </is>
      </c>
      <c r="B12655" t="inlineStr">
        <is>
          <t>First Gathering Point, Trader with Storage</t>
        </is>
      </c>
      <c r="C12655" t="inlineStr">
        <is>
          <t>Control Union Certifications Germany GmbH, Berlin, DE</t>
        </is>
      </c>
      <c r="D12655" t="inlineStr">
        <is>
          <t>04.11.2026</t>
        </is>
      </c>
      <c r="E12655" t="inlineStr">
        <is>
          <t>Serbia</t>
        </is>
      </c>
    </row>
    <row r="12656">
      <c r="A12656" t="inlineStr">
        <is>
          <t>Biodiesel SRL,  Comanesti Bacau, Romania</t>
        </is>
      </c>
      <c r="B12656" t="inlineStr">
        <is>
          <t>Warehouse, Processing Unit</t>
        </is>
      </c>
      <c r="C12656" t="inlineStr">
        <is>
          <t>BM Certification, Riga, LV</t>
        </is>
      </c>
      <c r="D12656" t="inlineStr">
        <is>
          <t>04.11.2026</t>
        </is>
      </c>
      <c r="E12656" t="inlineStr">
        <is>
          <t>Romania</t>
        </is>
      </c>
    </row>
    <row r="12657">
      <c r="A12657" t="inlineStr">
        <is>
          <t>Shipergy,  London, United Kingdom</t>
        </is>
      </c>
      <c r="B12657" t="inlineStr">
        <is>
          <t>Trader</t>
        </is>
      </c>
      <c r="C12657" t="inlineStr">
        <is>
          <t>Aardvark Certification Ltd, Wiveliscombe, Somerset, GB</t>
        </is>
      </c>
      <c r="D12657" t="inlineStr">
        <is>
          <t>04.11.2026</t>
        </is>
      </c>
      <c r="E12657" t="inlineStr">
        <is>
          <t>United Kingdom</t>
        </is>
      </c>
    </row>
    <row r="12658">
      <c r="A12658" t="inlineStr">
        <is>
          <t>SHANDONG YUANLI SCIENCE AND TECHNOLOGY CO.,LTD.,  Changle, Weifang, Shandong,China, China</t>
        </is>
      </c>
      <c r="B12658" t="inlineStr">
        <is>
          <t>Processing Unit</t>
        </is>
      </c>
      <c r="C12658" t="inlineStr">
        <is>
          <t>SGS Germany GmbH, Emstek, DE</t>
        </is>
      </c>
      <c r="D12658" t="inlineStr">
        <is>
          <t>04.11.2026</t>
        </is>
      </c>
      <c r="E12658" t="inlineStr">
        <is>
          <t>China</t>
        </is>
      </c>
    </row>
    <row r="12659">
      <c r="A12659" t="inlineStr">
        <is>
          <t>British Airways PLC,  Harmondsworth, United Kingdom</t>
        </is>
      </c>
      <c r="B12659" t="inlineStr">
        <is>
          <t>Trader</t>
        </is>
      </c>
      <c r="C12659" t="inlineStr">
        <is>
          <t>SGS Germany GmbH, Emstek, DE</t>
        </is>
      </c>
      <c r="D12659" t="inlineStr">
        <is>
          <t>04.11.2026</t>
        </is>
      </c>
      <c r="E12659" t="inlineStr">
        <is>
          <t>United Kingdom</t>
        </is>
      </c>
    </row>
    <row r="12660">
      <c r="A12660" t="inlineStr">
        <is>
          <t>Jiangsu Hextech Material Technology Co.,Ltd,  SUQIAN, China</t>
        </is>
      </c>
      <c r="B12660" t="inlineStr">
        <is>
          <t>Processing Unit</t>
        </is>
      </c>
      <c r="C12660" t="inlineStr">
        <is>
          <t>PT Intertek Utama Services, Jakarta, ID</t>
        </is>
      </c>
      <c r="D12660" t="inlineStr">
        <is>
          <t>04.11.2026</t>
        </is>
      </c>
      <c r="E12660" t="inlineStr">
        <is>
          <t>China</t>
        </is>
      </c>
    </row>
    <row r="12661">
      <c r="A12661" t="inlineStr">
        <is>
          <t>MERT YAĞ ASFALT MADENCİLİK VE LASTİK GERI DÖNÜŞÜM SAN. TİC.LTD.ŞTİ,  BOR-NİĞDE, Turkey</t>
        </is>
      </c>
      <c r="B12661" t="inlineStr">
        <is>
          <t>Collecting Point, Point of Origin, Processing Unit</t>
        </is>
      </c>
      <c r="C12661" t="inlineStr">
        <is>
          <t>PT Intertek Utama Services, Jakarta, ID</t>
        </is>
      </c>
      <c r="D12661" t="inlineStr">
        <is>
          <t>04.11.2026</t>
        </is>
      </c>
      <c r="E12661" t="inlineStr">
        <is>
          <t>Turkey</t>
        </is>
      </c>
    </row>
    <row r="12662">
      <c r="A12662" t="inlineStr">
        <is>
          <t>Dongguan Fangxing Packaging Manufacturing Co.,Ltd,  Shatian town, Dongguan City, China</t>
        </is>
      </c>
      <c r="B12662" t="inlineStr">
        <is>
          <t>Processing Unit</t>
        </is>
      </c>
      <c r="C12662" t="inlineStr">
        <is>
          <t>CTI Certification Co. Ltd, Shenzhen, CN</t>
        </is>
      </c>
      <c r="D12662" t="inlineStr">
        <is>
          <t>04.11.2026</t>
        </is>
      </c>
      <c r="E12662" t="inlineStr">
        <is>
          <t>China</t>
        </is>
      </c>
    </row>
    <row r="12663">
      <c r="A12663" t="inlineStr">
        <is>
          <t>ShenZhen HongYunXing Optical Co., Ltd.,  Shenzhen City, Guangdong Province, China</t>
        </is>
      </c>
      <c r="B12663" t="inlineStr">
        <is>
          <t>Processing Unit</t>
        </is>
      </c>
      <c r="C12663" t="inlineStr">
        <is>
          <t>SCS Global Services, Emeryville, CA, US</t>
        </is>
      </c>
      <c r="D12663" t="inlineStr">
        <is>
          <t>04.11.2026</t>
        </is>
      </c>
      <c r="E12663" t="inlineStr">
        <is>
          <t>China</t>
        </is>
      </c>
    </row>
    <row r="12664">
      <c r="A12664" t="inlineStr">
        <is>
          <t>North Atlantic Energies,  Port Jerome sur Seine, France</t>
        </is>
      </c>
      <c r="B12664" t="inlineStr">
        <is>
          <t>Processing Unit, Warehouse</t>
        </is>
      </c>
      <c r="C12664" t="inlineStr">
        <is>
          <t>Bureau Veritas Polska Sp. z o.o., Warsaw, PL</t>
        </is>
      </c>
      <c r="D12664" t="inlineStr">
        <is>
          <t>04.11.2026</t>
        </is>
      </c>
      <c r="E12664" t="inlineStr">
        <is>
          <t>France</t>
        </is>
      </c>
    </row>
    <row r="12665">
      <c r="A12665" t="inlineStr">
        <is>
          <t>Internacional de Alcoholes S.A.,  Alcazar de San Juan (Ciudad Real), Spain</t>
        </is>
      </c>
      <c r="B12665" t="inlineStr">
        <is>
          <t>Processing Unit, Trader with Storage</t>
        </is>
      </c>
      <c r="C12665" t="inlineStr">
        <is>
          <t>Control Union Poland Sp. z o.o., Zielona Gora, PL</t>
        </is>
      </c>
      <c r="D12665" t="inlineStr">
        <is>
          <t>04.11.2026</t>
        </is>
      </c>
      <c r="E12665" t="inlineStr">
        <is>
          <t>Spain</t>
        </is>
      </c>
    </row>
    <row r="12666">
      <c r="A12666" t="inlineStr">
        <is>
          <t>PT. Musim Mas,  Kabupaten Pelalawan, Propinsi Riau, Indonesia, Indonesia</t>
        </is>
      </c>
      <c r="B12666" t="inlineStr">
        <is>
          <t>Farm / Plantation, Point of Origin, Processing Unit</t>
        </is>
      </c>
      <c r="C12666" t="inlineStr">
        <is>
          <t>Control Union Certifications Germany GmbH, Berlin, DE</t>
        </is>
      </c>
      <c r="D12666" t="inlineStr">
        <is>
          <t>04.11.2026</t>
        </is>
      </c>
      <c r="E12666" t="inlineStr">
        <is>
          <t>Indonesia</t>
        </is>
      </c>
    </row>
    <row r="12667">
      <c r="A12667" t="inlineStr">
        <is>
          <t>North Atlantic Energies,  Port Jerome sur Seine, France</t>
        </is>
      </c>
      <c r="B12667" t="inlineStr">
        <is>
          <t>Processing Unit, Warehouse</t>
        </is>
      </c>
      <c r="C12667" t="inlineStr">
        <is>
          <t>Bureau Veritas Polska Sp. z o.o., Warsaw, PL</t>
        </is>
      </c>
      <c r="D12667" t="inlineStr">
        <is>
          <t>04.11.2026</t>
        </is>
      </c>
      <c r="E12667" t="inlineStr">
        <is>
          <t>France</t>
        </is>
      </c>
    </row>
    <row r="12668">
      <c r="A12668" t="inlineStr">
        <is>
          <t>Acabio Cooperativa Limitada,  Villa Maria (Córdoba), Argentina</t>
        </is>
      </c>
      <c r="B12668" t="inlineStr">
        <is>
          <t>Point of Origin, Trader with Storage, Processing Unit, Collecting Point</t>
        </is>
      </c>
      <c r="C12668" t="inlineStr">
        <is>
          <t>Control Union Poland Sp. z o.o., Zielona Gora, PL</t>
        </is>
      </c>
      <c r="D12668" t="inlineStr">
        <is>
          <t>04.11.2026</t>
        </is>
      </c>
      <c r="E12668" t="inlineStr">
        <is>
          <t>Argentina</t>
        </is>
      </c>
    </row>
    <row r="12669">
      <c r="A12669" t="inlineStr">
        <is>
          <t>AGROSEV, spol. s r.o.,  Dúbravy-Želobudza, Slovakia</t>
        </is>
      </c>
      <c r="B12669" t="inlineStr">
        <is>
          <t>Collecting Point, First Gathering Point, Point of Origin, Processing Unit, Farm / Plantation, Trader with Storage</t>
        </is>
      </c>
      <c r="C12669" t="inlineStr">
        <is>
          <t>United Registrar of Systems Polska Sp. z o.o., Wrocław, PL</t>
        </is>
      </c>
      <c r="D12669" t="inlineStr">
        <is>
          <t>04.11.2026</t>
        </is>
      </c>
      <c r="E12669" t="inlineStr">
        <is>
          <t>Slovakia</t>
        </is>
      </c>
    </row>
    <row r="12670">
      <c r="A12670" t="inlineStr">
        <is>
          <t>North Gower Grains,  North Gower, Canada</t>
        </is>
      </c>
      <c r="B12670" t="inlineStr">
        <is>
          <t>First Gathering Point, Warehouse</t>
        </is>
      </c>
      <c r="C12670" t="inlineStr">
        <is>
          <t>SGS Germany GmbH, Emstek, DE</t>
        </is>
      </c>
      <c r="D12670" t="inlineStr">
        <is>
          <t>04.11.2026</t>
        </is>
      </c>
      <c r="E12670" t="inlineStr">
        <is>
          <t>Canada</t>
        </is>
      </c>
    </row>
    <row r="12671">
      <c r="A12671" t="inlineStr">
        <is>
          <t>Arabian Flexible Packaging LLC,  Al Rashidiya, Umm Ramool, Dubai, United Arab Emirates</t>
        </is>
      </c>
      <c r="B12671" t="inlineStr">
        <is>
          <t>Final Product Refinement, Processing Unit</t>
        </is>
      </c>
      <c r="C12671" t="inlineStr">
        <is>
          <t>Cotecna India Inspection Pvt Ltd, Kolkata, IN</t>
        </is>
      </c>
      <c r="D12671" t="inlineStr">
        <is>
          <t>04.11.2026</t>
        </is>
      </c>
      <c r="E12671" t="inlineStr">
        <is>
          <t>United Arab Emirates</t>
        </is>
      </c>
    </row>
    <row r="12672">
      <c r="A12672" t="inlineStr">
        <is>
          <t>Henan Kaiming Oil &amp; Fat Industry Co., Ltd.,  Industrial Zone of Puyang City, Henan Province, China</t>
        </is>
      </c>
      <c r="B12672" t="inlineStr">
        <is>
          <t>Collecting Point, Trader with Storage</t>
        </is>
      </c>
      <c r="C12672" t="inlineStr">
        <is>
          <t>SCS Global Services, Emeryville, CA, US</t>
        </is>
      </c>
      <c r="D12672" t="inlineStr">
        <is>
          <t>04.11.2026</t>
        </is>
      </c>
      <c r="E12672" t="inlineStr">
        <is>
          <t>China</t>
        </is>
      </c>
    </row>
    <row r="12673">
      <c r="A12673" t="inlineStr">
        <is>
          <t>Josef Bruck GmbH,  Frauenkirchen, Austria</t>
        </is>
      </c>
      <c r="B12673" t="inlineStr">
        <is>
          <t>First Gathering Point, Trader with Storage</t>
        </is>
      </c>
      <c r="C12673" t="inlineStr">
        <is>
          <t>agroVet GmbH, Enzersfeld, AT</t>
        </is>
      </c>
      <c r="D12673" t="inlineStr">
        <is>
          <t>04.11.2026</t>
        </is>
      </c>
      <c r="E12673" t="inlineStr">
        <is>
          <t>Austria</t>
        </is>
      </c>
    </row>
    <row r="12674">
      <c r="A12674" t="inlineStr">
        <is>
          <t>Quadra Italy S.R.L,  Napoli, Italy</t>
        </is>
      </c>
      <c r="B12674" t="inlineStr">
        <is>
          <t>Trader</t>
        </is>
      </c>
      <c r="C12674" t="inlineStr">
        <is>
          <t>Bureau Veritas Polska Sp. z o.o., Warsaw, PL</t>
        </is>
      </c>
      <c r="D12674" t="inlineStr">
        <is>
          <t>04.11.2026</t>
        </is>
      </c>
      <c r="E12674" t="inlineStr">
        <is>
          <t>Italy</t>
        </is>
      </c>
    </row>
    <row r="12675">
      <c r="A12675" t="inlineStr">
        <is>
          <t>Hitachi High-Tech Nexus Corporation,  Tokyo, Japan</t>
        </is>
      </c>
      <c r="B12675" t="inlineStr">
        <is>
          <t>Trader with Storage</t>
        </is>
      </c>
      <c r="C12675" t="inlineStr">
        <is>
          <t>Control Union Certifications Germany GmbH, Berlin, DE</t>
        </is>
      </c>
      <c r="D12675" t="inlineStr">
        <is>
          <t>04.11.2026</t>
        </is>
      </c>
      <c r="E12675" t="inlineStr">
        <is>
          <t>Japan</t>
        </is>
      </c>
    </row>
    <row r="12676">
      <c r="A12676" t="inlineStr">
        <is>
          <t>RECUMENDI S.L.,  Mendigorria, Spain</t>
        </is>
      </c>
      <c r="B12676" t="inlineStr">
        <is>
          <t>Collecting Point</t>
        </is>
      </c>
      <c r="C12676" t="inlineStr">
        <is>
          <t>Control Union Poland Sp. z o.o., Zielona Gora, PL</t>
        </is>
      </c>
      <c r="D12676" t="inlineStr">
        <is>
          <t>04.11.2026</t>
        </is>
      </c>
      <c r="E12676" t="inlineStr">
        <is>
          <t>Spain</t>
        </is>
      </c>
    </row>
    <row r="12677">
      <c r="A12677" t="inlineStr">
        <is>
          <t>Nordfilm Packaging Kft,  Hatvan, Hungary</t>
        </is>
      </c>
      <c r="B12677" t="inlineStr">
        <is>
          <t>Processing Unit</t>
        </is>
      </c>
      <c r="C12677" t="inlineStr">
        <is>
          <t>SGS Germany GmbH, Emstek, DE</t>
        </is>
      </c>
      <c r="D12677" t="inlineStr">
        <is>
          <t>04.11.2026</t>
        </is>
      </c>
      <c r="E12677" t="inlineStr">
        <is>
          <t>Hungary</t>
        </is>
      </c>
    </row>
    <row r="12678">
      <c r="A12678" t="inlineStr">
        <is>
          <t>CIMS Renewables,  Hendrik-Ido-Ambacht, Netherlands</t>
        </is>
      </c>
      <c r="B12678" t="inlineStr">
        <is>
          <t>Collecting Point, Point of Origin</t>
        </is>
      </c>
      <c r="C12678" t="inlineStr">
        <is>
          <t>Control Union Certifications Germany GmbH, Berlin, DE</t>
        </is>
      </c>
      <c r="D12678" t="inlineStr">
        <is>
          <t>04.11.2026</t>
        </is>
      </c>
      <c r="E12678" t="inlineStr">
        <is>
          <t>Netherlands</t>
        </is>
      </c>
    </row>
    <row r="12679">
      <c r="A12679" t="inlineStr">
        <is>
          <t>The One,  Kuwait, Kuwait</t>
        </is>
      </c>
      <c r="B12679" t="inlineStr">
        <is>
          <t>Collecting Point</t>
        </is>
      </c>
      <c r="C12679" t="inlineStr">
        <is>
          <t>Eurocert SA, Metamorfosi, Athens, GR</t>
        </is>
      </c>
      <c r="D12679" t="inlineStr">
        <is>
          <t>04.11.2026</t>
        </is>
      </c>
      <c r="E12679" t="inlineStr">
        <is>
          <t>Kuwait</t>
        </is>
      </c>
    </row>
    <row r="12680">
      <c r="A12680" t="inlineStr">
        <is>
          <t>INEOS Styrolution Mexicana,  Altamira, Tamaulipas, Mexico</t>
        </is>
      </c>
      <c r="B12680" t="inlineStr">
        <is>
          <t>Processing Unit, Trader with Storage</t>
        </is>
      </c>
      <c r="C12680" t="inlineStr">
        <is>
          <t>SCS Global Services, Emeryville, CA, US</t>
        </is>
      </c>
      <c r="D12680" t="inlineStr">
        <is>
          <t>03.11.2026</t>
        </is>
      </c>
      <c r="E12680" t="inlineStr">
        <is>
          <t>Mexico</t>
        </is>
      </c>
    </row>
    <row r="12681">
      <c r="A12681" t="inlineStr">
        <is>
          <t>ELIT GRUP 3 OOD,  Vidin, Bulgaria</t>
        </is>
      </c>
      <c r="B12681" t="inlineStr">
        <is>
          <t>First Gathering Point, Trader with Storage</t>
        </is>
      </c>
      <c r="C12681" t="inlineStr">
        <is>
          <t>Control Union Certifications Germany GmbH, Berlin, DE</t>
        </is>
      </c>
      <c r="D12681" t="inlineStr">
        <is>
          <t>03.11.2026</t>
        </is>
      </c>
      <c r="E12681" t="inlineStr">
        <is>
          <t>Bulgaria</t>
        </is>
      </c>
    </row>
    <row r="12682">
      <c r="A12682" t="inlineStr">
        <is>
          <t>Ningbo Anchi Electrical Appliance Co., LTD.,  Yuyao City, China</t>
        </is>
      </c>
      <c r="B12682" t="inlineStr">
        <is>
          <t>Final Product Refinement</t>
        </is>
      </c>
      <c r="C12682" t="inlineStr">
        <is>
          <t>Extensive Standard Technical Services Co., Ltd., Hong Kong, CN</t>
        </is>
      </c>
      <c r="D12682" t="inlineStr">
        <is>
          <t>03.11.2026</t>
        </is>
      </c>
      <c r="E12682" t="inlineStr">
        <is>
          <t>China</t>
        </is>
      </c>
    </row>
    <row r="12683">
      <c r="A12683" t="inlineStr">
        <is>
          <t>Syarikat Kretam Oil Mill Sdn. Bhd.,  Sandakan, Malaysia</t>
        </is>
      </c>
      <c r="B12683" t="inlineStr">
        <is>
          <t>Point of Origin</t>
        </is>
      </c>
      <c r="C12683" t="inlineStr">
        <is>
          <t>PT Intertek Utama Services, Jakarta, ID</t>
        </is>
      </c>
      <c r="D12683" t="inlineStr">
        <is>
          <t>03.11.2026</t>
        </is>
      </c>
      <c r="E12683" t="inlineStr">
        <is>
          <t>Malaysia</t>
        </is>
      </c>
    </row>
    <row r="12684">
      <c r="A12684" t="inlineStr">
        <is>
          <t>BioGem Express AG,  Zürich, Switzerland</t>
        </is>
      </c>
      <c r="B12684" t="inlineStr">
        <is>
          <t>Trader</t>
        </is>
      </c>
      <c r="C12684" t="inlineStr">
        <is>
          <t>TÜV NORD CERT GmbH, Essen, DE</t>
        </is>
      </c>
      <c r="D12684" t="inlineStr">
        <is>
          <t>03.11.2026</t>
        </is>
      </c>
      <c r="E12684" t="inlineStr">
        <is>
          <t>Switzerland</t>
        </is>
      </c>
    </row>
    <row r="12685">
      <c r="A12685" t="inlineStr">
        <is>
          <t>Circulaire Onderneming van Duurzame en Innovatieve Ideeën,  Brecht, Belgium</t>
        </is>
      </c>
      <c r="B12685" t="inlineStr">
        <is>
          <t>Trader</t>
        </is>
      </c>
      <c r="C12685" t="inlineStr">
        <is>
          <t>Normec QS BV, Bennekom, NL</t>
        </is>
      </c>
      <c r="D12685" t="inlineStr">
        <is>
          <t>03.11.2026</t>
        </is>
      </c>
      <c r="E12685" t="inlineStr">
        <is>
          <t>Belgium</t>
        </is>
      </c>
    </row>
    <row r="12686">
      <c r="A12686" t="inlineStr">
        <is>
          <t>Fuji Fiber Glass CO,  Mooka-shi, Tochigi, Japan</t>
        </is>
      </c>
      <c r="B12686" t="inlineStr">
        <is>
          <t>Processing Unit</t>
        </is>
      </c>
      <c r="C12686" t="inlineStr">
        <is>
          <t>Bureau Veritas Polska Sp. z o.o., Warsaw, PL</t>
        </is>
      </c>
      <c r="D12686" t="inlineStr">
        <is>
          <t>03.11.2026</t>
        </is>
      </c>
      <c r="E12686" t="inlineStr">
        <is>
          <t>Japan</t>
        </is>
      </c>
    </row>
    <row r="12687">
      <c r="A12687" t="inlineStr">
        <is>
          <t>PT. SELAMANYA INC INDONESIA,  Kota Medan, Indonesia</t>
        </is>
      </c>
      <c r="B12687" t="inlineStr">
        <is>
          <t>Trader</t>
        </is>
      </c>
      <c r="C12687" t="inlineStr">
        <is>
          <t>RINA Services S.p.A., Genova, IT</t>
        </is>
      </c>
      <c r="D12687" t="inlineStr">
        <is>
          <t>03.11.2026</t>
        </is>
      </c>
      <c r="E12687" t="inlineStr">
        <is>
          <t>Indonesia</t>
        </is>
      </c>
    </row>
    <row r="12688">
      <c r="A12688" t="inlineStr">
        <is>
          <t>Kwan On Chemical Enterprise CO., Ltd.,  Macau, Macau, China</t>
        </is>
      </c>
      <c r="B12688" t="inlineStr">
        <is>
          <t>Collecting Point, Trader</t>
        </is>
      </c>
      <c r="C12688" t="inlineStr">
        <is>
          <t>SCS Global Services, Emeryville, CA, US</t>
        </is>
      </c>
      <c r="D12688" t="inlineStr">
        <is>
          <t>03.11.2026</t>
        </is>
      </c>
      <c r="E12688" t="inlineStr">
        <is>
          <t>China</t>
        </is>
      </c>
    </row>
    <row r="12689">
      <c r="A12689" t="inlineStr">
        <is>
          <t>Hankook Tire &amp; Technology Co., Ltd.,  Bundang-gu, Seongnam-si, Gyeonggi-do, Korea, Republic of</t>
        </is>
      </c>
      <c r="B12689" t="inlineStr">
        <is>
          <t>Trader with Storage</t>
        </is>
      </c>
      <c r="C12689" t="inlineStr">
        <is>
          <t>Control Union Certifications Germany GmbH, Berlin, DE</t>
        </is>
      </c>
      <c r="D12689" t="inlineStr">
        <is>
          <t>03.11.2026</t>
        </is>
      </c>
      <c r="E12689" t="inlineStr">
        <is>
          <t>Republic of</t>
        </is>
      </c>
    </row>
    <row r="12690">
      <c r="A12690" t="inlineStr">
        <is>
          <t>SURENESS PETROCHEMICAL PTE. LTD.,  Panyu District, Guangzhou City,, China</t>
        </is>
      </c>
      <c r="B12690" t="inlineStr">
        <is>
          <t>Trader with Storage</t>
        </is>
      </c>
      <c r="C12690" t="inlineStr">
        <is>
          <t>China Standard Conformity Assessment Co. Ltd, Beijing, CN</t>
        </is>
      </c>
      <c r="D12690" t="inlineStr">
        <is>
          <t>03.11.2026</t>
        </is>
      </c>
      <c r="E12690" t="inlineStr">
        <is>
          <t>China</t>
        </is>
      </c>
    </row>
    <row r="12691">
      <c r="A12691" t="inlineStr">
        <is>
          <t>EPL Limited,  KUBADTHAL, AHMEDABAD,, India</t>
        </is>
      </c>
      <c r="B12691" t="inlineStr">
        <is>
          <t>Processing Unit</t>
        </is>
      </c>
      <c r="C12691" t="inlineStr">
        <is>
          <t>Alcumus ISOQAR Ltd, Stretford, Manchester, GB</t>
        </is>
      </c>
      <c r="D12691" t="inlineStr">
        <is>
          <t>03.11.2026</t>
        </is>
      </c>
      <c r="E12691" t="inlineStr">
        <is>
          <t>India</t>
        </is>
      </c>
    </row>
    <row r="12692">
      <c r="A12692" t="inlineStr">
        <is>
          <t>PT Musim Mas,  Kabupaten Pelalawan, Propinsi Riau, Indonesia, Indonesia</t>
        </is>
      </c>
      <c r="B12692" t="inlineStr">
        <is>
          <t>Farm / Plantation, Point of Origin, Processing Unit</t>
        </is>
      </c>
      <c r="C12692" t="inlineStr">
        <is>
          <t>Control Union Certifications Germany GmbH, Berlin, DE</t>
        </is>
      </c>
      <c r="D12692" t="inlineStr">
        <is>
          <t>03.11.2026</t>
        </is>
      </c>
      <c r="E12692" t="inlineStr">
        <is>
          <t>Indonesia</t>
        </is>
      </c>
    </row>
    <row r="12693">
      <c r="A12693" t="inlineStr">
        <is>
          <t>OIL REDUCT S.R.L,  Baia Mare, Romania</t>
        </is>
      </c>
      <c r="B12693" t="inlineStr">
        <is>
          <t>Collecting Point</t>
        </is>
      </c>
      <c r="C12693" t="inlineStr">
        <is>
          <t>SGS Germany GmbH, Emstek, DE</t>
        </is>
      </c>
      <c r="D12693" t="inlineStr">
        <is>
          <t>03.11.2026</t>
        </is>
      </c>
      <c r="E12693" t="inlineStr">
        <is>
          <t>Romania</t>
        </is>
      </c>
    </row>
    <row r="12694">
      <c r="A12694" t="inlineStr">
        <is>
          <t>Nu Film, Foil and Paper Limited,  Coventry, The United Kingdom</t>
        </is>
      </c>
      <c r="B12694" t="inlineStr">
        <is>
          <t>Trader</t>
        </is>
      </c>
      <c r="C12694" t="inlineStr">
        <is>
          <t>SGS Germany GmbH, Emstek, DE</t>
        </is>
      </c>
      <c r="D12694" t="inlineStr">
        <is>
          <t>03.11.2026</t>
        </is>
      </c>
      <c r="E12694" t="inlineStr">
        <is>
          <t>The United Kingdom</t>
        </is>
      </c>
    </row>
    <row r="12695">
      <c r="A12695" t="inlineStr">
        <is>
          <t>OG corporation co.,ltd,  Yodogawa ward, Osaka, Japan</t>
        </is>
      </c>
      <c r="B12695" t="inlineStr">
        <is>
          <t>Trader</t>
        </is>
      </c>
      <c r="C12695" t="inlineStr">
        <is>
          <t>SGS Germany GmbH, Emstek, DE</t>
        </is>
      </c>
      <c r="D12695" t="inlineStr">
        <is>
          <t>03.11.2026</t>
        </is>
      </c>
      <c r="E12695" t="inlineStr">
        <is>
          <t>Japan</t>
        </is>
      </c>
    </row>
    <row r="12696">
      <c r="A12696" t="inlineStr">
        <is>
          <t>Kolmar Group AG,  Zug, Switzerland</t>
        </is>
      </c>
      <c r="B12696" t="inlineStr">
        <is>
          <t>Trader with Storage</t>
        </is>
      </c>
      <c r="C12696" t="inlineStr">
        <is>
          <t>SGS Germany GmbH, Emstek, DE</t>
        </is>
      </c>
      <c r="D12696" t="inlineStr">
        <is>
          <t>03.11.2026</t>
        </is>
      </c>
      <c r="E12696" t="inlineStr">
        <is>
          <t>Switzerland</t>
        </is>
      </c>
    </row>
    <row r="12697">
      <c r="A12697" t="inlineStr">
        <is>
          <t>Valenz Corporation,  Houston, United States</t>
        </is>
      </c>
      <c r="B12697" t="inlineStr">
        <is>
          <t>Trader with Storage</t>
        </is>
      </c>
      <c r="C12697" t="inlineStr">
        <is>
          <t>SGS Germany GmbH, Emstek, DE</t>
        </is>
      </c>
      <c r="D12697" t="inlineStr">
        <is>
          <t>03.11.2026</t>
        </is>
      </c>
      <c r="E12697" t="inlineStr">
        <is>
          <t>United States</t>
        </is>
      </c>
    </row>
    <row r="12698">
      <c r="A12698" t="inlineStr">
        <is>
          <t>Valenz Corporation,  Houston, United States</t>
        </is>
      </c>
      <c r="B12698" t="inlineStr">
        <is>
          <t>Trader with Storage</t>
        </is>
      </c>
      <c r="C12698" t="inlineStr">
        <is>
          <t>SGS Germany GmbH, Emstek, DE</t>
        </is>
      </c>
      <c r="D12698" t="inlineStr">
        <is>
          <t>03.11.2026</t>
        </is>
      </c>
      <c r="E12698" t="inlineStr">
        <is>
          <t>United States</t>
        </is>
      </c>
    </row>
    <row r="12699">
      <c r="A12699" t="inlineStr">
        <is>
          <t>Rompetrol Downstream,  Bucharest, Romania</t>
        </is>
      </c>
      <c r="B12699" t="inlineStr">
        <is>
          <t>Trader with Storage</t>
        </is>
      </c>
      <c r="C12699" t="inlineStr">
        <is>
          <t>Control Union Certifications Germany GmbH, Berlin, DE</t>
        </is>
      </c>
      <c r="D12699" t="inlineStr">
        <is>
          <t>03.11.2026</t>
        </is>
      </c>
      <c r="E12699" t="inlineStr">
        <is>
          <t>Romania</t>
        </is>
      </c>
    </row>
    <row r="12700">
      <c r="A12700" t="inlineStr">
        <is>
          <t>SCIENTEX TSUKASA STRAPPING SDN BHD,  MELAKA TENGAH, Malaysia</t>
        </is>
      </c>
      <c r="B12700" t="inlineStr">
        <is>
          <t>Processing Unit</t>
        </is>
      </c>
      <c r="C12700" t="inlineStr">
        <is>
          <t>SGS Germany GmbH, Emstek, DE</t>
        </is>
      </c>
      <c r="D12700" t="inlineStr">
        <is>
          <t>03.11.2026</t>
        </is>
      </c>
      <c r="E12700" t="inlineStr">
        <is>
          <t>Malaysia</t>
        </is>
      </c>
    </row>
    <row r="12701">
      <c r="A12701" t="inlineStr">
        <is>
          <t>Viscofan de Mexico,  San Luis Potosí, Parque Industrial Millennium, Mexico</t>
        </is>
      </c>
      <c r="B12701" t="inlineStr">
        <is>
          <t>Processing Unit, Trader with Storage, Final Product Refinement</t>
        </is>
      </c>
      <c r="C12701" t="inlineStr">
        <is>
          <t>SCS Global Services, Emeryville, CA, US</t>
        </is>
      </c>
      <c r="D12701" t="inlineStr">
        <is>
          <t>03.11.2026</t>
        </is>
      </c>
      <c r="E12701" t="inlineStr">
        <is>
          <t>Mexico</t>
        </is>
      </c>
    </row>
    <row r="12702">
      <c r="A12702" t="inlineStr">
        <is>
          <t>SL Energy Co.,Ltd.,  Yeosu-si, Jeollanam-do, South Korea</t>
        </is>
      </c>
      <c r="B12702" t="inlineStr">
        <is>
          <t>Trader with Storage</t>
        </is>
      </c>
      <c r="C12702" t="inlineStr">
        <is>
          <t>Control Union Certifications Germany GmbH, Berlin, DE</t>
        </is>
      </c>
      <c r="D12702" t="inlineStr">
        <is>
          <t>03.11.2026</t>
        </is>
      </c>
      <c r="E12702" t="inlineStr">
        <is>
          <t>South Korea</t>
        </is>
      </c>
    </row>
    <row r="12703">
      <c r="A12703" t="inlineStr">
        <is>
          <t>SIDERAY INVESTMENTS LIMITED,  Vinnytsia, Ukraine</t>
        </is>
      </c>
      <c r="B12703" t="inlineStr">
        <is>
          <t>First Gathering Point, Trader</t>
        </is>
      </c>
      <c r="C12703" t="inlineStr">
        <is>
          <t>United Registrar of Systems Polska Sp. z o.o., Wrocław, PL</t>
        </is>
      </c>
      <c r="D12703" t="inlineStr">
        <is>
          <t>03.11.2026</t>
        </is>
      </c>
      <c r="E12703" t="inlineStr">
        <is>
          <t>Ukraine</t>
        </is>
      </c>
    </row>
    <row r="12704">
      <c r="A12704" t="inlineStr">
        <is>
          <t>Vissergas B.V.,  Wijckel, Netherlands</t>
        </is>
      </c>
      <c r="B12704" t="inlineStr">
        <is>
          <t>Collecting Point, Processing Unit</t>
        </is>
      </c>
      <c r="C12704" t="inlineStr">
        <is>
          <t>DEKRA Certification B.V., Arnhem, NL</t>
        </is>
      </c>
      <c r="D12704" t="inlineStr">
        <is>
          <t>03.11.2026</t>
        </is>
      </c>
      <c r="E12704" t="inlineStr">
        <is>
          <t>Netherlands</t>
        </is>
      </c>
    </row>
    <row r="12705">
      <c r="A12705" t="inlineStr">
        <is>
          <t>Sennics Co., Ltd.,  Pudong New Area, Shanghai, China</t>
        </is>
      </c>
      <c r="B12705" t="inlineStr">
        <is>
          <t>Trader</t>
        </is>
      </c>
      <c r="C12705" t="inlineStr">
        <is>
          <t>SGS Germany GmbH, Emstek, DE</t>
        </is>
      </c>
      <c r="D12705" t="inlineStr">
        <is>
          <t>03.11.2026</t>
        </is>
      </c>
      <c r="E12705" t="inlineStr">
        <is>
          <t>China</t>
        </is>
      </c>
    </row>
    <row r="12706">
      <c r="A12706" t="inlineStr">
        <is>
          <t>Seda UK,  Blackwood, United Kingdom</t>
        </is>
      </c>
      <c r="B12706" t="inlineStr">
        <is>
          <t>Processing Unit</t>
        </is>
      </c>
      <c r="C12706" t="inlineStr">
        <is>
          <t>SGS Germany GmbH, Emstek, DE</t>
        </is>
      </c>
      <c r="D12706" t="inlineStr">
        <is>
          <t>03.11.2026</t>
        </is>
      </c>
      <c r="E12706" t="inlineStr">
        <is>
          <t>United Kingdom</t>
        </is>
      </c>
    </row>
    <row r="12707">
      <c r="A12707" t="inlineStr">
        <is>
          <t>La Alcoholera de la Rioja, Ebro y Duero,  Cenicero, Spain</t>
        </is>
      </c>
      <c r="B12707" t="inlineStr">
        <is>
          <t>Collecting Point, Processing Unit</t>
        </is>
      </c>
      <c r="C12707" t="inlineStr">
        <is>
          <t>Certificadora Gallega del Noroeste SL, Vilagarcia de Arousa-Pontevedra, ES</t>
        </is>
      </c>
      <c r="D12707" t="inlineStr">
        <is>
          <t>03.11.2026</t>
        </is>
      </c>
      <c r="E12707" t="inlineStr">
        <is>
          <t>Spain</t>
        </is>
      </c>
    </row>
    <row r="12708">
      <c r="A12708" t="inlineStr">
        <is>
          <t>Autoform i Malung,  Malung, Sweden</t>
        </is>
      </c>
      <c r="B12708" t="inlineStr">
        <is>
          <t>Processing Unit</t>
        </is>
      </c>
      <c r="C12708" t="inlineStr">
        <is>
          <t>DNV Business Assurance Sweden AB, Solna, SE</t>
        </is>
      </c>
      <c r="D12708" t="inlineStr">
        <is>
          <t>03.11.2026</t>
        </is>
      </c>
      <c r="E12708" t="inlineStr">
        <is>
          <t>Sweden</t>
        </is>
      </c>
    </row>
    <row r="12709">
      <c r="A12709" t="inlineStr">
        <is>
          <t>Kraus Folie spółka z ograniczoną odpowiedzialnością,  Kalisz, Poland</t>
        </is>
      </c>
      <c r="B12709" t="inlineStr">
        <is>
          <t>Processing Unit</t>
        </is>
      </c>
      <c r="C12709" t="inlineStr">
        <is>
          <t>Bureau Veritas Polska Sp. z o.o., Warsaw, PL</t>
        </is>
      </c>
      <c r="D12709" t="inlineStr">
        <is>
          <t>03.11.2026</t>
        </is>
      </c>
      <c r="E12709" t="inlineStr">
        <is>
          <t>Poland</t>
        </is>
      </c>
    </row>
    <row r="12710">
      <c r="A12710" t="inlineStr">
        <is>
          <t>HONG KONG T.T.C. CO., LTD.,  KOWLOON BAY, KOWLOON, HONG KONG., Hong Kong, SAR, China</t>
        </is>
      </c>
      <c r="B12710" t="inlineStr">
        <is>
          <t>Trader</t>
        </is>
      </c>
      <c r="C12710" t="inlineStr">
        <is>
          <t>DIN CERTCO GmbH, Berlin, DE</t>
        </is>
      </c>
      <c r="D12710" t="inlineStr">
        <is>
          <t>03.11.2026</t>
        </is>
      </c>
      <c r="E12710" t="inlineStr">
        <is>
          <t>China</t>
        </is>
      </c>
    </row>
    <row r="12711">
      <c r="A12711" t="inlineStr">
        <is>
          <t>SUQIAN GETTEL PLASTICINDUSTRY CO., LTD,  Suqian, China</t>
        </is>
      </c>
      <c r="B12711" t="inlineStr">
        <is>
          <t>Processing Unit</t>
        </is>
      </c>
      <c r="C12711" t="inlineStr">
        <is>
          <t>SGS Germany GmbH, Emstek, DE</t>
        </is>
      </c>
      <c r="D12711" t="inlineStr">
        <is>
          <t>03.11.2026</t>
        </is>
      </c>
      <c r="E12711" t="inlineStr">
        <is>
          <t>China</t>
        </is>
      </c>
    </row>
    <row r="12712">
      <c r="A12712" t="inlineStr">
        <is>
          <t>Kanadevia Inova Biogas St Boswells,  St Boswells, United Kingdom</t>
        </is>
      </c>
      <c r="B12712" t="inlineStr">
        <is>
          <t>First Gathering Point, Processing Unit</t>
        </is>
      </c>
      <c r="C12712" t="inlineStr">
        <is>
          <t>Double Helix Tracking Technologies Pte Ltd, Singapore, SG</t>
        </is>
      </c>
      <c r="D12712" t="inlineStr">
        <is>
          <t>03.11.2026</t>
        </is>
      </c>
      <c r="E12712" t="inlineStr">
        <is>
          <t>United Kingdom</t>
        </is>
      </c>
    </row>
    <row r="12713">
      <c r="A12713" t="inlineStr">
        <is>
          <t>PT. SAMUDERA KENCANA MAS,  SUMATERA SELATAN, Indonesia</t>
        </is>
      </c>
      <c r="B12713" t="inlineStr">
        <is>
          <t>Point of Origin</t>
        </is>
      </c>
      <c r="C12713" t="inlineStr">
        <is>
          <t>PT. Qualitas Sertifikasi Indonesia, Jakarta, ID</t>
        </is>
      </c>
      <c r="D12713" t="inlineStr">
        <is>
          <t>03.11.2026</t>
        </is>
      </c>
      <c r="E12713" t="inlineStr">
        <is>
          <t>Indonesia</t>
        </is>
      </c>
    </row>
    <row r="12714">
      <c r="A12714" t="inlineStr">
        <is>
          <t>Biofuel Express Austria,  Vienna, Austria</t>
        </is>
      </c>
      <c r="B12714" t="inlineStr">
        <is>
          <t>Proof of Compliance Trader, Trader with Storage</t>
        </is>
      </c>
      <c r="C12714" t="inlineStr">
        <is>
          <t>agroVet GmbH, Enzersfeld, AT</t>
        </is>
      </c>
      <c r="D12714" t="inlineStr">
        <is>
          <t>03.11.2026</t>
        </is>
      </c>
      <c r="E12714" t="inlineStr">
        <is>
          <t>Austria</t>
        </is>
      </c>
    </row>
    <row r="12715">
      <c r="A12715" t="inlineStr">
        <is>
          <t>C m c, spol. s r.o.,  Detva, Slovakia</t>
        </is>
      </c>
      <c r="B12715" t="inlineStr">
        <is>
          <t>Collecting Point, First Gathering Point, Processing Unit, Trader with Storage</t>
        </is>
      </c>
      <c r="C12715" t="inlineStr">
        <is>
          <t>United Registrar of Systems Polska Sp. z o.o., Wrocław, PL</t>
        </is>
      </c>
      <c r="D12715" t="inlineStr">
        <is>
          <t>03.11.2026</t>
        </is>
      </c>
      <c r="E12715" t="inlineStr">
        <is>
          <t>Slovakia</t>
        </is>
      </c>
    </row>
    <row r="12716">
      <c r="A12716" t="inlineStr">
        <is>
          <t>PEHA agro s.r.o,  Zlin, Czech Republic</t>
        </is>
      </c>
      <c r="B12716" t="inlineStr">
        <is>
          <t>First Gathering Point, Trader</t>
        </is>
      </c>
      <c r="C12716" t="inlineStr">
        <is>
          <t>United Registrar of Systems Polska Sp. z o.o., Wrocław, PL</t>
        </is>
      </c>
      <c r="D12716" t="inlineStr">
        <is>
          <t>03.11.2026</t>
        </is>
      </c>
      <c r="E12716" t="inlineStr">
        <is>
          <t>Czech Republic</t>
        </is>
      </c>
    </row>
    <row r="12717">
      <c r="A12717" t="inlineStr">
        <is>
          <t>TBG Tanklager BetriebsgmbH,  Salzburg, Austria</t>
        </is>
      </c>
      <c r="B12717" t="inlineStr">
        <is>
          <t>Warehouse</t>
        </is>
      </c>
      <c r="C12717" t="inlineStr">
        <is>
          <t>agroVet GmbH, Enzersfeld, AT</t>
        </is>
      </c>
      <c r="D12717" t="inlineStr">
        <is>
          <t>03.11.2026</t>
        </is>
      </c>
      <c r="E12717" t="inlineStr">
        <is>
          <t>Austria</t>
        </is>
      </c>
    </row>
    <row r="12718">
      <c r="A12718" t="inlineStr">
        <is>
          <t>Hainan Xintai Oil and Gas Co., Ltd.,  Hainan Province, China</t>
        </is>
      </c>
      <c r="B12718" t="inlineStr">
        <is>
          <t>Trader</t>
        </is>
      </c>
      <c r="C12718" t="inlineStr">
        <is>
          <t>RINA Services S.p.A., Genova, IT</t>
        </is>
      </c>
      <c r="D12718" t="inlineStr">
        <is>
          <t>03.11.2026</t>
        </is>
      </c>
      <c r="E12718" t="inlineStr">
        <is>
          <t>China</t>
        </is>
      </c>
    </row>
    <row r="12719">
      <c r="A12719" t="inlineStr">
        <is>
          <t>PT KHAZANAH UCO INDONESIA,  Purwokerto, Indonesia</t>
        </is>
      </c>
      <c r="B12719" t="inlineStr">
        <is>
          <t>Collecting Point, Trader with Storage</t>
        </is>
      </c>
      <c r="C12719" t="inlineStr">
        <is>
          <t>PT. Qualitas Sertifikasi Indonesia, Jakarta, ID</t>
        </is>
      </c>
      <c r="D12719" t="inlineStr">
        <is>
          <t>03.11.2026</t>
        </is>
      </c>
      <c r="E12719" t="inlineStr">
        <is>
          <t>Indonesia</t>
        </is>
      </c>
    </row>
    <row r="12720">
      <c r="A12720" t="inlineStr">
        <is>
          <t>Helgeland Plast AS,  Mo i Rana, Norway</t>
        </is>
      </c>
      <c r="B12720" t="inlineStr">
        <is>
          <t>Processing Unit</t>
        </is>
      </c>
      <c r="C12720" t="inlineStr">
        <is>
          <t>DNV Business Assurance Sweden AB, Solna, SE</t>
        </is>
      </c>
      <c r="D12720" t="inlineStr">
        <is>
          <t>03.11.2026</t>
        </is>
      </c>
      <c r="E12720" t="inlineStr">
        <is>
          <t>Norway</t>
        </is>
      </c>
    </row>
    <row r="12721">
      <c r="A12721" t="inlineStr">
        <is>
          <t>Zetaflex s.r.l.,  Verona, Italy</t>
        </is>
      </c>
      <c r="B12721" t="inlineStr">
        <is>
          <t>Final Product Refinement</t>
        </is>
      </c>
      <c r="C12721" t="inlineStr">
        <is>
          <t>Bureau Veritas Polska Sp. z o.o., Warsaw, PL</t>
        </is>
      </c>
      <c r="D12721" t="inlineStr">
        <is>
          <t>02.11.2026</t>
        </is>
      </c>
      <c r="E12721" t="inlineStr">
        <is>
          <t>Italy</t>
        </is>
      </c>
    </row>
    <row r="12722">
      <c r="A12722" t="inlineStr">
        <is>
          <t>Avery Dennison Materials Europe BV,  Rodange, Luxembourg</t>
        </is>
      </c>
      <c r="B12722" t="inlineStr">
        <is>
          <t>Final Product Refinement, Processing Unit</t>
        </is>
      </c>
      <c r="C12722" t="inlineStr">
        <is>
          <t>Bureau Veritas Polska Sp. z o.o., Warsaw, PL</t>
        </is>
      </c>
      <c r="D12722" t="inlineStr">
        <is>
          <t>02.11.2026</t>
        </is>
      </c>
      <c r="E12722" t="inlineStr">
        <is>
          <t>Luxembourg</t>
        </is>
      </c>
    </row>
    <row r="12723">
      <c r="A12723" t="inlineStr">
        <is>
          <t>Naturbiogas Tværmose,  Tværmose, Denmark</t>
        </is>
      </c>
      <c r="B12723" t="inlineStr">
        <is>
          <t>Collecting Point, First Gathering Point, Processing Unit</t>
        </is>
      </c>
      <c r="C12723" t="inlineStr">
        <is>
          <t>Baltic Control Certification, Risskov, DK</t>
        </is>
      </c>
      <c r="D12723" t="inlineStr">
        <is>
          <t>02.11.2026</t>
        </is>
      </c>
      <c r="E12723" t="inlineStr">
        <is>
          <t>Denmark</t>
        </is>
      </c>
    </row>
    <row r="12724">
      <c r="A12724" t="inlineStr">
        <is>
          <t>JAIN IRRIGATION SYSTEMS LIMITED,  JALGAON, India</t>
        </is>
      </c>
      <c r="B12724" t="inlineStr">
        <is>
          <t>Collecting Point, First Gathering Point</t>
        </is>
      </c>
      <c r="C12724" t="inlineStr">
        <is>
          <t>ISOQAR Ltd, Stretford, Manchester, GB</t>
        </is>
      </c>
      <c r="D12724" t="inlineStr">
        <is>
          <t>02.11.2026</t>
        </is>
      </c>
      <c r="E12724" t="inlineStr">
        <is>
          <t>India</t>
        </is>
      </c>
    </row>
    <row r="12725">
      <c r="A12725" t="inlineStr">
        <is>
          <t>Razzo,  São Paulo, Brazil</t>
        </is>
      </c>
      <c r="B12725" t="inlineStr">
        <is>
          <t>Collecting Point, Processing Unit</t>
        </is>
      </c>
      <c r="C12725" t="inlineStr">
        <is>
          <t>QIMA, Centro, Botucatu - SP, CEP, BR</t>
        </is>
      </c>
      <c r="D12725" t="inlineStr">
        <is>
          <t>02.11.2026</t>
        </is>
      </c>
      <c r="E12725" t="inlineStr">
        <is>
          <t>Brazil</t>
        </is>
      </c>
    </row>
    <row r="12726">
      <c r="A12726" t="inlineStr">
        <is>
          <t>Pretoria Energy (Mepal) Ltd,  Ely, United Kingdom</t>
        </is>
      </c>
      <c r="B12726" t="inlineStr">
        <is>
          <t>Collecting Point, First Gathering Point, Processing Unit</t>
        </is>
      </c>
      <c r="C12726" t="inlineStr">
        <is>
          <t>Aardvark Certification Ltd, Wiveliscombe, Somerset, GB</t>
        </is>
      </c>
      <c r="D12726" t="inlineStr">
        <is>
          <t>02.11.2026</t>
        </is>
      </c>
      <c r="E12726" t="inlineStr">
        <is>
          <t>United Kingdom</t>
        </is>
      </c>
    </row>
    <row r="12727">
      <c r="A12727" t="inlineStr">
        <is>
          <t>JBF BAHRAIN W.L.L,  Hidd, Bahrain</t>
        </is>
      </c>
      <c r="B12727" t="inlineStr">
        <is>
          <t>Processing Unit</t>
        </is>
      </c>
      <c r="C12727" t="inlineStr">
        <is>
          <t>Alcumus ISOQAR Ltd, Stretford, Manchester, GB</t>
        </is>
      </c>
      <c r="D12727" t="inlineStr">
        <is>
          <t>02.11.2026</t>
        </is>
      </c>
      <c r="E12727" t="inlineStr">
        <is>
          <t>Bahrain</t>
        </is>
      </c>
    </row>
    <row r="12728">
      <c r="A12728" t="inlineStr">
        <is>
          <t>Metsä Fibre Oy,  Espoo, Finland</t>
        </is>
      </c>
      <c r="B12728" t="inlineStr">
        <is>
          <t>Central Office (Group of Point of Origin), Trader</t>
        </is>
      </c>
      <c r="C12728" t="inlineStr">
        <is>
          <t>DNV Business Assurance Sweden AB, Solna, SE</t>
        </is>
      </c>
      <c r="D12728" t="inlineStr">
        <is>
          <t>02.11.2026</t>
        </is>
      </c>
      <c r="E12728" t="inlineStr">
        <is>
          <t>Finland</t>
        </is>
      </c>
    </row>
    <row r="12729">
      <c r="A12729" t="inlineStr">
        <is>
          <t>Nynas AB,  Antwerp, Belgium</t>
        </is>
      </c>
      <c r="B12729" t="inlineStr">
        <is>
          <t>Trader with Storage</t>
        </is>
      </c>
      <c r="C12729" t="inlineStr">
        <is>
          <t>DNV Business Assurance Sweden AB, Solna, SE</t>
        </is>
      </c>
      <c r="D12729" t="inlineStr">
        <is>
          <t>02.11.2026</t>
        </is>
      </c>
      <c r="E12729" t="inlineStr">
        <is>
          <t>Belgium</t>
        </is>
      </c>
    </row>
    <row r="12730">
      <c r="A12730" t="inlineStr">
        <is>
          <t>Metsä Fibre Oy,  Espoo, Finland</t>
        </is>
      </c>
      <c r="B12730" t="inlineStr">
        <is>
          <t>Central Office (Group of Point of Origin), Trader</t>
        </is>
      </c>
      <c r="C12730" t="inlineStr">
        <is>
          <t>DNV Business Assurance Sweden AB, Solna, SE</t>
        </is>
      </c>
      <c r="D12730" t="inlineStr">
        <is>
          <t>02.11.2026</t>
        </is>
      </c>
      <c r="E12730" t="inlineStr">
        <is>
          <t>Finland</t>
        </is>
      </c>
    </row>
    <row r="12731">
      <c r="A12731" t="inlineStr">
        <is>
          <t>INEOS Manufacturing Italia S.p.A,  Rosignano Solvay, Italy</t>
        </is>
      </c>
      <c r="B12731" t="inlineStr">
        <is>
          <t>Processing Unit</t>
        </is>
      </c>
      <c r="C12731" t="inlineStr">
        <is>
          <t>SCS Global Services, Emeryville, CA, US</t>
        </is>
      </c>
      <c r="D12731" t="inlineStr">
        <is>
          <t>02.11.2026</t>
        </is>
      </c>
      <c r="E12731" t="inlineStr">
        <is>
          <t>Italy</t>
        </is>
      </c>
    </row>
    <row r="12732">
      <c r="A12732" t="inlineStr">
        <is>
          <t>Dunagabona Kft.,  Budapest, Hungary</t>
        </is>
      </c>
      <c r="B12732" t="inlineStr">
        <is>
          <t>First Gathering Point, Trader with Storage</t>
        </is>
      </c>
      <c r="C12732" t="inlineStr">
        <is>
          <t>BM Certification, Riga, LV</t>
        </is>
      </c>
      <c r="D12732" t="inlineStr">
        <is>
          <t>02.11.2026</t>
        </is>
      </c>
      <c r="E12732" t="inlineStr">
        <is>
          <t>Hungary</t>
        </is>
      </c>
    </row>
    <row r="12733">
      <c r="A12733" t="inlineStr">
        <is>
          <t>Vink Kunststoffen B.V.,  Didam, Netherlands</t>
        </is>
      </c>
      <c r="B12733" t="inlineStr">
        <is>
          <t>Point of Origin, Collecting Point, Final Product Refinement, Trader with Storage</t>
        </is>
      </c>
      <c r="C12733" t="inlineStr">
        <is>
          <t>DEKRA Certification B.V., Arnhem, NL</t>
        </is>
      </c>
      <c r="D12733" t="inlineStr">
        <is>
          <t>02.11.2026</t>
        </is>
      </c>
      <c r="E12733" t="inlineStr">
        <is>
          <t>Netherlands</t>
        </is>
      </c>
    </row>
    <row r="12734">
      <c r="A12734" t="inlineStr">
        <is>
          <t>Di.Ri.Plast,  Trissino, Italy</t>
        </is>
      </c>
      <c r="B12734" t="inlineStr">
        <is>
          <t>Processing Unit</t>
        </is>
      </c>
      <c r="C12734" t="inlineStr">
        <is>
          <t>SGS Germany GmbH, Emstek, DE</t>
        </is>
      </c>
      <c r="D12734" t="inlineStr">
        <is>
          <t>02.11.2026</t>
        </is>
      </c>
      <c r="E12734" t="inlineStr">
        <is>
          <t>Italy</t>
        </is>
      </c>
    </row>
    <row r="12735">
      <c r="A12735" t="inlineStr">
        <is>
          <t>TCE AGRICULTURA SRL,  Roznov, jud Neamt, Romania</t>
        </is>
      </c>
      <c r="B12735" t="inlineStr">
        <is>
          <t>First Gathering Point</t>
        </is>
      </c>
      <c r="C12735" t="inlineStr">
        <is>
          <t>SGS Germany GmbH, Emstek, DE</t>
        </is>
      </c>
      <c r="D12735" t="inlineStr">
        <is>
          <t>02.11.2026</t>
        </is>
      </c>
      <c r="E12735" t="inlineStr">
        <is>
          <t>Romania</t>
        </is>
      </c>
    </row>
    <row r="12736">
      <c r="A12736" t="inlineStr">
        <is>
          <t>Cerie International Ltd.,  Kwai Chung, N.T., Hong Kong, China</t>
        </is>
      </c>
      <c r="B12736" t="inlineStr">
        <is>
          <t>Trader</t>
        </is>
      </c>
      <c r="C12736" t="inlineStr">
        <is>
          <t>SGS Germany GmbH, Emstek, DE</t>
        </is>
      </c>
      <c r="D12736" t="inlineStr">
        <is>
          <t>02.11.2026</t>
        </is>
      </c>
      <c r="E12736" t="inlineStr">
        <is>
          <t>China</t>
        </is>
      </c>
    </row>
    <row r="12737">
      <c r="A12737" t="inlineStr">
        <is>
          <t>PT Delima Makmur,  Aceh Singkil, Indonesia</t>
        </is>
      </c>
      <c r="B12737" t="inlineStr">
        <is>
          <t>Point of Origin</t>
        </is>
      </c>
      <c r="C12737" t="inlineStr">
        <is>
          <t>SGS Germany GmbH, Emstek, DE</t>
        </is>
      </c>
      <c r="D12737" t="inlineStr">
        <is>
          <t>02.11.2026</t>
        </is>
      </c>
      <c r="E12737" t="inlineStr">
        <is>
          <t>Indonesia</t>
        </is>
      </c>
    </row>
    <row r="12738">
      <c r="A12738" t="inlineStr">
        <is>
          <t>Agro Recycling ApS,  Fredericia, Denmark</t>
        </is>
      </c>
      <c r="B12738" t="inlineStr">
        <is>
          <t>Collecting Point, Processing Unit</t>
        </is>
      </c>
      <c r="C12738" t="inlineStr">
        <is>
          <t>PT Intertek Utama Services, Jakarta, ID</t>
        </is>
      </c>
      <c r="D12738" t="inlineStr">
        <is>
          <t>02.11.2026</t>
        </is>
      </c>
      <c r="E12738" t="inlineStr">
        <is>
          <t>Denmark</t>
        </is>
      </c>
    </row>
    <row r="12739">
      <c r="A12739" t="inlineStr">
        <is>
          <t>Innovans Palm Industries,  Telok Gong, Pelabuhan Klang, Malaysia</t>
        </is>
      </c>
      <c r="B12739" t="inlineStr">
        <is>
          <t>Collecting Point, Trader with Storage, Warehouse</t>
        </is>
      </c>
      <c r="C12739" t="inlineStr">
        <is>
          <t>PT Mutuagung Lestari, Depok, ID</t>
        </is>
      </c>
      <c r="D12739" t="inlineStr">
        <is>
          <t>02.11.2026</t>
        </is>
      </c>
      <c r="E12739" t="inlineStr">
        <is>
          <t>Malaysia</t>
        </is>
      </c>
    </row>
    <row r="12740">
      <c r="A12740" t="inlineStr">
        <is>
          <t>ECOLAND OIL LLP,  Agios Pavlos, Nea Kalikratia, Chalkidiki, Greece</t>
        </is>
      </c>
      <c r="B12740" t="inlineStr">
        <is>
          <t>Collecting Point</t>
        </is>
      </c>
      <c r="C12740" t="inlineStr">
        <is>
          <t>QMSCERT S.A., Pylaia, Thessaloniki, GR</t>
        </is>
      </c>
      <c r="D12740" t="inlineStr">
        <is>
          <t>02.11.2026</t>
        </is>
      </c>
      <c r="E12740" t="inlineStr">
        <is>
          <t>Greece</t>
        </is>
      </c>
    </row>
    <row r="12741">
      <c r="A12741" t="inlineStr">
        <is>
          <t>WUJUD WAWASAN SDN BHD,  ROMPIN, Malaysia</t>
        </is>
      </c>
      <c r="B12741" t="inlineStr">
        <is>
          <t>Point of Origin</t>
        </is>
      </c>
      <c r="C12741" t="inlineStr">
        <is>
          <t>Control Union Poland Sp. z o.o., Zielona Gora, PL</t>
        </is>
      </c>
      <c r="D12741" t="inlineStr">
        <is>
          <t>02.11.2026</t>
        </is>
      </c>
      <c r="E12741" t="inlineStr">
        <is>
          <t>Malaysia</t>
        </is>
      </c>
    </row>
    <row r="12742">
      <c r="A12742" t="inlineStr">
        <is>
          <t>Primata Besi Binjai,  Puji Mulyo, Sunggal, Deli Serdang, Sumatera Utara, Indonesia</t>
        </is>
      </c>
      <c r="B12742" t="inlineStr">
        <is>
          <t>Collecting Point, Trader with Storage</t>
        </is>
      </c>
      <c r="C12742" t="inlineStr">
        <is>
          <t>PT SBC Asia Sertifikasi, Kebumen, ID</t>
        </is>
      </c>
      <c r="D12742" t="inlineStr">
        <is>
          <t>02.11.2026</t>
        </is>
      </c>
      <c r="E12742" t="inlineStr">
        <is>
          <t>Indonesia</t>
        </is>
      </c>
    </row>
    <row r="12743">
      <c r="A12743" t="inlineStr">
        <is>
          <t>MY CHEM,  Buchholz in der Nordheide, Germany</t>
        </is>
      </c>
      <c r="B12743" t="inlineStr">
        <is>
          <t>Trader</t>
        </is>
      </c>
      <c r="C12743" t="inlineStr">
        <is>
          <t>DEKRA Certification GmbH, Stuttgart, DE</t>
        </is>
      </c>
      <c r="D12743" t="inlineStr">
        <is>
          <t>02.11.2026</t>
        </is>
      </c>
      <c r="E12743" t="inlineStr">
        <is>
          <t>Germany</t>
        </is>
      </c>
    </row>
    <row r="12744">
      <c r="A12744" t="inlineStr">
        <is>
          <t>Envision Net Zero Technology (Chifeng) Co., Ltd.,  Chifeng City,Inner Mongolia Autonomous Region, China</t>
        </is>
      </c>
      <c r="B12744" t="inlineStr">
        <is>
          <t>Processing Unit</t>
        </is>
      </c>
      <c r="C12744" t="inlineStr">
        <is>
          <t>Bureau Veritas Polska Sp. z o.o., Warsaw, PL</t>
        </is>
      </c>
      <c r="D12744" t="inlineStr">
        <is>
          <t>02.11.2026</t>
        </is>
      </c>
      <c r="E12744" t="inlineStr">
        <is>
          <t>China</t>
        </is>
      </c>
    </row>
    <row r="12745">
      <c r="A12745" t="inlineStr">
        <is>
          <t>Envision Net Zero Technology (Chifeng) Co., Ltd.,  Chifeng City,Inner Mongolia Autonomous Region, China</t>
        </is>
      </c>
      <c r="B12745" t="inlineStr">
        <is>
          <t>Processing Unit</t>
        </is>
      </c>
      <c r="C12745" t="inlineStr">
        <is>
          <t>Bureau Veritas Polska Sp. z o.o., Warsaw, PL</t>
        </is>
      </c>
      <c r="D12745" t="inlineStr">
        <is>
          <t>02.11.2026</t>
        </is>
      </c>
      <c r="E12745" t="inlineStr">
        <is>
          <t>China</t>
        </is>
      </c>
    </row>
    <row r="12746">
      <c r="A12746" t="inlineStr">
        <is>
          <t>CM Green Energy Technology (SHENZHEN) Co., Ltd.,  Jining City, Shandong Province, China</t>
        </is>
      </c>
      <c r="B12746" t="inlineStr">
        <is>
          <t>Processing Unit</t>
        </is>
      </c>
      <c r="C12746" t="inlineStr">
        <is>
          <t>Bureau Veritas Polska Sp. z o.o., Warsaw, PL</t>
        </is>
      </c>
      <c r="D12746" t="inlineStr">
        <is>
          <t>02.11.2026</t>
        </is>
      </c>
      <c r="E12746" t="inlineStr">
        <is>
          <t>China</t>
        </is>
      </c>
    </row>
    <row r="12747">
      <c r="A12747" t="inlineStr">
        <is>
          <t>CIMC Green Energy Technology (Zhanjiang) Co., Ltd,  Zhanjiang, Guangdong, China</t>
        </is>
      </c>
      <c r="B12747" t="inlineStr">
        <is>
          <t>Processing Unit</t>
        </is>
      </c>
      <c r="C12747" t="inlineStr">
        <is>
          <t>SGS Germany GmbH, Emstek, DE</t>
        </is>
      </c>
      <c r="D12747" t="inlineStr">
        <is>
          <t>02.11.2026</t>
        </is>
      </c>
      <c r="E12747" t="inlineStr">
        <is>
          <t>China</t>
        </is>
      </c>
    </row>
    <row r="12748">
      <c r="A12748" t="inlineStr">
        <is>
          <t>Sustainable Plastic Solutions Ltd,  Thetford, United Kingdom</t>
        </is>
      </c>
      <c r="B12748" t="inlineStr">
        <is>
          <t>Processing Unit</t>
        </is>
      </c>
      <c r="C12748" t="inlineStr">
        <is>
          <t>Double Helix Tracking Technologies Pte Ltd, Singapore, SG</t>
        </is>
      </c>
      <c r="D12748" t="inlineStr">
        <is>
          <t>02.11.2026</t>
        </is>
      </c>
      <c r="E12748" t="inlineStr">
        <is>
          <t>United Kingdom</t>
        </is>
      </c>
    </row>
    <row r="12749">
      <c r="A12749" t="inlineStr">
        <is>
          <t>Freedom Recycling Ltd,  Thetford, United Kingdom</t>
        </is>
      </c>
      <c r="B12749" t="inlineStr">
        <is>
          <t>Point of Origin, Collecting Point</t>
        </is>
      </c>
      <c r="C12749" t="inlineStr">
        <is>
          <t>Double Helix Tracking Technologies Pte Ltd, Singapore, SG</t>
        </is>
      </c>
      <c r="D12749" t="inlineStr">
        <is>
          <t>02.11.2026</t>
        </is>
      </c>
      <c r="E12749" t="inlineStr">
        <is>
          <t>United Kingdom</t>
        </is>
      </c>
    </row>
    <row r="12750">
      <c r="A12750" t="inlineStr">
        <is>
          <t>Grabo INTL Srl,  Coriano, Italy</t>
        </is>
      </c>
      <c r="B12750" t="inlineStr">
        <is>
          <t>Trader with Storage, Final Product Refinement</t>
        </is>
      </c>
      <c r="C12750" t="inlineStr">
        <is>
          <t>SGS Germany GmbH, Emstek, DE</t>
        </is>
      </c>
      <c r="D12750" t="inlineStr">
        <is>
          <t>02.11.2026</t>
        </is>
      </c>
      <c r="E12750" t="inlineStr">
        <is>
          <t>Italy</t>
        </is>
      </c>
    </row>
    <row r="12751">
      <c r="A12751" t="inlineStr">
        <is>
          <t>Chevron Phillips Chemical Company,  Baytown, Texas, The United States of America</t>
        </is>
      </c>
      <c r="B12751" t="inlineStr">
        <is>
          <t>Processing Unit, Trader with Storage</t>
        </is>
      </c>
      <c r="C12751" t="inlineStr">
        <is>
          <t>SCS Global Services, Emeryville, CA, US</t>
        </is>
      </c>
      <c r="D12751" t="inlineStr">
        <is>
          <t>02.11.2026</t>
        </is>
      </c>
      <c r="E12751" t="inlineStr">
        <is>
          <t>The United States of America</t>
        </is>
      </c>
    </row>
    <row r="12752">
      <c r="A12752" t="inlineStr">
        <is>
          <t>Açucareira Quatá,  QUATÁ, Brazil</t>
        </is>
      </c>
      <c r="B12752" t="inlineStr">
        <is>
          <t>First Gathering Point</t>
        </is>
      </c>
      <c r="C12752" t="inlineStr">
        <is>
          <t>Control Union Certifications Germany GmbH, Berlin, DE</t>
        </is>
      </c>
      <c r="D12752" t="inlineStr">
        <is>
          <t>02.11.2026</t>
        </is>
      </c>
      <c r="E12752" t="inlineStr">
        <is>
          <t>Brazil</t>
        </is>
      </c>
    </row>
    <row r="12753">
      <c r="A12753" t="inlineStr">
        <is>
          <t>Darling Ingredients Inc.,  Irving, The United States of America</t>
        </is>
      </c>
      <c r="B12753" t="inlineStr">
        <is>
          <t>Central Office (Group of Point of Origin), Trader, Collecting Point</t>
        </is>
      </c>
      <c r="C12753" t="inlineStr">
        <is>
          <t>Control Union Poland Sp. z o.o., Zielona Gora, PL</t>
        </is>
      </c>
      <c r="D12753" t="inlineStr">
        <is>
          <t>02.11.2026</t>
        </is>
      </c>
      <c r="E12753" t="inlineStr">
        <is>
          <t>The United States of America</t>
        </is>
      </c>
    </row>
    <row r="12754">
      <c r="A12754" t="inlineStr">
        <is>
          <t>Zaraplast SA,  Cabreúva, Brazil</t>
        </is>
      </c>
      <c r="B12754" t="inlineStr">
        <is>
          <t>Processing Unit</t>
        </is>
      </c>
      <c r="C12754" t="inlineStr">
        <is>
          <t>QIMA, Centro, Botucatu - SP, CEP, BR</t>
        </is>
      </c>
      <c r="D12754" t="inlineStr">
        <is>
          <t>02.11.2026</t>
        </is>
      </c>
      <c r="E12754" t="inlineStr">
        <is>
          <t>Brazil</t>
        </is>
      </c>
    </row>
    <row r="12755">
      <c r="A12755" t="inlineStr">
        <is>
          <t>EXTRACTORA DEL BARÚ, S.A. (EBASA),  Manaca Civil, Puerto Armuelles, Chiriquí, Panama</t>
        </is>
      </c>
      <c r="B12755" t="inlineStr">
        <is>
          <t>Point of Origin</t>
        </is>
      </c>
      <c r="C12755" t="inlineStr">
        <is>
          <t>Amspec Iberia SL, Vilagarcia de Arousa-Pontevedra, ES</t>
        </is>
      </c>
      <c r="D12755" t="inlineStr">
        <is>
          <t>02.11.2026</t>
        </is>
      </c>
      <c r="E12755" t="inlineStr">
        <is>
          <t>Panama</t>
        </is>
      </c>
    </row>
    <row r="12756">
      <c r="A12756" t="inlineStr">
        <is>
          <t>Dynea AS,  Lillestrøm, Norway</t>
        </is>
      </c>
      <c r="B12756" t="inlineStr">
        <is>
          <t>Processing Unit, Trader with Storage</t>
        </is>
      </c>
      <c r="C12756" t="inlineStr">
        <is>
          <t>DNV Business Assurance Sweden AB, Solna, SE</t>
        </is>
      </c>
      <c r="D12756" t="inlineStr">
        <is>
          <t>02.11.2026</t>
        </is>
      </c>
      <c r="E12756" t="inlineStr">
        <is>
          <t>Norway</t>
        </is>
      </c>
    </row>
    <row r="12757">
      <c r="A12757" t="inlineStr">
        <is>
          <t>SIA Orkla Latvija,  Adazi, Latvia</t>
        </is>
      </c>
      <c r="B12757" t="inlineStr">
        <is>
          <t>First Gathering Point, Processing Unit</t>
        </is>
      </c>
      <c r="C12757" t="inlineStr">
        <is>
          <t>Bureau Veritas Polska Sp. z o.o., Warsaw, PL</t>
        </is>
      </c>
      <c r="D12757" t="inlineStr">
        <is>
          <t>02.11.2026</t>
        </is>
      </c>
      <c r="E12757" t="inlineStr">
        <is>
          <t>Latvia</t>
        </is>
      </c>
    </row>
    <row r="12758">
      <c r="A12758" t="inlineStr">
        <is>
          <t>Shandong Baolide Biomass Energy Co., Ltd.,  Heze City, Shandong Province, China</t>
        </is>
      </c>
      <c r="B12758" t="inlineStr">
        <is>
          <t>Collecting Point, Processing Unit</t>
        </is>
      </c>
      <c r="C12758" t="inlineStr">
        <is>
          <t>Bureau Veritas Polska Sp. z o.o., Warsaw, PL</t>
        </is>
      </c>
      <c r="D12758" t="inlineStr">
        <is>
          <t>02.11.2026</t>
        </is>
      </c>
      <c r="E12758" t="inlineStr">
        <is>
          <t>China</t>
        </is>
      </c>
    </row>
    <row r="12759">
      <c r="A12759" t="inlineStr">
        <is>
          <t>Sky Dome LLC,  Miami, Florida, United States</t>
        </is>
      </c>
      <c r="B12759" t="inlineStr">
        <is>
          <t>Trader</t>
        </is>
      </c>
      <c r="C12759" t="inlineStr">
        <is>
          <t>Control Union Poland Sp. z o.o., Zielona Gora, PL</t>
        </is>
      </c>
      <c r="D12759" t="inlineStr">
        <is>
          <t>02.11.2026</t>
        </is>
      </c>
      <c r="E12759" t="inlineStr">
        <is>
          <t>United States</t>
        </is>
      </c>
    </row>
    <row r="12760">
      <c r="A12760" t="inlineStr">
        <is>
          <t>Heilongjiang Shenfa New Energy Co., Ltd.,  Jiamusi, China</t>
        </is>
      </c>
      <c r="B12760" t="inlineStr">
        <is>
          <t>Collecting Point, Processing Unit</t>
        </is>
      </c>
      <c r="C12760" t="inlineStr">
        <is>
          <t>RINA Services S.p.A., Genova, IT</t>
        </is>
      </c>
      <c r="D12760" t="inlineStr">
        <is>
          <t>02.11.2026</t>
        </is>
      </c>
      <c r="E12760" t="inlineStr">
        <is>
          <t>China</t>
        </is>
      </c>
    </row>
    <row r="12761">
      <c r="A12761" t="inlineStr">
        <is>
          <t>ATHENA KOGYO,  Seki City, Japan</t>
        </is>
      </c>
      <c r="B12761" t="inlineStr">
        <is>
          <t>Processing Unit, Trader with Storage</t>
        </is>
      </c>
      <c r="C12761" t="inlineStr">
        <is>
          <t>SCS Global Services, Emeryville, CA, US</t>
        </is>
      </c>
      <c r="D12761" t="inlineStr">
        <is>
          <t>02.11.2026</t>
        </is>
      </c>
      <c r="E12761" t="inlineStr">
        <is>
          <t>Japan</t>
        </is>
      </c>
    </row>
    <row r="12762">
      <c r="A12762" t="inlineStr">
        <is>
          <t>ATHENA KOGYO,  Sashima-gun,Ibaraki, Japan</t>
        </is>
      </c>
      <c r="B12762" t="inlineStr">
        <is>
          <t>Processing Unit</t>
        </is>
      </c>
      <c r="C12762" t="inlineStr">
        <is>
          <t>SCS Global Services, Emeryville, CA, US</t>
        </is>
      </c>
      <c r="D12762" t="inlineStr">
        <is>
          <t>02.11.2026</t>
        </is>
      </c>
      <c r="E12762" t="inlineStr">
        <is>
          <t>Japan</t>
        </is>
      </c>
    </row>
    <row r="12763">
      <c r="A12763" t="inlineStr">
        <is>
          <t>Lukošaičių ŽŪK,  Lukošaičiai, Šiaulių r., Lithuania</t>
        </is>
      </c>
      <c r="B12763" t="inlineStr">
        <is>
          <t>First Gathering Point</t>
        </is>
      </c>
      <c r="C12763" t="inlineStr">
        <is>
          <t>Bureau Veritas Polska Sp. z o.o., Warsaw, PL</t>
        </is>
      </c>
      <c r="D12763" t="inlineStr">
        <is>
          <t>02.11.2026</t>
        </is>
      </c>
      <c r="E12763" t="inlineStr">
        <is>
          <t>Lithuania</t>
        </is>
      </c>
    </row>
    <row r="12764">
      <c r="A12764" t="inlineStr">
        <is>
          <t>Carbon Black Renewable Sourcing Inc.,  Longos, Malabon City, Philippines</t>
        </is>
      </c>
      <c r="B12764" t="inlineStr">
        <is>
          <t>Collecting Point, Trader with Storage</t>
        </is>
      </c>
      <c r="C12764" t="inlineStr">
        <is>
          <t>PT Mutuagung Lestari, Depok, ID</t>
        </is>
      </c>
      <c r="D12764" t="inlineStr">
        <is>
          <t>01.11.2026</t>
        </is>
      </c>
      <c r="E12764" t="inlineStr">
        <is>
          <t>Philippines</t>
        </is>
      </c>
    </row>
    <row r="12765">
      <c r="A12765" t="inlineStr">
        <is>
          <t>Bridgestone Americas Tire Operations,  Akron, OH, United States</t>
        </is>
      </c>
      <c r="B12765" t="inlineStr">
        <is>
          <t>Processing Unit</t>
        </is>
      </c>
      <c r="C12765" t="inlineStr">
        <is>
          <t>SCS Global Services, Emeryville, CA, US</t>
        </is>
      </c>
      <c r="D12765" t="inlineStr">
        <is>
          <t>01.11.2026</t>
        </is>
      </c>
      <c r="E12765" t="inlineStr">
        <is>
          <t>United States</t>
        </is>
      </c>
    </row>
    <row r="12766">
      <c r="A12766" t="inlineStr">
        <is>
          <t>Darezi, S.A.,  Ciudad de Buenos Aires, Argentina</t>
        </is>
      </c>
      <c r="B12766" t="inlineStr">
        <is>
          <t>Trader</t>
        </is>
      </c>
      <c r="C12766" t="inlineStr">
        <is>
          <t>Certificadora Gallega del Noroeste SL, Vilagarcia de Arousa-Pontevedra, ES</t>
        </is>
      </c>
      <c r="D12766" t="inlineStr">
        <is>
          <t>01.11.2026</t>
        </is>
      </c>
      <c r="E12766" t="inlineStr">
        <is>
          <t>Argentina</t>
        </is>
      </c>
    </row>
    <row r="12767">
      <c r="A12767" t="inlineStr">
        <is>
          <t>Initial Agribiz, S.A.,  Buenos Aires, Argentina</t>
        </is>
      </c>
      <c r="B12767" t="inlineStr">
        <is>
          <t>Trader with Storage</t>
        </is>
      </c>
      <c r="C12767" t="inlineStr">
        <is>
          <t>Certificadora Gallega del Noroeste SL, Vilagarcia de Arousa-Pontevedra, ES</t>
        </is>
      </c>
      <c r="D12767" t="inlineStr">
        <is>
          <t>01.11.2026</t>
        </is>
      </c>
      <c r="E12767" t="inlineStr">
        <is>
          <t>Argentina</t>
        </is>
      </c>
    </row>
    <row r="12768">
      <c r="A12768" t="inlineStr">
        <is>
          <t>Hankook Tire &amp; Technology Co., Ltd. (Geumsan Plant),  Chungcheongnam-do, Korea, Republic of</t>
        </is>
      </c>
      <c r="B12768" t="inlineStr">
        <is>
          <t>Processing Unit</t>
        </is>
      </c>
      <c r="C12768" t="inlineStr">
        <is>
          <t>Control Union Certifications Germany GmbH, Berlin, DE</t>
        </is>
      </c>
      <c r="D12768" t="inlineStr">
        <is>
          <t>01.11.2026</t>
        </is>
      </c>
      <c r="E12768" t="inlineStr">
        <is>
          <t>Republic of</t>
        </is>
      </c>
    </row>
    <row r="12769">
      <c r="A12769" t="inlineStr">
        <is>
          <t>Zhuji Zhongji Environmental Protection Energy Co., Ltd,  Zhuji City, Zhejiang Province, China</t>
        </is>
      </c>
      <c r="B12769" t="inlineStr">
        <is>
          <t>Collecting Point, Trader with Storage</t>
        </is>
      </c>
      <c r="C12769" t="inlineStr">
        <is>
          <t>RINA Services S.p.A., Genova, IT</t>
        </is>
      </c>
      <c r="D12769" t="inlineStr">
        <is>
          <t>01.11.2026</t>
        </is>
      </c>
      <c r="E12769" t="inlineStr">
        <is>
          <t>China</t>
        </is>
      </c>
    </row>
    <row r="12770">
      <c r="A12770" t="inlineStr">
        <is>
          <t>Covestro Indústria e Comércio de Polímeros,  São Paulo, Brazil</t>
        </is>
      </c>
      <c r="B12770" t="inlineStr">
        <is>
          <t>Trader with Storage</t>
        </is>
      </c>
      <c r="C12770" t="inlineStr">
        <is>
          <t>QIMA, Centro, Botucatu - SP, CEP, BR</t>
        </is>
      </c>
      <c r="D12770" t="inlineStr">
        <is>
          <t>01.11.2026</t>
        </is>
      </c>
      <c r="E12770" t="inlineStr">
        <is>
          <t>Brazil</t>
        </is>
      </c>
    </row>
    <row r="12771">
      <c r="A12771" t="inlineStr">
        <is>
          <t>Aben Duurzame Grondstoffen BV,  Katwijk (NB), The Netherlands</t>
        </is>
      </c>
      <c r="B12771" t="inlineStr">
        <is>
          <t>Collecting Point, Trader with Storage</t>
        </is>
      </c>
      <c r="C12771" t="inlineStr">
        <is>
          <t>DEKRA Certification B.V., Arnhem, NL</t>
        </is>
      </c>
      <c r="D12771" t="inlineStr">
        <is>
          <t>01.11.2026</t>
        </is>
      </c>
      <c r="E12771" t="inlineStr">
        <is>
          <t>The Netherlands</t>
        </is>
      </c>
    </row>
    <row r="12772">
      <c r="A12772" t="inlineStr">
        <is>
          <t>ChemCom Industries,  Farmsum, Netherlands</t>
        </is>
      </c>
      <c r="B12772" t="inlineStr">
        <is>
          <t>Processing Unit, Trader</t>
        </is>
      </c>
      <c r="C12772" t="inlineStr">
        <is>
          <t>DEKRA Certification B.V., Arnhem, NL</t>
        </is>
      </c>
      <c r="D12772" t="inlineStr">
        <is>
          <t>01.11.2026</t>
        </is>
      </c>
      <c r="E12772" t="inlineStr">
        <is>
          <t>Netherlands</t>
        </is>
      </c>
    </row>
    <row r="12773">
      <c r="A12773" t="inlineStr">
        <is>
          <t>Gloria Group,  Heraklion, Greece</t>
        </is>
      </c>
      <c r="B12773" t="inlineStr">
        <is>
          <t>Trader, Collecting Point</t>
        </is>
      </c>
      <c r="C12773" t="inlineStr">
        <is>
          <t>DEKRA Certification B.V., Arnhem, NL</t>
        </is>
      </c>
      <c r="D12773" t="inlineStr">
        <is>
          <t>01.11.2026</t>
        </is>
      </c>
      <c r="E12773" t="inlineStr">
        <is>
          <t>Greece</t>
        </is>
      </c>
    </row>
    <row r="12774">
      <c r="A12774" t="inlineStr">
        <is>
          <t>Blue Lake Milling PTY. LTD.,  Forrestfield, WA, Australia</t>
        </is>
      </c>
      <c r="B12774" t="inlineStr">
        <is>
          <t>Processing Unit</t>
        </is>
      </c>
      <c r="C12774" t="inlineStr">
        <is>
          <t>SGS Germany GmbH, Emstek, DE</t>
        </is>
      </c>
      <c r="D12774" t="inlineStr">
        <is>
          <t>01.11.2026</t>
        </is>
      </c>
      <c r="E12774" t="inlineStr">
        <is>
          <t>Australia</t>
        </is>
      </c>
    </row>
    <row r="12775">
      <c r="A12775" t="inlineStr">
        <is>
          <t>Biobunker Med Srl,  NAPOLI, Italy</t>
        </is>
      </c>
      <c r="B12775" t="inlineStr">
        <is>
          <t>Trader with Storage, Proof of Compliance Trader</t>
        </is>
      </c>
      <c r="C12775" t="inlineStr">
        <is>
          <t>SGS Germany GmbH, Emstek, DE</t>
        </is>
      </c>
      <c r="D12775" t="inlineStr">
        <is>
          <t>01.11.2026</t>
        </is>
      </c>
      <c r="E12775" t="inlineStr">
        <is>
          <t>Italy</t>
        </is>
      </c>
    </row>
    <row r="12776">
      <c r="A12776" t="inlineStr">
        <is>
          <t>Hungrana Ltd.,  Szabadegyháza, Hungary</t>
        </is>
      </c>
      <c r="B12776" t="inlineStr">
        <is>
          <t>First Gathering Point, Trader with Storage, Processing Unit</t>
        </is>
      </c>
      <c r="C12776" t="inlineStr">
        <is>
          <t>Bureau Veritas Polska Sp. z o.o., Warsaw, PL</t>
        </is>
      </c>
      <c r="D12776" t="inlineStr">
        <is>
          <t>01.11.2026</t>
        </is>
      </c>
      <c r="E12776" t="inlineStr">
        <is>
          <t>Hungary</t>
        </is>
      </c>
    </row>
    <row r="12777">
      <c r="A12777" t="inlineStr">
        <is>
          <t>TEF Sp. z o.o.,  SZCZECIN, Poland</t>
        </is>
      </c>
      <c r="B12777" t="inlineStr">
        <is>
          <t>Trader, Collecting Point, Processing Unit</t>
        </is>
      </c>
      <c r="C12777" t="inlineStr">
        <is>
          <t>Bureau Veritas Polska Sp. z o.o., Warsaw, PL</t>
        </is>
      </c>
      <c r="D12777" t="inlineStr">
        <is>
          <t>01.11.2026</t>
        </is>
      </c>
      <c r="E12777" t="inlineStr">
        <is>
          <t>Poland</t>
        </is>
      </c>
    </row>
    <row r="12778">
      <c r="A12778" t="inlineStr">
        <is>
          <t>TEF Sp. z o.o.,  SZCZECIN, Poland</t>
        </is>
      </c>
      <c r="B12778" t="inlineStr">
        <is>
          <t>Collecting Point, Processing Unit, Trader</t>
        </is>
      </c>
      <c r="C12778" t="inlineStr">
        <is>
          <t>Bureau Veritas Polska Sp. z o.o., Warsaw, PL</t>
        </is>
      </c>
      <c r="D12778" t="inlineStr">
        <is>
          <t>01.11.2026</t>
        </is>
      </c>
      <c r="E12778" t="inlineStr">
        <is>
          <t>Poland</t>
        </is>
      </c>
    </row>
    <row r="12779">
      <c r="A12779" t="inlineStr">
        <is>
          <t>Mondi Styria GmbH,  Zeltweg, Austria</t>
        </is>
      </c>
      <c r="B12779" t="inlineStr">
        <is>
          <t>Processing Unit</t>
        </is>
      </c>
      <c r="C12779" t="inlineStr">
        <is>
          <t>agroVet GmbH, Enzersfeld, AT</t>
        </is>
      </c>
      <c r="D12779" t="inlineStr">
        <is>
          <t>01.11.2026</t>
        </is>
      </c>
      <c r="E12779" t="inlineStr">
        <is>
          <t>Austria</t>
        </is>
      </c>
    </row>
    <row r="12780">
      <c r="A12780" t="inlineStr">
        <is>
          <t>Kolibrie Energy S.A.,  Panama City, Panama</t>
        </is>
      </c>
      <c r="B12780" t="inlineStr">
        <is>
          <t>Collecting Point, Trader with Storage</t>
        </is>
      </c>
      <c r="C12780" t="inlineStr">
        <is>
          <t>Control Union Poland Sp. z o.o., Zielona Gora, PL</t>
        </is>
      </c>
      <c r="D12780" t="inlineStr">
        <is>
          <t>01.11.2026</t>
        </is>
      </c>
      <c r="E12780" t="inlineStr">
        <is>
          <t>Panama</t>
        </is>
      </c>
    </row>
    <row r="12781">
      <c r="A12781" t="inlineStr">
        <is>
          <t>Kolibrie Energy Panama Group S.A.,  Ciudad de Panama, Panama</t>
        </is>
      </c>
      <c r="B12781" t="inlineStr">
        <is>
          <t>Collecting Point, Trader with Storage</t>
        </is>
      </c>
      <c r="C12781" t="inlineStr">
        <is>
          <t>Control Union Poland Sp. z o.o., Zielona Gora, PL</t>
        </is>
      </c>
      <c r="D12781" t="inlineStr">
        <is>
          <t>01.11.2026</t>
        </is>
      </c>
      <c r="E12781" t="inlineStr">
        <is>
          <t>Panama</t>
        </is>
      </c>
    </row>
    <row r="12782">
      <c r="A12782" t="inlineStr">
        <is>
          <t>Kaleesuwari Refinery &amp; Industry Private Limited,  Kakinada , Andhra Pradesh, India</t>
        </is>
      </c>
      <c r="B12782" t="inlineStr">
        <is>
          <t>Processing Unit</t>
        </is>
      </c>
      <c r="C12782" t="inlineStr">
        <is>
          <t>Control Union Certifications Germany GmbH, Berlin, DE</t>
        </is>
      </c>
      <c r="D12782" t="inlineStr">
        <is>
          <t>01.11.2026</t>
        </is>
      </c>
      <c r="E12782" t="inlineStr">
        <is>
          <t>India</t>
        </is>
      </c>
    </row>
    <row r="12783">
      <c r="A12783" t="inlineStr">
        <is>
          <t>AEI PHERO GREEN ENERGY PTE.LTD.,  Nanjing,Jiangsu, China</t>
        </is>
      </c>
      <c r="B12783" t="inlineStr">
        <is>
          <t>Trader</t>
        </is>
      </c>
      <c r="C12783" t="inlineStr">
        <is>
          <t>RINA Services S.p.A., Genova, IT</t>
        </is>
      </c>
      <c r="D12783" t="inlineStr">
        <is>
          <t>01.11.2026</t>
        </is>
      </c>
      <c r="E12783" t="inlineStr">
        <is>
          <t>China</t>
        </is>
      </c>
    </row>
    <row r="12784">
      <c r="A12784" t="inlineStr">
        <is>
          <t>Fertilizer Slovakia s.r.o.,  Marcelová, Slovakia</t>
        </is>
      </c>
      <c r="B12784" t="inlineStr">
        <is>
          <t>First Gathering Point, Trader with Storage</t>
        </is>
      </c>
      <c r="C12784" t="inlineStr">
        <is>
          <t>United Registrar of Systems Polska Sp. z o.o., Wrocław, PL</t>
        </is>
      </c>
      <c r="D12784" t="inlineStr">
        <is>
          <t>01.11.2026</t>
        </is>
      </c>
      <c r="E12784" t="inlineStr">
        <is>
          <t>Slovakia</t>
        </is>
      </c>
    </row>
    <row r="12785">
      <c r="A12785" t="inlineStr">
        <is>
          <t>Viking Eco Servis, s.r.o.,  Čáslav, Czech Republic</t>
        </is>
      </c>
      <c r="B12785" t="inlineStr">
        <is>
          <t>Collecting Point, Trader with Storage</t>
        </is>
      </c>
      <c r="C12785" t="inlineStr">
        <is>
          <t>Bureau Veritas Polska Sp. z o.o., Warsaw, PL</t>
        </is>
      </c>
      <c r="D12785" t="inlineStr">
        <is>
          <t>01.11.2026</t>
        </is>
      </c>
      <c r="E12785" t="inlineStr">
        <is>
          <t>Czech Republic</t>
        </is>
      </c>
    </row>
    <row r="12786">
      <c r="A12786" t="inlineStr">
        <is>
          <t>Rønnovsholm Biogas K/S,  Hjørring, Denmark</t>
        </is>
      </c>
      <c r="B12786" t="inlineStr">
        <is>
          <t>Collecting Point, First Gathering Point, Processing Unit</t>
        </is>
      </c>
      <c r="C12786" t="inlineStr">
        <is>
          <t>Baltic Control Certification, Risskov, DK</t>
        </is>
      </c>
      <c r="D12786" t="inlineStr">
        <is>
          <t>01.11.2026</t>
        </is>
      </c>
      <c r="E12786" t="inlineStr">
        <is>
          <t>Denmark</t>
        </is>
      </c>
    </row>
    <row r="12787">
      <c r="A12787" t="inlineStr">
        <is>
          <t>Pretoria Energy (Chittering) Ltd,  Ely, Cambridgeshire, United Kingdom</t>
        </is>
      </c>
      <c r="B12787" t="inlineStr">
        <is>
          <t>Collecting Point, First Gathering Point, Processing Unit</t>
        </is>
      </c>
      <c r="C12787" t="inlineStr">
        <is>
          <t>Aardvark Certification Ltd, Wiveliscombe, Somerset, GB</t>
        </is>
      </c>
      <c r="D12787" t="inlineStr">
        <is>
          <t>31.10.2026</t>
        </is>
      </c>
      <c r="E12787" t="inlineStr">
        <is>
          <t>United Kingdom</t>
        </is>
      </c>
    </row>
    <row r="12788">
      <c r="A12788" t="inlineStr">
        <is>
          <t>Groengas Nieuwdorp,  Nieuwdorp, Netherlands</t>
        </is>
      </c>
      <c r="B12788" t="inlineStr">
        <is>
          <t>Collecting Point, Processing Unit</t>
        </is>
      </c>
      <c r="C12788" t="inlineStr">
        <is>
          <t>Normec QS BV, Bennekom, NL</t>
        </is>
      </c>
      <c r="D12788" t="inlineStr">
        <is>
          <t>31.10.2026</t>
        </is>
      </c>
      <c r="E12788" t="inlineStr">
        <is>
          <t>Netherlands</t>
        </is>
      </c>
    </row>
    <row r="12789">
      <c r="A12789" t="inlineStr">
        <is>
          <t>Pactiv Evergreen LLC,  Temple, United States</t>
        </is>
      </c>
      <c r="B12789" t="inlineStr">
        <is>
          <t>Processing Unit</t>
        </is>
      </c>
      <c r="C12789" t="inlineStr">
        <is>
          <t>SCS Global Services, Emeryville, CA, US</t>
        </is>
      </c>
      <c r="D12789" t="inlineStr">
        <is>
          <t>31.10.2026</t>
        </is>
      </c>
      <c r="E12789" t="inlineStr">
        <is>
          <t>United States</t>
        </is>
      </c>
    </row>
    <row r="12790">
      <c r="A12790" t="inlineStr">
        <is>
          <t>Pactiv Evergreen - Conyers,  Conyers, United States</t>
        </is>
      </c>
      <c r="B12790" t="inlineStr">
        <is>
          <t>Processing Unit</t>
        </is>
      </c>
      <c r="C12790" t="inlineStr">
        <is>
          <t>SCS Global Services, Emeryville, CA, US</t>
        </is>
      </c>
      <c r="D12790" t="inlineStr">
        <is>
          <t>31.10.2026</t>
        </is>
      </c>
      <c r="E12790" t="inlineStr">
        <is>
          <t>United States</t>
        </is>
      </c>
    </row>
    <row r="12791">
      <c r="A12791" t="inlineStr">
        <is>
          <t>LENCO INDUSTRIES LTD.,  Taipei, Taiwan, Province of China</t>
        </is>
      </c>
      <c r="B12791" t="inlineStr">
        <is>
          <t>Trader with Storage</t>
        </is>
      </c>
      <c r="C12791" t="inlineStr">
        <is>
          <t>Bureau Veritas Polska Sp. z o.o., Warsaw, PL</t>
        </is>
      </c>
      <c r="D12791" t="inlineStr">
        <is>
          <t>31.10.2026</t>
        </is>
      </c>
      <c r="E12791" t="inlineStr">
        <is>
          <t>Province of China</t>
        </is>
      </c>
    </row>
    <row r="12792">
      <c r="A12792" t="inlineStr">
        <is>
          <t>Kolza Biodizel,  Tepeören Tuzla, Istanbul, Turkey</t>
        </is>
      </c>
      <c r="B12792" t="inlineStr">
        <is>
          <t>Processing Unit</t>
        </is>
      </c>
      <c r="C12792" t="inlineStr">
        <is>
          <t>QIMA, Centro, Botucatu - SP, CEP, BR</t>
        </is>
      </c>
      <c r="D12792" t="inlineStr">
        <is>
          <t>31.10.2026</t>
        </is>
      </c>
      <c r="E12792" t="inlineStr">
        <is>
          <t>Turkey</t>
        </is>
      </c>
    </row>
    <row r="12793">
      <c r="A12793" t="inlineStr">
        <is>
          <t>CGV INDUSTRIES,  Shah Alam, Malaysia</t>
        </is>
      </c>
      <c r="B12793" t="inlineStr">
        <is>
          <t>Collecting Point</t>
        </is>
      </c>
      <c r="C12793" t="inlineStr">
        <is>
          <t>Global Gateway Certifications Sdn Bhd, Ampang, MY</t>
        </is>
      </c>
      <c r="D12793" t="inlineStr">
        <is>
          <t>31.10.2026</t>
        </is>
      </c>
      <c r="E12793" t="inlineStr">
        <is>
          <t>Malaysia</t>
        </is>
      </c>
    </row>
    <row r="12794">
      <c r="A12794" t="inlineStr">
        <is>
          <t>Airport Fuel Supply Llc / RÜK Repülőtéri Üzemanyag Kiszolgáló Kft,  Budapest, Hungary</t>
        </is>
      </c>
      <c r="B12794" t="inlineStr">
        <is>
          <t>Proof of Compliance Trader, Trader with Storage</t>
        </is>
      </c>
      <c r="C12794" t="inlineStr">
        <is>
          <t>BM Certification, Riga, LV</t>
        </is>
      </c>
      <c r="D12794" t="inlineStr">
        <is>
          <t>31.10.2026</t>
        </is>
      </c>
      <c r="E12794" t="inlineStr">
        <is>
          <t>Hungary</t>
        </is>
      </c>
    </row>
    <row r="12795">
      <c r="A12795" t="inlineStr">
        <is>
          <t>Agri Pulp &amp; Paper (M) SDN BHD,  Johor Bahru, Malaysia</t>
        </is>
      </c>
      <c r="B12795" t="inlineStr">
        <is>
          <t>Collecting Point, Trader with Storage</t>
        </is>
      </c>
      <c r="C12795" t="inlineStr">
        <is>
          <t>RINA Services S.p.A., Genova, IT</t>
        </is>
      </c>
      <c r="D12795" t="inlineStr">
        <is>
          <t>31.10.2026</t>
        </is>
      </c>
      <c r="E12795" t="inlineStr">
        <is>
          <t>Malaysia</t>
        </is>
      </c>
    </row>
    <row r="12796">
      <c r="A12796" t="inlineStr">
        <is>
          <t>Charter Next Generation, Inc.,  Lexington, United States</t>
        </is>
      </c>
      <c r="B12796" t="inlineStr">
        <is>
          <t>Processing Unit</t>
        </is>
      </c>
      <c r="C12796" t="inlineStr">
        <is>
          <t>SCS Global Services, Emeryville, CA, US</t>
        </is>
      </c>
      <c r="D12796" t="inlineStr">
        <is>
          <t>31.10.2026</t>
        </is>
      </c>
      <c r="E12796" t="inlineStr">
        <is>
          <t>United States</t>
        </is>
      </c>
    </row>
    <row r="12797">
      <c r="A12797" t="inlineStr">
        <is>
          <t>CropEnergies Bioethanol GmbH,  Zeitz, Germany</t>
        </is>
      </c>
      <c r="B12797" t="inlineStr">
        <is>
          <t>Processing Unit, Trader with Storage</t>
        </is>
      </c>
      <c r="C12797" t="inlineStr">
        <is>
          <t>TÜV SÜD Industrie Service GmbH, München, DE</t>
        </is>
      </c>
      <c r="D12797" t="inlineStr">
        <is>
          <t>31.10.2026</t>
        </is>
      </c>
      <c r="E12797" t="inlineStr">
        <is>
          <t>Germany</t>
        </is>
      </c>
    </row>
    <row r="12798">
      <c r="A12798" t="inlineStr">
        <is>
          <t>Koninklijke Luchtvaart Maatschappij,  Amstelveen, Netherlands</t>
        </is>
      </c>
      <c r="B12798" t="inlineStr">
        <is>
          <t>Trader with Storage, Proof of Compliance Trader</t>
        </is>
      </c>
      <c r="C12798" t="inlineStr">
        <is>
          <t>Control Union Certifications Germany GmbH, Berlin, DE</t>
        </is>
      </c>
      <c r="D12798" t="inlineStr">
        <is>
          <t>31.10.2026</t>
        </is>
      </c>
      <c r="E12798" t="inlineStr">
        <is>
          <t>Netherlands</t>
        </is>
      </c>
    </row>
    <row r="12799">
      <c r="A12799" t="inlineStr">
        <is>
          <t>Ipiranga Produtos de Petróleo S.A,  Canoas, Brazil</t>
        </is>
      </c>
      <c r="B12799" t="inlineStr">
        <is>
          <t>Collecting Point, Trader with Storage</t>
        </is>
      </c>
      <c r="C12799" t="inlineStr">
        <is>
          <t>Control Union Certifications Germany GmbH, Berlin, DE</t>
        </is>
      </c>
      <c r="D12799" t="inlineStr">
        <is>
          <t>31.10.2026</t>
        </is>
      </c>
      <c r="E12799" t="inlineStr">
        <is>
          <t>Brazil</t>
        </is>
      </c>
    </row>
    <row r="12800">
      <c r="A12800" t="inlineStr">
        <is>
          <t>IPC Energy Solution Pte Ltd,  SINGAPORE, Singapore</t>
        </is>
      </c>
      <c r="B12800" t="inlineStr">
        <is>
          <t>Trader</t>
        </is>
      </c>
      <c r="C12800" t="inlineStr">
        <is>
          <t>Control Union Certifications Germany GmbH, Berlin, DE</t>
        </is>
      </c>
      <c r="D12800" t="inlineStr">
        <is>
          <t>31.10.2026</t>
        </is>
      </c>
      <c r="E12800" t="inlineStr">
        <is>
          <t>Singapore</t>
        </is>
      </c>
    </row>
    <row r="12801">
      <c r="A12801" t="inlineStr">
        <is>
          <t>IPC Energy Solution Pte Ltd,  SINGAPORE, Singapore</t>
        </is>
      </c>
      <c r="B12801" t="inlineStr">
        <is>
          <t>Trader</t>
        </is>
      </c>
      <c r="C12801" t="inlineStr">
        <is>
          <t>Control Union Certifications Germany GmbH, Berlin, DE</t>
        </is>
      </c>
      <c r="D12801" t="inlineStr">
        <is>
          <t>31.10.2026</t>
        </is>
      </c>
      <c r="E12801" t="inlineStr">
        <is>
          <t>Singapore</t>
        </is>
      </c>
    </row>
    <row r="12802">
      <c r="A12802" t="inlineStr">
        <is>
          <t>IPC Energy Solution Pte Ltd,  SINGAPORE, Singapore</t>
        </is>
      </c>
      <c r="B12802" t="inlineStr">
        <is>
          <t>Trader</t>
        </is>
      </c>
      <c r="C12802" t="inlineStr">
        <is>
          <t>Control Union Certifications Germany GmbH, Berlin, DE</t>
        </is>
      </c>
      <c r="D12802" t="inlineStr">
        <is>
          <t>31.10.2026</t>
        </is>
      </c>
      <c r="E12802" t="inlineStr">
        <is>
          <t>Singapore</t>
        </is>
      </c>
    </row>
    <row r="12803">
      <c r="A12803" t="inlineStr">
        <is>
          <t>Kordsa Teknik Tekstil A.Ş,  İzmit/Kocaeli, Turkey</t>
        </is>
      </c>
      <c r="B12803" t="inlineStr">
        <is>
          <t>Processing Unit</t>
        </is>
      </c>
      <c r="C12803" t="inlineStr">
        <is>
          <t>Control Union Certifications Germany GmbH, Berlin, DE</t>
        </is>
      </c>
      <c r="D12803" t="inlineStr">
        <is>
          <t>31.10.2026</t>
        </is>
      </c>
      <c r="E12803" t="inlineStr">
        <is>
          <t>Turkey</t>
        </is>
      </c>
    </row>
    <row r="12804">
      <c r="A12804" t="inlineStr">
        <is>
          <t>Unitata,  Teluk Intan, Perak, Malaysia</t>
        </is>
      </c>
      <c r="B12804" t="inlineStr">
        <is>
          <t>Point of Origin</t>
        </is>
      </c>
      <c r="C12804" t="inlineStr">
        <is>
          <t>Global Gateway Certifications Sdn Bhd, Ampang, MY</t>
        </is>
      </c>
      <c r="D12804" t="inlineStr">
        <is>
          <t>31.10.2026</t>
        </is>
      </c>
      <c r="E12804" t="inlineStr">
        <is>
          <t>Malaysia</t>
        </is>
      </c>
    </row>
    <row r="12805">
      <c r="A12805" t="inlineStr">
        <is>
          <t>PT SUMBER NUSANTARA HIJAU,  Kota Medan, Sumatera Utara, Indonesia</t>
        </is>
      </c>
      <c r="B12805" t="inlineStr">
        <is>
          <t>Collecting Point, Trader with Storage</t>
        </is>
      </c>
      <c r="C12805" t="inlineStr">
        <is>
          <t>PT. Qualitas Sertifikasi Indonesia, Jakarta, ID</t>
        </is>
      </c>
      <c r="D12805" t="inlineStr">
        <is>
          <t>31.10.2026</t>
        </is>
      </c>
      <c r="E12805" t="inlineStr">
        <is>
          <t>Indonesia</t>
        </is>
      </c>
    </row>
    <row r="12806">
      <c r="A12806" t="inlineStr">
        <is>
          <t>PT SUMBER NUSANTARA HIJAU,  Kota Medan, Sumatera Utara, Indonesia</t>
        </is>
      </c>
      <c r="B12806" t="inlineStr">
        <is>
          <t>Collecting Point, Trader with Storage</t>
        </is>
      </c>
      <c r="C12806" t="inlineStr">
        <is>
          <t>PT. Qualitas Sertifikasi Indonesia, Jakarta, ID</t>
        </is>
      </c>
      <c r="D12806" t="inlineStr">
        <is>
          <t>31.10.2026</t>
        </is>
      </c>
      <c r="E12806" t="inlineStr">
        <is>
          <t>Indonesia</t>
        </is>
      </c>
    </row>
    <row r="12807">
      <c r="A12807" t="inlineStr">
        <is>
          <t>Bbase IDG Limited,  Hong Kong, Hong Kong</t>
        </is>
      </c>
      <c r="B12807" t="inlineStr">
        <is>
          <t>Trader</t>
        </is>
      </c>
      <c r="C12807" t="inlineStr">
        <is>
          <t>SGS Germany GmbH, Emstek, DE</t>
        </is>
      </c>
      <c r="D12807" t="inlineStr">
        <is>
          <t>31.10.2026</t>
        </is>
      </c>
      <c r="E12807" t="inlineStr">
        <is>
          <t>Hong Kong</t>
        </is>
      </c>
    </row>
    <row r="12808">
      <c r="A12808" t="inlineStr">
        <is>
          <t>Tokai Carbon Co., Ltd. Kyushu-Wakamatsu Plant,  Wakamatsu-ku, Kitakyushu, Fukuoka, Japan</t>
        </is>
      </c>
      <c r="B12808" t="inlineStr">
        <is>
          <t>Processing Unit</t>
        </is>
      </c>
      <c r="C12808" t="inlineStr">
        <is>
          <t>SGS Germany GmbH, Emstek, DE</t>
        </is>
      </c>
      <c r="D12808" t="inlineStr">
        <is>
          <t>31.10.2026</t>
        </is>
      </c>
      <c r="E12808" t="inlineStr">
        <is>
          <t>Japan</t>
        </is>
      </c>
    </row>
    <row r="12809">
      <c r="A12809" t="inlineStr">
        <is>
          <t>Horse Close Green Power,  Northampton, United Kingdom</t>
        </is>
      </c>
      <c r="B12809" t="inlineStr">
        <is>
          <t>Collecting Point, First Gathering Point, Processing Unit</t>
        </is>
      </c>
      <c r="C12809" t="inlineStr">
        <is>
          <t>Double Helix Tracking Technologies Pte Ltd, Singapore, SG</t>
        </is>
      </c>
      <c r="D12809" t="inlineStr">
        <is>
          <t>31.10.2026</t>
        </is>
      </c>
      <c r="E12809" t="inlineStr">
        <is>
          <t>United Kingdom</t>
        </is>
      </c>
    </row>
    <row r="12810">
      <c r="A12810" t="inlineStr">
        <is>
          <t>Bunge - SCF Grain, LLC,  Fairmont, United States</t>
        </is>
      </c>
      <c r="B12810" t="inlineStr">
        <is>
          <t>First Gathering Point</t>
        </is>
      </c>
      <c r="C12810" t="inlineStr">
        <is>
          <t>Control Union Poland Sp. z o.o., Zielona Gora, PL</t>
        </is>
      </c>
      <c r="D12810" t="inlineStr">
        <is>
          <t>31.10.2026</t>
        </is>
      </c>
      <c r="E12810" t="inlineStr">
        <is>
          <t>United States</t>
        </is>
      </c>
    </row>
    <row r="12811">
      <c r="A12811" t="inlineStr">
        <is>
          <t>Bunge - SCF Grain, LLC,  Fairmont, United States</t>
        </is>
      </c>
      <c r="B12811" t="inlineStr">
        <is>
          <t>First Gathering Point</t>
        </is>
      </c>
      <c r="C12811" t="inlineStr">
        <is>
          <t>Control Union Poland Sp. z o.o., Zielona Gora, PL</t>
        </is>
      </c>
      <c r="D12811" t="inlineStr">
        <is>
          <t>31.10.2026</t>
        </is>
      </c>
      <c r="E12811" t="inlineStr">
        <is>
          <t>United States</t>
        </is>
      </c>
    </row>
    <row r="12812">
      <c r="A12812" t="inlineStr">
        <is>
          <t>Bunge - SCF Grain, LLC,  Fairmont, United States</t>
        </is>
      </c>
      <c r="B12812" t="inlineStr">
        <is>
          <t>First Gathering Point</t>
        </is>
      </c>
      <c r="C12812" t="inlineStr">
        <is>
          <t>Control Union Poland Sp. z o.o., Zielona Gora, PL</t>
        </is>
      </c>
      <c r="D12812" t="inlineStr">
        <is>
          <t>31.10.2026</t>
        </is>
      </c>
      <c r="E12812" t="inlineStr">
        <is>
          <t>United States</t>
        </is>
      </c>
    </row>
    <row r="12813">
      <c r="A12813" t="inlineStr">
        <is>
          <t>Diamond Green Diesel,  Port Arthur, Texas, United States</t>
        </is>
      </c>
      <c r="B12813" t="inlineStr">
        <is>
          <t>Processing Unit, Trader with Storage, Collecting Point</t>
        </is>
      </c>
      <c r="C12813" t="inlineStr">
        <is>
          <t>SCS Global Services, Emeryville, CA, US</t>
        </is>
      </c>
      <c r="D12813" t="inlineStr">
        <is>
          <t>31.10.2026</t>
        </is>
      </c>
      <c r="E12813" t="inlineStr">
        <is>
          <t>United States</t>
        </is>
      </c>
    </row>
    <row r="12814">
      <c r="A12814" t="inlineStr">
        <is>
          <t>Diamond Green Diesel,  Port Arthur, Texas, United States</t>
        </is>
      </c>
      <c r="B12814" t="inlineStr">
        <is>
          <t>Processing Unit, Trader with Storage</t>
        </is>
      </c>
      <c r="C12814" t="inlineStr">
        <is>
          <t>SCS Global Services, Emeryville, CA, US</t>
        </is>
      </c>
      <c r="D12814" t="inlineStr">
        <is>
          <t>31.10.2026</t>
        </is>
      </c>
      <c r="E12814" t="inlineStr">
        <is>
          <t>United States</t>
        </is>
      </c>
    </row>
    <row r="12815">
      <c r="A12815" t="inlineStr">
        <is>
          <t>Statkraft Markets GmbH,  Düsseldorf, Germany</t>
        </is>
      </c>
      <c r="B12815" t="inlineStr">
        <is>
          <t>Trader</t>
        </is>
      </c>
      <c r="C12815" t="inlineStr">
        <is>
          <t>Double Helix Tracking Technologies Pte Ltd, Singapore, SG</t>
        </is>
      </c>
      <c r="D12815" t="inlineStr">
        <is>
          <t>31.10.2026</t>
        </is>
      </c>
      <c r="E12815" t="inlineStr">
        <is>
          <t>Germany</t>
        </is>
      </c>
    </row>
    <row r="12816">
      <c r="A12816" t="inlineStr">
        <is>
          <t>Powertica Energie a.s.,  Praha 1, Czech Republic</t>
        </is>
      </c>
      <c r="B12816" t="inlineStr">
        <is>
          <t>Trader</t>
        </is>
      </c>
      <c r="C12816" t="inlineStr">
        <is>
          <t>TÜV SÜD Czech s.r.o., Praha 4, CZ</t>
        </is>
      </c>
      <c r="D12816" t="inlineStr">
        <is>
          <t>31.10.2026</t>
        </is>
      </c>
      <c r="E12816" t="inlineStr">
        <is>
          <t>Czech Republic</t>
        </is>
      </c>
    </row>
    <row r="12817">
      <c r="A12817" t="inlineStr">
        <is>
          <t>Maersk Oil Trading Singapore Pte,  Singapore, Paya Lebar Quarter, Singapore</t>
        </is>
      </c>
      <c r="B12817" t="inlineStr">
        <is>
          <t>Trader with Storage</t>
        </is>
      </c>
      <c r="C12817" t="inlineStr">
        <is>
          <t>Control Union Certifications Germany GmbH, Berlin, DE</t>
        </is>
      </c>
      <c r="D12817" t="inlineStr">
        <is>
          <t>31.10.2026</t>
        </is>
      </c>
      <c r="E12817" t="inlineStr">
        <is>
          <t>Singapore</t>
        </is>
      </c>
    </row>
    <row r="12818">
      <c r="A12818" t="inlineStr">
        <is>
          <t>TOTSA TotalEnergies Trading SA,  Geneva, Switzerland</t>
        </is>
      </c>
      <c r="B12818" t="inlineStr">
        <is>
          <t>Trader with Storage</t>
        </is>
      </c>
      <c r="C12818" t="inlineStr">
        <is>
          <t>SGS Germany GmbH, Emstek, DE</t>
        </is>
      </c>
      <c r="D12818" t="inlineStr">
        <is>
          <t>31.10.2026</t>
        </is>
      </c>
      <c r="E12818" t="inlineStr">
        <is>
          <t>Switzerland</t>
        </is>
      </c>
    </row>
    <row r="12819">
      <c r="A12819" t="inlineStr">
        <is>
          <t>TOTSA TotalEnergies Trading SA,  Geneva, Switzerland</t>
        </is>
      </c>
      <c r="B12819" t="inlineStr">
        <is>
          <t>Trader with Storage</t>
        </is>
      </c>
      <c r="C12819" t="inlineStr">
        <is>
          <t>SGS Germany GmbH, Emstek, DE</t>
        </is>
      </c>
      <c r="D12819" t="inlineStr">
        <is>
          <t>31.10.2026</t>
        </is>
      </c>
      <c r="E12819" t="inlineStr">
        <is>
          <t>Switzerland</t>
        </is>
      </c>
    </row>
    <row r="12820">
      <c r="A12820" t="inlineStr">
        <is>
          <t>Greenfield Global Inc,  Johnstown, Ontario, Canada</t>
        </is>
      </c>
      <c r="B12820" t="inlineStr">
        <is>
          <t>First Gathering Point, Processing Unit</t>
        </is>
      </c>
      <c r="C12820" t="inlineStr">
        <is>
          <t>SGS Germany GmbH, Emstek, DE</t>
        </is>
      </c>
      <c r="D12820" t="inlineStr">
        <is>
          <t>31.10.2026</t>
        </is>
      </c>
      <c r="E12820" t="inlineStr">
        <is>
          <t>Canada</t>
        </is>
      </c>
    </row>
    <row r="12821">
      <c r="A12821" t="inlineStr">
        <is>
          <t>Takigawa Corporation America,  Bardstown, United States</t>
        </is>
      </c>
      <c r="B12821" t="inlineStr">
        <is>
          <t>Processing Unit, Trader with Storage</t>
        </is>
      </c>
      <c r="C12821" t="inlineStr">
        <is>
          <t>SCS Global Services, Emeryville, CA, US</t>
        </is>
      </c>
      <c r="D12821" t="inlineStr">
        <is>
          <t>31.10.2026</t>
        </is>
      </c>
      <c r="E12821" t="inlineStr">
        <is>
          <t>United States</t>
        </is>
      </c>
    </row>
    <row r="12822">
      <c r="A12822" t="inlineStr">
        <is>
          <t>Diamond Green Diesel,  Port Arthur, Texas, The United States of America</t>
        </is>
      </c>
      <c r="B12822" t="inlineStr">
        <is>
          <t>Collecting Point, Trader with Storage, Processing Unit</t>
        </is>
      </c>
      <c r="C12822" t="inlineStr">
        <is>
          <t>SCS Global Services, Emeryville, CA, US</t>
        </is>
      </c>
      <c r="D12822" t="inlineStr">
        <is>
          <t>31.10.2026</t>
        </is>
      </c>
      <c r="E12822" t="inlineStr">
        <is>
          <t>The United States of America</t>
        </is>
      </c>
    </row>
    <row r="12823">
      <c r="A12823" t="inlineStr">
        <is>
          <t>VFI,  Wels, Austria</t>
        </is>
      </c>
      <c r="B12823" t="inlineStr">
        <is>
          <t>Point of Origin</t>
        </is>
      </c>
      <c r="C12823" t="inlineStr">
        <is>
          <t>agroVet GmbH, Enzersfeld, AT</t>
        </is>
      </c>
      <c r="D12823" t="inlineStr">
        <is>
          <t>30.10.2026</t>
        </is>
      </c>
      <c r="E12823" t="inlineStr">
        <is>
          <t>Austria</t>
        </is>
      </c>
    </row>
    <row r="12824">
      <c r="A12824" t="inlineStr">
        <is>
          <t>Merck Millipore,  Carrigtwohill, Ireland</t>
        </is>
      </c>
      <c r="B12824" t="inlineStr">
        <is>
          <t>Processing Unit</t>
        </is>
      </c>
      <c r="C12824" t="inlineStr">
        <is>
          <t>Aardvark Certification Ltd, Wiveliscombe, Somerset, GB</t>
        </is>
      </c>
      <c r="D12824" t="inlineStr">
        <is>
          <t>30.10.2026</t>
        </is>
      </c>
      <c r="E12824" t="inlineStr">
        <is>
          <t>Ireland</t>
        </is>
      </c>
    </row>
    <row r="12825">
      <c r="A12825" t="inlineStr">
        <is>
          <t>Diamond Green Diesel,  Norco, Louisiana, United States</t>
        </is>
      </c>
      <c r="B12825" t="inlineStr">
        <is>
          <t>Processing Unit, Trader, Trader with Storage</t>
        </is>
      </c>
      <c r="C12825" t="inlineStr">
        <is>
          <t>SCS Global Services, Emeryville, CA, US</t>
        </is>
      </c>
      <c r="D12825" t="inlineStr">
        <is>
          <t>30.10.2026</t>
        </is>
      </c>
      <c r="E12825" t="inlineStr">
        <is>
          <t>United States</t>
        </is>
      </c>
    </row>
    <row r="12826">
      <c r="A12826" t="inlineStr">
        <is>
          <t>Diamond Green Diesel,  Norco, Louisiana, United States</t>
        </is>
      </c>
      <c r="B12826" t="inlineStr">
        <is>
          <t>Processing Unit, Trader, Trader with Storage</t>
        </is>
      </c>
      <c r="C12826" t="inlineStr">
        <is>
          <t>SCS Global Services, Emeryville, CA, US</t>
        </is>
      </c>
      <c r="D12826" t="inlineStr">
        <is>
          <t>30.10.2026</t>
        </is>
      </c>
      <c r="E12826" t="inlineStr">
        <is>
          <t>United States</t>
        </is>
      </c>
    </row>
    <row r="12827">
      <c r="A12827" t="inlineStr">
        <is>
          <t>BIO POWER SOURCE SRL,  Bucharest, Romania</t>
        </is>
      </c>
      <c r="B12827" t="inlineStr">
        <is>
          <t>Trader with Storage</t>
        </is>
      </c>
      <c r="C12827" t="inlineStr">
        <is>
          <t>CSQA Certificazioni Srl, Thiene, IT</t>
        </is>
      </c>
      <c r="D12827" t="inlineStr">
        <is>
          <t>30.10.2026</t>
        </is>
      </c>
      <c r="E12827" t="inlineStr">
        <is>
          <t>Romania</t>
        </is>
      </c>
    </row>
    <row r="12828">
      <c r="A12828" t="inlineStr">
        <is>
          <t>ROTOR ENERGY TECHNOLOGY CO., LTD.,  Nanjing, Jiangsu Province, China</t>
        </is>
      </c>
      <c r="B12828" t="inlineStr">
        <is>
          <t>Trader</t>
        </is>
      </c>
      <c r="C12828" t="inlineStr">
        <is>
          <t>RINA Services S.p.A., Genova, IT</t>
        </is>
      </c>
      <c r="D12828" t="inlineStr">
        <is>
          <t>30.10.2026</t>
        </is>
      </c>
      <c r="E12828" t="inlineStr">
        <is>
          <t>China</t>
        </is>
      </c>
    </row>
    <row r="12829">
      <c r="A12829" t="inlineStr">
        <is>
          <t>Wuhan Tianji Environmental Engineering Co., Ltd,  Wuhan, Hubei, China</t>
        </is>
      </c>
      <c r="B12829" t="inlineStr">
        <is>
          <t>Trader</t>
        </is>
      </c>
      <c r="C12829" t="inlineStr">
        <is>
          <t>RINA Services S.p.A., Genova, IT</t>
        </is>
      </c>
      <c r="D12829" t="inlineStr">
        <is>
          <t>30.10.2026</t>
        </is>
      </c>
      <c r="E12829" t="inlineStr">
        <is>
          <t>China</t>
        </is>
      </c>
    </row>
    <row r="12830">
      <c r="A12830" t="inlineStr">
        <is>
          <t>Laerdal Medical AS,  Sandnes, Norway</t>
        </is>
      </c>
      <c r="B12830" t="inlineStr">
        <is>
          <t>Processing Unit</t>
        </is>
      </c>
      <c r="C12830" t="inlineStr">
        <is>
          <t>DNV Business Assurance Sweden AB, Solna, SE</t>
        </is>
      </c>
      <c r="D12830" t="inlineStr">
        <is>
          <t>30.10.2026</t>
        </is>
      </c>
      <c r="E12830" t="inlineStr">
        <is>
          <t>Norway</t>
        </is>
      </c>
    </row>
    <row r="12831">
      <c r="A12831" t="inlineStr">
        <is>
          <t>Sekisui Alveo AG,  JA Roermond, Netherlands</t>
        </is>
      </c>
      <c r="B12831" t="inlineStr">
        <is>
          <t>Processing Unit</t>
        </is>
      </c>
      <c r="C12831" t="inlineStr">
        <is>
          <t>TÜV NORD CERT GmbH, Essen, DE</t>
        </is>
      </c>
      <c r="D12831" t="inlineStr">
        <is>
          <t>30.10.2026</t>
        </is>
      </c>
      <c r="E12831" t="inlineStr">
        <is>
          <t>Netherlands</t>
        </is>
      </c>
    </row>
    <row r="12832">
      <c r="A12832" t="inlineStr">
        <is>
          <t>Sekisui Alveo AG,  Adligenswil, Switzerland</t>
        </is>
      </c>
      <c r="B12832" t="inlineStr">
        <is>
          <t>Trader</t>
        </is>
      </c>
      <c r="C12832" t="inlineStr">
        <is>
          <t>TÜV NORD CERT GmbH, Essen, DE</t>
        </is>
      </c>
      <c r="D12832" t="inlineStr">
        <is>
          <t>30.10.2026</t>
        </is>
      </c>
      <c r="E12832" t="inlineStr">
        <is>
          <t>Switzerland</t>
        </is>
      </c>
    </row>
    <row r="12833">
      <c r="A12833" t="inlineStr">
        <is>
          <t>ECCO FEED LLC,  Ciudad Autonoma de Buenos Aires, Argentina</t>
        </is>
      </c>
      <c r="B12833" t="inlineStr">
        <is>
          <t>Trader</t>
        </is>
      </c>
      <c r="C12833" t="inlineStr">
        <is>
          <t>Certificadora Gallega del Noroeste SL, Vilagarcia de Arousa-Pontevedra, ES</t>
        </is>
      </c>
      <c r="D12833" t="inlineStr">
        <is>
          <t>30.10.2026</t>
        </is>
      </c>
      <c r="E12833" t="inlineStr">
        <is>
          <t>Argentina</t>
        </is>
      </c>
    </row>
    <row r="12834">
      <c r="A12834" t="inlineStr">
        <is>
          <t>Sanwa Yushi Co., Ltd.,  Tendo, Japan</t>
        </is>
      </c>
      <c r="B12834" t="inlineStr">
        <is>
          <t>Point of Origin</t>
        </is>
      </c>
      <c r="C12834" t="inlineStr">
        <is>
          <t>Trans Certification and Inspection Sdn Bhd, Kuantan, MY</t>
        </is>
      </c>
      <c r="D12834" t="inlineStr">
        <is>
          <t>30.10.2026</t>
        </is>
      </c>
      <c r="E12834" t="inlineStr">
        <is>
          <t>Japan</t>
        </is>
      </c>
    </row>
    <row r="12835">
      <c r="A12835" t="inlineStr">
        <is>
          <t>VFI,  Wels, Austria</t>
        </is>
      </c>
      <c r="B12835" t="inlineStr">
        <is>
          <t>Trader with Storage</t>
        </is>
      </c>
      <c r="C12835" t="inlineStr">
        <is>
          <t>agroVet GmbH, Enzersfeld, AT</t>
        </is>
      </c>
      <c r="D12835" t="inlineStr">
        <is>
          <t>30.10.2026</t>
        </is>
      </c>
      <c r="E12835" t="inlineStr">
        <is>
          <t>Austria</t>
        </is>
      </c>
    </row>
    <row r="12836">
      <c r="A12836" t="inlineStr">
        <is>
          <t>Aone Agro Products Pvt. Ltd,  P.S. - Polba, Kashwara, Hooghly, West Bengal, India</t>
        </is>
      </c>
      <c r="B12836" t="inlineStr">
        <is>
          <t>Collecting Point, Point of Origin</t>
        </is>
      </c>
      <c r="C12836" t="inlineStr">
        <is>
          <t>Trans Certification and Inspection Sdn Bhd, Kuantan, MY</t>
        </is>
      </c>
      <c r="D12836" t="inlineStr">
        <is>
          <t>30.10.2026</t>
        </is>
      </c>
      <c r="E12836" t="inlineStr">
        <is>
          <t>India</t>
        </is>
      </c>
    </row>
    <row r="12837">
      <c r="A12837" t="inlineStr">
        <is>
          <t>GOLDEN AGRI RESOURCES IBERIA,  Madrid, Spain</t>
        </is>
      </c>
      <c r="B12837" t="inlineStr">
        <is>
          <t>Trader with Storage</t>
        </is>
      </c>
      <c r="C12837" t="inlineStr">
        <is>
          <t>RINA Services S.p.A., Genova, IT</t>
        </is>
      </c>
      <c r="D12837" t="inlineStr">
        <is>
          <t>30.10.2026</t>
        </is>
      </c>
      <c r="E12837" t="inlineStr">
        <is>
          <t>Spain</t>
        </is>
      </c>
    </row>
    <row r="12838">
      <c r="A12838" t="inlineStr">
        <is>
          <t>LA/ES Laminati Estrusi Termoplastici S.R.L.,  Beregazzo con Figliaro, Italy</t>
        </is>
      </c>
      <c r="B12838" t="inlineStr">
        <is>
          <t>Processing Unit, Trader with Storage</t>
        </is>
      </c>
      <c r="C12838" t="inlineStr">
        <is>
          <t>ICIM SpA, sesto san giovanni, IT</t>
        </is>
      </c>
      <c r="D12838" t="inlineStr">
        <is>
          <t>30.10.2026</t>
        </is>
      </c>
      <c r="E12838" t="inlineStr">
        <is>
          <t>Italy</t>
        </is>
      </c>
    </row>
    <row r="12839">
      <c r="A12839" t="inlineStr">
        <is>
          <t>Braskem America, Inc - PP8 La Porte Plant,  La Porte, Texas, United States</t>
        </is>
      </c>
      <c r="B12839" t="inlineStr">
        <is>
          <t>Processing Unit</t>
        </is>
      </c>
      <c r="C12839" t="inlineStr">
        <is>
          <t>DQS CFS GmbH - Deutsche Gesellschaft für Nachhaltigkeit, Frankfurt am Main, DE</t>
        </is>
      </c>
      <c r="D12839" t="inlineStr">
        <is>
          <t>30.10.2026</t>
        </is>
      </c>
      <c r="E12839" t="inlineStr">
        <is>
          <t>United States</t>
        </is>
      </c>
    </row>
    <row r="12840">
      <c r="A12840" t="inlineStr">
        <is>
          <t>Stelliferi &amp; Viconuts S.p.A.,  Ronciglione (VT), Italy</t>
        </is>
      </c>
      <c r="B12840" t="inlineStr">
        <is>
          <t>Point of Origin</t>
        </is>
      </c>
      <c r="C12840" t="inlineStr">
        <is>
          <t>DNV Business Assurance Sweden AB, Solna, SE</t>
        </is>
      </c>
      <c r="D12840" t="inlineStr">
        <is>
          <t>30.10.2026</t>
        </is>
      </c>
      <c r="E12840" t="inlineStr">
        <is>
          <t>Italy</t>
        </is>
      </c>
    </row>
    <row r="12841">
      <c r="A12841" t="inlineStr">
        <is>
          <t>Shaoxing WELLE Kitchen Waste Recycling and Utilization Co., Ltd.,  Shaoxing City Zhejiang Province, China</t>
        </is>
      </c>
      <c r="B12841" t="inlineStr">
        <is>
          <t>Collecting Point, Processing Unit</t>
        </is>
      </c>
      <c r="C12841" t="inlineStr">
        <is>
          <t>RINA Services S.p.A., Genova, IT</t>
        </is>
      </c>
      <c r="D12841" t="inlineStr">
        <is>
          <t>30.10.2026</t>
        </is>
      </c>
      <c r="E12841" t="inlineStr">
        <is>
          <t>China</t>
        </is>
      </c>
    </row>
    <row r="12842">
      <c r="A12842" t="inlineStr">
        <is>
          <t>EPL LImited,  Dhanoli (Bhilad), India</t>
        </is>
      </c>
      <c r="B12842" t="inlineStr">
        <is>
          <t>Processing Unit</t>
        </is>
      </c>
      <c r="C12842" t="inlineStr">
        <is>
          <t>Alcumus ISOQAR Ltd, Stretford, Manchester, GB</t>
        </is>
      </c>
      <c r="D12842" t="inlineStr">
        <is>
          <t>30.10.2026</t>
        </is>
      </c>
      <c r="E12842" t="inlineStr">
        <is>
          <t>India</t>
        </is>
      </c>
    </row>
    <row r="12843">
      <c r="A12843" t="inlineStr">
        <is>
          <t>SD Guthrie International Pasir Gudang Refinery Sdn Bhd,  PASIR GUDANG, Malaysia</t>
        </is>
      </c>
      <c r="B12843" t="inlineStr">
        <is>
          <t>Point of Origin</t>
        </is>
      </c>
      <c r="C12843" t="inlineStr">
        <is>
          <t>Control Union Certifications Germany GmbH, Berlin, DE</t>
        </is>
      </c>
      <c r="D12843" t="inlineStr">
        <is>
          <t>30.10.2026</t>
        </is>
      </c>
      <c r="E12843" t="inlineStr">
        <is>
          <t>Malaysia</t>
        </is>
      </c>
    </row>
    <row r="12844">
      <c r="A12844" t="inlineStr">
        <is>
          <t>Southern Packaging (Jiangsu)CO.,Ltd.,  Changzhou City, Jiangsu Province, China, China</t>
        </is>
      </c>
      <c r="B12844" t="inlineStr">
        <is>
          <t>Processing Unit, Trader with Storage</t>
        </is>
      </c>
      <c r="C12844" t="inlineStr">
        <is>
          <t>China Quality Certification Centre Co., Ltd., Beijing, CN</t>
        </is>
      </c>
      <c r="D12844" t="inlineStr">
        <is>
          <t>30.10.2026</t>
        </is>
      </c>
      <c r="E12844" t="inlineStr">
        <is>
          <t>China</t>
        </is>
      </c>
    </row>
    <row r="12845">
      <c r="A12845" t="inlineStr">
        <is>
          <t>Samhwa Co., Ltd,  Uiwang-si, Gyeonggi-do, Korea, Republic of</t>
        </is>
      </c>
      <c r="B12845" t="inlineStr">
        <is>
          <t>Processing Unit</t>
        </is>
      </c>
      <c r="C12845" t="inlineStr">
        <is>
          <t>Control Union Certifications Germany GmbH, Berlin, DE</t>
        </is>
      </c>
      <c r="D12845" t="inlineStr">
        <is>
          <t>30.10.2026</t>
        </is>
      </c>
      <c r="E12845" t="inlineStr">
        <is>
          <t>Republic of</t>
        </is>
      </c>
    </row>
    <row r="12846">
      <c r="A12846" t="inlineStr">
        <is>
          <t>Xiamen Voke Mold &amp; Plastic Engineering Co.,Ltd,  Xiamen,Fujian, China</t>
        </is>
      </c>
      <c r="B12846" t="inlineStr">
        <is>
          <t>Processing Unit</t>
        </is>
      </c>
      <c r="C12846" t="inlineStr">
        <is>
          <t>Bureau Veritas Polska Sp. z o.o., Warsaw, PL</t>
        </is>
      </c>
      <c r="D12846" t="inlineStr">
        <is>
          <t>30.10.2026</t>
        </is>
      </c>
      <c r="E12846" t="inlineStr">
        <is>
          <t>China</t>
        </is>
      </c>
    </row>
    <row r="12847">
      <c r="A12847" t="inlineStr">
        <is>
          <t>Transped s.r.o.,  Čierna nad Tisou, Slovakia</t>
        </is>
      </c>
      <c r="B12847" t="inlineStr">
        <is>
          <t>Trader with Storage</t>
        </is>
      </c>
      <c r="C12847" t="inlineStr">
        <is>
          <t>Bureau Veritas Polska Sp. z o.o., Warsaw, PL</t>
        </is>
      </c>
      <c r="D12847" t="inlineStr">
        <is>
          <t>30.10.2026</t>
        </is>
      </c>
      <c r="E12847" t="inlineStr">
        <is>
          <t>Slovakia</t>
        </is>
      </c>
    </row>
    <row r="12848">
      <c r="A12848" t="inlineStr">
        <is>
          <t>IMCD Sweden AB,  Malmö, Sweden</t>
        </is>
      </c>
      <c r="B12848" t="inlineStr">
        <is>
          <t>Trader, Trader with Storage</t>
        </is>
      </c>
      <c r="C12848" t="inlineStr">
        <is>
          <t>Bureau Veritas Polska Sp. z o.o., Warsaw, PL</t>
        </is>
      </c>
      <c r="D12848" t="inlineStr">
        <is>
          <t>30.10.2026</t>
        </is>
      </c>
      <c r="E12848" t="inlineStr">
        <is>
          <t>Sweden</t>
        </is>
      </c>
    </row>
    <row r="12849">
      <c r="A12849" t="inlineStr">
        <is>
          <t>Scientex Packaging (Australia) Pty. Ltd.,  Chadstone, Melbourne, Victoria, Australia</t>
        </is>
      </c>
      <c r="B12849" t="inlineStr">
        <is>
          <t>Trader with Storage</t>
        </is>
      </c>
      <c r="C12849" t="inlineStr">
        <is>
          <t>SCS Global Services, Emeryville, CA, US</t>
        </is>
      </c>
      <c r="D12849" t="inlineStr">
        <is>
          <t>30.10.2026</t>
        </is>
      </c>
      <c r="E12849" t="inlineStr">
        <is>
          <t>Australia</t>
        </is>
      </c>
    </row>
    <row r="12850">
      <c r="A12850" t="inlineStr">
        <is>
          <t>Alterwaste,  Tbilisi, Georgia</t>
        </is>
      </c>
      <c r="B12850" t="inlineStr">
        <is>
          <t>Collecting Point</t>
        </is>
      </c>
      <c r="C12850" t="inlineStr">
        <is>
          <t>Aciter Genelab LLC, Odessa, UA</t>
        </is>
      </c>
      <c r="D12850" t="inlineStr">
        <is>
          <t>30.10.2026</t>
        </is>
      </c>
      <c r="E12850" t="inlineStr">
        <is>
          <t>Georgia</t>
        </is>
      </c>
    </row>
    <row r="12851">
      <c r="A12851" t="inlineStr">
        <is>
          <t>Oerlemans Plastics BV,  Genderen, Netherlands</t>
        </is>
      </c>
      <c r="B12851" t="inlineStr">
        <is>
          <t>Processing Unit</t>
        </is>
      </c>
      <c r="C12851" t="inlineStr">
        <is>
          <t>DEKRA Certification B.V., Arnhem, NL</t>
        </is>
      </c>
      <c r="D12851" t="inlineStr">
        <is>
          <t>30.10.2026</t>
        </is>
      </c>
      <c r="E12851" t="inlineStr">
        <is>
          <t>Netherlands</t>
        </is>
      </c>
    </row>
    <row r="12852">
      <c r="A12852" t="inlineStr">
        <is>
          <t>Oerlemans Plastics BV,  Giessen, Netherlands</t>
        </is>
      </c>
      <c r="B12852" t="inlineStr">
        <is>
          <t>Processing Unit</t>
        </is>
      </c>
      <c r="C12852" t="inlineStr">
        <is>
          <t>DEKRA Certification B.V., Arnhem, NL</t>
        </is>
      </c>
      <c r="D12852" t="inlineStr">
        <is>
          <t>30.10.2026</t>
        </is>
      </c>
      <c r="E12852" t="inlineStr">
        <is>
          <t>Netherlands</t>
        </is>
      </c>
    </row>
    <row r="12853">
      <c r="A12853" t="inlineStr">
        <is>
          <t>SIA "VK Ekspedīcija",  Ventspils, Latvia</t>
        </is>
      </c>
      <c r="B12853" t="inlineStr">
        <is>
          <t>Trader with Storage, First Gathering Point</t>
        </is>
      </c>
      <c r="C12853" t="inlineStr">
        <is>
          <t>BM Certification, Riga, LV</t>
        </is>
      </c>
      <c r="D12853" t="inlineStr">
        <is>
          <t>30.10.2026</t>
        </is>
      </c>
      <c r="E12853" t="inlineStr">
        <is>
          <t>Latvia</t>
        </is>
      </c>
    </row>
    <row r="12854">
      <c r="A12854" t="inlineStr">
        <is>
          <t>Shell Czech Republic a.s.,  Praha 4, Czech Republic</t>
        </is>
      </c>
      <c r="B12854" t="inlineStr">
        <is>
          <t>Trader</t>
        </is>
      </c>
      <c r="C12854" t="inlineStr">
        <is>
          <t>SGS Germany GmbH, Emstek, DE</t>
        </is>
      </c>
      <c r="D12854" t="inlineStr">
        <is>
          <t>30.10.2026</t>
        </is>
      </c>
      <c r="E12854" t="inlineStr">
        <is>
          <t>Czech Republic</t>
        </is>
      </c>
    </row>
    <row r="12855">
      <c r="A12855" t="inlineStr">
        <is>
          <t>Dae Young Technology Indonesia,  Subang, Indonesia</t>
        </is>
      </c>
      <c r="B12855" t="inlineStr">
        <is>
          <t>Processing Unit</t>
        </is>
      </c>
      <c r="C12855" t="inlineStr">
        <is>
          <t>PT Intertek Utama Services, Jakarta, ID</t>
        </is>
      </c>
      <c r="D12855" t="inlineStr">
        <is>
          <t>30.10.2026</t>
        </is>
      </c>
      <c r="E12855" t="inlineStr">
        <is>
          <t>Indonesia</t>
        </is>
      </c>
    </row>
    <row r="12856">
      <c r="A12856" t="inlineStr">
        <is>
          <t>Zeon Chemicals Singapore,  Jurong Island, Singapore</t>
        </is>
      </c>
      <c r="B12856" t="inlineStr">
        <is>
          <t>Processing Unit</t>
        </is>
      </c>
      <c r="C12856" t="inlineStr">
        <is>
          <t>DNV Business Assurance Sweden AB, Solna, SE</t>
        </is>
      </c>
      <c r="D12856" t="inlineStr">
        <is>
          <t>30.10.2026</t>
        </is>
      </c>
      <c r="E12856" t="inlineStr">
        <is>
          <t>Singapore</t>
        </is>
      </c>
    </row>
    <row r="12857">
      <c r="A12857" t="inlineStr">
        <is>
          <t>Agrisan,  Saranga, Romania</t>
        </is>
      </c>
      <c r="B12857" t="inlineStr">
        <is>
          <t>Farm / Plantation, First Gathering Point</t>
        </is>
      </c>
      <c r="C12857" t="inlineStr">
        <is>
          <t>SRAC Cert SRL, Bucharest, RO</t>
        </is>
      </c>
      <c r="D12857" t="inlineStr">
        <is>
          <t>30.10.2026</t>
        </is>
      </c>
      <c r="E12857" t="inlineStr">
        <is>
          <t>Romania</t>
        </is>
      </c>
    </row>
    <row r="12858">
      <c r="A12858" t="inlineStr">
        <is>
          <t>Pactiv Evergreen LLC,  Hazle Township, United States</t>
        </is>
      </c>
      <c r="B12858" t="inlineStr">
        <is>
          <t>Processing Unit</t>
        </is>
      </c>
      <c r="C12858" t="inlineStr">
        <is>
          <t>SCS Global Services, Emeryville, CA, US</t>
        </is>
      </c>
      <c r="D12858" t="inlineStr">
        <is>
          <t>30.10.2026</t>
        </is>
      </c>
      <c r="E12858" t="inlineStr">
        <is>
          <t>United States</t>
        </is>
      </c>
    </row>
    <row r="12859">
      <c r="A12859" t="inlineStr">
        <is>
          <t>EPS resource,  Seoul, South Korea</t>
        </is>
      </c>
      <c r="B12859" t="inlineStr">
        <is>
          <t>Processing Unit</t>
        </is>
      </c>
      <c r="C12859" t="inlineStr">
        <is>
          <t>Korean Foundation for Quality, Songpa-gu, Seoul, KR</t>
        </is>
      </c>
      <c r="D12859" t="inlineStr">
        <is>
          <t>30.10.2026</t>
        </is>
      </c>
      <c r="E12859" t="inlineStr">
        <is>
          <t>South Korea</t>
        </is>
      </c>
    </row>
    <row r="12860">
      <c r="A12860" t="inlineStr">
        <is>
          <t>INDUTRADE COLOMBIA SOCIEDAD DE COMERCIALIZACIÓN INTERNACIONAL S.A.S,  PUERTO COLOMBIA, Colombia</t>
        </is>
      </c>
      <c r="B12860" t="inlineStr">
        <is>
          <t>Collecting Point, Trader with Storage</t>
        </is>
      </c>
      <c r="C12860" t="inlineStr">
        <is>
          <t>Control Union Poland Sp. z o.o., Zielona Gora, PL</t>
        </is>
      </c>
      <c r="D12860" t="inlineStr">
        <is>
          <t>30.10.2026</t>
        </is>
      </c>
      <c r="E12860" t="inlineStr">
        <is>
          <t>Colombia</t>
        </is>
      </c>
    </row>
    <row r="12861">
      <c r="A12861" t="inlineStr">
        <is>
          <t>Interflex Group,  Dalkeith, Midlothian, United Kingdom</t>
        </is>
      </c>
      <c r="B12861" t="inlineStr">
        <is>
          <t>Processing Unit</t>
        </is>
      </c>
      <c r="C12861" t="inlineStr">
        <is>
          <t>Aardvark Certification Ltd, Wiveliscombe, Somerset, GB</t>
        </is>
      </c>
      <c r="D12861" t="inlineStr">
        <is>
          <t>30.10.2026</t>
        </is>
      </c>
      <c r="E12861" t="inlineStr">
        <is>
          <t>United Kingdom</t>
        </is>
      </c>
    </row>
    <row r="12862">
      <c r="A12862" t="inlineStr">
        <is>
          <t>Tambowie Bioenergy Ltd,  Milngavie, United Kingdom</t>
        </is>
      </c>
      <c r="B12862" t="inlineStr">
        <is>
          <t>Collecting Point, Processing Unit</t>
        </is>
      </c>
      <c r="C12862" t="inlineStr">
        <is>
          <t>Aardvark Certification Ltd, Wiveliscombe, Somerset, GB</t>
        </is>
      </c>
      <c r="D12862" t="inlineStr">
        <is>
          <t>30.10.2026</t>
        </is>
      </c>
      <c r="E12862" t="inlineStr">
        <is>
          <t>United Kingdom</t>
        </is>
      </c>
    </row>
    <row r="12863">
      <c r="A12863" t="inlineStr">
        <is>
          <t>Gaia NRG Nigeria Limited,  Elele, Ikwerre LGA, Nigeria</t>
        </is>
      </c>
      <c r="B12863" t="inlineStr">
        <is>
          <t>Collecting Point</t>
        </is>
      </c>
      <c r="C12863" t="inlineStr">
        <is>
          <t>BM Certification, Riga, LV</t>
        </is>
      </c>
      <c r="D12863" t="inlineStr">
        <is>
          <t>30.10.2026</t>
        </is>
      </c>
      <c r="E12863" t="inlineStr">
        <is>
          <t>Nigeria</t>
        </is>
      </c>
    </row>
    <row r="12864">
      <c r="A12864" t="inlineStr">
        <is>
          <t>Twence Bioconversie B.V.,  Hengelo, Netherlands</t>
        </is>
      </c>
      <c r="B12864" t="inlineStr">
        <is>
          <t>Trader with Storage, Collecting Point, Processing Unit</t>
        </is>
      </c>
      <c r="C12864" t="inlineStr">
        <is>
          <t>DEKRA Certification B.V., Arnhem, NL</t>
        </is>
      </c>
      <c r="D12864" t="inlineStr">
        <is>
          <t>30.10.2026</t>
        </is>
      </c>
      <c r="E12864" t="inlineStr">
        <is>
          <t>Netherlands</t>
        </is>
      </c>
    </row>
    <row r="12865">
      <c r="A12865" t="inlineStr">
        <is>
          <t>T A M terminal s.r.o.,  Komárno, Slovakia</t>
        </is>
      </c>
      <c r="B12865" t="inlineStr">
        <is>
          <t>Trader with Storage</t>
        </is>
      </c>
      <c r="C12865" t="inlineStr">
        <is>
          <t>Bureau Veritas Polska Sp. z o.o., Warsaw, PL</t>
        </is>
      </c>
      <c r="D12865" t="inlineStr">
        <is>
          <t>30.10.2026</t>
        </is>
      </c>
      <c r="E12865" t="inlineStr">
        <is>
          <t>Slovakia</t>
        </is>
      </c>
    </row>
    <row r="12866">
      <c r="A12866" t="inlineStr">
        <is>
          <t>Tsouparopoulos Zisis,  Karditsa, Greece</t>
        </is>
      </c>
      <c r="B12866" t="inlineStr">
        <is>
          <t>Collecting Point</t>
        </is>
      </c>
      <c r="C12866" t="inlineStr">
        <is>
          <t>QMSCERT S.A., Pylaia, Thessaloniki, GR</t>
        </is>
      </c>
      <c r="D12866" t="inlineStr">
        <is>
          <t>30.10.2026</t>
        </is>
      </c>
      <c r="E12866" t="inlineStr">
        <is>
          <t>Greece</t>
        </is>
      </c>
    </row>
    <row r="12867">
      <c r="A12867" t="inlineStr">
        <is>
          <t>Tianjin Mingrui Oil Co., Ltd.,  Binhai New Area, Tianjin, China</t>
        </is>
      </c>
      <c r="B12867" t="inlineStr">
        <is>
          <t>Collecting Point, Trader with Storage</t>
        </is>
      </c>
      <c r="C12867" t="inlineStr">
        <is>
          <t>SCS Global Services, Emeryville, CA, US</t>
        </is>
      </c>
      <c r="D12867" t="inlineStr">
        <is>
          <t>29.10.2026</t>
        </is>
      </c>
      <c r="E12867" t="inlineStr">
        <is>
          <t>China</t>
        </is>
      </c>
    </row>
    <row r="12868">
      <c r="A12868" t="inlineStr">
        <is>
          <t>Jiujiang Oasis Environmental Technology Co., Ltd.,  Jiujiang City, Jiangxi Province, China</t>
        </is>
      </c>
      <c r="B12868" t="inlineStr">
        <is>
          <t>Collecting Point, Trader with Storage, Processing Unit</t>
        </is>
      </c>
      <c r="C12868" t="inlineStr">
        <is>
          <t>RINA Services S.p.A., Genova, IT</t>
        </is>
      </c>
      <c r="D12868" t="inlineStr">
        <is>
          <t>29.10.2026</t>
        </is>
      </c>
      <c r="E12868" t="inlineStr">
        <is>
          <t>China</t>
        </is>
      </c>
    </row>
    <row r="12869">
      <c r="A12869" t="inlineStr">
        <is>
          <t>Guangxi WELLE Environmental Protection Technology Development Co., Ltd.,  Nanning City Guangxi Province, China</t>
        </is>
      </c>
      <c r="B12869" t="inlineStr">
        <is>
          <t>Collecting Point, Processing Unit</t>
        </is>
      </c>
      <c r="C12869" t="inlineStr">
        <is>
          <t>RINA Services S.p.A., Genova, IT</t>
        </is>
      </c>
      <c r="D12869" t="inlineStr">
        <is>
          <t>29.10.2026</t>
        </is>
      </c>
      <c r="E12869" t="inlineStr">
        <is>
          <t>China</t>
        </is>
      </c>
    </row>
    <row r="12870">
      <c r="A12870" t="inlineStr">
        <is>
          <t>Ningde WELLE Environmental Protection Technology Co., Ltd,  Ningde City, Fujian Province, China</t>
        </is>
      </c>
      <c r="B12870" t="inlineStr">
        <is>
          <t>Collecting Point, Processing Unit</t>
        </is>
      </c>
      <c r="C12870" t="inlineStr">
        <is>
          <t>RINA Services S.p.A., Genova, IT</t>
        </is>
      </c>
      <c r="D12870" t="inlineStr">
        <is>
          <t>29.10.2026</t>
        </is>
      </c>
      <c r="E12870" t="inlineStr">
        <is>
          <t>China</t>
        </is>
      </c>
    </row>
    <row r="12871">
      <c r="A12871" t="inlineStr">
        <is>
          <t>Amcor Flexibles (Australia) Pty Ltd,  Acacia Ridge, Queensland, Australia</t>
        </is>
      </c>
      <c r="B12871" t="inlineStr">
        <is>
          <t>Processing Unit, Trader with Storage</t>
        </is>
      </c>
      <c r="C12871" t="inlineStr">
        <is>
          <t>SGS Germany GmbH, Emstek, DE</t>
        </is>
      </c>
      <c r="D12871" t="inlineStr">
        <is>
          <t>29.10.2026</t>
        </is>
      </c>
      <c r="E12871" t="inlineStr">
        <is>
          <t>Australia</t>
        </is>
      </c>
    </row>
    <row r="12872">
      <c r="A12872" t="inlineStr">
        <is>
          <t>Trafigura PTE LTD, Branch office Geneva,  Geneva, Switzerland</t>
        </is>
      </c>
      <c r="B12872" t="inlineStr">
        <is>
          <t>Trader with Storage</t>
        </is>
      </c>
      <c r="C12872" t="inlineStr">
        <is>
          <t>ASG Cert GmbH, Munich, DE</t>
        </is>
      </c>
      <c r="D12872" t="inlineStr">
        <is>
          <t>29.10.2026</t>
        </is>
      </c>
      <c r="E12872" t="inlineStr">
        <is>
          <t>Switzerland</t>
        </is>
      </c>
    </row>
    <row r="12873">
      <c r="A12873" t="inlineStr">
        <is>
          <t>Dongfeng Tianhe Agricultural Company,  Liaoyuan City, China</t>
        </is>
      </c>
      <c r="B12873" t="inlineStr">
        <is>
          <t>First Gathering Point</t>
        </is>
      </c>
      <c r="C12873" t="inlineStr">
        <is>
          <t>Bureau Veritas Polska Sp. z o.o., Warsaw, PL</t>
        </is>
      </c>
      <c r="D12873" t="inlineStr">
        <is>
          <t>29.10.2026</t>
        </is>
      </c>
      <c r="E12873" t="inlineStr">
        <is>
          <t>China</t>
        </is>
      </c>
    </row>
    <row r="12874">
      <c r="A12874" t="inlineStr">
        <is>
          <t>TFG Marine B.V.,  Geneva, Switzerland</t>
        </is>
      </c>
      <c r="B12874" t="inlineStr">
        <is>
          <t>Trader with Storage, Proof of Compliance Trader</t>
        </is>
      </c>
      <c r="C12874" t="inlineStr">
        <is>
          <t>ASG Cert GmbH, Munich, DE</t>
        </is>
      </c>
      <c r="D12874" t="inlineStr">
        <is>
          <t>29.10.2026</t>
        </is>
      </c>
      <c r="E12874" t="inlineStr">
        <is>
          <t>Switzerland</t>
        </is>
      </c>
    </row>
    <row r="12875">
      <c r="A12875" t="inlineStr">
        <is>
          <t>AAK Denmark A/S,  Aarhus C, Denmark</t>
        </is>
      </c>
      <c r="B12875" t="inlineStr">
        <is>
          <t>Processing Unit</t>
        </is>
      </c>
      <c r="C12875" t="inlineStr">
        <is>
          <t>Baltic Control Certification, Risskov, DK</t>
        </is>
      </c>
      <c r="D12875" t="inlineStr">
        <is>
          <t>29.10.2026</t>
        </is>
      </c>
      <c r="E12875" t="inlineStr">
        <is>
          <t>Denmark</t>
        </is>
      </c>
    </row>
    <row r="12876">
      <c r="A12876" t="inlineStr">
        <is>
          <t>AAK Denmark A/S,  Aarhus C, Denmark</t>
        </is>
      </c>
      <c r="B12876" t="inlineStr">
        <is>
          <t>Processing Unit</t>
        </is>
      </c>
      <c r="C12876" t="inlineStr">
        <is>
          <t>Baltic Control Certification, Risskov, DK</t>
        </is>
      </c>
      <c r="D12876" t="inlineStr">
        <is>
          <t>29.10.2026</t>
        </is>
      </c>
      <c r="E12876" t="inlineStr">
        <is>
          <t>Denmark</t>
        </is>
      </c>
    </row>
    <row r="12877">
      <c r="A12877" t="inlineStr">
        <is>
          <t>Chilsan Industrial Co.,Ltd,  Jeollanam-do, Korea, Republic of</t>
        </is>
      </c>
      <c r="B12877" t="inlineStr">
        <is>
          <t>Collecting Point, Processing Unit</t>
        </is>
      </c>
      <c r="C12877" t="inlineStr">
        <is>
          <t>Control Union Certifications Germany GmbH, Berlin, DE</t>
        </is>
      </c>
      <c r="D12877" t="inlineStr">
        <is>
          <t>29.10.2026</t>
        </is>
      </c>
      <c r="E12877" t="inlineStr">
        <is>
          <t>Republic of</t>
        </is>
      </c>
    </row>
    <row r="12878">
      <c r="A12878" t="inlineStr">
        <is>
          <t>Myeongjin Industrial Co.,Ltd,  Jeollanam-do, Korea, Republic of</t>
        </is>
      </c>
      <c r="B12878" t="inlineStr">
        <is>
          <t>Collecting Point, Processing Unit</t>
        </is>
      </c>
      <c r="C12878" t="inlineStr">
        <is>
          <t>Control Union Certifications Germany GmbH, Berlin, DE</t>
        </is>
      </c>
      <c r="D12878" t="inlineStr">
        <is>
          <t>29.10.2026</t>
        </is>
      </c>
      <c r="E12878" t="inlineStr">
        <is>
          <t>Republic of</t>
        </is>
      </c>
    </row>
    <row r="12879">
      <c r="A12879" t="inlineStr">
        <is>
          <t>AGROSOLUM, s.r.o.,  Dolné Zahorany, Slovakia</t>
        </is>
      </c>
      <c r="B12879" t="inlineStr">
        <is>
          <t>Collecting Point, First Gathering Point, Point of Origin, Trader with Storage</t>
        </is>
      </c>
      <c r="C12879" t="inlineStr">
        <is>
          <t>United Registrar of Systems Polska Sp. z o.o., Wrocław, PL</t>
        </is>
      </c>
      <c r="D12879" t="inlineStr">
        <is>
          <t>29.10.2026</t>
        </is>
      </c>
      <c r="E12879" t="inlineStr">
        <is>
          <t>Slovakia</t>
        </is>
      </c>
    </row>
    <row r="12880">
      <c r="A12880" t="inlineStr">
        <is>
          <t>Hanil Chemical Ind. Co., Ltd.,  Dangjin-si, Chungcheongnam-do, Korea, Republic of</t>
        </is>
      </c>
      <c r="B12880" t="inlineStr">
        <is>
          <t>Collecting Point, Processing Unit</t>
        </is>
      </c>
      <c r="C12880" t="inlineStr">
        <is>
          <t>Control Union Certifications Germany GmbH, Berlin, DE</t>
        </is>
      </c>
      <c r="D12880" t="inlineStr">
        <is>
          <t>29.10.2026</t>
        </is>
      </c>
      <c r="E12880" t="inlineStr">
        <is>
          <t>Republic of</t>
        </is>
      </c>
    </row>
    <row r="12881">
      <c r="A12881" t="inlineStr">
        <is>
          <t>CHS Serbia D.O.O. Novi Sad,  Novi Sad, Serbia</t>
        </is>
      </c>
      <c r="B12881" t="inlineStr">
        <is>
          <t>First Gathering Point, Trader</t>
        </is>
      </c>
      <c r="C12881" t="inlineStr">
        <is>
          <t>Control Union Certifications Germany GmbH, Berlin, DE</t>
        </is>
      </c>
      <c r="D12881" t="inlineStr">
        <is>
          <t>29.10.2026</t>
        </is>
      </c>
      <c r="E12881" t="inlineStr">
        <is>
          <t>Serbia</t>
        </is>
      </c>
    </row>
    <row r="12882">
      <c r="A12882" t="inlineStr">
        <is>
          <t>EUROCORP TRADE s.r.o.,  Valašské Klobouky, Czech Republic</t>
        </is>
      </c>
      <c r="B12882" t="inlineStr">
        <is>
          <t>Collecting Point, First Gathering Point, Trader with Storage</t>
        </is>
      </c>
      <c r="C12882" t="inlineStr">
        <is>
          <t>United Registrar of Systems Polska Sp. z o.o., Wrocław, PL</t>
        </is>
      </c>
      <c r="D12882" t="inlineStr">
        <is>
          <t>29.10.2026</t>
        </is>
      </c>
      <c r="E12882" t="inlineStr">
        <is>
          <t>Czech Republic</t>
        </is>
      </c>
    </row>
    <row r="12883">
      <c r="A12883" t="inlineStr">
        <is>
          <t>KOLON USA INCORPORATED,  SUITE 105, RIDGEFIELD PARK, NJ, United States</t>
        </is>
      </c>
      <c r="B12883" t="inlineStr">
        <is>
          <t>Trader with Storage</t>
        </is>
      </c>
      <c r="C12883" t="inlineStr">
        <is>
          <t>Control Union Certifications Germany GmbH, Berlin, DE</t>
        </is>
      </c>
      <c r="D12883" t="inlineStr">
        <is>
          <t>29.10.2026</t>
        </is>
      </c>
      <c r="E12883" t="inlineStr">
        <is>
          <t>United States</t>
        </is>
      </c>
    </row>
    <row r="12884">
      <c r="A12884" t="inlineStr">
        <is>
          <t>IPIRANGA PRODUTOS DE PETROLEO S.A.,  Santos, Brazil</t>
        </is>
      </c>
      <c r="B12884" t="inlineStr">
        <is>
          <t>Trader</t>
        </is>
      </c>
      <c r="C12884" t="inlineStr">
        <is>
          <t>Control Union Certifications Germany GmbH, Berlin, DE</t>
        </is>
      </c>
      <c r="D12884" t="inlineStr">
        <is>
          <t>29.10.2026</t>
        </is>
      </c>
      <c r="E12884" t="inlineStr">
        <is>
          <t>Brazil</t>
        </is>
      </c>
    </row>
    <row r="12885">
      <c r="A12885" t="inlineStr">
        <is>
          <t>SS Renewables Sdn. Bhd.,  Maran, Malaysia</t>
        </is>
      </c>
      <c r="B12885" t="inlineStr">
        <is>
          <t>Trader with Storage, Processing Unit</t>
        </is>
      </c>
      <c r="C12885" t="inlineStr">
        <is>
          <t>Control Union Certifications Germany GmbH, Berlin, DE</t>
        </is>
      </c>
      <c r="D12885" t="inlineStr">
        <is>
          <t>29.10.2026</t>
        </is>
      </c>
      <c r="E12885" t="inlineStr">
        <is>
          <t>Malaysia</t>
        </is>
      </c>
    </row>
    <row r="12886">
      <c r="A12886" t="inlineStr">
        <is>
          <t>PT Intibenua Perkasatama,  Dumai, Indonesia</t>
        </is>
      </c>
      <c r="B12886" t="inlineStr">
        <is>
          <t>Point of Origin, Trader, Warehouse, Processing Unit</t>
        </is>
      </c>
      <c r="C12886" t="inlineStr">
        <is>
          <t>Control Union Certifications Germany GmbH, Berlin, DE</t>
        </is>
      </c>
      <c r="D12886" t="inlineStr">
        <is>
          <t>29.10.2026</t>
        </is>
      </c>
      <c r="E12886" t="inlineStr">
        <is>
          <t>Indonesia</t>
        </is>
      </c>
    </row>
    <row r="12887">
      <c r="A12887" t="inlineStr">
        <is>
          <t>Trafigura PTE LTD, Branch office Geneva,  Geneva, Switzerland</t>
        </is>
      </c>
      <c r="B12887" t="inlineStr">
        <is>
          <t>Trader with Storage</t>
        </is>
      </c>
      <c r="C12887" t="inlineStr">
        <is>
          <t>ASG Cert GmbH, Munich, DE</t>
        </is>
      </c>
      <c r="D12887" t="inlineStr">
        <is>
          <t>29.10.2026</t>
        </is>
      </c>
      <c r="E12887" t="inlineStr">
        <is>
          <t>Switzerland</t>
        </is>
      </c>
    </row>
    <row r="12888">
      <c r="A12888" t="inlineStr">
        <is>
          <t>Game Srl,  Roma, Italy</t>
        </is>
      </c>
      <c r="B12888" t="inlineStr">
        <is>
          <t>Collecting Point, Trader with Storage, Processing Unit</t>
        </is>
      </c>
      <c r="C12888" t="inlineStr">
        <is>
          <t>Certi W Baltic SIA, Riga, LV</t>
        </is>
      </c>
      <c r="D12888" t="inlineStr">
        <is>
          <t>29.10.2026</t>
        </is>
      </c>
      <c r="E12888" t="inlineStr">
        <is>
          <t>Italy</t>
        </is>
      </c>
    </row>
    <row r="12889">
      <c r="A12889" t="inlineStr">
        <is>
          <t>Deilana,  Pakruojis, Lithuania</t>
        </is>
      </c>
      <c r="B12889" t="inlineStr">
        <is>
          <t>Collecting Point, Trader</t>
        </is>
      </c>
      <c r="C12889" t="inlineStr">
        <is>
          <t>BM Certification, Riga, LV</t>
        </is>
      </c>
      <c r="D12889" t="inlineStr">
        <is>
          <t>29.10.2026</t>
        </is>
      </c>
      <c r="E12889" t="inlineStr">
        <is>
          <t>Lithuania</t>
        </is>
      </c>
    </row>
    <row r="12890">
      <c r="A12890" t="inlineStr">
        <is>
          <t>Cosmo First Limited,  Aurangabad, Maharashtra, India</t>
        </is>
      </c>
      <c r="B12890" t="inlineStr">
        <is>
          <t>Processing Unit</t>
        </is>
      </c>
      <c r="C12890" t="inlineStr">
        <is>
          <t>SGS Germany GmbH, Emstek, DE</t>
        </is>
      </c>
      <c r="D12890" t="inlineStr">
        <is>
          <t>29.10.2026</t>
        </is>
      </c>
      <c r="E12890" t="inlineStr">
        <is>
          <t>India</t>
        </is>
      </c>
    </row>
    <row r="12891">
      <c r="A12891" t="inlineStr">
        <is>
          <t>Cosmo First Limited,  Aurangabad, Maharashtra, India., India</t>
        </is>
      </c>
      <c r="B12891" t="inlineStr">
        <is>
          <t>Processing Unit</t>
        </is>
      </c>
      <c r="C12891" t="inlineStr">
        <is>
          <t>SGS Germany GmbH, Emstek, DE</t>
        </is>
      </c>
      <c r="D12891" t="inlineStr">
        <is>
          <t>29.10.2026</t>
        </is>
      </c>
      <c r="E12891" t="inlineStr">
        <is>
          <t>India</t>
        </is>
      </c>
    </row>
    <row r="12892">
      <c r="A12892" t="inlineStr">
        <is>
          <t>MERCURIA ASIA RESOURCES PTE LTD,  SINGAPORE, Singapore</t>
        </is>
      </c>
      <c r="B12892" t="inlineStr">
        <is>
          <t>Trader with Storage</t>
        </is>
      </c>
      <c r="C12892" t="inlineStr">
        <is>
          <t>SGS Germany GmbH, Emstek, DE</t>
        </is>
      </c>
      <c r="D12892" t="inlineStr">
        <is>
          <t>29.10.2026</t>
        </is>
      </c>
      <c r="E12892" t="inlineStr">
        <is>
          <t>Singapore</t>
        </is>
      </c>
    </row>
    <row r="12893">
      <c r="A12893" t="inlineStr">
        <is>
          <t>Amcor Flexibles (Australia) Pty Ltd,  Preston, Victoria, Australia</t>
        </is>
      </c>
      <c r="B12893" t="inlineStr">
        <is>
          <t>Processing Unit, Trader with Storage</t>
        </is>
      </c>
      <c r="C12893" t="inlineStr">
        <is>
          <t>SGS Germany GmbH, Emstek, DE</t>
        </is>
      </c>
      <c r="D12893" t="inlineStr">
        <is>
          <t>29.10.2026</t>
        </is>
      </c>
      <c r="E12893" t="inlineStr">
        <is>
          <t>Australia</t>
        </is>
      </c>
    </row>
    <row r="12894">
      <c r="A12894" t="inlineStr">
        <is>
          <t>RWA Hrvatska d.o.o.,  Osijek, Croatia</t>
        </is>
      </c>
      <c r="B12894" t="inlineStr">
        <is>
          <t>First Gathering Point, Trader with Storage</t>
        </is>
      </c>
      <c r="C12894" t="inlineStr">
        <is>
          <t>Bureau Veritas Polska Sp. z o.o., Warsaw, PL</t>
        </is>
      </c>
      <c r="D12894" t="inlineStr">
        <is>
          <t>29.10.2026</t>
        </is>
      </c>
      <c r="E12894" t="inlineStr">
        <is>
          <t>Croatia</t>
        </is>
      </c>
    </row>
    <row r="12895">
      <c r="A12895" t="inlineStr">
        <is>
          <t>KOHJIN Film&amp;Chemicals Co.,Ltd Yatsushiro Factory,  Yatsushiro-shi,Kumamoto, Japan</t>
        </is>
      </c>
      <c r="B12895" t="inlineStr">
        <is>
          <t>Processing Unit</t>
        </is>
      </c>
      <c r="C12895" t="inlineStr">
        <is>
          <t>SGS Germany GmbH, Emstek, DE</t>
        </is>
      </c>
      <c r="D12895" t="inlineStr">
        <is>
          <t>29.10.2026</t>
        </is>
      </c>
      <c r="E12895" t="inlineStr">
        <is>
          <t>Japan</t>
        </is>
      </c>
    </row>
    <row r="12896">
      <c r="A12896" t="inlineStr">
        <is>
          <t>Guizhou Yiyuan Biotechnology Co., Ltd.,  Zunyi City, Guizhou Province, China</t>
        </is>
      </c>
      <c r="B12896" t="inlineStr">
        <is>
          <t>Collecting Point, Trader with Storage</t>
        </is>
      </c>
      <c r="C12896" t="inlineStr">
        <is>
          <t>SCS Global Services, Emeryville, CA, US</t>
        </is>
      </c>
      <c r="D12896" t="inlineStr">
        <is>
          <t>29.10.2026</t>
        </is>
      </c>
      <c r="E12896" t="inlineStr">
        <is>
          <t>China</t>
        </is>
      </c>
    </row>
    <row r="12897">
      <c r="A12897" t="inlineStr">
        <is>
          <t>JIANGXI BLACKCAT CARBON BLACK INC., LTD.,  Changjiang District, Jingdezhen City, Jiangxi, China</t>
        </is>
      </c>
      <c r="B12897" t="inlineStr">
        <is>
          <t>Processing Unit</t>
        </is>
      </c>
      <c r="C12897" t="inlineStr">
        <is>
          <t>CTI Certification Co. Ltd, Shenzhen, CN</t>
        </is>
      </c>
      <c r="D12897" t="inlineStr">
        <is>
          <t>29.10.2026</t>
        </is>
      </c>
      <c r="E12897" t="inlineStr">
        <is>
          <t>China</t>
        </is>
      </c>
    </row>
    <row r="12898">
      <c r="A12898" t="inlineStr">
        <is>
          <t>Alpla Italia s.r.l.,  Anzio (RM), Italy</t>
        </is>
      </c>
      <c r="B12898" t="inlineStr">
        <is>
          <t>Final Product Refinement</t>
        </is>
      </c>
      <c r="C12898" t="inlineStr">
        <is>
          <t>Control Union Poland Sp. z o.o., Zielona Gora, PL</t>
        </is>
      </c>
      <c r="D12898" t="inlineStr">
        <is>
          <t>29.10.2026</t>
        </is>
      </c>
      <c r="E12898" t="inlineStr">
        <is>
          <t>Italy</t>
        </is>
      </c>
    </row>
    <row r="12899">
      <c r="A12899" t="inlineStr">
        <is>
          <t>Trafigura Ventures V.B.V,  Geneva, Switzerland</t>
        </is>
      </c>
      <c r="B12899" t="inlineStr">
        <is>
          <t>Trader with Storage</t>
        </is>
      </c>
      <c r="C12899" t="inlineStr">
        <is>
          <t>ASG Cert GmbH, Munich, DE</t>
        </is>
      </c>
      <c r="D12899" t="inlineStr">
        <is>
          <t>29.10.2026</t>
        </is>
      </c>
      <c r="E12899" t="inlineStr">
        <is>
          <t>Switzerland</t>
        </is>
      </c>
    </row>
    <row r="12900">
      <c r="A12900" t="inlineStr">
        <is>
          <t>Heilongjiang Boneng Green Energy Technology Co., LTD,  Suihua,Heilongjiang, China</t>
        </is>
      </c>
      <c r="B12900" t="inlineStr">
        <is>
          <t>First Gathering Point, Collecting Point, Processing Unit</t>
        </is>
      </c>
      <c r="C12900" t="inlineStr">
        <is>
          <t>SCS Global Services, Emeryville, CA, US</t>
        </is>
      </c>
      <c r="D12900" t="inlineStr">
        <is>
          <t>29.10.2026</t>
        </is>
      </c>
      <c r="E12900" t="inlineStr">
        <is>
          <t>China</t>
        </is>
      </c>
    </row>
    <row r="12901">
      <c r="A12901" t="inlineStr">
        <is>
          <t>Cabot Corporation,  Ville Platte, LA, United States</t>
        </is>
      </c>
      <c r="B12901" t="inlineStr">
        <is>
          <t>Processing Unit</t>
        </is>
      </c>
      <c r="C12901" t="inlineStr">
        <is>
          <t>SGS Germany GmbH, Emstek, DE</t>
        </is>
      </c>
      <c r="D12901" t="inlineStr">
        <is>
          <t>29.10.2026</t>
        </is>
      </c>
      <c r="E12901" t="inlineStr">
        <is>
          <t>United States</t>
        </is>
      </c>
    </row>
    <row r="12902">
      <c r="A12902" t="inlineStr">
        <is>
          <t>Daniger 04,  Sofia, Bulgaria</t>
        </is>
      </c>
      <c r="B12902" t="inlineStr">
        <is>
          <t>First Gathering Point, Trader with Storage</t>
        </is>
      </c>
      <c r="C12902" t="inlineStr">
        <is>
          <t>Baltic Control Certification, Risskov, DK</t>
        </is>
      </c>
      <c r="D12902" t="inlineStr">
        <is>
          <t>29.10.2026</t>
        </is>
      </c>
      <c r="E12902" t="inlineStr">
        <is>
          <t>Bulgaria</t>
        </is>
      </c>
    </row>
    <row r="12903">
      <c r="A12903" t="inlineStr">
        <is>
          <t>ECOCIM CORPORATION,  Tan Khanh Trung Commune, Vietnam</t>
        </is>
      </c>
      <c r="B12903" t="inlineStr">
        <is>
          <t>Collecting Point, Processing Unit</t>
        </is>
      </c>
      <c r="C12903" t="inlineStr">
        <is>
          <t>Control Union Certifications Germany GmbH, Berlin, DE</t>
        </is>
      </c>
      <c r="D12903" t="inlineStr">
        <is>
          <t>29.10.2026</t>
        </is>
      </c>
      <c r="E12903" t="inlineStr">
        <is>
          <t>Vietnam</t>
        </is>
      </c>
    </row>
    <row r="12904">
      <c r="A12904" t="inlineStr">
        <is>
          <t>DuPont de Nemours (Luxembourg),  Contern, Luxembourg</t>
        </is>
      </c>
      <c r="B12904" t="inlineStr">
        <is>
          <t>Processing Unit</t>
        </is>
      </c>
      <c r="C12904" t="inlineStr">
        <is>
          <t>Control Union Certifications Germany GmbH, Berlin, DE</t>
        </is>
      </c>
      <c r="D12904" t="inlineStr">
        <is>
          <t>29.10.2026</t>
        </is>
      </c>
      <c r="E12904" t="inlineStr">
        <is>
          <t>Luxembourg</t>
        </is>
      </c>
    </row>
    <row r="12905">
      <c r="A12905" t="inlineStr">
        <is>
          <t>Energygreen Gas Tineo,  Tineo, Spain</t>
        </is>
      </c>
      <c r="B12905" t="inlineStr">
        <is>
          <t>Collecting Point, Trader with Storage, Warehouse</t>
        </is>
      </c>
      <c r="C12905" t="inlineStr">
        <is>
          <t>SGS Germany GmbH, Emstek, DE</t>
        </is>
      </c>
      <c r="D12905" t="inlineStr">
        <is>
          <t>29.10.2026</t>
        </is>
      </c>
      <c r="E12905" t="inlineStr">
        <is>
          <t>Spain</t>
        </is>
      </c>
    </row>
    <row r="12906">
      <c r="A12906" t="inlineStr">
        <is>
          <t>SUMA AGRO ENERGI,  Kelurahan Sidorejo, Medan Tembung, Sumatera Utara, Indonesia</t>
        </is>
      </c>
      <c r="B12906" t="inlineStr">
        <is>
          <t>Trader</t>
        </is>
      </c>
      <c r="C12906" t="inlineStr">
        <is>
          <t>PT Mutuagung Lestari, Depok, ID</t>
        </is>
      </c>
      <c r="D12906" t="inlineStr">
        <is>
          <t>29.10.2026</t>
        </is>
      </c>
      <c r="E12906" t="inlineStr">
        <is>
          <t>Indonesia</t>
        </is>
      </c>
    </row>
    <row r="12907">
      <c r="A12907" t="inlineStr">
        <is>
          <t>Biochar Now,  Berthoud, Colorado, United States</t>
        </is>
      </c>
      <c r="B12907" t="inlineStr">
        <is>
          <t>Collecting Point, Processing Unit</t>
        </is>
      </c>
      <c r="C12907" t="inlineStr">
        <is>
          <t>SGS Germany GmbH, Emstek, DE</t>
        </is>
      </c>
      <c r="D12907" t="inlineStr">
        <is>
          <t>29.10.2026</t>
        </is>
      </c>
      <c r="E12907" t="inlineStr">
        <is>
          <t>United States</t>
        </is>
      </c>
    </row>
    <row r="12908">
      <c r="A12908" t="inlineStr">
        <is>
          <t>«OLSTAS-LEN»,  Chernihiv, Ukraine</t>
        </is>
      </c>
      <c r="B12908" t="inlineStr">
        <is>
          <t>Farm / Plantation</t>
        </is>
      </c>
      <c r="C12908" t="inlineStr">
        <is>
          <t>Bureau Veritas Polska Sp. z o.o., Warsaw, PL</t>
        </is>
      </c>
      <c r="D12908" t="inlineStr">
        <is>
          <t>29.10.2026</t>
        </is>
      </c>
      <c r="E12908" t="inlineStr">
        <is>
          <t>Ukraine</t>
        </is>
      </c>
    </row>
    <row r="12909">
      <c r="A12909" t="inlineStr">
        <is>
          <t>Taghleef Industries Kft,  Tiszaújváros, Hungary</t>
        </is>
      </c>
      <c r="B12909" t="inlineStr">
        <is>
          <t>Processing Unit, Trader with Storage</t>
        </is>
      </c>
      <c r="C12909" t="inlineStr">
        <is>
          <t>Bureau Veritas Polska Sp. z o.o., Warsaw, PL</t>
        </is>
      </c>
      <c r="D12909" t="inlineStr">
        <is>
          <t>29.10.2026</t>
        </is>
      </c>
      <c r="E12909" t="inlineStr">
        <is>
          <t>Hungary</t>
        </is>
      </c>
    </row>
    <row r="12910">
      <c r="A12910" t="inlineStr">
        <is>
          <t>Beijing Zhongsen Huanyu New Energy Technology Co., Ltd.,  Haidian district, Beijing, China</t>
        </is>
      </c>
      <c r="B12910" t="inlineStr">
        <is>
          <t>Trader</t>
        </is>
      </c>
      <c r="C12910" t="inlineStr">
        <is>
          <t>Bureau Veritas Polska Sp. z o.o., Warsaw, PL</t>
        </is>
      </c>
      <c r="D12910" t="inlineStr">
        <is>
          <t>29.10.2026</t>
        </is>
      </c>
      <c r="E12910" t="inlineStr">
        <is>
          <t>China</t>
        </is>
      </c>
    </row>
    <row r="12911">
      <c r="A12911" t="inlineStr">
        <is>
          <t>Shanghai Tribute Energy,  Changning District, China</t>
        </is>
      </c>
      <c r="B12911" t="inlineStr">
        <is>
          <t>Trader</t>
        </is>
      </c>
      <c r="C12911" t="inlineStr">
        <is>
          <t>RINA Services S.p.A., Genova, IT</t>
        </is>
      </c>
      <c r="D12911" t="inlineStr">
        <is>
          <t>28.10.2026</t>
        </is>
      </c>
      <c r="E12911" t="inlineStr">
        <is>
          <t>China</t>
        </is>
      </c>
    </row>
    <row r="12912">
      <c r="A12912" t="inlineStr">
        <is>
          <t>AGN Energia,  Genova, Italy</t>
        </is>
      </c>
      <c r="B12912" t="inlineStr">
        <is>
          <t>Trader with Storage</t>
        </is>
      </c>
      <c r="C12912" t="inlineStr">
        <is>
          <t>RINA Services S.p.A., Genova, IT</t>
        </is>
      </c>
      <c r="D12912" t="inlineStr">
        <is>
          <t>28.10.2026</t>
        </is>
      </c>
      <c r="E12912" t="inlineStr">
        <is>
          <t>Italy</t>
        </is>
      </c>
    </row>
    <row r="12913">
      <c r="A12913" t="inlineStr">
        <is>
          <t>AGN Energia,  Genova, Italy</t>
        </is>
      </c>
      <c r="B12913" t="inlineStr">
        <is>
          <t>Trader with Storage</t>
        </is>
      </c>
      <c r="C12913" t="inlineStr">
        <is>
          <t>RINA Services S.p.A., Genova, IT</t>
        </is>
      </c>
      <c r="D12913" t="inlineStr">
        <is>
          <t>28.10.2026</t>
        </is>
      </c>
      <c r="E12913" t="inlineStr">
        <is>
          <t>Italy</t>
        </is>
      </c>
    </row>
    <row r="12914">
      <c r="A12914" t="inlineStr">
        <is>
          <t>Interflex Group,  Sunderland,, United Kingdom</t>
        </is>
      </c>
      <c r="B12914" t="inlineStr">
        <is>
          <t>Processing Unit</t>
        </is>
      </c>
      <c r="C12914" t="inlineStr">
        <is>
          <t>Aardvark Certification Ltd, Wiveliscombe, Somerset, GB</t>
        </is>
      </c>
      <c r="D12914" t="inlineStr">
        <is>
          <t>28.10.2026</t>
        </is>
      </c>
      <c r="E12914" t="inlineStr">
        <is>
          <t>United Kingdom</t>
        </is>
      </c>
    </row>
    <row r="12915">
      <c r="A12915" t="inlineStr">
        <is>
          <t>Kouroumpalis Athanasios,  Korinthos, Greece</t>
        </is>
      </c>
      <c r="B12915" t="inlineStr">
        <is>
          <t>Collecting Point</t>
        </is>
      </c>
      <c r="C12915" t="inlineStr">
        <is>
          <t>Eurocert SA, Metamorfosi, Athens, GR</t>
        </is>
      </c>
      <c r="D12915" t="inlineStr">
        <is>
          <t>28.10.2026</t>
        </is>
      </c>
      <c r="E12915" t="inlineStr">
        <is>
          <t>Greece</t>
        </is>
      </c>
    </row>
    <row r="12916">
      <c r="A12916" t="inlineStr">
        <is>
          <t>Partner Energy HongKong Limited,  Hong Kong, Hong Kong</t>
        </is>
      </c>
      <c r="B12916" t="inlineStr">
        <is>
          <t>Collecting Point, Trader</t>
        </is>
      </c>
      <c r="C12916" t="inlineStr">
        <is>
          <t>RINA Services S.p.A., Genova, IT</t>
        </is>
      </c>
      <c r="D12916" t="inlineStr">
        <is>
          <t>28.10.2026</t>
        </is>
      </c>
      <c r="E12916" t="inlineStr">
        <is>
          <t>Hong Kong</t>
        </is>
      </c>
    </row>
    <row r="12917">
      <c r="A12917" t="inlineStr">
        <is>
          <t>Marivo,  Riga, Latvia</t>
        </is>
      </c>
      <c r="B12917" t="inlineStr">
        <is>
          <t>Collecting Point</t>
        </is>
      </c>
      <c r="C12917" t="inlineStr">
        <is>
          <t>BM Certification, Riga, LV</t>
        </is>
      </c>
      <c r="D12917" t="inlineStr">
        <is>
          <t>28.10.2026</t>
        </is>
      </c>
      <c r="E12917" t="inlineStr">
        <is>
          <t>Latvia</t>
        </is>
      </c>
    </row>
    <row r="12918">
      <c r="A12918" t="inlineStr">
        <is>
          <t>Shandong Huidong New Energy Co., Ltd.,  Kenli District, Dongying City, Shandong Province, China</t>
        </is>
      </c>
      <c r="B12918" t="inlineStr">
        <is>
          <t>Processing Unit, Trader with Storage</t>
        </is>
      </c>
      <c r="C12918" t="inlineStr">
        <is>
          <t>RINA Services S.p.A., Genova, IT</t>
        </is>
      </c>
      <c r="D12918" t="inlineStr">
        <is>
          <t>28.10.2026</t>
        </is>
      </c>
      <c r="E12918" t="inlineStr">
        <is>
          <t>China</t>
        </is>
      </c>
    </row>
    <row r="12919">
      <c r="A12919" t="inlineStr">
        <is>
          <t>HAINA GLOBAL COMMERCE AND TRADE PTE. LTD.,  Dongying City, Shandong Province, China</t>
        </is>
      </c>
      <c r="B12919" t="inlineStr">
        <is>
          <t>Trader</t>
        </is>
      </c>
      <c r="C12919" t="inlineStr">
        <is>
          <t>RINA Services S.p.A., Genova, IT</t>
        </is>
      </c>
      <c r="D12919" t="inlineStr">
        <is>
          <t>28.10.2026</t>
        </is>
      </c>
      <c r="E12919" t="inlineStr">
        <is>
          <t>China</t>
        </is>
      </c>
    </row>
    <row r="12920">
      <c r="A12920" t="inlineStr">
        <is>
          <t>SunPine AB,  Piteå, Sweden</t>
        </is>
      </c>
      <c r="B12920" t="inlineStr">
        <is>
          <t>Trader with Storage, Collecting Point, Processing Unit</t>
        </is>
      </c>
      <c r="C12920" t="inlineStr">
        <is>
          <t>DNV Business Assurance Sweden AB, Solna, SE</t>
        </is>
      </c>
      <c r="D12920" t="inlineStr">
        <is>
          <t>28.10.2026</t>
        </is>
      </c>
      <c r="E12920" t="inlineStr">
        <is>
          <t>Sweden</t>
        </is>
      </c>
    </row>
    <row r="12921">
      <c r="A12921" t="inlineStr">
        <is>
          <t>Paria Fuel Trading Company Limited,  Pointe-A-Pierre, Trinidad and Tobago</t>
        </is>
      </c>
      <c r="B12921" t="inlineStr">
        <is>
          <t>Trader with Storage</t>
        </is>
      </c>
      <c r="C12921" t="inlineStr">
        <is>
          <t>Control Union Certifications Germany GmbH, Berlin, DE</t>
        </is>
      </c>
      <c r="D12921" t="inlineStr">
        <is>
          <t>28.10.2026</t>
        </is>
      </c>
      <c r="E12921" t="inlineStr">
        <is>
          <t>Trinidad and Tobago</t>
        </is>
      </c>
    </row>
    <row r="12922">
      <c r="A12922" t="inlineStr">
        <is>
          <t>AGROLIVA,  Sfax, Tunisia</t>
        </is>
      </c>
      <c r="B12922" t="inlineStr">
        <is>
          <t>Point of Origin</t>
        </is>
      </c>
      <c r="C12922" t="inlineStr">
        <is>
          <t>BM Certification, Riga, LV</t>
        </is>
      </c>
      <c r="D12922" t="inlineStr">
        <is>
          <t>28.10.2026</t>
        </is>
      </c>
      <c r="E12922" t="inlineStr">
        <is>
          <t>Tunisia</t>
        </is>
      </c>
    </row>
    <row r="12923">
      <c r="A12923" t="inlineStr">
        <is>
          <t>ExxonMobil Petroleum &amp; Chemical BV,  Machelen, Belgium</t>
        </is>
      </c>
      <c r="B12923" t="inlineStr">
        <is>
          <t>Trader</t>
        </is>
      </c>
      <c r="C12923" t="inlineStr">
        <is>
          <t>Control Union Certifications Germany GmbH, Berlin, DE</t>
        </is>
      </c>
      <c r="D12923" t="inlineStr">
        <is>
          <t>28.10.2026</t>
        </is>
      </c>
      <c r="E12923" t="inlineStr">
        <is>
          <t>Belgium</t>
        </is>
      </c>
    </row>
    <row r="12924">
      <c r="A12924" t="inlineStr">
        <is>
          <t>Bio-Commodities B.V.,  Naarden, Netherlands</t>
        </is>
      </c>
      <c r="B12924" t="inlineStr">
        <is>
          <t>Trader</t>
        </is>
      </c>
      <c r="C12924" t="inlineStr">
        <is>
          <t>Control Union Certifications Germany GmbH, Berlin, DE</t>
        </is>
      </c>
      <c r="D12924" t="inlineStr">
        <is>
          <t>28.10.2026</t>
        </is>
      </c>
      <c r="E12924" t="inlineStr">
        <is>
          <t>Netherlands</t>
        </is>
      </c>
    </row>
    <row r="12925">
      <c r="A12925" t="inlineStr">
        <is>
          <t>TOTALENERGIES PLASTIC ENERGY ADVANCED RECYCLING,  Grandpuits Bailly Carrois, France</t>
        </is>
      </c>
      <c r="B12925" t="inlineStr">
        <is>
          <t>Processing Unit, Trader</t>
        </is>
      </c>
      <c r="C12925" t="inlineStr">
        <is>
          <t>Control Union Certifications Germany GmbH, Berlin, DE</t>
        </is>
      </c>
      <c r="D12925" t="inlineStr">
        <is>
          <t>28.10.2026</t>
        </is>
      </c>
      <c r="E12925" t="inlineStr">
        <is>
          <t>France</t>
        </is>
      </c>
    </row>
    <row r="12926">
      <c r="A12926" t="inlineStr">
        <is>
          <t>Fenyvesalja Kft.,  Rátót, Hungary</t>
        </is>
      </c>
      <c r="B12926" t="inlineStr">
        <is>
          <t>First Gathering Point, Trader with Storage</t>
        </is>
      </c>
      <c r="C12926" t="inlineStr">
        <is>
          <t>Control Union Certifications Germany GmbH, Berlin, DE</t>
        </is>
      </c>
      <c r="D12926" t="inlineStr">
        <is>
          <t>28.10.2026</t>
        </is>
      </c>
      <c r="E12926" t="inlineStr">
        <is>
          <t>Hungary</t>
        </is>
      </c>
    </row>
    <row r="12927">
      <c r="A12927" t="inlineStr">
        <is>
          <t>Greenfield Global Quebec inc,  Varennes, Qc, Canada</t>
        </is>
      </c>
      <c r="B12927" t="inlineStr">
        <is>
          <t>Processing Unit, Warehouse</t>
        </is>
      </c>
      <c r="C12927" t="inlineStr">
        <is>
          <t>SGS Germany GmbH, Emstek, DE</t>
        </is>
      </c>
      <c r="D12927" t="inlineStr">
        <is>
          <t>28.10.2026</t>
        </is>
      </c>
      <c r="E12927" t="inlineStr">
        <is>
          <t>Canada</t>
        </is>
      </c>
    </row>
    <row r="12928">
      <c r="A12928" t="inlineStr">
        <is>
          <t>Hanwa Singapore Pte. Ltd.,  Singapore, Singapore</t>
        </is>
      </c>
      <c r="B12928" t="inlineStr">
        <is>
          <t>Trader</t>
        </is>
      </c>
      <c r="C12928" t="inlineStr">
        <is>
          <t>Control Union Certifications Germany GmbH, Berlin, DE</t>
        </is>
      </c>
      <c r="D12928" t="inlineStr">
        <is>
          <t>28.10.2026</t>
        </is>
      </c>
      <c r="E12928" t="inlineStr">
        <is>
          <t>Singapore</t>
        </is>
      </c>
    </row>
    <row r="12929">
      <c r="A12929" t="inlineStr">
        <is>
          <t>Albea Americas, Inc.,  Washington, United States</t>
        </is>
      </c>
      <c r="B12929" t="inlineStr">
        <is>
          <t>Processing Unit</t>
        </is>
      </c>
      <c r="C12929" t="inlineStr">
        <is>
          <t>SGS Germany GmbH, Emstek, DE</t>
        </is>
      </c>
      <c r="D12929" t="inlineStr">
        <is>
          <t>28.10.2026</t>
        </is>
      </c>
      <c r="E12929" t="inlineStr">
        <is>
          <t>United States</t>
        </is>
      </c>
    </row>
    <row r="12930">
      <c r="A12930" t="inlineStr">
        <is>
          <t>NASCO Corporation,  MATSUDO-CITY，CHIBA, Japan</t>
        </is>
      </c>
      <c r="B12930" t="inlineStr">
        <is>
          <t>Trader</t>
        </is>
      </c>
      <c r="C12930" t="inlineStr">
        <is>
          <t>SGS Germany GmbH, Emstek, DE</t>
        </is>
      </c>
      <c r="D12930" t="inlineStr">
        <is>
          <t>28.10.2026</t>
        </is>
      </c>
      <c r="E12930" t="inlineStr">
        <is>
          <t>Japan</t>
        </is>
      </c>
    </row>
    <row r="12931">
      <c r="A12931" t="inlineStr">
        <is>
          <t>Agro Indústria Nutrihorto Ltda,  Nova Esperança-Paraná, Brazil</t>
        </is>
      </c>
      <c r="B12931" t="inlineStr">
        <is>
          <t>Collecting Point, Processing Unit</t>
        </is>
      </c>
      <c r="C12931" t="inlineStr">
        <is>
          <t>SCS Global Services, Emeryville, CA, US</t>
        </is>
      </c>
      <c r="D12931" t="inlineStr">
        <is>
          <t>28.10.2026</t>
        </is>
      </c>
      <c r="E12931" t="inlineStr">
        <is>
          <t>Brazil</t>
        </is>
      </c>
    </row>
    <row r="12932">
      <c r="A12932" t="inlineStr">
        <is>
          <t>G YEN COMPANY LIMITED,  HONG KONG, China</t>
        </is>
      </c>
      <c r="B12932" t="inlineStr">
        <is>
          <t>Trader</t>
        </is>
      </c>
      <c r="C12932" t="inlineStr">
        <is>
          <t>Extensive Standard Technical Services Co., Ltd., Hong Kong, CN</t>
        </is>
      </c>
      <c r="D12932" t="inlineStr">
        <is>
          <t>28.10.2026</t>
        </is>
      </c>
      <c r="E12932" t="inlineStr">
        <is>
          <t>China</t>
        </is>
      </c>
    </row>
    <row r="12933">
      <c r="A12933" t="inlineStr">
        <is>
          <t>Saudi Aramco Total Refining &amp; Petrochemical Company (SATORP),  Al-JUBAIL, Saudi Arabia</t>
        </is>
      </c>
      <c r="B12933" t="inlineStr">
        <is>
          <t>Trader with Storage, Processing Unit</t>
        </is>
      </c>
      <c r="C12933" t="inlineStr">
        <is>
          <t>PT Intertek Utama Services, Jakarta, ID</t>
        </is>
      </c>
      <c r="D12933" t="inlineStr">
        <is>
          <t>28.10.2026</t>
        </is>
      </c>
      <c r="E12933" t="inlineStr">
        <is>
          <t>Saudi Arabia</t>
        </is>
      </c>
    </row>
    <row r="12934">
      <c r="A12934" t="inlineStr">
        <is>
          <t>KUMKANG TECH INDONESIA,  Kab. Majalengka, Indonesia</t>
        </is>
      </c>
      <c r="B12934" t="inlineStr">
        <is>
          <t>Processing Unit</t>
        </is>
      </c>
      <c r="C12934" t="inlineStr">
        <is>
          <t>PT Intertek Utama Services, Jakarta, ID</t>
        </is>
      </c>
      <c r="D12934" t="inlineStr">
        <is>
          <t>28.10.2026</t>
        </is>
      </c>
      <c r="E12934" t="inlineStr">
        <is>
          <t>Indonesia</t>
        </is>
      </c>
    </row>
    <row r="12935">
      <c r="A12935" t="inlineStr">
        <is>
          <t>SC CO., LTD.,  Jeongeup-si, Jeollabuk-do, South Korea</t>
        </is>
      </c>
      <c r="B12935" t="inlineStr">
        <is>
          <t>Collecting Point, Trader with Storage</t>
        </is>
      </c>
      <c r="C12935" t="inlineStr">
        <is>
          <t>Control Union Certifications Germany GmbH, Berlin, DE</t>
        </is>
      </c>
      <c r="D12935" t="inlineStr">
        <is>
          <t>28.10.2026</t>
        </is>
      </c>
      <c r="E12935" t="inlineStr">
        <is>
          <t>South Korea</t>
        </is>
      </c>
    </row>
    <row r="12936">
      <c r="A12936" t="inlineStr">
        <is>
          <t>Greenfield Global Inc,  Chatham, Ontario, Canada</t>
        </is>
      </c>
      <c r="B12936" t="inlineStr">
        <is>
          <t>First Gathering Point, Processing Unit</t>
        </is>
      </c>
      <c r="C12936" t="inlineStr">
        <is>
          <t>SGS Germany GmbH, Emstek, DE</t>
        </is>
      </c>
      <c r="D12936" t="inlineStr">
        <is>
          <t>28.10.2026</t>
        </is>
      </c>
      <c r="E12936" t="inlineStr">
        <is>
          <t>Canada</t>
        </is>
      </c>
    </row>
    <row r="12937">
      <c r="A12937" t="inlineStr">
        <is>
          <t>Senyuan (Maoming) Biotechnology Co., Ltd.,  Maoming City, Guangdong Province,, China</t>
        </is>
      </c>
      <c r="B12937" t="inlineStr">
        <is>
          <t>Collecting Point, Processing Unit</t>
        </is>
      </c>
      <c r="C12937" t="inlineStr">
        <is>
          <t>SCS Global Services, Emeryville, CA, US</t>
        </is>
      </c>
      <c r="D12937" t="inlineStr">
        <is>
          <t>28.10.2026</t>
        </is>
      </c>
      <c r="E12937" t="inlineStr">
        <is>
          <t>China</t>
        </is>
      </c>
    </row>
    <row r="12938">
      <c r="A12938" t="inlineStr">
        <is>
          <t>Szalóki Agrár Kft,  Abádszalók, Hungary</t>
        </is>
      </c>
      <c r="B12938" t="inlineStr">
        <is>
          <t>First Gathering Point</t>
        </is>
      </c>
      <c r="C12938" t="inlineStr">
        <is>
          <t>Certificadora Gallega del Noroeste SL, Vilagarcia de Arousa-Pontevedra, ES</t>
        </is>
      </c>
      <c r="D12938" t="inlineStr">
        <is>
          <t>28.10.2026</t>
        </is>
      </c>
      <c r="E12938" t="inlineStr">
        <is>
          <t>Hungary</t>
        </is>
      </c>
    </row>
    <row r="12939">
      <c r="A12939" t="inlineStr">
        <is>
          <t>Amcor Flexibles (Australia) Pty Ltd,  Moorabbin, Australia</t>
        </is>
      </c>
      <c r="B12939" t="inlineStr">
        <is>
          <t>Processing Unit, Trader with Storage</t>
        </is>
      </c>
      <c r="C12939" t="inlineStr">
        <is>
          <t>SGS Germany GmbH, Emstek, DE</t>
        </is>
      </c>
      <c r="D12939" t="inlineStr">
        <is>
          <t>28.10.2026</t>
        </is>
      </c>
      <c r="E12939" t="inlineStr">
        <is>
          <t>Australia</t>
        </is>
      </c>
    </row>
    <row r="12940">
      <c r="A12940" t="inlineStr">
        <is>
          <t>Taghleef Industries SAOC,  Sohar, Oman</t>
        </is>
      </c>
      <c r="B12940" t="inlineStr">
        <is>
          <t>Processing Unit, Trader with Storage</t>
        </is>
      </c>
      <c r="C12940" t="inlineStr">
        <is>
          <t>Cotecna India Inspection Pvt Ltd, Kolkata, IN</t>
        </is>
      </c>
      <c r="D12940" t="inlineStr">
        <is>
          <t>28.10.2026</t>
        </is>
      </c>
      <c r="E12940" t="inlineStr">
        <is>
          <t>Oman</t>
        </is>
      </c>
    </row>
    <row r="12941">
      <c r="A12941" t="inlineStr">
        <is>
          <t>Fratelli Ferro Semolerie Molisane S.r.l.,  Ripalimosani, Italy</t>
        </is>
      </c>
      <c r="B12941" t="inlineStr">
        <is>
          <t>Processing Unit</t>
        </is>
      </c>
      <c r="C12941" t="inlineStr">
        <is>
          <t>DNV Business Assurance Sweden AB, Solna, SE</t>
        </is>
      </c>
      <c r="D12941" t="inlineStr">
        <is>
          <t>28.10.2026</t>
        </is>
      </c>
      <c r="E12941" t="inlineStr">
        <is>
          <t>Italy</t>
        </is>
      </c>
    </row>
    <row r="12942">
      <c r="A12942" t="inlineStr">
        <is>
          <t>Sumitomo Chemical Asia Pte Ltd,  Kulai, Malaysia</t>
        </is>
      </c>
      <c r="B12942" t="inlineStr">
        <is>
          <t>Processing Unit</t>
        </is>
      </c>
      <c r="C12942" t="inlineStr">
        <is>
          <t>TÜV NORD CERT GmbH, Essen, DE</t>
        </is>
      </c>
      <c r="D12942" t="inlineStr">
        <is>
          <t>28.10.2026</t>
        </is>
      </c>
      <c r="E12942" t="inlineStr">
        <is>
          <t>Malaysia</t>
        </is>
      </c>
    </row>
    <row r="12943">
      <c r="A12943" t="inlineStr">
        <is>
          <t>SOUFFLET Agro Slovakia j.s.a.,  Bratislava - mestska cast Nove Mesto, Slovakia</t>
        </is>
      </c>
      <c r="B12943" t="inlineStr">
        <is>
          <t>First Gathering Point, Trader</t>
        </is>
      </c>
      <c r="C12943" t="inlineStr">
        <is>
          <t>Bureau Veritas Polska Sp. z o.o., Warsaw, PL</t>
        </is>
      </c>
      <c r="D12943" t="inlineStr">
        <is>
          <t>28.10.2026</t>
        </is>
      </c>
      <c r="E12943" t="inlineStr">
        <is>
          <t>Slovakia</t>
        </is>
      </c>
    </row>
    <row r="12944">
      <c r="A12944" t="inlineStr">
        <is>
          <t>FullTank,  Schelluinen, Netherlands</t>
        </is>
      </c>
      <c r="B12944" t="inlineStr">
        <is>
          <t>Trader</t>
        </is>
      </c>
      <c r="C12944" t="inlineStr">
        <is>
          <t>DEKRA Certification B.V., Arnhem, NL</t>
        </is>
      </c>
      <c r="D12944" t="inlineStr">
        <is>
          <t>28.10.2026</t>
        </is>
      </c>
      <c r="E12944" t="inlineStr">
        <is>
          <t>Netherlands</t>
        </is>
      </c>
    </row>
    <row r="12945">
      <c r="A12945" t="inlineStr">
        <is>
          <t>CORPEX,  Kyiv, Ukraine</t>
        </is>
      </c>
      <c r="B12945" t="inlineStr">
        <is>
          <t>Collecting Point, Trader with Storage</t>
        </is>
      </c>
      <c r="C12945" t="inlineStr">
        <is>
          <t>BM Certification, Riga, LV</t>
        </is>
      </c>
      <c r="D12945" t="inlineStr">
        <is>
          <t>28.10.2026</t>
        </is>
      </c>
      <c r="E12945" t="inlineStr">
        <is>
          <t>Ukraine</t>
        </is>
      </c>
    </row>
    <row r="12946">
      <c r="A12946" t="inlineStr">
        <is>
          <t>Hexachase Flexipack Sdn. Bhd.,  Melaka, Malaysia</t>
        </is>
      </c>
      <c r="B12946" t="inlineStr">
        <is>
          <t>Processing Unit</t>
        </is>
      </c>
      <c r="C12946" t="inlineStr">
        <is>
          <t>SGS Germany GmbH, Emstek, DE</t>
        </is>
      </c>
      <c r="D12946" t="inlineStr">
        <is>
          <t>28.10.2026</t>
        </is>
      </c>
      <c r="E12946" t="inlineStr">
        <is>
          <t>Malaysia</t>
        </is>
      </c>
    </row>
    <row r="12947">
      <c r="A12947" t="inlineStr">
        <is>
          <t>Pro-Ethanol inc.,  Varennes, Qc, Canada</t>
        </is>
      </c>
      <c r="B12947" t="inlineStr">
        <is>
          <t>First Gathering Point</t>
        </is>
      </c>
      <c r="C12947" t="inlineStr">
        <is>
          <t>SGS Germany GmbH, Emstek, DE</t>
        </is>
      </c>
      <c r="D12947" t="inlineStr">
        <is>
          <t>28.10.2026</t>
        </is>
      </c>
      <c r="E12947" t="inlineStr">
        <is>
          <t>Canada</t>
        </is>
      </c>
    </row>
    <row r="12948">
      <c r="A12948" t="inlineStr">
        <is>
          <t>Emm. Tillianakis Gias. Milona G.P.,  Agios Syllas, Heraklion, Greece</t>
        </is>
      </c>
      <c r="B12948" t="inlineStr">
        <is>
          <t>Collecting Point</t>
        </is>
      </c>
      <c r="C12948" t="inlineStr">
        <is>
          <t>Eurocert SA, Metamorfosi, Athens, GR</t>
        </is>
      </c>
      <c r="D12948" t="inlineStr">
        <is>
          <t>28.10.2026</t>
        </is>
      </c>
      <c r="E12948" t="inlineStr">
        <is>
          <t>Greece</t>
        </is>
      </c>
    </row>
    <row r="12949">
      <c r="A12949" t="inlineStr">
        <is>
          <t>Kautex Textron GmbH &amp; Co.KG,  Windsor, Canada</t>
        </is>
      </c>
      <c r="B12949" t="inlineStr">
        <is>
          <t>Processing Unit</t>
        </is>
      </c>
      <c r="C12949" t="inlineStr">
        <is>
          <t>SCS Global Services, Emeryville, CA, US</t>
        </is>
      </c>
      <c r="D12949" t="inlineStr">
        <is>
          <t>28.10.2026</t>
        </is>
      </c>
      <c r="E12949" t="inlineStr">
        <is>
          <t>Canada</t>
        </is>
      </c>
    </row>
    <row r="12950">
      <c r="A12950" t="inlineStr">
        <is>
          <t>GODO CHEMICAL Corporation,  Gangnam-gu, Seoul, South Korea</t>
        </is>
      </c>
      <c r="B12950" t="inlineStr">
        <is>
          <t>Trader</t>
        </is>
      </c>
      <c r="C12950" t="inlineStr">
        <is>
          <t>Control Union Certifications Germany GmbH, Berlin, DE</t>
        </is>
      </c>
      <c r="D12950" t="inlineStr">
        <is>
          <t>27.10.2026</t>
        </is>
      </c>
      <c r="E12950" t="inlineStr">
        <is>
          <t>South Korea</t>
        </is>
      </c>
    </row>
    <row r="12951">
      <c r="A12951" t="inlineStr">
        <is>
          <t>GODO CHEMICAL Corporation,  Gangnam-gu, Seoul, South Korea</t>
        </is>
      </c>
      <c r="B12951" t="inlineStr">
        <is>
          <t>Trader</t>
        </is>
      </c>
      <c r="C12951" t="inlineStr">
        <is>
          <t>Control Union Certifications Germany GmbH, Berlin, DE</t>
        </is>
      </c>
      <c r="D12951" t="inlineStr">
        <is>
          <t>27.10.2026</t>
        </is>
      </c>
      <c r="E12951" t="inlineStr">
        <is>
          <t>South Korea</t>
        </is>
      </c>
    </row>
    <row r="12952">
      <c r="A12952" t="inlineStr">
        <is>
          <t>Sygnus Kft.,  Paks, Hungary</t>
        </is>
      </c>
      <c r="B12952" t="inlineStr">
        <is>
          <t>First Gathering Point, Trader with Storage</t>
        </is>
      </c>
      <c r="C12952" t="inlineStr">
        <is>
          <t>Certificadora Gallega del Noroeste SL, Vilagarcia de Arousa-Pontevedra, ES</t>
        </is>
      </c>
      <c r="D12952" t="inlineStr">
        <is>
          <t>27.10.2026</t>
        </is>
      </c>
      <c r="E12952" t="inlineStr">
        <is>
          <t>Hungary</t>
        </is>
      </c>
    </row>
    <row r="12953">
      <c r="A12953" t="inlineStr">
        <is>
          <t>Pikolin S.L,  Zaragoza, Spain</t>
        </is>
      </c>
      <c r="B12953" t="inlineStr">
        <is>
          <t>Processing Unit</t>
        </is>
      </c>
      <c r="C12953" t="inlineStr">
        <is>
          <t>PT Intertek Utama Services, Jakarta, ID</t>
        </is>
      </c>
      <c r="D12953" t="inlineStr">
        <is>
          <t>27.10.2026</t>
        </is>
      </c>
      <c r="E12953" t="inlineStr">
        <is>
          <t>Spain</t>
        </is>
      </c>
    </row>
    <row r="12954">
      <c r="A12954" t="inlineStr">
        <is>
          <t>Toly Korea,Inc.,  Bucheon-Si,, Korea, Republic of</t>
        </is>
      </c>
      <c r="B12954" t="inlineStr">
        <is>
          <t>Processing Unit</t>
        </is>
      </c>
      <c r="C12954" t="inlineStr">
        <is>
          <t>Control Union Certifications Germany GmbH, Berlin, DE</t>
        </is>
      </c>
      <c r="D12954" t="inlineStr">
        <is>
          <t>27.10.2026</t>
        </is>
      </c>
      <c r="E12954" t="inlineStr">
        <is>
          <t>Republic of</t>
        </is>
      </c>
    </row>
    <row r="12955">
      <c r="A12955" t="inlineStr">
        <is>
          <t>Trafigura Trading LLC,  Houston, Texas, United States</t>
        </is>
      </c>
      <c r="B12955" t="inlineStr">
        <is>
          <t>Trader with Storage</t>
        </is>
      </c>
      <c r="C12955" t="inlineStr">
        <is>
          <t>SCS Global Services, Emeryville, CA, US</t>
        </is>
      </c>
      <c r="D12955" t="inlineStr">
        <is>
          <t>27.10.2026</t>
        </is>
      </c>
      <c r="E12955" t="inlineStr">
        <is>
          <t>United States</t>
        </is>
      </c>
    </row>
    <row r="12956">
      <c r="A12956" t="inlineStr">
        <is>
          <t>Trafigura Trading LLC,  Houston, Texas, United States</t>
        </is>
      </c>
      <c r="B12956" t="inlineStr">
        <is>
          <t>Trader with Storage</t>
        </is>
      </c>
      <c r="C12956" t="inlineStr">
        <is>
          <t>SCS Global Services, Emeryville, CA, US</t>
        </is>
      </c>
      <c r="D12956" t="inlineStr">
        <is>
          <t>27.10.2026</t>
        </is>
      </c>
      <c r="E12956" t="inlineStr">
        <is>
          <t>United States</t>
        </is>
      </c>
    </row>
    <row r="12957">
      <c r="A12957" t="inlineStr">
        <is>
          <t>Sanyo Trading Co., Ltd.,  Tokyo, Japan</t>
        </is>
      </c>
      <c r="B12957" t="inlineStr">
        <is>
          <t>Trader with Storage</t>
        </is>
      </c>
      <c r="C12957" t="inlineStr">
        <is>
          <t>Control Union Certifications Germany GmbH, Berlin, DE</t>
        </is>
      </c>
      <c r="D12957" t="inlineStr">
        <is>
          <t>27.10.2026</t>
        </is>
      </c>
      <c r="E12957" t="inlineStr">
        <is>
          <t>Japan</t>
        </is>
      </c>
    </row>
    <row r="12958">
      <c r="A12958" t="inlineStr">
        <is>
          <t>Trafigura Canada Limited,  Calgary, Canada</t>
        </is>
      </c>
      <c r="B12958" t="inlineStr">
        <is>
          <t>Trader</t>
        </is>
      </c>
      <c r="C12958" t="inlineStr">
        <is>
          <t>SCS Global Services, Emeryville, CA, US</t>
        </is>
      </c>
      <c r="D12958" t="inlineStr">
        <is>
          <t>27.10.2026</t>
        </is>
      </c>
      <c r="E12958" t="inlineStr">
        <is>
          <t>Canada</t>
        </is>
      </c>
    </row>
    <row r="12959">
      <c r="A12959" t="inlineStr">
        <is>
          <t>Trafigura Canada Limited,  Calgary, Canada</t>
        </is>
      </c>
      <c r="B12959" t="inlineStr">
        <is>
          <t>Trader</t>
        </is>
      </c>
      <c r="C12959" t="inlineStr">
        <is>
          <t>SCS Global Services, Emeryville, CA, US</t>
        </is>
      </c>
      <c r="D12959" t="inlineStr">
        <is>
          <t>27.10.2026</t>
        </is>
      </c>
      <c r="E12959" t="inlineStr">
        <is>
          <t>Canada</t>
        </is>
      </c>
    </row>
    <row r="12960">
      <c r="A12960" t="inlineStr">
        <is>
          <t>Perstorp Polyols,  Toledo, United States</t>
        </is>
      </c>
      <c r="B12960" t="inlineStr">
        <is>
          <t>Trader with Storage</t>
        </is>
      </c>
      <c r="C12960" t="inlineStr">
        <is>
          <t>SGS Germany GmbH, Emstek, DE</t>
        </is>
      </c>
      <c r="D12960" t="inlineStr">
        <is>
          <t>27.10.2026</t>
        </is>
      </c>
      <c r="E12960" t="inlineStr">
        <is>
          <t>United States</t>
        </is>
      </c>
    </row>
    <row r="12961">
      <c r="A12961" t="inlineStr">
        <is>
          <t>Sojitz Pla-Net Corporation Osaka Branch,  Kitaku Osaka, Japan</t>
        </is>
      </c>
      <c r="B12961" t="inlineStr">
        <is>
          <t>Trader, Collecting Point</t>
        </is>
      </c>
      <c r="C12961" t="inlineStr">
        <is>
          <t>SGS Germany GmbH, Emstek, DE</t>
        </is>
      </c>
      <c r="D12961" t="inlineStr">
        <is>
          <t>27.10.2026</t>
        </is>
      </c>
      <c r="E12961" t="inlineStr">
        <is>
          <t>Japan</t>
        </is>
      </c>
    </row>
    <row r="12962">
      <c r="A12962" t="inlineStr">
        <is>
          <t>Alerta Aceite SRL,  BELLA VISTA, Argentina</t>
        </is>
      </c>
      <c r="B12962" t="inlineStr">
        <is>
          <t>Collecting Point, Trader with Storage</t>
        </is>
      </c>
      <c r="C12962" t="inlineStr">
        <is>
          <t>PT Intertek Utama Services, Jakarta, ID</t>
        </is>
      </c>
      <c r="D12962" t="inlineStr">
        <is>
          <t>27.10.2026</t>
        </is>
      </c>
      <c r="E12962" t="inlineStr">
        <is>
          <t>Argentina</t>
        </is>
      </c>
    </row>
    <row r="12963">
      <c r="A12963" t="inlineStr">
        <is>
          <t>OMV PETROM Marketing,  Bucuresti, Romania</t>
        </is>
      </c>
      <c r="B12963" t="inlineStr">
        <is>
          <t>Trader</t>
        </is>
      </c>
      <c r="C12963" t="inlineStr">
        <is>
          <t>CertRom SRL, Bucuresti, RO</t>
        </is>
      </c>
      <c r="D12963" t="inlineStr">
        <is>
          <t>27.10.2026</t>
        </is>
      </c>
      <c r="E12963" t="inlineStr">
        <is>
          <t>Romania</t>
        </is>
      </c>
    </row>
    <row r="12964">
      <c r="A12964" t="inlineStr">
        <is>
          <t>Beijing Petroleum Company Limited, CNAF Group,  Beijing City, China</t>
        </is>
      </c>
      <c r="B12964" t="inlineStr">
        <is>
          <t>Trader with Storage, Warehouse</t>
        </is>
      </c>
      <c r="C12964" t="inlineStr">
        <is>
          <t>SCS Global Services, Emeryville, CA, US</t>
        </is>
      </c>
      <c r="D12964" t="inlineStr">
        <is>
          <t>27.10.2026</t>
        </is>
      </c>
      <c r="E12964" t="inlineStr">
        <is>
          <t>China</t>
        </is>
      </c>
    </row>
    <row r="12965">
      <c r="A12965" t="inlineStr">
        <is>
          <t>Aceites Manuelita S.A.,  Planta Yaguarito,Meta, Colombia</t>
        </is>
      </c>
      <c r="B12965" t="inlineStr">
        <is>
          <t>First Gathering Point, Point of Origin, Processing Unit</t>
        </is>
      </c>
      <c r="C12965" t="inlineStr">
        <is>
          <t>Control Union Poland Sp. z o.o., Zielona Gora, PL</t>
        </is>
      </c>
      <c r="D12965" t="inlineStr">
        <is>
          <t>27.10.2026</t>
        </is>
      </c>
      <c r="E12965" t="inlineStr">
        <is>
          <t>Colombia</t>
        </is>
      </c>
    </row>
    <row r="12966">
      <c r="A12966" t="inlineStr">
        <is>
          <t>HTU SA,  Kyiv, Ukraine</t>
        </is>
      </c>
      <c r="B12966" t="inlineStr">
        <is>
          <t>First Gathering Point, Trader</t>
        </is>
      </c>
      <c r="C12966" t="inlineStr">
        <is>
          <t>Aciter Genelab LLC, Odessa, UA</t>
        </is>
      </c>
      <c r="D12966" t="inlineStr">
        <is>
          <t>27.10.2026</t>
        </is>
      </c>
      <c r="E12966" t="inlineStr">
        <is>
          <t>Ukraine</t>
        </is>
      </c>
    </row>
    <row r="12967">
      <c r="A12967" t="inlineStr">
        <is>
          <t>Jiangsu Cheeshine Performance Materials Co., Ltd.,  Huaian, Jiangsu, China</t>
        </is>
      </c>
      <c r="B12967" t="inlineStr">
        <is>
          <t>Processing Unit</t>
        </is>
      </c>
      <c r="C12967" t="inlineStr">
        <is>
          <t>SCS Global Services, Emeryville, CA, US</t>
        </is>
      </c>
      <c r="D12967" t="inlineStr">
        <is>
          <t>27.10.2026</t>
        </is>
      </c>
      <c r="E12967" t="inlineStr">
        <is>
          <t>China</t>
        </is>
      </c>
    </row>
    <row r="12968">
      <c r="A12968" t="inlineStr">
        <is>
          <t>Living Fuels limited,  Thetford, The United Kingdom</t>
        </is>
      </c>
      <c r="B12968" t="inlineStr">
        <is>
          <t>Collecting Point, Trader with Storage</t>
        </is>
      </c>
      <c r="C12968" t="inlineStr">
        <is>
          <t>SGS Germany GmbH, Emstek, DE</t>
        </is>
      </c>
      <c r="D12968" t="inlineStr">
        <is>
          <t>27.10.2026</t>
        </is>
      </c>
      <c r="E12968" t="inlineStr">
        <is>
          <t>The United Kingdom</t>
        </is>
      </c>
    </row>
    <row r="12969">
      <c r="A12969" t="inlineStr">
        <is>
          <t>Kissan Energy India Pvt Ltd,  BHIWADI, India</t>
        </is>
      </c>
      <c r="B12969" t="inlineStr">
        <is>
          <t>Collecting Point, Processing Unit</t>
        </is>
      </c>
      <c r="C12969" t="inlineStr">
        <is>
          <t>Cotecna India Inspection Pvt Ltd, Kolkata, IN</t>
        </is>
      </c>
      <c r="D12969" t="inlineStr">
        <is>
          <t>27.10.2026</t>
        </is>
      </c>
      <c r="E12969" t="inlineStr">
        <is>
          <t>India</t>
        </is>
      </c>
    </row>
    <row r="12970">
      <c r="A12970" t="inlineStr">
        <is>
          <t>DongLiao Tianhe Agricultural Company,  Liaoyuan, China</t>
        </is>
      </c>
      <c r="B12970" t="inlineStr">
        <is>
          <t>First Gathering Point</t>
        </is>
      </c>
      <c r="C12970" t="inlineStr">
        <is>
          <t>Bureau Veritas Polska Sp. z o.o., Warsaw, PL</t>
        </is>
      </c>
      <c r="D12970" t="inlineStr">
        <is>
          <t>27.10.2026</t>
        </is>
      </c>
      <c r="E12970" t="inlineStr">
        <is>
          <t>China</t>
        </is>
      </c>
    </row>
    <row r="12971">
      <c r="A12971" t="inlineStr">
        <is>
          <t>Bresfor - Indústria do Formol S.A.,  Gafanha da Nazaré, Portugal</t>
        </is>
      </c>
      <c r="B12971" t="inlineStr">
        <is>
          <t>Trader with Storage, Processing Unit</t>
        </is>
      </c>
      <c r="C12971" t="inlineStr">
        <is>
          <t>Certificadora Gallega del Noroeste SL, Vilagarcia de Arousa-Pontevedra, ES</t>
        </is>
      </c>
      <c r="D12971" t="inlineStr">
        <is>
          <t>27.10.2026</t>
        </is>
      </c>
      <c r="E12971" t="inlineStr">
        <is>
          <t>Portugal</t>
        </is>
      </c>
    </row>
    <row r="12972">
      <c r="A12972" t="inlineStr">
        <is>
          <t>Bresfor - Indústria do Formol S.A.,  Gafanha da Nazaré, Portugal</t>
        </is>
      </c>
      <c r="B12972" t="inlineStr">
        <is>
          <t>Trader with Storage</t>
        </is>
      </c>
      <c r="C12972" t="inlineStr">
        <is>
          <t>Certificadora Gallega del Noroeste SL, Vilagarcia de Arousa-Pontevedra, ES</t>
        </is>
      </c>
      <c r="D12972" t="inlineStr">
        <is>
          <t>27.10.2026</t>
        </is>
      </c>
      <c r="E12972" t="inlineStr">
        <is>
          <t>Portugal</t>
        </is>
      </c>
    </row>
    <row r="12973">
      <c r="A12973" t="inlineStr">
        <is>
          <t>SPIC Future Energy Development (Shanghai) Co., LTD.,  Shanghai, China</t>
        </is>
      </c>
      <c r="B12973" t="inlineStr">
        <is>
          <t>Trader</t>
        </is>
      </c>
      <c r="C12973" t="inlineStr">
        <is>
          <t>Bureau Veritas Polska Sp. z o.o., Warsaw, PL</t>
        </is>
      </c>
      <c r="D12973" t="inlineStr">
        <is>
          <t>27.10.2026</t>
        </is>
      </c>
      <c r="E12973" t="inlineStr">
        <is>
          <t>China</t>
        </is>
      </c>
    </row>
    <row r="12974">
      <c r="A12974" t="inlineStr">
        <is>
          <t>PROSPER CAPITAL HOLDINGS SDN BHD (CENDERAWASIH PALM OIL MILL),  ROMPIN, Malaysia</t>
        </is>
      </c>
      <c r="B12974" t="inlineStr">
        <is>
          <t>Point of Origin</t>
        </is>
      </c>
      <c r="C12974" t="inlineStr">
        <is>
          <t>Control Union Poland Sp. z o.o., Zielona Gora, PL</t>
        </is>
      </c>
      <c r="D12974" t="inlineStr">
        <is>
          <t>27.10.2026</t>
        </is>
      </c>
      <c r="E12974" t="inlineStr">
        <is>
          <t>Malaysia</t>
        </is>
      </c>
    </row>
    <row r="12975">
      <c r="A12975" t="inlineStr">
        <is>
          <t>Carl Zeiss Vision Italia,  Castiglione Olona, Italy</t>
        </is>
      </c>
      <c r="B12975" t="inlineStr">
        <is>
          <t>Trader with Storage</t>
        </is>
      </c>
      <c r="C12975" t="inlineStr">
        <is>
          <t>Bureau Veritas Polska Sp. z o.o., Warsaw, PL</t>
        </is>
      </c>
      <c r="D12975" t="inlineStr">
        <is>
          <t>27.10.2026</t>
        </is>
      </c>
      <c r="E12975" t="inlineStr">
        <is>
          <t>Italy</t>
        </is>
      </c>
    </row>
    <row r="12976">
      <c r="A12976" t="inlineStr">
        <is>
          <t>Quadra Commodities Romania SRL,  Bucharest, Romania</t>
        </is>
      </c>
      <c r="B12976" t="inlineStr">
        <is>
          <t>First Gathering Point, Trader with Storage</t>
        </is>
      </c>
      <c r="C12976" t="inlineStr">
        <is>
          <t>Bureau Veritas Polska Sp. z o.o., Warsaw, PL</t>
        </is>
      </c>
      <c r="D12976" t="inlineStr">
        <is>
          <t>27.10.2026</t>
        </is>
      </c>
      <c r="E12976" t="inlineStr">
        <is>
          <t>Romania</t>
        </is>
      </c>
    </row>
    <row r="12977">
      <c r="A12977" t="inlineStr">
        <is>
          <t>BENT OIL,  Sofia, Bulgaria</t>
        </is>
      </c>
      <c r="B12977" t="inlineStr">
        <is>
          <t>Trader with Storage</t>
        </is>
      </c>
      <c r="C12977" t="inlineStr">
        <is>
          <t>Bureau Veritas Polska Sp. z o.o., Warsaw, PL</t>
        </is>
      </c>
      <c r="D12977" t="inlineStr">
        <is>
          <t>27.10.2026</t>
        </is>
      </c>
      <c r="E12977" t="inlineStr">
        <is>
          <t>Bulgaria</t>
        </is>
      </c>
    </row>
    <row r="12978">
      <c r="A12978" t="inlineStr">
        <is>
          <t>Fangcheng City Fangcheng District Xingwang Okara Plant Co., Ltd.,  Fangcheng City, Guangxi Province, China</t>
        </is>
      </c>
      <c r="B12978" t="inlineStr">
        <is>
          <t>Collecting Point, Trader with Storage</t>
        </is>
      </c>
      <c r="C12978" t="inlineStr">
        <is>
          <t>RINA Services S.p.A., Genova, IT</t>
        </is>
      </c>
      <c r="D12978" t="inlineStr">
        <is>
          <t>27.10.2026</t>
        </is>
      </c>
      <c r="E12978" t="inlineStr">
        <is>
          <t>China</t>
        </is>
      </c>
    </row>
    <row r="12979">
      <c r="A12979" t="inlineStr">
        <is>
          <t>Adelaide and Statewide Tallow,  Wingfield, Australia</t>
        </is>
      </c>
      <c r="B12979" t="inlineStr">
        <is>
          <t>Collecting Point</t>
        </is>
      </c>
      <c r="C12979" t="inlineStr">
        <is>
          <t>Control Union Certifications Germany GmbH, Berlin, DE</t>
        </is>
      </c>
      <c r="D12979" t="inlineStr">
        <is>
          <t>27.10.2026</t>
        </is>
      </c>
      <c r="E12979" t="inlineStr">
        <is>
          <t>Australia</t>
        </is>
      </c>
    </row>
    <row r="12980">
      <c r="A12980" t="inlineStr">
        <is>
          <t>Prometeon Tyre Group,  Kartepe / Kocaeli, Turkey</t>
        </is>
      </c>
      <c r="B12980" t="inlineStr">
        <is>
          <t>Processing Unit, Trader with Storage</t>
        </is>
      </c>
      <c r="C12980" t="inlineStr">
        <is>
          <t>Certiquality srl, Milano, IT</t>
        </is>
      </c>
      <c r="D12980" t="inlineStr">
        <is>
          <t>27.10.2026</t>
        </is>
      </c>
      <c r="E12980" t="inlineStr">
        <is>
          <t>Turkey</t>
        </is>
      </c>
    </row>
    <row r="12981">
      <c r="A12981" t="inlineStr">
        <is>
          <t>PT Inti Selaras Perkasa,  Bulungan distric, Indonesia</t>
        </is>
      </c>
      <c r="B12981" t="inlineStr">
        <is>
          <t>Point of Origin</t>
        </is>
      </c>
      <c r="C12981" t="inlineStr">
        <is>
          <t>SGS Germany GmbH, Emstek, DE</t>
        </is>
      </c>
      <c r="D12981" t="inlineStr">
        <is>
          <t>27.10.2026</t>
        </is>
      </c>
      <c r="E12981" t="inlineStr">
        <is>
          <t>Indonesia</t>
        </is>
      </c>
    </row>
    <row r="12982">
      <c r="A12982" t="inlineStr">
        <is>
          <t>Perniagaan Sawit Jaya,  Jalan Jalil Perwira 2, Bukit Jalil, Malaysia</t>
        </is>
      </c>
      <c r="B12982" t="inlineStr">
        <is>
          <t>Collecting Point, Trader with Storage</t>
        </is>
      </c>
      <c r="C12982" t="inlineStr">
        <is>
          <t>TÜV NORD CERT GmbH, Essen, DE</t>
        </is>
      </c>
      <c r="D12982" t="inlineStr">
        <is>
          <t>27.10.2026</t>
        </is>
      </c>
      <c r="E12982" t="inlineStr">
        <is>
          <t>Malaysia</t>
        </is>
      </c>
    </row>
    <row r="12983">
      <c r="A12983" t="inlineStr">
        <is>
          <t>Ningbo Haijing Environmental Protection Technology Co., Ltd,  Beilun , Ningbo City, Zhejiang Province, China</t>
        </is>
      </c>
      <c r="B12983" t="inlineStr">
        <is>
          <t>Processing Unit</t>
        </is>
      </c>
      <c r="C12983" t="inlineStr">
        <is>
          <t>SGS Germany GmbH, Emstek, DE</t>
        </is>
      </c>
      <c r="D12983" t="inlineStr">
        <is>
          <t>27.10.2026</t>
        </is>
      </c>
      <c r="E12983" t="inlineStr">
        <is>
          <t>China</t>
        </is>
      </c>
    </row>
    <row r="12984">
      <c r="A12984" t="inlineStr">
        <is>
          <t>H&amp;R Ölwerke Schindler GmbH,  Hamburg, Germany</t>
        </is>
      </c>
      <c r="B12984" t="inlineStr">
        <is>
          <t>Processing Unit</t>
        </is>
      </c>
      <c r="C12984" t="inlineStr">
        <is>
          <t>Control Union Certifications Germany GmbH, Berlin, DE</t>
        </is>
      </c>
      <c r="D12984" t="inlineStr">
        <is>
          <t>27.10.2026</t>
        </is>
      </c>
      <c r="E12984" t="inlineStr">
        <is>
          <t>Germany</t>
        </is>
      </c>
    </row>
    <row r="12985">
      <c r="A12985" t="inlineStr">
        <is>
          <t>Ekolution AB,  Staffanstorp, Sweden</t>
        </is>
      </c>
      <c r="B12985" t="inlineStr">
        <is>
          <t>First Gathering Point, Processing Unit</t>
        </is>
      </c>
      <c r="C12985" t="inlineStr">
        <is>
          <t>Bureau Veritas Polska Sp. z o.o., Warsaw, PL</t>
        </is>
      </c>
      <c r="D12985" t="inlineStr">
        <is>
          <t>27.10.2026</t>
        </is>
      </c>
      <c r="E12985" t="inlineStr">
        <is>
          <t>Sweden</t>
        </is>
      </c>
    </row>
    <row r="12986">
      <c r="A12986" t="inlineStr">
        <is>
          <t>Euro Commerciale Spa,  Agliana (PT), Italy</t>
        </is>
      </c>
      <c r="B12986" t="inlineStr">
        <is>
          <t>Trader with Storage</t>
        </is>
      </c>
      <c r="C12986" t="inlineStr">
        <is>
          <t>RINA Services S.p.A., Genova, IT</t>
        </is>
      </c>
      <c r="D12986" t="inlineStr">
        <is>
          <t>27.10.2026</t>
        </is>
      </c>
      <c r="E12986" t="inlineStr">
        <is>
          <t>Italy</t>
        </is>
      </c>
    </row>
    <row r="12987">
      <c r="A12987" t="inlineStr">
        <is>
          <t>Röchling Industrial Lahnstein SE &amp; Co. KG,  Lahnstein, Germany</t>
        </is>
      </c>
      <c r="B12987" t="inlineStr">
        <is>
          <t>Processing Unit</t>
        </is>
      </c>
      <c r="C12987" t="inlineStr">
        <is>
          <t>SGS Germany GmbH, Emstek, DE</t>
        </is>
      </c>
      <c r="D12987" t="inlineStr">
        <is>
          <t>27.10.2026</t>
        </is>
      </c>
      <c r="E12987" t="inlineStr">
        <is>
          <t>Germany</t>
        </is>
      </c>
    </row>
    <row r="12988">
      <c r="A12988" t="inlineStr">
        <is>
          <t>Röchling Industrial Lahnstein SE &amp; Co. KG,  Nentershausen, Germany</t>
        </is>
      </c>
      <c r="B12988" t="inlineStr">
        <is>
          <t>Processing Unit</t>
        </is>
      </c>
      <c r="C12988" t="inlineStr">
        <is>
          <t>SGS Germany GmbH, Emstek, DE</t>
        </is>
      </c>
      <c r="D12988" t="inlineStr">
        <is>
          <t>27.10.2026</t>
        </is>
      </c>
      <c r="E12988" t="inlineStr">
        <is>
          <t>Germany</t>
        </is>
      </c>
    </row>
    <row r="12989">
      <c r="A12989" t="inlineStr">
        <is>
          <t>Aceites Manuelita S.A.,  Planta Yaguarito,Meta, Colombia</t>
        </is>
      </c>
      <c r="B12989" t="inlineStr">
        <is>
          <t>First Gathering Point, Point of Origin, Processing Unit</t>
        </is>
      </c>
      <c r="C12989" t="inlineStr">
        <is>
          <t>Control Union Poland Sp. z o.o., Zielona Gora, PL</t>
        </is>
      </c>
      <c r="D12989" t="inlineStr">
        <is>
          <t>27.10.2026</t>
        </is>
      </c>
      <c r="E12989" t="inlineStr">
        <is>
          <t>Colombia</t>
        </is>
      </c>
    </row>
    <row r="12990">
      <c r="A12990" t="inlineStr">
        <is>
          <t>Metal Lava Sdn Bhd,  Cheras, Malaysia</t>
        </is>
      </c>
      <c r="B12990" t="inlineStr">
        <is>
          <t>Trader</t>
        </is>
      </c>
      <c r="C12990" t="inlineStr">
        <is>
          <t>Global Gateway Certifications Sdn Bhd, Ampang, MY</t>
        </is>
      </c>
      <c r="D12990" t="inlineStr">
        <is>
          <t>26.10.2026</t>
        </is>
      </c>
      <c r="E12990" t="inlineStr">
        <is>
          <t>Malaysia</t>
        </is>
      </c>
    </row>
    <row r="12991">
      <c r="A12991" t="inlineStr">
        <is>
          <t>TFG Marine Pte Limited,  Ocean Financial Centre, Singapore</t>
        </is>
      </c>
      <c r="B12991" t="inlineStr">
        <is>
          <t>Trader with Storage, Proof of Compliance Trader</t>
        </is>
      </c>
      <c r="C12991" t="inlineStr">
        <is>
          <t>ASG Cert GmbH, Munich, DE</t>
        </is>
      </c>
      <c r="D12991" t="inlineStr">
        <is>
          <t>26.10.2026</t>
        </is>
      </c>
      <c r="E12991" t="inlineStr">
        <is>
          <t>Singapore</t>
        </is>
      </c>
    </row>
    <row r="12992">
      <c r="A12992" t="inlineStr">
        <is>
          <t>BP Oil International Limited,  London, The United Kingdom</t>
        </is>
      </c>
      <c r="B12992" t="inlineStr">
        <is>
          <t>Trader with Storage</t>
        </is>
      </c>
      <c r="C12992" t="inlineStr">
        <is>
          <t>Control Union Certifications Germany GmbH, Berlin, DE</t>
        </is>
      </c>
      <c r="D12992" t="inlineStr">
        <is>
          <t>26.10.2026</t>
        </is>
      </c>
      <c r="E12992" t="inlineStr">
        <is>
          <t>The United Kingdom</t>
        </is>
      </c>
    </row>
    <row r="12993">
      <c r="A12993" t="inlineStr">
        <is>
          <t>BP Oil International Limited,  London, United Kingdom</t>
        </is>
      </c>
      <c r="B12993" t="inlineStr">
        <is>
          <t>Trader with Storage, Proof of Compliance Trader</t>
        </is>
      </c>
      <c r="C12993" t="inlineStr">
        <is>
          <t>Control Union Certifications Germany GmbH, Berlin, DE</t>
        </is>
      </c>
      <c r="D12993" t="inlineStr">
        <is>
          <t>26.10.2026</t>
        </is>
      </c>
      <c r="E12993" t="inlineStr">
        <is>
          <t>United Kingdom</t>
        </is>
      </c>
    </row>
    <row r="12994">
      <c r="A12994" t="inlineStr">
        <is>
          <t>Nestle Adriatic S doo,  Surčin, Serbia</t>
        </is>
      </c>
      <c r="B12994" t="inlineStr">
        <is>
          <t>Processing Unit</t>
        </is>
      </c>
      <c r="C12994" t="inlineStr">
        <is>
          <t>Bureau Veritas Polska Sp. z o.o., Warsaw, PL</t>
        </is>
      </c>
      <c r="D12994" t="inlineStr">
        <is>
          <t>26.10.2026</t>
        </is>
      </c>
      <c r="E12994" t="inlineStr">
        <is>
          <t>Serbia</t>
        </is>
      </c>
    </row>
    <row r="12995">
      <c r="A12995" t="inlineStr">
        <is>
          <t>Westlake Vinnolit GmbH &amp; Co.KG,  Burghausen, Germany</t>
        </is>
      </c>
      <c r="B12995" t="inlineStr">
        <is>
          <t>Processing Unit</t>
        </is>
      </c>
      <c r="C12995" t="inlineStr">
        <is>
          <t>DIN CERTCO GmbH, Berlin, DE</t>
        </is>
      </c>
      <c r="D12995" t="inlineStr">
        <is>
          <t>26.10.2026</t>
        </is>
      </c>
      <c r="E12995" t="inlineStr">
        <is>
          <t>Germany</t>
        </is>
      </c>
    </row>
    <row r="12996">
      <c r="A12996" t="inlineStr">
        <is>
          <t>Westlake Vinnolit GmbH &amp; Co.KG,  Hürth-Knapsack, Germany</t>
        </is>
      </c>
      <c r="B12996" t="inlineStr">
        <is>
          <t>Point of Origin, Processing Unit</t>
        </is>
      </c>
      <c r="C12996" t="inlineStr">
        <is>
          <t>DIN CERTCO GmbH, Berlin, DE</t>
        </is>
      </c>
      <c r="D12996" t="inlineStr">
        <is>
          <t>26.10.2026</t>
        </is>
      </c>
      <c r="E12996" t="inlineStr">
        <is>
          <t>Germany</t>
        </is>
      </c>
    </row>
    <row r="12997">
      <c r="A12997" t="inlineStr">
        <is>
          <t>Westlake Vinnolit GmbH &amp; Co.KG,  Ismaning, Germany</t>
        </is>
      </c>
      <c r="B12997" t="inlineStr">
        <is>
          <t>Trader with Storage</t>
        </is>
      </c>
      <c r="C12997" t="inlineStr">
        <is>
          <t>DIN CERTCO GmbH, Berlin, DE</t>
        </is>
      </c>
      <c r="D12997" t="inlineStr">
        <is>
          <t>26.10.2026</t>
        </is>
      </c>
      <c r="E12997" t="inlineStr">
        <is>
          <t>Germany</t>
        </is>
      </c>
    </row>
    <row r="12998">
      <c r="A12998" t="inlineStr">
        <is>
          <t>WAGA ENERGY,  SAINTE-MARIE-KERQUE, France</t>
        </is>
      </c>
      <c r="B12998" t="inlineStr">
        <is>
          <t>Collecting Point, Processing Unit</t>
        </is>
      </c>
      <c r="C12998" t="inlineStr">
        <is>
          <t>SI Cert Italy S.R.L., Parma, IT</t>
        </is>
      </c>
      <c r="D12998" t="inlineStr">
        <is>
          <t>26.10.2026</t>
        </is>
      </c>
      <c r="E12998" t="inlineStr">
        <is>
          <t>France</t>
        </is>
      </c>
    </row>
    <row r="12999">
      <c r="A12999" t="inlineStr">
        <is>
          <t>Westlake Vinnolit GmbH &amp; Co.KG,  Burgkirchen, Germany</t>
        </is>
      </c>
      <c r="B12999" t="inlineStr">
        <is>
          <t>Point of Origin, Processing Unit</t>
        </is>
      </c>
      <c r="C12999" t="inlineStr">
        <is>
          <t>DIN CERTCO GmbH, Berlin, DE</t>
        </is>
      </c>
      <c r="D12999" t="inlineStr">
        <is>
          <t>26.10.2026</t>
        </is>
      </c>
      <c r="E12999" t="inlineStr">
        <is>
          <t>Germany</t>
        </is>
      </c>
    </row>
    <row r="13000">
      <c r="A13000" t="inlineStr">
        <is>
          <t>Westlake Vinnolit GmbH &amp; Co.KG,  Köln, Germany</t>
        </is>
      </c>
      <c r="B13000" t="inlineStr">
        <is>
          <t>Processing Unit</t>
        </is>
      </c>
      <c r="C13000" t="inlineStr">
        <is>
          <t>DIN CERTCO GmbH, Berlin, DE</t>
        </is>
      </c>
      <c r="D13000" t="inlineStr">
        <is>
          <t>26.10.2026</t>
        </is>
      </c>
      <c r="E13000" t="inlineStr">
        <is>
          <t>Germany</t>
        </is>
      </c>
    </row>
    <row r="13001">
      <c r="A13001" t="inlineStr">
        <is>
          <t>ALBIS PLASTIC ITALIA SRL,  GALLARATE, Italy</t>
        </is>
      </c>
      <c r="B13001" t="inlineStr">
        <is>
          <t>Trader with Storage</t>
        </is>
      </c>
      <c r="C13001" t="inlineStr">
        <is>
          <t>DQS CFS GmbH - Deutsche Gesellschaft für Nachhaltigkeit, Frankfurt am Main, DE</t>
        </is>
      </c>
      <c r="D13001" t="inlineStr">
        <is>
          <t>26.10.2026</t>
        </is>
      </c>
      <c r="E13001" t="inlineStr">
        <is>
          <t>Italy</t>
        </is>
      </c>
    </row>
    <row r="13002">
      <c r="A13002" t="inlineStr">
        <is>
          <t>Bunge Agribusiness Australia Pty Ltd,  South Melbourne, Australia</t>
        </is>
      </c>
      <c r="B13002" t="inlineStr">
        <is>
          <t>Trader with Storage</t>
        </is>
      </c>
      <c r="C13002" t="inlineStr">
        <is>
          <t>SGS Germany GmbH, Emstek, DE</t>
        </is>
      </c>
      <c r="D13002" t="inlineStr">
        <is>
          <t>26.10.2026</t>
        </is>
      </c>
      <c r="E13002" t="inlineStr">
        <is>
          <t>Australia</t>
        </is>
      </c>
    </row>
    <row r="13003">
      <c r="A13003" t="inlineStr">
        <is>
          <t>Heze Caoxian Luzhijing New Energy Technology Co., Ltd,  Heze, China</t>
        </is>
      </c>
      <c r="B13003" t="inlineStr">
        <is>
          <t>Collecting Point, Processing Unit, Trader with Storage</t>
        </is>
      </c>
      <c r="C13003" t="inlineStr">
        <is>
          <t>RINA Services S.p.A., Genova, IT</t>
        </is>
      </c>
      <c r="D13003" t="inlineStr">
        <is>
          <t>26.10.2026</t>
        </is>
      </c>
      <c r="E13003" t="inlineStr">
        <is>
          <t>China</t>
        </is>
      </c>
    </row>
    <row r="13004">
      <c r="A13004" t="inlineStr">
        <is>
          <t>Thai Polyethylene Co., Ltd.,  RIL Industrial Estate, Rayong, Map Ta Phut, Thailand</t>
        </is>
      </c>
      <c r="B13004" t="inlineStr">
        <is>
          <t>Processing Unit</t>
        </is>
      </c>
      <c r="C13004" t="inlineStr">
        <is>
          <t>SGS Germany GmbH, Emstek, DE</t>
        </is>
      </c>
      <c r="D13004" t="inlineStr">
        <is>
          <t>26.10.2026</t>
        </is>
      </c>
      <c r="E13004" t="inlineStr">
        <is>
          <t>Thailand</t>
        </is>
      </c>
    </row>
    <row r="13005">
      <c r="A13005" t="inlineStr">
        <is>
          <t>Bunge Agribusiness Australia Pty Ltd,  Melbourne, Australia</t>
        </is>
      </c>
      <c r="B13005" t="inlineStr">
        <is>
          <t>Trader with Storage</t>
        </is>
      </c>
      <c r="C13005" t="inlineStr">
        <is>
          <t>SGS Germany GmbH, Emstek, DE</t>
        </is>
      </c>
      <c r="D13005" t="inlineStr">
        <is>
          <t>26.10.2026</t>
        </is>
      </c>
      <c r="E13005" t="inlineStr">
        <is>
          <t>Australia</t>
        </is>
      </c>
    </row>
    <row r="13006">
      <c r="A13006" t="inlineStr">
        <is>
          <t>Zhejiang Hailide New Material Co., Ltd.,  Haining, Jiaxing, Zhejiang, China, China</t>
        </is>
      </c>
      <c r="B13006" t="inlineStr">
        <is>
          <t>Processing Unit</t>
        </is>
      </c>
      <c r="C13006" t="inlineStr">
        <is>
          <t>SGS Germany GmbH, Emstek, DE</t>
        </is>
      </c>
      <c r="D13006" t="inlineStr">
        <is>
          <t>26.10.2026</t>
        </is>
      </c>
      <c r="E13006" t="inlineStr">
        <is>
          <t>China</t>
        </is>
      </c>
    </row>
    <row r="13007">
      <c r="A13007" t="inlineStr">
        <is>
          <t>Zhejiang Hailide New Material Co., Ltd.,  Haining, Jiaxing, Zhejiang, China</t>
        </is>
      </c>
      <c r="B13007" t="inlineStr">
        <is>
          <t>Processing Unit</t>
        </is>
      </c>
      <c r="C13007" t="inlineStr">
        <is>
          <t>SGS Germany GmbH, Emstek, DE</t>
        </is>
      </c>
      <c r="D13007" t="inlineStr">
        <is>
          <t>26.10.2026</t>
        </is>
      </c>
      <c r="E13007" t="inlineStr">
        <is>
          <t>China</t>
        </is>
      </c>
    </row>
    <row r="13008">
      <c r="A13008" t="inlineStr">
        <is>
          <t>Samyang Packaging Corporation Gwanghyewon plant,  Gwanghyewon-myeon, Jincheon-gun, South Korea</t>
        </is>
      </c>
      <c r="B13008" t="inlineStr">
        <is>
          <t>Final Product Refinement</t>
        </is>
      </c>
      <c r="C13008" t="inlineStr">
        <is>
          <t>Control Union Certifications Germany GmbH, Berlin, DE</t>
        </is>
      </c>
      <c r="D13008" t="inlineStr">
        <is>
          <t>26.10.2026</t>
        </is>
      </c>
      <c r="E13008" t="inlineStr">
        <is>
          <t>South Korea</t>
        </is>
      </c>
    </row>
    <row r="13009">
      <c r="A13009" t="inlineStr">
        <is>
          <t>AVMGP TRADINGS SDN BHD,  KLUANG, Malaysia</t>
        </is>
      </c>
      <c r="B13009" t="inlineStr">
        <is>
          <t>Collecting Point, Trader, Trader with Storage</t>
        </is>
      </c>
      <c r="C13009" t="inlineStr">
        <is>
          <t>PT. CBQA GLOBAL INDONESIA, JAKARTA SELATAN, ID</t>
        </is>
      </c>
      <c r="D13009" t="inlineStr">
        <is>
          <t>26.10.2026</t>
        </is>
      </c>
      <c r="E13009" t="inlineStr">
        <is>
          <t>Malaysia</t>
        </is>
      </c>
    </row>
    <row r="13010">
      <c r="A13010" t="inlineStr">
        <is>
          <t>GREEN BRIDGE TRADING,  renggam, Malaysia</t>
        </is>
      </c>
      <c r="B13010" t="inlineStr">
        <is>
          <t>Collecting Point, Trader, Trader with Storage</t>
        </is>
      </c>
      <c r="C13010" t="inlineStr">
        <is>
          <t>PT. CBQA GLOBAL INDONESIA, JAKARTA SELATAN, ID</t>
        </is>
      </c>
      <c r="D13010" t="inlineStr">
        <is>
          <t>26.10.2026</t>
        </is>
      </c>
      <c r="E13010" t="inlineStr">
        <is>
          <t>Malaysia</t>
        </is>
      </c>
    </row>
    <row r="13011">
      <c r="A13011" t="inlineStr">
        <is>
          <t>Jowat Swiss AG,  Buchrain, Switzerland</t>
        </is>
      </c>
      <c r="B13011" t="inlineStr">
        <is>
          <t>Processing Unit, Trader with Storage</t>
        </is>
      </c>
      <c r="C13011" t="inlineStr">
        <is>
          <t>GUT Certifizierungsgesellschaft für Managementsysteme mbH Umweltgutachter, Berlin, DE</t>
        </is>
      </c>
      <c r="D13011" t="inlineStr">
        <is>
          <t>26.10.2026</t>
        </is>
      </c>
      <c r="E13011" t="inlineStr">
        <is>
          <t>Switzerland</t>
        </is>
      </c>
    </row>
    <row r="13012">
      <c r="A13012" t="inlineStr">
        <is>
          <t>Global Environmental Management Services (REVIVA),  Jubail, Saudi Arabia</t>
        </is>
      </c>
      <c r="B13012" t="inlineStr">
        <is>
          <t>Processing Unit, Trader with Storage</t>
        </is>
      </c>
      <c r="C13012" t="inlineStr">
        <is>
          <t>PT Intertek Utama Services, Jakarta, ID</t>
        </is>
      </c>
      <c r="D13012" t="inlineStr">
        <is>
          <t>26.10.2026</t>
        </is>
      </c>
      <c r="E13012" t="inlineStr">
        <is>
          <t>Saudi Arabia</t>
        </is>
      </c>
    </row>
    <row r="13013">
      <c r="A13013" t="inlineStr">
        <is>
          <t>Fujian Jinyifeng Industry and Trade Co. LTD.,  Longyan City, Fujian Province, China</t>
        </is>
      </c>
      <c r="B13013" t="inlineStr">
        <is>
          <t>Collecting Point, Trader</t>
        </is>
      </c>
      <c r="C13013" t="inlineStr">
        <is>
          <t>CTI Certification Co. Ltd, Shenzhen, CN</t>
        </is>
      </c>
      <c r="D13013" t="inlineStr">
        <is>
          <t>26.10.2026</t>
        </is>
      </c>
      <c r="E13013" t="inlineStr">
        <is>
          <t>China</t>
        </is>
      </c>
    </row>
    <row r="13014">
      <c r="A13014" t="inlineStr">
        <is>
          <t>Compra y Venta Maffioli,  Pedregal, Ciudad de Panamá, Panamá, Panama</t>
        </is>
      </c>
      <c r="B13014" t="inlineStr">
        <is>
          <t>Collecting Point</t>
        </is>
      </c>
      <c r="C13014" t="inlineStr">
        <is>
          <t>Certificadora Gallega del Noroeste SL, Vilagarcia de Arousa-Pontevedra, ES</t>
        </is>
      </c>
      <c r="D13014" t="inlineStr">
        <is>
          <t>26.10.2026</t>
        </is>
      </c>
      <c r="E13014" t="inlineStr">
        <is>
          <t>Panama</t>
        </is>
      </c>
    </row>
    <row r="13015">
      <c r="A13015" t="inlineStr">
        <is>
          <t>Kurilla-Gabona Kft.,  Méra, Hungary</t>
        </is>
      </c>
      <c r="B13015" t="inlineStr">
        <is>
          <t>First Gathering Point</t>
        </is>
      </c>
      <c r="C13015" t="inlineStr">
        <is>
          <t>Certificadora Gallega del Noroeste SL, Vilagarcia de Arousa-Pontevedra, ES</t>
        </is>
      </c>
      <c r="D13015" t="inlineStr">
        <is>
          <t>26.10.2026</t>
        </is>
      </c>
      <c r="E13015" t="inlineStr">
        <is>
          <t>Hungary</t>
        </is>
      </c>
    </row>
    <row r="13016">
      <c r="A13016" t="inlineStr">
        <is>
          <t>BM Trade Slovakia, spol. s r.o.,  Bratislava, Slovakia</t>
        </is>
      </c>
      <c r="B13016" t="inlineStr">
        <is>
          <t>First Gathering Point, Trader</t>
        </is>
      </c>
      <c r="C13016" t="inlineStr">
        <is>
          <t>United Registrar of Systems Polska Sp. z o.o., Wrocław, PL</t>
        </is>
      </c>
      <c r="D13016" t="inlineStr">
        <is>
          <t>26.10.2026</t>
        </is>
      </c>
      <c r="E13016" t="inlineStr">
        <is>
          <t>Slovakia</t>
        </is>
      </c>
    </row>
    <row r="13017">
      <c r="A13017" t="inlineStr">
        <is>
          <t>Basell Orlen Polyolefins Sprzedaz Sp. z.o.o.,  Płock, Poland</t>
        </is>
      </c>
      <c r="B13017" t="inlineStr">
        <is>
          <t>Trader</t>
        </is>
      </c>
      <c r="C13017" t="inlineStr">
        <is>
          <t>Bureau Veritas Polska Sp. z o.o., Warsaw, PL</t>
        </is>
      </c>
      <c r="D13017" t="inlineStr">
        <is>
          <t>26.10.2026</t>
        </is>
      </c>
      <c r="E13017" t="inlineStr">
        <is>
          <t>Poland</t>
        </is>
      </c>
    </row>
    <row r="13018">
      <c r="A13018" t="inlineStr">
        <is>
          <t>Shenyang Liaozhong Shanda Biomass Technology Co.,Ltd.,  Shenyang City, Liaoning Province, China</t>
        </is>
      </c>
      <c r="B13018" t="inlineStr">
        <is>
          <t>Collecting Point, Processing Unit</t>
        </is>
      </c>
      <c r="C13018" t="inlineStr">
        <is>
          <t>SCS Global Services, Emeryville, CA, US</t>
        </is>
      </c>
      <c r="D13018" t="inlineStr">
        <is>
          <t>26.10.2026</t>
        </is>
      </c>
      <c r="E13018" t="inlineStr">
        <is>
          <t>China</t>
        </is>
      </c>
    </row>
    <row r="13019">
      <c r="A13019" t="inlineStr">
        <is>
          <t>Skyven Energy Sdn Bhd,  Masai, Malaysia</t>
        </is>
      </c>
      <c r="B13019" t="inlineStr">
        <is>
          <t>Collecting Point, Trader with Storage</t>
        </is>
      </c>
      <c r="C13019" t="inlineStr">
        <is>
          <t>RINA Services S.p.A., Genova, IT</t>
        </is>
      </c>
      <c r="D13019" t="inlineStr">
        <is>
          <t>26.10.2026</t>
        </is>
      </c>
      <c r="E13019" t="inlineStr">
        <is>
          <t>Malaysia</t>
        </is>
      </c>
    </row>
    <row r="13020">
      <c r="A13020" t="inlineStr">
        <is>
          <t>BEK Agro Revúca, s.r.o.,  Revúca, Slovakia</t>
        </is>
      </c>
      <c r="B13020" t="inlineStr">
        <is>
          <t>First Gathering Point, Processing Unit</t>
        </is>
      </c>
      <c r="C13020" t="inlineStr">
        <is>
          <t>United Registrar of Systems Polska Sp. z o.o., Wrocław, PL</t>
        </is>
      </c>
      <c r="D13020" t="inlineStr">
        <is>
          <t>26.10.2026</t>
        </is>
      </c>
      <c r="E13020" t="inlineStr">
        <is>
          <t>Slovakia</t>
        </is>
      </c>
    </row>
    <row r="13021">
      <c r="A13021" t="inlineStr">
        <is>
          <t>TotalEnergies Marketing Česká republika s.r.o,  Praha 8, Czech Republic</t>
        </is>
      </c>
      <c r="B13021" t="inlineStr">
        <is>
          <t>Trader with Storage</t>
        </is>
      </c>
      <c r="C13021" t="inlineStr">
        <is>
          <t>SGS Germany GmbH, Emstek, DE</t>
        </is>
      </c>
      <c r="D13021" t="inlineStr">
        <is>
          <t>26.10.2026</t>
        </is>
      </c>
      <c r="E13021" t="inlineStr">
        <is>
          <t>Czech Republic</t>
        </is>
      </c>
    </row>
    <row r="13022">
      <c r="A13022" t="inlineStr">
        <is>
          <t>Cabot Colombiana SAS,  Cartagena, Colombia</t>
        </is>
      </c>
      <c r="B13022" t="inlineStr">
        <is>
          <t>Processing Unit, Trader with Storage</t>
        </is>
      </c>
      <c r="C13022" t="inlineStr">
        <is>
          <t>SCS Global Services, Emeryville, CA, US</t>
        </is>
      </c>
      <c r="D13022" t="inlineStr">
        <is>
          <t>26.10.2026</t>
        </is>
      </c>
      <c r="E13022" t="inlineStr">
        <is>
          <t>Colombia</t>
        </is>
      </c>
    </row>
    <row r="13023">
      <c r="A13023" t="inlineStr">
        <is>
          <t>Orion Engineered Carbons Sp. z o.o.,  Jaslo, Poland</t>
        </is>
      </c>
      <c r="B13023" t="inlineStr">
        <is>
          <t>Processing Unit</t>
        </is>
      </c>
      <c r="C13023" t="inlineStr">
        <is>
          <t>DQS CFS GmbH - Deutsche Gesellschaft für Nachhaltigkeit, Frankfurt am Main, DE</t>
        </is>
      </c>
      <c r="D13023" t="inlineStr">
        <is>
          <t>26.10.2026</t>
        </is>
      </c>
      <c r="E13023" t="inlineStr">
        <is>
          <t>Poland</t>
        </is>
      </c>
    </row>
    <row r="13024">
      <c r="A13024" t="inlineStr">
        <is>
          <t>Groen Gas Jelsum,  Jelsum, Netherlands</t>
        </is>
      </c>
      <c r="B13024" t="inlineStr">
        <is>
          <t>Collecting Point, Processing Unit</t>
        </is>
      </c>
      <c r="C13024" t="inlineStr">
        <is>
          <t>DEKRA Certification B.V., Arnhem, NL</t>
        </is>
      </c>
      <c r="D13024" t="inlineStr">
        <is>
          <t>26.10.2026</t>
        </is>
      </c>
      <c r="E13024" t="inlineStr">
        <is>
          <t>Netherlands</t>
        </is>
      </c>
    </row>
    <row r="13025">
      <c r="A13025" t="inlineStr">
        <is>
          <t>Energia Verde Truccazzano Agricola,  Truccazzano, Italy</t>
        </is>
      </c>
      <c r="B13025" t="inlineStr">
        <is>
          <t>Collecting Point, Processing Unit</t>
        </is>
      </c>
      <c r="C13025" t="inlineStr">
        <is>
          <t>ICIM SpA, sesto san giovanni, IT</t>
        </is>
      </c>
      <c r="D13025" t="inlineStr">
        <is>
          <t>26.10.2026</t>
        </is>
      </c>
      <c r="E13025" t="inlineStr">
        <is>
          <t>Italy</t>
        </is>
      </c>
    </row>
    <row r="13026">
      <c r="A13026" t="inlineStr">
        <is>
          <t>Shanghai Zhongqi Industrial Co., Ltd.,  Shanghai, China</t>
        </is>
      </c>
      <c r="B13026" t="inlineStr">
        <is>
          <t>Collecting Point, Trader with Storage</t>
        </is>
      </c>
      <c r="C13026" t="inlineStr">
        <is>
          <t>RINA Services S.p.A., Genova, IT</t>
        </is>
      </c>
      <c r="D13026" t="inlineStr">
        <is>
          <t>26.10.2026</t>
        </is>
      </c>
      <c r="E13026" t="inlineStr">
        <is>
          <t>China</t>
        </is>
      </c>
    </row>
    <row r="13027">
      <c r="A13027" t="inlineStr">
        <is>
          <t>PT. Nusa Raya Palma,  Surabaya, Indonesia</t>
        </is>
      </c>
      <c r="B13027" t="inlineStr">
        <is>
          <t>Collecting Point, Trader with Storage</t>
        </is>
      </c>
      <c r="C13027" t="inlineStr">
        <is>
          <t>RINA Services S.p.A., Genova, IT</t>
        </is>
      </c>
      <c r="D13027" t="inlineStr">
        <is>
          <t>26.10.2026</t>
        </is>
      </c>
      <c r="E13027" t="inlineStr">
        <is>
          <t>Indonesia</t>
        </is>
      </c>
    </row>
    <row r="13028">
      <c r="A13028" t="inlineStr">
        <is>
          <t>Nataraj Hydrocarbons Private limited,  Purba Bardhaman, India</t>
        </is>
      </c>
      <c r="B13028" t="inlineStr">
        <is>
          <t>Collecting Point, Processing Unit</t>
        </is>
      </c>
      <c r="C13028" t="inlineStr">
        <is>
          <t>Alcumus ISOQAR Ltd, Stretford, Manchester, GB</t>
        </is>
      </c>
      <c r="D13028" t="inlineStr">
        <is>
          <t>26.10.2026</t>
        </is>
      </c>
      <c r="E13028" t="inlineStr">
        <is>
          <t>India</t>
        </is>
      </c>
    </row>
    <row r="13029">
      <c r="A13029" t="inlineStr">
        <is>
          <t>STANFORD ENERGY PTE LTD,  Singapore, Singapore</t>
        </is>
      </c>
      <c r="B13029" t="inlineStr">
        <is>
          <t>Trader</t>
        </is>
      </c>
      <c r="C13029" t="inlineStr">
        <is>
          <t>SGS Germany GmbH, Emstek, DE</t>
        </is>
      </c>
      <c r="D13029" t="inlineStr">
        <is>
          <t>26.10.2026</t>
        </is>
      </c>
      <c r="E13029" t="inlineStr">
        <is>
          <t>Singapore</t>
        </is>
      </c>
    </row>
    <row r="13030">
      <c r="A13030" t="inlineStr">
        <is>
          <t>STANFORD ENERGY PTE LTD,  Singapore, Singapore</t>
        </is>
      </c>
      <c r="B13030" t="inlineStr">
        <is>
          <t>Trader</t>
        </is>
      </c>
      <c r="C13030" t="inlineStr">
        <is>
          <t>SGS Germany GmbH, Emstek, DE</t>
        </is>
      </c>
      <c r="D13030" t="inlineStr">
        <is>
          <t>26.10.2026</t>
        </is>
      </c>
      <c r="E13030" t="inlineStr">
        <is>
          <t>Singapore</t>
        </is>
      </c>
    </row>
    <row r="13031">
      <c r="A13031" t="inlineStr">
        <is>
          <t>Shandong Yanggu Huatai Chemical Co., Ltd.,  Yanggu County, Liaocheng City, Shandong Province, China</t>
        </is>
      </c>
      <c r="B13031" t="inlineStr">
        <is>
          <t>Processing Unit</t>
        </is>
      </c>
      <c r="C13031" t="inlineStr">
        <is>
          <t>SCS Global Services, Emeryville, CA, US</t>
        </is>
      </c>
      <c r="D13031" t="inlineStr">
        <is>
          <t>26.10.2026</t>
        </is>
      </c>
      <c r="E13031" t="inlineStr">
        <is>
          <t>China</t>
        </is>
      </c>
    </row>
    <row r="13032">
      <c r="A13032" t="inlineStr">
        <is>
          <t>DAAN JILIN ELECTRIC POWER GREEN HYDROGEN ENERGY CO.LTD.,  Da'an, Baicheng, China</t>
        </is>
      </c>
      <c r="B13032" t="inlineStr">
        <is>
          <t>Processing Unit</t>
        </is>
      </c>
      <c r="C13032" t="inlineStr">
        <is>
          <t>Bureau Veritas Polska Sp. z o.o., Warsaw, PL</t>
        </is>
      </c>
      <c r="D13032" t="inlineStr">
        <is>
          <t>26.10.2026</t>
        </is>
      </c>
      <c r="E13032" t="inlineStr">
        <is>
          <t>China</t>
        </is>
      </c>
    </row>
    <row r="13033">
      <c r="A13033" t="inlineStr">
        <is>
          <t>DANGAN film Co., Ltd.,  Shiraoka city, Japan</t>
        </is>
      </c>
      <c r="B13033" t="inlineStr">
        <is>
          <t>Processing Unit</t>
        </is>
      </c>
      <c r="C13033" t="inlineStr">
        <is>
          <t>Bureau Veritas Polska Sp. z o.o., Warsaw, PL</t>
        </is>
      </c>
      <c r="D13033" t="inlineStr">
        <is>
          <t>26.10.2026</t>
        </is>
      </c>
      <c r="E13033" t="inlineStr">
        <is>
          <t>Japan</t>
        </is>
      </c>
    </row>
    <row r="13034">
      <c r="A13034" t="inlineStr">
        <is>
          <t>Sibo G. d.o.o.,  Škofja Loka, Slovenia</t>
        </is>
      </c>
      <c r="B13034" t="inlineStr">
        <is>
          <t>Processing Unit, Trader with Storage</t>
        </is>
      </c>
      <c r="C13034" t="inlineStr">
        <is>
          <t>Bureau Veritas Polska Sp. z o.o., Warsaw, PL</t>
        </is>
      </c>
      <c r="D13034" t="inlineStr">
        <is>
          <t>26.10.2026</t>
        </is>
      </c>
      <c r="E13034" t="inlineStr">
        <is>
          <t>Slovenia</t>
        </is>
      </c>
    </row>
    <row r="13035">
      <c r="A13035" t="inlineStr">
        <is>
          <t>Huaqing Glasses (Shenzhen) Company Limited,  Shenzhen, China</t>
        </is>
      </c>
      <c r="B13035" t="inlineStr">
        <is>
          <t>Processing Unit</t>
        </is>
      </c>
      <c r="C13035" t="inlineStr">
        <is>
          <t>RINA Services S.p.A., Genova, IT</t>
        </is>
      </c>
      <c r="D13035" t="inlineStr">
        <is>
          <t>26.10.2026</t>
        </is>
      </c>
      <c r="E13035" t="inlineStr">
        <is>
          <t>China</t>
        </is>
      </c>
    </row>
    <row r="13036">
      <c r="A13036" t="inlineStr">
        <is>
          <t>CCL SPECIALTY POUCHES SRL,  Brunello, Italy</t>
        </is>
      </c>
      <c r="B13036" t="inlineStr">
        <is>
          <t>Processing Unit</t>
        </is>
      </c>
      <c r="C13036" t="inlineStr">
        <is>
          <t>IIP S.r.l., Monza, IT</t>
        </is>
      </c>
      <c r="D13036" t="inlineStr">
        <is>
          <t>26.10.2026</t>
        </is>
      </c>
      <c r="E13036" t="inlineStr">
        <is>
          <t>Italy</t>
        </is>
      </c>
    </row>
    <row r="13037">
      <c r="A13037" t="inlineStr">
        <is>
          <t>Avere Commodities S.A.,  Versoix, Geneva, Switzerland</t>
        </is>
      </c>
      <c r="B13037" t="inlineStr">
        <is>
          <t>Trader</t>
        </is>
      </c>
      <c r="C13037" t="inlineStr">
        <is>
          <t>SGS Germany GmbH, Emstek, DE</t>
        </is>
      </c>
      <c r="D13037" t="inlineStr">
        <is>
          <t>26.10.2026</t>
        </is>
      </c>
      <c r="E13037" t="inlineStr">
        <is>
          <t>Switzerland</t>
        </is>
      </c>
    </row>
    <row r="13038">
      <c r="A13038" t="inlineStr">
        <is>
          <t>Avere Commodities S.A.,  Versoix, Geneva, Switzerland</t>
        </is>
      </c>
      <c r="B13038" t="inlineStr">
        <is>
          <t>Trader</t>
        </is>
      </c>
      <c r="C13038" t="inlineStr">
        <is>
          <t>SGS Germany GmbH, Emstek, DE</t>
        </is>
      </c>
      <c r="D13038" t="inlineStr">
        <is>
          <t>26.10.2026</t>
        </is>
      </c>
      <c r="E13038" t="inlineStr">
        <is>
          <t>Switzerland</t>
        </is>
      </c>
    </row>
    <row r="13039">
      <c r="A13039" t="inlineStr">
        <is>
          <t>Social Cooperative Enterprise Kalloni-Kelia Tinou,  Tinos, Greece</t>
        </is>
      </c>
      <c r="B13039" t="inlineStr">
        <is>
          <t>Collecting Point</t>
        </is>
      </c>
      <c r="C13039" t="inlineStr">
        <is>
          <t>Eurocert SA, Metamorfosi, Athens, GR</t>
        </is>
      </c>
      <c r="D13039" t="inlineStr">
        <is>
          <t>26.10.2026</t>
        </is>
      </c>
      <c r="E13039" t="inlineStr">
        <is>
          <t>Greece</t>
        </is>
      </c>
    </row>
    <row r="13040">
      <c r="A13040" t="inlineStr">
        <is>
          <t>ADM Trading Australia Pty. Ltd.,  Adelaide, Australia</t>
        </is>
      </c>
      <c r="B13040" t="inlineStr">
        <is>
          <t>Trader with Storage</t>
        </is>
      </c>
      <c r="C13040" t="inlineStr">
        <is>
          <t>Control Union Certifications Germany GmbH, Berlin, DE</t>
        </is>
      </c>
      <c r="D13040" t="inlineStr">
        <is>
          <t>26.10.2026</t>
        </is>
      </c>
      <c r="E13040" t="inlineStr">
        <is>
          <t>Australia</t>
        </is>
      </c>
    </row>
    <row r="13041">
      <c r="A13041" t="inlineStr">
        <is>
          <t>AgRisk Management,  Sydney, Australia</t>
        </is>
      </c>
      <c r="B13041" t="inlineStr">
        <is>
          <t>Trader</t>
        </is>
      </c>
      <c r="C13041" t="inlineStr">
        <is>
          <t>Control Union Certifications Germany GmbH, Berlin, DE</t>
        </is>
      </c>
      <c r="D13041" t="inlineStr">
        <is>
          <t>25.10.2026</t>
        </is>
      </c>
      <c r="E13041" t="inlineStr">
        <is>
          <t>Australia</t>
        </is>
      </c>
    </row>
    <row r="13042">
      <c r="A13042" t="inlineStr">
        <is>
          <t>PT Agro Makmur Raya,  Bitung, Indonesia</t>
        </is>
      </c>
      <c r="B13042" t="inlineStr">
        <is>
          <t>Processing Unit, Warehouse</t>
        </is>
      </c>
      <c r="C13042" t="inlineStr">
        <is>
          <t>Control Union Certifications Germany GmbH, Berlin, DE</t>
        </is>
      </c>
      <c r="D13042" t="inlineStr">
        <is>
          <t>25.10.2026</t>
        </is>
      </c>
      <c r="E13042" t="inlineStr">
        <is>
          <t>Indonesia</t>
        </is>
      </c>
    </row>
    <row r="13043">
      <c r="A13043" t="inlineStr">
        <is>
          <t>PT Megasurya Mas,  Sidoarjo, Jawa Timur, Indonesia</t>
        </is>
      </c>
      <c r="B13043" t="inlineStr">
        <is>
          <t>Processing Unit, Trader with Storage</t>
        </is>
      </c>
      <c r="C13043" t="inlineStr">
        <is>
          <t>Control Union Certifications Germany GmbH, Berlin, DE</t>
        </is>
      </c>
      <c r="D13043" t="inlineStr">
        <is>
          <t>25.10.2026</t>
        </is>
      </c>
      <c r="E13043" t="inlineStr">
        <is>
          <t>Indonesia</t>
        </is>
      </c>
    </row>
    <row r="13044">
      <c r="A13044" t="inlineStr">
        <is>
          <t>Avient Protective Materials B.V.,  Geleen, Netherlands</t>
        </is>
      </c>
      <c r="B13044" t="inlineStr">
        <is>
          <t>Processing Unit</t>
        </is>
      </c>
      <c r="C13044" t="inlineStr">
        <is>
          <t>PT Intertek Utama Services, Jakarta, ID</t>
        </is>
      </c>
      <c r="D13044" t="inlineStr">
        <is>
          <t>25.10.2026</t>
        </is>
      </c>
      <c r="E13044" t="inlineStr">
        <is>
          <t>Netherlands</t>
        </is>
      </c>
    </row>
    <row r="13045">
      <c r="A13045" t="inlineStr">
        <is>
          <t>Avient Protective Materials B.V.,  Heerlen, Netherlands</t>
        </is>
      </c>
      <c r="B13045" t="inlineStr">
        <is>
          <t>Processing Unit, Final Product Refinement</t>
        </is>
      </c>
      <c r="C13045" t="inlineStr">
        <is>
          <t>PT Intertek Utama Services, Jakarta, ID</t>
        </is>
      </c>
      <c r="D13045" t="inlineStr">
        <is>
          <t>25.10.2026</t>
        </is>
      </c>
      <c r="E13045" t="inlineStr">
        <is>
          <t>Netherlands</t>
        </is>
      </c>
    </row>
    <row r="13046">
      <c r="A13046" t="inlineStr">
        <is>
          <t>Steampower - Soluções Energéticas, S.A,  Mosteiró - Vila do Conde, Portugal</t>
        </is>
      </c>
      <c r="B13046" t="inlineStr">
        <is>
          <t>Processing Unit</t>
        </is>
      </c>
      <c r="C13046" t="inlineStr">
        <is>
          <t>Certificadora Gallega del Noroeste SL, Vilagarcia de Arousa-Pontevedra, ES</t>
        </is>
      </c>
      <c r="D13046" t="inlineStr">
        <is>
          <t>25.10.2026</t>
        </is>
      </c>
      <c r="E13046" t="inlineStr">
        <is>
          <t>Portugal</t>
        </is>
      </c>
    </row>
    <row r="13047">
      <c r="A13047" t="inlineStr">
        <is>
          <t>Zhongshan Taly Plastic Extrusion Co. ,Ltd.,  Zhongshan, Guangdong Province, China</t>
        </is>
      </c>
      <c r="B13047" t="inlineStr">
        <is>
          <t>Processing Unit, Trader</t>
        </is>
      </c>
      <c r="C13047" t="inlineStr">
        <is>
          <t>China Quality Certification Centre Co., Ltd., Beijing, CN</t>
        </is>
      </c>
      <c r="D13047" t="inlineStr">
        <is>
          <t>25.10.2026</t>
        </is>
      </c>
      <c r="E13047" t="inlineStr">
        <is>
          <t>China</t>
        </is>
      </c>
    </row>
    <row r="13048">
      <c r="A13048" t="inlineStr">
        <is>
          <t>Kolon Industries,Inc. Gumi Plant,  Gumi-si, Gyeongsangbuk-do, Korea, Republic of</t>
        </is>
      </c>
      <c r="B13048" t="inlineStr">
        <is>
          <t>Processing Unit</t>
        </is>
      </c>
      <c r="C13048" t="inlineStr">
        <is>
          <t>Control Union Certifications Germany GmbH, Berlin, DE</t>
        </is>
      </c>
      <c r="D13048" t="inlineStr">
        <is>
          <t>25.10.2026</t>
        </is>
      </c>
      <c r="E13048" t="inlineStr">
        <is>
          <t>Republic of</t>
        </is>
      </c>
    </row>
    <row r="13049">
      <c r="A13049" t="inlineStr">
        <is>
          <t>Qingdao Shifang Bio-energy Co., Ltd.,  Qingdao City, Shandong Province, China</t>
        </is>
      </c>
      <c r="B13049" t="inlineStr">
        <is>
          <t>Collecting Point, Processing Unit</t>
        </is>
      </c>
      <c r="C13049" t="inlineStr">
        <is>
          <t>SCS Global Services, Emeryville, CA, US</t>
        </is>
      </c>
      <c r="D13049" t="inlineStr">
        <is>
          <t>25.10.2026</t>
        </is>
      </c>
      <c r="E13049" t="inlineStr">
        <is>
          <t>China</t>
        </is>
      </c>
    </row>
    <row r="13050">
      <c r="A13050" t="inlineStr">
        <is>
          <t>Pelagia Akva Ren Djupvik,  Olderdalen, Norway</t>
        </is>
      </c>
      <c r="B13050" t="inlineStr">
        <is>
          <t>Point of Origin</t>
        </is>
      </c>
      <c r="C13050" t="inlineStr">
        <is>
          <t>DEKRA Certification B.V., Arnhem, NL</t>
        </is>
      </c>
      <c r="D13050" t="inlineStr">
        <is>
          <t>25.10.2026</t>
        </is>
      </c>
      <c r="E13050" t="inlineStr">
        <is>
          <t>Norway</t>
        </is>
      </c>
    </row>
    <row r="13051">
      <c r="A13051" t="inlineStr">
        <is>
          <t>ARCONVERT SAU,  BARBERÀ DEL VALLÈS, BCN, Spain</t>
        </is>
      </c>
      <c r="B13051" t="inlineStr">
        <is>
          <t>Trader with Storage, Processing Unit, Final Product Refinement</t>
        </is>
      </c>
      <c r="C13051" t="inlineStr">
        <is>
          <t>SGS Germany GmbH, Emstek, DE</t>
        </is>
      </c>
      <c r="D13051" t="inlineStr">
        <is>
          <t>25.10.2026</t>
        </is>
      </c>
      <c r="E13051" t="inlineStr">
        <is>
          <t>Spain</t>
        </is>
      </c>
    </row>
    <row r="13052">
      <c r="A13052" t="inlineStr">
        <is>
          <t>Lenorplastics AG,  Aesch, Switzerland</t>
        </is>
      </c>
      <c r="B13052" t="inlineStr">
        <is>
          <t>Trader with Storage</t>
        </is>
      </c>
      <c r="C13052" t="inlineStr">
        <is>
          <t>SGS Germany GmbH, Emstek, DE</t>
        </is>
      </c>
      <c r="D13052" t="inlineStr">
        <is>
          <t>25.10.2026</t>
        </is>
      </c>
      <c r="E13052" t="inlineStr">
        <is>
          <t>Switzerland</t>
        </is>
      </c>
    </row>
    <row r="13053">
      <c r="A13053" t="inlineStr">
        <is>
          <t>Nolato Cerbo AB,  Trollhättan, Sweden</t>
        </is>
      </c>
      <c r="B13053" t="inlineStr">
        <is>
          <t>Processing Unit</t>
        </is>
      </c>
      <c r="C13053" t="inlineStr">
        <is>
          <t>Bureau Veritas Polska Sp. z o.o., Warsaw, PL</t>
        </is>
      </c>
      <c r="D13053" t="inlineStr">
        <is>
          <t>25.10.2026</t>
        </is>
      </c>
      <c r="E13053" t="inlineStr">
        <is>
          <t>Sweden</t>
        </is>
      </c>
    </row>
    <row r="13054">
      <c r="A13054" t="inlineStr">
        <is>
          <t>Avient Protective Materials B.V.,  Greenville, United States</t>
        </is>
      </c>
      <c r="B13054" t="inlineStr">
        <is>
          <t>Final Product Refinement, Processing Unit</t>
        </is>
      </c>
      <c r="C13054" t="inlineStr">
        <is>
          <t>PT Intertek Utama Services, Jakarta, ID</t>
        </is>
      </c>
      <c r="D13054" t="inlineStr">
        <is>
          <t>25.10.2026</t>
        </is>
      </c>
      <c r="E13054" t="inlineStr">
        <is>
          <t>United States</t>
        </is>
      </c>
    </row>
    <row r="13055">
      <c r="A13055" t="inlineStr">
        <is>
          <t>Lenorplastics Zug,  Rotkreuz, Switzerland</t>
        </is>
      </c>
      <c r="B13055" t="inlineStr">
        <is>
          <t>Trader with Storage</t>
        </is>
      </c>
      <c r="C13055" t="inlineStr">
        <is>
          <t>SGS Germany GmbH, Emstek, DE</t>
        </is>
      </c>
      <c r="D13055" t="inlineStr">
        <is>
          <t>25.10.2026</t>
        </is>
      </c>
      <c r="E13055" t="inlineStr">
        <is>
          <t>Switzerland</t>
        </is>
      </c>
    </row>
    <row r="13056">
      <c r="A13056" t="inlineStr">
        <is>
          <t>Syntech Biofuel Ltd,  Grain, Kent, United Kingdom</t>
        </is>
      </c>
      <c r="B13056" t="inlineStr">
        <is>
          <t>Processing Unit</t>
        </is>
      </c>
      <c r="C13056" t="inlineStr">
        <is>
          <t>Double Helix Tracking Technologies Pte Ltd, Singapore, SG</t>
        </is>
      </c>
      <c r="D13056" t="inlineStr">
        <is>
          <t>25.10.2026</t>
        </is>
      </c>
      <c r="E13056" t="inlineStr">
        <is>
          <t>United Kingdom</t>
        </is>
      </c>
    </row>
    <row r="13057">
      <c r="A13057" t="inlineStr">
        <is>
          <t>CHANG CHUN PLASTICS CO., LTD,  Kaohsiung City, Taiwan</t>
        </is>
      </c>
      <c r="B13057" t="inlineStr">
        <is>
          <t>Processing Unit</t>
        </is>
      </c>
      <c r="C13057" t="inlineStr">
        <is>
          <t>Bureau Veritas Polska Sp. z o.o., Warsaw, PL</t>
        </is>
      </c>
      <c r="D13057" t="inlineStr">
        <is>
          <t>25.10.2026</t>
        </is>
      </c>
      <c r="E13057" t="inlineStr">
        <is>
          <t>Taiwan</t>
        </is>
      </c>
    </row>
    <row r="13058">
      <c r="A13058" t="inlineStr">
        <is>
          <t>Sungwon,  Yeoju-si, Gyeonggi-do, Korea, Republic of</t>
        </is>
      </c>
      <c r="B13058" t="inlineStr">
        <is>
          <t>Collecting Point</t>
        </is>
      </c>
      <c r="C13058" t="inlineStr">
        <is>
          <t>Control Union Certifications Germany GmbH, Berlin, DE</t>
        </is>
      </c>
      <c r="D13058" t="inlineStr">
        <is>
          <t>25.10.2026</t>
        </is>
      </c>
      <c r="E13058" t="inlineStr">
        <is>
          <t>Republic of</t>
        </is>
      </c>
    </row>
    <row r="13059">
      <c r="A13059" t="inlineStr">
        <is>
          <t>PIRELLI DEUTSCHLAND GmbH,  Breuberg, Germany</t>
        </is>
      </c>
      <c r="B13059" t="inlineStr">
        <is>
          <t>Processing Unit, Trader with Storage, Point of Origin</t>
        </is>
      </c>
      <c r="C13059" t="inlineStr">
        <is>
          <t>RINA Services S.p.A., Genova, IT</t>
        </is>
      </c>
      <c r="D13059" t="inlineStr">
        <is>
          <t>25.10.2026</t>
        </is>
      </c>
      <c r="E13059" t="inlineStr">
        <is>
          <t>Germany</t>
        </is>
      </c>
    </row>
    <row r="13060">
      <c r="A13060" t="inlineStr">
        <is>
          <t>PT. Mikie Oleo Nabati Industri,  Kota Bekasi, Indonesia</t>
        </is>
      </c>
      <c r="B13060" t="inlineStr">
        <is>
          <t>Processing Unit, Trader with Storage</t>
        </is>
      </c>
      <c r="C13060" t="inlineStr">
        <is>
          <t>Control Union Certifications Germany GmbH, Berlin, DE</t>
        </is>
      </c>
      <c r="D13060" t="inlineStr">
        <is>
          <t>25.10.2026</t>
        </is>
      </c>
      <c r="E13060" t="inlineStr">
        <is>
          <t>Indonesia</t>
        </is>
      </c>
    </row>
    <row r="13061">
      <c r="A13061" t="inlineStr">
        <is>
          <t>Bumi Gemilang Oils Sdn Bhd,  Shah Alam, Selangor Darul Ehsan, Malaysia</t>
        </is>
      </c>
      <c r="B13061" t="inlineStr">
        <is>
          <t>Collecting Point, Trader with Storage, Processing Unit</t>
        </is>
      </c>
      <c r="C13061" t="inlineStr">
        <is>
          <t>Trans Certification and Inspection Sdn Bhd, Kuantan, MY</t>
        </is>
      </c>
      <c r="D13061" t="inlineStr">
        <is>
          <t>25.10.2026</t>
        </is>
      </c>
      <c r="E13061" t="inlineStr">
        <is>
          <t>Malaysia</t>
        </is>
      </c>
    </row>
    <row r="13062">
      <c r="A13062" t="inlineStr">
        <is>
          <t>Japan Polypropylene Corporation, Kashima Plant,  Kamisu-shi, Ibaraki-ken, Japan</t>
        </is>
      </c>
      <c r="B13062" t="inlineStr">
        <is>
          <t>Processing Unit, Trader with Storage</t>
        </is>
      </c>
      <c r="C13062" t="inlineStr">
        <is>
          <t>SGS Germany GmbH, Emstek, DE</t>
        </is>
      </c>
      <c r="D13062" t="inlineStr">
        <is>
          <t>24.10.2026</t>
        </is>
      </c>
      <c r="E13062" t="inlineStr">
        <is>
          <t>Japan</t>
        </is>
      </c>
    </row>
    <row r="13063">
      <c r="A13063" t="inlineStr">
        <is>
          <t>Sawita Antaris Makmur,  Kota Medan, Provinsi Sumatera Utara, Indonesia</t>
        </is>
      </c>
      <c r="B13063" t="inlineStr">
        <is>
          <t>Trader</t>
        </is>
      </c>
      <c r="C13063" t="inlineStr">
        <is>
          <t>PT SBC Asia Sertifikasi, Kebumen, ID</t>
        </is>
      </c>
      <c r="D13063" t="inlineStr">
        <is>
          <t>24.10.2026</t>
        </is>
      </c>
      <c r="E13063" t="inlineStr">
        <is>
          <t>Indonesia</t>
        </is>
      </c>
    </row>
    <row r="13064">
      <c r="A13064" t="inlineStr">
        <is>
          <t>ESTREFTRANSSERVICE,  Valga, Estonia</t>
        </is>
      </c>
      <c r="B13064" t="inlineStr">
        <is>
          <t>Trader with Storage</t>
        </is>
      </c>
      <c r="C13064" t="inlineStr">
        <is>
          <t>SGS Germany GmbH, Emstek, DE</t>
        </is>
      </c>
      <c r="D13064" t="inlineStr">
        <is>
          <t>24.10.2026</t>
        </is>
      </c>
      <c r="E13064" t="inlineStr">
        <is>
          <t>Estonia</t>
        </is>
      </c>
    </row>
    <row r="13065">
      <c r="A13065" t="inlineStr">
        <is>
          <t>Blend Energy Ltd,  Limassol, Ypsonas, Cyprus</t>
        </is>
      </c>
      <c r="B13065" t="inlineStr">
        <is>
          <t>Collecting Point, Processing Unit</t>
        </is>
      </c>
      <c r="C13065" t="inlineStr">
        <is>
          <t>Double Helix Tracking Technologies Pte Ltd, Singapore, SG</t>
        </is>
      </c>
      <c r="D13065" t="inlineStr">
        <is>
          <t>24.10.2026</t>
        </is>
      </c>
      <c r="E13065" t="inlineStr">
        <is>
          <t>Cyprus</t>
        </is>
      </c>
    </row>
    <row r="13066">
      <c r="A13066" t="inlineStr">
        <is>
          <t>UPI-AGRO EUROPE,  Karlín, Praha 8, Czech Republic</t>
        </is>
      </c>
      <c r="B13066" t="inlineStr">
        <is>
          <t>First Gathering Point, Trader</t>
        </is>
      </c>
      <c r="C13066" t="inlineStr">
        <is>
          <t>United Registrar of Systems Polska Sp. z o.o., Wrocław, PL</t>
        </is>
      </c>
      <c r="D13066" t="inlineStr">
        <is>
          <t>24.10.2026</t>
        </is>
      </c>
      <c r="E13066" t="inlineStr">
        <is>
          <t>Czech Republic</t>
        </is>
      </c>
    </row>
    <row r="13067">
      <c r="A13067" t="inlineStr">
        <is>
          <t>Disa Suministros y Trading,  Madrid, Spain</t>
        </is>
      </c>
      <c r="B13067" t="inlineStr">
        <is>
          <t>Trader with Storage</t>
        </is>
      </c>
      <c r="C13067" t="inlineStr">
        <is>
          <t>Bureau Veritas Polska Sp. z o.o., Warsaw, PL</t>
        </is>
      </c>
      <c r="D13067" t="inlineStr">
        <is>
          <t>24.10.2026</t>
        </is>
      </c>
      <c r="E13067" t="inlineStr">
        <is>
          <t>Spain</t>
        </is>
      </c>
    </row>
    <row r="13068">
      <c r="A13068" t="inlineStr">
        <is>
          <t>Disa Península,  madrid, Spain</t>
        </is>
      </c>
      <c r="B13068" t="inlineStr">
        <is>
          <t>Trader with Storage</t>
        </is>
      </c>
      <c r="C13068" t="inlineStr">
        <is>
          <t>Bureau Veritas Polska Sp. z o.o., Warsaw, PL</t>
        </is>
      </c>
      <c r="D13068" t="inlineStr">
        <is>
          <t>24.10.2026</t>
        </is>
      </c>
      <c r="E13068" t="inlineStr">
        <is>
          <t>Spain</t>
        </is>
      </c>
    </row>
    <row r="13069">
      <c r="A13069" t="inlineStr">
        <is>
          <t>Litrocom Global Energy Sdn Bhd,  Kaw Per Pasir Gudang, Malaysia</t>
        </is>
      </c>
      <c r="B13069" t="inlineStr">
        <is>
          <t>Collecting Point, Trader with Storage</t>
        </is>
      </c>
      <c r="C13069" t="inlineStr">
        <is>
          <t>RINA Services S.p.A., Genova, IT</t>
        </is>
      </c>
      <c r="D13069" t="inlineStr">
        <is>
          <t>24.10.2026</t>
        </is>
      </c>
      <c r="E13069" t="inlineStr">
        <is>
          <t>Malaysia</t>
        </is>
      </c>
    </row>
    <row r="13070">
      <c r="A13070" t="inlineStr">
        <is>
          <t>Felső-Bácskai Gazda Kft.,  Bácsszőlős, Hungary</t>
        </is>
      </c>
      <c r="B13070" t="inlineStr">
        <is>
          <t>First Gathering Point, Trader with Storage</t>
        </is>
      </c>
      <c r="C13070" t="inlineStr">
        <is>
          <t>Control Union Certifications Germany GmbH, Berlin, DE</t>
        </is>
      </c>
      <c r="D13070" t="inlineStr">
        <is>
          <t>24.10.2026</t>
        </is>
      </c>
      <c r="E13070" t="inlineStr">
        <is>
          <t>Hungary</t>
        </is>
      </c>
    </row>
    <row r="13071">
      <c r="A13071" t="inlineStr">
        <is>
          <t>Agri Pulp &amp; Paper (M) SDN BHD,  Johor Bahru, Malaysia</t>
        </is>
      </c>
      <c r="B13071" t="inlineStr">
        <is>
          <t>Collecting Point, Trader with Storage</t>
        </is>
      </c>
      <c r="C13071" t="inlineStr">
        <is>
          <t>RINA Services S.p.A., Genova, IT</t>
        </is>
      </c>
      <c r="D13071" t="inlineStr">
        <is>
          <t>24.10.2026</t>
        </is>
      </c>
      <c r="E13071" t="inlineStr">
        <is>
          <t>Malaysia</t>
        </is>
      </c>
    </row>
    <row r="13072">
      <c r="A13072" t="inlineStr">
        <is>
          <t>Sävjo Plastic,  Bodafors, Sweden</t>
        </is>
      </c>
      <c r="B13072" t="inlineStr">
        <is>
          <t>Processing Unit</t>
        </is>
      </c>
      <c r="C13072" t="inlineStr">
        <is>
          <t>DNV Business Assurance Sweden AB, Solna, SE</t>
        </is>
      </c>
      <c r="D13072" t="inlineStr">
        <is>
          <t>24.10.2026</t>
        </is>
      </c>
      <c r="E13072" t="inlineStr">
        <is>
          <t>Sweden</t>
        </is>
      </c>
    </row>
    <row r="13073">
      <c r="A13073" t="inlineStr">
        <is>
          <t>Hellenic Petroleum RSSPOO,  Komotini Industrial Area, Greece</t>
        </is>
      </c>
      <c r="B13073" t="inlineStr">
        <is>
          <t>Processing Unit</t>
        </is>
      </c>
      <c r="C13073" t="inlineStr">
        <is>
          <t>Eurocert SA, Metamorfosi, Athens, GR</t>
        </is>
      </c>
      <c r="D13073" t="inlineStr">
        <is>
          <t>24.10.2026</t>
        </is>
      </c>
      <c r="E13073" t="inlineStr">
        <is>
          <t>Greece</t>
        </is>
      </c>
    </row>
    <row r="13074">
      <c r="A13074" t="inlineStr">
        <is>
          <t>MCE Europe B.V,  Hedel, Netherlands</t>
        </is>
      </c>
      <c r="B13074" t="inlineStr">
        <is>
          <t>Trader</t>
        </is>
      </c>
      <c r="C13074" t="inlineStr">
        <is>
          <t>Control Union Certifications Germany GmbH, Berlin, DE</t>
        </is>
      </c>
      <c r="D13074" t="inlineStr">
        <is>
          <t>24.10.2026</t>
        </is>
      </c>
      <c r="E13074" t="inlineStr">
        <is>
          <t>Netherlands</t>
        </is>
      </c>
    </row>
    <row r="13075">
      <c r="A13075" t="inlineStr">
        <is>
          <t>Wilmar Palm Products Sdn. Bhd.,  TAMAN PERINDUSTRIAN PULAU INDAH, PELABUHAN KLANG,, Malaysia</t>
        </is>
      </c>
      <c r="B13075" t="inlineStr">
        <is>
          <t>Point of Origin</t>
        </is>
      </c>
      <c r="C13075" t="inlineStr">
        <is>
          <t>Trans Certification and Inspection Sdn Bhd, Kuantan, MY</t>
        </is>
      </c>
      <c r="D13075" t="inlineStr">
        <is>
          <t>24.10.2026</t>
        </is>
      </c>
      <c r="E13075" t="inlineStr">
        <is>
          <t>Malaysia</t>
        </is>
      </c>
    </row>
    <row r="13076">
      <c r="A13076" t="inlineStr">
        <is>
          <t>AGRI CEREAL MANDORLE,  RIESI, Italy</t>
        </is>
      </c>
      <c r="B13076" t="inlineStr">
        <is>
          <t>First Gathering Point, Processing Unit</t>
        </is>
      </c>
      <c r="C13076" t="inlineStr">
        <is>
          <t>RINA Services S.p.A., Genova, IT</t>
        </is>
      </c>
      <c r="D13076" t="inlineStr">
        <is>
          <t>24.10.2026</t>
        </is>
      </c>
      <c r="E13076" t="inlineStr">
        <is>
          <t>Italy</t>
        </is>
      </c>
    </row>
    <row r="13077">
      <c r="A13077" t="inlineStr">
        <is>
          <t>Quatra NV,  Lokeren, Belgium</t>
        </is>
      </c>
      <c r="B13077" t="inlineStr">
        <is>
          <t>Collecting Point</t>
        </is>
      </c>
      <c r="C13077" t="inlineStr">
        <is>
          <t>Control Union Certifications Germany GmbH, Berlin, DE</t>
        </is>
      </c>
      <c r="D13077" t="inlineStr">
        <is>
          <t>24.10.2026</t>
        </is>
      </c>
      <c r="E13077" t="inlineStr">
        <is>
          <t>Belgium</t>
        </is>
      </c>
    </row>
    <row r="13078">
      <c r="A13078" t="inlineStr">
        <is>
          <t>Gamalux Sdn. Bhd.,  Klang, Selangor, Malaysia</t>
        </is>
      </c>
      <c r="B13078" t="inlineStr">
        <is>
          <t>Processing Unit, Trader with Storage</t>
        </is>
      </c>
      <c r="C13078" t="inlineStr">
        <is>
          <t>Control Union Certifications Germany GmbH, Berlin, DE</t>
        </is>
      </c>
      <c r="D13078" t="inlineStr">
        <is>
          <t>24.10.2026</t>
        </is>
      </c>
      <c r="E13078" t="inlineStr">
        <is>
          <t>Malaysia</t>
        </is>
      </c>
    </row>
    <row r="13079">
      <c r="A13079" t="inlineStr">
        <is>
          <t>Hebei Duancheng Trading Co., Ltd.,  Shijiazhuang City, Hebei Province, China</t>
        </is>
      </c>
      <c r="B13079" t="inlineStr">
        <is>
          <t>Trader</t>
        </is>
      </c>
      <c r="C13079" t="inlineStr">
        <is>
          <t>SCS Global Services, Emeryville, CA, US</t>
        </is>
      </c>
      <c r="D13079" t="inlineStr">
        <is>
          <t>24.10.2026</t>
        </is>
      </c>
      <c r="E13079" t="inlineStr">
        <is>
          <t>China</t>
        </is>
      </c>
    </row>
    <row r="13080">
      <c r="A13080" t="inlineStr">
        <is>
          <t>PT Indo Kordsa Tbk,  Kabupaten Bogor, Indonesia</t>
        </is>
      </c>
      <c r="B13080" t="inlineStr">
        <is>
          <t>Processing Unit</t>
        </is>
      </c>
      <c r="C13080" t="inlineStr">
        <is>
          <t>PT Mutuagung Lestari, Depok, ID</t>
        </is>
      </c>
      <c r="D13080" t="inlineStr">
        <is>
          <t>24.10.2026</t>
        </is>
      </c>
      <c r="E13080" t="inlineStr">
        <is>
          <t>Indonesia</t>
        </is>
      </c>
    </row>
    <row r="13081">
      <c r="A13081" t="inlineStr">
        <is>
          <t>DLG Food Oil,  Dronninglund, Denmark</t>
        </is>
      </c>
      <c r="B13081" t="inlineStr">
        <is>
          <t>Processing Unit, Trader</t>
        </is>
      </c>
      <c r="C13081" t="inlineStr">
        <is>
          <t>DNV Business Assurance Sweden AB, Solna, SE</t>
        </is>
      </c>
      <c r="D13081" t="inlineStr">
        <is>
          <t>24.10.2026</t>
        </is>
      </c>
      <c r="E13081" t="inlineStr">
        <is>
          <t>Denmark</t>
        </is>
      </c>
    </row>
    <row r="13082">
      <c r="A13082" t="inlineStr">
        <is>
          <t>EAST-CHINA COMPANY,SINOPEC CHEMICAL COMMERCIAL HOLDING COMPANY LIMITED,  Shanghai, China</t>
        </is>
      </c>
      <c r="B13082" t="inlineStr">
        <is>
          <t>Trader</t>
        </is>
      </c>
      <c r="C13082" t="inlineStr">
        <is>
          <t>China Classification Society Certification Co., Ltd, Dong Cheng District, Beijing, CN</t>
        </is>
      </c>
      <c r="D13082" t="inlineStr">
        <is>
          <t>24.10.2026</t>
        </is>
      </c>
      <c r="E13082" t="inlineStr">
        <is>
          <t>China</t>
        </is>
      </c>
    </row>
    <row r="13083">
      <c r="A13083" t="inlineStr">
        <is>
          <t>TSC KOREA CO., LTD.,  Chungcheongbuk-do, Korea, Republic of</t>
        </is>
      </c>
      <c r="B13083" t="inlineStr">
        <is>
          <t>Processing Unit</t>
        </is>
      </c>
      <c r="C13083" t="inlineStr">
        <is>
          <t>Control Union Certifications Germany GmbH, Berlin, DE</t>
        </is>
      </c>
      <c r="D13083" t="inlineStr">
        <is>
          <t>24.10.2026</t>
        </is>
      </c>
      <c r="E13083" t="inlineStr">
        <is>
          <t>Republic of</t>
        </is>
      </c>
    </row>
    <row r="13084">
      <c r="A13084" t="inlineStr">
        <is>
          <t>Watson's Grain Storage and Packing,  Maddingley, Australia</t>
        </is>
      </c>
      <c r="B13084" t="inlineStr">
        <is>
          <t>Trader with Storage</t>
        </is>
      </c>
      <c r="C13084" t="inlineStr">
        <is>
          <t>Control Union Certifications Germany GmbH, Berlin, DE</t>
        </is>
      </c>
      <c r="D13084" t="inlineStr">
        <is>
          <t>24.10.2026</t>
        </is>
      </c>
      <c r="E13084" t="inlineStr">
        <is>
          <t>Australia</t>
        </is>
      </c>
    </row>
    <row r="13085">
      <c r="A13085" t="inlineStr">
        <is>
          <t>Jurong Jingye Biotechnology Co., Ltd.,  ,Jurong City, Jiangsu Province, China</t>
        </is>
      </c>
      <c r="B13085" t="inlineStr">
        <is>
          <t>Collecting Point</t>
        </is>
      </c>
      <c r="C13085" t="inlineStr">
        <is>
          <t>RINA Services S.p.A., Genova, IT</t>
        </is>
      </c>
      <c r="D13085" t="inlineStr">
        <is>
          <t>24.10.2026</t>
        </is>
      </c>
      <c r="E13085" t="inlineStr">
        <is>
          <t>China</t>
        </is>
      </c>
    </row>
    <row r="13086">
      <c r="A13086" t="inlineStr">
        <is>
          <t>Shenzhen Chuang Neng New Energy Technology Co., Ltd.,  Shenzhen City, Guangdong Province, China</t>
        </is>
      </c>
      <c r="B13086" t="inlineStr">
        <is>
          <t>Trader</t>
        </is>
      </c>
      <c r="C13086" t="inlineStr">
        <is>
          <t>SCS Global Services, Emeryville, CA, US</t>
        </is>
      </c>
      <c r="D13086" t="inlineStr">
        <is>
          <t>24.10.2026</t>
        </is>
      </c>
      <c r="E13086" t="inlineStr">
        <is>
          <t>China</t>
        </is>
      </c>
    </row>
    <row r="13087">
      <c r="A13087" t="inlineStr">
        <is>
          <t>Guangdong Qianyi New Material Co., LTD,  Jieyang City,Guangdong Province, China</t>
        </is>
      </c>
      <c r="B13087" t="inlineStr">
        <is>
          <t>Collecting Point, Trader</t>
        </is>
      </c>
      <c r="C13087" t="inlineStr">
        <is>
          <t>SCS Global Services, Emeryville, CA, US</t>
        </is>
      </c>
      <c r="D13087" t="inlineStr">
        <is>
          <t>24.10.2026</t>
        </is>
      </c>
      <c r="E13087" t="inlineStr">
        <is>
          <t>China</t>
        </is>
      </c>
    </row>
    <row r="13088">
      <c r="A13088" t="inlineStr">
        <is>
          <t>ExxonMobil Chemical Holland B.V.,  Rotterdam-Botlek, Netherlands</t>
        </is>
      </c>
      <c r="B13088" t="inlineStr">
        <is>
          <t>Processing Unit</t>
        </is>
      </c>
      <c r="C13088" t="inlineStr">
        <is>
          <t>Control Union Certifications Germany GmbH, Berlin, DE</t>
        </is>
      </c>
      <c r="D13088" t="inlineStr">
        <is>
          <t>24.10.2026</t>
        </is>
      </c>
      <c r="E13088" t="inlineStr">
        <is>
          <t>Netherlands</t>
        </is>
      </c>
    </row>
    <row r="13089">
      <c r="A13089" t="inlineStr">
        <is>
          <t>Cookers Bulk Oil System Pty Ltd,  Derrimut, Australia</t>
        </is>
      </c>
      <c r="B13089" t="inlineStr">
        <is>
          <t>Collecting Point</t>
        </is>
      </c>
      <c r="C13089" t="inlineStr">
        <is>
          <t>BM Certification, Riga, LV</t>
        </is>
      </c>
      <c r="D13089" t="inlineStr">
        <is>
          <t>24.10.2026</t>
        </is>
      </c>
      <c r="E13089" t="inlineStr">
        <is>
          <t>Australia</t>
        </is>
      </c>
    </row>
    <row r="13090">
      <c r="A13090" t="inlineStr">
        <is>
          <t>Lucas Westra BV,  Oudemirdum, Netherlands</t>
        </is>
      </c>
      <c r="B13090" t="inlineStr">
        <is>
          <t>Trader</t>
        </is>
      </c>
      <c r="C13090" t="inlineStr">
        <is>
          <t>DEKRA Certification B.V., Arnhem, NL</t>
        </is>
      </c>
      <c r="D13090" t="inlineStr">
        <is>
          <t>24.10.2026</t>
        </is>
      </c>
      <c r="E13090" t="inlineStr">
        <is>
          <t>Netherlands</t>
        </is>
      </c>
    </row>
    <row r="13091">
      <c r="A13091" t="inlineStr">
        <is>
          <t>Ernte spol. s r. o.,  Zbudza, Slovakia</t>
        </is>
      </c>
      <c r="B13091" t="inlineStr">
        <is>
          <t>First Gathering Point, Trader</t>
        </is>
      </c>
      <c r="C13091" t="inlineStr">
        <is>
          <t>SGS Germany GmbH, Emstek, DE</t>
        </is>
      </c>
      <c r="D13091" t="inlineStr">
        <is>
          <t>24.10.2026</t>
        </is>
      </c>
      <c r="E13091" t="inlineStr">
        <is>
          <t>Slovakia</t>
        </is>
      </c>
    </row>
    <row r="13092">
      <c r="A13092" t="inlineStr">
        <is>
          <t>Royal Chemicals,  Port Said, Egypt</t>
        </is>
      </c>
      <c r="B13092" t="inlineStr">
        <is>
          <t>Point of Origin</t>
        </is>
      </c>
      <c r="C13092" t="inlineStr">
        <is>
          <t>SGS Germany GmbH, Emstek, DE</t>
        </is>
      </c>
      <c r="D13092" t="inlineStr">
        <is>
          <t>24.10.2026</t>
        </is>
      </c>
      <c r="E13092" t="inlineStr">
        <is>
          <t>Egypt</t>
        </is>
      </c>
    </row>
    <row r="13093">
      <c r="A13093" t="inlineStr">
        <is>
          <t>Yingkou Hongrong Plastic Products Co., Ltd,  Ying Kou, China</t>
        </is>
      </c>
      <c r="B13093" t="inlineStr">
        <is>
          <t>Processing Unit</t>
        </is>
      </c>
      <c r="C13093" t="inlineStr">
        <is>
          <t>SGS Germany GmbH, Emstek, DE</t>
        </is>
      </c>
      <c r="D13093" t="inlineStr">
        <is>
          <t>24.10.2026</t>
        </is>
      </c>
      <c r="E13093" t="inlineStr">
        <is>
          <t>China</t>
        </is>
      </c>
    </row>
    <row r="13094">
      <c r="A13094" t="inlineStr">
        <is>
          <t>Greiner Packaging GmbH,  Wartberg an der Krems, Austria</t>
        </is>
      </c>
      <c r="B13094" t="inlineStr">
        <is>
          <t>Processing Unit</t>
        </is>
      </c>
      <c r="C13094" t="inlineStr">
        <is>
          <t>SGS Germany GmbH, Emstek, DE</t>
        </is>
      </c>
      <c r="D13094" t="inlineStr">
        <is>
          <t>24.10.2026</t>
        </is>
      </c>
      <c r="E13094" t="inlineStr">
        <is>
          <t>Austria</t>
        </is>
      </c>
    </row>
    <row r="13095">
      <c r="A13095" t="inlineStr">
        <is>
          <t>HAINA GLOBAL COMMERCE AND TRADE PTE. LTD.,  Dongying City, Shandong Province, China</t>
        </is>
      </c>
      <c r="B13095" t="inlineStr">
        <is>
          <t>Trader</t>
        </is>
      </c>
      <c r="C13095" t="inlineStr">
        <is>
          <t>RINA Services S.p.A., Genova, IT</t>
        </is>
      </c>
      <c r="D13095" t="inlineStr">
        <is>
          <t>23.10.2026</t>
        </is>
      </c>
      <c r="E13095" t="inlineStr">
        <is>
          <t>China</t>
        </is>
      </c>
    </row>
    <row r="13096">
      <c r="A13096" t="inlineStr">
        <is>
          <t>Monjasa PTY,  Panama city, Panama</t>
        </is>
      </c>
      <c r="B13096" t="inlineStr">
        <is>
          <t>Trader</t>
        </is>
      </c>
      <c r="C13096" t="inlineStr">
        <is>
          <t>Amspec Iberia SL, Vilagarcia de Arousa-Pontevedra, ES</t>
        </is>
      </c>
      <c r="D13096" t="inlineStr">
        <is>
          <t>23.10.2026</t>
        </is>
      </c>
      <c r="E13096" t="inlineStr">
        <is>
          <t>Panama</t>
        </is>
      </c>
    </row>
    <row r="13097">
      <c r="A13097" t="inlineStr">
        <is>
          <t>CAM-ICARE CO., LTD.,  Sihanoukville, Cambodia</t>
        </is>
      </c>
      <c r="B13097" t="inlineStr">
        <is>
          <t>Final Product Refinement, Processing Unit</t>
        </is>
      </c>
      <c r="C13097" t="inlineStr">
        <is>
          <t>RINA Services S.p.A., Genova, IT</t>
        </is>
      </c>
      <c r="D13097" t="inlineStr">
        <is>
          <t>23.10.2026</t>
        </is>
      </c>
      <c r="E13097" t="inlineStr">
        <is>
          <t>Cambodia</t>
        </is>
      </c>
    </row>
    <row r="13098">
      <c r="A13098" t="inlineStr">
        <is>
          <t>C.I Andina Sustentable,  Medellin, Colombia</t>
        </is>
      </c>
      <c r="B13098" t="inlineStr">
        <is>
          <t>Collecting Point</t>
        </is>
      </c>
      <c r="C13098" t="inlineStr">
        <is>
          <t>Certificadora Gallega del Noroeste SL, Vilagarcia de Arousa-Pontevedra, ES</t>
        </is>
      </c>
      <c r="D13098" t="inlineStr">
        <is>
          <t>23.10.2026</t>
        </is>
      </c>
      <c r="E13098" t="inlineStr">
        <is>
          <t>Colombia</t>
        </is>
      </c>
    </row>
    <row r="13099">
      <c r="A13099" t="inlineStr">
        <is>
          <t>Bunge UK Limited,  Thame, Oxfordshire, United Kingdom</t>
        </is>
      </c>
      <c r="B13099" t="inlineStr">
        <is>
          <t>Trader, Trader with Storage</t>
        </is>
      </c>
      <c r="C13099" t="inlineStr">
        <is>
          <t>SGS Germany GmbH, Emstek, DE</t>
        </is>
      </c>
      <c r="D13099" t="inlineStr">
        <is>
          <t>23.10.2026</t>
        </is>
      </c>
      <c r="E13099" t="inlineStr">
        <is>
          <t>United Kingdom</t>
        </is>
      </c>
    </row>
    <row r="13100">
      <c r="A13100" t="inlineStr">
        <is>
          <t>Quadra Commodities SA,  Geneva, Switzerland</t>
        </is>
      </c>
      <c r="B13100" t="inlineStr">
        <is>
          <t>Trader with Storage</t>
        </is>
      </c>
      <c r="C13100" t="inlineStr">
        <is>
          <t>Bureau Veritas Polska Sp. z o.o., Warsaw, PL</t>
        </is>
      </c>
      <c r="D13100" t="inlineStr">
        <is>
          <t>23.10.2026</t>
        </is>
      </c>
      <c r="E13100" t="inlineStr">
        <is>
          <t>Switzerland</t>
        </is>
      </c>
    </row>
    <row r="13101">
      <c r="A13101" t="inlineStr">
        <is>
          <t>AFER BULGARIA,  DEVNYA, Bulgaria</t>
        </is>
      </c>
      <c r="B13101" t="inlineStr">
        <is>
          <t>First Gathering Point</t>
        </is>
      </c>
      <c r="C13101" t="inlineStr">
        <is>
          <t>Bureau Veritas Polska Sp. z o.o., Warsaw, PL</t>
        </is>
      </c>
      <c r="D13101" t="inlineStr">
        <is>
          <t>23.10.2026</t>
        </is>
      </c>
      <c r="E13101" t="inlineStr">
        <is>
          <t>Bulgaria</t>
        </is>
      </c>
    </row>
    <row r="13102">
      <c r="A13102" t="inlineStr">
        <is>
          <t>Shenze County Jiaye Biotechnology Co., Ltd,  Shijiazhuang City, Hebei Province,, China</t>
        </is>
      </c>
      <c r="B13102" t="inlineStr">
        <is>
          <t>Trader with Storage, Collecting Point</t>
        </is>
      </c>
      <c r="C13102" t="inlineStr">
        <is>
          <t>RINA Services S.p.A., Genova, IT</t>
        </is>
      </c>
      <c r="D13102" t="inlineStr">
        <is>
          <t>23.10.2026</t>
        </is>
      </c>
      <c r="E13102" t="inlineStr">
        <is>
          <t>China</t>
        </is>
      </c>
    </row>
    <row r="13103">
      <c r="A13103" t="inlineStr">
        <is>
          <t>Taisei Lamick Co.,Ltd.,  Shiraoka city, Japan</t>
        </is>
      </c>
      <c r="B13103" t="inlineStr">
        <is>
          <t>Trader with Storage</t>
        </is>
      </c>
      <c r="C13103" t="inlineStr">
        <is>
          <t>Bureau Veritas Polska Sp. z o.o., Warsaw, PL</t>
        </is>
      </c>
      <c r="D13103" t="inlineStr">
        <is>
          <t>23.10.2026</t>
        </is>
      </c>
      <c r="E13103" t="inlineStr">
        <is>
          <t>Japan</t>
        </is>
      </c>
    </row>
    <row r="13104">
      <c r="A13104" t="inlineStr">
        <is>
          <t>Barents NaturGass AS,  Rypefjord, Norway</t>
        </is>
      </c>
      <c r="B13104" t="inlineStr">
        <is>
          <t>Trader with Storage</t>
        </is>
      </c>
      <c r="C13104" t="inlineStr">
        <is>
          <t>Baltic Control Certification, Risskov, DK</t>
        </is>
      </c>
      <c r="D13104" t="inlineStr">
        <is>
          <t>23.10.2026</t>
        </is>
      </c>
      <c r="E13104" t="inlineStr">
        <is>
          <t>Norway</t>
        </is>
      </c>
    </row>
    <row r="13105">
      <c r="A13105" t="inlineStr">
        <is>
          <t>B-PACK,  Nibbia, Italy</t>
        </is>
      </c>
      <c r="B13105" t="inlineStr">
        <is>
          <t>Processing Unit</t>
        </is>
      </c>
      <c r="C13105" t="inlineStr">
        <is>
          <t>Certiquality srl, Milano, IT</t>
        </is>
      </c>
      <c r="D13105" t="inlineStr">
        <is>
          <t>23.10.2026</t>
        </is>
      </c>
      <c r="E13105" t="inlineStr">
        <is>
          <t>Italy</t>
        </is>
      </c>
    </row>
    <row r="13106">
      <c r="A13106" t="inlineStr">
        <is>
          <t>STOCKMEIER France,  St Jacques de la Lande, France</t>
        </is>
      </c>
      <c r="B13106" t="inlineStr">
        <is>
          <t>Trader with Storage</t>
        </is>
      </c>
      <c r="C13106" t="inlineStr">
        <is>
          <t>Bureau Veritas Polska Sp. z o.o., Warsaw, PL</t>
        </is>
      </c>
      <c r="D13106" t="inlineStr">
        <is>
          <t>23.10.2026</t>
        </is>
      </c>
      <c r="E13106" t="inlineStr">
        <is>
          <t>France</t>
        </is>
      </c>
    </row>
    <row r="13107">
      <c r="A13107" t="inlineStr">
        <is>
          <t>Jurong Hongqian NewEnergy Co. LTD,  Jurong City，Jiangsu Province, China</t>
        </is>
      </c>
      <c r="B13107" t="inlineStr">
        <is>
          <t>Collecting Point, Trader</t>
        </is>
      </c>
      <c r="C13107" t="inlineStr">
        <is>
          <t>RINA Services S.p.A., Genova, IT</t>
        </is>
      </c>
      <c r="D13107" t="inlineStr">
        <is>
          <t>23.10.2026</t>
        </is>
      </c>
      <c r="E13107" t="inlineStr">
        <is>
          <t>China</t>
        </is>
      </c>
    </row>
    <row r="13108">
      <c r="A13108" t="inlineStr">
        <is>
          <t>Daqing Oilfield Chemical Co., Ltd.,  Daqing, Heilongjiang, China</t>
        </is>
      </c>
      <c r="B13108" t="inlineStr">
        <is>
          <t>Processing Unit</t>
        </is>
      </c>
      <c r="C13108" t="inlineStr">
        <is>
          <t>SCS Global Services, Emeryville, CA, US</t>
        </is>
      </c>
      <c r="D13108" t="inlineStr">
        <is>
          <t>23.10.2026</t>
        </is>
      </c>
      <c r="E13108" t="inlineStr">
        <is>
          <t>China</t>
        </is>
      </c>
    </row>
    <row r="13109">
      <c r="A13109" t="inlineStr">
        <is>
          <t>Indorama Ventures Mobility Cremona,  Pizzighettone, Italy</t>
        </is>
      </c>
      <c r="B13109" t="inlineStr">
        <is>
          <t>Processing Unit</t>
        </is>
      </c>
      <c r="C13109" t="inlineStr">
        <is>
          <t>Certiquality srl, Milano, IT</t>
        </is>
      </c>
      <c r="D13109" t="inlineStr">
        <is>
          <t>23.10.2026</t>
        </is>
      </c>
      <c r="E13109" t="inlineStr">
        <is>
          <t>Italy</t>
        </is>
      </c>
    </row>
    <row r="13110">
      <c r="A13110" t="inlineStr">
        <is>
          <t>MA.RE.,  Pilzone d'Iseo, Italy</t>
        </is>
      </c>
      <c r="B13110" t="inlineStr">
        <is>
          <t>Processing Unit</t>
        </is>
      </c>
      <c r="C13110" t="inlineStr">
        <is>
          <t>RINA Services S.p.A., Genova, IT</t>
        </is>
      </c>
      <c r="D13110" t="inlineStr">
        <is>
          <t>23.10.2026</t>
        </is>
      </c>
      <c r="E13110" t="inlineStr">
        <is>
          <t>Italy</t>
        </is>
      </c>
    </row>
    <row r="13111">
      <c r="A13111" t="inlineStr">
        <is>
          <t>VeCom SK, a.s.,  Bratislava, Slovakia</t>
        </is>
      </c>
      <c r="B13111" t="inlineStr">
        <is>
          <t>Trader</t>
        </is>
      </c>
      <c r="C13111" t="inlineStr">
        <is>
          <t>Bureau Veritas Polska Sp. z o.o., Warsaw, PL</t>
        </is>
      </c>
      <c r="D13111" t="inlineStr">
        <is>
          <t>23.10.2026</t>
        </is>
      </c>
      <c r="E13111" t="inlineStr">
        <is>
          <t>Slovakia</t>
        </is>
      </c>
    </row>
    <row r="13112">
      <c r="A13112" t="inlineStr">
        <is>
          <t>Cloud Oil Co., Ltd.,  Yueqing City, Zhejiang Province, China</t>
        </is>
      </c>
      <c r="B13112" t="inlineStr">
        <is>
          <t>Trader</t>
        </is>
      </c>
      <c r="C13112" t="inlineStr">
        <is>
          <t>SCS Global Services, Emeryville, CA, US</t>
        </is>
      </c>
      <c r="D13112" t="inlineStr">
        <is>
          <t>23.10.2026</t>
        </is>
      </c>
      <c r="E13112" t="inlineStr">
        <is>
          <t>China</t>
        </is>
      </c>
    </row>
    <row r="13113">
      <c r="A13113" t="inlineStr">
        <is>
          <t>QUZHOU INTEL POLYMER MATERIALS Co.,LTD.,  Quzhou, China</t>
        </is>
      </c>
      <c r="B13113" t="inlineStr">
        <is>
          <t>Processing Unit</t>
        </is>
      </c>
      <c r="C13113" t="inlineStr">
        <is>
          <t>China Quality Certification Centre Co., Ltd., Beijing, CN</t>
        </is>
      </c>
      <c r="D13113" t="inlineStr">
        <is>
          <t>23.10.2026</t>
        </is>
      </c>
      <c r="E13113" t="inlineStr">
        <is>
          <t>China</t>
        </is>
      </c>
    </row>
    <row r="13114">
      <c r="A13114" t="inlineStr">
        <is>
          <t>Tianjin Honor Green Energy Co., Ltd,  Binhai New Area, Tianjin, China</t>
        </is>
      </c>
      <c r="B13114" t="inlineStr">
        <is>
          <t>Trader with Storage</t>
        </is>
      </c>
      <c r="C13114" t="inlineStr">
        <is>
          <t>SCS Global Services, Emeryville, CA, US</t>
        </is>
      </c>
      <c r="D13114" t="inlineStr">
        <is>
          <t>23.10.2026</t>
        </is>
      </c>
      <c r="E13114" t="inlineStr">
        <is>
          <t>China</t>
        </is>
      </c>
    </row>
    <row r="13115">
      <c r="A13115" t="inlineStr">
        <is>
          <t>BENSULI SALAM MAKMUR,  Aceh, Indonesia</t>
        </is>
      </c>
      <c r="B13115" t="inlineStr">
        <is>
          <t>Point of Origin</t>
        </is>
      </c>
      <c r="C13115" t="inlineStr">
        <is>
          <t>PT. Qualitas Sertifikasi Indonesia, Jakarta, ID</t>
        </is>
      </c>
      <c r="D13115" t="inlineStr">
        <is>
          <t>23.10.2026</t>
        </is>
      </c>
      <c r="E13115" t="inlineStr">
        <is>
          <t>Indonesia</t>
        </is>
      </c>
    </row>
    <row r="13116">
      <c r="A13116" t="inlineStr">
        <is>
          <t>Concern Bread Industries,  Lemesos, Cyprus</t>
        </is>
      </c>
      <c r="B13116" t="inlineStr">
        <is>
          <t>First Gathering Point, Trader with Storage</t>
        </is>
      </c>
      <c r="C13116" t="inlineStr">
        <is>
          <t>Aciter Genelab LLC, Odessa, UA</t>
        </is>
      </c>
      <c r="D13116" t="inlineStr">
        <is>
          <t>23.10.2026</t>
        </is>
      </c>
      <c r="E13116" t="inlineStr">
        <is>
          <t>Cyprus</t>
        </is>
      </c>
    </row>
    <row r="13117">
      <c r="A13117" t="inlineStr">
        <is>
          <t>Colorfix Itamaster Industria de Masterbaches Ltda,  Colombo, Brazil</t>
        </is>
      </c>
      <c r="B13117" t="inlineStr">
        <is>
          <t>Processing Unit</t>
        </is>
      </c>
      <c r="C13117" t="inlineStr">
        <is>
          <t>QIMA, Centro, Botucatu - SP, CEP, BR</t>
        </is>
      </c>
      <c r="D13117" t="inlineStr">
        <is>
          <t>23.10.2026</t>
        </is>
      </c>
      <c r="E13117" t="inlineStr">
        <is>
          <t>Brazil</t>
        </is>
      </c>
    </row>
    <row r="13118">
      <c r="A13118" t="inlineStr">
        <is>
          <t>AS M ja P Nurst,  Kärdla Hiiumaa, Estonia</t>
        </is>
      </c>
      <c r="B13118" t="inlineStr">
        <is>
          <t>Processing Unit</t>
        </is>
      </c>
      <c r="C13118" t="inlineStr">
        <is>
          <t>NCS Estonia OÜ, Tallinn, EE</t>
        </is>
      </c>
      <c r="D13118" t="inlineStr">
        <is>
          <t>23.10.2026</t>
        </is>
      </c>
      <c r="E13118" t="inlineStr">
        <is>
          <t>Estonia</t>
        </is>
      </c>
    </row>
    <row r="13119">
      <c r="A13119" t="inlineStr">
        <is>
          <t>Lyondell Chemie Nederland B.V.,  Rotterdam, Netherlands</t>
        </is>
      </c>
      <c r="B13119" t="inlineStr">
        <is>
          <t>ETBE plant, MTBE plant, Trader with Storage</t>
        </is>
      </c>
      <c r="C13119" t="inlineStr">
        <is>
          <t>Control Union Certifications Germany GmbH, Berlin, DE</t>
        </is>
      </c>
      <c r="D13119" t="inlineStr">
        <is>
          <t>23.10.2026</t>
        </is>
      </c>
      <c r="E13119" t="inlineStr">
        <is>
          <t>Netherlands</t>
        </is>
      </c>
    </row>
    <row r="13120">
      <c r="A13120" t="inlineStr">
        <is>
          <t>Dimitar Nanov,  Bous, Germany</t>
        </is>
      </c>
      <c r="B13120" t="inlineStr">
        <is>
          <t>Collecting Point</t>
        </is>
      </c>
      <c r="C13120" t="inlineStr">
        <is>
          <t>BM Certification, Riga, LV</t>
        </is>
      </c>
      <c r="D13120" t="inlineStr">
        <is>
          <t>23.10.2026</t>
        </is>
      </c>
      <c r="E13120" t="inlineStr">
        <is>
          <t>Germany</t>
        </is>
      </c>
    </row>
    <row r="13121">
      <c r="A13121" t="inlineStr">
        <is>
          <t>Rasmix Oy,  Riihimäki, Finland</t>
        </is>
      </c>
      <c r="B13121" t="inlineStr">
        <is>
          <t>Collecting Point</t>
        </is>
      </c>
      <c r="C13121" t="inlineStr">
        <is>
          <t>BM Certification, Riga, LV</t>
        </is>
      </c>
      <c r="D13121" t="inlineStr">
        <is>
          <t>23.10.2026</t>
        </is>
      </c>
      <c r="E13121" t="inlineStr">
        <is>
          <t>Finland</t>
        </is>
      </c>
    </row>
    <row r="13122">
      <c r="A13122" t="inlineStr">
        <is>
          <t>F R Waring International Pty Ltd,  Umhlanga Ridge, South Africa</t>
        </is>
      </c>
      <c r="B13122" t="inlineStr">
        <is>
          <t>Trader with Storage</t>
        </is>
      </c>
      <c r="C13122" t="inlineStr">
        <is>
          <t>SGS Germany GmbH, Emstek, DE</t>
        </is>
      </c>
      <c r="D13122" t="inlineStr">
        <is>
          <t>23.10.2026</t>
        </is>
      </c>
      <c r="E13122" t="inlineStr">
        <is>
          <t>South Africa</t>
        </is>
      </c>
    </row>
    <row r="13123">
      <c r="A13123" t="inlineStr">
        <is>
          <t>EKOGIRIA SIA,  Riga, Latvia</t>
        </is>
      </c>
      <c r="B13123" t="inlineStr">
        <is>
          <t>Trader with Storage, Warehouse</t>
        </is>
      </c>
      <c r="C13123" t="inlineStr">
        <is>
          <t>BM Certification, Riga, LV</t>
        </is>
      </c>
      <c r="D13123" t="inlineStr">
        <is>
          <t>23.10.2026</t>
        </is>
      </c>
      <c r="E13123" t="inlineStr">
        <is>
          <t>Latvia</t>
        </is>
      </c>
    </row>
    <row r="13124">
      <c r="A13124" t="inlineStr">
        <is>
          <t>BAB RESOURCES Company Limited,  HO CHI MINH, Vietnam</t>
        </is>
      </c>
      <c r="B13124" t="inlineStr">
        <is>
          <t>Collecting Point</t>
        </is>
      </c>
      <c r="C13124" t="inlineStr">
        <is>
          <t>PT. CBQA GLOBAL INDONESIA, JAKARTA SELATAN, ID</t>
        </is>
      </c>
      <c r="D13124" t="inlineStr">
        <is>
          <t>23.10.2026</t>
        </is>
      </c>
      <c r="E13124" t="inlineStr">
        <is>
          <t>Vietnam</t>
        </is>
      </c>
    </row>
    <row r="13125">
      <c r="A13125" t="inlineStr">
        <is>
          <t>BAB RESOURCES Company Limited,  HO CHI MINH, Vietnam</t>
        </is>
      </c>
      <c r="B13125" t="inlineStr">
        <is>
          <t>Collecting Point</t>
        </is>
      </c>
      <c r="C13125" t="inlineStr">
        <is>
          <t>PT. CBQA GLOBAL INDONESIA, JAKARTA SELATAN, ID</t>
        </is>
      </c>
      <c r="D13125" t="inlineStr">
        <is>
          <t>23.10.2026</t>
        </is>
      </c>
      <c r="E13125" t="inlineStr">
        <is>
          <t>Vietnam</t>
        </is>
      </c>
    </row>
    <row r="13126">
      <c r="A13126" t="inlineStr">
        <is>
          <t>Lianyungang Hengya Oil Co., Ltd,  Lianyungang City, Jiangsu Province, China</t>
        </is>
      </c>
      <c r="B13126" t="inlineStr">
        <is>
          <t>Point of Origin, Trader with Storage</t>
        </is>
      </c>
      <c r="C13126" t="inlineStr">
        <is>
          <t>SCS Global Services, Emeryville, CA, US</t>
        </is>
      </c>
      <c r="D13126" t="inlineStr">
        <is>
          <t>23.10.2026</t>
        </is>
      </c>
      <c r="E13126" t="inlineStr">
        <is>
          <t>China</t>
        </is>
      </c>
    </row>
    <row r="13127">
      <c r="A13127" t="inlineStr">
        <is>
          <t>Musel Energy Hub,  Gijón, Asturias, Spain</t>
        </is>
      </c>
      <c r="B13127" t="inlineStr">
        <is>
          <t>Processing Unit</t>
        </is>
      </c>
      <c r="C13127" t="inlineStr">
        <is>
          <t>Certificadora Gallega del Noroeste SL, Vilagarcia de Arousa-Pontevedra, ES</t>
        </is>
      </c>
      <c r="D13127" t="inlineStr">
        <is>
          <t>23.10.2026</t>
        </is>
      </c>
      <c r="E13127" t="inlineStr">
        <is>
          <t>Spain</t>
        </is>
      </c>
    </row>
    <row r="13128">
      <c r="A13128" t="inlineStr">
        <is>
          <t>Flacon Service,  Olgiate Molgora (LC), Italy</t>
        </is>
      </c>
      <c r="B13128" t="inlineStr">
        <is>
          <t>Processing Unit</t>
        </is>
      </c>
      <c r="C13128" t="inlineStr">
        <is>
          <t>Bureau Veritas Polska Sp. z o.o., Warsaw, PL</t>
        </is>
      </c>
      <c r="D13128" t="inlineStr">
        <is>
          <t>23.10.2026</t>
        </is>
      </c>
      <c r="E13128" t="inlineStr">
        <is>
          <t>Italy</t>
        </is>
      </c>
    </row>
    <row r="13129">
      <c r="A13129" t="inlineStr">
        <is>
          <t>Ajaib Kasih Karunia,  Surabaya, Indonesia</t>
        </is>
      </c>
      <c r="B13129" t="inlineStr">
        <is>
          <t>Trader</t>
        </is>
      </c>
      <c r="C13129" t="inlineStr">
        <is>
          <t>China Testing &amp; Certification International Group Co., Ltd., Beijing, CN</t>
        </is>
      </c>
      <c r="D13129" t="inlineStr">
        <is>
          <t>23.10.2026</t>
        </is>
      </c>
      <c r="E13129" t="inlineStr">
        <is>
          <t>Indonesia</t>
        </is>
      </c>
    </row>
    <row r="13130">
      <c r="A13130" t="inlineStr">
        <is>
          <t>Kernel-Trade,  Kyiv, Ukraine</t>
        </is>
      </c>
      <c r="B13130" t="inlineStr">
        <is>
          <t>First Gathering Point, Trader with Storage</t>
        </is>
      </c>
      <c r="C13130" t="inlineStr">
        <is>
          <t>Bureau Veritas Polska Sp. z o.o., Warsaw, PL</t>
        </is>
      </c>
      <c r="D13130" t="inlineStr">
        <is>
          <t>23.10.2026</t>
        </is>
      </c>
      <c r="E13130" t="inlineStr">
        <is>
          <t>Ukraine</t>
        </is>
      </c>
    </row>
    <row r="13131">
      <c r="A13131" t="inlineStr">
        <is>
          <t>Consorcio Oleicola Extremeño, S.L.,  Mérida, Spain</t>
        </is>
      </c>
      <c r="B13131" t="inlineStr">
        <is>
          <t>Point of Origin, Trader</t>
        </is>
      </c>
      <c r="C13131" t="inlineStr">
        <is>
          <t>Control Union Poland Sp. z o.o., Zielona Gora, PL</t>
        </is>
      </c>
      <c r="D13131" t="inlineStr">
        <is>
          <t>23.10.2026</t>
        </is>
      </c>
      <c r="E13131" t="inlineStr">
        <is>
          <t>Spain</t>
        </is>
      </c>
    </row>
    <row r="13132">
      <c r="A13132" t="inlineStr">
        <is>
          <t>S.C. RUDENI GRUP S.R.L.,  SLOBOZIA MOARA, Romania</t>
        </is>
      </c>
      <c r="B13132" t="inlineStr">
        <is>
          <t>Processing Unit, Collecting Point</t>
        </is>
      </c>
      <c r="C13132" t="inlineStr">
        <is>
          <t>BM Certification, Riga, LV</t>
        </is>
      </c>
      <c r="D13132" t="inlineStr">
        <is>
          <t>23.10.2026</t>
        </is>
      </c>
      <c r="E13132" t="inlineStr">
        <is>
          <t>Romania</t>
        </is>
      </c>
    </row>
    <row r="13133">
      <c r="A13133" t="inlineStr">
        <is>
          <t>HAM ALTERNATIVE ENERGY STATIONS,  Abrera, Spain</t>
        </is>
      </c>
      <c r="B13133" t="inlineStr">
        <is>
          <t>Trader</t>
        </is>
      </c>
      <c r="C13133" t="inlineStr">
        <is>
          <t>Certificadora Gallega del Noroeste SL, Vilagarcia de Arousa-Pontevedra, ES</t>
        </is>
      </c>
      <c r="D13133" t="inlineStr">
        <is>
          <t>23.10.2026</t>
        </is>
      </c>
      <c r="E13133" t="inlineStr">
        <is>
          <t>Spain</t>
        </is>
      </c>
    </row>
    <row r="13134">
      <c r="A13134" t="inlineStr">
        <is>
          <t>UNIVERSAL PEARL FLEX ENGINEERING (M) SDN BHD,  JOHOR BAHRU, Malaysia</t>
        </is>
      </c>
      <c r="B13134" t="inlineStr">
        <is>
          <t>Collecting Point, Trader, Trader with Storage</t>
        </is>
      </c>
      <c r="C13134" t="inlineStr">
        <is>
          <t>PT. CBQA GLOBAL INDONESIA, JAKARTA SELATAN, ID</t>
        </is>
      </c>
      <c r="D13134" t="inlineStr">
        <is>
          <t>23.10.2026</t>
        </is>
      </c>
      <c r="E13134" t="inlineStr">
        <is>
          <t>Malaysia</t>
        </is>
      </c>
    </row>
    <row r="13135">
      <c r="A13135" t="inlineStr">
        <is>
          <t>Akam Recycling Company for Environmental Services (Dughum Site),  Riyadh, An Nazim Area, Saudi Arabia</t>
        </is>
      </c>
      <c r="B13135" t="inlineStr">
        <is>
          <t>Processing Unit</t>
        </is>
      </c>
      <c r="C13135" t="inlineStr">
        <is>
          <t>PT Intertek Utama Services, Jakarta, ID</t>
        </is>
      </c>
      <c r="D13135" t="inlineStr">
        <is>
          <t>23.10.2026</t>
        </is>
      </c>
      <c r="E13135" t="inlineStr">
        <is>
          <t>Saudi Arabia</t>
        </is>
      </c>
    </row>
    <row r="13136">
      <c r="A13136" t="inlineStr">
        <is>
          <t>RaGrow,  Zug, Switzerland</t>
        </is>
      </c>
      <c r="B13136" t="inlineStr">
        <is>
          <t>Trader with Storage</t>
        </is>
      </c>
      <c r="C13136" t="inlineStr">
        <is>
          <t>TÜV NORD CERT GmbH, Essen, DE</t>
        </is>
      </c>
      <c r="D13136" t="inlineStr">
        <is>
          <t>23.10.2026</t>
        </is>
      </c>
      <c r="E13136" t="inlineStr">
        <is>
          <t>Switzerland</t>
        </is>
      </c>
    </row>
    <row r="13137">
      <c r="A13137" t="inlineStr">
        <is>
          <t>Agugiaro &amp; Figna Molini S.p.A.,  Curtarolo, Italy</t>
        </is>
      </c>
      <c r="B13137" t="inlineStr">
        <is>
          <t>Processing Unit</t>
        </is>
      </c>
      <c r="C13137" t="inlineStr">
        <is>
          <t>DNV Business Assurance Sweden AB, Solna, SE</t>
        </is>
      </c>
      <c r="D13137" t="inlineStr">
        <is>
          <t>23.10.2026</t>
        </is>
      </c>
      <c r="E13137" t="inlineStr">
        <is>
          <t>Italy</t>
        </is>
      </c>
    </row>
    <row r="13138">
      <c r="A13138" t="inlineStr">
        <is>
          <t>NKT (Sweden) AB,  Falun, Sweden</t>
        </is>
      </c>
      <c r="B13138" t="inlineStr">
        <is>
          <t>Processing Unit</t>
        </is>
      </c>
      <c r="C13138" t="inlineStr">
        <is>
          <t>DNV Business Assurance Sweden AB, Solna, SE</t>
        </is>
      </c>
      <c r="D13138" t="inlineStr">
        <is>
          <t>23.10.2026</t>
        </is>
      </c>
      <c r="E13138" t="inlineStr">
        <is>
          <t>Sweden</t>
        </is>
      </c>
    </row>
    <row r="13139">
      <c r="A13139" t="inlineStr">
        <is>
          <t>Alco Energy Canada,  Aylmer, Canada</t>
        </is>
      </c>
      <c r="B13139" t="inlineStr">
        <is>
          <t>Processing Unit</t>
        </is>
      </c>
      <c r="C13139" t="inlineStr">
        <is>
          <t>SGS Germany GmbH, Emstek, DE</t>
        </is>
      </c>
      <c r="D13139" t="inlineStr">
        <is>
          <t>23.10.2026</t>
        </is>
      </c>
      <c r="E13139" t="inlineStr">
        <is>
          <t>Canada</t>
        </is>
      </c>
    </row>
    <row r="13140">
      <c r="A13140" t="inlineStr">
        <is>
          <t>NatureWorks LLC,  Blair, United States</t>
        </is>
      </c>
      <c r="B13140" t="inlineStr">
        <is>
          <t>Processing Unit</t>
        </is>
      </c>
      <c r="C13140" t="inlineStr">
        <is>
          <t>Control Union Poland Sp. z o.o., Zielona Gora, PL</t>
        </is>
      </c>
      <c r="D13140" t="inlineStr">
        <is>
          <t>23.10.2026</t>
        </is>
      </c>
      <c r="E13140" t="inlineStr">
        <is>
          <t>United States</t>
        </is>
      </c>
    </row>
    <row r="13141">
      <c r="A13141" t="inlineStr">
        <is>
          <t>Slobozhanschyna Agro,  Sumy region, village Ulyanovka, Ukraine</t>
        </is>
      </c>
      <c r="B13141" t="inlineStr">
        <is>
          <t>Farm / Plantation</t>
        </is>
      </c>
      <c r="C13141" t="inlineStr">
        <is>
          <t>Organic Standard Ltd, Kyiv, UA</t>
        </is>
      </c>
      <c r="D13141" t="inlineStr">
        <is>
          <t>23.10.2026</t>
        </is>
      </c>
      <c r="E13141" t="inlineStr">
        <is>
          <t>Ukraine</t>
        </is>
      </c>
    </row>
    <row r="13142">
      <c r="A13142" t="inlineStr">
        <is>
          <t>Grupo Empresarial Copo,  Mos, Spain</t>
        </is>
      </c>
      <c r="B13142" t="inlineStr">
        <is>
          <t>Trader</t>
        </is>
      </c>
      <c r="C13142" t="inlineStr">
        <is>
          <t>Control Union Poland Sp. z o.o., Zielona Gora, PL</t>
        </is>
      </c>
      <c r="D13142" t="inlineStr">
        <is>
          <t>23.10.2026</t>
        </is>
      </c>
      <c r="E13142" t="inlineStr">
        <is>
          <t>Spain</t>
        </is>
      </c>
    </row>
    <row r="13143">
      <c r="A13143" t="inlineStr">
        <is>
          <t>SFP Groningen B.V.,  Farmsum, Netherlands</t>
        </is>
      </c>
      <c r="B13143" t="inlineStr">
        <is>
          <t>Collecting Point, Processing Unit, Trader</t>
        </is>
      </c>
      <c r="C13143" t="inlineStr">
        <is>
          <t>Normec QS BV, Bennekom, NL</t>
        </is>
      </c>
      <c r="D13143" t="inlineStr">
        <is>
          <t>23.10.2026</t>
        </is>
      </c>
      <c r="E13143" t="inlineStr">
        <is>
          <t>Netherlands</t>
        </is>
      </c>
    </row>
    <row r="13144">
      <c r="A13144" t="inlineStr">
        <is>
          <t>Nógrádi Vegyipari Zrt.,  Tolmács, Hungary</t>
        </is>
      </c>
      <c r="B13144" t="inlineStr">
        <is>
          <t>Collecting Point, Processing Unit</t>
        </is>
      </c>
      <c r="C13144" t="inlineStr">
        <is>
          <t>SGS Germany GmbH, Emstek, DE</t>
        </is>
      </c>
      <c r="D13144" t="inlineStr">
        <is>
          <t>23.10.2026</t>
        </is>
      </c>
      <c r="E13144" t="inlineStr">
        <is>
          <t>Hungary</t>
        </is>
      </c>
    </row>
    <row r="13145">
      <c r="A13145" t="inlineStr">
        <is>
          <t>DD Dynamic Trading,  Kuala Lumpur, Malaysia</t>
        </is>
      </c>
      <c r="B13145" t="inlineStr">
        <is>
          <t>Collecting Point, Trader with Storage</t>
        </is>
      </c>
      <c r="C13145" t="inlineStr">
        <is>
          <t>Trans Certification and Inspection Sdn Bhd, Kuantan, MY</t>
        </is>
      </c>
      <c r="D13145" t="inlineStr">
        <is>
          <t>23.10.2026</t>
        </is>
      </c>
      <c r="E13145" t="inlineStr">
        <is>
          <t>Malaysia</t>
        </is>
      </c>
    </row>
    <row r="13146">
      <c r="A13146" t="inlineStr">
        <is>
          <t>TIANJIN BOHUA NANGANG INTERNATIONAL CORPORATION,  Tianjin, China</t>
        </is>
      </c>
      <c r="B13146" t="inlineStr">
        <is>
          <t>Trader with Storage</t>
        </is>
      </c>
      <c r="C13146" t="inlineStr">
        <is>
          <t>SCS Global Services, Emeryville, CA, US</t>
        </is>
      </c>
      <c r="D13146" t="inlineStr">
        <is>
          <t>23.10.2026</t>
        </is>
      </c>
      <c r="E13146" t="inlineStr">
        <is>
          <t>China</t>
        </is>
      </c>
    </row>
    <row r="13147">
      <c r="A13147" t="inlineStr">
        <is>
          <t>TIANJIN BOHUA NANGANG INTERNATIONAL CORPORATION,  Tianjin, China</t>
        </is>
      </c>
      <c r="B13147" t="inlineStr">
        <is>
          <t>Trader with Storage</t>
        </is>
      </c>
      <c r="C13147" t="inlineStr">
        <is>
          <t>SCS Global Services, Emeryville, CA, US</t>
        </is>
      </c>
      <c r="D13147" t="inlineStr">
        <is>
          <t>23.10.2026</t>
        </is>
      </c>
      <c r="E13147" t="inlineStr">
        <is>
          <t>China</t>
        </is>
      </c>
    </row>
    <row r="13148">
      <c r="A13148" t="inlineStr">
        <is>
          <t>TIANJIN BOHUA NANGANG INTERNATIONAL CORPORATION,  Tianjin, China</t>
        </is>
      </c>
      <c r="B13148" t="inlineStr">
        <is>
          <t>Trader with Storage</t>
        </is>
      </c>
      <c r="C13148" t="inlineStr">
        <is>
          <t>SCS Global Services, Emeryville, CA, US</t>
        </is>
      </c>
      <c r="D13148" t="inlineStr">
        <is>
          <t>23.10.2026</t>
        </is>
      </c>
      <c r="E13148" t="inlineStr">
        <is>
          <t>China</t>
        </is>
      </c>
    </row>
    <row r="13149">
      <c r="A13149" t="inlineStr">
        <is>
          <t>Akron Services Inc.,  Edelstein, United States</t>
        </is>
      </c>
      <c r="B13149" t="inlineStr">
        <is>
          <t>First Gathering Point</t>
        </is>
      </c>
      <c r="C13149" t="inlineStr">
        <is>
          <t>SCS Global Services, Emeryville, CA, US</t>
        </is>
      </c>
      <c r="D13149" t="inlineStr">
        <is>
          <t>23.10.2026</t>
        </is>
      </c>
      <c r="E13149" t="inlineStr">
        <is>
          <t>United States</t>
        </is>
      </c>
    </row>
    <row r="13150">
      <c r="A13150" t="inlineStr">
        <is>
          <t>Ecologica Fasanese di Scarafile Giuseppe,  Fasano (BR), Italy</t>
        </is>
      </c>
      <c r="B13150" t="inlineStr">
        <is>
          <t>Collecting Point</t>
        </is>
      </c>
      <c r="C13150" t="inlineStr">
        <is>
          <t>RINA Services S.p.A., Genova, IT</t>
        </is>
      </c>
      <c r="D13150" t="inlineStr">
        <is>
          <t>23.10.2026</t>
        </is>
      </c>
      <c r="E13150" t="inlineStr">
        <is>
          <t>Italy</t>
        </is>
      </c>
    </row>
    <row r="13151">
      <c r="A13151" t="inlineStr">
        <is>
          <t>Valorización Energética De Aceites y Grasas,  Murcia, Spain</t>
        </is>
      </c>
      <c r="B13151" t="inlineStr">
        <is>
          <t>Collecting Point, Trader with Storage</t>
        </is>
      </c>
      <c r="C13151" t="inlineStr">
        <is>
          <t>RINA Services S.p.A., Genova, IT</t>
        </is>
      </c>
      <c r="D13151" t="inlineStr">
        <is>
          <t>23.10.2026</t>
        </is>
      </c>
      <c r="E13151" t="inlineStr">
        <is>
          <t>Spain</t>
        </is>
      </c>
    </row>
    <row r="13152">
      <c r="A13152" t="inlineStr">
        <is>
          <t>ECO DB,  Crema (CR), Italy</t>
        </is>
      </c>
      <c r="B13152" t="inlineStr">
        <is>
          <t>Collecting Point, Trader</t>
        </is>
      </c>
      <c r="C13152" t="inlineStr">
        <is>
          <t>SGS Germany GmbH, Emstek, DE</t>
        </is>
      </c>
      <c r="D13152" t="inlineStr">
        <is>
          <t>22.10.2026</t>
        </is>
      </c>
      <c r="E13152" t="inlineStr">
        <is>
          <t>Italy</t>
        </is>
      </c>
    </row>
    <row r="13153">
      <c r="A13153" t="inlineStr">
        <is>
          <t>Solve Recycling West Georgia,  Ozurgeti, Georgia</t>
        </is>
      </c>
      <c r="B13153" t="inlineStr">
        <is>
          <t>Collecting Point, Processing Unit</t>
        </is>
      </c>
      <c r="C13153" t="inlineStr">
        <is>
          <t>Control Union Certifications Germany GmbH, Berlin, DE</t>
        </is>
      </c>
      <c r="D13153" t="inlineStr">
        <is>
          <t>22.10.2026</t>
        </is>
      </c>
      <c r="E13153" t="inlineStr">
        <is>
          <t>Georgia</t>
        </is>
      </c>
    </row>
    <row r="13154">
      <c r="A13154" t="inlineStr">
        <is>
          <t>Jinzhou Changwang Recycling Resources Co., Ltd,  Jinzhou City, Shijiazhuang City, Hebei Province, China</t>
        </is>
      </c>
      <c r="B13154" t="inlineStr">
        <is>
          <t>Trader with Storage, Collecting Point</t>
        </is>
      </c>
      <c r="C13154" t="inlineStr">
        <is>
          <t>RINA Services S.p.A., Genova, IT</t>
        </is>
      </c>
      <c r="D13154" t="inlineStr">
        <is>
          <t>22.10.2026</t>
        </is>
      </c>
      <c r="E13154" t="inlineStr">
        <is>
          <t>China</t>
        </is>
      </c>
    </row>
    <row r="13155">
      <c r="A13155" t="inlineStr">
        <is>
          <t>MINERVA S.A.,  SANTOS, Brazil</t>
        </is>
      </c>
      <c r="B13155" t="inlineStr">
        <is>
          <t>Collecting Point, Trader with Storage</t>
        </is>
      </c>
      <c r="C13155" t="inlineStr">
        <is>
          <t>Control Union Certifications Germany GmbH, Berlin, DE</t>
        </is>
      </c>
      <c r="D13155" t="inlineStr">
        <is>
          <t>22.10.2026</t>
        </is>
      </c>
      <c r="E13155" t="inlineStr">
        <is>
          <t>Brazil</t>
        </is>
      </c>
    </row>
    <row r="13156">
      <c r="A13156" t="inlineStr">
        <is>
          <t>MINERVA S.A.,  SANTOS, Brazil</t>
        </is>
      </c>
      <c r="B13156" t="inlineStr">
        <is>
          <t>Collecting Point, Trader with Storage</t>
        </is>
      </c>
      <c r="C13156" t="inlineStr">
        <is>
          <t>Control Union Certifications Germany GmbH, Berlin, DE</t>
        </is>
      </c>
      <c r="D13156" t="inlineStr">
        <is>
          <t>22.10.2026</t>
        </is>
      </c>
      <c r="E13156" t="inlineStr">
        <is>
          <t>Brazil</t>
        </is>
      </c>
    </row>
    <row r="13157">
      <c r="A13157" t="inlineStr">
        <is>
          <t>Paraguay Logistic Services,  Asuncion, Paraguay</t>
        </is>
      </c>
      <c r="B13157" t="inlineStr">
        <is>
          <t>Trader</t>
        </is>
      </c>
      <c r="C13157" t="inlineStr">
        <is>
          <t>Control Union Certifications Germany GmbH, Berlin, DE</t>
        </is>
      </c>
      <c r="D13157" t="inlineStr">
        <is>
          <t>22.10.2026</t>
        </is>
      </c>
      <c r="E13157" t="inlineStr">
        <is>
          <t>Paraguay</t>
        </is>
      </c>
    </row>
    <row r="13158">
      <c r="A13158" t="inlineStr">
        <is>
          <t>Daka ecoMotion A/S,  Løsning, Denmark</t>
        </is>
      </c>
      <c r="B13158" t="inlineStr">
        <is>
          <t>Point of Origin, Collecting Point, Processing Unit, Trader with Storage</t>
        </is>
      </c>
      <c r="C13158" t="inlineStr">
        <is>
          <t>GUT Certifizierungsgesellschaft für Managementsysteme mbH Umweltgutachter, Berlin, DE</t>
        </is>
      </c>
      <c r="D13158" t="inlineStr">
        <is>
          <t>22.10.2026</t>
        </is>
      </c>
      <c r="E13158" t="inlineStr">
        <is>
          <t>Denmark</t>
        </is>
      </c>
    </row>
    <row r="13159">
      <c r="A13159" t="inlineStr">
        <is>
          <t>Sophim Ibería,  Nijar - Almeria, Spain</t>
        </is>
      </c>
      <c r="B13159" t="inlineStr">
        <is>
          <t>Collecting Point, Processing Unit</t>
        </is>
      </c>
      <c r="C13159" t="inlineStr">
        <is>
          <t>Control Union Poland Sp. z o.o., Zielona Gora, PL</t>
        </is>
      </c>
      <c r="D13159" t="inlineStr">
        <is>
          <t>22.10.2026</t>
        </is>
      </c>
      <c r="E13159" t="inlineStr">
        <is>
          <t>Spain</t>
        </is>
      </c>
    </row>
    <row r="13160">
      <c r="A13160" t="inlineStr">
        <is>
          <t>Daka ecoMotion A/S,  Hedensted, Denmark</t>
        </is>
      </c>
      <c r="B13160" t="inlineStr">
        <is>
          <t>Trader with Storage</t>
        </is>
      </c>
      <c r="C13160" t="inlineStr">
        <is>
          <t>GUT Certifizierungsgesellschaft für Managementsysteme mbH Umweltgutachter, Berlin, DE</t>
        </is>
      </c>
      <c r="D13160" t="inlineStr">
        <is>
          <t>22.10.2026</t>
        </is>
      </c>
      <c r="E13160" t="inlineStr">
        <is>
          <t>Denmark</t>
        </is>
      </c>
    </row>
    <row r="13161">
      <c r="A13161" t="inlineStr">
        <is>
          <t>Daka Denmark A/S,  Randers, Denmark</t>
        </is>
      </c>
      <c r="B13161" t="inlineStr">
        <is>
          <t>Point of Origin, Processing Unit</t>
        </is>
      </c>
      <c r="C13161" t="inlineStr">
        <is>
          <t>GUT Certifizierungsgesellschaft für Managementsysteme mbH Umweltgutachter, Berlin, DE</t>
        </is>
      </c>
      <c r="D13161" t="inlineStr">
        <is>
          <t>22.10.2026</t>
        </is>
      </c>
      <c r="E13161" t="inlineStr">
        <is>
          <t>Denmark</t>
        </is>
      </c>
    </row>
    <row r="13162">
      <c r="A13162" t="inlineStr">
        <is>
          <t>Geben, S.A.,  Uruguay-Montevideo, Uruguay</t>
        </is>
      </c>
      <c r="B13162" t="inlineStr">
        <is>
          <t>Trader</t>
        </is>
      </c>
      <c r="C13162" t="inlineStr">
        <is>
          <t>PT Intertek Utama Services, Jakarta, ID</t>
        </is>
      </c>
      <c r="D13162" t="inlineStr">
        <is>
          <t>22.10.2026</t>
        </is>
      </c>
      <c r="E13162" t="inlineStr">
        <is>
          <t>Uruguay</t>
        </is>
      </c>
    </row>
    <row r="13163">
      <c r="A13163" t="inlineStr">
        <is>
          <t>Daka Denmark A/S,  Horsens, Denmark</t>
        </is>
      </c>
      <c r="B13163" t="inlineStr">
        <is>
          <t>Collecting Point</t>
        </is>
      </c>
      <c r="C13163" t="inlineStr">
        <is>
          <t>GUT Certifizierungsgesellschaft für Managementsysteme mbH Umweltgutachter, Berlin, DE</t>
        </is>
      </c>
      <c r="D13163" t="inlineStr">
        <is>
          <t>22.10.2026</t>
        </is>
      </c>
      <c r="E13163" t="inlineStr">
        <is>
          <t>Denmark</t>
        </is>
      </c>
    </row>
    <row r="13164">
      <c r="A13164" t="inlineStr">
        <is>
          <t>Vibra Energia S/A - BACUB,  Cubatão, Brazil</t>
        </is>
      </c>
      <c r="B13164" t="inlineStr">
        <is>
          <t>Trader with Storage</t>
        </is>
      </c>
      <c r="C13164" t="inlineStr">
        <is>
          <t>SCS Global Services, Emeryville, CA, US</t>
        </is>
      </c>
      <c r="D13164" t="inlineStr">
        <is>
          <t>22.10.2026</t>
        </is>
      </c>
      <c r="E13164" t="inlineStr">
        <is>
          <t>Brazil</t>
        </is>
      </c>
    </row>
    <row r="13165">
      <c r="A13165" t="inlineStr">
        <is>
          <t>Vibra Energia S/A - BACUB,  Cubatão, Brazil</t>
        </is>
      </c>
      <c r="B13165" t="inlineStr">
        <is>
          <t>Trader with Storage</t>
        </is>
      </c>
      <c r="C13165" t="inlineStr">
        <is>
          <t>SCS Global Services, Emeryville, CA, US</t>
        </is>
      </c>
      <c r="D13165" t="inlineStr">
        <is>
          <t>22.10.2026</t>
        </is>
      </c>
      <c r="E13165" t="inlineStr">
        <is>
          <t>Brazil</t>
        </is>
      </c>
    </row>
    <row r="13166">
      <c r="A13166" t="inlineStr">
        <is>
          <t>Vibra Energia S/A - BAVGIG,  Rio de Janeiro, Brazil</t>
        </is>
      </c>
      <c r="B13166" t="inlineStr">
        <is>
          <t>Trader with Storage</t>
        </is>
      </c>
      <c r="C13166" t="inlineStr">
        <is>
          <t>SCS Global Services, Emeryville, CA, US</t>
        </is>
      </c>
      <c r="D13166" t="inlineStr">
        <is>
          <t>22.10.2026</t>
        </is>
      </c>
      <c r="E13166" t="inlineStr">
        <is>
          <t>Brazil</t>
        </is>
      </c>
    </row>
    <row r="13167">
      <c r="A13167" t="inlineStr">
        <is>
          <t>Vibra Energia S/A - BAVGIG,  Rio de Janeiro, Brazil</t>
        </is>
      </c>
      <c r="B13167" t="inlineStr">
        <is>
          <t>Trader with Storage</t>
        </is>
      </c>
      <c r="C13167" t="inlineStr">
        <is>
          <t>SCS Global Services, Emeryville, CA, US</t>
        </is>
      </c>
      <c r="D13167" t="inlineStr">
        <is>
          <t>22.10.2026</t>
        </is>
      </c>
      <c r="E13167" t="inlineStr">
        <is>
          <t>Brazil</t>
        </is>
      </c>
    </row>
    <row r="13168">
      <c r="A13168" t="inlineStr">
        <is>
          <t>Lyondell Chimie France SAS,  Fos-sur-Mer, France</t>
        </is>
      </c>
      <c r="B13168" t="inlineStr">
        <is>
          <t>Trader with Storage, ETBE plant, MTBE plant</t>
        </is>
      </c>
      <c r="C13168" t="inlineStr">
        <is>
          <t>Control Union Certifications Germany GmbH, Berlin, DE</t>
        </is>
      </c>
      <c r="D13168" t="inlineStr">
        <is>
          <t>22.10.2026</t>
        </is>
      </c>
      <c r="E13168" t="inlineStr">
        <is>
          <t>France</t>
        </is>
      </c>
    </row>
    <row r="13169">
      <c r="A13169" t="inlineStr">
        <is>
          <t>SJ Bio Co., Ltd,  Incheon-Si, Namdong-Gu, Korea, Republic of</t>
        </is>
      </c>
      <c r="B13169" t="inlineStr">
        <is>
          <t>Collecting Point, Trader</t>
        </is>
      </c>
      <c r="C13169" t="inlineStr">
        <is>
          <t>BM Certification, Riga, LV</t>
        </is>
      </c>
      <c r="D13169" t="inlineStr">
        <is>
          <t>22.10.2026</t>
        </is>
      </c>
      <c r="E13169" t="inlineStr">
        <is>
          <t>Republic of</t>
        </is>
      </c>
    </row>
    <row r="13170">
      <c r="A13170" t="inlineStr">
        <is>
          <t>Société Européenne de Gestion de l'Energie,  Bruxelles, Belgium</t>
        </is>
      </c>
      <c r="B13170" t="inlineStr">
        <is>
          <t>Trader</t>
        </is>
      </c>
      <c r="C13170" t="inlineStr">
        <is>
          <t>Certi W Baltic SIA, Riga, LV</t>
        </is>
      </c>
      <c r="D13170" t="inlineStr">
        <is>
          <t>22.10.2026</t>
        </is>
      </c>
      <c r="E13170" t="inlineStr">
        <is>
          <t>Belgium</t>
        </is>
      </c>
    </row>
    <row r="13171">
      <c r="A13171" t="inlineStr">
        <is>
          <t>LOTTE Chemical California, Inc.,  La Palma, CA, United States</t>
        </is>
      </c>
      <c r="B13171" t="inlineStr">
        <is>
          <t>Trader with Storage</t>
        </is>
      </c>
      <c r="C13171" t="inlineStr">
        <is>
          <t>Control Union Certifications Germany GmbH, Berlin, DE</t>
        </is>
      </c>
      <c r="D13171" t="inlineStr">
        <is>
          <t>22.10.2026</t>
        </is>
      </c>
      <c r="E13171" t="inlineStr">
        <is>
          <t>United States</t>
        </is>
      </c>
    </row>
    <row r="13172">
      <c r="A13172" t="inlineStr">
        <is>
          <t>LOTTE Chemical Mexico,  Baja California, Mexico</t>
        </is>
      </c>
      <c r="B13172" t="inlineStr">
        <is>
          <t>Processing Unit</t>
        </is>
      </c>
      <c r="C13172" t="inlineStr">
        <is>
          <t>Control Union Certifications Germany GmbH, Berlin, DE</t>
        </is>
      </c>
      <c r="D13172" t="inlineStr">
        <is>
          <t>22.10.2026</t>
        </is>
      </c>
      <c r="E13172" t="inlineStr">
        <is>
          <t>Mexico</t>
        </is>
      </c>
    </row>
    <row r="13173">
      <c r="A13173" t="inlineStr">
        <is>
          <t>Allnex Italy,  Romano d'Ezzelino, Italy</t>
        </is>
      </c>
      <c r="B13173" t="inlineStr">
        <is>
          <t>Processing Unit</t>
        </is>
      </c>
      <c r="C13173" t="inlineStr">
        <is>
          <t>SGS Germany GmbH, Emstek, DE</t>
        </is>
      </c>
      <c r="D13173" t="inlineStr">
        <is>
          <t>22.10.2026</t>
        </is>
      </c>
      <c r="E13173" t="inlineStr">
        <is>
          <t>Italy</t>
        </is>
      </c>
    </row>
    <row r="13174">
      <c r="A13174" t="inlineStr">
        <is>
          <t>KYOEI JUSHI Corporation Fukui Factory,  FUKUI, Japan</t>
        </is>
      </c>
      <c r="B13174" t="inlineStr">
        <is>
          <t>Processing Unit</t>
        </is>
      </c>
      <c r="C13174" t="inlineStr">
        <is>
          <t>SGS Germany GmbH, Emstek, DE</t>
        </is>
      </c>
      <c r="D13174" t="inlineStr">
        <is>
          <t>22.10.2026</t>
        </is>
      </c>
      <c r="E13174" t="inlineStr">
        <is>
          <t>Japan</t>
        </is>
      </c>
    </row>
    <row r="13175">
      <c r="A13175" t="inlineStr">
        <is>
          <t>Gunvor USA LLC,  Houston, United States</t>
        </is>
      </c>
      <c r="B13175" t="inlineStr">
        <is>
          <t>Trader with Storage</t>
        </is>
      </c>
      <c r="C13175" t="inlineStr">
        <is>
          <t>PT Intertek Utama Services, Jakarta, ID</t>
        </is>
      </c>
      <c r="D13175" t="inlineStr">
        <is>
          <t>22.10.2026</t>
        </is>
      </c>
      <c r="E13175" t="inlineStr">
        <is>
          <t>United States</t>
        </is>
      </c>
    </row>
    <row r="13176">
      <c r="A13176" t="inlineStr">
        <is>
          <t>Gunvor USA LLC,  Houston, United States</t>
        </is>
      </c>
      <c r="B13176" t="inlineStr">
        <is>
          <t>Trader with Storage</t>
        </is>
      </c>
      <c r="C13176" t="inlineStr">
        <is>
          <t>PT Intertek Utama Services, Jakarta, ID</t>
        </is>
      </c>
      <c r="D13176" t="inlineStr">
        <is>
          <t>22.10.2026</t>
        </is>
      </c>
      <c r="E13176" t="inlineStr">
        <is>
          <t>United States</t>
        </is>
      </c>
    </row>
    <row r="13177">
      <c r="A13177" t="inlineStr">
        <is>
          <t>UFLEX WOVEN BAGS S.A. DE C.V.,  Altamira, Mexico</t>
        </is>
      </c>
      <c r="B13177" t="inlineStr">
        <is>
          <t>Processing Unit, Final Product Refinement</t>
        </is>
      </c>
      <c r="C13177" t="inlineStr">
        <is>
          <t>Alcumus ISOQAR Ltd, Stretford, Manchester, GB</t>
        </is>
      </c>
      <c r="D13177" t="inlineStr">
        <is>
          <t>22.10.2026</t>
        </is>
      </c>
      <c r="E13177" t="inlineStr">
        <is>
          <t>Mexico</t>
        </is>
      </c>
    </row>
    <row r="13178">
      <c r="A13178" t="inlineStr">
        <is>
          <t>Dialog Diyou PCR Sdn Bhd,  Pajam, Malaysia</t>
        </is>
      </c>
      <c r="B13178" t="inlineStr">
        <is>
          <t>Processing Unit</t>
        </is>
      </c>
      <c r="C13178" t="inlineStr">
        <is>
          <t>Trans Certification and Inspection Sdn Bhd, Kuantan, MY</t>
        </is>
      </c>
      <c r="D13178" t="inlineStr">
        <is>
          <t>22.10.2026</t>
        </is>
      </c>
      <c r="E13178" t="inlineStr">
        <is>
          <t>Malaysia</t>
        </is>
      </c>
    </row>
    <row r="13179">
      <c r="A13179" t="inlineStr">
        <is>
          <t>Albéa Slovakia,  Levice, Slovakia</t>
        </is>
      </c>
      <c r="B13179" t="inlineStr">
        <is>
          <t>Final Product Refinement</t>
        </is>
      </c>
      <c r="C13179" t="inlineStr">
        <is>
          <t>Bureau Veritas Polska Sp. z o.o., Warsaw, PL</t>
        </is>
      </c>
      <c r="D13179" t="inlineStr">
        <is>
          <t>22.10.2026</t>
        </is>
      </c>
      <c r="E13179" t="inlineStr">
        <is>
          <t>Slovakia</t>
        </is>
      </c>
    </row>
    <row r="13180">
      <c r="A13180" t="inlineStr">
        <is>
          <t>PT. Gawi Makmur Kalimantan,  Penajam Paser Utara District, Indonesia</t>
        </is>
      </c>
      <c r="B13180" t="inlineStr">
        <is>
          <t>Point of Origin</t>
        </is>
      </c>
      <c r="C13180" t="inlineStr">
        <is>
          <t>SGS Germany GmbH, Emstek, DE</t>
        </is>
      </c>
      <c r="D13180" t="inlineStr">
        <is>
          <t>22.10.2026</t>
        </is>
      </c>
      <c r="E13180" t="inlineStr">
        <is>
          <t>Indonesia</t>
        </is>
      </c>
    </row>
    <row r="13181">
      <c r="A13181" t="inlineStr">
        <is>
          <t>Fujian Lvbao Renewable Resources Co., Ltd.,  Longyan City, Fujian Province, China</t>
        </is>
      </c>
      <c r="B13181" t="inlineStr">
        <is>
          <t>Processing Unit</t>
        </is>
      </c>
      <c r="C13181" t="inlineStr">
        <is>
          <t>CTI Certification Co. Ltd, Shenzhen, CN</t>
        </is>
      </c>
      <c r="D13181" t="inlineStr">
        <is>
          <t>22.10.2026</t>
        </is>
      </c>
      <c r="E13181" t="inlineStr">
        <is>
          <t>China</t>
        </is>
      </c>
    </row>
    <row r="13182">
      <c r="A13182" t="inlineStr">
        <is>
          <t>B.B. Energy Trading LTD,  London, United Kingdom</t>
        </is>
      </c>
      <c r="B13182" t="inlineStr">
        <is>
          <t>Trader with Storage</t>
        </is>
      </c>
      <c r="C13182" t="inlineStr">
        <is>
          <t>RINA Services S.p.A., Genova, IT</t>
        </is>
      </c>
      <c r="D13182" t="inlineStr">
        <is>
          <t>22.10.2026</t>
        </is>
      </c>
      <c r="E13182" t="inlineStr">
        <is>
          <t>United Kingdom</t>
        </is>
      </c>
    </row>
    <row r="13183">
      <c r="A13183" t="inlineStr">
        <is>
          <t>Agrosil Silistea Cooperativa Agricola,  Braila, Silistea, Romania</t>
        </is>
      </c>
      <c r="B13183" t="inlineStr">
        <is>
          <t>First Gathering Point</t>
        </is>
      </c>
      <c r="C13183" t="inlineStr">
        <is>
          <t>SRAC Cert SRL, Bucharest, RO</t>
        </is>
      </c>
      <c r="D13183" t="inlineStr">
        <is>
          <t>22.10.2026</t>
        </is>
      </c>
      <c r="E13183" t="inlineStr">
        <is>
          <t>Romania</t>
        </is>
      </c>
    </row>
    <row r="13184">
      <c r="A13184" t="inlineStr">
        <is>
          <t>Heath Farm Energy,  Lincoln, United Kingdom</t>
        </is>
      </c>
      <c r="B13184" t="inlineStr">
        <is>
          <t>First Gathering Point, Processing Unit</t>
        </is>
      </c>
      <c r="C13184" t="inlineStr">
        <is>
          <t>Double Helix Tracking Technologies Pte Ltd, Singapore, SG</t>
        </is>
      </c>
      <c r="D13184" t="inlineStr">
        <is>
          <t>22.10.2026</t>
        </is>
      </c>
      <c r="E13184" t="inlineStr">
        <is>
          <t>United Kingdom</t>
        </is>
      </c>
    </row>
    <row r="13185">
      <c r="A13185" t="inlineStr">
        <is>
          <t>Neste Oyj,  Sluiskil, Netherlands</t>
        </is>
      </c>
      <c r="B13185" t="inlineStr">
        <is>
          <t>Processing Unit, Point of Origin</t>
        </is>
      </c>
      <c r="C13185" t="inlineStr">
        <is>
          <t>SGS Germany GmbH, Emstek, DE</t>
        </is>
      </c>
      <c r="D13185" t="inlineStr">
        <is>
          <t>22.10.2026</t>
        </is>
      </c>
      <c r="E13185" t="inlineStr">
        <is>
          <t>Netherlands</t>
        </is>
      </c>
    </row>
    <row r="13186">
      <c r="A13186" t="inlineStr">
        <is>
          <t>Omnia Plast S.R.L,  Ardud, Romania</t>
        </is>
      </c>
      <c r="B13186" t="inlineStr">
        <is>
          <t>Processing Unit, Trader with Storage</t>
        </is>
      </c>
      <c r="C13186" t="inlineStr">
        <is>
          <t>SRAC Cert SRL, Bucharest, RO</t>
        </is>
      </c>
      <c r="D13186" t="inlineStr">
        <is>
          <t>22.10.2026</t>
        </is>
      </c>
      <c r="E13186" t="inlineStr">
        <is>
          <t>Romania</t>
        </is>
      </c>
    </row>
    <row r="13187">
      <c r="A13187" t="inlineStr">
        <is>
          <t>AISM SRL,  Sat Chereusa, Com. Santau, Romania</t>
        </is>
      </c>
      <c r="B13187" t="inlineStr">
        <is>
          <t>First Gathering Point</t>
        </is>
      </c>
      <c r="C13187" t="inlineStr">
        <is>
          <t>SRAC Cert SRL, Bucharest, RO</t>
        </is>
      </c>
      <c r="D13187" t="inlineStr">
        <is>
          <t>22.10.2026</t>
        </is>
      </c>
      <c r="E13187" t="inlineStr">
        <is>
          <t>Romania</t>
        </is>
      </c>
    </row>
    <row r="13188">
      <c r="A13188" t="inlineStr">
        <is>
          <t>BUNGE CHEVRON AG RENEWABLES,  Chesterfield, United States</t>
        </is>
      </c>
      <c r="B13188" t="inlineStr">
        <is>
          <t>First Gathering Point, Trader with Storage</t>
        </is>
      </c>
      <c r="C13188" t="inlineStr">
        <is>
          <t>Control Union Poland Sp. z o.o., Zielona Gora, PL</t>
        </is>
      </c>
      <c r="D13188" t="inlineStr">
        <is>
          <t>22.10.2026</t>
        </is>
      </c>
      <c r="E13188" t="inlineStr">
        <is>
          <t>United States</t>
        </is>
      </c>
    </row>
    <row r="13189">
      <c r="A13189" t="inlineStr">
        <is>
          <t>BUNGE CHEVRON AG RENEWABLES,  Chesterfield, United States</t>
        </is>
      </c>
      <c r="B13189" t="inlineStr">
        <is>
          <t>First Gathering Point, Trader with Storage</t>
        </is>
      </c>
      <c r="C13189" t="inlineStr">
        <is>
          <t>Control Union Poland Sp. z o.o., Zielona Gora, PL</t>
        </is>
      </c>
      <c r="D13189" t="inlineStr">
        <is>
          <t>22.10.2026</t>
        </is>
      </c>
      <c r="E13189" t="inlineStr">
        <is>
          <t>United States</t>
        </is>
      </c>
    </row>
    <row r="13190">
      <c r="A13190" t="inlineStr">
        <is>
          <t>BUNGE CHEVRON AG RENEWABLES,  Chesterfield, United States</t>
        </is>
      </c>
      <c r="B13190" t="inlineStr">
        <is>
          <t>First Gathering Point, Trader with Storage</t>
        </is>
      </c>
      <c r="C13190" t="inlineStr">
        <is>
          <t>Control Union Poland Sp. z o.o., Zielona Gora, PL</t>
        </is>
      </c>
      <c r="D13190" t="inlineStr">
        <is>
          <t>22.10.2026</t>
        </is>
      </c>
      <c r="E13190" t="inlineStr">
        <is>
          <t>United States</t>
        </is>
      </c>
    </row>
    <row r="13191">
      <c r="A13191" t="inlineStr">
        <is>
          <t>Bunge North America,  Chesterfield, United States</t>
        </is>
      </c>
      <c r="B13191" t="inlineStr">
        <is>
          <t>Trader with Storage</t>
        </is>
      </c>
      <c r="C13191" t="inlineStr">
        <is>
          <t>Control Union Poland Sp. z o.o., Zielona Gora, PL</t>
        </is>
      </c>
      <c r="D13191" t="inlineStr">
        <is>
          <t>22.10.2026</t>
        </is>
      </c>
      <c r="E13191" t="inlineStr">
        <is>
          <t>United States</t>
        </is>
      </c>
    </row>
    <row r="13192">
      <c r="A13192" t="inlineStr">
        <is>
          <t>Bunge North America,  Chesterfield, United States</t>
        </is>
      </c>
      <c r="B13192" t="inlineStr">
        <is>
          <t>Trader with Storage</t>
        </is>
      </c>
      <c r="C13192" t="inlineStr">
        <is>
          <t>Control Union Poland Sp. z o.o., Zielona Gora, PL</t>
        </is>
      </c>
      <c r="D13192" t="inlineStr">
        <is>
          <t>22.10.2026</t>
        </is>
      </c>
      <c r="E13192" t="inlineStr">
        <is>
          <t>United States</t>
        </is>
      </c>
    </row>
    <row r="13193">
      <c r="A13193" t="inlineStr">
        <is>
          <t>Bunge North America,  Chesterfield, United States</t>
        </is>
      </c>
      <c r="B13193" t="inlineStr">
        <is>
          <t>Trader with Storage</t>
        </is>
      </c>
      <c r="C13193" t="inlineStr">
        <is>
          <t>Control Union Poland Sp. z o.o., Zielona Gora, PL</t>
        </is>
      </c>
      <c r="D13193" t="inlineStr">
        <is>
          <t>22.10.2026</t>
        </is>
      </c>
      <c r="E13193" t="inlineStr">
        <is>
          <t>United States</t>
        </is>
      </c>
    </row>
    <row r="13194">
      <c r="A13194" t="inlineStr">
        <is>
          <t>Harvest International ,  AlDekerman / Saida, Lebanon</t>
        </is>
      </c>
      <c r="B13194" t="inlineStr">
        <is>
          <t>Collecting Point, Trader with Storage</t>
        </is>
      </c>
      <c r="C13194" t="inlineStr">
        <is>
          <t>ICIM SpA, sesto san giovanni, IT</t>
        </is>
      </c>
      <c r="D13194" t="inlineStr">
        <is>
          <t>22.10.2026</t>
        </is>
      </c>
      <c r="E13194" t="inlineStr">
        <is>
          <t>Lebanon</t>
        </is>
      </c>
    </row>
    <row r="13195">
      <c r="A13195" t="inlineStr">
        <is>
          <t>Nexus Circular, LLC,  Atlanta, The United States of America</t>
        </is>
      </c>
      <c r="B13195" t="inlineStr">
        <is>
          <t>Collecting Point, Processing Unit, Trader with Storage</t>
        </is>
      </c>
      <c r="C13195" t="inlineStr">
        <is>
          <t>SCS Global Services, Emeryville, CA, US</t>
        </is>
      </c>
      <c r="D13195" t="inlineStr">
        <is>
          <t>22.10.2026</t>
        </is>
      </c>
      <c r="E13195" t="inlineStr">
        <is>
          <t>The United States of America</t>
        </is>
      </c>
    </row>
    <row r="13196">
      <c r="A13196" t="inlineStr">
        <is>
          <t>Fang Yong Enterprise,  Port Dickson, Negeri Sembilan, Malaysia</t>
        </is>
      </c>
      <c r="B13196" t="inlineStr">
        <is>
          <t>Collecting Point</t>
        </is>
      </c>
      <c r="C13196" t="inlineStr">
        <is>
          <t>Trans Certification and Inspection Sdn Bhd, Kuantan, MY</t>
        </is>
      </c>
      <c r="D13196" t="inlineStr">
        <is>
          <t>22.10.2026</t>
        </is>
      </c>
      <c r="E13196" t="inlineStr">
        <is>
          <t>Malaysia</t>
        </is>
      </c>
    </row>
    <row r="13197">
      <c r="A13197" t="inlineStr">
        <is>
          <t>Skylink New Material Co.,Ltd,  Hong Kong, China</t>
        </is>
      </c>
      <c r="B13197" t="inlineStr">
        <is>
          <t>Trader</t>
        </is>
      </c>
      <c r="C13197" t="inlineStr">
        <is>
          <t>Bureau Veritas Polska Sp. z o.o., Warsaw, PL</t>
        </is>
      </c>
      <c r="D13197" t="inlineStr">
        <is>
          <t>22.10.2026</t>
        </is>
      </c>
      <c r="E13197" t="inlineStr">
        <is>
          <t>China</t>
        </is>
      </c>
    </row>
    <row r="13198">
      <c r="A13198" t="inlineStr">
        <is>
          <t>Zertis Trade,  Almaty, Kazakhstan</t>
        </is>
      </c>
      <c r="B13198" t="inlineStr">
        <is>
          <t>Collecting Point, Trader with Storage</t>
        </is>
      </c>
      <c r="C13198" t="inlineStr">
        <is>
          <t>Business Quality Verification Testing and Certification Services P.C. (BQV), Marousi, Athens, GR</t>
        </is>
      </c>
      <c r="D13198" t="inlineStr">
        <is>
          <t>22.10.2026</t>
        </is>
      </c>
      <c r="E13198" t="inlineStr">
        <is>
          <t>Kazakhstan</t>
        </is>
      </c>
    </row>
    <row r="13199">
      <c r="A13199" t="inlineStr">
        <is>
          <t>AAK Rotterdam BV,  Botlek Rotterdam, Netherlands</t>
        </is>
      </c>
      <c r="B13199" t="inlineStr">
        <is>
          <t>Point of Origin</t>
        </is>
      </c>
      <c r="C13199" t="inlineStr">
        <is>
          <t>DNV Business Assurance Sweden AB, Solna, SE</t>
        </is>
      </c>
      <c r="D13199" t="inlineStr">
        <is>
          <t>22.10.2026</t>
        </is>
      </c>
      <c r="E13199" t="inlineStr">
        <is>
          <t>Netherlands</t>
        </is>
      </c>
    </row>
    <row r="13200">
      <c r="A13200" t="inlineStr">
        <is>
          <t>AAK Netherlands BV,  Zaandijk, Netherlands</t>
        </is>
      </c>
      <c r="B13200" t="inlineStr">
        <is>
          <t>Point of Origin</t>
        </is>
      </c>
      <c r="C13200" t="inlineStr">
        <is>
          <t>DNV Business Assurance Sweden AB, Solna, SE</t>
        </is>
      </c>
      <c r="D13200" t="inlineStr">
        <is>
          <t>22.10.2026</t>
        </is>
      </c>
      <c r="E13200" t="inlineStr">
        <is>
          <t>Netherlands</t>
        </is>
      </c>
    </row>
    <row r="13201">
      <c r="A13201" t="inlineStr">
        <is>
          <t>Ping Gao Enterprise,  Batu Gajah, Perak, Malaysia</t>
        </is>
      </c>
      <c r="B13201" t="inlineStr">
        <is>
          <t>Collecting Point</t>
        </is>
      </c>
      <c r="C13201" t="inlineStr">
        <is>
          <t>Trans Certification and Inspection Sdn Bhd, Kuantan, MY</t>
        </is>
      </c>
      <c r="D13201" t="inlineStr">
        <is>
          <t>22.10.2026</t>
        </is>
      </c>
      <c r="E13201" t="inlineStr">
        <is>
          <t>Malaysia</t>
        </is>
      </c>
    </row>
    <row r="13202">
      <c r="A13202" t="inlineStr">
        <is>
          <t>Emsa GmbH,  Emsdetten, Germany</t>
        </is>
      </c>
      <c r="B13202" t="inlineStr">
        <is>
          <t>Processing Unit, Final Product Refinement</t>
        </is>
      </c>
      <c r="C13202" t="inlineStr">
        <is>
          <t>SGS Germany GmbH, Emstek, DE</t>
        </is>
      </c>
      <c r="D13202" t="inlineStr">
        <is>
          <t>21.10.2026</t>
        </is>
      </c>
      <c r="E13202" t="inlineStr">
        <is>
          <t>Germany</t>
        </is>
      </c>
    </row>
    <row r="13203">
      <c r="A13203" t="inlineStr">
        <is>
          <t>H2 Corp.,  Hwaseong-si Gyeonggi-do, Korea, Republic of</t>
        </is>
      </c>
      <c r="B13203" t="inlineStr">
        <is>
          <t>Processing Unit</t>
        </is>
      </c>
      <c r="C13203" t="inlineStr">
        <is>
          <t>Control Union Certifications Germany GmbH, Berlin, DE</t>
        </is>
      </c>
      <c r="D13203" t="inlineStr">
        <is>
          <t>21.10.2026</t>
        </is>
      </c>
      <c r="E13203" t="inlineStr">
        <is>
          <t>Republic of</t>
        </is>
      </c>
    </row>
    <row r="13204">
      <c r="A13204" t="inlineStr">
        <is>
          <t>Kuraray Europe GmbH,  Frankfurt am Main, Germany</t>
        </is>
      </c>
      <c r="B13204" t="inlineStr">
        <is>
          <t>Processing Unit</t>
        </is>
      </c>
      <c r="C13204" t="inlineStr">
        <is>
          <t>Control Union Certifications Germany GmbH, Berlin, DE</t>
        </is>
      </c>
      <c r="D13204" t="inlineStr">
        <is>
          <t>21.10.2026</t>
        </is>
      </c>
      <c r="E13204" t="inlineStr">
        <is>
          <t>Germany</t>
        </is>
      </c>
    </row>
    <row r="13205">
      <c r="A13205" t="inlineStr">
        <is>
          <t>FJERA LORENA d.o.o,  Okrug Gorneg, Croatia</t>
        </is>
      </c>
      <c r="B13205" t="inlineStr">
        <is>
          <t>Trader</t>
        </is>
      </c>
      <c r="C13205" t="inlineStr">
        <is>
          <t>BM Certification, Riga, LV</t>
        </is>
      </c>
      <c r="D13205" t="inlineStr">
        <is>
          <t>21.10.2026</t>
        </is>
      </c>
      <c r="E13205" t="inlineStr">
        <is>
          <t>Croatia</t>
        </is>
      </c>
    </row>
    <row r="13206">
      <c r="A13206" t="inlineStr">
        <is>
          <t>Biodiesel Industries Australia PTY Limited,  Rutherford, Australia</t>
        </is>
      </c>
      <c r="B13206" t="inlineStr">
        <is>
          <t>Processing Unit</t>
        </is>
      </c>
      <c r="C13206" t="inlineStr">
        <is>
          <t>BM Certification, Riga, LV</t>
        </is>
      </c>
      <c r="D13206" t="inlineStr">
        <is>
          <t>21.10.2026</t>
        </is>
      </c>
      <c r="E13206" t="inlineStr">
        <is>
          <t>Australia</t>
        </is>
      </c>
    </row>
    <row r="13207">
      <c r="A13207" t="inlineStr">
        <is>
          <t>Unipec Singapore Pte Ltd,  Singapore, Singapore</t>
        </is>
      </c>
      <c r="B13207" t="inlineStr">
        <is>
          <t>Trader with Storage</t>
        </is>
      </c>
      <c r="C13207" t="inlineStr">
        <is>
          <t>Control Union Certifications Germany GmbH, Berlin, DE</t>
        </is>
      </c>
      <c r="D13207" t="inlineStr">
        <is>
          <t>21.10.2026</t>
        </is>
      </c>
      <c r="E13207" t="inlineStr">
        <is>
          <t>Singapore</t>
        </is>
      </c>
    </row>
    <row r="13208">
      <c r="A13208" t="inlineStr">
        <is>
          <t>Shanghai Haichang Medical Plastic Co., LTD.,  Shanghai, China</t>
        </is>
      </c>
      <c r="B13208" t="inlineStr">
        <is>
          <t>Processing Unit</t>
        </is>
      </c>
      <c r="C13208" t="inlineStr">
        <is>
          <t>SCS Global Services, Emeryville, CA, US</t>
        </is>
      </c>
      <c r="D13208" t="inlineStr">
        <is>
          <t>21.10.2026</t>
        </is>
      </c>
      <c r="E13208" t="inlineStr">
        <is>
          <t>China</t>
        </is>
      </c>
    </row>
    <row r="13209">
      <c r="A13209" t="inlineStr">
        <is>
          <t>JEONG HUN CO., LTD.,  Bucheon Si, Gyenggi Do, Korea, Republic of</t>
        </is>
      </c>
      <c r="B13209" t="inlineStr">
        <is>
          <t>Processing Unit</t>
        </is>
      </c>
      <c r="C13209" t="inlineStr">
        <is>
          <t>Control Union Certifications Germany GmbH, Berlin, DE</t>
        </is>
      </c>
      <c r="D13209" t="inlineStr">
        <is>
          <t>21.10.2026</t>
        </is>
      </c>
      <c r="E13209" t="inlineStr">
        <is>
          <t>Republic of</t>
        </is>
      </c>
    </row>
    <row r="13210">
      <c r="A13210" t="inlineStr">
        <is>
          <t>Primagra, a.s.,  Milín, Czech Republic</t>
        </is>
      </c>
      <c r="B13210" t="inlineStr">
        <is>
          <t>First Gathering Point, Logistics Center, Trader with Storage, Processing Unit</t>
        </is>
      </c>
      <c r="C13210" t="inlineStr">
        <is>
          <t>PT Intertek Utama Services, Jakarta, ID</t>
        </is>
      </c>
      <c r="D13210" t="inlineStr">
        <is>
          <t>21.10.2026</t>
        </is>
      </c>
      <c r="E13210" t="inlineStr">
        <is>
          <t>Czech Republic</t>
        </is>
      </c>
    </row>
    <row r="13211">
      <c r="A13211" t="inlineStr">
        <is>
          <t>Vance Chemicals Pte Ltd,  SINGAPORE, Singapore</t>
        </is>
      </c>
      <c r="B13211" t="inlineStr">
        <is>
          <t>Trader with Storage</t>
        </is>
      </c>
      <c r="C13211" t="inlineStr">
        <is>
          <t>Guardian Independent Certification Limited, Singapore, SG</t>
        </is>
      </c>
      <c r="D13211" t="inlineStr">
        <is>
          <t>21.10.2026</t>
        </is>
      </c>
      <c r="E13211" t="inlineStr">
        <is>
          <t>Singapore</t>
        </is>
      </c>
    </row>
    <row r="13212">
      <c r="A13212" t="inlineStr">
        <is>
          <t>RM TOHCELLO CO., Ltd.,  Shunan-city, Yamaguchi, Japan</t>
        </is>
      </c>
      <c r="B13212" t="inlineStr">
        <is>
          <t>Processing Unit</t>
        </is>
      </c>
      <c r="C13212" t="inlineStr">
        <is>
          <t>Control Union Certifications Germany GmbH, Berlin, DE</t>
        </is>
      </c>
      <c r="D13212" t="inlineStr">
        <is>
          <t>21.10.2026</t>
        </is>
      </c>
      <c r="E13212" t="inlineStr">
        <is>
          <t>Japan</t>
        </is>
      </c>
    </row>
    <row r="13213">
      <c r="A13213" t="inlineStr">
        <is>
          <t>RM TOHCELLO CO.,LTD.,  Itako-city, Japan</t>
        </is>
      </c>
      <c r="B13213" t="inlineStr">
        <is>
          <t>Processing Unit</t>
        </is>
      </c>
      <c r="C13213" t="inlineStr">
        <is>
          <t>Control Union Certifications Germany GmbH, Berlin, DE</t>
        </is>
      </c>
      <c r="D13213" t="inlineStr">
        <is>
          <t>21.10.2026</t>
        </is>
      </c>
      <c r="E13213" t="inlineStr">
        <is>
          <t>Japan</t>
        </is>
      </c>
    </row>
    <row r="13214">
      <c r="A13214" t="inlineStr">
        <is>
          <t>Goodyear France SAS,  Montluçon, France</t>
        </is>
      </c>
      <c r="B13214" t="inlineStr">
        <is>
          <t>Processing Unit</t>
        </is>
      </c>
      <c r="C13214" t="inlineStr">
        <is>
          <t>DQS CFS GmbH - Deutsche Gesellschaft für Nachhaltigkeit, Frankfurt am Main, DE</t>
        </is>
      </c>
      <c r="D13214" t="inlineStr">
        <is>
          <t>21.10.2026</t>
        </is>
      </c>
      <c r="E13214" t="inlineStr">
        <is>
          <t>France</t>
        </is>
      </c>
    </row>
    <row r="13215">
      <c r="A13215" t="inlineStr">
        <is>
          <t>Biodiesel S.A. (ΒΙΟΝΤΗΖΕΛ ΕΠΕ),  ASSIROS, Greece</t>
        </is>
      </c>
      <c r="B13215" t="inlineStr">
        <is>
          <t>First Gathering Point, Processing Unit</t>
        </is>
      </c>
      <c r="C13215" t="inlineStr">
        <is>
          <t>QMSCERT S.A., Pylaia, Thessaloniki, GR</t>
        </is>
      </c>
      <c r="D13215" t="inlineStr">
        <is>
          <t>21.10.2026</t>
        </is>
      </c>
      <c r="E13215" t="inlineStr">
        <is>
          <t>Greece</t>
        </is>
      </c>
    </row>
    <row r="13216">
      <c r="A13216" t="inlineStr">
        <is>
          <t>PT Energi Unggul Persada,  Kota Dumai, Provinsi Riau, Indonesia</t>
        </is>
      </c>
      <c r="B13216" t="inlineStr">
        <is>
          <t>Trader with Storage, Warehouse</t>
        </is>
      </c>
      <c r="C13216" t="inlineStr">
        <is>
          <t>PT SBC Asia Sertifikasi, Kebumen, ID</t>
        </is>
      </c>
      <c r="D13216" t="inlineStr">
        <is>
          <t>21.10.2026</t>
        </is>
      </c>
      <c r="E13216" t="inlineStr">
        <is>
          <t>Indonesia</t>
        </is>
      </c>
    </row>
    <row r="13217">
      <c r="A13217" t="inlineStr">
        <is>
          <t>Axia Global Ventures,  Perindustrian Jalan Kantan, Bukit Beruntung , Malaysia</t>
        </is>
      </c>
      <c r="B13217" t="inlineStr">
        <is>
          <t>Collecting Point, Trader with Storage</t>
        </is>
      </c>
      <c r="C13217" t="inlineStr">
        <is>
          <t>PT SBC Asia Sertifikasi, Kebumen, ID</t>
        </is>
      </c>
      <c r="D13217" t="inlineStr">
        <is>
          <t>21.10.2026</t>
        </is>
      </c>
      <c r="E13217" t="inlineStr">
        <is>
          <t>Malaysia</t>
        </is>
      </c>
    </row>
    <row r="13218">
      <c r="A13218" t="inlineStr">
        <is>
          <t>GROVEWORKS,  Pulau Indah, Malaysia</t>
        </is>
      </c>
      <c r="B13218" t="inlineStr">
        <is>
          <t>Collecting Point, Trader with Storage</t>
        </is>
      </c>
      <c r="C13218" t="inlineStr">
        <is>
          <t>PT SBC Asia Sertifikasi, Kebumen, ID</t>
        </is>
      </c>
      <c r="D13218" t="inlineStr">
        <is>
          <t>21.10.2026</t>
        </is>
      </c>
      <c r="E13218" t="inlineStr">
        <is>
          <t>Malaysia</t>
        </is>
      </c>
    </row>
    <row r="13219">
      <c r="A13219" t="inlineStr">
        <is>
          <t>KAPRIEA BUILDERS,  Kampung Nelayan , port Klang, Malaysia</t>
        </is>
      </c>
      <c r="B13219" t="inlineStr">
        <is>
          <t>Collecting Point, Trader with Storage</t>
        </is>
      </c>
      <c r="C13219" t="inlineStr">
        <is>
          <t>PT SBC Asia Sertifikasi, Kebumen, ID</t>
        </is>
      </c>
      <c r="D13219" t="inlineStr">
        <is>
          <t>21.10.2026</t>
        </is>
      </c>
      <c r="E13219" t="inlineStr">
        <is>
          <t>Malaysia</t>
        </is>
      </c>
    </row>
    <row r="13220">
      <c r="A13220" t="inlineStr">
        <is>
          <t>Hamilton AG,  Domat/Ems, Switzerland</t>
        </is>
      </c>
      <c r="B13220" t="inlineStr">
        <is>
          <t>Processing Unit, Trader</t>
        </is>
      </c>
      <c r="C13220" t="inlineStr">
        <is>
          <t>TÜV SÜD Industrie Service GmbH, München, DE</t>
        </is>
      </c>
      <c r="D13220" t="inlineStr">
        <is>
          <t>21.10.2026</t>
        </is>
      </c>
      <c r="E13220" t="inlineStr">
        <is>
          <t>Switzerland</t>
        </is>
      </c>
    </row>
    <row r="13221">
      <c r="A13221" t="inlineStr">
        <is>
          <t>PT Toppan Plasindo Lestari,  Karawang, Indonesia</t>
        </is>
      </c>
      <c r="B13221" t="inlineStr">
        <is>
          <t>Processing Unit</t>
        </is>
      </c>
      <c r="C13221" t="inlineStr">
        <is>
          <t>SGS Germany GmbH, Emstek, DE</t>
        </is>
      </c>
      <c r="D13221" t="inlineStr">
        <is>
          <t>21.10.2026</t>
        </is>
      </c>
      <c r="E13221" t="inlineStr">
        <is>
          <t>Indonesia</t>
        </is>
      </c>
    </row>
    <row r="13222">
      <c r="A13222" t="inlineStr">
        <is>
          <t>Eurial Ultra Frais,  Jouy, France</t>
        </is>
      </c>
      <c r="B13222" t="inlineStr">
        <is>
          <t>Final Product Refinement</t>
        </is>
      </c>
      <c r="C13222" t="inlineStr">
        <is>
          <t>Bureau Veritas Polska Sp. z o.o., Warsaw, PL</t>
        </is>
      </c>
      <c r="D13222" t="inlineStr">
        <is>
          <t>21.10.2026</t>
        </is>
      </c>
      <c r="E13222" t="inlineStr">
        <is>
          <t>France</t>
        </is>
      </c>
    </row>
    <row r="13223">
      <c r="A13223" t="inlineStr">
        <is>
          <t>ZHUHAI VANTEQUE SPECIALTY ENGINEERING PLASTICS CO., LTD.,  Zhuhai, China</t>
        </is>
      </c>
      <c r="B13223" t="inlineStr">
        <is>
          <t>Processing Unit</t>
        </is>
      </c>
      <c r="C13223" t="inlineStr">
        <is>
          <t>SGS Germany GmbH, Emstek, DE</t>
        </is>
      </c>
      <c r="D13223" t="inlineStr">
        <is>
          <t>21.10.2026</t>
        </is>
      </c>
      <c r="E13223" t="inlineStr">
        <is>
          <t>China</t>
        </is>
      </c>
    </row>
    <row r="13224">
      <c r="A13224" t="inlineStr">
        <is>
          <t>Eastern Protrade Sdn Bhd,  Sek 3, Kota Damansara, Petaling Jaya,,, Malaysia</t>
        </is>
      </c>
      <c r="B13224" t="inlineStr">
        <is>
          <t>Trader with Storage</t>
        </is>
      </c>
      <c r="C13224" t="inlineStr">
        <is>
          <t>TÜV NORD CERT GmbH, Essen, DE</t>
        </is>
      </c>
      <c r="D13224" t="inlineStr">
        <is>
          <t>21.10.2026</t>
        </is>
      </c>
      <c r="E13224" t="inlineStr">
        <is>
          <t>Malaysia</t>
        </is>
      </c>
    </row>
    <row r="13225">
      <c r="A13225" t="inlineStr">
        <is>
          <t>SFI Energy Pte Ltd,  Singapore, Singapore</t>
        </is>
      </c>
      <c r="B13225" t="inlineStr">
        <is>
          <t>Trader</t>
        </is>
      </c>
      <c r="C13225" t="inlineStr">
        <is>
          <t>SGS Germany GmbH, Emstek, DE</t>
        </is>
      </c>
      <c r="D13225" t="inlineStr">
        <is>
          <t>21.10.2026</t>
        </is>
      </c>
      <c r="E13225" t="inlineStr">
        <is>
          <t>Singapore</t>
        </is>
      </c>
    </row>
    <row r="13226">
      <c r="A13226" t="inlineStr">
        <is>
          <t>Shengcheng Energy (Qingdao) Co., Ltd.,  Qingdao City, Shandong Province, China</t>
        </is>
      </c>
      <c r="B13226" t="inlineStr">
        <is>
          <t>Trader</t>
        </is>
      </c>
      <c r="C13226" t="inlineStr">
        <is>
          <t>PT Intertek Utama Services, Jakarta, ID</t>
        </is>
      </c>
      <c r="D13226" t="inlineStr">
        <is>
          <t>21.10.2026</t>
        </is>
      </c>
      <c r="E13226" t="inlineStr">
        <is>
          <t>China</t>
        </is>
      </c>
    </row>
    <row r="13227">
      <c r="A13227" t="inlineStr">
        <is>
          <t>Sumitomo Chemical Asia Pte Ltd,  #07-28 Duo Tower, Singapore</t>
        </is>
      </c>
      <c r="B13227" t="inlineStr">
        <is>
          <t>Trader with Storage</t>
        </is>
      </c>
      <c r="C13227" t="inlineStr">
        <is>
          <t>TÜV NORD CERT GmbH, Essen, DE</t>
        </is>
      </c>
      <c r="D13227" t="inlineStr">
        <is>
          <t>21.10.2026</t>
        </is>
      </c>
      <c r="E13227" t="inlineStr">
        <is>
          <t>Singapore</t>
        </is>
      </c>
    </row>
    <row r="13228">
      <c r="A13228" t="inlineStr">
        <is>
          <t>Dongguan Skylink New Material Co.,Ltd,  dongguan, China</t>
        </is>
      </c>
      <c r="B13228" t="inlineStr">
        <is>
          <t>Trader with Storage</t>
        </is>
      </c>
      <c r="C13228" t="inlineStr">
        <is>
          <t>Bureau Veritas Polska Sp. z o.o., Warsaw, PL</t>
        </is>
      </c>
      <c r="D13228" t="inlineStr">
        <is>
          <t>21.10.2026</t>
        </is>
      </c>
      <c r="E13228" t="inlineStr">
        <is>
          <t>China</t>
        </is>
      </c>
    </row>
    <row r="13229">
      <c r="A13229" t="inlineStr">
        <is>
          <t>Looop Renewables BV,  Venlo, Netherlands</t>
        </is>
      </c>
      <c r="B13229" t="inlineStr">
        <is>
          <t>Collecting Point, Trader with Storage</t>
        </is>
      </c>
      <c r="C13229" t="inlineStr">
        <is>
          <t>SGS Germany GmbH, Emstek, DE</t>
        </is>
      </c>
      <c r="D13229" t="inlineStr">
        <is>
          <t>21.10.2026</t>
        </is>
      </c>
      <c r="E13229" t="inlineStr">
        <is>
          <t>Netherlands</t>
        </is>
      </c>
    </row>
    <row r="13230">
      <c r="A13230" t="inlineStr">
        <is>
          <t>PRIMALUCK (M) SDN BHD,  MIRI, Malaysia</t>
        </is>
      </c>
      <c r="B13230" t="inlineStr">
        <is>
          <t>Point of Origin</t>
        </is>
      </c>
      <c r="C13230" t="inlineStr">
        <is>
          <t>NIOSH Certification Sdn. Bhd., Selangor Darul Ehsan, MY</t>
        </is>
      </c>
      <c r="D13230" t="inlineStr">
        <is>
          <t>21.10.2026</t>
        </is>
      </c>
      <c r="E13230" t="inlineStr">
        <is>
          <t>Malaysia</t>
        </is>
      </c>
    </row>
    <row r="13231">
      <c r="A13231" t="inlineStr">
        <is>
          <t>Zhejiang ecowel Biomaterials Co., Ltd.,  Lishui City, China</t>
        </is>
      </c>
      <c r="B13231" t="inlineStr">
        <is>
          <t>Processing Unit</t>
        </is>
      </c>
      <c r="C13231" t="inlineStr">
        <is>
          <t>PT Intertek Utama Services, Jakarta, ID</t>
        </is>
      </c>
      <c r="D13231" t="inlineStr">
        <is>
          <t>21.10.2026</t>
        </is>
      </c>
      <c r="E13231" t="inlineStr">
        <is>
          <t>China</t>
        </is>
      </c>
    </row>
    <row r="13232">
      <c r="A13232" t="inlineStr">
        <is>
          <t>ZHEJIANG HUAFON SYNTHETIC RESIN CO., LTD,  Wenzhou City, China</t>
        </is>
      </c>
      <c r="B13232" t="inlineStr">
        <is>
          <t>Processing Unit</t>
        </is>
      </c>
      <c r="C13232" t="inlineStr">
        <is>
          <t>PT Intertek Utama Services, Jakarta, ID</t>
        </is>
      </c>
      <c r="D13232" t="inlineStr">
        <is>
          <t>21.10.2026</t>
        </is>
      </c>
      <c r="E13232" t="inlineStr">
        <is>
          <t>China</t>
        </is>
      </c>
    </row>
    <row r="13233">
      <c r="A13233" t="inlineStr">
        <is>
          <t>Jinan Shengquan Group Share Holding Co.,Ltd.,  Jinan City, Shandong Province,, China</t>
        </is>
      </c>
      <c r="B13233" t="inlineStr">
        <is>
          <t>Point of Origin</t>
        </is>
      </c>
      <c r="C13233" t="inlineStr">
        <is>
          <t>SCS Global Services, Emeryville, CA, US</t>
        </is>
      </c>
      <c r="D13233" t="inlineStr">
        <is>
          <t>21.10.2026</t>
        </is>
      </c>
      <c r="E13233" t="inlineStr">
        <is>
          <t>China</t>
        </is>
      </c>
    </row>
    <row r="13234">
      <c r="A13234" t="inlineStr">
        <is>
          <t>SC Vegagrains SRL,  Copaceanca, Romania</t>
        </is>
      </c>
      <c r="B13234" t="inlineStr">
        <is>
          <t>First Gathering Point</t>
        </is>
      </c>
      <c r="C13234" t="inlineStr">
        <is>
          <t>PT Intertek Utama Services, Jakarta, ID</t>
        </is>
      </c>
      <c r="D13234" t="inlineStr">
        <is>
          <t>21.10.2026</t>
        </is>
      </c>
      <c r="E13234" t="inlineStr">
        <is>
          <t>Romania</t>
        </is>
      </c>
    </row>
    <row r="13235">
      <c r="A13235" t="inlineStr">
        <is>
          <t>FLEXOCIT IMBALLAGGI SRL A SOCIO UNICO,  FLERO, Italy</t>
        </is>
      </c>
      <c r="B13235" t="inlineStr">
        <is>
          <t>Processing Unit</t>
        </is>
      </c>
      <c r="C13235" t="inlineStr">
        <is>
          <t>DNV Business Assurance Sweden AB, Solna, SE</t>
        </is>
      </c>
      <c r="D13235" t="inlineStr">
        <is>
          <t>21.10.2026</t>
        </is>
      </c>
      <c r="E13235" t="inlineStr">
        <is>
          <t>Italy</t>
        </is>
      </c>
    </row>
    <row r="13236">
      <c r="A13236" t="inlineStr">
        <is>
          <t>Zhejiang Cayi Vacuum Container Co., Ltd.,  Jinhua City, China</t>
        </is>
      </c>
      <c r="B13236" t="inlineStr">
        <is>
          <t>Processing Unit</t>
        </is>
      </c>
      <c r="C13236" t="inlineStr">
        <is>
          <t>Bureau Veritas Consumer Products Services, Inc., Littleton, MA, US</t>
        </is>
      </c>
      <c r="D13236" t="inlineStr">
        <is>
          <t>21.10.2026</t>
        </is>
      </c>
      <c r="E13236" t="inlineStr">
        <is>
          <t>China</t>
        </is>
      </c>
    </row>
    <row r="13237">
      <c r="A13237" t="inlineStr">
        <is>
          <t>Fry Waste Limited,  Swadlincote, United Kingdom</t>
        </is>
      </c>
      <c r="B13237" t="inlineStr">
        <is>
          <t>Collecting Point</t>
        </is>
      </c>
      <c r="C13237" t="inlineStr">
        <is>
          <t>SGS Germany GmbH, Emstek, DE</t>
        </is>
      </c>
      <c r="D13237" t="inlineStr">
        <is>
          <t>21.10.2026</t>
        </is>
      </c>
      <c r="E13237" t="inlineStr">
        <is>
          <t>United Kingdom</t>
        </is>
      </c>
    </row>
    <row r="13238">
      <c r="A13238" t="inlineStr">
        <is>
          <t>WINN PALM OIL TRADING,  Shah Alam , Malaysia</t>
        </is>
      </c>
      <c r="B13238" t="inlineStr">
        <is>
          <t>Trader with Storage, Collecting Point</t>
        </is>
      </c>
      <c r="C13238" t="inlineStr">
        <is>
          <t>PT SBC Asia Sertifikasi, Kebumen, ID</t>
        </is>
      </c>
      <c r="D13238" t="inlineStr">
        <is>
          <t>21.10.2026</t>
        </is>
      </c>
      <c r="E13238" t="inlineStr">
        <is>
          <t>Malaysia</t>
        </is>
      </c>
    </row>
    <row r="13239">
      <c r="A13239" t="inlineStr">
        <is>
          <t>LI PENG ENTERPRISE CO., LTD.,  Xinrong Vil., Yangmei Dist. Taoyuan City, Taiwan, Province of China</t>
        </is>
      </c>
      <c r="B13239" t="inlineStr">
        <is>
          <t>Processing Unit</t>
        </is>
      </c>
      <c r="C13239" t="inlineStr">
        <is>
          <t>Bureau Veritas Consumer Products Services, Inc., Littleton, MA, US</t>
        </is>
      </c>
      <c r="D13239" t="inlineStr">
        <is>
          <t>21.10.2026</t>
        </is>
      </c>
      <c r="E13239" t="inlineStr">
        <is>
          <t>Province of China</t>
        </is>
      </c>
    </row>
    <row r="13240">
      <c r="A13240" t="inlineStr">
        <is>
          <t>DongGuan Cheong Shing Optical Manufacturing LTD.,  Dongguan City (Guangdong Province), China</t>
        </is>
      </c>
      <c r="B13240" t="inlineStr">
        <is>
          <t>Processing Unit</t>
        </is>
      </c>
      <c r="C13240" t="inlineStr">
        <is>
          <t>PT Intertek Utama Services, Jakarta, ID</t>
        </is>
      </c>
      <c r="D13240" t="inlineStr">
        <is>
          <t>21.10.2026</t>
        </is>
      </c>
      <c r="E13240" t="inlineStr">
        <is>
          <t>China</t>
        </is>
      </c>
    </row>
    <row r="13241">
      <c r="A13241" t="inlineStr">
        <is>
          <t>Zhongshan Huisheng Oil Co., Ltd.,  Zhongshan City, Guangdong Province, China, China</t>
        </is>
      </c>
      <c r="B13241" t="inlineStr">
        <is>
          <t>Collecting Point, Processing Unit, Trader with Storage</t>
        </is>
      </c>
      <c r="C13241" t="inlineStr">
        <is>
          <t>SCS Global Services, Emeryville, CA, US</t>
        </is>
      </c>
      <c r="D13241" t="inlineStr">
        <is>
          <t>21.10.2026</t>
        </is>
      </c>
      <c r="E13241" t="inlineStr">
        <is>
          <t>China</t>
        </is>
      </c>
    </row>
    <row r="13242">
      <c r="A13242" t="inlineStr">
        <is>
          <t>Envirubber spol. s r.o.,  Praha 4, Czech Republic</t>
        </is>
      </c>
      <c r="B13242" t="inlineStr">
        <is>
          <t>Trader</t>
        </is>
      </c>
      <c r="C13242" t="inlineStr">
        <is>
          <t>Bureau Veritas Polska Sp. z o.o., Warsaw, PL</t>
        </is>
      </c>
      <c r="D13242" t="inlineStr">
        <is>
          <t>21.10.2026</t>
        </is>
      </c>
      <c r="E13242" t="inlineStr">
        <is>
          <t>Czech Republic</t>
        </is>
      </c>
    </row>
    <row r="13243">
      <c r="A13243" t="inlineStr">
        <is>
          <t>FUTURPLAST,  MOUSSAC, France</t>
        </is>
      </c>
      <c r="B13243" t="inlineStr">
        <is>
          <t>Processing Unit</t>
        </is>
      </c>
      <c r="C13243" t="inlineStr">
        <is>
          <t>Control Union Certifications Germany GmbH, Berlin, DE</t>
        </is>
      </c>
      <c r="D13243" t="inlineStr">
        <is>
          <t>21.10.2026</t>
        </is>
      </c>
      <c r="E13243" t="inlineStr">
        <is>
          <t>France</t>
        </is>
      </c>
    </row>
    <row r="13244">
      <c r="A13244" t="inlineStr">
        <is>
          <t>GRI Energy Co., Ltd.,  Anseong-si, Gyeonggi-do, Korea, Republic of</t>
        </is>
      </c>
      <c r="B13244" t="inlineStr">
        <is>
          <t>Processing Unit, Point of Origin, Trader with Storage, Collecting Point</t>
        </is>
      </c>
      <c r="C13244" t="inlineStr">
        <is>
          <t>Control Union Certifications Germany GmbH, Berlin, DE</t>
        </is>
      </c>
      <c r="D13244" t="inlineStr">
        <is>
          <t>21.10.2026</t>
        </is>
      </c>
      <c r="E13244" t="inlineStr">
        <is>
          <t>Republic of</t>
        </is>
      </c>
    </row>
    <row r="13245">
      <c r="A13245" t="inlineStr">
        <is>
          <t>ANDREAS TZOTZOS,  ARGOS, Greece</t>
        </is>
      </c>
      <c r="B13245" t="inlineStr">
        <is>
          <t>Collecting Point</t>
        </is>
      </c>
      <c r="C13245" t="inlineStr">
        <is>
          <t>QMSCERT S.A., Pylaia, Thessaloniki, GR</t>
        </is>
      </c>
      <c r="D13245" t="inlineStr">
        <is>
          <t>21.10.2026</t>
        </is>
      </c>
      <c r="E13245" t="inlineStr">
        <is>
          <t>Greece</t>
        </is>
      </c>
    </row>
    <row r="13246">
      <c r="A13246" t="inlineStr">
        <is>
          <t>COMFER,  Offenbach am Main, Germany</t>
        </is>
      </c>
      <c r="B13246" t="inlineStr">
        <is>
          <t>Trader</t>
        </is>
      </c>
      <c r="C13246" t="inlineStr">
        <is>
          <t>TÜV NORD CERT GmbH, Essen, DE</t>
        </is>
      </c>
      <c r="D13246" t="inlineStr">
        <is>
          <t>21.10.2026</t>
        </is>
      </c>
      <c r="E13246" t="inlineStr">
        <is>
          <t>Germany</t>
        </is>
      </c>
    </row>
    <row r="13247">
      <c r="A13247" t="inlineStr">
        <is>
          <t>Bunge Alimentos S/A - Unidade Rondonópolis,  Rondonópolis, Brazil</t>
        </is>
      </c>
      <c r="B13247" t="inlineStr">
        <is>
          <t>First Gathering Point</t>
        </is>
      </c>
      <c r="C13247" t="inlineStr">
        <is>
          <t>SCS Global Services, Emeryville, CA, US</t>
        </is>
      </c>
      <c r="D13247" t="inlineStr">
        <is>
          <t>21.10.2026</t>
        </is>
      </c>
      <c r="E13247" t="inlineStr">
        <is>
          <t>Brazil</t>
        </is>
      </c>
    </row>
    <row r="13248">
      <c r="A13248" t="inlineStr">
        <is>
          <t>AG-Land FS, Inc.,  Pekin, United States</t>
        </is>
      </c>
      <c r="B13248" t="inlineStr">
        <is>
          <t>First Gathering Point</t>
        </is>
      </c>
      <c r="C13248" t="inlineStr">
        <is>
          <t>SCS Global Services, Emeryville, CA, US</t>
        </is>
      </c>
      <c r="D13248" t="inlineStr">
        <is>
          <t>21.10.2026</t>
        </is>
      </c>
      <c r="E13248" t="inlineStr">
        <is>
          <t>United States</t>
        </is>
      </c>
    </row>
    <row r="13249">
      <c r="A13249" t="inlineStr">
        <is>
          <t>Bunge Alimentos S/A - Unidade Rondonópolis,  Rondonópolis, Brazil</t>
        </is>
      </c>
      <c r="B13249" t="inlineStr">
        <is>
          <t>First Gathering Point</t>
        </is>
      </c>
      <c r="C13249" t="inlineStr">
        <is>
          <t>SCS Global Services, Emeryville, CA, US</t>
        </is>
      </c>
      <c r="D13249" t="inlineStr">
        <is>
          <t>21.10.2026</t>
        </is>
      </c>
      <c r="E13249" t="inlineStr">
        <is>
          <t>Brazil</t>
        </is>
      </c>
    </row>
    <row r="13250">
      <c r="A13250" t="inlineStr">
        <is>
          <t>Pastificio Felicetti,  Predazzo, Italy</t>
        </is>
      </c>
      <c r="B13250" t="inlineStr">
        <is>
          <t>Processing Unit</t>
        </is>
      </c>
      <c r="C13250" t="inlineStr">
        <is>
          <t>DNV Business Assurance Sweden AB, Solna, SE</t>
        </is>
      </c>
      <c r="D13250" t="inlineStr">
        <is>
          <t>21.10.2026</t>
        </is>
      </c>
      <c r="E13250" t="inlineStr">
        <is>
          <t>Italy</t>
        </is>
      </c>
    </row>
    <row r="13251">
      <c r="A13251" t="inlineStr">
        <is>
          <t>Pastificio Felicetti,  Molina di Fiemme, Italy</t>
        </is>
      </c>
      <c r="B13251" t="inlineStr">
        <is>
          <t>Processing Unit</t>
        </is>
      </c>
      <c r="C13251" t="inlineStr">
        <is>
          <t>DNV Business Assurance Sweden AB, Solna, SE</t>
        </is>
      </c>
      <c r="D13251" t="inlineStr">
        <is>
          <t>21.10.2026</t>
        </is>
      </c>
      <c r="E13251" t="inlineStr">
        <is>
          <t>Italy</t>
        </is>
      </c>
    </row>
    <row r="13252">
      <c r="A13252" t="inlineStr">
        <is>
          <t>DUON Trading sp. z o.o.,  Wysogotowo, Poland</t>
        </is>
      </c>
      <c r="B13252" t="inlineStr">
        <is>
          <t>Trader</t>
        </is>
      </c>
      <c r="C13252" t="inlineStr">
        <is>
          <t>Bureau Veritas Polska Sp. z o.o., Warsaw, PL</t>
        </is>
      </c>
      <c r="D13252" t="inlineStr">
        <is>
          <t>21.10.2026</t>
        </is>
      </c>
      <c r="E13252" t="inlineStr">
        <is>
          <t>Poland</t>
        </is>
      </c>
    </row>
    <row r="13253">
      <c r="A13253" t="inlineStr">
        <is>
          <t>Knar-Benin Sarl,  Cotonou, Benin</t>
        </is>
      </c>
      <c r="B13253" t="inlineStr">
        <is>
          <t>First Gathering Point</t>
        </is>
      </c>
      <c r="C13253" t="inlineStr">
        <is>
          <t>SGS Germany GmbH, Emstek, DE</t>
        </is>
      </c>
      <c r="D13253" t="inlineStr">
        <is>
          <t>21.10.2026</t>
        </is>
      </c>
      <c r="E13253" t="inlineStr">
        <is>
          <t>Benin</t>
        </is>
      </c>
    </row>
    <row r="13254">
      <c r="A13254" t="inlineStr">
        <is>
          <t>CY WONG RECYCLE TRADING,  SANDAKAN, Malaysia</t>
        </is>
      </c>
      <c r="B13254" t="inlineStr">
        <is>
          <t>Collecting Point, Trader with Storage</t>
        </is>
      </c>
      <c r="C13254" t="inlineStr">
        <is>
          <t>Trans Certification and Inspection Sdn Bhd, Kuantan, MY</t>
        </is>
      </c>
      <c r="D13254" t="inlineStr">
        <is>
          <t>21.10.2026</t>
        </is>
      </c>
      <c r="E13254" t="inlineStr">
        <is>
          <t>Malaysia</t>
        </is>
      </c>
    </row>
    <row r="13255">
      <c r="A13255" t="inlineStr">
        <is>
          <t>Sichuan Tianzhou Green Technology Co., Ltd.,  Chengdu,Sichuan Province, China</t>
        </is>
      </c>
      <c r="B13255" t="inlineStr">
        <is>
          <t>Trader</t>
        </is>
      </c>
      <c r="C13255" t="inlineStr">
        <is>
          <t>SCS Global Services, Emeryville, CA, US</t>
        </is>
      </c>
      <c r="D13255" t="inlineStr">
        <is>
          <t>21.10.2026</t>
        </is>
      </c>
      <c r="E13255" t="inlineStr">
        <is>
          <t>China</t>
        </is>
      </c>
    </row>
    <row r="13256">
      <c r="A13256" t="inlineStr">
        <is>
          <t>Bridgestone Corporation, Hofu Plant,  Hofu-shi, Yamaguchi-ken, Japan</t>
        </is>
      </c>
      <c r="B13256" t="inlineStr">
        <is>
          <t>Processing Unit</t>
        </is>
      </c>
      <c r="C13256" t="inlineStr">
        <is>
          <t>SGS Germany GmbH, Emstek, DE</t>
        </is>
      </c>
      <c r="D13256" t="inlineStr">
        <is>
          <t>21.10.2026</t>
        </is>
      </c>
      <c r="E13256" t="inlineStr">
        <is>
          <t>Japan</t>
        </is>
      </c>
    </row>
    <row r="13257">
      <c r="A13257" t="inlineStr">
        <is>
          <t>BP Gas &amp; Power Iberia SA,  Madrid, Spain</t>
        </is>
      </c>
      <c r="B13257" t="inlineStr">
        <is>
          <t>Trader</t>
        </is>
      </c>
      <c r="C13257" t="inlineStr">
        <is>
          <t>Control Union Certifications Germany GmbH, Berlin, DE</t>
        </is>
      </c>
      <c r="D13257" t="inlineStr">
        <is>
          <t>21.10.2026</t>
        </is>
      </c>
      <c r="E13257" t="inlineStr">
        <is>
          <t>Spain</t>
        </is>
      </c>
    </row>
    <row r="13258">
      <c r="A13258" t="inlineStr">
        <is>
          <t>RAPTIS VASILIOS,  Kamena Vourla, Greece</t>
        </is>
      </c>
      <c r="B13258" t="inlineStr">
        <is>
          <t>Collecting Point</t>
        </is>
      </c>
      <c r="C13258" t="inlineStr">
        <is>
          <t>Eurocert SA, Metamorfosi, Athens, GR</t>
        </is>
      </c>
      <c r="D13258" t="inlineStr">
        <is>
          <t>21.10.2026</t>
        </is>
      </c>
      <c r="E13258" t="inlineStr">
        <is>
          <t>Greece</t>
        </is>
      </c>
    </row>
    <row r="13259">
      <c r="A13259" t="inlineStr">
        <is>
          <t>Tongsuh Petrochemical Corp., Ltd.,  Ulsan, Korea, Republic of</t>
        </is>
      </c>
      <c r="B13259" t="inlineStr">
        <is>
          <t>Processing Unit</t>
        </is>
      </c>
      <c r="C13259" t="inlineStr">
        <is>
          <t>Control Union Certifications Germany GmbH, Berlin, DE</t>
        </is>
      </c>
      <c r="D13259" t="inlineStr">
        <is>
          <t>20.10.2026</t>
        </is>
      </c>
      <c r="E13259" t="inlineStr">
        <is>
          <t>Republic of</t>
        </is>
      </c>
    </row>
    <row r="13260">
      <c r="A13260" t="inlineStr">
        <is>
          <t>Barrett Burston Malting,  Cremorne, Australia</t>
        </is>
      </c>
      <c r="B13260" t="inlineStr">
        <is>
          <t>Trader with Storage</t>
        </is>
      </c>
      <c r="C13260" t="inlineStr">
        <is>
          <t>Control Union Certifications Germany GmbH, Berlin, DE</t>
        </is>
      </c>
      <c r="D13260" t="inlineStr">
        <is>
          <t>20.10.2026</t>
        </is>
      </c>
      <c r="E13260" t="inlineStr">
        <is>
          <t>Australia</t>
        </is>
      </c>
    </row>
    <row r="13261">
      <c r="A13261" t="inlineStr">
        <is>
          <t>Forest and Biomass Romania SA,  Giulvaz, Romania</t>
        </is>
      </c>
      <c r="B13261" t="inlineStr">
        <is>
          <t>Warehouse, Farm / Plantation, Point of Origin</t>
        </is>
      </c>
      <c r="C13261" t="inlineStr">
        <is>
          <t>BM Certification, Riga, LV</t>
        </is>
      </c>
      <c r="D13261" t="inlineStr">
        <is>
          <t>20.10.2026</t>
        </is>
      </c>
      <c r="E13261" t="inlineStr">
        <is>
          <t>Romania</t>
        </is>
      </c>
    </row>
    <row r="13262">
      <c r="A13262" t="inlineStr">
        <is>
          <t>Győri Szeszgyár és Finomító Zrt.,  Győr, Hungary</t>
        </is>
      </c>
      <c r="B13262" t="inlineStr">
        <is>
          <t>Point of Origin, Trader with Storage, Processing Unit</t>
        </is>
      </c>
      <c r="C13262" t="inlineStr">
        <is>
          <t>BM Certification, Riga, LV</t>
        </is>
      </c>
      <c r="D13262" t="inlineStr">
        <is>
          <t>20.10.2026</t>
        </is>
      </c>
      <c r="E13262" t="inlineStr">
        <is>
          <t>Hungary</t>
        </is>
      </c>
    </row>
    <row r="13263">
      <c r="A13263" t="inlineStr">
        <is>
          <t>PT Sawit Jujuhan Abadi - Sirih Sekapur Oil Mill,  Bungo Regency, Jambi, Indonesia</t>
        </is>
      </c>
      <c r="B13263" t="inlineStr">
        <is>
          <t>Point of Origin</t>
        </is>
      </c>
      <c r="C13263" t="inlineStr">
        <is>
          <t>SGS Germany GmbH, Emstek, DE</t>
        </is>
      </c>
      <c r="D13263" t="inlineStr">
        <is>
          <t>20.10.2026</t>
        </is>
      </c>
      <c r="E13263" t="inlineStr">
        <is>
          <t>Indonesia</t>
        </is>
      </c>
    </row>
    <row r="13264">
      <c r="A13264" t="inlineStr">
        <is>
          <t>SK Enmove Americas,  Houston, United States</t>
        </is>
      </c>
      <c r="B13264" t="inlineStr">
        <is>
          <t>Trader with Storage</t>
        </is>
      </c>
      <c r="C13264" t="inlineStr">
        <is>
          <t>Control Union Certifications Germany GmbH, Berlin, DE</t>
        </is>
      </c>
      <c r="D13264" t="inlineStr">
        <is>
          <t>20.10.2026</t>
        </is>
      </c>
      <c r="E13264" t="inlineStr">
        <is>
          <t>United States</t>
        </is>
      </c>
    </row>
    <row r="13265">
      <c r="A13265" t="inlineStr">
        <is>
          <t>Oilpoint B.V.,  Ridderkerk, Netherlands</t>
        </is>
      </c>
      <c r="B13265" t="inlineStr">
        <is>
          <t>Trader with Storage, Collecting Point</t>
        </is>
      </c>
      <c r="C13265" t="inlineStr">
        <is>
          <t>DEKRA Certification B.V., Arnhem, NL</t>
        </is>
      </c>
      <c r="D13265" t="inlineStr">
        <is>
          <t>20.10.2026</t>
        </is>
      </c>
      <c r="E13265" t="inlineStr">
        <is>
          <t>Netherlands</t>
        </is>
      </c>
    </row>
    <row r="13266">
      <c r="A13266" t="inlineStr">
        <is>
          <t>Daralex Agro,  Iasi, Romania</t>
        </is>
      </c>
      <c r="B13266" t="inlineStr">
        <is>
          <t>Collecting Point, Trader with Storage</t>
        </is>
      </c>
      <c r="C13266" t="inlineStr">
        <is>
          <t>Business Quality Verification Testing and Certification Services P.C. (BQV), Marousi, Athens, GR</t>
        </is>
      </c>
      <c r="D13266" t="inlineStr">
        <is>
          <t>20.10.2026</t>
        </is>
      </c>
      <c r="E13266" t="inlineStr">
        <is>
          <t>Romania</t>
        </is>
      </c>
    </row>
    <row r="13267">
      <c r="A13267" t="inlineStr">
        <is>
          <t>KONSEP MUKTAMAD SDN BHD,  KALABAKAN, Malaysia</t>
        </is>
      </c>
      <c r="B13267" t="inlineStr">
        <is>
          <t>Point of Origin</t>
        </is>
      </c>
      <c r="C13267" t="inlineStr">
        <is>
          <t>Control Union Certifications Germany GmbH, Berlin, DE</t>
        </is>
      </c>
      <c r="D13267" t="inlineStr">
        <is>
          <t>20.10.2026</t>
        </is>
      </c>
      <c r="E13267" t="inlineStr">
        <is>
          <t>Malaysia</t>
        </is>
      </c>
    </row>
    <row r="13268">
      <c r="A13268" t="inlineStr">
        <is>
          <t>SUNGAI BURUNG INDUSTRIES SDN BHD,  TAWAU, Malaysia</t>
        </is>
      </c>
      <c r="B13268" t="inlineStr">
        <is>
          <t>Point of Origin</t>
        </is>
      </c>
      <c r="C13268" t="inlineStr">
        <is>
          <t>Control Union Certifications Germany GmbH, Berlin, DE</t>
        </is>
      </c>
      <c r="D13268" t="inlineStr">
        <is>
          <t>20.10.2026</t>
        </is>
      </c>
      <c r="E13268" t="inlineStr">
        <is>
          <t>Malaysia</t>
        </is>
      </c>
    </row>
    <row r="13269">
      <c r="A13269" t="inlineStr">
        <is>
          <t>BRANTIAN PALM OIL SDN BHD,  TAWAU SABAH, Malaysia</t>
        </is>
      </c>
      <c r="B13269" t="inlineStr">
        <is>
          <t>Point of Origin</t>
        </is>
      </c>
      <c r="C13269" t="inlineStr">
        <is>
          <t>Control Union Certifications Germany GmbH, Berlin, DE</t>
        </is>
      </c>
      <c r="D13269" t="inlineStr">
        <is>
          <t>20.10.2026</t>
        </is>
      </c>
      <c r="E13269" t="inlineStr">
        <is>
          <t>Malaysia</t>
        </is>
      </c>
    </row>
    <row r="13270">
      <c r="A13270" t="inlineStr">
        <is>
          <t>PROSPEROUS SEBATIK SDN BHD,  TAWAU, Malaysia</t>
        </is>
      </c>
      <c r="B13270" t="inlineStr">
        <is>
          <t>Point of Origin</t>
        </is>
      </c>
      <c r="C13270" t="inlineStr">
        <is>
          <t>Control Union Certifications Germany GmbH, Berlin, DE</t>
        </is>
      </c>
      <c r="D13270" t="inlineStr">
        <is>
          <t>20.10.2026</t>
        </is>
      </c>
      <c r="E13270" t="inlineStr">
        <is>
          <t>Malaysia</t>
        </is>
      </c>
    </row>
    <row r="13271">
      <c r="A13271" t="inlineStr">
        <is>
          <t>Godavari Biorefineries Limited,  Dist .- Ahmednagar-, India</t>
        </is>
      </c>
      <c r="B13271" t="inlineStr">
        <is>
          <t>Processing Unit</t>
        </is>
      </c>
      <c r="C13271" t="inlineStr">
        <is>
          <t>Cotecna India Inspection Pvt Ltd, Kolkata, IN</t>
        </is>
      </c>
      <c r="D13271" t="inlineStr">
        <is>
          <t>20.10.2026</t>
        </is>
      </c>
      <c r="E13271" t="inlineStr">
        <is>
          <t>India</t>
        </is>
      </c>
    </row>
    <row r="13272">
      <c r="A13272" t="inlineStr">
        <is>
          <t>Waltersstrie,  Walterswald, Netherlands</t>
        </is>
      </c>
      <c r="B13272" t="inlineStr">
        <is>
          <t>Collecting Point, Processing Unit</t>
        </is>
      </c>
      <c r="C13272" t="inlineStr">
        <is>
          <t>Normec QS BV, Bennekom, NL</t>
        </is>
      </c>
      <c r="D13272" t="inlineStr">
        <is>
          <t>20.10.2026</t>
        </is>
      </c>
      <c r="E13272" t="inlineStr">
        <is>
          <t>Netherlands</t>
        </is>
      </c>
    </row>
    <row r="13273">
      <c r="A13273" t="inlineStr">
        <is>
          <t>Recicladora Peralta,  Ciudad de Panama, Panama</t>
        </is>
      </c>
      <c r="B13273" t="inlineStr">
        <is>
          <t>Collecting Point</t>
        </is>
      </c>
      <c r="C13273" t="inlineStr">
        <is>
          <t>Certificadora Gallega del Noroeste SL, Vilagarcia de Arousa-Pontevedra, ES</t>
        </is>
      </c>
      <c r="D13273" t="inlineStr">
        <is>
          <t>20.10.2026</t>
        </is>
      </c>
      <c r="E13273" t="inlineStr">
        <is>
          <t>Panama</t>
        </is>
      </c>
    </row>
    <row r="13274">
      <c r="A13274" t="inlineStr">
        <is>
          <t>Posco International Corporation,  Incheon, South Korea</t>
        </is>
      </c>
      <c r="B13274" t="inlineStr">
        <is>
          <t>Trader</t>
        </is>
      </c>
      <c r="C13274" t="inlineStr">
        <is>
          <t>Control Union Certifications Germany GmbH, Berlin, DE</t>
        </is>
      </c>
      <c r="D13274" t="inlineStr">
        <is>
          <t>20.10.2026</t>
        </is>
      </c>
      <c r="E13274" t="inlineStr">
        <is>
          <t>South Korea</t>
        </is>
      </c>
    </row>
    <row r="13275">
      <c r="A13275" t="inlineStr">
        <is>
          <t>Tetra Pak Querétaro S.A. de C.V.,  Corregidora, Mexico</t>
        </is>
      </c>
      <c r="B13275" t="inlineStr">
        <is>
          <t>Processing Unit</t>
        </is>
      </c>
      <c r="C13275" t="inlineStr">
        <is>
          <t>SCS Global Services, Emeryville, CA, US</t>
        </is>
      </c>
      <c r="D13275" t="inlineStr">
        <is>
          <t>20.10.2026</t>
        </is>
      </c>
      <c r="E13275" t="inlineStr">
        <is>
          <t>Mexico</t>
        </is>
      </c>
    </row>
    <row r="13276">
      <c r="A13276" t="inlineStr">
        <is>
          <t>ISOFlex Packaging,  Nashville, TN, United States</t>
        </is>
      </c>
      <c r="B13276" t="inlineStr">
        <is>
          <t>Processing Unit</t>
        </is>
      </c>
      <c r="C13276" t="inlineStr">
        <is>
          <t>SCS Global Services, Emeryville, CA, US</t>
        </is>
      </c>
      <c r="D13276" t="inlineStr">
        <is>
          <t>20.10.2026</t>
        </is>
      </c>
      <c r="E13276" t="inlineStr">
        <is>
          <t>United States</t>
        </is>
      </c>
    </row>
    <row r="13277">
      <c r="A13277" t="inlineStr">
        <is>
          <t>Tetra Pak Plastics Mexico, S.A. de C.V.,  Mexicali, BCN, Mexico</t>
        </is>
      </c>
      <c r="B13277" t="inlineStr">
        <is>
          <t>Processing Unit</t>
        </is>
      </c>
      <c r="C13277" t="inlineStr">
        <is>
          <t>SCS Global Services, Emeryville, CA, US</t>
        </is>
      </c>
      <c r="D13277" t="inlineStr">
        <is>
          <t>20.10.2026</t>
        </is>
      </c>
      <c r="E13277" t="inlineStr">
        <is>
          <t>Mexico</t>
        </is>
      </c>
    </row>
    <row r="13278">
      <c r="A13278" t="inlineStr">
        <is>
          <t>SHAOXING XIANGYU GREEN PACKING CO., LTD,  Shaoxing, China</t>
        </is>
      </c>
      <c r="B13278" t="inlineStr">
        <is>
          <t>Processing Unit</t>
        </is>
      </c>
      <c r="C13278" t="inlineStr">
        <is>
          <t>Extensive Standard Technical Services Co., Ltd., Hong Kong, CN</t>
        </is>
      </c>
      <c r="D13278" t="inlineStr">
        <is>
          <t>20.10.2026</t>
        </is>
      </c>
      <c r="E13278" t="inlineStr">
        <is>
          <t>China</t>
        </is>
      </c>
    </row>
    <row r="13279">
      <c r="A13279" t="inlineStr">
        <is>
          <t>GREEN ENERGY INVESTMENT PRODUCTION JOINT STOCK COMPANY,  Thoi An Ward, District 12, Ho Chi Minh City, Vietnam</t>
        </is>
      </c>
      <c r="B13279" t="inlineStr">
        <is>
          <t>Collecting Point, Processing Unit, Warehouse</t>
        </is>
      </c>
      <c r="C13279" t="inlineStr">
        <is>
          <t>BM Certification, Riga, LV</t>
        </is>
      </c>
      <c r="D13279" t="inlineStr">
        <is>
          <t>20.10.2026</t>
        </is>
      </c>
      <c r="E13279" t="inlineStr">
        <is>
          <t>Vietnam</t>
        </is>
      </c>
    </row>
    <row r="13280">
      <c r="A13280" t="inlineStr">
        <is>
          <t>Arcadio Jaen Ventas,  Pedregal, Ciudad de Panamá, Panama</t>
        </is>
      </c>
      <c r="B13280" t="inlineStr">
        <is>
          <t>Collecting Point</t>
        </is>
      </c>
      <c r="C13280" t="inlineStr">
        <is>
          <t>Certificadora Gallega del Noroeste SL, Vilagarcia de Arousa-Pontevedra, ES</t>
        </is>
      </c>
      <c r="D13280" t="inlineStr">
        <is>
          <t>20.10.2026</t>
        </is>
      </c>
      <c r="E13280" t="inlineStr">
        <is>
          <t>Panama</t>
        </is>
      </c>
    </row>
    <row r="13281">
      <c r="A13281" t="inlineStr">
        <is>
          <t>Eco &amp; Recycle Co., Ltd.,  Nonsan-si, Chungcheongnam-do, South Korea</t>
        </is>
      </c>
      <c r="B13281" t="inlineStr">
        <is>
          <t>Collecting Point, Trader with Storage</t>
        </is>
      </c>
      <c r="C13281" t="inlineStr">
        <is>
          <t>Korean Foundation for Quality, Songpa-gu, Seoul, KR</t>
        </is>
      </c>
      <c r="D13281" t="inlineStr">
        <is>
          <t>20.10.2026</t>
        </is>
      </c>
      <c r="E13281" t="inlineStr">
        <is>
          <t>South Korea</t>
        </is>
      </c>
    </row>
    <row r="13282">
      <c r="A13282" t="inlineStr">
        <is>
          <t>BIO CYCLE LLC,  BAKU, Azerbaijan</t>
        </is>
      </c>
      <c r="B13282" t="inlineStr">
        <is>
          <t>Collecting Point, Trader with Storage</t>
        </is>
      </c>
      <c r="C13282" t="inlineStr">
        <is>
          <t>Aciter Genelab LLC, Odessa, UA</t>
        </is>
      </c>
      <c r="D13282" t="inlineStr">
        <is>
          <t>20.10.2026</t>
        </is>
      </c>
      <c r="E13282" t="inlineStr">
        <is>
          <t>Azerbaijan</t>
        </is>
      </c>
    </row>
    <row r="13283">
      <c r="A13283" t="inlineStr">
        <is>
          <t>Green Logix Biomethane,  Lommel, Belgium</t>
        </is>
      </c>
      <c r="B13283" t="inlineStr">
        <is>
          <t>Collecting Point, Processing Unit</t>
        </is>
      </c>
      <c r="C13283" t="inlineStr">
        <is>
          <t>Control Union Certifications Germany GmbH, Berlin, DE</t>
        </is>
      </c>
      <c r="D13283" t="inlineStr">
        <is>
          <t>20.10.2026</t>
        </is>
      </c>
      <c r="E13283" t="inlineStr">
        <is>
          <t>Belgium</t>
        </is>
      </c>
    </row>
    <row r="13284">
      <c r="A13284" t="inlineStr">
        <is>
          <t>Hebei Zhenning International Trade Co., Ltd,  Shijiazhuang City，Hebei Province, China</t>
        </is>
      </c>
      <c r="B13284" t="inlineStr">
        <is>
          <t>Trader</t>
        </is>
      </c>
      <c r="C13284" t="inlineStr">
        <is>
          <t>RINA Services S.p.A., Genova, IT</t>
        </is>
      </c>
      <c r="D13284" t="inlineStr">
        <is>
          <t>20.10.2026</t>
        </is>
      </c>
      <c r="E13284" t="inlineStr">
        <is>
          <t>China</t>
        </is>
      </c>
    </row>
    <row r="13285">
      <c r="A13285" t="inlineStr">
        <is>
          <t>Flexopack SA,  Thesi Tzima, Koropi, Greece</t>
        </is>
      </c>
      <c r="B13285" t="inlineStr">
        <is>
          <t>Processing Unit</t>
        </is>
      </c>
      <c r="C13285" t="inlineStr">
        <is>
          <t>Bureau Veritas Polska Sp. z o.o., Warsaw, PL</t>
        </is>
      </c>
      <c r="D13285" t="inlineStr">
        <is>
          <t>20.10.2026</t>
        </is>
      </c>
      <c r="E13285" t="inlineStr">
        <is>
          <t>Greece</t>
        </is>
      </c>
    </row>
    <row r="13286">
      <c r="A13286" t="inlineStr">
        <is>
          <t>ECOMOTION BIODIESEL, S.A.,  Montmeló, Spain</t>
        </is>
      </c>
      <c r="B13286" t="inlineStr">
        <is>
          <t>Point of Origin, Trader with Storage, Processing Unit, Collecting Point, Biomarine Fuel Operator</t>
        </is>
      </c>
      <c r="C13286" t="inlineStr">
        <is>
          <t>Control Union Poland Sp. z o.o., Zielona Gora, PL</t>
        </is>
      </c>
      <c r="D13286" t="inlineStr">
        <is>
          <t>20.10.2026</t>
        </is>
      </c>
      <c r="E13286" t="inlineStr">
        <is>
          <t>Spain</t>
        </is>
      </c>
    </row>
    <row r="13287">
      <c r="A13287" t="inlineStr">
        <is>
          <t>Chemfield international co.ltd,  seoul, South Korea</t>
        </is>
      </c>
      <c r="B13287" t="inlineStr">
        <is>
          <t>Trader</t>
        </is>
      </c>
      <c r="C13287" t="inlineStr">
        <is>
          <t>Control Union Certifications Germany GmbH, Berlin, DE</t>
        </is>
      </c>
      <c r="D13287" t="inlineStr">
        <is>
          <t>20.10.2026</t>
        </is>
      </c>
      <c r="E13287" t="inlineStr">
        <is>
          <t>South Korea</t>
        </is>
      </c>
    </row>
    <row r="13288">
      <c r="A13288" t="inlineStr">
        <is>
          <t>Rampai Mutu Sdn Bhd,  BANTING, Malaysia</t>
        </is>
      </c>
      <c r="B13288" t="inlineStr">
        <is>
          <t>Trader</t>
        </is>
      </c>
      <c r="C13288" t="inlineStr">
        <is>
          <t>Control Union Poland Sp. z o.o., Zielona Gora, PL</t>
        </is>
      </c>
      <c r="D13288" t="inlineStr">
        <is>
          <t>20.10.2026</t>
        </is>
      </c>
      <c r="E13288" t="inlineStr">
        <is>
          <t>Malaysia</t>
        </is>
      </c>
    </row>
    <row r="13289">
      <c r="A13289" t="inlineStr">
        <is>
          <t>KURARAY TRADING CO., LTD.,  Chiyoda-ku, Tokyo, Japan</t>
        </is>
      </c>
      <c r="B13289" t="inlineStr">
        <is>
          <t>Trader</t>
        </is>
      </c>
      <c r="C13289" t="inlineStr">
        <is>
          <t>SGS Germany GmbH, Emstek, DE</t>
        </is>
      </c>
      <c r="D13289" t="inlineStr">
        <is>
          <t>20.10.2026</t>
        </is>
      </c>
      <c r="E13289" t="inlineStr">
        <is>
          <t>Japan</t>
        </is>
      </c>
    </row>
    <row r="13290">
      <c r="A13290" t="inlineStr">
        <is>
          <t>Ningxia Binze New Energy Technology Co., Ltd,  Shizuishan, China</t>
        </is>
      </c>
      <c r="B13290" t="inlineStr">
        <is>
          <t>Collecting Point, Processing Unit, Trader with Storage</t>
        </is>
      </c>
      <c r="C13290" t="inlineStr">
        <is>
          <t>SCS Global Services, Emeryville, CA, US</t>
        </is>
      </c>
      <c r="D13290" t="inlineStr">
        <is>
          <t>20.10.2026</t>
        </is>
      </c>
      <c r="E13290" t="inlineStr">
        <is>
          <t>China</t>
        </is>
      </c>
    </row>
    <row r="13291">
      <c r="A13291" t="inlineStr">
        <is>
          <t>Ningxia Binze New Energy Technology Co., Ltd,  Shizuishan, China</t>
        </is>
      </c>
      <c r="B13291" t="inlineStr">
        <is>
          <t>Collecting Point, Point of Origin, Processing Unit, Trader with Storage</t>
        </is>
      </c>
      <c r="C13291" t="inlineStr">
        <is>
          <t>SCS Global Services, Emeryville, CA, US</t>
        </is>
      </c>
      <c r="D13291" t="inlineStr">
        <is>
          <t>20.10.2026</t>
        </is>
      </c>
      <c r="E13291" t="inlineStr">
        <is>
          <t>China</t>
        </is>
      </c>
    </row>
    <row r="13292">
      <c r="A13292" t="inlineStr">
        <is>
          <t>Taicang Power Shell Petrochemical co.,Ltd.,  Taicang（JS）, China</t>
        </is>
      </c>
      <c r="B13292" t="inlineStr">
        <is>
          <t>Warehouse</t>
        </is>
      </c>
      <c r="C13292" t="inlineStr">
        <is>
          <t>RINA Services S.p.A., Genova, IT</t>
        </is>
      </c>
      <c r="D13292" t="inlineStr">
        <is>
          <t>20.10.2026</t>
        </is>
      </c>
      <c r="E13292" t="inlineStr">
        <is>
          <t>China</t>
        </is>
      </c>
    </row>
    <row r="13293">
      <c r="A13293" t="inlineStr">
        <is>
          <t>ILHAM PALM OIL RESOURCES,  SUBANG JAYA, Malaysia</t>
        </is>
      </c>
      <c r="B13293" t="inlineStr">
        <is>
          <t>Collecting Point, Trader with Storage</t>
        </is>
      </c>
      <c r="C13293" t="inlineStr">
        <is>
          <t>Trans Certification and Inspection Sdn Bhd, Kuantan, MY</t>
        </is>
      </c>
      <c r="D13293" t="inlineStr">
        <is>
          <t>20.10.2026</t>
        </is>
      </c>
      <c r="E13293" t="inlineStr">
        <is>
          <t>Malaysia</t>
        </is>
      </c>
    </row>
    <row r="13294">
      <c r="A13294" t="inlineStr">
        <is>
          <t>PT. United Kingdom Indonesia Plantations,  Kabupaten Langkat, Indonesia</t>
        </is>
      </c>
      <c r="B13294" t="inlineStr">
        <is>
          <t>First Gathering Point, Processing Unit</t>
        </is>
      </c>
      <c r="C13294" t="inlineStr">
        <is>
          <t>PT Mutuagung Lestari, Depok, ID</t>
        </is>
      </c>
      <c r="D13294" t="inlineStr">
        <is>
          <t>20.10.2026</t>
        </is>
      </c>
      <c r="E13294" t="inlineStr">
        <is>
          <t>Indonesia</t>
        </is>
      </c>
    </row>
    <row r="13295">
      <c r="A13295" t="inlineStr">
        <is>
          <t>Zhejiang Hongyun TriumphSteed Petroleum Co,Ltd.,  Zhoushan, Zhejiang, China</t>
        </is>
      </c>
      <c r="B13295" t="inlineStr">
        <is>
          <t>Trader</t>
        </is>
      </c>
      <c r="C13295" t="inlineStr">
        <is>
          <t>RINA Services S.p.A., Genova, IT</t>
        </is>
      </c>
      <c r="D13295" t="inlineStr">
        <is>
          <t>20.10.2026</t>
        </is>
      </c>
      <c r="E13295" t="inlineStr">
        <is>
          <t>China</t>
        </is>
      </c>
    </row>
    <row r="13296">
      <c r="A13296" t="inlineStr">
        <is>
          <t>GUANGZHOU VALUDA GROUP CO., LTD,  GUANGZHOU CITY, China</t>
        </is>
      </c>
      <c r="B13296" t="inlineStr">
        <is>
          <t>Collecting Point</t>
        </is>
      </c>
      <c r="C13296" t="inlineStr">
        <is>
          <t>DIN CERTCO GmbH, Berlin, DE</t>
        </is>
      </c>
      <c r="D13296" t="inlineStr">
        <is>
          <t>20.10.2026</t>
        </is>
      </c>
      <c r="E13296" t="inlineStr">
        <is>
          <t>China</t>
        </is>
      </c>
    </row>
    <row r="13297">
      <c r="A13297" t="inlineStr">
        <is>
          <t>Joinway Industries (ShenZhen) Co.,Ltd,  ShenZhen City, Guangdong Province, China</t>
        </is>
      </c>
      <c r="B13297" t="inlineStr">
        <is>
          <t>Trader</t>
        </is>
      </c>
      <c r="C13297" t="inlineStr">
        <is>
          <t>SCS Global Services, Emeryville, CA, US</t>
        </is>
      </c>
      <c r="D13297" t="inlineStr">
        <is>
          <t>19.10.2026</t>
        </is>
      </c>
      <c r="E13297" t="inlineStr">
        <is>
          <t>China</t>
        </is>
      </c>
    </row>
    <row r="13298">
      <c r="A13298" t="inlineStr">
        <is>
          <t>Bengbu Houde Renewable Resources Development co., Ltd.,  Bengbu，Anhui, China</t>
        </is>
      </c>
      <c r="B13298" t="inlineStr">
        <is>
          <t>Collecting Point, Trader, Processing Unit</t>
        </is>
      </c>
      <c r="C13298" t="inlineStr">
        <is>
          <t>SCS Global Services, Emeryville, CA, US</t>
        </is>
      </c>
      <c r="D13298" t="inlineStr">
        <is>
          <t>19.10.2026</t>
        </is>
      </c>
      <c r="E13298" t="inlineStr">
        <is>
          <t>China</t>
        </is>
      </c>
    </row>
    <row r="13299">
      <c r="A13299" t="inlineStr">
        <is>
          <t>SODIR S.R.L,  La Matanza, Buenos Aires, Argentina</t>
        </is>
      </c>
      <c r="B13299" t="inlineStr">
        <is>
          <t>Collecting Point</t>
        </is>
      </c>
      <c r="C13299" t="inlineStr">
        <is>
          <t>Control Union Certifications Germany GmbH, Berlin, DE</t>
        </is>
      </c>
      <c r="D13299" t="inlineStr">
        <is>
          <t>19.10.2026</t>
        </is>
      </c>
      <c r="E13299" t="inlineStr">
        <is>
          <t>Argentina</t>
        </is>
      </c>
    </row>
    <row r="13300">
      <c r="A13300" t="inlineStr">
        <is>
          <t>PETROCHINA(TIANJIN) FUEL OIL CO., LTD.,  Tianjin City, China</t>
        </is>
      </c>
      <c r="B13300" t="inlineStr">
        <is>
          <t>Trader</t>
        </is>
      </c>
      <c r="C13300" t="inlineStr">
        <is>
          <t>SCS Global Services, Emeryville, CA, US</t>
        </is>
      </c>
      <c r="D13300" t="inlineStr">
        <is>
          <t>19.10.2026</t>
        </is>
      </c>
      <c r="E13300" t="inlineStr">
        <is>
          <t>China</t>
        </is>
      </c>
    </row>
    <row r="13301">
      <c r="A13301" t="inlineStr">
        <is>
          <t>Molinos Agro S.A.,  San Lorenzo-Santa Fe, Argentina</t>
        </is>
      </c>
      <c r="B13301" t="inlineStr">
        <is>
          <t>Trader with Storage, Processing Unit</t>
        </is>
      </c>
      <c r="C13301" t="inlineStr">
        <is>
          <t>Control Union Certifications Germany GmbH, Berlin, DE</t>
        </is>
      </c>
      <c r="D13301" t="inlineStr">
        <is>
          <t>19.10.2026</t>
        </is>
      </c>
      <c r="E13301" t="inlineStr">
        <is>
          <t>Argentina</t>
        </is>
      </c>
    </row>
    <row r="13302">
      <c r="A13302" t="inlineStr">
        <is>
          <t>Aquafin NV,  Genk, Belgium</t>
        </is>
      </c>
      <c r="B13302" t="inlineStr">
        <is>
          <t>Processing Unit, Collecting Point</t>
        </is>
      </c>
      <c r="C13302" t="inlineStr">
        <is>
          <t>Normec QS BV, Bennekom, NL</t>
        </is>
      </c>
      <c r="D13302" t="inlineStr">
        <is>
          <t>19.10.2026</t>
        </is>
      </c>
      <c r="E13302" t="inlineStr">
        <is>
          <t>Belgium</t>
        </is>
      </c>
    </row>
    <row r="13303">
      <c r="A13303" t="inlineStr">
        <is>
          <t>GasNet,  Ústí nad Labem, Czech Republic</t>
        </is>
      </c>
      <c r="B13303" t="inlineStr">
        <is>
          <t>Trader with Storage, Logistics Center</t>
        </is>
      </c>
      <c r="C13303" t="inlineStr">
        <is>
          <t>TÜV SÜD Czech s.r.o., Praha 4, CZ</t>
        </is>
      </c>
      <c r="D13303" t="inlineStr">
        <is>
          <t>19.10.2026</t>
        </is>
      </c>
      <c r="E13303" t="inlineStr">
        <is>
          <t>Czech Republic</t>
        </is>
      </c>
    </row>
    <row r="13304">
      <c r="A13304" t="inlineStr">
        <is>
          <t>SOCCAR S.R.L. - G.M.B.H.,  LAIVES (BZ), Italy</t>
        </is>
      </c>
      <c r="B13304" t="inlineStr">
        <is>
          <t>Trader</t>
        </is>
      </c>
      <c r="C13304" t="inlineStr">
        <is>
          <t>ICIM SpA, sesto san giovanni, IT</t>
        </is>
      </c>
      <c r="D13304" t="inlineStr">
        <is>
          <t>19.10.2026</t>
        </is>
      </c>
      <c r="E13304" t="inlineStr">
        <is>
          <t>Italy</t>
        </is>
      </c>
    </row>
    <row r="13305">
      <c r="A13305" t="inlineStr">
        <is>
          <t>Taihu Haizhuo Environmental Protection Technology Co.,Ltd,  Anqing City, Anhui Province, China</t>
        </is>
      </c>
      <c r="B13305" t="inlineStr">
        <is>
          <t>Collecting Point, Trader with Storage</t>
        </is>
      </c>
      <c r="C13305" t="inlineStr">
        <is>
          <t>SCS Global Services, Emeryville, CA, US</t>
        </is>
      </c>
      <c r="D13305" t="inlineStr">
        <is>
          <t>19.10.2026</t>
        </is>
      </c>
      <c r="E13305" t="inlineStr">
        <is>
          <t>China</t>
        </is>
      </c>
    </row>
    <row r="13306">
      <c r="A13306" t="inlineStr">
        <is>
          <t>S/A Usina Coruripe Açúcar e Álcool - Filial Limeira do Oeste,  Limeira do Oeste, Brazil</t>
        </is>
      </c>
      <c r="B13306" t="inlineStr">
        <is>
          <t>Processing Unit</t>
        </is>
      </c>
      <c r="C13306" t="inlineStr">
        <is>
          <t>Control Union Certifications Germany GmbH, Berlin, DE</t>
        </is>
      </c>
      <c r="D13306" t="inlineStr">
        <is>
          <t>19.10.2026</t>
        </is>
      </c>
      <c r="E13306" t="inlineStr">
        <is>
          <t>Brazil</t>
        </is>
      </c>
    </row>
    <row r="13307">
      <c r="A13307" t="inlineStr">
        <is>
          <t>Versalis Deutschland,  Oberhausen, Germany</t>
        </is>
      </c>
      <c r="B13307" t="inlineStr">
        <is>
          <t>Processing Unit</t>
        </is>
      </c>
      <c r="C13307" t="inlineStr">
        <is>
          <t>RINA Services S.p.A., Genova, IT</t>
        </is>
      </c>
      <c r="D13307" t="inlineStr">
        <is>
          <t>19.10.2026</t>
        </is>
      </c>
      <c r="E13307" t="inlineStr">
        <is>
          <t>Germany</t>
        </is>
      </c>
    </row>
    <row r="13308">
      <c r="A13308" t="inlineStr">
        <is>
          <t>Sasol Italy SpA,  Augusta (SR), Italy</t>
        </is>
      </c>
      <c r="B13308" t="inlineStr">
        <is>
          <t>Processing Unit</t>
        </is>
      </c>
      <c r="C13308" t="inlineStr">
        <is>
          <t>RINA Services S.p.A., Genova, IT</t>
        </is>
      </c>
      <c r="D13308" t="inlineStr">
        <is>
          <t>19.10.2026</t>
        </is>
      </c>
      <c r="E13308" t="inlineStr">
        <is>
          <t>Italy</t>
        </is>
      </c>
    </row>
    <row r="13309">
      <c r="A13309" t="inlineStr">
        <is>
          <t>LUKOIL Aviation Bulgaria,  Sofia, Bulgaria</t>
        </is>
      </c>
      <c r="B13309" t="inlineStr">
        <is>
          <t>Trader with Storage, Proof of Compliance Trader</t>
        </is>
      </c>
      <c r="C13309" t="inlineStr">
        <is>
          <t>Bureau Veritas Polska Sp. z o.o., Warsaw, PL</t>
        </is>
      </c>
      <c r="D13309" t="inlineStr">
        <is>
          <t>19.10.2026</t>
        </is>
      </c>
      <c r="E13309" t="inlineStr">
        <is>
          <t>Bulgaria</t>
        </is>
      </c>
    </row>
    <row r="13310">
      <c r="A13310" t="inlineStr">
        <is>
          <t>Eton Petrochemical Co., Ltd.,  TAIPEI, Taiwan</t>
        </is>
      </c>
      <c r="B13310" t="inlineStr">
        <is>
          <t>Trader</t>
        </is>
      </c>
      <c r="C13310" t="inlineStr">
        <is>
          <t>Bureau Veritas Polska Sp. z o.o., Warsaw, PL</t>
        </is>
      </c>
      <c r="D13310" t="inlineStr">
        <is>
          <t>19.10.2026</t>
        </is>
      </c>
      <c r="E13310" t="inlineStr">
        <is>
          <t>Taiwan</t>
        </is>
      </c>
    </row>
    <row r="13311">
      <c r="A13311" t="inlineStr">
        <is>
          <t>MKS Marmara Entegre Kimya Sanayi A.Ş.,  Gemlik, Turkey</t>
        </is>
      </c>
      <c r="B13311" t="inlineStr">
        <is>
          <t>Processing Unit</t>
        </is>
      </c>
      <c r="C13311" t="inlineStr">
        <is>
          <t>Bureau Veritas Polska Sp. z o.o., Warsaw, PL</t>
        </is>
      </c>
      <c r="D13311" t="inlineStr">
        <is>
          <t>19.10.2026</t>
        </is>
      </c>
      <c r="E13311" t="inlineStr">
        <is>
          <t>Turkey</t>
        </is>
      </c>
    </row>
    <row r="13312">
      <c r="A13312" t="inlineStr">
        <is>
          <t>A.T.I. - APPLICAZIONI TECNOLOGIE AD INIEZIONE - VESTICOLOR,  MONTORSO VICENTINO, Italy</t>
        </is>
      </c>
      <c r="B13312" t="inlineStr">
        <is>
          <t>Processing Unit</t>
        </is>
      </c>
      <c r="C13312" t="inlineStr">
        <is>
          <t>ICIM SpA, sesto san giovanni, IT</t>
        </is>
      </c>
      <c r="D13312" t="inlineStr">
        <is>
          <t>19.10.2026</t>
        </is>
      </c>
      <c r="E13312" t="inlineStr">
        <is>
          <t>Italy</t>
        </is>
      </c>
    </row>
    <row r="13313">
      <c r="A13313" t="inlineStr">
        <is>
          <t>KROPYVNYTSKYI OIL EXTRACTION PLANT,  Kropyvnytskyi, Ukraine</t>
        </is>
      </c>
      <c r="B13313" t="inlineStr">
        <is>
          <t>Processing Unit</t>
        </is>
      </c>
      <c r="C13313" t="inlineStr">
        <is>
          <t>Bureau Veritas Polska Sp. z o.o., Warsaw, PL</t>
        </is>
      </c>
      <c r="D13313" t="inlineStr">
        <is>
          <t>19.10.2026</t>
        </is>
      </c>
      <c r="E13313" t="inlineStr">
        <is>
          <t>Ukraine</t>
        </is>
      </c>
    </row>
    <row r="13314">
      <c r="A13314" t="inlineStr">
        <is>
          <t>KROPYVNYTSKYI OIL EXTRACTION PLANT,  Kropyvnytskyi, Ukraine</t>
        </is>
      </c>
      <c r="B13314" t="inlineStr">
        <is>
          <t>Processing Unit</t>
        </is>
      </c>
      <c r="C13314" t="inlineStr">
        <is>
          <t>Bureau Veritas Polska Sp. z o.o., Warsaw, PL</t>
        </is>
      </c>
      <c r="D13314" t="inlineStr">
        <is>
          <t>19.10.2026</t>
        </is>
      </c>
      <c r="E13314" t="inlineStr">
        <is>
          <t>Ukraine</t>
        </is>
      </c>
    </row>
    <row r="13315">
      <c r="A13315" t="inlineStr">
        <is>
          <t>JIANGSU ZHONGHAI CEREAL&amp;OIL CO., LTD,  XILAIQIAO TOWN, YANGZHONG CITY, JAINGSU, China</t>
        </is>
      </c>
      <c r="B13315" t="inlineStr">
        <is>
          <t>Point of Origin</t>
        </is>
      </c>
      <c r="C13315" t="inlineStr">
        <is>
          <t>SCS Global Services, Emeryville, CA, US</t>
        </is>
      </c>
      <c r="D13315" t="inlineStr">
        <is>
          <t>19.10.2026</t>
        </is>
      </c>
      <c r="E13315" t="inlineStr">
        <is>
          <t>China</t>
        </is>
      </c>
    </row>
    <row r="13316">
      <c r="A13316" t="inlineStr">
        <is>
          <t>Panjin Penyao Bioenergy Co., Ltd.,  Panjin City, Liaoning Province, China</t>
        </is>
      </c>
      <c r="B13316" t="inlineStr">
        <is>
          <t>Processing Unit, Trader with Storage</t>
        </is>
      </c>
      <c r="C13316" t="inlineStr">
        <is>
          <t>SCS Global Services, Emeryville, CA, US</t>
        </is>
      </c>
      <c r="D13316" t="inlineStr">
        <is>
          <t>19.10.2026</t>
        </is>
      </c>
      <c r="E13316" t="inlineStr">
        <is>
          <t>China</t>
        </is>
      </c>
    </row>
    <row r="13317">
      <c r="A13317" t="inlineStr">
        <is>
          <t>S/A Usina Coruripe Açúcar e Álcool - Filial Limeira do Oeste,  Limeira do Oeste, Brazil</t>
        </is>
      </c>
      <c r="B13317" t="inlineStr">
        <is>
          <t>Farm / Plantation</t>
        </is>
      </c>
      <c r="C13317" t="inlineStr">
        <is>
          <t>Control Union Certifications Germany GmbH, Berlin, DE</t>
        </is>
      </c>
      <c r="D13317" t="inlineStr">
        <is>
          <t>19.10.2026</t>
        </is>
      </c>
      <c r="E13317" t="inlineStr">
        <is>
          <t>Brazil</t>
        </is>
      </c>
    </row>
    <row r="13318">
      <c r="A13318" t="inlineStr">
        <is>
          <t>Ecovery Recycling Center SLU,  Peligros, Poligono Industrial Zárate, Spain</t>
        </is>
      </c>
      <c r="B13318" t="inlineStr">
        <is>
          <t>Collecting Point, Trader with Storage</t>
        </is>
      </c>
      <c r="C13318" t="inlineStr">
        <is>
          <t>RINA Services S.p.A., Genova, IT</t>
        </is>
      </c>
      <c r="D13318" t="inlineStr">
        <is>
          <t>19.10.2026</t>
        </is>
      </c>
      <c r="E13318" t="inlineStr">
        <is>
          <t>Spain</t>
        </is>
      </c>
    </row>
    <row r="13319">
      <c r="A13319" t="inlineStr">
        <is>
          <t>EASTORIA DMCC,  Dubai, United Arab Emirates</t>
        </is>
      </c>
      <c r="B13319" t="inlineStr">
        <is>
          <t>Trader</t>
        </is>
      </c>
      <c r="C13319" t="inlineStr">
        <is>
          <t>RINA Services S.p.A., Genova, IT</t>
        </is>
      </c>
      <c r="D13319" t="inlineStr">
        <is>
          <t>19.10.2026</t>
        </is>
      </c>
      <c r="E13319" t="inlineStr">
        <is>
          <t>United Arab Emirates</t>
        </is>
      </c>
    </row>
    <row r="13320">
      <c r="A13320" t="inlineStr">
        <is>
          <t>Takigawa Corporation Japan,  Funabashi City, Chiba, Japan</t>
        </is>
      </c>
      <c r="B13320" t="inlineStr">
        <is>
          <t>Trader, Processing Unit</t>
        </is>
      </c>
      <c r="C13320" t="inlineStr">
        <is>
          <t>SGS Germany GmbH, Emstek, DE</t>
        </is>
      </c>
      <c r="D13320" t="inlineStr">
        <is>
          <t>19.10.2026</t>
        </is>
      </c>
      <c r="E13320" t="inlineStr">
        <is>
          <t>Japan</t>
        </is>
      </c>
    </row>
    <row r="13321">
      <c r="A13321" t="inlineStr">
        <is>
          <t>Guangzhou Covestro Polymers Company Limited,  Yonghe Economic area, GETDD, Guangzhou, China</t>
        </is>
      </c>
      <c r="B13321" t="inlineStr">
        <is>
          <t>Processing Unit</t>
        </is>
      </c>
      <c r="C13321" t="inlineStr">
        <is>
          <t>DIN CERTCO GmbH, Berlin, DE</t>
        </is>
      </c>
      <c r="D13321" t="inlineStr">
        <is>
          <t>19.10.2026</t>
        </is>
      </c>
      <c r="E13321" t="inlineStr">
        <is>
          <t>China</t>
        </is>
      </c>
    </row>
    <row r="13322">
      <c r="A13322" t="inlineStr">
        <is>
          <t>Bioils Latam,  CALLAO, Peru</t>
        </is>
      </c>
      <c r="B13322" t="inlineStr">
        <is>
          <t>Collecting Point</t>
        </is>
      </c>
      <c r="C13322" t="inlineStr">
        <is>
          <t>SGS Germany GmbH, Emstek, DE</t>
        </is>
      </c>
      <c r="D13322" t="inlineStr">
        <is>
          <t>19.10.2026</t>
        </is>
      </c>
      <c r="E13322" t="inlineStr">
        <is>
          <t>Peru</t>
        </is>
      </c>
    </row>
    <row r="13323">
      <c r="A13323" t="inlineStr">
        <is>
          <t>COFCO EASTOCEAN OILS &amp; GRAINS INDUSTRIES (ZHANGJIAGANG) CO.. LTD,  ZHANGJIAGANG CITY, JAINGSU, China</t>
        </is>
      </c>
      <c r="B13323" t="inlineStr">
        <is>
          <t>Point of Origin</t>
        </is>
      </c>
      <c r="C13323" t="inlineStr">
        <is>
          <t>SCS Global Services, Emeryville, CA, US</t>
        </is>
      </c>
      <c r="D13323" t="inlineStr">
        <is>
          <t>19.10.2026</t>
        </is>
      </c>
      <c r="E13323" t="inlineStr">
        <is>
          <t>China</t>
        </is>
      </c>
    </row>
    <row r="13324">
      <c r="A13324" t="inlineStr">
        <is>
          <t>Gasum Clean Gas Solutions AB,  Nynäshamn, Sweden</t>
        </is>
      </c>
      <c r="B13324" t="inlineStr">
        <is>
          <t>Trader with Storage, Warehouse</t>
        </is>
      </c>
      <c r="C13324" t="inlineStr">
        <is>
          <t>DEKRA Certification B.V., Arnhem, NL</t>
        </is>
      </c>
      <c r="D13324" t="inlineStr">
        <is>
          <t>19.10.2026</t>
        </is>
      </c>
      <c r="E13324" t="inlineStr">
        <is>
          <t>Sweden</t>
        </is>
      </c>
    </row>
    <row r="13325">
      <c r="A13325" t="inlineStr">
        <is>
          <t>Green Steps GmbH,  Amsterdam, Netherlands</t>
        </is>
      </c>
      <c r="B13325" t="inlineStr">
        <is>
          <t>Trader with Storage</t>
        </is>
      </c>
      <c r="C13325" t="inlineStr">
        <is>
          <t>DQS CFS GmbH - Deutsche Gesellschaft für Nachhaltigkeit, Frankfurt am Main, DE</t>
        </is>
      </c>
      <c r="D13325" t="inlineStr">
        <is>
          <t>19.10.2026</t>
        </is>
      </c>
      <c r="E13325" t="inlineStr">
        <is>
          <t>Netherlands</t>
        </is>
      </c>
    </row>
    <row r="13326">
      <c r="A13326" t="inlineStr">
        <is>
          <t>MELONWAY INTERNATIONAL PTE. LTD.,  Shijiazhuang, China</t>
        </is>
      </c>
      <c r="B13326" t="inlineStr">
        <is>
          <t>Trader</t>
        </is>
      </c>
      <c r="C13326" t="inlineStr">
        <is>
          <t>RINA Services S.p.A., Genova, IT</t>
        </is>
      </c>
      <c r="D13326" t="inlineStr">
        <is>
          <t>19.10.2026</t>
        </is>
      </c>
      <c r="E13326" t="inlineStr">
        <is>
          <t>China</t>
        </is>
      </c>
    </row>
    <row r="13327">
      <c r="A13327" t="inlineStr">
        <is>
          <t>AF INVERSIONES COMERCIALES,  MENGIBAR, Spain</t>
        </is>
      </c>
      <c r="B13327" t="inlineStr">
        <is>
          <t>Collecting Point, Trader with Storage</t>
        </is>
      </c>
      <c r="C13327" t="inlineStr">
        <is>
          <t>RINA Services S.p.A., Genova, IT</t>
        </is>
      </c>
      <c r="D13327" t="inlineStr">
        <is>
          <t>19.10.2026</t>
        </is>
      </c>
      <c r="E13327" t="inlineStr">
        <is>
          <t>Spain</t>
        </is>
      </c>
    </row>
    <row r="13328">
      <c r="A13328" t="inlineStr">
        <is>
          <t>Chongqing Yubang New Energy Technology Co.,Ltd.,  Chongqing, China</t>
        </is>
      </c>
      <c r="B13328" t="inlineStr">
        <is>
          <t>Collecting Point, Trader with Storage, Processing Unit, Point of Origin</t>
        </is>
      </c>
      <c r="C13328" t="inlineStr">
        <is>
          <t>RINA Services S.p.A., Genova, IT</t>
        </is>
      </c>
      <c r="D13328" t="inlineStr">
        <is>
          <t>19.10.2026</t>
        </is>
      </c>
      <c r="E13328" t="inlineStr">
        <is>
          <t>China</t>
        </is>
      </c>
    </row>
    <row r="13329">
      <c r="A13329" t="inlineStr">
        <is>
          <t>C &amp; S Zhansheng Optical MFT Co., Ltd.,  Qingtian County Zhejiang Province, China</t>
        </is>
      </c>
      <c r="B13329" t="inlineStr">
        <is>
          <t>Final Product Refinement</t>
        </is>
      </c>
      <c r="C13329" t="inlineStr">
        <is>
          <t>PT Intertek Utama Services, Jakarta, ID</t>
        </is>
      </c>
      <c r="D13329" t="inlineStr">
        <is>
          <t>19.10.2026</t>
        </is>
      </c>
      <c r="E13329" t="inlineStr">
        <is>
          <t>China</t>
        </is>
      </c>
    </row>
    <row r="13330">
      <c r="A13330" t="inlineStr">
        <is>
          <t>Wenzhou Changshi Optical Co., Ltd.,  Wenzhou City, Zhejiang, China</t>
        </is>
      </c>
      <c r="B13330" t="inlineStr">
        <is>
          <t>Trader</t>
        </is>
      </c>
      <c r="C13330" t="inlineStr">
        <is>
          <t>PT Intertek Utama Services, Jakarta, ID</t>
        </is>
      </c>
      <c r="D13330" t="inlineStr">
        <is>
          <t>19.10.2026</t>
        </is>
      </c>
      <c r="E13330" t="inlineStr">
        <is>
          <t>China</t>
        </is>
      </c>
    </row>
    <row r="13331">
      <c r="A13331" t="inlineStr">
        <is>
          <t>SSEW TECHNOLOGY SDN BHD,  LAHAD DATU, Malaysia</t>
        </is>
      </c>
      <c r="B13331" t="inlineStr">
        <is>
          <t>Trader with Storage</t>
        </is>
      </c>
      <c r="C13331" t="inlineStr">
        <is>
          <t>Global Gateway Certifications Sdn Bhd, Ampang, MY</t>
        </is>
      </c>
      <c r="D13331" t="inlineStr">
        <is>
          <t>19.10.2026</t>
        </is>
      </c>
      <c r="E13331" t="inlineStr">
        <is>
          <t>Malaysia</t>
        </is>
      </c>
    </row>
    <row r="13332">
      <c r="A13332" t="inlineStr">
        <is>
          <t>PT Binasawit Abadipratama,  Kabupaten Seruyan, Kalimantan Tengah, Indonesia</t>
        </is>
      </c>
      <c r="B13332" t="inlineStr">
        <is>
          <t>First Gathering Point, Processing Unit</t>
        </is>
      </c>
      <c r="C13332" t="inlineStr">
        <is>
          <t>PT Intertek Utama Services, Jakarta, ID</t>
        </is>
      </c>
      <c r="D13332" t="inlineStr">
        <is>
          <t>19.10.2026</t>
        </is>
      </c>
      <c r="E13332" t="inlineStr">
        <is>
          <t>Indonesia</t>
        </is>
      </c>
    </row>
    <row r="13333">
      <c r="A13333" t="inlineStr">
        <is>
          <t>IMCD France SAS,  SAINT-DENIS LA PLAINE CEDEX, France</t>
        </is>
      </c>
      <c r="B13333" t="inlineStr">
        <is>
          <t>Trader with Storage</t>
        </is>
      </c>
      <c r="C13333" t="inlineStr">
        <is>
          <t>TÜV NORD CERT GmbH, Essen, DE</t>
        </is>
      </c>
      <c r="D13333" t="inlineStr">
        <is>
          <t>19.10.2026</t>
        </is>
      </c>
      <c r="E13333" t="inlineStr">
        <is>
          <t>France</t>
        </is>
      </c>
    </row>
    <row r="13334">
      <c r="A13334" t="inlineStr">
        <is>
          <t>Bio Oil sro &amp; co ks,  Trnava, Slovakia</t>
        </is>
      </c>
      <c r="B13334" t="inlineStr">
        <is>
          <t>Trader</t>
        </is>
      </c>
      <c r="C13334" t="inlineStr">
        <is>
          <t>agroVet GmbH, Enzersfeld, AT</t>
        </is>
      </c>
      <c r="D13334" t="inlineStr">
        <is>
          <t>19.10.2026</t>
        </is>
      </c>
      <c r="E13334" t="inlineStr">
        <is>
          <t>Slovakia</t>
        </is>
      </c>
    </row>
    <row r="13335">
      <c r="A13335" t="inlineStr">
        <is>
          <t>BUNGE ARGENTINA SA,  San Lorenzo, Argentina</t>
        </is>
      </c>
      <c r="B13335" t="inlineStr">
        <is>
          <t>Point of Origin, Trader with Storage, Processing Unit</t>
        </is>
      </c>
      <c r="C13335" t="inlineStr">
        <is>
          <t>Control Union Certifications Germany GmbH, Berlin, DE</t>
        </is>
      </c>
      <c r="D13335" t="inlineStr">
        <is>
          <t>19.10.2026</t>
        </is>
      </c>
      <c r="E13335" t="inlineStr">
        <is>
          <t>Argentina</t>
        </is>
      </c>
    </row>
    <row r="13336">
      <c r="A13336" t="inlineStr">
        <is>
          <t>CHINA SHIPPING &amp; SINOPEC SHENZHEN SUPPLIERS CO., LTD.,  Shenzhen, Guangdong, China</t>
        </is>
      </c>
      <c r="B13336" t="inlineStr">
        <is>
          <t>Trader with Storage</t>
        </is>
      </c>
      <c r="C13336" t="inlineStr">
        <is>
          <t>SCS Global Services, Emeryville, CA, US</t>
        </is>
      </c>
      <c r="D13336" t="inlineStr">
        <is>
          <t>19.10.2026</t>
        </is>
      </c>
      <c r="E13336" t="inlineStr">
        <is>
          <t>China</t>
        </is>
      </c>
    </row>
    <row r="13337">
      <c r="A13337" t="inlineStr">
        <is>
          <t>ANUGERAH PUTRA LANGKAT,  LANGKAT, Indonesia</t>
        </is>
      </c>
      <c r="B13337" t="inlineStr">
        <is>
          <t>Point of Origin</t>
        </is>
      </c>
      <c r="C13337" t="inlineStr">
        <is>
          <t>PT. Qualitas Sertifikasi Indonesia, Jakarta, ID</t>
        </is>
      </c>
      <c r="D13337" t="inlineStr">
        <is>
          <t>19.10.2026</t>
        </is>
      </c>
      <c r="E13337" t="inlineStr">
        <is>
          <t>Indonesia</t>
        </is>
      </c>
    </row>
    <row r="13338">
      <c r="A13338" t="inlineStr">
        <is>
          <t>CPM Internacional, S.A.,  San Martin de la Vega, Spain</t>
        </is>
      </c>
      <c r="B13338" t="inlineStr">
        <is>
          <t>Processing Unit</t>
        </is>
      </c>
      <c r="C13338" t="inlineStr">
        <is>
          <t>SGS Germany GmbH, Emstek, DE</t>
        </is>
      </c>
      <c r="D13338" t="inlineStr">
        <is>
          <t>19.10.2026</t>
        </is>
      </c>
      <c r="E13338" t="inlineStr">
        <is>
          <t>Spain</t>
        </is>
      </c>
    </row>
    <row r="13339">
      <c r="A13339" t="inlineStr">
        <is>
          <t>Ambar Trading GmbH,  Kyiv, Ukraine</t>
        </is>
      </c>
      <c r="B13339" t="inlineStr">
        <is>
          <t>First Gathering Point</t>
        </is>
      </c>
      <c r="C13339" t="inlineStr">
        <is>
          <t>Aciter Genelab LLC, Odessa, UA</t>
        </is>
      </c>
      <c r="D13339" t="inlineStr">
        <is>
          <t>19.10.2026</t>
        </is>
      </c>
      <c r="E13339" t="inlineStr">
        <is>
          <t>Ukraine</t>
        </is>
      </c>
    </row>
    <row r="13340">
      <c r="A13340" t="inlineStr">
        <is>
          <t>KD B&amp;T CO.,LTD.,  Ulju-gun, South Korea</t>
        </is>
      </c>
      <c r="B13340" t="inlineStr">
        <is>
          <t>Trader with Storage, Processing Unit, Point of Origin</t>
        </is>
      </c>
      <c r="C13340" t="inlineStr">
        <is>
          <t>Korean Foundation for Quality, Songpa-gu, Seoul, KR</t>
        </is>
      </c>
      <c r="D13340" t="inlineStr">
        <is>
          <t>19.10.2026</t>
        </is>
      </c>
      <c r="E13340" t="inlineStr">
        <is>
          <t>South Korea</t>
        </is>
      </c>
    </row>
    <row r="13341">
      <c r="A13341" t="inlineStr">
        <is>
          <t>Agroproteinka d.d.,  Sesvetski Kraljevec, Sesvete, Croatia</t>
        </is>
      </c>
      <c r="B13341" t="inlineStr">
        <is>
          <t>Collecting Point, Point of Origin</t>
        </is>
      </c>
      <c r="C13341" t="inlineStr">
        <is>
          <t>DNV Business Assurance Sweden AB, Solna, SE</t>
        </is>
      </c>
      <c r="D13341" t="inlineStr">
        <is>
          <t>19.10.2026</t>
        </is>
      </c>
      <c r="E13341" t="inlineStr">
        <is>
          <t>Croatia</t>
        </is>
      </c>
    </row>
    <row r="13342">
      <c r="A13342" t="inlineStr">
        <is>
          <t>SK Geo Centric International Trading (shanghai) Co., Ltd.,  Shanghai，Pilot Free Trade Zone, China</t>
        </is>
      </c>
      <c r="B13342" t="inlineStr">
        <is>
          <t>Trader with Storage</t>
        </is>
      </c>
      <c r="C13342" t="inlineStr">
        <is>
          <t>Control Union Certifications Germany GmbH, Berlin, DE</t>
        </is>
      </c>
      <c r="D13342" t="inlineStr">
        <is>
          <t>19.10.2026</t>
        </is>
      </c>
      <c r="E13342" t="inlineStr">
        <is>
          <t>China</t>
        </is>
      </c>
    </row>
    <row r="13343">
      <c r="A13343" t="inlineStr">
        <is>
          <t>SAS HUB-Ardoix,  Ardoix, France</t>
        </is>
      </c>
      <c r="B13343" t="inlineStr">
        <is>
          <t>Processing Unit, Trader with Storage</t>
        </is>
      </c>
      <c r="C13343" t="inlineStr">
        <is>
          <t>Control Union Certifications Germany GmbH, Berlin, DE</t>
        </is>
      </c>
      <c r="D13343" t="inlineStr">
        <is>
          <t>19.10.2026</t>
        </is>
      </c>
      <c r="E13343" t="inlineStr">
        <is>
          <t>France</t>
        </is>
      </c>
    </row>
    <row r="13344">
      <c r="A13344" t="inlineStr">
        <is>
          <t>Tanklager Wilhelmsburg GmbH,  Hamburg, Germany</t>
        </is>
      </c>
      <c r="B13344" t="inlineStr">
        <is>
          <t>Warehouse</t>
        </is>
      </c>
      <c r="C13344" t="inlineStr">
        <is>
          <t>Control Union Poland Sp. z o.o., Zielona Gora, PL</t>
        </is>
      </c>
      <c r="D13344" t="inlineStr">
        <is>
          <t>19.10.2026</t>
        </is>
      </c>
      <c r="E13344" t="inlineStr">
        <is>
          <t>Germany</t>
        </is>
      </c>
    </row>
    <row r="13345">
      <c r="A13345" t="inlineStr">
        <is>
          <t>ARJUNA DHARMA GLOBAL,  kota bharu, Malaysia</t>
        </is>
      </c>
      <c r="B13345" t="inlineStr">
        <is>
          <t>Collecting Point, Trader, Trader with Storage</t>
        </is>
      </c>
      <c r="C13345" t="inlineStr">
        <is>
          <t>PT. CBQA GLOBAL INDONESIA, JAKARTA SELATAN, ID</t>
        </is>
      </c>
      <c r="D13345" t="inlineStr">
        <is>
          <t>19.10.2026</t>
        </is>
      </c>
      <c r="E13345" t="inlineStr">
        <is>
          <t>Malaysia</t>
        </is>
      </c>
    </row>
    <row r="13346">
      <c r="A13346" t="inlineStr">
        <is>
          <t>Ecatar Canarias,  Santa Cruz de Tenerife, Spain</t>
        </is>
      </c>
      <c r="B13346" t="inlineStr">
        <is>
          <t>Collecting Point, Trader with Storage</t>
        </is>
      </c>
      <c r="C13346" t="inlineStr">
        <is>
          <t>Control Union Poland Sp. z o.o., Zielona Gora, PL</t>
        </is>
      </c>
      <c r="D13346" t="inlineStr">
        <is>
          <t>19.10.2026</t>
        </is>
      </c>
      <c r="E13346" t="inlineStr">
        <is>
          <t>Spain</t>
        </is>
      </c>
    </row>
    <row r="13347">
      <c r="A13347" t="inlineStr">
        <is>
          <t>DS MARINE SERVICES SDN.BHD.,  ISKANDAR PUTERI, Malaysia</t>
        </is>
      </c>
      <c r="B13347" t="inlineStr">
        <is>
          <t>Collecting Point, Trader, Trader with Storage</t>
        </is>
      </c>
      <c r="C13347" t="inlineStr">
        <is>
          <t>PT. CBQA GLOBAL INDONESIA, JAKARTA SELATAN, ID</t>
        </is>
      </c>
      <c r="D13347" t="inlineStr">
        <is>
          <t>19.10.2026</t>
        </is>
      </c>
      <c r="E13347" t="inlineStr">
        <is>
          <t>Malaysia</t>
        </is>
      </c>
    </row>
    <row r="13348">
      <c r="A13348" t="inlineStr">
        <is>
          <t>GREENNEW CORPORATION PTE. LTD.,  SINGAPORE (048616), Singapore</t>
        </is>
      </c>
      <c r="B13348" t="inlineStr">
        <is>
          <t>Trader</t>
        </is>
      </c>
      <c r="C13348" t="inlineStr">
        <is>
          <t>BM Certification, Riga, LV</t>
        </is>
      </c>
      <c r="D13348" t="inlineStr">
        <is>
          <t>19.10.2026</t>
        </is>
      </c>
      <c r="E13348" t="inlineStr">
        <is>
          <t>Singapore</t>
        </is>
      </c>
    </row>
    <row r="13349">
      <c r="A13349" t="inlineStr">
        <is>
          <t>A.T.K. LLC,  Starii Liubar, Ukraine</t>
        </is>
      </c>
      <c r="B13349" t="inlineStr">
        <is>
          <t>Farm / Plantation, First Gathering Point</t>
        </is>
      </c>
      <c r="C13349" t="inlineStr">
        <is>
          <t>Aciter Genelab LLC, Odessa, UA</t>
        </is>
      </c>
      <c r="D13349" t="inlineStr">
        <is>
          <t>19.10.2026</t>
        </is>
      </c>
      <c r="E13349" t="inlineStr">
        <is>
          <t>Ukraine</t>
        </is>
      </c>
    </row>
    <row r="13350">
      <c r="A13350" t="inlineStr">
        <is>
          <t>Bio Oil Ukraine LLC,  Kyiv, Ukraine</t>
        </is>
      </c>
      <c r="B13350" t="inlineStr">
        <is>
          <t>Collecting Point</t>
        </is>
      </c>
      <c r="C13350" t="inlineStr">
        <is>
          <t>Organic Standard Ltd, Kyiv, UA</t>
        </is>
      </c>
      <c r="D13350" t="inlineStr">
        <is>
          <t>19.10.2026</t>
        </is>
      </c>
      <c r="E13350" t="inlineStr">
        <is>
          <t>Ukraine</t>
        </is>
      </c>
    </row>
    <row r="13351">
      <c r="A13351" t="inlineStr">
        <is>
          <t>Greiner Packaging GmbH,  Kremsmünster, Austria</t>
        </is>
      </c>
      <c r="B13351" t="inlineStr">
        <is>
          <t>Processing Unit, Final Product Refinement</t>
        </is>
      </c>
      <c r="C13351" t="inlineStr">
        <is>
          <t>SGS Germany GmbH, Emstek, DE</t>
        </is>
      </c>
      <c r="D13351" t="inlineStr">
        <is>
          <t>19.10.2026</t>
        </is>
      </c>
      <c r="E13351" t="inlineStr">
        <is>
          <t>Austria</t>
        </is>
      </c>
    </row>
    <row r="13352">
      <c r="A13352" t="inlineStr">
        <is>
          <t>MONJASA C.I S.A.S,  Panama City, Panama</t>
        </is>
      </c>
      <c r="B13352" t="inlineStr">
        <is>
          <t>Trader</t>
        </is>
      </c>
      <c r="C13352" t="inlineStr">
        <is>
          <t>Certificadora Gallega del Noroeste SL, Vilagarcia de Arousa-Pontevedra, ES</t>
        </is>
      </c>
      <c r="D13352" t="inlineStr">
        <is>
          <t>19.10.2026</t>
        </is>
      </c>
      <c r="E13352" t="inlineStr">
        <is>
          <t>Panama</t>
        </is>
      </c>
    </row>
    <row r="13353">
      <c r="A13353" t="inlineStr">
        <is>
          <t>NGUYEN THANH HUONG JOINT STOCK COMPANY,  Binh Phuoc Province, Viet Nam, Vietnam</t>
        </is>
      </c>
      <c r="B13353" t="inlineStr">
        <is>
          <t>Processing Unit, Collecting Point</t>
        </is>
      </c>
      <c r="C13353" t="inlineStr">
        <is>
          <t>PT. CBQA GLOBAL INDONESIA, JAKARTA SELATAN, ID</t>
        </is>
      </c>
      <c r="D13353" t="inlineStr">
        <is>
          <t>19.10.2026</t>
        </is>
      </c>
      <c r="E13353" t="inlineStr">
        <is>
          <t>Vietnam</t>
        </is>
      </c>
    </row>
    <row r="13354">
      <c r="A13354" t="inlineStr">
        <is>
          <t>Grandblue Lvdian Electric Solid Waste Treatment (Foshan) Co., Ltd,  Foshan，Guangdong, China</t>
        </is>
      </c>
      <c r="B13354" t="inlineStr">
        <is>
          <t>Processing Unit, Collecting Point</t>
        </is>
      </c>
      <c r="C13354" t="inlineStr">
        <is>
          <t>SCS Global Services, Emeryville, CA, US</t>
        </is>
      </c>
      <c r="D13354" t="inlineStr">
        <is>
          <t>18.10.2026</t>
        </is>
      </c>
      <c r="E13354" t="inlineStr">
        <is>
          <t>China</t>
        </is>
      </c>
    </row>
    <row r="13355">
      <c r="A13355" t="inlineStr">
        <is>
          <t>Zavod Republike Slovenije Za Blagovne Rezerve,  Ljubljana, Slovenia</t>
        </is>
      </c>
      <c r="B13355" t="inlineStr">
        <is>
          <t>Trader with Storage, Logistics Center</t>
        </is>
      </c>
      <c r="C13355" t="inlineStr">
        <is>
          <t>Bureau Veritas Polska Sp. z o.o., Warsaw, PL</t>
        </is>
      </c>
      <c r="D13355" t="inlineStr">
        <is>
          <t>18.10.2026</t>
        </is>
      </c>
      <c r="E13355" t="inlineStr">
        <is>
          <t>Slovenia</t>
        </is>
      </c>
    </row>
    <row r="13356">
      <c r="A13356" t="inlineStr">
        <is>
          <t>Centre State Exports Pty Ltd,  Unley, Australia</t>
        </is>
      </c>
      <c r="B13356" t="inlineStr">
        <is>
          <t>Trader with Storage</t>
        </is>
      </c>
      <c r="C13356" t="inlineStr">
        <is>
          <t>Control Union Certifications Germany GmbH, Berlin, DE</t>
        </is>
      </c>
      <c r="D13356" t="inlineStr">
        <is>
          <t>18.10.2026</t>
        </is>
      </c>
      <c r="E13356" t="inlineStr">
        <is>
          <t>Australia</t>
        </is>
      </c>
    </row>
    <row r="13357">
      <c r="A13357" t="inlineStr">
        <is>
          <t>Chemagra s.r.o.,  Kojetín, Czech Republic</t>
        </is>
      </c>
      <c r="B13357" t="inlineStr">
        <is>
          <t>First Gathering Point, Trader with Storage</t>
        </is>
      </c>
      <c r="C13357" t="inlineStr">
        <is>
          <t>United Registrar of Systems Polska Sp. z o.o., Wrocław, PL</t>
        </is>
      </c>
      <c r="D13357" t="inlineStr">
        <is>
          <t>18.10.2026</t>
        </is>
      </c>
      <c r="E13357" t="inlineStr">
        <is>
          <t>Czech Republic</t>
        </is>
      </c>
    </row>
    <row r="13358">
      <c r="A13358" t="inlineStr">
        <is>
          <t>INTA, s.r.o,  Trencin, Slovakia</t>
        </is>
      </c>
      <c r="B13358" t="inlineStr">
        <is>
          <t>Collecting Point</t>
        </is>
      </c>
      <c r="C13358" t="inlineStr">
        <is>
          <t>United Registrar of Systems Polska Sp. z o.o., Wrocław, PL</t>
        </is>
      </c>
      <c r="D13358" t="inlineStr">
        <is>
          <t>18.10.2026</t>
        </is>
      </c>
      <c r="E13358" t="inlineStr">
        <is>
          <t>Slovakia</t>
        </is>
      </c>
    </row>
    <row r="13359">
      <c r="A13359" t="inlineStr">
        <is>
          <t>AGRIPEĽ, s.r.o.,  Balog nad Ipľom, Slovakia</t>
        </is>
      </c>
      <c r="B13359" t="inlineStr">
        <is>
          <t>Trader</t>
        </is>
      </c>
      <c r="C13359" t="inlineStr">
        <is>
          <t>United Registrar of Systems Polska Sp. z o.o., Wrocław, PL</t>
        </is>
      </c>
      <c r="D13359" t="inlineStr">
        <is>
          <t>18.10.2026</t>
        </is>
      </c>
      <c r="E13359" t="inlineStr">
        <is>
          <t>Slovakia</t>
        </is>
      </c>
    </row>
    <row r="13360">
      <c r="A13360" t="inlineStr">
        <is>
          <t>CPO Slovakia s.r.o.,  Salgovce, Slovakia</t>
        </is>
      </c>
      <c r="B13360" t="inlineStr">
        <is>
          <t>Trader with Storage</t>
        </is>
      </c>
      <c r="C13360" t="inlineStr">
        <is>
          <t>United Registrar of Systems Polska Sp. z o.o., Wrocław, PL</t>
        </is>
      </c>
      <c r="D13360" t="inlineStr">
        <is>
          <t>18.10.2026</t>
        </is>
      </c>
      <c r="E13360" t="inlineStr">
        <is>
          <t>Slovakia</t>
        </is>
      </c>
    </row>
    <row r="13361">
      <c r="A13361" t="inlineStr">
        <is>
          <t>Citraraya Energi Baru,  DKI Jakarta, Indonesia</t>
        </is>
      </c>
      <c r="B13361" t="inlineStr">
        <is>
          <t>Trader with Storage</t>
        </is>
      </c>
      <c r="C13361" t="inlineStr">
        <is>
          <t>PT SBC Asia Sertifikasi, Kebumen, ID</t>
        </is>
      </c>
      <c r="D13361" t="inlineStr">
        <is>
          <t>18.10.2026</t>
        </is>
      </c>
      <c r="E13361" t="inlineStr">
        <is>
          <t>Indonesia</t>
        </is>
      </c>
    </row>
    <row r="13362">
      <c r="A13362" t="inlineStr">
        <is>
          <t>DYKA SAS,  Sainte-Austreberthe, France</t>
        </is>
      </c>
      <c r="B13362" t="inlineStr">
        <is>
          <t>Trader with Storage, Processing Unit</t>
        </is>
      </c>
      <c r="C13362" t="inlineStr">
        <is>
          <t>DEKRA Certification B.V., Arnhem, NL</t>
        </is>
      </c>
      <c r="D13362" t="inlineStr">
        <is>
          <t>18.10.2026</t>
        </is>
      </c>
      <c r="E13362" t="inlineStr">
        <is>
          <t>France</t>
        </is>
      </c>
    </row>
    <row r="13363">
      <c r="A13363" t="inlineStr">
        <is>
          <t>Swift &amp; Company Trade Group,  Spring Hill, Australia</t>
        </is>
      </c>
      <c r="B13363" t="inlineStr">
        <is>
          <t>Trader with Storage, Collecting Point</t>
        </is>
      </c>
      <c r="C13363" t="inlineStr">
        <is>
          <t>Control Union Certifications Germany GmbH, Berlin, DE</t>
        </is>
      </c>
      <c r="D13363" t="inlineStr">
        <is>
          <t>18.10.2026</t>
        </is>
      </c>
      <c r="E13363" t="inlineStr">
        <is>
          <t>Australia</t>
        </is>
      </c>
    </row>
    <row r="13364">
      <c r="A13364" t="inlineStr">
        <is>
          <t>Swift &amp; Company Trade Group,  Spring Hill, Australia</t>
        </is>
      </c>
      <c r="B13364" t="inlineStr">
        <is>
          <t>Trader with Storage, Collecting Point</t>
        </is>
      </c>
      <c r="C13364" t="inlineStr">
        <is>
          <t>Control Union Certifications Germany GmbH, Berlin, DE</t>
        </is>
      </c>
      <c r="D13364" t="inlineStr">
        <is>
          <t>18.10.2026</t>
        </is>
      </c>
      <c r="E13364" t="inlineStr">
        <is>
          <t>Australia</t>
        </is>
      </c>
    </row>
    <row r="13365">
      <c r="A13365" t="inlineStr">
        <is>
          <t>AB Tetra Pak,  Lund, Sweden</t>
        </is>
      </c>
      <c r="B13365" t="inlineStr">
        <is>
          <t>Trader</t>
        </is>
      </c>
      <c r="C13365" t="inlineStr">
        <is>
          <t>SCS Global Services, Emeryville, CA, US</t>
        </is>
      </c>
      <c r="D13365" t="inlineStr">
        <is>
          <t>18.10.2026</t>
        </is>
      </c>
      <c r="E13365" t="inlineStr">
        <is>
          <t>Sweden</t>
        </is>
      </c>
    </row>
    <row r="13366">
      <c r="A13366" t="inlineStr">
        <is>
          <t>PT. Persada Karya Sawit,  Desa Sumber Sari, Kec. Kota Bangun Darat, Kab. Kutai Kartanegara, Indonesia</t>
        </is>
      </c>
      <c r="B13366" t="inlineStr">
        <is>
          <t>Point of Origin</t>
        </is>
      </c>
      <c r="C13366" t="inlineStr">
        <is>
          <t>PT. Qualitas Sertifikasi Indonesia, Jakarta, ID</t>
        </is>
      </c>
      <c r="D13366" t="inlineStr">
        <is>
          <t>18.10.2026</t>
        </is>
      </c>
      <c r="E13366" t="inlineStr">
        <is>
          <t>Indonesia</t>
        </is>
      </c>
    </row>
    <row r="13367">
      <c r="A13367" t="inlineStr">
        <is>
          <t>Huhtamaki Flexible Packaging Middle East LLC,  Ras Al Khaimah, United Arab Emirates</t>
        </is>
      </c>
      <c r="B13367" t="inlineStr">
        <is>
          <t>Processing Unit, Final Product Refinement</t>
        </is>
      </c>
      <c r="C13367" t="inlineStr">
        <is>
          <t>Cotecna India Inspection Pvt Ltd, Kolkata, IN</t>
        </is>
      </c>
      <c r="D13367" t="inlineStr">
        <is>
          <t>18.10.2026</t>
        </is>
      </c>
      <c r="E13367" t="inlineStr">
        <is>
          <t>United Arab Emirates</t>
        </is>
      </c>
    </row>
    <row r="13368">
      <c r="A13368" t="inlineStr">
        <is>
          <t>Auscol Pty Ltd,  Laverton North, Australia</t>
        </is>
      </c>
      <c r="B13368" t="inlineStr">
        <is>
          <t>Collecting Point</t>
        </is>
      </c>
      <c r="C13368" t="inlineStr">
        <is>
          <t>Control Union Certifications Germany GmbH, Berlin, DE</t>
        </is>
      </c>
      <c r="D13368" t="inlineStr">
        <is>
          <t>18.10.2026</t>
        </is>
      </c>
      <c r="E13368" t="inlineStr">
        <is>
          <t>Australia</t>
        </is>
      </c>
    </row>
    <row r="13369">
      <c r="A13369" t="inlineStr">
        <is>
          <t>Auscol Pty Ltd,  Laverton North, Australia</t>
        </is>
      </c>
      <c r="B13369" t="inlineStr">
        <is>
          <t>Collecting Point</t>
        </is>
      </c>
      <c r="C13369" t="inlineStr">
        <is>
          <t>Control Union Certifications Germany GmbH, Berlin, DE</t>
        </is>
      </c>
      <c r="D13369" t="inlineStr">
        <is>
          <t>18.10.2026</t>
        </is>
      </c>
      <c r="E13369" t="inlineStr">
        <is>
          <t>Australia</t>
        </is>
      </c>
    </row>
    <row r="13370">
      <c r="A13370" t="inlineStr">
        <is>
          <t>ASKA COMPANY,  Kami-gun,Miyagi-ken, Japan</t>
        </is>
      </c>
      <c r="B13370" t="inlineStr">
        <is>
          <t>Processing Unit</t>
        </is>
      </c>
      <c r="C13370" t="inlineStr">
        <is>
          <t>Control Union Certifications Germany GmbH, Berlin, DE</t>
        </is>
      </c>
      <c r="D13370" t="inlineStr">
        <is>
          <t>18.10.2026</t>
        </is>
      </c>
      <c r="E13370" t="inlineStr">
        <is>
          <t>Japan</t>
        </is>
      </c>
    </row>
    <row r="13371">
      <c r="A13371" t="inlineStr">
        <is>
          <t>WasteCare Ltd.,  Normanton, United Kingdom</t>
        </is>
      </c>
      <c r="B13371" t="inlineStr">
        <is>
          <t>Collecting Point</t>
        </is>
      </c>
      <c r="C13371" t="inlineStr">
        <is>
          <t>SGS Germany GmbH, Emstek, DE</t>
        </is>
      </c>
      <c r="D13371" t="inlineStr">
        <is>
          <t>18.10.2026</t>
        </is>
      </c>
      <c r="E13371" t="inlineStr">
        <is>
          <t>United Kingdom</t>
        </is>
      </c>
    </row>
    <row r="13372">
      <c r="A13372" t="inlineStr">
        <is>
          <t>Teck Guan Plantations Sdn Bhd,  Lahad Datu, Malaysia</t>
        </is>
      </c>
      <c r="B13372" t="inlineStr">
        <is>
          <t>Point of Origin</t>
        </is>
      </c>
      <c r="C13372" t="inlineStr">
        <is>
          <t>Control Union Certifications Germany GmbH, Berlin, DE</t>
        </is>
      </c>
      <c r="D13372" t="inlineStr">
        <is>
          <t>18.10.2026</t>
        </is>
      </c>
      <c r="E13372" t="inlineStr">
        <is>
          <t>Malaysia</t>
        </is>
      </c>
    </row>
    <row r="13373">
      <c r="A13373" t="inlineStr">
        <is>
          <t>Guizhou Qianying environmental sanitation service Co., Ltd.,  Guiyang City, Guizhou Province, China</t>
        </is>
      </c>
      <c r="B13373" t="inlineStr">
        <is>
          <t>Collecting Point, Processing Unit</t>
        </is>
      </c>
      <c r="C13373" t="inlineStr">
        <is>
          <t>SCS Global Services, Emeryville, CA, US</t>
        </is>
      </c>
      <c r="D13373" t="inlineStr">
        <is>
          <t>18.10.2026</t>
        </is>
      </c>
      <c r="E13373" t="inlineStr">
        <is>
          <t>China</t>
        </is>
      </c>
    </row>
    <row r="13374">
      <c r="A13374" t="inlineStr">
        <is>
          <t>INEOS Styrolution America,  Texas City, United States</t>
        </is>
      </c>
      <c r="B13374" t="inlineStr">
        <is>
          <t>Processing Unit, Trader with Storage, Trader</t>
        </is>
      </c>
      <c r="C13374" t="inlineStr">
        <is>
          <t>SCS Global Services, Emeryville, CA, US</t>
        </is>
      </c>
      <c r="D13374" t="inlineStr">
        <is>
          <t>18.10.2026</t>
        </is>
      </c>
      <c r="E13374" t="inlineStr">
        <is>
          <t>United States</t>
        </is>
      </c>
    </row>
    <row r="13375">
      <c r="A13375" t="inlineStr">
        <is>
          <t>INEOS Styrolution America,  Channahon, United States</t>
        </is>
      </c>
      <c r="B13375" t="inlineStr">
        <is>
          <t>Processing Unit, Trader</t>
        </is>
      </c>
      <c r="C13375" t="inlineStr">
        <is>
          <t>SCS Global Services, Emeryville, CA, US</t>
        </is>
      </c>
      <c r="D13375" t="inlineStr">
        <is>
          <t>18.10.2026</t>
        </is>
      </c>
      <c r="E13375" t="inlineStr">
        <is>
          <t>United States</t>
        </is>
      </c>
    </row>
    <row r="13376">
      <c r="A13376" t="inlineStr">
        <is>
          <t>MeHow Innovative (Huizhou) Ltd.,  Huizhou City, Guangdong Province, China</t>
        </is>
      </c>
      <c r="B13376" t="inlineStr">
        <is>
          <t>Trader with Storage, Processing Unit</t>
        </is>
      </c>
      <c r="C13376" t="inlineStr">
        <is>
          <t>SCS Global Services, Emeryville, CA, US</t>
        </is>
      </c>
      <c r="D13376" t="inlineStr">
        <is>
          <t>18.10.2026</t>
        </is>
      </c>
      <c r="E13376" t="inlineStr">
        <is>
          <t>China</t>
        </is>
      </c>
    </row>
    <row r="13377">
      <c r="A13377" t="inlineStr">
        <is>
          <t>FLEX AMERICAS S.A. DE C.V.,  Puerto Industrial Altamira 89603, Altamira, Mexico</t>
        </is>
      </c>
      <c r="B13377" t="inlineStr">
        <is>
          <t>Collecting Point, Processing Unit</t>
        </is>
      </c>
      <c r="C13377" t="inlineStr">
        <is>
          <t>Alcumus ISOQAR Ltd, Stretford, Manchester, GB</t>
        </is>
      </c>
      <c r="D13377" t="inlineStr">
        <is>
          <t>18.10.2026</t>
        </is>
      </c>
      <c r="E13377" t="inlineStr">
        <is>
          <t>Mexico</t>
        </is>
      </c>
    </row>
    <row r="13378">
      <c r="A13378" t="inlineStr">
        <is>
          <t>Grupo Empresial Comatcol S.A.S.,  Medellin, Antioquia, Colombia</t>
        </is>
      </c>
      <c r="B13378" t="inlineStr">
        <is>
          <t>Collecting Point, Trader with Storage</t>
        </is>
      </c>
      <c r="C13378" t="inlineStr">
        <is>
          <t>Certificadora Gallega del Noroeste SL, Vilagarcia de Arousa-Pontevedra, ES</t>
        </is>
      </c>
      <c r="D13378" t="inlineStr">
        <is>
          <t>18.10.2026</t>
        </is>
      </c>
      <c r="E13378" t="inlineStr">
        <is>
          <t>Colombia</t>
        </is>
      </c>
    </row>
    <row r="13379">
      <c r="A13379" t="inlineStr">
        <is>
          <t>Ecológica Lamarca,  Martos (Jaén), Spain</t>
        </is>
      </c>
      <c r="B13379" t="inlineStr">
        <is>
          <t>Point of Origin, Processing Unit, Trader</t>
        </is>
      </c>
      <c r="C13379" t="inlineStr">
        <is>
          <t>Control Union Poland Sp. z o.o., Zielona Gora, PL</t>
        </is>
      </c>
      <c r="D13379" t="inlineStr">
        <is>
          <t>18.10.2026</t>
        </is>
      </c>
      <c r="E13379" t="inlineStr">
        <is>
          <t>Spain</t>
        </is>
      </c>
    </row>
    <row r="13380">
      <c r="A13380" t="inlineStr">
        <is>
          <t>Great Lakes Grain,  Chatham, Canada</t>
        </is>
      </c>
      <c r="B13380" t="inlineStr">
        <is>
          <t>First Gathering Point</t>
        </is>
      </c>
      <c r="C13380" t="inlineStr">
        <is>
          <t>SGS Germany GmbH, Emstek, DE</t>
        </is>
      </c>
      <c r="D13380" t="inlineStr">
        <is>
          <t>18.10.2026</t>
        </is>
      </c>
      <c r="E13380" t="inlineStr">
        <is>
          <t>Canada</t>
        </is>
      </c>
    </row>
    <row r="13381">
      <c r="A13381" t="inlineStr">
        <is>
          <t>CASALASCO SOCIETA’ AGRICOLA S.p.A.,  Rivarolo del re (Cr), Italy</t>
        </is>
      </c>
      <c r="B13381" t="inlineStr">
        <is>
          <t>Processing Unit</t>
        </is>
      </c>
      <c r="C13381" t="inlineStr">
        <is>
          <t>RINA Services S.p.A., Genova, IT</t>
        </is>
      </c>
      <c r="D13381" t="inlineStr">
        <is>
          <t>17.10.2026</t>
        </is>
      </c>
      <c r="E13381" t="inlineStr">
        <is>
          <t>Italy</t>
        </is>
      </c>
    </row>
    <row r="13382">
      <c r="A13382" t="inlineStr">
        <is>
          <t>CHANG CHUN PETROCHEMICAL CO., LTD.,  Miaoli County, Miaoli City, Taiwan</t>
        </is>
      </c>
      <c r="B13382" t="inlineStr">
        <is>
          <t>Point of Origin, Processing Unit</t>
        </is>
      </c>
      <c r="C13382" t="inlineStr">
        <is>
          <t>Bureau Veritas Polska Sp. z o.o., Warsaw, PL</t>
        </is>
      </c>
      <c r="D13382" t="inlineStr">
        <is>
          <t>17.10.2026</t>
        </is>
      </c>
      <c r="E13382" t="inlineStr">
        <is>
          <t>Taiwan</t>
        </is>
      </c>
    </row>
    <row r="13383">
      <c r="A13383" t="inlineStr">
        <is>
          <t>Mitsui Chemicals, Inc.,  Yaesu, Chuo-ku, Tokyo, Japan</t>
        </is>
      </c>
      <c r="B13383" t="inlineStr">
        <is>
          <t>Trader with Storage</t>
        </is>
      </c>
      <c r="C13383" t="inlineStr">
        <is>
          <t>SGS Germany GmbH, Emstek, DE</t>
        </is>
      </c>
      <c r="D13383" t="inlineStr">
        <is>
          <t>17.10.2026</t>
        </is>
      </c>
      <c r="E13383" t="inlineStr">
        <is>
          <t>Japan</t>
        </is>
      </c>
    </row>
    <row r="13384">
      <c r="A13384" t="inlineStr">
        <is>
          <t>Daelim Co., Ltd,  Seoul, South Korea</t>
        </is>
      </c>
      <c r="B13384" t="inlineStr">
        <is>
          <t>Trader</t>
        </is>
      </c>
      <c r="C13384" t="inlineStr">
        <is>
          <t>Control Union Certifications Germany GmbH, Berlin, DE</t>
        </is>
      </c>
      <c r="D13384" t="inlineStr">
        <is>
          <t>17.10.2026</t>
        </is>
      </c>
      <c r="E13384" t="inlineStr">
        <is>
          <t>South Korea</t>
        </is>
      </c>
    </row>
    <row r="13385">
      <c r="A13385" t="inlineStr">
        <is>
          <t>Samyang Packaging Corporation,  Jongno-gu, Seoul, South Korea</t>
        </is>
      </c>
      <c r="B13385" t="inlineStr">
        <is>
          <t>Trader with Storage</t>
        </is>
      </c>
      <c r="C13385" t="inlineStr">
        <is>
          <t>Control Union Certifications Germany GmbH, Berlin, DE</t>
        </is>
      </c>
      <c r="D13385" t="inlineStr">
        <is>
          <t>17.10.2026</t>
        </is>
      </c>
      <c r="E13385" t="inlineStr">
        <is>
          <t>South Korea</t>
        </is>
      </c>
    </row>
    <row r="13386">
      <c r="A13386" t="inlineStr">
        <is>
          <t>Brau Agro Asia,  Kab. Berau, Provinsi Kalimantan Timur, Indonesia</t>
        </is>
      </c>
      <c r="B13386" t="inlineStr">
        <is>
          <t>Point of Origin</t>
        </is>
      </c>
      <c r="C13386" t="inlineStr">
        <is>
          <t>PT. Qualitas Sertifikasi Indonesia, Jakarta, ID</t>
        </is>
      </c>
      <c r="D13386" t="inlineStr">
        <is>
          <t>17.10.2026</t>
        </is>
      </c>
      <c r="E13386" t="inlineStr">
        <is>
          <t>Indonesia</t>
        </is>
      </c>
    </row>
    <row r="13387">
      <c r="A13387" t="inlineStr">
        <is>
          <t>Samyang Packaging Corporation Daejeon 1 Plant,  Daejeon, South Korea</t>
        </is>
      </c>
      <c r="B13387" t="inlineStr">
        <is>
          <t>Processing Unit, Final Product Refinement</t>
        </is>
      </c>
      <c r="C13387" t="inlineStr">
        <is>
          <t>Control Union Certifications Germany GmbH, Berlin, DE</t>
        </is>
      </c>
      <c r="D13387" t="inlineStr">
        <is>
          <t>17.10.2026</t>
        </is>
      </c>
      <c r="E13387" t="inlineStr">
        <is>
          <t>South Korea</t>
        </is>
      </c>
    </row>
    <row r="13388">
      <c r="A13388" t="inlineStr">
        <is>
          <t>Hexpol TPE GmbH,  Lichtenfels, Germany</t>
        </is>
      </c>
      <c r="B13388" t="inlineStr">
        <is>
          <t>Processing Unit, Trader with Storage</t>
        </is>
      </c>
      <c r="C13388" t="inlineStr">
        <is>
          <t>TÜV SÜD Industrie Service GmbH, München, DE</t>
        </is>
      </c>
      <c r="D13388" t="inlineStr">
        <is>
          <t>17.10.2026</t>
        </is>
      </c>
      <c r="E13388" t="inlineStr">
        <is>
          <t>Germany</t>
        </is>
      </c>
    </row>
    <row r="13389">
      <c r="A13389" t="inlineStr">
        <is>
          <t>Astomos Energy,  Chiyoda-ku, Japan</t>
        </is>
      </c>
      <c r="B13389" t="inlineStr">
        <is>
          <t>Trader with Storage</t>
        </is>
      </c>
      <c r="C13389" t="inlineStr">
        <is>
          <t>SGS Germany GmbH, Emstek, DE</t>
        </is>
      </c>
      <c r="D13389" t="inlineStr">
        <is>
          <t>17.10.2026</t>
        </is>
      </c>
      <c r="E13389" t="inlineStr">
        <is>
          <t>Japan</t>
        </is>
      </c>
    </row>
    <row r="13390">
      <c r="A13390" t="inlineStr">
        <is>
          <t>Hexpol TPE GmbH,  Lichtenfels, Germany</t>
        </is>
      </c>
      <c r="B13390" t="inlineStr">
        <is>
          <t>Processing Unit, Trader with Storage</t>
        </is>
      </c>
      <c r="C13390" t="inlineStr">
        <is>
          <t>TÜV SÜD Industrie Service GmbH, München, DE</t>
        </is>
      </c>
      <c r="D13390" t="inlineStr">
        <is>
          <t>17.10.2026</t>
        </is>
      </c>
      <c r="E13390" t="inlineStr">
        <is>
          <t>Germany</t>
        </is>
      </c>
    </row>
    <row r="13391">
      <c r="A13391" t="inlineStr">
        <is>
          <t>Sky Dragon Viet Nam Company Limited,  Hai Duong Province, Vietnam</t>
        </is>
      </c>
      <c r="B13391" t="inlineStr">
        <is>
          <t>Processing Unit, Final Product Refinement</t>
        </is>
      </c>
      <c r="C13391" t="inlineStr">
        <is>
          <t>SGS Germany GmbH, Emstek, DE</t>
        </is>
      </c>
      <c r="D13391" t="inlineStr">
        <is>
          <t>17.10.2026</t>
        </is>
      </c>
      <c r="E13391" t="inlineStr">
        <is>
          <t>Vietnam</t>
        </is>
      </c>
    </row>
    <row r="13392">
      <c r="A13392" t="inlineStr">
        <is>
          <t>Cerie (Vietnam) International Ltd.,  Binh Nguyen Commune, Phu Tho Province, Vietnam</t>
        </is>
      </c>
      <c r="B13392" t="inlineStr">
        <is>
          <t>Processing Unit</t>
        </is>
      </c>
      <c r="C13392" t="inlineStr">
        <is>
          <t>SGS Germany GmbH, Emstek, DE</t>
        </is>
      </c>
      <c r="D13392" t="inlineStr">
        <is>
          <t>17.10.2026</t>
        </is>
      </c>
      <c r="E13392" t="inlineStr">
        <is>
          <t>Vietnam</t>
        </is>
      </c>
    </row>
    <row r="13393">
      <c r="A13393" t="inlineStr">
        <is>
          <t>ExxonMobil Product Solutions Company; Baytown Olefins Plant,  Baytown, Texas, United States</t>
        </is>
      </c>
      <c r="B13393" t="inlineStr">
        <is>
          <t>Processing Unit</t>
        </is>
      </c>
      <c r="C13393" t="inlineStr">
        <is>
          <t>SCS Global Services, Emeryville, CA, US</t>
        </is>
      </c>
      <c r="D13393" t="inlineStr">
        <is>
          <t>17.10.2026</t>
        </is>
      </c>
      <c r="E13393" t="inlineStr">
        <is>
          <t>United States</t>
        </is>
      </c>
    </row>
    <row r="13394">
      <c r="A13394" t="inlineStr">
        <is>
          <t>ExxonMobil Baytown,  Baytown, United States</t>
        </is>
      </c>
      <c r="B13394" t="inlineStr">
        <is>
          <t>Collecting Point, Processing Unit</t>
        </is>
      </c>
      <c r="C13394" t="inlineStr">
        <is>
          <t>SCS Global Services, Emeryville, CA, US</t>
        </is>
      </c>
      <c r="D13394" t="inlineStr">
        <is>
          <t>17.10.2026</t>
        </is>
      </c>
      <c r="E13394" t="inlineStr">
        <is>
          <t>United States</t>
        </is>
      </c>
    </row>
    <row r="13395">
      <c r="A13395" t="inlineStr">
        <is>
          <t>Samyang Packaging Corporation Daejeon 2 Plant,  Daejeon, South Korea</t>
        </is>
      </c>
      <c r="B13395" t="inlineStr">
        <is>
          <t>Processing Unit, Final Product Refinement</t>
        </is>
      </c>
      <c r="C13395" t="inlineStr">
        <is>
          <t>Control Union Certifications Germany GmbH, Berlin, DE</t>
        </is>
      </c>
      <c r="D13395" t="inlineStr">
        <is>
          <t>17.10.2026</t>
        </is>
      </c>
      <c r="E13395" t="inlineStr">
        <is>
          <t>South Korea</t>
        </is>
      </c>
    </row>
    <row r="13396">
      <c r="A13396" t="inlineStr">
        <is>
          <t>Mindest SA,  Vésenaz, Switzerland</t>
        </is>
      </c>
      <c r="B13396" t="inlineStr">
        <is>
          <t>Trader</t>
        </is>
      </c>
      <c r="C13396" t="inlineStr">
        <is>
          <t>SGS Germany GmbH, Emstek, DE</t>
        </is>
      </c>
      <c r="D13396" t="inlineStr">
        <is>
          <t>17.10.2026</t>
        </is>
      </c>
      <c r="E13396" t="inlineStr">
        <is>
          <t>Switzerland</t>
        </is>
      </c>
    </row>
    <row r="13397">
      <c r="A13397" t="inlineStr">
        <is>
          <t>Mindest,  Vésenaz, Switzerland</t>
        </is>
      </c>
      <c r="B13397" t="inlineStr">
        <is>
          <t>Trader</t>
        </is>
      </c>
      <c r="C13397" t="inlineStr">
        <is>
          <t>SGS Germany GmbH, Emstek, DE</t>
        </is>
      </c>
      <c r="D13397" t="inlineStr">
        <is>
          <t>17.10.2026</t>
        </is>
      </c>
      <c r="E13397" t="inlineStr">
        <is>
          <t>Switzerland</t>
        </is>
      </c>
    </row>
    <row r="13398">
      <c r="A13398" t="inlineStr">
        <is>
          <t>Sherwin Williams Balkan,  Ghiroda, Romania</t>
        </is>
      </c>
      <c r="B13398" t="inlineStr">
        <is>
          <t>Final Product Refinement</t>
        </is>
      </c>
      <c r="C13398" t="inlineStr">
        <is>
          <t>SGS Germany GmbH, Emstek, DE</t>
        </is>
      </c>
      <c r="D13398" t="inlineStr">
        <is>
          <t>17.10.2026</t>
        </is>
      </c>
      <c r="E13398" t="inlineStr">
        <is>
          <t>Romania</t>
        </is>
      </c>
    </row>
    <row r="13399">
      <c r="A13399" t="inlineStr">
        <is>
          <t>VIBIPLAST,  CASTANO PRIMO, MILANO, Italy</t>
        </is>
      </c>
      <c r="B13399" t="inlineStr">
        <is>
          <t>Processing Unit</t>
        </is>
      </c>
      <c r="C13399" t="inlineStr">
        <is>
          <t>RINA Services S.p.A., Genova, IT</t>
        </is>
      </c>
      <c r="D13399" t="inlineStr">
        <is>
          <t>17.10.2026</t>
        </is>
      </c>
      <c r="E13399" t="inlineStr">
        <is>
          <t>Italy</t>
        </is>
      </c>
    </row>
    <row r="13400">
      <c r="A13400" t="inlineStr">
        <is>
          <t>PT. LBL Global Links,  Ds. Cicau, Kec. Cikarang Pusat, Kab. Bekasi, Indonesia</t>
        </is>
      </c>
      <c r="B13400" t="inlineStr">
        <is>
          <t>Trader with Storage</t>
        </is>
      </c>
      <c r="C13400" t="inlineStr">
        <is>
          <t>PT. Qualitas Sertifikasi Indonesia, Jakarta, ID</t>
        </is>
      </c>
      <c r="D13400" t="inlineStr">
        <is>
          <t>17.10.2026</t>
        </is>
      </c>
      <c r="E13400" t="inlineStr">
        <is>
          <t>Indonesia</t>
        </is>
      </c>
    </row>
    <row r="13401">
      <c r="A13401" t="inlineStr">
        <is>
          <t>Sona Oils Pte Ltd,  Singapore, Singapore</t>
        </is>
      </c>
      <c r="B13401" t="inlineStr">
        <is>
          <t>Trader</t>
        </is>
      </c>
      <c r="C13401" t="inlineStr">
        <is>
          <t>SGS Germany GmbH, Emstek, DE</t>
        </is>
      </c>
      <c r="D13401" t="inlineStr">
        <is>
          <t>17.10.2026</t>
        </is>
      </c>
      <c r="E13401" t="inlineStr">
        <is>
          <t>Singapore</t>
        </is>
      </c>
    </row>
    <row r="13402">
      <c r="A13402" t="inlineStr">
        <is>
          <t>Stanlow Terminals LTD,  Ellesmere Port, United Kingdom</t>
        </is>
      </c>
      <c r="B13402" t="inlineStr">
        <is>
          <t>Warehouse</t>
        </is>
      </c>
      <c r="C13402" t="inlineStr">
        <is>
          <t>SGS Germany GmbH, Emstek, DE</t>
        </is>
      </c>
      <c r="D13402" t="inlineStr">
        <is>
          <t>17.10.2026</t>
        </is>
      </c>
      <c r="E13402" t="inlineStr">
        <is>
          <t>United Kingdom</t>
        </is>
      </c>
    </row>
    <row r="13403">
      <c r="A13403" t="inlineStr">
        <is>
          <t>Shenzhen Bishang SCM Co., Ltd.,  Longgang District, Shenzhen, China</t>
        </is>
      </c>
      <c r="B13403" t="inlineStr">
        <is>
          <t>Trader</t>
        </is>
      </c>
      <c r="C13403" t="inlineStr">
        <is>
          <t>SCS Global Services, Emeryville, CA, US</t>
        </is>
      </c>
      <c r="D13403" t="inlineStr">
        <is>
          <t>17.10.2026</t>
        </is>
      </c>
      <c r="E13403" t="inlineStr">
        <is>
          <t>China</t>
        </is>
      </c>
    </row>
    <row r="13404">
      <c r="A13404" t="inlineStr">
        <is>
          <t>Zhejiang Baili Plastic Co., Ltd.,  Shaoxing City, Zhejiang, China</t>
        </is>
      </c>
      <c r="B13404" t="inlineStr">
        <is>
          <t>Processing Unit</t>
        </is>
      </c>
      <c r="C13404" t="inlineStr">
        <is>
          <t>China Quality Certification Centre Co., Ltd., Beijing, CN</t>
        </is>
      </c>
      <c r="D13404" t="inlineStr">
        <is>
          <t>17.10.2026</t>
        </is>
      </c>
      <c r="E13404" t="inlineStr">
        <is>
          <t>China</t>
        </is>
      </c>
    </row>
    <row r="13405">
      <c r="A13405" t="inlineStr">
        <is>
          <t>Bukit Jejer Sukses,  Kabupaten Morowali, Prov. Sulawesi Tengah, Indonesia</t>
        </is>
      </c>
      <c r="B13405" t="inlineStr">
        <is>
          <t>Point of Origin</t>
        </is>
      </c>
      <c r="C13405" t="inlineStr">
        <is>
          <t>PT. Qualitas Sertifikasi Indonesia, Jakarta, ID</t>
        </is>
      </c>
      <c r="D13405" t="inlineStr">
        <is>
          <t>17.10.2026</t>
        </is>
      </c>
      <c r="E13405" t="inlineStr">
        <is>
          <t>Indonesia</t>
        </is>
      </c>
    </row>
    <row r="13406">
      <c r="A13406" t="inlineStr">
        <is>
          <t>Bio Oil,  Yerevan, Armenia</t>
        </is>
      </c>
      <c r="B13406" t="inlineStr">
        <is>
          <t>Collecting Point</t>
        </is>
      </c>
      <c r="C13406" t="inlineStr">
        <is>
          <t>Aciter Genelab LLC, Odessa, UA</t>
        </is>
      </c>
      <c r="D13406" t="inlineStr">
        <is>
          <t>17.10.2026</t>
        </is>
      </c>
      <c r="E13406" t="inlineStr">
        <is>
          <t>Armenia</t>
        </is>
      </c>
    </row>
    <row r="13407">
      <c r="A13407" t="inlineStr">
        <is>
          <t>Hefei Sheng Fen Enterprise Management Co., Ltd.,  Hefei City, Anhui Province, China</t>
        </is>
      </c>
      <c r="B13407" t="inlineStr">
        <is>
          <t>Trader</t>
        </is>
      </c>
      <c r="C13407" t="inlineStr">
        <is>
          <t>SCS Global Services, Emeryville, CA, US</t>
        </is>
      </c>
      <c r="D13407" t="inlineStr">
        <is>
          <t>17.10.2026</t>
        </is>
      </c>
      <c r="E13407" t="inlineStr">
        <is>
          <t>China</t>
        </is>
      </c>
    </row>
    <row r="13408">
      <c r="A13408" t="inlineStr">
        <is>
          <t>Growth Pack International Development CO.,LTD.,  Dongguan,Guangdong, China</t>
        </is>
      </c>
      <c r="B13408" t="inlineStr">
        <is>
          <t>Processing Unit</t>
        </is>
      </c>
      <c r="C13408" t="inlineStr">
        <is>
          <t>SGS Germany GmbH, Emstek, DE</t>
        </is>
      </c>
      <c r="D13408" t="inlineStr">
        <is>
          <t>17.10.2026</t>
        </is>
      </c>
      <c r="E13408" t="inlineStr">
        <is>
          <t>China</t>
        </is>
      </c>
    </row>
    <row r="13409">
      <c r="A13409" t="inlineStr">
        <is>
          <t>TGSH Plastic Industries Sdn. Bhd.,  Gurun, Malaysia</t>
        </is>
      </c>
      <c r="B13409" t="inlineStr">
        <is>
          <t>Collecting Point, Point of Origin, Processing Unit</t>
        </is>
      </c>
      <c r="C13409" t="inlineStr">
        <is>
          <t>Control Union Certifications Germany GmbH, Berlin, DE</t>
        </is>
      </c>
      <c r="D13409" t="inlineStr">
        <is>
          <t>17.10.2026</t>
        </is>
      </c>
      <c r="E13409" t="inlineStr">
        <is>
          <t>Malaysia</t>
        </is>
      </c>
    </row>
    <row r="13410">
      <c r="A13410" t="inlineStr">
        <is>
          <t>ExxonMobil Product Solutions Company, Mont Belvieu Plastics Plant,  Baytown, Texas, United States</t>
        </is>
      </c>
      <c r="B13410" t="inlineStr">
        <is>
          <t>Trader, Trader with Storage, Processing Unit</t>
        </is>
      </c>
      <c r="C13410" t="inlineStr">
        <is>
          <t>SCS Global Services, Emeryville, CA, US</t>
        </is>
      </c>
      <c r="D13410" t="inlineStr">
        <is>
          <t>17.10.2026</t>
        </is>
      </c>
      <c r="E13410" t="inlineStr">
        <is>
          <t>United States</t>
        </is>
      </c>
    </row>
    <row r="13411">
      <c r="A13411" t="inlineStr">
        <is>
          <t>ExxonMobil Chemical Company,  Baytown, United States</t>
        </is>
      </c>
      <c r="B13411" t="inlineStr">
        <is>
          <t>Trader, Processing Unit</t>
        </is>
      </c>
      <c r="C13411" t="inlineStr">
        <is>
          <t>SCS Global Services, Emeryville, CA, US</t>
        </is>
      </c>
      <c r="D13411" t="inlineStr">
        <is>
          <t>17.10.2026</t>
        </is>
      </c>
      <c r="E13411" t="inlineStr">
        <is>
          <t>United States</t>
        </is>
      </c>
    </row>
    <row r="13412">
      <c r="A13412" t="inlineStr">
        <is>
          <t>Stockhausen Superabsorber GmbH,  Marl, Germany</t>
        </is>
      </c>
      <c r="B13412" t="inlineStr">
        <is>
          <t>Processing Unit</t>
        </is>
      </c>
      <c r="C13412" t="inlineStr">
        <is>
          <t>DIN CERTCO GmbH, Berlin, DE</t>
        </is>
      </c>
      <c r="D13412" t="inlineStr">
        <is>
          <t>17.10.2026</t>
        </is>
      </c>
      <c r="E13412" t="inlineStr">
        <is>
          <t>Germany</t>
        </is>
      </c>
    </row>
    <row r="13413">
      <c r="A13413" t="inlineStr">
        <is>
          <t>REE - Renewable Energy Europe s.r.o.,  Křeslice, Czech Republic</t>
        </is>
      </c>
      <c r="B13413" t="inlineStr">
        <is>
          <t>Trader</t>
        </is>
      </c>
      <c r="C13413" t="inlineStr">
        <is>
          <t>TÜV SÜD Czech s.r.o., Praha 4, CZ</t>
        </is>
      </c>
      <c r="D13413" t="inlineStr">
        <is>
          <t>17.10.2026</t>
        </is>
      </c>
      <c r="E13413" t="inlineStr">
        <is>
          <t>Czech Republic</t>
        </is>
      </c>
    </row>
    <row r="13414">
      <c r="A13414" t="inlineStr">
        <is>
          <t>Scientex Great Wall Sdn Bhd,  MELAKA, Malaysia</t>
        </is>
      </c>
      <c r="B13414" t="inlineStr">
        <is>
          <t>Processing Unit, Trader with Storage</t>
        </is>
      </c>
      <c r="C13414" t="inlineStr">
        <is>
          <t>SGS Germany GmbH, Emstek, DE</t>
        </is>
      </c>
      <c r="D13414" t="inlineStr">
        <is>
          <t>17.10.2026</t>
        </is>
      </c>
      <c r="E13414" t="inlineStr">
        <is>
          <t>Malaysia</t>
        </is>
      </c>
    </row>
    <row r="13415">
      <c r="A13415" t="inlineStr">
        <is>
          <t>REHAU Industries SE &amp; Co. KG,  Wittmund, Germany</t>
        </is>
      </c>
      <c r="B13415" t="inlineStr">
        <is>
          <t>Processing Unit</t>
        </is>
      </c>
      <c r="C13415" t="inlineStr">
        <is>
          <t>GUT Certifizierungsgesellschaft für Managementsysteme mbH Umweltgutachter, Berlin, DE</t>
        </is>
      </c>
      <c r="D13415" t="inlineStr">
        <is>
          <t>17.10.2026</t>
        </is>
      </c>
      <c r="E13415" t="inlineStr">
        <is>
          <t>Germany</t>
        </is>
      </c>
    </row>
    <row r="13416">
      <c r="A13416" t="inlineStr">
        <is>
          <t>Metis d.d.,  Kukuljanovo, Croatia</t>
        </is>
      </c>
      <c r="B13416" t="inlineStr">
        <is>
          <t>Collecting Point, Trader with Storage</t>
        </is>
      </c>
      <c r="C13416" t="inlineStr">
        <is>
          <t>ICIM SpA, sesto san giovanni, IT</t>
        </is>
      </c>
      <c r="D13416" t="inlineStr">
        <is>
          <t>17.10.2026</t>
        </is>
      </c>
      <c r="E13416" t="inlineStr">
        <is>
          <t>Croatia</t>
        </is>
      </c>
    </row>
    <row r="13417">
      <c r="A13417" t="inlineStr">
        <is>
          <t>Blue Biofuels Factory L.L.C,  Mafraq-, United Arab Emirates</t>
        </is>
      </c>
      <c r="B13417" t="inlineStr">
        <is>
          <t>Processing Unit</t>
        </is>
      </c>
      <c r="C13417" t="inlineStr">
        <is>
          <t>ASG Cert GmbH, Munich, DE</t>
        </is>
      </c>
      <c r="D13417" t="inlineStr">
        <is>
          <t>17.10.2026</t>
        </is>
      </c>
      <c r="E13417" t="inlineStr">
        <is>
          <t>United Arab Emirates</t>
        </is>
      </c>
    </row>
    <row r="13418">
      <c r="A13418" t="inlineStr">
        <is>
          <t>Productos Ibéricos Calderón Y Ramos,  Guijuelo (Salamanca), Spain</t>
        </is>
      </c>
      <c r="B13418" t="inlineStr">
        <is>
          <t>Point of Origin</t>
        </is>
      </c>
      <c r="C13418" t="inlineStr">
        <is>
          <t>RINA Services S.p.A., Genova, IT</t>
        </is>
      </c>
      <c r="D13418" t="inlineStr">
        <is>
          <t>17.10.2026</t>
        </is>
      </c>
      <c r="E13418" t="inlineStr">
        <is>
          <t>Spain</t>
        </is>
      </c>
    </row>
    <row r="13419">
      <c r="A13419" t="inlineStr">
        <is>
          <t>DS DANSUK CO., Ltd.,  Siheung, The Republic of Korea</t>
        </is>
      </c>
      <c r="B13419" t="inlineStr">
        <is>
          <t>Trader with Storage</t>
        </is>
      </c>
      <c r="C13419" t="inlineStr">
        <is>
          <t>Control Union Certifications Germany GmbH, Berlin, DE</t>
        </is>
      </c>
      <c r="D13419" t="inlineStr">
        <is>
          <t>16.10.2026</t>
        </is>
      </c>
      <c r="E13419" t="inlineStr">
        <is>
          <t>The Republic of Korea</t>
        </is>
      </c>
    </row>
    <row r="13420">
      <c r="A13420" t="inlineStr">
        <is>
          <t>Jiangsu Haijun Biotechnology Co., LTD,  Guanyun County, Lianyungang City, Jiangsu Province, China</t>
        </is>
      </c>
      <c r="B13420" t="inlineStr">
        <is>
          <t>Collecting Point</t>
        </is>
      </c>
      <c r="C13420" t="inlineStr">
        <is>
          <t>RINA Services S.p.A., Genova, IT</t>
        </is>
      </c>
      <c r="D13420" t="inlineStr">
        <is>
          <t>16.10.2026</t>
        </is>
      </c>
      <c r="E13420" t="inlineStr">
        <is>
          <t>China</t>
        </is>
      </c>
    </row>
    <row r="13421">
      <c r="A13421" t="inlineStr">
        <is>
          <t>Haijun Biotechnology (Lianyungang) Co., LTD,  Donghai County, Lianyungang City, China</t>
        </is>
      </c>
      <c r="B13421" t="inlineStr">
        <is>
          <t>Collecting Point</t>
        </is>
      </c>
      <c r="C13421" t="inlineStr">
        <is>
          <t>RINA Services S.p.A., Genova, IT</t>
        </is>
      </c>
      <c r="D13421" t="inlineStr">
        <is>
          <t>16.10.2026</t>
        </is>
      </c>
      <c r="E13421" t="inlineStr">
        <is>
          <t>China</t>
        </is>
      </c>
    </row>
    <row r="13422">
      <c r="A13422" t="inlineStr">
        <is>
          <t>Green oil for trading Est.,  Riyadh City, Saudi Arabia</t>
        </is>
      </c>
      <c r="B13422" t="inlineStr">
        <is>
          <t>Collecting Point, Trader</t>
        </is>
      </c>
      <c r="C13422" t="inlineStr">
        <is>
          <t>ICIM SpA, sesto san giovanni, IT</t>
        </is>
      </c>
      <c r="D13422" t="inlineStr">
        <is>
          <t>16.10.2026</t>
        </is>
      </c>
      <c r="E13422" t="inlineStr">
        <is>
          <t>Saudi Arabia</t>
        </is>
      </c>
    </row>
    <row r="13423">
      <c r="A13423" t="inlineStr">
        <is>
          <t>Hebei Meiyuanda New Energy Technology Co., Ltd.,  Shijiazhuang, China</t>
        </is>
      </c>
      <c r="B13423" t="inlineStr">
        <is>
          <t>Trader</t>
        </is>
      </c>
      <c r="C13423" t="inlineStr">
        <is>
          <t>RINA Services S.p.A., Genova, IT</t>
        </is>
      </c>
      <c r="D13423" t="inlineStr">
        <is>
          <t>16.10.2026</t>
        </is>
      </c>
      <c r="E13423" t="inlineStr">
        <is>
          <t>China</t>
        </is>
      </c>
    </row>
    <row r="13424">
      <c r="A13424" t="inlineStr">
        <is>
          <t>Mandala Trading Pty Ltd,  Waterloo, Australia</t>
        </is>
      </c>
      <c r="B13424" t="inlineStr">
        <is>
          <t>Trader with Storage</t>
        </is>
      </c>
      <c r="C13424" t="inlineStr">
        <is>
          <t>Control Union Certifications Germany GmbH, Berlin, DE</t>
        </is>
      </c>
      <c r="D13424" t="inlineStr">
        <is>
          <t>16.10.2026</t>
        </is>
      </c>
      <c r="E13424" t="inlineStr">
        <is>
          <t>Australia</t>
        </is>
      </c>
    </row>
    <row r="13425">
      <c r="A13425" t="inlineStr">
        <is>
          <t>Intraco Trading Pte Ltd,  Singapore, Singapore</t>
        </is>
      </c>
      <c r="B13425" t="inlineStr">
        <is>
          <t>Trader</t>
        </is>
      </c>
      <c r="C13425" t="inlineStr">
        <is>
          <t>Double Helix Tracking Technologies Pte Ltd, Singapore, SG</t>
        </is>
      </c>
      <c r="D13425" t="inlineStr">
        <is>
          <t>16.10.2026</t>
        </is>
      </c>
      <c r="E13425" t="inlineStr">
        <is>
          <t>Singapore</t>
        </is>
      </c>
    </row>
    <row r="13426">
      <c r="A13426" t="inlineStr">
        <is>
          <t>Affaba &amp; Ferrari,  Pieve Fissiraga, Italy</t>
        </is>
      </c>
      <c r="B13426" t="inlineStr">
        <is>
          <t>Processing Unit</t>
        </is>
      </c>
      <c r="C13426" t="inlineStr">
        <is>
          <t>IIP S.r.l., Monza, IT</t>
        </is>
      </c>
      <c r="D13426" t="inlineStr">
        <is>
          <t>16.10.2026</t>
        </is>
      </c>
      <c r="E13426" t="inlineStr">
        <is>
          <t>Italy</t>
        </is>
      </c>
    </row>
    <row r="13427">
      <c r="A13427" t="inlineStr">
        <is>
          <t>Jiusu Technology (Shanghai) Co., Ltd.,  Shanghai, China</t>
        </is>
      </c>
      <c r="B13427" t="inlineStr">
        <is>
          <t>Processing Unit</t>
        </is>
      </c>
      <c r="C13427" t="inlineStr">
        <is>
          <t>SGS Germany GmbH, Emstek, DE</t>
        </is>
      </c>
      <c r="D13427" t="inlineStr">
        <is>
          <t>16.10.2026</t>
        </is>
      </c>
      <c r="E13427" t="inlineStr">
        <is>
          <t>China</t>
        </is>
      </c>
    </row>
    <row r="13428">
      <c r="A13428" t="inlineStr">
        <is>
          <t>SUNDIC,  Konan city, Japan</t>
        </is>
      </c>
      <c r="B13428" t="inlineStr">
        <is>
          <t>Processing Unit</t>
        </is>
      </c>
      <c r="C13428" t="inlineStr">
        <is>
          <t>SCS Global Services, Emeryville, CA, US</t>
        </is>
      </c>
      <c r="D13428" t="inlineStr">
        <is>
          <t>16.10.2026</t>
        </is>
      </c>
      <c r="E13428" t="inlineStr">
        <is>
          <t>Japan</t>
        </is>
      </c>
    </row>
    <row r="13429">
      <c r="A13429" t="inlineStr">
        <is>
          <t>Zhuhai Cosmos Chemicals Co., Ltd.,  Tangjiawan Town, High-tech Zone,Zhuhai City, China</t>
        </is>
      </c>
      <c r="B13429" t="inlineStr">
        <is>
          <t>Processing Unit</t>
        </is>
      </c>
      <c r="C13429" t="inlineStr">
        <is>
          <t>SGS Germany GmbH, Emstek, DE</t>
        </is>
      </c>
      <c r="D13429" t="inlineStr">
        <is>
          <t>16.10.2026</t>
        </is>
      </c>
      <c r="E13429" t="inlineStr">
        <is>
          <t>China</t>
        </is>
      </c>
    </row>
    <row r="13430">
      <c r="A13430" t="inlineStr">
        <is>
          <t>Wuxi Wanfeng Rubber Factory,  Wux City Province, China</t>
        </is>
      </c>
      <c r="B13430" t="inlineStr">
        <is>
          <t>Collecting Point, Processing Unit</t>
        </is>
      </c>
      <c r="C13430" t="inlineStr">
        <is>
          <t>RINA Services S.p.A., Genova, IT</t>
        </is>
      </c>
      <c r="D13430" t="inlineStr">
        <is>
          <t>16.10.2026</t>
        </is>
      </c>
      <c r="E13430" t="inlineStr">
        <is>
          <t>China</t>
        </is>
      </c>
    </row>
    <row r="13431">
      <c r="A13431" t="inlineStr">
        <is>
          <t>A.G. Biofuels Initiative Cy Ltd,  Kofinou, Larnaca, Cyprus</t>
        </is>
      </c>
      <c r="B13431" t="inlineStr">
        <is>
          <t>Collecting Point, Trader with Storage</t>
        </is>
      </c>
      <c r="C13431" t="inlineStr">
        <is>
          <t>Business Quality Verification Testing and Certification Services P.C. (BQV), Marousi, Athens, GR</t>
        </is>
      </c>
      <c r="D13431" t="inlineStr">
        <is>
          <t>16.10.2026</t>
        </is>
      </c>
      <c r="E13431" t="inlineStr">
        <is>
          <t>Cyprus</t>
        </is>
      </c>
    </row>
    <row r="13432">
      <c r="A13432" t="inlineStr">
        <is>
          <t>Chase Plastic Services, Inc.,  Clarkston, United States</t>
        </is>
      </c>
      <c r="B13432" t="inlineStr">
        <is>
          <t>Trader with Storage, Trader</t>
        </is>
      </c>
      <c r="C13432" t="inlineStr">
        <is>
          <t>SCS Global Services, Emeryville, CA, US</t>
        </is>
      </c>
      <c r="D13432" t="inlineStr">
        <is>
          <t>16.10.2026</t>
        </is>
      </c>
      <c r="E13432" t="inlineStr">
        <is>
          <t>United States</t>
        </is>
      </c>
    </row>
    <row r="13433">
      <c r="A13433" t="inlineStr">
        <is>
          <t>Copious (Cambodia) International Inc.,  Srok Samrong, Takeo Province, Cambodia</t>
        </is>
      </c>
      <c r="B13433" t="inlineStr">
        <is>
          <t>Processing Unit</t>
        </is>
      </c>
      <c r="C13433" t="inlineStr">
        <is>
          <t>SGS Germany GmbH, Emstek, DE</t>
        </is>
      </c>
      <c r="D13433" t="inlineStr">
        <is>
          <t>16.10.2026</t>
        </is>
      </c>
      <c r="E13433" t="inlineStr">
        <is>
          <t>Cambodia</t>
        </is>
      </c>
    </row>
    <row r="13434">
      <c r="A13434" t="inlineStr">
        <is>
          <t>Service Terminal Rotterdam BV,  Botlek-Rt, Netherlands</t>
        </is>
      </c>
      <c r="B13434" t="inlineStr">
        <is>
          <t>Warehouse</t>
        </is>
      </c>
      <c r="C13434" t="inlineStr">
        <is>
          <t>SGS Germany GmbH, Emstek, DE</t>
        </is>
      </c>
      <c r="D13434" t="inlineStr">
        <is>
          <t>16.10.2026</t>
        </is>
      </c>
      <c r="E13434" t="inlineStr">
        <is>
          <t>Netherlands</t>
        </is>
      </c>
    </row>
    <row r="13435">
      <c r="A13435" t="inlineStr">
        <is>
          <t>Resiway Gestión Sostenible de Resíduos,  Vigo, Spain</t>
        </is>
      </c>
      <c r="B13435" t="inlineStr">
        <is>
          <t>Trader with Storage</t>
        </is>
      </c>
      <c r="C13435" t="inlineStr">
        <is>
          <t>SGS Germany GmbH, Emstek, DE</t>
        </is>
      </c>
      <c r="D13435" t="inlineStr">
        <is>
          <t>16.10.2026</t>
        </is>
      </c>
      <c r="E13435" t="inlineStr">
        <is>
          <t>Spain</t>
        </is>
      </c>
    </row>
    <row r="13436">
      <c r="A13436" t="inlineStr">
        <is>
          <t>SHANDONG PORT INTERNATIONAL TRADE GROUP RIZHAO CO.,LTD.,  Rizhao City, Shandong Province, China</t>
        </is>
      </c>
      <c r="B13436" t="inlineStr">
        <is>
          <t>Trader</t>
        </is>
      </c>
      <c r="C13436" t="inlineStr">
        <is>
          <t>SCS Global Services, Emeryville, CA, US</t>
        </is>
      </c>
      <c r="D13436" t="inlineStr">
        <is>
          <t>16.10.2026</t>
        </is>
      </c>
      <c r="E13436" t="inlineStr">
        <is>
          <t>China</t>
        </is>
      </c>
    </row>
    <row r="13437">
      <c r="A13437" t="inlineStr">
        <is>
          <t>ADVARIO SINGAPORE LTD,  Singapore, Singapore</t>
        </is>
      </c>
      <c r="B13437" t="inlineStr">
        <is>
          <t>Warehouse</t>
        </is>
      </c>
      <c r="C13437" t="inlineStr">
        <is>
          <t>PT TUV Rheinland Indonesia, Jakarta, ID</t>
        </is>
      </c>
      <c r="D13437" t="inlineStr">
        <is>
          <t>16.10.2026</t>
        </is>
      </c>
      <c r="E13437" t="inlineStr">
        <is>
          <t>Singapore</t>
        </is>
      </c>
    </row>
    <row r="13438">
      <c r="A13438" t="inlineStr">
        <is>
          <t>ADVARIO ASIA PACIFIC PTE. LTD.,  Singapore, Singapore</t>
        </is>
      </c>
      <c r="B13438" t="inlineStr">
        <is>
          <t>Logistics Center</t>
        </is>
      </c>
      <c r="C13438" t="inlineStr">
        <is>
          <t>PT TUV Rheinland Indonesia, Jakarta, ID</t>
        </is>
      </c>
      <c r="D13438" t="inlineStr">
        <is>
          <t>16.10.2026</t>
        </is>
      </c>
      <c r="E13438" t="inlineStr">
        <is>
          <t>Singapore</t>
        </is>
      </c>
    </row>
    <row r="13439">
      <c r="A13439" t="inlineStr">
        <is>
          <t>ADVARIO ASIA PACIFIC PTE. LTD.,  Singapore, Singapore</t>
        </is>
      </c>
      <c r="B13439" t="inlineStr">
        <is>
          <t>Logistics Center</t>
        </is>
      </c>
      <c r="C13439" t="inlineStr">
        <is>
          <t>PT TUV Rheinland Indonesia, Jakarta, ID</t>
        </is>
      </c>
      <c r="D13439" t="inlineStr">
        <is>
          <t>16.10.2026</t>
        </is>
      </c>
      <c r="E13439" t="inlineStr">
        <is>
          <t>Singapore</t>
        </is>
      </c>
    </row>
    <row r="13440">
      <c r="A13440" t="inlineStr">
        <is>
          <t>Nouryon Performance Formulations,  Rotterdam, Netherlands</t>
        </is>
      </c>
      <c r="B13440" t="inlineStr">
        <is>
          <t>Processing Unit</t>
        </is>
      </c>
      <c r="C13440" t="inlineStr">
        <is>
          <t>DNV Business Assurance Sweden AB, Solna, SE</t>
        </is>
      </c>
      <c r="D13440" t="inlineStr">
        <is>
          <t>16.10.2026</t>
        </is>
      </c>
      <c r="E13440" t="inlineStr">
        <is>
          <t>Netherlands</t>
        </is>
      </c>
    </row>
    <row r="13441">
      <c r="A13441" t="inlineStr">
        <is>
          <t>Nouryon Performance Formulations,  Rotterdam, Netherlands</t>
        </is>
      </c>
      <c r="B13441" t="inlineStr">
        <is>
          <t>Processing Unit</t>
        </is>
      </c>
      <c r="C13441" t="inlineStr">
        <is>
          <t>DNV Business Assurance Sweden AB, Solna, SE</t>
        </is>
      </c>
      <c r="D13441" t="inlineStr">
        <is>
          <t>16.10.2026</t>
        </is>
      </c>
      <c r="E13441" t="inlineStr">
        <is>
          <t>Netherlands</t>
        </is>
      </c>
    </row>
    <row r="13442">
      <c r="A13442" t="inlineStr">
        <is>
          <t>BKC,  Hwaseong-si, Korea, Republic of</t>
        </is>
      </c>
      <c r="B13442" t="inlineStr">
        <is>
          <t>Processing Unit</t>
        </is>
      </c>
      <c r="C13442" t="inlineStr">
        <is>
          <t>Korean Foundation for Quality, Songpa-gu, Seoul, KR</t>
        </is>
      </c>
      <c r="D13442" t="inlineStr">
        <is>
          <t>16.10.2026</t>
        </is>
      </c>
      <c r="E13442" t="inlineStr">
        <is>
          <t>Republic of</t>
        </is>
      </c>
    </row>
    <row r="13443">
      <c r="A13443" t="inlineStr">
        <is>
          <t>ATPC Terminal N.V.,  Antwerp, Belgium</t>
        </is>
      </c>
      <c r="B13443" t="inlineStr">
        <is>
          <t>Warehouse</t>
        </is>
      </c>
      <c r="C13443" t="inlineStr">
        <is>
          <t>Control Union Certifications Germany GmbH, Berlin, DE</t>
        </is>
      </c>
      <c r="D13443" t="inlineStr">
        <is>
          <t>16.10.2026</t>
        </is>
      </c>
      <c r="E13443" t="inlineStr">
        <is>
          <t>Belgium</t>
        </is>
      </c>
    </row>
    <row r="13444">
      <c r="A13444" t="inlineStr">
        <is>
          <t>Cofco International Balkans d.o.o. Beograd,  Belgrade, Serbia</t>
        </is>
      </c>
      <c r="B13444" t="inlineStr">
        <is>
          <t>First Gathering Point, Trader with Storage</t>
        </is>
      </c>
      <c r="C13444" t="inlineStr">
        <is>
          <t>Control Union Certifications Germany GmbH, Berlin, DE</t>
        </is>
      </c>
      <c r="D13444" t="inlineStr">
        <is>
          <t>16.10.2026</t>
        </is>
      </c>
      <c r="E13444" t="inlineStr">
        <is>
          <t>Serbia</t>
        </is>
      </c>
    </row>
    <row r="13445">
      <c r="A13445" t="inlineStr">
        <is>
          <t>PolyCycle Innovations LLC,  Crawfordsville, United States</t>
        </is>
      </c>
      <c r="B13445" t="inlineStr">
        <is>
          <t>Processing Unit, Collecting Point</t>
        </is>
      </c>
      <c r="C13445" t="inlineStr">
        <is>
          <t>SCS Global Services, Emeryville, CA, US</t>
        </is>
      </c>
      <c r="D13445" t="inlineStr">
        <is>
          <t>16.10.2026</t>
        </is>
      </c>
      <c r="E13445" t="inlineStr">
        <is>
          <t>United States</t>
        </is>
      </c>
    </row>
    <row r="13446">
      <c r="A13446" t="inlineStr">
        <is>
          <t>SAN FU CHEMICAL CO., LTD.,  Tainan, Taiwan, Province of China</t>
        </is>
      </c>
      <c r="B13446" t="inlineStr">
        <is>
          <t>Processing Unit</t>
        </is>
      </c>
      <c r="C13446" t="inlineStr">
        <is>
          <t>PT Intertek Utama Services, Jakarta, ID</t>
        </is>
      </c>
      <c r="D13446" t="inlineStr">
        <is>
          <t>16.10.2026</t>
        </is>
      </c>
      <c r="E13446" t="inlineStr">
        <is>
          <t>Province of China</t>
        </is>
      </c>
    </row>
    <row r="13447">
      <c r="A13447" t="inlineStr">
        <is>
          <t>Jinhesheng New Material Technology (Shandong) Co., Ltd.,  Zibo City, Shandong Province, China</t>
        </is>
      </c>
      <c r="B13447" t="inlineStr">
        <is>
          <t>Trader</t>
        </is>
      </c>
      <c r="C13447" t="inlineStr">
        <is>
          <t>PT Intertek Utama Services, Jakarta, ID</t>
        </is>
      </c>
      <c r="D13447" t="inlineStr">
        <is>
          <t>16.10.2026</t>
        </is>
      </c>
      <c r="E13447" t="inlineStr">
        <is>
          <t>China</t>
        </is>
      </c>
    </row>
    <row r="13448">
      <c r="A13448" t="inlineStr">
        <is>
          <t>IKA BINA AGRO WISESA,  Aceh, Indonesia</t>
        </is>
      </c>
      <c r="B13448" t="inlineStr">
        <is>
          <t>Point of Origin</t>
        </is>
      </c>
      <c r="C13448" t="inlineStr">
        <is>
          <t>PT. Qualitas Sertifikasi Indonesia, Jakarta, ID</t>
        </is>
      </c>
      <c r="D13448" t="inlineStr">
        <is>
          <t>16.10.2026</t>
        </is>
      </c>
      <c r="E13448" t="inlineStr">
        <is>
          <t>Indonesia</t>
        </is>
      </c>
    </row>
    <row r="13449">
      <c r="A13449" t="inlineStr">
        <is>
          <t>SEURAMOE AGRO PERSADA,  Aceh, Indonesia</t>
        </is>
      </c>
      <c r="B13449" t="inlineStr">
        <is>
          <t>Point of Origin</t>
        </is>
      </c>
      <c r="C13449" t="inlineStr">
        <is>
          <t>PT. Qualitas Sertifikasi Indonesia, Jakarta, ID</t>
        </is>
      </c>
      <c r="D13449" t="inlineStr">
        <is>
          <t>16.10.2026</t>
        </is>
      </c>
      <c r="E13449" t="inlineStr">
        <is>
          <t>Indonesia</t>
        </is>
      </c>
    </row>
    <row r="13450">
      <c r="A13450" t="inlineStr">
        <is>
          <t>CIPTA CHEMICAL MEDAN OIL,  LANGKAT, Indonesia</t>
        </is>
      </c>
      <c r="B13450" t="inlineStr">
        <is>
          <t>Point of Origin</t>
        </is>
      </c>
      <c r="C13450" t="inlineStr">
        <is>
          <t>PT. Qualitas Sertifikasi Indonesia, Jakarta, ID</t>
        </is>
      </c>
      <c r="D13450" t="inlineStr">
        <is>
          <t>16.10.2026</t>
        </is>
      </c>
      <c r="E13450" t="inlineStr">
        <is>
          <t>Indonesia</t>
        </is>
      </c>
    </row>
    <row r="13451">
      <c r="A13451" t="inlineStr">
        <is>
          <t>Oleificio Speroni,  Fidenza (PR), Italy</t>
        </is>
      </c>
      <c r="B13451" t="inlineStr">
        <is>
          <t>Trader with Storage</t>
        </is>
      </c>
      <c r="C13451" t="inlineStr">
        <is>
          <t>RINA Services S.p.A., Genova, IT</t>
        </is>
      </c>
      <c r="D13451" t="inlineStr">
        <is>
          <t>16.10.2026</t>
        </is>
      </c>
      <c r="E13451" t="inlineStr">
        <is>
          <t>Italy</t>
        </is>
      </c>
    </row>
    <row r="13452">
      <c r="A13452" t="inlineStr">
        <is>
          <t>PYRCOM S.A.S,  Mosquera, Colombia</t>
        </is>
      </c>
      <c r="B13452" t="inlineStr">
        <is>
          <t>Processing Unit, Collecting Point</t>
        </is>
      </c>
      <c r="C13452" t="inlineStr">
        <is>
          <t>Certificadora Gallega del Noroeste SL, Vilagarcia de Arousa-Pontevedra, ES</t>
        </is>
      </c>
      <c r="D13452" t="inlineStr">
        <is>
          <t>16.10.2026</t>
        </is>
      </c>
      <c r="E13452" t="inlineStr">
        <is>
          <t>Colombia</t>
        </is>
      </c>
    </row>
    <row r="13453">
      <c r="A13453" t="inlineStr">
        <is>
          <t>PT. Bangun Tenera Riau,  Kampar, Indonesia</t>
        </is>
      </c>
      <c r="B13453" t="inlineStr">
        <is>
          <t>Point of Origin</t>
        </is>
      </c>
      <c r="C13453" t="inlineStr">
        <is>
          <t>PT. Qualitas Sertifikasi Indonesia, Jakarta, ID</t>
        </is>
      </c>
      <c r="D13453" t="inlineStr">
        <is>
          <t>16.10.2026</t>
        </is>
      </c>
      <c r="E13453" t="inlineStr">
        <is>
          <t>Indonesia</t>
        </is>
      </c>
    </row>
    <row r="13454">
      <c r="A13454" t="inlineStr">
        <is>
          <t>Canarias de Biodiesel y Reciclaje, S.L.,  Ingenio (Las Palmas), Spain</t>
        </is>
      </c>
      <c r="B13454" t="inlineStr">
        <is>
          <t>Collecting Point, Trader with Storage</t>
        </is>
      </c>
      <c r="C13454" t="inlineStr">
        <is>
          <t>Control Union Poland Sp. z o.o., Zielona Gora, PL</t>
        </is>
      </c>
      <c r="D13454" t="inlineStr">
        <is>
          <t>16.10.2026</t>
        </is>
      </c>
      <c r="E13454" t="inlineStr">
        <is>
          <t>Spain</t>
        </is>
      </c>
    </row>
    <row r="13455">
      <c r="A13455" t="inlineStr">
        <is>
          <t>Sing Fuels Pte Ltd,  singapore, Singapore</t>
        </is>
      </c>
      <c r="B13455" t="inlineStr">
        <is>
          <t>Trader</t>
        </is>
      </c>
      <c r="C13455" t="inlineStr">
        <is>
          <t>CTI Certification Co. Ltd, Shenzhen, CN</t>
        </is>
      </c>
      <c r="D13455" t="inlineStr">
        <is>
          <t>16.10.2026</t>
        </is>
      </c>
      <c r="E13455" t="inlineStr">
        <is>
          <t>Singapore</t>
        </is>
      </c>
    </row>
    <row r="13456">
      <c r="A13456" t="inlineStr">
        <is>
          <t>Sekisui Chemical Co., Ltd.,  Inugamigun, Japan</t>
        </is>
      </c>
      <c r="B13456" t="inlineStr">
        <is>
          <t>Processing Unit</t>
        </is>
      </c>
      <c r="C13456" t="inlineStr">
        <is>
          <t>Control Union Certifications Germany GmbH, Berlin, DE</t>
        </is>
      </c>
      <c r="D13456" t="inlineStr">
        <is>
          <t>16.10.2026</t>
        </is>
      </c>
      <c r="E13456" t="inlineStr">
        <is>
          <t>Japan</t>
        </is>
      </c>
    </row>
    <row r="13457">
      <c r="A13457" t="inlineStr">
        <is>
          <t>Pekutherm Kunststoffe GmbH,  Geisenheim, Germany</t>
        </is>
      </c>
      <c r="B13457" t="inlineStr">
        <is>
          <t>Collecting Point, Trader with Storage, Processing Unit</t>
        </is>
      </c>
      <c r="C13457" t="inlineStr">
        <is>
          <t>GUT Certifizierungsgesellschaft für Managementsysteme mbH Umweltgutachter, Berlin, DE</t>
        </is>
      </c>
      <c r="D13457" t="inlineStr">
        <is>
          <t>16.10.2026</t>
        </is>
      </c>
      <c r="E13457" t="inlineStr">
        <is>
          <t>Germany</t>
        </is>
      </c>
    </row>
    <row r="13458">
      <c r="A13458" t="inlineStr">
        <is>
          <t>GF ENERGY S.A.,  KORINTHOS, Greece</t>
        </is>
      </c>
      <c r="B13458" t="inlineStr">
        <is>
          <t>First Gathering Point</t>
        </is>
      </c>
      <c r="C13458" t="inlineStr">
        <is>
          <t>Business Quality Verification Testing and Certification Services P.C. (BQV), Marousi, Athens, GR</t>
        </is>
      </c>
      <c r="D13458" t="inlineStr">
        <is>
          <t>16.10.2026</t>
        </is>
      </c>
      <c r="E13458" t="inlineStr">
        <is>
          <t>Greece</t>
        </is>
      </c>
    </row>
    <row r="13459">
      <c r="A13459" t="inlineStr">
        <is>
          <t>PT. Swakarsa Sawit Raya,  Indragiri Hulu, Indonesia</t>
        </is>
      </c>
      <c r="B13459" t="inlineStr">
        <is>
          <t>Point of Origin</t>
        </is>
      </c>
      <c r="C13459" t="inlineStr">
        <is>
          <t>PT. CBQA GLOBAL INDONESIA, JAKARTA SELATAN, ID</t>
        </is>
      </c>
      <c r="D13459" t="inlineStr">
        <is>
          <t>16.10.2026</t>
        </is>
      </c>
      <c r="E13459" t="inlineStr">
        <is>
          <t>Indonesia</t>
        </is>
      </c>
    </row>
    <row r="13460">
      <c r="A13460" t="inlineStr">
        <is>
          <t>ENGIE RGE Alkmaar,  Alkmaar, Netherlands</t>
        </is>
      </c>
      <c r="B13460" t="inlineStr">
        <is>
          <t>Collecting Point, Processing Unit</t>
        </is>
      </c>
      <c r="C13460" t="inlineStr">
        <is>
          <t>DEKRA Certification B.V., Arnhem, NL</t>
        </is>
      </c>
      <c r="D13460" t="inlineStr">
        <is>
          <t>16.10.2026</t>
        </is>
      </c>
      <c r="E13460" t="inlineStr">
        <is>
          <t>Netherlands</t>
        </is>
      </c>
    </row>
    <row r="13461">
      <c r="A13461" t="inlineStr">
        <is>
          <t>Czarnikow Group Limited,  London, United Kingdom</t>
        </is>
      </c>
      <c r="B13461" t="inlineStr">
        <is>
          <t>Trader</t>
        </is>
      </c>
      <c r="C13461" t="inlineStr">
        <is>
          <t>Control Union Certifications Germany GmbH, Berlin, DE</t>
        </is>
      </c>
      <c r="D13461" t="inlineStr">
        <is>
          <t>16.10.2026</t>
        </is>
      </c>
      <c r="E13461" t="inlineStr">
        <is>
          <t>United Kingdom</t>
        </is>
      </c>
    </row>
    <row r="13462">
      <c r="A13462" t="inlineStr">
        <is>
          <t>Jan D. Recycling B.V.,  Moordrecht, Netherlands</t>
        </is>
      </c>
      <c r="B13462" t="inlineStr">
        <is>
          <t>Collecting Point, Trader with Storage</t>
        </is>
      </c>
      <c r="C13462" t="inlineStr">
        <is>
          <t>DEKRA Certification B.V., Arnhem, NL</t>
        </is>
      </c>
      <c r="D13462" t="inlineStr">
        <is>
          <t>16.10.2026</t>
        </is>
      </c>
      <c r="E13462" t="inlineStr">
        <is>
          <t>Netherlands</t>
        </is>
      </c>
    </row>
    <row r="13463">
      <c r="A13463" t="inlineStr">
        <is>
          <t>United Molasses Trading Ltd,  London, United Kingdom</t>
        </is>
      </c>
      <c r="B13463" t="inlineStr">
        <is>
          <t>Trader</t>
        </is>
      </c>
      <c r="C13463" t="inlineStr">
        <is>
          <t>SGS Germany GmbH, Emstek, DE</t>
        </is>
      </c>
      <c r="D13463" t="inlineStr">
        <is>
          <t>16.10.2026</t>
        </is>
      </c>
      <c r="E13463" t="inlineStr">
        <is>
          <t>United Kingdom</t>
        </is>
      </c>
    </row>
    <row r="13464">
      <c r="A13464" t="inlineStr">
        <is>
          <t>Shell Chemical LP,  Geismar, Louisiana, United States</t>
        </is>
      </c>
      <c r="B13464" t="inlineStr">
        <is>
          <t>Processing Unit</t>
        </is>
      </c>
      <c r="C13464" t="inlineStr">
        <is>
          <t>SCS Global Services, Emeryville, CA, US</t>
        </is>
      </c>
      <c r="D13464" t="inlineStr">
        <is>
          <t>16.10.2026</t>
        </is>
      </c>
      <c r="E13464" t="inlineStr">
        <is>
          <t>United States</t>
        </is>
      </c>
    </row>
    <row r="13465">
      <c r="A13465" t="inlineStr">
        <is>
          <t>PT. Sawit Inti Raya,  Indragiri Hulu, Indonesia</t>
        </is>
      </c>
      <c r="B13465" t="inlineStr">
        <is>
          <t>Point of Origin</t>
        </is>
      </c>
      <c r="C13465" t="inlineStr">
        <is>
          <t>PT. CBQA GLOBAL INDONESIA, JAKARTA SELATAN, ID</t>
        </is>
      </c>
      <c r="D13465" t="inlineStr">
        <is>
          <t>16.10.2026</t>
        </is>
      </c>
      <c r="E13465" t="inlineStr">
        <is>
          <t>Indonesia</t>
        </is>
      </c>
    </row>
    <row r="13466">
      <c r="A13466" t="inlineStr">
        <is>
          <t>WIN FAITH TRADING LIMITED,  Hong Kong, Hong Kong, SAR, China</t>
        </is>
      </c>
      <c r="B13466" t="inlineStr">
        <is>
          <t>Trader with Storage</t>
        </is>
      </c>
      <c r="C13466" t="inlineStr">
        <is>
          <t>SCS Global Services, Emeryville, CA, US</t>
        </is>
      </c>
      <c r="D13466" t="inlineStr">
        <is>
          <t>16.10.2026</t>
        </is>
      </c>
      <c r="E13466" t="inlineStr">
        <is>
          <t>China</t>
        </is>
      </c>
    </row>
    <row r="13467">
      <c r="A13467" t="inlineStr">
        <is>
          <t>WIN FAITH TRADING LIMITED,  Hong Kong, Hong Kong, SAR, China</t>
        </is>
      </c>
      <c r="B13467" t="inlineStr">
        <is>
          <t>Trader with Storage</t>
        </is>
      </c>
      <c r="C13467" t="inlineStr">
        <is>
          <t>SCS Global Services, Emeryville, CA, US</t>
        </is>
      </c>
      <c r="D13467" t="inlineStr">
        <is>
          <t>16.10.2026</t>
        </is>
      </c>
      <c r="E13467" t="inlineStr">
        <is>
          <t>China</t>
        </is>
      </c>
    </row>
    <row r="13468">
      <c r="A13468" t="inlineStr">
        <is>
          <t>SUMEC International Technology Co., Ltd.Lianyungang Branch,  Jiangsu Province, China</t>
        </is>
      </c>
      <c r="B13468" t="inlineStr">
        <is>
          <t>Trader</t>
        </is>
      </c>
      <c r="C13468" t="inlineStr">
        <is>
          <t>SCS Global Services, Emeryville, CA, US</t>
        </is>
      </c>
      <c r="D13468" t="inlineStr">
        <is>
          <t>16.10.2026</t>
        </is>
      </c>
      <c r="E13468" t="inlineStr">
        <is>
          <t>China</t>
        </is>
      </c>
    </row>
    <row r="13469">
      <c r="A13469" t="inlineStr">
        <is>
          <t>SUMEC International Technology Co., Ltd.Lianyungang Branch,  Jiangsu Province, China</t>
        </is>
      </c>
      <c r="B13469" t="inlineStr">
        <is>
          <t>Trader</t>
        </is>
      </c>
      <c r="C13469" t="inlineStr">
        <is>
          <t>SCS Global Services, Emeryville, CA, US</t>
        </is>
      </c>
      <c r="D13469" t="inlineStr">
        <is>
          <t>16.10.2026</t>
        </is>
      </c>
      <c r="E13469" t="inlineStr">
        <is>
          <t>China</t>
        </is>
      </c>
    </row>
    <row r="13470">
      <c r="A13470" t="inlineStr">
        <is>
          <t>RECYKL ORGANIZACJA ODZYSKU S.A,  CHEŁM, Poland</t>
        </is>
      </c>
      <c r="B13470" t="inlineStr">
        <is>
          <t>Collecting Point, Processing Unit</t>
        </is>
      </c>
      <c r="C13470" t="inlineStr">
        <is>
          <t>Control Union Poland Sp. z o.o., Zielona Gora, PL</t>
        </is>
      </c>
      <c r="D13470" t="inlineStr">
        <is>
          <t>16.10.2026</t>
        </is>
      </c>
      <c r="E13470" t="inlineStr">
        <is>
          <t>Poland</t>
        </is>
      </c>
    </row>
    <row r="13471">
      <c r="A13471" t="inlineStr">
        <is>
          <t>Fuling Plastic USA Inc,  Allentown, United States</t>
        </is>
      </c>
      <c r="B13471" t="inlineStr">
        <is>
          <t>Processing Unit</t>
        </is>
      </c>
      <c r="C13471" t="inlineStr">
        <is>
          <t>SCS Global Services, Emeryville, CA, US</t>
        </is>
      </c>
      <c r="D13471" t="inlineStr">
        <is>
          <t>16.10.2026</t>
        </is>
      </c>
      <c r="E13471" t="inlineStr">
        <is>
          <t>United States</t>
        </is>
      </c>
    </row>
    <row r="13472">
      <c r="A13472" t="inlineStr">
        <is>
          <t>CONQUERS TRADING GROUP LLC,  CARTAGENA, Colombia</t>
        </is>
      </c>
      <c r="B13472" t="inlineStr">
        <is>
          <t>Trader with Storage</t>
        </is>
      </c>
      <c r="C13472" t="inlineStr">
        <is>
          <t>KIWA COLOMBIA S.A.S., Zipaquirá, CO</t>
        </is>
      </c>
      <c r="D13472" t="inlineStr">
        <is>
          <t>16.10.2026</t>
        </is>
      </c>
      <c r="E13472" t="inlineStr">
        <is>
          <t>Colombia</t>
        </is>
      </c>
    </row>
    <row r="13473">
      <c r="A13473" t="inlineStr">
        <is>
          <t>CONQUERS TRADING GROUP LLC,  CARTAGENA, Colombia</t>
        </is>
      </c>
      <c r="B13473" t="inlineStr">
        <is>
          <t>Trader with Storage</t>
        </is>
      </c>
      <c r="C13473" t="inlineStr">
        <is>
          <t>KIWA COLOMBIA S.A.S., Zipaquirá, CO</t>
        </is>
      </c>
      <c r="D13473" t="inlineStr">
        <is>
          <t>16.10.2026</t>
        </is>
      </c>
      <c r="E13473" t="inlineStr">
        <is>
          <t>Colombia</t>
        </is>
      </c>
    </row>
    <row r="13474">
      <c r="A13474" t="inlineStr">
        <is>
          <t>Samudera Sawit Nabati,  Kota Subulussalam - NAD, Indonesia</t>
        </is>
      </c>
      <c r="B13474" t="inlineStr">
        <is>
          <t>Point of Origin</t>
        </is>
      </c>
      <c r="C13474" t="inlineStr">
        <is>
          <t>PT. CBQA GLOBAL INDONESIA, JAKARTA SELATAN, ID</t>
        </is>
      </c>
      <c r="D13474" t="inlineStr">
        <is>
          <t>16.10.2026</t>
        </is>
      </c>
      <c r="E13474" t="inlineStr">
        <is>
          <t>Indonesia</t>
        </is>
      </c>
    </row>
    <row r="13475">
      <c r="A13475" t="inlineStr">
        <is>
          <t>Greentech Solusi Utama,  Kel. Lebak Bulus, Kec. Cilandak, Jakarta Selatan, Indonesia</t>
        </is>
      </c>
      <c r="B13475" t="inlineStr">
        <is>
          <t>Collecting Point, Trader, Trader with Storage</t>
        </is>
      </c>
      <c r="C13475" t="inlineStr">
        <is>
          <t>PT. CBQA GLOBAL INDONESIA, JAKARTA SELATAN, ID</t>
        </is>
      </c>
      <c r="D13475" t="inlineStr">
        <is>
          <t>16.10.2026</t>
        </is>
      </c>
      <c r="E13475" t="inlineStr">
        <is>
          <t>Indonesia</t>
        </is>
      </c>
    </row>
    <row r="13476">
      <c r="A13476" t="inlineStr">
        <is>
          <t>Ghana Specialty Fats Industries LTD,  Tema, Ghana</t>
        </is>
      </c>
      <c r="B13476" t="inlineStr">
        <is>
          <t>First Gathering Point, Trader with Storage, Processing Unit</t>
        </is>
      </c>
      <c r="C13476" t="inlineStr">
        <is>
          <t>SGS Germany GmbH, Emstek, DE</t>
        </is>
      </c>
      <c r="D13476" t="inlineStr">
        <is>
          <t>16.10.2026</t>
        </is>
      </c>
      <c r="E13476" t="inlineStr">
        <is>
          <t>Ghana</t>
        </is>
      </c>
    </row>
    <row r="13477">
      <c r="A13477" t="inlineStr">
        <is>
          <t>Dawn Meats Ireland,  Ballyhaunis, Ireland</t>
        </is>
      </c>
      <c r="B13477" t="inlineStr">
        <is>
          <t>Point of Origin</t>
        </is>
      </c>
      <c r="C13477" t="inlineStr">
        <is>
          <t>SGS Germany GmbH, Emstek, DE</t>
        </is>
      </c>
      <c r="D13477" t="inlineStr">
        <is>
          <t>16.10.2026</t>
        </is>
      </c>
      <c r="E13477" t="inlineStr">
        <is>
          <t>Ireland</t>
        </is>
      </c>
    </row>
    <row r="13478">
      <c r="A13478" t="inlineStr">
        <is>
          <t>Dawn Meats Ireland,  Ballyhaunis, Ireland</t>
        </is>
      </c>
      <c r="B13478" t="inlineStr">
        <is>
          <t>Point of Origin</t>
        </is>
      </c>
      <c r="C13478" t="inlineStr">
        <is>
          <t>SGS Germany GmbH, Emstek, DE</t>
        </is>
      </c>
      <c r="D13478" t="inlineStr">
        <is>
          <t>16.10.2026</t>
        </is>
      </c>
      <c r="E13478" t="inlineStr">
        <is>
          <t>Ireland</t>
        </is>
      </c>
    </row>
    <row r="13479">
      <c r="A13479" t="inlineStr">
        <is>
          <t>Changxing Jinyao Renewable Resources Technology Co., Ltd,  Huzhou City, Zhejiang Province, China</t>
        </is>
      </c>
      <c r="B13479" t="inlineStr">
        <is>
          <t>Collecting Point, Processing Unit</t>
        </is>
      </c>
      <c r="C13479" t="inlineStr">
        <is>
          <t>RINA Services S.p.A., Genova, IT</t>
        </is>
      </c>
      <c r="D13479" t="inlineStr">
        <is>
          <t>16.10.2026</t>
        </is>
      </c>
      <c r="E13479" t="inlineStr">
        <is>
          <t>China</t>
        </is>
      </c>
    </row>
    <row r="13480">
      <c r="A13480" t="inlineStr">
        <is>
          <t>M TÁRHÁZ KFT,  Orosháza, Hungary</t>
        </is>
      </c>
      <c r="B13480" t="inlineStr">
        <is>
          <t>First Gathering Point, Trader with Storage</t>
        </is>
      </c>
      <c r="C13480" t="inlineStr">
        <is>
          <t>Certificadora Gallega del Noroeste SL, Vilagarcia de Arousa-Pontevedra, ES</t>
        </is>
      </c>
      <c r="D13480" t="inlineStr">
        <is>
          <t>16.10.2026</t>
        </is>
      </c>
      <c r="E13480" t="inlineStr">
        <is>
          <t>Hungary</t>
        </is>
      </c>
    </row>
    <row r="13481">
      <c r="A13481" t="inlineStr">
        <is>
          <t>Tradezone Europe,  Antwerp, Belgium</t>
        </is>
      </c>
      <c r="B13481" t="inlineStr">
        <is>
          <t>Trader with Storage</t>
        </is>
      </c>
      <c r="C13481" t="inlineStr">
        <is>
          <t>Control Union Certifications Germany GmbH, Berlin, DE</t>
        </is>
      </c>
      <c r="D13481" t="inlineStr">
        <is>
          <t>16.10.2026</t>
        </is>
      </c>
      <c r="E13481" t="inlineStr">
        <is>
          <t>Belgium</t>
        </is>
      </c>
    </row>
    <row r="13482">
      <c r="A13482" t="inlineStr">
        <is>
          <t>Wastewise Group Oy,  Nokia, Finland</t>
        </is>
      </c>
      <c r="B13482" t="inlineStr">
        <is>
          <t>Collecting Point, Processing Unit</t>
        </is>
      </c>
      <c r="C13482" t="inlineStr">
        <is>
          <t>SGS Germany GmbH, Emstek, DE</t>
        </is>
      </c>
      <c r="D13482" t="inlineStr">
        <is>
          <t>16.10.2026</t>
        </is>
      </c>
      <c r="E13482" t="inlineStr">
        <is>
          <t>Finland</t>
        </is>
      </c>
    </row>
    <row r="13483">
      <c r="A13483" t="inlineStr">
        <is>
          <t>Darling Ingredients Inc.,  Irving, United States</t>
        </is>
      </c>
      <c r="B13483" t="inlineStr">
        <is>
          <t>Collecting Point, Trader with Storage</t>
        </is>
      </c>
      <c r="C13483" t="inlineStr">
        <is>
          <t>Control Union Poland Sp. z o.o., Zielona Gora, PL</t>
        </is>
      </c>
      <c r="D13483" t="inlineStr">
        <is>
          <t>16.10.2026</t>
        </is>
      </c>
      <c r="E13483" t="inlineStr">
        <is>
          <t>United States</t>
        </is>
      </c>
    </row>
    <row r="13484">
      <c r="A13484" t="inlineStr">
        <is>
          <t>MOLTECH BIO TRADING L.L.C,  Dubai,, United Arab Emirates</t>
        </is>
      </c>
      <c r="B13484" t="inlineStr">
        <is>
          <t>Collecting Point, Trader with Storage</t>
        </is>
      </c>
      <c r="C13484" t="inlineStr">
        <is>
          <t>PT Mutuagung Lestari, Depok, ID</t>
        </is>
      </c>
      <c r="D13484" t="inlineStr">
        <is>
          <t>15.10.2026</t>
        </is>
      </c>
      <c r="E13484" t="inlineStr">
        <is>
          <t>United Arab Emirates</t>
        </is>
      </c>
    </row>
    <row r="13485">
      <c r="A13485" t="inlineStr">
        <is>
          <t>Lynovytskyi sugar factory "Krasnyi",  Lynovitsa village, Chernihiv region, Ukraine</t>
        </is>
      </c>
      <c r="B13485" t="inlineStr">
        <is>
          <t>Processing Unit, First Gathering Point</t>
        </is>
      </c>
      <c r="C13485" t="inlineStr">
        <is>
          <t>Bureau Veritas Polska Sp. z o.o., Warsaw, PL</t>
        </is>
      </c>
      <c r="D13485" t="inlineStr">
        <is>
          <t>15.10.2026</t>
        </is>
      </c>
      <c r="E13485" t="inlineStr">
        <is>
          <t>Ukraine</t>
        </is>
      </c>
    </row>
    <row r="13486">
      <c r="A13486" t="inlineStr">
        <is>
          <t>Chengdu International Trade Group Land-port Trading Co. ,Ltd,  Chengdu, Sichuan, China</t>
        </is>
      </c>
      <c r="B13486" t="inlineStr">
        <is>
          <t>Trader</t>
        </is>
      </c>
      <c r="C13486" t="inlineStr">
        <is>
          <t>RINA Services S.p.A., Genova, IT</t>
        </is>
      </c>
      <c r="D13486" t="inlineStr">
        <is>
          <t>15.10.2026</t>
        </is>
      </c>
      <c r="E13486" t="inlineStr">
        <is>
          <t>China</t>
        </is>
      </c>
    </row>
    <row r="13487">
      <c r="A13487" t="inlineStr">
        <is>
          <t>Hebei Shoulang New Energy Technology Co.,Ltd,  Tangshan, China</t>
        </is>
      </c>
      <c r="B13487" t="inlineStr">
        <is>
          <t>Collecting Point, Trader with Storage, Processing Unit</t>
        </is>
      </c>
      <c r="C13487" t="inlineStr">
        <is>
          <t>SCS Global Services, Emeryville, CA, US</t>
        </is>
      </c>
      <c r="D13487" t="inlineStr">
        <is>
          <t>15.10.2026</t>
        </is>
      </c>
      <c r="E13487" t="inlineStr">
        <is>
          <t>China</t>
        </is>
      </c>
    </row>
    <row r="13488">
      <c r="A13488" t="inlineStr">
        <is>
          <t>Röchling Industrial Tábor s.r.o.,  Tábor – Měšice, Czech Republic</t>
        </is>
      </c>
      <c r="B13488" t="inlineStr">
        <is>
          <t>Processing Unit</t>
        </is>
      </c>
      <c r="C13488" t="inlineStr">
        <is>
          <t>SGS Germany GmbH, Emstek, DE</t>
        </is>
      </c>
      <c r="D13488" t="inlineStr">
        <is>
          <t>15.10.2026</t>
        </is>
      </c>
      <c r="E13488" t="inlineStr">
        <is>
          <t>Czech Republic</t>
        </is>
      </c>
    </row>
    <row r="13489">
      <c r="A13489" t="inlineStr">
        <is>
          <t>Okura Industrial Co.,Ltd.,  Marugame, Kagawa, Japan</t>
        </is>
      </c>
      <c r="B13489" t="inlineStr">
        <is>
          <t>Processing Unit</t>
        </is>
      </c>
      <c r="C13489" t="inlineStr">
        <is>
          <t>SGS Germany GmbH, Emstek, DE</t>
        </is>
      </c>
      <c r="D13489" t="inlineStr">
        <is>
          <t>15.10.2026</t>
        </is>
      </c>
      <c r="E13489" t="inlineStr">
        <is>
          <t>Japan</t>
        </is>
      </c>
    </row>
    <row r="13490">
      <c r="A13490" t="inlineStr">
        <is>
          <t>NOVA COMPANY GROUP,  CONSTANTA, Romania</t>
        </is>
      </c>
      <c r="B13490" t="inlineStr">
        <is>
          <t>First Gathering Point, Trader with Storage</t>
        </is>
      </c>
      <c r="C13490" t="inlineStr">
        <is>
          <t>Control Union Certifications Germany GmbH, Berlin, DE</t>
        </is>
      </c>
      <c r="D13490" t="inlineStr">
        <is>
          <t>15.10.2026</t>
        </is>
      </c>
      <c r="E13490" t="inlineStr">
        <is>
          <t>Romania</t>
        </is>
      </c>
    </row>
    <row r="13491">
      <c r="A13491" t="inlineStr">
        <is>
          <t>Gamalux Oils Sdn Bhd,  Lahad Datu, Malaysia</t>
        </is>
      </c>
      <c r="B13491" t="inlineStr">
        <is>
          <t>Collecting Point, Trader with Storage</t>
        </is>
      </c>
      <c r="C13491" t="inlineStr">
        <is>
          <t>SCS Global Services, Emeryville, CA, US</t>
        </is>
      </c>
      <c r="D13491" t="inlineStr">
        <is>
          <t>15.10.2026</t>
        </is>
      </c>
      <c r="E13491" t="inlineStr">
        <is>
          <t>Malaysia</t>
        </is>
      </c>
    </row>
    <row r="13492">
      <c r="A13492" t="inlineStr">
        <is>
          <t>Hebei Shoulang New Energy Technology Co.,Ltd,  Tangshan, China</t>
        </is>
      </c>
      <c r="B13492" t="inlineStr">
        <is>
          <t>Collecting Point, Processing Unit, Trader with Storage, Point of Origin</t>
        </is>
      </c>
      <c r="C13492" t="inlineStr">
        <is>
          <t>SCS Global Services, Emeryville, CA, US</t>
        </is>
      </c>
      <c r="D13492" t="inlineStr">
        <is>
          <t>15.10.2026</t>
        </is>
      </c>
      <c r="E13492" t="inlineStr">
        <is>
          <t>China</t>
        </is>
      </c>
    </row>
    <row r="13493">
      <c r="A13493" t="inlineStr">
        <is>
          <t>Bina Agro Tani,  Provinsi Kepulauan Bangka Belitung, Indonesia</t>
        </is>
      </c>
      <c r="B13493" t="inlineStr">
        <is>
          <t>Point of Origin</t>
        </is>
      </c>
      <c r="C13493" t="inlineStr">
        <is>
          <t>PT. Qualitas Sertifikasi Indonesia, Jakarta, ID</t>
        </is>
      </c>
      <c r="D13493" t="inlineStr">
        <is>
          <t>15.10.2026</t>
        </is>
      </c>
      <c r="E13493" t="inlineStr">
        <is>
          <t>Indonesia</t>
        </is>
      </c>
    </row>
    <row r="13494">
      <c r="A13494" t="inlineStr">
        <is>
          <t>TotalEnergies Raffinage France,  Grandpuits-Bailly-Carois, France</t>
        </is>
      </c>
      <c r="B13494" t="inlineStr">
        <is>
          <t>Trader, Collecting Point</t>
        </is>
      </c>
      <c r="C13494" t="inlineStr">
        <is>
          <t>Control Union Certifications Germany GmbH, Berlin, DE</t>
        </is>
      </c>
      <c r="D13494" t="inlineStr">
        <is>
          <t>15.10.2026</t>
        </is>
      </c>
      <c r="E13494" t="inlineStr">
        <is>
          <t>France</t>
        </is>
      </c>
    </row>
    <row r="13495">
      <c r="A13495" t="inlineStr">
        <is>
          <t>LEUNA- Polyamid,  Leuna, Germany</t>
        </is>
      </c>
      <c r="B13495" t="inlineStr">
        <is>
          <t>Processing Unit</t>
        </is>
      </c>
      <c r="C13495" t="inlineStr">
        <is>
          <t>SGS Germany GmbH, Emstek, DE</t>
        </is>
      </c>
      <c r="D13495" t="inlineStr">
        <is>
          <t>15.10.2026</t>
        </is>
      </c>
      <c r="E13495" t="inlineStr">
        <is>
          <t>Germany</t>
        </is>
      </c>
    </row>
    <row r="13496">
      <c r="A13496" t="inlineStr">
        <is>
          <t>Nuova Erreplast SRL,  Marcianise, Italy</t>
        </is>
      </c>
      <c r="B13496" t="inlineStr">
        <is>
          <t>Processing Unit</t>
        </is>
      </c>
      <c r="C13496" t="inlineStr">
        <is>
          <t>IIP S.r.l., Monza, IT</t>
        </is>
      </c>
      <c r="D13496" t="inlineStr">
        <is>
          <t>15.10.2026</t>
        </is>
      </c>
      <c r="E13496" t="inlineStr">
        <is>
          <t>Italy</t>
        </is>
      </c>
    </row>
    <row r="13497">
      <c r="A13497" t="inlineStr">
        <is>
          <t>MASAMORI OIL CO., LTD,  Taoyuan City, Jhongli District, Taiwan, Province of China</t>
        </is>
      </c>
      <c r="B13497" t="inlineStr">
        <is>
          <t>Trader</t>
        </is>
      </c>
      <c r="C13497" t="inlineStr">
        <is>
          <t>Bureau Veritas Polska Sp. z o.o., Warsaw, PL</t>
        </is>
      </c>
      <c r="D13497" t="inlineStr">
        <is>
          <t>15.10.2026</t>
        </is>
      </c>
      <c r="E13497" t="inlineStr">
        <is>
          <t>Province of China</t>
        </is>
      </c>
    </row>
    <row r="13498">
      <c r="A13498" t="inlineStr">
        <is>
          <t>VP Cereale BZ SRL,  Sat BAJANI, judet BUZAU, Romania</t>
        </is>
      </c>
      <c r="B13498" t="inlineStr">
        <is>
          <t>First Gathering Point</t>
        </is>
      </c>
      <c r="C13498" t="inlineStr">
        <is>
          <t>BM Certification, Riga, LV</t>
        </is>
      </c>
      <c r="D13498" t="inlineStr">
        <is>
          <t>15.10.2026</t>
        </is>
      </c>
      <c r="E13498" t="inlineStr">
        <is>
          <t>Romania</t>
        </is>
      </c>
    </row>
    <row r="13499">
      <c r="A13499" t="inlineStr">
        <is>
          <t>Fueling Maritime (Americas),  Houston, Texas, United States</t>
        </is>
      </c>
      <c r="B13499" t="inlineStr">
        <is>
          <t>Trader</t>
        </is>
      </c>
      <c r="C13499" t="inlineStr">
        <is>
          <t>Baltic Control Certification, Risskov, DK</t>
        </is>
      </c>
      <c r="D13499" t="inlineStr">
        <is>
          <t>15.10.2026</t>
        </is>
      </c>
      <c r="E13499" t="inlineStr">
        <is>
          <t>United States</t>
        </is>
      </c>
    </row>
    <row r="13500">
      <c r="A13500" t="inlineStr">
        <is>
          <t>Fueling Maritime (Americas),  Houston, Texas, United States</t>
        </is>
      </c>
      <c r="B13500" t="inlineStr">
        <is>
          <t>Trader</t>
        </is>
      </c>
      <c r="C13500" t="inlineStr">
        <is>
          <t>Baltic Control Certification, Risskov, DK</t>
        </is>
      </c>
      <c r="D13500" t="inlineStr">
        <is>
          <t>15.10.2026</t>
        </is>
      </c>
      <c r="E13500" t="inlineStr">
        <is>
          <t>United States</t>
        </is>
      </c>
    </row>
    <row r="13501">
      <c r="A13501" t="inlineStr">
        <is>
          <t>Suppleo Bunkering S. DE R.L. DE C.V,  Deleg Miguel Hidalgo México D.F., Mexico</t>
        </is>
      </c>
      <c r="B13501" t="inlineStr">
        <is>
          <t>Trader</t>
        </is>
      </c>
      <c r="C13501" t="inlineStr">
        <is>
          <t>Baltic Control Certification, Risskov, DK</t>
        </is>
      </c>
      <c r="D13501" t="inlineStr">
        <is>
          <t>15.10.2026</t>
        </is>
      </c>
      <c r="E13501" t="inlineStr">
        <is>
          <t>Mexico</t>
        </is>
      </c>
    </row>
    <row r="13502">
      <c r="A13502" t="inlineStr">
        <is>
          <t>Suppleo Bunkering S. DE R.L. DE C.V,  Deleg Miguel Hidalgo México D.F., Mexico</t>
        </is>
      </c>
      <c r="B13502" t="inlineStr">
        <is>
          <t>Trader</t>
        </is>
      </c>
      <c r="C13502" t="inlineStr">
        <is>
          <t>Baltic Control Certification, Risskov, DK</t>
        </is>
      </c>
      <c r="D13502" t="inlineStr">
        <is>
          <t>15.10.2026</t>
        </is>
      </c>
      <c r="E13502" t="inlineStr">
        <is>
          <t>Mexico</t>
        </is>
      </c>
    </row>
    <row r="13503">
      <c r="A13503" t="inlineStr">
        <is>
          <t>Rui Chen Ze Acetate Co.,Ltd.,  Dongguan, Guangdong, China</t>
        </is>
      </c>
      <c r="B13503" t="inlineStr">
        <is>
          <t>Processing Unit</t>
        </is>
      </c>
      <c r="C13503" t="inlineStr">
        <is>
          <t>SCS Global Services, Emeryville, CA, US</t>
        </is>
      </c>
      <c r="D13503" t="inlineStr">
        <is>
          <t>15.10.2026</t>
        </is>
      </c>
      <c r="E13503" t="inlineStr">
        <is>
          <t>China</t>
        </is>
      </c>
    </row>
    <row r="13504">
      <c r="A13504" t="inlineStr">
        <is>
          <t>Bina Agro Tani,  Provinsi Kepulauan Bangka Belitung, Indonesia</t>
        </is>
      </c>
      <c r="B13504" t="inlineStr">
        <is>
          <t>Point of Origin</t>
        </is>
      </c>
      <c r="C13504" t="inlineStr">
        <is>
          <t>PT. Qualitas Sertifikasi Indonesia, Jakarta, ID</t>
        </is>
      </c>
      <c r="D13504" t="inlineStr">
        <is>
          <t>15.10.2026</t>
        </is>
      </c>
      <c r="E13504" t="inlineStr">
        <is>
          <t>Indonesia</t>
        </is>
      </c>
    </row>
    <row r="13505">
      <c r="A13505" t="inlineStr">
        <is>
          <t>Gemilang Cahaya Mentari,  Provinsi Bangka Belitung, Indonesia</t>
        </is>
      </c>
      <c r="B13505" t="inlineStr">
        <is>
          <t>Point of Origin</t>
        </is>
      </c>
      <c r="C13505" t="inlineStr">
        <is>
          <t>PT. Qualitas Sertifikasi Indonesia, Jakarta, ID</t>
        </is>
      </c>
      <c r="D13505" t="inlineStr">
        <is>
          <t>15.10.2026</t>
        </is>
      </c>
      <c r="E13505" t="inlineStr">
        <is>
          <t>Indonesia</t>
        </is>
      </c>
    </row>
    <row r="13506">
      <c r="A13506" t="inlineStr">
        <is>
          <t>Moens Mouldings BV,  Beverwijk, Netherlands</t>
        </is>
      </c>
      <c r="B13506" t="inlineStr">
        <is>
          <t>Processing Unit, Final Product Refinement</t>
        </is>
      </c>
      <c r="C13506" t="inlineStr">
        <is>
          <t>Normec QS BV, Bennekom, NL</t>
        </is>
      </c>
      <c r="D13506" t="inlineStr">
        <is>
          <t>15.10.2026</t>
        </is>
      </c>
      <c r="E13506" t="inlineStr">
        <is>
          <t>Netherlands</t>
        </is>
      </c>
    </row>
    <row r="13507">
      <c r="A13507" t="inlineStr">
        <is>
          <t>Subeco,  katwijk, Netherlands</t>
        </is>
      </c>
      <c r="B13507" t="inlineStr">
        <is>
          <t>Processing Unit</t>
        </is>
      </c>
      <c r="C13507" t="inlineStr">
        <is>
          <t>Normec QS BV, Bennekom, NL</t>
        </is>
      </c>
      <c r="D13507" t="inlineStr">
        <is>
          <t>15.10.2026</t>
        </is>
      </c>
      <c r="E13507" t="inlineStr">
        <is>
          <t>Netherlands</t>
        </is>
      </c>
    </row>
    <row r="13508">
      <c r="A13508" t="inlineStr">
        <is>
          <t>FatHopes Energy Sdn Bhd,  Ara Damansara, Petaling Jaya,, Malaysia</t>
        </is>
      </c>
      <c r="B13508" t="inlineStr">
        <is>
          <t>Collecting Point, Trader with Storage</t>
        </is>
      </c>
      <c r="C13508" t="inlineStr">
        <is>
          <t>SCS Global Services, Emeryville, CA, US</t>
        </is>
      </c>
      <c r="D13508" t="inlineStr">
        <is>
          <t>15.10.2026</t>
        </is>
      </c>
      <c r="E13508" t="inlineStr">
        <is>
          <t>Malaysia</t>
        </is>
      </c>
    </row>
    <row r="13509">
      <c r="A13509" t="inlineStr">
        <is>
          <t>FatHopes Energy Sdn Bhd,  Ara Damansara, Petaling Jaya,, Malaysia</t>
        </is>
      </c>
      <c r="B13509" t="inlineStr">
        <is>
          <t>Collecting Point, Trader with Storage</t>
        </is>
      </c>
      <c r="C13509" t="inlineStr">
        <is>
          <t>SCS Global Services, Emeryville, CA, US</t>
        </is>
      </c>
      <c r="D13509" t="inlineStr">
        <is>
          <t>15.10.2026</t>
        </is>
      </c>
      <c r="E13509" t="inlineStr">
        <is>
          <t>Malaysia</t>
        </is>
      </c>
    </row>
    <row r="13510">
      <c r="A13510" t="inlineStr">
        <is>
          <t>FatHopes Energy Sdn Bhd,  Ara Damansara, Petaling Jaya,, Malaysia</t>
        </is>
      </c>
      <c r="B13510" t="inlineStr">
        <is>
          <t>Collecting Point, Trader with Storage</t>
        </is>
      </c>
      <c r="C13510" t="inlineStr">
        <is>
          <t>SCS Global Services, Emeryville, CA, US</t>
        </is>
      </c>
      <c r="D13510" t="inlineStr">
        <is>
          <t>15.10.2026</t>
        </is>
      </c>
      <c r="E13510" t="inlineStr">
        <is>
          <t>Malaysia</t>
        </is>
      </c>
    </row>
    <row r="13511">
      <c r="A13511" t="inlineStr">
        <is>
          <t>KUANTAN TRADING OIL MILL SDN BHD,  Muadzam Shah, Malaysia</t>
        </is>
      </c>
      <c r="B13511" t="inlineStr">
        <is>
          <t>Point of Origin</t>
        </is>
      </c>
      <c r="C13511" t="inlineStr">
        <is>
          <t>Trans Certification and Inspection Sdn Bhd, Kuantan, MY</t>
        </is>
      </c>
      <c r="D13511" t="inlineStr">
        <is>
          <t>15.10.2026</t>
        </is>
      </c>
      <c r="E13511" t="inlineStr">
        <is>
          <t>Malaysia</t>
        </is>
      </c>
    </row>
    <row r="13512">
      <c r="A13512" t="inlineStr">
        <is>
          <t>Surimadani Mahkota RIau,  Riau, Dumai, Indonesia</t>
        </is>
      </c>
      <c r="B13512" t="inlineStr">
        <is>
          <t>Trader</t>
        </is>
      </c>
      <c r="C13512" t="inlineStr">
        <is>
          <t>China Testing &amp; Certification International Group Co., Ltd., Beijing, CN</t>
        </is>
      </c>
      <c r="D13512" t="inlineStr">
        <is>
          <t>15.10.2026</t>
        </is>
      </c>
      <c r="E13512" t="inlineStr">
        <is>
          <t>Indonesia</t>
        </is>
      </c>
    </row>
    <row r="13513">
      <c r="A13513" t="inlineStr">
        <is>
          <t>REDBRIDGE ENERGY DMCC,  Jumeirah Lakes Towers Dubai, The United Arab Emirates</t>
        </is>
      </c>
      <c r="B13513" t="inlineStr">
        <is>
          <t>Trader with Storage</t>
        </is>
      </c>
      <c r="C13513" t="inlineStr">
        <is>
          <t>Amspec Iberia SL, Vilagarcia de Arousa-Pontevedra, ES</t>
        </is>
      </c>
      <c r="D13513" t="inlineStr">
        <is>
          <t>15.10.2026</t>
        </is>
      </c>
      <c r="E13513" t="inlineStr">
        <is>
          <t>The United Arab Emirates</t>
        </is>
      </c>
    </row>
    <row r="13514">
      <c r="A13514" t="inlineStr">
        <is>
          <t>Tamatech Waste Industry,  Dumai, Indonesia</t>
        </is>
      </c>
      <c r="B13514" t="inlineStr">
        <is>
          <t>Trader with Storage</t>
        </is>
      </c>
      <c r="C13514" t="inlineStr">
        <is>
          <t>China Testing &amp; Certification International Group Co., Ltd., Beijing, CN</t>
        </is>
      </c>
      <c r="D13514" t="inlineStr">
        <is>
          <t>15.10.2026</t>
        </is>
      </c>
      <c r="E13514" t="inlineStr">
        <is>
          <t>Indonesia</t>
        </is>
      </c>
    </row>
    <row r="13515">
      <c r="A13515" t="inlineStr">
        <is>
          <t>APEXX SRL,  LETCANI, Romania</t>
        </is>
      </c>
      <c r="B13515" t="inlineStr">
        <is>
          <t>First Gathering Point</t>
        </is>
      </c>
      <c r="C13515" t="inlineStr">
        <is>
          <t>BM Certification, Riga, LV</t>
        </is>
      </c>
      <c r="D13515" t="inlineStr">
        <is>
          <t>15.10.2026</t>
        </is>
      </c>
      <c r="E13515" t="inlineStr">
        <is>
          <t>Romania</t>
        </is>
      </c>
    </row>
    <row r="13516">
      <c r="A13516" t="inlineStr">
        <is>
          <t>ACEITES LA PEDRIZA, S.A,  Cabra (Cordoba), Spain</t>
        </is>
      </c>
      <c r="B13516" t="inlineStr">
        <is>
          <t>Point of Origin, Trader</t>
        </is>
      </c>
      <c r="C13516" t="inlineStr">
        <is>
          <t>Control Union Poland Sp. z o.o., Zielona Gora, PL</t>
        </is>
      </c>
      <c r="D13516" t="inlineStr">
        <is>
          <t>15.10.2026</t>
        </is>
      </c>
      <c r="E13516" t="inlineStr">
        <is>
          <t>Spain</t>
        </is>
      </c>
    </row>
    <row r="13517">
      <c r="A13517" t="inlineStr">
        <is>
          <t>AKSHIAA DISTRIBUTOR SDN BHD,  SUBANG JAYA, Malaysia</t>
        </is>
      </c>
      <c r="B13517" t="inlineStr">
        <is>
          <t>Collecting Point, Trader, Trader with Storage</t>
        </is>
      </c>
      <c r="C13517" t="inlineStr">
        <is>
          <t>PT. CBQA GLOBAL INDONESIA, JAKARTA SELATAN, ID</t>
        </is>
      </c>
      <c r="D13517" t="inlineStr">
        <is>
          <t>15.10.2026</t>
        </is>
      </c>
      <c r="E13517" t="inlineStr">
        <is>
          <t>Malaysia</t>
        </is>
      </c>
    </row>
    <row r="13518">
      <c r="A13518" t="inlineStr">
        <is>
          <t>AKSHIAA DISTRIBUTOR SDN BHD,  SUBANG JAYA, Malaysia</t>
        </is>
      </c>
      <c r="B13518" t="inlineStr">
        <is>
          <t>Collecting Point, Trader, Trader with Storage</t>
        </is>
      </c>
      <c r="C13518" t="inlineStr">
        <is>
          <t>PT. CBQA GLOBAL INDONESIA, JAKARTA SELATAN, ID</t>
        </is>
      </c>
      <c r="D13518" t="inlineStr">
        <is>
          <t>15.10.2026</t>
        </is>
      </c>
      <c r="E13518" t="inlineStr">
        <is>
          <t>Malaysia</t>
        </is>
      </c>
    </row>
    <row r="13519">
      <c r="A13519" t="inlineStr">
        <is>
          <t>Agro Giethoorn Energie BV,  Giethoorn, The Netherlands</t>
        </is>
      </c>
      <c r="B13519" t="inlineStr">
        <is>
          <t>Collecting Point, Processing Unit</t>
        </is>
      </c>
      <c r="C13519" t="inlineStr">
        <is>
          <t>Normec QS BV, Bennekom, NL</t>
        </is>
      </c>
      <c r="D13519" t="inlineStr">
        <is>
          <t>15.10.2026</t>
        </is>
      </c>
      <c r="E13519" t="inlineStr">
        <is>
          <t>The Netherlands</t>
        </is>
      </c>
    </row>
    <row r="13520">
      <c r="A13520" t="inlineStr">
        <is>
          <t>Paisagem a Oleo Lda,  Arcos de Valdevez, Portugal</t>
        </is>
      </c>
      <c r="B13520" t="inlineStr">
        <is>
          <t>Collecting Point, Trader with Storage</t>
        </is>
      </c>
      <c r="C13520" t="inlineStr">
        <is>
          <t>Certificadora Gallega del Noroeste SL, Vilagarcia de Arousa-Pontevedra, ES</t>
        </is>
      </c>
      <c r="D13520" t="inlineStr">
        <is>
          <t>15.10.2026</t>
        </is>
      </c>
      <c r="E13520" t="inlineStr">
        <is>
          <t>Portugal</t>
        </is>
      </c>
    </row>
    <row r="13521">
      <c r="A13521" t="inlineStr">
        <is>
          <t>Jiangsu Deqitech New Materials Co., Ltd.,  Zhenjiang, China</t>
        </is>
      </c>
      <c r="B13521" t="inlineStr">
        <is>
          <t>Processing Unit</t>
        </is>
      </c>
      <c r="C13521" t="inlineStr">
        <is>
          <t>SGS Germany GmbH, Emstek, DE</t>
        </is>
      </c>
      <c r="D13521" t="inlineStr">
        <is>
          <t>15.10.2026</t>
        </is>
      </c>
      <c r="E13521" t="inlineStr">
        <is>
          <t>China</t>
        </is>
      </c>
    </row>
    <row r="13522">
      <c r="A13522" t="inlineStr">
        <is>
          <t>Aquafin NV,  Gent, Belgium</t>
        </is>
      </c>
      <c r="B13522" t="inlineStr">
        <is>
          <t>Processing Unit, Collecting Point</t>
        </is>
      </c>
      <c r="C13522" t="inlineStr">
        <is>
          <t>Normec QS BV, Bennekom, NL</t>
        </is>
      </c>
      <c r="D13522" t="inlineStr">
        <is>
          <t>15.10.2026</t>
        </is>
      </c>
      <c r="E13522" t="inlineStr">
        <is>
          <t>Belgium</t>
        </is>
      </c>
    </row>
    <row r="13523">
      <c r="A13523" t="inlineStr">
        <is>
          <t>Petróleo Brasileiro SA PETROBRAS,  Cubatão, Brazil</t>
        </is>
      </c>
      <c r="B13523" t="inlineStr">
        <is>
          <t>Trader with Storage, Processing Unit</t>
        </is>
      </c>
      <c r="C13523" t="inlineStr">
        <is>
          <t>Control Union Certifications Germany GmbH, Berlin, DE</t>
        </is>
      </c>
      <c r="D13523" t="inlineStr">
        <is>
          <t>15.10.2026</t>
        </is>
      </c>
      <c r="E13523" t="inlineStr">
        <is>
          <t>Brazil</t>
        </is>
      </c>
    </row>
    <row r="13524">
      <c r="A13524" t="inlineStr">
        <is>
          <t>Bigadan Sourcing and Commodities BV,  Alkmaar, Netherlands</t>
        </is>
      </c>
      <c r="B13524" t="inlineStr">
        <is>
          <t>Trader, Collecting Point</t>
        </is>
      </c>
      <c r="C13524" t="inlineStr">
        <is>
          <t>Baltic Control Certification, Risskov, DK</t>
        </is>
      </c>
      <c r="D13524" t="inlineStr">
        <is>
          <t>15.10.2026</t>
        </is>
      </c>
      <c r="E13524" t="inlineStr">
        <is>
          <t>Netherlands</t>
        </is>
      </c>
    </row>
    <row r="13525">
      <c r="A13525" t="inlineStr">
        <is>
          <t>En Seng Oil Fat Sdn Bhd,  Rawang, Malaysia</t>
        </is>
      </c>
      <c r="B13525" t="inlineStr">
        <is>
          <t>Collecting Point, Trader with Storage</t>
        </is>
      </c>
      <c r="C13525" t="inlineStr">
        <is>
          <t>Trans Certification and Inspection Sdn Bhd, Kuantan, MY</t>
        </is>
      </c>
      <c r="D13525" t="inlineStr">
        <is>
          <t>15.10.2026</t>
        </is>
      </c>
      <c r="E13525" t="inlineStr">
        <is>
          <t>Malaysia</t>
        </is>
      </c>
    </row>
    <row r="13526">
      <c r="A13526" t="inlineStr">
        <is>
          <t>ASB Biodiesel (Hong Kong) Limited,  N. T., Hong Kong (SAR)</t>
        </is>
      </c>
      <c r="B13526" t="inlineStr">
        <is>
          <t>Processing Unit, Trader with Storage</t>
        </is>
      </c>
      <c r="C13526" t="inlineStr">
        <is>
          <t>RINA Services S.p.A., Genova, IT</t>
        </is>
      </c>
      <c r="D13526" t="inlineStr">
        <is>
          <t>15.10.2026</t>
        </is>
      </c>
      <c r="E13526" t="inlineStr">
        <is>
          <t>Hong Kong (SAR)</t>
        </is>
      </c>
    </row>
    <row r="13527">
      <c r="A13527" t="inlineStr">
        <is>
          <t>St. Johns Packaging USA, LLC,  Greensboro, United States</t>
        </is>
      </c>
      <c r="B13527" t="inlineStr">
        <is>
          <t>Processing Unit</t>
        </is>
      </c>
      <c r="C13527" t="inlineStr">
        <is>
          <t>Control Union Poland Sp. z o.o., Zielona Gora, PL</t>
        </is>
      </c>
      <c r="D13527" t="inlineStr">
        <is>
          <t>15.10.2026</t>
        </is>
      </c>
      <c r="E13527" t="inlineStr">
        <is>
          <t>United States</t>
        </is>
      </c>
    </row>
    <row r="13528">
      <c r="A13528" t="inlineStr">
        <is>
          <t>Wilmar Benby Corporation,  Quezon City, The Philippines</t>
        </is>
      </c>
      <c r="B13528" t="inlineStr">
        <is>
          <t>Collecting Point, Trader with Storage</t>
        </is>
      </c>
      <c r="C13528" t="inlineStr">
        <is>
          <t>Control Union Certifications Germany GmbH, Berlin, DE</t>
        </is>
      </c>
      <c r="D13528" t="inlineStr">
        <is>
          <t>15.10.2026</t>
        </is>
      </c>
      <c r="E13528" t="inlineStr">
        <is>
          <t>The Philippines</t>
        </is>
      </c>
    </row>
    <row r="13529">
      <c r="A13529" t="inlineStr">
        <is>
          <t>Henan Ecostar Renewable Resources Co. Ltd.,  Zhumadian, China</t>
        </is>
      </c>
      <c r="B13529" t="inlineStr">
        <is>
          <t>Processing Unit, Collecting Point</t>
        </is>
      </c>
      <c r="C13529" t="inlineStr">
        <is>
          <t>Bureau Veritas Polska Sp. z o.o., Warsaw, PL</t>
        </is>
      </c>
      <c r="D13529" t="inlineStr">
        <is>
          <t>15.10.2026</t>
        </is>
      </c>
      <c r="E13529" t="inlineStr">
        <is>
          <t>China</t>
        </is>
      </c>
    </row>
    <row r="13530">
      <c r="A13530" t="inlineStr">
        <is>
          <t>New generation gas CEE s.r.o.,  Brno, Czech Republic</t>
        </is>
      </c>
      <c r="B13530" t="inlineStr">
        <is>
          <t>Trader</t>
        </is>
      </c>
      <c r="C13530" t="inlineStr">
        <is>
          <t>United Registrar of Systems Polska Sp. z o.o., Wrocław, PL</t>
        </is>
      </c>
      <c r="D13530" t="inlineStr">
        <is>
          <t>14.10.2026</t>
        </is>
      </c>
      <c r="E13530" t="inlineStr">
        <is>
          <t>Czech Republic</t>
        </is>
      </c>
    </row>
    <row r="13531">
      <c r="A13531" t="inlineStr">
        <is>
          <t>Mitsui Chemicals, Inc.,  Takaishi, Osaka, Japan</t>
        </is>
      </c>
      <c r="B13531" t="inlineStr">
        <is>
          <t>Processing Unit, Warehouse, Trader with Storage</t>
        </is>
      </c>
      <c r="C13531" t="inlineStr">
        <is>
          <t>SGS Germany GmbH, Emstek, DE</t>
        </is>
      </c>
      <c r="D13531" t="inlineStr">
        <is>
          <t>14.10.2026</t>
        </is>
      </c>
      <c r="E13531" t="inlineStr">
        <is>
          <t>Japan</t>
        </is>
      </c>
    </row>
    <row r="13532">
      <c r="A13532" t="inlineStr">
        <is>
          <t>TRAFIGURA INDIA PRIVATE LIMITED,  MUMBAI, India</t>
        </is>
      </c>
      <c r="B13532" t="inlineStr">
        <is>
          <t>Trader with Storage</t>
        </is>
      </c>
      <c r="C13532" t="inlineStr">
        <is>
          <t>Cotecna India Inspection Pvt Ltd, Kolkata, IN</t>
        </is>
      </c>
      <c r="D13532" t="inlineStr">
        <is>
          <t>14.10.2026</t>
        </is>
      </c>
      <c r="E13532" t="inlineStr">
        <is>
          <t>India</t>
        </is>
      </c>
    </row>
    <row r="13533">
      <c r="A13533" t="inlineStr">
        <is>
          <t>China Sinopharm Healthcare Industry (Hainan) Company,  Beijing, China</t>
        </is>
      </c>
      <c r="B13533" t="inlineStr">
        <is>
          <t>Trader with Storage</t>
        </is>
      </c>
      <c r="C13533" t="inlineStr">
        <is>
          <t>SCS Global Services, Emeryville, CA, US</t>
        </is>
      </c>
      <c r="D13533" t="inlineStr">
        <is>
          <t>14.10.2026</t>
        </is>
      </c>
      <c r="E13533" t="inlineStr">
        <is>
          <t>China</t>
        </is>
      </c>
    </row>
    <row r="13534">
      <c r="A13534" t="inlineStr">
        <is>
          <t>Birla Carbon China (Jining) Co. Ltd.,  Jining City, China</t>
        </is>
      </c>
      <c r="B13534" t="inlineStr">
        <is>
          <t>Trader with Storage, Processing Unit</t>
        </is>
      </c>
      <c r="C13534" t="inlineStr">
        <is>
          <t>PT Intertek Utama Services, Jakarta, ID</t>
        </is>
      </c>
      <c r="D13534" t="inlineStr">
        <is>
          <t>14.10.2026</t>
        </is>
      </c>
      <c r="E13534" t="inlineStr">
        <is>
          <t>China</t>
        </is>
      </c>
    </row>
    <row r="13535">
      <c r="A13535" t="inlineStr">
        <is>
          <t>Gal oil,  Kibutz Afikim, Jordan Valley, Israel</t>
        </is>
      </c>
      <c r="B13535" t="inlineStr">
        <is>
          <t>Point of Origin, Collecting Point</t>
        </is>
      </c>
      <c r="C13535" t="inlineStr">
        <is>
          <t>Control Union Certifications Germany GmbH, Berlin, DE</t>
        </is>
      </c>
      <c r="D13535" t="inlineStr">
        <is>
          <t>14.10.2026</t>
        </is>
      </c>
      <c r="E13535" t="inlineStr">
        <is>
          <t>Israel</t>
        </is>
      </c>
    </row>
    <row r="13536">
      <c r="A13536" t="inlineStr">
        <is>
          <t>Circle X Group,  Frederiksvaerk, Denmark</t>
        </is>
      </c>
      <c r="B13536" t="inlineStr">
        <is>
          <t>Collecting Point, Processing Unit</t>
        </is>
      </c>
      <c r="C13536" t="inlineStr">
        <is>
          <t>Baltic Control Certification, Risskov, DK</t>
        </is>
      </c>
      <c r="D13536" t="inlineStr">
        <is>
          <t>14.10.2026</t>
        </is>
      </c>
      <c r="E13536" t="inlineStr">
        <is>
          <t>Denmark</t>
        </is>
      </c>
    </row>
    <row r="13537">
      <c r="A13537" t="inlineStr">
        <is>
          <t>Celanese US Holdings LLC,  Frankfurt am Main, Germany</t>
        </is>
      </c>
      <c r="B13537" t="inlineStr">
        <is>
          <t>Point of Origin, Processing Unit</t>
        </is>
      </c>
      <c r="C13537" t="inlineStr">
        <is>
          <t>DIN CERTCO GmbH, Berlin, DE</t>
        </is>
      </c>
      <c r="D13537" t="inlineStr">
        <is>
          <t>14.10.2026</t>
        </is>
      </c>
      <c r="E13537" t="inlineStr">
        <is>
          <t>Germany</t>
        </is>
      </c>
    </row>
    <row r="13538">
      <c r="A13538" t="inlineStr">
        <is>
          <t>Neste Terminal Rotterdam,  Vlaardingen, The Netherlands</t>
        </is>
      </c>
      <c r="B13538" t="inlineStr">
        <is>
          <t>Warehouse</t>
        </is>
      </c>
      <c r="C13538" t="inlineStr">
        <is>
          <t>GUT Certifizierungsgesellschaft für Managementsysteme mbH Umweltgutachter, Berlin, DE</t>
        </is>
      </c>
      <c r="D13538" t="inlineStr">
        <is>
          <t>14.10.2026</t>
        </is>
      </c>
      <c r="E13538" t="inlineStr">
        <is>
          <t>The Netherlands</t>
        </is>
      </c>
    </row>
    <row r="13539">
      <c r="A13539" t="inlineStr">
        <is>
          <t>Green Fuel Extremadura S.A.,  Los Santos de Maimona, Spain</t>
        </is>
      </c>
      <c r="B13539" t="inlineStr">
        <is>
          <t>Trader with Storage, Processing Unit, Point of Origin</t>
        </is>
      </c>
      <c r="C13539" t="inlineStr">
        <is>
          <t>Amspec Iberia SL, Vilagarcia de Arousa-Pontevedra, ES</t>
        </is>
      </c>
      <c r="D13539" t="inlineStr">
        <is>
          <t>13.10.2026</t>
        </is>
      </c>
      <c r="E13539" t="inlineStr">
        <is>
          <t>Spain</t>
        </is>
      </c>
    </row>
    <row r="13540">
      <c r="A13540" t="inlineStr">
        <is>
          <t>Calussi s.r.l.,  Grosseto, Italy</t>
        </is>
      </c>
      <c r="B13540" t="inlineStr">
        <is>
          <t>Collecting Point</t>
        </is>
      </c>
      <c r="C13540" t="inlineStr">
        <is>
          <t>Bureau Veritas Polska Sp. z o.o., Warsaw, PL</t>
        </is>
      </c>
      <c r="D13540" t="inlineStr">
        <is>
          <t>14.10.2026</t>
        </is>
      </c>
      <c r="E13540" t="inlineStr">
        <is>
          <t>Italy</t>
        </is>
      </c>
    </row>
    <row r="13541">
      <c r="A13541" t="inlineStr">
        <is>
          <t>GS Caltex Corporation HQ,  Seoul, Korea, Republic of</t>
        </is>
      </c>
      <c r="B13541" t="inlineStr">
        <is>
          <t>Trader with Storage</t>
        </is>
      </c>
      <c r="C13541" t="inlineStr">
        <is>
          <t>Control Union Certifications Germany GmbH, Berlin, DE</t>
        </is>
      </c>
      <c r="D13541" t="inlineStr">
        <is>
          <t>14.10.2026</t>
        </is>
      </c>
      <c r="E13541" t="inlineStr">
        <is>
          <t>Republic of</t>
        </is>
      </c>
    </row>
    <row r="13542">
      <c r="A13542" t="inlineStr">
        <is>
          <t>GS Caltex Corporation yeosu,  Yeosu-si, Jeollanam-do, Korea, Republic of</t>
        </is>
      </c>
      <c r="B13542" t="inlineStr">
        <is>
          <t>Processing Unit</t>
        </is>
      </c>
      <c r="C13542" t="inlineStr">
        <is>
          <t>Control Union Certifications Germany GmbH, Berlin, DE</t>
        </is>
      </c>
      <c r="D13542" t="inlineStr">
        <is>
          <t>14.10.2026</t>
        </is>
      </c>
      <c r="E13542" t="inlineStr">
        <is>
          <t>Republic of</t>
        </is>
      </c>
    </row>
    <row r="13543">
      <c r="A13543" t="inlineStr">
        <is>
          <t>Tagaddod,  Giza, Egypt</t>
        </is>
      </c>
      <c r="B13543" t="inlineStr">
        <is>
          <t>Collecting Point, Trader with Storage</t>
        </is>
      </c>
      <c r="C13543" t="inlineStr">
        <is>
          <t>PT Intertek Utama Services, Jakarta, ID</t>
        </is>
      </c>
      <c r="D13543" t="inlineStr">
        <is>
          <t>14.10.2026</t>
        </is>
      </c>
      <c r="E13543" t="inlineStr">
        <is>
          <t>Egypt</t>
        </is>
      </c>
    </row>
    <row r="13544">
      <c r="A13544" t="inlineStr">
        <is>
          <t>Cixi Kaicheng Organic Solid Waste Treatment Co., LTD,  Cixi City, Zhejiang Province, China</t>
        </is>
      </c>
      <c r="B13544" t="inlineStr">
        <is>
          <t>Collecting Point, Processing Unit</t>
        </is>
      </c>
      <c r="C13544" t="inlineStr">
        <is>
          <t>SCS Global Services, Emeryville, CA, US</t>
        </is>
      </c>
      <c r="D13544" t="inlineStr">
        <is>
          <t>14.10.2026</t>
        </is>
      </c>
      <c r="E13544" t="inlineStr">
        <is>
          <t>China</t>
        </is>
      </c>
    </row>
    <row r="13545">
      <c r="A13545" t="inlineStr">
        <is>
          <t>Granulat,  Troisdorf-Spich, Germany</t>
        </is>
      </c>
      <c r="B13545" t="inlineStr">
        <is>
          <t>Processing Unit</t>
        </is>
      </c>
      <c r="C13545" t="inlineStr">
        <is>
          <t>GUT Certifizierungsgesellschaft für Managementsysteme mbH Umweltgutachter, Berlin, DE</t>
        </is>
      </c>
      <c r="D13545" t="inlineStr">
        <is>
          <t>14.10.2026</t>
        </is>
      </c>
      <c r="E13545" t="inlineStr">
        <is>
          <t>Germany</t>
        </is>
      </c>
    </row>
    <row r="13546">
      <c r="A13546" t="inlineStr">
        <is>
          <t>RM Bio Processing Services,  PENAL, Trinidad and Tobago</t>
        </is>
      </c>
      <c r="B13546" t="inlineStr">
        <is>
          <t>Trader with Storage, Collecting Point</t>
        </is>
      </c>
      <c r="C13546" t="inlineStr">
        <is>
          <t>DEKRA Certification B.V., Arnhem, NL</t>
        </is>
      </c>
      <c r="D13546" t="inlineStr">
        <is>
          <t>14.10.2026</t>
        </is>
      </c>
      <c r="E13546" t="inlineStr">
        <is>
          <t>Trinidad and Tobago</t>
        </is>
      </c>
    </row>
    <row r="13547">
      <c r="A13547" t="inlineStr">
        <is>
          <t>Zeller Plastik España, S.L.,  Cardedeu, Barcelona, Spain</t>
        </is>
      </c>
      <c r="B13547" t="inlineStr">
        <is>
          <t>Processing Unit</t>
        </is>
      </c>
      <c r="C13547" t="inlineStr">
        <is>
          <t>Certificadora Gallega del Noroeste SL, Vilagarcia de Arousa-Pontevedra, ES</t>
        </is>
      </c>
      <c r="D13547" t="inlineStr">
        <is>
          <t>14.10.2026</t>
        </is>
      </c>
      <c r="E13547" t="inlineStr">
        <is>
          <t>Spain</t>
        </is>
      </c>
    </row>
    <row r="13548">
      <c r="A13548" t="inlineStr">
        <is>
          <t>KOVIE VINA CO,.LTD,  An Giang Province, Vietnam</t>
        </is>
      </c>
      <c r="B13548" t="inlineStr">
        <is>
          <t>Collecting Point, Point of Origin</t>
        </is>
      </c>
      <c r="C13548" t="inlineStr">
        <is>
          <t>Bureau Veritas Polska Sp. z o.o., Warsaw, PL</t>
        </is>
      </c>
      <c r="D13548" t="inlineStr">
        <is>
          <t>14.10.2026</t>
        </is>
      </c>
      <c r="E13548" t="inlineStr">
        <is>
          <t>Vietnam</t>
        </is>
      </c>
    </row>
    <row r="13549">
      <c r="A13549" t="inlineStr">
        <is>
          <t>CABB GmbH,  Gersthofen, Germany</t>
        </is>
      </c>
      <c r="B13549" t="inlineStr">
        <is>
          <t>Processing Unit</t>
        </is>
      </c>
      <c r="C13549" t="inlineStr">
        <is>
          <t>ASG Cert GmbH, Munich, DE</t>
        </is>
      </c>
      <c r="D13549" t="inlineStr">
        <is>
          <t>14.10.2026</t>
        </is>
      </c>
      <c r="E13549" t="inlineStr">
        <is>
          <t>Germany</t>
        </is>
      </c>
    </row>
    <row r="13550">
      <c r="A13550" t="inlineStr">
        <is>
          <t>EXOLON GROUP,  Nera Montoro, Italy</t>
        </is>
      </c>
      <c r="B13550" t="inlineStr">
        <is>
          <t>Processing Unit</t>
        </is>
      </c>
      <c r="C13550" t="inlineStr">
        <is>
          <t>Certiquality srl, Milano, IT</t>
        </is>
      </c>
      <c r="D13550" t="inlineStr">
        <is>
          <t>14.10.2026</t>
        </is>
      </c>
      <c r="E13550" t="inlineStr">
        <is>
          <t>Italy</t>
        </is>
      </c>
    </row>
    <row r="13551">
      <c r="A13551" t="inlineStr">
        <is>
          <t>ECO OIL CENTER,  Tunis , Tunisia</t>
        </is>
      </c>
      <c r="B13551" t="inlineStr">
        <is>
          <t>Collecting Point</t>
        </is>
      </c>
      <c r="C13551" t="inlineStr">
        <is>
          <t>BM Certification, Riga, LV</t>
        </is>
      </c>
      <c r="D13551" t="inlineStr">
        <is>
          <t>14.10.2026</t>
        </is>
      </c>
      <c r="E13551" t="inlineStr">
        <is>
          <t>Tunisia</t>
        </is>
      </c>
    </row>
    <row r="13552">
      <c r="A13552" t="inlineStr">
        <is>
          <t>Shell Chemical Appalachia,  Monaca, Pennsylvania, United States</t>
        </is>
      </c>
      <c r="B13552" t="inlineStr">
        <is>
          <t>Processing Unit</t>
        </is>
      </c>
      <c r="C13552" t="inlineStr">
        <is>
          <t>SCS Global Services, Emeryville, CA, US</t>
        </is>
      </c>
      <c r="D13552" t="inlineStr">
        <is>
          <t>14.10.2026</t>
        </is>
      </c>
      <c r="E13552" t="inlineStr">
        <is>
          <t>United States</t>
        </is>
      </c>
    </row>
    <row r="13553">
      <c r="A13553" t="inlineStr">
        <is>
          <t>Delta Agro s.r.o.,  Mat'ovské Vojkovce, Slovakia</t>
        </is>
      </c>
      <c r="B13553" t="inlineStr">
        <is>
          <t>Trader with Storage, First Gathering Point</t>
        </is>
      </c>
      <c r="C13553" t="inlineStr">
        <is>
          <t>Bureau Veritas Polska Sp. z o.o., Warsaw, PL</t>
        </is>
      </c>
      <c r="D13553" t="inlineStr">
        <is>
          <t>14.10.2026</t>
        </is>
      </c>
      <c r="E13553" t="inlineStr">
        <is>
          <t>Slovakia</t>
        </is>
      </c>
    </row>
    <row r="13554">
      <c r="A13554" t="inlineStr">
        <is>
          <t>ROGRASA RECICLAJE S.L,  Mérida, Spain</t>
        </is>
      </c>
      <c r="B13554" t="inlineStr">
        <is>
          <t>Collecting Point</t>
        </is>
      </c>
      <c r="C13554" t="inlineStr">
        <is>
          <t>RINA Services S.p.A., Genova, IT</t>
        </is>
      </c>
      <c r="D13554" t="inlineStr">
        <is>
          <t>14.10.2026</t>
        </is>
      </c>
      <c r="E13554" t="inlineStr">
        <is>
          <t>Spain</t>
        </is>
      </c>
    </row>
    <row r="13555">
      <c r="A13555" t="inlineStr">
        <is>
          <t>BASF SE,  Chalampé, France</t>
        </is>
      </c>
      <c r="B13555" t="inlineStr">
        <is>
          <t>Processing Unit</t>
        </is>
      </c>
      <c r="C13555" t="inlineStr">
        <is>
          <t>TÜV NORD CERT GmbH, Essen, DE</t>
        </is>
      </c>
      <c r="D13555" t="inlineStr">
        <is>
          <t>14.10.2026</t>
        </is>
      </c>
      <c r="E13555" t="inlineStr">
        <is>
          <t>France</t>
        </is>
      </c>
    </row>
    <row r="13556">
      <c r="A13556" t="inlineStr">
        <is>
          <t>ROGRASA RECICLAJE S.L.,  Guillena (Sevilla), Spain</t>
        </is>
      </c>
      <c r="B13556" t="inlineStr">
        <is>
          <t>Collecting Point</t>
        </is>
      </c>
      <c r="C13556" t="inlineStr">
        <is>
          <t>RINA Services S.p.A., Genova, IT</t>
        </is>
      </c>
      <c r="D13556" t="inlineStr">
        <is>
          <t>14.10.2026</t>
        </is>
      </c>
      <c r="E13556" t="inlineStr">
        <is>
          <t>Spain</t>
        </is>
      </c>
    </row>
    <row r="13557">
      <c r="A13557" t="inlineStr">
        <is>
          <t>Tras-Press Ambiente s.r.l.,  Bagnara di Romagna (RA), Italy</t>
        </is>
      </c>
      <c r="B13557" t="inlineStr">
        <is>
          <t>Collecting Point, Processing Unit</t>
        </is>
      </c>
      <c r="C13557" t="inlineStr">
        <is>
          <t>Bureau Veritas Polska Sp. z o.o., Warsaw, PL</t>
        </is>
      </c>
      <c r="D13557" t="inlineStr">
        <is>
          <t>14.10.2026</t>
        </is>
      </c>
      <c r="E13557" t="inlineStr">
        <is>
          <t>Italy</t>
        </is>
      </c>
    </row>
    <row r="13558">
      <c r="A13558" t="inlineStr">
        <is>
          <t>Getreide-Gutscher GmbH &amp; Co KG,  Sieghartskirchen, Austria</t>
        </is>
      </c>
      <c r="B13558" t="inlineStr">
        <is>
          <t>First Gathering Point, Trader with Storage, Logistics Center</t>
        </is>
      </c>
      <c r="C13558" t="inlineStr">
        <is>
          <t>agroVet GmbH, Enzersfeld, AT</t>
        </is>
      </c>
      <c r="D13558" t="inlineStr">
        <is>
          <t>14.10.2026</t>
        </is>
      </c>
      <c r="E13558" t="inlineStr">
        <is>
          <t>Austria</t>
        </is>
      </c>
    </row>
    <row r="13559">
      <c r="A13559" t="inlineStr">
        <is>
          <t>Kolmar NL B.V.,  Amsterdam, Netherlands</t>
        </is>
      </c>
      <c r="B13559" t="inlineStr">
        <is>
          <t>Trader with Storage</t>
        </is>
      </c>
      <c r="C13559" t="inlineStr">
        <is>
          <t>SGS Germany GmbH, Emstek, DE</t>
        </is>
      </c>
      <c r="D13559" t="inlineStr">
        <is>
          <t>14.10.2026</t>
        </is>
      </c>
      <c r="E13559" t="inlineStr">
        <is>
          <t>Netherlands</t>
        </is>
      </c>
    </row>
    <row r="13560">
      <c r="A13560" t="inlineStr">
        <is>
          <t>MSM Milling,  Manildra, Australia</t>
        </is>
      </c>
      <c r="B13560" t="inlineStr">
        <is>
          <t>Trader with Storage, Point of Origin, Processing Unit</t>
        </is>
      </c>
      <c r="C13560" t="inlineStr">
        <is>
          <t>Control Union Certifications Germany GmbH, Berlin, DE</t>
        </is>
      </c>
      <c r="D13560" t="inlineStr">
        <is>
          <t>14.10.2026</t>
        </is>
      </c>
      <c r="E13560" t="inlineStr">
        <is>
          <t>Australia</t>
        </is>
      </c>
    </row>
    <row r="13561">
      <c r="A13561" t="inlineStr">
        <is>
          <t>Guizhou Hongneng Environmental Protection Energy Technology Co., Ltd.,  Anshun City, China</t>
        </is>
      </c>
      <c r="B13561" t="inlineStr">
        <is>
          <t>Collecting Point, Processing Unit</t>
        </is>
      </c>
      <c r="C13561" t="inlineStr">
        <is>
          <t>RINA Services S.p.A., Genova, IT</t>
        </is>
      </c>
      <c r="D13561" t="inlineStr">
        <is>
          <t>14.10.2026</t>
        </is>
      </c>
      <c r="E13561" t="inlineStr">
        <is>
          <t>China</t>
        </is>
      </c>
    </row>
    <row r="13562">
      <c r="A13562" t="inlineStr">
        <is>
          <t>SL Natural SRL,  SAN LORENZO, Argentina</t>
        </is>
      </c>
      <c r="B13562" t="inlineStr">
        <is>
          <t>Processing Unit, Trader with Storage, Point of Origin</t>
        </is>
      </c>
      <c r="C13562" t="inlineStr">
        <is>
          <t>SGS Germany GmbH, Emstek, DE</t>
        </is>
      </c>
      <c r="D13562" t="inlineStr">
        <is>
          <t>14.10.2026</t>
        </is>
      </c>
      <c r="E13562" t="inlineStr">
        <is>
          <t>Argentina</t>
        </is>
      </c>
    </row>
    <row r="13563">
      <c r="A13563" t="inlineStr">
        <is>
          <t>PHUC DUY THINH PRODUCTION TRADING COMPANY LIMITED,  Dong Nai Province, Vietnam</t>
        </is>
      </c>
      <c r="B13563" t="inlineStr">
        <is>
          <t>Collecting Point, Trader, Processing Unit</t>
        </is>
      </c>
      <c r="C13563" t="inlineStr">
        <is>
          <t>BM Certification, Riga, LV</t>
        </is>
      </c>
      <c r="D13563" t="inlineStr">
        <is>
          <t>14.10.2026</t>
        </is>
      </c>
      <c r="E13563" t="inlineStr">
        <is>
          <t>Vietnam</t>
        </is>
      </c>
    </row>
    <row r="13564">
      <c r="A13564" t="inlineStr">
        <is>
          <t>Allnex Germany GmbH,  Bitterfeld-Wolfen, Germany</t>
        </is>
      </c>
      <c r="B13564" t="inlineStr">
        <is>
          <t>Processing Unit</t>
        </is>
      </c>
      <c r="C13564" t="inlineStr">
        <is>
          <t>SGS Germany GmbH, Emstek, DE</t>
        </is>
      </c>
      <c r="D13564" t="inlineStr">
        <is>
          <t>14.10.2026</t>
        </is>
      </c>
      <c r="E13564" t="inlineStr">
        <is>
          <t>Germany</t>
        </is>
      </c>
    </row>
    <row r="13565">
      <c r="A13565" t="inlineStr">
        <is>
          <t>Zhejiang Tongda Optical CO.,LTD,  Ouhai, Wenzhou, China</t>
        </is>
      </c>
      <c r="B13565" t="inlineStr">
        <is>
          <t>Processing Unit, Trader with Storage</t>
        </is>
      </c>
      <c r="C13565" t="inlineStr">
        <is>
          <t>China Quality Certification Centre Co., Ltd., Beijing, CN</t>
        </is>
      </c>
      <c r="D13565" t="inlineStr">
        <is>
          <t>14.10.2026</t>
        </is>
      </c>
      <c r="E13565" t="inlineStr">
        <is>
          <t>China</t>
        </is>
      </c>
    </row>
    <row r="13566">
      <c r="A13566" t="inlineStr">
        <is>
          <t>Trifilon AB,  Nyköping, Sweden</t>
        </is>
      </c>
      <c r="B13566" t="inlineStr">
        <is>
          <t>Processing Unit</t>
        </is>
      </c>
      <c r="C13566" t="inlineStr">
        <is>
          <t>DNV Business Assurance Sweden AB, Solna, SE</t>
        </is>
      </c>
      <c r="D13566" t="inlineStr">
        <is>
          <t>13.10.2026</t>
        </is>
      </c>
      <c r="E13566" t="inlineStr">
        <is>
          <t>Sweden</t>
        </is>
      </c>
    </row>
    <row r="13567">
      <c r="A13567" t="inlineStr">
        <is>
          <t>PT AGRO RAYA MAS,  MEDAN, Indonesia</t>
        </is>
      </c>
      <c r="B13567" t="inlineStr">
        <is>
          <t>Point of Origin</t>
        </is>
      </c>
      <c r="C13567" t="inlineStr">
        <is>
          <t>Bureau Veritas Polska Sp. z o.o., Warsaw, PL</t>
        </is>
      </c>
      <c r="D13567" t="inlineStr">
        <is>
          <t>13.10.2026</t>
        </is>
      </c>
      <c r="E13567" t="inlineStr">
        <is>
          <t>Indonesia</t>
        </is>
      </c>
    </row>
    <row r="13568">
      <c r="A13568" t="inlineStr">
        <is>
          <t>PETRO&amp;BIOFUEL Trading SRL,  Milano, Italy</t>
        </is>
      </c>
      <c r="B13568" t="inlineStr">
        <is>
          <t>Trader</t>
        </is>
      </c>
      <c r="C13568" t="inlineStr">
        <is>
          <t>Bureau Veritas Polska Sp. z o.o., Warsaw, PL</t>
        </is>
      </c>
      <c r="D13568" t="inlineStr">
        <is>
          <t>13.10.2026</t>
        </is>
      </c>
      <c r="E13568" t="inlineStr">
        <is>
          <t>Italy</t>
        </is>
      </c>
    </row>
    <row r="13569">
      <c r="A13569" t="inlineStr">
        <is>
          <t>PT TUNAS SAWA ERMA,  Kabupaten Boven Digoel, Indonesia</t>
        </is>
      </c>
      <c r="B13569" t="inlineStr">
        <is>
          <t>Point of Origin</t>
        </is>
      </c>
      <c r="C13569" t="inlineStr">
        <is>
          <t>PT Mutuagung Lestari, Depok, ID</t>
        </is>
      </c>
      <c r="D13569" t="inlineStr">
        <is>
          <t>13.10.2026</t>
        </is>
      </c>
      <c r="E13569" t="inlineStr">
        <is>
          <t>Indonesia</t>
        </is>
      </c>
    </row>
    <row r="13570">
      <c r="A13570" t="inlineStr">
        <is>
          <t>PT TUNAS SAWA ERMA,  Kabupaten Boven Digoel, Indonesia</t>
        </is>
      </c>
      <c r="B13570" t="inlineStr">
        <is>
          <t>Point of Origin</t>
        </is>
      </c>
      <c r="C13570" t="inlineStr">
        <is>
          <t>PT Mutuagung Lestari, Depok, ID</t>
        </is>
      </c>
      <c r="D13570" t="inlineStr">
        <is>
          <t>13.10.2026</t>
        </is>
      </c>
      <c r="E13570" t="inlineStr">
        <is>
          <t>Indonesia</t>
        </is>
      </c>
    </row>
    <row r="13571">
      <c r="A13571" t="inlineStr">
        <is>
          <t>Zhangzhou Aojie Optical Technology Co., Ltd,  Zhangzhou City, Fujian Province, China</t>
        </is>
      </c>
      <c r="B13571" t="inlineStr">
        <is>
          <t>Processing Unit</t>
        </is>
      </c>
      <c r="C13571" t="inlineStr">
        <is>
          <t>RINA Services S.p.A., Genova, IT</t>
        </is>
      </c>
      <c r="D13571" t="inlineStr">
        <is>
          <t>13.10.2026</t>
        </is>
      </c>
      <c r="E13571" t="inlineStr">
        <is>
          <t>China</t>
        </is>
      </c>
    </row>
    <row r="13572">
      <c r="A13572" t="inlineStr">
        <is>
          <t>GrainCorp Operations Limited,  Barangaroo, Australia</t>
        </is>
      </c>
      <c r="B13572" t="inlineStr">
        <is>
          <t>Trader with Storage</t>
        </is>
      </c>
      <c r="C13572" t="inlineStr">
        <is>
          <t>Control Union Certifications Germany GmbH, Berlin, DE</t>
        </is>
      </c>
      <c r="D13572" t="inlineStr">
        <is>
          <t>13.10.2026</t>
        </is>
      </c>
      <c r="E13572" t="inlineStr">
        <is>
          <t>Australia</t>
        </is>
      </c>
    </row>
    <row r="13573">
      <c r="A13573" t="inlineStr">
        <is>
          <t>GrainCorp Operations Limited,  Barangaroo, Australia</t>
        </is>
      </c>
      <c r="B13573" t="inlineStr">
        <is>
          <t>Trader with Storage</t>
        </is>
      </c>
      <c r="C13573" t="inlineStr">
        <is>
          <t>Control Union Certifications Germany GmbH, Berlin, DE</t>
        </is>
      </c>
      <c r="D13573" t="inlineStr">
        <is>
          <t>13.10.2026</t>
        </is>
      </c>
      <c r="E13573" t="inlineStr">
        <is>
          <t>Australia</t>
        </is>
      </c>
    </row>
    <row r="13574">
      <c r="A13574" t="inlineStr">
        <is>
          <t>AGA Company,  Warszawa, Poland</t>
        </is>
      </c>
      <c r="B13574" t="inlineStr">
        <is>
          <t>Trader</t>
        </is>
      </c>
      <c r="C13574" t="inlineStr">
        <is>
          <t>United Registrar of Systems Polska Sp. z o.o., Wrocław, PL</t>
        </is>
      </c>
      <c r="D13574" t="inlineStr">
        <is>
          <t>13.10.2026</t>
        </is>
      </c>
      <c r="E13574" t="inlineStr">
        <is>
          <t>Poland</t>
        </is>
      </c>
    </row>
    <row r="13575">
      <c r="A13575" t="inlineStr">
        <is>
          <t>GrainCorp Commodity Management PTY LTD,  Sydney, Australia</t>
        </is>
      </c>
      <c r="B13575" t="inlineStr">
        <is>
          <t>Collecting Point, Trader with Storage</t>
        </is>
      </c>
      <c r="C13575" t="inlineStr">
        <is>
          <t>Control Union Certifications Germany GmbH, Berlin, DE</t>
        </is>
      </c>
      <c r="D13575" t="inlineStr">
        <is>
          <t>13.10.2026</t>
        </is>
      </c>
      <c r="E13575" t="inlineStr">
        <is>
          <t>Australia</t>
        </is>
      </c>
    </row>
    <row r="13576">
      <c r="A13576" t="inlineStr">
        <is>
          <t>GrainCorp Commodity Management PTY LTD,  Sydney, Australia</t>
        </is>
      </c>
      <c r="B13576" t="inlineStr">
        <is>
          <t>Trader with Storage, Collecting Point</t>
        </is>
      </c>
      <c r="C13576" t="inlineStr">
        <is>
          <t>Control Union Certifications Germany GmbH, Berlin, DE</t>
        </is>
      </c>
      <c r="D13576" t="inlineStr">
        <is>
          <t>13.10.2026</t>
        </is>
      </c>
      <c r="E13576" t="inlineStr">
        <is>
          <t>Australia</t>
        </is>
      </c>
    </row>
    <row r="13577">
      <c r="A13577" t="inlineStr">
        <is>
          <t>Graincorp Commodity Management NZ Ltd,  Sydney, Australia</t>
        </is>
      </c>
      <c r="B13577" t="inlineStr">
        <is>
          <t>Collecting Point, Trader with Storage</t>
        </is>
      </c>
      <c r="C13577" t="inlineStr">
        <is>
          <t>Control Union Certifications Germany GmbH, Berlin, DE</t>
        </is>
      </c>
      <c r="D13577" t="inlineStr">
        <is>
          <t>13.10.2026</t>
        </is>
      </c>
      <c r="E13577" t="inlineStr">
        <is>
          <t>Australia</t>
        </is>
      </c>
    </row>
    <row r="13578">
      <c r="A13578" t="inlineStr">
        <is>
          <t>Graincorp Commodity Management NZ Ltd,  Sydney, Australia</t>
        </is>
      </c>
      <c r="B13578" t="inlineStr">
        <is>
          <t>Collecting Point, Trader with Storage</t>
        </is>
      </c>
      <c r="C13578" t="inlineStr">
        <is>
          <t>Control Union Certifications Germany GmbH, Berlin, DE</t>
        </is>
      </c>
      <c r="D13578" t="inlineStr">
        <is>
          <t>13.10.2026</t>
        </is>
      </c>
      <c r="E13578" t="inlineStr">
        <is>
          <t>Australia</t>
        </is>
      </c>
    </row>
    <row r="13579">
      <c r="A13579" t="inlineStr">
        <is>
          <t>Sipos és Társa Kft.,  Lippó, Hungary</t>
        </is>
      </c>
      <c r="B13579" t="inlineStr">
        <is>
          <t>First Gathering Point, Trader with Storage</t>
        </is>
      </c>
      <c r="C13579" t="inlineStr">
        <is>
          <t>BM Certification, Riga, LV</t>
        </is>
      </c>
      <c r="D13579" t="inlineStr">
        <is>
          <t>13.10.2026</t>
        </is>
      </c>
      <c r="E13579" t="inlineStr">
        <is>
          <t>Hungary</t>
        </is>
      </c>
    </row>
    <row r="13580">
      <c r="A13580" t="inlineStr">
        <is>
          <t>Rebhan FPS Kunststoff-Verpackungen,  Stockheim, Germany</t>
        </is>
      </c>
      <c r="B13580" t="inlineStr">
        <is>
          <t>Processing Unit</t>
        </is>
      </c>
      <c r="C13580" t="inlineStr">
        <is>
          <t>SGS Germany GmbH, Emstek, DE</t>
        </is>
      </c>
      <c r="D13580" t="inlineStr">
        <is>
          <t>13.10.2026</t>
        </is>
      </c>
      <c r="E13580" t="inlineStr">
        <is>
          <t>Germany</t>
        </is>
      </c>
    </row>
    <row r="13581">
      <c r="A13581" t="inlineStr">
        <is>
          <t>SK geo centric Co., Ltd.,  Jongno-gu, Seoul, Korea, Republic of</t>
        </is>
      </c>
      <c r="B13581" t="inlineStr">
        <is>
          <t>Trader with Storage</t>
        </is>
      </c>
      <c r="C13581" t="inlineStr">
        <is>
          <t>Control Union Certifications Germany GmbH, Berlin, DE</t>
        </is>
      </c>
      <c r="D13581" t="inlineStr">
        <is>
          <t>13.10.2026</t>
        </is>
      </c>
      <c r="E13581" t="inlineStr">
        <is>
          <t>Republic of</t>
        </is>
      </c>
    </row>
    <row r="13582">
      <c r="A13582" t="inlineStr">
        <is>
          <t>SK Geo Centric,  Nam-gu, Ulsan, The Republic of Korea</t>
        </is>
      </c>
      <c r="B13582" t="inlineStr">
        <is>
          <t>Processing Unit</t>
        </is>
      </c>
      <c r="C13582" t="inlineStr">
        <is>
          <t>Control Union Certifications Germany GmbH, Berlin, DE</t>
        </is>
      </c>
      <c r="D13582" t="inlineStr">
        <is>
          <t>13.10.2026</t>
        </is>
      </c>
      <c r="E13582" t="inlineStr">
        <is>
          <t>The Republic of Korea</t>
        </is>
      </c>
    </row>
    <row r="13583">
      <c r="A13583" t="inlineStr">
        <is>
          <t>Mayvin Incorporated Sdn Bhd (Mayvin Palm Oil Mill),  WDT No. 164, Sandakan, Malaysia</t>
        </is>
      </c>
      <c r="B13583" t="inlineStr">
        <is>
          <t>Point of Origin</t>
        </is>
      </c>
      <c r="C13583" t="inlineStr">
        <is>
          <t>PT Intertek Utama Services, Jakarta, ID</t>
        </is>
      </c>
      <c r="D13583" t="inlineStr">
        <is>
          <t>13.10.2026</t>
        </is>
      </c>
      <c r="E13583" t="inlineStr">
        <is>
          <t>Malaysia</t>
        </is>
      </c>
    </row>
    <row r="13584">
      <c r="A13584" t="inlineStr">
        <is>
          <t>Kasim Land ,  Sandakan, Malaysia</t>
        </is>
      </c>
      <c r="B13584" t="inlineStr">
        <is>
          <t>Point of Origin</t>
        </is>
      </c>
      <c r="C13584" t="inlineStr">
        <is>
          <t>PT Intertek Utama Services, Jakarta, ID</t>
        </is>
      </c>
      <c r="D13584" t="inlineStr">
        <is>
          <t>13.10.2026</t>
        </is>
      </c>
      <c r="E13584" t="inlineStr">
        <is>
          <t>Malaysia</t>
        </is>
      </c>
    </row>
    <row r="13585">
      <c r="A13585" t="inlineStr">
        <is>
          <t>Borsod Agroker Zrt,  Mályi, Hungary</t>
        </is>
      </c>
      <c r="B13585" t="inlineStr">
        <is>
          <t>First Gathering Point, Trader with Storage</t>
        </is>
      </c>
      <c r="C13585" t="inlineStr">
        <is>
          <t>Certificadora Gallega del Noroeste SL, Vilagarcia de Arousa-Pontevedra, ES</t>
        </is>
      </c>
      <c r="D13585" t="inlineStr">
        <is>
          <t>13.10.2026</t>
        </is>
      </c>
      <c r="E13585" t="inlineStr">
        <is>
          <t>Hungary</t>
        </is>
      </c>
    </row>
    <row r="13586">
      <c r="A13586" t="inlineStr">
        <is>
          <t>Wipak UK,  Welshpool, United Kingdom</t>
        </is>
      </c>
      <c r="B13586" t="inlineStr">
        <is>
          <t>Final Product Refinement</t>
        </is>
      </c>
      <c r="C13586" t="inlineStr">
        <is>
          <t>SGS Germany GmbH, Emstek, DE</t>
        </is>
      </c>
      <c r="D13586" t="inlineStr">
        <is>
          <t>13.10.2026</t>
        </is>
      </c>
      <c r="E13586" t="inlineStr">
        <is>
          <t>United Kingdom</t>
        </is>
      </c>
    </row>
    <row r="13587">
      <c r="A13587" t="inlineStr">
        <is>
          <t>ALMAVERDE ENERGIA s.r.l.,  Cavallermaggiore, Italy</t>
        </is>
      </c>
      <c r="B13587" t="inlineStr">
        <is>
          <t>Farm / Plantation, Collecting Point, First Gathering Point</t>
        </is>
      </c>
      <c r="C13587" t="inlineStr">
        <is>
          <t>RINA Services S.p.A., Genova, IT</t>
        </is>
      </c>
      <c r="D13587" t="inlineStr">
        <is>
          <t>13.10.2026</t>
        </is>
      </c>
      <c r="E13587" t="inlineStr">
        <is>
          <t>Italy</t>
        </is>
      </c>
    </row>
    <row r="13588">
      <c r="A13588" t="inlineStr">
        <is>
          <t>Ouroeste Bioenergia Ltda,  Ouroeste, São Paulo, Brazil</t>
        </is>
      </c>
      <c r="B13588" t="inlineStr">
        <is>
          <t>Farm / Plantation, Processing Unit</t>
        </is>
      </c>
      <c r="C13588" t="inlineStr">
        <is>
          <t>Control Union Certifications Germany GmbH, Berlin, DE</t>
        </is>
      </c>
      <c r="D13588" t="inlineStr">
        <is>
          <t>13.10.2026</t>
        </is>
      </c>
      <c r="E13588" t="inlineStr">
        <is>
          <t>Brazil</t>
        </is>
      </c>
    </row>
    <row r="13589">
      <c r="A13589" t="inlineStr">
        <is>
          <t>Ouroeste Bioenergia Ltda,  Ouroeste, São Paulo, Brazil</t>
        </is>
      </c>
      <c r="B13589" t="inlineStr">
        <is>
          <t>Farm / Plantation, Processing Unit</t>
        </is>
      </c>
      <c r="C13589" t="inlineStr">
        <is>
          <t>Control Union Certifications Germany GmbH, Berlin, DE</t>
        </is>
      </c>
      <c r="D13589" t="inlineStr">
        <is>
          <t>13.10.2026</t>
        </is>
      </c>
      <c r="E13589" t="inlineStr">
        <is>
          <t>Brazil</t>
        </is>
      </c>
    </row>
    <row r="13590">
      <c r="A13590" t="inlineStr">
        <is>
          <t>São Martinho S/A - Usina São Martinho,  Pradópolis, Brazil</t>
        </is>
      </c>
      <c r="B13590" t="inlineStr">
        <is>
          <t>First Gathering Point, Processing Unit</t>
        </is>
      </c>
      <c r="C13590" t="inlineStr">
        <is>
          <t>SCS Global Services, Emeryville, CA, US</t>
        </is>
      </c>
      <c r="D13590" t="inlineStr">
        <is>
          <t>13.10.2026</t>
        </is>
      </c>
      <c r="E13590" t="inlineStr">
        <is>
          <t>Brazil</t>
        </is>
      </c>
    </row>
    <row r="13591">
      <c r="A13591" t="inlineStr">
        <is>
          <t>São Martinho S/A - Usina São Martinho,  Pradópolis, Brazil</t>
        </is>
      </c>
      <c r="B13591" t="inlineStr">
        <is>
          <t>First Gathering Point, Processing Unit</t>
        </is>
      </c>
      <c r="C13591" t="inlineStr">
        <is>
          <t>SCS Global Services, Emeryville, CA, US</t>
        </is>
      </c>
      <c r="D13591" t="inlineStr">
        <is>
          <t>13.10.2026</t>
        </is>
      </c>
      <c r="E13591" t="inlineStr">
        <is>
          <t>Brazil</t>
        </is>
      </c>
    </row>
    <row r="13592">
      <c r="A13592" t="inlineStr">
        <is>
          <t>São Martinho S/A - Usina São Martinho,  Pradópolis, Brazil</t>
        </is>
      </c>
      <c r="B13592" t="inlineStr">
        <is>
          <t>First Gathering Point</t>
        </is>
      </c>
      <c r="C13592" t="inlineStr">
        <is>
          <t>SCS Global Services, Emeryville, CA, US</t>
        </is>
      </c>
      <c r="D13592" t="inlineStr">
        <is>
          <t>13.10.2026</t>
        </is>
      </c>
      <c r="E13592" t="inlineStr">
        <is>
          <t>Brazil</t>
        </is>
      </c>
    </row>
    <row r="13593">
      <c r="A13593" t="inlineStr">
        <is>
          <t>Shenzhen GNDA Optical Co., Ltd,  Shenzhen City, Guangdong Province, China</t>
        </is>
      </c>
      <c r="B13593" t="inlineStr">
        <is>
          <t>Processing Unit</t>
        </is>
      </c>
      <c r="C13593" t="inlineStr">
        <is>
          <t>SCS Global Services, Emeryville, CA, US</t>
        </is>
      </c>
      <c r="D13593" t="inlineStr">
        <is>
          <t>13.10.2026</t>
        </is>
      </c>
      <c r="E13593" t="inlineStr">
        <is>
          <t>China</t>
        </is>
      </c>
    </row>
    <row r="13594">
      <c r="A13594" t="inlineStr">
        <is>
          <t>BL OIL,  Sofia, Bulgaria</t>
        </is>
      </c>
      <c r="B13594" t="inlineStr">
        <is>
          <t>Collecting Point, Trader with Storage</t>
        </is>
      </c>
      <c r="C13594" t="inlineStr">
        <is>
          <t>SGS Germany GmbH, Emstek, DE</t>
        </is>
      </c>
      <c r="D13594" t="inlineStr">
        <is>
          <t>13.10.2026</t>
        </is>
      </c>
      <c r="E13594" t="inlineStr">
        <is>
          <t>Bulgaria</t>
        </is>
      </c>
    </row>
    <row r="13595">
      <c r="A13595" t="inlineStr">
        <is>
          <t>Alcoholes del Uruguay SA,  Montevideo, Uruguay</t>
        </is>
      </c>
      <c r="B13595" t="inlineStr">
        <is>
          <t>Point of Origin, Collecting Point, Processing Unit, Trader with Storage</t>
        </is>
      </c>
      <c r="C13595" t="inlineStr">
        <is>
          <t>Certificadora Gallega del Noroeste SL, Vilagarcia de Arousa-Pontevedra, ES</t>
        </is>
      </c>
      <c r="D13595" t="inlineStr">
        <is>
          <t>13.10.2026</t>
        </is>
      </c>
      <c r="E13595" t="inlineStr">
        <is>
          <t>Uruguay</t>
        </is>
      </c>
    </row>
    <row r="13596">
      <c r="A13596" t="inlineStr">
        <is>
          <t>Trioworld Höxter GmbH,  Höxter, Germany</t>
        </is>
      </c>
      <c r="B13596" t="inlineStr">
        <is>
          <t>Processing Unit, Final Product Refinement</t>
        </is>
      </c>
      <c r="C13596" t="inlineStr">
        <is>
          <t>GUT Certifizierungsgesellschaft für Managementsysteme mbH Umweltgutachter, Berlin, DE</t>
        </is>
      </c>
      <c r="D13596" t="inlineStr">
        <is>
          <t>13.10.2026</t>
        </is>
      </c>
      <c r="E13596" t="inlineStr">
        <is>
          <t>Germany</t>
        </is>
      </c>
    </row>
    <row r="13597">
      <c r="A13597" t="inlineStr">
        <is>
          <t>Basilam Jaya Mandiri,  Dumai, Indonesia</t>
        </is>
      </c>
      <c r="B13597" t="inlineStr">
        <is>
          <t>Point of Origin</t>
        </is>
      </c>
      <c r="C13597" t="inlineStr">
        <is>
          <t>China Testing &amp; Certification International Group Co., Ltd., Beijing, CN</t>
        </is>
      </c>
      <c r="D13597" t="inlineStr">
        <is>
          <t>13.10.2026</t>
        </is>
      </c>
      <c r="E13597" t="inlineStr">
        <is>
          <t>Indonesia</t>
        </is>
      </c>
    </row>
    <row r="13598">
      <c r="A13598" t="inlineStr">
        <is>
          <t>BPS Čečejovce, družstvo,  Čečejovce, Slovakia</t>
        </is>
      </c>
      <c r="B13598" t="inlineStr">
        <is>
          <t>First Gathering Point, Collecting Point, Processing Unit</t>
        </is>
      </c>
      <c r="C13598" t="inlineStr">
        <is>
          <t>United Registrar of Systems Polska Sp. z o.o., Wrocław, PL</t>
        </is>
      </c>
      <c r="D13598" t="inlineStr">
        <is>
          <t>13.10.2026</t>
        </is>
      </c>
      <c r="E13598" t="inlineStr">
        <is>
          <t>Slovakia</t>
        </is>
      </c>
    </row>
    <row r="13599">
      <c r="A13599" t="inlineStr">
        <is>
          <t>Cookers Bulk Oil System Pty Ltd,  Derrimut, Australia</t>
        </is>
      </c>
      <c r="B13599" t="inlineStr">
        <is>
          <t>Collecting Point</t>
        </is>
      </c>
      <c r="C13599" t="inlineStr">
        <is>
          <t>BM Certification, Riga, LV</t>
        </is>
      </c>
      <c r="D13599" t="inlineStr">
        <is>
          <t>13.10.2026</t>
        </is>
      </c>
      <c r="E13599" t="inlineStr">
        <is>
          <t>Australia</t>
        </is>
      </c>
    </row>
    <row r="13600">
      <c r="A13600" t="inlineStr">
        <is>
          <t>World Fuel Services (Australia),  Melbourne, Australia</t>
        </is>
      </c>
      <c r="B13600" t="inlineStr">
        <is>
          <t>Trader with Storage</t>
        </is>
      </c>
      <c r="C13600" t="inlineStr">
        <is>
          <t>Control Union Certifications Germany GmbH, Berlin, DE</t>
        </is>
      </c>
      <c r="D13600" t="inlineStr">
        <is>
          <t>13.10.2026</t>
        </is>
      </c>
      <c r="E13600" t="inlineStr">
        <is>
          <t>Australia</t>
        </is>
      </c>
    </row>
    <row r="13601">
      <c r="A13601" t="inlineStr">
        <is>
          <t>World Fuel Services (Australia),  Melbourne, Australia</t>
        </is>
      </c>
      <c r="B13601" t="inlineStr">
        <is>
          <t>Trader with Storage</t>
        </is>
      </c>
      <c r="C13601" t="inlineStr">
        <is>
          <t>Control Union Certifications Germany GmbH, Berlin, DE</t>
        </is>
      </c>
      <c r="D13601" t="inlineStr">
        <is>
          <t>13.10.2026</t>
        </is>
      </c>
      <c r="E13601" t="inlineStr">
        <is>
          <t>Australia</t>
        </is>
      </c>
    </row>
    <row r="13602">
      <c r="A13602" t="inlineStr">
        <is>
          <t>Tradebe Port Services,  Barcelona, Spain</t>
        </is>
      </c>
      <c r="B13602" t="inlineStr">
        <is>
          <t>Warehouse</t>
        </is>
      </c>
      <c r="C13602" t="inlineStr">
        <is>
          <t>Control Union Poland Sp. z o.o., Zielona Gora, PL</t>
        </is>
      </c>
      <c r="D13602" t="inlineStr">
        <is>
          <t>13.10.2026</t>
        </is>
      </c>
      <c r="E13602" t="inlineStr">
        <is>
          <t>Spain</t>
        </is>
      </c>
    </row>
    <row r="13603">
      <c r="A13603" t="inlineStr">
        <is>
          <t>Tradebe Port Services,  Barcelona, Spain</t>
        </is>
      </c>
      <c r="B13603" t="inlineStr">
        <is>
          <t>Warehouse</t>
        </is>
      </c>
      <c r="C13603" t="inlineStr">
        <is>
          <t>Control Union Poland Sp. z o.o., Zielona Gora, PL</t>
        </is>
      </c>
      <c r="D13603" t="inlineStr">
        <is>
          <t>13.10.2026</t>
        </is>
      </c>
      <c r="E13603" t="inlineStr">
        <is>
          <t>Spain</t>
        </is>
      </c>
    </row>
    <row r="13604">
      <c r="A13604" t="inlineStr">
        <is>
          <t>Tradebe Port Services,  Barcelona, Spain</t>
        </is>
      </c>
      <c r="B13604" t="inlineStr">
        <is>
          <t>Warehouse</t>
        </is>
      </c>
      <c r="C13604" t="inlineStr">
        <is>
          <t>Control Union Poland Sp. z o.o., Zielona Gora, PL</t>
        </is>
      </c>
      <c r="D13604" t="inlineStr">
        <is>
          <t>13.10.2026</t>
        </is>
      </c>
      <c r="E13604" t="inlineStr">
        <is>
          <t>Spain</t>
        </is>
      </c>
    </row>
    <row r="13605">
      <c r="A13605" t="inlineStr">
        <is>
          <t>MOEVE TRADING ASIA PTE. LTD.,  Singapore, Singapore</t>
        </is>
      </c>
      <c r="B13605" t="inlineStr">
        <is>
          <t>Trader with Storage</t>
        </is>
      </c>
      <c r="C13605" t="inlineStr">
        <is>
          <t>Control Union Poland Sp. z o.o., Zielona Gora, PL</t>
        </is>
      </c>
      <c r="D13605" t="inlineStr">
        <is>
          <t>13.10.2026</t>
        </is>
      </c>
      <c r="E13605" t="inlineStr">
        <is>
          <t>Singapore</t>
        </is>
      </c>
    </row>
    <row r="13606">
      <c r="A13606" t="inlineStr">
        <is>
          <t>OZ Energia JET,  Lisboa, Portugal</t>
        </is>
      </c>
      <c r="B13606" t="inlineStr">
        <is>
          <t>Trader, Proof of Compliance Trader</t>
        </is>
      </c>
      <c r="C13606" t="inlineStr">
        <is>
          <t>SGS Germany GmbH, Emstek, DE</t>
        </is>
      </c>
      <c r="D13606" t="inlineStr">
        <is>
          <t>13.10.2026</t>
        </is>
      </c>
      <c r="E13606" t="inlineStr">
        <is>
          <t>Portugal</t>
        </is>
      </c>
    </row>
    <row r="13607">
      <c r="A13607" t="inlineStr">
        <is>
          <t>Mare SpA,  Ossona, Italy</t>
        </is>
      </c>
      <c r="B13607" t="inlineStr">
        <is>
          <t>Processing Unit</t>
        </is>
      </c>
      <c r="C13607" t="inlineStr">
        <is>
          <t>Certiquality srl, Milano, IT</t>
        </is>
      </c>
      <c r="D13607" t="inlineStr">
        <is>
          <t>13.10.2026</t>
        </is>
      </c>
      <c r="E13607" t="inlineStr">
        <is>
          <t>Italy</t>
        </is>
      </c>
    </row>
    <row r="13608">
      <c r="A13608" t="inlineStr">
        <is>
          <t>STAROIL ENERGY,  CENTRIUM SQUARE, Singapore</t>
        </is>
      </c>
      <c r="B13608" t="inlineStr">
        <is>
          <t>Trader</t>
        </is>
      </c>
      <c r="C13608" t="inlineStr">
        <is>
          <t>TÜV NORD CERT GmbH, Essen, DE</t>
        </is>
      </c>
      <c r="D13608" t="inlineStr">
        <is>
          <t>13.10.2026</t>
        </is>
      </c>
      <c r="E13608" t="inlineStr">
        <is>
          <t>Singapore</t>
        </is>
      </c>
    </row>
    <row r="13609">
      <c r="A13609" t="inlineStr">
        <is>
          <t>MOEVE TRADING ASIA PTE. LTD.,  Singapore, Singapore</t>
        </is>
      </c>
      <c r="B13609" t="inlineStr">
        <is>
          <t>Trader with Storage</t>
        </is>
      </c>
      <c r="C13609" t="inlineStr">
        <is>
          <t>Control Union Poland Sp. z o.o., Zielona Gora, PL</t>
        </is>
      </c>
      <c r="D13609" t="inlineStr">
        <is>
          <t>13.10.2026</t>
        </is>
      </c>
      <c r="E13609" t="inlineStr">
        <is>
          <t>Singapore</t>
        </is>
      </c>
    </row>
    <row r="13610">
      <c r="A13610" t="inlineStr">
        <is>
          <t>Petróleo Brasileiro SA PETROBRAS,  Duque de Caxias, Brazil</t>
        </is>
      </c>
      <c r="B13610" t="inlineStr">
        <is>
          <t>Processing Unit</t>
        </is>
      </c>
      <c r="C13610" t="inlineStr">
        <is>
          <t>RINA Services S.p.A., Genova, IT</t>
        </is>
      </c>
      <c r="D13610" t="inlineStr">
        <is>
          <t>13.10.2026</t>
        </is>
      </c>
      <c r="E13610" t="inlineStr">
        <is>
          <t>Brazil</t>
        </is>
      </c>
    </row>
    <row r="13611">
      <c r="A13611" t="inlineStr">
        <is>
          <t>Interzero Material Supplies GmbH,  Aukrug, Germany</t>
        </is>
      </c>
      <c r="B13611" t="inlineStr">
        <is>
          <t>Point of Origin, Collecting Point, Trader, Processing Unit</t>
        </is>
      </c>
      <c r="C13611" t="inlineStr">
        <is>
          <t>GUT Certifizierungsgesellschaft für Managementsysteme mbH Umweltgutachter, Berlin, DE</t>
        </is>
      </c>
      <c r="D13611" t="inlineStr">
        <is>
          <t>13.10.2026</t>
        </is>
      </c>
      <c r="E13611" t="inlineStr">
        <is>
          <t>Germany</t>
        </is>
      </c>
    </row>
    <row r="13612">
      <c r="A13612" t="inlineStr">
        <is>
          <t>Biotek Group,  Puente Piedra, Lima, Peru</t>
        </is>
      </c>
      <c r="B13612" t="inlineStr">
        <is>
          <t>Collecting Point</t>
        </is>
      </c>
      <c r="C13612" t="inlineStr">
        <is>
          <t>Certificadora Gallega del Noroeste SL, Vilagarcia de Arousa-Pontevedra, ES</t>
        </is>
      </c>
      <c r="D13612" t="inlineStr">
        <is>
          <t>13.10.2026</t>
        </is>
      </c>
      <c r="E13612" t="inlineStr">
        <is>
          <t>Peru</t>
        </is>
      </c>
    </row>
    <row r="13613">
      <c r="A13613" t="inlineStr">
        <is>
          <t>Qinzhou Yachen International New Energy Technology Co., LTD,  Qinzhou, China</t>
        </is>
      </c>
      <c r="B13613" t="inlineStr">
        <is>
          <t>Collecting Point, Trader with Storage</t>
        </is>
      </c>
      <c r="C13613" t="inlineStr">
        <is>
          <t>RINA Services S.p.A., Genova, IT</t>
        </is>
      </c>
      <c r="D13613" t="inlineStr">
        <is>
          <t>12.10.2026</t>
        </is>
      </c>
      <c r="E13613" t="inlineStr">
        <is>
          <t>China</t>
        </is>
      </c>
    </row>
    <row r="13614">
      <c r="A13614" t="inlineStr">
        <is>
          <t>China Aviation Fuel Qingdao International Airport Aviation Fuel Co., Ltd.,  Jiaozhou City,Qingdao City, Shandong Province, China</t>
        </is>
      </c>
      <c r="B13614" t="inlineStr">
        <is>
          <t>Trader with Storage</t>
        </is>
      </c>
      <c r="C13614" t="inlineStr">
        <is>
          <t>China Quality Certification Centre Co., Ltd., Beijing, CN</t>
        </is>
      </c>
      <c r="D13614" t="inlineStr">
        <is>
          <t>12.10.2026</t>
        </is>
      </c>
      <c r="E13614" t="inlineStr">
        <is>
          <t>China</t>
        </is>
      </c>
    </row>
    <row r="13615">
      <c r="A13615" t="inlineStr">
        <is>
          <t>OMNI-PLUS SYSTEM LIMITED,  SINGAPORE, Singapore</t>
        </is>
      </c>
      <c r="B13615" t="inlineStr">
        <is>
          <t>Trader with Storage</t>
        </is>
      </c>
      <c r="C13615" t="inlineStr">
        <is>
          <t>Control Union Certifications Germany GmbH, Berlin, DE</t>
        </is>
      </c>
      <c r="D13615" t="inlineStr">
        <is>
          <t>12.10.2026</t>
        </is>
      </c>
      <c r="E13615" t="inlineStr">
        <is>
          <t>Singapore</t>
        </is>
      </c>
    </row>
    <row r="13616">
      <c r="A13616" t="inlineStr">
        <is>
          <t>Oxytabs,  Rendsburg, Germany</t>
        </is>
      </c>
      <c r="B13616" t="inlineStr">
        <is>
          <t>Final Product Refinement</t>
        </is>
      </c>
      <c r="C13616" t="inlineStr">
        <is>
          <t>SGS Germany GmbH, Emstek, DE</t>
        </is>
      </c>
      <c r="D13616" t="inlineStr">
        <is>
          <t>12.10.2026</t>
        </is>
      </c>
      <c r="E13616" t="inlineStr">
        <is>
          <t>Germany</t>
        </is>
      </c>
    </row>
    <row r="13617">
      <c r="A13617" t="inlineStr">
        <is>
          <t>PT Global Sawit Semesta,  Subulussalam , Indonesia</t>
        </is>
      </c>
      <c r="B13617" t="inlineStr">
        <is>
          <t>Point of Origin</t>
        </is>
      </c>
      <c r="C13617" t="inlineStr">
        <is>
          <t>SGS Germany GmbH, Emstek, DE</t>
        </is>
      </c>
      <c r="D13617" t="inlineStr">
        <is>
          <t>12.10.2026</t>
        </is>
      </c>
      <c r="E13617" t="inlineStr">
        <is>
          <t>Indonesia</t>
        </is>
      </c>
    </row>
    <row r="13618">
      <c r="A13618" t="inlineStr">
        <is>
          <t>Guala Dispensing FP,  Alessandria, Italy</t>
        </is>
      </c>
      <c r="B13618" t="inlineStr">
        <is>
          <t>Processing Unit</t>
        </is>
      </c>
      <c r="C13618" t="inlineStr">
        <is>
          <t>IIP S.r.l., Monza, IT</t>
        </is>
      </c>
      <c r="D13618" t="inlineStr">
        <is>
          <t>12.10.2026</t>
        </is>
      </c>
      <c r="E13618" t="inlineStr">
        <is>
          <t>Italy</t>
        </is>
      </c>
    </row>
    <row r="13619">
      <c r="A13619" t="inlineStr">
        <is>
          <t>FELIZ, s.r.o.,  Nové Zámky, Slovakia</t>
        </is>
      </c>
      <c r="B13619" t="inlineStr">
        <is>
          <t>First Gathering Point, Trader</t>
        </is>
      </c>
      <c r="C13619" t="inlineStr">
        <is>
          <t>United Registrar of Systems Polska Sp. z o.o., Wrocław, PL</t>
        </is>
      </c>
      <c r="D13619" t="inlineStr">
        <is>
          <t>12.10.2026</t>
        </is>
      </c>
      <c r="E13619" t="inlineStr">
        <is>
          <t>Slovakia</t>
        </is>
      </c>
    </row>
    <row r="13620">
      <c r="A13620" t="inlineStr">
        <is>
          <t>EWOO CORPORATION,  Godeok-myeon, Yesan-gun, Chungcheongnam-do, Korea, Republic of</t>
        </is>
      </c>
      <c r="B13620" t="inlineStr">
        <is>
          <t>Processing Unit</t>
        </is>
      </c>
      <c r="C13620" t="inlineStr">
        <is>
          <t>Control Union Certifications Germany GmbH, Berlin, DE</t>
        </is>
      </c>
      <c r="D13620" t="inlineStr">
        <is>
          <t>12.10.2026</t>
        </is>
      </c>
      <c r="E13620" t="inlineStr">
        <is>
          <t>Republic of</t>
        </is>
      </c>
    </row>
    <row r="13621">
      <c r="A13621" t="inlineStr">
        <is>
          <t>SHINHO INDUSTRY CORPORATION,  Godeok-myeon, Yesan-gun, Chungcheongnam-do, Korea, Republic of</t>
        </is>
      </c>
      <c r="B13621" t="inlineStr">
        <is>
          <t>Processing Unit</t>
        </is>
      </c>
      <c r="C13621" t="inlineStr">
        <is>
          <t>Control Union Certifications Germany GmbH, Berlin, DE</t>
        </is>
      </c>
      <c r="D13621" t="inlineStr">
        <is>
          <t>12.10.2026</t>
        </is>
      </c>
      <c r="E13621" t="inlineStr">
        <is>
          <t>Republic of</t>
        </is>
      </c>
    </row>
    <row r="13622">
      <c r="A13622" t="inlineStr">
        <is>
          <t>Jakob &amp; Naumann Umweltdienste GmbH,  Großenhain, Germany</t>
        </is>
      </c>
      <c r="B13622" t="inlineStr">
        <is>
          <t>Collecting Point</t>
        </is>
      </c>
      <c r="C13622" t="inlineStr">
        <is>
          <t>Control Union Certifications Germany GmbH, Berlin, DE</t>
        </is>
      </c>
      <c r="D13622" t="inlineStr">
        <is>
          <t>12.10.2026</t>
        </is>
      </c>
      <c r="E13622" t="inlineStr">
        <is>
          <t>Germany</t>
        </is>
      </c>
    </row>
    <row r="13623">
      <c r="A13623" t="inlineStr">
        <is>
          <t>BERRY SUPERFOS BOUXWILLER,  Bouxwiller, France</t>
        </is>
      </c>
      <c r="B13623" t="inlineStr">
        <is>
          <t>Processing Unit</t>
        </is>
      </c>
      <c r="C13623" t="inlineStr">
        <is>
          <t>SGS Germany GmbH, Emstek, DE</t>
        </is>
      </c>
      <c r="D13623" t="inlineStr">
        <is>
          <t>12.10.2026</t>
        </is>
      </c>
      <c r="E13623" t="inlineStr">
        <is>
          <t>France</t>
        </is>
      </c>
    </row>
    <row r="13624">
      <c r="A13624" t="inlineStr">
        <is>
          <t>Scanbio Ingredients,  Lysøysundet, Norway</t>
        </is>
      </c>
      <c r="B13624" t="inlineStr">
        <is>
          <t>Point of Origin, Collecting Point</t>
        </is>
      </c>
      <c r="C13624" t="inlineStr">
        <is>
          <t>ASG Cert GmbH, Munich, DE</t>
        </is>
      </c>
      <c r="D13624" t="inlineStr">
        <is>
          <t>12.10.2026</t>
        </is>
      </c>
      <c r="E13624" t="inlineStr">
        <is>
          <t>Norway</t>
        </is>
      </c>
    </row>
    <row r="13625">
      <c r="A13625" t="inlineStr">
        <is>
          <t>JRF de Andrade Neto Industria e Comercio de Oleos Ltda,  Prado Ferreira, Brazil</t>
        </is>
      </c>
      <c r="B13625" t="inlineStr">
        <is>
          <t>Collecting Point, Processing Unit, Trader with Storage</t>
        </is>
      </c>
      <c r="C13625" t="inlineStr">
        <is>
          <t>QIMA, Centro, Botucatu - SP, CEP, BR</t>
        </is>
      </c>
      <c r="D13625" t="inlineStr">
        <is>
          <t>12.10.2026</t>
        </is>
      </c>
      <c r="E13625" t="inlineStr">
        <is>
          <t>Brazil</t>
        </is>
      </c>
    </row>
    <row r="13626">
      <c r="A13626" t="inlineStr">
        <is>
          <t>Thermo Fisher Scientific, Inc. Molecular BioProducts Inc.,  Tijuana, Mexico</t>
        </is>
      </c>
      <c r="B13626" t="inlineStr">
        <is>
          <t>Processing Unit</t>
        </is>
      </c>
      <c r="C13626" t="inlineStr">
        <is>
          <t>SCS Global Services, Emeryville, CA, US</t>
        </is>
      </c>
      <c r="D13626" t="inlineStr">
        <is>
          <t>12.10.2026</t>
        </is>
      </c>
      <c r="E13626" t="inlineStr">
        <is>
          <t>Mexico</t>
        </is>
      </c>
    </row>
    <row r="13627">
      <c r="A13627" t="inlineStr">
        <is>
          <t>Asahi Kasei Corporation,  Tokyo, Japan</t>
        </is>
      </c>
      <c r="B13627" t="inlineStr">
        <is>
          <t>Trader with Storage</t>
        </is>
      </c>
      <c r="C13627" t="inlineStr">
        <is>
          <t>Control Union Certifications Germany GmbH, Berlin, DE</t>
        </is>
      </c>
      <c r="D13627" t="inlineStr">
        <is>
          <t>12.10.2026</t>
        </is>
      </c>
      <c r="E13627" t="inlineStr">
        <is>
          <t>Japan</t>
        </is>
      </c>
    </row>
    <row r="13628">
      <c r="A13628" t="inlineStr">
        <is>
          <t>MHP East Europe s.r.o.,  Bratislava, Slovakia</t>
        </is>
      </c>
      <c r="B13628" t="inlineStr">
        <is>
          <t>Trader</t>
        </is>
      </c>
      <c r="C13628" t="inlineStr">
        <is>
          <t>Apex Genelab LLC, Odessa, UA</t>
        </is>
      </c>
      <c r="D13628" t="inlineStr">
        <is>
          <t>12.10.2026</t>
        </is>
      </c>
      <c r="E13628" t="inlineStr">
        <is>
          <t>Slovakia</t>
        </is>
      </c>
    </row>
    <row r="13629">
      <c r="A13629" t="inlineStr">
        <is>
          <t>AGROKIM,  Pryluky area, Chernihiv region, v. Mala Divica, Ukraine</t>
        </is>
      </c>
      <c r="B13629" t="inlineStr">
        <is>
          <t>Farm / Plantation</t>
        </is>
      </c>
      <c r="C13629" t="inlineStr">
        <is>
          <t>Organic Standard Ltd, Kyiv, UA</t>
        </is>
      </c>
      <c r="D13629" t="inlineStr">
        <is>
          <t>12.10.2026</t>
        </is>
      </c>
      <c r="E13629" t="inlineStr">
        <is>
          <t>Ukraine</t>
        </is>
      </c>
    </row>
    <row r="13630">
      <c r="A13630" t="inlineStr">
        <is>
          <t>BARLOW BULKING INSTALLATION SDN BHD,  PORT KLANG, Malaysia</t>
        </is>
      </c>
      <c r="B13630" t="inlineStr">
        <is>
          <t>Trader with Storage</t>
        </is>
      </c>
      <c r="C13630" t="inlineStr">
        <is>
          <t>Trans Certification and Inspection Sdn Bhd, Kuantan, MY</t>
        </is>
      </c>
      <c r="D13630" t="inlineStr">
        <is>
          <t>12.10.2026</t>
        </is>
      </c>
      <c r="E13630" t="inlineStr">
        <is>
          <t>Malaysia</t>
        </is>
      </c>
    </row>
    <row r="13631">
      <c r="A13631" t="inlineStr">
        <is>
          <t>A. Schulman Plastics,  Givet, France</t>
        </is>
      </c>
      <c r="B13631" t="inlineStr">
        <is>
          <t>Processing Unit</t>
        </is>
      </c>
      <c r="C13631" t="inlineStr">
        <is>
          <t>SGS Germany GmbH, Emstek, DE</t>
        </is>
      </c>
      <c r="D13631" t="inlineStr">
        <is>
          <t>12.10.2026</t>
        </is>
      </c>
      <c r="E13631" t="inlineStr">
        <is>
          <t>France</t>
        </is>
      </c>
    </row>
    <row r="13632">
      <c r="A13632" t="inlineStr">
        <is>
          <t>EKSTREM ČISTO d.o.o.,  Hrastnik, Slovenia</t>
        </is>
      </c>
      <c r="B13632" t="inlineStr">
        <is>
          <t>Collecting Point</t>
        </is>
      </c>
      <c r="C13632" t="inlineStr">
        <is>
          <t>Bureau Veritas Polska Sp. z o.o., Warsaw, PL</t>
        </is>
      </c>
      <c r="D13632" t="inlineStr">
        <is>
          <t>12.10.2026</t>
        </is>
      </c>
      <c r="E13632" t="inlineStr">
        <is>
          <t>Slovenia</t>
        </is>
      </c>
    </row>
    <row r="13633">
      <c r="A13633" t="inlineStr">
        <is>
          <t>Igiene Service Srl,  Portoferraio, Livorno, Italy</t>
        </is>
      </c>
      <c r="B13633" t="inlineStr">
        <is>
          <t>Collecting Point</t>
        </is>
      </c>
      <c r="C13633" t="inlineStr">
        <is>
          <t>RINA Services S.p.A., Genova, IT</t>
        </is>
      </c>
      <c r="D13633" t="inlineStr">
        <is>
          <t>12.10.2026</t>
        </is>
      </c>
      <c r="E13633" t="inlineStr">
        <is>
          <t>Italy</t>
        </is>
      </c>
    </row>
    <row r="13634">
      <c r="A13634" t="inlineStr">
        <is>
          <t>Apollo Global Sdn Bhd,  Sandakan, Malaysia</t>
        </is>
      </c>
      <c r="B13634" t="inlineStr">
        <is>
          <t>Trader with Storage</t>
        </is>
      </c>
      <c r="C13634" t="inlineStr">
        <is>
          <t>SGS Germany GmbH, Emstek, DE</t>
        </is>
      </c>
      <c r="D13634" t="inlineStr">
        <is>
          <t>11.10.2026</t>
        </is>
      </c>
      <c r="E13634" t="inlineStr">
        <is>
          <t>Malaysia</t>
        </is>
      </c>
    </row>
    <row r="13635">
      <c r="A13635" t="inlineStr">
        <is>
          <t>Algarve 1914, S.L,  Madridejos. Toledo, Spain</t>
        </is>
      </c>
      <c r="B13635" t="inlineStr">
        <is>
          <t>Collecting Point, Processing Unit</t>
        </is>
      </c>
      <c r="C13635" t="inlineStr">
        <is>
          <t>Control Union Poland Sp. z o.o., Zielona Gora, PL</t>
        </is>
      </c>
      <c r="D13635" t="inlineStr">
        <is>
          <t>11.10.2026</t>
        </is>
      </c>
      <c r="E13635" t="inlineStr">
        <is>
          <t>Spain</t>
        </is>
      </c>
    </row>
    <row r="13636">
      <c r="A13636" t="inlineStr">
        <is>
          <t>JOC TECHNICAL ENGINEERING (HK) CO., LIMITED,  Nanjing City, Jiangsu Province, China</t>
        </is>
      </c>
      <c r="B13636" t="inlineStr">
        <is>
          <t>Trader</t>
        </is>
      </c>
      <c r="C13636" t="inlineStr">
        <is>
          <t>RINA Services S.p.A., Genova, IT</t>
        </is>
      </c>
      <c r="D13636" t="inlineStr">
        <is>
          <t>11.10.2026</t>
        </is>
      </c>
      <c r="E13636" t="inlineStr">
        <is>
          <t>China</t>
        </is>
      </c>
    </row>
    <row r="13637">
      <c r="A13637" t="inlineStr">
        <is>
          <t>BARKOM,  Lviv, Ukraine</t>
        </is>
      </c>
      <c r="B13637" t="inlineStr">
        <is>
          <t>Farm / Plantation</t>
        </is>
      </c>
      <c r="C13637" t="inlineStr">
        <is>
          <t>Aciter Genelab LLC, Odessa, UA</t>
        </is>
      </c>
      <c r="D13637" t="inlineStr">
        <is>
          <t>11.10.2026</t>
        </is>
      </c>
      <c r="E13637" t="inlineStr">
        <is>
          <t>Ukraine</t>
        </is>
      </c>
    </row>
    <row r="13638">
      <c r="A13638" t="inlineStr">
        <is>
          <t>DRON Industries,  Dunajská Streda, Slovakia</t>
        </is>
      </c>
      <c r="B13638" t="inlineStr">
        <is>
          <t>Collecting Point, Processing Unit</t>
        </is>
      </c>
      <c r="C13638" t="inlineStr">
        <is>
          <t>Bureau Veritas Polska Sp. z o.o., Warsaw, PL</t>
        </is>
      </c>
      <c r="D13638" t="inlineStr">
        <is>
          <t>11.10.2026</t>
        </is>
      </c>
      <c r="E13638" t="inlineStr">
        <is>
          <t>Slovakia</t>
        </is>
      </c>
    </row>
    <row r="13639">
      <c r="A13639" t="inlineStr">
        <is>
          <t>DRON Industries,  Dunajská Streda, Slovakia</t>
        </is>
      </c>
      <c r="B13639" t="inlineStr">
        <is>
          <t>Collecting Point, Processing Unit</t>
        </is>
      </c>
      <c r="C13639" t="inlineStr">
        <is>
          <t>Bureau Veritas Polska Sp. z o.o., Warsaw, PL</t>
        </is>
      </c>
      <c r="D13639" t="inlineStr">
        <is>
          <t>11.10.2026</t>
        </is>
      </c>
      <c r="E13639" t="inlineStr">
        <is>
          <t>Slovakia</t>
        </is>
      </c>
    </row>
    <row r="13640">
      <c r="A13640" t="inlineStr">
        <is>
          <t>Henkel Global Supply Chain B.V.,  Amsterdam, Netherlands</t>
        </is>
      </c>
      <c r="B13640" t="inlineStr">
        <is>
          <t>Trader</t>
        </is>
      </c>
      <c r="C13640" t="inlineStr">
        <is>
          <t>DQS CFS GmbH - Deutsche Gesellschaft für Nachhaltigkeit, Frankfurt am Main, DE</t>
        </is>
      </c>
      <c r="D13640" t="inlineStr">
        <is>
          <t>11.10.2026</t>
        </is>
      </c>
      <c r="E13640" t="inlineStr">
        <is>
          <t>Netherlands</t>
        </is>
      </c>
    </row>
    <row r="13641">
      <c r="A13641" t="inlineStr">
        <is>
          <t>Galldorf Zrt.,  Hernád, Hungary</t>
        </is>
      </c>
      <c r="B13641" t="inlineStr">
        <is>
          <t>First Gathering Point, Trader with Storage</t>
        </is>
      </c>
      <c r="C13641" t="inlineStr">
        <is>
          <t>Control Union Certifications Germany GmbH, Berlin, DE</t>
        </is>
      </c>
      <c r="D13641" t="inlineStr">
        <is>
          <t>11.10.2026</t>
        </is>
      </c>
      <c r="E13641" t="inlineStr">
        <is>
          <t>Hungary</t>
        </is>
      </c>
    </row>
    <row r="13642">
      <c r="A13642" t="inlineStr">
        <is>
          <t>Groupagro-Trade Kereskedelmi és Szolgáltató Korlátolt Felelősségű Társaság,  Gyor, Hungary</t>
        </is>
      </c>
      <c r="B13642" t="inlineStr">
        <is>
          <t>First Gathering Point, Trader</t>
        </is>
      </c>
      <c r="C13642" t="inlineStr">
        <is>
          <t>United Registrar of Systems Polska Sp. z o.o., Wrocław, PL</t>
        </is>
      </c>
      <c r="D13642" t="inlineStr">
        <is>
          <t>11.10.2026</t>
        </is>
      </c>
      <c r="E13642" t="inlineStr">
        <is>
          <t>Hungary</t>
        </is>
      </c>
    </row>
    <row r="13643">
      <c r="A13643" t="inlineStr">
        <is>
          <t>Nova-Meta Applied Material Co., Ltd.,  Taoyuan Dist., Taoyuan City, Taiwan, Province of China</t>
        </is>
      </c>
      <c r="B13643" t="inlineStr">
        <is>
          <t>Trader with Storage</t>
        </is>
      </c>
      <c r="C13643" t="inlineStr">
        <is>
          <t>Control Union Certifications Germany GmbH, Berlin, DE</t>
        </is>
      </c>
      <c r="D13643" t="inlineStr">
        <is>
          <t>11.10.2026</t>
        </is>
      </c>
      <c r="E13643" t="inlineStr">
        <is>
          <t>Province of China</t>
        </is>
      </c>
    </row>
    <row r="13644">
      <c r="A13644" t="inlineStr">
        <is>
          <t>SecAnim Südwest GmbH,  Rivenich, Germany</t>
        </is>
      </c>
      <c r="B13644" t="inlineStr">
        <is>
          <t>Point of Origin</t>
        </is>
      </c>
      <c r="C13644" t="inlineStr">
        <is>
          <t>GUT Certifizierungsgesellschaft für Managementsysteme mbH Umweltgutachter, Berlin, DE</t>
        </is>
      </c>
      <c r="D13644" t="inlineStr">
        <is>
          <t>11.10.2026</t>
        </is>
      </c>
      <c r="E13644" t="inlineStr">
        <is>
          <t>Germany</t>
        </is>
      </c>
    </row>
    <row r="13645">
      <c r="A13645" t="inlineStr">
        <is>
          <t>ecoMotion GmbH,  Lünen, Germany</t>
        </is>
      </c>
      <c r="B13645" t="inlineStr">
        <is>
          <t>Point of Origin, Collecting Point, Trader with Storage, Processing Unit</t>
        </is>
      </c>
      <c r="C13645" t="inlineStr">
        <is>
          <t>GUT Certifizierungsgesellschaft für Managementsysteme mbH Umweltgutachter, Berlin, DE</t>
        </is>
      </c>
      <c r="D13645" t="inlineStr">
        <is>
          <t>11.10.2026</t>
        </is>
      </c>
      <c r="E13645" t="inlineStr">
        <is>
          <t>Germany</t>
        </is>
      </c>
    </row>
    <row r="13646">
      <c r="A13646" t="inlineStr">
        <is>
          <t>PSD CO,  Sofia, Bulgaria</t>
        </is>
      </c>
      <c r="B13646" t="inlineStr">
        <is>
          <t>Trader</t>
        </is>
      </c>
      <c r="C13646" t="inlineStr">
        <is>
          <t>RINA Services S.p.A., Genova, IT</t>
        </is>
      </c>
      <c r="D13646" t="inlineStr">
        <is>
          <t>11.10.2026</t>
        </is>
      </c>
      <c r="E13646" t="inlineStr">
        <is>
          <t>Bulgaria</t>
        </is>
      </c>
    </row>
    <row r="13647">
      <c r="A13647" t="inlineStr">
        <is>
          <t>Jiangsu ACE International Trade Co.,Ltd.,  Lianyungang City, Jiangsu Province, China</t>
        </is>
      </c>
      <c r="B13647" t="inlineStr">
        <is>
          <t>Trader with Storage</t>
        </is>
      </c>
      <c r="C13647" t="inlineStr">
        <is>
          <t>SCS Global Services, Emeryville, CA, US</t>
        </is>
      </c>
      <c r="D13647" t="inlineStr">
        <is>
          <t>11.10.2026</t>
        </is>
      </c>
      <c r="E13647" t="inlineStr">
        <is>
          <t>China</t>
        </is>
      </c>
    </row>
    <row r="13648">
      <c r="A13648" t="inlineStr">
        <is>
          <t>Hetmanske,  Chernihiv region, Baturyn, Ukraine</t>
        </is>
      </c>
      <c r="B13648" t="inlineStr">
        <is>
          <t>Farm / Plantation, Trader</t>
        </is>
      </c>
      <c r="C13648" t="inlineStr">
        <is>
          <t>United Registrar of Systems Polska Sp. z o.o., Wrocław, PL</t>
        </is>
      </c>
      <c r="D13648" t="inlineStr">
        <is>
          <t>11.10.2026</t>
        </is>
      </c>
      <c r="E13648" t="inlineStr">
        <is>
          <t>Ukraine</t>
        </is>
      </c>
    </row>
    <row r="13649">
      <c r="A13649" t="inlineStr">
        <is>
          <t>Ningbo Kaicheng Kitchen Waste Treatment Co., LTD,  Ningbo City, Zhejiang Province, China</t>
        </is>
      </c>
      <c r="B13649" t="inlineStr">
        <is>
          <t>Collecting Point, Processing Unit</t>
        </is>
      </c>
      <c r="C13649" t="inlineStr">
        <is>
          <t>SCS Global Services, Emeryville, CA, US</t>
        </is>
      </c>
      <c r="D13649" t="inlineStr">
        <is>
          <t>11.10.2026</t>
        </is>
      </c>
      <c r="E13649" t="inlineStr">
        <is>
          <t>China</t>
        </is>
      </c>
    </row>
    <row r="13650">
      <c r="A13650" t="inlineStr">
        <is>
          <t>VIETNAM AISHI OPTICS COMPANY LIMITED,  Lang Giang Commune, Bac Ninh Province, Vietnam</t>
        </is>
      </c>
      <c r="B13650" t="inlineStr">
        <is>
          <t>Processing Unit</t>
        </is>
      </c>
      <c r="C13650" t="inlineStr">
        <is>
          <t>SCS Global Services, Emeryville, CA, US</t>
        </is>
      </c>
      <c r="D13650" t="inlineStr">
        <is>
          <t>11.10.2026</t>
        </is>
      </c>
      <c r="E13650" t="inlineStr">
        <is>
          <t>Vietnam</t>
        </is>
      </c>
    </row>
    <row r="13651">
      <c r="A13651" t="inlineStr">
        <is>
          <t>Vasi Prospero Szövetkezet,  Vép, Hungary</t>
        </is>
      </c>
      <c r="B13651" t="inlineStr">
        <is>
          <t>First Gathering Point</t>
        </is>
      </c>
      <c r="C13651" t="inlineStr">
        <is>
          <t>SGS Germany GmbH, Emstek, DE</t>
        </is>
      </c>
      <c r="D13651" t="inlineStr">
        <is>
          <t>11.10.2026</t>
        </is>
      </c>
      <c r="E13651" t="inlineStr">
        <is>
          <t>Hungary</t>
        </is>
      </c>
    </row>
    <row r="13652">
      <c r="A13652" t="inlineStr">
        <is>
          <t>Bridgestone Italia Manufacturing SpA,  Modugno (Bari), Italy</t>
        </is>
      </c>
      <c r="B13652" t="inlineStr">
        <is>
          <t>Processing Unit</t>
        </is>
      </c>
      <c r="C13652" t="inlineStr">
        <is>
          <t>SGS Germany GmbH, Emstek, DE</t>
        </is>
      </c>
      <c r="D13652" t="inlineStr">
        <is>
          <t>11.10.2026</t>
        </is>
      </c>
      <c r="E13652" t="inlineStr">
        <is>
          <t>Italy</t>
        </is>
      </c>
    </row>
    <row r="13653">
      <c r="A13653" t="inlineStr">
        <is>
          <t>Ludvik Pack s.r.o.,  Vselibice, Czech Republic</t>
        </is>
      </c>
      <c r="B13653" t="inlineStr">
        <is>
          <t>Point of Origin, Processing Unit</t>
        </is>
      </c>
      <c r="C13653" t="inlineStr">
        <is>
          <t>Bureau Veritas Polska Sp. z o.o., Warsaw, PL</t>
        </is>
      </c>
      <c r="D13653" t="inlineStr">
        <is>
          <t>10.10.2026</t>
        </is>
      </c>
      <c r="E13653" t="inlineStr">
        <is>
          <t>Czech Republic</t>
        </is>
      </c>
    </row>
    <row r="13654">
      <c r="A13654" t="inlineStr">
        <is>
          <t>ZHEJIANG DUSHAN ENERGY CO.,LTD.,  Pinghu City, China</t>
        </is>
      </c>
      <c r="B13654" t="inlineStr">
        <is>
          <t>Processing Unit</t>
        </is>
      </c>
      <c r="C13654" t="inlineStr">
        <is>
          <t>SGS Germany GmbH, Emstek, DE</t>
        </is>
      </c>
      <c r="D13654" t="inlineStr">
        <is>
          <t>10.10.2026</t>
        </is>
      </c>
      <c r="E13654" t="inlineStr">
        <is>
          <t>China</t>
        </is>
      </c>
    </row>
    <row r="13655">
      <c r="A13655" t="inlineStr">
        <is>
          <t>TotalEnergies Fluids,  Oudalle, France</t>
        </is>
      </c>
      <c r="B13655" t="inlineStr">
        <is>
          <t>Trader with Storage, Processing Unit</t>
        </is>
      </c>
      <c r="C13655" t="inlineStr">
        <is>
          <t>Control Union Certifications Germany GmbH, Berlin, DE</t>
        </is>
      </c>
      <c r="D13655" t="inlineStr">
        <is>
          <t>10.10.2026</t>
        </is>
      </c>
      <c r="E13655" t="inlineStr">
        <is>
          <t>France</t>
        </is>
      </c>
    </row>
    <row r="13656">
      <c r="A13656" t="inlineStr">
        <is>
          <t>TotalEnergies Fluids,  Oudalle, France</t>
        </is>
      </c>
      <c r="B13656" t="inlineStr">
        <is>
          <t>Trader with Storage, Processing Unit</t>
        </is>
      </c>
      <c r="C13656" t="inlineStr">
        <is>
          <t>Control Union Certifications Germany GmbH, Berlin, DE</t>
        </is>
      </c>
      <c r="D13656" t="inlineStr">
        <is>
          <t>10.10.2026</t>
        </is>
      </c>
      <c r="E13656" t="inlineStr">
        <is>
          <t>France</t>
        </is>
      </c>
    </row>
    <row r="13657">
      <c r="A13657" t="inlineStr">
        <is>
          <t>Reoil International, S DE RL DE CV.,  Ciudad Mexico, Mexico</t>
        </is>
      </c>
      <c r="B13657" t="inlineStr">
        <is>
          <t>Collecting Point, Trader with Storage</t>
        </is>
      </c>
      <c r="C13657" t="inlineStr">
        <is>
          <t>Control Union Poland Sp. z o.o., Zielona Gora, PL</t>
        </is>
      </c>
      <c r="D13657" t="inlineStr">
        <is>
          <t>10.10.2026</t>
        </is>
      </c>
      <c r="E13657" t="inlineStr">
        <is>
          <t>Mexico</t>
        </is>
      </c>
    </row>
    <row r="13658">
      <c r="A13658" t="inlineStr">
        <is>
          <t>Permata Lestari Jaya,  Kabupaten Sintang, Indonesia</t>
        </is>
      </c>
      <c r="B13658" t="inlineStr">
        <is>
          <t>Point of Origin</t>
        </is>
      </c>
      <c r="C13658" t="inlineStr">
        <is>
          <t>PT. Qualitas Sertifikasi Indonesia, Jakarta, ID</t>
        </is>
      </c>
      <c r="D13658" t="inlineStr">
        <is>
          <t>10.10.2026</t>
        </is>
      </c>
      <c r="E13658" t="inlineStr">
        <is>
          <t>Indonesia</t>
        </is>
      </c>
    </row>
    <row r="13659">
      <c r="A13659" t="inlineStr">
        <is>
          <t>Inti Indosawit Subur,  Pelalawan, Indonesia</t>
        </is>
      </c>
      <c r="B13659" t="inlineStr">
        <is>
          <t>Point of Origin</t>
        </is>
      </c>
      <c r="C13659" t="inlineStr">
        <is>
          <t>SGS Germany GmbH, Emstek, DE</t>
        </is>
      </c>
      <c r="D13659" t="inlineStr">
        <is>
          <t>10.10.2026</t>
        </is>
      </c>
      <c r="E13659" t="inlineStr">
        <is>
          <t>Indonesia</t>
        </is>
      </c>
    </row>
    <row r="13660">
      <c r="A13660" t="inlineStr">
        <is>
          <t>EPL Packaging (Guangzhou) Limited,  Yonghe Zone, GETDZ, Guangzhou, China</t>
        </is>
      </c>
      <c r="B13660" t="inlineStr">
        <is>
          <t>Trader with Storage, Final Product Refinement</t>
        </is>
      </c>
      <c r="C13660" t="inlineStr">
        <is>
          <t>SGS Germany GmbH, Emstek, DE</t>
        </is>
      </c>
      <c r="D13660" t="inlineStr">
        <is>
          <t>10.10.2026</t>
        </is>
      </c>
      <c r="E13660" t="inlineStr">
        <is>
          <t>China</t>
        </is>
      </c>
    </row>
    <row r="13661">
      <c r="A13661" t="inlineStr">
        <is>
          <t>Tekni-Plex, Inc.,  Dublin, VA, United States</t>
        </is>
      </c>
      <c r="B13661" t="inlineStr">
        <is>
          <t>Processing Unit</t>
        </is>
      </c>
      <c r="C13661" t="inlineStr">
        <is>
          <t>SCS Global Services, Emeryville, CA, US</t>
        </is>
      </c>
      <c r="D13661" t="inlineStr">
        <is>
          <t>10.10.2026</t>
        </is>
      </c>
      <c r="E13661" t="inlineStr">
        <is>
          <t>United States</t>
        </is>
      </c>
    </row>
    <row r="13662">
      <c r="A13662" t="inlineStr">
        <is>
          <t>AM Service,  München, Germany</t>
        </is>
      </c>
      <c r="B13662" t="inlineStr">
        <is>
          <t>Trader, Collecting Point</t>
        </is>
      </c>
      <c r="C13662" t="inlineStr">
        <is>
          <t>DEKRA Certification B.V., Arnhem, NL</t>
        </is>
      </c>
      <c r="D13662" t="inlineStr">
        <is>
          <t>10.10.2026</t>
        </is>
      </c>
      <c r="E13662" t="inlineStr">
        <is>
          <t>Germany</t>
        </is>
      </c>
    </row>
    <row r="13663">
      <c r="A13663" t="inlineStr">
        <is>
          <t>Throne Biofuel Company Limited,  Ho Chi Minh, Vietnam</t>
        </is>
      </c>
      <c r="B13663" t="inlineStr">
        <is>
          <t>Collecting Point, Trader with Storage</t>
        </is>
      </c>
      <c r="C13663" t="inlineStr">
        <is>
          <t>PT Intertek Utama Services, Jakarta, ID</t>
        </is>
      </c>
      <c r="D13663" t="inlineStr">
        <is>
          <t>10.10.2026</t>
        </is>
      </c>
      <c r="E13663" t="inlineStr">
        <is>
          <t>Vietnam</t>
        </is>
      </c>
    </row>
    <row r="13664">
      <c r="A13664" t="inlineStr">
        <is>
          <t>W.A.G. payment solutions, a.s.,  Praha 4, Czech Republic</t>
        </is>
      </c>
      <c r="B13664" t="inlineStr">
        <is>
          <t>Trader with Storage</t>
        </is>
      </c>
      <c r="C13664" t="inlineStr">
        <is>
          <t>United Registrar of Systems Polska Sp. z o.o., Wrocław, PL</t>
        </is>
      </c>
      <c r="D13664" t="inlineStr">
        <is>
          <t>10.10.2026</t>
        </is>
      </c>
      <c r="E13664" t="inlineStr">
        <is>
          <t>Czech Republic</t>
        </is>
      </c>
    </row>
    <row r="13665">
      <c r="A13665" t="inlineStr">
        <is>
          <t>The Amtico Company Limited t/a Amtico International,  Coventry, United Kingdom</t>
        </is>
      </c>
      <c r="B13665" t="inlineStr">
        <is>
          <t>Processing Unit</t>
        </is>
      </c>
      <c r="C13665" t="inlineStr">
        <is>
          <t>SGS Germany GmbH, Emstek, DE</t>
        </is>
      </c>
      <c r="D13665" t="inlineStr">
        <is>
          <t>10.10.2026</t>
        </is>
      </c>
      <c r="E13665" t="inlineStr">
        <is>
          <t>United Kingdom</t>
        </is>
      </c>
    </row>
    <row r="13666">
      <c r="A13666" t="inlineStr">
        <is>
          <t>Poet Biorefining - Mitchell,  Mitchell, United States</t>
        </is>
      </c>
      <c r="B13666" t="inlineStr">
        <is>
          <t>Processing Unit</t>
        </is>
      </c>
      <c r="C13666" t="inlineStr">
        <is>
          <t>SCS Global Services, Emeryville, CA, US</t>
        </is>
      </c>
      <c r="D13666" t="inlineStr">
        <is>
          <t>10.10.2026</t>
        </is>
      </c>
      <c r="E13666" t="inlineStr">
        <is>
          <t>United States</t>
        </is>
      </c>
    </row>
    <row r="13667">
      <c r="A13667" t="inlineStr">
        <is>
          <t>Poet Biorefining - Mitchell,  Mitchell, United States</t>
        </is>
      </c>
      <c r="B13667" t="inlineStr">
        <is>
          <t>Processing Unit</t>
        </is>
      </c>
      <c r="C13667" t="inlineStr">
        <is>
          <t>SCS Global Services, Emeryville, CA, US</t>
        </is>
      </c>
      <c r="D13667" t="inlineStr">
        <is>
          <t>10.10.2026</t>
        </is>
      </c>
      <c r="E13667" t="inlineStr">
        <is>
          <t>United States</t>
        </is>
      </c>
    </row>
    <row r="13668">
      <c r="A13668" t="inlineStr">
        <is>
          <t>Trinseo Deutschland,  Schkopau, Germany</t>
        </is>
      </c>
      <c r="B13668" t="inlineStr">
        <is>
          <t>Processing Unit</t>
        </is>
      </c>
      <c r="C13668" t="inlineStr">
        <is>
          <t>SGS Germany GmbH, Emstek, DE</t>
        </is>
      </c>
      <c r="D13668" t="inlineStr">
        <is>
          <t>10.10.2026</t>
        </is>
      </c>
      <c r="E13668" t="inlineStr">
        <is>
          <t>Germany</t>
        </is>
      </c>
    </row>
    <row r="13669">
      <c r="A13669" t="inlineStr">
        <is>
          <t>İmaj Baskı Ambalaj Sanayi Ve Ticaret A. Ş.,  Gebze, Turkey</t>
        </is>
      </c>
      <c r="B13669" t="inlineStr">
        <is>
          <t>Processing Unit</t>
        </is>
      </c>
      <c r="C13669" t="inlineStr">
        <is>
          <t>PT Intertek Utama Services, Jakarta, ID</t>
        </is>
      </c>
      <c r="D13669" t="inlineStr">
        <is>
          <t>10.10.2026</t>
        </is>
      </c>
      <c r="E13669" t="inlineStr">
        <is>
          <t>Turkey</t>
        </is>
      </c>
    </row>
    <row r="13670">
      <c r="A13670" t="inlineStr">
        <is>
          <t>EPL Packaging(Jiangsu) Limited,  Yangyuan Development Zone, Xinzhuang Town,Changshu City, China</t>
        </is>
      </c>
      <c r="B13670" t="inlineStr">
        <is>
          <t>Processing Unit, Trader</t>
        </is>
      </c>
      <c r="C13670" t="inlineStr">
        <is>
          <t>SGS Germany GmbH, Emstek, DE</t>
        </is>
      </c>
      <c r="D13670" t="inlineStr">
        <is>
          <t>10.10.2026</t>
        </is>
      </c>
      <c r="E13670" t="inlineStr">
        <is>
          <t>China</t>
        </is>
      </c>
    </row>
    <row r="13671">
      <c r="A13671" t="inlineStr">
        <is>
          <t>Timuran Enterprise Sdn Bhd,  Sungai Buloh, Selangor, Malaysia</t>
        </is>
      </c>
      <c r="B13671" t="inlineStr">
        <is>
          <t>Collecting Point, Trader with Storage</t>
        </is>
      </c>
      <c r="C13671" t="inlineStr">
        <is>
          <t>Trans Certification and Inspection Sdn Bhd, Kuantan, MY</t>
        </is>
      </c>
      <c r="D13671" t="inlineStr">
        <is>
          <t>10.10.2026</t>
        </is>
      </c>
      <c r="E13671" t="inlineStr">
        <is>
          <t>Malaysia</t>
        </is>
      </c>
    </row>
    <row r="13672">
      <c r="A13672" t="inlineStr">
        <is>
          <t>SEKITAR BUMI HIJAU SDN BHD,  MIRI, SARAWAK, Malaysia</t>
        </is>
      </c>
      <c r="B13672" t="inlineStr">
        <is>
          <t>Collecting Point</t>
        </is>
      </c>
      <c r="C13672" t="inlineStr">
        <is>
          <t>Global Gateway Certifications Sdn Bhd, Ampang, MY</t>
        </is>
      </c>
      <c r="D13672" t="inlineStr">
        <is>
          <t>10.10.2026</t>
        </is>
      </c>
      <c r="E13672" t="inlineStr">
        <is>
          <t>Malaysia</t>
        </is>
      </c>
    </row>
    <row r="13673">
      <c r="A13673" t="inlineStr">
        <is>
          <t>Bonaterra Energy Limited,  Accra, Ghana</t>
        </is>
      </c>
      <c r="B13673" t="inlineStr">
        <is>
          <t>Collecting Point</t>
        </is>
      </c>
      <c r="C13673" t="inlineStr">
        <is>
          <t>SGS Germany GmbH, Emstek, DE</t>
        </is>
      </c>
      <c r="D13673" t="inlineStr">
        <is>
          <t>10.10.2026</t>
        </is>
      </c>
      <c r="E13673" t="inlineStr">
        <is>
          <t>Ghana</t>
        </is>
      </c>
    </row>
    <row r="13674">
      <c r="A13674" t="inlineStr">
        <is>
          <t>Alchem spol. s r.o.,  Senica, Slovakia</t>
        </is>
      </c>
      <c r="B13674" t="inlineStr">
        <is>
          <t>First Gathering Point, Trader</t>
        </is>
      </c>
      <c r="C13674" t="inlineStr">
        <is>
          <t>United Registrar of Systems Polska Sp. z o.o., Wrocław, PL</t>
        </is>
      </c>
      <c r="D13674" t="inlineStr">
        <is>
          <t>10.10.2026</t>
        </is>
      </c>
      <c r="E13674" t="inlineStr">
        <is>
          <t>Slovakia</t>
        </is>
      </c>
    </row>
    <row r="13675">
      <c r="A13675" t="inlineStr">
        <is>
          <t>Alchem spol. s r.o.,  Senica, Slovakia</t>
        </is>
      </c>
      <c r="B13675" t="inlineStr">
        <is>
          <t>First Gathering Point, Trader</t>
        </is>
      </c>
      <c r="C13675" t="inlineStr">
        <is>
          <t>United Registrar of Systems Polska Sp. z o.o., Wrocław, PL</t>
        </is>
      </c>
      <c r="D13675" t="inlineStr">
        <is>
          <t>10.10.2026</t>
        </is>
      </c>
      <c r="E13675" t="inlineStr">
        <is>
          <t>Slovakia</t>
        </is>
      </c>
    </row>
    <row r="13676">
      <c r="A13676" t="inlineStr">
        <is>
          <t>Birla Carbon China (Weifang) Co., Ltd,  Weifang, China</t>
        </is>
      </c>
      <c r="B13676" t="inlineStr">
        <is>
          <t>Trader with Storage, Processing Unit</t>
        </is>
      </c>
      <c r="C13676" t="inlineStr">
        <is>
          <t>PT Intertek Utama Services, Jakarta, ID</t>
        </is>
      </c>
      <c r="D13676" t="inlineStr">
        <is>
          <t>10.10.2026</t>
        </is>
      </c>
      <c r="E13676" t="inlineStr">
        <is>
          <t>China</t>
        </is>
      </c>
    </row>
    <row r="13677">
      <c r="A13677" t="inlineStr">
        <is>
          <t>CH-Polymers Oy,  Kouvola, Finland</t>
        </is>
      </c>
      <c r="B13677" t="inlineStr">
        <is>
          <t>Processing Unit</t>
        </is>
      </c>
      <c r="C13677" t="inlineStr">
        <is>
          <t>DNV Business Assurance Sweden AB, Solna, SE</t>
        </is>
      </c>
      <c r="D13677" t="inlineStr">
        <is>
          <t>10.10.2026</t>
        </is>
      </c>
      <c r="E13677" t="inlineStr">
        <is>
          <t>Finland</t>
        </is>
      </c>
    </row>
    <row r="13678">
      <c r="A13678" t="inlineStr">
        <is>
          <t>Envalior Specialty Compounds N.V.,  Genk, Belgium</t>
        </is>
      </c>
      <c r="B13678" t="inlineStr">
        <is>
          <t>Processing Unit</t>
        </is>
      </c>
      <c r="C13678" t="inlineStr">
        <is>
          <t>TÜV NORD CERT GmbH, Essen, DE</t>
        </is>
      </c>
      <c r="D13678" t="inlineStr">
        <is>
          <t>10.10.2026</t>
        </is>
      </c>
      <c r="E13678" t="inlineStr">
        <is>
          <t>Belgium</t>
        </is>
      </c>
    </row>
    <row r="13679">
      <c r="A13679" t="inlineStr">
        <is>
          <t>CH-Polymers Oy,  Raiso, Finland</t>
        </is>
      </c>
      <c r="B13679" t="inlineStr">
        <is>
          <t>Trader</t>
        </is>
      </c>
      <c r="C13679" t="inlineStr">
        <is>
          <t>DNV Business Assurance Sweden AB, Solna, SE</t>
        </is>
      </c>
      <c r="D13679" t="inlineStr">
        <is>
          <t>10.10.2026</t>
        </is>
      </c>
      <c r="E13679" t="inlineStr">
        <is>
          <t>Finland</t>
        </is>
      </c>
    </row>
    <row r="13680">
      <c r="A13680" t="inlineStr">
        <is>
          <t>Envalior B.V.,  Geleen, Netherlands</t>
        </is>
      </c>
      <c r="B13680" t="inlineStr">
        <is>
          <t>Processing Unit</t>
        </is>
      </c>
      <c r="C13680" t="inlineStr">
        <is>
          <t>TÜV NORD CERT GmbH, Essen, DE</t>
        </is>
      </c>
      <c r="D13680" t="inlineStr">
        <is>
          <t>10.10.2026</t>
        </is>
      </c>
      <c r="E13680" t="inlineStr">
        <is>
          <t>Netherlands</t>
        </is>
      </c>
    </row>
    <row r="13681">
      <c r="A13681" t="inlineStr">
        <is>
          <t>Envalior B.V.,  Geleen, Netherlands</t>
        </is>
      </c>
      <c r="B13681" t="inlineStr">
        <is>
          <t>Processing Unit</t>
        </is>
      </c>
      <c r="C13681" t="inlineStr">
        <is>
          <t>TÜV NORD CERT GmbH, Essen, DE</t>
        </is>
      </c>
      <c r="D13681" t="inlineStr">
        <is>
          <t>10.10.2026</t>
        </is>
      </c>
      <c r="E13681" t="inlineStr">
        <is>
          <t>Netherlands</t>
        </is>
      </c>
    </row>
    <row r="13682">
      <c r="A13682" t="inlineStr">
        <is>
          <t>Groen Gas Oude Tonge BV,  Oude Tonge, The Netherlands</t>
        </is>
      </c>
      <c r="B13682" t="inlineStr">
        <is>
          <t>Collecting Point, Processing Unit</t>
        </is>
      </c>
      <c r="C13682" t="inlineStr">
        <is>
          <t>DEKRA Certification B.V., Arnhem, NL</t>
        </is>
      </c>
      <c r="D13682" t="inlineStr">
        <is>
          <t>10.10.2026</t>
        </is>
      </c>
      <c r="E13682" t="inlineStr">
        <is>
          <t>The Netherlands</t>
        </is>
      </c>
    </row>
    <row r="13683">
      <c r="A13683" t="inlineStr">
        <is>
          <t>Zarneni hrani-DM,  Dolna Mitropolia, Bulgaria</t>
        </is>
      </c>
      <c r="B13683" t="inlineStr">
        <is>
          <t>First Gathering Point</t>
        </is>
      </c>
      <c r="C13683" t="inlineStr">
        <is>
          <t>SGS Germany GmbH, Emstek, DE</t>
        </is>
      </c>
      <c r="D13683" t="inlineStr">
        <is>
          <t>10.10.2026</t>
        </is>
      </c>
      <c r="E13683" t="inlineStr">
        <is>
          <t>Bulgaria</t>
        </is>
      </c>
    </row>
    <row r="13684">
      <c r="A13684" t="inlineStr">
        <is>
          <t>PT Tidar Kerinci Agung,  Dharmasaraya Regency, Sumatera Barat Province, Indonesia</t>
        </is>
      </c>
      <c r="B13684" t="inlineStr">
        <is>
          <t>Point of Origin</t>
        </is>
      </c>
      <c r="C13684" t="inlineStr">
        <is>
          <t>SGS Germany GmbH, Emstek, DE</t>
        </is>
      </c>
      <c r="D13684" t="inlineStr">
        <is>
          <t>10.10.2026</t>
        </is>
      </c>
      <c r="E13684" t="inlineStr">
        <is>
          <t>Indonesia</t>
        </is>
      </c>
    </row>
    <row r="13685">
      <c r="A13685" t="inlineStr">
        <is>
          <t>Soloil Italia,  Sinalunga, Loc. Bettolle, Italy</t>
        </is>
      </c>
      <c r="B13685" t="inlineStr">
        <is>
          <t>Collecting Point, Processing Unit</t>
        </is>
      </c>
      <c r="C13685" t="inlineStr">
        <is>
          <t>SGS Germany GmbH, Emstek, DE</t>
        </is>
      </c>
      <c r="D13685" t="inlineStr">
        <is>
          <t>10.10.2026</t>
        </is>
      </c>
      <c r="E13685" t="inlineStr">
        <is>
          <t>Italy</t>
        </is>
      </c>
    </row>
    <row r="13686">
      <c r="A13686" t="inlineStr">
        <is>
          <t>ZHOUSHAN OCEAN INVESTMENT OIL TRADING CO., LTD.,  ZHOUSHAN CITY, ZHEJIANG PROVINCE, China</t>
        </is>
      </c>
      <c r="B13686" t="inlineStr">
        <is>
          <t>Trader</t>
        </is>
      </c>
      <c r="C13686" t="inlineStr">
        <is>
          <t>SCS Global Services, Emeryville, CA, US</t>
        </is>
      </c>
      <c r="D13686" t="inlineStr">
        <is>
          <t>10.10.2026</t>
        </is>
      </c>
      <c r="E13686" t="inlineStr">
        <is>
          <t>China</t>
        </is>
      </c>
    </row>
    <row r="13687">
      <c r="A13687" t="inlineStr">
        <is>
          <t>Rafia Industrial,  Vinalesa, Spain</t>
        </is>
      </c>
      <c r="B13687" t="inlineStr">
        <is>
          <t>Processing Unit</t>
        </is>
      </c>
      <c r="C13687" t="inlineStr">
        <is>
          <t>Certificadora Gallega del Noroeste SL, Vilagarcia de Arousa-Pontevedra, ES</t>
        </is>
      </c>
      <c r="D13687" t="inlineStr">
        <is>
          <t>10.10.2026</t>
        </is>
      </c>
      <c r="E13687" t="inlineStr">
        <is>
          <t>Spain</t>
        </is>
      </c>
    </row>
    <row r="13688">
      <c r="A13688" t="inlineStr">
        <is>
          <t>Powergreen For Sustainable Energy,  6th of October Industrial Zone, Egypt</t>
        </is>
      </c>
      <c r="B13688" t="inlineStr">
        <is>
          <t>Collecting Point, Trader with Storage</t>
        </is>
      </c>
      <c r="C13688" t="inlineStr">
        <is>
          <t>SGS Germany GmbH, Emstek, DE</t>
        </is>
      </c>
      <c r="D13688" t="inlineStr">
        <is>
          <t>10.10.2026</t>
        </is>
      </c>
      <c r="E13688" t="inlineStr">
        <is>
          <t>Egypt</t>
        </is>
      </c>
    </row>
    <row r="13689">
      <c r="A13689" t="inlineStr">
        <is>
          <t>Veolia Infrastructures Vertes,  Aubervilliers, France</t>
        </is>
      </c>
      <c r="B13689" t="inlineStr">
        <is>
          <t>Trader</t>
        </is>
      </c>
      <c r="C13689" t="inlineStr">
        <is>
          <t>Control Union Certifications Germany GmbH, Berlin, DE</t>
        </is>
      </c>
      <c r="D13689" t="inlineStr">
        <is>
          <t>10.10.2026</t>
        </is>
      </c>
      <c r="E13689" t="inlineStr">
        <is>
          <t>France</t>
        </is>
      </c>
    </row>
    <row r="13690">
      <c r="A13690" t="inlineStr">
        <is>
          <t>Vimar S.p.A.,  Marostica, Italy</t>
        </is>
      </c>
      <c r="B13690" t="inlineStr">
        <is>
          <t>Processing Unit, Final Product Refinement</t>
        </is>
      </c>
      <c r="C13690" t="inlineStr">
        <is>
          <t>ICIM SpA, sesto san giovanni, IT</t>
        </is>
      </c>
      <c r="D13690" t="inlineStr">
        <is>
          <t>10.10.2026</t>
        </is>
      </c>
      <c r="E13690" t="inlineStr">
        <is>
          <t>Italy</t>
        </is>
      </c>
    </row>
    <row r="13691">
      <c r="A13691" t="inlineStr">
        <is>
          <t>SPV One Energy Products Pvt. Ltd.,  Udupi, India</t>
        </is>
      </c>
      <c r="B13691" t="inlineStr">
        <is>
          <t>Collecting Point, Processing Unit</t>
        </is>
      </c>
      <c r="C13691" t="inlineStr">
        <is>
          <t>Baltic Control Certification, Risskov, DK</t>
        </is>
      </c>
      <c r="D13691" t="inlineStr">
        <is>
          <t>10.10.2026</t>
        </is>
      </c>
      <c r="E13691" t="inlineStr">
        <is>
          <t>India</t>
        </is>
      </c>
    </row>
    <row r="13692">
      <c r="A13692" t="inlineStr">
        <is>
          <t>Thaimed Hightech Co.,  Nongkee, Kabinburi, Prachinburi, Thailand</t>
        </is>
      </c>
      <c r="B13692" t="inlineStr">
        <is>
          <t>Processing Unit</t>
        </is>
      </c>
      <c r="C13692" t="inlineStr">
        <is>
          <t>SGS Germany GmbH, Emstek, DE</t>
        </is>
      </c>
      <c r="D13692" t="inlineStr">
        <is>
          <t>10.10.2026</t>
        </is>
      </c>
      <c r="E13692" t="inlineStr">
        <is>
          <t>Thailand</t>
        </is>
      </c>
    </row>
    <row r="13693">
      <c r="A13693" t="inlineStr">
        <is>
          <t>ITOCHU ENEX CO.,LTD.,  Chiyoda-ku, Tokyo, Japan</t>
        </is>
      </c>
      <c r="B13693" t="inlineStr">
        <is>
          <t>Trader with Storage</t>
        </is>
      </c>
      <c r="C13693" t="inlineStr">
        <is>
          <t>Control Union Certifications Germany GmbH, Berlin, DE</t>
        </is>
      </c>
      <c r="D13693" t="inlineStr">
        <is>
          <t>10.10.2026</t>
        </is>
      </c>
      <c r="E13693" t="inlineStr">
        <is>
          <t>Japan</t>
        </is>
      </c>
    </row>
    <row r="13694">
      <c r="A13694" t="inlineStr">
        <is>
          <t>ITOCHU ENEX CO.,LTD.,  Chiyoda-ku, Tokyo, Japan</t>
        </is>
      </c>
      <c r="B13694" t="inlineStr">
        <is>
          <t>Trader with Storage</t>
        </is>
      </c>
      <c r="C13694" t="inlineStr">
        <is>
          <t>Control Union Certifications Germany GmbH, Berlin, DE</t>
        </is>
      </c>
      <c r="D13694" t="inlineStr">
        <is>
          <t>10.10.2026</t>
        </is>
      </c>
      <c r="E13694" t="inlineStr">
        <is>
          <t>Japan</t>
        </is>
      </c>
    </row>
    <row r="13695">
      <c r="A13695" t="inlineStr">
        <is>
          <t>Heilongjiang Boneng Green Energy Technology Co., LTD.,  Harbin, Heilongjiang, China</t>
        </is>
      </c>
      <c r="B13695" t="inlineStr">
        <is>
          <t>Trader</t>
        </is>
      </c>
      <c r="C13695" t="inlineStr">
        <is>
          <t>SCS Global Services, Emeryville, CA, US</t>
        </is>
      </c>
      <c r="D13695" t="inlineStr">
        <is>
          <t>10.10.2026</t>
        </is>
      </c>
      <c r="E13695" t="inlineStr">
        <is>
          <t>China</t>
        </is>
      </c>
    </row>
    <row r="13696">
      <c r="A13696" t="inlineStr">
        <is>
          <t>PT Mitra Sawit Perkasa,  Kec.Torgamba, Kab. Labuhanbatu Selatan, Indonesia</t>
        </is>
      </c>
      <c r="B13696" t="inlineStr">
        <is>
          <t>Point of Origin</t>
        </is>
      </c>
      <c r="C13696" t="inlineStr">
        <is>
          <t>China Testing &amp; Certification International Group Co., Ltd., Beijing, CN</t>
        </is>
      </c>
      <c r="D13696" t="inlineStr">
        <is>
          <t>10.10.2026</t>
        </is>
      </c>
      <c r="E13696" t="inlineStr">
        <is>
          <t>Indonesia</t>
        </is>
      </c>
    </row>
    <row r="13697">
      <c r="A13697" t="inlineStr">
        <is>
          <t>FTE Clean Environment Company Limited,  Ho Chi Minh, Vietnam</t>
        </is>
      </c>
      <c r="B13697" t="inlineStr">
        <is>
          <t>Trader with Storage</t>
        </is>
      </c>
      <c r="C13697" t="inlineStr">
        <is>
          <t>RINA Services S.p.A., Genova, IT</t>
        </is>
      </c>
      <c r="D13697" t="inlineStr">
        <is>
          <t>10.10.2026</t>
        </is>
      </c>
      <c r="E13697" t="inlineStr">
        <is>
          <t>Vietnam</t>
        </is>
      </c>
    </row>
    <row r="13698">
      <c r="A13698" t="inlineStr">
        <is>
          <t>FTE Clean Environment Company Limited,  Ho Chi Minh, Vietnam</t>
        </is>
      </c>
      <c r="B13698" t="inlineStr">
        <is>
          <t>Collecting Point, Trader with Storage</t>
        </is>
      </c>
      <c r="C13698" t="inlineStr">
        <is>
          <t>RINA Services S.p.A., Genova, IT</t>
        </is>
      </c>
      <c r="D13698" t="inlineStr">
        <is>
          <t>10.10.2026</t>
        </is>
      </c>
      <c r="E13698" t="inlineStr">
        <is>
          <t>Vietnam</t>
        </is>
      </c>
    </row>
    <row r="13699">
      <c r="A13699" t="inlineStr">
        <is>
          <t>Bioexa Energier Egypt AB,  Cairo, Egypt</t>
        </is>
      </c>
      <c r="B13699" t="inlineStr">
        <is>
          <t>Trader with Storage, Collecting Point</t>
        </is>
      </c>
      <c r="C13699" t="inlineStr">
        <is>
          <t>Trans Certification and Inspection Sdn Bhd, Kuantan, MY</t>
        </is>
      </c>
      <c r="D13699" t="inlineStr">
        <is>
          <t>10.10.2026</t>
        </is>
      </c>
      <c r="E13699" t="inlineStr">
        <is>
          <t>Egypt</t>
        </is>
      </c>
    </row>
    <row r="13700">
      <c r="A13700" t="inlineStr">
        <is>
          <t>Dabringer,  Feldthurns, Italy</t>
        </is>
      </c>
      <c r="B13700" t="inlineStr">
        <is>
          <t>Collecting Point, Trader with Storage</t>
        </is>
      </c>
      <c r="C13700" t="inlineStr">
        <is>
          <t>agroVet GmbH, Enzersfeld, AT</t>
        </is>
      </c>
      <c r="D13700" t="inlineStr">
        <is>
          <t>10.10.2026</t>
        </is>
      </c>
      <c r="E13700" t="inlineStr">
        <is>
          <t>Italy</t>
        </is>
      </c>
    </row>
    <row r="13701">
      <c r="A13701" t="inlineStr">
        <is>
          <t>EL. VI. PE. OIL S.A.,  Athens, Metamorphosis, Greece</t>
        </is>
      </c>
      <c r="B13701" t="inlineStr">
        <is>
          <t>Collecting Point</t>
        </is>
      </c>
      <c r="C13701" t="inlineStr">
        <is>
          <t>Eurocert SA, Metamorfosi, Athens, GR</t>
        </is>
      </c>
      <c r="D13701" t="inlineStr">
        <is>
          <t>10.10.2026</t>
        </is>
      </c>
      <c r="E13701" t="inlineStr">
        <is>
          <t>Greece</t>
        </is>
      </c>
    </row>
    <row r="13702">
      <c r="A13702" t="inlineStr">
        <is>
          <t>Di Bartolo srl,  Calatabiano, Italy</t>
        </is>
      </c>
      <c r="B13702" t="inlineStr">
        <is>
          <t>Processing Unit</t>
        </is>
      </c>
      <c r="C13702" t="inlineStr">
        <is>
          <t>RINA Services S.p.A., Genova, IT</t>
        </is>
      </c>
      <c r="D13702" t="inlineStr">
        <is>
          <t>09.10.2026</t>
        </is>
      </c>
      <c r="E13702" t="inlineStr">
        <is>
          <t>Italy</t>
        </is>
      </c>
    </row>
    <row r="13703">
      <c r="A13703" t="inlineStr">
        <is>
          <t>Qujing Jingli Environmental Technology Co., Ltd.,  Qujing City, Yunnan Province, China</t>
        </is>
      </c>
      <c r="B13703" t="inlineStr">
        <is>
          <t>Collecting Point, Processing Unit</t>
        </is>
      </c>
      <c r="C13703" t="inlineStr">
        <is>
          <t>RINA Services S.p.A., Genova, IT</t>
        </is>
      </c>
      <c r="D13703" t="inlineStr">
        <is>
          <t>09.10.2026</t>
        </is>
      </c>
      <c r="E13703" t="inlineStr">
        <is>
          <t>China</t>
        </is>
      </c>
    </row>
    <row r="13704">
      <c r="A13704" t="inlineStr">
        <is>
          <t>KOREA POLYACETAL CO., LTD.,  Seoul, Korea, Republic of</t>
        </is>
      </c>
      <c r="B13704" t="inlineStr">
        <is>
          <t>Trader</t>
        </is>
      </c>
      <c r="C13704" t="inlineStr">
        <is>
          <t>Control Union Certifications Germany GmbH, Berlin, DE</t>
        </is>
      </c>
      <c r="D13704" t="inlineStr">
        <is>
          <t>09.10.2026</t>
        </is>
      </c>
      <c r="E13704" t="inlineStr">
        <is>
          <t>Republic of</t>
        </is>
      </c>
    </row>
    <row r="13705">
      <c r="A13705" t="inlineStr">
        <is>
          <t>KOREA POLYACETAL CO., LTD.(Wonju Factory),  Wonju-si, Gangwon-do, South Korea</t>
        </is>
      </c>
      <c r="B13705" t="inlineStr">
        <is>
          <t>Processing Unit</t>
        </is>
      </c>
      <c r="C13705" t="inlineStr">
        <is>
          <t>Control Union Certifications Germany GmbH, Berlin, DE</t>
        </is>
      </c>
      <c r="D13705" t="inlineStr">
        <is>
          <t>09.10.2026</t>
        </is>
      </c>
      <c r="E13705" t="inlineStr">
        <is>
          <t>South Korea</t>
        </is>
      </c>
    </row>
    <row r="13706">
      <c r="A13706" t="inlineStr">
        <is>
          <t>KYOEI SANGYO Co.,Ltd. Main Office,  Osaka, Japan</t>
        </is>
      </c>
      <c r="B13706" t="inlineStr">
        <is>
          <t>Trader</t>
        </is>
      </c>
      <c r="C13706" t="inlineStr">
        <is>
          <t>SGS Germany GmbH, Emstek, DE</t>
        </is>
      </c>
      <c r="D13706" t="inlineStr">
        <is>
          <t>09.10.2026</t>
        </is>
      </c>
      <c r="E13706" t="inlineStr">
        <is>
          <t>Japan</t>
        </is>
      </c>
    </row>
    <row r="13707">
      <c r="A13707" t="inlineStr">
        <is>
          <t>Cosun Beet Company - Green Energy,  Hoogkerk, Netherlands</t>
        </is>
      </c>
      <c r="B13707" t="inlineStr">
        <is>
          <t>Point of Origin, Processing Unit</t>
        </is>
      </c>
      <c r="C13707" t="inlineStr">
        <is>
          <t>DEKRA Certification B.V., Arnhem, NL</t>
        </is>
      </c>
      <c r="D13707" t="inlineStr">
        <is>
          <t>09.10.2026</t>
        </is>
      </c>
      <c r="E13707" t="inlineStr">
        <is>
          <t>Netherlands</t>
        </is>
      </c>
    </row>
    <row r="13708">
      <c r="A13708" t="inlineStr">
        <is>
          <t>Greenlife Oil Holdings Pty Ltd,  Sunshine, Australia</t>
        </is>
      </c>
      <c r="B13708" t="inlineStr">
        <is>
          <t>Trader with Storage, Collecting Point</t>
        </is>
      </c>
      <c r="C13708" t="inlineStr">
        <is>
          <t>Control Union Certifications Germany GmbH, Berlin, DE</t>
        </is>
      </c>
      <c r="D13708" t="inlineStr">
        <is>
          <t>09.10.2026</t>
        </is>
      </c>
      <c r="E13708" t="inlineStr">
        <is>
          <t>Australia</t>
        </is>
      </c>
    </row>
    <row r="13709">
      <c r="A13709" t="inlineStr">
        <is>
          <t>Greenlife Oil Holdings Pty Ltd,  Sunshine, Australia</t>
        </is>
      </c>
      <c r="B13709" t="inlineStr">
        <is>
          <t>Trader with Storage, Collecting Point</t>
        </is>
      </c>
      <c r="C13709" t="inlineStr">
        <is>
          <t>Control Union Certifications Germany GmbH, Berlin, DE</t>
        </is>
      </c>
      <c r="D13709" t="inlineStr">
        <is>
          <t>09.10.2026</t>
        </is>
      </c>
      <c r="E13709" t="inlineStr">
        <is>
          <t>Australia</t>
        </is>
      </c>
    </row>
    <row r="13710">
      <c r="A13710" t="inlineStr">
        <is>
          <t>Thai MMA,  Rayong, Thailand</t>
        </is>
      </c>
      <c r="B13710" t="inlineStr">
        <is>
          <t>Processing Unit</t>
        </is>
      </c>
      <c r="C13710" t="inlineStr">
        <is>
          <t>SGS Germany GmbH, Emstek, DE</t>
        </is>
      </c>
      <c r="D13710" t="inlineStr">
        <is>
          <t>09.10.2026</t>
        </is>
      </c>
      <c r="E13710" t="inlineStr">
        <is>
          <t>Thailand</t>
        </is>
      </c>
    </row>
    <row r="13711">
      <c r="A13711" t="inlineStr">
        <is>
          <t>Cargill Deutschland GmbH,  Barby, Germany</t>
        </is>
      </c>
      <c r="B13711" t="inlineStr">
        <is>
          <t>Point of Origin, Processing Unit</t>
        </is>
      </c>
      <c r="C13711" t="inlineStr">
        <is>
          <t>Control Union Certifications Germany GmbH, Berlin, DE</t>
        </is>
      </c>
      <c r="D13711" t="inlineStr">
        <is>
          <t>09.10.2026</t>
        </is>
      </c>
      <c r="E13711" t="inlineStr">
        <is>
          <t>Germany</t>
        </is>
      </c>
    </row>
    <row r="13712">
      <c r="A13712" t="inlineStr">
        <is>
          <t>TRIBUTE ENERGY, INC.,  HOUSTON, TEXAS, United States</t>
        </is>
      </c>
      <c r="B13712" t="inlineStr">
        <is>
          <t>Trader</t>
        </is>
      </c>
      <c r="C13712" t="inlineStr">
        <is>
          <t>SCS Global Services, Emeryville, CA, US</t>
        </is>
      </c>
      <c r="D13712" t="inlineStr">
        <is>
          <t>09.10.2026</t>
        </is>
      </c>
      <c r="E13712" t="inlineStr">
        <is>
          <t>United States</t>
        </is>
      </c>
    </row>
    <row r="13713">
      <c r="A13713" t="inlineStr">
        <is>
          <t>TRIBUTE ENERGY, INC.,  HOUSTON, TEXAS, United States</t>
        </is>
      </c>
      <c r="B13713" t="inlineStr">
        <is>
          <t>Trader</t>
        </is>
      </c>
      <c r="C13713" t="inlineStr">
        <is>
          <t>SCS Global Services, Emeryville, CA, US</t>
        </is>
      </c>
      <c r="D13713" t="inlineStr">
        <is>
          <t>09.10.2026</t>
        </is>
      </c>
      <c r="E13713" t="inlineStr">
        <is>
          <t>United States</t>
        </is>
      </c>
    </row>
    <row r="13714">
      <c r="A13714" t="inlineStr">
        <is>
          <t>TRIBUTE ENERGY, INC.,  HOUSTON, TEXAS, United States</t>
        </is>
      </c>
      <c r="B13714" t="inlineStr">
        <is>
          <t>Trader</t>
        </is>
      </c>
      <c r="C13714" t="inlineStr">
        <is>
          <t>SCS Global Services, Emeryville, CA, US</t>
        </is>
      </c>
      <c r="D13714" t="inlineStr">
        <is>
          <t>09.10.2026</t>
        </is>
      </c>
      <c r="E13714" t="inlineStr">
        <is>
          <t>United States</t>
        </is>
      </c>
    </row>
    <row r="13715">
      <c r="A13715" t="inlineStr">
        <is>
          <t>Fajar Palmkel Sdn. Berhad.,  Rawang, Malaysia</t>
        </is>
      </c>
      <c r="B13715" t="inlineStr">
        <is>
          <t>Point of Origin</t>
        </is>
      </c>
      <c r="C13715" t="inlineStr">
        <is>
          <t>Global Gateway Certifications Sdn Bhd, Ampang, MY</t>
        </is>
      </c>
      <c r="D13715" t="inlineStr">
        <is>
          <t>09.10.2026</t>
        </is>
      </c>
      <c r="E13715" t="inlineStr">
        <is>
          <t>Malaysia</t>
        </is>
      </c>
    </row>
    <row r="13716">
      <c r="A13716" t="inlineStr">
        <is>
          <t>Thai MMA Co., Ltd.,  RIL Industrial Estate, Map Ta Phut, Muang, Rayong, Thailand</t>
        </is>
      </c>
      <c r="B13716" t="inlineStr">
        <is>
          <t>Processing Unit</t>
        </is>
      </c>
      <c r="C13716" t="inlineStr">
        <is>
          <t>SGS Germany GmbH, Emstek, DE</t>
        </is>
      </c>
      <c r="D13716" t="inlineStr">
        <is>
          <t>09.10.2026</t>
        </is>
      </c>
      <c r="E13716" t="inlineStr">
        <is>
          <t>Thailand</t>
        </is>
      </c>
    </row>
    <row r="13717">
      <c r="A13717" t="inlineStr">
        <is>
          <t>T Quality Limited,  Swindon, United Kingdom</t>
        </is>
      </c>
      <c r="B13717" t="inlineStr">
        <is>
          <t>Collecting Point</t>
        </is>
      </c>
      <c r="C13717" t="inlineStr">
        <is>
          <t>SGS Germany GmbH, Emstek, DE</t>
        </is>
      </c>
      <c r="D13717" t="inlineStr">
        <is>
          <t>09.10.2026</t>
        </is>
      </c>
      <c r="E13717" t="inlineStr">
        <is>
          <t>United Kingdom</t>
        </is>
      </c>
    </row>
    <row r="13718">
      <c r="A13718" t="inlineStr">
        <is>
          <t>Kang Rong Industrial Co.,Ltd.,  Guangzhou City, Guangdong Province, China</t>
        </is>
      </c>
      <c r="B13718" t="inlineStr">
        <is>
          <t>Processing Unit</t>
        </is>
      </c>
      <c r="C13718" t="inlineStr">
        <is>
          <t>SCS Global Services, Emeryville, CA, US</t>
        </is>
      </c>
      <c r="D13718" t="inlineStr">
        <is>
          <t>09.10.2026</t>
        </is>
      </c>
      <c r="E13718" t="inlineStr">
        <is>
          <t>China</t>
        </is>
      </c>
    </row>
    <row r="13719">
      <c r="A13719" t="inlineStr">
        <is>
          <t>Mondi Örebro,  Örebro, Sweden</t>
        </is>
      </c>
      <c r="B13719" t="inlineStr">
        <is>
          <t>Processing Unit</t>
        </is>
      </c>
      <c r="C13719" t="inlineStr">
        <is>
          <t>DNV Business Assurance Sweden AB, Solna, SE</t>
        </is>
      </c>
      <c r="D13719" t="inlineStr">
        <is>
          <t>09.10.2026</t>
        </is>
      </c>
      <c r="E13719" t="inlineStr">
        <is>
          <t>Sweden</t>
        </is>
      </c>
    </row>
    <row r="13720">
      <c r="A13720" t="inlineStr">
        <is>
          <t>Hood Bumi Resources Sdn Bhd,  MARAN, Malaysia</t>
        </is>
      </c>
      <c r="B13720" t="inlineStr">
        <is>
          <t>Point of Origin</t>
        </is>
      </c>
      <c r="C13720" t="inlineStr">
        <is>
          <t>Trans Certification and Inspection Sdn Bhd, Kuantan, MY</t>
        </is>
      </c>
      <c r="D13720" t="inlineStr">
        <is>
          <t>09.10.2026</t>
        </is>
      </c>
      <c r="E13720" t="inlineStr">
        <is>
          <t>Malaysia</t>
        </is>
      </c>
    </row>
    <row r="13721">
      <c r="A13721" t="inlineStr">
        <is>
          <t>Hood Bumi Resources Sdn Bhd,  KAMPUNG GAJAH,, Malaysia</t>
        </is>
      </c>
      <c r="B13721" t="inlineStr">
        <is>
          <t>Point of Origin</t>
        </is>
      </c>
      <c r="C13721" t="inlineStr">
        <is>
          <t>Trans Certification and Inspection Sdn Bhd, Kuantan, MY</t>
        </is>
      </c>
      <c r="D13721" t="inlineStr">
        <is>
          <t>09.10.2026</t>
        </is>
      </c>
      <c r="E13721" t="inlineStr">
        <is>
          <t>Malaysia</t>
        </is>
      </c>
    </row>
    <row r="13722">
      <c r="A13722" t="inlineStr">
        <is>
          <t>Pannónia-Termény Agrárkereskedő és Szolgáltató Kft.,  Mélykút, Hungary</t>
        </is>
      </c>
      <c r="B13722" t="inlineStr">
        <is>
          <t>First Gathering Point, Trader with Storage</t>
        </is>
      </c>
      <c r="C13722" t="inlineStr">
        <is>
          <t>BM Certification, Riga, LV</t>
        </is>
      </c>
      <c r="D13722" t="inlineStr">
        <is>
          <t>09.10.2026</t>
        </is>
      </c>
      <c r="E13722" t="inlineStr">
        <is>
          <t>Hungary</t>
        </is>
      </c>
    </row>
    <row r="13723">
      <c r="A13723" t="inlineStr">
        <is>
          <t>L-Package Co.,Inc.,  Fukuoka-shi, Fukuoka, Japan</t>
        </is>
      </c>
      <c r="B13723" t="inlineStr">
        <is>
          <t>Processing Unit</t>
        </is>
      </c>
      <c r="C13723" t="inlineStr">
        <is>
          <t>SGS Germany GmbH, Emstek, DE</t>
        </is>
      </c>
      <c r="D13723" t="inlineStr">
        <is>
          <t>09.10.2026</t>
        </is>
      </c>
      <c r="E13723" t="inlineStr">
        <is>
          <t>Japan</t>
        </is>
      </c>
    </row>
    <row r="13724">
      <c r="A13724" t="inlineStr">
        <is>
          <t>Kemira,  Helsinki, Finland</t>
        </is>
      </c>
      <c r="B13724" t="inlineStr">
        <is>
          <t>Collecting Point, Trader with Storage</t>
        </is>
      </c>
      <c r="C13724" t="inlineStr">
        <is>
          <t>PT Intertek Utama Services, Jakarta, ID</t>
        </is>
      </c>
      <c r="D13724" t="inlineStr">
        <is>
          <t>09.10.2026</t>
        </is>
      </c>
      <c r="E13724" t="inlineStr">
        <is>
          <t>Finland</t>
        </is>
      </c>
    </row>
    <row r="13725">
      <c r="A13725" t="inlineStr">
        <is>
          <t>Kemira,  Helsinki, Finland</t>
        </is>
      </c>
      <c r="B13725" t="inlineStr">
        <is>
          <t>Collecting Point, Trader with Storage</t>
        </is>
      </c>
      <c r="C13725" t="inlineStr">
        <is>
          <t>PT Intertek Utama Services, Jakarta, ID</t>
        </is>
      </c>
      <c r="D13725" t="inlineStr">
        <is>
          <t>09.10.2026</t>
        </is>
      </c>
      <c r="E13725" t="inlineStr">
        <is>
          <t>Finland</t>
        </is>
      </c>
    </row>
    <row r="13726">
      <c r="A13726" t="inlineStr">
        <is>
          <t>Industria Aceitera Green World SAC,  Lima, Peru</t>
        </is>
      </c>
      <c r="B13726" t="inlineStr">
        <is>
          <t>Collecting Point</t>
        </is>
      </c>
      <c r="C13726" t="inlineStr">
        <is>
          <t>Certificadora Gallega del Noroeste SL, Vilagarcia de Arousa-Pontevedra, ES</t>
        </is>
      </c>
      <c r="D13726" t="inlineStr">
        <is>
          <t>09.10.2026</t>
        </is>
      </c>
      <c r="E13726" t="inlineStr">
        <is>
          <t>Peru</t>
        </is>
      </c>
    </row>
    <row r="13727">
      <c r="A13727" t="inlineStr">
        <is>
          <t>Amcor PLC,  Cumberland, United States</t>
        </is>
      </c>
      <c r="B13727" t="inlineStr">
        <is>
          <t>Processing Unit</t>
        </is>
      </c>
      <c r="C13727" t="inlineStr">
        <is>
          <t>SCS Global Services, Emeryville, CA, US</t>
        </is>
      </c>
      <c r="D13727" t="inlineStr">
        <is>
          <t>09.10.2026</t>
        </is>
      </c>
      <c r="E13727" t="inlineStr">
        <is>
          <t>United States</t>
        </is>
      </c>
    </row>
    <row r="13728">
      <c r="A13728" t="inlineStr">
        <is>
          <t>Proteínas y Derivados, S.L.,  Santa Eugènia de Berga, Spain</t>
        </is>
      </c>
      <c r="B13728" t="inlineStr">
        <is>
          <t>Collecting Point, Trader with Storage, Processing Unit, Point of Origin</t>
        </is>
      </c>
      <c r="C13728" t="inlineStr">
        <is>
          <t>PT Intertek Utama Services, Jakarta, ID</t>
        </is>
      </c>
      <c r="D13728" t="inlineStr">
        <is>
          <t>09.10.2026</t>
        </is>
      </c>
      <c r="E13728" t="inlineStr">
        <is>
          <t>Spain</t>
        </is>
      </c>
    </row>
    <row r="13729">
      <c r="A13729" t="inlineStr">
        <is>
          <t>Proteínas y Derivados, S.L.,  Santa Eugènia de Berga, Spain</t>
        </is>
      </c>
      <c r="B13729" t="inlineStr">
        <is>
          <t>Collecting Point, Trader with Storage, Processing Unit, Point of Origin</t>
        </is>
      </c>
      <c r="C13729" t="inlineStr">
        <is>
          <t>PT Intertek Utama Services, Jakarta, ID</t>
        </is>
      </c>
      <c r="D13729" t="inlineStr">
        <is>
          <t>09.10.2026</t>
        </is>
      </c>
      <c r="E13729" t="inlineStr">
        <is>
          <t>Spain</t>
        </is>
      </c>
    </row>
    <row r="13730">
      <c r="A13730" t="inlineStr">
        <is>
          <t>Valorizacion de aceites residuales industriales (VARIN),  JAEN, Spain</t>
        </is>
      </c>
      <c r="B13730" t="inlineStr">
        <is>
          <t>Collecting Point, Trader with Storage</t>
        </is>
      </c>
      <c r="C13730" t="inlineStr">
        <is>
          <t>RINA Services S.p.A., Genova, IT</t>
        </is>
      </c>
      <c r="D13730" t="inlineStr">
        <is>
          <t>09.10.2026</t>
        </is>
      </c>
      <c r="E13730" t="inlineStr">
        <is>
          <t>Spain</t>
        </is>
      </c>
    </row>
    <row r="13731">
      <c r="A13731" t="inlineStr">
        <is>
          <t>PURE CYCLE,  Zona Kadastrale 8516, Durres, Albania</t>
        </is>
      </c>
      <c r="B13731" t="inlineStr">
        <is>
          <t>Collecting Point</t>
        </is>
      </c>
      <c r="C13731" t="inlineStr">
        <is>
          <t>TÜV NORD CERT GmbH, Essen, DE</t>
        </is>
      </c>
      <c r="D13731" t="inlineStr">
        <is>
          <t>09.10.2026</t>
        </is>
      </c>
      <c r="E13731" t="inlineStr">
        <is>
          <t>Albania</t>
        </is>
      </c>
    </row>
    <row r="13732">
      <c r="A13732" t="inlineStr">
        <is>
          <t>Plastoplan s.r.o.,  Nupaky, Czech Republic</t>
        </is>
      </c>
      <c r="B13732" t="inlineStr">
        <is>
          <t>Trader with Storage</t>
        </is>
      </c>
      <c r="C13732" t="inlineStr">
        <is>
          <t>TÜV SÜD Czech s.r.o., Praha 4, CZ</t>
        </is>
      </c>
      <c r="D13732" t="inlineStr">
        <is>
          <t>09.10.2026</t>
        </is>
      </c>
      <c r="E13732" t="inlineStr">
        <is>
          <t>Czech Republic</t>
        </is>
      </c>
    </row>
    <row r="13733">
      <c r="A13733" t="inlineStr">
        <is>
          <t>Sapi Green Oil SRL,  Ceggia, Italy</t>
        </is>
      </c>
      <c r="B13733" t="inlineStr">
        <is>
          <t>Collecting Point, Trader with Storage, Processing Unit</t>
        </is>
      </c>
      <c r="C13733" t="inlineStr">
        <is>
          <t>SGS Germany GmbH, Emstek, DE</t>
        </is>
      </c>
      <c r="D13733" t="inlineStr">
        <is>
          <t>09.10.2026</t>
        </is>
      </c>
      <c r="E13733" t="inlineStr">
        <is>
          <t>Italy</t>
        </is>
      </c>
    </row>
    <row r="13734">
      <c r="A13734" t="inlineStr">
        <is>
          <t>Plásticos y desarrollos S A,  Salceda de Caselas, Spain</t>
        </is>
      </c>
      <c r="B13734" t="inlineStr">
        <is>
          <t>Processing Unit</t>
        </is>
      </c>
      <c r="C13734" t="inlineStr">
        <is>
          <t>Control Union Poland Sp. z o.o., Zielona Gora, PL</t>
        </is>
      </c>
      <c r="D13734" t="inlineStr">
        <is>
          <t>09.10.2026</t>
        </is>
      </c>
      <c r="E13734" t="inlineStr">
        <is>
          <t>Spain</t>
        </is>
      </c>
    </row>
    <row r="13735">
      <c r="A13735" t="inlineStr">
        <is>
          <t>TotalEnergies Marine Fuels Pte. Ltd.,  Singapore, Singapore</t>
        </is>
      </c>
      <c r="B13735" t="inlineStr">
        <is>
          <t>Trader with Storage</t>
        </is>
      </c>
      <c r="C13735" t="inlineStr">
        <is>
          <t>SGS Germany GmbH, Emstek, DE</t>
        </is>
      </c>
      <c r="D13735" t="inlineStr">
        <is>
          <t>09.10.2026</t>
        </is>
      </c>
      <c r="E13735" t="inlineStr">
        <is>
          <t>Singapore</t>
        </is>
      </c>
    </row>
    <row r="13736">
      <c r="A13736" t="inlineStr">
        <is>
          <t>TotalEnergies Marine Fuels Pte. Ltd.,  Singapore, Singapore</t>
        </is>
      </c>
      <c r="B13736" t="inlineStr">
        <is>
          <t>Trader with Storage</t>
        </is>
      </c>
      <c r="C13736" t="inlineStr">
        <is>
          <t>SGS Germany GmbH, Emstek, DE</t>
        </is>
      </c>
      <c r="D13736" t="inlineStr">
        <is>
          <t>09.10.2026</t>
        </is>
      </c>
      <c r="E13736" t="inlineStr">
        <is>
          <t>Singapore</t>
        </is>
      </c>
    </row>
    <row r="13737">
      <c r="A13737" t="inlineStr">
        <is>
          <t>Agroprogres,  Chernigov region, Nizhyn district, Gorbachi v., Ukraine</t>
        </is>
      </c>
      <c r="B13737" t="inlineStr">
        <is>
          <t>Farm / Plantation</t>
        </is>
      </c>
      <c r="C13737" t="inlineStr">
        <is>
          <t>Organic Standard Ltd, Kyiv, UA</t>
        </is>
      </c>
      <c r="D13737" t="inlineStr">
        <is>
          <t>09.10.2026</t>
        </is>
      </c>
      <c r="E13737" t="inlineStr">
        <is>
          <t>Ukraine</t>
        </is>
      </c>
    </row>
    <row r="13738">
      <c r="A13738" t="inlineStr">
        <is>
          <t>Heaven Petroleum Operators,  LURIN, Peru</t>
        </is>
      </c>
      <c r="B13738" t="inlineStr">
        <is>
          <t>Point of Origin, Trader with Storage, Processing Unit</t>
        </is>
      </c>
      <c r="C13738" t="inlineStr">
        <is>
          <t>RINA Services S.p.A., Genova, IT</t>
        </is>
      </c>
      <c r="D13738" t="inlineStr">
        <is>
          <t>09.10.2026</t>
        </is>
      </c>
      <c r="E13738" t="inlineStr">
        <is>
          <t>Peru</t>
        </is>
      </c>
    </row>
    <row r="13739">
      <c r="A13739" t="inlineStr">
        <is>
          <t>Atlantic Energy,  Salon de Provence, France</t>
        </is>
      </c>
      <c r="B13739" t="inlineStr">
        <is>
          <t>Trader</t>
        </is>
      </c>
      <c r="C13739" t="inlineStr">
        <is>
          <t>Control Union Certifications Germany GmbH, Berlin, DE</t>
        </is>
      </c>
      <c r="D13739" t="inlineStr">
        <is>
          <t>09.10.2026</t>
        </is>
      </c>
      <c r="E13739" t="inlineStr">
        <is>
          <t>France</t>
        </is>
      </c>
    </row>
    <row r="13740">
      <c r="A13740" t="inlineStr">
        <is>
          <t>ECO FOX,  Vasto (CH), Italy</t>
        </is>
      </c>
      <c r="B13740" t="inlineStr">
        <is>
          <t>Point of Origin, Trader with Storage, Processing Unit</t>
        </is>
      </c>
      <c r="C13740" t="inlineStr">
        <is>
          <t>SGS Germany GmbH, Emstek, DE</t>
        </is>
      </c>
      <c r="D13740" t="inlineStr">
        <is>
          <t>09.10.2026</t>
        </is>
      </c>
      <c r="E13740" t="inlineStr">
        <is>
          <t>Italy</t>
        </is>
      </c>
    </row>
    <row r="13741">
      <c r="A13741" t="inlineStr">
        <is>
          <t>Brevis LTD,  Dulovo, Bulgaria</t>
        </is>
      </c>
      <c r="B13741" t="inlineStr">
        <is>
          <t>First Gathering Point, Processing Unit, Point of Origin</t>
        </is>
      </c>
      <c r="C13741" t="inlineStr">
        <is>
          <t>SGS Germany GmbH, Emstek, DE</t>
        </is>
      </c>
      <c r="D13741" t="inlineStr">
        <is>
          <t>09.10.2026</t>
        </is>
      </c>
      <c r="E13741" t="inlineStr">
        <is>
          <t>Bulgaria</t>
        </is>
      </c>
    </row>
    <row r="13742">
      <c r="A13742" t="inlineStr">
        <is>
          <t>Sumitomo Chemical Co., Ltd.,  Ichihara-shi, Chiba,, Japan</t>
        </is>
      </c>
      <c r="B13742" t="inlineStr">
        <is>
          <t>Processing Unit</t>
        </is>
      </c>
      <c r="C13742" t="inlineStr">
        <is>
          <t>SGS Germany GmbH, Emstek, DE</t>
        </is>
      </c>
      <c r="D13742" t="inlineStr">
        <is>
          <t>09.10.2026</t>
        </is>
      </c>
      <c r="E13742" t="inlineStr">
        <is>
          <t>Japan</t>
        </is>
      </c>
    </row>
    <row r="13743">
      <c r="A13743" t="inlineStr">
        <is>
          <t>Allnex-Eternal resins(Guangdong)co.,Ltd.,  Zhuhai city, China, China</t>
        </is>
      </c>
      <c r="B13743" t="inlineStr">
        <is>
          <t>Processing Unit</t>
        </is>
      </c>
      <c r="C13743" t="inlineStr">
        <is>
          <t>SGS Germany GmbH, Emstek, DE</t>
        </is>
      </c>
      <c r="D13743" t="inlineStr">
        <is>
          <t>09.10.2026</t>
        </is>
      </c>
      <c r="E13743" t="inlineStr">
        <is>
          <t>China</t>
        </is>
      </c>
    </row>
    <row r="13744">
      <c r="A13744" t="inlineStr">
        <is>
          <t>Longin SRL,  Rosiori de Vede, Romania</t>
        </is>
      </c>
      <c r="B13744" t="inlineStr">
        <is>
          <t>First Gathering Point, Processing Unit, Trader with Storage</t>
        </is>
      </c>
      <c r="C13744" t="inlineStr">
        <is>
          <t>SGS Germany GmbH, Emstek, DE</t>
        </is>
      </c>
      <c r="D13744" t="inlineStr">
        <is>
          <t>09.10.2026</t>
        </is>
      </c>
      <c r="E13744" t="inlineStr">
        <is>
          <t>Romania</t>
        </is>
      </c>
    </row>
    <row r="13745">
      <c r="A13745" t="inlineStr">
        <is>
          <t>AIR MANUFACTURING INNOVATION VIETNAM,  Trang Bom Commune, Dong Nai Province, Vietnam</t>
        </is>
      </c>
      <c r="B13745" t="inlineStr">
        <is>
          <t>Processing Unit</t>
        </is>
      </c>
      <c r="C13745" t="inlineStr">
        <is>
          <t>SGS Germany GmbH, Emstek, DE</t>
        </is>
      </c>
      <c r="D13745" t="inlineStr">
        <is>
          <t>09.10.2026</t>
        </is>
      </c>
      <c r="E13745" t="inlineStr">
        <is>
          <t>Vietnam</t>
        </is>
      </c>
    </row>
    <row r="13746">
      <c r="A13746" t="inlineStr">
        <is>
          <t>Corning,  Kennebunk, United States</t>
        </is>
      </c>
      <c r="B13746" t="inlineStr">
        <is>
          <t>Processing Unit</t>
        </is>
      </c>
      <c r="C13746" t="inlineStr">
        <is>
          <t>SCS Global Services, Emeryville, CA, US</t>
        </is>
      </c>
      <c r="D13746" t="inlineStr">
        <is>
          <t>09.10.2026</t>
        </is>
      </c>
      <c r="E13746" t="inlineStr">
        <is>
          <t>United States</t>
        </is>
      </c>
    </row>
    <row r="13747">
      <c r="A13747" t="inlineStr">
        <is>
          <t>Reliance Industries Limited,  Village Mora, PO Bhatha, Surat, India</t>
        </is>
      </c>
      <c r="B13747" t="inlineStr">
        <is>
          <t>Processing Unit</t>
        </is>
      </c>
      <c r="C13747" t="inlineStr">
        <is>
          <t>Cotecna India Inspection Pvt Ltd, Kolkata, IN</t>
        </is>
      </c>
      <c r="D13747" t="inlineStr">
        <is>
          <t>09.10.2026</t>
        </is>
      </c>
      <c r="E13747" t="inlineStr">
        <is>
          <t>India</t>
        </is>
      </c>
    </row>
    <row r="13748">
      <c r="A13748" t="inlineStr">
        <is>
          <t>Shandong Jiaguan Grain &amp; Oil Industrial Group Co., Ltd.,  Jining City, Shandong Province, China</t>
        </is>
      </c>
      <c r="B13748" t="inlineStr">
        <is>
          <t>Point of Origin</t>
        </is>
      </c>
      <c r="C13748" t="inlineStr">
        <is>
          <t>RINA Services S.p.A., Genova, IT</t>
        </is>
      </c>
      <c r="D13748" t="inlineStr">
        <is>
          <t>09.10.2026</t>
        </is>
      </c>
      <c r="E13748" t="inlineStr">
        <is>
          <t>China</t>
        </is>
      </c>
    </row>
    <row r="13749">
      <c r="A13749" t="inlineStr">
        <is>
          <t>Matra Abadi Sawit Sejati,  Kab. Batu Bara, Sumatera Utara., Indonesia</t>
        </is>
      </c>
      <c r="B13749" t="inlineStr">
        <is>
          <t>Point of Origin</t>
        </is>
      </c>
      <c r="C13749" t="inlineStr">
        <is>
          <t>Trans Certification and Inspection Sdn Bhd, Kuantan, MY</t>
        </is>
      </c>
      <c r="D13749" t="inlineStr">
        <is>
          <t>09.10.2026</t>
        </is>
      </c>
      <c r="E13749" t="inlineStr">
        <is>
          <t>Indonesia</t>
        </is>
      </c>
    </row>
    <row r="13750">
      <c r="A13750" t="inlineStr">
        <is>
          <t>“Dnipro Oil Extraction Plant” (DOEP), LLC,  Dnipro, Ukraine</t>
        </is>
      </c>
      <c r="B13750" t="inlineStr">
        <is>
          <t>Processing Unit</t>
        </is>
      </c>
      <c r="C13750" t="inlineStr">
        <is>
          <t>Bureau Veritas Polska Sp. z o.o., Warsaw, PL</t>
        </is>
      </c>
      <c r="D13750" t="inlineStr">
        <is>
          <t>09.10.2026</t>
        </is>
      </c>
      <c r="E13750" t="inlineStr">
        <is>
          <t>Ukraine</t>
        </is>
      </c>
    </row>
    <row r="13751">
      <c r="A13751" t="inlineStr">
        <is>
          <t>“Dnipro Oil Extraction Plant” (DOEP), LLC,  Dnipro, Ukraine</t>
        </is>
      </c>
      <c r="B13751" t="inlineStr">
        <is>
          <t>Processing Unit</t>
        </is>
      </c>
      <c r="C13751" t="inlineStr">
        <is>
          <t>Bureau Veritas Polska Sp. z o.o., Warsaw, PL</t>
        </is>
      </c>
      <c r="D13751" t="inlineStr">
        <is>
          <t>09.10.2026</t>
        </is>
      </c>
      <c r="E13751" t="inlineStr">
        <is>
          <t>Ukraine</t>
        </is>
      </c>
    </row>
    <row r="13752">
      <c r="A13752" t="inlineStr">
        <is>
          <t>TotalEnergies Petrochemicals &amp; Refining,  Brussels, Belgium</t>
        </is>
      </c>
      <c r="B13752" t="inlineStr">
        <is>
          <t>Trader with Storage</t>
        </is>
      </c>
      <c r="C13752" t="inlineStr">
        <is>
          <t>Bureau Veritas Polska Sp. z o.o., Warsaw, PL</t>
        </is>
      </c>
      <c r="D13752" t="inlineStr">
        <is>
          <t>09.10.2026</t>
        </is>
      </c>
      <c r="E13752" t="inlineStr">
        <is>
          <t>Belgium</t>
        </is>
      </c>
    </row>
    <row r="13753">
      <c r="A13753" t="inlineStr">
        <is>
          <t>CFDAI-BENIN,  COTONOU, Benin</t>
        </is>
      </c>
      <c r="B13753" t="inlineStr">
        <is>
          <t>Collecting Point</t>
        </is>
      </c>
      <c r="C13753" t="inlineStr">
        <is>
          <t>Bureau Veritas Polska Sp. z o.o., Warsaw, PL</t>
        </is>
      </c>
      <c r="D13753" t="inlineStr">
        <is>
          <t>09.10.2026</t>
        </is>
      </c>
      <c r="E13753" t="inlineStr">
        <is>
          <t>Benin</t>
        </is>
      </c>
    </row>
    <row r="13754">
      <c r="A13754" t="inlineStr">
        <is>
          <t>CFDAI-BENIN,  COTONOU, Benin</t>
        </is>
      </c>
      <c r="B13754" t="inlineStr">
        <is>
          <t>Collecting Point</t>
        </is>
      </c>
      <c r="C13754" t="inlineStr">
        <is>
          <t>Bureau Veritas Polska Sp. z o.o., Warsaw, PL</t>
        </is>
      </c>
      <c r="D13754" t="inlineStr">
        <is>
          <t>09.10.2026</t>
        </is>
      </c>
      <c r="E13754" t="inlineStr">
        <is>
          <t>Benin</t>
        </is>
      </c>
    </row>
    <row r="13755">
      <c r="A13755" t="inlineStr">
        <is>
          <t>AAK Cote d'Ivoire,  ABIDJAN-PLATEAU, Ivory Coast</t>
        </is>
      </c>
      <c r="B13755" t="inlineStr">
        <is>
          <t>First Gathering Point</t>
        </is>
      </c>
      <c r="C13755" t="inlineStr">
        <is>
          <t>SGS Germany GmbH, Emstek, DE</t>
        </is>
      </c>
      <c r="D13755" t="inlineStr">
        <is>
          <t>09.10.2026</t>
        </is>
      </c>
      <c r="E13755" t="inlineStr">
        <is>
          <t>Ivory Coast</t>
        </is>
      </c>
    </row>
    <row r="13756">
      <c r="A13756" t="inlineStr">
        <is>
          <t>Soma Reciclados, SL,  Aznalcollar, Spain</t>
        </is>
      </c>
      <c r="B13756" t="inlineStr">
        <is>
          <t>Trader</t>
        </is>
      </c>
      <c r="C13756" t="inlineStr">
        <is>
          <t>RINA Services S.p.A., Genova, IT</t>
        </is>
      </c>
      <c r="D13756" t="inlineStr">
        <is>
          <t>09.10.2026</t>
        </is>
      </c>
      <c r="E13756" t="inlineStr">
        <is>
          <t>Spain</t>
        </is>
      </c>
    </row>
    <row r="13757">
      <c r="A13757" t="inlineStr">
        <is>
          <t>SUNG BO CHEMICAL Co., Ltd,  Gwangju-si, South Korea</t>
        </is>
      </c>
      <c r="B13757" t="inlineStr">
        <is>
          <t>Processing Unit</t>
        </is>
      </c>
      <c r="C13757" t="inlineStr">
        <is>
          <t>Control Union Certifications Germany GmbH, Berlin, DE</t>
        </is>
      </c>
      <c r="D13757" t="inlineStr">
        <is>
          <t>09.10.2026</t>
        </is>
      </c>
      <c r="E13757" t="inlineStr">
        <is>
          <t>South Korea</t>
        </is>
      </c>
    </row>
    <row r="13758">
      <c r="A13758" t="inlineStr">
        <is>
          <t>Manufacture Kering Eyewear,  Sucy-En-Brie, France</t>
        </is>
      </c>
      <c r="B13758" t="inlineStr">
        <is>
          <t>Final Product Refinement</t>
        </is>
      </c>
      <c r="C13758" t="inlineStr">
        <is>
          <t>RINA Services S.p.A., Genova, IT</t>
        </is>
      </c>
      <c r="D13758" t="inlineStr">
        <is>
          <t>09.10.2026</t>
        </is>
      </c>
      <c r="E13758" t="inlineStr">
        <is>
          <t>France</t>
        </is>
      </c>
    </row>
    <row r="13759">
      <c r="A13759" t="inlineStr">
        <is>
          <t>SC UNICONFEX EXIM SRL,  SLATINA, Romania</t>
        </is>
      </c>
      <c r="B13759" t="inlineStr">
        <is>
          <t>First Gathering Point, Trader with Storage</t>
        </is>
      </c>
      <c r="C13759" t="inlineStr">
        <is>
          <t>SGS Germany GmbH, Emstek, DE</t>
        </is>
      </c>
      <c r="D13759" t="inlineStr">
        <is>
          <t>09.10.2026</t>
        </is>
      </c>
      <c r="E13759" t="inlineStr">
        <is>
          <t>Romania</t>
        </is>
      </c>
    </row>
    <row r="13760">
      <c r="A13760" t="inlineStr">
        <is>
          <t>SRL ANVAR -COM,  BĂLȚI, Moldova</t>
        </is>
      </c>
      <c r="B13760" t="inlineStr">
        <is>
          <t>First Gathering Point, Trader with Storage</t>
        </is>
      </c>
      <c r="C13760" t="inlineStr">
        <is>
          <t>SGS Germany GmbH, Emstek, DE</t>
        </is>
      </c>
      <c r="D13760" t="inlineStr">
        <is>
          <t>09.10.2026</t>
        </is>
      </c>
      <c r="E13760" t="inlineStr">
        <is>
          <t>Moldova</t>
        </is>
      </c>
    </row>
    <row r="13761">
      <c r="A13761" t="inlineStr">
        <is>
          <t>VITAX AG,  Zug, Switzerland</t>
        </is>
      </c>
      <c r="B13761" t="inlineStr">
        <is>
          <t>Trader</t>
        </is>
      </c>
      <c r="C13761" t="inlineStr">
        <is>
          <t>agroVet GmbH, Enzersfeld, AT</t>
        </is>
      </c>
      <c r="D13761" t="inlineStr">
        <is>
          <t>09.10.2026</t>
        </is>
      </c>
      <c r="E13761" t="inlineStr">
        <is>
          <t>Switzerland</t>
        </is>
      </c>
    </row>
    <row r="13762">
      <c r="A13762" t="inlineStr">
        <is>
          <t>Fenos,  Freiberg, Germany</t>
        </is>
      </c>
      <c r="B13762" t="inlineStr">
        <is>
          <t>Processing Unit</t>
        </is>
      </c>
      <c r="C13762" t="inlineStr">
        <is>
          <t>ASG Cert GmbH, Munich, DE</t>
        </is>
      </c>
      <c r="D13762" t="inlineStr">
        <is>
          <t>09.10.2026</t>
        </is>
      </c>
      <c r="E13762" t="inlineStr">
        <is>
          <t>Germany</t>
        </is>
      </c>
    </row>
    <row r="13763">
      <c r="A13763" t="inlineStr">
        <is>
          <t>STEPAN UK Ltd,  Stalybridge, United Kingdom</t>
        </is>
      </c>
      <c r="B13763" t="inlineStr">
        <is>
          <t>Processing Unit, Trader with Storage, Warehouse</t>
        </is>
      </c>
      <c r="C13763" t="inlineStr">
        <is>
          <t>Control Union Certifications Germany GmbH, Berlin, DE</t>
        </is>
      </c>
      <c r="D13763" t="inlineStr">
        <is>
          <t>09.10.2026</t>
        </is>
      </c>
      <c r="E13763" t="inlineStr">
        <is>
          <t>United Kingdom</t>
        </is>
      </c>
    </row>
    <row r="13764">
      <c r="A13764" t="inlineStr">
        <is>
          <t>GREENSIDE SOLUTIONS LATAM,  La Chorrera, Panama</t>
        </is>
      </c>
      <c r="B13764" t="inlineStr">
        <is>
          <t>Collecting Point, Trader</t>
        </is>
      </c>
      <c r="C13764" t="inlineStr">
        <is>
          <t>ICIM SpA, sesto san giovanni, IT</t>
        </is>
      </c>
      <c r="D13764" t="inlineStr">
        <is>
          <t>09.10.2026</t>
        </is>
      </c>
      <c r="E13764" t="inlineStr">
        <is>
          <t>Panama</t>
        </is>
      </c>
    </row>
    <row r="13765">
      <c r="A13765" t="inlineStr">
        <is>
          <t>Mura Wilton,  Wilton International Site, Redcar, Teesside, The United Kingdom</t>
        </is>
      </c>
      <c r="B13765" t="inlineStr">
        <is>
          <t>Collecting Point, Processing Unit</t>
        </is>
      </c>
      <c r="C13765" t="inlineStr">
        <is>
          <t>Control Union Certifications Germany GmbH, Berlin, DE</t>
        </is>
      </c>
      <c r="D13765" t="inlineStr">
        <is>
          <t>09.10.2026</t>
        </is>
      </c>
      <c r="E13765" t="inlineStr">
        <is>
          <t>The United Kingdom</t>
        </is>
      </c>
    </row>
    <row r="13766">
      <c r="A13766" t="inlineStr">
        <is>
          <t>Cargill, Inc - Bioenergy,  Blair, Nebraska, United States</t>
        </is>
      </c>
      <c r="B13766" t="inlineStr">
        <is>
          <t>First Gathering Point, Processing Unit</t>
        </is>
      </c>
      <c r="C13766" t="inlineStr">
        <is>
          <t>Control Union Poland Sp. z o.o., Zielona Gora, PL</t>
        </is>
      </c>
      <c r="D13766" t="inlineStr">
        <is>
          <t>09.10.2026</t>
        </is>
      </c>
      <c r="E13766" t="inlineStr">
        <is>
          <t>United States</t>
        </is>
      </c>
    </row>
    <row r="13767">
      <c r="A13767" t="inlineStr">
        <is>
          <t>Anhui Guruite New Material Technology Co., Ltd.,  Fuyang City, Anhui Province, China</t>
        </is>
      </c>
      <c r="B13767" t="inlineStr">
        <is>
          <t>Trader with Storage, Processing Unit</t>
        </is>
      </c>
      <c r="C13767" t="inlineStr">
        <is>
          <t>RINA Services S.p.A., Genova, IT</t>
        </is>
      </c>
      <c r="D13767" t="inlineStr">
        <is>
          <t>09.10.2026</t>
        </is>
      </c>
      <c r="E13767" t="inlineStr">
        <is>
          <t>China</t>
        </is>
      </c>
    </row>
    <row r="13768">
      <c r="A13768" t="inlineStr">
        <is>
          <t>Luoge Plastic Plant No.4,  Foshan City, Guangdong Province, China</t>
        </is>
      </c>
      <c r="B13768" t="inlineStr">
        <is>
          <t>Processing Unit</t>
        </is>
      </c>
      <c r="C13768" t="inlineStr">
        <is>
          <t>SGS Germany GmbH, Emstek, DE</t>
        </is>
      </c>
      <c r="D13768" t="inlineStr">
        <is>
          <t>08.10.2026</t>
        </is>
      </c>
      <c r="E13768" t="inlineStr">
        <is>
          <t>China</t>
        </is>
      </c>
    </row>
    <row r="13769">
      <c r="A13769" t="inlineStr">
        <is>
          <t>Agrosilo s.r.o.,  Bohdanovce nad Trnavou, Slovakia</t>
        </is>
      </c>
      <c r="B13769" t="inlineStr">
        <is>
          <t>Warehouse, Trader with Storage</t>
        </is>
      </c>
      <c r="C13769" t="inlineStr">
        <is>
          <t>United Registrar of Systems Polska Sp. z o.o., Wrocław, PL</t>
        </is>
      </c>
      <c r="D13769" t="inlineStr">
        <is>
          <t>08.10.2026</t>
        </is>
      </c>
      <c r="E13769" t="inlineStr">
        <is>
          <t>Slovakia</t>
        </is>
      </c>
    </row>
    <row r="13770">
      <c r="A13770" t="inlineStr">
        <is>
          <t>PH Palm Express,  Daerah Pengerang Kota Tinggi, Malaysia</t>
        </is>
      </c>
      <c r="B13770" t="inlineStr">
        <is>
          <t>Point of Origin</t>
        </is>
      </c>
      <c r="C13770" t="inlineStr">
        <is>
          <t>Trans Certification and Inspection Sdn Bhd, Kuantan, MY</t>
        </is>
      </c>
      <c r="D13770" t="inlineStr">
        <is>
          <t>08.10.2026</t>
        </is>
      </c>
      <c r="E13770" t="inlineStr">
        <is>
          <t>Malaysia</t>
        </is>
      </c>
    </row>
    <row r="13771">
      <c r="A13771" t="inlineStr">
        <is>
          <t>Plastoplan Polymer Kft.,  Pomáz, Hungary</t>
        </is>
      </c>
      <c r="B13771" t="inlineStr">
        <is>
          <t>Trader with Storage</t>
        </is>
      </c>
      <c r="C13771" t="inlineStr">
        <is>
          <t>BM Certification, Riga, LV</t>
        </is>
      </c>
      <c r="D13771" t="inlineStr">
        <is>
          <t>08.10.2026</t>
        </is>
      </c>
      <c r="E13771" t="inlineStr">
        <is>
          <t>Hungary</t>
        </is>
      </c>
    </row>
    <row r="13772">
      <c r="A13772" t="inlineStr">
        <is>
          <t>TotalEnergies Petrochemicals (Hong Kong) Limited,  Hong Kong, 30/F Cambridge House, Hong Kong</t>
        </is>
      </c>
      <c r="B13772" t="inlineStr">
        <is>
          <t>Trader</t>
        </is>
      </c>
      <c r="C13772" t="inlineStr">
        <is>
          <t>PT Intertek Utama Services, Jakarta, ID</t>
        </is>
      </c>
      <c r="D13772" t="inlineStr">
        <is>
          <t>08.10.2026</t>
        </is>
      </c>
      <c r="E13772" t="inlineStr">
        <is>
          <t>Hong Kong</t>
        </is>
      </c>
    </row>
    <row r="13773">
      <c r="A13773" t="inlineStr">
        <is>
          <t>Marubeni International Petroleum (Singapore) PTE,  CapitaGreen, Singapore</t>
        </is>
      </c>
      <c r="B13773" t="inlineStr">
        <is>
          <t>Trader</t>
        </is>
      </c>
      <c r="C13773" t="inlineStr">
        <is>
          <t>Control Union Certifications Germany GmbH, Berlin, DE</t>
        </is>
      </c>
      <c r="D13773" t="inlineStr">
        <is>
          <t>08.10.2026</t>
        </is>
      </c>
      <c r="E13773" t="inlineStr">
        <is>
          <t>Singapore</t>
        </is>
      </c>
    </row>
    <row r="13774">
      <c r="A13774" t="inlineStr">
        <is>
          <t>Marubeni International Petroleum (Singapore) PTE,  CapitaGreen, Singapore</t>
        </is>
      </c>
      <c r="B13774" t="inlineStr">
        <is>
          <t>Trader</t>
        </is>
      </c>
      <c r="C13774" t="inlineStr">
        <is>
          <t>Control Union Certifications Germany GmbH, Berlin, DE</t>
        </is>
      </c>
      <c r="D13774" t="inlineStr">
        <is>
          <t>08.10.2026</t>
        </is>
      </c>
      <c r="E13774" t="inlineStr">
        <is>
          <t>Singapore</t>
        </is>
      </c>
    </row>
    <row r="13775">
      <c r="A13775" t="inlineStr">
        <is>
          <t>KELANTAN SAKTI,  PEDAMARAN, OGAN KOMERING ILIR, SUMATERA SELATAN, Indonesia</t>
        </is>
      </c>
      <c r="B13775" t="inlineStr">
        <is>
          <t>Point of Origin</t>
        </is>
      </c>
      <c r="C13775" t="inlineStr">
        <is>
          <t>PT. Qualitas Sertifikasi Indonesia, Jakarta, ID</t>
        </is>
      </c>
      <c r="D13775" t="inlineStr">
        <is>
          <t>08.10.2026</t>
        </is>
      </c>
      <c r="E13775" t="inlineStr">
        <is>
          <t>Indonesia</t>
        </is>
      </c>
    </row>
    <row r="13776">
      <c r="A13776" t="inlineStr">
        <is>
          <t>Gamota Trading s.r.o.,  Komárno, Slovakia</t>
        </is>
      </c>
      <c r="B13776" t="inlineStr">
        <is>
          <t>First Gathering Point, Trader with Storage</t>
        </is>
      </c>
      <c r="C13776" t="inlineStr">
        <is>
          <t>United Registrar of Systems Polska Sp. z o.o., Wrocław, PL</t>
        </is>
      </c>
      <c r="D13776" t="inlineStr">
        <is>
          <t>08.10.2026</t>
        </is>
      </c>
      <c r="E13776" t="inlineStr">
        <is>
          <t>Slovakia</t>
        </is>
      </c>
    </row>
    <row r="13777">
      <c r="A13777" t="inlineStr">
        <is>
          <t>Gamota Trading s.r.o.,  Komárno, Slovakia</t>
        </is>
      </c>
      <c r="B13777" t="inlineStr">
        <is>
          <t>First Gathering Point, Trader with Storage</t>
        </is>
      </c>
      <c r="C13777" t="inlineStr">
        <is>
          <t>United Registrar of Systems Polska Sp. z o.o., Wrocław, PL</t>
        </is>
      </c>
      <c r="D13777" t="inlineStr">
        <is>
          <t>08.10.2026</t>
        </is>
      </c>
      <c r="E13777" t="inlineStr">
        <is>
          <t>Slovakia</t>
        </is>
      </c>
    </row>
    <row r="13778">
      <c r="A13778" t="inlineStr">
        <is>
          <t>Supralon Produktions- und Vertriebs GmbH,  Alfhausen, Germany</t>
        </is>
      </c>
      <c r="B13778" t="inlineStr">
        <is>
          <t>Trader with Storage, Final Product Refinement</t>
        </is>
      </c>
      <c r="C13778" t="inlineStr">
        <is>
          <t>DQS CFS GmbH - Deutsche Gesellschaft für Nachhaltigkeit, Frankfurt am Main, DE</t>
        </is>
      </c>
      <c r="D13778" t="inlineStr">
        <is>
          <t>08.10.2026</t>
        </is>
      </c>
      <c r="E13778" t="inlineStr">
        <is>
          <t>Germany</t>
        </is>
      </c>
    </row>
    <row r="13779">
      <c r="A13779" t="inlineStr">
        <is>
          <t>GALLICI SRL,  RONCHIS (UD), Italy</t>
        </is>
      </c>
      <c r="B13779" t="inlineStr">
        <is>
          <t>Collecting Point, Trader, First Gathering Point</t>
        </is>
      </c>
      <c r="C13779" t="inlineStr">
        <is>
          <t>PT Intertek Utama Services, Jakarta, ID</t>
        </is>
      </c>
      <c r="D13779" t="inlineStr">
        <is>
          <t>08.10.2026</t>
        </is>
      </c>
      <c r="E13779" t="inlineStr">
        <is>
          <t>Italy</t>
        </is>
      </c>
    </row>
    <row r="13780">
      <c r="A13780" t="inlineStr">
        <is>
          <t>Jiangsu REO-ECO New Material Tech CO., Ltd.,  Huai’an City, Jiangsu, China</t>
        </is>
      </c>
      <c r="B13780" t="inlineStr">
        <is>
          <t>Processing Unit, Collecting Point</t>
        </is>
      </c>
      <c r="C13780" t="inlineStr">
        <is>
          <t>PT Intertek Utama Services, Jakarta, ID</t>
        </is>
      </c>
      <c r="D13780" t="inlineStr">
        <is>
          <t>08.10.2026</t>
        </is>
      </c>
      <c r="E13780" t="inlineStr">
        <is>
          <t>China</t>
        </is>
      </c>
    </row>
    <row r="13781">
      <c r="A13781" t="inlineStr">
        <is>
          <t>Golden Agri-Resources Europe BV,  AZ Utrecht, The Netherlands</t>
        </is>
      </c>
      <c r="B13781" t="inlineStr">
        <is>
          <t>Trader with Storage</t>
        </is>
      </c>
      <c r="C13781" t="inlineStr">
        <is>
          <t>DNV Business Assurance Sweden AB, Solna, SE</t>
        </is>
      </c>
      <c r="D13781" t="inlineStr">
        <is>
          <t>08.10.2026</t>
        </is>
      </c>
      <c r="E13781" t="inlineStr">
        <is>
          <t>The Netherlands</t>
        </is>
      </c>
    </row>
    <row r="13782">
      <c r="A13782" t="inlineStr">
        <is>
          <t>La Nivernaise de Raffinage,  Premery, France</t>
        </is>
      </c>
      <c r="B13782" t="inlineStr">
        <is>
          <t>Processing Unit, Point of Origin</t>
        </is>
      </c>
      <c r="C13782" t="inlineStr">
        <is>
          <t>Control Union Certifications Germany GmbH, Berlin, DE</t>
        </is>
      </c>
      <c r="D13782" t="inlineStr">
        <is>
          <t>08.10.2026</t>
        </is>
      </c>
      <c r="E13782" t="inlineStr">
        <is>
          <t>France</t>
        </is>
      </c>
    </row>
    <row r="13783">
      <c r="A13783" t="inlineStr">
        <is>
          <t>JAX LNG,  Jacksonville, FL, United States</t>
        </is>
      </c>
      <c r="B13783" t="inlineStr">
        <is>
          <t>Processing Unit</t>
        </is>
      </c>
      <c r="C13783" t="inlineStr">
        <is>
          <t>SCS Global Services, Emeryville, CA, US</t>
        </is>
      </c>
      <c r="D13783" t="inlineStr">
        <is>
          <t>08.10.2026</t>
        </is>
      </c>
      <c r="E13783" t="inlineStr">
        <is>
          <t>United States</t>
        </is>
      </c>
    </row>
    <row r="13784">
      <c r="A13784" t="inlineStr">
        <is>
          <t>JAX LNG,  Jacksonville, FL, United States</t>
        </is>
      </c>
      <c r="B13784" t="inlineStr">
        <is>
          <t>Processing Unit</t>
        </is>
      </c>
      <c r="C13784" t="inlineStr">
        <is>
          <t>SCS Global Services, Emeryville, CA, US</t>
        </is>
      </c>
      <c r="D13784" t="inlineStr">
        <is>
          <t>08.10.2026</t>
        </is>
      </c>
      <c r="E13784" t="inlineStr">
        <is>
          <t>United States</t>
        </is>
      </c>
    </row>
    <row r="13785">
      <c r="A13785" t="inlineStr">
        <is>
          <t>Jiangsu Sanyang Lvhuan Energy Technology Co., Ltd.,  Lianyungang City, Jiangsu Province,, China</t>
        </is>
      </c>
      <c r="B13785" t="inlineStr">
        <is>
          <t>Trader with Storage</t>
        </is>
      </c>
      <c r="C13785" t="inlineStr">
        <is>
          <t>SCS Global Services, Emeryville, CA, US</t>
        </is>
      </c>
      <c r="D13785" t="inlineStr">
        <is>
          <t>08.10.2026</t>
        </is>
      </c>
      <c r="E13785" t="inlineStr">
        <is>
          <t>China</t>
        </is>
      </c>
    </row>
    <row r="13786">
      <c r="A13786" t="inlineStr">
        <is>
          <t>Jiangsu Sanyang Lvhuan Energy Technology Co., Ltd.,  Lianyungang City, Jiangsu Province,, China</t>
        </is>
      </c>
      <c r="B13786" t="inlineStr">
        <is>
          <t>Trader with Storage</t>
        </is>
      </c>
      <c r="C13786" t="inlineStr">
        <is>
          <t>SCS Global Services, Emeryville, CA, US</t>
        </is>
      </c>
      <c r="D13786" t="inlineStr">
        <is>
          <t>08.10.2026</t>
        </is>
      </c>
      <c r="E13786" t="inlineStr">
        <is>
          <t>China</t>
        </is>
      </c>
    </row>
    <row r="13787">
      <c r="A13787" t="inlineStr">
        <is>
          <t>Lenti,  Brembate di Sopra, Italy</t>
        </is>
      </c>
      <c r="B13787" t="inlineStr">
        <is>
          <t>Processing Unit</t>
        </is>
      </c>
      <c r="C13787" t="inlineStr">
        <is>
          <t>PT Intertek Utama Services, Jakarta, ID</t>
        </is>
      </c>
      <c r="D13787" t="inlineStr">
        <is>
          <t>08.10.2026</t>
        </is>
      </c>
      <c r="E13787" t="inlineStr">
        <is>
          <t>Italy</t>
        </is>
      </c>
    </row>
    <row r="13788">
      <c r="A13788" t="inlineStr">
        <is>
          <t>Grandblue Bioenergy Technology (Guangdong) Co., Ltd.,  Foshan City, Guangdong Province, China</t>
        </is>
      </c>
      <c r="B13788" t="inlineStr">
        <is>
          <t>Trader</t>
        </is>
      </c>
      <c r="C13788" t="inlineStr">
        <is>
          <t>SCS Global Services, Emeryville, CA, US</t>
        </is>
      </c>
      <c r="D13788" t="inlineStr">
        <is>
          <t>08.10.2026</t>
        </is>
      </c>
      <c r="E13788" t="inlineStr">
        <is>
          <t>China</t>
        </is>
      </c>
    </row>
    <row r="13789">
      <c r="A13789" t="inlineStr">
        <is>
          <t>Proteínas y Derivados, S.L.,  Zaidín, Spain</t>
        </is>
      </c>
      <c r="B13789" t="inlineStr">
        <is>
          <t>Point of Origin, Trader with Storage</t>
        </is>
      </c>
      <c r="C13789" t="inlineStr">
        <is>
          <t>PT Intertek Utama Services, Jakarta, ID</t>
        </is>
      </c>
      <c r="D13789" t="inlineStr">
        <is>
          <t>08.10.2026</t>
        </is>
      </c>
      <c r="E13789" t="inlineStr">
        <is>
          <t>Spain</t>
        </is>
      </c>
    </row>
    <row r="13790">
      <c r="A13790" t="inlineStr">
        <is>
          <t>Proteínas y Derivados, S.L.,  Zaidín, Spain</t>
        </is>
      </c>
      <c r="B13790" t="inlineStr">
        <is>
          <t>Point of Origin, Trader with Storage</t>
        </is>
      </c>
      <c r="C13790" t="inlineStr">
        <is>
          <t>PT Intertek Utama Services, Jakarta, ID</t>
        </is>
      </c>
      <c r="D13790" t="inlineStr">
        <is>
          <t>08.10.2026</t>
        </is>
      </c>
      <c r="E13790" t="inlineStr">
        <is>
          <t>Spain</t>
        </is>
      </c>
    </row>
    <row r="13791">
      <c r="A13791" t="inlineStr">
        <is>
          <t>Sanju Environmental Protection (Hong Kong),  Hong Kong, Hong Kong</t>
        </is>
      </c>
      <c r="B13791" t="inlineStr">
        <is>
          <t>Trader with Storage</t>
        </is>
      </c>
      <c r="C13791" t="inlineStr">
        <is>
          <t>TÜV NORD CERT GmbH, Essen, DE</t>
        </is>
      </c>
      <c r="D13791" t="inlineStr">
        <is>
          <t>08.10.2026</t>
        </is>
      </c>
      <c r="E13791" t="inlineStr">
        <is>
          <t>Hong Kong</t>
        </is>
      </c>
    </row>
    <row r="13792">
      <c r="A13792" t="inlineStr">
        <is>
          <t>LLC "Agroterminal Konstrakshyn",  Sumy region, Stepanivka, Ukraine</t>
        </is>
      </c>
      <c r="B13792" t="inlineStr">
        <is>
          <t>First Gathering Point, Trader with Storage</t>
        </is>
      </c>
      <c r="C13792" t="inlineStr">
        <is>
          <t>United Registrar of Systems Polska Sp. z o.o., Wrocław, PL</t>
        </is>
      </c>
      <c r="D13792" t="inlineStr">
        <is>
          <t>08.10.2026</t>
        </is>
      </c>
      <c r="E13792" t="inlineStr">
        <is>
          <t>Ukraine</t>
        </is>
      </c>
    </row>
    <row r="13793">
      <c r="A13793" t="inlineStr">
        <is>
          <t>DART SA de CV,  Lerma, Mexico</t>
        </is>
      </c>
      <c r="B13793" t="inlineStr">
        <is>
          <t>Processing Unit</t>
        </is>
      </c>
      <c r="C13793" t="inlineStr">
        <is>
          <t>Bureau Veritas Polska Sp. z o.o., Warsaw, PL</t>
        </is>
      </c>
      <c r="D13793" t="inlineStr">
        <is>
          <t>08.10.2026</t>
        </is>
      </c>
      <c r="E13793" t="inlineStr">
        <is>
          <t>Mexico</t>
        </is>
      </c>
    </row>
    <row r="13794">
      <c r="A13794" t="inlineStr">
        <is>
          <t>Oleoguadalquivir,  MENGIBAR, Spain</t>
        </is>
      </c>
      <c r="B13794" t="inlineStr">
        <is>
          <t>Collecting Point, Trader with Storage</t>
        </is>
      </c>
      <c r="C13794" t="inlineStr">
        <is>
          <t>RINA Services S.p.A., Genova, IT</t>
        </is>
      </c>
      <c r="D13794" t="inlineStr">
        <is>
          <t>08.10.2026</t>
        </is>
      </c>
      <c r="E13794" t="inlineStr">
        <is>
          <t>Spain</t>
        </is>
      </c>
    </row>
    <row r="13795">
      <c r="A13795" t="inlineStr">
        <is>
          <t>Sd Guthrie Berhad,  Kunak, Sabah, Malaysia</t>
        </is>
      </c>
      <c r="B13795" t="inlineStr">
        <is>
          <t>Point of Origin</t>
        </is>
      </c>
      <c r="C13795" t="inlineStr">
        <is>
          <t>Control Union Certifications Germany GmbH, Berlin, DE</t>
        </is>
      </c>
      <c r="D13795" t="inlineStr">
        <is>
          <t>08.10.2026</t>
        </is>
      </c>
      <c r="E13795" t="inlineStr">
        <is>
          <t>Malaysia</t>
        </is>
      </c>
    </row>
    <row r="13796">
      <c r="A13796" t="inlineStr">
        <is>
          <t>SJ PALM TRADING SDN BHD,  Bandar Puteri Puchong, Selangor, Malaysia</t>
        </is>
      </c>
      <c r="B13796" t="inlineStr">
        <is>
          <t>Trader</t>
        </is>
      </c>
      <c r="C13796" t="inlineStr">
        <is>
          <t>BM Certification, Riga, LV</t>
        </is>
      </c>
      <c r="D13796" t="inlineStr">
        <is>
          <t>08.10.2026</t>
        </is>
      </c>
      <c r="E13796" t="inlineStr">
        <is>
          <t>Malaysia</t>
        </is>
      </c>
    </row>
    <row r="13797">
      <c r="A13797" t="inlineStr">
        <is>
          <t>Envolv,  Corsier, Switzerland</t>
        </is>
      </c>
      <c r="B13797" t="inlineStr">
        <is>
          <t>Trader</t>
        </is>
      </c>
      <c r="C13797" t="inlineStr">
        <is>
          <t>Control Union Certifications Germany GmbH, Berlin, DE</t>
        </is>
      </c>
      <c r="D13797" t="inlineStr">
        <is>
          <t>08.10.2026</t>
        </is>
      </c>
      <c r="E13797" t="inlineStr">
        <is>
          <t>Switzerland</t>
        </is>
      </c>
    </row>
    <row r="13798">
      <c r="A13798" t="inlineStr">
        <is>
          <t>SJ PALM TRADING SDN BHD,  Bandar Puteri Puchong, Selangor, Malaysia</t>
        </is>
      </c>
      <c r="B13798" t="inlineStr">
        <is>
          <t>Trader</t>
        </is>
      </c>
      <c r="C13798" t="inlineStr">
        <is>
          <t>BM Certification, Riga, LV</t>
        </is>
      </c>
      <c r="D13798" t="inlineStr">
        <is>
          <t>08.10.2026</t>
        </is>
      </c>
      <c r="E13798" t="inlineStr">
        <is>
          <t>Malaysia</t>
        </is>
      </c>
    </row>
    <row r="13799">
      <c r="A13799" t="inlineStr">
        <is>
          <t>KANEKA CORPORATION,  Takasago-shi, Hyogo, Japan</t>
        </is>
      </c>
      <c r="B13799" t="inlineStr">
        <is>
          <t>Processing Unit</t>
        </is>
      </c>
      <c r="C13799" t="inlineStr">
        <is>
          <t>SGS Germany GmbH, Emstek, DE</t>
        </is>
      </c>
      <c r="D13799" t="inlineStr">
        <is>
          <t>08.10.2026</t>
        </is>
      </c>
      <c r="E13799" t="inlineStr">
        <is>
          <t>Japan</t>
        </is>
      </c>
    </row>
    <row r="13800">
      <c r="A13800" t="inlineStr">
        <is>
          <t>Uflex Europe Ltd .,  Corby, Northamptonshire, United Kingdom</t>
        </is>
      </c>
      <c r="B13800" t="inlineStr">
        <is>
          <t>Trader, Warehouse</t>
        </is>
      </c>
      <c r="C13800" t="inlineStr">
        <is>
          <t>Cotecna India Inspection Pvt Ltd, Kolkata, IN</t>
        </is>
      </c>
      <c r="D13800" t="inlineStr">
        <is>
          <t>08.10.2026</t>
        </is>
      </c>
      <c r="E13800" t="inlineStr">
        <is>
          <t>United Kingdom</t>
        </is>
      </c>
    </row>
    <row r="13801">
      <c r="A13801" t="inlineStr">
        <is>
          <t>HS Hyosung Viet Nam Company Limited,  Nhon Trach Commune, Dong Nai Provine, Vietnam</t>
        </is>
      </c>
      <c r="B13801" t="inlineStr">
        <is>
          <t>Processing Unit, Trader with Storage</t>
        </is>
      </c>
      <c r="C13801" t="inlineStr">
        <is>
          <t>Control Union Certifications Germany GmbH, Berlin, DE</t>
        </is>
      </c>
      <c r="D13801" t="inlineStr">
        <is>
          <t>08.10.2026</t>
        </is>
      </c>
      <c r="E13801" t="inlineStr">
        <is>
          <t>Vietnam</t>
        </is>
      </c>
    </row>
    <row r="13802">
      <c r="A13802" t="inlineStr">
        <is>
          <t>GRP Limited,  Ankleshwar, Dist. Bharuch, Gujarat, India</t>
        </is>
      </c>
      <c r="B13802" t="inlineStr">
        <is>
          <t>Processing Unit, Collecting Point</t>
        </is>
      </c>
      <c r="C13802" t="inlineStr">
        <is>
          <t>TÜV SÜD Industrie Service GmbH, München, DE</t>
        </is>
      </c>
      <c r="D13802" t="inlineStr">
        <is>
          <t>08.10.2026</t>
        </is>
      </c>
      <c r="E13802" t="inlineStr">
        <is>
          <t>India</t>
        </is>
      </c>
    </row>
    <row r="13803">
      <c r="A13803" t="inlineStr">
        <is>
          <t>CEREAL FEED ,  ORADEA, Romania</t>
        </is>
      </c>
      <c r="B13803" t="inlineStr">
        <is>
          <t>First Gathering Point, Trader with Storage</t>
        </is>
      </c>
      <c r="C13803" t="inlineStr">
        <is>
          <t>SRAC Cert SRL, Bucharest, RO</t>
        </is>
      </c>
      <c r="D13803" t="inlineStr">
        <is>
          <t>08.10.2026</t>
        </is>
      </c>
      <c r="E13803" t="inlineStr">
        <is>
          <t>Romania</t>
        </is>
      </c>
    </row>
    <row r="13804">
      <c r="A13804" t="inlineStr">
        <is>
          <t>M1 Srl,  Danta di Cadore, Italy</t>
        </is>
      </c>
      <c r="B13804" t="inlineStr">
        <is>
          <t>Final Product Refinement, Processing Unit</t>
        </is>
      </c>
      <c r="C13804" t="inlineStr">
        <is>
          <t>ICIM SpA, sesto san giovanni, IT</t>
        </is>
      </c>
      <c r="D13804" t="inlineStr">
        <is>
          <t>08.10.2026</t>
        </is>
      </c>
      <c r="E13804" t="inlineStr">
        <is>
          <t>Italy</t>
        </is>
      </c>
    </row>
    <row r="13805">
      <c r="A13805" t="inlineStr">
        <is>
          <t>Mibepa - Importação Comércio e Exportação,  Carreira, Portugal</t>
        </is>
      </c>
      <c r="B13805" t="inlineStr">
        <is>
          <t>Trader with Storage</t>
        </is>
      </c>
      <c r="C13805" t="inlineStr">
        <is>
          <t>SGS Germany GmbH, Emstek, DE</t>
        </is>
      </c>
      <c r="D13805" t="inlineStr">
        <is>
          <t>08.10.2026</t>
        </is>
      </c>
      <c r="E13805" t="inlineStr">
        <is>
          <t>Portugal</t>
        </is>
      </c>
    </row>
    <row r="13806">
      <c r="A13806" t="inlineStr">
        <is>
          <t>ESTER FILMTECH LIMITED,  SHABAD, RANGAREDDY, India</t>
        </is>
      </c>
      <c r="B13806" t="inlineStr">
        <is>
          <t>Processing Unit, Collecting Point</t>
        </is>
      </c>
      <c r="C13806" t="inlineStr">
        <is>
          <t>Cotecna India Inspection Pvt Ltd, Kolkata, IN</t>
        </is>
      </c>
      <c r="D13806" t="inlineStr">
        <is>
          <t>08.10.2026</t>
        </is>
      </c>
      <c r="E13806" t="inlineStr">
        <is>
          <t>India</t>
        </is>
      </c>
    </row>
    <row r="13807">
      <c r="A13807" t="inlineStr">
        <is>
          <t>Czech Airlines Handling, a. s.,  Praha 6, Czech Republic</t>
        </is>
      </c>
      <c r="B13807" t="inlineStr">
        <is>
          <t>Trader with Storage, Proof of Compliance Trader</t>
        </is>
      </c>
      <c r="C13807" t="inlineStr">
        <is>
          <t>TÜV SÜD Czech s.r.o., Praha 4, CZ</t>
        </is>
      </c>
      <c r="D13807" t="inlineStr">
        <is>
          <t>08.10.2026</t>
        </is>
      </c>
      <c r="E13807" t="inlineStr">
        <is>
          <t>Czech Republic</t>
        </is>
      </c>
    </row>
    <row r="13808">
      <c r="A13808" t="inlineStr">
        <is>
          <t>Chaohu quantai waste oil recovery co.,ltd,  Chaohu, Anhui, China</t>
        </is>
      </c>
      <c r="B13808" t="inlineStr">
        <is>
          <t>Collecting Point, Trader</t>
        </is>
      </c>
      <c r="C13808" t="inlineStr">
        <is>
          <t>RINA Services S.p.A., Genova, IT</t>
        </is>
      </c>
      <c r="D13808" t="inlineStr">
        <is>
          <t>08.10.2026</t>
        </is>
      </c>
      <c r="E13808" t="inlineStr">
        <is>
          <t>China</t>
        </is>
      </c>
    </row>
    <row r="13809">
      <c r="A13809" t="inlineStr">
        <is>
          <t>YOGESWARI AGENCY SDN BHD,  PASIR GUDANG JOHOR, Malaysia</t>
        </is>
      </c>
      <c r="B13809" t="inlineStr">
        <is>
          <t>Trader with Storage</t>
        </is>
      </c>
      <c r="C13809" t="inlineStr">
        <is>
          <t>Trans Certification and Inspection Sdn Bhd, Kuantan, MY</t>
        </is>
      </c>
      <c r="D13809" t="inlineStr">
        <is>
          <t>07.10.2026</t>
        </is>
      </c>
      <c r="E13809" t="inlineStr">
        <is>
          <t>Malaysia</t>
        </is>
      </c>
    </row>
    <row r="13810">
      <c r="A13810" t="inlineStr">
        <is>
          <t>CONTINENTAL FARMERS UKRAINE LLC,  Tovstenke village, Ternopil region, Ukraine</t>
        </is>
      </c>
      <c r="B13810" t="inlineStr">
        <is>
          <t>First Gathering Point, Trader with Storage</t>
        </is>
      </c>
      <c r="C13810" t="inlineStr">
        <is>
          <t>Control Union Certifications Germany GmbH, Berlin, DE</t>
        </is>
      </c>
      <c r="D13810" t="inlineStr">
        <is>
          <t>07.10.2026</t>
        </is>
      </c>
      <c r="E13810" t="inlineStr">
        <is>
          <t>Ukraine</t>
        </is>
      </c>
    </row>
    <row r="13811">
      <c r="A13811" t="inlineStr">
        <is>
          <t>BFS GmbH,  Bleiburg, Austria</t>
        </is>
      </c>
      <c r="B13811" t="inlineStr">
        <is>
          <t>Trader with Storage</t>
        </is>
      </c>
      <c r="C13811" t="inlineStr">
        <is>
          <t>Bureau Veritas Polska Sp. z o.o., Warsaw, PL</t>
        </is>
      </c>
      <c r="D13811" t="inlineStr">
        <is>
          <t>07.10.2026</t>
        </is>
      </c>
      <c r="E13811" t="inlineStr">
        <is>
          <t>Austria</t>
        </is>
      </c>
    </row>
    <row r="13812">
      <c r="A13812" t="inlineStr">
        <is>
          <t>Rudong Tiansheng Grain&amp;Oil Co.,Ltd.,  Rudong County, Nantong City, Jiangsu Province, China</t>
        </is>
      </c>
      <c r="B13812" t="inlineStr">
        <is>
          <t>Collecting Point, Trader with Storage</t>
        </is>
      </c>
      <c r="C13812" t="inlineStr">
        <is>
          <t>RINA Services S.p.A., Genova, IT</t>
        </is>
      </c>
      <c r="D13812" t="inlineStr">
        <is>
          <t>07.10.2026</t>
        </is>
      </c>
      <c r="E13812" t="inlineStr">
        <is>
          <t>China</t>
        </is>
      </c>
    </row>
    <row r="13813">
      <c r="A13813" t="inlineStr">
        <is>
          <t>Miyako Kagaku Co., Ltd.,  Naka-ku, Nagoya-city, Aichi, Japan</t>
        </is>
      </c>
      <c r="B13813" t="inlineStr">
        <is>
          <t>Trader</t>
        </is>
      </c>
      <c r="C13813" t="inlineStr">
        <is>
          <t>SGS Germany GmbH, Emstek, DE</t>
        </is>
      </c>
      <c r="D13813" t="inlineStr">
        <is>
          <t>07.10.2026</t>
        </is>
      </c>
      <c r="E13813" t="inlineStr">
        <is>
          <t>Japan</t>
        </is>
      </c>
    </row>
    <row r="13814">
      <c r="A13814" t="inlineStr">
        <is>
          <t>VI OIL AGRO S.R.L.,  Lipcani, Briceni, Moldova</t>
        </is>
      </c>
      <c r="B13814" t="inlineStr">
        <is>
          <t>Trader with Storage, Processing Unit, First Gathering Point</t>
        </is>
      </c>
      <c r="C13814" t="inlineStr">
        <is>
          <t>BM Certification, Riga, LV</t>
        </is>
      </c>
      <c r="D13814" t="inlineStr">
        <is>
          <t>07.10.2026</t>
        </is>
      </c>
      <c r="E13814" t="inlineStr">
        <is>
          <t>Moldova</t>
        </is>
      </c>
    </row>
    <row r="13815">
      <c r="A13815" t="inlineStr">
        <is>
          <t>Arkema Inc.,  Axis, United States</t>
        </is>
      </c>
      <c r="B13815" t="inlineStr">
        <is>
          <t>Processing Unit</t>
        </is>
      </c>
      <c r="C13815" t="inlineStr">
        <is>
          <t>DNV Business Assurance Sweden AB, Solna, SE</t>
        </is>
      </c>
      <c r="D13815" t="inlineStr">
        <is>
          <t>07.10.2026</t>
        </is>
      </c>
      <c r="E13815" t="inlineStr">
        <is>
          <t>United States</t>
        </is>
      </c>
    </row>
    <row r="13816">
      <c r="A13816" t="inlineStr">
        <is>
          <t>I.Blu,  San Giorgio di Nogaro, Italy</t>
        </is>
      </c>
      <c r="B13816" t="inlineStr">
        <is>
          <t>Collecting Point, Processing Unit</t>
        </is>
      </c>
      <c r="C13816" t="inlineStr">
        <is>
          <t>RINA Services S.p.A., Genova, IT</t>
        </is>
      </c>
      <c r="D13816" t="inlineStr">
        <is>
          <t>07.10.2026</t>
        </is>
      </c>
      <c r="E13816" t="inlineStr">
        <is>
          <t>Italy</t>
        </is>
      </c>
    </row>
    <row r="13817">
      <c r="A13817" t="inlineStr">
        <is>
          <t>I.Blu,  Costa di Rovigo, Italy</t>
        </is>
      </c>
      <c r="B13817" t="inlineStr">
        <is>
          <t>Processing Unit</t>
        </is>
      </c>
      <c r="C13817" t="inlineStr">
        <is>
          <t>RINA Services S.p.A., Genova, IT</t>
        </is>
      </c>
      <c r="D13817" t="inlineStr">
        <is>
          <t>07.10.2026</t>
        </is>
      </c>
      <c r="E13817" t="inlineStr">
        <is>
          <t>Italy</t>
        </is>
      </c>
    </row>
    <row r="13818">
      <c r="A13818" t="inlineStr">
        <is>
          <t>Vidrodzhennya,  Golovanivsk, Kirovohrad region, Ukraine</t>
        </is>
      </c>
      <c r="B13818" t="inlineStr">
        <is>
          <t>Point of Origin, Processing Unit, First Gathering Point</t>
        </is>
      </c>
      <c r="C13818" t="inlineStr">
        <is>
          <t>SGS Germany GmbH, Emstek, DE</t>
        </is>
      </c>
      <c r="D13818" t="inlineStr">
        <is>
          <t>07.10.2026</t>
        </is>
      </c>
      <c r="E13818" t="inlineStr">
        <is>
          <t>Ukraine</t>
        </is>
      </c>
    </row>
    <row r="13819">
      <c r="A13819" t="inlineStr">
        <is>
          <t>Equilon Enterprises (dba Shell Oil Products US),  Norco, Louisiana, United States</t>
        </is>
      </c>
      <c r="B13819" t="inlineStr">
        <is>
          <t>Processing Unit</t>
        </is>
      </c>
      <c r="C13819" t="inlineStr">
        <is>
          <t>SCS Global Services, Emeryville, CA, US</t>
        </is>
      </c>
      <c r="D13819" t="inlineStr">
        <is>
          <t>07.10.2026</t>
        </is>
      </c>
      <c r="E13819" t="inlineStr">
        <is>
          <t>United States</t>
        </is>
      </c>
    </row>
    <row r="13820">
      <c r="A13820" t="inlineStr">
        <is>
          <t>Beijing Liangchenchuxin Recyclable Resources Recovery Co., Ltd.,  Beijing City, China</t>
        </is>
      </c>
      <c r="B13820" t="inlineStr">
        <is>
          <t>Collecting Point, Trader with Storage</t>
        </is>
      </c>
      <c r="C13820" t="inlineStr">
        <is>
          <t>SCS Global Services, Emeryville, CA, US</t>
        </is>
      </c>
      <c r="D13820" t="inlineStr">
        <is>
          <t>07.10.2026</t>
        </is>
      </c>
      <c r="E13820" t="inlineStr">
        <is>
          <t>China</t>
        </is>
      </c>
    </row>
    <row r="13821">
      <c r="A13821" t="inlineStr">
        <is>
          <t>Shell Chemical LP,  Norco, Louisiana, United States</t>
        </is>
      </c>
      <c r="B13821" t="inlineStr">
        <is>
          <t>Trader with Storage, Processing Unit</t>
        </is>
      </c>
      <c r="C13821" t="inlineStr">
        <is>
          <t>SCS Global Services, Emeryville, CA, US</t>
        </is>
      </c>
      <c r="D13821" t="inlineStr">
        <is>
          <t>07.10.2026</t>
        </is>
      </c>
      <c r="E13821" t="inlineStr">
        <is>
          <t>United States</t>
        </is>
      </c>
    </row>
    <row r="13822">
      <c r="A13822" t="inlineStr">
        <is>
          <t>International Cosmetic Suppliers Limited,  Taipei, Taiwan</t>
        </is>
      </c>
      <c r="B13822" t="inlineStr">
        <is>
          <t>Trader</t>
        </is>
      </c>
      <c r="C13822" t="inlineStr">
        <is>
          <t>Bureau Veritas Polska Sp. z o.o., Warsaw, PL</t>
        </is>
      </c>
      <c r="D13822" t="inlineStr">
        <is>
          <t>07.10.2026</t>
        </is>
      </c>
      <c r="E13822" t="inlineStr">
        <is>
          <t>Taiwan</t>
        </is>
      </c>
    </row>
    <row r="13823">
      <c r="A13823" t="inlineStr">
        <is>
          <t>Masuoka Ceramic Materials Co.,  Kagamiishimachi, Iwase-gun, Fukushima-ken, Japan</t>
        </is>
      </c>
      <c r="B13823" t="inlineStr">
        <is>
          <t>Processing Unit, Collecting Point</t>
        </is>
      </c>
      <c r="C13823" t="inlineStr">
        <is>
          <t>Bureau Veritas Polska Sp. z o.o., Warsaw, PL</t>
        </is>
      </c>
      <c r="D13823" t="inlineStr">
        <is>
          <t>07.10.2026</t>
        </is>
      </c>
      <c r="E13823" t="inlineStr">
        <is>
          <t>Japan</t>
        </is>
      </c>
    </row>
    <row r="13824">
      <c r="A13824" t="inlineStr">
        <is>
          <t>Prime Polymer Co., Ltd. Osaka works,  Takaishi-city, Japan</t>
        </is>
      </c>
      <c r="B13824" t="inlineStr">
        <is>
          <t>Processing Unit</t>
        </is>
      </c>
      <c r="C13824" t="inlineStr">
        <is>
          <t>SGS Germany GmbH, Emstek, DE</t>
        </is>
      </c>
      <c r="D13824" t="inlineStr">
        <is>
          <t>07.10.2026</t>
        </is>
      </c>
      <c r="E13824" t="inlineStr">
        <is>
          <t>Japan</t>
        </is>
      </c>
    </row>
    <row r="13825">
      <c r="A13825" t="inlineStr">
        <is>
          <t>Trobas Gelatine BV,  Dongen, Netherlands</t>
        </is>
      </c>
      <c r="B13825" t="inlineStr">
        <is>
          <t>Point of Origin</t>
        </is>
      </c>
      <c r="C13825" t="inlineStr">
        <is>
          <t>DEKRA Certification B.V., Arnhem, NL</t>
        </is>
      </c>
      <c r="D13825" t="inlineStr">
        <is>
          <t>07.10.2026</t>
        </is>
      </c>
      <c r="E13825" t="inlineStr">
        <is>
          <t>Netherlands</t>
        </is>
      </c>
    </row>
    <row r="13826">
      <c r="A13826" t="inlineStr">
        <is>
          <t>UBE TAIWAN CO., LTD.,  TAIPEI, Taiwan</t>
        </is>
      </c>
      <c r="B13826" t="inlineStr">
        <is>
          <t>Trader</t>
        </is>
      </c>
      <c r="C13826" t="inlineStr">
        <is>
          <t>Bureau Veritas Polska Sp. z o.o., Warsaw, PL</t>
        </is>
      </c>
      <c r="D13826" t="inlineStr">
        <is>
          <t>07.10.2026</t>
        </is>
      </c>
      <c r="E13826" t="inlineStr">
        <is>
          <t>Taiwan</t>
        </is>
      </c>
    </row>
    <row r="13827">
      <c r="A13827" t="inlineStr">
        <is>
          <t>PYRO PLASTICA PRIVATE LIMITED,  Pune District, India</t>
        </is>
      </c>
      <c r="B13827" t="inlineStr">
        <is>
          <t>Collecting Point, Processing Unit, Trader</t>
        </is>
      </c>
      <c r="C13827" t="inlineStr">
        <is>
          <t>Alcumus ISOQAR Ltd, Stretford, Manchester, GB</t>
        </is>
      </c>
      <c r="D13827" t="inlineStr">
        <is>
          <t>07.10.2026</t>
        </is>
      </c>
      <c r="E13827" t="inlineStr">
        <is>
          <t>India</t>
        </is>
      </c>
    </row>
    <row r="13828">
      <c r="A13828" t="inlineStr">
        <is>
          <t>Jiangsu Danyu Group Oil Co., Ltd,  Zhenjiang, China</t>
        </is>
      </c>
      <c r="B13828" t="inlineStr">
        <is>
          <t>Collecting Point</t>
        </is>
      </c>
      <c r="C13828" t="inlineStr">
        <is>
          <t>RINA Services S.p.A., Genova, IT</t>
        </is>
      </c>
      <c r="D13828" t="inlineStr">
        <is>
          <t>07.10.2026</t>
        </is>
      </c>
      <c r="E13828" t="inlineStr">
        <is>
          <t>China</t>
        </is>
      </c>
    </row>
    <row r="13829">
      <c r="A13829" t="inlineStr">
        <is>
          <t>Jiangsu Danyu Group Oil Co., Ltd,  Zhenjiang, China</t>
        </is>
      </c>
      <c r="B13829" t="inlineStr">
        <is>
          <t>Collecting Point</t>
        </is>
      </c>
      <c r="C13829" t="inlineStr">
        <is>
          <t>RINA Services S.p.A., Genova, IT</t>
        </is>
      </c>
      <c r="D13829" t="inlineStr">
        <is>
          <t>07.10.2026</t>
        </is>
      </c>
      <c r="E13829" t="inlineStr">
        <is>
          <t>China</t>
        </is>
      </c>
    </row>
    <row r="13830">
      <c r="A13830" t="inlineStr">
        <is>
          <t>Hueck Folien GmbH,  Baumgartenberg, Austria</t>
        </is>
      </c>
      <c r="B13830" t="inlineStr">
        <is>
          <t>Processing Unit</t>
        </is>
      </c>
      <c r="C13830" t="inlineStr">
        <is>
          <t>agroVet GmbH, Enzersfeld, AT</t>
        </is>
      </c>
      <c r="D13830" t="inlineStr">
        <is>
          <t>07.10.2026</t>
        </is>
      </c>
      <c r="E13830" t="inlineStr">
        <is>
          <t>Austria</t>
        </is>
      </c>
    </row>
    <row r="13831">
      <c r="A13831" t="inlineStr">
        <is>
          <t>GRINOIL, SL,  Barcelona, Spain</t>
        </is>
      </c>
      <c r="B13831" t="inlineStr">
        <is>
          <t>Collecting Point, Trader with Storage</t>
        </is>
      </c>
      <c r="C13831" t="inlineStr">
        <is>
          <t>Certificadora Gallega del Noroeste SL, Vilagarcia de Arousa-Pontevedra, ES</t>
        </is>
      </c>
      <c r="D13831" t="inlineStr">
        <is>
          <t>07.10.2026</t>
        </is>
      </c>
      <c r="E13831" t="inlineStr">
        <is>
          <t>Spain</t>
        </is>
      </c>
    </row>
    <row r="13832">
      <c r="A13832" t="inlineStr">
        <is>
          <t>Panjin Penyao Bioenergy Co., Ltd.,  Panjin City, Liaoning Province, China</t>
        </is>
      </c>
      <c r="B13832" t="inlineStr">
        <is>
          <t>Processing Unit</t>
        </is>
      </c>
      <c r="C13832" t="inlineStr">
        <is>
          <t>SCS Global Services, Emeryville, CA, US</t>
        </is>
      </c>
      <c r="D13832" t="inlineStr">
        <is>
          <t>06.10.2026</t>
        </is>
      </c>
      <c r="E13832" t="inlineStr">
        <is>
          <t>China</t>
        </is>
      </c>
    </row>
    <row r="13833">
      <c r="A13833" t="inlineStr">
        <is>
          <t>Befar Group Co., Ltd.,  Binzhou, China</t>
        </is>
      </c>
      <c r="B13833" t="inlineStr">
        <is>
          <t>Processing Unit</t>
        </is>
      </c>
      <c r="C13833" t="inlineStr">
        <is>
          <t>SCS Global Services, Emeryville, CA, US</t>
        </is>
      </c>
      <c r="D13833" t="inlineStr">
        <is>
          <t>07.10.2026</t>
        </is>
      </c>
      <c r="E13833" t="inlineStr">
        <is>
          <t>China</t>
        </is>
      </c>
    </row>
    <row r="13834">
      <c r="A13834" t="inlineStr">
        <is>
          <t>Singapore Methyl Methacrylate,  Singapore, Singapore</t>
        </is>
      </c>
      <c r="B13834" t="inlineStr">
        <is>
          <t>Processing Unit</t>
        </is>
      </c>
      <c r="C13834" t="inlineStr">
        <is>
          <t>TÜV NORD CERT GmbH, Essen, DE</t>
        </is>
      </c>
      <c r="D13834" t="inlineStr">
        <is>
          <t>07.10.2026</t>
        </is>
      </c>
      <c r="E13834" t="inlineStr">
        <is>
          <t>Singapore</t>
        </is>
      </c>
    </row>
    <row r="13835">
      <c r="A13835" t="inlineStr">
        <is>
          <t>Orion Engineered Carbons,  Borger, Tx, United States</t>
        </is>
      </c>
      <c r="B13835" t="inlineStr">
        <is>
          <t>Processing Unit</t>
        </is>
      </c>
      <c r="C13835" t="inlineStr">
        <is>
          <t>DQS CFS GmbH - Deutsche Gesellschaft für Nachhaltigkeit, Frankfurt am Main, DE</t>
        </is>
      </c>
      <c r="D13835" t="inlineStr">
        <is>
          <t>07.10.2026</t>
        </is>
      </c>
      <c r="E13835" t="inlineStr">
        <is>
          <t>United States</t>
        </is>
      </c>
    </row>
    <row r="13836">
      <c r="A13836" t="inlineStr">
        <is>
          <t>Sunpro Trading,  Baar, Switzerland</t>
        </is>
      </c>
      <c r="B13836" t="inlineStr">
        <is>
          <t>Trader</t>
        </is>
      </c>
      <c r="C13836" t="inlineStr">
        <is>
          <t>Aciter Genelab LLC, Odessa, UA</t>
        </is>
      </c>
      <c r="D13836" t="inlineStr">
        <is>
          <t>07.10.2026</t>
        </is>
      </c>
      <c r="E13836" t="inlineStr">
        <is>
          <t>Switzerland</t>
        </is>
      </c>
    </row>
    <row r="13837">
      <c r="A13837" t="inlineStr">
        <is>
          <t>Sunpro Trading,  Baar, Switzerland</t>
        </is>
      </c>
      <c r="B13837" t="inlineStr">
        <is>
          <t>Trader</t>
        </is>
      </c>
      <c r="C13837" t="inlineStr">
        <is>
          <t>Aciter Genelab LLC, Odessa, UA</t>
        </is>
      </c>
      <c r="D13837" t="inlineStr">
        <is>
          <t>07.10.2026</t>
        </is>
      </c>
      <c r="E13837" t="inlineStr">
        <is>
          <t>Switzerland</t>
        </is>
      </c>
    </row>
    <row r="13838">
      <c r="A13838" t="inlineStr">
        <is>
          <t>Goodyear Slovenija, d. o. o,  Kranj, Slovenia</t>
        </is>
      </c>
      <c r="B13838" t="inlineStr">
        <is>
          <t>Processing Unit</t>
        </is>
      </c>
      <c r="C13838" t="inlineStr">
        <is>
          <t>DQS CFS GmbH - Deutsche Gesellschaft für Nachhaltigkeit, Frankfurt am Main, DE</t>
        </is>
      </c>
      <c r="D13838" t="inlineStr">
        <is>
          <t>07.10.2026</t>
        </is>
      </c>
      <c r="E13838" t="inlineStr">
        <is>
          <t>Slovenia</t>
        </is>
      </c>
    </row>
    <row r="13839">
      <c r="A13839" t="inlineStr">
        <is>
          <t>Ayame service LLC,  Yamagata-shi Yamagata, Japan</t>
        </is>
      </c>
      <c r="B13839" t="inlineStr">
        <is>
          <t>Collecting Point</t>
        </is>
      </c>
      <c r="C13839" t="inlineStr">
        <is>
          <t>Control Union Certifications Germany GmbH, Berlin, DE</t>
        </is>
      </c>
      <c r="D13839" t="inlineStr">
        <is>
          <t>07.10.2026</t>
        </is>
      </c>
      <c r="E13839" t="inlineStr">
        <is>
          <t>Japan</t>
        </is>
      </c>
    </row>
    <row r="13840">
      <c r="A13840" t="inlineStr">
        <is>
          <t>Ayame service LLC,  Yamagata-shi Yamagata, Japan</t>
        </is>
      </c>
      <c r="B13840" t="inlineStr">
        <is>
          <t>Collecting Point</t>
        </is>
      </c>
      <c r="C13840" t="inlineStr">
        <is>
          <t>Control Union Certifications Germany GmbH, Berlin, DE</t>
        </is>
      </c>
      <c r="D13840" t="inlineStr">
        <is>
          <t>07.10.2026</t>
        </is>
      </c>
      <c r="E13840" t="inlineStr">
        <is>
          <t>Japan</t>
        </is>
      </c>
    </row>
    <row r="13841">
      <c r="A13841" t="inlineStr">
        <is>
          <t>Neste Components B.V.,  Botlek, Rotterdam, Netherlands</t>
        </is>
      </c>
      <c r="B13841" t="inlineStr">
        <is>
          <t>Trader with Storage, Processing Unit, Proof of Compliance Trader</t>
        </is>
      </c>
      <c r="C13841" t="inlineStr">
        <is>
          <t>SGS Germany GmbH, Emstek, DE</t>
        </is>
      </c>
      <c r="D13841" t="inlineStr">
        <is>
          <t>07.10.2026</t>
        </is>
      </c>
      <c r="E13841" t="inlineStr">
        <is>
          <t>Netherlands</t>
        </is>
      </c>
    </row>
    <row r="13842">
      <c r="A13842" t="inlineStr">
        <is>
          <t>Zhejiang Latim Electric Appliance Co., Ltd.,  Jinhua City, Zhejiang Province, China</t>
        </is>
      </c>
      <c r="B13842" t="inlineStr">
        <is>
          <t>Processing Unit</t>
        </is>
      </c>
      <c r="C13842" t="inlineStr">
        <is>
          <t>SCS Global Services, Emeryville, CA, US</t>
        </is>
      </c>
      <c r="D13842" t="inlineStr">
        <is>
          <t>07.10.2026</t>
        </is>
      </c>
      <c r="E13842" t="inlineStr">
        <is>
          <t>China</t>
        </is>
      </c>
    </row>
    <row r="13843">
      <c r="A13843" t="inlineStr">
        <is>
          <t>British Airways PLC,  Harmondsworth, United Kingdom</t>
        </is>
      </c>
      <c r="B13843" t="inlineStr">
        <is>
          <t>Trader, Proof of Compliance Trader</t>
        </is>
      </c>
      <c r="C13843" t="inlineStr">
        <is>
          <t>SGS Germany GmbH, Emstek, DE</t>
        </is>
      </c>
      <c r="D13843" t="inlineStr">
        <is>
          <t>07.10.2026</t>
        </is>
      </c>
      <c r="E13843" t="inlineStr">
        <is>
          <t>United Kingdom</t>
        </is>
      </c>
    </row>
    <row r="13844">
      <c r="A13844" t="inlineStr">
        <is>
          <t>Axium Packaging,  Archdale, United States</t>
        </is>
      </c>
      <c r="B13844" t="inlineStr">
        <is>
          <t>Processing Unit</t>
        </is>
      </c>
      <c r="C13844" t="inlineStr">
        <is>
          <t>SCS Global Services, Emeryville, CA, US</t>
        </is>
      </c>
      <c r="D13844" t="inlineStr">
        <is>
          <t>07.10.2026</t>
        </is>
      </c>
      <c r="E13844" t="inlineStr">
        <is>
          <t>United States</t>
        </is>
      </c>
    </row>
    <row r="13845">
      <c r="A13845" t="inlineStr">
        <is>
          <t>DCC &amp; Shell Aviation Denmark,  Kastrup, Denmark</t>
        </is>
      </c>
      <c r="B13845" t="inlineStr">
        <is>
          <t>Trader with Storage, Proof of Compliance Trader</t>
        </is>
      </c>
      <c r="C13845" t="inlineStr">
        <is>
          <t>Baltic Control Certification, Risskov, DK</t>
        </is>
      </c>
      <c r="D13845" t="inlineStr">
        <is>
          <t>07.10.2026</t>
        </is>
      </c>
      <c r="E13845" t="inlineStr">
        <is>
          <t>Denmark</t>
        </is>
      </c>
    </row>
    <row r="13846">
      <c r="A13846" t="inlineStr">
        <is>
          <t>College Proteins ULC,  Nobber, Ireland</t>
        </is>
      </c>
      <c r="B13846" t="inlineStr">
        <is>
          <t>Collecting Point, Processing Unit, Point of Origin</t>
        </is>
      </c>
      <c r="C13846" t="inlineStr">
        <is>
          <t>Double Helix Tracking Technologies Pte Ltd, Singapore, SG</t>
        </is>
      </c>
      <c r="D13846" t="inlineStr">
        <is>
          <t>07.10.2026</t>
        </is>
      </c>
      <c r="E13846" t="inlineStr">
        <is>
          <t>Ireland</t>
        </is>
      </c>
    </row>
    <row r="13847">
      <c r="A13847" t="inlineStr">
        <is>
          <t>Bengbu Leaf Biotech Co., Ltd.,  Bengbu, China</t>
        </is>
      </c>
      <c r="B13847" t="inlineStr">
        <is>
          <t>Processing Unit, Collecting Point</t>
        </is>
      </c>
      <c r="C13847" t="inlineStr">
        <is>
          <t>Control Union Certifications Germany GmbH, Berlin, DE</t>
        </is>
      </c>
      <c r="D13847" t="inlineStr">
        <is>
          <t>07.10.2026</t>
        </is>
      </c>
      <c r="E13847" t="inlineStr">
        <is>
          <t>China</t>
        </is>
      </c>
    </row>
    <row r="13848">
      <c r="A13848" t="inlineStr">
        <is>
          <t>SIA Sunningdale Tech (Riga),  Riga, Latvia</t>
        </is>
      </c>
      <c r="B13848" t="inlineStr">
        <is>
          <t>Processing Unit</t>
        </is>
      </c>
      <c r="C13848" t="inlineStr">
        <is>
          <t>SGS Germany GmbH, Emstek, DE</t>
        </is>
      </c>
      <c r="D13848" t="inlineStr">
        <is>
          <t>07.10.2026</t>
        </is>
      </c>
      <c r="E13848" t="inlineStr">
        <is>
          <t>Latvia</t>
        </is>
      </c>
    </row>
    <row r="13849">
      <c r="A13849" t="inlineStr">
        <is>
          <t>ALVAPACK SRL,  San Giorgio Di Piano BOLOGNA, Italy</t>
        </is>
      </c>
      <c r="B13849" t="inlineStr">
        <is>
          <t>Final Product Refinement</t>
        </is>
      </c>
      <c r="C13849" t="inlineStr">
        <is>
          <t>RINA Services S.p.A., Genova, IT</t>
        </is>
      </c>
      <c r="D13849" t="inlineStr">
        <is>
          <t>07.10.2026</t>
        </is>
      </c>
      <c r="E13849" t="inlineStr">
        <is>
          <t>Italy</t>
        </is>
      </c>
    </row>
    <row r="13850">
      <c r="A13850" t="inlineStr">
        <is>
          <t>bp Austria GmbH,  Wien, Austria</t>
        </is>
      </c>
      <c r="B13850" t="inlineStr">
        <is>
          <t>Proof of Compliance Trader, Trader with Storage</t>
        </is>
      </c>
      <c r="C13850" t="inlineStr">
        <is>
          <t>Control Union Certifications Germany GmbH, Berlin, DE</t>
        </is>
      </c>
      <c r="D13850" t="inlineStr">
        <is>
          <t>07.10.2026</t>
        </is>
      </c>
      <c r="E13850" t="inlineStr">
        <is>
          <t>Austria</t>
        </is>
      </c>
    </row>
    <row r="13851">
      <c r="A13851" t="inlineStr">
        <is>
          <t>MORIROKU COMPANY, LTD.,  Minato-ku, Tokyo, Japan</t>
        </is>
      </c>
      <c r="B13851" t="inlineStr">
        <is>
          <t>Trader</t>
        </is>
      </c>
      <c r="C13851" t="inlineStr">
        <is>
          <t>SGS Germany GmbH, Emstek, DE</t>
        </is>
      </c>
      <c r="D13851" t="inlineStr">
        <is>
          <t>06.10.2026</t>
        </is>
      </c>
      <c r="E13851" t="inlineStr">
        <is>
          <t>Japan</t>
        </is>
      </c>
    </row>
    <row r="13852">
      <c r="A13852" t="inlineStr">
        <is>
          <t>Henan Shenma Nylon Chemical Co., Ltd.,  Pingdingshan, Henan Province, China</t>
        </is>
      </c>
      <c r="B13852" t="inlineStr">
        <is>
          <t>Processing Unit</t>
        </is>
      </c>
      <c r="C13852" t="inlineStr">
        <is>
          <t>SGS Germany GmbH, Emstek, DE</t>
        </is>
      </c>
      <c r="D13852" t="inlineStr">
        <is>
          <t>06.10.2026</t>
        </is>
      </c>
      <c r="E13852" t="inlineStr">
        <is>
          <t>China</t>
        </is>
      </c>
    </row>
    <row r="13853">
      <c r="A13853" t="inlineStr">
        <is>
          <t>Energy Fatty Oils A.E.B.E.,  Metamorfosi, Attica, Greece</t>
        </is>
      </c>
      <c r="B13853" t="inlineStr">
        <is>
          <t>Collecting Point, Trader with Storage, Point of Origin, Processing Unit</t>
        </is>
      </c>
      <c r="C13853" t="inlineStr">
        <is>
          <t>Eurocert SA, Metamorfosi, Athens, GR</t>
        </is>
      </c>
      <c r="D13853" t="inlineStr">
        <is>
          <t>06.10.2026</t>
        </is>
      </c>
      <c r="E13853" t="inlineStr">
        <is>
          <t>Greece</t>
        </is>
      </c>
    </row>
    <row r="13854">
      <c r="A13854" t="inlineStr">
        <is>
          <t>Xingning Tokzin Yinghui Resources Co.,Ltd..,  Xing Ning City, China</t>
        </is>
      </c>
      <c r="B13854" t="inlineStr">
        <is>
          <t>Collecting Point, Processing Unit</t>
        </is>
      </c>
      <c r="C13854" t="inlineStr">
        <is>
          <t>SGS Germany GmbH, Emstek, DE</t>
        </is>
      </c>
      <c r="D13854" t="inlineStr">
        <is>
          <t>06.10.2026</t>
        </is>
      </c>
      <c r="E13854" t="inlineStr">
        <is>
          <t>China</t>
        </is>
      </c>
    </row>
    <row r="13855">
      <c r="A13855" t="inlineStr">
        <is>
          <t>Sherwin-Williams Czech Republic spol. s r.o.,  Velké Meziříčí, Czech Republic</t>
        </is>
      </c>
      <c r="B13855" t="inlineStr">
        <is>
          <t>Final Product Refinement</t>
        </is>
      </c>
      <c r="C13855" t="inlineStr">
        <is>
          <t>SGS Germany GmbH, Emstek, DE</t>
        </is>
      </c>
      <c r="D13855" t="inlineStr">
        <is>
          <t>06.10.2026</t>
        </is>
      </c>
      <c r="E13855" t="inlineStr">
        <is>
          <t>Czech Republic</t>
        </is>
      </c>
    </row>
    <row r="13856">
      <c r="A13856" t="inlineStr">
        <is>
          <t>Apeiron Bioenergy LLC,  Dubai, United Arab Emirates</t>
        </is>
      </c>
      <c r="B13856" t="inlineStr">
        <is>
          <t>Collecting Point, Trader with Storage</t>
        </is>
      </c>
      <c r="C13856" t="inlineStr">
        <is>
          <t>PT SBC Asia Sertifikasi, Kebumen, ID</t>
        </is>
      </c>
      <c r="D13856" t="inlineStr">
        <is>
          <t>06.10.2026</t>
        </is>
      </c>
      <c r="E13856" t="inlineStr">
        <is>
          <t>United Arab Emirates</t>
        </is>
      </c>
    </row>
    <row r="13857">
      <c r="A13857" t="inlineStr">
        <is>
          <t>Harmatos Határ Mezőgazdasági Szövetkezet,  Kaba, Hungary</t>
        </is>
      </c>
      <c r="B13857" t="inlineStr">
        <is>
          <t>First Gathering Point, Trader with Storage</t>
        </is>
      </c>
      <c r="C13857" t="inlineStr">
        <is>
          <t>BM Certification, Riga, LV</t>
        </is>
      </c>
      <c r="D13857" t="inlineStr">
        <is>
          <t>06.10.2026</t>
        </is>
      </c>
      <c r="E13857" t="inlineStr">
        <is>
          <t>Hungary</t>
        </is>
      </c>
    </row>
    <row r="13858">
      <c r="A13858" t="inlineStr">
        <is>
          <t>Tomypak Flexible Packaging Sdn. Bhd.,  Johor Bahru, Malaysia</t>
        </is>
      </c>
      <c r="B13858" t="inlineStr">
        <is>
          <t>Processing Unit</t>
        </is>
      </c>
      <c r="C13858" t="inlineStr">
        <is>
          <t>Control Union Certifications Germany GmbH, Berlin, DE</t>
        </is>
      </c>
      <c r="D13858" t="inlineStr">
        <is>
          <t>06.10.2026</t>
        </is>
      </c>
      <c r="E13858" t="inlineStr">
        <is>
          <t>Malaysia</t>
        </is>
      </c>
    </row>
    <row r="13859">
      <c r="A13859" t="inlineStr">
        <is>
          <t>Evergreen Bioenergy Sdn Bhd,  Shah Alam, Malaysia</t>
        </is>
      </c>
      <c r="B13859" t="inlineStr">
        <is>
          <t>Trader</t>
        </is>
      </c>
      <c r="C13859" t="inlineStr">
        <is>
          <t>Trans Certification and Inspection Sdn Bhd, Kuantan, MY</t>
        </is>
      </c>
      <c r="D13859" t="inlineStr">
        <is>
          <t>06.10.2026</t>
        </is>
      </c>
      <c r="E13859" t="inlineStr">
        <is>
          <t>Malaysia</t>
        </is>
      </c>
    </row>
    <row r="13860">
      <c r="A13860" t="inlineStr">
        <is>
          <t>Foyle Food Group Ltd., t/a Foyle Proteins,  Londonderry, Northern Ireland, United Kingdom</t>
        </is>
      </c>
      <c r="B13860" t="inlineStr">
        <is>
          <t>Point of Origin</t>
        </is>
      </c>
      <c r="C13860" t="inlineStr">
        <is>
          <t>GUT Certifizierungsgesellschaft für Managementsysteme mbH Umweltgutachter, Berlin, DE</t>
        </is>
      </c>
      <c r="D13860" t="inlineStr">
        <is>
          <t>06.10.2026</t>
        </is>
      </c>
      <c r="E13860" t="inlineStr">
        <is>
          <t>United Kingdom</t>
        </is>
      </c>
    </row>
    <row r="13861">
      <c r="A13861" t="inlineStr">
        <is>
          <t>PT FENG TAY INDONESIA ENTERPRISES,  KABUPATEN BANDUNG, Indonesia</t>
        </is>
      </c>
      <c r="B13861" t="inlineStr">
        <is>
          <t>Final Product Refinement, Processing Unit, Trader with Storage</t>
        </is>
      </c>
      <c r="C13861" t="inlineStr">
        <is>
          <t>PT Intertek Utama Services, Jakarta, ID</t>
        </is>
      </c>
      <c r="D13861" t="inlineStr">
        <is>
          <t>06.10.2026</t>
        </is>
      </c>
      <c r="E13861" t="inlineStr">
        <is>
          <t>Indonesia</t>
        </is>
      </c>
    </row>
    <row r="13862">
      <c r="A13862" t="inlineStr">
        <is>
          <t>Hangzhou Haers Industrial Co.,LTD,  Hangzhou, Zhejiang Province, China</t>
        </is>
      </c>
      <c r="B13862" t="inlineStr">
        <is>
          <t>Processing Unit</t>
        </is>
      </c>
      <c r="C13862" t="inlineStr">
        <is>
          <t>SGS Germany GmbH, Emstek, DE</t>
        </is>
      </c>
      <c r="D13862" t="inlineStr">
        <is>
          <t>06.10.2026</t>
        </is>
      </c>
      <c r="E13862" t="inlineStr">
        <is>
          <t>China</t>
        </is>
      </c>
    </row>
    <row r="13863">
      <c r="A13863" t="inlineStr">
        <is>
          <t>C. Thywissen GmbH,  Neuss, Germany</t>
        </is>
      </c>
      <c r="B13863" t="inlineStr">
        <is>
          <t>Trader with Storage, Processing Unit</t>
        </is>
      </c>
      <c r="C13863" t="inlineStr">
        <is>
          <t>SGS Germany GmbH, Emstek, DE</t>
        </is>
      </c>
      <c r="D13863" t="inlineStr">
        <is>
          <t>06.10.2026</t>
        </is>
      </c>
      <c r="E13863" t="inlineStr">
        <is>
          <t>Germany</t>
        </is>
      </c>
    </row>
    <row r="13864">
      <c r="A13864" t="inlineStr">
        <is>
          <t>C. Thywissen GmbH,  Neuss, Germany</t>
        </is>
      </c>
      <c r="B13864" t="inlineStr">
        <is>
          <t>Trader with Storage, Processing Unit</t>
        </is>
      </c>
      <c r="C13864" t="inlineStr">
        <is>
          <t>SGS Germany GmbH, Emstek, DE</t>
        </is>
      </c>
      <c r="D13864" t="inlineStr">
        <is>
          <t>06.10.2026</t>
        </is>
      </c>
      <c r="E13864" t="inlineStr">
        <is>
          <t>Germany</t>
        </is>
      </c>
    </row>
    <row r="13865">
      <c r="A13865" t="inlineStr">
        <is>
          <t>PCS PTE. LTD.,  Singapore, Singapore</t>
        </is>
      </c>
      <c r="B13865" t="inlineStr">
        <is>
          <t>Processing Unit, MTBE plant</t>
        </is>
      </c>
      <c r="C13865" t="inlineStr">
        <is>
          <t>SCS Global Services, Emeryville, CA, US</t>
        </is>
      </c>
      <c r="D13865" t="inlineStr">
        <is>
          <t>06.10.2026</t>
        </is>
      </c>
      <c r="E13865" t="inlineStr">
        <is>
          <t>Singapore</t>
        </is>
      </c>
    </row>
    <row r="13866">
      <c r="A13866" t="inlineStr">
        <is>
          <t>Albea Mexicana L.P.,  Reynosa, Tamaulipas, Mexico</t>
        </is>
      </c>
      <c r="B13866" t="inlineStr">
        <is>
          <t>Processing Unit, Trader with Storage</t>
        </is>
      </c>
      <c r="C13866" t="inlineStr">
        <is>
          <t>SCS Global Services, Emeryville, CA, US</t>
        </is>
      </c>
      <c r="D13866" t="inlineStr">
        <is>
          <t>06.10.2026</t>
        </is>
      </c>
      <c r="E13866" t="inlineStr">
        <is>
          <t>Mexico</t>
        </is>
      </c>
    </row>
    <row r="13867">
      <c r="A13867" t="inlineStr">
        <is>
          <t>Valero Marketing and Supply Company,  San Antonio, United States</t>
        </is>
      </c>
      <c r="B13867" t="inlineStr">
        <is>
          <t>Trader with Storage, Collecting Point</t>
        </is>
      </c>
      <c r="C13867" t="inlineStr">
        <is>
          <t>SCS Global Services, Emeryville, CA, US</t>
        </is>
      </c>
      <c r="D13867" t="inlineStr">
        <is>
          <t>06.10.2026</t>
        </is>
      </c>
      <c r="E13867" t="inlineStr">
        <is>
          <t>United States</t>
        </is>
      </c>
    </row>
    <row r="13868">
      <c r="A13868" t="inlineStr">
        <is>
          <t>OCHI SRL,  Genoa, Italy</t>
        </is>
      </c>
      <c r="B13868" t="inlineStr">
        <is>
          <t>Trader</t>
        </is>
      </c>
      <c r="C13868" t="inlineStr">
        <is>
          <t>Bureau Veritas Polska Sp. z o.o., Warsaw, PL</t>
        </is>
      </c>
      <c r="D13868" t="inlineStr">
        <is>
          <t>06.10.2026</t>
        </is>
      </c>
      <c r="E13868" t="inlineStr">
        <is>
          <t>Italy</t>
        </is>
      </c>
    </row>
    <row r="13869">
      <c r="A13869" t="inlineStr">
        <is>
          <t>Coexpan S.A.U.,  Alcalá de Henares , Spain</t>
        </is>
      </c>
      <c r="B13869" t="inlineStr">
        <is>
          <t>Point of Origin, Trader with Storage, Processing Unit</t>
        </is>
      </c>
      <c r="C13869" t="inlineStr">
        <is>
          <t>PT Intertek Utama Services, Jakarta, ID</t>
        </is>
      </c>
      <c r="D13869" t="inlineStr">
        <is>
          <t>06.10.2026</t>
        </is>
      </c>
      <c r="E13869" t="inlineStr">
        <is>
          <t>Spain</t>
        </is>
      </c>
    </row>
    <row r="13870">
      <c r="A13870" t="inlineStr">
        <is>
          <t>TAHOO COMPANY LIMITED,  Dong Nai Province, Vietnam</t>
        </is>
      </c>
      <c r="B13870" t="inlineStr">
        <is>
          <t>Trader</t>
        </is>
      </c>
      <c r="C13870" t="inlineStr">
        <is>
          <t>PT Intertek Utama Services, Jakarta, ID</t>
        </is>
      </c>
      <c r="D13870" t="inlineStr">
        <is>
          <t>06.10.2026</t>
        </is>
      </c>
      <c r="E13870" t="inlineStr">
        <is>
          <t>Vietnam</t>
        </is>
      </c>
    </row>
    <row r="13871">
      <c r="A13871" t="inlineStr">
        <is>
          <t>Sonne Energeticos,  Santa Catarina, Nuevo León, Mexico</t>
        </is>
      </c>
      <c r="B13871" t="inlineStr">
        <is>
          <t>Collecting Point</t>
        </is>
      </c>
      <c r="C13871" t="inlineStr">
        <is>
          <t>Certificadora Gallega del Noroeste SL, Vilagarcia de Arousa-Pontevedra, ES</t>
        </is>
      </c>
      <c r="D13871" t="inlineStr">
        <is>
          <t>06.10.2026</t>
        </is>
      </c>
      <c r="E13871" t="inlineStr">
        <is>
          <t>Mexico</t>
        </is>
      </c>
    </row>
    <row r="13872">
      <c r="A13872" t="inlineStr">
        <is>
          <t>MainBio,  Maia, Portugal</t>
        </is>
      </c>
      <c r="B13872" t="inlineStr">
        <is>
          <t>Processing Unit, Trader with Storage, Point of Origin</t>
        </is>
      </c>
      <c r="C13872" t="inlineStr">
        <is>
          <t>SGS Germany GmbH, Emstek, DE</t>
        </is>
      </c>
      <c r="D13872" t="inlineStr">
        <is>
          <t>06.10.2026</t>
        </is>
      </c>
      <c r="E13872" t="inlineStr">
        <is>
          <t>Portugal</t>
        </is>
      </c>
    </row>
    <row r="13873">
      <c r="A13873" t="inlineStr">
        <is>
          <t>Monjasa SA,  Panama City, Panama</t>
        </is>
      </c>
      <c r="B13873" t="inlineStr">
        <is>
          <t>Trader</t>
        </is>
      </c>
      <c r="C13873" t="inlineStr">
        <is>
          <t>Certificadora Gallega del Noroeste SL, Vilagarcia de Arousa-Pontevedra, ES</t>
        </is>
      </c>
      <c r="D13873" t="inlineStr">
        <is>
          <t>06.10.2026</t>
        </is>
      </c>
      <c r="E13873" t="inlineStr">
        <is>
          <t>Panama</t>
        </is>
      </c>
    </row>
    <row r="13874">
      <c r="A13874" t="inlineStr">
        <is>
          <t>Propeller Fuels,  Hessle, United Kingdom</t>
        </is>
      </c>
      <c r="B13874" t="inlineStr">
        <is>
          <t>Trader, Proof of Compliance Trader</t>
        </is>
      </c>
      <c r="C13874" t="inlineStr">
        <is>
          <t>Double Helix Tracking Technologies Pte Ltd, Singapore, SG</t>
        </is>
      </c>
      <c r="D13874" t="inlineStr">
        <is>
          <t>06.10.2026</t>
        </is>
      </c>
      <c r="E13874" t="inlineStr">
        <is>
          <t>United Kingdom</t>
        </is>
      </c>
    </row>
    <row r="13875">
      <c r="A13875" t="inlineStr">
        <is>
          <t>PT TUNAS PALMA NUSANTARA,  Tanjung Penyembal, Sungai Sembilan, Indonesia</t>
        </is>
      </c>
      <c r="B13875" t="inlineStr">
        <is>
          <t>Point of Origin</t>
        </is>
      </c>
      <c r="C13875" t="inlineStr">
        <is>
          <t>PT. Qualitas Sertifikasi Indonesia, Jakarta, ID</t>
        </is>
      </c>
      <c r="D13875" t="inlineStr">
        <is>
          <t>06.10.2026</t>
        </is>
      </c>
      <c r="E13875" t="inlineStr">
        <is>
          <t>Indonesia</t>
        </is>
      </c>
    </row>
    <row r="13876">
      <c r="A13876" t="inlineStr">
        <is>
          <t>Syensqo Solutions Nederland B.V.,  Klundert, The Netherlands</t>
        </is>
      </c>
      <c r="B13876" t="inlineStr">
        <is>
          <t>Processing Unit, Final Product Refinement</t>
        </is>
      </c>
      <c r="C13876" t="inlineStr">
        <is>
          <t>Normec QS BV, Bennekom, NL</t>
        </is>
      </c>
      <c r="D13876" t="inlineStr">
        <is>
          <t>06.10.2026</t>
        </is>
      </c>
      <c r="E13876" t="inlineStr">
        <is>
          <t>The Netherlands</t>
        </is>
      </c>
    </row>
    <row r="13877">
      <c r="A13877" t="inlineStr">
        <is>
          <t>DUTA LANGGENG MANDIRI,  Kelapa Gading Timur, Kelapa Gading, Jakarta Utara, Indonesia</t>
        </is>
      </c>
      <c r="B13877" t="inlineStr">
        <is>
          <t>Trader</t>
        </is>
      </c>
      <c r="C13877" t="inlineStr">
        <is>
          <t>PT TSI Sertifikasi Internasional, Jakarta Selatang, ID</t>
        </is>
      </c>
      <c r="D13877" t="inlineStr">
        <is>
          <t>06.10.2026</t>
        </is>
      </c>
      <c r="E13877" t="inlineStr">
        <is>
          <t>Indonesia</t>
        </is>
      </c>
    </row>
    <row r="13878">
      <c r="A13878" t="inlineStr">
        <is>
          <t>LLC CHERNIGIVSKA INDUSTRIALNA MOLOCHNA KOMPANIA,  V.Shibirinovka, Chernigiv Area, Chernigiv RegionV, Ukraine</t>
        </is>
      </c>
      <c r="B13878" t="inlineStr">
        <is>
          <t>Farm / Plantation</t>
        </is>
      </c>
      <c r="C13878" t="inlineStr">
        <is>
          <t>Organic Standard Ltd, Kyiv, UA</t>
        </is>
      </c>
      <c r="D13878" t="inlineStr">
        <is>
          <t>06.10.2026</t>
        </is>
      </c>
      <c r="E13878" t="inlineStr">
        <is>
          <t>Ukraine</t>
        </is>
      </c>
    </row>
    <row r="13879">
      <c r="A13879" t="inlineStr">
        <is>
          <t>OMR Moerdijk B.V.,  Moerdijk, Netherlands</t>
        </is>
      </c>
      <c r="B13879" t="inlineStr">
        <is>
          <t>Collecting Point, Trader with Storage, Processing Unit</t>
        </is>
      </c>
      <c r="C13879" t="inlineStr">
        <is>
          <t>DEKRA Certification B.V., Arnhem, NL</t>
        </is>
      </c>
      <c r="D13879" t="inlineStr">
        <is>
          <t>06.10.2026</t>
        </is>
      </c>
      <c r="E13879" t="inlineStr">
        <is>
          <t>Netherlands</t>
        </is>
      </c>
    </row>
    <row r="13880">
      <c r="A13880" t="inlineStr">
        <is>
          <t>itelyum Purification SpA,  Landriano, Italy</t>
        </is>
      </c>
      <c r="B13880" t="inlineStr">
        <is>
          <t>Processing Unit, Trader with Storage</t>
        </is>
      </c>
      <c r="C13880" t="inlineStr">
        <is>
          <t>Certiquality srl, Milano, IT</t>
        </is>
      </c>
      <c r="D13880" t="inlineStr">
        <is>
          <t>06.10.2026</t>
        </is>
      </c>
      <c r="E13880" t="inlineStr">
        <is>
          <t>Italy</t>
        </is>
      </c>
    </row>
    <row r="13881">
      <c r="A13881" t="inlineStr">
        <is>
          <t>THE DOW CHEMICAL COMPANY,  Victoria, United States</t>
        </is>
      </c>
      <c r="B13881" t="inlineStr">
        <is>
          <t>Processing Unit</t>
        </is>
      </c>
      <c r="C13881" t="inlineStr">
        <is>
          <t>SGS Germany GmbH, Emstek, DE</t>
        </is>
      </c>
      <c r="D13881" t="inlineStr">
        <is>
          <t>06.10.2026</t>
        </is>
      </c>
      <c r="E13881" t="inlineStr">
        <is>
          <t>United States</t>
        </is>
      </c>
    </row>
    <row r="13882">
      <c r="A13882" t="inlineStr">
        <is>
          <t>Bemis Flexible Packaging(Suzhou)Co.,Ltd,  Suzhou Industrial Park, China</t>
        </is>
      </c>
      <c r="B13882" t="inlineStr">
        <is>
          <t>Trader with Storage, Final Product Refinement</t>
        </is>
      </c>
      <c r="C13882" t="inlineStr">
        <is>
          <t>SGS Germany GmbH, Emstek, DE</t>
        </is>
      </c>
      <c r="D13882" t="inlineStr">
        <is>
          <t>06.10.2026</t>
        </is>
      </c>
      <c r="E13882" t="inlineStr">
        <is>
          <t>China</t>
        </is>
      </c>
    </row>
    <row r="13883">
      <c r="A13883" t="inlineStr">
        <is>
          <t>Sanju Environmental Protection (Hong Kong),  Hong Kong, Hong Kong</t>
        </is>
      </c>
      <c r="B13883" t="inlineStr">
        <is>
          <t>Trader with Storage</t>
        </is>
      </c>
      <c r="C13883" t="inlineStr">
        <is>
          <t>TÜV NORD CERT GmbH, Essen, DE</t>
        </is>
      </c>
      <c r="D13883" t="inlineStr">
        <is>
          <t>06.10.2026</t>
        </is>
      </c>
      <c r="E13883" t="inlineStr">
        <is>
          <t>Hong Kong</t>
        </is>
      </c>
    </row>
    <row r="13884">
      <c r="A13884" t="inlineStr">
        <is>
          <t>Friars Pride LTD,  Norwich, United Kingdom</t>
        </is>
      </c>
      <c r="B13884" t="inlineStr">
        <is>
          <t>Collecting Point</t>
        </is>
      </c>
      <c r="C13884" t="inlineStr">
        <is>
          <t>SGS Germany GmbH, Emstek, DE</t>
        </is>
      </c>
      <c r="D13884" t="inlineStr">
        <is>
          <t>06.10.2026</t>
        </is>
      </c>
      <c r="E13884" t="inlineStr">
        <is>
          <t>United Kingdom</t>
        </is>
      </c>
    </row>
    <row r="13885">
      <c r="A13885" t="inlineStr">
        <is>
          <t>Wellbred Trading SA,  Geneva, Switzerland</t>
        </is>
      </c>
      <c r="B13885" t="inlineStr">
        <is>
          <t>Trader</t>
        </is>
      </c>
      <c r="C13885" t="inlineStr">
        <is>
          <t>SGS Germany GmbH, Emstek, DE</t>
        </is>
      </c>
      <c r="D13885" t="inlineStr">
        <is>
          <t>06.10.2026</t>
        </is>
      </c>
      <c r="E13885" t="inlineStr">
        <is>
          <t>Switzerland</t>
        </is>
      </c>
    </row>
    <row r="13886">
      <c r="A13886" t="inlineStr">
        <is>
          <t>Wellbred Trading SA,  Geneva, Switzerland</t>
        </is>
      </c>
      <c r="B13886" t="inlineStr">
        <is>
          <t>Trader</t>
        </is>
      </c>
      <c r="C13886" t="inlineStr">
        <is>
          <t>SGS Germany GmbH, Emstek, DE</t>
        </is>
      </c>
      <c r="D13886" t="inlineStr">
        <is>
          <t>06.10.2026</t>
        </is>
      </c>
      <c r="E13886" t="inlineStr">
        <is>
          <t>Switzerland</t>
        </is>
      </c>
    </row>
    <row r="13887">
      <c r="A13887" t="inlineStr">
        <is>
          <t>Hilal for filling oil and soaps,  Berket elsaba, Egypt</t>
        </is>
      </c>
      <c r="B13887" t="inlineStr">
        <is>
          <t>Trader</t>
        </is>
      </c>
      <c r="C13887" t="inlineStr">
        <is>
          <t>Eurocert SA, Metamorfosi, Athens, GR</t>
        </is>
      </c>
      <c r="D13887" t="inlineStr">
        <is>
          <t>06.10.2026</t>
        </is>
      </c>
      <c r="E13887" t="inlineStr">
        <is>
          <t>Egypt</t>
        </is>
      </c>
    </row>
    <row r="13888">
      <c r="A13888" t="inlineStr">
        <is>
          <t>Gemcorp Recycling &amp; Technologies Pvt. Ltd.,  Sabarkantha, India</t>
        </is>
      </c>
      <c r="B13888" t="inlineStr">
        <is>
          <t>Collecting Point, Processing Unit</t>
        </is>
      </c>
      <c r="C13888" t="inlineStr">
        <is>
          <t>Alcumus ISOQAR Ltd, Stretford, Manchester, GB</t>
        </is>
      </c>
      <c r="D13888" t="inlineStr">
        <is>
          <t>06.10.2026</t>
        </is>
      </c>
      <c r="E13888" t="inlineStr">
        <is>
          <t>India</t>
        </is>
      </c>
    </row>
    <row r="13889">
      <c r="A13889" t="inlineStr">
        <is>
          <t>Natural Energy West GmbH,  Marl, Germany</t>
        </is>
      </c>
      <c r="B13889" t="inlineStr">
        <is>
          <t>Trader with Storage, Processing Unit</t>
        </is>
      </c>
      <c r="C13889" t="inlineStr">
        <is>
          <t>SGS Germany GmbH, Emstek, DE</t>
        </is>
      </c>
      <c r="D13889" t="inlineStr">
        <is>
          <t>06.10.2026</t>
        </is>
      </c>
      <c r="E13889" t="inlineStr">
        <is>
          <t>Germany</t>
        </is>
      </c>
    </row>
    <row r="13890">
      <c r="A13890" t="inlineStr">
        <is>
          <t>Private Agricultural company "Chervonyi mayak",  Syadryne village, Ukraine</t>
        </is>
      </c>
      <c r="B13890" t="inlineStr">
        <is>
          <t>Farm / Plantation, First Gathering Point, Trader with Storage</t>
        </is>
      </c>
      <c r="C13890" t="inlineStr">
        <is>
          <t>Bureau Veritas Polska Sp. z o.o., Warsaw, PL</t>
        </is>
      </c>
      <c r="D13890" t="inlineStr">
        <is>
          <t>06.10.2026</t>
        </is>
      </c>
      <c r="E13890" t="inlineStr">
        <is>
          <t>Ukraine</t>
        </is>
      </c>
    </row>
    <row r="13891">
      <c r="A13891" t="inlineStr">
        <is>
          <t>Paprec France,  Amiens, France</t>
        </is>
      </c>
      <c r="B13891" t="inlineStr">
        <is>
          <t>Collecting Point</t>
        </is>
      </c>
      <c r="C13891" t="inlineStr">
        <is>
          <t>Control Union Certifications Germany GmbH, Berlin, DE</t>
        </is>
      </c>
      <c r="D13891" t="inlineStr">
        <is>
          <t>06.10.2026</t>
        </is>
      </c>
      <c r="E13891" t="inlineStr">
        <is>
          <t>France</t>
        </is>
      </c>
    </row>
    <row r="13892">
      <c r="A13892" t="inlineStr">
        <is>
          <t>SYNEXTRA,  CORSICO, Italy</t>
        </is>
      </c>
      <c r="B13892" t="inlineStr">
        <is>
          <t>Processing Unit</t>
        </is>
      </c>
      <c r="C13892" t="inlineStr">
        <is>
          <t>Bureau Veritas Polska Sp. z o.o., Warsaw, PL</t>
        </is>
      </c>
      <c r="D13892" t="inlineStr">
        <is>
          <t>06.10.2026</t>
        </is>
      </c>
      <c r="E13892" t="inlineStr">
        <is>
          <t>Italy</t>
        </is>
      </c>
    </row>
    <row r="13893">
      <c r="A13893" t="inlineStr">
        <is>
          <t>Global Green Chemicals Public Company Limited,  Nong Yai District, Chonburi, Thailand</t>
        </is>
      </c>
      <c r="B13893" t="inlineStr">
        <is>
          <t>Trader with Storage</t>
        </is>
      </c>
      <c r="C13893" t="inlineStr">
        <is>
          <t>Bureau Veritas Polska Sp. z o.o., Warsaw, PL</t>
        </is>
      </c>
      <c r="D13893" t="inlineStr">
        <is>
          <t>06.10.2026</t>
        </is>
      </c>
      <c r="E13893" t="inlineStr">
        <is>
          <t>Thailand</t>
        </is>
      </c>
    </row>
    <row r="13894">
      <c r="A13894" t="inlineStr">
        <is>
          <t>Global Green Chemicals Public Company Limited,  Nong Yai District, Chonburi, Thailand</t>
        </is>
      </c>
      <c r="B13894" t="inlineStr">
        <is>
          <t>Trader with Storage</t>
        </is>
      </c>
      <c r="C13894" t="inlineStr">
        <is>
          <t>Bureau Veritas Polska Sp. z o.o., Warsaw, PL</t>
        </is>
      </c>
      <c r="D13894" t="inlineStr">
        <is>
          <t>06.10.2026</t>
        </is>
      </c>
      <c r="E13894" t="inlineStr">
        <is>
          <t>Thailand</t>
        </is>
      </c>
    </row>
    <row r="13895">
      <c r="A13895" t="inlineStr">
        <is>
          <t>AGRO &amp; KOMBINÁT DOLNÍ ŽANDOV spol. s r.o.,  Okrouhlá, Czech Republic</t>
        </is>
      </c>
      <c r="B13895" t="inlineStr">
        <is>
          <t>Farm / Plantation, Point of Origin, Processing Unit, Trader with Storage</t>
        </is>
      </c>
      <c r="C13895" t="inlineStr">
        <is>
          <t>TÜV SÜD Czech s.r.o., Praha 4, CZ</t>
        </is>
      </c>
      <c r="D13895" t="inlineStr">
        <is>
          <t>05.10.2026</t>
        </is>
      </c>
      <c r="E13895" t="inlineStr">
        <is>
          <t>Czech Republic</t>
        </is>
      </c>
    </row>
    <row r="13896">
      <c r="A13896" t="inlineStr">
        <is>
          <t>Natsis Filippos Natsis Charalampos,  Livathos, Argostoliou, Greece</t>
        </is>
      </c>
      <c r="B13896" t="inlineStr">
        <is>
          <t>Collecting Point</t>
        </is>
      </c>
      <c r="C13896" t="inlineStr">
        <is>
          <t>Eurocert SA, Metamorfosi, Athens, GR</t>
        </is>
      </c>
      <c r="D13896" t="inlineStr">
        <is>
          <t>05.10.2026</t>
        </is>
      </c>
      <c r="E13896" t="inlineStr">
        <is>
          <t>Greece</t>
        </is>
      </c>
    </row>
    <row r="13897">
      <c r="A13897" t="inlineStr">
        <is>
          <t>Walki Consumer Oy,  Vaasa, Finland</t>
        </is>
      </c>
      <c r="B13897" t="inlineStr">
        <is>
          <t>Processing Unit</t>
        </is>
      </c>
      <c r="C13897" t="inlineStr">
        <is>
          <t>DNV Business Assurance Sweden AB, Solna, SE</t>
        </is>
      </c>
      <c r="D13897" t="inlineStr">
        <is>
          <t>05.10.2026</t>
        </is>
      </c>
      <c r="E13897" t="inlineStr">
        <is>
          <t>Finland</t>
        </is>
      </c>
    </row>
    <row r="13898">
      <c r="A13898" t="inlineStr">
        <is>
          <t>HK CHEMISTORY,  INCHEON, Korea, Republic of</t>
        </is>
      </c>
      <c r="B13898" t="inlineStr">
        <is>
          <t>Trader with Storage</t>
        </is>
      </c>
      <c r="C13898" t="inlineStr">
        <is>
          <t>Control Union Certifications Germany GmbH, Berlin, DE</t>
        </is>
      </c>
      <c r="D13898" t="inlineStr">
        <is>
          <t>05.10.2026</t>
        </is>
      </c>
      <c r="E13898" t="inlineStr">
        <is>
          <t>Republic of</t>
        </is>
      </c>
    </row>
    <row r="13899">
      <c r="A13899" t="inlineStr">
        <is>
          <t>DIC,  Yokkaichi-City, Mie, Japan</t>
        </is>
      </c>
      <c r="B13899" t="inlineStr">
        <is>
          <t>Processing Unit</t>
        </is>
      </c>
      <c r="C13899" t="inlineStr">
        <is>
          <t>SCS Global Services, Emeryville, CA, US</t>
        </is>
      </c>
      <c r="D13899" t="inlineStr">
        <is>
          <t>05.10.2026</t>
        </is>
      </c>
      <c r="E13899" t="inlineStr">
        <is>
          <t>Japan</t>
        </is>
      </c>
    </row>
    <row r="13900">
      <c r="A13900" t="inlineStr">
        <is>
          <t>The Dow Chemical Company,  Freeport, Texas, United States</t>
        </is>
      </c>
      <c r="B13900" t="inlineStr">
        <is>
          <t>Processing Unit</t>
        </is>
      </c>
      <c r="C13900" t="inlineStr">
        <is>
          <t>SGS Germany GmbH, Emstek, DE</t>
        </is>
      </c>
      <c r="D13900" t="inlineStr">
        <is>
          <t>05.10.2026</t>
        </is>
      </c>
      <c r="E13900" t="inlineStr">
        <is>
          <t>United States</t>
        </is>
      </c>
    </row>
    <row r="13901">
      <c r="A13901" t="inlineStr">
        <is>
          <t>RE-NEW SYSTEM CO., LTD,  Yeoju-si, South Korea</t>
        </is>
      </c>
      <c r="B13901" t="inlineStr">
        <is>
          <t>Processing Unit</t>
        </is>
      </c>
      <c r="C13901" t="inlineStr">
        <is>
          <t>Bureau Veritas Polska Sp. z o.o., Warsaw, PL</t>
        </is>
      </c>
      <c r="D13901" t="inlineStr">
        <is>
          <t>05.10.2026</t>
        </is>
      </c>
      <c r="E13901" t="inlineStr">
        <is>
          <t>South Korea</t>
        </is>
      </c>
    </row>
    <row r="13902">
      <c r="A13902" t="inlineStr">
        <is>
          <t>Primex Plastics Corp.,  Mesquite, NV, United States</t>
        </is>
      </c>
      <c r="B13902" t="inlineStr">
        <is>
          <t>Collecting Point, Processing Unit</t>
        </is>
      </c>
      <c r="C13902" t="inlineStr">
        <is>
          <t>SCS Global Services, Emeryville, CA, US</t>
        </is>
      </c>
      <c r="D13902" t="inlineStr">
        <is>
          <t>05.10.2026</t>
        </is>
      </c>
      <c r="E13902" t="inlineStr">
        <is>
          <t>United States</t>
        </is>
      </c>
    </row>
    <row r="13903">
      <c r="A13903" t="inlineStr">
        <is>
          <t>Anaerobic Power Biogas Benešov a.s.,  Neveklov, Czech Republic</t>
        </is>
      </c>
      <c r="B13903" t="inlineStr">
        <is>
          <t>Collecting Point, Processing Unit</t>
        </is>
      </c>
      <c r="C13903" t="inlineStr">
        <is>
          <t>United Registrar of Systems Polska Sp. z o.o., Wrocław, PL</t>
        </is>
      </c>
      <c r="D13903" t="inlineStr">
        <is>
          <t>05.10.2026</t>
        </is>
      </c>
      <c r="E13903" t="inlineStr">
        <is>
          <t>Czech Republic</t>
        </is>
      </c>
    </row>
    <row r="13904">
      <c r="A13904" t="inlineStr">
        <is>
          <t>Kolmar Group AG,  Zug, Switzerland</t>
        </is>
      </c>
      <c r="B13904" t="inlineStr">
        <is>
          <t>Trader with Storage</t>
        </is>
      </c>
      <c r="C13904" t="inlineStr">
        <is>
          <t>SGS Germany GmbH, Emstek, DE</t>
        </is>
      </c>
      <c r="D13904" t="inlineStr">
        <is>
          <t>05.10.2026</t>
        </is>
      </c>
      <c r="E13904" t="inlineStr">
        <is>
          <t>Switzerland</t>
        </is>
      </c>
    </row>
    <row r="13905">
      <c r="A13905" t="inlineStr">
        <is>
          <t>Fisher &amp; Paykel Healthcare Corporation,  East Tamaki, Auckland, New Zealand</t>
        </is>
      </c>
      <c r="B13905" t="inlineStr">
        <is>
          <t>Final Product Refinement, Trader with Storage, Processing Unit</t>
        </is>
      </c>
      <c r="C13905" t="inlineStr">
        <is>
          <t>SGS Germany GmbH, Emstek, DE</t>
        </is>
      </c>
      <c r="D13905" t="inlineStr">
        <is>
          <t>05.10.2026</t>
        </is>
      </c>
      <c r="E13905" t="inlineStr">
        <is>
          <t>New Zealand</t>
        </is>
      </c>
    </row>
    <row r="13906">
      <c r="A13906" t="inlineStr">
        <is>
          <t>Kolmar Group AG,  Zug, Switzerland</t>
        </is>
      </c>
      <c r="B13906" t="inlineStr">
        <is>
          <t>Trader with Storage</t>
        </is>
      </c>
      <c r="C13906" t="inlineStr">
        <is>
          <t>SGS Germany GmbH, Emstek, DE</t>
        </is>
      </c>
      <c r="D13906" t="inlineStr">
        <is>
          <t>05.10.2026</t>
        </is>
      </c>
      <c r="E13906" t="inlineStr">
        <is>
          <t>Switzerland</t>
        </is>
      </c>
    </row>
    <row r="13907">
      <c r="A13907" t="inlineStr">
        <is>
          <t>Wellmadeoil,  Taoyuan City, Taiwan, Province of China</t>
        </is>
      </c>
      <c r="B13907" t="inlineStr">
        <is>
          <t>Collecting Point, Trader with Storage</t>
        </is>
      </c>
      <c r="C13907" t="inlineStr">
        <is>
          <t>Bureau Veritas Polska Sp. z o.o., Warsaw, PL</t>
        </is>
      </c>
      <c r="D13907" t="inlineStr">
        <is>
          <t>05.10.2026</t>
        </is>
      </c>
      <c r="E13907" t="inlineStr">
        <is>
          <t>Province of China</t>
        </is>
      </c>
    </row>
    <row r="13908">
      <c r="A13908" t="inlineStr">
        <is>
          <t>Primex Plastics Corp.,  Oakwood, United States</t>
        </is>
      </c>
      <c r="B13908" t="inlineStr">
        <is>
          <t>Collecting Point, Processing Unit</t>
        </is>
      </c>
      <c r="C13908" t="inlineStr">
        <is>
          <t>SCS Global Services, Emeryville, CA, US</t>
        </is>
      </c>
      <c r="D13908" t="inlineStr">
        <is>
          <t>05.10.2026</t>
        </is>
      </c>
      <c r="E13908" t="inlineStr">
        <is>
          <t>United States</t>
        </is>
      </c>
    </row>
    <row r="13909">
      <c r="A13909" t="inlineStr">
        <is>
          <t>CY WONG GREEN ENERGY SDN BHD,  Penampang, Kota Kinabalu, Sabah, Malaysia</t>
        </is>
      </c>
      <c r="B13909" t="inlineStr">
        <is>
          <t>Collecting Point, Trader, Trader with Storage</t>
        </is>
      </c>
      <c r="C13909" t="inlineStr">
        <is>
          <t>Global Gateway Certifications Sdn Bhd, Ampang, MY</t>
        </is>
      </c>
      <c r="D13909" t="inlineStr">
        <is>
          <t>05.10.2026</t>
        </is>
      </c>
      <c r="E13909" t="inlineStr">
        <is>
          <t>Malaysia</t>
        </is>
      </c>
    </row>
    <row r="13910">
      <c r="A13910" t="inlineStr">
        <is>
          <t>Mar. Karagiannis &amp; Sia "Think Green C&amp;R",  Peristeri, Greece</t>
        </is>
      </c>
      <c r="B13910" t="inlineStr">
        <is>
          <t>Collecting Point</t>
        </is>
      </c>
      <c r="C13910" t="inlineStr">
        <is>
          <t>Eurocert SA, Metamorfosi, Athens, GR</t>
        </is>
      </c>
      <c r="D13910" t="inlineStr">
        <is>
          <t>05.10.2026</t>
        </is>
      </c>
      <c r="E13910" t="inlineStr">
        <is>
          <t>Greece</t>
        </is>
      </c>
    </row>
    <row r="13911">
      <c r="A13911" t="inlineStr">
        <is>
          <t>Magnum opus SIA,  Riga, Latvia</t>
        </is>
      </c>
      <c r="B13911" t="inlineStr">
        <is>
          <t>Trader with Storage</t>
        </is>
      </c>
      <c r="C13911" t="inlineStr">
        <is>
          <t>BM Certification, Riga, LV</t>
        </is>
      </c>
      <c r="D13911" t="inlineStr">
        <is>
          <t>05.10.2026</t>
        </is>
      </c>
      <c r="E13911" t="inlineStr">
        <is>
          <t>Latvia</t>
        </is>
      </c>
    </row>
    <row r="13912">
      <c r="A13912" t="inlineStr">
        <is>
          <t>SANYO MATERIALS Co., LTD.,  Shunan-City, Japan</t>
        </is>
      </c>
      <c r="B13912" t="inlineStr">
        <is>
          <t>Trader</t>
        </is>
      </c>
      <c r="C13912" t="inlineStr">
        <is>
          <t>PT Intertek Utama Services, Jakarta, ID</t>
        </is>
      </c>
      <c r="D13912" t="inlineStr">
        <is>
          <t>05.10.2026</t>
        </is>
      </c>
      <c r="E13912" t="inlineStr">
        <is>
          <t>Japan</t>
        </is>
      </c>
    </row>
    <row r="13913">
      <c r="A13913" t="inlineStr">
        <is>
          <t>Burat-Agro,  Poltava, Ukraine</t>
        </is>
      </c>
      <c r="B13913" t="inlineStr">
        <is>
          <t>Farm / Plantation</t>
        </is>
      </c>
      <c r="C13913" t="inlineStr">
        <is>
          <t>Organic Standard Ltd, Kyiv, UA</t>
        </is>
      </c>
      <c r="D13913" t="inlineStr">
        <is>
          <t>05.10.2026</t>
        </is>
      </c>
      <c r="E13913" t="inlineStr">
        <is>
          <t>Ukraine</t>
        </is>
      </c>
    </row>
    <row r="13914">
      <c r="A13914" t="inlineStr">
        <is>
          <t>Saint Paul Commodities,  Atchison, KS, United States</t>
        </is>
      </c>
      <c r="B13914" t="inlineStr">
        <is>
          <t>Trader with Storage, Collecting Point</t>
        </is>
      </c>
      <c r="C13914" t="inlineStr">
        <is>
          <t>Certificadora Gallega del Noroeste SL, Vilagarcia de Arousa-Pontevedra, ES</t>
        </is>
      </c>
      <c r="D13914" t="inlineStr">
        <is>
          <t>05.10.2026</t>
        </is>
      </c>
      <c r="E13914" t="inlineStr">
        <is>
          <t>United States</t>
        </is>
      </c>
    </row>
    <row r="13915">
      <c r="A13915" t="inlineStr">
        <is>
          <t>Saint Paul Commodities,  Atchison, KS, United States</t>
        </is>
      </c>
      <c r="B13915" t="inlineStr">
        <is>
          <t>Trader with Storage, Collecting Point, Processing Unit</t>
        </is>
      </c>
      <c r="C13915" t="inlineStr">
        <is>
          <t>Certificadora Gallega del Noroeste SL, Vilagarcia de Arousa-Pontevedra, ES</t>
        </is>
      </c>
      <c r="D13915" t="inlineStr">
        <is>
          <t>05.10.2026</t>
        </is>
      </c>
      <c r="E13915" t="inlineStr">
        <is>
          <t>United States</t>
        </is>
      </c>
    </row>
    <row r="13916">
      <c r="A13916" t="inlineStr">
        <is>
          <t>Saint Paul Commodities,  Atchison, KS, United States</t>
        </is>
      </c>
      <c r="B13916" t="inlineStr">
        <is>
          <t>Trader with Storage, Collecting Point</t>
        </is>
      </c>
      <c r="C13916" t="inlineStr">
        <is>
          <t>Certificadora Gallega del Noroeste SL, Vilagarcia de Arousa-Pontevedra, ES</t>
        </is>
      </c>
      <c r="D13916" t="inlineStr">
        <is>
          <t>05.10.2026</t>
        </is>
      </c>
      <c r="E13916" t="inlineStr">
        <is>
          <t>United States</t>
        </is>
      </c>
    </row>
    <row r="13917">
      <c r="A13917" t="inlineStr">
        <is>
          <t>Reuse Trading,  Borgerhout-Antwerpen, Belgium</t>
        </is>
      </c>
      <c r="B13917" t="inlineStr">
        <is>
          <t>Trader</t>
        </is>
      </c>
      <c r="C13917" t="inlineStr">
        <is>
          <t>Certificadora Gallega del Noroeste SL, Vilagarcia de Arousa-Pontevedra, ES</t>
        </is>
      </c>
      <c r="D13917" t="inlineStr">
        <is>
          <t>05.10.2026</t>
        </is>
      </c>
      <c r="E13917" t="inlineStr">
        <is>
          <t>Belgium</t>
        </is>
      </c>
    </row>
    <row r="13918">
      <c r="A13918" t="inlineStr">
        <is>
          <t>TS (UK) Limited,  Manchester, United Kingdom</t>
        </is>
      </c>
      <c r="B13918" t="inlineStr">
        <is>
          <t>Processing Unit</t>
        </is>
      </c>
      <c r="C13918" t="inlineStr">
        <is>
          <t>SGS Germany GmbH, Emstek, DE</t>
        </is>
      </c>
      <c r="D13918" t="inlineStr">
        <is>
          <t>05.10.2026</t>
        </is>
      </c>
      <c r="E13918" t="inlineStr">
        <is>
          <t>United Kingdom</t>
        </is>
      </c>
    </row>
    <row r="13919">
      <c r="A13919" t="inlineStr">
        <is>
          <t>Pilstl Trading International,  Vienna, Austria</t>
        </is>
      </c>
      <c r="B13919" t="inlineStr">
        <is>
          <t>Trader with Storage</t>
        </is>
      </c>
      <c r="C13919" t="inlineStr">
        <is>
          <t>agroVet GmbH, Enzersfeld, AT</t>
        </is>
      </c>
      <c r="D13919" t="inlineStr">
        <is>
          <t>05.10.2026</t>
        </is>
      </c>
      <c r="E13919" t="inlineStr">
        <is>
          <t>Austria</t>
        </is>
      </c>
    </row>
    <row r="13920">
      <c r="A13920" t="inlineStr">
        <is>
          <t>AGROIND CAUACEU SA,  Cauaceu, Romania</t>
        </is>
      </c>
      <c r="B13920" t="inlineStr">
        <is>
          <t>First Gathering Point</t>
        </is>
      </c>
      <c r="C13920" t="inlineStr">
        <is>
          <t>SRAC Cert SRL, Bucharest, RO</t>
        </is>
      </c>
      <c r="D13920" t="inlineStr">
        <is>
          <t>05.10.2026</t>
        </is>
      </c>
      <c r="E13920" t="inlineStr">
        <is>
          <t>Romania</t>
        </is>
      </c>
    </row>
    <row r="13921">
      <c r="A13921" t="inlineStr">
        <is>
          <t>ARTRA GLOBAL,  WALLINGTON, United States</t>
        </is>
      </c>
      <c r="B13921" t="inlineStr">
        <is>
          <t>Collecting Point, Trader</t>
        </is>
      </c>
      <c r="C13921" t="inlineStr">
        <is>
          <t>BM Certification, Riga, LV</t>
        </is>
      </c>
      <c r="D13921" t="inlineStr">
        <is>
          <t>05.10.2026</t>
        </is>
      </c>
      <c r="E13921" t="inlineStr">
        <is>
          <t>United States</t>
        </is>
      </c>
    </row>
    <row r="13922">
      <c r="A13922" t="inlineStr">
        <is>
          <t>Les Huileries du Souss Belhassan,  Agadir, Morocco</t>
        </is>
      </c>
      <c r="B13922" t="inlineStr">
        <is>
          <t>Point of Origin, Collecting Point</t>
        </is>
      </c>
      <c r="C13922" t="inlineStr">
        <is>
          <t>DEKRA Certification B.V., Arnhem, NL</t>
        </is>
      </c>
      <c r="D13922" t="inlineStr">
        <is>
          <t>05.10.2026</t>
        </is>
      </c>
      <c r="E13922" t="inlineStr">
        <is>
          <t>Morocco</t>
        </is>
      </c>
    </row>
    <row r="13923">
      <c r="A13923" t="inlineStr">
        <is>
          <t>Videolar-Innova S/A,  Manuas, Brazil</t>
        </is>
      </c>
      <c r="B13923" t="inlineStr">
        <is>
          <t>Processing Unit</t>
        </is>
      </c>
      <c r="C13923" t="inlineStr">
        <is>
          <t>QIMA, Centro, Botucatu - SP, CEP, BR</t>
        </is>
      </c>
      <c r="D13923" t="inlineStr">
        <is>
          <t>05.10.2026</t>
        </is>
      </c>
      <c r="E13923" t="inlineStr">
        <is>
          <t>Brazil</t>
        </is>
      </c>
    </row>
    <row r="13924">
      <c r="A13924" t="inlineStr">
        <is>
          <t>Langaa Bioenergi ApS,  Langaa, Denmark</t>
        </is>
      </c>
      <c r="B13924" t="inlineStr">
        <is>
          <t>Collecting Point, First Gathering Point, Processing Unit</t>
        </is>
      </c>
      <c r="C13924" t="inlineStr">
        <is>
          <t>Baltic Control Certification, Risskov, DK</t>
        </is>
      </c>
      <c r="D13924" t="inlineStr">
        <is>
          <t>05.10.2026</t>
        </is>
      </c>
      <c r="E13924" t="inlineStr">
        <is>
          <t>Denmark</t>
        </is>
      </c>
    </row>
    <row r="13925">
      <c r="A13925" t="inlineStr">
        <is>
          <t>RECOGIDA DE ACEITES Y GRASAS PARA LA RECUPERACIÓN DE OLEOS INDUSTRIALES SL (RAGAROIL),  Coslada, Madrid, Spain</t>
        </is>
      </c>
      <c r="B13925" t="inlineStr">
        <is>
          <t>Collecting Point, Trader with Storage</t>
        </is>
      </c>
      <c r="C13925" t="inlineStr">
        <is>
          <t>Amspec Iberia SL, Vilagarcia de Arousa-Pontevedra, ES</t>
        </is>
      </c>
      <c r="D13925" t="inlineStr">
        <is>
          <t>05.10.2026</t>
        </is>
      </c>
      <c r="E13925" t="inlineStr">
        <is>
          <t>Spain</t>
        </is>
      </c>
    </row>
    <row r="13926">
      <c r="A13926" t="inlineStr">
        <is>
          <t>RESTAURANT TECHNOLOGIES, INC,  Mendota Heights, United States</t>
        </is>
      </c>
      <c r="B13926" t="inlineStr">
        <is>
          <t>Collecting Point</t>
        </is>
      </c>
      <c r="C13926" t="inlineStr">
        <is>
          <t>Certificadora Gallega del Noroeste SL, Vilagarcia de Arousa-Pontevedra, ES</t>
        </is>
      </c>
      <c r="D13926" t="inlineStr">
        <is>
          <t>05.10.2026</t>
        </is>
      </c>
      <c r="E13926" t="inlineStr">
        <is>
          <t>United States</t>
        </is>
      </c>
    </row>
    <row r="13927">
      <c r="A13927" t="inlineStr">
        <is>
          <t>RESTAURANT TECHNOLOGIES, INC,  Mendota Heights, United States</t>
        </is>
      </c>
      <c r="B13927" t="inlineStr">
        <is>
          <t>Collecting Point</t>
        </is>
      </c>
      <c r="C13927" t="inlineStr">
        <is>
          <t>Certificadora Gallega del Noroeste SL, Vilagarcia de Arousa-Pontevedra, ES</t>
        </is>
      </c>
      <c r="D13927" t="inlineStr">
        <is>
          <t>05.10.2026</t>
        </is>
      </c>
      <c r="E13927" t="inlineStr">
        <is>
          <t>United States</t>
        </is>
      </c>
    </row>
    <row r="13928">
      <c r="A13928" t="inlineStr">
        <is>
          <t>RESTAURANT TECHNOLOGIES, INC,  Mendota Heights, United States</t>
        </is>
      </c>
      <c r="B13928" t="inlineStr">
        <is>
          <t>Collecting Point</t>
        </is>
      </c>
      <c r="C13928" t="inlineStr">
        <is>
          <t>Certificadora Gallega del Noroeste SL, Vilagarcia de Arousa-Pontevedra, ES</t>
        </is>
      </c>
      <c r="D13928" t="inlineStr">
        <is>
          <t>05.10.2026</t>
        </is>
      </c>
      <c r="E13928" t="inlineStr">
        <is>
          <t>United States</t>
        </is>
      </c>
    </row>
    <row r="13929">
      <c r="A13929" t="inlineStr">
        <is>
          <t>SUPERGASBRAS,  Betim, Brazil</t>
        </is>
      </c>
      <c r="B13929" t="inlineStr">
        <is>
          <t>Trader with Storage</t>
        </is>
      </c>
      <c r="C13929" t="inlineStr">
        <is>
          <t>QIMA, Centro, Botucatu - SP, CEP, BR</t>
        </is>
      </c>
      <c r="D13929" t="inlineStr">
        <is>
          <t>05.10.2026</t>
        </is>
      </c>
      <c r="E13929" t="inlineStr">
        <is>
          <t>Brazil</t>
        </is>
      </c>
    </row>
    <row r="13930">
      <c r="A13930" t="inlineStr">
        <is>
          <t>SUPERGASBRAS,  Araucária, Brazil</t>
        </is>
      </c>
      <c r="B13930" t="inlineStr">
        <is>
          <t>Trader with Storage</t>
        </is>
      </c>
      <c r="C13930" t="inlineStr">
        <is>
          <t>QIMA, Centro, Botucatu - SP, CEP, BR</t>
        </is>
      </c>
      <c r="D13930" t="inlineStr">
        <is>
          <t>05.10.2026</t>
        </is>
      </c>
      <c r="E13930" t="inlineStr">
        <is>
          <t>Brazil</t>
        </is>
      </c>
    </row>
    <row r="13931">
      <c r="A13931" t="inlineStr">
        <is>
          <t>LLC "Podillya Ahroprodukt",  Vinnytsia region, Khmilnytsyi district, Kordelivka, Ukraine</t>
        </is>
      </c>
      <c r="B13931" t="inlineStr">
        <is>
          <t>Farm / Plantation, Trader</t>
        </is>
      </c>
      <c r="C13931" t="inlineStr">
        <is>
          <t>United Registrar of Systems Polska Sp. z o.o., Wrocław, PL</t>
        </is>
      </c>
      <c r="D13931" t="inlineStr">
        <is>
          <t>05.10.2026</t>
        </is>
      </c>
      <c r="E13931" t="inlineStr">
        <is>
          <t>Ukraine</t>
        </is>
      </c>
    </row>
    <row r="13932">
      <c r="A13932" t="inlineStr">
        <is>
          <t>LLC "ZAKHIDNA AHROVYROBNYCHA KOMPANIIA",  Rivne region, Dubno, Ukraine</t>
        </is>
      </c>
      <c r="B13932" t="inlineStr">
        <is>
          <t>Farm / Plantation, Trader</t>
        </is>
      </c>
      <c r="C13932" t="inlineStr">
        <is>
          <t>United Registrar of Systems Polska Sp. z o.o., Wrocław, PL</t>
        </is>
      </c>
      <c r="D13932" t="inlineStr">
        <is>
          <t>05.10.2026</t>
        </is>
      </c>
      <c r="E13932" t="inlineStr">
        <is>
          <t>Ukraine</t>
        </is>
      </c>
    </row>
    <row r="13933">
      <c r="A13933" t="inlineStr">
        <is>
          <t>ENVIRONMENTAL SOLUTIONS (ASIA),  Singapore, Singapore</t>
        </is>
      </c>
      <c r="B13933" t="inlineStr">
        <is>
          <t>Collecting Point, Processing Unit</t>
        </is>
      </c>
      <c r="C13933" t="inlineStr">
        <is>
          <t>TÜV NORD CERT GmbH, Essen, DE</t>
        </is>
      </c>
      <c r="D13933" t="inlineStr">
        <is>
          <t>05.10.2026</t>
        </is>
      </c>
      <c r="E13933" t="inlineStr">
        <is>
          <t>Singapore</t>
        </is>
      </c>
    </row>
    <row r="13934">
      <c r="A13934" t="inlineStr">
        <is>
          <t>Agrovia B.V.,  Hengelo, Netherlands</t>
        </is>
      </c>
      <c r="B13934" t="inlineStr">
        <is>
          <t>Collecting Point, Trader</t>
        </is>
      </c>
      <c r="C13934" t="inlineStr">
        <is>
          <t>Control Union Certifications Germany GmbH, Berlin, DE</t>
        </is>
      </c>
      <c r="D13934" t="inlineStr">
        <is>
          <t>05.10.2026</t>
        </is>
      </c>
      <c r="E13934" t="inlineStr">
        <is>
          <t>Netherlands</t>
        </is>
      </c>
    </row>
    <row r="13935">
      <c r="A13935" t="inlineStr">
        <is>
          <t>Ohkei Optical Co., Ltd.,  Hanamigawa-ku, Chiba, Japan</t>
        </is>
      </c>
      <c r="B13935" t="inlineStr">
        <is>
          <t>Processing Unit</t>
        </is>
      </c>
      <c r="C13935" t="inlineStr">
        <is>
          <t>Control Union Certifications Germany GmbH, Berlin, DE</t>
        </is>
      </c>
      <c r="D13935" t="inlineStr">
        <is>
          <t>05.10.2026</t>
        </is>
      </c>
      <c r="E13935" t="inlineStr">
        <is>
          <t>Japan</t>
        </is>
      </c>
    </row>
    <row r="13936">
      <c r="A13936" t="inlineStr">
        <is>
          <t>Coprimuro,  Coriano, Italy</t>
        </is>
      </c>
      <c r="B13936" t="inlineStr">
        <is>
          <t>Final Product Refinement</t>
        </is>
      </c>
      <c r="C13936" t="inlineStr">
        <is>
          <t>RINA Services S.p.A., Genova, IT</t>
        </is>
      </c>
      <c r="D13936" t="inlineStr">
        <is>
          <t>05.10.2026</t>
        </is>
      </c>
      <c r="E13936" t="inlineStr">
        <is>
          <t>Italy</t>
        </is>
      </c>
    </row>
    <row r="13937">
      <c r="A13937" t="inlineStr">
        <is>
          <t>Tomegas,  Milevsko, Czech Republic</t>
        </is>
      </c>
      <c r="B13937" t="inlineStr">
        <is>
          <t>Trader with Storage</t>
        </is>
      </c>
      <c r="C13937" t="inlineStr">
        <is>
          <t>TÜV SÜD Czech s.r.o., Praha 4, CZ</t>
        </is>
      </c>
      <c r="D13937" t="inlineStr">
        <is>
          <t>05.10.2026</t>
        </is>
      </c>
      <c r="E13937" t="inlineStr">
        <is>
          <t>Czech Republic</t>
        </is>
      </c>
    </row>
    <row r="13938">
      <c r="A13938" t="inlineStr">
        <is>
          <t>KRONOS AGRO TRADE,  DRYANOVO, Bulgaria</t>
        </is>
      </c>
      <c r="B13938" t="inlineStr">
        <is>
          <t>First Gathering Point, Trader with Storage</t>
        </is>
      </c>
      <c r="C13938" t="inlineStr">
        <is>
          <t>Control Union Poland Sp. z o.o., Zielona Gora, PL</t>
        </is>
      </c>
      <c r="D13938" t="inlineStr">
        <is>
          <t>05.10.2026</t>
        </is>
      </c>
      <c r="E13938" t="inlineStr">
        <is>
          <t>Bulgaria</t>
        </is>
      </c>
    </row>
    <row r="13939">
      <c r="A13939" t="inlineStr">
        <is>
          <t>Glenmore Generation,  Ballybofey, Ireland</t>
        </is>
      </c>
      <c r="B13939" t="inlineStr">
        <is>
          <t>Collecting Point, Processing Unit</t>
        </is>
      </c>
      <c r="C13939" t="inlineStr">
        <is>
          <t>Control Union Certifications Germany GmbH, Berlin, DE</t>
        </is>
      </c>
      <c r="D13939" t="inlineStr">
        <is>
          <t>05.10.2026</t>
        </is>
      </c>
      <c r="E13939" t="inlineStr">
        <is>
          <t>Ireland</t>
        </is>
      </c>
    </row>
    <row r="13940">
      <c r="A13940" t="inlineStr">
        <is>
          <t>Rhône Energies Fos-sur-Mer SAS,  Fos-Sur-Mer, France</t>
        </is>
      </c>
      <c r="B13940" t="inlineStr">
        <is>
          <t>Trader with Storage</t>
        </is>
      </c>
      <c r="C13940" t="inlineStr">
        <is>
          <t>ASG Cert GmbH, Munich, DE</t>
        </is>
      </c>
      <c r="D13940" t="inlineStr">
        <is>
          <t>05.10.2026</t>
        </is>
      </c>
      <c r="E13940" t="inlineStr">
        <is>
          <t>France</t>
        </is>
      </c>
    </row>
    <row r="13941">
      <c r="A13941" t="inlineStr">
        <is>
          <t>Ahmed Badary Mohamed Ahmed,  Cairo, Egypt</t>
        </is>
      </c>
      <c r="B13941" t="inlineStr">
        <is>
          <t>Trader</t>
        </is>
      </c>
      <c r="C13941" t="inlineStr">
        <is>
          <t>Eurocert SA, Metamorfosi, Athens, GR</t>
        </is>
      </c>
      <c r="D13941" t="inlineStr">
        <is>
          <t>05.10.2026</t>
        </is>
      </c>
      <c r="E13941" t="inlineStr">
        <is>
          <t>Egypt</t>
        </is>
      </c>
    </row>
    <row r="13942">
      <c r="A13942" t="inlineStr">
        <is>
          <t>Axiam Plastics Ltd,  Whanganui, New Zealand</t>
        </is>
      </c>
      <c r="B13942" t="inlineStr">
        <is>
          <t>Processing Unit</t>
        </is>
      </c>
      <c r="C13942" t="inlineStr">
        <is>
          <t>SGS Germany GmbH, Emstek, DE</t>
        </is>
      </c>
      <c r="D13942" t="inlineStr">
        <is>
          <t>05.10.2026</t>
        </is>
      </c>
      <c r="E13942" t="inlineStr">
        <is>
          <t>New Zealand</t>
        </is>
      </c>
    </row>
    <row r="13943">
      <c r="A13943" t="inlineStr">
        <is>
          <t>Aceites Crevillente, S.L.,  Crevilillente, Alicante, Spain</t>
        </is>
      </c>
      <c r="B13943" t="inlineStr">
        <is>
          <t>Collecting Point</t>
        </is>
      </c>
      <c r="C13943" t="inlineStr">
        <is>
          <t>Control Union Poland Sp. z o.o., Zielona Gora, PL</t>
        </is>
      </c>
      <c r="D13943" t="inlineStr">
        <is>
          <t>04.10.2026</t>
        </is>
      </c>
      <c r="E13943" t="inlineStr">
        <is>
          <t>Spain</t>
        </is>
      </c>
    </row>
    <row r="13944">
      <c r="A13944" t="inlineStr">
        <is>
          <t>Fratelli Cosulich Bunkers (S) Pte Ltd,  Singapore, Singapore</t>
        </is>
      </c>
      <c r="B13944" t="inlineStr">
        <is>
          <t>Trader</t>
        </is>
      </c>
      <c r="C13944" t="inlineStr">
        <is>
          <t>RINA Services S.p.A., Genova, IT</t>
        </is>
      </c>
      <c r="D13944" t="inlineStr">
        <is>
          <t>04.10.2026</t>
        </is>
      </c>
      <c r="E13944" t="inlineStr">
        <is>
          <t>Singapore</t>
        </is>
      </c>
    </row>
    <row r="13945">
      <c r="A13945" t="inlineStr">
        <is>
          <t>Aju Industrial Co., Ltd.,  Jeollanam-do, Korea, Republic of</t>
        </is>
      </c>
      <c r="B13945" t="inlineStr">
        <is>
          <t>Collecting Point, Processing Unit</t>
        </is>
      </c>
      <c r="C13945" t="inlineStr">
        <is>
          <t>Control Union Certifications Germany GmbH, Berlin, DE</t>
        </is>
      </c>
      <c r="D13945" t="inlineStr">
        <is>
          <t>04.10.2026</t>
        </is>
      </c>
      <c r="E13945" t="inlineStr">
        <is>
          <t>Republic of</t>
        </is>
      </c>
    </row>
    <row r="13946">
      <c r="A13946" t="inlineStr">
        <is>
          <t>Gulf Lubes Malaysia,  Port Klang Free Zone, Pulau Indah, Malaysia</t>
        </is>
      </c>
      <c r="B13946" t="inlineStr">
        <is>
          <t>Processing Unit, Point of Origin, Trader with Storage, Warehouse</t>
        </is>
      </c>
      <c r="C13946" t="inlineStr">
        <is>
          <t>PT SBC Asia Sertifikasi, Kebumen, ID</t>
        </is>
      </c>
      <c r="D13946" t="inlineStr">
        <is>
          <t>04.10.2026</t>
        </is>
      </c>
      <c r="E13946" t="inlineStr">
        <is>
          <t>Malaysia</t>
        </is>
      </c>
    </row>
    <row r="13947">
      <c r="A13947" t="inlineStr">
        <is>
          <t>PTT INTERNATIONAL TRADING PTE LTD,  Singapore, Singapore</t>
        </is>
      </c>
      <c r="B13947" t="inlineStr">
        <is>
          <t>Trader</t>
        </is>
      </c>
      <c r="C13947" t="inlineStr">
        <is>
          <t>Control Union Poland Sp. z o.o., Zielona Gora, PL</t>
        </is>
      </c>
      <c r="D13947" t="inlineStr">
        <is>
          <t>04.10.2026</t>
        </is>
      </c>
      <c r="E13947" t="inlineStr">
        <is>
          <t>Singapore</t>
        </is>
      </c>
    </row>
    <row r="13948">
      <c r="A13948" t="inlineStr">
        <is>
          <t>PTT INTERNATIONAL TRADING PTE LTD,  Singapore, Singapore</t>
        </is>
      </c>
      <c r="B13948" t="inlineStr">
        <is>
          <t>Trader</t>
        </is>
      </c>
      <c r="C13948" t="inlineStr">
        <is>
          <t>Control Union Poland Sp. z o.o., Zielona Gora, PL</t>
        </is>
      </c>
      <c r="D13948" t="inlineStr">
        <is>
          <t>04.10.2026</t>
        </is>
      </c>
      <c r="E13948" t="inlineStr">
        <is>
          <t>Singapore</t>
        </is>
      </c>
    </row>
    <row r="13949">
      <c r="A13949" t="inlineStr">
        <is>
          <t>Vetrecycling J. Vogels,  Uden, Netherlands</t>
        </is>
      </c>
      <c r="B13949" t="inlineStr">
        <is>
          <t>Collecting Point</t>
        </is>
      </c>
      <c r="C13949" t="inlineStr">
        <is>
          <t>Control Union Certifications Germany GmbH, Berlin, DE</t>
        </is>
      </c>
      <c r="D13949" t="inlineStr">
        <is>
          <t>04.10.2026</t>
        </is>
      </c>
      <c r="E13949" t="inlineStr">
        <is>
          <t>Netherlands</t>
        </is>
      </c>
    </row>
    <row r="13950">
      <c r="A13950" t="inlineStr">
        <is>
          <t>Varo Energy Belgium,  Ghent, Belgium</t>
        </is>
      </c>
      <c r="B13950" t="inlineStr">
        <is>
          <t>Trader, Proof of Compliance Trader</t>
        </is>
      </c>
      <c r="C13950" t="inlineStr">
        <is>
          <t>Control Union Certifications Germany GmbH, Berlin, DE</t>
        </is>
      </c>
      <c r="D13950" t="inlineStr">
        <is>
          <t>04.10.2026</t>
        </is>
      </c>
      <c r="E13950" t="inlineStr">
        <is>
          <t>Belgium</t>
        </is>
      </c>
    </row>
    <row r="13951">
      <c r="A13951" t="inlineStr">
        <is>
          <t>Trinseo Belgium B.V.B.A,  Tessenderlo, Belgium</t>
        </is>
      </c>
      <c r="B13951" t="inlineStr">
        <is>
          <t>Trader with Storage, Processing Unit</t>
        </is>
      </c>
      <c r="C13951" t="inlineStr">
        <is>
          <t>SGS Germany GmbH, Emstek, DE</t>
        </is>
      </c>
      <c r="D13951" t="inlineStr">
        <is>
          <t>04.10.2026</t>
        </is>
      </c>
      <c r="E13951" t="inlineStr">
        <is>
          <t>Belgium</t>
        </is>
      </c>
    </row>
    <row r="13952">
      <c r="A13952" t="inlineStr">
        <is>
          <t>Trinseo Europe GmbH,  Pfäffikon, Switzerland</t>
        </is>
      </c>
      <c r="B13952" t="inlineStr">
        <is>
          <t>Trader</t>
        </is>
      </c>
      <c r="C13952" t="inlineStr">
        <is>
          <t>SGS Germany GmbH, Emstek, DE</t>
        </is>
      </c>
      <c r="D13952" t="inlineStr">
        <is>
          <t>04.10.2026</t>
        </is>
      </c>
      <c r="E13952" t="inlineStr">
        <is>
          <t>Switzerland</t>
        </is>
      </c>
    </row>
    <row r="13953">
      <c r="A13953" t="inlineStr">
        <is>
          <t>The Goodyear Tire &amp; Rubber Company,  Lawton, United States</t>
        </is>
      </c>
      <c r="B13953" t="inlineStr">
        <is>
          <t>Processing Unit</t>
        </is>
      </c>
      <c r="C13953" t="inlineStr">
        <is>
          <t>SCS Global Services, Emeryville, CA, US</t>
        </is>
      </c>
      <c r="D13953" t="inlineStr">
        <is>
          <t>04.10.2026</t>
        </is>
      </c>
      <c r="E13953" t="inlineStr">
        <is>
          <t>United States</t>
        </is>
      </c>
    </row>
    <row r="13954">
      <c r="A13954" t="inlineStr">
        <is>
          <t>Cahaya Cemerlang Lestari,  Banyuasin Regency, South Sumatera Province, Indonesia</t>
        </is>
      </c>
      <c r="B13954" t="inlineStr">
        <is>
          <t>Point of Origin</t>
        </is>
      </c>
      <c r="C13954" t="inlineStr">
        <is>
          <t>PT. Qualitas Sertifikasi Indonesia, Jakarta, ID</t>
        </is>
      </c>
      <c r="D13954" t="inlineStr">
        <is>
          <t>04.10.2026</t>
        </is>
      </c>
      <c r="E13954" t="inlineStr">
        <is>
          <t>Indonesia</t>
        </is>
      </c>
    </row>
    <row r="13955">
      <c r="A13955" t="inlineStr">
        <is>
          <t>CAROTINO,  Mukim Ulu Lepar, Kuantan, Malaysia</t>
        </is>
      </c>
      <c r="B13955" t="inlineStr">
        <is>
          <t>Point of Origin</t>
        </is>
      </c>
      <c r="C13955" t="inlineStr">
        <is>
          <t>Global Gateway Certifications Sdn Bhd, Ampang, MY</t>
        </is>
      </c>
      <c r="D13955" t="inlineStr">
        <is>
          <t>04.10.2026</t>
        </is>
      </c>
      <c r="E13955" t="inlineStr">
        <is>
          <t>Malaysia</t>
        </is>
      </c>
    </row>
    <row r="13956">
      <c r="A13956" t="inlineStr">
        <is>
          <t>Andone s.r.o.,  Dobronín, Czech Republic</t>
        </is>
      </c>
      <c r="B13956" t="inlineStr">
        <is>
          <t>Point of Origin, Trader with Storage, Warehouse, Processing Unit</t>
        </is>
      </c>
      <c r="C13956" t="inlineStr">
        <is>
          <t>TÜV SÜD Czech s.r.o., Praha 4, CZ</t>
        </is>
      </c>
      <c r="D13956" t="inlineStr">
        <is>
          <t>04.10.2026</t>
        </is>
      </c>
      <c r="E13956" t="inlineStr">
        <is>
          <t>Czech Republic</t>
        </is>
      </c>
    </row>
    <row r="13957">
      <c r="A13957" t="inlineStr">
        <is>
          <t>Viscofan CZ s.r.o.,  České Budějovice, Czech Republic</t>
        </is>
      </c>
      <c r="B13957" t="inlineStr">
        <is>
          <t>Processing Unit, Trader with Storage, Final Product Refinement</t>
        </is>
      </c>
      <c r="C13957" t="inlineStr">
        <is>
          <t>TÜV SÜD Czech s.r.o., Praha 4, CZ</t>
        </is>
      </c>
      <c r="D13957" t="inlineStr">
        <is>
          <t>04.10.2026</t>
        </is>
      </c>
      <c r="E13957" t="inlineStr">
        <is>
          <t>Czech Republic</t>
        </is>
      </c>
    </row>
    <row r="13958">
      <c r="A13958" t="inlineStr">
        <is>
          <t>Marathon Petroleum Company,  Texas City, Texas, United States</t>
        </is>
      </c>
      <c r="B13958" t="inlineStr">
        <is>
          <t>Trader with Storage, Processing Unit</t>
        </is>
      </c>
      <c r="C13958" t="inlineStr">
        <is>
          <t>SCS Global Services, Emeryville, CA, US</t>
        </is>
      </c>
      <c r="D13958" t="inlineStr">
        <is>
          <t>04.10.2026</t>
        </is>
      </c>
      <c r="E13958" t="inlineStr">
        <is>
          <t>United States</t>
        </is>
      </c>
    </row>
    <row r="13959">
      <c r="A13959" t="inlineStr">
        <is>
          <t>PTT INTERNATIONAL TRADING PTE LTD,  Singapore, Singapore</t>
        </is>
      </c>
      <c r="B13959" t="inlineStr">
        <is>
          <t>Trader</t>
        </is>
      </c>
      <c r="C13959" t="inlineStr">
        <is>
          <t>Control Union Poland Sp. z o.o., Zielona Gora, PL</t>
        </is>
      </c>
      <c r="D13959" t="inlineStr">
        <is>
          <t>04.10.2026</t>
        </is>
      </c>
      <c r="E13959" t="inlineStr">
        <is>
          <t>Singapore</t>
        </is>
      </c>
    </row>
    <row r="13960">
      <c r="A13960" t="inlineStr">
        <is>
          <t>Cargill Australia Limited,  Southbank, Victoria, Australia</t>
        </is>
      </c>
      <c r="B13960" t="inlineStr">
        <is>
          <t>Trader with Storage</t>
        </is>
      </c>
      <c r="C13960" t="inlineStr">
        <is>
          <t>Control Union Certifications Germany GmbH, Berlin, DE</t>
        </is>
      </c>
      <c r="D13960" t="inlineStr">
        <is>
          <t>04.10.2026</t>
        </is>
      </c>
      <c r="E13960" t="inlineStr">
        <is>
          <t>Australia</t>
        </is>
      </c>
    </row>
    <row r="13961">
      <c r="A13961" t="inlineStr">
        <is>
          <t>MUSIM MASTIKA OILS &amp; FATS (M) SDN. BHD.,  Tanjung Langsat Industrial Complex, Pasir Gudang,, Malaysia</t>
        </is>
      </c>
      <c r="B13961" t="inlineStr">
        <is>
          <t>Point of Origin, Processing Unit, Trader with Storage</t>
        </is>
      </c>
      <c r="C13961" t="inlineStr">
        <is>
          <t>Control Union Certifications Germany GmbH, Berlin, DE</t>
        </is>
      </c>
      <c r="D13961" t="inlineStr">
        <is>
          <t>04.10.2026</t>
        </is>
      </c>
      <c r="E13961" t="inlineStr">
        <is>
          <t>Malaysia</t>
        </is>
      </c>
    </row>
    <row r="13962">
      <c r="A13962" t="inlineStr">
        <is>
          <t>SECANIM - Etablissement de Plouvara,  Plouvara, France</t>
        </is>
      </c>
      <c r="B13962" t="inlineStr">
        <is>
          <t>Collecting Point, Point of Origin, Processing Unit, Trader with Storage</t>
        </is>
      </c>
      <c r="C13962" t="inlineStr">
        <is>
          <t>Control Union Certifications Germany GmbH, Berlin, DE</t>
        </is>
      </c>
      <c r="D13962" t="inlineStr">
        <is>
          <t>04.10.2026</t>
        </is>
      </c>
      <c r="E13962" t="inlineStr">
        <is>
          <t>France</t>
        </is>
      </c>
    </row>
    <row r="13963">
      <c r="A13963" t="inlineStr">
        <is>
          <t>CHS-Broadbent Pty Ltd,  Wendouree, Australia</t>
        </is>
      </c>
      <c r="B13963" t="inlineStr">
        <is>
          <t>Trader with Storage</t>
        </is>
      </c>
      <c r="C13963" t="inlineStr">
        <is>
          <t>Control Union Certifications Germany GmbH, Berlin, DE</t>
        </is>
      </c>
      <c r="D13963" t="inlineStr">
        <is>
          <t>04.10.2026</t>
        </is>
      </c>
      <c r="E13963" t="inlineStr">
        <is>
          <t>Australia</t>
        </is>
      </c>
    </row>
    <row r="13964">
      <c r="A13964" t="inlineStr">
        <is>
          <t>CHS-Broadbent Pty Ltd,  Wendouree, Australia</t>
        </is>
      </c>
      <c r="B13964" t="inlineStr">
        <is>
          <t>Trader with Storage</t>
        </is>
      </c>
      <c r="C13964" t="inlineStr">
        <is>
          <t>Control Union Certifications Germany GmbH, Berlin, DE</t>
        </is>
      </c>
      <c r="D13964" t="inlineStr">
        <is>
          <t>04.10.2026</t>
        </is>
      </c>
      <c r="E13964" t="inlineStr">
        <is>
          <t>Australia</t>
        </is>
      </c>
    </row>
    <row r="13965">
      <c r="A13965" t="inlineStr">
        <is>
          <t>VALLOUREC TUBOS DO BRASIL LTDA,  Paraopeba, Brazil</t>
        </is>
      </c>
      <c r="B13965" t="inlineStr">
        <is>
          <t>Processing Unit, First Gathering Point</t>
        </is>
      </c>
      <c r="C13965" t="inlineStr">
        <is>
          <t>RINA Services S.p.A., Genova, IT</t>
        </is>
      </c>
      <c r="D13965" t="inlineStr">
        <is>
          <t>04.10.2026</t>
        </is>
      </c>
      <c r="E13965" t="inlineStr">
        <is>
          <t>Brazil</t>
        </is>
      </c>
    </row>
    <row r="13966">
      <c r="A13966" t="inlineStr">
        <is>
          <t>VALLOUREC TUBOS DO BRASIL LTDA,  Pompeú, Brazil</t>
        </is>
      </c>
      <c r="B13966" t="inlineStr">
        <is>
          <t>Processing Unit, First Gathering Point</t>
        </is>
      </c>
      <c r="C13966" t="inlineStr">
        <is>
          <t>RINA Services S.p.A., Genova, IT</t>
        </is>
      </c>
      <c r="D13966" t="inlineStr">
        <is>
          <t>04.10.2026</t>
        </is>
      </c>
      <c r="E13966" t="inlineStr">
        <is>
          <t>Brazil</t>
        </is>
      </c>
    </row>
    <row r="13967">
      <c r="A13967" t="inlineStr">
        <is>
          <t>SK Energy International Pte Ltd,  Singapore, Singapore</t>
        </is>
      </c>
      <c r="B13967" t="inlineStr">
        <is>
          <t>Trader with Storage</t>
        </is>
      </c>
      <c r="C13967" t="inlineStr">
        <is>
          <t>Control Union Certifications Germany GmbH, Berlin, DE</t>
        </is>
      </c>
      <c r="D13967" t="inlineStr">
        <is>
          <t>03.10.2026</t>
        </is>
      </c>
      <c r="E13967" t="inlineStr">
        <is>
          <t>Singapore</t>
        </is>
      </c>
    </row>
    <row r="13968">
      <c r="A13968" t="inlineStr">
        <is>
          <t>SK Energy International Pte Ltd,  Singapore, Singapore</t>
        </is>
      </c>
      <c r="B13968" t="inlineStr">
        <is>
          <t>Trader with Storage</t>
        </is>
      </c>
      <c r="C13968" t="inlineStr">
        <is>
          <t>Control Union Certifications Germany GmbH, Berlin, DE</t>
        </is>
      </c>
      <c r="D13968" t="inlineStr">
        <is>
          <t>03.10.2026</t>
        </is>
      </c>
      <c r="E13968" t="inlineStr">
        <is>
          <t>Singapore</t>
        </is>
      </c>
    </row>
    <row r="13969">
      <c r="A13969" t="inlineStr">
        <is>
          <t>Fairway Enterprises Company Limited (India Branch),  Krishnagiri, India</t>
        </is>
      </c>
      <c r="B13969" t="inlineStr">
        <is>
          <t>Processing Unit, Final Product Refinement, Trader with Storage</t>
        </is>
      </c>
      <c r="C13969" t="inlineStr">
        <is>
          <t>Alcumus ISOQAR Ltd, Stretford, Manchester, GB</t>
        </is>
      </c>
      <c r="D13969" t="inlineStr">
        <is>
          <t>03.10.2026</t>
        </is>
      </c>
      <c r="E13969" t="inlineStr">
        <is>
          <t>India</t>
        </is>
      </c>
    </row>
    <row r="13970">
      <c r="A13970" t="inlineStr">
        <is>
          <t>Fairway Enterprises Company Limited (India Branch),  Krishnagiri, India</t>
        </is>
      </c>
      <c r="B13970" t="inlineStr">
        <is>
          <t>Processing Unit, Final Product Refinement, Trader with Storage</t>
        </is>
      </c>
      <c r="C13970" t="inlineStr">
        <is>
          <t>Alcumus ISOQAR Ltd, Stretford, Manchester, GB</t>
        </is>
      </c>
      <c r="D13970" t="inlineStr">
        <is>
          <t>03.10.2026</t>
        </is>
      </c>
      <c r="E13970" t="inlineStr">
        <is>
          <t>India</t>
        </is>
      </c>
    </row>
    <row r="13971">
      <c r="A13971" t="inlineStr">
        <is>
          <t>KOLON BASF innoPOM, INC.,  Gimcheon-si, Gyeongsangbuk-do, Korea, Republic of</t>
        </is>
      </c>
      <c r="B13971" t="inlineStr">
        <is>
          <t>Processing Unit</t>
        </is>
      </c>
      <c r="C13971" t="inlineStr">
        <is>
          <t>Control Union Certifications Germany GmbH, Berlin, DE</t>
        </is>
      </c>
      <c r="D13971" t="inlineStr">
        <is>
          <t>03.10.2026</t>
        </is>
      </c>
      <c r="E13971" t="inlineStr">
        <is>
          <t>Republic of</t>
        </is>
      </c>
    </row>
    <row r="13972">
      <c r="A13972" t="inlineStr">
        <is>
          <t>KOLON ENP, INC (Gwacheon),  Gwacheon-si, Gyeonggi-do, Korea, Republic of</t>
        </is>
      </c>
      <c r="B13972" t="inlineStr">
        <is>
          <t>Trader</t>
        </is>
      </c>
      <c r="C13972" t="inlineStr">
        <is>
          <t>Control Union Certifications Germany GmbH, Berlin, DE</t>
        </is>
      </c>
      <c r="D13972" t="inlineStr">
        <is>
          <t>03.10.2026</t>
        </is>
      </c>
      <c r="E13972" t="inlineStr">
        <is>
          <t>Republic of</t>
        </is>
      </c>
    </row>
    <row r="13973">
      <c r="A13973" t="inlineStr">
        <is>
          <t>KOLON INDUSTRIES, INC. (Gimcheon 4 Plant),  Gimcheon-si, Gyeongsangbuk-do, Republic of Korea, Korea, Republic of</t>
        </is>
      </c>
      <c r="B13973" t="inlineStr">
        <is>
          <t>Processing Unit</t>
        </is>
      </c>
      <c r="C13973" t="inlineStr">
        <is>
          <t>Control Union Certifications Germany GmbH, Berlin, DE</t>
        </is>
      </c>
      <c r="D13973" t="inlineStr">
        <is>
          <t>03.10.2026</t>
        </is>
      </c>
      <c r="E13973" t="inlineStr">
        <is>
          <t>Republic of</t>
        </is>
      </c>
    </row>
    <row r="13974">
      <c r="A13974" t="inlineStr">
        <is>
          <t>KOLON INDUSTRIES, INC. (Gimcheon Plant 3),  Gimcheon-si, Gyeongsangbuk-do, Korea, Republic of</t>
        </is>
      </c>
      <c r="B13974" t="inlineStr">
        <is>
          <t>Processing Unit</t>
        </is>
      </c>
      <c r="C13974" t="inlineStr">
        <is>
          <t>Control Union Certifications Germany GmbH, Berlin, DE</t>
        </is>
      </c>
      <c r="D13974" t="inlineStr">
        <is>
          <t>03.10.2026</t>
        </is>
      </c>
      <c r="E13974" t="inlineStr">
        <is>
          <t>Republic of</t>
        </is>
      </c>
    </row>
    <row r="13975">
      <c r="A13975" t="inlineStr">
        <is>
          <t>Glob Energy,  Tallinn, Estonia</t>
        </is>
      </c>
      <c r="B13975" t="inlineStr">
        <is>
          <t>Trader</t>
        </is>
      </c>
      <c r="C13975" t="inlineStr">
        <is>
          <t>BM Certification, Riga, LV</t>
        </is>
      </c>
      <c r="D13975" t="inlineStr">
        <is>
          <t>03.10.2026</t>
        </is>
      </c>
      <c r="E13975" t="inlineStr">
        <is>
          <t>Estonia</t>
        </is>
      </c>
    </row>
    <row r="13976">
      <c r="A13976" t="inlineStr">
        <is>
          <t>Mitsui Chemicals, Inc. Iwakuni-Ohtake Works,  Kuga-gun, Yamaguchi, Japan</t>
        </is>
      </c>
      <c r="B13976" t="inlineStr">
        <is>
          <t>Processing Unit, Warehouse</t>
        </is>
      </c>
      <c r="C13976" t="inlineStr">
        <is>
          <t>SGS Germany GmbH, Emstek, DE</t>
        </is>
      </c>
      <c r="D13976" t="inlineStr">
        <is>
          <t>03.10.2026</t>
        </is>
      </c>
      <c r="E13976" t="inlineStr">
        <is>
          <t>Japan</t>
        </is>
      </c>
    </row>
    <row r="13977">
      <c r="A13977" t="inlineStr">
        <is>
          <t>Krungthai Plaspack Co., Ltd,  Samutprakarn, Tumbol Bangsaothong, Amphur Bangsaothong, Thailand</t>
        </is>
      </c>
      <c r="B13977" t="inlineStr">
        <is>
          <t>Processing Unit</t>
        </is>
      </c>
      <c r="C13977" t="inlineStr">
        <is>
          <t>SGS Germany GmbH, Emstek, DE</t>
        </is>
      </c>
      <c r="D13977" t="inlineStr">
        <is>
          <t>03.10.2026</t>
        </is>
      </c>
      <c r="E13977" t="inlineStr">
        <is>
          <t>Thailand</t>
        </is>
      </c>
    </row>
    <row r="13978">
      <c r="A13978" t="inlineStr">
        <is>
          <t>Petrochina International (East China) Co., Ltd.,  Shanghai, China, China</t>
        </is>
      </c>
      <c r="B13978" t="inlineStr">
        <is>
          <t>Trader with Storage</t>
        </is>
      </c>
      <c r="C13978" t="inlineStr">
        <is>
          <t>SCS Global Services, Emeryville, CA, US</t>
        </is>
      </c>
      <c r="D13978" t="inlineStr">
        <is>
          <t>03.10.2026</t>
        </is>
      </c>
      <c r="E13978" t="inlineStr">
        <is>
          <t>China</t>
        </is>
      </c>
    </row>
    <row r="13979">
      <c r="A13979" t="inlineStr">
        <is>
          <t>Siarkos S.A.,  Iraklia Serres, Greece</t>
        </is>
      </c>
      <c r="B13979" t="inlineStr">
        <is>
          <t>First Gathering Point, Processing Unit</t>
        </is>
      </c>
      <c r="C13979" t="inlineStr">
        <is>
          <t>QMSCERT S.A., Pylaia, Thessaloniki, GR</t>
        </is>
      </c>
      <c r="D13979" t="inlineStr">
        <is>
          <t>03.10.2026</t>
        </is>
      </c>
      <c r="E13979" t="inlineStr">
        <is>
          <t>Greece</t>
        </is>
      </c>
    </row>
    <row r="13980">
      <c r="A13980" t="inlineStr">
        <is>
          <t>Kappa-Sigma Vamvakourgia S.A.,  Bi. Pe. Drama, Greece</t>
        </is>
      </c>
      <c r="B13980" t="inlineStr">
        <is>
          <t>First Gathering Point, Processing Unit</t>
        </is>
      </c>
      <c r="C13980" t="inlineStr">
        <is>
          <t>QMSCERT S.A., Pylaia, Thessaloniki, GR</t>
        </is>
      </c>
      <c r="D13980" t="inlineStr">
        <is>
          <t>03.10.2026</t>
        </is>
      </c>
      <c r="E13980" t="inlineStr">
        <is>
          <t>Greece</t>
        </is>
      </c>
    </row>
    <row r="13981">
      <c r="A13981" t="inlineStr">
        <is>
          <t>Japan Polyethylene Corporation, Kashima Plant,  Kamisu-shi, Ibaraki, Japan</t>
        </is>
      </c>
      <c r="B13981" t="inlineStr">
        <is>
          <t>Processing Unit, Trader with Storage</t>
        </is>
      </c>
      <c r="C13981" t="inlineStr">
        <is>
          <t>SGS Germany GmbH, Emstek, DE</t>
        </is>
      </c>
      <c r="D13981" t="inlineStr">
        <is>
          <t>03.10.2026</t>
        </is>
      </c>
      <c r="E13981" t="inlineStr">
        <is>
          <t>Japan</t>
        </is>
      </c>
    </row>
    <row r="13982">
      <c r="A13982" t="inlineStr">
        <is>
          <t>SIG Combibloc Obeikan Co. Ltd.,  Riyadh, Saudi Arabia</t>
        </is>
      </c>
      <c r="B13982" t="inlineStr">
        <is>
          <t>Trader with Storage, Processing Unit</t>
        </is>
      </c>
      <c r="C13982" t="inlineStr">
        <is>
          <t>PT Intertek Utama Services, Jakarta, ID</t>
        </is>
      </c>
      <c r="D13982" t="inlineStr">
        <is>
          <t>03.10.2026</t>
        </is>
      </c>
      <c r="E13982" t="inlineStr">
        <is>
          <t>Saudi Arabia</t>
        </is>
      </c>
    </row>
    <row r="13983">
      <c r="A13983" t="inlineStr">
        <is>
          <t>Aptar Mezzovico,  Mezzovico, Switzerland</t>
        </is>
      </c>
      <c r="B13983" t="inlineStr">
        <is>
          <t>Final Product Refinement</t>
        </is>
      </c>
      <c r="C13983" t="inlineStr">
        <is>
          <t>IIP S.r.l., Monza, IT</t>
        </is>
      </c>
      <c r="D13983" t="inlineStr">
        <is>
          <t>03.10.2026</t>
        </is>
      </c>
      <c r="E13983" t="inlineStr">
        <is>
          <t>Switzerland</t>
        </is>
      </c>
    </row>
    <row r="13984">
      <c r="A13984" t="inlineStr">
        <is>
          <t>Primex Plastics Corp.,  Garfield, United States</t>
        </is>
      </c>
      <c r="B13984" t="inlineStr">
        <is>
          <t>Collecting Point, Processing Unit</t>
        </is>
      </c>
      <c r="C13984" t="inlineStr">
        <is>
          <t>SCS Global Services, Emeryville, CA, US</t>
        </is>
      </c>
      <c r="D13984" t="inlineStr">
        <is>
          <t>03.10.2026</t>
        </is>
      </c>
      <c r="E13984" t="inlineStr">
        <is>
          <t>United States</t>
        </is>
      </c>
    </row>
    <row r="13985">
      <c r="A13985" t="inlineStr">
        <is>
          <t>Bunker One (USA) Inc,  Houston, United States</t>
        </is>
      </c>
      <c r="B13985" t="inlineStr">
        <is>
          <t>Trader</t>
        </is>
      </c>
      <c r="C13985" t="inlineStr">
        <is>
          <t>Baltic Control Certification, Risskov, DK</t>
        </is>
      </c>
      <c r="D13985" t="inlineStr">
        <is>
          <t>03.10.2026</t>
        </is>
      </c>
      <c r="E13985" t="inlineStr">
        <is>
          <t>United States</t>
        </is>
      </c>
    </row>
    <row r="13986">
      <c r="A13986" t="inlineStr">
        <is>
          <t>Bunker One (USA) Inc,  Houston, United States</t>
        </is>
      </c>
      <c r="B13986" t="inlineStr">
        <is>
          <t>Trader</t>
        </is>
      </c>
      <c r="C13986" t="inlineStr">
        <is>
          <t>Baltic Control Certification, Risskov, DK</t>
        </is>
      </c>
      <c r="D13986" t="inlineStr">
        <is>
          <t>03.10.2026</t>
        </is>
      </c>
      <c r="E13986" t="inlineStr">
        <is>
          <t>United States</t>
        </is>
      </c>
    </row>
    <row r="13987">
      <c r="A13987" t="inlineStr">
        <is>
          <t>Cofilms, SL,  Montornès del Vallès,, Spain</t>
        </is>
      </c>
      <c r="B13987" t="inlineStr">
        <is>
          <t>Processing Unit</t>
        </is>
      </c>
      <c r="C13987" t="inlineStr">
        <is>
          <t>Certificadora Gallega del Noroeste SL, Vilagarcia de Arousa-Pontevedra, ES</t>
        </is>
      </c>
      <c r="D13987" t="inlineStr">
        <is>
          <t>03.10.2026</t>
        </is>
      </c>
      <c r="E13987" t="inlineStr">
        <is>
          <t>Spain</t>
        </is>
      </c>
    </row>
    <row r="13988">
      <c r="A13988" t="inlineStr">
        <is>
          <t>Ultimate Flexipack Limited,  Jammu, India</t>
        </is>
      </c>
      <c r="B13988" t="inlineStr">
        <is>
          <t>Processing Unit, Collecting Point</t>
        </is>
      </c>
      <c r="C13988" t="inlineStr">
        <is>
          <t>Cotecna India Inspection Pvt Ltd, Kolkata, IN</t>
        </is>
      </c>
      <c r="D13988" t="inlineStr">
        <is>
          <t>03.10.2026</t>
        </is>
      </c>
      <c r="E13988" t="inlineStr">
        <is>
          <t>India</t>
        </is>
      </c>
    </row>
    <row r="13989">
      <c r="A13989" t="inlineStr">
        <is>
          <t>Nox Energy – Feedstock Supply, SL,  Novetle, Valencia, Spain</t>
        </is>
      </c>
      <c r="B13989" t="inlineStr">
        <is>
          <t>Collecting Point, Trader with Storage</t>
        </is>
      </c>
      <c r="C13989" t="inlineStr">
        <is>
          <t>Certificadora Gallega del Noroeste SL, Vilagarcia de Arousa-Pontevedra, ES</t>
        </is>
      </c>
      <c r="D13989" t="inlineStr">
        <is>
          <t>03.10.2026</t>
        </is>
      </c>
      <c r="E13989" t="inlineStr">
        <is>
          <t>Spain</t>
        </is>
      </c>
    </row>
    <row r="13990">
      <c r="A13990" t="inlineStr">
        <is>
          <t>UFLEX LTD UNIT-2,  Jammu, India</t>
        </is>
      </c>
      <c r="B13990" t="inlineStr">
        <is>
          <t>Processing Unit, Final Product Refinement</t>
        </is>
      </c>
      <c r="C13990" t="inlineStr">
        <is>
          <t>Cotecna India Inspection Pvt Ltd, Kolkata, IN</t>
        </is>
      </c>
      <c r="D13990" t="inlineStr">
        <is>
          <t>03.10.2026</t>
        </is>
      </c>
      <c r="E13990" t="inlineStr">
        <is>
          <t>India</t>
        </is>
      </c>
    </row>
    <row r="13991">
      <c r="A13991" t="inlineStr">
        <is>
          <t>UFLEX LIMITED UNIT-1,  JAMMU, India</t>
        </is>
      </c>
      <c r="B13991" t="inlineStr">
        <is>
          <t>Processing Unit, Final Product Refinement</t>
        </is>
      </c>
      <c r="C13991" t="inlineStr">
        <is>
          <t>Cotecna India Inspection Pvt Ltd, Kolkata, IN</t>
        </is>
      </c>
      <c r="D13991" t="inlineStr">
        <is>
          <t>03.10.2026</t>
        </is>
      </c>
      <c r="E13991" t="inlineStr">
        <is>
          <t>India</t>
        </is>
      </c>
    </row>
    <row r="13992">
      <c r="A13992" t="inlineStr">
        <is>
          <t>EA Bio Innovation Co., Ltd.,  Rayong Province, Thailand</t>
        </is>
      </c>
      <c r="B13992" t="inlineStr">
        <is>
          <t>Trader with Storage, Processing Unit</t>
        </is>
      </c>
      <c r="C13992" t="inlineStr">
        <is>
          <t>Control Union Poland Sp. z o.o., Zielona Gora, PL</t>
        </is>
      </c>
      <c r="D13992" t="inlineStr">
        <is>
          <t>03.10.2026</t>
        </is>
      </c>
      <c r="E13992" t="inlineStr">
        <is>
          <t>Thailand</t>
        </is>
      </c>
    </row>
    <row r="13993">
      <c r="A13993" t="inlineStr">
        <is>
          <t>EA Bio Innovation Co., Ltd.,  Rayong Province, Thailand</t>
        </is>
      </c>
      <c r="B13993" t="inlineStr">
        <is>
          <t>Trader with Storage, Processing Unit</t>
        </is>
      </c>
      <c r="C13993" t="inlineStr">
        <is>
          <t>Control Union Poland Sp. z o.o., Zielona Gora, PL</t>
        </is>
      </c>
      <c r="D13993" t="inlineStr">
        <is>
          <t>03.10.2026</t>
        </is>
      </c>
      <c r="E13993" t="inlineStr">
        <is>
          <t>Thailand</t>
        </is>
      </c>
    </row>
    <row r="13994">
      <c r="A13994" t="inlineStr">
        <is>
          <t>EA Bio Innovation Co., Ltd.,  Rayong Province, Thailand</t>
        </is>
      </c>
      <c r="B13994" t="inlineStr">
        <is>
          <t>Trader with Storage, Processing Unit</t>
        </is>
      </c>
      <c r="C13994" t="inlineStr">
        <is>
          <t>Control Union Poland Sp. z o.o., Zielona Gora, PL</t>
        </is>
      </c>
      <c r="D13994" t="inlineStr">
        <is>
          <t>03.10.2026</t>
        </is>
      </c>
      <c r="E13994" t="inlineStr">
        <is>
          <t>Thailand</t>
        </is>
      </c>
    </row>
    <row r="13995">
      <c r="A13995" t="inlineStr">
        <is>
          <t>SOJAPROTEIN DOO Bečej,  Bečej, Serbia</t>
        </is>
      </c>
      <c r="B13995" t="inlineStr">
        <is>
          <t>First Gathering Point, Trader with Storage, Processing Unit</t>
        </is>
      </c>
      <c r="C13995" t="inlineStr">
        <is>
          <t>ASG Cert GmbH, Munich, DE</t>
        </is>
      </c>
      <c r="D13995" t="inlineStr">
        <is>
          <t>03.10.2026</t>
        </is>
      </c>
      <c r="E13995" t="inlineStr">
        <is>
          <t>Serbia</t>
        </is>
      </c>
    </row>
    <row r="13996">
      <c r="A13996" t="inlineStr">
        <is>
          <t>SOJAPROTEIN DOO Bečej,  Bečej, Serbia</t>
        </is>
      </c>
      <c r="B13996" t="inlineStr">
        <is>
          <t>First Gathering Point, Trader with Storage, Processing Unit</t>
        </is>
      </c>
      <c r="C13996" t="inlineStr">
        <is>
          <t>ASG Cert GmbH, Munich, DE</t>
        </is>
      </c>
      <c r="D13996" t="inlineStr">
        <is>
          <t>03.10.2026</t>
        </is>
      </c>
      <c r="E13996" t="inlineStr">
        <is>
          <t>Serbia</t>
        </is>
      </c>
    </row>
    <row r="13997">
      <c r="A13997" t="inlineStr">
        <is>
          <t>SK Energy International Pte Ltd,  Singapore, Singapore</t>
        </is>
      </c>
      <c r="B13997" t="inlineStr">
        <is>
          <t>Trader with Storage</t>
        </is>
      </c>
      <c r="C13997" t="inlineStr">
        <is>
          <t>Control Union Certifications Germany GmbH, Berlin, DE</t>
        </is>
      </c>
      <c r="D13997" t="inlineStr">
        <is>
          <t>03.10.2026</t>
        </is>
      </c>
      <c r="E13997" t="inlineStr">
        <is>
          <t>Singapore</t>
        </is>
      </c>
    </row>
    <row r="13998">
      <c r="A13998" t="inlineStr">
        <is>
          <t>Bridgestone Corporation Technology Center,  Kodaira-shi,Tokyo, Japan</t>
        </is>
      </c>
      <c r="B13998" t="inlineStr">
        <is>
          <t>Processing Unit</t>
        </is>
      </c>
      <c r="C13998" t="inlineStr">
        <is>
          <t>SGS Germany GmbH, Emstek, DE</t>
        </is>
      </c>
      <c r="D13998" t="inlineStr">
        <is>
          <t>03.10.2026</t>
        </is>
      </c>
      <c r="E13998" t="inlineStr">
        <is>
          <t>Japan</t>
        </is>
      </c>
    </row>
    <row r="13999">
      <c r="A13999" t="inlineStr">
        <is>
          <t>ARAplus GmbH,  Pöchlarn, Austria</t>
        </is>
      </c>
      <c r="B13999" t="inlineStr">
        <is>
          <t>Processing Unit, Collecting Point, Trader with Storage</t>
        </is>
      </c>
      <c r="C13999" t="inlineStr">
        <is>
          <t>SGS Germany GmbH, Emstek, DE</t>
        </is>
      </c>
      <c r="D13999" t="inlineStr">
        <is>
          <t>03.10.2026</t>
        </is>
      </c>
      <c r="E13999" t="inlineStr">
        <is>
          <t>Austria</t>
        </is>
      </c>
    </row>
    <row r="14000">
      <c r="A14000" t="inlineStr">
        <is>
          <t>DCM SHRIRAM LIMITED (UNIT: SHRIRAM ALKALI AND CHEMICALS),  Jhagadia, Dist.: Bharuch, India</t>
        </is>
      </c>
      <c r="B14000" t="inlineStr">
        <is>
          <t>Processing Unit</t>
        </is>
      </c>
      <c r="C14000" t="inlineStr">
        <is>
          <t>Alcumus ISOQAR Ltd, Stretford, Manchester, GB</t>
        </is>
      </c>
      <c r="D14000" t="inlineStr">
        <is>
          <t>02.10.2026</t>
        </is>
      </c>
      <c r="E14000" t="inlineStr">
        <is>
          <t>India</t>
        </is>
      </c>
    </row>
    <row r="14001">
      <c r="A14001" t="inlineStr">
        <is>
          <t>Silgan Specialty Packaging,  Mequon, United States</t>
        </is>
      </c>
      <c r="B14001" t="inlineStr">
        <is>
          <t>Processing Unit</t>
        </is>
      </c>
      <c r="C14001" t="inlineStr">
        <is>
          <t>SCS Global Services, Emeryville, CA, US</t>
        </is>
      </c>
      <c r="D14001" t="inlineStr">
        <is>
          <t>02.10.2026</t>
        </is>
      </c>
      <c r="E14001" t="inlineStr">
        <is>
          <t>United States</t>
        </is>
      </c>
    </row>
    <row r="14002">
      <c r="A14002" t="inlineStr">
        <is>
          <t>Quatra Sweden,  Norrköping, Sweden</t>
        </is>
      </c>
      <c r="B14002" t="inlineStr">
        <is>
          <t>Collecting Point, Trader with Storage</t>
        </is>
      </c>
      <c r="C14002" t="inlineStr">
        <is>
          <t>Control Union Certifications Germany GmbH, Berlin, DE</t>
        </is>
      </c>
      <c r="D14002" t="inlineStr">
        <is>
          <t>02.10.2026</t>
        </is>
      </c>
      <c r="E14002" t="inlineStr">
        <is>
          <t>Sweden</t>
        </is>
      </c>
    </row>
    <row r="14003">
      <c r="A14003" t="inlineStr">
        <is>
          <t>Firestone Natural Rubber Company,  Nashville, United States</t>
        </is>
      </c>
      <c r="B14003" t="inlineStr">
        <is>
          <t>Trader</t>
        </is>
      </c>
      <c r="C14003" t="inlineStr">
        <is>
          <t>SCS Global Services, Emeryville, CA, US</t>
        </is>
      </c>
      <c r="D14003" t="inlineStr">
        <is>
          <t>02.10.2026</t>
        </is>
      </c>
      <c r="E14003" t="inlineStr">
        <is>
          <t>United States</t>
        </is>
      </c>
    </row>
    <row r="14004">
      <c r="A14004" t="inlineStr">
        <is>
          <t>ONEAGRO,  Kyiv, Ukraine</t>
        </is>
      </c>
      <c r="B14004" t="inlineStr">
        <is>
          <t>First Gathering Point, Trader with Storage</t>
        </is>
      </c>
      <c r="C14004" t="inlineStr">
        <is>
          <t>Aciter Genelab LLC, Odessa, UA</t>
        </is>
      </c>
      <c r="D14004" t="inlineStr">
        <is>
          <t>02.10.2026</t>
        </is>
      </c>
      <c r="E14004" t="inlineStr">
        <is>
          <t>Ukraine</t>
        </is>
      </c>
    </row>
    <row r="14005">
      <c r="A14005" t="inlineStr">
        <is>
          <t>BIO OIL (THAILAND),  LOP BURI, Thailand</t>
        </is>
      </c>
      <c r="B14005" t="inlineStr">
        <is>
          <t>Collecting Point</t>
        </is>
      </c>
      <c r="C14005" t="inlineStr">
        <is>
          <t>Trans Certification and Inspection Sdn Bhd, Kuantan, MY</t>
        </is>
      </c>
      <c r="D14005" t="inlineStr">
        <is>
          <t>02.10.2026</t>
        </is>
      </c>
      <c r="E14005" t="inlineStr">
        <is>
          <t>Thailand</t>
        </is>
      </c>
    </row>
    <row r="14006">
      <c r="A14006" t="inlineStr">
        <is>
          <t>P.Y. Garments Mfg. (Bangladesh) Co. Ltd.,  Cumilla, Bangladesh</t>
        </is>
      </c>
      <c r="B14006" t="inlineStr">
        <is>
          <t>Processing Unit</t>
        </is>
      </c>
      <c r="C14006" t="inlineStr">
        <is>
          <t>PT Intertek Utama Services, Jakarta, ID</t>
        </is>
      </c>
      <c r="D14006" t="inlineStr">
        <is>
          <t>02.10.2026</t>
        </is>
      </c>
      <c r="E14006" t="inlineStr">
        <is>
          <t>Bangladesh</t>
        </is>
      </c>
    </row>
    <row r="14007">
      <c r="A14007" t="inlineStr">
        <is>
          <t>Sevan Ltd,  Bourgas, Bulgaria</t>
        </is>
      </c>
      <c r="B14007" t="inlineStr">
        <is>
          <t>First Gathering Point, Trader with Storage</t>
        </is>
      </c>
      <c r="C14007" t="inlineStr">
        <is>
          <t>Bureau Veritas Polska Sp. z o.o., Warsaw, PL</t>
        </is>
      </c>
      <c r="D14007" t="inlineStr">
        <is>
          <t>02.10.2026</t>
        </is>
      </c>
      <c r="E14007" t="inlineStr">
        <is>
          <t>Bulgaria</t>
        </is>
      </c>
    </row>
    <row r="14008">
      <c r="A14008" t="inlineStr">
        <is>
          <t>MIRUKU COOPERATIVA DE RESPONSABILIDADE LIMITADA,  Nampula, Mozambique</t>
        </is>
      </c>
      <c r="B14008" t="inlineStr">
        <is>
          <t>Farm / Plantation</t>
        </is>
      </c>
      <c r="C14008" t="inlineStr">
        <is>
          <t>RINA Services S.p.A., Genova, IT</t>
        </is>
      </c>
      <c r="D14008" t="inlineStr">
        <is>
          <t>02.10.2026</t>
        </is>
      </c>
      <c r="E14008" t="inlineStr">
        <is>
          <t>Mozambique</t>
        </is>
      </c>
    </row>
    <row r="14009">
      <c r="A14009" t="inlineStr">
        <is>
          <t>Richand Trading (private) Limited,  Harrare, Zimbabwe</t>
        </is>
      </c>
      <c r="B14009" t="inlineStr">
        <is>
          <t>Central Office of independent Smallholders</t>
        </is>
      </c>
      <c r="C14009" t="inlineStr">
        <is>
          <t>RINA Services S.p.A., Genova, IT</t>
        </is>
      </c>
      <c r="D14009" t="inlineStr">
        <is>
          <t>02.10.2026</t>
        </is>
      </c>
      <c r="E14009" t="inlineStr">
        <is>
          <t>Zimbabwe</t>
        </is>
      </c>
    </row>
    <row r="14010">
      <c r="A14010" t="inlineStr">
        <is>
          <t>Zimbabwe Integrated Commmercial Farmers Union,  Harrare, Zimbabwe</t>
        </is>
      </c>
      <c r="B14010" t="inlineStr">
        <is>
          <t>Central Office of independent Smallholders</t>
        </is>
      </c>
      <c r="C14010" t="inlineStr">
        <is>
          <t>RINA Services S.p.A., Genova, IT</t>
        </is>
      </c>
      <c r="D14010" t="inlineStr">
        <is>
          <t>02.10.2026</t>
        </is>
      </c>
      <c r="E14010" t="inlineStr">
        <is>
          <t>Zimbabwe</t>
        </is>
      </c>
    </row>
    <row r="14011">
      <c r="A14011" t="inlineStr">
        <is>
          <t>Seaboard Foods RNG, LLC,  Sunray, United States</t>
        </is>
      </c>
      <c r="B14011" t="inlineStr">
        <is>
          <t>Collecting Point, Processing Unit</t>
        </is>
      </c>
      <c r="C14011" t="inlineStr">
        <is>
          <t>SCS Global Services, Emeryville, CA, US</t>
        </is>
      </c>
      <c r="D14011" t="inlineStr">
        <is>
          <t>02.10.2026</t>
        </is>
      </c>
      <c r="E14011" t="inlineStr">
        <is>
          <t>United States</t>
        </is>
      </c>
    </row>
    <row r="14012">
      <c r="A14012" t="inlineStr">
        <is>
          <t>WANZA FARMS,  Gurue, Mozambique</t>
        </is>
      </c>
      <c r="B14012" t="inlineStr">
        <is>
          <t>Farm / Plantation</t>
        </is>
      </c>
      <c r="C14012" t="inlineStr">
        <is>
          <t>RINA Services S.p.A., Genova, IT</t>
        </is>
      </c>
      <c r="D14012" t="inlineStr">
        <is>
          <t>02.10.2026</t>
        </is>
      </c>
      <c r="E14012" t="inlineStr">
        <is>
          <t>Mozambique</t>
        </is>
      </c>
    </row>
    <row r="14013">
      <c r="A14013" t="inlineStr">
        <is>
          <t>TITAN CASTOR FARMS LIMITED,  Lusaka, Zambia</t>
        </is>
      </c>
      <c r="B14013" t="inlineStr">
        <is>
          <t>Central Office of independent Smallholders</t>
        </is>
      </c>
      <c r="C14013" t="inlineStr">
        <is>
          <t>RINA Services S.p.A., Genova, IT</t>
        </is>
      </c>
      <c r="D14013" t="inlineStr">
        <is>
          <t>02.10.2026</t>
        </is>
      </c>
      <c r="E14013" t="inlineStr">
        <is>
          <t>Zambia</t>
        </is>
      </c>
    </row>
    <row r="14014">
      <c r="A14014" t="inlineStr">
        <is>
          <t>Seaboard Foods RNG, LLC,  Perryton, TX, United States</t>
        </is>
      </c>
      <c r="B14014" t="inlineStr">
        <is>
          <t>Collecting Point, Processing Unit</t>
        </is>
      </c>
      <c r="C14014" t="inlineStr">
        <is>
          <t>SCS Global Services, Emeryville, CA, US</t>
        </is>
      </c>
      <c r="D14014" t="inlineStr">
        <is>
          <t>02.10.2026</t>
        </is>
      </c>
      <c r="E14014" t="inlineStr">
        <is>
          <t>United States</t>
        </is>
      </c>
    </row>
    <row r="14015">
      <c r="A14015" t="inlineStr">
        <is>
          <t>Seaboard Foods RNG, LLC,  Perryton, TX, United States</t>
        </is>
      </c>
      <c r="B14015" t="inlineStr">
        <is>
          <t>Collecting Point, Processing Unit</t>
        </is>
      </c>
      <c r="C14015" t="inlineStr">
        <is>
          <t>SCS Global Services, Emeryville, CA, US</t>
        </is>
      </c>
      <c r="D14015" t="inlineStr">
        <is>
          <t>02.10.2026</t>
        </is>
      </c>
      <c r="E14015" t="inlineStr">
        <is>
          <t>United States</t>
        </is>
      </c>
    </row>
    <row r="14016">
      <c r="A14016" t="inlineStr">
        <is>
          <t>North American Fuel Corporation,  Torrance, United States</t>
        </is>
      </c>
      <c r="B14016" t="inlineStr">
        <is>
          <t>Proof of Compliance Trader, Trader</t>
        </is>
      </c>
      <c r="C14016" t="inlineStr">
        <is>
          <t>SCS Global Services, Emeryville, CA, US</t>
        </is>
      </c>
      <c r="D14016" t="inlineStr">
        <is>
          <t>02.10.2026</t>
        </is>
      </c>
      <c r="E14016" t="inlineStr">
        <is>
          <t>United States</t>
        </is>
      </c>
    </row>
    <row r="14017">
      <c r="A14017" t="inlineStr">
        <is>
          <t>North American Fuel Corporation,  Torrance, United States</t>
        </is>
      </c>
      <c r="B14017" t="inlineStr">
        <is>
          <t>Trader</t>
        </is>
      </c>
      <c r="C14017" t="inlineStr">
        <is>
          <t>SCS Global Services, Emeryville, CA, US</t>
        </is>
      </c>
      <c r="D14017" t="inlineStr">
        <is>
          <t>02.10.2026</t>
        </is>
      </c>
      <c r="E14017" t="inlineStr">
        <is>
          <t>United States</t>
        </is>
      </c>
    </row>
    <row r="14018">
      <c r="A14018" t="inlineStr">
        <is>
          <t>Celanese US holdings,  Edmonton, Canada</t>
        </is>
      </c>
      <c r="B14018" t="inlineStr">
        <is>
          <t>Processing Unit</t>
        </is>
      </c>
      <c r="C14018" t="inlineStr">
        <is>
          <t>SCS Global Services, Emeryville, CA, US</t>
        </is>
      </c>
      <c r="D14018" t="inlineStr">
        <is>
          <t>02.10.2026</t>
        </is>
      </c>
      <c r="E14018" t="inlineStr">
        <is>
          <t>Canada</t>
        </is>
      </c>
    </row>
    <row r="14019">
      <c r="A14019" t="inlineStr">
        <is>
          <t>Euroecol,  Vilnius, Lithuania</t>
        </is>
      </c>
      <c r="B14019" t="inlineStr">
        <is>
          <t>Collecting Point, Trader</t>
        </is>
      </c>
      <c r="C14019" t="inlineStr">
        <is>
          <t>RINA Services S.p.A., Genova, IT</t>
        </is>
      </c>
      <c r="D14019" t="inlineStr">
        <is>
          <t>02.10.2026</t>
        </is>
      </c>
      <c r="E14019" t="inlineStr">
        <is>
          <t>Lithuania</t>
        </is>
      </c>
    </row>
    <row r="14020">
      <c r="A14020" t="inlineStr">
        <is>
          <t>Sri Maju Management (M) SDN. BHD.,  Pasir Gudang, Johor, Malaysia</t>
        </is>
      </c>
      <c r="B14020" t="inlineStr">
        <is>
          <t>Trader with Storage</t>
        </is>
      </c>
      <c r="C14020" t="inlineStr">
        <is>
          <t>Trans Certification and Inspection Sdn Bhd, Kuantan, MY</t>
        </is>
      </c>
      <c r="D14020" t="inlineStr">
        <is>
          <t>02.10.2026</t>
        </is>
      </c>
      <c r="E14020" t="inlineStr">
        <is>
          <t>Malaysia</t>
        </is>
      </c>
    </row>
    <row r="14021">
      <c r="A14021" t="inlineStr">
        <is>
          <t>Koto d.o.o.,  Ljubljana, Slovenia</t>
        </is>
      </c>
      <c r="B14021" t="inlineStr">
        <is>
          <t>Point of Origin, Collecting Point, Trader with Storage, Processing Unit</t>
        </is>
      </c>
      <c r="C14021" t="inlineStr">
        <is>
          <t>Bureau Veritas Polska Sp. z o.o., Warsaw, PL</t>
        </is>
      </c>
      <c r="D14021" t="inlineStr">
        <is>
          <t>02.10.2026</t>
        </is>
      </c>
      <c r="E14021" t="inlineStr">
        <is>
          <t>Slovenia</t>
        </is>
      </c>
    </row>
    <row r="14022">
      <c r="A14022" t="inlineStr">
        <is>
          <t>Bul Ros Group,  Govedare, Bulgaria</t>
        </is>
      </c>
      <c r="B14022" t="inlineStr">
        <is>
          <t>Collecting Point</t>
        </is>
      </c>
      <c r="C14022" t="inlineStr">
        <is>
          <t>Bureau Veritas Polska Sp. z o.o., Warsaw, PL</t>
        </is>
      </c>
      <c r="D14022" t="inlineStr">
        <is>
          <t>02.10.2026</t>
        </is>
      </c>
      <c r="E14022" t="inlineStr">
        <is>
          <t>Bulgaria</t>
        </is>
      </c>
    </row>
    <row r="14023">
      <c r="A14023" t="inlineStr">
        <is>
          <t>Trend Bio Sist LTD,  Nayden Gerovo, Bulgaria</t>
        </is>
      </c>
      <c r="B14023" t="inlineStr">
        <is>
          <t>Trader</t>
        </is>
      </c>
      <c r="C14023" t="inlineStr">
        <is>
          <t>Bureau Veritas Polska Sp. z o.o., Warsaw, PL</t>
        </is>
      </c>
      <c r="D14023" t="inlineStr">
        <is>
          <t>02.10.2026</t>
        </is>
      </c>
      <c r="E14023" t="inlineStr">
        <is>
          <t>Bulgaria</t>
        </is>
      </c>
    </row>
    <row r="14024">
      <c r="A14024" t="inlineStr">
        <is>
          <t>Advanced Flexible Packaging Co.,  Dammam, Saudi Arabia</t>
        </is>
      </c>
      <c r="B14024" t="inlineStr">
        <is>
          <t>Processing Unit</t>
        </is>
      </c>
      <c r="C14024" t="inlineStr">
        <is>
          <t>Trans Certification and Inspection Sdn Bhd, Kuantan, MY</t>
        </is>
      </c>
      <c r="D14024" t="inlineStr">
        <is>
          <t>02.10.2026</t>
        </is>
      </c>
      <c r="E14024" t="inlineStr">
        <is>
          <t>Saudi Arabia</t>
        </is>
      </c>
    </row>
    <row r="14025">
      <c r="A14025" t="inlineStr">
        <is>
          <t>Terracle,  Incheon, South Korea</t>
        </is>
      </c>
      <c r="B14025" t="inlineStr">
        <is>
          <t>Processing Unit, Collecting Point</t>
        </is>
      </c>
      <c r="C14025" t="inlineStr">
        <is>
          <t>Korean Foundation for Quality, Songpa-gu, Seoul, KR</t>
        </is>
      </c>
      <c r="D14025" t="inlineStr">
        <is>
          <t>01.10.2026</t>
        </is>
      </c>
      <c r="E14025" t="inlineStr">
        <is>
          <t>South Korea</t>
        </is>
      </c>
    </row>
    <row r="14026">
      <c r="A14026" t="inlineStr">
        <is>
          <t>ABI-ZHER,  Petropavlovsk, Kazakhstan</t>
        </is>
      </c>
      <c r="B14026" t="inlineStr">
        <is>
          <t>Warehouse, Central Office (Farms/Plantations), Farm / Plantation, First Gathering Point</t>
        </is>
      </c>
      <c r="C14026" t="inlineStr">
        <is>
          <t>BM Certification, Riga, LV</t>
        </is>
      </c>
      <c r="D14026" t="inlineStr">
        <is>
          <t>01.10.2026</t>
        </is>
      </c>
      <c r="E14026" t="inlineStr">
        <is>
          <t>Kazakhstan</t>
        </is>
      </c>
    </row>
    <row r="14027">
      <c r="A14027" t="inlineStr">
        <is>
          <t>Viscount Plastics (NZ) Ltd trading as PACT Packaging Mt Wellington,  Mt Wellington, Auckland, New Zealand</t>
        </is>
      </c>
      <c r="B14027" t="inlineStr">
        <is>
          <t>Processing Unit</t>
        </is>
      </c>
      <c r="C14027" t="inlineStr">
        <is>
          <t>SGS Germany GmbH, Emstek, DE</t>
        </is>
      </c>
      <c r="D14027" t="inlineStr">
        <is>
          <t>01.10.2026</t>
        </is>
      </c>
      <c r="E14027" t="inlineStr">
        <is>
          <t>New Zealand</t>
        </is>
      </c>
    </row>
    <row r="14028">
      <c r="A14028" t="inlineStr">
        <is>
          <t>DAICEL CORPORATION,  OTAKE-SHI, HIROSHIMA, Japan</t>
        </is>
      </c>
      <c r="B14028" t="inlineStr">
        <is>
          <t>Processing Unit</t>
        </is>
      </c>
      <c r="C14028" t="inlineStr">
        <is>
          <t>SGS Germany GmbH, Emstek, DE</t>
        </is>
      </c>
      <c r="D14028" t="inlineStr">
        <is>
          <t>01.10.2026</t>
        </is>
      </c>
      <c r="E14028" t="inlineStr">
        <is>
          <t>Japan</t>
        </is>
      </c>
    </row>
    <row r="14029">
      <c r="A14029" t="inlineStr">
        <is>
          <t>SAFIC-ALCAN SAS,  PUTEAUX, France</t>
        </is>
      </c>
      <c r="B14029" t="inlineStr">
        <is>
          <t>Trader with Storage</t>
        </is>
      </c>
      <c r="C14029" t="inlineStr">
        <is>
          <t>SGS Germany GmbH, Emstek, DE</t>
        </is>
      </c>
      <c r="D14029" t="inlineStr">
        <is>
          <t>01.10.2026</t>
        </is>
      </c>
      <c r="E14029" t="inlineStr">
        <is>
          <t>France</t>
        </is>
      </c>
    </row>
    <row r="14030">
      <c r="A14030" t="inlineStr">
        <is>
          <t>VISF WASTE PRODUCT TRADING,  Angeles City, Philippines</t>
        </is>
      </c>
      <c r="B14030" t="inlineStr">
        <is>
          <t>Collecting Point</t>
        </is>
      </c>
      <c r="C14030" t="inlineStr">
        <is>
          <t>PT. CBQA GLOBAL INDONESIA, JAKARTA SELATAN, ID</t>
        </is>
      </c>
      <c r="D14030" t="inlineStr">
        <is>
          <t>01.10.2026</t>
        </is>
      </c>
      <c r="E14030" t="inlineStr">
        <is>
          <t>Philippines</t>
        </is>
      </c>
    </row>
    <row r="14031">
      <c r="A14031" t="inlineStr">
        <is>
          <t>VISF WASTE PRODUCT TRADING,  Angeles City, Philippines</t>
        </is>
      </c>
      <c r="B14031" t="inlineStr">
        <is>
          <t>Collecting Point</t>
        </is>
      </c>
      <c r="C14031" t="inlineStr">
        <is>
          <t>PT. CBQA GLOBAL INDONESIA, JAKARTA SELATAN, ID</t>
        </is>
      </c>
      <c r="D14031" t="inlineStr">
        <is>
          <t>01.10.2026</t>
        </is>
      </c>
      <c r="E14031" t="inlineStr">
        <is>
          <t>Philippines</t>
        </is>
      </c>
    </row>
    <row r="14032">
      <c r="A14032" t="inlineStr">
        <is>
          <t>Alpha Bestmax Sdn Bhd,  Johor Bahru, Malaysia</t>
        </is>
      </c>
      <c r="B14032" t="inlineStr">
        <is>
          <t>Trader</t>
        </is>
      </c>
      <c r="C14032" t="inlineStr">
        <is>
          <t>PT. CBQA GLOBAL INDONESIA, JAKARTA SELATAN, ID</t>
        </is>
      </c>
      <c r="D14032" t="inlineStr">
        <is>
          <t>01.10.2026</t>
        </is>
      </c>
      <c r="E14032" t="inlineStr">
        <is>
          <t>Malaysia</t>
        </is>
      </c>
    </row>
    <row r="14033">
      <c r="A14033" t="inlineStr">
        <is>
          <t>PT Transpacific Agro Industry,  Kabupaten Banyuasin, Provinsi Sumatera Selatan, Indonesia</t>
        </is>
      </c>
      <c r="B14033" t="inlineStr">
        <is>
          <t>Point of Origin</t>
        </is>
      </c>
      <c r="C14033" t="inlineStr">
        <is>
          <t>PT Mutuagung Lestari, Depok, ID</t>
        </is>
      </c>
      <c r="D14033" t="inlineStr">
        <is>
          <t>01.10.2026</t>
        </is>
      </c>
      <c r="E14033" t="inlineStr">
        <is>
          <t>Indonesia</t>
        </is>
      </c>
    </row>
    <row r="14034">
      <c r="A14034" t="inlineStr">
        <is>
          <t>PT Karya Serasi Jaya Abadi,  Kabupaten Serdang Bedagai, Provinsi Sumatera Utara, Indonesia</t>
        </is>
      </c>
      <c r="B14034" t="inlineStr">
        <is>
          <t>Point of Origin</t>
        </is>
      </c>
      <c r="C14034" t="inlineStr">
        <is>
          <t>PT Mutuagung Lestari, Depok, ID</t>
        </is>
      </c>
      <c r="D14034" t="inlineStr">
        <is>
          <t>01.10.2026</t>
        </is>
      </c>
      <c r="E14034" t="inlineStr">
        <is>
          <t>Indonesia</t>
        </is>
      </c>
    </row>
    <row r="14035">
      <c r="A14035" t="inlineStr">
        <is>
          <t>Shalom Environment &amp; Consulting LTD,  Har Adar, Israel</t>
        </is>
      </c>
      <c r="B14035" t="inlineStr">
        <is>
          <t>Trader</t>
        </is>
      </c>
      <c r="C14035" t="inlineStr">
        <is>
          <t>Control Union Certifications Germany GmbH, Berlin, DE</t>
        </is>
      </c>
      <c r="D14035" t="inlineStr">
        <is>
          <t>01.10.2026</t>
        </is>
      </c>
      <c r="E14035" t="inlineStr">
        <is>
          <t>Israel</t>
        </is>
      </c>
    </row>
    <row r="14036">
      <c r="A14036" t="inlineStr">
        <is>
          <t>GUDENG PRECISION INDUSTRIAL CO., LTD.,  Xinshi Dist., Tainan City, Taiwan, Province of China</t>
        </is>
      </c>
      <c r="B14036" t="inlineStr">
        <is>
          <t>Processing Unit, Final Product Refinement</t>
        </is>
      </c>
      <c r="C14036" t="inlineStr">
        <is>
          <t>Bureau Veritas Polska Sp. z o.o., Warsaw, PL</t>
        </is>
      </c>
      <c r="D14036" t="inlineStr">
        <is>
          <t>01.10.2026</t>
        </is>
      </c>
      <c r="E14036" t="inlineStr">
        <is>
          <t>Province of China</t>
        </is>
      </c>
    </row>
    <row r="14037">
      <c r="A14037" t="inlineStr">
        <is>
          <t>Disa Energy, SLU,  Madrid, Spain</t>
        </is>
      </c>
      <c r="B14037" t="inlineStr">
        <is>
          <t>Trader</t>
        </is>
      </c>
      <c r="C14037" t="inlineStr">
        <is>
          <t>Bureau Veritas Polska Sp. z o.o., Warsaw, PL</t>
        </is>
      </c>
      <c r="D14037" t="inlineStr">
        <is>
          <t>01.10.2026</t>
        </is>
      </c>
      <c r="E14037" t="inlineStr">
        <is>
          <t>Spain</t>
        </is>
      </c>
    </row>
    <row r="14038">
      <c r="A14038" t="inlineStr">
        <is>
          <t>CPC CORPORATION, TAIWAN,  Xinyi Dist., Taipei City, Taiwan</t>
        </is>
      </c>
      <c r="B14038" t="inlineStr">
        <is>
          <t>Trader with Storage</t>
        </is>
      </c>
      <c r="C14038" t="inlineStr">
        <is>
          <t>Bureau Veritas Polska Sp. z o.o., Warsaw, PL</t>
        </is>
      </c>
      <c r="D14038" t="inlineStr">
        <is>
          <t>01.10.2026</t>
        </is>
      </c>
      <c r="E14038" t="inlineStr">
        <is>
          <t>Taiwan</t>
        </is>
      </c>
    </row>
    <row r="14039">
      <c r="A14039" t="inlineStr">
        <is>
          <t>Seaboard Foods RNG, LLC,  Sunray, United States</t>
        </is>
      </c>
      <c r="B14039" t="inlineStr">
        <is>
          <t>Collecting Point, Processing Unit</t>
        </is>
      </c>
      <c r="C14039" t="inlineStr">
        <is>
          <t>SCS Global Services, Emeryville, CA, US</t>
        </is>
      </c>
      <c r="D14039" t="inlineStr">
        <is>
          <t>01.10.2026</t>
        </is>
      </c>
      <c r="E14039" t="inlineStr">
        <is>
          <t>United States</t>
        </is>
      </c>
    </row>
    <row r="14040">
      <c r="A14040" t="inlineStr">
        <is>
          <t>HONG KONG DONGCHAO INTERNATIONAL CO.，LIMITED,  Wan Chai, Hong Kong, SAR, China</t>
        </is>
      </c>
      <c r="B14040" t="inlineStr">
        <is>
          <t>Trader</t>
        </is>
      </c>
      <c r="C14040" t="inlineStr">
        <is>
          <t>Trans Certification and Inspection Sdn Bhd, Kuantan, MY</t>
        </is>
      </c>
      <c r="D14040" t="inlineStr">
        <is>
          <t>01.10.2026</t>
        </is>
      </c>
      <c r="E14040" t="inlineStr">
        <is>
          <t>China</t>
        </is>
      </c>
    </row>
    <row r="14041">
      <c r="A14041" t="inlineStr">
        <is>
          <t>PT Sumber Tani Agung,  Kabupaten Labuhanbatu Selatan, Prov Sumatera Utara, Indonesia</t>
        </is>
      </c>
      <c r="B14041" t="inlineStr">
        <is>
          <t>Point of Origin</t>
        </is>
      </c>
      <c r="C14041" t="inlineStr">
        <is>
          <t>PT Mutuagung Lestari, Depok, ID</t>
        </is>
      </c>
      <c r="D14041" t="inlineStr">
        <is>
          <t>01.10.2026</t>
        </is>
      </c>
      <c r="E14041" t="inlineStr">
        <is>
          <t>Indonesia</t>
        </is>
      </c>
    </row>
    <row r="14042">
      <c r="A14042" t="inlineStr">
        <is>
          <t>PT Karya Agung Sawita,  Kabupaten Padang Lawas, Provinsi Sumatera Utara, Indonesia</t>
        </is>
      </c>
      <c r="B14042" t="inlineStr">
        <is>
          <t>Point of Origin</t>
        </is>
      </c>
      <c r="C14042" t="inlineStr">
        <is>
          <t>PT Mutuagung Lestari, Depok, ID</t>
        </is>
      </c>
      <c r="D14042" t="inlineStr">
        <is>
          <t>01.10.2026</t>
        </is>
      </c>
      <c r="E14042" t="inlineStr">
        <is>
          <t>Indonesia</t>
        </is>
      </c>
    </row>
    <row r="14043">
      <c r="A14043" t="inlineStr">
        <is>
          <t>PT Karya Agung Sawita,  Kabupaten Padang Lawas, Provinsi Sumatera Utara, Indonesia</t>
        </is>
      </c>
      <c r="B14043" t="inlineStr">
        <is>
          <t>Point of Origin</t>
        </is>
      </c>
      <c r="C14043" t="inlineStr">
        <is>
          <t>PT Mutuagung Lestari, Depok, ID</t>
        </is>
      </c>
      <c r="D14043" t="inlineStr">
        <is>
          <t>01.10.2026</t>
        </is>
      </c>
      <c r="E14043" t="inlineStr">
        <is>
          <t>Indonesia</t>
        </is>
      </c>
    </row>
    <row r="14044">
      <c r="A14044" t="inlineStr">
        <is>
          <t>PT Madina Agrolestari,  Kabupaten Mandailing Natal, Prov Sumatera Utara, Indonesia</t>
        </is>
      </c>
      <c r="B14044" t="inlineStr">
        <is>
          <t>Point of Origin</t>
        </is>
      </c>
      <c r="C14044" t="inlineStr">
        <is>
          <t>PT Mutuagung Lestari, Depok, ID</t>
        </is>
      </c>
      <c r="D14044" t="inlineStr">
        <is>
          <t>01.10.2026</t>
        </is>
      </c>
      <c r="E14044" t="inlineStr">
        <is>
          <t>Indonesia</t>
        </is>
      </c>
    </row>
    <row r="14045">
      <c r="A14045" t="inlineStr">
        <is>
          <t>PT Sumber Tani Agung Resources Tbk.,  Kabupaten Padang Lawas Utara, Prov. Sumatera Utara, Indonesia</t>
        </is>
      </c>
      <c r="B14045" t="inlineStr">
        <is>
          <t>Point of Origin</t>
        </is>
      </c>
      <c r="C14045" t="inlineStr">
        <is>
          <t>PT Mutuagung Lestari, Depok, ID</t>
        </is>
      </c>
      <c r="D14045" t="inlineStr">
        <is>
          <t>01.10.2026</t>
        </is>
      </c>
      <c r="E14045" t="inlineStr">
        <is>
          <t>Indonesia</t>
        </is>
      </c>
    </row>
    <row r="14046">
      <c r="A14046" t="inlineStr">
        <is>
          <t>Ecocyl.S.L.,  La Cistérniga, Valladolid, Spain</t>
        </is>
      </c>
      <c r="B14046" t="inlineStr">
        <is>
          <t>Collecting Point</t>
        </is>
      </c>
      <c r="C14046" t="inlineStr">
        <is>
          <t>RINA Services S.p.A., Genova, IT</t>
        </is>
      </c>
      <c r="D14046" t="inlineStr">
        <is>
          <t>01.10.2026</t>
        </is>
      </c>
      <c r="E14046" t="inlineStr">
        <is>
          <t>Spain</t>
        </is>
      </c>
    </row>
    <row r="14047">
      <c r="A14047" t="inlineStr">
        <is>
          <t>DINGZING ADVANCED MATERIALS INC,  Hsiao-Kang District, Kaohsiung, Taiwan, Province of China</t>
        </is>
      </c>
      <c r="B14047" t="inlineStr">
        <is>
          <t>Processing Unit</t>
        </is>
      </c>
      <c r="C14047" t="inlineStr">
        <is>
          <t>Control Union Certifications Germany GmbH, Berlin, DE</t>
        </is>
      </c>
      <c r="D14047" t="inlineStr">
        <is>
          <t>01.10.2026</t>
        </is>
      </c>
      <c r="E14047" t="inlineStr">
        <is>
          <t>Province of China</t>
        </is>
      </c>
    </row>
    <row r="14048">
      <c r="A14048" t="inlineStr">
        <is>
          <t>UAB Joniškio agrochemija,  Joniškis, Lithuania</t>
        </is>
      </c>
      <c r="B14048" t="inlineStr">
        <is>
          <t>First Gathering Point, Trader with Storage</t>
        </is>
      </c>
      <c r="C14048" t="inlineStr">
        <is>
          <t>Bureau Veritas Polska Sp. z o.o., Warsaw, PL</t>
        </is>
      </c>
      <c r="D14048" t="inlineStr">
        <is>
          <t>01.10.2026</t>
        </is>
      </c>
      <c r="E14048" t="inlineStr">
        <is>
          <t>Lithuania</t>
        </is>
      </c>
    </row>
    <row r="14049">
      <c r="A14049" t="inlineStr">
        <is>
          <t>Nitto Belgium,  Genk, Belgium</t>
        </is>
      </c>
      <c r="B14049" t="inlineStr">
        <is>
          <t>Processing Unit, Final Product Refinement</t>
        </is>
      </c>
      <c r="C14049" t="inlineStr">
        <is>
          <t>DEKRA Certification B.V., Arnhem, NL</t>
        </is>
      </c>
      <c r="D14049" t="inlineStr">
        <is>
          <t>01.10.2026</t>
        </is>
      </c>
      <c r="E14049" t="inlineStr">
        <is>
          <t>Belgium</t>
        </is>
      </c>
    </row>
    <row r="14050">
      <c r="A14050" t="inlineStr">
        <is>
          <t>Phoenix Compounding Technology GmbH,  Waltershausen, Germany</t>
        </is>
      </c>
      <c r="B14050" t="inlineStr">
        <is>
          <t>Processing Unit</t>
        </is>
      </c>
      <c r="C14050" t="inlineStr">
        <is>
          <t>DQS CFS GmbH - Deutsche Gesellschaft für Nachhaltigkeit, Frankfurt am Main, DE</t>
        </is>
      </c>
      <c r="D14050" t="inlineStr">
        <is>
          <t>01.10.2026</t>
        </is>
      </c>
      <c r="E14050" t="inlineStr">
        <is>
          <t>Germany</t>
        </is>
      </c>
    </row>
    <row r="14051">
      <c r="A14051" t="inlineStr">
        <is>
          <t>TOOL-FUEL Services GmbH,  Hamburg, Germany</t>
        </is>
      </c>
      <c r="B14051" t="inlineStr">
        <is>
          <t>Trader with Storage, Proof of Compliance Trader</t>
        </is>
      </c>
      <c r="C14051" t="inlineStr">
        <is>
          <t>SGS Germany GmbH, Emstek, DE</t>
        </is>
      </c>
      <c r="D14051" t="inlineStr">
        <is>
          <t>01.10.2026</t>
        </is>
      </c>
      <c r="E14051" t="inlineStr">
        <is>
          <t>Germany</t>
        </is>
      </c>
    </row>
    <row r="14052">
      <c r="A14052" t="inlineStr">
        <is>
          <t>Biogas Trading ApS,  Skanderborg, Denmark</t>
        </is>
      </c>
      <c r="B14052" t="inlineStr">
        <is>
          <t>Trader</t>
        </is>
      </c>
      <c r="C14052" t="inlineStr">
        <is>
          <t>Baltic Control Certification, Risskov, DK</t>
        </is>
      </c>
      <c r="D14052" t="inlineStr">
        <is>
          <t>01.10.2026</t>
        </is>
      </c>
      <c r="E14052" t="inlineStr">
        <is>
          <t>Denmark</t>
        </is>
      </c>
    </row>
    <row r="14053">
      <c r="A14053" t="inlineStr">
        <is>
          <t>Agrarservis s.r.o.,  Bratislava, Slovakia</t>
        </is>
      </c>
      <c r="B14053" t="inlineStr">
        <is>
          <t>First Gathering Point, Trader with Storage</t>
        </is>
      </c>
      <c r="C14053" t="inlineStr">
        <is>
          <t>United Registrar of Systems Polska Sp. z o.o., Wrocław, PL</t>
        </is>
      </c>
      <c r="D14053" t="inlineStr">
        <is>
          <t>01.10.2026</t>
        </is>
      </c>
      <c r="E14053" t="inlineStr">
        <is>
          <t>Slovakia</t>
        </is>
      </c>
    </row>
    <row r="14054">
      <c r="A14054" t="inlineStr">
        <is>
          <t>ecoMotion GmbH,  Malchin, Germany</t>
        </is>
      </c>
      <c r="B14054" t="inlineStr">
        <is>
          <t>Point of Origin, Collecting Point, Processing Unit, Biomarine Fuel Operator</t>
        </is>
      </c>
      <c r="C14054" t="inlineStr">
        <is>
          <t>GUT Certifizierungsgesellschaft für Managementsysteme mbH Umweltgutachter, Berlin, DE</t>
        </is>
      </c>
      <c r="D14054" t="inlineStr">
        <is>
          <t>01.10.2026</t>
        </is>
      </c>
      <c r="E14054" t="inlineStr">
        <is>
          <t>Germany</t>
        </is>
      </c>
    </row>
    <row r="14055">
      <c r="A14055" t="inlineStr">
        <is>
          <t>Fima Bulking Services Berhad,  North Port, Port Klang, Malaysia</t>
        </is>
      </c>
      <c r="B14055" t="inlineStr">
        <is>
          <t>Logistics Center</t>
        </is>
      </c>
      <c r="C14055" t="inlineStr">
        <is>
          <t>TÜV NORD CERT GmbH, Essen, DE</t>
        </is>
      </c>
      <c r="D14055" t="inlineStr">
        <is>
          <t>01.10.2026</t>
        </is>
      </c>
      <c r="E14055" t="inlineStr">
        <is>
          <t>Malaysia</t>
        </is>
      </c>
    </row>
    <row r="14056">
      <c r="A14056" t="inlineStr">
        <is>
          <t>Banatfarming SRL,  Oravita, Romania</t>
        </is>
      </c>
      <c r="B14056" t="inlineStr">
        <is>
          <t>Farm / Plantation, First Gathering Point</t>
        </is>
      </c>
      <c r="C14056" t="inlineStr">
        <is>
          <t>SRAC Cert SRL, Bucharest, RO</t>
        </is>
      </c>
      <c r="D14056" t="inlineStr">
        <is>
          <t>01.10.2026</t>
        </is>
      </c>
      <c r="E14056" t="inlineStr">
        <is>
          <t>Romania</t>
        </is>
      </c>
    </row>
    <row r="14057">
      <c r="A14057" t="inlineStr">
        <is>
          <t>EB Packaging Sdn Bhd,  Johor, Malaysia</t>
        </is>
      </c>
      <c r="B14057" t="inlineStr">
        <is>
          <t>Processing Unit</t>
        </is>
      </c>
      <c r="C14057" t="inlineStr">
        <is>
          <t>Control Union Certifications Germany GmbH, Berlin, DE</t>
        </is>
      </c>
      <c r="D14057" t="inlineStr">
        <is>
          <t>01.10.2026</t>
        </is>
      </c>
      <c r="E14057" t="inlineStr">
        <is>
          <t>Malaysia</t>
        </is>
      </c>
    </row>
    <row r="14058">
      <c r="A14058" t="inlineStr">
        <is>
          <t>Viresol Kft.,  Visonta, Hungary</t>
        </is>
      </c>
      <c r="B14058" t="inlineStr">
        <is>
          <t>Processing Unit</t>
        </is>
      </c>
      <c r="C14058" t="inlineStr">
        <is>
          <t>Certificadora Gallega del Noroeste SL, Vilagarcia de Arousa-Pontevedra, ES</t>
        </is>
      </c>
      <c r="D14058" t="inlineStr">
        <is>
          <t>01.10.2026</t>
        </is>
      </c>
      <c r="E14058" t="inlineStr">
        <is>
          <t>Hungary</t>
        </is>
      </c>
    </row>
    <row r="14059">
      <c r="A14059" t="inlineStr">
        <is>
          <t>Viresol Kft.,  Visonta, Hungary</t>
        </is>
      </c>
      <c r="B14059" t="inlineStr">
        <is>
          <t>Point of Origin, Trader with Storage, Processing Unit, First Gathering Point</t>
        </is>
      </c>
      <c r="C14059" t="inlineStr">
        <is>
          <t>Certificadora Gallega del Noroeste SL, Vilagarcia de Arousa-Pontevedra, ES</t>
        </is>
      </c>
      <c r="D14059" t="inlineStr">
        <is>
          <t>01.10.2026</t>
        </is>
      </c>
      <c r="E14059" t="inlineStr">
        <is>
          <t>Hungary</t>
        </is>
      </c>
    </row>
    <row r="14060">
      <c r="A14060" t="inlineStr">
        <is>
          <t>WAGA ENERGY,  Claye-Souilly, France</t>
        </is>
      </c>
      <c r="B14060" t="inlineStr">
        <is>
          <t>Collecting Point, Processing Unit</t>
        </is>
      </c>
      <c r="C14060" t="inlineStr">
        <is>
          <t>SI Cert Italy S.R.L., Parma, IT</t>
        </is>
      </c>
      <c r="D14060" t="inlineStr">
        <is>
          <t>01.10.2026</t>
        </is>
      </c>
      <c r="E14060" t="inlineStr">
        <is>
          <t>France</t>
        </is>
      </c>
    </row>
    <row r="14061">
      <c r="A14061" t="inlineStr">
        <is>
          <t>Bright Used Cooking Oils Trading LLC,  Dubai, United Arab Emirates</t>
        </is>
      </c>
      <c r="B14061" t="inlineStr">
        <is>
          <t>Collecting Point, Trader</t>
        </is>
      </c>
      <c r="C14061" t="inlineStr">
        <is>
          <t>PT Mutuagung Lestari, Depok, ID</t>
        </is>
      </c>
      <c r="D14061" t="inlineStr">
        <is>
          <t>01.10.2026</t>
        </is>
      </c>
      <c r="E14061" t="inlineStr">
        <is>
          <t>United Arab Emirates</t>
        </is>
      </c>
    </row>
    <row r="14062">
      <c r="A14062" t="inlineStr">
        <is>
          <t>KOLON INDUSTRIES, INC. (Ulsan Plant),  Ulsan, Korea, Republic of</t>
        </is>
      </c>
      <c r="B14062" t="inlineStr">
        <is>
          <t>Processing Unit</t>
        </is>
      </c>
      <c r="C14062" t="inlineStr">
        <is>
          <t>Control Union Certifications Germany GmbH, Berlin, DE</t>
        </is>
      </c>
      <c r="D14062" t="inlineStr">
        <is>
          <t>01.10.2026</t>
        </is>
      </c>
      <c r="E14062" t="inlineStr">
        <is>
          <t>Republic of</t>
        </is>
      </c>
    </row>
    <row r="14063">
      <c r="A14063" t="inlineStr">
        <is>
          <t>Energia Recuperable S.A.S,  Cartago, Valle del Cauca, Colombia</t>
        </is>
      </c>
      <c r="B14063" t="inlineStr">
        <is>
          <t>Collecting Point</t>
        </is>
      </c>
      <c r="C14063" t="inlineStr">
        <is>
          <t>Amspec Iberia SL, Vilagarcia de Arousa-Pontevedra, ES</t>
        </is>
      </c>
      <c r="D14063" t="inlineStr">
        <is>
          <t>01.10.2026</t>
        </is>
      </c>
      <c r="E14063" t="inlineStr">
        <is>
          <t>Colombia</t>
        </is>
      </c>
    </row>
    <row r="14064">
      <c r="A14064" t="inlineStr">
        <is>
          <t>ESCOM LTD,  TUNDJA, Bulgaria</t>
        </is>
      </c>
      <c r="B14064" t="inlineStr">
        <is>
          <t>Collecting Point, Point of Origin</t>
        </is>
      </c>
      <c r="C14064" t="inlineStr">
        <is>
          <t>Control Union Poland Sp. z o.o., Zielona Gora, PL</t>
        </is>
      </c>
      <c r="D14064" t="inlineStr">
        <is>
          <t>30.09.2026</t>
        </is>
      </c>
      <c r="E14064" t="inlineStr">
        <is>
          <t>Bulgaria</t>
        </is>
      </c>
    </row>
    <row r="14065">
      <c r="A14065" t="inlineStr">
        <is>
          <t>Tank Storage Argent B.V.,  Amsterdam, Netherlands</t>
        </is>
      </c>
      <c r="B14065" t="inlineStr">
        <is>
          <t>Point of Origin, Warehouse</t>
        </is>
      </c>
      <c r="C14065" t="inlineStr">
        <is>
          <t>ASG Cert GmbH, Munich, DE</t>
        </is>
      </c>
      <c r="D14065" t="inlineStr">
        <is>
          <t>30.09.2026</t>
        </is>
      </c>
      <c r="E14065" t="inlineStr">
        <is>
          <t>Netherlands</t>
        </is>
      </c>
    </row>
    <row r="14066">
      <c r="A14066" t="inlineStr">
        <is>
          <t>PTP Argent B.V.,  Amsterdam, Netherlands</t>
        </is>
      </c>
      <c r="B14066" t="inlineStr">
        <is>
          <t>Trader with Storage, Processing Unit, Point of Origin</t>
        </is>
      </c>
      <c r="C14066" t="inlineStr">
        <is>
          <t>ASG Cert GmbH, Munich, DE</t>
        </is>
      </c>
      <c r="D14066" t="inlineStr">
        <is>
          <t>30.09.2026</t>
        </is>
      </c>
      <c r="E14066" t="inlineStr">
        <is>
          <t>Netherlands</t>
        </is>
      </c>
    </row>
    <row r="14067">
      <c r="A14067" t="inlineStr">
        <is>
          <t>PTP Argent B.V.,  Amsterdam, Netherlands</t>
        </is>
      </c>
      <c r="B14067" t="inlineStr">
        <is>
          <t>Point of Origin, Trader with Storage, Processing Unit</t>
        </is>
      </c>
      <c r="C14067" t="inlineStr">
        <is>
          <t>ASG Cert GmbH, Munich, DE</t>
        </is>
      </c>
      <c r="D14067" t="inlineStr">
        <is>
          <t>30.09.2026</t>
        </is>
      </c>
      <c r="E14067" t="inlineStr">
        <is>
          <t>Netherlands</t>
        </is>
      </c>
    </row>
    <row r="14068">
      <c r="A14068" t="inlineStr">
        <is>
          <t>BIODIESEL CANARIAS SL,  GRANADILLA DE ABONA, Spain - Canary Islands</t>
        </is>
      </c>
      <c r="B14068" t="inlineStr">
        <is>
          <t>Collecting Point, Trader</t>
        </is>
      </c>
      <c r="C14068" t="inlineStr">
        <is>
          <t>Bureau Veritas Polska Sp. z o.o., Warsaw, PL</t>
        </is>
      </c>
      <c r="D14068" t="inlineStr">
        <is>
          <t>30.09.2026</t>
        </is>
      </c>
      <c r="E14068" t="inlineStr">
        <is>
          <t>Spain - Canary Islands</t>
        </is>
      </c>
    </row>
    <row r="14069">
      <c r="A14069" t="inlineStr">
        <is>
          <t>TAIWAN INABATA SANGYO CO., LTD,  HSINCHU CITY, Taiwan, Province of China</t>
        </is>
      </c>
      <c r="B14069" t="inlineStr">
        <is>
          <t>Trader</t>
        </is>
      </c>
      <c r="C14069" t="inlineStr">
        <is>
          <t>Bureau Veritas Polska Sp. z o.o., Warsaw, PL</t>
        </is>
      </c>
      <c r="D14069" t="inlineStr">
        <is>
          <t>30.09.2026</t>
        </is>
      </c>
      <c r="E14069" t="inlineStr">
        <is>
          <t>Province of China</t>
        </is>
      </c>
    </row>
    <row r="14070">
      <c r="A14070" t="inlineStr">
        <is>
          <t>AAK BF SARL,  Bobo Dioulasso, Burkina Faso</t>
        </is>
      </c>
      <c r="B14070" t="inlineStr">
        <is>
          <t>First Gathering Point</t>
        </is>
      </c>
      <c r="C14070" t="inlineStr">
        <is>
          <t>SGS Germany GmbH, Emstek, DE</t>
        </is>
      </c>
      <c r="D14070" t="inlineStr">
        <is>
          <t>30.09.2026</t>
        </is>
      </c>
      <c r="E14070" t="inlineStr">
        <is>
          <t>Burkina Faso</t>
        </is>
      </c>
    </row>
    <row r="14071">
      <c r="A14071" t="inlineStr">
        <is>
          <t>ECATALEX-LUX SRL,  BALTI, Moldova</t>
        </is>
      </c>
      <c r="B14071" t="inlineStr">
        <is>
          <t>First Gathering Point, Trader with Storage</t>
        </is>
      </c>
      <c r="C14071" t="inlineStr">
        <is>
          <t>SGS Germany GmbH, Emstek, DE</t>
        </is>
      </c>
      <c r="D14071" t="inlineStr">
        <is>
          <t>30.09.2026</t>
        </is>
      </c>
      <c r="E14071" t="inlineStr">
        <is>
          <t>Moldova</t>
        </is>
      </c>
    </row>
    <row r="14072">
      <c r="A14072" t="inlineStr">
        <is>
          <t>Demeter Cormack PTY LTD,  Hope Valley, Australia</t>
        </is>
      </c>
      <c r="B14072" t="inlineStr">
        <is>
          <t>Trader with Storage</t>
        </is>
      </c>
      <c r="C14072" t="inlineStr">
        <is>
          <t>Control Union Certifications Germany GmbH, Berlin, DE</t>
        </is>
      </c>
      <c r="D14072" t="inlineStr">
        <is>
          <t>30.09.2026</t>
        </is>
      </c>
      <c r="E14072" t="inlineStr">
        <is>
          <t>Australia</t>
        </is>
      </c>
    </row>
    <row r="14073">
      <c r="A14073" t="inlineStr">
        <is>
          <t>B.M.G. srl,  Todi, Italy</t>
        </is>
      </c>
      <c r="B14073" t="inlineStr">
        <is>
          <t>First Gathering Point</t>
        </is>
      </c>
      <c r="C14073" t="inlineStr">
        <is>
          <t>DNV Business Assurance Sweden AB, Solna, SE</t>
        </is>
      </c>
      <c r="D14073" t="inlineStr">
        <is>
          <t>30.09.2026</t>
        </is>
      </c>
      <c r="E14073" t="inlineStr">
        <is>
          <t>Italy</t>
        </is>
      </c>
    </row>
    <row r="14074">
      <c r="A14074" t="inlineStr">
        <is>
          <t>Entrepalmas S.A.S,  San Martin, Meta, Colombia</t>
        </is>
      </c>
      <c r="B14074" t="inlineStr">
        <is>
          <t>First Gathering Point, Processing Unit</t>
        </is>
      </c>
      <c r="C14074" t="inlineStr">
        <is>
          <t>Control Union Poland Sp. z o.o., Zielona Gora, PL</t>
        </is>
      </c>
      <c r="D14074" t="inlineStr">
        <is>
          <t>30.09.2026</t>
        </is>
      </c>
      <c r="E14074" t="inlineStr">
        <is>
          <t>Colombia</t>
        </is>
      </c>
    </row>
    <row r="14075">
      <c r="A14075" t="inlineStr">
        <is>
          <t>M. Flores Climatizaciones S.L. (Reciblue),  Utrera, Pol Ind. La Morera, Spain</t>
        </is>
      </c>
      <c r="B14075" t="inlineStr">
        <is>
          <t>Collecting Point, Trader</t>
        </is>
      </c>
      <c r="C14075" t="inlineStr">
        <is>
          <t>RINA Services S.p.A., Genova, IT</t>
        </is>
      </c>
      <c r="D14075" t="inlineStr">
        <is>
          <t>30.09.2026</t>
        </is>
      </c>
      <c r="E14075" t="inlineStr">
        <is>
          <t>Spain</t>
        </is>
      </c>
    </row>
    <row r="14076">
      <c r="A14076" t="inlineStr">
        <is>
          <t>TSB SRL,  MORROVALLE, Italy</t>
        </is>
      </c>
      <c r="B14076" t="inlineStr">
        <is>
          <t>Collecting Point, Processing Unit</t>
        </is>
      </c>
      <c r="C14076" t="inlineStr">
        <is>
          <t>RINA Services S.p.A., Genova, IT</t>
        </is>
      </c>
      <c r="D14076" t="inlineStr">
        <is>
          <t>30.09.2026</t>
        </is>
      </c>
      <c r="E14076" t="inlineStr">
        <is>
          <t>Italy</t>
        </is>
      </c>
    </row>
    <row r="14077">
      <c r="A14077" t="inlineStr">
        <is>
          <t>SK On Co., Ltd. SK Enmove Ulsan Plant,  Nam-gu, Ulsan, South Korea</t>
        </is>
      </c>
      <c r="B14077" t="inlineStr">
        <is>
          <t>Processing Unit</t>
        </is>
      </c>
      <c r="C14077" t="inlineStr">
        <is>
          <t>Control Union Certifications Germany GmbH, Berlin, DE</t>
        </is>
      </c>
      <c r="D14077" t="inlineStr">
        <is>
          <t>30.09.2026</t>
        </is>
      </c>
      <c r="E14077" t="inlineStr">
        <is>
          <t>South Korea</t>
        </is>
      </c>
    </row>
    <row r="14078">
      <c r="A14078" t="inlineStr">
        <is>
          <t>SK On Co., Ltd. SK Enmove,  Jongno-gu, Seoul, South Korea</t>
        </is>
      </c>
      <c r="B14078" t="inlineStr">
        <is>
          <t>Trader with Storage</t>
        </is>
      </c>
      <c r="C14078" t="inlineStr">
        <is>
          <t>Control Union Certifications Germany GmbH, Berlin, DE</t>
        </is>
      </c>
      <c r="D14078" t="inlineStr">
        <is>
          <t>30.09.2026</t>
        </is>
      </c>
      <c r="E14078" t="inlineStr">
        <is>
          <t>South Korea</t>
        </is>
      </c>
    </row>
    <row r="14079">
      <c r="A14079" t="inlineStr">
        <is>
          <t>FCC Freistadt Abfall Service,  Freistadt, Austria</t>
        </is>
      </c>
      <c r="B14079" t="inlineStr">
        <is>
          <t>Collecting Point</t>
        </is>
      </c>
      <c r="C14079" t="inlineStr">
        <is>
          <t>agroVet GmbH, Enzersfeld, AT</t>
        </is>
      </c>
      <c r="D14079" t="inlineStr">
        <is>
          <t>30.09.2026</t>
        </is>
      </c>
      <c r="E14079" t="inlineStr">
        <is>
          <t>Austria</t>
        </is>
      </c>
    </row>
    <row r="14080">
      <c r="A14080" t="inlineStr">
        <is>
          <t>Lacovet,  Sleeuwijk, The Netherlands</t>
        </is>
      </c>
      <c r="B14080" t="inlineStr">
        <is>
          <t>Collecting Point</t>
        </is>
      </c>
      <c r="C14080" t="inlineStr">
        <is>
          <t>DEKRA Certification B.V., Arnhem, NL</t>
        </is>
      </c>
      <c r="D14080" t="inlineStr">
        <is>
          <t>30.09.2026</t>
        </is>
      </c>
      <c r="E14080" t="inlineStr">
        <is>
          <t>The Netherlands</t>
        </is>
      </c>
    </row>
    <row r="14081">
      <c r="A14081" t="inlineStr">
        <is>
          <t>Biodiesel Argent BV,  Amsterdam, Netherlands</t>
        </is>
      </c>
      <c r="B14081" t="inlineStr">
        <is>
          <t>Point of Origin, Trader with Storage, Processing Unit, Collecting Point</t>
        </is>
      </c>
      <c r="C14081" t="inlineStr">
        <is>
          <t>ASG Cert GmbH, Munich, DE</t>
        </is>
      </c>
      <c r="D14081" t="inlineStr">
        <is>
          <t>30.09.2026</t>
        </is>
      </c>
      <c r="E14081" t="inlineStr">
        <is>
          <t>Netherlands</t>
        </is>
      </c>
    </row>
    <row r="14082">
      <c r="A14082" t="inlineStr">
        <is>
          <t>Ineos Europe AG-Oligomers Division,  Feluy, Belgium</t>
        </is>
      </c>
      <c r="B14082" t="inlineStr">
        <is>
          <t>Processing Unit</t>
        </is>
      </c>
      <c r="C14082" t="inlineStr">
        <is>
          <t>SGS Germany GmbH, Emstek, DE</t>
        </is>
      </c>
      <c r="D14082" t="inlineStr">
        <is>
          <t>30.09.2026</t>
        </is>
      </c>
      <c r="E14082" t="inlineStr">
        <is>
          <t>Belgium</t>
        </is>
      </c>
    </row>
    <row r="14083">
      <c r="A14083" t="inlineStr">
        <is>
          <t>PT VICTORY CHINGLUH INDONESIA,  Kab. Tangerang , Provinsi Banten, Indonesia</t>
        </is>
      </c>
      <c r="B14083" t="inlineStr">
        <is>
          <t>Final Product Refinement</t>
        </is>
      </c>
      <c r="C14083" t="inlineStr">
        <is>
          <t>PT Intertek Utama Services, Jakarta, ID</t>
        </is>
      </c>
      <c r="D14083" t="inlineStr">
        <is>
          <t>30.09.2026</t>
        </is>
      </c>
      <c r="E14083" t="inlineStr">
        <is>
          <t>Indonesia</t>
        </is>
      </c>
    </row>
    <row r="14084">
      <c r="A14084" t="inlineStr">
        <is>
          <t>PT VICTORY CHINGLUH INDONESIA,  Kab. Tangerang , Provinsi Banten, Indonesia</t>
        </is>
      </c>
      <c r="B14084" t="inlineStr">
        <is>
          <t>Processing Unit</t>
        </is>
      </c>
      <c r="C14084" t="inlineStr">
        <is>
          <t>PT Intertek Utama Services, Jakarta, ID</t>
        </is>
      </c>
      <c r="D14084" t="inlineStr">
        <is>
          <t>30.09.2026</t>
        </is>
      </c>
      <c r="E14084" t="inlineStr">
        <is>
          <t>Indonesia</t>
        </is>
      </c>
    </row>
    <row r="14085">
      <c r="A14085" t="inlineStr">
        <is>
          <t>PT CHING LUH INDONESIA,  Kec. Cikupa, Kab. Tangerang, Indonesia</t>
        </is>
      </c>
      <c r="B14085" t="inlineStr">
        <is>
          <t>Final Product Refinement</t>
        </is>
      </c>
      <c r="C14085" t="inlineStr">
        <is>
          <t>PT Intertek Utama Services, Jakarta, ID</t>
        </is>
      </c>
      <c r="D14085" t="inlineStr">
        <is>
          <t>30.09.2026</t>
        </is>
      </c>
      <c r="E14085" t="inlineStr">
        <is>
          <t>Indonesia</t>
        </is>
      </c>
    </row>
    <row r="14086">
      <c r="A14086" t="inlineStr">
        <is>
          <t>Indorama Polypet Indonesia,  Cilegon, Indonesia</t>
        </is>
      </c>
      <c r="B14086" t="inlineStr">
        <is>
          <t>Processing Unit</t>
        </is>
      </c>
      <c r="C14086" t="inlineStr">
        <is>
          <t>PT Intertek Utama Services, Jakarta, ID</t>
        </is>
      </c>
      <c r="D14086" t="inlineStr">
        <is>
          <t>30.09.2026</t>
        </is>
      </c>
      <c r="E14086" t="inlineStr">
        <is>
          <t>Indonesia</t>
        </is>
      </c>
    </row>
    <row r="14087">
      <c r="A14087" t="inlineStr">
        <is>
          <t>Envalior nv,  Kallo, Belgium</t>
        </is>
      </c>
      <c r="B14087" t="inlineStr">
        <is>
          <t>Point of Origin, Processing Unit</t>
        </is>
      </c>
      <c r="C14087" t="inlineStr">
        <is>
          <t>TÜV NORD CERT GmbH, Essen, DE</t>
        </is>
      </c>
      <c r="D14087" t="inlineStr">
        <is>
          <t>30.09.2026</t>
        </is>
      </c>
      <c r="E14087" t="inlineStr">
        <is>
          <t>Belgium</t>
        </is>
      </c>
    </row>
    <row r="14088">
      <c r="A14088" t="inlineStr">
        <is>
          <t>Envalior Deutschland GmbH,  Krefeld, Germany</t>
        </is>
      </c>
      <c r="B14088" t="inlineStr">
        <is>
          <t>Processing Unit</t>
        </is>
      </c>
      <c r="C14088" t="inlineStr">
        <is>
          <t>TÜV NORD CERT GmbH, Essen, DE</t>
        </is>
      </c>
      <c r="D14088" t="inlineStr">
        <is>
          <t>30.09.2026</t>
        </is>
      </c>
      <c r="E14088" t="inlineStr">
        <is>
          <t>Germany</t>
        </is>
      </c>
    </row>
    <row r="14089">
      <c r="A14089" t="inlineStr">
        <is>
          <t>Cosun Beet Company - Green Energy,  Dinteloord, Netherlands</t>
        </is>
      </c>
      <c r="B14089" t="inlineStr">
        <is>
          <t>Point of Origin, Processing Unit</t>
        </is>
      </c>
      <c r="C14089" t="inlineStr">
        <is>
          <t>DEKRA Certification B.V., Arnhem, NL</t>
        </is>
      </c>
      <c r="D14089" t="inlineStr">
        <is>
          <t>30.09.2026</t>
        </is>
      </c>
      <c r="E14089" t="inlineStr">
        <is>
          <t>Netherlands</t>
        </is>
      </c>
    </row>
    <row r="14090">
      <c r="A14090" t="inlineStr">
        <is>
          <t>Envalior nv,  Antwerpen, Belgium</t>
        </is>
      </c>
      <c r="B14090" t="inlineStr">
        <is>
          <t>Processing Unit</t>
        </is>
      </c>
      <c r="C14090" t="inlineStr">
        <is>
          <t>TÜV NORD CERT GmbH, Essen, DE</t>
        </is>
      </c>
      <c r="D14090" t="inlineStr">
        <is>
          <t>30.09.2026</t>
        </is>
      </c>
      <c r="E14090" t="inlineStr">
        <is>
          <t>Belgium</t>
        </is>
      </c>
    </row>
    <row r="14091">
      <c r="A14091" t="inlineStr">
        <is>
          <t>Envalior nv,  Maastricht, Netherlands</t>
        </is>
      </c>
      <c r="B14091" t="inlineStr">
        <is>
          <t>Processing Unit</t>
        </is>
      </c>
      <c r="C14091" t="inlineStr">
        <is>
          <t>TÜV NORD CERT GmbH, Essen, DE</t>
        </is>
      </c>
      <c r="D14091" t="inlineStr">
        <is>
          <t>30.09.2026</t>
        </is>
      </c>
      <c r="E14091" t="inlineStr">
        <is>
          <t>Netherlands</t>
        </is>
      </c>
    </row>
    <row r="14092">
      <c r="A14092" t="inlineStr">
        <is>
          <t>Recykl Orgnizacja Odzysku SA O/Krosno Odrzańskie,  Krosno Odrzańskie, Poland</t>
        </is>
      </c>
      <c r="B14092" t="inlineStr">
        <is>
          <t>Collecting Point, Processing Unit</t>
        </is>
      </c>
      <c r="C14092" t="inlineStr">
        <is>
          <t>Control Union Poland Sp. z o.o., Zielona Gora, PL</t>
        </is>
      </c>
      <c r="D14092" t="inlineStr">
        <is>
          <t>30.09.2026</t>
        </is>
      </c>
      <c r="E14092" t="inlineStr">
        <is>
          <t>Poland</t>
        </is>
      </c>
    </row>
    <row r="14093">
      <c r="A14093" t="inlineStr">
        <is>
          <t>Zvalguva, UAB,  Panevežio r., Lithuania</t>
        </is>
      </c>
      <c r="B14093" t="inlineStr">
        <is>
          <t>First Gathering Point, Processing Unit, Trader with Storage</t>
        </is>
      </c>
      <c r="C14093" t="inlineStr">
        <is>
          <t>SGS Germany GmbH, Emstek, DE</t>
        </is>
      </c>
      <c r="D14093" t="inlineStr">
        <is>
          <t>30.09.2026</t>
        </is>
      </c>
      <c r="E14093" t="inlineStr">
        <is>
          <t>Lithuania</t>
        </is>
      </c>
    </row>
    <row r="14094">
      <c r="A14094" t="inlineStr">
        <is>
          <t>Archer Daniels Midland Company,  Decatur, United States</t>
        </is>
      </c>
      <c r="B14094" t="inlineStr">
        <is>
          <t>Collecting Point, Processing Unit</t>
        </is>
      </c>
      <c r="C14094" t="inlineStr">
        <is>
          <t>ASG Cert GmbH, Munich, DE</t>
        </is>
      </c>
      <c r="D14094" t="inlineStr">
        <is>
          <t>30.09.2026</t>
        </is>
      </c>
      <c r="E14094" t="inlineStr">
        <is>
          <t>United States</t>
        </is>
      </c>
    </row>
    <row r="14095">
      <c r="A14095" t="inlineStr">
        <is>
          <t>Tianjin Honor Green Energy Co., Ltd,  Binhai New Area, Tianjin, China</t>
        </is>
      </c>
      <c r="B14095" t="inlineStr">
        <is>
          <t>Trader with Storage</t>
        </is>
      </c>
      <c r="C14095" t="inlineStr">
        <is>
          <t>SCS Global Services, Emeryville, CA, US</t>
        </is>
      </c>
      <c r="D14095" t="inlineStr">
        <is>
          <t>30.09.2026</t>
        </is>
      </c>
      <c r="E14095" t="inlineStr">
        <is>
          <t>China</t>
        </is>
      </c>
    </row>
    <row r="14096">
      <c r="A14096" t="inlineStr">
        <is>
          <t>PT Binasawit Abadipratama,  Province Central Kalimantan, Indonesia, Indonesia</t>
        </is>
      </c>
      <c r="B14096" t="inlineStr">
        <is>
          <t>First Gathering Point, Processing Unit</t>
        </is>
      </c>
      <c r="C14096" t="inlineStr">
        <is>
          <t>PT Intertek Utama Services, Jakarta, ID</t>
        </is>
      </c>
      <c r="D14096" t="inlineStr">
        <is>
          <t>30.09.2026</t>
        </is>
      </c>
      <c r="E14096" t="inlineStr">
        <is>
          <t>Indonesia</t>
        </is>
      </c>
    </row>
    <row r="14097">
      <c r="A14097" t="inlineStr">
        <is>
          <t>Demeter Cormack PTY LTD,  Hope Valley, Australia</t>
        </is>
      </c>
      <c r="B14097" t="inlineStr">
        <is>
          <t>Trader with Storage</t>
        </is>
      </c>
      <c r="C14097" t="inlineStr">
        <is>
          <t>Control Union Certifications Germany GmbH, Berlin, DE</t>
        </is>
      </c>
      <c r="D14097" t="inlineStr">
        <is>
          <t>30.09.2026</t>
        </is>
      </c>
      <c r="E14097" t="inlineStr">
        <is>
          <t>Australia</t>
        </is>
      </c>
    </row>
    <row r="14098">
      <c r="A14098" t="inlineStr">
        <is>
          <t>ORLEN Deutschland GmbH,  Elmshorn, Germany</t>
        </is>
      </c>
      <c r="B14098" t="inlineStr">
        <is>
          <t>Trader with Storage</t>
        </is>
      </c>
      <c r="C14098" t="inlineStr">
        <is>
          <t>GUT Certifizierungsgesellschaft für Managementsysteme mbH Umweltgutachter, Berlin, DE</t>
        </is>
      </c>
      <c r="D14098" t="inlineStr">
        <is>
          <t>30.09.2026</t>
        </is>
      </c>
      <c r="E14098" t="inlineStr">
        <is>
          <t>Germany</t>
        </is>
      </c>
    </row>
    <row r="14099">
      <c r="A14099" t="inlineStr">
        <is>
          <t>Ekkokkistiria Imathias S.A.,  Alexandria Imathias, Greece</t>
        </is>
      </c>
      <c r="B14099" t="inlineStr">
        <is>
          <t>First Gathering Point, Processing Unit</t>
        </is>
      </c>
      <c r="C14099" t="inlineStr">
        <is>
          <t>QMSCERT S.A., Pylaia, Thessaloniki, GR</t>
        </is>
      </c>
      <c r="D14099" t="inlineStr">
        <is>
          <t>30.09.2026</t>
        </is>
      </c>
      <c r="E14099" t="inlineStr">
        <is>
          <t>Greece</t>
        </is>
      </c>
    </row>
    <row r="14100">
      <c r="A14100" t="inlineStr">
        <is>
          <t>TotalEnergies Petrochemicals &amp; Refining USA,  Carville, United States</t>
        </is>
      </c>
      <c r="B14100" t="inlineStr">
        <is>
          <t>Processing Unit</t>
        </is>
      </c>
      <c r="C14100" t="inlineStr">
        <is>
          <t>SCS Global Services, Emeryville, CA, US</t>
        </is>
      </c>
      <c r="D14100" t="inlineStr">
        <is>
          <t>30.09.2026</t>
        </is>
      </c>
      <c r="E14100" t="inlineStr">
        <is>
          <t>United States</t>
        </is>
      </c>
    </row>
    <row r="14101">
      <c r="A14101" t="inlineStr">
        <is>
          <t>TotalEnergies Petrochemicals &amp; Refining USA,  Carville, United States</t>
        </is>
      </c>
      <c r="B14101" t="inlineStr">
        <is>
          <t>Collecting Point, Processing Unit</t>
        </is>
      </c>
      <c r="C14101" t="inlineStr">
        <is>
          <t>SCS Global Services, Emeryville, CA, US</t>
        </is>
      </c>
      <c r="D14101" t="inlineStr">
        <is>
          <t>30.09.2026</t>
        </is>
      </c>
      <c r="E14101" t="inlineStr">
        <is>
          <t>United States</t>
        </is>
      </c>
    </row>
    <row r="14102">
      <c r="A14102" t="inlineStr">
        <is>
          <t>Sabic Petrochemicals Holding US,  Carville, United States</t>
        </is>
      </c>
      <c r="B14102" t="inlineStr">
        <is>
          <t>Trader, Trader with Storage, Processing Unit</t>
        </is>
      </c>
      <c r="C14102" t="inlineStr">
        <is>
          <t>SCS Global Services, Emeryville, CA, US</t>
        </is>
      </c>
      <c r="D14102" t="inlineStr">
        <is>
          <t>30.09.2026</t>
        </is>
      </c>
      <c r="E14102" t="inlineStr">
        <is>
          <t>United States</t>
        </is>
      </c>
    </row>
    <row r="14103">
      <c r="A14103" t="inlineStr">
        <is>
          <t>Bintang Sawit Cemerlang,  Deli Serdang, Indonesia</t>
        </is>
      </c>
      <c r="B14103" t="inlineStr">
        <is>
          <t>Point of Origin</t>
        </is>
      </c>
      <c r="C14103" t="inlineStr">
        <is>
          <t>PT. Qualitas Sertifikasi Indonesia, Jakarta, ID</t>
        </is>
      </c>
      <c r="D14103" t="inlineStr">
        <is>
          <t>30.09.2026</t>
        </is>
      </c>
      <c r="E14103" t="inlineStr">
        <is>
          <t>Indonesia</t>
        </is>
      </c>
    </row>
    <row r="14104">
      <c r="A14104" t="inlineStr">
        <is>
          <t>Bio Inti Agrindo,  Merauke, Indonesia</t>
        </is>
      </c>
      <c r="B14104" t="inlineStr">
        <is>
          <t>Point of Origin</t>
        </is>
      </c>
      <c r="C14104" t="inlineStr">
        <is>
          <t>PT Intertek Utama Services, Jakarta, ID</t>
        </is>
      </c>
      <c r="D14104" t="inlineStr">
        <is>
          <t>30.09.2026</t>
        </is>
      </c>
      <c r="E14104" t="inlineStr">
        <is>
          <t>Indonesia</t>
        </is>
      </c>
    </row>
    <row r="14105">
      <c r="A14105" t="inlineStr">
        <is>
          <t>Bio Inti Agrindo,  Merauke, Indonesia</t>
        </is>
      </c>
      <c r="B14105" t="inlineStr">
        <is>
          <t>Point of Origin</t>
        </is>
      </c>
      <c r="C14105" t="inlineStr">
        <is>
          <t>PT Intertek Utama Services, Jakarta, ID</t>
        </is>
      </c>
      <c r="D14105" t="inlineStr">
        <is>
          <t>30.09.2026</t>
        </is>
      </c>
      <c r="E14105" t="inlineStr">
        <is>
          <t>Indonesia</t>
        </is>
      </c>
    </row>
    <row r="14106">
      <c r="A14106" t="inlineStr">
        <is>
          <t>Tapì,  Campodarsego (PD), Italy</t>
        </is>
      </c>
      <c r="B14106" t="inlineStr">
        <is>
          <t>Processing Unit, Trader</t>
        </is>
      </c>
      <c r="C14106" t="inlineStr">
        <is>
          <t>PT Intertek Utama Services, Jakarta, ID</t>
        </is>
      </c>
      <c r="D14106" t="inlineStr">
        <is>
          <t>30.09.2026</t>
        </is>
      </c>
      <c r="E14106" t="inlineStr">
        <is>
          <t>Italy</t>
        </is>
      </c>
    </row>
    <row r="14107">
      <c r="A14107" t="inlineStr">
        <is>
          <t>Te Vogt Riooltechniek,  Groenlo, The Netherlands</t>
        </is>
      </c>
      <c r="B14107" t="inlineStr">
        <is>
          <t>Collecting Point, Trader with Storage</t>
        </is>
      </c>
      <c r="C14107" t="inlineStr">
        <is>
          <t>DEKRA Certification B.V., Arnhem, NL</t>
        </is>
      </c>
      <c r="D14107" t="inlineStr">
        <is>
          <t>30.09.2026</t>
        </is>
      </c>
      <c r="E14107" t="inlineStr">
        <is>
          <t>The Netherlands</t>
        </is>
      </c>
    </row>
    <row r="14108">
      <c r="A14108" t="inlineStr">
        <is>
          <t>Petraco Energies DMCC,  Dubai, United Arab Emirates</t>
        </is>
      </c>
      <c r="B14108" t="inlineStr">
        <is>
          <t>Trader with Storage</t>
        </is>
      </c>
      <c r="C14108" t="inlineStr">
        <is>
          <t>PT Intertek Utama Services, Jakarta, ID</t>
        </is>
      </c>
      <c r="D14108" t="inlineStr">
        <is>
          <t>30.09.2026</t>
        </is>
      </c>
      <c r="E14108" t="inlineStr">
        <is>
          <t>United Arab Emirates</t>
        </is>
      </c>
    </row>
    <row r="14109">
      <c r="A14109" t="inlineStr">
        <is>
          <t>Planet Earth Recycling Ltd,  Bradford, United Kingdom</t>
        </is>
      </c>
      <c r="B14109" t="inlineStr">
        <is>
          <t>Trader with Storage, Collecting Point</t>
        </is>
      </c>
      <c r="C14109" t="inlineStr">
        <is>
          <t>BM Certification, Riga, LV</t>
        </is>
      </c>
      <c r="D14109" t="inlineStr">
        <is>
          <t>30.09.2026</t>
        </is>
      </c>
      <c r="E14109" t="inlineStr">
        <is>
          <t>United Kingdom</t>
        </is>
      </c>
    </row>
    <row r="14110">
      <c r="A14110" t="inlineStr">
        <is>
          <t>Shell Aviation Finland Oy,  Vantaa, Finland</t>
        </is>
      </c>
      <c r="B14110" t="inlineStr">
        <is>
          <t>Trader with Storage, Proof of Compliance Trader</t>
        </is>
      </c>
      <c r="C14110" t="inlineStr">
        <is>
          <t>SGS Germany GmbH, Emstek, DE</t>
        </is>
      </c>
      <c r="D14110" t="inlineStr">
        <is>
          <t>30.09.2026</t>
        </is>
      </c>
      <c r="E14110" t="inlineStr">
        <is>
          <t>Finland</t>
        </is>
      </c>
    </row>
    <row r="14111">
      <c r="A14111" t="inlineStr">
        <is>
          <t>CONTAINER SERVICE GIELEN,  Genk, Belgium</t>
        </is>
      </c>
      <c r="B14111" t="inlineStr">
        <is>
          <t>Collecting Point</t>
        </is>
      </c>
      <c r="C14111" t="inlineStr">
        <is>
          <t>DEKRA Certification B.V., Arnhem, NL</t>
        </is>
      </c>
      <c r="D14111" t="inlineStr">
        <is>
          <t>30.09.2026</t>
        </is>
      </c>
      <c r="E14111" t="inlineStr">
        <is>
          <t>Belgium</t>
        </is>
      </c>
    </row>
    <row r="14112">
      <c r="A14112" t="inlineStr">
        <is>
          <t>Cepsa Portuguesa de Petróleos,  Matosinhos, Portugal</t>
        </is>
      </c>
      <c r="B14112" t="inlineStr">
        <is>
          <t>Trader with Storage</t>
        </is>
      </c>
      <c r="C14112" t="inlineStr">
        <is>
          <t>Control Union Poland Sp. z o.o., Zielona Gora, PL</t>
        </is>
      </c>
      <c r="D14112" t="inlineStr">
        <is>
          <t>30.09.2026</t>
        </is>
      </c>
      <c r="E14112" t="inlineStr">
        <is>
          <t>Portugal</t>
        </is>
      </c>
    </row>
    <row r="14113">
      <c r="A14113" t="inlineStr">
        <is>
          <t>Bónusz Agro Szövetkezet,  Sajóvámos, Hungary</t>
        </is>
      </c>
      <c r="B14113" t="inlineStr">
        <is>
          <t>First Gathering Point</t>
        </is>
      </c>
      <c r="C14113" t="inlineStr">
        <is>
          <t>Certificadora Gallega del Noroeste SL, Vilagarcia de Arousa-Pontevedra, ES</t>
        </is>
      </c>
      <c r="D14113" t="inlineStr">
        <is>
          <t>30.09.2026</t>
        </is>
      </c>
      <c r="E14113" t="inlineStr">
        <is>
          <t>Hungary</t>
        </is>
      </c>
    </row>
    <row r="14114">
      <c r="A14114" t="inlineStr">
        <is>
          <t>Zakład Przetwórstwa Mięsnego Leszek Różanski,  Lututów, Poland</t>
        </is>
      </c>
      <c r="B14114" t="inlineStr">
        <is>
          <t>Point of Origin, Collecting Point, Trader with Storage</t>
        </is>
      </c>
      <c r="C14114" t="inlineStr">
        <is>
          <t>Control Union Poland Sp. z o.o., Zielona Gora, PL</t>
        </is>
      </c>
      <c r="D14114" t="inlineStr">
        <is>
          <t>30.09.2026</t>
        </is>
      </c>
      <c r="E14114" t="inlineStr">
        <is>
          <t>Poland</t>
        </is>
      </c>
    </row>
    <row r="14115">
      <c r="A14115" t="inlineStr">
        <is>
          <t>ZOLOCHIV INVEST LLC,  Vapniarka, Ukraine</t>
        </is>
      </c>
      <c r="B14115" t="inlineStr">
        <is>
          <t>First Gathering Point, Processing Unit</t>
        </is>
      </c>
      <c r="C14115" t="inlineStr">
        <is>
          <t>Aciter Genelab LLC, Odessa, UA</t>
        </is>
      </c>
      <c r="D14115" t="inlineStr">
        <is>
          <t>30.09.2026</t>
        </is>
      </c>
      <c r="E14115" t="inlineStr">
        <is>
          <t>Ukraine</t>
        </is>
      </c>
    </row>
    <row r="14116">
      <c r="A14116" t="inlineStr">
        <is>
          <t>Thai Nam Poly Pack co.,ltd.,  Thamai, Krathumbaen, Samutsakorn, Thailand</t>
        </is>
      </c>
      <c r="B14116" t="inlineStr">
        <is>
          <t>Processing Unit</t>
        </is>
      </c>
      <c r="C14116" t="inlineStr">
        <is>
          <t>SGS Germany GmbH, Emstek, DE</t>
        </is>
      </c>
      <c r="D14116" t="inlineStr">
        <is>
          <t>30.09.2026</t>
        </is>
      </c>
      <c r="E14116" t="inlineStr">
        <is>
          <t>Thailand</t>
        </is>
      </c>
    </row>
    <row r="14117">
      <c r="A14117" t="inlineStr">
        <is>
          <t>World Energy Clean Fuels,  Boston, United States</t>
        </is>
      </c>
      <c r="B14117" t="inlineStr">
        <is>
          <t>Trader with Storage</t>
        </is>
      </c>
      <c r="C14117" t="inlineStr">
        <is>
          <t>SCS Global Services, Emeryville, CA, US</t>
        </is>
      </c>
      <c r="D14117" t="inlineStr">
        <is>
          <t>30.09.2026</t>
        </is>
      </c>
      <c r="E14117" t="inlineStr">
        <is>
          <t>United States</t>
        </is>
      </c>
    </row>
    <row r="14118">
      <c r="A14118" t="inlineStr">
        <is>
          <t>World Energy Clean Fuels,  Boston, United States</t>
        </is>
      </c>
      <c r="B14118" t="inlineStr">
        <is>
          <t>Trader with Storage</t>
        </is>
      </c>
      <c r="C14118" t="inlineStr">
        <is>
          <t>SCS Global Services, Emeryville, CA, US</t>
        </is>
      </c>
      <c r="D14118" t="inlineStr">
        <is>
          <t>30.09.2026</t>
        </is>
      </c>
      <c r="E14118" t="inlineStr">
        <is>
          <t>United States</t>
        </is>
      </c>
    </row>
    <row r="14119">
      <c r="A14119" t="inlineStr">
        <is>
          <t>geobra Brandstätter Stiftung &amp; Co. KG,  Dietenhofen, Germany</t>
        </is>
      </c>
      <c r="B14119" t="inlineStr">
        <is>
          <t>Final Product Refinement, Processing Unit</t>
        </is>
      </c>
      <c r="C14119" t="inlineStr">
        <is>
          <t>DIN CERTCO GmbH, Berlin, DE</t>
        </is>
      </c>
      <c r="D14119" t="inlineStr">
        <is>
          <t>30.09.2026</t>
        </is>
      </c>
      <c r="E14119" t="inlineStr">
        <is>
          <t>Germany</t>
        </is>
      </c>
    </row>
    <row r="14120">
      <c r="A14120" t="inlineStr">
        <is>
          <t>geobra Brandstätter Stiftung &amp; Co. KG,  Zirndorf, Germany</t>
        </is>
      </c>
      <c r="B14120" t="inlineStr">
        <is>
          <t>Trader with Storage</t>
        </is>
      </c>
      <c r="C14120" t="inlineStr">
        <is>
          <t>DIN CERTCO GmbH, Berlin, DE</t>
        </is>
      </c>
      <c r="D14120" t="inlineStr">
        <is>
          <t>30.09.2026</t>
        </is>
      </c>
      <c r="E14120" t="inlineStr">
        <is>
          <t>Germany</t>
        </is>
      </c>
    </row>
    <row r="14121">
      <c r="A14121" t="inlineStr">
        <is>
          <t>E.B. Wakeman Company,  Huron, United States</t>
        </is>
      </c>
      <c r="B14121" t="inlineStr">
        <is>
          <t>Trader, Collecting Point</t>
        </is>
      </c>
      <c r="C14121" t="inlineStr">
        <is>
          <t>SCS Global Services, Emeryville, CA, US</t>
        </is>
      </c>
      <c r="D14121" t="inlineStr">
        <is>
          <t>30.09.2026</t>
        </is>
      </c>
      <c r="E14121" t="inlineStr">
        <is>
          <t>United States</t>
        </is>
      </c>
    </row>
    <row r="14122">
      <c r="A14122" t="inlineStr">
        <is>
          <t>E.B. Wakeman Company,  Huron, United States</t>
        </is>
      </c>
      <c r="B14122" t="inlineStr">
        <is>
          <t>Trader, Collecting Point</t>
        </is>
      </c>
      <c r="C14122" t="inlineStr">
        <is>
          <t>SCS Global Services, Emeryville, CA, US</t>
        </is>
      </c>
      <c r="D14122" t="inlineStr">
        <is>
          <t>30.09.2026</t>
        </is>
      </c>
      <c r="E14122" t="inlineStr">
        <is>
          <t>United States</t>
        </is>
      </c>
    </row>
    <row r="14123">
      <c r="A14123" t="inlineStr">
        <is>
          <t>UAB FOX trading,  Vilnius, Lithuania</t>
        </is>
      </c>
      <c r="B14123" t="inlineStr">
        <is>
          <t>Trader</t>
        </is>
      </c>
      <c r="C14123" t="inlineStr">
        <is>
          <t>Bureau Veritas Polska Sp. z o.o., Warsaw, PL</t>
        </is>
      </c>
      <c r="D14123" t="inlineStr">
        <is>
          <t>29.09.2026</t>
        </is>
      </c>
      <c r="E14123" t="inlineStr">
        <is>
          <t>Lithuania</t>
        </is>
      </c>
    </row>
    <row r="14124">
      <c r="A14124" t="inlineStr">
        <is>
          <t>Kassandra Esenciasol,  Puente Genil, Córdoba, Spain</t>
        </is>
      </c>
      <c r="B14124" t="inlineStr">
        <is>
          <t>Point of Origin</t>
        </is>
      </c>
      <c r="C14124" t="inlineStr">
        <is>
          <t>Bureau Veritas Polska Sp. z o.o., Warsaw, PL</t>
        </is>
      </c>
      <c r="D14124" t="inlineStr">
        <is>
          <t>29.09.2026</t>
        </is>
      </c>
      <c r="E14124" t="inlineStr">
        <is>
          <t>Spain</t>
        </is>
      </c>
    </row>
    <row r="14125">
      <c r="A14125" t="inlineStr">
        <is>
          <t>Map Ta Phut Olefins Company Limited,  Rayong, Thailand</t>
        </is>
      </c>
      <c r="B14125" t="inlineStr">
        <is>
          <t>Processing Unit, Collecting Point</t>
        </is>
      </c>
      <c r="C14125" t="inlineStr">
        <is>
          <t>SGS Germany GmbH, Emstek, DE</t>
        </is>
      </c>
      <c r="D14125" t="inlineStr">
        <is>
          <t>29.09.2026</t>
        </is>
      </c>
      <c r="E14125" t="inlineStr">
        <is>
          <t>Thailand</t>
        </is>
      </c>
    </row>
    <row r="14126">
      <c r="A14126" t="inlineStr">
        <is>
          <t>Hanwha Solutions Corporation(Ulsan Plant),  Nam-gu, Ulsan, Korea, Republic of</t>
        </is>
      </c>
      <c r="B14126" t="inlineStr">
        <is>
          <t>Processing Unit</t>
        </is>
      </c>
      <c r="C14126" t="inlineStr">
        <is>
          <t>Control Union Certifications Germany GmbH, Berlin, DE</t>
        </is>
      </c>
      <c r="D14126" t="inlineStr">
        <is>
          <t>29.09.2026</t>
        </is>
      </c>
      <c r="E14126" t="inlineStr">
        <is>
          <t>Republic of</t>
        </is>
      </c>
    </row>
    <row r="14127">
      <c r="A14127" t="inlineStr">
        <is>
          <t>Hanwha Solutions Corporation(Yeosu Plant),  Yeosu, Korea, Republic of</t>
        </is>
      </c>
      <c r="B14127" t="inlineStr">
        <is>
          <t>Processing Unit</t>
        </is>
      </c>
      <c r="C14127" t="inlineStr">
        <is>
          <t>Control Union Certifications Germany GmbH, Berlin, DE</t>
        </is>
      </c>
      <c r="D14127" t="inlineStr">
        <is>
          <t>29.09.2026</t>
        </is>
      </c>
      <c r="E14127" t="inlineStr">
        <is>
          <t>Republic of</t>
        </is>
      </c>
    </row>
    <row r="14128">
      <c r="A14128" t="inlineStr">
        <is>
          <t>Hanwha Solutions,  Jung-gu, Seoul, Korea, Republic of</t>
        </is>
      </c>
      <c r="B14128" t="inlineStr">
        <is>
          <t>Trader</t>
        </is>
      </c>
      <c r="C14128" t="inlineStr">
        <is>
          <t>Control Union Certifications Germany GmbH, Berlin, DE</t>
        </is>
      </c>
      <c r="D14128" t="inlineStr">
        <is>
          <t>29.09.2026</t>
        </is>
      </c>
      <c r="E14128" t="inlineStr">
        <is>
          <t>Republic of</t>
        </is>
      </c>
    </row>
    <row r="14129">
      <c r="A14129" t="inlineStr">
        <is>
          <t>Yakult Honsha Co.,Ltd.,  Kanzaki-shi, Saga, Japan</t>
        </is>
      </c>
      <c r="B14129" t="inlineStr">
        <is>
          <t>Final Product Refinement, Processing Unit</t>
        </is>
      </c>
      <c r="C14129" t="inlineStr">
        <is>
          <t>SGS Germany GmbH, Emstek, DE</t>
        </is>
      </c>
      <c r="D14129" t="inlineStr">
        <is>
          <t>29.09.2026</t>
        </is>
      </c>
      <c r="E14129" t="inlineStr">
        <is>
          <t>Japan</t>
        </is>
      </c>
    </row>
    <row r="14130">
      <c r="A14130" t="inlineStr">
        <is>
          <t>Polymer-Chemie,  Bad Sobernheim, Germany</t>
        </is>
      </c>
      <c r="B14130" t="inlineStr">
        <is>
          <t>Processing Unit</t>
        </is>
      </c>
      <c r="C14130" t="inlineStr">
        <is>
          <t>SGS Germany GmbH, Emstek, DE</t>
        </is>
      </c>
      <c r="D14130" t="inlineStr">
        <is>
          <t>29.09.2026</t>
        </is>
      </c>
      <c r="E14130" t="inlineStr">
        <is>
          <t>Germany</t>
        </is>
      </c>
    </row>
    <row r="14131">
      <c r="A14131" t="inlineStr">
        <is>
          <t>ZHEJIANG Z&amp;Z INDUSTRIAL CO.,LTD.,  Yuyao City., China</t>
        </is>
      </c>
      <c r="B14131" t="inlineStr">
        <is>
          <t>Processing Unit</t>
        </is>
      </c>
      <c r="C14131" t="inlineStr">
        <is>
          <t>China Quality Certification Centre Co., Ltd., Beijing, CN</t>
        </is>
      </c>
      <c r="D14131" t="inlineStr">
        <is>
          <t>29.09.2026</t>
        </is>
      </c>
      <c r="E14131" t="inlineStr">
        <is>
          <t>China</t>
        </is>
      </c>
    </row>
    <row r="14132">
      <c r="A14132" t="inlineStr">
        <is>
          <t>Miotto Cereali,  Vescovana (PD), Italy</t>
        </is>
      </c>
      <c r="B14132" t="inlineStr">
        <is>
          <t>First Gathering Point</t>
        </is>
      </c>
      <c r="C14132" t="inlineStr">
        <is>
          <t>CSQA Certificazioni Srl, Thiene, IT</t>
        </is>
      </c>
      <c r="D14132" t="inlineStr">
        <is>
          <t>29.09.2026</t>
        </is>
      </c>
      <c r="E14132" t="inlineStr">
        <is>
          <t>Italy</t>
        </is>
      </c>
    </row>
    <row r="14133">
      <c r="A14133" t="inlineStr">
        <is>
          <t>Rex Commodities Pte Ltd.,  Singapore, Singapore</t>
        </is>
      </c>
      <c r="B14133" t="inlineStr">
        <is>
          <t>Trader with Storage</t>
        </is>
      </c>
      <c r="C14133" t="inlineStr">
        <is>
          <t>SCS Global Services, Emeryville, CA, US</t>
        </is>
      </c>
      <c r="D14133" t="inlineStr">
        <is>
          <t>29.09.2026</t>
        </is>
      </c>
      <c r="E14133" t="inlineStr">
        <is>
          <t>Singapore</t>
        </is>
      </c>
    </row>
    <row r="14134">
      <c r="A14134" t="inlineStr">
        <is>
          <t>Hamada Kagaku Co., Ltd.,  Amagasaki-City, Hyogo, Japan</t>
        </is>
      </c>
      <c r="B14134" t="inlineStr">
        <is>
          <t>Collecting Point, Trader with Storage, Processing Unit</t>
        </is>
      </c>
      <c r="C14134" t="inlineStr">
        <is>
          <t>PT. Qualitas Sertifikasi Indonesia, Jakarta, ID</t>
        </is>
      </c>
      <c r="D14134" t="inlineStr">
        <is>
          <t>29.09.2026</t>
        </is>
      </c>
      <c r="E14134" t="inlineStr">
        <is>
          <t>Japan</t>
        </is>
      </c>
    </row>
    <row r="14135">
      <c r="A14135" t="inlineStr">
        <is>
          <t>WINSOME HARVEST PALM OIL MILL SDN. BHD,  Semporna, Malaysia</t>
        </is>
      </c>
      <c r="B14135" t="inlineStr">
        <is>
          <t>Point of Origin</t>
        </is>
      </c>
      <c r="C14135" t="inlineStr">
        <is>
          <t>TÜV NORD CERT GmbH, Essen, DE</t>
        </is>
      </c>
      <c r="D14135" t="inlineStr">
        <is>
          <t>29.09.2026</t>
        </is>
      </c>
      <c r="E14135" t="inlineStr">
        <is>
          <t>Malaysia</t>
        </is>
      </c>
    </row>
    <row r="14136">
      <c r="A14136" t="inlineStr">
        <is>
          <t>Dow Europe GmbH,  Schkopau, Germany</t>
        </is>
      </c>
      <c r="B14136" t="inlineStr">
        <is>
          <t>Processing Unit</t>
        </is>
      </c>
      <c r="C14136" t="inlineStr">
        <is>
          <t>SGS Germany GmbH, Emstek, DE</t>
        </is>
      </c>
      <c r="D14136" t="inlineStr">
        <is>
          <t>29.09.2026</t>
        </is>
      </c>
      <c r="E14136" t="inlineStr">
        <is>
          <t>Germany</t>
        </is>
      </c>
    </row>
    <row r="14137">
      <c r="A14137" t="inlineStr">
        <is>
          <t>Hamada Kagaku Co., Ltd.,  Amagasaki-City, Hyogo, Japan</t>
        </is>
      </c>
      <c r="B14137" t="inlineStr">
        <is>
          <t>Collecting Point, Trader with Storage</t>
        </is>
      </c>
      <c r="C14137" t="inlineStr">
        <is>
          <t>PT. Qualitas Sertifikasi Indonesia, Jakarta, ID</t>
        </is>
      </c>
      <c r="D14137" t="inlineStr">
        <is>
          <t>29.09.2026</t>
        </is>
      </c>
      <c r="E14137" t="inlineStr">
        <is>
          <t>Japan</t>
        </is>
      </c>
    </row>
    <row r="14138">
      <c r="A14138" t="inlineStr">
        <is>
          <t>St1 Biokraft AS,  Skogn, Norway</t>
        </is>
      </c>
      <c r="B14138" t="inlineStr">
        <is>
          <t>Trader, Processing Unit, Collecting Point, Point of Origin</t>
        </is>
      </c>
      <c r="C14138" t="inlineStr">
        <is>
          <t>DEKRA Certification B.V., Arnhem, NL</t>
        </is>
      </c>
      <c r="D14138" t="inlineStr">
        <is>
          <t>29.09.2026</t>
        </is>
      </c>
      <c r="E14138" t="inlineStr">
        <is>
          <t>Norway</t>
        </is>
      </c>
    </row>
    <row r="14139">
      <c r="A14139" t="inlineStr">
        <is>
          <t>SecAnim GmbH,  Lünen, Germany</t>
        </is>
      </c>
      <c r="B14139" t="inlineStr">
        <is>
          <t>Point of Origin</t>
        </is>
      </c>
      <c r="C14139" t="inlineStr">
        <is>
          <t>GUT Certifizierungsgesellschaft für Managementsysteme mbH Umweltgutachter, Berlin, DE</t>
        </is>
      </c>
      <c r="D14139" t="inlineStr">
        <is>
          <t>29.09.2026</t>
        </is>
      </c>
      <c r="E14139" t="inlineStr">
        <is>
          <t>Germany</t>
        </is>
      </c>
    </row>
    <row r="14140">
      <c r="A14140" t="inlineStr">
        <is>
          <t>Ming Shiuan Fine Chemical Co., Ltd.,  Liouying Dist., Tainan City, Taiwan, Province of China</t>
        </is>
      </c>
      <c r="B14140" t="inlineStr">
        <is>
          <t>Collecting Point, Processing Unit, Trader with Storage</t>
        </is>
      </c>
      <c r="C14140" t="inlineStr">
        <is>
          <t>Bureau Veritas Consumer Products Services, Inc., Littleton, MA, US</t>
        </is>
      </c>
      <c r="D14140" t="inlineStr">
        <is>
          <t>29.09.2026</t>
        </is>
      </c>
      <c r="E14140" t="inlineStr">
        <is>
          <t>Province of China</t>
        </is>
      </c>
    </row>
    <row r="14141">
      <c r="A14141" t="inlineStr">
        <is>
          <t>LI PENG ENTERPRISE CO., LTD.,  Fangyuan Township, Changhua County, Taiwan, Province of China</t>
        </is>
      </c>
      <c r="B14141" t="inlineStr">
        <is>
          <t>Processing Unit</t>
        </is>
      </c>
      <c r="C14141" t="inlineStr">
        <is>
          <t>Bureau Veritas Consumer Products Services, Inc., Littleton, MA, US</t>
        </is>
      </c>
      <c r="D14141" t="inlineStr">
        <is>
          <t>29.09.2026</t>
        </is>
      </c>
      <c r="E14141" t="inlineStr">
        <is>
          <t>Province of China</t>
        </is>
      </c>
    </row>
    <row r="14142">
      <c r="A14142" t="inlineStr">
        <is>
          <t>LEALEA ENTERPRISE CO., LTD.,  Fangyuan Township, Changhua County, Taiwan, Province of China</t>
        </is>
      </c>
      <c r="B14142" t="inlineStr">
        <is>
          <t>Processing Unit</t>
        </is>
      </c>
      <c r="C14142" t="inlineStr">
        <is>
          <t>Bureau Veritas Consumer Products Services, Inc., Littleton, MA, US</t>
        </is>
      </c>
      <c r="D14142" t="inlineStr">
        <is>
          <t>29.09.2026</t>
        </is>
      </c>
      <c r="E14142" t="inlineStr">
        <is>
          <t>Province of China</t>
        </is>
      </c>
    </row>
    <row r="14143">
      <c r="A14143" t="inlineStr">
        <is>
          <t>EE Corporation Japan,  Kurume, Fukuoka, Japan</t>
        </is>
      </c>
      <c r="B14143" t="inlineStr">
        <is>
          <t>Collecting Point, Trader</t>
        </is>
      </c>
      <c r="C14143" t="inlineStr">
        <is>
          <t>Korean Foundation for Quality, Songpa-gu, Seoul, KR</t>
        </is>
      </c>
      <c r="D14143" t="inlineStr">
        <is>
          <t>29.09.2026</t>
        </is>
      </c>
      <c r="E14143" t="inlineStr">
        <is>
          <t>Japan</t>
        </is>
      </c>
    </row>
    <row r="14144">
      <c r="A14144" t="inlineStr">
        <is>
          <t>Shell International Trading Middle East Limited FZE,  Dubai, United Arab Emirates</t>
        </is>
      </c>
      <c r="B14144" t="inlineStr">
        <is>
          <t>Trader</t>
        </is>
      </c>
      <c r="C14144" t="inlineStr">
        <is>
          <t>Trans Certification and Inspection Sdn Bhd, Kuantan, MY</t>
        </is>
      </c>
      <c r="D14144" t="inlineStr">
        <is>
          <t>29.09.2026</t>
        </is>
      </c>
      <c r="E14144" t="inlineStr">
        <is>
          <t>United Arab Emirates</t>
        </is>
      </c>
    </row>
    <row r="14145">
      <c r="A14145" t="inlineStr">
        <is>
          <t>Biomeso Oil Sdn Bhd,  KUANTAN, PAHANG, Malaysia</t>
        </is>
      </c>
      <c r="B14145" t="inlineStr">
        <is>
          <t>Collecting Point, Trader, Trader with Storage</t>
        </is>
      </c>
      <c r="C14145" t="inlineStr">
        <is>
          <t>Global Gateway Certifications Sdn Bhd, Ampang, MY</t>
        </is>
      </c>
      <c r="D14145" t="inlineStr">
        <is>
          <t>29.09.2026</t>
        </is>
      </c>
      <c r="E14145" t="inlineStr">
        <is>
          <t>Malaysia</t>
        </is>
      </c>
    </row>
    <row r="14146">
      <c r="A14146" t="inlineStr">
        <is>
          <t>Shell Eastern Trading (PTE) Ltd- Shell LNG division,  Singapore, Singapore</t>
        </is>
      </c>
      <c r="B14146" t="inlineStr">
        <is>
          <t>Trader with Storage</t>
        </is>
      </c>
      <c r="C14146" t="inlineStr">
        <is>
          <t>Trans Certification and Inspection Sdn Bhd, Kuantan, MY</t>
        </is>
      </c>
      <c r="D14146" t="inlineStr">
        <is>
          <t>29.09.2026</t>
        </is>
      </c>
      <c r="E14146" t="inlineStr">
        <is>
          <t>Singapore</t>
        </is>
      </c>
    </row>
    <row r="14147">
      <c r="A14147" t="inlineStr">
        <is>
          <t>Asahi Kasei Corporation,  Kurashiki, Okayama, Japan</t>
        </is>
      </c>
      <c r="B14147" t="inlineStr">
        <is>
          <t>Processing Unit</t>
        </is>
      </c>
      <c r="C14147" t="inlineStr">
        <is>
          <t>Control Union Certifications Germany GmbH, Berlin, DE</t>
        </is>
      </c>
      <c r="D14147" t="inlineStr">
        <is>
          <t>29.09.2026</t>
        </is>
      </c>
      <c r="E14147" t="inlineStr">
        <is>
          <t>Japan</t>
        </is>
      </c>
    </row>
    <row r="14148">
      <c r="A14148" t="inlineStr">
        <is>
          <t>Shell Eastern Trading (PTE) Ltd- Shell LNG division,  Singapore, Singapore</t>
        </is>
      </c>
      <c r="B14148" t="inlineStr">
        <is>
          <t>Trader with Storage</t>
        </is>
      </c>
      <c r="C14148" t="inlineStr">
        <is>
          <t>Trans Certification and Inspection Sdn Bhd, Kuantan, MY</t>
        </is>
      </c>
      <c r="D14148" t="inlineStr">
        <is>
          <t>29.09.2026</t>
        </is>
      </c>
      <c r="E14148" t="inlineStr">
        <is>
          <t>Singapore</t>
        </is>
      </c>
    </row>
    <row r="14149">
      <c r="A14149" t="inlineStr">
        <is>
          <t>Zhejiang Fangshi Optical Manufacturing Co., Ltd,  RUIAN, China</t>
        </is>
      </c>
      <c r="B14149" t="inlineStr">
        <is>
          <t>Final Product Refinement</t>
        </is>
      </c>
      <c r="C14149" t="inlineStr">
        <is>
          <t>PT Intertek Utama Services, Jakarta, ID</t>
        </is>
      </c>
      <c r="D14149" t="inlineStr">
        <is>
          <t>29.09.2026</t>
        </is>
      </c>
      <c r="E14149" t="inlineStr">
        <is>
          <t>China</t>
        </is>
      </c>
    </row>
    <row r="14150">
      <c r="A14150" t="inlineStr">
        <is>
          <t>Shell International Trading Middle East Limited FZE,  Dubai, United Arab Emirates</t>
        </is>
      </c>
      <c r="B14150" t="inlineStr">
        <is>
          <t>Trader</t>
        </is>
      </c>
      <c r="C14150" t="inlineStr">
        <is>
          <t>Trans Certification and Inspection Sdn Bhd, Kuantan, MY</t>
        </is>
      </c>
      <c r="D14150" t="inlineStr">
        <is>
          <t>29.09.2026</t>
        </is>
      </c>
      <c r="E14150" t="inlineStr">
        <is>
          <t>United Arab Emirates</t>
        </is>
      </c>
    </row>
    <row r="14151">
      <c r="A14151" t="inlineStr">
        <is>
          <t>Re Sergio Recycling SRL,  Corana (PV), Italy</t>
        </is>
      </c>
      <c r="B14151" t="inlineStr">
        <is>
          <t>Collecting Point</t>
        </is>
      </c>
      <c r="C14151" t="inlineStr">
        <is>
          <t>PT Intertek Utama Services, Jakarta, ID</t>
        </is>
      </c>
      <c r="D14151" t="inlineStr">
        <is>
          <t>29.09.2026</t>
        </is>
      </c>
      <c r="E14151" t="inlineStr">
        <is>
          <t>Italy</t>
        </is>
      </c>
    </row>
    <row r="14152">
      <c r="A14152" t="inlineStr">
        <is>
          <t>NAN YA PLASTICS CORPORATION,  New Taipei City. Shulin Dist, Taiwan (Province of China)</t>
        </is>
      </c>
      <c r="B14152" t="inlineStr">
        <is>
          <t>Processing Unit</t>
        </is>
      </c>
      <c r="C14152" t="inlineStr">
        <is>
          <t>Control Union Certifications Germany GmbH, Berlin, DE</t>
        </is>
      </c>
      <c r="D14152" t="inlineStr">
        <is>
          <t>29.09.2026</t>
        </is>
      </c>
      <c r="E14152" t="inlineStr">
        <is>
          <t>Taiwan (Province of China)</t>
        </is>
      </c>
    </row>
    <row r="14153">
      <c r="A14153" t="inlineStr">
        <is>
          <t>Arany Kapu,  Kunfehértó, Hungary</t>
        </is>
      </c>
      <c r="B14153" t="inlineStr">
        <is>
          <t>Collecting Point, Processing Unit</t>
        </is>
      </c>
      <c r="C14153" t="inlineStr">
        <is>
          <t>SGS Germany GmbH, Emstek, DE</t>
        </is>
      </c>
      <c r="D14153" t="inlineStr">
        <is>
          <t>29.09.2026</t>
        </is>
      </c>
      <c r="E14153" t="inlineStr">
        <is>
          <t>Hungary</t>
        </is>
      </c>
    </row>
    <row r="14154">
      <c r="A14154" t="inlineStr">
        <is>
          <t>Energie 360 Grad AG,  Zürich, Switzerland</t>
        </is>
      </c>
      <c r="B14154" t="inlineStr">
        <is>
          <t>Trader</t>
        </is>
      </c>
      <c r="C14154" t="inlineStr">
        <is>
          <t>TÜV NORD CERT GmbH, Essen, DE</t>
        </is>
      </c>
      <c r="D14154" t="inlineStr">
        <is>
          <t>29.09.2026</t>
        </is>
      </c>
      <c r="E14154" t="inlineStr">
        <is>
          <t>Switzerland</t>
        </is>
      </c>
    </row>
    <row r="14155">
      <c r="A14155" t="inlineStr">
        <is>
          <t>Repsol Materials,  Puertollano, Spain</t>
        </is>
      </c>
      <c r="B14155" t="inlineStr">
        <is>
          <t>Trader with Storage, Processing Unit</t>
        </is>
      </c>
      <c r="C14155" t="inlineStr">
        <is>
          <t>Control Union Poland Sp. z o.o., Zielona Gora, PL</t>
        </is>
      </c>
      <c r="D14155" t="inlineStr">
        <is>
          <t>29.09.2026</t>
        </is>
      </c>
      <c r="E14155" t="inlineStr">
        <is>
          <t>Spain</t>
        </is>
      </c>
    </row>
    <row r="14156">
      <c r="A14156" t="inlineStr">
        <is>
          <t>SHPP Italy S.r.l.,  Pontirolo Nuovo, Italy</t>
        </is>
      </c>
      <c r="B14156" t="inlineStr">
        <is>
          <t>Processing Unit</t>
        </is>
      </c>
      <c r="C14156" t="inlineStr">
        <is>
          <t>TÜV NORD CERT GmbH, Essen, DE</t>
        </is>
      </c>
      <c r="D14156" t="inlineStr">
        <is>
          <t>29.09.2026</t>
        </is>
      </c>
      <c r="E14156" t="inlineStr">
        <is>
          <t>Italy</t>
        </is>
      </c>
    </row>
    <row r="14157">
      <c r="A14157" t="inlineStr">
        <is>
          <t>Hefei Shunche Material Recycling Co., Ltd.,  Hefei City, Anhui Province, China</t>
        </is>
      </c>
      <c r="B14157" t="inlineStr">
        <is>
          <t>Collecting Point</t>
        </is>
      </c>
      <c r="C14157" t="inlineStr">
        <is>
          <t>CTI Certification Co. Ltd, Shenzhen, CN</t>
        </is>
      </c>
      <c r="D14157" t="inlineStr">
        <is>
          <t>29.09.2026</t>
        </is>
      </c>
      <c r="E14157" t="inlineStr">
        <is>
          <t>China</t>
        </is>
      </c>
    </row>
    <row r="14158">
      <c r="A14158" t="inlineStr">
        <is>
          <t>Hefei Shunche Material Recycling Co., Ltd.,  Hefei City, Anhui Province, China</t>
        </is>
      </c>
      <c r="B14158" t="inlineStr">
        <is>
          <t>Collecting Point</t>
        </is>
      </c>
      <c r="C14158" t="inlineStr">
        <is>
          <t>CTI Certification Co. Ltd, Shenzhen, CN</t>
        </is>
      </c>
      <c r="D14158" t="inlineStr">
        <is>
          <t>29.09.2026</t>
        </is>
      </c>
      <c r="E14158" t="inlineStr">
        <is>
          <t>China</t>
        </is>
      </c>
    </row>
    <row r="14159">
      <c r="A14159" t="inlineStr">
        <is>
          <t>LLC "VYROBNYCHE PIDPRYIEMSTVO "POLISSIA",  Zhytomyr, v.Radchytsi, Ukraine</t>
        </is>
      </c>
      <c r="B14159" t="inlineStr">
        <is>
          <t>Farm / Plantation, Trader</t>
        </is>
      </c>
      <c r="C14159" t="inlineStr">
        <is>
          <t>United Registrar of Systems Polska Sp. z o.o., Wrocław, PL</t>
        </is>
      </c>
      <c r="D14159" t="inlineStr">
        <is>
          <t>29.09.2026</t>
        </is>
      </c>
      <c r="E14159" t="inlineStr">
        <is>
          <t>Ukraine</t>
        </is>
      </c>
    </row>
    <row r="14160">
      <c r="A14160" t="inlineStr">
        <is>
          <t>LLC "Rise Pivnich",  Sumy region, village Stepanivka, Ukraine</t>
        </is>
      </c>
      <c r="B14160" t="inlineStr">
        <is>
          <t>Farm / Plantation, Trader</t>
        </is>
      </c>
      <c r="C14160" t="inlineStr">
        <is>
          <t>United Registrar of Systems Polska Sp. z o.o., Wrocław, PL</t>
        </is>
      </c>
      <c r="D14160" t="inlineStr">
        <is>
          <t>29.09.2026</t>
        </is>
      </c>
      <c r="E14160" t="inlineStr">
        <is>
          <t>Ukraine</t>
        </is>
      </c>
    </row>
    <row r="14161">
      <c r="A14161" t="inlineStr">
        <is>
          <t>Kang Qi Packing Printing (ShenZhen) Co., LTD,  ShenZhen City, China</t>
        </is>
      </c>
      <c r="B14161" t="inlineStr">
        <is>
          <t>Final Product Refinement</t>
        </is>
      </c>
      <c r="C14161" t="inlineStr">
        <is>
          <t>PT Intertek Utama Services, Jakarta, ID</t>
        </is>
      </c>
      <c r="D14161" t="inlineStr">
        <is>
          <t>29.09.2026</t>
        </is>
      </c>
      <c r="E14161" t="inlineStr">
        <is>
          <t>China</t>
        </is>
      </c>
    </row>
    <row r="14162">
      <c r="A14162" t="inlineStr">
        <is>
          <t>Merit Plastic Mouldings,  Diss, United Kingdom</t>
        </is>
      </c>
      <c r="B14162" t="inlineStr">
        <is>
          <t>Trader with Storage, Processing Unit</t>
        </is>
      </c>
      <c r="C14162" t="inlineStr">
        <is>
          <t>DEKRA Certification B.V., Arnhem, NL</t>
        </is>
      </c>
      <c r="D14162" t="inlineStr">
        <is>
          <t>29.09.2026</t>
        </is>
      </c>
      <c r="E14162" t="inlineStr">
        <is>
          <t>United Kingdom</t>
        </is>
      </c>
    </row>
    <row r="14163">
      <c r="A14163" t="inlineStr">
        <is>
          <t>SUNNY-LAND POLYTHENE PRINTING LIMITED,  Hong kong, Hong Kong, SAR, China</t>
        </is>
      </c>
      <c r="B14163" t="inlineStr">
        <is>
          <t>Trader</t>
        </is>
      </c>
      <c r="C14163" t="inlineStr">
        <is>
          <t>PT Intertek Utama Services, Jakarta, ID</t>
        </is>
      </c>
      <c r="D14163" t="inlineStr">
        <is>
          <t>29.09.2026</t>
        </is>
      </c>
      <c r="E14163" t="inlineStr">
        <is>
          <t>China</t>
        </is>
      </c>
    </row>
    <row r="14164">
      <c r="A14164" t="inlineStr">
        <is>
          <t>Sinopec Recycling Technology Company Limited,  Jianye District, Nanjing, China</t>
        </is>
      </c>
      <c r="B14164" t="inlineStr">
        <is>
          <t>Trader with Storage</t>
        </is>
      </c>
      <c r="C14164" t="inlineStr">
        <is>
          <t>China Quality Certification Centre Co., Ltd., Beijing, CN</t>
        </is>
      </c>
      <c r="D14164" t="inlineStr">
        <is>
          <t>29.09.2026</t>
        </is>
      </c>
      <c r="E14164" t="inlineStr">
        <is>
          <t>China</t>
        </is>
      </c>
    </row>
    <row r="14165">
      <c r="A14165" t="inlineStr">
        <is>
          <t>Inner Mongolia Qingger Environmental Protection Technology Co., Ltd,  Chifeng City, Inner Mongolia Autonomous Region, China</t>
        </is>
      </c>
      <c r="B14165" t="inlineStr">
        <is>
          <t>Collecting Point, Processing Unit</t>
        </is>
      </c>
      <c r="C14165" t="inlineStr">
        <is>
          <t>SCS Global Services, Emeryville, CA, US</t>
        </is>
      </c>
      <c r="D14165" t="inlineStr">
        <is>
          <t>29.09.2026</t>
        </is>
      </c>
      <c r="E14165" t="inlineStr">
        <is>
          <t>China</t>
        </is>
      </c>
    </row>
    <row r="14166">
      <c r="A14166" t="inlineStr">
        <is>
          <t>LLC ‘’Ahro-Kray’’,  Poltava region, city Hadyach, Ukraine</t>
        </is>
      </c>
      <c r="B14166" t="inlineStr">
        <is>
          <t>Farm / Plantation, Trader</t>
        </is>
      </c>
      <c r="C14166" t="inlineStr">
        <is>
          <t>United Registrar of Systems Polska Sp. z o.o., Wrocław, PL</t>
        </is>
      </c>
      <c r="D14166" t="inlineStr">
        <is>
          <t>29.09.2026</t>
        </is>
      </c>
      <c r="E14166" t="inlineStr">
        <is>
          <t>Ukraine</t>
        </is>
      </c>
    </row>
    <row r="14167">
      <c r="A14167" t="inlineStr">
        <is>
          <t>PT. Rambah Sawit Mandiri,  Kec. Rambah Samo, Kab. Rokan Hulu, Provinsi Riau, Indonesia</t>
        </is>
      </c>
      <c r="B14167" t="inlineStr">
        <is>
          <t>Point of Origin, Processing Unit, Trader with Storage</t>
        </is>
      </c>
      <c r="C14167" t="inlineStr">
        <is>
          <t>BM Certification, Riga, LV</t>
        </is>
      </c>
      <c r="D14167" t="inlineStr">
        <is>
          <t>29.09.2026</t>
        </is>
      </c>
      <c r="E14167" t="inlineStr">
        <is>
          <t>Indonesia</t>
        </is>
      </c>
    </row>
    <row r="14168">
      <c r="A14168" t="inlineStr">
        <is>
          <t>King Peaceful Wood Co., Ltd.,  Dong Nai Province, Vietnam</t>
        </is>
      </c>
      <c r="B14168" t="inlineStr">
        <is>
          <t>Trader, Processing Unit</t>
        </is>
      </c>
      <c r="C14168" t="inlineStr">
        <is>
          <t>Control Union Certifications Germany GmbH, Berlin, DE</t>
        </is>
      </c>
      <c r="D14168" t="inlineStr">
        <is>
          <t>29.09.2026</t>
        </is>
      </c>
      <c r="E14168" t="inlineStr">
        <is>
          <t>Vietnam</t>
        </is>
      </c>
    </row>
    <row r="14169">
      <c r="A14169" t="inlineStr">
        <is>
          <t>Gokul Agro Resources Limited,  Anjar, Kutch, India</t>
        </is>
      </c>
      <c r="B14169" t="inlineStr">
        <is>
          <t>Processing Unit</t>
        </is>
      </c>
      <c r="C14169" t="inlineStr">
        <is>
          <t>Control Union Certifications Germany GmbH, Berlin, DE</t>
        </is>
      </c>
      <c r="D14169" t="inlineStr">
        <is>
          <t>29.09.2026</t>
        </is>
      </c>
      <c r="E14169" t="inlineStr">
        <is>
          <t>India</t>
        </is>
      </c>
    </row>
    <row r="14170">
      <c r="A14170" t="inlineStr">
        <is>
          <t>Oltenia Cereal Scornicesti Cooperativa Agricola,  Slatina, Romania</t>
        </is>
      </c>
      <c r="B14170" t="inlineStr">
        <is>
          <t>First Gathering Point</t>
        </is>
      </c>
      <c r="C14170" t="inlineStr">
        <is>
          <t>SRAC Cert SRL, Bucharest, RO</t>
        </is>
      </c>
      <c r="D14170" t="inlineStr">
        <is>
          <t>29.09.2026</t>
        </is>
      </c>
      <c r="E14170" t="inlineStr">
        <is>
          <t>Romania</t>
        </is>
      </c>
    </row>
    <row r="14171">
      <c r="A14171" t="inlineStr">
        <is>
          <t>WENZHOU MINGSHIDA INTERNATIONAL TRADE CO.,LTD.,  Wenzhou City, Zhejiang Priovince, China</t>
        </is>
      </c>
      <c r="B14171" t="inlineStr">
        <is>
          <t>Trader</t>
        </is>
      </c>
      <c r="C14171" t="inlineStr">
        <is>
          <t>SCS Global Services, Emeryville, CA, US</t>
        </is>
      </c>
      <c r="D14171" t="inlineStr">
        <is>
          <t>29.09.2026</t>
        </is>
      </c>
      <c r="E14171" t="inlineStr">
        <is>
          <t>China</t>
        </is>
      </c>
    </row>
    <row r="14172">
      <c r="A14172" t="inlineStr">
        <is>
          <t>Pannonia Bio Zrt.,  Dunaföldvár, Hungary</t>
        </is>
      </c>
      <c r="B14172" t="inlineStr">
        <is>
          <t>Point of Origin, First Gathering Point, Trader with Storage, Processing Unit, Collecting Point</t>
        </is>
      </c>
      <c r="C14172" t="inlineStr">
        <is>
          <t>SGS Germany GmbH, Emstek, DE</t>
        </is>
      </c>
      <c r="D14172" t="inlineStr">
        <is>
          <t>29.09.2026</t>
        </is>
      </c>
      <c r="E14172" t="inlineStr">
        <is>
          <t>Hungary</t>
        </is>
      </c>
    </row>
    <row r="14173">
      <c r="A14173" t="inlineStr">
        <is>
          <t>Compania Internacional de Alimentos,  Montevideo, Uruguay</t>
        </is>
      </c>
      <c r="B14173" t="inlineStr">
        <is>
          <t>Collecting Point, Trader, Processing Unit</t>
        </is>
      </c>
      <c r="C14173" t="inlineStr">
        <is>
          <t>Control Union Certifications Germany GmbH, Berlin, DE</t>
        </is>
      </c>
      <c r="D14173" t="inlineStr">
        <is>
          <t>29.09.2026</t>
        </is>
      </c>
      <c r="E14173" t="inlineStr">
        <is>
          <t>Uruguay</t>
        </is>
      </c>
    </row>
    <row r="14174">
      <c r="A14174" t="inlineStr">
        <is>
          <t>GRINSOL S.A.,  Montevideo, Uruguay</t>
        </is>
      </c>
      <c r="B14174" t="inlineStr">
        <is>
          <t>Warehouse, Collecting Point, Processing Unit, Point of Origin</t>
        </is>
      </c>
      <c r="C14174" t="inlineStr">
        <is>
          <t>Control Union Certifications Germany GmbH, Berlin, DE</t>
        </is>
      </c>
      <c r="D14174" t="inlineStr">
        <is>
          <t>29.09.2026</t>
        </is>
      </c>
      <c r="E14174" t="inlineStr">
        <is>
          <t>Uruguay</t>
        </is>
      </c>
    </row>
    <row r="14175">
      <c r="A14175" t="inlineStr">
        <is>
          <t>LUKOIL Neftohim Burgas,  Burgas, Bulgaria</t>
        </is>
      </c>
      <c r="B14175" t="inlineStr">
        <is>
          <t>Trader with Storage</t>
        </is>
      </c>
      <c r="C14175" t="inlineStr">
        <is>
          <t>SGS Germany GmbH, Emstek, DE</t>
        </is>
      </c>
      <c r="D14175" t="inlineStr">
        <is>
          <t>29.09.2026</t>
        </is>
      </c>
      <c r="E14175" t="inlineStr">
        <is>
          <t>Bulgaria</t>
        </is>
      </c>
    </row>
    <row r="14176">
      <c r="A14176" t="inlineStr">
        <is>
          <t>PT. SEJAHTERA MANDIRI SAWITA,  LANGKAT, Indonesia</t>
        </is>
      </c>
      <c r="B14176" t="inlineStr">
        <is>
          <t>Point of Origin</t>
        </is>
      </c>
      <c r="C14176" t="inlineStr">
        <is>
          <t>PT Mutuagung Lestari, Depok, ID</t>
        </is>
      </c>
      <c r="D14176" t="inlineStr">
        <is>
          <t>29.09.2026</t>
        </is>
      </c>
      <c r="E14176" t="inlineStr">
        <is>
          <t>Indonesia</t>
        </is>
      </c>
    </row>
    <row r="14177">
      <c r="A14177" t="inlineStr">
        <is>
          <t>Atlantic Marine Fuels,  Cartagena de Indias, Colombia</t>
        </is>
      </c>
      <c r="B14177" t="inlineStr">
        <is>
          <t>Trader with Storage</t>
        </is>
      </c>
      <c r="C14177" t="inlineStr">
        <is>
          <t>Certificadora Gallega del Noroeste SL, Vilagarcia de Arousa-Pontevedra, ES</t>
        </is>
      </c>
      <c r="D14177" t="inlineStr">
        <is>
          <t>29.09.2026</t>
        </is>
      </c>
      <c r="E14177" t="inlineStr">
        <is>
          <t>Colombia</t>
        </is>
      </c>
    </row>
    <row r="14178">
      <c r="A14178" t="inlineStr">
        <is>
          <t>Viuda de Joaquin Ortega SA,  Villarrobledo (Albacete), Spain</t>
        </is>
      </c>
      <c r="B14178" t="inlineStr">
        <is>
          <t>Collecting Point, Processing Unit</t>
        </is>
      </c>
      <c r="C14178" t="inlineStr">
        <is>
          <t>Control Union Poland Sp. z o.o., Zielona Gora, PL</t>
        </is>
      </c>
      <c r="D14178" t="inlineStr">
        <is>
          <t>28.09.2026</t>
        </is>
      </c>
      <c r="E14178" t="inlineStr">
        <is>
          <t>Spain</t>
        </is>
      </c>
    </row>
    <row r="14179">
      <c r="A14179" t="inlineStr">
        <is>
          <t>bmp greengas GmbH,  München, Germany</t>
        </is>
      </c>
      <c r="B14179" t="inlineStr">
        <is>
          <t>Trader</t>
        </is>
      </c>
      <c r="C14179" t="inlineStr">
        <is>
          <t>TÜV SÜD Industrie Service GmbH, München, DE</t>
        </is>
      </c>
      <c r="D14179" t="inlineStr">
        <is>
          <t>28.09.2026</t>
        </is>
      </c>
      <c r="E14179" t="inlineStr">
        <is>
          <t>Germany</t>
        </is>
      </c>
    </row>
    <row r="14180">
      <c r="A14180" t="inlineStr">
        <is>
          <t>Mitsui &amp; Co. (Asia Pacific) Pte. Ltd.,  Singapore, Singapore</t>
        </is>
      </c>
      <c r="B14180" t="inlineStr">
        <is>
          <t>Trader</t>
        </is>
      </c>
      <c r="C14180" t="inlineStr">
        <is>
          <t>SGS Germany GmbH, Emstek, DE</t>
        </is>
      </c>
      <c r="D14180" t="inlineStr">
        <is>
          <t>28.09.2026</t>
        </is>
      </c>
      <c r="E14180" t="inlineStr">
        <is>
          <t>Singapore</t>
        </is>
      </c>
    </row>
    <row r="14181">
      <c r="A14181" t="inlineStr">
        <is>
          <t>Hyundai Fuels Pte Ltd,  23-02 Suntec Tower Two, Singapore</t>
        </is>
      </c>
      <c r="B14181" t="inlineStr">
        <is>
          <t>Trader</t>
        </is>
      </c>
      <c r="C14181" t="inlineStr">
        <is>
          <t>Control Union Certifications Germany GmbH, Berlin, DE</t>
        </is>
      </c>
      <c r="D14181" t="inlineStr">
        <is>
          <t>28.09.2026</t>
        </is>
      </c>
      <c r="E14181" t="inlineStr">
        <is>
          <t>Singapore</t>
        </is>
      </c>
    </row>
    <row r="14182">
      <c r="A14182" t="inlineStr">
        <is>
          <t>Plastital,  Sanremo, Italy</t>
        </is>
      </c>
      <c r="B14182" t="inlineStr">
        <is>
          <t>Trader with Storage, Processing Unit, Final Product Refinement</t>
        </is>
      </c>
      <c r="C14182" t="inlineStr">
        <is>
          <t>IIP S.r.l., Monza, IT</t>
        </is>
      </c>
      <c r="D14182" t="inlineStr">
        <is>
          <t>28.09.2026</t>
        </is>
      </c>
      <c r="E14182" t="inlineStr">
        <is>
          <t>Italy</t>
        </is>
      </c>
    </row>
    <row r="14183">
      <c r="A14183" t="inlineStr">
        <is>
          <t>Carotino SDN BHD,  Pasir Gudang, Malaysia</t>
        </is>
      </c>
      <c r="B14183" t="inlineStr">
        <is>
          <t>Point of Origin, Trader with Storage, Processing Unit</t>
        </is>
      </c>
      <c r="C14183" t="inlineStr">
        <is>
          <t>Global Gateway Certifications Sdn Bhd, Ampang, MY</t>
        </is>
      </c>
      <c r="D14183" t="inlineStr">
        <is>
          <t>28.09.2026</t>
        </is>
      </c>
      <c r="E14183" t="inlineStr">
        <is>
          <t>Malaysia</t>
        </is>
      </c>
    </row>
    <row r="14184">
      <c r="A14184" t="inlineStr">
        <is>
          <t>Andira Agro,  Sumatera Selatan, Indonesia</t>
        </is>
      </c>
      <c r="B14184" t="inlineStr">
        <is>
          <t>Point of Origin</t>
        </is>
      </c>
      <c r="C14184" t="inlineStr">
        <is>
          <t>PT. Qualitas Sertifikasi Indonesia, Jakarta, ID</t>
        </is>
      </c>
      <c r="D14184" t="inlineStr">
        <is>
          <t>28.09.2026</t>
        </is>
      </c>
      <c r="E14184" t="inlineStr">
        <is>
          <t>Indonesia</t>
        </is>
      </c>
    </row>
    <row r="14185">
      <c r="A14185" t="inlineStr">
        <is>
          <t>Dongguan Beixin Garment Co., Ltd,  Dongguan City, China</t>
        </is>
      </c>
      <c r="B14185" t="inlineStr">
        <is>
          <t>Processing Unit</t>
        </is>
      </c>
      <c r="C14185" t="inlineStr">
        <is>
          <t>Extensive Standard Technical Services Co., Ltd., Hong Kong, CN</t>
        </is>
      </c>
      <c r="D14185" t="inlineStr">
        <is>
          <t>28.09.2026</t>
        </is>
      </c>
      <c r="E14185" t="inlineStr">
        <is>
          <t>China</t>
        </is>
      </c>
    </row>
    <row r="14186">
      <c r="A14186" t="inlineStr">
        <is>
          <t>JRT Innovation Material (GuangDong) Co., Ltd,  Shaoguan city, Guangdong Province, China</t>
        </is>
      </c>
      <c r="B14186" t="inlineStr">
        <is>
          <t>Processing Unit, Collecting Point</t>
        </is>
      </c>
      <c r="C14186" t="inlineStr">
        <is>
          <t>SCS Global Services, Emeryville, CA, US</t>
        </is>
      </c>
      <c r="D14186" t="inlineStr">
        <is>
          <t>28.09.2026</t>
        </is>
      </c>
      <c r="E14186" t="inlineStr">
        <is>
          <t>China</t>
        </is>
      </c>
    </row>
    <row r="14187">
      <c r="A14187" t="inlineStr">
        <is>
          <t>PT. Adhitya Serayakorita,  Riau Province, Indonesia</t>
        </is>
      </c>
      <c r="B14187" t="inlineStr">
        <is>
          <t>Processing Unit, Collecting Point, Point of Origin, Trader with Storage</t>
        </is>
      </c>
      <c r="C14187" t="inlineStr">
        <is>
          <t>PT SBC Asia Sertifikasi, Kebumen, ID</t>
        </is>
      </c>
      <c r="D14187" t="inlineStr">
        <is>
          <t>28.09.2026</t>
        </is>
      </c>
      <c r="E14187" t="inlineStr">
        <is>
          <t>Indonesia</t>
        </is>
      </c>
    </row>
    <row r="14188">
      <c r="A14188" t="inlineStr">
        <is>
          <t>PT Energi Unggul Persada,  Kota Adm. Jakarta Selatan, Prov. DKI Jakarta, Indonesia</t>
        </is>
      </c>
      <c r="B14188" t="inlineStr">
        <is>
          <t>Trader with Storage</t>
        </is>
      </c>
      <c r="C14188" t="inlineStr">
        <is>
          <t>PT SBC Asia Sertifikasi, Kebumen, ID</t>
        </is>
      </c>
      <c r="D14188" t="inlineStr">
        <is>
          <t>28.09.2026</t>
        </is>
      </c>
      <c r="E14188" t="inlineStr">
        <is>
          <t>Indonesia</t>
        </is>
      </c>
    </row>
    <row r="14189">
      <c r="A14189" t="inlineStr">
        <is>
          <t>PT Betts Indonesia,  Kel. Ngoro, Kec. Ngoro, Kab. Mojokerto, Indonesia</t>
        </is>
      </c>
      <c r="B14189" t="inlineStr">
        <is>
          <t>Processing Unit</t>
        </is>
      </c>
      <c r="C14189" t="inlineStr">
        <is>
          <t>PT Intertek Utama Services, Jakarta, ID</t>
        </is>
      </c>
      <c r="D14189" t="inlineStr">
        <is>
          <t>28.09.2026</t>
        </is>
      </c>
      <c r="E14189" t="inlineStr">
        <is>
          <t>Indonesia</t>
        </is>
      </c>
    </row>
    <row r="14190">
      <c r="A14190" t="inlineStr">
        <is>
          <t>Dongguan Wanmi New Material Technology Co.,Ltd,  Dongguan City, Guangdong Province, China</t>
        </is>
      </c>
      <c r="B14190" t="inlineStr">
        <is>
          <t>Processing Unit</t>
        </is>
      </c>
      <c r="C14190" t="inlineStr">
        <is>
          <t>SCS Global Services, Emeryville, CA, US</t>
        </is>
      </c>
      <c r="D14190" t="inlineStr">
        <is>
          <t>28.09.2026</t>
        </is>
      </c>
      <c r="E14190" t="inlineStr">
        <is>
          <t>China</t>
        </is>
      </c>
    </row>
    <row r="14191">
      <c r="A14191" t="inlineStr">
        <is>
          <t>F + L RECYCLING LLC,  Clifton, United States</t>
        </is>
      </c>
      <c r="B14191" t="inlineStr">
        <is>
          <t>Collecting Point</t>
        </is>
      </c>
      <c r="C14191" t="inlineStr">
        <is>
          <t>Certificadora Gallega del Noroeste SL, Vilagarcia de Arousa-Pontevedra, ES</t>
        </is>
      </c>
      <c r="D14191" t="inlineStr">
        <is>
          <t>28.09.2026</t>
        </is>
      </c>
      <c r="E14191" t="inlineStr">
        <is>
          <t>United States</t>
        </is>
      </c>
    </row>
    <row r="14192">
      <c r="A14192" t="inlineStr">
        <is>
          <t>F + L RECYCLING LLC,  Clifton, United States</t>
        </is>
      </c>
      <c r="B14192" t="inlineStr">
        <is>
          <t>Collecting Point</t>
        </is>
      </c>
      <c r="C14192" t="inlineStr">
        <is>
          <t>Certificadora Gallega del Noroeste SL, Vilagarcia de Arousa-Pontevedra, ES</t>
        </is>
      </c>
      <c r="D14192" t="inlineStr">
        <is>
          <t>28.09.2026</t>
        </is>
      </c>
      <c r="E14192" t="inlineStr">
        <is>
          <t>United States</t>
        </is>
      </c>
    </row>
    <row r="14193">
      <c r="A14193" t="inlineStr">
        <is>
          <t>Tris Ottica,  Segusino, Italy</t>
        </is>
      </c>
      <c r="B14193" t="inlineStr">
        <is>
          <t>Processing Unit, Final Product Refinement</t>
        </is>
      </c>
      <c r="C14193" t="inlineStr">
        <is>
          <t>RINA Services S.p.A., Genova, IT</t>
        </is>
      </c>
      <c r="D14193" t="inlineStr">
        <is>
          <t>28.09.2026</t>
        </is>
      </c>
      <c r="E14193" t="inlineStr">
        <is>
          <t>Italy</t>
        </is>
      </c>
    </row>
    <row r="14194">
      <c r="A14194" t="inlineStr">
        <is>
          <t>Jiangxi Defu Environmental Technology Development Co., Ltd.,  Jingdezhen City, China</t>
        </is>
      </c>
      <c r="B14194" t="inlineStr">
        <is>
          <t>Processing Unit</t>
        </is>
      </c>
      <c r="C14194" t="inlineStr">
        <is>
          <t>CTI Certification Co. Ltd, Shenzhen, CN</t>
        </is>
      </c>
      <c r="D14194" t="inlineStr">
        <is>
          <t>28.09.2026</t>
        </is>
      </c>
      <c r="E14194" t="inlineStr">
        <is>
          <t>China</t>
        </is>
      </c>
    </row>
    <row r="14195">
      <c r="A14195" t="inlineStr">
        <is>
          <t>Petraco Oil Company SA,  Lugano, Switzerland</t>
        </is>
      </c>
      <c r="B14195" t="inlineStr">
        <is>
          <t>Trader with Storage</t>
        </is>
      </c>
      <c r="C14195" t="inlineStr">
        <is>
          <t>PT Intertek Utama Services, Jakarta, ID</t>
        </is>
      </c>
      <c r="D14195" t="inlineStr">
        <is>
          <t>28.09.2026</t>
        </is>
      </c>
      <c r="E14195" t="inlineStr">
        <is>
          <t>Switzerland</t>
        </is>
      </c>
    </row>
    <row r="14196">
      <c r="A14196" t="inlineStr">
        <is>
          <t>Tris Ottica,  Auronzo di Cadore, Italy</t>
        </is>
      </c>
      <c r="B14196" t="inlineStr">
        <is>
          <t>Processing Unit, Final Product Refinement</t>
        </is>
      </c>
      <c r="C14196" t="inlineStr">
        <is>
          <t>RINA Services S.p.A., Genova, IT</t>
        </is>
      </c>
      <c r="D14196" t="inlineStr">
        <is>
          <t>28.09.2026</t>
        </is>
      </c>
      <c r="E14196" t="inlineStr">
        <is>
          <t>Italy</t>
        </is>
      </c>
    </row>
    <row r="14197">
      <c r="A14197" t="inlineStr">
        <is>
          <t>UAB "Baltijos javai",  Kaunas, Lithuania</t>
        </is>
      </c>
      <c r="B14197" t="inlineStr">
        <is>
          <t>First Gathering Point, Trader with Storage</t>
        </is>
      </c>
      <c r="C14197" t="inlineStr">
        <is>
          <t>Bureau Veritas Polska Sp. z o.o., Warsaw, PL</t>
        </is>
      </c>
      <c r="D14197" t="inlineStr">
        <is>
          <t>28.09.2026</t>
        </is>
      </c>
      <c r="E14197" t="inlineStr">
        <is>
          <t>Lithuania</t>
        </is>
      </c>
    </row>
    <row r="14198">
      <c r="A14198" t="inlineStr">
        <is>
          <t>NTK TRANS POLAND Sp. Z O.O,  Warszawa, Poland</t>
        </is>
      </c>
      <c r="B14198" t="inlineStr">
        <is>
          <t>Trader</t>
        </is>
      </c>
      <c r="C14198" t="inlineStr">
        <is>
          <t>Organic Standard Ltd, Kyiv, UA</t>
        </is>
      </c>
      <c r="D14198" t="inlineStr">
        <is>
          <t>28.09.2026</t>
        </is>
      </c>
      <c r="E14198" t="inlineStr">
        <is>
          <t>Poland</t>
        </is>
      </c>
    </row>
    <row r="14199">
      <c r="A14199" t="inlineStr">
        <is>
          <t>Lianyungang Junhe Petrochemical Co, Ltd,  Dongying City, Shandong Province, China</t>
        </is>
      </c>
      <c r="B14199" t="inlineStr">
        <is>
          <t>Trader</t>
        </is>
      </c>
      <c r="C14199" t="inlineStr">
        <is>
          <t>SCS Global Services, Emeryville, CA, US</t>
        </is>
      </c>
      <c r="D14199" t="inlineStr">
        <is>
          <t>28.09.2026</t>
        </is>
      </c>
      <c r="E14199" t="inlineStr">
        <is>
          <t>China</t>
        </is>
      </c>
    </row>
    <row r="14200">
      <c r="A14200" t="inlineStr">
        <is>
          <t>Shanghai Zhaoxin Environment Protection New Energy Technology Co., Ltd.,  Shanghai, China</t>
        </is>
      </c>
      <c r="B14200" t="inlineStr">
        <is>
          <t>Trader</t>
        </is>
      </c>
      <c r="C14200" t="inlineStr">
        <is>
          <t>SCS Global Services, Emeryville, CA, US</t>
        </is>
      </c>
      <c r="D14200" t="inlineStr">
        <is>
          <t>28.09.2026</t>
        </is>
      </c>
      <c r="E14200" t="inlineStr">
        <is>
          <t>China</t>
        </is>
      </c>
    </row>
    <row r="14201">
      <c r="A14201" t="inlineStr">
        <is>
          <t>Renewable Synergy Sdn Bhd,  Johor Bahru, Malaysia</t>
        </is>
      </c>
      <c r="B14201" t="inlineStr">
        <is>
          <t>Collecting Point, Trader with Storage</t>
        </is>
      </c>
      <c r="C14201" t="inlineStr">
        <is>
          <t>Baltic Control Certification, Risskov, DK</t>
        </is>
      </c>
      <c r="D14201" t="inlineStr">
        <is>
          <t>28.09.2026</t>
        </is>
      </c>
      <c r="E14201" t="inlineStr">
        <is>
          <t>Malaysia</t>
        </is>
      </c>
    </row>
    <row r="14202">
      <c r="A14202" t="inlineStr">
        <is>
          <t>TJS Pte Ltd,  Singapore, Singapore</t>
        </is>
      </c>
      <c r="B14202" t="inlineStr">
        <is>
          <t>Trader with Storage</t>
        </is>
      </c>
      <c r="C14202" t="inlineStr">
        <is>
          <t>Double Helix Tracking Technologies Pte Ltd, Singapore, SG</t>
        </is>
      </c>
      <c r="D14202" t="inlineStr">
        <is>
          <t>28.09.2026</t>
        </is>
      </c>
      <c r="E14202" t="inlineStr">
        <is>
          <t>Singapore</t>
        </is>
      </c>
    </row>
    <row r="14203">
      <c r="A14203" t="inlineStr">
        <is>
          <t>Prydniprovskyi Oliinoekstrktsiinyi Zavod,  Kropyvnytskyi, Ukraine</t>
        </is>
      </c>
      <c r="B14203" t="inlineStr">
        <is>
          <t>Processing Unit</t>
        </is>
      </c>
      <c r="C14203" t="inlineStr">
        <is>
          <t>Bureau Veritas Polska Sp. z o.o., Warsaw, PL</t>
        </is>
      </c>
      <c r="D14203" t="inlineStr">
        <is>
          <t>28.09.2026</t>
        </is>
      </c>
      <c r="E14203" t="inlineStr">
        <is>
          <t>Ukraine</t>
        </is>
      </c>
    </row>
    <row r="14204">
      <c r="A14204" t="inlineStr">
        <is>
          <t>Prydniprovskyi Oliinoekstrktsiinyi Zavod,  Kropyvnytskyi, Ukraine</t>
        </is>
      </c>
      <c r="B14204" t="inlineStr">
        <is>
          <t>Processing Unit</t>
        </is>
      </c>
      <c r="C14204" t="inlineStr">
        <is>
          <t>Bureau Veritas Polska Sp. z o.o., Warsaw, PL</t>
        </is>
      </c>
      <c r="D14204" t="inlineStr">
        <is>
          <t>28.09.2026</t>
        </is>
      </c>
      <c r="E14204" t="inlineStr">
        <is>
          <t>Ukraine</t>
        </is>
      </c>
    </row>
    <row r="14205">
      <c r="A14205" t="inlineStr">
        <is>
          <t>GUDENG PRECISION INDUSTRIAL CO., LTD.,  Tucheng Dist., New Taipei City, Taiwan, Province of China</t>
        </is>
      </c>
      <c r="B14205" t="inlineStr">
        <is>
          <t>Processing Unit</t>
        </is>
      </c>
      <c r="C14205" t="inlineStr">
        <is>
          <t>Bureau Veritas Polska Sp. z o.o., Warsaw, PL</t>
        </is>
      </c>
      <c r="D14205" t="inlineStr">
        <is>
          <t>28.09.2026</t>
        </is>
      </c>
      <c r="E14205" t="inlineStr">
        <is>
          <t>Province of China</t>
        </is>
      </c>
    </row>
    <row r="14206">
      <c r="A14206" t="inlineStr">
        <is>
          <t>2AM CONNECTION COMPANY LIMITED,  BANGKOK, BUENGKUM, Thailand</t>
        </is>
      </c>
      <c r="B14206" t="inlineStr">
        <is>
          <t>Trader with Storage</t>
        </is>
      </c>
      <c r="C14206" t="inlineStr">
        <is>
          <t>Bureau Veritas Polska Sp. z o.o., Warsaw, PL</t>
        </is>
      </c>
      <c r="D14206" t="inlineStr">
        <is>
          <t>28.09.2026</t>
        </is>
      </c>
      <c r="E14206" t="inlineStr">
        <is>
          <t>Thailand</t>
        </is>
      </c>
    </row>
    <row r="14207">
      <c r="A14207" t="inlineStr">
        <is>
          <t>Cheng Yang Green Hydrogen Energy Company of Da'an,  Da'an, Baicheng, Jilin, China</t>
        </is>
      </c>
      <c r="B14207" t="inlineStr">
        <is>
          <t>First Gathering Point</t>
        </is>
      </c>
      <c r="C14207" t="inlineStr">
        <is>
          <t>Bureau Veritas Polska Sp. z o.o., Warsaw, PL</t>
        </is>
      </c>
      <c r="D14207" t="inlineStr">
        <is>
          <t>28.09.2026</t>
        </is>
      </c>
      <c r="E14207" t="inlineStr">
        <is>
          <t>China</t>
        </is>
      </c>
    </row>
    <row r="14208">
      <c r="A14208" t="inlineStr">
        <is>
          <t>SINTEX CHEMICAL CORP.,  TAIPEI CITY, Taiwan, Province of China</t>
        </is>
      </c>
      <c r="B14208" t="inlineStr">
        <is>
          <t>Trader with Storage</t>
        </is>
      </c>
      <c r="C14208" t="inlineStr">
        <is>
          <t>Bureau Veritas Polska Sp. z o.o., Warsaw, PL</t>
        </is>
      </c>
      <c r="D14208" t="inlineStr">
        <is>
          <t>28.09.2026</t>
        </is>
      </c>
      <c r="E14208" t="inlineStr">
        <is>
          <t>Province of China</t>
        </is>
      </c>
    </row>
    <row r="14209">
      <c r="A14209" t="inlineStr">
        <is>
          <t>Hunan Machinery and Equipment Import and Export Corporation,  Changsha City, Hunan Province, China</t>
        </is>
      </c>
      <c r="B14209" t="inlineStr">
        <is>
          <t>Trader</t>
        </is>
      </c>
      <c r="C14209" t="inlineStr">
        <is>
          <t>RINA Services S.p.A., Genova, IT</t>
        </is>
      </c>
      <c r="D14209" t="inlineStr">
        <is>
          <t>28.09.2026</t>
        </is>
      </c>
      <c r="E14209" t="inlineStr">
        <is>
          <t>China</t>
        </is>
      </c>
    </row>
    <row r="14210">
      <c r="A14210" t="inlineStr">
        <is>
          <t>World Fuel Services (Denmark),  Køge, Denmark</t>
        </is>
      </c>
      <c r="B14210" t="inlineStr">
        <is>
          <t>Trader, Proof of Compliance Trader</t>
        </is>
      </c>
      <c r="C14210" t="inlineStr">
        <is>
          <t>Bureau Veritas Polska Sp. z o.o., Warsaw, PL</t>
        </is>
      </c>
      <c r="D14210" t="inlineStr">
        <is>
          <t>28.09.2026</t>
        </is>
      </c>
      <c r="E14210" t="inlineStr">
        <is>
          <t>Denmark</t>
        </is>
      </c>
    </row>
    <row r="14211">
      <c r="A14211" t="inlineStr">
        <is>
          <t>Alkagesta Balkans S.R.L.,  Bucharest, Romania</t>
        </is>
      </c>
      <c r="B14211" t="inlineStr">
        <is>
          <t>Trader with Storage</t>
        </is>
      </c>
      <c r="C14211" t="inlineStr">
        <is>
          <t>Bureau Veritas Polska Sp. z o.o., Warsaw, PL</t>
        </is>
      </c>
      <c r="D14211" t="inlineStr">
        <is>
          <t>28.09.2026</t>
        </is>
      </c>
      <c r="E14211" t="inlineStr">
        <is>
          <t>Romania</t>
        </is>
      </c>
    </row>
    <row r="14212">
      <c r="A14212" t="inlineStr">
        <is>
          <t>King Peaceful Wood Co., Ltd.,  Dong Nai Province, Vietnam</t>
        </is>
      </c>
      <c r="B14212" t="inlineStr">
        <is>
          <t>Trader</t>
        </is>
      </c>
      <c r="C14212" t="inlineStr">
        <is>
          <t>Control Union Certifications Germany GmbH, Berlin, DE</t>
        </is>
      </c>
      <c r="D14212" t="inlineStr">
        <is>
          <t>28.09.2026</t>
        </is>
      </c>
      <c r="E14212" t="inlineStr">
        <is>
          <t>Vietnam</t>
        </is>
      </c>
    </row>
    <row r="14213">
      <c r="A14213" t="inlineStr">
        <is>
          <t>ITELYUM ALTEA S.R.L.,  Vittorio veneto, Italy</t>
        </is>
      </c>
      <c r="B14213" t="inlineStr">
        <is>
          <t>Collecting Point</t>
        </is>
      </c>
      <c r="C14213" t="inlineStr">
        <is>
          <t>SGS Germany GmbH, Emstek, DE</t>
        </is>
      </c>
      <c r="D14213" t="inlineStr">
        <is>
          <t>28.09.2026</t>
        </is>
      </c>
      <c r="E14213" t="inlineStr">
        <is>
          <t>Italy</t>
        </is>
      </c>
    </row>
    <row r="14214">
      <c r="A14214" t="inlineStr">
        <is>
          <t>Bioénergie AE Côte-Nord Canada,  Port Cartier, QC, Canada</t>
        </is>
      </c>
      <c r="B14214" t="inlineStr">
        <is>
          <t>Collecting Point, Processing Unit</t>
        </is>
      </c>
      <c r="C14214" t="inlineStr">
        <is>
          <t>SGS Germany GmbH, Emstek, DE</t>
        </is>
      </c>
      <c r="D14214" t="inlineStr">
        <is>
          <t>28.09.2026</t>
        </is>
      </c>
      <c r="E14214" t="inlineStr">
        <is>
          <t>Canada</t>
        </is>
      </c>
    </row>
    <row r="14215">
      <c r="A14215" t="inlineStr">
        <is>
          <t>Zinon Impex,  Felnac, Jud Arad, Romania</t>
        </is>
      </c>
      <c r="B14215" t="inlineStr">
        <is>
          <t>First Gathering Point, Trader with Storage</t>
        </is>
      </c>
      <c r="C14215" t="inlineStr">
        <is>
          <t>RINA Services S.p.A., Genova, IT</t>
        </is>
      </c>
      <c r="D14215" t="inlineStr">
        <is>
          <t>28.09.2026</t>
        </is>
      </c>
      <c r="E14215" t="inlineStr">
        <is>
          <t>Romania</t>
        </is>
      </c>
    </row>
    <row r="14216">
      <c r="A14216" t="inlineStr">
        <is>
          <t>Wuji Changda Rubber Making Co. Ltd,  Shijiazhuang, China</t>
        </is>
      </c>
      <c r="B14216" t="inlineStr">
        <is>
          <t>Collecting Point</t>
        </is>
      </c>
      <c r="C14216" t="inlineStr">
        <is>
          <t>RINA Services S.p.A., Genova, IT</t>
        </is>
      </c>
      <c r="D14216" t="inlineStr">
        <is>
          <t>28.09.2026</t>
        </is>
      </c>
      <c r="E14216" t="inlineStr">
        <is>
          <t>China</t>
        </is>
      </c>
    </row>
    <row r="14217">
      <c r="A14217" t="inlineStr">
        <is>
          <t>Dongguan Changtong Environmental Protection Technology Co., Ltd,  Dongguan City, Guangdong Province, China</t>
        </is>
      </c>
      <c r="B14217" t="inlineStr">
        <is>
          <t>Collecting Point, Trader with Storage, Processing Unit</t>
        </is>
      </c>
      <c r="C14217" t="inlineStr">
        <is>
          <t>RINA Services S.p.A., Genova, IT</t>
        </is>
      </c>
      <c r="D14217" t="inlineStr">
        <is>
          <t>28.09.2026</t>
        </is>
      </c>
      <c r="E14217" t="inlineStr">
        <is>
          <t>China</t>
        </is>
      </c>
    </row>
    <row r="14218">
      <c r="A14218" t="inlineStr">
        <is>
          <t>SK Resources,  Ipoh, Perak, Malaysia</t>
        </is>
      </c>
      <c r="B14218" t="inlineStr">
        <is>
          <t>Collecting Point</t>
        </is>
      </c>
      <c r="C14218" t="inlineStr">
        <is>
          <t>PT Mutuagung Lestari, Depok, ID</t>
        </is>
      </c>
      <c r="D14218" t="inlineStr">
        <is>
          <t>28.09.2026</t>
        </is>
      </c>
      <c r="E14218" t="inlineStr">
        <is>
          <t>Malaysia</t>
        </is>
      </c>
    </row>
    <row r="14219">
      <c r="A14219" t="inlineStr">
        <is>
          <t>King Peaceful Wood Co., Ltd.,  Dong Nai province, Vietnam</t>
        </is>
      </c>
      <c r="B14219" t="inlineStr">
        <is>
          <t>Collecting Point, Trader, Processing Unit</t>
        </is>
      </c>
      <c r="C14219" t="inlineStr">
        <is>
          <t>Control Union Certifications Germany GmbH, Berlin, DE</t>
        </is>
      </c>
      <c r="D14219" t="inlineStr">
        <is>
          <t>28.09.2026</t>
        </is>
      </c>
      <c r="E14219" t="inlineStr">
        <is>
          <t>Vietnam</t>
        </is>
      </c>
    </row>
    <row r="14220">
      <c r="A14220" t="inlineStr">
        <is>
          <t>King Peaceful Wood Co., Ltd.,  Dong Nai province, Vietnam</t>
        </is>
      </c>
      <c r="B14220" t="inlineStr">
        <is>
          <t>Collecting Point, Trader</t>
        </is>
      </c>
      <c r="C14220" t="inlineStr">
        <is>
          <t>Control Union Certifications Germany GmbH, Berlin, DE</t>
        </is>
      </c>
      <c r="D14220" t="inlineStr">
        <is>
          <t>28.09.2026</t>
        </is>
      </c>
      <c r="E14220" t="inlineStr">
        <is>
          <t>Vietnam</t>
        </is>
      </c>
    </row>
    <row r="14221">
      <c r="A14221" t="inlineStr">
        <is>
          <t>Recytec - Despoina Fragkouli EE,  Moschato, Athens, Greece</t>
        </is>
      </c>
      <c r="B14221" t="inlineStr">
        <is>
          <t>Collecting Point</t>
        </is>
      </c>
      <c r="C14221" t="inlineStr">
        <is>
          <t>Eurocert SA, Metamorfosi, Athens, GR</t>
        </is>
      </c>
      <c r="D14221" t="inlineStr">
        <is>
          <t>28.09.2026</t>
        </is>
      </c>
      <c r="E14221" t="inlineStr">
        <is>
          <t>Greece</t>
        </is>
      </c>
    </row>
    <row r="14222">
      <c r="A14222" t="inlineStr">
        <is>
          <t>Hyosung TNC Corporation,  Seoul, Korea, Republic of</t>
        </is>
      </c>
      <c r="B14222" t="inlineStr">
        <is>
          <t>Trader</t>
        </is>
      </c>
      <c r="C14222" t="inlineStr">
        <is>
          <t>Control Union Certifications Germany GmbH, Berlin, DE</t>
        </is>
      </c>
      <c r="D14222" t="inlineStr">
        <is>
          <t>28.09.2026</t>
        </is>
      </c>
      <c r="E14222" t="inlineStr">
        <is>
          <t>Republic of</t>
        </is>
      </c>
    </row>
    <row r="14223">
      <c r="A14223" t="inlineStr">
        <is>
          <t>Guang'an Lishikang Environmental technology Co., Ltd,  Guang'an City, Sichuan Province, China</t>
        </is>
      </c>
      <c r="B14223" t="inlineStr">
        <is>
          <t>Collecting Point, Trader, Processing Unit</t>
        </is>
      </c>
      <c r="C14223" t="inlineStr">
        <is>
          <t>RINA Services S.p.A., Genova, IT</t>
        </is>
      </c>
      <c r="D14223" t="inlineStr">
        <is>
          <t>27.09.2026</t>
        </is>
      </c>
      <c r="E14223" t="inlineStr">
        <is>
          <t>China</t>
        </is>
      </c>
    </row>
    <row r="14224">
      <c r="A14224" t="inlineStr">
        <is>
          <t>W. Gröning,  Rheine - Mesum, Germany</t>
        </is>
      </c>
      <c r="B14224" t="inlineStr">
        <is>
          <t>Processing Unit</t>
        </is>
      </c>
      <c r="C14224" t="inlineStr">
        <is>
          <t>DQS CFS GmbH - Deutsche Gesellschaft für Nachhaltigkeit, Frankfurt am Main, DE</t>
        </is>
      </c>
      <c r="D14224" t="inlineStr">
        <is>
          <t>27.09.2026</t>
        </is>
      </c>
      <c r="E14224" t="inlineStr">
        <is>
          <t>Germany</t>
        </is>
      </c>
    </row>
    <row r="14225">
      <c r="A14225" t="inlineStr">
        <is>
          <t>Stichting Centraal Orgaan Voorraadvorming Aardolieproducten,  Rotterdam, Netherlands</t>
        </is>
      </c>
      <c r="B14225" t="inlineStr">
        <is>
          <t>Trader, Trader with Storage</t>
        </is>
      </c>
      <c r="C14225" t="inlineStr">
        <is>
          <t>DEKRA Certification B.V., Arnhem, NL</t>
        </is>
      </c>
      <c r="D14225" t="inlineStr">
        <is>
          <t>27.09.2026</t>
        </is>
      </c>
      <c r="E14225" t="inlineStr">
        <is>
          <t>Netherlands</t>
        </is>
      </c>
    </row>
    <row r="14226">
      <c r="A14226" t="inlineStr">
        <is>
          <t>Daicel HPP Korea Ltd.,  Teheran-ro, Gangnam-gu, Seoul, Korea, Republic of</t>
        </is>
      </c>
      <c r="B14226" t="inlineStr">
        <is>
          <t>Trader with Storage</t>
        </is>
      </c>
      <c r="C14226" t="inlineStr">
        <is>
          <t>Control Union Certifications Germany GmbH, Berlin, DE</t>
        </is>
      </c>
      <c r="D14226" t="inlineStr">
        <is>
          <t>27.09.2026</t>
        </is>
      </c>
      <c r="E14226" t="inlineStr">
        <is>
          <t>Republic of</t>
        </is>
      </c>
    </row>
    <row r="14227">
      <c r="A14227" t="inlineStr">
        <is>
          <t>Chimagri s.r.l.,  Chiscani, Judet Braila, Romania</t>
        </is>
      </c>
      <c r="B14227" t="inlineStr">
        <is>
          <t>First Gathering Point</t>
        </is>
      </c>
      <c r="C14227" t="inlineStr">
        <is>
          <t>SGS Germany GmbH, Emstek, DE</t>
        </is>
      </c>
      <c r="D14227" t="inlineStr">
        <is>
          <t>27.09.2026</t>
        </is>
      </c>
      <c r="E14227" t="inlineStr">
        <is>
          <t>Romania</t>
        </is>
      </c>
    </row>
    <row r="14228">
      <c r="A14228" t="inlineStr">
        <is>
          <t>Sichuan Zhongming New Energy Technology Co., Ltd.,  Meishan，Sichuan Province, China</t>
        </is>
      </c>
      <c r="B14228" t="inlineStr">
        <is>
          <t>Trader with Storage</t>
        </is>
      </c>
      <c r="C14228" t="inlineStr">
        <is>
          <t>RINA Services S.p.A., Genova, IT</t>
        </is>
      </c>
      <c r="D14228" t="inlineStr">
        <is>
          <t>22.09.2026</t>
        </is>
      </c>
      <c r="E14228" t="inlineStr">
        <is>
          <t>China</t>
        </is>
      </c>
    </row>
    <row r="14229">
      <c r="A14229" t="inlineStr">
        <is>
          <t>Apeiron Bionergy Inc,  Valenzuela City, Philippines</t>
        </is>
      </c>
      <c r="B14229" t="inlineStr">
        <is>
          <t>Collecting Point, Trader with Storage</t>
        </is>
      </c>
      <c r="C14229" t="inlineStr">
        <is>
          <t>ASG Cert GmbH, Munich, DE</t>
        </is>
      </c>
      <c r="D14229" t="inlineStr">
        <is>
          <t>27.09.2026</t>
        </is>
      </c>
      <c r="E14229" t="inlineStr">
        <is>
          <t>Philippines</t>
        </is>
      </c>
    </row>
    <row r="14230">
      <c r="A14230" t="inlineStr">
        <is>
          <t>Forchem Oyj,  Rauma, Finland</t>
        </is>
      </c>
      <c r="B14230" t="inlineStr">
        <is>
          <t>Point of Origin, Trader with Storage, Processing Unit</t>
        </is>
      </c>
      <c r="C14230" t="inlineStr">
        <is>
          <t>Control Union Certifications Germany GmbH, Berlin, DE</t>
        </is>
      </c>
      <c r="D14230" t="inlineStr">
        <is>
          <t>27.09.2026</t>
        </is>
      </c>
      <c r="E14230" t="inlineStr">
        <is>
          <t>Finland</t>
        </is>
      </c>
    </row>
    <row r="14231">
      <c r="A14231" t="inlineStr">
        <is>
          <t>Forchem Oyj,  Rauma, Finland</t>
        </is>
      </c>
      <c r="B14231" t="inlineStr">
        <is>
          <t>Trader with Storage, Processing Unit</t>
        </is>
      </c>
      <c r="C14231" t="inlineStr">
        <is>
          <t>Control Union Certifications Germany GmbH, Berlin, DE</t>
        </is>
      </c>
      <c r="D14231" t="inlineStr">
        <is>
          <t>27.09.2026</t>
        </is>
      </c>
      <c r="E14231" t="inlineStr">
        <is>
          <t>Finland</t>
        </is>
      </c>
    </row>
    <row r="14232">
      <c r="A14232" t="inlineStr">
        <is>
          <t>Sekisui Chemical Co., Ltd.,  Saitama, Japan</t>
        </is>
      </c>
      <c r="B14232" t="inlineStr">
        <is>
          <t>Trader with Storage, Processing Unit</t>
        </is>
      </c>
      <c r="C14232" t="inlineStr">
        <is>
          <t>Control Union Certifications Germany GmbH, Berlin, DE</t>
        </is>
      </c>
      <c r="D14232" t="inlineStr">
        <is>
          <t>27.09.2026</t>
        </is>
      </c>
      <c r="E14232" t="inlineStr">
        <is>
          <t>Japan</t>
        </is>
      </c>
    </row>
    <row r="14233">
      <c r="A14233" t="inlineStr">
        <is>
          <t>Versalis France,  Mardyck, France</t>
        </is>
      </c>
      <c r="B14233" t="inlineStr">
        <is>
          <t>Trader with Storage, Processing Unit</t>
        </is>
      </c>
      <c r="C14233" t="inlineStr">
        <is>
          <t>RINA Services S.p.A., Genova, IT</t>
        </is>
      </c>
      <c r="D14233" t="inlineStr">
        <is>
          <t>27.09.2026</t>
        </is>
      </c>
      <c r="E14233" t="inlineStr">
        <is>
          <t>France</t>
        </is>
      </c>
    </row>
    <row r="14234">
      <c r="A14234" t="inlineStr">
        <is>
          <t>Sustro Speciality Oils Private Limited,  Uppugal, Zaffargadh, India</t>
        </is>
      </c>
      <c r="B14234" t="inlineStr">
        <is>
          <t>Trader with Storage, Point of Origin, Processing Unit, Collecting Point</t>
        </is>
      </c>
      <c r="C14234" t="inlineStr">
        <is>
          <t>Alcumus ISOQAR Ltd, Stretford, Manchester, GB</t>
        </is>
      </c>
      <c r="D14234" t="inlineStr">
        <is>
          <t>27.09.2026</t>
        </is>
      </c>
      <c r="E14234" t="inlineStr">
        <is>
          <t>India</t>
        </is>
      </c>
    </row>
    <row r="14235">
      <c r="A14235" t="inlineStr">
        <is>
          <t>Hi-P (Thailand) Co., Ltd.,  RAYONG, Thailand</t>
        </is>
      </c>
      <c r="B14235" t="inlineStr">
        <is>
          <t>Processing Unit</t>
        </is>
      </c>
      <c r="C14235" t="inlineStr">
        <is>
          <t>SCS Global Services, Emeryville, CA, US</t>
        </is>
      </c>
      <c r="D14235" t="inlineStr">
        <is>
          <t>27.09.2026</t>
        </is>
      </c>
      <c r="E14235" t="inlineStr">
        <is>
          <t>Thailand</t>
        </is>
      </c>
    </row>
    <row r="14236">
      <c r="A14236" t="inlineStr">
        <is>
          <t>SC Intercereal SA,  MOVILA, Romania</t>
        </is>
      </c>
      <c r="B14236" t="inlineStr">
        <is>
          <t>First Gathering Point</t>
        </is>
      </c>
      <c r="C14236" t="inlineStr">
        <is>
          <t>SGS Germany GmbH, Emstek, DE</t>
        </is>
      </c>
      <c r="D14236" t="inlineStr">
        <is>
          <t>27.09.2026</t>
        </is>
      </c>
      <c r="E14236" t="inlineStr">
        <is>
          <t>Romania</t>
        </is>
      </c>
    </row>
    <row r="14237">
      <c r="A14237" t="inlineStr">
        <is>
          <t>TotalEnergies Petrochemicals France,  Gonfreville L’Orcher, France</t>
        </is>
      </c>
      <c r="B14237" t="inlineStr">
        <is>
          <t>Warehouse, Trader with Storage, Processing Unit</t>
        </is>
      </c>
      <c r="C14237" t="inlineStr">
        <is>
          <t>Control Union Certifications Germany GmbH, Berlin, DE</t>
        </is>
      </c>
      <c r="D14237" t="inlineStr">
        <is>
          <t>27.09.2026</t>
        </is>
      </c>
      <c r="E14237" t="inlineStr">
        <is>
          <t>France</t>
        </is>
      </c>
    </row>
    <row r="14238">
      <c r="A14238" t="inlineStr">
        <is>
          <t>Hombár Nagycenk,  Nagylózs, Hungary</t>
        </is>
      </c>
      <c r="B14238" t="inlineStr">
        <is>
          <t>First Gathering Point, Trader, Trader with Storage</t>
        </is>
      </c>
      <c r="C14238" t="inlineStr">
        <is>
          <t>SGS Germany GmbH, Emstek, DE</t>
        </is>
      </c>
      <c r="D14238" t="inlineStr">
        <is>
          <t>27.09.2026</t>
        </is>
      </c>
      <c r="E14238" t="inlineStr">
        <is>
          <t>Hungary</t>
        </is>
      </c>
    </row>
    <row r="14239">
      <c r="A14239" t="inlineStr">
        <is>
          <t>Cargill Material (Shanghai) co.,Ltd.,  Shanghai, China</t>
        </is>
      </c>
      <c r="B14239" t="inlineStr">
        <is>
          <t>Trader with Storage</t>
        </is>
      </c>
      <c r="C14239" t="inlineStr">
        <is>
          <t>RINA Services S.p.A., Genova, IT</t>
        </is>
      </c>
      <c r="D14239" t="inlineStr">
        <is>
          <t>27.09.2026</t>
        </is>
      </c>
      <c r="E14239" t="inlineStr">
        <is>
          <t>China</t>
        </is>
      </c>
    </row>
    <row r="14240">
      <c r="A14240" t="inlineStr">
        <is>
          <t>Chengdu International Trade Group Land-port Trading Co. ,Ltd,  Chengdu, Sichuan, China</t>
        </is>
      </c>
      <c r="B14240" t="inlineStr">
        <is>
          <t>Trader</t>
        </is>
      </c>
      <c r="C14240" t="inlineStr">
        <is>
          <t>RINA Services S.p.A., Genova, IT</t>
        </is>
      </c>
      <c r="D14240" t="inlineStr">
        <is>
          <t>27.09.2026</t>
        </is>
      </c>
      <c r="E14240" t="inlineStr">
        <is>
          <t>China</t>
        </is>
      </c>
    </row>
    <row r="14241">
      <c r="A14241" t="inlineStr">
        <is>
          <t>Derypol, S.A.,  Les Franqueses del Vallès, Spain</t>
        </is>
      </c>
      <c r="B14241" t="inlineStr">
        <is>
          <t>Processing Unit</t>
        </is>
      </c>
      <c r="C14241" t="inlineStr">
        <is>
          <t>Bureau Veritas Polska Sp. z o.o., Warsaw, PL</t>
        </is>
      </c>
      <c r="D14241" t="inlineStr">
        <is>
          <t>27.09.2026</t>
        </is>
      </c>
      <c r="E14241" t="inlineStr">
        <is>
          <t>Spain</t>
        </is>
      </c>
    </row>
    <row r="14242">
      <c r="A14242" t="inlineStr">
        <is>
          <t>Bioport SA,  Baltar, Portugal</t>
        </is>
      </c>
      <c r="B14242" t="inlineStr">
        <is>
          <t>Point of Origin, Processing Unit, Trader with Storage</t>
        </is>
      </c>
      <c r="C14242" t="inlineStr">
        <is>
          <t>SGS Germany GmbH, Emstek, DE</t>
        </is>
      </c>
      <c r="D14242" t="inlineStr">
        <is>
          <t>27.09.2026</t>
        </is>
      </c>
      <c r="E14242" t="inlineStr">
        <is>
          <t>Portugal</t>
        </is>
      </c>
    </row>
    <row r="14243">
      <c r="A14243" t="inlineStr">
        <is>
          <t>Biodex s.a.,  El Meghira 3 Fouchana, Ben Arous, Tunisia</t>
        </is>
      </c>
      <c r="B14243" t="inlineStr">
        <is>
          <t>Collecting Point, Processing Unit</t>
        </is>
      </c>
      <c r="C14243" t="inlineStr">
        <is>
          <t>RINA Services S.p.A., Genova, IT</t>
        </is>
      </c>
      <c r="D14243" t="inlineStr">
        <is>
          <t>27.09.2026</t>
        </is>
      </c>
      <c r="E14243" t="inlineStr">
        <is>
          <t>Tunisia</t>
        </is>
      </c>
    </row>
    <row r="14244">
      <c r="A14244" t="inlineStr">
        <is>
          <t>CHS Inc.,  Inver grove heights, United States</t>
        </is>
      </c>
      <c r="B14244" t="inlineStr">
        <is>
          <t>Trader</t>
        </is>
      </c>
      <c r="C14244" t="inlineStr">
        <is>
          <t>Control Union Poland Sp. z o.o., Zielona Gora, PL</t>
        </is>
      </c>
      <c r="D14244" t="inlineStr">
        <is>
          <t>27.09.2026</t>
        </is>
      </c>
      <c r="E14244" t="inlineStr">
        <is>
          <t>United States</t>
        </is>
      </c>
    </row>
    <row r="14245">
      <c r="A14245" t="inlineStr">
        <is>
          <t>BASF Company,  Ansan-si, Gyeonggi-do, Korea, Republic of</t>
        </is>
      </c>
      <c r="B14245" t="inlineStr">
        <is>
          <t>Processing Unit</t>
        </is>
      </c>
      <c r="C14245" t="inlineStr">
        <is>
          <t>Control Union Certifications Germany GmbH, Berlin, DE</t>
        </is>
      </c>
      <c r="D14245" t="inlineStr">
        <is>
          <t>26.09.2026</t>
        </is>
      </c>
      <c r="E14245" t="inlineStr">
        <is>
          <t>Republic of</t>
        </is>
      </c>
    </row>
    <row r="14246">
      <c r="A14246" t="inlineStr">
        <is>
          <t>NAN YA PLASTICS CORPORATION,  Yunlin County, Mailiao Township, Taiwan</t>
        </is>
      </c>
      <c r="B14246" t="inlineStr">
        <is>
          <t>Processing Unit</t>
        </is>
      </c>
      <c r="C14246" t="inlineStr">
        <is>
          <t>Bureau Veritas Polska Sp. z o.o., Warsaw, PL</t>
        </is>
      </c>
      <c r="D14246" t="inlineStr">
        <is>
          <t>26.09.2026</t>
        </is>
      </c>
      <c r="E14246" t="inlineStr">
        <is>
          <t>Taiwan</t>
        </is>
      </c>
    </row>
    <row r="14247">
      <c r="A14247" t="inlineStr">
        <is>
          <t>YoungRay Company Limited,  Kaohsiung City, Taiwan</t>
        </is>
      </c>
      <c r="B14247" t="inlineStr">
        <is>
          <t>Collecting Point, Trader with Storage</t>
        </is>
      </c>
      <c r="C14247" t="inlineStr">
        <is>
          <t>PT Intertek Utama Services, Jakarta, ID</t>
        </is>
      </c>
      <c r="D14247" t="inlineStr">
        <is>
          <t>26.09.2026</t>
        </is>
      </c>
      <c r="E14247" t="inlineStr">
        <is>
          <t>Taiwan</t>
        </is>
      </c>
    </row>
    <row r="14248">
      <c r="A14248" t="inlineStr">
        <is>
          <t>In Commodities A/S,  Aarhus N, Denmark</t>
        </is>
      </c>
      <c r="B14248" t="inlineStr">
        <is>
          <t>Trader</t>
        </is>
      </c>
      <c r="C14248" t="inlineStr">
        <is>
          <t>TÜV SÜD Industrie Service GmbH, München, DE</t>
        </is>
      </c>
      <c r="D14248" t="inlineStr">
        <is>
          <t>26.09.2026</t>
        </is>
      </c>
      <c r="E14248" t="inlineStr">
        <is>
          <t>Denmark</t>
        </is>
      </c>
    </row>
    <row r="14249">
      <c r="A14249" t="inlineStr">
        <is>
          <t>MGC Woodchem,  Okayama, Japan</t>
        </is>
      </c>
      <c r="B14249" t="inlineStr">
        <is>
          <t>Processing Unit</t>
        </is>
      </c>
      <c r="C14249" t="inlineStr">
        <is>
          <t>SGS Germany GmbH, Emstek, DE</t>
        </is>
      </c>
      <c r="D14249" t="inlineStr">
        <is>
          <t>26.09.2026</t>
        </is>
      </c>
      <c r="E14249" t="inlineStr">
        <is>
          <t>Japan</t>
        </is>
      </c>
    </row>
    <row r="14250">
      <c r="A14250" t="inlineStr">
        <is>
          <t>Polytex Sportbeläge Produktions-GmbH,  Grefrath, Germany</t>
        </is>
      </c>
      <c r="B14250" t="inlineStr">
        <is>
          <t>Processing Unit, Trader with Storage</t>
        </is>
      </c>
      <c r="C14250" t="inlineStr">
        <is>
          <t>SGS Germany GmbH, Emstek, DE</t>
        </is>
      </c>
      <c r="D14250" t="inlineStr">
        <is>
          <t>26.09.2026</t>
        </is>
      </c>
      <c r="E14250" t="inlineStr">
        <is>
          <t>Germany</t>
        </is>
      </c>
    </row>
    <row r="14251">
      <c r="A14251" t="inlineStr">
        <is>
          <t>HIROKAWA MATERIAL CO.,LTD. TOTTORI KURAYOSHI FACTORY,  Kurayoshi-shi, Tottori, Japan</t>
        </is>
      </c>
      <c r="B14251" t="inlineStr">
        <is>
          <t>Processing Unit</t>
        </is>
      </c>
      <c r="C14251" t="inlineStr">
        <is>
          <t>SGS Germany GmbH, Emstek, DE</t>
        </is>
      </c>
      <c r="D14251" t="inlineStr">
        <is>
          <t>26.09.2026</t>
        </is>
      </c>
      <c r="E14251" t="inlineStr">
        <is>
          <t>Japan</t>
        </is>
      </c>
    </row>
    <row r="14252">
      <c r="A14252" t="inlineStr">
        <is>
          <t>CMT Group s.r.o.,  Bratislava-Staré Mesto, Slovakia</t>
        </is>
      </c>
      <c r="B14252" t="inlineStr">
        <is>
          <t>Collecting Point, Trader with Storage</t>
        </is>
      </c>
      <c r="C14252" t="inlineStr">
        <is>
          <t>United Registrar of Systems Polska Sp. z o.o., Wrocław, PL</t>
        </is>
      </c>
      <c r="D14252" t="inlineStr">
        <is>
          <t>26.09.2026</t>
        </is>
      </c>
      <c r="E14252" t="inlineStr">
        <is>
          <t>Slovakia</t>
        </is>
      </c>
    </row>
    <row r="14253">
      <c r="A14253" t="inlineStr">
        <is>
          <t>Welle (Changzhou) Bioenergy Co., Ltd.,  Changzhou City, Jiangsu Province, China</t>
        </is>
      </c>
      <c r="B14253" t="inlineStr">
        <is>
          <t>Trader</t>
        </is>
      </c>
      <c r="C14253" t="inlineStr">
        <is>
          <t>SCS Global Services, Emeryville, CA, US</t>
        </is>
      </c>
      <c r="D14253" t="inlineStr">
        <is>
          <t>26.09.2026</t>
        </is>
      </c>
      <c r="E14253" t="inlineStr">
        <is>
          <t>China</t>
        </is>
      </c>
    </row>
    <row r="14254">
      <c r="A14254" t="inlineStr">
        <is>
          <t>Circular Plas Company Limited,  RIL Industrial Estate, Mueang, Rayong, Thailand</t>
        </is>
      </c>
      <c r="B14254" t="inlineStr">
        <is>
          <t>Collecting Point, Processing Unit</t>
        </is>
      </c>
      <c r="C14254" t="inlineStr">
        <is>
          <t>SGS Germany GmbH, Emstek, DE</t>
        </is>
      </c>
      <c r="D14254" t="inlineStr">
        <is>
          <t>26.09.2026</t>
        </is>
      </c>
      <c r="E14254" t="inlineStr">
        <is>
          <t>Thailand</t>
        </is>
      </c>
    </row>
    <row r="14255">
      <c r="A14255" t="inlineStr">
        <is>
          <t>Kublich Grain,  Kublych village, Ukraine</t>
        </is>
      </c>
      <c r="B14255" t="inlineStr">
        <is>
          <t>First Gathering Point, Trader with Storage</t>
        </is>
      </c>
      <c r="C14255" t="inlineStr">
        <is>
          <t>Control Union Certifications Germany GmbH, Berlin, DE</t>
        </is>
      </c>
      <c r="D14255" t="inlineStr">
        <is>
          <t>26.09.2026</t>
        </is>
      </c>
      <c r="E14255" t="inlineStr">
        <is>
          <t>Ukraine</t>
        </is>
      </c>
    </row>
    <row r="14256">
      <c r="A14256" t="inlineStr">
        <is>
          <t>RURAL GRAIN TRADING SRL,  Constanta, Romania</t>
        </is>
      </c>
      <c r="B14256" t="inlineStr">
        <is>
          <t>First Gathering Point, Trader</t>
        </is>
      </c>
      <c r="C14256" t="inlineStr">
        <is>
          <t>SGS Germany GmbH, Emstek, DE</t>
        </is>
      </c>
      <c r="D14256" t="inlineStr">
        <is>
          <t>26.09.2026</t>
        </is>
      </c>
      <c r="E14256" t="inlineStr">
        <is>
          <t>Romania</t>
        </is>
      </c>
    </row>
    <row r="14257">
      <c r="A14257" t="inlineStr">
        <is>
          <t>Bunge Argentina S.A.,  Puerto General San Martín, Santa Fé, Argentina</t>
        </is>
      </c>
      <c r="B14257" t="inlineStr">
        <is>
          <t>Point of Origin, Trader with Storage, Processing Unit</t>
        </is>
      </c>
      <c r="C14257" t="inlineStr">
        <is>
          <t>Control Union Certifications Germany GmbH, Berlin, DE</t>
        </is>
      </c>
      <c r="D14257" t="inlineStr">
        <is>
          <t>26.09.2026</t>
        </is>
      </c>
      <c r="E14257" t="inlineStr">
        <is>
          <t>Argentina</t>
        </is>
      </c>
    </row>
    <row r="14258">
      <c r="A14258" t="inlineStr">
        <is>
          <t>Zhejiang Free Trade Zone PetroChina Fuel Oil Co., LTD.,  Putuo District,zhoushan City, Zhejiang Province, China</t>
        </is>
      </c>
      <c r="B14258" t="inlineStr">
        <is>
          <t>Trader with Storage</t>
        </is>
      </c>
      <c r="C14258" t="inlineStr">
        <is>
          <t>SCS Global Services, Emeryville, CA, US</t>
        </is>
      </c>
      <c r="D14258" t="inlineStr">
        <is>
          <t>26.09.2026</t>
        </is>
      </c>
      <c r="E14258" t="inlineStr">
        <is>
          <t>China</t>
        </is>
      </c>
    </row>
    <row r="14259">
      <c r="A14259" t="inlineStr">
        <is>
          <t>POLY PETROCHEM PTE. LTD.,  Guangzhou City Guangdong Province, China</t>
        </is>
      </c>
      <c r="B14259" t="inlineStr">
        <is>
          <t>Trader</t>
        </is>
      </c>
      <c r="C14259" t="inlineStr">
        <is>
          <t>RINA Services S.p.A., Genova, IT</t>
        </is>
      </c>
      <c r="D14259" t="inlineStr">
        <is>
          <t>26.09.2026</t>
        </is>
      </c>
      <c r="E14259" t="inlineStr">
        <is>
          <t>China</t>
        </is>
      </c>
    </row>
    <row r="14260">
      <c r="A14260" t="inlineStr">
        <is>
          <t>Vadalex Grains,  Stauceni, Moldova</t>
        </is>
      </c>
      <c r="B14260" t="inlineStr">
        <is>
          <t>Trader with Storage, First Gathering Point</t>
        </is>
      </c>
      <c r="C14260" t="inlineStr">
        <is>
          <t>SGS Germany GmbH, Emstek, DE</t>
        </is>
      </c>
      <c r="D14260" t="inlineStr">
        <is>
          <t>26.09.2026</t>
        </is>
      </c>
      <c r="E14260" t="inlineStr">
        <is>
          <t>Moldova</t>
        </is>
      </c>
    </row>
    <row r="14261">
      <c r="A14261" t="inlineStr">
        <is>
          <t>Henkel Magyarország Operations Kft,  Környe, Hungary</t>
        </is>
      </c>
      <c r="B14261" t="inlineStr">
        <is>
          <t>Processing Unit</t>
        </is>
      </c>
      <c r="C14261" t="inlineStr">
        <is>
          <t>DQS CFS GmbH - Deutsche Gesellschaft für Nachhaltigkeit, Frankfurt am Main, DE</t>
        </is>
      </c>
      <c r="D14261" t="inlineStr">
        <is>
          <t>26.09.2026</t>
        </is>
      </c>
      <c r="E14261" t="inlineStr">
        <is>
          <t>Hungary</t>
        </is>
      </c>
    </row>
    <row r="14262">
      <c r="A14262" t="inlineStr">
        <is>
          <t>Olimex Ltd,  Pokraina village, Bulgaria</t>
        </is>
      </c>
      <c r="B14262" t="inlineStr">
        <is>
          <t>First Gathering Point, Processing Unit</t>
        </is>
      </c>
      <c r="C14262" t="inlineStr">
        <is>
          <t>SGS Germany GmbH, Emstek, DE</t>
        </is>
      </c>
      <c r="D14262" t="inlineStr">
        <is>
          <t>26.09.2026</t>
        </is>
      </c>
      <c r="E14262" t="inlineStr">
        <is>
          <t>Bulgaria</t>
        </is>
      </c>
    </row>
    <row r="14263">
      <c r="A14263" t="inlineStr">
        <is>
          <t>MJM agro Slovakia, s.r.o.,  Levice, Slovakia</t>
        </is>
      </c>
      <c r="B14263" t="inlineStr">
        <is>
          <t>First Gathering Point, Trader with Storage</t>
        </is>
      </c>
      <c r="C14263" t="inlineStr">
        <is>
          <t>United Registrar of Systems Polska Sp. z o.o., Wrocław, PL</t>
        </is>
      </c>
      <c r="D14263" t="inlineStr">
        <is>
          <t>26.09.2026</t>
        </is>
      </c>
      <c r="E14263" t="inlineStr">
        <is>
          <t>Slovakia</t>
        </is>
      </c>
    </row>
    <row r="14264">
      <c r="A14264" t="inlineStr">
        <is>
          <t>PT Pigeon Indonesia,  Serang Regency, Indonesia</t>
        </is>
      </c>
      <c r="B14264" t="inlineStr">
        <is>
          <t>Processing Unit, Final Product Refinement</t>
        </is>
      </c>
      <c r="C14264" t="inlineStr">
        <is>
          <t>PT Intertek Utama Services, Jakarta, ID</t>
        </is>
      </c>
      <c r="D14264" t="inlineStr">
        <is>
          <t>26.09.2026</t>
        </is>
      </c>
      <c r="E14264" t="inlineStr">
        <is>
          <t>Indonesia</t>
        </is>
      </c>
    </row>
    <row r="14265">
      <c r="A14265" t="inlineStr">
        <is>
          <t>Aceites de Costa Rica JTG, S.R.L.,  Rincon de Zaragoza, Alajuela, Palmares, Costa Rica</t>
        </is>
      </c>
      <c r="B14265" t="inlineStr">
        <is>
          <t>Collecting Point</t>
        </is>
      </c>
      <c r="C14265" t="inlineStr">
        <is>
          <t>Certificadora Gallega del Noroeste SL, Vilagarcia de Arousa-Pontevedra, ES</t>
        </is>
      </c>
      <c r="D14265" t="inlineStr">
        <is>
          <t>26.09.2026</t>
        </is>
      </c>
      <c r="E14265" t="inlineStr">
        <is>
          <t>Costa Rica</t>
        </is>
      </c>
    </row>
    <row r="14266">
      <c r="A14266" t="inlineStr">
        <is>
          <t>Imelda Castro Guilbert (Palma Verde),  Hatillo, San José, Costa Rica</t>
        </is>
      </c>
      <c r="B14266" t="inlineStr">
        <is>
          <t>Collecting Point</t>
        </is>
      </c>
      <c r="C14266" t="inlineStr">
        <is>
          <t>Certificadora Gallega del Noroeste SL, Vilagarcia de Arousa-Pontevedra, ES</t>
        </is>
      </c>
      <c r="D14266" t="inlineStr">
        <is>
          <t>26.09.2026</t>
        </is>
      </c>
      <c r="E14266" t="inlineStr">
        <is>
          <t>Costa Rica</t>
        </is>
      </c>
    </row>
    <row r="14267">
      <c r="A14267" t="inlineStr">
        <is>
          <t>Tenaz Group Pty Ltd,  Brookwater, Australia</t>
        </is>
      </c>
      <c r="B14267" t="inlineStr">
        <is>
          <t>Trader</t>
        </is>
      </c>
      <c r="C14267" t="inlineStr">
        <is>
          <t>Control Union Certifications Germany GmbH, Berlin, DE</t>
        </is>
      </c>
      <c r="D14267" t="inlineStr">
        <is>
          <t>26.09.2026</t>
        </is>
      </c>
      <c r="E14267" t="inlineStr">
        <is>
          <t>Australia</t>
        </is>
      </c>
    </row>
    <row r="14268">
      <c r="A14268" t="inlineStr">
        <is>
          <t>KPMW SILO SRL,  CRIZBAV, Brasov, Romania</t>
        </is>
      </c>
      <c r="B14268" t="inlineStr">
        <is>
          <t>First Gathering Point, Warehouse</t>
        </is>
      </c>
      <c r="C14268" t="inlineStr">
        <is>
          <t>BM Certification, Riga, LV</t>
        </is>
      </c>
      <c r="D14268" t="inlineStr">
        <is>
          <t>26.09.2026</t>
        </is>
      </c>
      <c r="E14268" t="inlineStr">
        <is>
          <t>Romania</t>
        </is>
      </c>
    </row>
    <row r="14269">
      <c r="A14269" t="inlineStr">
        <is>
          <t>CHANG CHUN PLASTICS CO., LTD.,  Kaohsiung City, Taiwan</t>
        </is>
      </c>
      <c r="B14269" t="inlineStr">
        <is>
          <t>Processing Unit</t>
        </is>
      </c>
      <c r="C14269" t="inlineStr">
        <is>
          <t>Bureau Veritas Polska Sp. z o.o., Warsaw, PL</t>
        </is>
      </c>
      <c r="D14269" t="inlineStr">
        <is>
          <t>26.09.2026</t>
        </is>
      </c>
      <c r="E14269" t="inlineStr">
        <is>
          <t>Taiwan</t>
        </is>
      </c>
    </row>
    <row r="14270">
      <c r="A14270" t="inlineStr">
        <is>
          <t>Cogetrina logistics,  Froyennes, Belgium</t>
        </is>
      </c>
      <c r="B14270" t="inlineStr">
        <is>
          <t>Processing Unit, Collecting Point</t>
        </is>
      </c>
      <c r="C14270" t="inlineStr">
        <is>
          <t>SGS Germany GmbH, Emstek, DE</t>
        </is>
      </c>
      <c r="D14270" t="inlineStr">
        <is>
          <t>26.09.2026</t>
        </is>
      </c>
      <c r="E14270" t="inlineStr">
        <is>
          <t>Belgium</t>
        </is>
      </c>
    </row>
    <row r="14271">
      <c r="A14271" t="inlineStr">
        <is>
          <t>URANUS RENEWABLE PRIVATE LIMITED,  RANIPET, India</t>
        </is>
      </c>
      <c r="B14271" t="inlineStr">
        <is>
          <t>Collecting Point, Trader with Storage</t>
        </is>
      </c>
      <c r="C14271" t="inlineStr">
        <is>
          <t>Alcumus ISOQAR Ltd, Stretford, Manchester, GB</t>
        </is>
      </c>
      <c r="D14271" t="inlineStr">
        <is>
          <t>26.09.2026</t>
        </is>
      </c>
      <c r="E14271" t="inlineStr">
        <is>
          <t>India</t>
        </is>
      </c>
    </row>
    <row r="14272">
      <c r="A14272" t="inlineStr">
        <is>
          <t>Equatorial Marine Fuel Management Services,  Singapore, Singapore</t>
        </is>
      </c>
      <c r="B14272" t="inlineStr">
        <is>
          <t>Trader with Storage</t>
        </is>
      </c>
      <c r="C14272" t="inlineStr">
        <is>
          <t>TÜV NORD CERT GmbH, Essen, DE</t>
        </is>
      </c>
      <c r="D14272" t="inlineStr">
        <is>
          <t>26.09.2026</t>
        </is>
      </c>
      <c r="E14272" t="inlineStr">
        <is>
          <t>Singapore</t>
        </is>
      </c>
    </row>
    <row r="14273">
      <c r="A14273" t="inlineStr">
        <is>
          <t>Domo Engineering plastics Italy,  Arco di Trento, Italy</t>
        </is>
      </c>
      <c r="B14273" t="inlineStr">
        <is>
          <t>Processing Unit</t>
        </is>
      </c>
      <c r="C14273" t="inlineStr">
        <is>
          <t>SGS Germany GmbH, Emstek, DE</t>
        </is>
      </c>
      <c r="D14273" t="inlineStr">
        <is>
          <t>26.09.2026</t>
        </is>
      </c>
      <c r="E14273" t="inlineStr">
        <is>
          <t>Italy</t>
        </is>
      </c>
    </row>
    <row r="14274">
      <c r="A14274" t="inlineStr">
        <is>
          <t>BENADA, MB,  VILNIUS, Lithuania</t>
        </is>
      </c>
      <c r="B14274" t="inlineStr">
        <is>
          <t>Trader, First Gathering Point</t>
        </is>
      </c>
      <c r="C14274" t="inlineStr">
        <is>
          <t>Bureau Veritas Polska Sp. z o.o., Warsaw, PL</t>
        </is>
      </c>
      <c r="D14274" t="inlineStr">
        <is>
          <t>26.09.2026</t>
        </is>
      </c>
      <c r="E14274" t="inlineStr">
        <is>
          <t>Lithuania</t>
        </is>
      </c>
    </row>
    <row r="14275">
      <c r="A14275" t="inlineStr">
        <is>
          <t>Buske sorto-nasinnytske pidpryyemstvo,  Ozhydiv village, Zolochiv district, Lviv region, Ukraine</t>
        </is>
      </c>
      <c r="B14275" t="inlineStr">
        <is>
          <t>First Gathering Point</t>
        </is>
      </c>
      <c r="C14275" t="inlineStr">
        <is>
          <t>SGS Germany GmbH, Emstek, DE</t>
        </is>
      </c>
      <c r="D14275" t="inlineStr">
        <is>
          <t>25.09.2026</t>
        </is>
      </c>
      <c r="E14275" t="inlineStr">
        <is>
          <t>Ukraine</t>
        </is>
      </c>
    </row>
    <row r="14276">
      <c r="A14276" t="inlineStr">
        <is>
          <t>Hebert P,  Orgelet, France</t>
        </is>
      </c>
      <c r="B14276" t="inlineStr">
        <is>
          <t>Processing Unit</t>
        </is>
      </c>
      <c r="C14276" t="inlineStr">
        <is>
          <t>Control Union Certifications Germany GmbH, Berlin, DE</t>
        </is>
      </c>
      <c r="D14276" t="inlineStr">
        <is>
          <t>26.09.2026</t>
        </is>
      </c>
      <c r="E14276" t="inlineStr">
        <is>
          <t>France</t>
        </is>
      </c>
    </row>
    <row r="14277">
      <c r="A14277" t="inlineStr">
        <is>
          <t>EKKOKKISTIRIA LIVADIAS AGELOUSIS,  Livadia, Greece</t>
        </is>
      </c>
      <c r="B14277" t="inlineStr">
        <is>
          <t>First Gathering Point, Processing Unit</t>
        </is>
      </c>
      <c r="C14277" t="inlineStr">
        <is>
          <t>Eurocert SA, Metamorfosi, Athens, GR</t>
        </is>
      </c>
      <c r="D14277" t="inlineStr">
        <is>
          <t>26.09.2026</t>
        </is>
      </c>
      <c r="E14277" t="inlineStr">
        <is>
          <t>Greece</t>
        </is>
      </c>
    </row>
    <row r="14278">
      <c r="A14278" t="inlineStr">
        <is>
          <t>Thermo Fisher Scientific,  Lebanon, United States</t>
        </is>
      </c>
      <c r="B14278" t="inlineStr">
        <is>
          <t>Final Product Refinement</t>
        </is>
      </c>
      <c r="C14278" t="inlineStr">
        <is>
          <t>SCS Global Services, Emeryville, CA, US</t>
        </is>
      </c>
      <c r="D14278" t="inlineStr">
        <is>
          <t>26.09.2026</t>
        </is>
      </c>
      <c r="E14278" t="inlineStr">
        <is>
          <t>United States</t>
        </is>
      </c>
    </row>
    <row r="14279">
      <c r="A14279" t="inlineStr">
        <is>
          <t>Region Grain Company AG,  Kublich village, Ukraine</t>
        </is>
      </c>
      <c r="B14279" t="inlineStr">
        <is>
          <t>First Gathering Point, Trader with Storage</t>
        </is>
      </c>
      <c r="C14279" t="inlineStr">
        <is>
          <t>Control Union Certifications Germany GmbH, Berlin, DE</t>
        </is>
      </c>
      <c r="D14279" t="inlineStr">
        <is>
          <t>26.09.2026</t>
        </is>
      </c>
      <c r="E14279" t="inlineStr">
        <is>
          <t>Ukraine</t>
        </is>
      </c>
    </row>
    <row r="14280">
      <c r="A14280" t="inlineStr">
        <is>
          <t>ROVE S.R.L.,  Sannicola, (Lecce), Italy</t>
        </is>
      </c>
      <c r="B14280" t="inlineStr">
        <is>
          <t>Collecting Point, Trader with Storage, Processing Unit</t>
        </is>
      </c>
      <c r="C14280" t="inlineStr">
        <is>
          <t>RINA Services S.p.A., Genova, IT</t>
        </is>
      </c>
      <c r="D14280" t="inlineStr">
        <is>
          <t>26.09.2026</t>
        </is>
      </c>
      <c r="E14280" t="inlineStr">
        <is>
          <t>Italy</t>
        </is>
      </c>
    </row>
    <row r="14281">
      <c r="A14281" t="inlineStr">
        <is>
          <t>UAB Wood Line,  Vilnius, Lithuania</t>
        </is>
      </c>
      <c r="B14281" t="inlineStr">
        <is>
          <t>Trader with Storage</t>
        </is>
      </c>
      <c r="C14281" t="inlineStr">
        <is>
          <t>BM Certification, Riga, LV</t>
        </is>
      </c>
      <c r="D14281" t="inlineStr">
        <is>
          <t>25.09.2026</t>
        </is>
      </c>
      <c r="E14281" t="inlineStr">
        <is>
          <t>Lithuania</t>
        </is>
      </c>
    </row>
    <row r="14282">
      <c r="A14282" t="inlineStr">
        <is>
          <t>Zalagroup Agrár Integrátor Kft,  Zalaegerszeg, Hungary</t>
        </is>
      </c>
      <c r="B14282" t="inlineStr">
        <is>
          <t>First Gathering Point, Trader with Storage</t>
        </is>
      </c>
      <c r="C14282" t="inlineStr">
        <is>
          <t>Bureau Veritas Polska Sp. z o.o., Warsaw, PL</t>
        </is>
      </c>
      <c r="D14282" t="inlineStr">
        <is>
          <t>25.09.2026</t>
        </is>
      </c>
      <c r="E14282" t="inlineStr">
        <is>
          <t>Hungary</t>
        </is>
      </c>
    </row>
    <row r="14283">
      <c r="A14283" t="inlineStr">
        <is>
          <t>Vitrex,  Virovitica, Croatia</t>
        </is>
      </c>
      <c r="B14283" t="inlineStr">
        <is>
          <t>Collecting Point</t>
        </is>
      </c>
      <c r="C14283" t="inlineStr">
        <is>
          <t>Bureau Veritas Polska Sp. z o.o., Warsaw, PL</t>
        </is>
      </c>
      <c r="D14283" t="inlineStr">
        <is>
          <t>25.09.2026</t>
        </is>
      </c>
      <c r="E14283" t="inlineStr">
        <is>
          <t>Croatia</t>
        </is>
      </c>
    </row>
    <row r="14284">
      <c r="A14284" t="inlineStr">
        <is>
          <t>SUMITOMO CORPORATION TAIWAN LTD.,  Songshan Dist., Taipei City, Taiwan</t>
        </is>
      </c>
      <c r="B14284" t="inlineStr">
        <is>
          <t>Trader</t>
        </is>
      </c>
      <c r="C14284" t="inlineStr">
        <is>
          <t>Bureau Veritas Polska Sp. z o.o., Warsaw, PL</t>
        </is>
      </c>
      <c r="D14284" t="inlineStr">
        <is>
          <t>25.09.2026</t>
        </is>
      </c>
      <c r="E14284" t="inlineStr">
        <is>
          <t>Taiwan</t>
        </is>
      </c>
    </row>
    <row r="14285">
      <c r="A14285" t="inlineStr">
        <is>
          <t>Agronom d.o.o.,  Požega, Croatia</t>
        </is>
      </c>
      <c r="B14285" t="inlineStr">
        <is>
          <t>Trader with Storage, Farm / Plantation, First Gathering Point, Logistics Center</t>
        </is>
      </c>
      <c r="C14285" t="inlineStr">
        <is>
          <t>Bureau Veritas Polska Sp. z o.o., Warsaw, PL</t>
        </is>
      </c>
      <c r="D14285" t="inlineStr">
        <is>
          <t>25.09.2026</t>
        </is>
      </c>
      <c r="E14285" t="inlineStr">
        <is>
          <t>Croatia</t>
        </is>
      </c>
    </row>
    <row r="14286">
      <c r="A14286" t="inlineStr">
        <is>
          <t>BERKAT OIL PALM SDN BHD,  KAMUNTING, Malaysia</t>
        </is>
      </c>
      <c r="B14286" t="inlineStr">
        <is>
          <t>Point of Origin, Processing Unit</t>
        </is>
      </c>
      <c r="C14286" t="inlineStr">
        <is>
          <t>Trans Certification and Inspection Sdn Bhd, Kuantan, MY</t>
        </is>
      </c>
      <c r="D14286" t="inlineStr">
        <is>
          <t>25.09.2026</t>
        </is>
      </c>
      <c r="E14286" t="inlineStr">
        <is>
          <t>Malaysia</t>
        </is>
      </c>
    </row>
    <row r="14287">
      <c r="A14287" t="inlineStr">
        <is>
          <t>TIANJIN BOHAI CHEMICAL INDUSTRIES IMPORT AND EXPORT CORPORATION.,  TIANJIN, China</t>
        </is>
      </c>
      <c r="B14287" t="inlineStr">
        <is>
          <t>Trader with Storage</t>
        </is>
      </c>
      <c r="C14287" t="inlineStr">
        <is>
          <t>SGS Germany GmbH, Emstek, DE</t>
        </is>
      </c>
      <c r="D14287" t="inlineStr">
        <is>
          <t>25.09.2026</t>
        </is>
      </c>
      <c r="E14287" t="inlineStr">
        <is>
          <t>China</t>
        </is>
      </c>
    </row>
    <row r="14288">
      <c r="A14288" t="inlineStr">
        <is>
          <t>TIANJIN BOHAI CHEMICAL INDUSTRIES IMPORT AND EXPORT CORPORATION.,  TIANJIN, China</t>
        </is>
      </c>
      <c r="B14288" t="inlineStr">
        <is>
          <t>Trader with Storage</t>
        </is>
      </c>
      <c r="C14288" t="inlineStr">
        <is>
          <t>SGS Germany GmbH, Emstek, DE</t>
        </is>
      </c>
      <c r="D14288" t="inlineStr">
        <is>
          <t>25.09.2026</t>
        </is>
      </c>
      <c r="E14288" t="inlineStr">
        <is>
          <t>China</t>
        </is>
      </c>
    </row>
    <row r="14289">
      <c r="A14289" t="inlineStr">
        <is>
          <t>TIANJIN BOHAI CHEMICAL INDUSTRIES IMPORT AND EXPORT CORPORATION.,  TIANJIN, China</t>
        </is>
      </c>
      <c r="B14289" t="inlineStr">
        <is>
          <t>Trader with Storage</t>
        </is>
      </c>
      <c r="C14289" t="inlineStr">
        <is>
          <t>SGS Germany GmbH, Emstek, DE</t>
        </is>
      </c>
      <c r="D14289" t="inlineStr">
        <is>
          <t>25.09.2026</t>
        </is>
      </c>
      <c r="E14289" t="inlineStr">
        <is>
          <t>China</t>
        </is>
      </c>
    </row>
    <row r="14290">
      <c r="A14290" t="inlineStr">
        <is>
          <t>RYSSEN Alcools,  LOON-PLAGE, France</t>
        </is>
      </c>
      <c r="B14290" t="inlineStr">
        <is>
          <t>Processing Unit</t>
        </is>
      </c>
      <c r="C14290" t="inlineStr">
        <is>
          <t>Bureau Veritas Polska Sp. z o.o., Warsaw, PL</t>
        </is>
      </c>
      <c r="D14290" t="inlineStr">
        <is>
          <t>25.09.2026</t>
        </is>
      </c>
      <c r="E14290" t="inlineStr">
        <is>
          <t>France</t>
        </is>
      </c>
    </row>
    <row r="14291">
      <c r="A14291" t="inlineStr">
        <is>
          <t>FORNO D'ASOLO SPA,  MASER, Italy</t>
        </is>
      </c>
      <c r="B14291" t="inlineStr">
        <is>
          <t>Processing Unit</t>
        </is>
      </c>
      <c r="C14291" t="inlineStr">
        <is>
          <t>RINA Services S.p.A., Genova, IT</t>
        </is>
      </c>
      <c r="D14291" t="inlineStr">
        <is>
          <t>25.09.2026</t>
        </is>
      </c>
      <c r="E14291" t="inlineStr">
        <is>
          <t>Italy</t>
        </is>
      </c>
    </row>
    <row r="14292">
      <c r="A14292" t="inlineStr">
        <is>
          <t>Vupik plus d.o.o.,  Vukovar, Croatia</t>
        </is>
      </c>
      <c r="B14292" t="inlineStr">
        <is>
          <t>Farm / Plantation, Warehouse</t>
        </is>
      </c>
      <c r="C14292" t="inlineStr">
        <is>
          <t>Bureau Veritas Polska Sp. z o.o., Warsaw, PL</t>
        </is>
      </c>
      <c r="D14292" t="inlineStr">
        <is>
          <t>25.09.2026</t>
        </is>
      </c>
      <c r="E14292" t="inlineStr">
        <is>
          <t>Croatia</t>
        </is>
      </c>
    </row>
    <row r="14293">
      <c r="A14293" t="inlineStr">
        <is>
          <t>Asahi Kasei Corporation,  Kitaku,Kobe,Hyogo, Japan</t>
        </is>
      </c>
      <c r="B14293" t="inlineStr">
        <is>
          <t>Processing Unit</t>
        </is>
      </c>
      <c r="C14293" t="inlineStr">
        <is>
          <t>Control Union Certifications Germany GmbH, Berlin, DE</t>
        </is>
      </c>
      <c r="D14293" t="inlineStr">
        <is>
          <t>25.09.2026</t>
        </is>
      </c>
      <c r="E14293" t="inlineStr">
        <is>
          <t>Japan</t>
        </is>
      </c>
    </row>
    <row r="14294">
      <c r="A14294" t="inlineStr">
        <is>
          <t>RECICLAJE DE ACEITE Y DERIVADOS, S.L.,  MALAGA, Spain</t>
        </is>
      </c>
      <c r="B14294" t="inlineStr">
        <is>
          <t>Collecting Point</t>
        </is>
      </c>
      <c r="C14294" t="inlineStr">
        <is>
          <t>RINA Services S.p.A., Genova, IT</t>
        </is>
      </c>
      <c r="D14294" t="inlineStr">
        <is>
          <t>25.09.2026</t>
        </is>
      </c>
      <c r="E14294" t="inlineStr">
        <is>
          <t>Spain</t>
        </is>
      </c>
    </row>
    <row r="14295">
      <c r="A14295" t="inlineStr">
        <is>
          <t>Airedale Recycling Management Ltd.,  Bradford, United Kingdom</t>
        </is>
      </c>
      <c r="B14295" t="inlineStr">
        <is>
          <t>Collecting Point</t>
        </is>
      </c>
      <c r="C14295" t="inlineStr">
        <is>
          <t>SGS Germany GmbH, Emstek, DE</t>
        </is>
      </c>
      <c r="D14295" t="inlineStr">
        <is>
          <t>25.09.2026</t>
        </is>
      </c>
      <c r="E14295" t="inlineStr">
        <is>
          <t>United Kingdom</t>
        </is>
      </c>
    </row>
    <row r="14296">
      <c r="A14296" t="inlineStr">
        <is>
          <t>Sammontana Italia S.p.A. Società Benefit,  Colognola ai Colli, VR, Italy</t>
        </is>
      </c>
      <c r="B14296" t="inlineStr">
        <is>
          <t>Trader with Storage, Processing Unit</t>
        </is>
      </c>
      <c r="C14296" t="inlineStr">
        <is>
          <t>RINA Services S.p.A., Genova, IT</t>
        </is>
      </c>
      <c r="D14296" t="inlineStr">
        <is>
          <t>25.09.2026</t>
        </is>
      </c>
      <c r="E14296" t="inlineStr">
        <is>
          <t>Italy</t>
        </is>
      </c>
    </row>
    <row r="14297">
      <c r="A14297" t="inlineStr">
        <is>
          <t>SOLT AFRICANA LIMITED,  eMANZANA, South Africa</t>
        </is>
      </c>
      <c r="B14297" t="inlineStr">
        <is>
          <t>Farm / Plantation</t>
        </is>
      </c>
      <c r="C14297" t="inlineStr">
        <is>
          <t>RINA Services S.p.A., Genova, IT</t>
        </is>
      </c>
      <c r="D14297" t="inlineStr">
        <is>
          <t>25.09.2026</t>
        </is>
      </c>
      <c r="E14297" t="inlineStr">
        <is>
          <t>South Africa</t>
        </is>
      </c>
    </row>
    <row r="14298">
      <c r="A14298" t="inlineStr">
        <is>
          <t>ECO-NRG, LDA,  Caia, Mozambique</t>
        </is>
      </c>
      <c r="B14298" t="inlineStr">
        <is>
          <t>Farm / Plantation</t>
        </is>
      </c>
      <c r="C14298" t="inlineStr">
        <is>
          <t>RINA Services S.p.A., Genova, IT</t>
        </is>
      </c>
      <c r="D14298" t="inlineStr">
        <is>
          <t>25.09.2026</t>
        </is>
      </c>
      <c r="E14298" t="inlineStr">
        <is>
          <t>Mozambique</t>
        </is>
      </c>
    </row>
    <row r="14299">
      <c r="A14299" t="inlineStr">
        <is>
          <t>AGAFRICA MOZAMBIQUE, LIMITADA,  Xai-Xai, Mozambique</t>
        </is>
      </c>
      <c r="B14299" t="inlineStr">
        <is>
          <t>Farm / Plantation</t>
        </is>
      </c>
      <c r="C14299" t="inlineStr">
        <is>
          <t>RINA Services S.p.A., Genova, IT</t>
        </is>
      </c>
      <c r="D14299" t="inlineStr">
        <is>
          <t>25.09.2026</t>
        </is>
      </c>
      <c r="E14299" t="inlineStr">
        <is>
          <t>Mozambique</t>
        </is>
      </c>
    </row>
    <row r="14300">
      <c r="A14300" t="inlineStr">
        <is>
          <t>MOZAMBIQUE TUKALIME VENTURES, SU, LDA,  Corrane, Mozambique</t>
        </is>
      </c>
      <c r="B14300" t="inlineStr">
        <is>
          <t>Farm / Plantation</t>
        </is>
      </c>
      <c r="C14300" t="inlineStr">
        <is>
          <t>RINA Services S.p.A., Genova, IT</t>
        </is>
      </c>
      <c r="D14300" t="inlineStr">
        <is>
          <t>25.09.2026</t>
        </is>
      </c>
      <c r="E14300" t="inlineStr">
        <is>
          <t>Mozambique</t>
        </is>
      </c>
    </row>
    <row r="14301">
      <c r="A14301" t="inlineStr">
        <is>
          <t>INHLAMVINI VALLEY FARMING AND INVESTIMENT, LDA,  Chokwe, Mozambique</t>
        </is>
      </c>
      <c r="B14301" t="inlineStr">
        <is>
          <t>Farm / Plantation</t>
        </is>
      </c>
      <c r="C14301" t="inlineStr">
        <is>
          <t>RINA Services S.p.A., Genova, IT</t>
        </is>
      </c>
      <c r="D14301" t="inlineStr">
        <is>
          <t>25.09.2026</t>
        </is>
      </c>
      <c r="E14301" t="inlineStr">
        <is>
          <t>Mozambique</t>
        </is>
      </c>
    </row>
    <row r="14302">
      <c r="A14302" t="inlineStr">
        <is>
          <t>Mitra Perkasa,  Kota Tangerang, Kel. Gandasari, Kec. Jatiuwung, Indonesia</t>
        </is>
      </c>
      <c r="B14302" t="inlineStr">
        <is>
          <t>Collecting Point, Trader with Storage</t>
        </is>
      </c>
      <c r="C14302" t="inlineStr">
        <is>
          <t>China Testing &amp; Certification International Group Co., Ltd., Beijing, CN</t>
        </is>
      </c>
      <c r="D14302" t="inlineStr">
        <is>
          <t>25.09.2026</t>
        </is>
      </c>
      <c r="E14302" t="inlineStr">
        <is>
          <t>Indonesia</t>
        </is>
      </c>
    </row>
    <row r="14303">
      <c r="A14303" t="inlineStr">
        <is>
          <t>Tampieri Energie S.r.l,  faenza, Italy</t>
        </is>
      </c>
      <c r="B14303" t="inlineStr">
        <is>
          <t>Processing Unit</t>
        </is>
      </c>
      <c r="C14303" t="inlineStr">
        <is>
          <t>CSQA Certificazioni Srl, Thiene, IT</t>
        </is>
      </c>
      <c r="D14303" t="inlineStr">
        <is>
          <t>25.09.2026</t>
        </is>
      </c>
      <c r="E14303" t="inlineStr">
        <is>
          <t>Italy</t>
        </is>
      </c>
    </row>
    <row r="14304">
      <c r="A14304" t="inlineStr">
        <is>
          <t>Covestro,  South Deerfield, United States</t>
        </is>
      </c>
      <c r="B14304" t="inlineStr">
        <is>
          <t>Processing Unit</t>
        </is>
      </c>
      <c r="C14304" t="inlineStr">
        <is>
          <t>DQS CFS GmbH - Deutsche Gesellschaft für Nachhaltigkeit, Frankfurt am Main, DE</t>
        </is>
      </c>
      <c r="D14304" t="inlineStr">
        <is>
          <t>25.09.2026</t>
        </is>
      </c>
      <c r="E14304" t="inlineStr">
        <is>
          <t>United States</t>
        </is>
      </c>
    </row>
    <row r="14305">
      <c r="A14305" t="inlineStr">
        <is>
          <t>Beautiful Nonwoven (Jiangsu) Co.,LTD,  Wuxi City, China</t>
        </is>
      </c>
      <c r="B14305" t="inlineStr">
        <is>
          <t>Processing Unit</t>
        </is>
      </c>
      <c r="C14305" t="inlineStr">
        <is>
          <t>SGS Germany GmbH, Emstek, DE</t>
        </is>
      </c>
      <c r="D14305" t="inlineStr">
        <is>
          <t>25.09.2026</t>
        </is>
      </c>
      <c r="E14305" t="inlineStr">
        <is>
          <t>China</t>
        </is>
      </c>
    </row>
    <row r="14306">
      <c r="A14306" t="inlineStr">
        <is>
          <t>Biosigma spa,  Cona, Italy</t>
        </is>
      </c>
      <c r="B14306" t="inlineStr">
        <is>
          <t>Processing Unit, Final Product Refinement</t>
        </is>
      </c>
      <c r="C14306" t="inlineStr">
        <is>
          <t>SGS Germany GmbH, Emstek, DE</t>
        </is>
      </c>
      <c r="D14306" t="inlineStr">
        <is>
          <t>25.09.2026</t>
        </is>
      </c>
      <c r="E14306" t="inlineStr">
        <is>
          <t>Italy</t>
        </is>
      </c>
    </row>
    <row r="14307">
      <c r="A14307" t="inlineStr">
        <is>
          <t>JC Chemical Co., Ltd,  Ulju, Ulsan, The Republic of Korea</t>
        </is>
      </c>
      <c r="B14307" t="inlineStr">
        <is>
          <t>Point of Origin, Processing Unit, Trader with Storage</t>
        </is>
      </c>
      <c r="C14307" t="inlineStr">
        <is>
          <t>Control Union Certifications Germany GmbH, Berlin, DE</t>
        </is>
      </c>
      <c r="D14307" t="inlineStr">
        <is>
          <t>25.09.2026</t>
        </is>
      </c>
      <c r="E14307" t="inlineStr">
        <is>
          <t>The Republic of Korea</t>
        </is>
      </c>
    </row>
    <row r="14308">
      <c r="A14308" t="inlineStr">
        <is>
          <t>Sammontana Italia S.p.A. Società Benefit,  Vinci, FI, Italy</t>
        </is>
      </c>
      <c r="B14308" t="inlineStr">
        <is>
          <t>Processing Unit, Trader with Storage</t>
        </is>
      </c>
      <c r="C14308" t="inlineStr">
        <is>
          <t>RINA Services S.p.A., Genova, IT</t>
        </is>
      </c>
      <c r="D14308" t="inlineStr">
        <is>
          <t>25.09.2026</t>
        </is>
      </c>
      <c r="E14308" t="inlineStr">
        <is>
          <t>Italy</t>
        </is>
      </c>
    </row>
    <row r="14309">
      <c r="A14309" t="inlineStr">
        <is>
          <t>Toray International, Inc.,  Chuo-ku, Tokyo, Japan</t>
        </is>
      </c>
      <c r="B14309" t="inlineStr">
        <is>
          <t>Trader</t>
        </is>
      </c>
      <c r="C14309" t="inlineStr">
        <is>
          <t>PT Intertek Utama Services, Jakarta, ID</t>
        </is>
      </c>
      <c r="D14309" t="inlineStr">
        <is>
          <t>25.09.2026</t>
        </is>
      </c>
      <c r="E14309" t="inlineStr">
        <is>
          <t>Japan</t>
        </is>
      </c>
    </row>
    <row r="14310">
      <c r="A14310" t="inlineStr">
        <is>
          <t>Perkasa Sawit Permai ,  Kabupaten Barito Utara, Provinsi Kalimantan Tengah, Indonesia</t>
        </is>
      </c>
      <c r="B14310" t="inlineStr">
        <is>
          <t>Point of Origin</t>
        </is>
      </c>
      <c r="C14310" t="inlineStr">
        <is>
          <t>PT. Qualitas Sertifikasi Indonesia, Jakarta, ID</t>
        </is>
      </c>
      <c r="D14310" t="inlineStr">
        <is>
          <t>25.09.2026</t>
        </is>
      </c>
      <c r="E14310" t="inlineStr">
        <is>
          <t>Indonesia</t>
        </is>
      </c>
    </row>
    <row r="14311">
      <c r="A14311" t="inlineStr">
        <is>
          <t>Global Films Barcelona SL,  Sant Quirze del Valles, Spain</t>
        </is>
      </c>
      <c r="B14311" t="inlineStr">
        <is>
          <t>Trader with Storage, Final Product Refinement</t>
        </is>
      </c>
      <c r="C14311" t="inlineStr">
        <is>
          <t>SGS Germany GmbH, Emstek, DE</t>
        </is>
      </c>
      <c r="D14311" t="inlineStr">
        <is>
          <t>25.09.2026</t>
        </is>
      </c>
      <c r="E14311" t="inlineStr">
        <is>
          <t>Spain</t>
        </is>
      </c>
    </row>
    <row r="14312">
      <c r="A14312" t="inlineStr">
        <is>
          <t>POPLAST,  Castel San Giovanni, Italy</t>
        </is>
      </c>
      <c r="B14312" t="inlineStr">
        <is>
          <t>Processing Unit</t>
        </is>
      </c>
      <c r="C14312" t="inlineStr">
        <is>
          <t>DNV Business Assurance Sweden AB, Solna, SE</t>
        </is>
      </c>
      <c r="D14312" t="inlineStr">
        <is>
          <t>25.09.2026</t>
        </is>
      </c>
      <c r="E14312" t="inlineStr">
        <is>
          <t>Italy</t>
        </is>
      </c>
    </row>
    <row r="14313">
      <c r="A14313" t="inlineStr">
        <is>
          <t>Soa Service,  Grosseto, Italy</t>
        </is>
      </c>
      <c r="B14313" t="inlineStr">
        <is>
          <t>Collecting Point</t>
        </is>
      </c>
      <c r="C14313" t="inlineStr">
        <is>
          <t>SGS Germany GmbH, Emstek, DE</t>
        </is>
      </c>
      <c r="D14313" t="inlineStr">
        <is>
          <t>25.09.2026</t>
        </is>
      </c>
      <c r="E14313" t="inlineStr">
        <is>
          <t>Italy</t>
        </is>
      </c>
    </row>
    <row r="14314">
      <c r="A14314" t="inlineStr">
        <is>
          <t>Polytex Fibers LLC,  Houston, United States</t>
        </is>
      </c>
      <c r="B14314" t="inlineStr">
        <is>
          <t>Trader with Storage, Processing Unit</t>
        </is>
      </c>
      <c r="C14314" t="inlineStr">
        <is>
          <t>SCS Global Services, Emeryville, CA, US</t>
        </is>
      </c>
      <c r="D14314" t="inlineStr">
        <is>
          <t>25.09.2026</t>
        </is>
      </c>
      <c r="E14314" t="inlineStr">
        <is>
          <t>United States</t>
        </is>
      </c>
    </row>
    <row r="14315">
      <c r="A14315" t="inlineStr">
        <is>
          <t>Solor S.A.,  Maldonado, Uruguay</t>
        </is>
      </c>
      <c r="B14315" t="inlineStr">
        <is>
          <t>Trader</t>
        </is>
      </c>
      <c r="C14315" t="inlineStr">
        <is>
          <t>Control Union Certifications Germany GmbH, Berlin, DE</t>
        </is>
      </c>
      <c r="D14315" t="inlineStr">
        <is>
          <t>25.09.2026</t>
        </is>
      </c>
      <c r="E14315" t="inlineStr">
        <is>
          <t>Uruguay</t>
        </is>
      </c>
    </row>
    <row r="14316">
      <c r="A14316" t="inlineStr">
        <is>
          <t>Permata Timur Lestari,  Seruyan, Kalimantan Tengah, Indonesia</t>
        </is>
      </c>
      <c r="B14316" t="inlineStr">
        <is>
          <t>Point of Origin</t>
        </is>
      </c>
      <c r="C14316" t="inlineStr">
        <is>
          <t>PT. Qualitas Sertifikasi Indonesia, Jakarta, ID</t>
        </is>
      </c>
      <c r="D14316" t="inlineStr">
        <is>
          <t>25.09.2026</t>
        </is>
      </c>
      <c r="E14316" t="inlineStr">
        <is>
          <t>Indonesia</t>
        </is>
      </c>
    </row>
    <row r="14317">
      <c r="A14317" t="inlineStr">
        <is>
          <t>Hong Kong Caishi Trading Co., Limited,  Binzhou City, Shandong Province, China</t>
        </is>
      </c>
      <c r="B14317" t="inlineStr">
        <is>
          <t>Trader</t>
        </is>
      </c>
      <c r="C14317" t="inlineStr">
        <is>
          <t>CTI Certification Co. Ltd, Shenzhen, CN</t>
        </is>
      </c>
      <c r="D14317" t="inlineStr">
        <is>
          <t>25.09.2026</t>
        </is>
      </c>
      <c r="E14317" t="inlineStr">
        <is>
          <t>China</t>
        </is>
      </c>
    </row>
    <row r="14318">
      <c r="A14318" t="inlineStr">
        <is>
          <t>Hong Kong Caishi Trading Co., Limited,  Binzhou City, Shandong Province, China</t>
        </is>
      </c>
      <c r="B14318" t="inlineStr">
        <is>
          <t>Trader</t>
        </is>
      </c>
      <c r="C14318" t="inlineStr">
        <is>
          <t>CTI Certification Co. Ltd, Shenzhen, CN</t>
        </is>
      </c>
      <c r="D14318" t="inlineStr">
        <is>
          <t>25.09.2026</t>
        </is>
      </c>
      <c r="E14318" t="inlineStr">
        <is>
          <t>China</t>
        </is>
      </c>
    </row>
    <row r="14319">
      <c r="A14319" t="inlineStr">
        <is>
          <t>Qingdao Shangqi International Trade Co., Ltd.,  Qingdao City, Shandong Province, China</t>
        </is>
      </c>
      <c r="B14319" t="inlineStr">
        <is>
          <t>Trader</t>
        </is>
      </c>
      <c r="C14319" t="inlineStr">
        <is>
          <t>CTI Certification Co. Ltd, Shenzhen, CN</t>
        </is>
      </c>
      <c r="D14319" t="inlineStr">
        <is>
          <t>25.09.2026</t>
        </is>
      </c>
      <c r="E14319" t="inlineStr">
        <is>
          <t>China</t>
        </is>
      </c>
    </row>
    <row r="14320">
      <c r="A14320" t="inlineStr">
        <is>
          <t>Qingdao Shangqi International Trade Co., Ltd.,  Qingdao City, Shandong Province, China</t>
        </is>
      </c>
      <c r="B14320" t="inlineStr">
        <is>
          <t>Trader</t>
        </is>
      </c>
      <c r="C14320" t="inlineStr">
        <is>
          <t>CTI Certification Co. Ltd, Shenzhen, CN</t>
        </is>
      </c>
      <c r="D14320" t="inlineStr">
        <is>
          <t>25.09.2026</t>
        </is>
      </c>
      <c r="E14320" t="inlineStr">
        <is>
          <t>China</t>
        </is>
      </c>
    </row>
    <row r="14321">
      <c r="A14321" t="inlineStr">
        <is>
          <t>PT. Arion Tech Indonesia,  Tangerang, Indonesia</t>
        </is>
      </c>
      <c r="B14321" t="inlineStr">
        <is>
          <t>Processing Unit</t>
        </is>
      </c>
      <c r="C14321" t="inlineStr">
        <is>
          <t>PT Intertek Utama Services, Jakarta, ID</t>
        </is>
      </c>
      <c r="D14321" t="inlineStr">
        <is>
          <t>25.09.2026</t>
        </is>
      </c>
      <c r="E14321" t="inlineStr">
        <is>
          <t>Indonesia</t>
        </is>
      </c>
    </row>
    <row r="14322">
      <c r="A14322" t="inlineStr">
        <is>
          <t>LOTTE Engineering Plastics CO. LTD,  Suncheon-si, Jeollanam-do, South Korea</t>
        </is>
      </c>
      <c r="B14322" t="inlineStr">
        <is>
          <t>Processing Unit</t>
        </is>
      </c>
      <c r="C14322" t="inlineStr">
        <is>
          <t>Control Union Certifications Germany GmbH, Berlin, DE</t>
        </is>
      </c>
      <c r="D14322" t="inlineStr">
        <is>
          <t>25.09.2026</t>
        </is>
      </c>
      <c r="E14322" t="inlineStr">
        <is>
          <t>South Korea</t>
        </is>
      </c>
    </row>
    <row r="14323">
      <c r="A14323" t="inlineStr">
        <is>
          <t>MANJUSHREE TECHNOPACK LTD,  BANGALORE, India</t>
        </is>
      </c>
      <c r="B14323" t="inlineStr">
        <is>
          <t>Processing Unit</t>
        </is>
      </c>
      <c r="C14323" t="inlineStr">
        <is>
          <t>PT Intertek Utama Services, Jakarta, ID</t>
        </is>
      </c>
      <c r="D14323" t="inlineStr">
        <is>
          <t>25.09.2026</t>
        </is>
      </c>
      <c r="E14323" t="inlineStr">
        <is>
          <t>India</t>
        </is>
      </c>
    </row>
    <row r="14324">
      <c r="A14324" t="inlineStr">
        <is>
          <t>Wenzhou Mingshida Light Industrial Products Co., Ltd,  Wenzhou City, Zhejiang Province, China</t>
        </is>
      </c>
      <c r="B14324" t="inlineStr">
        <is>
          <t>Processing Unit</t>
        </is>
      </c>
      <c r="C14324" t="inlineStr">
        <is>
          <t>SCS Global Services, Emeryville, CA, US</t>
        </is>
      </c>
      <c r="D14324" t="inlineStr">
        <is>
          <t>25.09.2026</t>
        </is>
      </c>
      <c r="E14324" t="inlineStr">
        <is>
          <t>China</t>
        </is>
      </c>
    </row>
    <row r="14325">
      <c r="A14325" t="inlineStr">
        <is>
          <t>PT. KENCANA ANDALAN NUSANTARA,  Kabupaten Rokan Hilir, Provinsi Riau, Indonesia</t>
        </is>
      </c>
      <c r="B14325" t="inlineStr">
        <is>
          <t>Point of Origin</t>
        </is>
      </c>
      <c r="C14325" t="inlineStr">
        <is>
          <t>PT. CBQA GLOBAL INDONESIA, JAKARTA SELATAN, ID</t>
        </is>
      </c>
      <c r="D14325" t="inlineStr">
        <is>
          <t>25.09.2026</t>
        </is>
      </c>
      <c r="E14325" t="inlineStr">
        <is>
          <t>Indonesia</t>
        </is>
      </c>
    </row>
    <row r="14326">
      <c r="A14326" t="inlineStr">
        <is>
          <t>Gammatom,  Guanzate, Italy</t>
        </is>
      </c>
      <c r="B14326" t="inlineStr">
        <is>
          <t>Final Product Refinement</t>
        </is>
      </c>
      <c r="C14326" t="inlineStr">
        <is>
          <t>DNV Business Assurance Sweden AB, Solna, SE</t>
        </is>
      </c>
      <c r="D14326" t="inlineStr">
        <is>
          <t>25.09.2026</t>
        </is>
      </c>
      <c r="E14326" t="inlineStr">
        <is>
          <t>Italy</t>
        </is>
      </c>
    </row>
    <row r="14327">
      <c r="A14327" t="inlineStr">
        <is>
          <t>HUNG LOC CASHEW OIL PRODUCTION COMPANY LIMITED,  Trang Bom District, Dong Nai Province, Vietnam</t>
        </is>
      </c>
      <c r="B14327" t="inlineStr">
        <is>
          <t>Collecting Point, Processing Unit</t>
        </is>
      </c>
      <c r="C14327" t="inlineStr">
        <is>
          <t>PT Intertek Utama Services, Jakarta, ID</t>
        </is>
      </c>
      <c r="D14327" t="inlineStr">
        <is>
          <t>25.09.2026</t>
        </is>
      </c>
      <c r="E14327" t="inlineStr">
        <is>
          <t>Vietnam</t>
        </is>
      </c>
    </row>
    <row r="14328">
      <c r="A14328" t="inlineStr">
        <is>
          <t>BOBRUC OIL,  POZULEO DE ALARCÓN., Spain</t>
        </is>
      </c>
      <c r="B14328" t="inlineStr">
        <is>
          <t>Trader</t>
        </is>
      </c>
      <c r="C14328" t="inlineStr">
        <is>
          <t>Certificadora Gallega del Noroeste SL, Vilagarcia de Arousa-Pontevedra, ES</t>
        </is>
      </c>
      <c r="D14328" t="inlineStr">
        <is>
          <t>25.09.2026</t>
        </is>
      </c>
      <c r="E14328" t="inlineStr">
        <is>
          <t>Spain</t>
        </is>
      </c>
    </row>
    <row r="14329">
      <c r="A14329" t="inlineStr">
        <is>
          <t>CYCLE 0 LLEIDA SOCIEDAD LIMITADA,  Vallfogona de Balaguer, Lleida, Spain</t>
        </is>
      </c>
      <c r="B14329" t="inlineStr">
        <is>
          <t>Collecting Point, Processing Unit</t>
        </is>
      </c>
      <c r="C14329" t="inlineStr">
        <is>
          <t>Certificadora Gallega del Noroeste SL, Vilagarcia de Arousa-Pontevedra, ES</t>
        </is>
      </c>
      <c r="D14329" t="inlineStr">
        <is>
          <t>25.09.2026</t>
        </is>
      </c>
      <c r="E14329" t="inlineStr">
        <is>
          <t>Spain</t>
        </is>
      </c>
    </row>
    <row r="14330">
      <c r="A14330" t="inlineStr">
        <is>
          <t>DMS GROUP EST OÜ,  Tallinn, Estonia</t>
        </is>
      </c>
      <c r="B14330" t="inlineStr">
        <is>
          <t>Trader</t>
        </is>
      </c>
      <c r="C14330" t="inlineStr">
        <is>
          <t>BM Certification, Riga, LV</t>
        </is>
      </c>
      <c r="D14330" t="inlineStr">
        <is>
          <t>25.09.2026</t>
        </is>
      </c>
      <c r="E14330" t="inlineStr">
        <is>
          <t>Estonia</t>
        </is>
      </c>
    </row>
    <row r="14331">
      <c r="A14331" t="inlineStr">
        <is>
          <t>Domènech Hermanos SAU,  Muro d'Alcoi, Spain</t>
        </is>
      </c>
      <c r="B14331" t="inlineStr">
        <is>
          <t>Processing Unit</t>
        </is>
      </c>
      <c r="C14331" t="inlineStr">
        <is>
          <t>Control Union Certifications Germany GmbH, Berlin, DE</t>
        </is>
      </c>
      <c r="D14331" t="inlineStr">
        <is>
          <t>25.09.2026</t>
        </is>
      </c>
      <c r="E14331" t="inlineStr">
        <is>
          <t>Spain</t>
        </is>
      </c>
    </row>
    <row r="14332">
      <c r="A14332" t="inlineStr">
        <is>
          <t>Adamant Bionrg MEA,  Dubai, The United Arab Emirates</t>
        </is>
      </c>
      <c r="B14332" t="inlineStr">
        <is>
          <t>Trader with Storage</t>
        </is>
      </c>
      <c r="C14332" t="inlineStr">
        <is>
          <t>SGS Germany GmbH, Emstek, DE</t>
        </is>
      </c>
      <c r="D14332" t="inlineStr">
        <is>
          <t>25.09.2026</t>
        </is>
      </c>
      <c r="E14332" t="inlineStr">
        <is>
          <t>The United Arab Emirates</t>
        </is>
      </c>
    </row>
    <row r="14333">
      <c r="A14333" t="inlineStr">
        <is>
          <t>KMETIJSKA ZADRUGA PTUJ Z.O.O.,  Ptuj, Slovenia</t>
        </is>
      </c>
      <c r="B14333" t="inlineStr">
        <is>
          <t>First Gathering Point</t>
        </is>
      </c>
      <c r="C14333" t="inlineStr">
        <is>
          <t>Bureau Veritas Polska Sp. z o.o., Warsaw, PL</t>
        </is>
      </c>
      <c r="D14333" t="inlineStr">
        <is>
          <t>24.09.2026</t>
        </is>
      </c>
      <c r="E14333" t="inlineStr">
        <is>
          <t>Slovenia</t>
        </is>
      </c>
    </row>
    <row r="14334">
      <c r="A14334" t="inlineStr">
        <is>
          <t>Bunker Oil AS,  Ålesund, Norway</t>
        </is>
      </c>
      <c r="B14334" t="inlineStr">
        <is>
          <t>Trader with Storage</t>
        </is>
      </c>
      <c r="C14334" t="inlineStr">
        <is>
          <t>ASG Cert GmbH, Munich, DE</t>
        </is>
      </c>
      <c r="D14334" t="inlineStr">
        <is>
          <t>24.09.2026</t>
        </is>
      </c>
      <c r="E14334" t="inlineStr">
        <is>
          <t>Norway</t>
        </is>
      </c>
    </row>
    <row r="14335">
      <c r="A14335" t="inlineStr">
        <is>
          <t>Enemed Co. Ltd.,  Ghaxaq, Malta</t>
        </is>
      </c>
      <c r="B14335" t="inlineStr">
        <is>
          <t>Trader with Storage, Proof of Compliance Trader</t>
        </is>
      </c>
      <c r="C14335" t="inlineStr">
        <is>
          <t>Bureau Veritas Polska Sp. z o.o., Warsaw, PL</t>
        </is>
      </c>
      <c r="D14335" t="inlineStr">
        <is>
          <t>24.09.2026</t>
        </is>
      </c>
      <c r="E14335" t="inlineStr">
        <is>
          <t>Malta</t>
        </is>
      </c>
    </row>
    <row r="14336">
      <c r="A14336" t="inlineStr">
        <is>
          <t>Puglia Ambiente,  Noci, Italy</t>
        </is>
      </c>
      <c r="B14336" t="inlineStr">
        <is>
          <t>Collecting Point, Trader with Storage</t>
        </is>
      </c>
      <c r="C14336" t="inlineStr">
        <is>
          <t>ICIM SpA, sesto san giovanni, IT</t>
        </is>
      </c>
      <c r="D14336" t="inlineStr">
        <is>
          <t>24.09.2026</t>
        </is>
      </c>
      <c r="E14336" t="inlineStr">
        <is>
          <t>Italy</t>
        </is>
      </c>
    </row>
    <row r="14337">
      <c r="A14337" t="inlineStr">
        <is>
          <t>C&amp; D (HAINAN) INTERNATIONAL HOLDINGS CO., LTD.,  Xiamen City, Fujian Province, China</t>
        </is>
      </c>
      <c r="B14337" t="inlineStr">
        <is>
          <t>Trader</t>
        </is>
      </c>
      <c r="C14337" t="inlineStr">
        <is>
          <t>SCS Global Services, Emeryville, CA, US</t>
        </is>
      </c>
      <c r="D14337" t="inlineStr">
        <is>
          <t>24.09.2026</t>
        </is>
      </c>
      <c r="E14337" t="inlineStr">
        <is>
          <t>China</t>
        </is>
      </c>
    </row>
    <row r="14338">
      <c r="A14338" t="inlineStr">
        <is>
          <t>Premium Fashion Vietnam Company Limited,  Nghe An Province, Vietnam</t>
        </is>
      </c>
      <c r="B14338" t="inlineStr">
        <is>
          <t>Processing Unit</t>
        </is>
      </c>
      <c r="C14338" t="inlineStr">
        <is>
          <t>Control Union Certifications Germany GmbH, Berlin, DE</t>
        </is>
      </c>
      <c r="D14338" t="inlineStr">
        <is>
          <t>24.09.2026</t>
        </is>
      </c>
      <c r="E14338" t="inlineStr">
        <is>
          <t>Vietnam</t>
        </is>
      </c>
    </row>
    <row r="14339">
      <c r="A14339" t="inlineStr">
        <is>
          <t>Vinatoken Renewable Energy Joint Stock Company,  Ho Chi Minh City, Vietnam</t>
        </is>
      </c>
      <c r="B14339" t="inlineStr">
        <is>
          <t>Collecting Point, Trader with Storage</t>
        </is>
      </c>
      <c r="C14339" t="inlineStr">
        <is>
          <t>PT Mutuagung Lestari, Depok, ID</t>
        </is>
      </c>
      <c r="D14339" t="inlineStr">
        <is>
          <t>24.09.2026</t>
        </is>
      </c>
      <c r="E14339" t="inlineStr">
        <is>
          <t>Vietnam</t>
        </is>
      </c>
    </row>
    <row r="14340">
      <c r="A14340" t="inlineStr">
        <is>
          <t>KATAMA s.r.o.,  Kalná nad Hronom, Slovakia</t>
        </is>
      </c>
      <c r="B14340" t="inlineStr">
        <is>
          <t>First Gathering Point</t>
        </is>
      </c>
      <c r="C14340" t="inlineStr">
        <is>
          <t>RINA Services S.p.A., Genova, IT</t>
        </is>
      </c>
      <c r="D14340" t="inlineStr">
        <is>
          <t>24.09.2026</t>
        </is>
      </c>
      <c r="E14340" t="inlineStr">
        <is>
          <t>Slovakia</t>
        </is>
      </c>
    </row>
    <row r="14341">
      <c r="A14341" t="inlineStr">
        <is>
          <t>Transport Logistica GmbH,  Gries am Brenner, Austria</t>
        </is>
      </c>
      <c r="B14341" t="inlineStr">
        <is>
          <t>Trader</t>
        </is>
      </c>
      <c r="C14341" t="inlineStr">
        <is>
          <t>agroVet GmbH, Enzersfeld, AT</t>
        </is>
      </c>
      <c r="D14341" t="inlineStr">
        <is>
          <t>24.09.2026</t>
        </is>
      </c>
      <c r="E14341" t="inlineStr">
        <is>
          <t>Austria</t>
        </is>
      </c>
    </row>
    <row r="14342">
      <c r="A14342" t="inlineStr">
        <is>
          <t>Synaplast,  Niederlangen, Germany</t>
        </is>
      </c>
      <c r="B14342" t="inlineStr">
        <is>
          <t>Collecting Point, Processing Unit</t>
        </is>
      </c>
      <c r="C14342" t="inlineStr">
        <is>
          <t>DEKRA Certification GmbH, Stuttgart, DE</t>
        </is>
      </c>
      <c r="D14342" t="inlineStr">
        <is>
          <t>24.09.2026</t>
        </is>
      </c>
      <c r="E14342" t="inlineStr">
        <is>
          <t>Germany</t>
        </is>
      </c>
    </row>
    <row r="14343">
      <c r="A14343" t="inlineStr">
        <is>
          <t>Triton Energy of Panama Corp.,  Panama, Panama</t>
        </is>
      </c>
      <c r="B14343" t="inlineStr">
        <is>
          <t>Trader with Storage</t>
        </is>
      </c>
      <c r="C14343" t="inlineStr">
        <is>
          <t>ASG Cert GmbH, Munich, DE</t>
        </is>
      </c>
      <c r="D14343" t="inlineStr">
        <is>
          <t>24.09.2026</t>
        </is>
      </c>
      <c r="E14343" t="inlineStr">
        <is>
          <t>Panama</t>
        </is>
      </c>
    </row>
    <row r="14344">
      <c r="A14344" t="inlineStr">
        <is>
          <t>Görhöny Kft.,  Rém, Hungary</t>
        </is>
      </c>
      <c r="B14344" t="inlineStr">
        <is>
          <t>First Gathering Point, Trader with Storage</t>
        </is>
      </c>
      <c r="C14344" t="inlineStr">
        <is>
          <t>BM Certification, Riga, LV</t>
        </is>
      </c>
      <c r="D14344" t="inlineStr">
        <is>
          <t>24.09.2026</t>
        </is>
      </c>
      <c r="E14344" t="inlineStr">
        <is>
          <t>Hungary</t>
        </is>
      </c>
    </row>
    <row r="14345">
      <c r="A14345" t="inlineStr">
        <is>
          <t>Al Dahra Agriculture Romania,  Bucharest, Romania</t>
        </is>
      </c>
      <c r="B14345" t="inlineStr">
        <is>
          <t>Trader with Storage, First Gathering Point</t>
        </is>
      </c>
      <c r="C14345" t="inlineStr">
        <is>
          <t>Control Union Certifications Germany GmbH, Berlin, DE</t>
        </is>
      </c>
      <c r="D14345" t="inlineStr">
        <is>
          <t>24.09.2026</t>
        </is>
      </c>
      <c r="E14345" t="inlineStr">
        <is>
          <t>Romania</t>
        </is>
      </c>
    </row>
    <row r="14346">
      <c r="A14346" t="inlineStr">
        <is>
          <t>Adival,  Billund, Denmark</t>
        </is>
      </c>
      <c r="B14346" t="inlineStr">
        <is>
          <t>Point of Origin</t>
        </is>
      </c>
      <c r="C14346" t="inlineStr">
        <is>
          <t>Baltic Control Certification, Risskov, DK</t>
        </is>
      </c>
      <c r="D14346" t="inlineStr">
        <is>
          <t>24.09.2026</t>
        </is>
      </c>
      <c r="E14346" t="inlineStr">
        <is>
          <t>Denmark</t>
        </is>
      </c>
    </row>
    <row r="14347">
      <c r="A14347" t="inlineStr">
        <is>
          <t>PT Sari Dumai Sejati,  Dumai, Riau, Indonesia</t>
        </is>
      </c>
      <c r="B14347" t="inlineStr">
        <is>
          <t>Warehouse, Trader with Storage</t>
        </is>
      </c>
      <c r="C14347" t="inlineStr">
        <is>
          <t>SGS Germany GmbH, Emstek, DE</t>
        </is>
      </c>
      <c r="D14347" t="inlineStr">
        <is>
          <t>24.09.2026</t>
        </is>
      </c>
      <c r="E14347" t="inlineStr">
        <is>
          <t>Indonesia</t>
        </is>
      </c>
    </row>
    <row r="14348">
      <c r="A14348" t="inlineStr">
        <is>
          <t>Hanwa Co.,Ltd.,  Tokyo, Japan</t>
        </is>
      </c>
      <c r="B14348" t="inlineStr">
        <is>
          <t>Trader with Storage</t>
        </is>
      </c>
      <c r="C14348" t="inlineStr">
        <is>
          <t>Control Union Certifications Germany GmbH, Berlin, DE</t>
        </is>
      </c>
      <c r="D14348" t="inlineStr">
        <is>
          <t>24.09.2026</t>
        </is>
      </c>
      <c r="E14348" t="inlineStr">
        <is>
          <t>Japan</t>
        </is>
      </c>
    </row>
    <row r="14349">
      <c r="A14349" t="inlineStr">
        <is>
          <t>PT. Inti Indosawit Subur,  Pekanbaru, Riau, Indonesia</t>
        </is>
      </c>
      <c r="B14349" t="inlineStr">
        <is>
          <t>Central Office (Farms/Plantations)</t>
        </is>
      </c>
      <c r="C14349" t="inlineStr">
        <is>
          <t>SGS Germany GmbH, Emstek, DE</t>
        </is>
      </c>
      <c r="D14349" t="inlineStr">
        <is>
          <t>24.09.2026</t>
        </is>
      </c>
      <c r="E14349" t="inlineStr">
        <is>
          <t>Indonesia</t>
        </is>
      </c>
    </row>
    <row r="14350">
      <c r="A14350" t="inlineStr">
        <is>
          <t>PT Sari Dumai Sejati,  Dumai, Riau, Indonesia</t>
        </is>
      </c>
      <c r="B14350" t="inlineStr">
        <is>
          <t>Point of Origin, Processing Unit</t>
        </is>
      </c>
      <c r="C14350" t="inlineStr">
        <is>
          <t>SGS Germany GmbH, Emstek, DE</t>
        </is>
      </c>
      <c r="D14350" t="inlineStr">
        <is>
          <t>24.09.2026</t>
        </is>
      </c>
      <c r="E14350" t="inlineStr">
        <is>
          <t>Indonesia</t>
        </is>
      </c>
    </row>
    <row r="14351">
      <c r="A14351" t="inlineStr">
        <is>
          <t>Mercantil Comercial S.A. - Complejo Agro Industrial S.A. (CAIASA),  Caaguazú, Paraguay</t>
        </is>
      </c>
      <c r="B14351" t="inlineStr">
        <is>
          <t>Processing Unit</t>
        </is>
      </c>
      <c r="C14351" t="inlineStr">
        <is>
          <t>Control Union Certifications Germany GmbH, Berlin, DE</t>
        </is>
      </c>
      <c r="D14351" t="inlineStr">
        <is>
          <t>24.09.2026</t>
        </is>
      </c>
      <c r="E14351" t="inlineStr">
        <is>
          <t>Paraguay</t>
        </is>
      </c>
    </row>
    <row r="14352">
      <c r="A14352" t="inlineStr">
        <is>
          <t>Liqvigreen Energy LLP,  Chhajlet, Moradabad, India</t>
        </is>
      </c>
      <c r="B14352" t="inlineStr">
        <is>
          <t>Collecting Point, Processing Unit, Trader</t>
        </is>
      </c>
      <c r="C14352" t="inlineStr">
        <is>
          <t>Alcumus ISOQAR Ltd, Stretford, Manchester, GB</t>
        </is>
      </c>
      <c r="D14352" t="inlineStr">
        <is>
          <t>24.09.2026</t>
        </is>
      </c>
      <c r="E14352" t="inlineStr">
        <is>
          <t>India</t>
        </is>
      </c>
    </row>
    <row r="14353">
      <c r="A14353" t="inlineStr">
        <is>
          <t>DS DANSUK CO., LTD.(Gunsan 1 Plant),  Gunsan-si, Jeollabuk-do, Korea, Republic of</t>
        </is>
      </c>
      <c r="B14353" t="inlineStr">
        <is>
          <t>Point of Origin, Processing Unit</t>
        </is>
      </c>
      <c r="C14353" t="inlineStr">
        <is>
          <t>Control Union Certifications Germany GmbH, Berlin, DE</t>
        </is>
      </c>
      <c r="D14353" t="inlineStr">
        <is>
          <t>24.09.2026</t>
        </is>
      </c>
      <c r="E14353" t="inlineStr">
        <is>
          <t>Republic of</t>
        </is>
      </c>
    </row>
    <row r="14354">
      <c r="A14354" t="inlineStr">
        <is>
          <t>Alterna Energy Pte. Ltd.,  Singapore, Singapore</t>
        </is>
      </c>
      <c r="B14354" t="inlineStr">
        <is>
          <t>Trader</t>
        </is>
      </c>
      <c r="C14354" t="inlineStr">
        <is>
          <t>CTI Certification Co. Ltd, Shenzhen, CN</t>
        </is>
      </c>
      <c r="D14354" t="inlineStr">
        <is>
          <t>24.09.2026</t>
        </is>
      </c>
      <c r="E14354" t="inlineStr">
        <is>
          <t>Singapore</t>
        </is>
      </c>
    </row>
    <row r="14355">
      <c r="A14355" t="inlineStr">
        <is>
          <t>Heliosagri International SRL,  Tandarei, Ialomita, Romania</t>
        </is>
      </c>
      <c r="B14355" t="inlineStr">
        <is>
          <t>First Gathering Point, Trader with Storage</t>
        </is>
      </c>
      <c r="C14355" t="inlineStr">
        <is>
          <t>SGS Germany GmbH, Emstek, DE</t>
        </is>
      </c>
      <c r="D14355" t="inlineStr">
        <is>
          <t>24.09.2026</t>
        </is>
      </c>
      <c r="E14355" t="inlineStr">
        <is>
          <t>Romania</t>
        </is>
      </c>
    </row>
    <row r="14356">
      <c r="A14356" t="inlineStr">
        <is>
          <t>JAV - AKC, s.r.o.,  Vlčany, Slovakia</t>
        </is>
      </c>
      <c r="B14356" t="inlineStr">
        <is>
          <t>Point of Origin, Processing Unit</t>
        </is>
      </c>
      <c r="C14356" t="inlineStr">
        <is>
          <t>SGS Germany GmbH, Emstek, DE</t>
        </is>
      </c>
      <c r="D14356" t="inlineStr">
        <is>
          <t>24.09.2026</t>
        </is>
      </c>
      <c r="E14356" t="inlineStr">
        <is>
          <t>Slovakia</t>
        </is>
      </c>
    </row>
    <row r="14357">
      <c r="A14357" t="inlineStr">
        <is>
          <t>Koperasi PRODUSEN PERKEBUNAN SUMBER BERKAT SAWIT MANDIRI,  Sanggau, Indonesia</t>
        </is>
      </c>
      <c r="B14357" t="inlineStr">
        <is>
          <t>Point of Origin</t>
        </is>
      </c>
      <c r="C14357" t="inlineStr">
        <is>
          <t>PT SBC Asia Sertifikasi, Kebumen, ID</t>
        </is>
      </c>
      <c r="D14357" t="inlineStr">
        <is>
          <t>24.09.2026</t>
        </is>
      </c>
      <c r="E14357" t="inlineStr">
        <is>
          <t>Indonesia</t>
        </is>
      </c>
    </row>
    <row r="14358">
      <c r="A14358" t="inlineStr">
        <is>
          <t>XIFA Kunststoff-Vertrieb GmbH,  Bad Rappenau, Germany</t>
        </is>
      </c>
      <c r="B14358" t="inlineStr">
        <is>
          <t>Trader</t>
        </is>
      </c>
      <c r="C14358" t="inlineStr">
        <is>
          <t>TÜV NORD CERT GmbH, Essen, DE</t>
        </is>
      </c>
      <c r="D14358" t="inlineStr">
        <is>
          <t>24.09.2026</t>
        </is>
      </c>
      <c r="E14358" t="inlineStr">
        <is>
          <t>Germany</t>
        </is>
      </c>
    </row>
    <row r="14359">
      <c r="A14359" t="inlineStr">
        <is>
          <t>BASF Nederland BV,  Heerenveen, Netherlands</t>
        </is>
      </c>
      <c r="B14359" t="inlineStr">
        <is>
          <t>Processing Unit</t>
        </is>
      </c>
      <c r="C14359" t="inlineStr">
        <is>
          <t>TÜV NORD CERT GmbH, Essen, DE</t>
        </is>
      </c>
      <c r="D14359" t="inlineStr">
        <is>
          <t>24.09.2026</t>
        </is>
      </c>
      <c r="E14359" t="inlineStr">
        <is>
          <t>Netherlands</t>
        </is>
      </c>
    </row>
    <row r="14360">
      <c r="A14360" t="inlineStr">
        <is>
          <t>PT. KARYA CIPTA NIRVANA,  KEC. ROKAN IV KOTO, KAB. ROKAN HULU, PROV. RIAU, Indonesia</t>
        </is>
      </c>
      <c r="B14360" t="inlineStr">
        <is>
          <t>Point of Origin</t>
        </is>
      </c>
      <c r="C14360" t="inlineStr">
        <is>
          <t>BM Certification, Riga, LV</t>
        </is>
      </c>
      <c r="D14360" t="inlineStr">
        <is>
          <t>24.09.2026</t>
        </is>
      </c>
      <c r="E14360" t="inlineStr">
        <is>
          <t>Indonesia</t>
        </is>
      </c>
    </row>
    <row r="14361">
      <c r="A14361" t="inlineStr">
        <is>
          <t>Barilla G. e R. F.lli S.p.A.,  PZ, Melfi, Italy</t>
        </is>
      </c>
      <c r="B14361" t="inlineStr">
        <is>
          <t>Processing Unit</t>
        </is>
      </c>
      <c r="C14361" t="inlineStr">
        <is>
          <t>RINA Services S.p.A., Genova, IT</t>
        </is>
      </c>
      <c r="D14361" t="inlineStr">
        <is>
          <t>24.09.2026</t>
        </is>
      </c>
      <c r="E14361" t="inlineStr">
        <is>
          <t>Italy</t>
        </is>
      </c>
    </row>
    <row r="14362">
      <c r="A14362" t="inlineStr">
        <is>
          <t>PT. Inti Indosawit Subur,  Jambi, Handil Jaya District, Jelutung Sub District, Indonesia</t>
        </is>
      </c>
      <c r="B14362" t="inlineStr">
        <is>
          <t>Central Office (Farms/Plantations)</t>
        </is>
      </c>
      <c r="C14362" t="inlineStr">
        <is>
          <t>SGS Germany GmbH, Emstek, DE</t>
        </is>
      </c>
      <c r="D14362" t="inlineStr">
        <is>
          <t>24.09.2026</t>
        </is>
      </c>
      <c r="E14362" t="inlineStr">
        <is>
          <t>Indonesia</t>
        </is>
      </c>
    </row>
    <row r="14363">
      <c r="A14363" t="inlineStr">
        <is>
          <t>PaletExpress, s.r.o.,  Zvolen, Slovakia</t>
        </is>
      </c>
      <c r="B14363" t="inlineStr">
        <is>
          <t>Trader</t>
        </is>
      </c>
      <c r="C14363" t="inlineStr">
        <is>
          <t>SGS Germany GmbH, Emstek, DE</t>
        </is>
      </c>
      <c r="D14363" t="inlineStr">
        <is>
          <t>24.09.2026</t>
        </is>
      </c>
      <c r="E14363" t="inlineStr">
        <is>
          <t>Slovakia</t>
        </is>
      </c>
    </row>
    <row r="14364">
      <c r="A14364" t="inlineStr">
        <is>
          <t>Osatina Grupa D.O.O.,  Semeljci, Croatia</t>
        </is>
      </c>
      <c r="B14364" t="inlineStr">
        <is>
          <t>First Gathering Point, Trader with Storage</t>
        </is>
      </c>
      <c r="C14364" t="inlineStr">
        <is>
          <t>Bureau Veritas Polska Sp. z o.o., Warsaw, PL</t>
        </is>
      </c>
      <c r="D14364" t="inlineStr">
        <is>
          <t>24.09.2026</t>
        </is>
      </c>
      <c r="E14364" t="inlineStr">
        <is>
          <t>Croatia</t>
        </is>
      </c>
    </row>
    <row r="14365">
      <c r="A14365" t="inlineStr">
        <is>
          <t>Kuwait Petroleum Aviation France,  Paris, France</t>
        </is>
      </c>
      <c r="B14365" t="inlineStr">
        <is>
          <t>Trader with Storage, Proof of Compliance Trader</t>
        </is>
      </c>
      <c r="C14365" t="inlineStr">
        <is>
          <t>SCS Global Services, Emeryville, CA, US</t>
        </is>
      </c>
      <c r="D14365" t="inlineStr">
        <is>
          <t>24.09.2026</t>
        </is>
      </c>
      <c r="E14365" t="inlineStr">
        <is>
          <t>France</t>
        </is>
      </c>
    </row>
    <row r="14366">
      <c r="A14366" t="inlineStr">
        <is>
          <t>DOW-MITSUI POLYCHEMICALS CO.,, LTD. Otake Plant,  Otake-shi, Hiroshima, Japan</t>
        </is>
      </c>
      <c r="B14366" t="inlineStr">
        <is>
          <t>Processing Unit</t>
        </is>
      </c>
      <c r="C14366" t="inlineStr">
        <is>
          <t>SGS Germany GmbH, Emstek, DE</t>
        </is>
      </c>
      <c r="D14366" t="inlineStr">
        <is>
          <t>24.09.2026</t>
        </is>
      </c>
      <c r="E14366" t="inlineStr">
        <is>
          <t>Japan</t>
        </is>
      </c>
    </row>
    <row r="14367">
      <c r="A14367" t="inlineStr">
        <is>
          <t>Valero Marketing and Supply Company,  San Antonio, Texas, United States</t>
        </is>
      </c>
      <c r="B14367" t="inlineStr">
        <is>
          <t>Trader with Storage</t>
        </is>
      </c>
      <c r="C14367" t="inlineStr">
        <is>
          <t>Control Union Certifications Germany GmbH, Berlin, DE</t>
        </is>
      </c>
      <c r="D14367" t="inlineStr">
        <is>
          <t>24.09.2026</t>
        </is>
      </c>
      <c r="E14367" t="inlineStr">
        <is>
          <t>United States</t>
        </is>
      </c>
    </row>
    <row r="14368">
      <c r="A14368" t="inlineStr">
        <is>
          <t>Valero Marketing and Supply Company,  San Antonio, Texas, United States</t>
        </is>
      </c>
      <c r="B14368" t="inlineStr">
        <is>
          <t>Trader with Storage</t>
        </is>
      </c>
      <c r="C14368" t="inlineStr">
        <is>
          <t>Control Union Certifications Germany GmbH, Berlin, DE</t>
        </is>
      </c>
      <c r="D14368" t="inlineStr">
        <is>
          <t>24.09.2026</t>
        </is>
      </c>
      <c r="E14368" t="inlineStr">
        <is>
          <t>United States</t>
        </is>
      </c>
    </row>
    <row r="14369">
      <c r="A14369" t="inlineStr">
        <is>
          <t>We Refuel Ltd,  London, United Kingdom</t>
        </is>
      </c>
      <c r="B14369" t="inlineStr">
        <is>
          <t>Trader</t>
        </is>
      </c>
      <c r="C14369" t="inlineStr">
        <is>
          <t>Aardvark Certification Ltd, Wiveliscombe, Somerset, GB</t>
        </is>
      </c>
      <c r="D14369" t="inlineStr">
        <is>
          <t>24.09.2026</t>
        </is>
      </c>
      <c r="E14369" t="inlineStr">
        <is>
          <t>United Kingdom</t>
        </is>
      </c>
    </row>
    <row r="14370">
      <c r="A14370" t="inlineStr">
        <is>
          <t>Reseave, S.L.,  Ajalvir, Madrid, Spain</t>
        </is>
      </c>
      <c r="B14370" t="inlineStr">
        <is>
          <t>Collecting Point, Trader with Storage</t>
        </is>
      </c>
      <c r="C14370" t="inlineStr">
        <is>
          <t>Certificadora Gallega del Noroeste SL, Vilagarcia de Arousa-Pontevedra, ES</t>
        </is>
      </c>
      <c r="D14370" t="inlineStr">
        <is>
          <t>24.09.2026</t>
        </is>
      </c>
      <c r="E14370" t="inlineStr">
        <is>
          <t>Spain</t>
        </is>
      </c>
    </row>
    <row r="14371">
      <c r="A14371" t="inlineStr">
        <is>
          <t>HEXPOL Compounding Lesina s.r.o.,  Skalná, Czech Republic</t>
        </is>
      </c>
      <c r="B14371" t="inlineStr">
        <is>
          <t>Processing Unit</t>
        </is>
      </c>
      <c r="C14371" t="inlineStr">
        <is>
          <t>TÜV SÜD Czech s.r.o., Praha 4, CZ</t>
        </is>
      </c>
      <c r="D14371" t="inlineStr">
        <is>
          <t>24.09.2026</t>
        </is>
      </c>
      <c r="E14371" t="inlineStr">
        <is>
          <t>Czech Republic</t>
        </is>
      </c>
    </row>
    <row r="14372">
      <c r="A14372" t="inlineStr">
        <is>
          <t>Cefetra Ltd,  Paisley, United Kingdom</t>
        </is>
      </c>
      <c r="B14372" t="inlineStr">
        <is>
          <t>Trader with Storage</t>
        </is>
      </c>
      <c r="C14372" t="inlineStr">
        <is>
          <t>SGS Germany GmbH, Emstek, DE</t>
        </is>
      </c>
      <c r="D14372" t="inlineStr">
        <is>
          <t>24.09.2026</t>
        </is>
      </c>
      <c r="E14372" t="inlineStr">
        <is>
          <t>United Kingdom</t>
        </is>
      </c>
    </row>
    <row r="14373">
      <c r="A14373" t="inlineStr">
        <is>
          <t>Multi-Plastics Extrusions Inc,  Avenel, New Jersey, United States</t>
        </is>
      </c>
      <c r="B14373" t="inlineStr">
        <is>
          <t>Processing Unit</t>
        </is>
      </c>
      <c r="C14373" t="inlineStr">
        <is>
          <t>SCS Global Services, Emeryville, CA, US</t>
        </is>
      </c>
      <c r="D14373" t="inlineStr">
        <is>
          <t>24.09.2026</t>
        </is>
      </c>
      <c r="E14373" t="inlineStr">
        <is>
          <t>United States</t>
        </is>
      </c>
    </row>
    <row r="14374">
      <c r="A14374" t="inlineStr">
        <is>
          <t>Hangzhou Leaf Biotech Co., Ltd.,  Hangzhou, China</t>
        </is>
      </c>
      <c r="B14374" t="inlineStr">
        <is>
          <t>Processing Unit</t>
        </is>
      </c>
      <c r="C14374" t="inlineStr">
        <is>
          <t>Control Union Certifications Germany GmbH, Berlin, DE</t>
        </is>
      </c>
      <c r="D14374" t="inlineStr">
        <is>
          <t>24.09.2026</t>
        </is>
      </c>
      <c r="E14374" t="inlineStr">
        <is>
          <t>China</t>
        </is>
      </c>
    </row>
    <row r="14375">
      <c r="A14375" t="inlineStr">
        <is>
          <t>Société Tunisienne de Collecte et de Recyclage des huiles alimentaires Usagées (STCRHAU),  Grombalia, Tunisia</t>
        </is>
      </c>
      <c r="B14375" t="inlineStr">
        <is>
          <t>Collecting Point, Trader</t>
        </is>
      </c>
      <c r="C14375" t="inlineStr">
        <is>
          <t>ICIM SpA, sesto san giovanni, IT</t>
        </is>
      </c>
      <c r="D14375" t="inlineStr">
        <is>
          <t>23.09.2026</t>
        </is>
      </c>
      <c r="E14375" t="inlineStr">
        <is>
          <t>Tunisia</t>
        </is>
      </c>
    </row>
    <row r="14376">
      <c r="A14376" t="inlineStr">
        <is>
          <t>KINGYARD TECHNOLOGY CO.,LTD,  Tanzi Dist, Taichung City, Taiwan, Province of China</t>
        </is>
      </c>
      <c r="B14376" t="inlineStr">
        <is>
          <t>Processing Unit</t>
        </is>
      </c>
      <c r="C14376" t="inlineStr">
        <is>
          <t>Bureau Veritas Polska Sp. z o.o., Warsaw, PL</t>
        </is>
      </c>
      <c r="D14376" t="inlineStr">
        <is>
          <t>23.09.2026</t>
        </is>
      </c>
      <c r="E14376" t="inlineStr">
        <is>
          <t>Province of China</t>
        </is>
      </c>
    </row>
    <row r="14377">
      <c r="A14377" t="inlineStr">
        <is>
          <t>Nissho,  Chiyoda-ku Tokyo, Japan</t>
        </is>
      </c>
      <c r="B14377" t="inlineStr">
        <is>
          <t>Trader</t>
        </is>
      </c>
      <c r="C14377" t="inlineStr">
        <is>
          <t>Bureau Veritas Polska Sp. z o.o., Warsaw, PL</t>
        </is>
      </c>
      <c r="D14377" t="inlineStr">
        <is>
          <t>23.09.2026</t>
        </is>
      </c>
      <c r="E14377" t="inlineStr">
        <is>
          <t>Japan</t>
        </is>
      </c>
    </row>
    <row r="14378">
      <c r="A14378" t="inlineStr">
        <is>
          <t>Norse Bunker,  Lysaker, Norway</t>
        </is>
      </c>
      <c r="B14378" t="inlineStr">
        <is>
          <t>Trader, Proof of Compliance Trader</t>
        </is>
      </c>
      <c r="C14378" t="inlineStr">
        <is>
          <t>Bureau Veritas Polska Sp. z o.o., Warsaw, PL</t>
        </is>
      </c>
      <c r="D14378" t="inlineStr">
        <is>
          <t>23.09.2026</t>
        </is>
      </c>
      <c r="E14378" t="inlineStr">
        <is>
          <t>Norway</t>
        </is>
      </c>
    </row>
    <row r="14379">
      <c r="A14379" t="inlineStr">
        <is>
          <t>Shandong Shengquan New Materials Co., LTD,  Jinan City, China</t>
        </is>
      </c>
      <c r="B14379" t="inlineStr">
        <is>
          <t>Trader</t>
        </is>
      </c>
      <c r="C14379" t="inlineStr">
        <is>
          <t>Bureau Veritas Polska Sp. z o.o., Warsaw, PL</t>
        </is>
      </c>
      <c r="D14379" t="inlineStr">
        <is>
          <t>23.09.2026</t>
        </is>
      </c>
      <c r="E14379" t="inlineStr">
        <is>
          <t>China</t>
        </is>
      </c>
    </row>
    <row r="14380">
      <c r="A14380" t="inlineStr">
        <is>
          <t>NITTO BOSEKI CO., LTD.,  Koriyama-city, Fukushima, Japan</t>
        </is>
      </c>
      <c r="B14380" t="inlineStr">
        <is>
          <t>Processing Unit</t>
        </is>
      </c>
      <c r="C14380" t="inlineStr">
        <is>
          <t>Bureau Veritas Polska Sp. z o.o., Warsaw, PL</t>
        </is>
      </c>
      <c r="D14380" t="inlineStr">
        <is>
          <t>23.09.2026</t>
        </is>
      </c>
      <c r="E14380" t="inlineStr">
        <is>
          <t>Japan</t>
        </is>
      </c>
    </row>
    <row r="14381">
      <c r="A14381" t="inlineStr">
        <is>
          <t>REVIVE,  Aspropyrgos, Greece</t>
        </is>
      </c>
      <c r="B14381" t="inlineStr">
        <is>
          <t>Collecting Point, Trader with Storage</t>
        </is>
      </c>
      <c r="C14381" t="inlineStr">
        <is>
          <t>SGS Germany GmbH, Emstek, DE</t>
        </is>
      </c>
      <c r="D14381" t="inlineStr">
        <is>
          <t>23.09.2026</t>
        </is>
      </c>
      <c r="E14381" t="inlineStr">
        <is>
          <t>Greece</t>
        </is>
      </c>
    </row>
    <row r="14382">
      <c r="A14382" t="inlineStr">
        <is>
          <t>Groen Gas Goor BV,  Goor, The Netherlands</t>
        </is>
      </c>
      <c r="B14382" t="inlineStr">
        <is>
          <t>Collecting Point, Processing Unit</t>
        </is>
      </c>
      <c r="C14382" t="inlineStr">
        <is>
          <t>DEKRA Certification B.V., Arnhem, NL</t>
        </is>
      </c>
      <c r="D14382" t="inlineStr">
        <is>
          <t>23.09.2026</t>
        </is>
      </c>
      <c r="E14382" t="inlineStr">
        <is>
          <t>The Netherlands</t>
        </is>
      </c>
    </row>
    <row r="14383">
      <c r="A14383" t="inlineStr">
        <is>
          <t>TONGXIANG ZHONGWEI CHEMICAL FIBER CO., LTD,  TongXiang City Zhouquan Town, China</t>
        </is>
      </c>
      <c r="B14383" t="inlineStr">
        <is>
          <t>Processing Unit</t>
        </is>
      </c>
      <c r="C14383" t="inlineStr">
        <is>
          <t>SGS Germany GmbH, Emstek, DE</t>
        </is>
      </c>
      <c r="D14383" t="inlineStr">
        <is>
          <t>23.09.2026</t>
        </is>
      </c>
      <c r="E14383" t="inlineStr">
        <is>
          <t>China</t>
        </is>
      </c>
    </row>
    <row r="14384">
      <c r="A14384" t="inlineStr">
        <is>
          <t>The Kouyoh Trading Co.,Ltd.,  Kita-ku, Osaka, Japan</t>
        </is>
      </c>
      <c r="B14384" t="inlineStr">
        <is>
          <t>Trader</t>
        </is>
      </c>
      <c r="C14384" t="inlineStr">
        <is>
          <t>SGS Germany GmbH, Emstek, DE</t>
        </is>
      </c>
      <c r="D14384" t="inlineStr">
        <is>
          <t>23.09.2026</t>
        </is>
      </c>
      <c r="E14384" t="inlineStr">
        <is>
          <t>Japan</t>
        </is>
      </c>
    </row>
    <row r="14385">
      <c r="A14385" t="inlineStr">
        <is>
          <t>OG. ASIA (TAIWAN) CORPORATION,  Taipei City, Taiwan</t>
        </is>
      </c>
      <c r="B14385" t="inlineStr">
        <is>
          <t>Trader</t>
        </is>
      </c>
      <c r="C14385" t="inlineStr">
        <is>
          <t>Bureau Veritas Polska Sp. z o.o., Warsaw, PL</t>
        </is>
      </c>
      <c r="D14385" t="inlineStr">
        <is>
          <t>23.09.2026</t>
        </is>
      </c>
      <c r="E14385" t="inlineStr">
        <is>
          <t>Taiwan</t>
        </is>
      </c>
    </row>
    <row r="14386">
      <c r="A14386" t="inlineStr">
        <is>
          <t>Shanghai Green Fire New Energy Co., Ltd.,  High-tech Zone, Hefei City, Anhui Province, China</t>
        </is>
      </c>
      <c r="B14386" t="inlineStr">
        <is>
          <t>Trader</t>
        </is>
      </c>
      <c r="C14386" t="inlineStr">
        <is>
          <t>SCS Global Services, Emeryville, CA, US</t>
        </is>
      </c>
      <c r="D14386" t="inlineStr">
        <is>
          <t>23.09.2026</t>
        </is>
      </c>
      <c r="E14386" t="inlineStr">
        <is>
          <t>China</t>
        </is>
      </c>
    </row>
    <row r="14387">
      <c r="A14387" t="inlineStr">
        <is>
          <t>Kian Hoe Plantations Berhad,  Kluang, Malaysia</t>
        </is>
      </c>
      <c r="B14387" t="inlineStr">
        <is>
          <t>Processing Unit, Point of Origin</t>
        </is>
      </c>
      <c r="C14387" t="inlineStr">
        <is>
          <t>Control Union Certifications Germany GmbH, Berlin, DE</t>
        </is>
      </c>
      <c r="D14387" t="inlineStr">
        <is>
          <t>23.09.2026</t>
        </is>
      </c>
      <c r="E14387" t="inlineStr">
        <is>
          <t>Malaysia</t>
        </is>
      </c>
    </row>
    <row r="14388">
      <c r="A14388" t="inlineStr">
        <is>
          <t>SIN MAY BIOTEC CO., LTD.,  Fengshan Dist., Kaohsiung City, Taiwan</t>
        </is>
      </c>
      <c r="B14388" t="inlineStr">
        <is>
          <t>Collecting Point, Trader with Storage</t>
        </is>
      </c>
      <c r="C14388" t="inlineStr">
        <is>
          <t>Trans Certification and Inspection Sdn Bhd, Kuantan, MY</t>
        </is>
      </c>
      <c r="D14388" t="inlineStr">
        <is>
          <t>23.09.2026</t>
        </is>
      </c>
      <c r="E14388" t="inlineStr">
        <is>
          <t>Taiwan</t>
        </is>
      </c>
    </row>
    <row r="14389">
      <c r="A14389" t="inlineStr">
        <is>
          <t>OPEN ROUTE SAS,  Alvear, Argentina</t>
        </is>
      </c>
      <c r="B14389" t="inlineStr">
        <is>
          <t>Trader</t>
        </is>
      </c>
      <c r="C14389" t="inlineStr">
        <is>
          <t>Amspec Iberia SL, Vilagarcia de Arousa-Pontevedra, ES</t>
        </is>
      </c>
      <c r="D14389" t="inlineStr">
        <is>
          <t>23.09.2026</t>
        </is>
      </c>
      <c r="E14389" t="inlineStr">
        <is>
          <t>Argentina</t>
        </is>
      </c>
    </row>
    <row r="14390">
      <c r="A14390" t="inlineStr">
        <is>
          <t>Pingmei Shenma (Hainan) International Trade Co., Ltd.,  Zhengzhou, Henan Province, China</t>
        </is>
      </c>
      <c r="B14390" t="inlineStr">
        <is>
          <t>Trader with Storage</t>
        </is>
      </c>
      <c r="C14390" t="inlineStr">
        <is>
          <t>SCS Global Services, Emeryville, CA, US</t>
        </is>
      </c>
      <c r="D14390" t="inlineStr">
        <is>
          <t>23.09.2026</t>
        </is>
      </c>
      <c r="E14390" t="inlineStr">
        <is>
          <t>China</t>
        </is>
      </c>
    </row>
    <row r="14391">
      <c r="A14391" t="inlineStr">
        <is>
          <t>Wuji County Tiancheng Oil &amp; Grease Co.,Ltd,  Shijiazhuang city, Hebei Province, China</t>
        </is>
      </c>
      <c r="B14391" t="inlineStr">
        <is>
          <t>Collecting Point, Processing Unit</t>
        </is>
      </c>
      <c r="C14391" t="inlineStr">
        <is>
          <t>SCS Global Services, Emeryville, CA, US</t>
        </is>
      </c>
      <c r="D14391" t="inlineStr">
        <is>
          <t>23.09.2026</t>
        </is>
      </c>
      <c r="E14391" t="inlineStr">
        <is>
          <t>China</t>
        </is>
      </c>
    </row>
    <row r="14392">
      <c r="A14392" t="inlineStr">
        <is>
          <t>ACE PACK CO.,LTD.,  Tsu-shi, Mie, Japan</t>
        </is>
      </c>
      <c r="B14392" t="inlineStr">
        <is>
          <t>Processing Unit, Warehouse</t>
        </is>
      </c>
      <c r="C14392" t="inlineStr">
        <is>
          <t>SGS Germany GmbH, Emstek, DE</t>
        </is>
      </c>
      <c r="D14392" t="inlineStr">
        <is>
          <t>23.09.2026</t>
        </is>
      </c>
      <c r="E14392" t="inlineStr">
        <is>
          <t>Japan</t>
        </is>
      </c>
    </row>
    <row r="14393">
      <c r="A14393" t="inlineStr">
        <is>
          <t>Wenzhou Lirui Glasses Co., Ltd,  Wenzhou, City, Zhejiang Province, China</t>
        </is>
      </c>
      <c r="B14393" t="inlineStr">
        <is>
          <t>Processing Unit</t>
        </is>
      </c>
      <c r="C14393" t="inlineStr">
        <is>
          <t>TÜV NORD CERT GmbH, Essen, DE</t>
        </is>
      </c>
      <c r="D14393" t="inlineStr">
        <is>
          <t>23.09.2026</t>
        </is>
      </c>
      <c r="E14393" t="inlineStr">
        <is>
          <t>China</t>
        </is>
      </c>
    </row>
    <row r="14394">
      <c r="A14394" t="inlineStr">
        <is>
          <t>Zhongshan Neata New Energy Technology Co., LTD,  Zhongshan City, China</t>
        </is>
      </c>
      <c r="B14394" t="inlineStr">
        <is>
          <t>Final Product Refinement</t>
        </is>
      </c>
      <c r="C14394" t="inlineStr">
        <is>
          <t>Extensive Standard Technical Services Co., Ltd., Hong Kong, CN</t>
        </is>
      </c>
      <c r="D14394" t="inlineStr">
        <is>
          <t>23.09.2026</t>
        </is>
      </c>
      <c r="E14394" t="inlineStr">
        <is>
          <t>China</t>
        </is>
      </c>
    </row>
    <row r="14395">
      <c r="A14395" t="inlineStr">
        <is>
          <t>OILMAR FZCO,  Dubai, The United Arab Emirates</t>
        </is>
      </c>
      <c r="B14395" t="inlineStr">
        <is>
          <t>Trader</t>
        </is>
      </c>
      <c r="C14395" t="inlineStr">
        <is>
          <t>Double Helix Tracking Technologies Pte Ltd, Singapore, SG</t>
        </is>
      </c>
      <c r="D14395" t="inlineStr">
        <is>
          <t>23.09.2026</t>
        </is>
      </c>
      <c r="E14395" t="inlineStr">
        <is>
          <t>The United Arab Emirates</t>
        </is>
      </c>
    </row>
    <row r="14396">
      <c r="A14396" t="inlineStr">
        <is>
          <t>Weifang Xinzhongxin Biotechnology Co., Ltd.,  Weifang City, Shandong Province, China</t>
        </is>
      </c>
      <c r="B14396" t="inlineStr">
        <is>
          <t>Point of Origin, Trader with Storage</t>
        </is>
      </c>
      <c r="C14396" t="inlineStr">
        <is>
          <t>SCS Global Services, Emeryville, CA, US</t>
        </is>
      </c>
      <c r="D14396" t="inlineStr">
        <is>
          <t>23.09.2026</t>
        </is>
      </c>
      <c r="E14396" t="inlineStr">
        <is>
          <t>China</t>
        </is>
      </c>
    </row>
    <row r="14397">
      <c r="A14397" t="inlineStr">
        <is>
          <t>Oilmar SGP PTE LTD,  Singapore, Singapore</t>
        </is>
      </c>
      <c r="B14397" t="inlineStr">
        <is>
          <t>Trader</t>
        </is>
      </c>
      <c r="C14397" t="inlineStr">
        <is>
          <t>Double Helix Tracking Technologies Pte Ltd, Singapore, SG</t>
        </is>
      </c>
      <c r="D14397" t="inlineStr">
        <is>
          <t>23.09.2026</t>
        </is>
      </c>
      <c r="E14397" t="inlineStr">
        <is>
          <t>Singapore</t>
        </is>
      </c>
    </row>
    <row r="14398">
      <c r="A14398" t="inlineStr">
        <is>
          <t>Shenzhen Sight World Optical Limited,  Shenzhen City, China</t>
        </is>
      </c>
      <c r="B14398" t="inlineStr">
        <is>
          <t>Processing Unit</t>
        </is>
      </c>
      <c r="C14398" t="inlineStr">
        <is>
          <t>Extensive Standard Technical Services Co., Ltd., Hong Kong, CN</t>
        </is>
      </c>
      <c r="D14398" t="inlineStr">
        <is>
          <t>23.09.2026</t>
        </is>
      </c>
      <c r="E14398" t="inlineStr">
        <is>
          <t>China</t>
        </is>
      </c>
    </row>
    <row r="14399">
      <c r="A14399" t="inlineStr">
        <is>
          <t>Duynie s.r.o.-odštěpný závod,  Hodonín, Czech Republic</t>
        </is>
      </c>
      <c r="B14399" t="inlineStr">
        <is>
          <t>Collecting Point, Trader</t>
        </is>
      </c>
      <c r="C14399" t="inlineStr">
        <is>
          <t>TÜV SÜD Czech s.r.o., Praha 4, CZ</t>
        </is>
      </c>
      <c r="D14399" t="inlineStr">
        <is>
          <t>23.09.2026</t>
        </is>
      </c>
      <c r="E14399" t="inlineStr">
        <is>
          <t>Czech Republic</t>
        </is>
      </c>
    </row>
    <row r="14400">
      <c r="A14400" t="inlineStr">
        <is>
          <t>Neptun Heijmen Nijmegen BV,  Nijmegen, Netherlands</t>
        </is>
      </c>
      <c r="B14400" t="inlineStr">
        <is>
          <t>Trader with Storage</t>
        </is>
      </c>
      <c r="C14400" t="inlineStr">
        <is>
          <t>DEKRA Certification B.V., Arnhem, NL</t>
        </is>
      </c>
      <c r="D14400" t="inlineStr">
        <is>
          <t>23.09.2026</t>
        </is>
      </c>
      <c r="E14400" t="inlineStr">
        <is>
          <t>Netherlands</t>
        </is>
      </c>
    </row>
    <row r="14401">
      <c r="A14401" t="inlineStr">
        <is>
          <t>Neptun Heijmen Nijmegen BV,  Nijmegen, Netherlands</t>
        </is>
      </c>
      <c r="B14401" t="inlineStr">
        <is>
          <t>Trader with Storage</t>
        </is>
      </c>
      <c r="C14401" t="inlineStr">
        <is>
          <t>DEKRA Certification B.V., Arnhem, NL</t>
        </is>
      </c>
      <c r="D14401" t="inlineStr">
        <is>
          <t>23.09.2026</t>
        </is>
      </c>
      <c r="E14401" t="inlineStr">
        <is>
          <t>Netherlands</t>
        </is>
      </c>
    </row>
    <row r="14402">
      <c r="A14402" t="inlineStr">
        <is>
          <t>PT. Surya Sawit Mandiri,  Kec. Tandun, Kab. Rokan Hulu, Provinsi Riau, Indonesia</t>
        </is>
      </c>
      <c r="B14402" t="inlineStr">
        <is>
          <t>Point of Origin</t>
        </is>
      </c>
      <c r="C14402" t="inlineStr">
        <is>
          <t>BM Certification, Riga, LV</t>
        </is>
      </c>
      <c r="D14402" t="inlineStr">
        <is>
          <t>23.09.2026</t>
        </is>
      </c>
      <c r="E14402" t="inlineStr">
        <is>
          <t>Indonesia</t>
        </is>
      </c>
    </row>
    <row r="14403">
      <c r="A14403" t="inlineStr">
        <is>
          <t>Sinar Utama Nabati,  Kuantan Singingi, Indonesia</t>
        </is>
      </c>
      <c r="B14403" t="inlineStr">
        <is>
          <t>Point of Origin</t>
        </is>
      </c>
      <c r="C14403" t="inlineStr">
        <is>
          <t>PT. Qualitas Sertifikasi Indonesia, Jakarta, ID</t>
        </is>
      </c>
      <c r="D14403" t="inlineStr">
        <is>
          <t>23.09.2026</t>
        </is>
      </c>
      <c r="E14403" t="inlineStr">
        <is>
          <t>Indonesia</t>
        </is>
      </c>
    </row>
    <row r="14404">
      <c r="A14404" t="inlineStr">
        <is>
          <t>UBQ Materials,  Bergen op Zoom, Netherlands</t>
        </is>
      </c>
      <c r="B14404" t="inlineStr">
        <is>
          <t>Collecting Point, Processing Unit</t>
        </is>
      </c>
      <c r="C14404" t="inlineStr">
        <is>
          <t>DEKRA Certification B.V., Arnhem, NL</t>
        </is>
      </c>
      <c r="D14404" t="inlineStr">
        <is>
          <t>23.09.2026</t>
        </is>
      </c>
      <c r="E14404" t="inlineStr">
        <is>
          <t>Netherlands</t>
        </is>
      </c>
    </row>
    <row r="14405">
      <c r="A14405" t="inlineStr">
        <is>
          <t>A. Schulman GmbH,  Kerpen, Germany</t>
        </is>
      </c>
      <c r="B14405" t="inlineStr">
        <is>
          <t>Processing Unit</t>
        </is>
      </c>
      <c r="C14405" t="inlineStr">
        <is>
          <t>SGS Germany GmbH, Emstek, DE</t>
        </is>
      </c>
      <c r="D14405" t="inlineStr">
        <is>
          <t>23.09.2026</t>
        </is>
      </c>
      <c r="E14405" t="inlineStr">
        <is>
          <t>Germany</t>
        </is>
      </c>
    </row>
    <row r="14406">
      <c r="A14406" t="inlineStr">
        <is>
          <t>ALFÖLDGABONA,  Komádi, Hungary</t>
        </is>
      </c>
      <c r="B14406" t="inlineStr">
        <is>
          <t>First Gathering Point, Trader with Storage</t>
        </is>
      </c>
      <c r="C14406" t="inlineStr">
        <is>
          <t>Control Union Certifications Germany GmbH, Berlin, DE</t>
        </is>
      </c>
      <c r="D14406" t="inlineStr">
        <is>
          <t>23.09.2026</t>
        </is>
      </c>
      <c r="E14406" t="inlineStr">
        <is>
          <t>Hungary</t>
        </is>
      </c>
    </row>
    <row r="14407">
      <c r="A14407" t="inlineStr">
        <is>
          <t>Hunan Yueda Energy Co.,Ltd.,  Yueyang City, Hunan Province, China</t>
        </is>
      </c>
      <c r="B14407" t="inlineStr">
        <is>
          <t>Collecting Point</t>
        </is>
      </c>
      <c r="C14407" t="inlineStr">
        <is>
          <t>SCS Global Services, Emeryville, CA, US</t>
        </is>
      </c>
      <c r="D14407" t="inlineStr">
        <is>
          <t>23.09.2026</t>
        </is>
      </c>
      <c r="E14407" t="inlineStr">
        <is>
          <t>China</t>
        </is>
      </c>
    </row>
    <row r="14408">
      <c r="A14408" t="inlineStr">
        <is>
          <t>Cargill Limited,  Camrose, Canada</t>
        </is>
      </c>
      <c r="B14408" t="inlineStr">
        <is>
          <t>Processing Unit</t>
        </is>
      </c>
      <c r="C14408" t="inlineStr">
        <is>
          <t>SCS Global Services, Emeryville, CA, US</t>
        </is>
      </c>
      <c r="D14408" t="inlineStr">
        <is>
          <t>23.09.2026</t>
        </is>
      </c>
      <c r="E14408" t="inlineStr">
        <is>
          <t>Canada</t>
        </is>
      </c>
    </row>
    <row r="14409">
      <c r="A14409" t="inlineStr">
        <is>
          <t>Cargill Limited,  Clavet, Canada</t>
        </is>
      </c>
      <c r="B14409" t="inlineStr">
        <is>
          <t>Processing Unit, First Gathering Point, Trader with Storage</t>
        </is>
      </c>
      <c r="C14409" t="inlineStr">
        <is>
          <t>SCS Global Services, Emeryville, CA, US</t>
        </is>
      </c>
      <c r="D14409" t="inlineStr">
        <is>
          <t>23.09.2026</t>
        </is>
      </c>
      <c r="E14409" t="inlineStr">
        <is>
          <t>Canada</t>
        </is>
      </c>
    </row>
    <row r="14410">
      <c r="A14410" t="inlineStr">
        <is>
          <t>Huhtamaki Flexible Packaging Germany GmbH &amp; Co.KG,  Ronsberg, Germany</t>
        </is>
      </c>
      <c r="B14410" t="inlineStr">
        <is>
          <t>Processing Unit</t>
        </is>
      </c>
      <c r="C14410" t="inlineStr">
        <is>
          <t>TÜV NORD CERT GmbH, Essen, DE</t>
        </is>
      </c>
      <c r="D14410" t="inlineStr">
        <is>
          <t>23.09.2026</t>
        </is>
      </c>
      <c r="E14410" t="inlineStr">
        <is>
          <t>Germany</t>
        </is>
      </c>
    </row>
    <row r="14411">
      <c r="A14411" t="inlineStr">
        <is>
          <t>Fongyuan Incorporation,  Changhua County, Taiwan, Province of China</t>
        </is>
      </c>
      <c r="B14411" t="inlineStr">
        <is>
          <t>Collecting Point</t>
        </is>
      </c>
      <c r="C14411" t="inlineStr">
        <is>
          <t>RINA Services S.p.A., Genova, IT</t>
        </is>
      </c>
      <c r="D14411" t="inlineStr">
        <is>
          <t>23.09.2026</t>
        </is>
      </c>
      <c r="E14411" t="inlineStr">
        <is>
          <t>Province of China</t>
        </is>
      </c>
    </row>
    <row r="14412">
      <c r="A14412" t="inlineStr">
        <is>
          <t>DRAGON ENERGY, LLC,  Kremenchuk, Ukraine</t>
        </is>
      </c>
      <c r="B14412" t="inlineStr">
        <is>
          <t>Processing Unit, Point of Origin, Collecting Point</t>
        </is>
      </c>
      <c r="C14412" t="inlineStr">
        <is>
          <t>Bureau Veritas Polska Sp. z o.o., Warsaw, PL</t>
        </is>
      </c>
      <c r="D14412" t="inlineStr">
        <is>
          <t>23.09.2026</t>
        </is>
      </c>
      <c r="E14412" t="inlineStr">
        <is>
          <t>Ukraine</t>
        </is>
      </c>
    </row>
    <row r="14413">
      <c r="A14413" t="inlineStr">
        <is>
          <t>SOMBÉSZ Szövetkezet,  Kaposvár, Hungary</t>
        </is>
      </c>
      <c r="B14413" t="inlineStr">
        <is>
          <t>Trader</t>
        </is>
      </c>
      <c r="C14413" t="inlineStr">
        <is>
          <t>Certificadora Gallega del Noroeste SL, Vilagarcia de Arousa-Pontevedra, ES</t>
        </is>
      </c>
      <c r="D14413" t="inlineStr">
        <is>
          <t>23.09.2026</t>
        </is>
      </c>
      <c r="E14413" t="inlineStr">
        <is>
          <t>Hungary</t>
        </is>
      </c>
    </row>
    <row r="14414">
      <c r="A14414" t="inlineStr">
        <is>
          <t>Authentic Elite Sdn Bhd,  Northen Gateway Industrial Park, Lot 2875, Block 20 Kemena Land District, Bintulu Sarawak, Malaysia</t>
        </is>
      </c>
      <c r="B14414" t="inlineStr">
        <is>
          <t>Collecting Point, Trader with Storage</t>
        </is>
      </c>
      <c r="C14414" t="inlineStr">
        <is>
          <t>Trans Certification and Inspection Sdn Bhd, Kuantan, MY</t>
        </is>
      </c>
      <c r="D14414" t="inlineStr">
        <is>
          <t>23.09.2026</t>
        </is>
      </c>
      <c r="E14414" t="inlineStr">
        <is>
          <t>Malaysia</t>
        </is>
      </c>
    </row>
    <row r="14415">
      <c r="A14415" t="inlineStr">
        <is>
          <t>LLC Tradex Agri,  Rivne region, Zdolbuniv, Ukraine</t>
        </is>
      </c>
      <c r="B14415" t="inlineStr">
        <is>
          <t>First Gathering Point, Trader with Storage</t>
        </is>
      </c>
      <c r="C14415" t="inlineStr">
        <is>
          <t>Bureau Veritas Polska Sp. z o.o., Warsaw, PL</t>
        </is>
      </c>
      <c r="D14415" t="inlineStr">
        <is>
          <t>22.09.2026</t>
        </is>
      </c>
      <c r="E14415" t="inlineStr">
        <is>
          <t>Ukraine</t>
        </is>
      </c>
    </row>
    <row r="14416">
      <c r="A14416" t="inlineStr">
        <is>
          <t>Shadow Gate Company For General Trading, Waste Management, and Environmental Projects,  Baghdad, Iraq</t>
        </is>
      </c>
      <c r="B14416" t="inlineStr">
        <is>
          <t>Collecting Point, Trader with Storage</t>
        </is>
      </c>
      <c r="C14416" t="inlineStr">
        <is>
          <t>Trans Certification and Inspection Sdn Bhd, Kuantan, MY</t>
        </is>
      </c>
      <c r="D14416" t="inlineStr">
        <is>
          <t>22.09.2026</t>
        </is>
      </c>
      <c r="E14416" t="inlineStr">
        <is>
          <t>Iraq</t>
        </is>
      </c>
    </row>
    <row r="14417">
      <c r="A14417" t="inlineStr">
        <is>
          <t>PetroChina International (Singapore) Pte. Ltd.,  Singapore, Singapore</t>
        </is>
      </c>
      <c r="B14417" t="inlineStr">
        <is>
          <t>Trader</t>
        </is>
      </c>
      <c r="C14417" t="inlineStr">
        <is>
          <t>SCS Global Services, Emeryville, CA, US</t>
        </is>
      </c>
      <c r="D14417" t="inlineStr">
        <is>
          <t>22.09.2026</t>
        </is>
      </c>
      <c r="E14417" t="inlineStr">
        <is>
          <t>Singapore</t>
        </is>
      </c>
    </row>
    <row r="14418">
      <c r="A14418" t="inlineStr">
        <is>
          <t>OIL TRADING S.A.C.,  CALLAO, Peru</t>
        </is>
      </c>
      <c r="B14418" t="inlineStr">
        <is>
          <t>Trader with Storage</t>
        </is>
      </c>
      <c r="C14418" t="inlineStr">
        <is>
          <t>ASG Cert GmbH, Munich, DE</t>
        </is>
      </c>
      <c r="D14418" t="inlineStr">
        <is>
          <t>22.09.2026</t>
        </is>
      </c>
      <c r="E14418" t="inlineStr">
        <is>
          <t>Peru</t>
        </is>
      </c>
    </row>
    <row r="14419">
      <c r="A14419" t="inlineStr">
        <is>
          <t>POLİBAK PLASTİK FİLM SAN. VE TİC. A.Ş.,  ÇİĞLİ, İZMİR, Turkey</t>
        </is>
      </c>
      <c r="B14419" t="inlineStr">
        <is>
          <t>Processing Unit</t>
        </is>
      </c>
      <c r="C14419" t="inlineStr">
        <is>
          <t>RINA Services S.p.A., Genova, IT</t>
        </is>
      </c>
      <c r="D14419" t="inlineStr">
        <is>
          <t>22.09.2026</t>
        </is>
      </c>
      <c r="E14419" t="inlineStr">
        <is>
          <t>Turkey</t>
        </is>
      </c>
    </row>
    <row r="14420">
      <c r="A14420" t="inlineStr">
        <is>
          <t>POLİBAK PLASTİK FİLM SAN. VE TİC. A.Ş.,  ÇİĞLİ, İZMİR, Turkey</t>
        </is>
      </c>
      <c r="B14420" t="inlineStr">
        <is>
          <t>Processing Unit</t>
        </is>
      </c>
      <c r="C14420" t="inlineStr">
        <is>
          <t>RINA Services S.p.A., Genova, IT</t>
        </is>
      </c>
      <c r="D14420" t="inlineStr">
        <is>
          <t>22.09.2026</t>
        </is>
      </c>
      <c r="E14420" t="inlineStr">
        <is>
          <t>Turkey</t>
        </is>
      </c>
    </row>
    <row r="14421">
      <c r="A14421" t="inlineStr">
        <is>
          <t>Henan Longdu Torise Biomaterials Co., Ltd,  Puyang City, China</t>
        </is>
      </c>
      <c r="B14421" t="inlineStr">
        <is>
          <t>Processing Unit</t>
        </is>
      </c>
      <c r="C14421" t="inlineStr">
        <is>
          <t>SGS Germany GmbH, Emstek, DE</t>
        </is>
      </c>
      <c r="D14421" t="inlineStr">
        <is>
          <t>22.09.2026</t>
        </is>
      </c>
      <c r="E14421" t="inlineStr">
        <is>
          <t>China</t>
        </is>
      </c>
    </row>
    <row r="14422">
      <c r="A14422" t="inlineStr">
        <is>
          <t>O.P. APOL INDUSTRIALE SOCIETA' COOPERATIVA AGRICOLA,  Piacenza, Italy</t>
        </is>
      </c>
      <c r="B14422" t="inlineStr">
        <is>
          <t>First Gathering Point</t>
        </is>
      </c>
      <c r="C14422" t="inlineStr">
        <is>
          <t>RINA Services S.p.A., Genova, IT</t>
        </is>
      </c>
      <c r="D14422" t="inlineStr">
        <is>
          <t>22.09.2026</t>
        </is>
      </c>
      <c r="E14422" t="inlineStr">
        <is>
          <t>Italy</t>
        </is>
      </c>
    </row>
    <row r="14423">
      <c r="A14423" t="inlineStr">
        <is>
          <t>Xiamen Mellan Opto_Electronic Tech Co., Ltd,  Xiamen, China</t>
        </is>
      </c>
      <c r="B14423" t="inlineStr">
        <is>
          <t>Processing Unit</t>
        </is>
      </c>
      <c r="C14423" t="inlineStr">
        <is>
          <t>SGS Germany GmbH, Emstek, DE</t>
        </is>
      </c>
      <c r="D14423" t="inlineStr">
        <is>
          <t>22.09.2026</t>
        </is>
      </c>
      <c r="E14423" t="inlineStr">
        <is>
          <t>China</t>
        </is>
      </c>
    </row>
    <row r="14424">
      <c r="A14424" t="inlineStr">
        <is>
          <t>Otanki Mill,  Kaunas, Lithuania</t>
        </is>
      </c>
      <c r="B14424" t="inlineStr">
        <is>
          <t>Trader, First Gathering Point</t>
        </is>
      </c>
      <c r="C14424" t="inlineStr">
        <is>
          <t>BM Certification, Riga, LV</t>
        </is>
      </c>
      <c r="D14424" t="inlineStr">
        <is>
          <t>22.09.2026</t>
        </is>
      </c>
      <c r="E14424" t="inlineStr">
        <is>
          <t>Lithuania</t>
        </is>
      </c>
    </row>
    <row r="14425">
      <c r="A14425" t="inlineStr">
        <is>
          <t>Nanjing Jiushengrun Environmental Protection Technology Co., Ltd.,  Nanjing City, China</t>
        </is>
      </c>
      <c r="B14425" t="inlineStr">
        <is>
          <t>Collecting Point, Processing Unit</t>
        </is>
      </c>
      <c r="C14425" t="inlineStr">
        <is>
          <t>RINA Services S.p.A., Genova, IT</t>
        </is>
      </c>
      <c r="D14425" t="inlineStr">
        <is>
          <t>22.09.2026</t>
        </is>
      </c>
      <c r="E14425" t="inlineStr">
        <is>
          <t>China</t>
        </is>
      </c>
    </row>
    <row r="14426">
      <c r="A14426" t="inlineStr">
        <is>
          <t>Advanced Bioenergy (HongKong) CO., LIMITED,  Zhangjiagang, Jiangsu, China</t>
        </is>
      </c>
      <c r="B14426" t="inlineStr">
        <is>
          <t>Trader with Storage</t>
        </is>
      </c>
      <c r="C14426" t="inlineStr">
        <is>
          <t>SCS Global Services, Emeryville, CA, US</t>
        </is>
      </c>
      <c r="D14426" t="inlineStr">
        <is>
          <t>22.09.2026</t>
        </is>
      </c>
      <c r="E14426" t="inlineStr">
        <is>
          <t>China</t>
        </is>
      </c>
    </row>
    <row r="14427">
      <c r="A14427" t="inlineStr">
        <is>
          <t>3 Fuel 2020 SRL,  Milano, Italy</t>
        </is>
      </c>
      <c r="B14427" t="inlineStr">
        <is>
          <t>Trader with Storage</t>
        </is>
      </c>
      <c r="C14427" t="inlineStr">
        <is>
          <t>ICIM SpA, sesto san giovanni, IT</t>
        </is>
      </c>
      <c r="D14427" t="inlineStr">
        <is>
          <t>22.09.2026</t>
        </is>
      </c>
      <c r="E14427" t="inlineStr">
        <is>
          <t>Italy</t>
        </is>
      </c>
    </row>
    <row r="14428">
      <c r="A14428" t="inlineStr">
        <is>
          <t>PetroChina International (Netherlands) Company BV,  Tower A - 11th Floor, Rotterdam, Netherlands</t>
        </is>
      </c>
      <c r="B14428" t="inlineStr">
        <is>
          <t>Trader with Storage, Proof of Compliance Trader</t>
        </is>
      </c>
      <c r="C14428" t="inlineStr">
        <is>
          <t>Control Union Certifications Germany GmbH, Berlin, DE</t>
        </is>
      </c>
      <c r="D14428" t="inlineStr">
        <is>
          <t>22.09.2026</t>
        </is>
      </c>
      <c r="E14428" t="inlineStr">
        <is>
          <t>Netherlands</t>
        </is>
      </c>
    </row>
    <row r="14429">
      <c r="A14429" t="inlineStr">
        <is>
          <t>SINOPHARM INTERNATIONAL HONGKONG LIMITED.,  Beijing, China</t>
        </is>
      </c>
      <c r="B14429" t="inlineStr">
        <is>
          <t>Trader with Storage</t>
        </is>
      </c>
      <c r="C14429" t="inlineStr">
        <is>
          <t>SCS Global Services, Emeryville, CA, US</t>
        </is>
      </c>
      <c r="D14429" t="inlineStr">
        <is>
          <t>22.09.2026</t>
        </is>
      </c>
      <c r="E14429" t="inlineStr">
        <is>
          <t>China</t>
        </is>
      </c>
    </row>
    <row r="14430">
      <c r="A14430" t="inlineStr">
        <is>
          <t>Serenity Resources Pte. Ltd.,  Singapore, Singapore</t>
        </is>
      </c>
      <c r="B14430" t="inlineStr">
        <is>
          <t>Trader</t>
        </is>
      </c>
      <c r="C14430" t="inlineStr">
        <is>
          <t>SCS Global Services, Emeryville, CA, US</t>
        </is>
      </c>
      <c r="D14430" t="inlineStr">
        <is>
          <t>22.09.2026</t>
        </is>
      </c>
      <c r="E14430" t="inlineStr">
        <is>
          <t>Singapore</t>
        </is>
      </c>
    </row>
    <row r="14431">
      <c r="A14431" t="inlineStr">
        <is>
          <t>CHINA SINOPHARM HEALTHCARE INDUSTRY COMPANY,  Beijing, China</t>
        </is>
      </c>
      <c r="B14431" t="inlineStr">
        <is>
          <t>Trader with Storage</t>
        </is>
      </c>
      <c r="C14431" t="inlineStr">
        <is>
          <t>SCS Global Services, Emeryville, CA, US</t>
        </is>
      </c>
      <c r="D14431" t="inlineStr">
        <is>
          <t>22.09.2026</t>
        </is>
      </c>
      <c r="E14431" t="inlineStr">
        <is>
          <t>China</t>
        </is>
      </c>
    </row>
    <row r="14432">
      <c r="A14432" t="inlineStr">
        <is>
          <t>DALIAN ZINC OXIDE FACTORY,  Dalian Liaoning, China</t>
        </is>
      </c>
      <c r="B14432" t="inlineStr">
        <is>
          <t>Processing Unit, Collecting Point, Trader with Storage</t>
        </is>
      </c>
      <c r="C14432" t="inlineStr">
        <is>
          <t>SCS Global Services, Emeryville, CA, US</t>
        </is>
      </c>
      <c r="D14432" t="inlineStr">
        <is>
          <t>22.09.2026</t>
        </is>
      </c>
      <c r="E14432" t="inlineStr">
        <is>
          <t>China</t>
        </is>
      </c>
    </row>
    <row r="14433">
      <c r="A14433" t="inlineStr">
        <is>
          <t>Reho Dodewaard,  Nijmegen, Netherlands</t>
        </is>
      </c>
      <c r="B14433" t="inlineStr">
        <is>
          <t>Collecting Point, Trader with Storage</t>
        </is>
      </c>
      <c r="C14433" t="inlineStr">
        <is>
          <t>Normec QS BV, Bennekom, NL</t>
        </is>
      </c>
      <c r="D14433" t="inlineStr">
        <is>
          <t>22.09.2026</t>
        </is>
      </c>
      <c r="E14433" t="inlineStr">
        <is>
          <t>Netherlands</t>
        </is>
      </c>
    </row>
    <row r="14434">
      <c r="A14434" t="inlineStr">
        <is>
          <t>China Aviation Oil (Hong Kong),  Office Tower, Convention Plaza, Wanchai, Hong Kong, SAR, China</t>
        </is>
      </c>
      <c r="B14434" t="inlineStr">
        <is>
          <t>Trader with Storage, Proof of Compliance Trader</t>
        </is>
      </c>
      <c r="C14434" t="inlineStr">
        <is>
          <t>Control Union Certifications Germany GmbH, Berlin, DE</t>
        </is>
      </c>
      <c r="D14434" t="inlineStr">
        <is>
          <t>22.09.2026</t>
        </is>
      </c>
      <c r="E14434" t="inlineStr">
        <is>
          <t>China</t>
        </is>
      </c>
    </row>
    <row r="14435">
      <c r="A14435" t="inlineStr">
        <is>
          <t>China Aviation Oil (Hong Kong),  Office Tower, Convention Plaza, Wanchai, Hong Kong, SAR, China</t>
        </is>
      </c>
      <c r="B14435" t="inlineStr">
        <is>
          <t>Trader with Storage</t>
        </is>
      </c>
      <c r="C14435" t="inlineStr">
        <is>
          <t>Control Union Certifications Germany GmbH, Berlin, DE</t>
        </is>
      </c>
      <c r="D14435" t="inlineStr">
        <is>
          <t>22.09.2026</t>
        </is>
      </c>
      <c r="E14435" t="inlineStr">
        <is>
          <t>China</t>
        </is>
      </c>
    </row>
    <row r="14436">
      <c r="A14436" t="inlineStr">
        <is>
          <t>Biogas Bree,  Bree, Belgium</t>
        </is>
      </c>
      <c r="B14436" t="inlineStr">
        <is>
          <t>Collecting Point, Trader with Storage, Processing Unit</t>
        </is>
      </c>
      <c r="C14436" t="inlineStr">
        <is>
          <t>DEKRA Certification B.V., Arnhem, NL</t>
        </is>
      </c>
      <c r="D14436" t="inlineStr">
        <is>
          <t>22.09.2026</t>
        </is>
      </c>
      <c r="E14436" t="inlineStr">
        <is>
          <t>Belgium</t>
        </is>
      </c>
    </row>
    <row r="14437">
      <c r="A14437" t="inlineStr">
        <is>
          <t>CPI (Penang) Sdn. Bhd.,  Bayan Lepas, Malaysia</t>
        </is>
      </c>
      <c r="B14437" t="inlineStr">
        <is>
          <t>Processing Unit, Final Product Refinement</t>
        </is>
      </c>
      <c r="C14437" t="inlineStr">
        <is>
          <t>SCS Global Services, Emeryville, CA, US</t>
        </is>
      </c>
      <c r="D14437" t="inlineStr">
        <is>
          <t>22.09.2026</t>
        </is>
      </c>
      <c r="E14437" t="inlineStr">
        <is>
          <t>Malaysia</t>
        </is>
      </c>
    </row>
    <row r="14438">
      <c r="A14438" t="inlineStr">
        <is>
          <t>Pingyuan County Mufeng Oil Factory,  Dezhou City, Shandong Province, China</t>
        </is>
      </c>
      <c r="B14438" t="inlineStr">
        <is>
          <t>Collecting Point, Trader</t>
        </is>
      </c>
      <c r="C14438" t="inlineStr">
        <is>
          <t>SCS Global Services, Emeryville, CA, US</t>
        </is>
      </c>
      <c r="D14438" t="inlineStr">
        <is>
          <t>22.09.2026</t>
        </is>
      </c>
      <c r="E14438" t="inlineStr">
        <is>
          <t>China</t>
        </is>
      </c>
    </row>
    <row r="14439">
      <c r="A14439" t="inlineStr">
        <is>
          <t>Ecopor S.A.,  Bella Vista, Argentina</t>
        </is>
      </c>
      <c r="B14439" t="inlineStr">
        <is>
          <t>Collecting Point, Trader with Storage</t>
        </is>
      </c>
      <c r="C14439" t="inlineStr">
        <is>
          <t>PT Intertek Utama Services, Jakarta, ID</t>
        </is>
      </c>
      <c r="D14439" t="inlineStr">
        <is>
          <t>22.09.2026</t>
        </is>
      </c>
      <c r="E14439" t="inlineStr">
        <is>
          <t>Argentina</t>
        </is>
      </c>
    </row>
    <row r="14440">
      <c r="A14440" t="inlineStr">
        <is>
          <t>JEONJIN BIO,  Sejong-si, The Republic of Korea</t>
        </is>
      </c>
      <c r="B14440" t="inlineStr">
        <is>
          <t>Collecting Point</t>
        </is>
      </c>
      <c r="C14440" t="inlineStr">
        <is>
          <t>Korean Foundation for Quality, Songpa-gu, Seoul, KR</t>
        </is>
      </c>
      <c r="D14440" t="inlineStr">
        <is>
          <t>22.09.2026</t>
        </is>
      </c>
      <c r="E14440" t="inlineStr">
        <is>
          <t>The Republic of Korea</t>
        </is>
      </c>
    </row>
    <row r="14441">
      <c r="A14441" t="inlineStr">
        <is>
          <t>PT Pesona Sawit Abadi,  Kab. Berau, Provinsi Kalimantan Timur, Indonesia</t>
        </is>
      </c>
      <c r="B14441" t="inlineStr">
        <is>
          <t>Point of Origin</t>
        </is>
      </c>
      <c r="C14441" t="inlineStr">
        <is>
          <t>PT. Qualitas Sertifikasi Indonesia, Jakarta, ID</t>
        </is>
      </c>
      <c r="D14441" t="inlineStr">
        <is>
          <t>22.09.2026</t>
        </is>
      </c>
      <c r="E14441" t="inlineStr">
        <is>
          <t>Indonesia</t>
        </is>
      </c>
    </row>
    <row r="14442">
      <c r="A14442" t="inlineStr">
        <is>
          <t>Sukses Utama,  Batam, Indonesia</t>
        </is>
      </c>
      <c r="B14442" t="inlineStr">
        <is>
          <t>Trader with Storage, Collecting Point</t>
        </is>
      </c>
      <c r="C14442" t="inlineStr">
        <is>
          <t>China Testing &amp; Certification International Group Co., Ltd., Beijing, CN</t>
        </is>
      </c>
      <c r="D14442" t="inlineStr">
        <is>
          <t>22.09.2026</t>
        </is>
      </c>
      <c r="E14442" t="inlineStr">
        <is>
          <t>Indonesia</t>
        </is>
      </c>
    </row>
    <row r="14443">
      <c r="A14443" t="inlineStr">
        <is>
          <t>NERM SOLUTIONS INDIA PRIVATE LIMITED,  Mumbai, India</t>
        </is>
      </c>
      <c r="B14443" t="inlineStr">
        <is>
          <t>Trader with Storage, Collecting Point</t>
        </is>
      </c>
      <c r="C14443" t="inlineStr">
        <is>
          <t>SGS Germany GmbH, Emstek, DE</t>
        </is>
      </c>
      <c r="D14443" t="inlineStr">
        <is>
          <t>22.09.2026</t>
        </is>
      </c>
      <c r="E14443" t="inlineStr">
        <is>
          <t>India</t>
        </is>
      </c>
    </row>
    <row r="14444">
      <c r="A14444" t="inlineStr">
        <is>
          <t>"Smart oil waste",  Baskudyk village, Kazakhstan</t>
        </is>
      </c>
      <c r="B14444" t="inlineStr">
        <is>
          <t>Collecting Point</t>
        </is>
      </c>
      <c r="C14444" t="inlineStr">
        <is>
          <t>Aciter Genelab LLC, Odessa, UA</t>
        </is>
      </c>
      <c r="D14444" t="inlineStr">
        <is>
          <t>22.09.2026</t>
        </is>
      </c>
      <c r="E14444" t="inlineStr">
        <is>
          <t>Kazakhstan</t>
        </is>
      </c>
    </row>
    <row r="14445">
      <c r="A14445" t="inlineStr">
        <is>
          <t>REMITTEL 2017 S.L,  Beniparrell, Spain</t>
        </is>
      </c>
      <c r="B14445" t="inlineStr">
        <is>
          <t>Collecting Point, Trader with Storage</t>
        </is>
      </c>
      <c r="C14445" t="inlineStr">
        <is>
          <t>Bureau Veritas Polska Sp. z o.o., Warsaw, PL</t>
        </is>
      </c>
      <c r="D14445" t="inlineStr">
        <is>
          <t>22.09.2026</t>
        </is>
      </c>
      <c r="E14445" t="inlineStr">
        <is>
          <t>Spain</t>
        </is>
      </c>
    </row>
    <row r="14446">
      <c r="A14446" t="inlineStr">
        <is>
          <t>Froneri Iberia S.L.,  Araia - Poligono Industrial Araia, Spain</t>
        </is>
      </c>
      <c r="B14446" t="inlineStr">
        <is>
          <t>Trader with Storage</t>
        </is>
      </c>
      <c r="C14446" t="inlineStr">
        <is>
          <t>Control Union Poland Sp. z o.o., Zielona Gora, PL</t>
        </is>
      </c>
      <c r="D14446" t="inlineStr">
        <is>
          <t>22.09.2026</t>
        </is>
      </c>
      <c r="E14446" t="inlineStr">
        <is>
          <t>Spain</t>
        </is>
      </c>
    </row>
    <row r="14447">
      <c r="A14447" t="inlineStr">
        <is>
          <t>Plásticos Uribe,  San Pedro Tlaquepaque, Mexico</t>
        </is>
      </c>
      <c r="B14447" t="inlineStr">
        <is>
          <t>Processing Unit, Trader with Storage</t>
        </is>
      </c>
      <c r="C14447" t="inlineStr">
        <is>
          <t>Control Union Poland Sp. z o.o., Zielona Gora, PL</t>
        </is>
      </c>
      <c r="D14447" t="inlineStr">
        <is>
          <t>22.09.2026</t>
        </is>
      </c>
      <c r="E14447" t="inlineStr">
        <is>
          <t>Mexico</t>
        </is>
      </c>
    </row>
    <row r="14448">
      <c r="A14448" t="inlineStr">
        <is>
          <t>Playmobil Malta Ltd.,  Birzebbuga BBG, Malta</t>
        </is>
      </c>
      <c r="B14448" t="inlineStr">
        <is>
          <t>Processing Unit, Trader with Storage, Final Product Refinement</t>
        </is>
      </c>
      <c r="C14448" t="inlineStr">
        <is>
          <t>IIP S.r.l., Monza, IT</t>
        </is>
      </c>
      <c r="D14448" t="inlineStr">
        <is>
          <t>22.09.2026</t>
        </is>
      </c>
      <c r="E14448" t="inlineStr">
        <is>
          <t>Malta</t>
        </is>
      </c>
    </row>
    <row r="14449">
      <c r="A14449" t="inlineStr">
        <is>
          <t>AGRO SANKTANA SRL,  SANTANA, Romania</t>
        </is>
      </c>
      <c r="B14449" t="inlineStr">
        <is>
          <t>Farm / Plantation</t>
        </is>
      </c>
      <c r="C14449" t="inlineStr">
        <is>
          <t>SRAC Cert SRL, Bucharest, RO</t>
        </is>
      </c>
      <c r="D14449" t="inlineStr">
        <is>
          <t>22.09.2026</t>
        </is>
      </c>
      <c r="E14449" t="inlineStr">
        <is>
          <t>Romania</t>
        </is>
      </c>
    </row>
    <row r="14450">
      <c r="A14450" t="inlineStr">
        <is>
          <t>FAZENDAO INDUSTRIA E COMERCIO DE PRODUTOS AGROPECUARIOS LTDA,  CARIRI DO TOCANTINS, Brazil</t>
        </is>
      </c>
      <c r="B14450" t="inlineStr">
        <is>
          <t>Processing Unit</t>
        </is>
      </c>
      <c r="C14450" t="inlineStr">
        <is>
          <t>Control Union Certifications Germany GmbH, Berlin, DE</t>
        </is>
      </c>
      <c r="D14450" t="inlineStr">
        <is>
          <t>22.09.2026</t>
        </is>
      </c>
      <c r="E14450" t="inlineStr">
        <is>
          <t>Brazil</t>
        </is>
      </c>
    </row>
    <row r="14451">
      <c r="A14451" t="inlineStr">
        <is>
          <t>Darázs Keverő Kft.,  Jászberény, Hungary</t>
        </is>
      </c>
      <c r="B14451" t="inlineStr">
        <is>
          <t>First Gathering Point, Trader with Storage</t>
        </is>
      </c>
      <c r="C14451" t="inlineStr">
        <is>
          <t>Bureau Veritas Polska Sp. z o.o., Warsaw, PL</t>
        </is>
      </c>
      <c r="D14451" t="inlineStr">
        <is>
          <t>22.09.2026</t>
        </is>
      </c>
      <c r="E14451" t="inlineStr">
        <is>
          <t>Hungary</t>
        </is>
      </c>
    </row>
    <row r="14452">
      <c r="A14452" t="inlineStr">
        <is>
          <t>AGRO LIFE-A EOOD,  KARNOBAT, Bulgaria</t>
        </is>
      </c>
      <c r="B14452" t="inlineStr">
        <is>
          <t>First Gathering Point, Trader with Storage</t>
        </is>
      </c>
      <c r="C14452" t="inlineStr">
        <is>
          <t>Control Union Poland Sp. z o.o., Zielona Gora, PL</t>
        </is>
      </c>
      <c r="D14452" t="inlineStr">
        <is>
          <t>22.09.2026</t>
        </is>
      </c>
      <c r="E14452" t="inlineStr">
        <is>
          <t>Bulgaria</t>
        </is>
      </c>
    </row>
    <row r="14453">
      <c r="A14453" t="inlineStr">
        <is>
          <t>SOLANA,  Maccastorna (LO), Italy</t>
        </is>
      </c>
      <c r="B14453" t="inlineStr">
        <is>
          <t>Processing Unit</t>
        </is>
      </c>
      <c r="C14453" t="inlineStr">
        <is>
          <t>RINA Services S.p.A., Genova, IT</t>
        </is>
      </c>
      <c r="D14453" t="inlineStr">
        <is>
          <t>22.09.2026</t>
        </is>
      </c>
      <c r="E14453" t="inlineStr">
        <is>
          <t>Italy</t>
        </is>
      </c>
    </row>
    <row r="14454">
      <c r="A14454" t="inlineStr">
        <is>
          <t>ARCONVERT SAU,  P.l. Centre, Sant Gregori, Girona, Spain</t>
        </is>
      </c>
      <c r="B14454" t="inlineStr">
        <is>
          <t>Trader with Storage, Processing Unit, Final Product Refinement</t>
        </is>
      </c>
      <c r="C14454" t="inlineStr">
        <is>
          <t>SGS Germany GmbH, Emstek, DE</t>
        </is>
      </c>
      <c r="D14454" t="inlineStr">
        <is>
          <t>22.09.2026</t>
        </is>
      </c>
      <c r="E14454" t="inlineStr">
        <is>
          <t>Spain</t>
        </is>
      </c>
    </row>
    <row r="14455">
      <c r="A14455" t="inlineStr">
        <is>
          <t>Cornmill Hungary Kft.,  Nagyigmánd, Hungary</t>
        </is>
      </c>
      <c r="B14455" t="inlineStr">
        <is>
          <t>First Gathering Point, Trader with Storage</t>
        </is>
      </c>
      <c r="C14455" t="inlineStr">
        <is>
          <t>Certificadora Gallega del Noroeste SL, Vilagarcia de Arousa-Pontevedra, ES</t>
        </is>
      </c>
      <c r="D14455" t="inlineStr">
        <is>
          <t>22.09.2026</t>
        </is>
      </c>
      <c r="E14455" t="inlineStr">
        <is>
          <t>Hungary</t>
        </is>
      </c>
    </row>
    <row r="14456">
      <c r="A14456" t="inlineStr">
        <is>
          <t>Gao Sheng Enterprise,  Muar, Malaysia</t>
        </is>
      </c>
      <c r="B14456" t="inlineStr">
        <is>
          <t>Collecting Point, Trader with Storage</t>
        </is>
      </c>
      <c r="C14456" t="inlineStr">
        <is>
          <t>PT Mutuagung Lestari, Depok, ID</t>
        </is>
      </c>
      <c r="D14456" t="inlineStr">
        <is>
          <t>22.09.2026</t>
        </is>
      </c>
      <c r="E14456" t="inlineStr">
        <is>
          <t>Malaysia</t>
        </is>
      </c>
    </row>
    <row r="14457">
      <c r="A14457" t="inlineStr">
        <is>
          <t>Xinji Jiazhen New Energy Technology Co., Ltd.,  Xinji, China</t>
        </is>
      </c>
      <c r="B14457" t="inlineStr">
        <is>
          <t>Collecting Point, Trader with Storage</t>
        </is>
      </c>
      <c r="C14457" t="inlineStr">
        <is>
          <t>RINA Services S.p.A., Genova, IT</t>
        </is>
      </c>
      <c r="D14457" t="inlineStr">
        <is>
          <t>22.09.2026</t>
        </is>
      </c>
      <c r="E14457" t="inlineStr">
        <is>
          <t>China</t>
        </is>
      </c>
    </row>
    <row r="14458">
      <c r="A14458" t="inlineStr">
        <is>
          <t>ASIA PLUS OIL,  Pathum Thani, Thailand</t>
        </is>
      </c>
      <c r="B14458" t="inlineStr">
        <is>
          <t>Collecting Point, Trader with Storage</t>
        </is>
      </c>
      <c r="C14458" t="inlineStr">
        <is>
          <t>Trans Certification and Inspection Sdn Bhd, Kuantan, MY</t>
        </is>
      </c>
      <c r="D14458" t="inlineStr">
        <is>
          <t>22.09.2026</t>
        </is>
      </c>
      <c r="E14458" t="inlineStr">
        <is>
          <t>Thailand</t>
        </is>
      </c>
    </row>
    <row r="14459">
      <c r="A14459" t="inlineStr">
        <is>
          <t>Anparo Gabona Kft.,  Battonya, Hungary</t>
        </is>
      </c>
      <c r="B14459" t="inlineStr">
        <is>
          <t>First Gathering Point</t>
        </is>
      </c>
      <c r="C14459" t="inlineStr">
        <is>
          <t>Certificadora Gallega del Noroeste SL, Vilagarcia de Arousa-Pontevedra, ES</t>
        </is>
      </c>
      <c r="D14459" t="inlineStr">
        <is>
          <t>22.09.2026</t>
        </is>
      </c>
      <c r="E14459" t="inlineStr">
        <is>
          <t>Hungary</t>
        </is>
      </c>
    </row>
    <row r="14460">
      <c r="A14460" t="inlineStr">
        <is>
          <t>Quatra Norge,  Sannidal, Norway</t>
        </is>
      </c>
      <c r="B14460" t="inlineStr">
        <is>
          <t>Collecting Point, Trader with Storage</t>
        </is>
      </c>
      <c r="C14460" t="inlineStr">
        <is>
          <t>Control Union Certifications Germany GmbH, Berlin, DE</t>
        </is>
      </c>
      <c r="D14460" t="inlineStr">
        <is>
          <t>22.09.2026</t>
        </is>
      </c>
      <c r="E14460" t="inlineStr">
        <is>
          <t>Norway</t>
        </is>
      </c>
    </row>
    <row r="14461">
      <c r="A14461" t="inlineStr">
        <is>
          <t>Citeo,  Paris, France</t>
        </is>
      </c>
      <c r="B14461" t="inlineStr">
        <is>
          <t>Collecting Point, Central Office (Group of Point of Origin)</t>
        </is>
      </c>
      <c r="C14461" t="inlineStr">
        <is>
          <t>Bureau Veritas Polska Sp. z o.o., Warsaw, PL</t>
        </is>
      </c>
      <c r="D14461" t="inlineStr">
        <is>
          <t>22.09.2026</t>
        </is>
      </c>
      <c r="E14461" t="inlineStr">
        <is>
          <t>France</t>
        </is>
      </c>
    </row>
    <row r="14462">
      <c r="A14462" t="inlineStr">
        <is>
          <t>MGT Trade Sp. z o.o.,  Poznań, Poland</t>
        </is>
      </c>
      <c r="B14462" t="inlineStr">
        <is>
          <t>Trader</t>
        </is>
      </c>
      <c r="C14462" t="inlineStr">
        <is>
          <t>Control Union Poland Sp. z o.o., Zielona Gora, PL</t>
        </is>
      </c>
      <c r="D14462" t="inlineStr">
        <is>
          <t>22.09.2026</t>
        </is>
      </c>
      <c r="E14462" t="inlineStr">
        <is>
          <t>Poland</t>
        </is>
      </c>
    </row>
    <row r="14463">
      <c r="A14463" t="inlineStr">
        <is>
          <t>MONTELLO,  Montello, Italy</t>
        </is>
      </c>
      <c r="B14463" t="inlineStr">
        <is>
          <t>Processing Unit, Point of Origin</t>
        </is>
      </c>
      <c r="C14463" t="inlineStr">
        <is>
          <t>RINA Services S.p.A., Genova, IT</t>
        </is>
      </c>
      <c r="D14463" t="inlineStr">
        <is>
          <t>22.09.2026</t>
        </is>
      </c>
      <c r="E14463" t="inlineStr">
        <is>
          <t>Italy</t>
        </is>
      </c>
    </row>
    <row r="14464">
      <c r="A14464" t="inlineStr">
        <is>
          <t>Berry Global,  Odon, United States</t>
        </is>
      </c>
      <c r="B14464" t="inlineStr">
        <is>
          <t>Processing Unit</t>
        </is>
      </c>
      <c r="C14464" t="inlineStr">
        <is>
          <t>SCS Global Services, Emeryville, CA, US</t>
        </is>
      </c>
      <c r="D14464" t="inlineStr">
        <is>
          <t>21.09.2026</t>
        </is>
      </c>
      <c r="E14464" t="inlineStr">
        <is>
          <t>United States</t>
        </is>
      </c>
    </row>
    <row r="14465">
      <c r="A14465" t="inlineStr">
        <is>
          <t>Daicel HPP (Shanghai) Ltd.,  Shanghai, China</t>
        </is>
      </c>
      <c r="B14465" t="inlineStr">
        <is>
          <t>Trader with Storage</t>
        </is>
      </c>
      <c r="C14465" t="inlineStr">
        <is>
          <t>SGS Germany GmbH, Emstek, DE</t>
        </is>
      </c>
      <c r="D14465" t="inlineStr">
        <is>
          <t>21.09.2026</t>
        </is>
      </c>
      <c r="E14465" t="inlineStr">
        <is>
          <t>China</t>
        </is>
      </c>
    </row>
    <row r="14466">
      <c r="A14466" t="inlineStr">
        <is>
          <t>Ponzio Trading s.r.l,  Nichelino, Italy</t>
        </is>
      </c>
      <c r="B14466" t="inlineStr">
        <is>
          <t>Trader</t>
        </is>
      </c>
      <c r="C14466" t="inlineStr">
        <is>
          <t>RINA Services S.p.A., Genova, IT</t>
        </is>
      </c>
      <c r="D14466" t="inlineStr">
        <is>
          <t>21.09.2026</t>
        </is>
      </c>
      <c r="E14466" t="inlineStr">
        <is>
          <t>Italy</t>
        </is>
      </c>
    </row>
    <row r="14467">
      <c r="A14467" t="inlineStr">
        <is>
          <t>CHINA AVIATION OIL (SINGAPORE) CORPORATION,  Suntec Tower 3 31-02, Singapore</t>
        </is>
      </c>
      <c r="B14467" t="inlineStr">
        <is>
          <t>Trader with Storage, Proof of Compliance Trader</t>
        </is>
      </c>
      <c r="C14467" t="inlineStr">
        <is>
          <t>Control Union Certifications Germany GmbH, Berlin, DE</t>
        </is>
      </c>
      <c r="D14467" t="inlineStr">
        <is>
          <t>21.09.2026</t>
        </is>
      </c>
      <c r="E14467" t="inlineStr">
        <is>
          <t>Singapore</t>
        </is>
      </c>
    </row>
    <row r="14468">
      <c r="A14468" t="inlineStr">
        <is>
          <t>CHINA AVIATION OIL (SINGAPORE) CORPORATION,  Suntec Tower 3 31-02, Singapore</t>
        </is>
      </c>
      <c r="B14468" t="inlineStr">
        <is>
          <t>Trader with Storage</t>
        </is>
      </c>
      <c r="C14468" t="inlineStr">
        <is>
          <t>Control Union Certifications Germany GmbH, Berlin, DE</t>
        </is>
      </c>
      <c r="D14468" t="inlineStr">
        <is>
          <t>21.09.2026</t>
        </is>
      </c>
      <c r="E14468" t="inlineStr">
        <is>
          <t>Singapore</t>
        </is>
      </c>
    </row>
    <row r="14469">
      <c r="A14469" t="inlineStr">
        <is>
          <t>Berry Global,  Evansville, IN, United States</t>
        </is>
      </c>
      <c r="B14469" t="inlineStr">
        <is>
          <t>Processing Unit</t>
        </is>
      </c>
      <c r="C14469" t="inlineStr">
        <is>
          <t>SCS Global Services, Emeryville, CA, US</t>
        </is>
      </c>
      <c r="D14469" t="inlineStr">
        <is>
          <t>21.09.2026</t>
        </is>
      </c>
      <c r="E14469" t="inlineStr">
        <is>
          <t>United States</t>
        </is>
      </c>
    </row>
    <row r="14470">
      <c r="A14470" t="inlineStr">
        <is>
          <t>Esso Societe Anonyme Francaise,  Nanterre, France</t>
        </is>
      </c>
      <c r="B14470" t="inlineStr">
        <is>
          <t>Trader with Storage</t>
        </is>
      </c>
      <c r="C14470" t="inlineStr">
        <is>
          <t>Bureau Veritas Polska Sp. z o.o., Warsaw, PL</t>
        </is>
      </c>
      <c r="D14470" t="inlineStr">
        <is>
          <t>21.09.2026</t>
        </is>
      </c>
      <c r="E14470" t="inlineStr">
        <is>
          <t>France</t>
        </is>
      </c>
    </row>
    <row r="14471">
      <c r="A14471" t="inlineStr">
        <is>
          <t>Envalior Engineering Materials Inc.,  Evansville, United States</t>
        </is>
      </c>
      <c r="B14471" t="inlineStr">
        <is>
          <t>Processing Unit</t>
        </is>
      </c>
      <c r="C14471" t="inlineStr">
        <is>
          <t>TÜV NORD CERT GmbH, Essen, DE</t>
        </is>
      </c>
      <c r="D14471" t="inlineStr">
        <is>
          <t>21.09.2026</t>
        </is>
      </c>
      <c r="E14471" t="inlineStr">
        <is>
          <t>United States</t>
        </is>
      </c>
    </row>
    <row r="14472">
      <c r="A14472" t="inlineStr">
        <is>
          <t>AIDE OPTICAL(JIANGXI)CO., LTD.,  Yingtan City, Jiangxi Province, China</t>
        </is>
      </c>
      <c r="B14472" t="inlineStr">
        <is>
          <t>Processing Unit</t>
        </is>
      </c>
      <c r="C14472" t="inlineStr">
        <is>
          <t>SCS Global Services, Emeryville, CA, US</t>
        </is>
      </c>
      <c r="D14472" t="inlineStr">
        <is>
          <t>21.09.2026</t>
        </is>
      </c>
      <c r="E14472" t="inlineStr">
        <is>
          <t>China</t>
        </is>
      </c>
    </row>
    <row r="14473">
      <c r="A14473" t="inlineStr">
        <is>
          <t>Weston Aviation Support Limited,  Cheltenham, United Kingdom</t>
        </is>
      </c>
      <c r="B14473" t="inlineStr">
        <is>
          <t>Trader, Proof of Compliance Trader</t>
        </is>
      </c>
      <c r="C14473" t="inlineStr">
        <is>
          <t>Double Helix Tracking Technologies Pte Ltd, Singapore, SG</t>
        </is>
      </c>
      <c r="D14473" t="inlineStr">
        <is>
          <t>21.09.2026</t>
        </is>
      </c>
      <c r="E14473" t="inlineStr">
        <is>
          <t>United Kingdom</t>
        </is>
      </c>
    </row>
    <row r="14474">
      <c r="A14474" t="inlineStr">
        <is>
          <t>Business Aviation Centre (Ireland) Limited,  Cork, Ireland</t>
        </is>
      </c>
      <c r="B14474" t="inlineStr">
        <is>
          <t>Trader, Proof of Compliance Trader</t>
        </is>
      </c>
      <c r="C14474" t="inlineStr">
        <is>
          <t>Double Helix Tracking Technologies Pte Ltd, Singapore, SG</t>
        </is>
      </c>
      <c r="D14474" t="inlineStr">
        <is>
          <t>21.09.2026</t>
        </is>
      </c>
      <c r="E14474" t="inlineStr">
        <is>
          <t>Ireland</t>
        </is>
      </c>
    </row>
    <row r="14475">
      <c r="A14475" t="inlineStr">
        <is>
          <t>Shangqiu City Golden Resources Feed Co., Ltd.,  Shangqiu City, He'nan Province, China</t>
        </is>
      </c>
      <c r="B14475" t="inlineStr">
        <is>
          <t>Collecting Point, Point of Origin, Processing Unit</t>
        </is>
      </c>
      <c r="C14475" t="inlineStr">
        <is>
          <t>SCS Global Services, Emeryville, CA, US</t>
        </is>
      </c>
      <c r="D14475" t="inlineStr">
        <is>
          <t>21.09.2026</t>
        </is>
      </c>
      <c r="E14475" t="inlineStr">
        <is>
          <t>China</t>
        </is>
      </c>
    </row>
    <row r="14476">
      <c r="A14476" t="inlineStr">
        <is>
          <t>QS BLUE ENERGY SINGLE MEMBER P.C.,  Gefyra, Chalkidona, Greece</t>
        </is>
      </c>
      <c r="B14476" t="inlineStr">
        <is>
          <t>Collecting Point, Trader</t>
        </is>
      </c>
      <c r="C14476" t="inlineStr">
        <is>
          <t>QMSCERT S.A., Pylaia, Thessaloniki, GR</t>
        </is>
      </c>
      <c r="D14476" t="inlineStr">
        <is>
          <t>21.09.2026</t>
        </is>
      </c>
      <c r="E14476" t="inlineStr">
        <is>
          <t>Greece</t>
        </is>
      </c>
    </row>
    <row r="14477">
      <c r="A14477" t="inlineStr">
        <is>
          <t>Tapì,  Rossano Veneto (VI), Italy</t>
        </is>
      </c>
      <c r="B14477" t="inlineStr">
        <is>
          <t>Processing Unit, Trader</t>
        </is>
      </c>
      <c r="C14477" t="inlineStr">
        <is>
          <t>PT Intertek Utama Services, Jakarta, ID</t>
        </is>
      </c>
      <c r="D14477" t="inlineStr">
        <is>
          <t>21.09.2026</t>
        </is>
      </c>
      <c r="E14477" t="inlineStr">
        <is>
          <t>Italy</t>
        </is>
      </c>
    </row>
    <row r="14478">
      <c r="A14478" t="inlineStr">
        <is>
          <t>PT Wahana Prima Sejati,  Balikpapan, Indonesia</t>
        </is>
      </c>
      <c r="B14478" t="inlineStr">
        <is>
          <t>Trader with Storage, Processing Unit, Point of Origin</t>
        </is>
      </c>
      <c r="C14478" t="inlineStr">
        <is>
          <t>PT Intertek Utama Services, Jakarta, ID</t>
        </is>
      </c>
      <c r="D14478" t="inlineStr">
        <is>
          <t>21.09.2026</t>
        </is>
      </c>
      <c r="E14478" t="inlineStr">
        <is>
          <t>Indonesia</t>
        </is>
      </c>
    </row>
    <row r="14479">
      <c r="A14479" t="inlineStr">
        <is>
          <t>Premier Industrial Chemical Manufacturing Company Private Limited,  Sheikhupura, Pakistan</t>
        </is>
      </c>
      <c r="B14479" t="inlineStr">
        <is>
          <t>Processing Unit, First Gathering Point</t>
        </is>
      </c>
      <c r="C14479" t="inlineStr">
        <is>
          <t>PT Intertek Utama Services, Jakarta, ID</t>
        </is>
      </c>
      <c r="D14479" t="inlineStr">
        <is>
          <t>21.09.2026</t>
        </is>
      </c>
      <c r="E14479" t="inlineStr">
        <is>
          <t>Pakistan</t>
        </is>
      </c>
    </row>
    <row r="14480">
      <c r="A14480" t="inlineStr">
        <is>
          <t>Cisadane Raya Chemicals,  Karawaci, Tangerang, Indonesia</t>
        </is>
      </c>
      <c r="B14480" t="inlineStr">
        <is>
          <t>Processing Unit, Point of Origin, Trader with Storage</t>
        </is>
      </c>
      <c r="C14480" t="inlineStr">
        <is>
          <t>PT SBC Asia Sertifikasi, Kebumen, ID</t>
        </is>
      </c>
      <c r="D14480" t="inlineStr">
        <is>
          <t>21.09.2026</t>
        </is>
      </c>
      <c r="E14480" t="inlineStr">
        <is>
          <t>Indonesia</t>
        </is>
      </c>
    </row>
    <row r="14481">
      <c r="A14481" t="inlineStr">
        <is>
          <t>Komárom Környéki Gabonatermelők Szövetkezete,  Komárom, Hungary</t>
        </is>
      </c>
      <c r="B14481" t="inlineStr">
        <is>
          <t>First Gathering Point, Trader with Storage</t>
        </is>
      </c>
      <c r="C14481" t="inlineStr">
        <is>
          <t>BM Certification, Riga, LV</t>
        </is>
      </c>
      <c r="D14481" t="inlineStr">
        <is>
          <t>21.09.2026</t>
        </is>
      </c>
      <c r="E14481" t="inlineStr">
        <is>
          <t>Hungary</t>
        </is>
      </c>
    </row>
    <row r="14482">
      <c r="A14482" t="inlineStr">
        <is>
          <t>Timor Enterprises Sendirian Berhad,  Bintulu, Malaysia</t>
        </is>
      </c>
      <c r="B14482" t="inlineStr">
        <is>
          <t>Point of Origin</t>
        </is>
      </c>
      <c r="C14482" t="inlineStr">
        <is>
          <t>PT. CBQA GLOBAL INDONESIA, JAKARTA SELATAN, ID</t>
        </is>
      </c>
      <c r="D14482" t="inlineStr">
        <is>
          <t>21.09.2026</t>
        </is>
      </c>
      <c r="E14482" t="inlineStr">
        <is>
          <t>Malaysia</t>
        </is>
      </c>
    </row>
    <row r="14483">
      <c r="A14483" t="inlineStr">
        <is>
          <t>Sakht Kooshan Ramesh,  Tahran, Iran</t>
        </is>
      </c>
      <c r="B14483" t="inlineStr">
        <is>
          <t>Collecting Point, Trader with Storage</t>
        </is>
      </c>
      <c r="C14483" t="inlineStr">
        <is>
          <t>BM Certification, Riga, LV</t>
        </is>
      </c>
      <c r="D14483" t="inlineStr">
        <is>
          <t>21.09.2026</t>
        </is>
      </c>
      <c r="E14483" t="inlineStr">
        <is>
          <t>Iran</t>
        </is>
      </c>
    </row>
    <row r="14484">
      <c r="A14484" t="inlineStr">
        <is>
          <t>Goodvalley Ukraine,  Kopanky, Ukraine</t>
        </is>
      </c>
      <c r="B14484" t="inlineStr">
        <is>
          <t>Farm / Plantation</t>
        </is>
      </c>
      <c r="C14484" t="inlineStr">
        <is>
          <t>Organic Standard Ltd, Kyiv, UA</t>
        </is>
      </c>
      <c r="D14484" t="inlineStr">
        <is>
          <t>21.09.2026</t>
        </is>
      </c>
      <c r="E14484" t="inlineStr">
        <is>
          <t>Ukraine</t>
        </is>
      </c>
    </row>
    <row r="14485">
      <c r="A14485" t="inlineStr">
        <is>
          <t>Samling Plantation SDN BHD,  KAPIT, Malaysia</t>
        </is>
      </c>
      <c r="B14485" t="inlineStr">
        <is>
          <t>Point of Origin</t>
        </is>
      </c>
      <c r="C14485" t="inlineStr">
        <is>
          <t>PT. CBQA GLOBAL INDONESIA, JAKARTA SELATAN, ID</t>
        </is>
      </c>
      <c r="D14485" t="inlineStr">
        <is>
          <t>21.09.2026</t>
        </is>
      </c>
      <c r="E14485" t="inlineStr">
        <is>
          <t>Malaysia</t>
        </is>
      </c>
    </row>
    <row r="14486">
      <c r="A14486" t="inlineStr">
        <is>
          <t>CROPFIELD TRADING COMPANY,  Volochysk, Khmelnytsky region, Ukraine</t>
        </is>
      </c>
      <c r="B14486" t="inlineStr">
        <is>
          <t>Trader</t>
        </is>
      </c>
      <c r="C14486" t="inlineStr">
        <is>
          <t>United Registrar of Systems Polska Sp. z o.o., Wrocław, PL</t>
        </is>
      </c>
      <c r="D14486" t="inlineStr">
        <is>
          <t>21.09.2026</t>
        </is>
      </c>
      <c r="E14486" t="inlineStr">
        <is>
          <t>Ukraine</t>
        </is>
      </c>
    </row>
    <row r="14487">
      <c r="A14487" t="inlineStr">
        <is>
          <t>Schuetzagra Impex SRL,  SANTANA, Romania</t>
        </is>
      </c>
      <c r="B14487" t="inlineStr">
        <is>
          <t>Farm / Plantation</t>
        </is>
      </c>
      <c r="C14487" t="inlineStr">
        <is>
          <t>SRAC Cert SRL, Bucharest, RO</t>
        </is>
      </c>
      <c r="D14487" t="inlineStr">
        <is>
          <t>21.09.2026</t>
        </is>
      </c>
      <c r="E14487" t="inlineStr">
        <is>
          <t>Romania</t>
        </is>
      </c>
    </row>
    <row r="14488">
      <c r="A14488" t="inlineStr">
        <is>
          <t>PXA SP - Inovação e Economia Circular ,  Rafard, Brazil</t>
        </is>
      </c>
      <c r="B14488" t="inlineStr">
        <is>
          <t>Processing Unit</t>
        </is>
      </c>
      <c r="C14488" t="inlineStr">
        <is>
          <t>Control Union Certifications Germany GmbH, Berlin, DE</t>
        </is>
      </c>
      <c r="D14488" t="inlineStr">
        <is>
          <t>21.09.2026</t>
        </is>
      </c>
      <c r="E14488" t="inlineStr">
        <is>
          <t>Brazil</t>
        </is>
      </c>
    </row>
    <row r="14489">
      <c r="A14489" t="inlineStr">
        <is>
          <t>Tanques de Cartagena, S.A.,  Cartagena, Spain</t>
        </is>
      </c>
      <c r="B14489" t="inlineStr">
        <is>
          <t>Warehouse</t>
        </is>
      </c>
      <c r="C14489" t="inlineStr">
        <is>
          <t>Bureau Veritas Polska Sp. z o.o., Warsaw, PL</t>
        </is>
      </c>
      <c r="D14489" t="inlineStr">
        <is>
          <t>21.09.2026</t>
        </is>
      </c>
      <c r="E14489" t="inlineStr">
        <is>
          <t>Spain</t>
        </is>
      </c>
    </row>
    <row r="14490">
      <c r="A14490" t="inlineStr">
        <is>
          <t>Taplast SK s.r.o.,  Levice, Slovakia</t>
        </is>
      </c>
      <c r="B14490" t="inlineStr">
        <is>
          <t>Trader</t>
        </is>
      </c>
      <c r="C14490" t="inlineStr">
        <is>
          <t>United Registrar of Systems Polska Sp. z o.o., Wrocław, PL</t>
        </is>
      </c>
      <c r="D14490" t="inlineStr">
        <is>
          <t>21.09.2026</t>
        </is>
      </c>
      <c r="E14490" t="inlineStr">
        <is>
          <t>Slovakia</t>
        </is>
      </c>
    </row>
    <row r="14491">
      <c r="A14491" t="inlineStr">
        <is>
          <t>Green Gold Resources,  Faisalabad, Pakistan</t>
        </is>
      </c>
      <c r="B14491" t="inlineStr">
        <is>
          <t>Collecting Point, Trader with Storage</t>
        </is>
      </c>
      <c r="C14491" t="inlineStr">
        <is>
          <t>PT. Qualitas Sertifikasi Indonesia, Jakarta, ID</t>
        </is>
      </c>
      <c r="D14491" t="inlineStr">
        <is>
          <t>21.09.2026</t>
        </is>
      </c>
      <c r="E14491" t="inlineStr">
        <is>
          <t>Pakistan</t>
        </is>
      </c>
    </row>
    <row r="14492">
      <c r="A14492" t="inlineStr">
        <is>
          <t>Enormous Resources Sdn Bhd,  Kota Kinabalu, Malaysia</t>
        </is>
      </c>
      <c r="B14492" t="inlineStr">
        <is>
          <t>Collecting Point, Trader with Storage</t>
        </is>
      </c>
      <c r="C14492" t="inlineStr">
        <is>
          <t>Control Union Certifications Germany GmbH, Berlin, DE</t>
        </is>
      </c>
      <c r="D14492" t="inlineStr">
        <is>
          <t>21.09.2026</t>
        </is>
      </c>
      <c r="E14492" t="inlineStr">
        <is>
          <t>Malaysia</t>
        </is>
      </c>
    </row>
    <row r="14493">
      <c r="A14493" t="inlineStr">
        <is>
          <t>GIDROSAND,  Vlasivka, Oleksandriiskyi dist, Kirovograd region, Ukraine</t>
        </is>
      </c>
      <c r="B14493" t="inlineStr">
        <is>
          <t>First Gathering Point, Trader with Storage, Processing Unit</t>
        </is>
      </c>
      <c r="C14493" t="inlineStr">
        <is>
          <t>Aciter Genelab LLC, Odessa, UA</t>
        </is>
      </c>
      <c r="D14493" t="inlineStr">
        <is>
          <t>21.09.2026</t>
        </is>
      </c>
      <c r="E14493" t="inlineStr">
        <is>
          <t>Ukraine</t>
        </is>
      </c>
    </row>
    <row r="14494">
      <c r="A14494" t="inlineStr">
        <is>
          <t>Minerva Hungary Kft.,  Gyula, Hungary</t>
        </is>
      </c>
      <c r="B14494" t="inlineStr">
        <is>
          <t>First Gathering Point, Trader with Storage</t>
        </is>
      </c>
      <c r="C14494" t="inlineStr">
        <is>
          <t>Certificadora Gallega del Noroeste SL, Vilagarcia de Arousa-Pontevedra, ES</t>
        </is>
      </c>
      <c r="D14494" t="inlineStr">
        <is>
          <t>21.09.2026</t>
        </is>
      </c>
      <c r="E14494" t="inlineStr">
        <is>
          <t>Hungary</t>
        </is>
      </c>
    </row>
    <row r="14495">
      <c r="A14495" t="inlineStr">
        <is>
          <t>Xining Huangshui Qingjing Environmental Protection Technology Co., Ltd.,  Xining, China</t>
        </is>
      </c>
      <c r="B14495" t="inlineStr">
        <is>
          <t>Collecting Point, Processing Unit</t>
        </is>
      </c>
      <c r="C14495" t="inlineStr">
        <is>
          <t>RINA Services S.p.A., Genova, IT</t>
        </is>
      </c>
      <c r="D14495" t="inlineStr">
        <is>
          <t>21.09.2026</t>
        </is>
      </c>
      <c r="E14495" t="inlineStr">
        <is>
          <t>China</t>
        </is>
      </c>
    </row>
    <row r="14496">
      <c r="A14496" t="inlineStr">
        <is>
          <t>SURENESS PETROCHEMICAL PTE. LTD.,  Guangzhou, China</t>
        </is>
      </c>
      <c r="B14496" t="inlineStr">
        <is>
          <t>Trader with Storage</t>
        </is>
      </c>
      <c r="C14496" t="inlineStr">
        <is>
          <t>RINA Services S.p.A., Genova, IT</t>
        </is>
      </c>
      <c r="D14496" t="inlineStr">
        <is>
          <t>21.09.2026</t>
        </is>
      </c>
      <c r="E14496" t="inlineStr">
        <is>
          <t>China</t>
        </is>
      </c>
    </row>
    <row r="14497">
      <c r="A14497" t="inlineStr">
        <is>
          <t>Asia Silicones Monomer Ltd.,  Rayong, Thailand</t>
        </is>
      </c>
      <c r="B14497" t="inlineStr">
        <is>
          <t>Processing Unit, Collecting Point, Trader with Storage</t>
        </is>
      </c>
      <c r="C14497" t="inlineStr">
        <is>
          <t>Bureau Veritas Polska Sp. z o.o., Warsaw, PL</t>
        </is>
      </c>
      <c r="D14497" t="inlineStr">
        <is>
          <t>21.09.2026</t>
        </is>
      </c>
      <c r="E14497" t="inlineStr">
        <is>
          <t>Thailand</t>
        </is>
      </c>
    </row>
    <row r="14498">
      <c r="A14498" t="inlineStr">
        <is>
          <t>Albea Plastic Packaging(Huai’an) CO.,LTD,  Huai’an, Jiangsu Province, China</t>
        </is>
      </c>
      <c r="B14498" t="inlineStr">
        <is>
          <t>Processing Unit</t>
        </is>
      </c>
      <c r="C14498" t="inlineStr">
        <is>
          <t>RINA Services S.p.A., Genova, IT</t>
        </is>
      </c>
      <c r="D14498" t="inlineStr">
        <is>
          <t>21.09.2026</t>
        </is>
      </c>
      <c r="E14498" t="inlineStr">
        <is>
          <t>China</t>
        </is>
      </c>
    </row>
    <row r="14499">
      <c r="A14499" t="inlineStr">
        <is>
          <t>Suomen Kasviöljykierrätys Oy,  Loimaa, Finland</t>
        </is>
      </c>
      <c r="B14499" t="inlineStr">
        <is>
          <t>Collecting Point</t>
        </is>
      </c>
      <c r="C14499" t="inlineStr">
        <is>
          <t>SGS Germany GmbH, Emstek, DE</t>
        </is>
      </c>
      <c r="D14499" t="inlineStr">
        <is>
          <t>21.09.2026</t>
        </is>
      </c>
      <c r="E14499" t="inlineStr">
        <is>
          <t>Finland</t>
        </is>
      </c>
    </row>
    <row r="14500">
      <c r="A14500" t="inlineStr">
        <is>
          <t>Banyan Sustainable Waste Management Private Limited,  Sangareddy, India</t>
        </is>
      </c>
      <c r="B14500" t="inlineStr">
        <is>
          <t>Processing Unit, Collecting Point</t>
        </is>
      </c>
      <c r="C14500" t="inlineStr">
        <is>
          <t>Alcumus ISOQAR Ltd, Stretford, Manchester, GB</t>
        </is>
      </c>
      <c r="D14500" t="inlineStr">
        <is>
          <t>20.09.2026</t>
        </is>
      </c>
      <c r="E14500" t="inlineStr">
        <is>
          <t>India</t>
        </is>
      </c>
    </row>
    <row r="14501">
      <c r="A14501" t="inlineStr">
        <is>
          <t>Sunilens Dooel export-import,  Skopje, Macedonia</t>
        </is>
      </c>
      <c r="B14501" t="inlineStr">
        <is>
          <t>Collecting Point, Trader with Storage</t>
        </is>
      </c>
      <c r="C14501" t="inlineStr">
        <is>
          <t>agroVet GmbH, Enzersfeld, AT</t>
        </is>
      </c>
      <c r="D14501" t="inlineStr">
        <is>
          <t>20.09.2026</t>
        </is>
      </c>
      <c r="E14501" t="inlineStr">
        <is>
          <t>Macedonia</t>
        </is>
      </c>
    </row>
    <row r="14502">
      <c r="A14502" t="inlineStr">
        <is>
          <t>Japan Waste Co., Ltd.,  Kawagoe City, Japan</t>
        </is>
      </c>
      <c r="B14502" t="inlineStr">
        <is>
          <t>Collecting Point, Processing Unit</t>
        </is>
      </c>
      <c r="C14502" t="inlineStr">
        <is>
          <t>SGS Germany GmbH, Emstek, DE</t>
        </is>
      </c>
      <c r="D14502" t="inlineStr">
        <is>
          <t>20.09.2026</t>
        </is>
      </c>
      <c r="E14502" t="inlineStr">
        <is>
          <t>Japan</t>
        </is>
      </c>
    </row>
    <row r="14503">
      <c r="A14503" t="inlineStr">
        <is>
          <t>Azienda Agricola Ponzio,  Nichelino (TO), Italy</t>
        </is>
      </c>
      <c r="B14503" t="inlineStr">
        <is>
          <t>First Gathering Point, Processing Unit</t>
        </is>
      </c>
      <c r="C14503" t="inlineStr">
        <is>
          <t>RINA Services S.p.A., Genova, IT</t>
        </is>
      </c>
      <c r="D14503" t="inlineStr">
        <is>
          <t>20.09.2026</t>
        </is>
      </c>
      <c r="E14503" t="inlineStr">
        <is>
          <t>Italy</t>
        </is>
      </c>
    </row>
    <row r="14504">
      <c r="A14504" t="inlineStr">
        <is>
          <t>Gerflor,  Saint Paul Trois Chateaux, France</t>
        </is>
      </c>
      <c r="B14504" t="inlineStr">
        <is>
          <t>Processing Unit, Final Product Refinement</t>
        </is>
      </c>
      <c r="C14504" t="inlineStr">
        <is>
          <t>Bureau Veritas Polska Sp. z o.o., Warsaw, PL</t>
        </is>
      </c>
      <c r="D14504" t="inlineStr">
        <is>
          <t>20.09.2026</t>
        </is>
      </c>
      <c r="E14504" t="inlineStr">
        <is>
          <t>France</t>
        </is>
      </c>
    </row>
    <row r="14505">
      <c r="A14505" t="inlineStr">
        <is>
          <t>C.I. Takiron Corporation Okayama Plant,  Niimi, Okayama, Japan</t>
        </is>
      </c>
      <c r="B14505" t="inlineStr">
        <is>
          <t>Processing Unit</t>
        </is>
      </c>
      <c r="C14505" t="inlineStr">
        <is>
          <t>SGS Germany GmbH, Emstek, DE</t>
        </is>
      </c>
      <c r="D14505" t="inlineStr">
        <is>
          <t>20.09.2026</t>
        </is>
      </c>
      <c r="E14505" t="inlineStr">
        <is>
          <t>Japan</t>
        </is>
      </c>
    </row>
    <row r="14506">
      <c r="A14506" t="inlineStr">
        <is>
          <t>Primex Sustainable Solutions,  Richmond, United States</t>
        </is>
      </c>
      <c r="B14506" t="inlineStr">
        <is>
          <t>Trader with Storage</t>
        </is>
      </c>
      <c r="C14506" t="inlineStr">
        <is>
          <t>SCS Global Services, Emeryville, CA, US</t>
        </is>
      </c>
      <c r="D14506" t="inlineStr">
        <is>
          <t>20.09.2026</t>
        </is>
      </c>
      <c r="E14506" t="inlineStr">
        <is>
          <t>United States</t>
        </is>
      </c>
    </row>
    <row r="14507">
      <c r="A14507" t="inlineStr">
        <is>
          <t>Primex Plastics Corp.,  Richmond, IN, United States</t>
        </is>
      </c>
      <c r="B14507" t="inlineStr">
        <is>
          <t>Collecting Point, Processing Unit</t>
        </is>
      </c>
      <c r="C14507" t="inlineStr">
        <is>
          <t>SCS Global Services, Emeryville, CA, US</t>
        </is>
      </c>
      <c r="D14507" t="inlineStr">
        <is>
          <t>20.09.2026</t>
        </is>
      </c>
      <c r="E14507" t="inlineStr">
        <is>
          <t>United States</t>
        </is>
      </c>
    </row>
    <row r="14508">
      <c r="A14508" t="inlineStr">
        <is>
          <t>Haiyue Energy Group Co., Ltd.,  Zhuji, ZheJiang, China</t>
        </is>
      </c>
      <c r="B14508" t="inlineStr">
        <is>
          <t>Trader</t>
        </is>
      </c>
      <c r="C14508" t="inlineStr">
        <is>
          <t>SCS Global Services, Emeryville, CA, US</t>
        </is>
      </c>
      <c r="D14508" t="inlineStr">
        <is>
          <t>20.09.2026</t>
        </is>
      </c>
      <c r="E14508" t="inlineStr">
        <is>
          <t>China</t>
        </is>
      </c>
    </row>
    <row r="14509">
      <c r="A14509" t="inlineStr">
        <is>
          <t>RPC Verpackungen Kutenholz GmbH,  Kutenholz, Germany</t>
        </is>
      </c>
      <c r="B14509" t="inlineStr">
        <is>
          <t>Processing Unit</t>
        </is>
      </c>
      <c r="C14509" t="inlineStr">
        <is>
          <t>SGS Germany GmbH, Emstek, DE</t>
        </is>
      </c>
      <c r="D14509" t="inlineStr">
        <is>
          <t>20.09.2026</t>
        </is>
      </c>
      <c r="E14509" t="inlineStr">
        <is>
          <t>Germany</t>
        </is>
      </c>
    </row>
    <row r="14510">
      <c r="A14510" t="inlineStr">
        <is>
          <t>Oil Expertise and Shipping,  Monaco, Monaco</t>
        </is>
      </c>
      <c r="B14510" t="inlineStr">
        <is>
          <t>Trader with Storage</t>
        </is>
      </c>
      <c r="C14510" t="inlineStr">
        <is>
          <t>Control Union Certifications Germany GmbH, Berlin, DE</t>
        </is>
      </c>
      <c r="D14510" t="inlineStr">
        <is>
          <t>20.09.2026</t>
        </is>
      </c>
      <c r="E14510" t="inlineStr">
        <is>
          <t>Monaco</t>
        </is>
      </c>
    </row>
    <row r="14511">
      <c r="A14511" t="inlineStr">
        <is>
          <t>GRUPO AGROINDUSTRIAL NUMAR, S.A.,  San José, Costa Rica</t>
        </is>
      </c>
      <c r="B14511" t="inlineStr">
        <is>
          <t>Point of Origin</t>
        </is>
      </c>
      <c r="C14511" t="inlineStr">
        <is>
          <t>Amspec Iberia SL, Vilagarcia de Arousa-Pontevedra, ES</t>
        </is>
      </c>
      <c r="D14511" t="inlineStr">
        <is>
          <t>20.09.2026</t>
        </is>
      </c>
      <c r="E14511" t="inlineStr">
        <is>
          <t>Costa Rica</t>
        </is>
      </c>
    </row>
    <row r="14512">
      <c r="A14512" t="inlineStr">
        <is>
          <t>Primex Plastics Corp.,  Richmond, IN, The United States of America</t>
        </is>
      </c>
      <c r="B14512" t="inlineStr">
        <is>
          <t>Collecting Point, Processing Unit</t>
        </is>
      </c>
      <c r="C14512" t="inlineStr">
        <is>
          <t>SCS Global Services, Emeryville, CA, US</t>
        </is>
      </c>
      <c r="D14512" t="inlineStr">
        <is>
          <t>20.09.2026</t>
        </is>
      </c>
      <c r="E14512" t="inlineStr">
        <is>
          <t>The United States of America</t>
        </is>
      </c>
    </row>
    <row r="14513">
      <c r="A14513" t="inlineStr">
        <is>
          <t>Winpak Portion Packaging, Inc.,  South Chicago Heights, Illinois, United States</t>
        </is>
      </c>
      <c r="B14513" t="inlineStr">
        <is>
          <t>Processing Unit</t>
        </is>
      </c>
      <c r="C14513" t="inlineStr">
        <is>
          <t>SCS Global Services, Emeryville, CA, US</t>
        </is>
      </c>
      <c r="D14513" t="inlineStr">
        <is>
          <t>20.09.2026</t>
        </is>
      </c>
      <c r="E14513" t="inlineStr">
        <is>
          <t>United States</t>
        </is>
      </c>
    </row>
    <row r="14514">
      <c r="A14514" t="inlineStr">
        <is>
          <t>Winpak Portion Packaging, Inc.,  Sauk Village, Illinois, United States</t>
        </is>
      </c>
      <c r="B14514" t="inlineStr">
        <is>
          <t>Processing Unit</t>
        </is>
      </c>
      <c r="C14514" t="inlineStr">
        <is>
          <t>SCS Global Services, Emeryville, CA, US</t>
        </is>
      </c>
      <c r="D14514" t="inlineStr">
        <is>
          <t>20.09.2026</t>
        </is>
      </c>
      <c r="E14514" t="inlineStr">
        <is>
          <t>United States</t>
        </is>
      </c>
    </row>
    <row r="14515">
      <c r="A14515" t="inlineStr">
        <is>
          <t>Yoshikawa Yushi Co, LTD.,  Sano-shi, Tochigi-ken, Japan</t>
        </is>
      </c>
      <c r="B14515" t="inlineStr">
        <is>
          <t>Collecting Point, Trader</t>
        </is>
      </c>
      <c r="C14515" t="inlineStr">
        <is>
          <t>PT. Qualitas Sertifikasi Indonesia, Jakarta, ID</t>
        </is>
      </c>
      <c r="D14515" t="inlineStr">
        <is>
          <t>20.09.2026</t>
        </is>
      </c>
      <c r="E14515" t="inlineStr">
        <is>
          <t>Japan</t>
        </is>
      </c>
    </row>
    <row r="14516">
      <c r="A14516" t="inlineStr">
        <is>
          <t>Yoshikawa Yushi Co, LTD.,  Sano-shi, Tochigi-ken, Japan</t>
        </is>
      </c>
      <c r="B14516" t="inlineStr">
        <is>
          <t>Collecting Point, Trader</t>
        </is>
      </c>
      <c r="C14516" t="inlineStr">
        <is>
          <t>PT. Qualitas Sertifikasi Indonesia, Jakarta, ID</t>
        </is>
      </c>
      <c r="D14516" t="inlineStr">
        <is>
          <t>20.09.2026</t>
        </is>
      </c>
      <c r="E14516" t="inlineStr">
        <is>
          <t>Japan</t>
        </is>
      </c>
    </row>
    <row r="14517">
      <c r="A14517" t="inlineStr">
        <is>
          <t>Timor Enterprises Sendirian Berhad ,  Kapit, Malaysia</t>
        </is>
      </c>
      <c r="B14517" t="inlineStr">
        <is>
          <t>Point of Origin</t>
        </is>
      </c>
      <c r="C14517" t="inlineStr">
        <is>
          <t>PT. CBQA GLOBAL INDONESIA, JAKARTA SELATAN, ID</t>
        </is>
      </c>
      <c r="D14517" t="inlineStr">
        <is>
          <t>20.09.2026</t>
        </is>
      </c>
      <c r="E14517" t="inlineStr">
        <is>
          <t>Malaysia</t>
        </is>
      </c>
    </row>
    <row r="14518">
      <c r="A14518" t="inlineStr">
        <is>
          <t>AGII,  Pępowo, Poland</t>
        </is>
      </c>
      <c r="B14518" t="inlineStr">
        <is>
          <t>Point of Origin, Collecting Point, Trader with Storage</t>
        </is>
      </c>
      <c r="C14518" t="inlineStr">
        <is>
          <t>Bureau Veritas Polska Sp. z o.o., Warsaw, PL</t>
        </is>
      </c>
      <c r="D14518" t="inlineStr">
        <is>
          <t>20.09.2026</t>
        </is>
      </c>
      <c r="E14518" t="inlineStr">
        <is>
          <t>Poland</t>
        </is>
      </c>
    </row>
    <row r="14519">
      <c r="A14519" t="inlineStr">
        <is>
          <t>Global Factor Green Markets, S.A.,  Bilbao, Spain</t>
        </is>
      </c>
      <c r="B14519" t="inlineStr">
        <is>
          <t>Trader</t>
        </is>
      </c>
      <c r="C14519" t="inlineStr">
        <is>
          <t>Control Union Poland Sp. z o.o., Zielona Gora, PL</t>
        </is>
      </c>
      <c r="D14519" t="inlineStr">
        <is>
          <t>20.09.2026</t>
        </is>
      </c>
      <c r="E14519" t="inlineStr">
        <is>
          <t>Spain</t>
        </is>
      </c>
    </row>
    <row r="14520">
      <c r="A14520" t="inlineStr">
        <is>
          <t>Guangdong Donlim Intelligent Electrical Appliances Co., Ltd.,  Foshan City Shunde District Xingtan Town, China</t>
        </is>
      </c>
      <c r="B14520" t="inlineStr">
        <is>
          <t>Trader with Storage, Processing Unit</t>
        </is>
      </c>
      <c r="C14520" t="inlineStr">
        <is>
          <t>RINA Services S.p.A., Genova, IT</t>
        </is>
      </c>
      <c r="D14520" t="inlineStr">
        <is>
          <t>20.09.2026</t>
        </is>
      </c>
      <c r="E14520" t="inlineStr">
        <is>
          <t>China</t>
        </is>
      </c>
    </row>
    <row r="14521">
      <c r="A14521" t="inlineStr">
        <is>
          <t>Grabo Srl,  Coriano, Italy</t>
        </is>
      </c>
      <c r="B14521" t="inlineStr">
        <is>
          <t>Processing Unit</t>
        </is>
      </c>
      <c r="C14521" t="inlineStr">
        <is>
          <t>SGS Germany GmbH, Emstek, DE</t>
        </is>
      </c>
      <c r="D14521" t="inlineStr">
        <is>
          <t>19.09.2026</t>
        </is>
      </c>
      <c r="E14521" t="inlineStr">
        <is>
          <t>Italy</t>
        </is>
      </c>
    </row>
    <row r="14522">
      <c r="A14522" t="inlineStr">
        <is>
          <t>Nagase (Malaysia) Sdn Bhd,  Kuala Lumpur, Malaysia</t>
        </is>
      </c>
      <c r="B14522" t="inlineStr">
        <is>
          <t>Trader with Storage</t>
        </is>
      </c>
      <c r="C14522" t="inlineStr">
        <is>
          <t>NIOSH Certification Sdn. Bhd., Selangor Darul Ehsan, MY</t>
        </is>
      </c>
      <c r="D14522" t="inlineStr">
        <is>
          <t>19.09.2026</t>
        </is>
      </c>
      <c r="E14522" t="inlineStr">
        <is>
          <t>Malaysia</t>
        </is>
      </c>
    </row>
    <row r="14523">
      <c r="A14523" t="inlineStr">
        <is>
          <t>Cerie (Cambodia) Garment Co., Ltd.,  Samrongtong District, Kampong Speu Province, Cambodia</t>
        </is>
      </c>
      <c r="B14523" t="inlineStr">
        <is>
          <t>Processing Unit, Trader with Storage</t>
        </is>
      </c>
      <c r="C14523" t="inlineStr">
        <is>
          <t>SGS Germany GmbH, Emstek, DE</t>
        </is>
      </c>
      <c r="D14523" t="inlineStr">
        <is>
          <t>19.09.2026</t>
        </is>
      </c>
      <c r="E14523" t="inlineStr">
        <is>
          <t>Cambodia</t>
        </is>
      </c>
    </row>
    <row r="14524">
      <c r="A14524" t="inlineStr">
        <is>
          <t>Formosa Petrochemical Corporation,  Yunlin County, Mailiao Township., Taiwan</t>
        </is>
      </c>
      <c r="B14524" t="inlineStr">
        <is>
          <t>Processing Unit</t>
        </is>
      </c>
      <c r="C14524" t="inlineStr">
        <is>
          <t>Bureau Veritas Polska Sp. z o.o., Warsaw, PL</t>
        </is>
      </c>
      <c r="D14524" t="inlineStr">
        <is>
          <t>19.09.2026</t>
        </is>
      </c>
      <c r="E14524" t="inlineStr">
        <is>
          <t>Taiwan</t>
        </is>
      </c>
    </row>
    <row r="14525">
      <c r="A14525" t="inlineStr">
        <is>
          <t>Euglena Co., Ltd.,  Tokyo, Japan</t>
        </is>
      </c>
      <c r="B14525" t="inlineStr">
        <is>
          <t>Trader with Storage</t>
        </is>
      </c>
      <c r="C14525" t="inlineStr">
        <is>
          <t>Control Union Certifications Germany GmbH, Berlin, DE</t>
        </is>
      </c>
      <c r="D14525" t="inlineStr">
        <is>
          <t>19.09.2026</t>
        </is>
      </c>
      <c r="E14525" t="inlineStr">
        <is>
          <t>Japan</t>
        </is>
      </c>
    </row>
    <row r="14526">
      <c r="A14526" t="inlineStr">
        <is>
          <t>DIOSHY CO., LTD.,  Yunlin County. Douliu City, Taiwan, Province of China</t>
        </is>
      </c>
      <c r="B14526" t="inlineStr">
        <is>
          <t>Processing Unit</t>
        </is>
      </c>
      <c r="C14526" t="inlineStr">
        <is>
          <t>Bureau Veritas Polska Sp. z o.o., Warsaw, PL</t>
        </is>
      </c>
      <c r="D14526" t="inlineStr">
        <is>
          <t>19.09.2026</t>
        </is>
      </c>
      <c r="E14526" t="inlineStr">
        <is>
          <t>Province of China</t>
        </is>
      </c>
    </row>
    <row r="14527">
      <c r="A14527" t="inlineStr">
        <is>
          <t>Windey Energy Technology Group Co., Ltd,  Handan City, Hebei Province,, China</t>
        </is>
      </c>
      <c r="B14527" t="inlineStr">
        <is>
          <t>First Gathering Point, Trader</t>
        </is>
      </c>
      <c r="C14527" t="inlineStr">
        <is>
          <t>Guardian Independent Certification Limited, Singapore, SG</t>
        </is>
      </c>
      <c r="D14527" t="inlineStr">
        <is>
          <t>19.09.2026</t>
        </is>
      </c>
      <c r="E14527" t="inlineStr">
        <is>
          <t>China</t>
        </is>
      </c>
    </row>
    <row r="14528">
      <c r="A14528" t="inlineStr">
        <is>
          <t>Rizhao GreatRiver Smarter Terminal Co., Ltd.,  Rizhao City, Shandong Province, China</t>
        </is>
      </c>
      <c r="B14528" t="inlineStr">
        <is>
          <t>Warehouse</t>
        </is>
      </c>
      <c r="C14528" t="inlineStr">
        <is>
          <t>RINA Services S.p.A., Genova, IT</t>
        </is>
      </c>
      <c r="D14528" t="inlineStr">
        <is>
          <t>19.09.2026</t>
        </is>
      </c>
      <c r="E14528" t="inlineStr">
        <is>
          <t>China</t>
        </is>
      </c>
    </row>
    <row r="14529">
      <c r="A14529" t="inlineStr">
        <is>
          <t>YingTan JinYu Plastic Products Co.,Ltd.,  Yingtan,Jiangxi, China</t>
        </is>
      </c>
      <c r="B14529" t="inlineStr">
        <is>
          <t>Processing Unit</t>
        </is>
      </c>
      <c r="C14529" t="inlineStr">
        <is>
          <t>SCS Global Services, Emeryville, CA, US</t>
        </is>
      </c>
      <c r="D14529" t="inlineStr">
        <is>
          <t>19.09.2026</t>
        </is>
      </c>
      <c r="E14529" t="inlineStr">
        <is>
          <t>China</t>
        </is>
      </c>
    </row>
    <row r="14530">
      <c r="A14530" t="inlineStr">
        <is>
          <t>Sherwin-Williams Poland Sp. z o.o.,  Komorniki, Poland</t>
        </is>
      </c>
      <c r="B14530" t="inlineStr">
        <is>
          <t>Final Product Refinement</t>
        </is>
      </c>
      <c r="C14530" t="inlineStr">
        <is>
          <t>SGS Germany GmbH, Emstek, DE</t>
        </is>
      </c>
      <c r="D14530" t="inlineStr">
        <is>
          <t>19.09.2026</t>
        </is>
      </c>
      <c r="E14530" t="inlineStr">
        <is>
          <t>Poland</t>
        </is>
      </c>
    </row>
    <row r="14531">
      <c r="A14531" t="inlineStr">
        <is>
          <t>Tianzhou International Trading Group,  Chengdu, Sichuan Province, China</t>
        </is>
      </c>
      <c r="B14531" t="inlineStr">
        <is>
          <t>Trader</t>
        </is>
      </c>
      <c r="C14531" t="inlineStr">
        <is>
          <t>SCS Global Services, Emeryville, CA, US</t>
        </is>
      </c>
      <c r="D14531" t="inlineStr">
        <is>
          <t>19.09.2026</t>
        </is>
      </c>
      <c r="E14531" t="inlineStr">
        <is>
          <t>China</t>
        </is>
      </c>
    </row>
    <row r="14532">
      <c r="A14532" t="inlineStr">
        <is>
          <t>Tianzhou International Trading Group,  Chengdu, Sichuan Province, China</t>
        </is>
      </c>
      <c r="B14532" t="inlineStr">
        <is>
          <t>Trader</t>
        </is>
      </c>
      <c r="C14532" t="inlineStr">
        <is>
          <t>SCS Global Services, Emeryville, CA, US</t>
        </is>
      </c>
      <c r="D14532" t="inlineStr">
        <is>
          <t>19.09.2026</t>
        </is>
      </c>
      <c r="E14532" t="inlineStr">
        <is>
          <t>China</t>
        </is>
      </c>
    </row>
    <row r="14533">
      <c r="A14533" t="inlineStr">
        <is>
          <t>ZHIYI ZINC INDUSTRY (THAILAND) CO., LTD,  Siracha, ChonBuri, Thailand</t>
        </is>
      </c>
      <c r="B14533" t="inlineStr">
        <is>
          <t>Collecting Point, Processing Unit</t>
        </is>
      </c>
      <c r="C14533" t="inlineStr">
        <is>
          <t>SCS Global Services, Emeryville, CA, US</t>
        </is>
      </c>
      <c r="D14533" t="inlineStr">
        <is>
          <t>19.09.2026</t>
        </is>
      </c>
      <c r="E14533" t="inlineStr">
        <is>
          <t>Thailand</t>
        </is>
      </c>
    </row>
    <row r="14534">
      <c r="A14534" t="inlineStr">
        <is>
          <t>Unico - Desa Plantations Berhad,  Lahad Datu, Malaysia</t>
        </is>
      </c>
      <c r="B14534" t="inlineStr">
        <is>
          <t>Point of Origin</t>
        </is>
      </c>
      <c r="C14534" t="inlineStr">
        <is>
          <t>PT Intertek Utama Services, Jakarta, ID</t>
        </is>
      </c>
      <c r="D14534" t="inlineStr">
        <is>
          <t>19.09.2026</t>
        </is>
      </c>
      <c r="E14534" t="inlineStr">
        <is>
          <t>Malaysia</t>
        </is>
      </c>
    </row>
    <row r="14535">
      <c r="A14535" t="inlineStr">
        <is>
          <t>Global Palm Ventures Sdn Bhd,  Masai, Johor, Malaysia</t>
        </is>
      </c>
      <c r="B14535" t="inlineStr">
        <is>
          <t>Collecting Point, Trader with Storage</t>
        </is>
      </c>
      <c r="C14535" t="inlineStr">
        <is>
          <t>Trans Certification and Inspection Sdn Bhd, Kuantan, MY</t>
        </is>
      </c>
      <c r="D14535" t="inlineStr">
        <is>
          <t>19.09.2026</t>
        </is>
      </c>
      <c r="E14535" t="inlineStr">
        <is>
          <t>Malaysia</t>
        </is>
      </c>
    </row>
    <row r="14536">
      <c r="A14536" t="inlineStr">
        <is>
          <t>Perusahaan Mekassar (M) Sdn Bhd, Bukit Leelau Palm Oil Mill,  Muadzam Shah, Malaysia</t>
        </is>
      </c>
      <c r="B14536" t="inlineStr">
        <is>
          <t>Point of Origin</t>
        </is>
      </c>
      <c r="C14536" t="inlineStr">
        <is>
          <t>PT Intertek Utama Services, Jakarta, ID</t>
        </is>
      </c>
      <c r="D14536" t="inlineStr">
        <is>
          <t>19.09.2026</t>
        </is>
      </c>
      <c r="E14536" t="inlineStr">
        <is>
          <t>Malaysia</t>
        </is>
      </c>
    </row>
    <row r="14537">
      <c r="A14537" t="inlineStr">
        <is>
          <t>Sagrop, spol s.r.o.,  Šaľa, Slovakia</t>
        </is>
      </c>
      <c r="B14537" t="inlineStr">
        <is>
          <t>Trader with Storage, First Gathering Point</t>
        </is>
      </c>
      <c r="C14537" t="inlineStr">
        <is>
          <t>United Registrar of Systems Polska Sp. z o.o., Wrocław, PL</t>
        </is>
      </c>
      <c r="D14537" t="inlineStr">
        <is>
          <t>19.09.2026</t>
        </is>
      </c>
      <c r="E14537" t="inlineStr">
        <is>
          <t>Slovakia</t>
        </is>
      </c>
    </row>
    <row r="14538">
      <c r="A14538" t="inlineStr">
        <is>
          <t>Sagrop, spol s.r.o.,  Šaľa, Slovakia</t>
        </is>
      </c>
      <c r="B14538" t="inlineStr">
        <is>
          <t>First Gathering Point, Trader with Storage</t>
        </is>
      </c>
      <c r="C14538" t="inlineStr">
        <is>
          <t>United Registrar of Systems Polska Sp. z o.o., Wrocław, PL</t>
        </is>
      </c>
      <c r="D14538" t="inlineStr">
        <is>
          <t>19.09.2026</t>
        </is>
      </c>
      <c r="E14538" t="inlineStr">
        <is>
          <t>Slovakia</t>
        </is>
      </c>
    </row>
    <row r="14539">
      <c r="A14539" t="inlineStr">
        <is>
          <t>Royal Vopak,  Rotterdam, Netherlands</t>
        </is>
      </c>
      <c r="B14539" t="inlineStr">
        <is>
          <t>Logistics Center</t>
        </is>
      </c>
      <c r="C14539" t="inlineStr">
        <is>
          <t>Control Union Certifications Germany GmbH, Berlin, DE</t>
        </is>
      </c>
      <c r="D14539" t="inlineStr">
        <is>
          <t>19.09.2026</t>
        </is>
      </c>
      <c r="E14539" t="inlineStr">
        <is>
          <t>Netherlands</t>
        </is>
      </c>
    </row>
    <row r="14540">
      <c r="A14540" t="inlineStr">
        <is>
          <t>Royal Vopak,  Rotterdam, Netherlands</t>
        </is>
      </c>
      <c r="B14540" t="inlineStr">
        <is>
          <t>Logistics Center</t>
        </is>
      </c>
      <c r="C14540" t="inlineStr">
        <is>
          <t>Control Union Certifications Germany GmbH, Berlin, DE</t>
        </is>
      </c>
      <c r="D14540" t="inlineStr">
        <is>
          <t>19.09.2026</t>
        </is>
      </c>
      <c r="E14540" t="inlineStr">
        <is>
          <t>Netherlands</t>
        </is>
      </c>
    </row>
    <row r="14541">
      <c r="A14541" t="inlineStr">
        <is>
          <t>Royal Vopak,  Rotterdam, Netherlands</t>
        </is>
      </c>
      <c r="B14541" t="inlineStr">
        <is>
          <t>Logistics Center</t>
        </is>
      </c>
      <c r="C14541" t="inlineStr">
        <is>
          <t>Control Union Certifications Germany GmbH, Berlin, DE</t>
        </is>
      </c>
      <c r="D14541" t="inlineStr">
        <is>
          <t>19.09.2026</t>
        </is>
      </c>
      <c r="E14541" t="inlineStr">
        <is>
          <t>Netherlands</t>
        </is>
      </c>
    </row>
    <row r="14542">
      <c r="A14542" t="inlineStr">
        <is>
          <t>Chongqing Polycomp International Corp.,  Chongqing, China, China</t>
        </is>
      </c>
      <c r="B14542" t="inlineStr">
        <is>
          <t>Trader, Collecting Point, Processing Unit</t>
        </is>
      </c>
      <c r="C14542" t="inlineStr">
        <is>
          <t>SCS Global Services, Emeryville, CA, US</t>
        </is>
      </c>
      <c r="D14542" t="inlineStr">
        <is>
          <t>19.09.2026</t>
        </is>
      </c>
      <c r="E14542" t="inlineStr">
        <is>
          <t>China</t>
        </is>
      </c>
    </row>
    <row r="14543">
      <c r="A14543" t="inlineStr">
        <is>
          <t>Recovaloriza - Tratamento E Valorização De Residuos,  Modivas - Vilaconde, Portugal</t>
        </is>
      </c>
      <c r="B14543" t="inlineStr">
        <is>
          <t>Collecting Point</t>
        </is>
      </c>
      <c r="C14543" t="inlineStr">
        <is>
          <t>Certificadora Gallega del Noroeste SL, Vilagarcia de Arousa-Pontevedra, ES</t>
        </is>
      </c>
      <c r="D14543" t="inlineStr">
        <is>
          <t>19.09.2026</t>
        </is>
      </c>
      <c r="E14543" t="inlineStr">
        <is>
          <t>Portugal</t>
        </is>
      </c>
    </row>
    <row r="14544">
      <c r="A14544" t="inlineStr">
        <is>
          <t>Vitagro Partner,  Volochysk, Ukraine</t>
        </is>
      </c>
      <c r="B14544" t="inlineStr">
        <is>
          <t>First Gathering Point, Trader with Storage</t>
        </is>
      </c>
      <c r="C14544" t="inlineStr">
        <is>
          <t>United Registrar of Systems Polska Sp. z o.o., Wrocław, PL</t>
        </is>
      </c>
      <c r="D14544" t="inlineStr">
        <is>
          <t>19.09.2026</t>
        </is>
      </c>
      <c r="E14544" t="inlineStr">
        <is>
          <t>Ukraine</t>
        </is>
      </c>
    </row>
    <row r="14545">
      <c r="A14545" t="inlineStr">
        <is>
          <t>LLC ''PORTTRANSBUD'',  Zhytomyr region, v.Radchytsi, Ukraine</t>
        </is>
      </c>
      <c r="B14545" t="inlineStr">
        <is>
          <t>First Gathering Point, Trader with Storage</t>
        </is>
      </c>
      <c r="C14545" t="inlineStr">
        <is>
          <t>United Registrar of Systems Polska Sp. z o.o., Wrocław, PL</t>
        </is>
      </c>
      <c r="D14545" t="inlineStr">
        <is>
          <t>19.09.2026</t>
        </is>
      </c>
      <c r="E14545" t="inlineStr">
        <is>
          <t>Ukraine</t>
        </is>
      </c>
    </row>
    <row r="14546">
      <c r="A14546" t="inlineStr">
        <is>
          <t>LLC "ELEVATOR-AHRO",  Poltava region, Zavodsʹke, Ukraine</t>
        </is>
      </c>
      <c r="B14546" t="inlineStr">
        <is>
          <t>First Gathering Point, Trader with Storage</t>
        </is>
      </c>
      <c r="C14546" t="inlineStr">
        <is>
          <t>United Registrar of Systems Polska Sp. z o.o., Wrocław, PL</t>
        </is>
      </c>
      <c r="D14546" t="inlineStr">
        <is>
          <t>19.09.2026</t>
        </is>
      </c>
      <c r="E14546" t="inlineStr">
        <is>
          <t>Ukraine</t>
        </is>
      </c>
    </row>
    <row r="14547">
      <c r="A14547" t="inlineStr">
        <is>
          <t>LLC ''SP ''Vesna 21'',  Humenetska territorial community, Ukraine</t>
        </is>
      </c>
      <c r="B14547" t="inlineStr">
        <is>
          <t>First Gathering Point, Trader with Storage</t>
        </is>
      </c>
      <c r="C14547" t="inlineStr">
        <is>
          <t>United Registrar of Systems Polska Sp. z o.o., Wrocław, PL</t>
        </is>
      </c>
      <c r="D14547" t="inlineStr">
        <is>
          <t>19.09.2026</t>
        </is>
      </c>
      <c r="E14547" t="inlineStr">
        <is>
          <t>Ukraine</t>
        </is>
      </c>
    </row>
    <row r="14548">
      <c r="A14548" t="inlineStr">
        <is>
          <t>UCO AND CO,  Rueil La Gadeliére, France</t>
        </is>
      </c>
      <c r="B14548" t="inlineStr">
        <is>
          <t>Collecting Point</t>
        </is>
      </c>
      <c r="C14548" t="inlineStr">
        <is>
          <t>ICIM SpA, sesto san giovanni, IT</t>
        </is>
      </c>
      <c r="D14548" t="inlineStr">
        <is>
          <t>19.09.2026</t>
        </is>
      </c>
      <c r="E14548" t="inlineStr">
        <is>
          <t>France</t>
        </is>
      </c>
    </row>
    <row r="14549">
      <c r="A14549" t="inlineStr">
        <is>
          <t>Cerealcom Dolj SRL,  Segarcea, Romania</t>
        </is>
      </c>
      <c r="B14549" t="inlineStr">
        <is>
          <t>First Gathering Point, Trader with Storage</t>
        </is>
      </c>
      <c r="C14549" t="inlineStr">
        <is>
          <t>SGS Germany GmbH, Emstek, DE</t>
        </is>
      </c>
      <c r="D14549" t="inlineStr">
        <is>
          <t>19.09.2026</t>
        </is>
      </c>
      <c r="E14549" t="inlineStr">
        <is>
          <t>Romania</t>
        </is>
      </c>
    </row>
    <row r="14550">
      <c r="A14550" t="inlineStr">
        <is>
          <t>UCOLAND, S.L.,  Aranda de Duero, Spain</t>
        </is>
      </c>
      <c r="B14550" t="inlineStr">
        <is>
          <t>Trader</t>
        </is>
      </c>
      <c r="C14550" t="inlineStr">
        <is>
          <t>Certificadora Gallega del Noroeste SL, Vilagarcia de Arousa-Pontevedra, ES</t>
        </is>
      </c>
      <c r="D14550" t="inlineStr">
        <is>
          <t>19.09.2026</t>
        </is>
      </c>
      <c r="E14550" t="inlineStr">
        <is>
          <t>Spain</t>
        </is>
      </c>
    </row>
    <row r="14551">
      <c r="A14551" t="inlineStr">
        <is>
          <t>Kunsági Agrár Kereskedőház Kft.,  Kunhegyes, Hungary</t>
        </is>
      </c>
      <c r="B14551" t="inlineStr">
        <is>
          <t>First Gathering Point</t>
        </is>
      </c>
      <c r="C14551" t="inlineStr">
        <is>
          <t>Certificadora Gallega del Noroeste SL, Vilagarcia de Arousa-Pontevedra, ES</t>
        </is>
      </c>
      <c r="D14551" t="inlineStr">
        <is>
          <t>19.09.2026</t>
        </is>
      </c>
      <c r="E14551" t="inlineStr">
        <is>
          <t>Hungary</t>
        </is>
      </c>
    </row>
    <row r="14552">
      <c r="A14552" t="inlineStr">
        <is>
          <t>Tetra Pak Carta,  Rubiera, Reggio Emilia, Italy</t>
        </is>
      </c>
      <c r="B14552" t="inlineStr">
        <is>
          <t>Processing Unit</t>
        </is>
      </c>
      <c r="C14552" t="inlineStr">
        <is>
          <t>SCS Global Services, Emeryville, CA, US</t>
        </is>
      </c>
      <c r="D14552" t="inlineStr">
        <is>
          <t>19.09.2026</t>
        </is>
      </c>
      <c r="E14552" t="inlineStr">
        <is>
          <t>Italy</t>
        </is>
      </c>
    </row>
    <row r="14553">
      <c r="A14553" t="inlineStr">
        <is>
          <t>Cargill S.A.C.I.,  Villa Gobernador Galvez - Santa Fe, Argentina</t>
        </is>
      </c>
      <c r="B14553" t="inlineStr">
        <is>
          <t>Point of Origin, Trader with Storage, Processing Unit</t>
        </is>
      </c>
      <c r="C14553" t="inlineStr">
        <is>
          <t>Control Union Certifications Germany GmbH, Berlin, DE</t>
        </is>
      </c>
      <c r="D14553" t="inlineStr">
        <is>
          <t>19.09.2026</t>
        </is>
      </c>
      <c r="E14553" t="inlineStr">
        <is>
          <t>Argentina</t>
        </is>
      </c>
    </row>
    <row r="14554">
      <c r="A14554" t="inlineStr">
        <is>
          <t>Core Green Foodstuff Collection L.L.C,  Dubai, The United Arab Emirates</t>
        </is>
      </c>
      <c r="B14554" t="inlineStr">
        <is>
          <t>Collecting Point</t>
        </is>
      </c>
      <c r="C14554" t="inlineStr">
        <is>
          <t>ASG Cert GmbH, Munich, DE</t>
        </is>
      </c>
      <c r="D14554" t="inlineStr">
        <is>
          <t>19.09.2026</t>
        </is>
      </c>
      <c r="E14554" t="inlineStr">
        <is>
          <t>The United Arab Emirates</t>
        </is>
      </c>
    </row>
    <row r="14555">
      <c r="A14555" t="inlineStr">
        <is>
          <t>Raizen-Geo Biogas Costa Pinto Ltda,  Piracicaba, Brazil</t>
        </is>
      </c>
      <c r="B14555" t="inlineStr">
        <is>
          <t>Collecting Point, Processing Unit</t>
        </is>
      </c>
      <c r="C14555" t="inlineStr">
        <is>
          <t>SCS Global Services, Emeryville, CA, US</t>
        </is>
      </c>
      <c r="D14555" t="inlineStr">
        <is>
          <t>19.09.2026</t>
        </is>
      </c>
      <c r="E14555" t="inlineStr">
        <is>
          <t>Brazil</t>
        </is>
      </c>
    </row>
    <row r="14556">
      <c r="A14556" t="inlineStr">
        <is>
          <t>Raizen Comercializadora de Gas Ltda,  São Paulo, Brazil</t>
        </is>
      </c>
      <c r="B14556" t="inlineStr">
        <is>
          <t>Trader, Trader with Storage</t>
        </is>
      </c>
      <c r="C14556" t="inlineStr">
        <is>
          <t>SCS Global Services, Emeryville, CA, US</t>
        </is>
      </c>
      <c r="D14556" t="inlineStr">
        <is>
          <t>19.09.2026</t>
        </is>
      </c>
      <c r="E14556" t="inlineStr">
        <is>
          <t>Brazil</t>
        </is>
      </c>
    </row>
    <row r="14557">
      <c r="A14557" t="inlineStr">
        <is>
          <t>Brightford LTD,  Kyiv, Ukraine</t>
        </is>
      </c>
      <c r="B14557" t="inlineStr">
        <is>
          <t>Trader, Collecting Point</t>
        </is>
      </c>
      <c r="C14557" t="inlineStr">
        <is>
          <t>RINA Services S.p.A., Genova, IT</t>
        </is>
      </c>
      <c r="D14557" t="inlineStr">
        <is>
          <t>19.09.2026</t>
        </is>
      </c>
      <c r="E14557" t="inlineStr">
        <is>
          <t>Ukraine</t>
        </is>
      </c>
    </row>
    <row r="14558">
      <c r="A14558" t="inlineStr">
        <is>
          <t>Repsol Materials,  La Pobla de Mafumet, Spain</t>
        </is>
      </c>
      <c r="B14558" t="inlineStr">
        <is>
          <t>Trader with Storage, Processing Unit</t>
        </is>
      </c>
      <c r="C14558" t="inlineStr">
        <is>
          <t>Control Union Poland Sp. z o.o., Zielona Gora, PL</t>
        </is>
      </c>
      <c r="D14558" t="inlineStr">
        <is>
          <t>19.09.2026</t>
        </is>
      </c>
      <c r="E14558" t="inlineStr">
        <is>
          <t>Spain</t>
        </is>
      </c>
    </row>
    <row r="14559">
      <c r="A14559" t="inlineStr">
        <is>
          <t>LUXAM TRADING DMCC,  Dubai, United Arab Emirates</t>
        </is>
      </c>
      <c r="B14559" t="inlineStr">
        <is>
          <t>Trader with Storage, Collecting Point</t>
        </is>
      </c>
      <c r="C14559" t="inlineStr">
        <is>
          <t>SGS Germany GmbH, Emstek, DE</t>
        </is>
      </c>
      <c r="D14559" t="inlineStr">
        <is>
          <t>19.09.2026</t>
        </is>
      </c>
      <c r="E14559" t="inlineStr">
        <is>
          <t>United Arab Emirates</t>
        </is>
      </c>
    </row>
    <row r="14560">
      <c r="A14560" t="inlineStr">
        <is>
          <t>Yibin Maicheng Energy Technology Co., Ltd,  Yibin City, Sichuan Province, China</t>
        </is>
      </c>
      <c r="B14560" t="inlineStr">
        <is>
          <t>Collecting Point, Trader with Storage</t>
        </is>
      </c>
      <c r="C14560" t="inlineStr">
        <is>
          <t>RINA Services S.p.A., Genova, IT</t>
        </is>
      </c>
      <c r="D14560" t="inlineStr">
        <is>
          <t>19.09.2026</t>
        </is>
      </c>
      <c r="E14560" t="inlineStr">
        <is>
          <t>China</t>
        </is>
      </c>
    </row>
    <row r="14561">
      <c r="A14561" t="inlineStr">
        <is>
          <t>Neste (Shanghai) Trading Company Limited,  Shanghai, China</t>
        </is>
      </c>
      <c r="B14561" t="inlineStr">
        <is>
          <t>Trader with Storage</t>
        </is>
      </c>
      <c r="C14561" t="inlineStr">
        <is>
          <t>SGS Germany GmbH, Emstek, DE</t>
        </is>
      </c>
      <c r="D14561" t="inlineStr">
        <is>
          <t>19.09.2026</t>
        </is>
      </c>
      <c r="E14561" t="inlineStr">
        <is>
          <t>China</t>
        </is>
      </c>
    </row>
    <row r="14562">
      <c r="A14562" t="inlineStr">
        <is>
          <t>Neste (Shanghai) Trading Company Limited,  Shanghai, China</t>
        </is>
      </c>
      <c r="B14562" t="inlineStr">
        <is>
          <t>Trader with Storage</t>
        </is>
      </c>
      <c r="C14562" t="inlineStr">
        <is>
          <t>SGS Germany GmbH, Emstek, DE</t>
        </is>
      </c>
      <c r="D14562" t="inlineStr">
        <is>
          <t>19.09.2026</t>
        </is>
      </c>
      <c r="E14562" t="inlineStr">
        <is>
          <t>China</t>
        </is>
      </c>
    </row>
    <row r="14563">
      <c r="A14563" t="inlineStr">
        <is>
          <t>PrJSC "Zakhidnyi torgovo-promyslovyi dim",  Rivne region, Dubno district, Dubno, Ukraine</t>
        </is>
      </c>
      <c r="B14563" t="inlineStr">
        <is>
          <t>First Gathering Point, Trader with Storage</t>
        </is>
      </c>
      <c r="C14563" t="inlineStr">
        <is>
          <t>United Registrar of Systems Polska Sp. z o.o., Wrocław, PL</t>
        </is>
      </c>
      <c r="D14563" t="inlineStr">
        <is>
          <t>19.09.2026</t>
        </is>
      </c>
      <c r="E14563" t="inlineStr">
        <is>
          <t>Ukraine</t>
        </is>
      </c>
    </row>
    <row r="14564">
      <c r="A14564" t="inlineStr">
        <is>
          <t>Five Grains Limited,  Vinnitsa, Ukraine</t>
        </is>
      </c>
      <c r="B14564" t="inlineStr">
        <is>
          <t>First Gathering Point, Trader with Storage</t>
        </is>
      </c>
      <c r="C14564" t="inlineStr">
        <is>
          <t>Control Union Certifications Germany GmbH, Berlin, DE</t>
        </is>
      </c>
      <c r="D14564" t="inlineStr">
        <is>
          <t>19.09.2026</t>
        </is>
      </c>
      <c r="E14564" t="inlineStr">
        <is>
          <t>Ukraine</t>
        </is>
      </c>
    </row>
    <row r="14565">
      <c r="A14565" t="inlineStr">
        <is>
          <t>Tecnologia Industrial del reciclaje IB,  Andosilla, Spain</t>
        </is>
      </c>
      <c r="B14565" t="inlineStr">
        <is>
          <t>Collecting Point</t>
        </is>
      </c>
      <c r="C14565" t="inlineStr">
        <is>
          <t>Control Union Poland Sp. z o.o., Zielona Gora, PL</t>
        </is>
      </c>
      <c r="D14565" t="inlineStr">
        <is>
          <t>19.09.2026</t>
        </is>
      </c>
      <c r="E14565" t="inlineStr">
        <is>
          <t>Spain</t>
        </is>
      </c>
    </row>
    <row r="14566">
      <c r="A14566" t="inlineStr">
        <is>
          <t>S.E.P.I. Ambiente,  Settimo Torinese (TO), Italy</t>
        </is>
      </c>
      <c r="B14566" t="inlineStr">
        <is>
          <t>Collecting Point</t>
        </is>
      </c>
      <c r="C14566" t="inlineStr">
        <is>
          <t>RINA Services S.p.A., Genova, IT</t>
        </is>
      </c>
      <c r="D14566" t="inlineStr">
        <is>
          <t>19.09.2026</t>
        </is>
      </c>
      <c r="E14566" t="inlineStr">
        <is>
          <t>Italy</t>
        </is>
      </c>
    </row>
    <row r="14567">
      <c r="A14567" t="inlineStr">
        <is>
          <t>De Rigo Vision Spa,  Longarone, Italy</t>
        </is>
      </c>
      <c r="B14567" t="inlineStr">
        <is>
          <t>Processing Unit, Final Product Refinement, Trader with Storage</t>
        </is>
      </c>
      <c r="C14567" t="inlineStr">
        <is>
          <t>ICIM SpA, sesto san giovanni, IT</t>
        </is>
      </c>
      <c r="D14567" t="inlineStr">
        <is>
          <t>19.09.2026</t>
        </is>
      </c>
      <c r="E14567" t="inlineStr">
        <is>
          <t>Italy</t>
        </is>
      </c>
    </row>
    <row r="14568">
      <c r="A14568" t="inlineStr">
        <is>
          <t>Ingenio Sucroalcoholero Aguaí S.A.,  Santa Cruz de la Sierra, Bolivia</t>
        </is>
      </c>
      <c r="B14568" t="inlineStr">
        <is>
          <t>First Gathering Point, Trader with Storage, Processing Unit</t>
        </is>
      </c>
      <c r="C14568" t="inlineStr">
        <is>
          <t>Control Union Certifications Germany GmbH, Berlin, DE</t>
        </is>
      </c>
      <c r="D14568" t="inlineStr">
        <is>
          <t>18.09.2026</t>
        </is>
      </c>
      <c r="E14568" t="inlineStr">
        <is>
          <t>Bolivia</t>
        </is>
      </c>
    </row>
    <row r="14569">
      <c r="A14569" t="inlineStr">
        <is>
          <t>Ingenio Sucroalcoholero Aguaí S.A.,  Santa Cruz de la Sierra, Bolivia</t>
        </is>
      </c>
      <c r="B14569" t="inlineStr">
        <is>
          <t>First Gathering Point, Trader with Storage, Processing Unit</t>
        </is>
      </c>
      <c r="C14569" t="inlineStr">
        <is>
          <t>Control Union Certifications Germany GmbH, Berlin, DE</t>
        </is>
      </c>
      <c r="D14569" t="inlineStr">
        <is>
          <t>18.09.2026</t>
        </is>
      </c>
      <c r="E14569" t="inlineStr">
        <is>
          <t>Bolivia</t>
        </is>
      </c>
    </row>
    <row r="14570">
      <c r="A14570" t="inlineStr">
        <is>
          <t>Olleco,  Aston Clinton, United Kingdom</t>
        </is>
      </c>
      <c r="B14570" t="inlineStr">
        <is>
          <t>Collecting Point, Processing Unit</t>
        </is>
      </c>
      <c r="C14570" t="inlineStr">
        <is>
          <t>Control Union Certifications Germany GmbH, Berlin, DE</t>
        </is>
      </c>
      <c r="D14570" t="inlineStr">
        <is>
          <t>18.09.2026</t>
        </is>
      </c>
      <c r="E14570" t="inlineStr">
        <is>
          <t>United Kingdom</t>
        </is>
      </c>
    </row>
    <row r="14571">
      <c r="A14571" t="inlineStr">
        <is>
          <t>Industria Termoplastica Pavese spa,  Bosnasco (PV), Italy</t>
        </is>
      </c>
      <c r="B14571" t="inlineStr">
        <is>
          <t>Processing Unit</t>
        </is>
      </c>
      <c r="C14571" t="inlineStr">
        <is>
          <t>ICIM SpA, sesto san giovanni, IT</t>
        </is>
      </c>
      <c r="D14571" t="inlineStr">
        <is>
          <t>18.09.2026</t>
        </is>
      </c>
      <c r="E14571" t="inlineStr">
        <is>
          <t>Italy</t>
        </is>
      </c>
    </row>
    <row r="14572">
      <c r="A14572" t="inlineStr">
        <is>
          <t>REAGRA CÓRDOBA S.L.,  Puente Genil, Spain</t>
        </is>
      </c>
      <c r="B14572" t="inlineStr">
        <is>
          <t>Collecting Point, Trader</t>
        </is>
      </c>
      <c r="C14572" t="inlineStr">
        <is>
          <t>Control Union Poland Sp. z o.o., Zielona Gora, PL</t>
        </is>
      </c>
      <c r="D14572" t="inlineStr">
        <is>
          <t>18.09.2026</t>
        </is>
      </c>
      <c r="E14572" t="inlineStr">
        <is>
          <t>Spain</t>
        </is>
      </c>
    </row>
    <row r="14573">
      <c r="A14573" t="inlineStr">
        <is>
          <t>Polyxylenol Singapore Pte Ltd,  Singapore, Singapore</t>
        </is>
      </c>
      <c r="B14573" t="inlineStr">
        <is>
          <t>Trader with Storage, Processing Unit</t>
        </is>
      </c>
      <c r="C14573" t="inlineStr">
        <is>
          <t>Control Union Certifications Germany GmbH, Berlin, DE</t>
        </is>
      </c>
      <c r="D14573" t="inlineStr">
        <is>
          <t>18.09.2026</t>
        </is>
      </c>
      <c r="E14573" t="inlineStr">
        <is>
          <t>Singapore</t>
        </is>
      </c>
    </row>
    <row r="14574">
      <c r="A14574" t="inlineStr">
        <is>
          <t>FORMOSA CHEMICALS AND FIBRE CORP HSIN-KANG NYLON PLANT,  Xingang Township. Chiayi County., Taiwan, Province of China</t>
        </is>
      </c>
      <c r="B14574" t="inlineStr">
        <is>
          <t>Collecting Point, Processing Unit</t>
        </is>
      </c>
      <c r="C14574" t="inlineStr">
        <is>
          <t>Control Union Certifications Germany GmbH, Berlin, DE</t>
        </is>
      </c>
      <c r="D14574" t="inlineStr">
        <is>
          <t>18.09.2026</t>
        </is>
      </c>
      <c r="E14574" t="inlineStr">
        <is>
          <t>Province of China</t>
        </is>
      </c>
    </row>
    <row r="14575">
      <c r="A14575" t="inlineStr">
        <is>
          <t>Ahlat Geri Dönüşüm Enerji Anonim Şirketi,  Çumra/KONYA, Turkey</t>
        </is>
      </c>
      <c r="B14575" t="inlineStr">
        <is>
          <t>Trader with Storage, Processing Unit</t>
        </is>
      </c>
      <c r="C14575" t="inlineStr">
        <is>
          <t>Bureau Veritas Polska Sp. z o.o., Warsaw, PL</t>
        </is>
      </c>
      <c r="D14575" t="inlineStr">
        <is>
          <t>18.09.2026</t>
        </is>
      </c>
      <c r="E14575" t="inlineStr">
        <is>
          <t>Turkey</t>
        </is>
      </c>
    </row>
    <row r="14576">
      <c r="A14576" t="inlineStr">
        <is>
          <t>Ahlat Geri Dönüşüm Enerji Anonim Şirketi,  Çumra/KONYA, Turkey</t>
        </is>
      </c>
      <c r="B14576" t="inlineStr">
        <is>
          <t>Processing Unit, Trader with Storage, Collecting Point</t>
        </is>
      </c>
      <c r="C14576" t="inlineStr">
        <is>
          <t>Bureau Veritas Polska Sp. z o.o., Warsaw, PL</t>
        </is>
      </c>
      <c r="D14576" t="inlineStr">
        <is>
          <t>18.09.2026</t>
        </is>
      </c>
      <c r="E14576" t="inlineStr">
        <is>
          <t>Turkey</t>
        </is>
      </c>
    </row>
    <row r="14577">
      <c r="A14577" t="inlineStr">
        <is>
          <t>LG Chem (Chongqing) Engineering Plastics Co.,Ltd,  Chongqing, China</t>
        </is>
      </c>
      <c r="B14577" t="inlineStr">
        <is>
          <t>Processing Unit</t>
        </is>
      </c>
      <c r="C14577" t="inlineStr">
        <is>
          <t>CTI Certification Co. Ltd, Shenzhen, CN</t>
        </is>
      </c>
      <c r="D14577" t="inlineStr">
        <is>
          <t>18.09.2026</t>
        </is>
      </c>
      <c r="E14577" t="inlineStr">
        <is>
          <t>China</t>
        </is>
      </c>
    </row>
    <row r="14578">
      <c r="A14578" t="inlineStr">
        <is>
          <t>Molini Popolari Riuniti Soc. Coop. Agr.,  Passignano Sul Trasimeno, Italy</t>
        </is>
      </c>
      <c r="B14578" t="inlineStr">
        <is>
          <t>First Gathering Point</t>
        </is>
      </c>
      <c r="C14578" t="inlineStr">
        <is>
          <t>DNV Business Assurance Sweden AB, Solna, SE</t>
        </is>
      </c>
      <c r="D14578" t="inlineStr">
        <is>
          <t>18.09.2026</t>
        </is>
      </c>
      <c r="E14578" t="inlineStr">
        <is>
          <t>Italy</t>
        </is>
      </c>
    </row>
    <row r="14579">
      <c r="A14579" t="inlineStr">
        <is>
          <t>COP.A.G. COOPERATIVA AGRICOLA GHEDI - SOCIETA' COOPERATIVA AGRICOLA,  Ghedi, Italy</t>
        </is>
      </c>
      <c r="B14579" t="inlineStr">
        <is>
          <t>First Gathering Point</t>
        </is>
      </c>
      <c r="C14579" t="inlineStr">
        <is>
          <t>DNV Business Assurance Sweden AB, Solna, SE</t>
        </is>
      </c>
      <c r="D14579" t="inlineStr">
        <is>
          <t>18.09.2026</t>
        </is>
      </c>
      <c r="E14579" t="inlineStr">
        <is>
          <t>Italy</t>
        </is>
      </c>
    </row>
    <row r="14580">
      <c r="A14580" t="inlineStr">
        <is>
          <t>EUROFIN,  LONGARONE, Italy</t>
        </is>
      </c>
      <c r="B14580" t="inlineStr">
        <is>
          <t>Final Product Refinement</t>
        </is>
      </c>
      <c r="C14580" t="inlineStr">
        <is>
          <t>ICIM SpA, sesto san giovanni, IT</t>
        </is>
      </c>
      <c r="D14580" t="inlineStr">
        <is>
          <t>18.09.2026</t>
        </is>
      </c>
      <c r="E14580" t="inlineStr">
        <is>
          <t>Italy</t>
        </is>
      </c>
    </row>
    <row r="14581">
      <c r="A14581" t="inlineStr">
        <is>
          <t>Chevron Oronite Company,  Belle Chasse, United States</t>
        </is>
      </c>
      <c r="B14581" t="inlineStr">
        <is>
          <t>Processing Unit</t>
        </is>
      </c>
      <c r="C14581" t="inlineStr">
        <is>
          <t>SCS Global Services, Emeryville, CA, US</t>
        </is>
      </c>
      <c r="D14581" t="inlineStr">
        <is>
          <t>18.09.2026</t>
        </is>
      </c>
      <c r="E14581" t="inlineStr">
        <is>
          <t>United States</t>
        </is>
      </c>
    </row>
    <row r="14582">
      <c r="A14582" t="inlineStr">
        <is>
          <t>South China Blue Sky Aviation Fuel (Guangdong) Co., Ltd.,  Guangzhou City, Guangdong Province, China</t>
        </is>
      </c>
      <c r="B14582" t="inlineStr">
        <is>
          <t>Trader with Storage</t>
        </is>
      </c>
      <c r="C14582" t="inlineStr">
        <is>
          <t>China Quality Certification Centre Co., Ltd., Beijing, CN</t>
        </is>
      </c>
      <c r="D14582" t="inlineStr">
        <is>
          <t>18.09.2026</t>
        </is>
      </c>
      <c r="E14582" t="inlineStr">
        <is>
          <t>China</t>
        </is>
      </c>
    </row>
    <row r="14583">
      <c r="A14583" t="inlineStr">
        <is>
          <t>KALL Ingredients Kft,  Tiszapüspöki, Hungary</t>
        </is>
      </c>
      <c r="B14583" t="inlineStr">
        <is>
          <t>Point of Origin, Trader with Storage, First Gathering Point, Processing Unit</t>
        </is>
      </c>
      <c r="C14583" t="inlineStr">
        <is>
          <t>Certificadora Gallega del Noroeste SL, Vilagarcia de Arousa-Pontevedra, ES</t>
        </is>
      </c>
      <c r="D14583" t="inlineStr">
        <is>
          <t>18.09.2026</t>
        </is>
      </c>
      <c r="E14583" t="inlineStr">
        <is>
          <t>Hungary</t>
        </is>
      </c>
    </row>
    <row r="14584">
      <c r="A14584" t="inlineStr">
        <is>
          <t>KALL Ingredients Kft,  Tiszapüspöki, Hungary</t>
        </is>
      </c>
      <c r="B14584" t="inlineStr">
        <is>
          <t>Processing Unit</t>
        </is>
      </c>
      <c r="C14584" t="inlineStr">
        <is>
          <t>Certificadora Gallega del Noroeste SL, Vilagarcia de Arousa-Pontevedra, ES</t>
        </is>
      </c>
      <c r="D14584" t="inlineStr">
        <is>
          <t>18.09.2026</t>
        </is>
      </c>
      <c r="E14584" t="inlineStr">
        <is>
          <t>Hungary</t>
        </is>
      </c>
    </row>
    <row r="14585">
      <c r="A14585" t="inlineStr">
        <is>
          <t>Eco's,  Castelverde (CR), Italy</t>
        </is>
      </c>
      <c r="B14585" t="inlineStr">
        <is>
          <t>Collecting Point</t>
        </is>
      </c>
      <c r="C14585" t="inlineStr">
        <is>
          <t>SGS Germany GmbH, Emstek, DE</t>
        </is>
      </c>
      <c r="D14585" t="inlineStr">
        <is>
          <t>18.09.2026</t>
        </is>
      </c>
      <c r="E14585" t="inlineStr">
        <is>
          <t>Italy</t>
        </is>
      </c>
    </row>
    <row r="14586">
      <c r="A14586" t="inlineStr">
        <is>
          <t>Blue Cube Germany Assets,  Stade, Germany</t>
        </is>
      </c>
      <c r="B14586" t="inlineStr">
        <is>
          <t>Processing Unit</t>
        </is>
      </c>
      <c r="C14586" t="inlineStr">
        <is>
          <t>DQS CFS GmbH - Deutsche Gesellschaft für Nachhaltigkeit, Frankfurt am Main, DE</t>
        </is>
      </c>
      <c r="D14586" t="inlineStr">
        <is>
          <t>18.09.2026</t>
        </is>
      </c>
      <c r="E14586" t="inlineStr">
        <is>
          <t>Germany</t>
        </is>
      </c>
    </row>
    <row r="14587">
      <c r="A14587" t="inlineStr">
        <is>
          <t>F.S. Fehrer Automotive GmbH,  Kitzingen, Germany</t>
        </is>
      </c>
      <c r="B14587" t="inlineStr">
        <is>
          <t>Processing Unit</t>
        </is>
      </c>
      <c r="C14587" t="inlineStr">
        <is>
          <t>SGS Germany GmbH, Emstek, DE</t>
        </is>
      </c>
      <c r="D14587" t="inlineStr">
        <is>
          <t>18.09.2026</t>
        </is>
      </c>
      <c r="E14587" t="inlineStr">
        <is>
          <t>Germany</t>
        </is>
      </c>
    </row>
    <row r="14588">
      <c r="A14588" t="inlineStr">
        <is>
          <t>Amcor Flexibles (New Zealand) Limited,  Albany, Auckland, New Zealand</t>
        </is>
      </c>
      <c r="B14588" t="inlineStr">
        <is>
          <t>Processing Unit, Trader with Storage</t>
        </is>
      </c>
      <c r="C14588" t="inlineStr">
        <is>
          <t>SGS Germany GmbH, Emstek, DE</t>
        </is>
      </c>
      <c r="D14588" t="inlineStr">
        <is>
          <t>18.09.2026</t>
        </is>
      </c>
      <c r="E14588" t="inlineStr">
        <is>
          <t>New Zealand</t>
        </is>
      </c>
    </row>
    <row r="14589">
      <c r="A14589" t="inlineStr">
        <is>
          <t>CARL ZEISS VISION SUNLENS CHINA LTD.,  GUANGZHOU, China</t>
        </is>
      </c>
      <c r="B14589" t="inlineStr">
        <is>
          <t>Processing Unit</t>
        </is>
      </c>
      <c r="C14589" t="inlineStr">
        <is>
          <t>Bureau Veritas Polska Sp. z o.o., Warsaw, PL</t>
        </is>
      </c>
      <c r="D14589" t="inlineStr">
        <is>
          <t>18.09.2026</t>
        </is>
      </c>
      <c r="E14589" t="inlineStr">
        <is>
          <t>China</t>
        </is>
      </c>
    </row>
    <row r="14590">
      <c r="A14590" t="inlineStr">
        <is>
          <t>Carl Zeiss Vision Sunlens Asia Pacific Limited,  HONG KONG, Hong Kong</t>
        </is>
      </c>
      <c r="B14590" t="inlineStr">
        <is>
          <t>Trader with Storage</t>
        </is>
      </c>
      <c r="C14590" t="inlineStr">
        <is>
          <t>Bureau Veritas Polska Sp. z o.o., Warsaw, PL</t>
        </is>
      </c>
      <c r="D14590" t="inlineStr">
        <is>
          <t>18.09.2026</t>
        </is>
      </c>
      <c r="E14590" t="inlineStr">
        <is>
          <t>Hong Kong</t>
        </is>
      </c>
    </row>
    <row r="14591">
      <c r="A14591" t="inlineStr">
        <is>
          <t>Huntsman Holland, B.V.,  Botlek Rotterdam, Netherlands</t>
        </is>
      </c>
      <c r="B14591" t="inlineStr">
        <is>
          <t>Processing Unit</t>
        </is>
      </c>
      <c r="C14591" t="inlineStr">
        <is>
          <t>Bureau Veritas Polska Sp. z o.o., Warsaw, PL</t>
        </is>
      </c>
      <c r="D14591" t="inlineStr">
        <is>
          <t>18.09.2026</t>
        </is>
      </c>
      <c r="E14591" t="inlineStr">
        <is>
          <t>Netherlands</t>
        </is>
      </c>
    </row>
    <row r="14592">
      <c r="A14592" t="inlineStr">
        <is>
          <t>Vilavi Union Enterprises Limited,  Limassol, Cyprus</t>
        </is>
      </c>
      <c r="B14592" t="inlineStr">
        <is>
          <t>Trader</t>
        </is>
      </c>
      <c r="C14592" t="inlineStr">
        <is>
          <t>Aciter Genelab LLC, Odessa, UA</t>
        </is>
      </c>
      <c r="D14592" t="inlineStr">
        <is>
          <t>18.09.2026</t>
        </is>
      </c>
      <c r="E14592" t="inlineStr">
        <is>
          <t>Cyprus</t>
        </is>
      </c>
    </row>
    <row r="14593">
      <c r="A14593" t="inlineStr">
        <is>
          <t>ENI Natural Energies Cote d'Ivoire,  Yopougon, Abidjan, Ivory Coast</t>
        </is>
      </c>
      <c r="B14593" t="inlineStr">
        <is>
          <t>Trader with Storage, Processing Unit</t>
        </is>
      </c>
      <c r="C14593" t="inlineStr">
        <is>
          <t>RINA Services S.p.A., Genova, IT</t>
        </is>
      </c>
      <c r="D14593" t="inlineStr">
        <is>
          <t>18.09.2026</t>
        </is>
      </c>
      <c r="E14593" t="inlineStr">
        <is>
          <t>Ivory Coast</t>
        </is>
      </c>
    </row>
    <row r="14594">
      <c r="A14594" t="inlineStr">
        <is>
          <t>Palma Sumber Lestari,  Kabupaten Pasang Kayu, Indonesia</t>
        </is>
      </c>
      <c r="B14594" t="inlineStr">
        <is>
          <t>Point of Origin</t>
        </is>
      </c>
      <c r="C14594" t="inlineStr">
        <is>
          <t>PT. Qualitas Sertifikasi Indonesia, Jakarta, ID</t>
        </is>
      </c>
      <c r="D14594" t="inlineStr">
        <is>
          <t>18.09.2026</t>
        </is>
      </c>
      <c r="E14594" t="inlineStr">
        <is>
          <t>Indonesia</t>
        </is>
      </c>
    </row>
    <row r="14595">
      <c r="A14595" t="inlineStr">
        <is>
          <t>Trinity Palmas Plantation,  Mamuju, Sulawesi Barat, Indonesia</t>
        </is>
      </c>
      <c r="B14595" t="inlineStr">
        <is>
          <t>Point of Origin</t>
        </is>
      </c>
      <c r="C14595" t="inlineStr">
        <is>
          <t>PT. Qualitas Sertifikasi Indonesia, Jakarta, ID</t>
        </is>
      </c>
      <c r="D14595" t="inlineStr">
        <is>
          <t>18.09.2026</t>
        </is>
      </c>
      <c r="E14595" t="inlineStr">
        <is>
          <t>Indonesia</t>
        </is>
      </c>
    </row>
    <row r="14596">
      <c r="A14596" t="inlineStr">
        <is>
          <t>Toscano Indah Pratama,  Mamuju, Sulawesi Barat, Indonesia</t>
        </is>
      </c>
      <c r="B14596" t="inlineStr">
        <is>
          <t>Point of Origin</t>
        </is>
      </c>
      <c r="C14596" t="inlineStr">
        <is>
          <t>PT. Qualitas Sertifikasi Indonesia, Jakarta, ID</t>
        </is>
      </c>
      <c r="D14596" t="inlineStr">
        <is>
          <t>18.09.2026</t>
        </is>
      </c>
      <c r="E14596" t="inlineStr">
        <is>
          <t>Indonesia</t>
        </is>
      </c>
    </row>
    <row r="14597">
      <c r="A14597" t="inlineStr">
        <is>
          <t>Dong Guan Ran An Industrial Ltd.,  Dong Guan City, Guang Dong Province, China</t>
        </is>
      </c>
      <c r="B14597" t="inlineStr">
        <is>
          <t>Processing Unit</t>
        </is>
      </c>
      <c r="C14597" t="inlineStr">
        <is>
          <t>SCS Global Services, Emeryville, CA, US</t>
        </is>
      </c>
      <c r="D14597" t="inlineStr">
        <is>
          <t>18.09.2026</t>
        </is>
      </c>
      <c r="E14597" t="inlineStr">
        <is>
          <t>China</t>
        </is>
      </c>
    </row>
    <row r="14598">
      <c r="A14598" t="inlineStr">
        <is>
          <t>Indorama Ventures Mobility (Kaiping) Trading Co., Ltd.,  Kaiping, China</t>
        </is>
      </c>
      <c r="B14598" t="inlineStr">
        <is>
          <t>Trader</t>
        </is>
      </c>
      <c r="C14598" t="inlineStr">
        <is>
          <t>SGS Germany GmbH, Emstek, DE</t>
        </is>
      </c>
      <c r="D14598" t="inlineStr">
        <is>
          <t>18.09.2026</t>
        </is>
      </c>
      <c r="E14598" t="inlineStr">
        <is>
          <t>China</t>
        </is>
      </c>
    </row>
    <row r="14599">
      <c r="A14599" t="inlineStr">
        <is>
          <t>Zhong Di You New Energy Kunming Co., Ltd.,  Kunming City, Yunnan Province, China</t>
        </is>
      </c>
      <c r="B14599" t="inlineStr">
        <is>
          <t>Collecting Point, Trader, Processing Unit</t>
        </is>
      </c>
      <c r="C14599" t="inlineStr">
        <is>
          <t>SCS Global Services, Emeryville, CA, US</t>
        </is>
      </c>
      <c r="D14599" t="inlineStr">
        <is>
          <t>18.09.2026</t>
        </is>
      </c>
      <c r="E14599" t="inlineStr">
        <is>
          <t>China</t>
        </is>
      </c>
    </row>
    <row r="14600">
      <c r="A14600" t="inlineStr">
        <is>
          <t>Federation Des Opa De Producteurs De La Filiere Hevea De Côte D’Ivorie,  Abidjan, Ivory Coast</t>
        </is>
      </c>
      <c r="B14600" t="inlineStr">
        <is>
          <t>First Gathering Point, Trader with Storage</t>
        </is>
      </c>
      <c r="C14600" t="inlineStr">
        <is>
          <t>RINA Services S.p.A., Genova, IT</t>
        </is>
      </c>
      <c r="D14600" t="inlineStr">
        <is>
          <t>18.09.2026</t>
        </is>
      </c>
      <c r="E14600" t="inlineStr">
        <is>
          <t>Ivory Coast</t>
        </is>
      </c>
    </row>
    <row r="14601">
      <c r="A14601" t="inlineStr">
        <is>
          <t>Wavin,  Hardenberg, Netherlands</t>
        </is>
      </c>
      <c r="B14601" t="inlineStr">
        <is>
          <t>Processing Unit</t>
        </is>
      </c>
      <c r="C14601" t="inlineStr">
        <is>
          <t>DNV Business Assurance Sweden AB, Solna, SE</t>
        </is>
      </c>
      <c r="D14601" t="inlineStr">
        <is>
          <t>18.09.2026</t>
        </is>
      </c>
      <c r="E14601" t="inlineStr">
        <is>
          <t>Netherlands</t>
        </is>
      </c>
    </row>
    <row r="14602">
      <c r="A14602" t="inlineStr">
        <is>
          <t>World Fuel Services Argentina,  Buenos Aires, Argentina</t>
        </is>
      </c>
      <c r="B14602" t="inlineStr">
        <is>
          <t>Trader</t>
        </is>
      </c>
      <c r="C14602" t="inlineStr">
        <is>
          <t>Control Union Certifications Germany GmbH, Berlin, DE</t>
        </is>
      </c>
      <c r="D14602" t="inlineStr">
        <is>
          <t>18.09.2026</t>
        </is>
      </c>
      <c r="E14602" t="inlineStr">
        <is>
          <t>Argentina</t>
        </is>
      </c>
    </row>
    <row r="14603">
      <c r="A14603" t="inlineStr">
        <is>
          <t>World Fuel Services Argentina,  Buenos Aires, Argentina</t>
        </is>
      </c>
      <c r="B14603" t="inlineStr">
        <is>
          <t>Trader</t>
        </is>
      </c>
      <c r="C14603" t="inlineStr">
        <is>
          <t>Control Union Certifications Germany GmbH, Berlin, DE</t>
        </is>
      </c>
      <c r="D14603" t="inlineStr">
        <is>
          <t>18.09.2026</t>
        </is>
      </c>
      <c r="E14603" t="inlineStr">
        <is>
          <t>Argentina</t>
        </is>
      </c>
    </row>
    <row r="14604">
      <c r="A14604" t="inlineStr">
        <is>
          <t>Preol, a.s.,  Lovosice, Czech Republic</t>
        </is>
      </c>
      <c r="B14604" t="inlineStr">
        <is>
          <t>Processing Unit, Point of Origin, Trader with Storage</t>
        </is>
      </c>
      <c r="C14604" t="inlineStr">
        <is>
          <t>TÜV SÜD Czech s.r.o., Praha 4, CZ</t>
        </is>
      </c>
      <c r="D14604" t="inlineStr">
        <is>
          <t>18.09.2026</t>
        </is>
      </c>
      <c r="E14604" t="inlineStr">
        <is>
          <t>Czech Republic</t>
        </is>
      </c>
    </row>
    <row r="14605">
      <c r="A14605" t="inlineStr">
        <is>
          <t>ALBA RORR New Material (Jiangxi) Co., Ltd.,  Yingtan, China</t>
        </is>
      </c>
      <c r="B14605" t="inlineStr">
        <is>
          <t>Processing Unit, Collecting Point</t>
        </is>
      </c>
      <c r="C14605" t="inlineStr">
        <is>
          <t>Bureau Veritas Consumer Products Services, Inc., Littleton, MA, US</t>
        </is>
      </c>
      <c r="D14605" t="inlineStr">
        <is>
          <t>18.09.2026</t>
        </is>
      </c>
      <c r="E14605" t="inlineStr">
        <is>
          <t>China</t>
        </is>
      </c>
    </row>
    <row r="14606">
      <c r="A14606" t="inlineStr">
        <is>
          <t>PT Chandra Asri Pacific Tbk,  Cilegon, Banten, Indonesia</t>
        </is>
      </c>
      <c r="B14606" t="inlineStr">
        <is>
          <t>Processing Unit</t>
        </is>
      </c>
      <c r="C14606" t="inlineStr">
        <is>
          <t>PT Intertek Utama Services, Jakarta, ID</t>
        </is>
      </c>
      <c r="D14606" t="inlineStr">
        <is>
          <t>18.09.2026</t>
        </is>
      </c>
      <c r="E14606" t="inlineStr">
        <is>
          <t>Indonesia</t>
        </is>
      </c>
    </row>
    <row r="14607">
      <c r="A14607" t="inlineStr">
        <is>
          <t>CP-Polymer-Technik GmbH &amp; Co. KG,  Ritterhude, Germany</t>
        </is>
      </c>
      <c r="B14607" t="inlineStr">
        <is>
          <t>Processing Unit</t>
        </is>
      </c>
      <c r="C14607" t="inlineStr">
        <is>
          <t>GUT Certifizierungsgesellschaft für Managementsysteme mbH Umweltgutachter, Berlin, DE</t>
        </is>
      </c>
      <c r="D14607" t="inlineStr">
        <is>
          <t>18.09.2026</t>
        </is>
      </c>
      <c r="E14607" t="inlineStr">
        <is>
          <t>Germany</t>
        </is>
      </c>
    </row>
    <row r="14608">
      <c r="A14608" t="inlineStr">
        <is>
          <t>PT. Soci Mas,  Saentis-Percut Sei Tuan, Deli Serdang, Indonesia</t>
        </is>
      </c>
      <c r="B14608" t="inlineStr">
        <is>
          <t>Point of Origin</t>
        </is>
      </c>
      <c r="C14608" t="inlineStr">
        <is>
          <t>PT Intertek Utama Services, Jakarta, ID</t>
        </is>
      </c>
      <c r="D14608" t="inlineStr">
        <is>
          <t>18.09.2026</t>
        </is>
      </c>
      <c r="E14608" t="inlineStr">
        <is>
          <t>Indonesia</t>
        </is>
      </c>
    </row>
    <row r="14609">
      <c r="A14609" t="inlineStr">
        <is>
          <t>SecAnim GmbH,  Malchin, Germany</t>
        </is>
      </c>
      <c r="B14609" t="inlineStr">
        <is>
          <t>Point of Origin</t>
        </is>
      </c>
      <c r="C14609" t="inlineStr">
        <is>
          <t>GUT Certifizierungsgesellschaft für Managementsysteme mbH Umweltgutachter, Berlin, DE</t>
        </is>
      </c>
      <c r="D14609" t="inlineStr">
        <is>
          <t>18.09.2026</t>
        </is>
      </c>
      <c r="E14609" t="inlineStr">
        <is>
          <t>Germany</t>
        </is>
      </c>
    </row>
    <row r="14610">
      <c r="A14610" t="inlineStr">
        <is>
          <t>Pyrum Innovations,  Dillingen, Germany</t>
        </is>
      </c>
      <c r="B14610" t="inlineStr">
        <is>
          <t>Collecting Point, Processing Unit, Point of Origin</t>
        </is>
      </c>
      <c r="C14610" t="inlineStr">
        <is>
          <t>SGS Germany GmbH, Emstek, DE</t>
        </is>
      </c>
      <c r="D14610" t="inlineStr">
        <is>
          <t>18.09.2026</t>
        </is>
      </c>
      <c r="E14610" t="inlineStr">
        <is>
          <t>Germany</t>
        </is>
      </c>
    </row>
    <row r="14611">
      <c r="A14611" t="inlineStr">
        <is>
          <t>Star Plastics,  Millwood, United States</t>
        </is>
      </c>
      <c r="B14611" t="inlineStr">
        <is>
          <t>Processing Unit</t>
        </is>
      </c>
      <c r="C14611" t="inlineStr">
        <is>
          <t>SCS Global Services, Emeryville, CA, US</t>
        </is>
      </c>
      <c r="D14611" t="inlineStr">
        <is>
          <t>18.09.2026</t>
        </is>
      </c>
      <c r="E14611" t="inlineStr">
        <is>
          <t>United States</t>
        </is>
      </c>
    </row>
    <row r="14612">
      <c r="A14612" t="inlineStr">
        <is>
          <t>Trading Company "Vitagro",  Volochysk, Khmelnytsky region, Ukraine</t>
        </is>
      </c>
      <c r="B14612" t="inlineStr">
        <is>
          <t>First Gathering Point, Trader with Storage</t>
        </is>
      </c>
      <c r="C14612" t="inlineStr">
        <is>
          <t>United Registrar of Systems Polska Sp. z o.o., Wrocław, PL</t>
        </is>
      </c>
      <c r="D14612" t="inlineStr">
        <is>
          <t>18.09.2026</t>
        </is>
      </c>
      <c r="E14612" t="inlineStr">
        <is>
          <t>Ukraine</t>
        </is>
      </c>
    </row>
    <row r="14613">
      <c r="A14613" t="inlineStr">
        <is>
          <t>YoungRay Company Limited,  Kaohsiung City, Yanchao Dist., Taiwan</t>
        </is>
      </c>
      <c r="B14613" t="inlineStr">
        <is>
          <t>Collecting Point, Trader</t>
        </is>
      </c>
      <c r="C14613" t="inlineStr">
        <is>
          <t>PT Intertek Utama Services, Jakarta, ID</t>
        </is>
      </c>
      <c r="D14613" t="inlineStr">
        <is>
          <t>18.09.2026</t>
        </is>
      </c>
      <c r="E14613" t="inlineStr">
        <is>
          <t>Taiwan</t>
        </is>
      </c>
    </row>
    <row r="14614">
      <c r="A14614" t="inlineStr">
        <is>
          <t>XIAMEN BIEN HOA IMPORT EXPORT CO.,LTD,  honai ward, dong nai province, Vietnam</t>
        </is>
      </c>
      <c r="B14614" t="inlineStr">
        <is>
          <t>Processing Unit, Trader</t>
        </is>
      </c>
      <c r="C14614" t="inlineStr">
        <is>
          <t>CTI Certification Co. Ltd, Shenzhen, CN</t>
        </is>
      </c>
      <c r="D14614" t="inlineStr">
        <is>
          <t>18.09.2026</t>
        </is>
      </c>
      <c r="E14614" t="inlineStr">
        <is>
          <t>Vietnam</t>
        </is>
      </c>
    </row>
    <row r="14615">
      <c r="A14615" t="inlineStr">
        <is>
          <t>Zhangzhou Yuncheng Trading Co., Ltd.,  ZHANGZHOU CITY, FUJIAN PROVINCE, China</t>
        </is>
      </c>
      <c r="B14615" t="inlineStr">
        <is>
          <t>Trader</t>
        </is>
      </c>
      <c r="C14615" t="inlineStr">
        <is>
          <t>CTI Certification Co. Ltd, Shenzhen, CN</t>
        </is>
      </c>
      <c r="D14615" t="inlineStr">
        <is>
          <t>18.09.2026</t>
        </is>
      </c>
      <c r="E14615" t="inlineStr">
        <is>
          <t>China</t>
        </is>
      </c>
    </row>
    <row r="14616">
      <c r="A14616" t="inlineStr">
        <is>
          <t>Zhangzhou Yuncheng Trading Co., Ltd.,  ZHANGZHOU CITY, FUJIAN PROVINCE, China</t>
        </is>
      </c>
      <c r="B14616" t="inlineStr">
        <is>
          <t>Trader</t>
        </is>
      </c>
      <c r="C14616" t="inlineStr">
        <is>
          <t>CTI Certification Co. Ltd, Shenzhen, CN</t>
        </is>
      </c>
      <c r="D14616" t="inlineStr">
        <is>
          <t>18.09.2026</t>
        </is>
      </c>
      <c r="E14616" t="inlineStr">
        <is>
          <t>China</t>
        </is>
      </c>
    </row>
    <row r="14617">
      <c r="A14617" t="inlineStr">
        <is>
          <t>Polyplex USA,  Decatur, United States</t>
        </is>
      </c>
      <c r="B14617" t="inlineStr">
        <is>
          <t>Processing Unit</t>
        </is>
      </c>
      <c r="C14617" t="inlineStr">
        <is>
          <t>PT Intertek Utama Services, Jakarta, ID</t>
        </is>
      </c>
      <c r="D14617" t="inlineStr">
        <is>
          <t>18.09.2026</t>
        </is>
      </c>
      <c r="E14617" t="inlineStr">
        <is>
          <t>United States</t>
        </is>
      </c>
    </row>
    <row r="14618">
      <c r="A14618" t="inlineStr">
        <is>
          <t>Contec S.A,  Szczecin, Poland</t>
        </is>
      </c>
      <c r="B14618" t="inlineStr">
        <is>
          <t>Collecting Point, Processing Unit</t>
        </is>
      </c>
      <c r="C14618" t="inlineStr">
        <is>
          <t>Bureau Veritas Polska Sp. z o.o., Warsaw, PL</t>
        </is>
      </c>
      <c r="D14618" t="inlineStr">
        <is>
          <t>18.09.2026</t>
        </is>
      </c>
      <c r="E14618" t="inlineStr">
        <is>
          <t>Poland</t>
        </is>
      </c>
    </row>
    <row r="14619">
      <c r="A14619" t="inlineStr">
        <is>
          <t>Contec S.A,  Szczecin, Poland</t>
        </is>
      </c>
      <c r="B14619" t="inlineStr">
        <is>
          <t>Collecting Point, Processing Unit</t>
        </is>
      </c>
      <c r="C14619" t="inlineStr">
        <is>
          <t>Bureau Veritas Polska Sp. z o.o., Warsaw, PL</t>
        </is>
      </c>
      <c r="D14619" t="inlineStr">
        <is>
          <t>18.09.2026</t>
        </is>
      </c>
      <c r="E14619" t="inlineStr">
        <is>
          <t>Poland</t>
        </is>
      </c>
    </row>
    <row r="14620">
      <c r="A14620" t="inlineStr">
        <is>
          <t>MOLINO SUL CLITUNNO,  TREVI, Italy</t>
        </is>
      </c>
      <c r="B14620" t="inlineStr">
        <is>
          <t>First Gathering Point, Processing Unit</t>
        </is>
      </c>
      <c r="C14620" t="inlineStr">
        <is>
          <t>DNV Business Assurance Sweden AB, Solna, SE</t>
        </is>
      </c>
      <c r="D14620" t="inlineStr">
        <is>
          <t>18.09.2026</t>
        </is>
      </c>
      <c r="E14620" t="inlineStr">
        <is>
          <t>Italy</t>
        </is>
      </c>
    </row>
    <row r="14621">
      <c r="A14621" t="inlineStr">
        <is>
          <t>Limited liability company VINTECH Ukraine,  Vinnytsia, Ukraine</t>
        </is>
      </c>
      <c r="B14621" t="inlineStr">
        <is>
          <t>Collecting Point</t>
        </is>
      </c>
      <c r="C14621" t="inlineStr">
        <is>
          <t>Organic Standard Ltd, Kyiv, UA</t>
        </is>
      </c>
      <c r="D14621" t="inlineStr">
        <is>
          <t>18.09.2026</t>
        </is>
      </c>
      <c r="E14621" t="inlineStr">
        <is>
          <t>Ukraine</t>
        </is>
      </c>
    </row>
    <row r="14622">
      <c r="A14622" t="inlineStr">
        <is>
          <t>FRIGO S.M.P.C.,  S. GEORGE-IMATHIA-VERIA, Greece</t>
        </is>
      </c>
      <c r="B14622" t="inlineStr">
        <is>
          <t>Collecting Point</t>
        </is>
      </c>
      <c r="C14622" t="inlineStr">
        <is>
          <t>Eurocert SA, Metamorfosi, Athens, GR</t>
        </is>
      </c>
      <c r="D14622" t="inlineStr">
        <is>
          <t>18.09.2026</t>
        </is>
      </c>
      <c r="E14622" t="inlineStr">
        <is>
          <t>Greece</t>
        </is>
      </c>
    </row>
    <row r="14623">
      <c r="A14623" t="inlineStr">
        <is>
          <t>Nordtraube Peru,  Lima, Peru</t>
        </is>
      </c>
      <c r="B14623" t="inlineStr">
        <is>
          <t>Processing Unit, Point of Origin, Warehouse, Trader</t>
        </is>
      </c>
      <c r="C14623" t="inlineStr">
        <is>
          <t>Certificadora Gallega del Noroeste SL, Vilagarcia de Arousa-Pontevedra, ES</t>
        </is>
      </c>
      <c r="D14623" t="inlineStr">
        <is>
          <t>18.09.2026</t>
        </is>
      </c>
      <c r="E14623" t="inlineStr">
        <is>
          <t>Peru</t>
        </is>
      </c>
    </row>
    <row r="14624">
      <c r="A14624" t="inlineStr">
        <is>
          <t>Continental Industries Group,  Manhattan, United States</t>
        </is>
      </c>
      <c r="B14624" t="inlineStr">
        <is>
          <t>Trader</t>
        </is>
      </c>
      <c r="C14624" t="inlineStr">
        <is>
          <t>Control Union Poland Sp. z o.o., Zielona Gora, PL</t>
        </is>
      </c>
      <c r="D14624" t="inlineStr">
        <is>
          <t>18.09.2026</t>
        </is>
      </c>
      <c r="E14624" t="inlineStr">
        <is>
          <t>United States</t>
        </is>
      </c>
    </row>
    <row r="14625">
      <c r="A14625" t="inlineStr">
        <is>
          <t>Harvest Group SA,  Morges, Switzerland</t>
        </is>
      </c>
      <c r="B14625" t="inlineStr">
        <is>
          <t>Trader</t>
        </is>
      </c>
      <c r="C14625" t="inlineStr">
        <is>
          <t>Control Union Certifications Germany GmbH, Berlin, DE</t>
        </is>
      </c>
      <c r="D14625" t="inlineStr">
        <is>
          <t>18.09.2026</t>
        </is>
      </c>
      <c r="E14625" t="inlineStr">
        <is>
          <t>Switzerland</t>
        </is>
      </c>
    </row>
    <row r="14626">
      <c r="A14626" t="inlineStr">
        <is>
          <t>LLC "UKRMASLOTRADE",  Kyiv, Ukraine</t>
        </is>
      </c>
      <c r="B14626" t="inlineStr">
        <is>
          <t>Trader</t>
        </is>
      </c>
      <c r="C14626" t="inlineStr">
        <is>
          <t>RINA Services S.p.A., Genova, IT</t>
        </is>
      </c>
      <c r="D14626" t="inlineStr">
        <is>
          <t>17.09.2026</t>
        </is>
      </c>
      <c r="E14626" t="inlineStr">
        <is>
          <t>Ukraine</t>
        </is>
      </c>
    </row>
    <row r="14627">
      <c r="A14627" t="inlineStr">
        <is>
          <t>SHAWN INTERNATIONAL TRADING AND TECHNICAL COMPANY,  SOHAR, Oman</t>
        </is>
      </c>
      <c r="B14627" t="inlineStr">
        <is>
          <t>Collecting Point</t>
        </is>
      </c>
      <c r="C14627" t="inlineStr">
        <is>
          <t>PT Mutuagung Lestari, Depok, ID</t>
        </is>
      </c>
      <c r="D14627" t="inlineStr">
        <is>
          <t>17.09.2026</t>
        </is>
      </c>
      <c r="E14627" t="inlineStr">
        <is>
          <t>Oman</t>
        </is>
      </c>
    </row>
    <row r="14628">
      <c r="A14628" t="inlineStr">
        <is>
          <t>Lianyungang Weilesi New Energy Technology Co., Ltd.,  Ganyu District, Lianyungang City, China</t>
        </is>
      </c>
      <c r="B14628" t="inlineStr">
        <is>
          <t>Collecting Point, Trader with Storage</t>
        </is>
      </c>
      <c r="C14628" t="inlineStr">
        <is>
          <t>SCS Global Services, Emeryville, CA, US</t>
        </is>
      </c>
      <c r="D14628" t="inlineStr">
        <is>
          <t>17.09.2026</t>
        </is>
      </c>
      <c r="E14628" t="inlineStr">
        <is>
          <t>China</t>
        </is>
      </c>
    </row>
    <row r="14629">
      <c r="A14629" t="inlineStr">
        <is>
          <t>ADAMANT ASIA COMPANY,  hanh My Tay Ward, Ho Chi Minh City, Vietnam,, Vietnam</t>
        </is>
      </c>
      <c r="B14629" t="inlineStr">
        <is>
          <t>Trader with Storage</t>
        </is>
      </c>
      <c r="C14629" t="inlineStr">
        <is>
          <t>RINA Services S.p.A., Genova, IT</t>
        </is>
      </c>
      <c r="D14629" t="inlineStr">
        <is>
          <t>17.09.2026</t>
        </is>
      </c>
      <c r="E14629" t="inlineStr">
        <is>
          <t>Vietnam</t>
        </is>
      </c>
    </row>
    <row r="14630">
      <c r="A14630" t="inlineStr">
        <is>
          <t>PPC Moulding Services (Malaysia) Sdn. Bhd.,  Senai, Malaysia</t>
        </is>
      </c>
      <c r="B14630" t="inlineStr">
        <is>
          <t>Processing Unit</t>
        </is>
      </c>
      <c r="C14630" t="inlineStr">
        <is>
          <t>Trans Certification and Inspection Sdn Bhd, Kuantan, MY</t>
        </is>
      </c>
      <c r="D14630" t="inlineStr">
        <is>
          <t>17.09.2026</t>
        </is>
      </c>
      <c r="E14630" t="inlineStr">
        <is>
          <t>Malaysia</t>
        </is>
      </c>
    </row>
    <row r="14631">
      <c r="A14631" t="inlineStr">
        <is>
          <t>Daicel HPP Taiwan Co., Ltd.,  Daliao District, Kaohsiung City,, Taiwan</t>
        </is>
      </c>
      <c r="B14631" t="inlineStr">
        <is>
          <t>Trader with Storage, Processing Unit</t>
        </is>
      </c>
      <c r="C14631" t="inlineStr">
        <is>
          <t>Control Union Certifications Germany GmbH, Berlin, DE</t>
        </is>
      </c>
      <c r="D14631" t="inlineStr">
        <is>
          <t>17.09.2026</t>
        </is>
      </c>
      <c r="E14631" t="inlineStr">
        <is>
          <t>Taiwan</t>
        </is>
      </c>
    </row>
    <row r="14632">
      <c r="A14632" t="inlineStr">
        <is>
          <t>ADAMANT ASIA COMPANY,  Thanh My Tay Ward, Ho Chi Minh City, Vietnam</t>
        </is>
      </c>
      <c r="B14632" t="inlineStr">
        <is>
          <t>Collecting Point, Trader with Storage</t>
        </is>
      </c>
      <c r="C14632" t="inlineStr">
        <is>
          <t>RINA Services S.p.A., Genova, IT</t>
        </is>
      </c>
      <c r="D14632" t="inlineStr">
        <is>
          <t>17.09.2026</t>
        </is>
      </c>
      <c r="E14632" t="inlineStr">
        <is>
          <t>Vietnam</t>
        </is>
      </c>
    </row>
    <row r="14633">
      <c r="A14633" t="inlineStr">
        <is>
          <t>Enviro Alam Pratama,  Jakarta, Jakarta Utara, Indonesia</t>
        </is>
      </c>
      <c r="B14633" t="inlineStr">
        <is>
          <t>Collecting Point, Trader with Storage</t>
        </is>
      </c>
      <c r="C14633" t="inlineStr">
        <is>
          <t>PT Mutuagung Lestari, Depok, ID</t>
        </is>
      </c>
      <c r="D14633" t="inlineStr">
        <is>
          <t>17.09.2026</t>
        </is>
      </c>
      <c r="E14633" t="inlineStr">
        <is>
          <t>Indonesia</t>
        </is>
      </c>
    </row>
    <row r="14634">
      <c r="A14634" t="inlineStr">
        <is>
          <t>Primex Plastics Corporation,  Reedsburg, WI, United States</t>
        </is>
      </c>
      <c r="B14634" t="inlineStr">
        <is>
          <t>Collecting Point, Processing Unit</t>
        </is>
      </c>
      <c r="C14634" t="inlineStr">
        <is>
          <t>SCS Global Services, Emeryville, CA, US</t>
        </is>
      </c>
      <c r="D14634" t="inlineStr">
        <is>
          <t>17.09.2026</t>
        </is>
      </c>
      <c r="E14634" t="inlineStr">
        <is>
          <t>United States</t>
        </is>
      </c>
    </row>
    <row r="14635">
      <c r="A14635" t="inlineStr">
        <is>
          <t>Yeochun NCC,  Jongno-gu, Seoul, Korea, Republic of</t>
        </is>
      </c>
      <c r="B14635" t="inlineStr">
        <is>
          <t>Trader</t>
        </is>
      </c>
      <c r="C14635" t="inlineStr">
        <is>
          <t>Control Union Certifications Germany GmbH, Berlin, DE</t>
        </is>
      </c>
      <c r="D14635" t="inlineStr">
        <is>
          <t>17.09.2026</t>
        </is>
      </c>
      <c r="E14635" t="inlineStr">
        <is>
          <t>Republic of</t>
        </is>
      </c>
    </row>
    <row r="14636">
      <c r="A14636" t="inlineStr">
        <is>
          <t>Yeochun NCC(Yeosu Plant),  Yeosu, Jeollanam-Do, Korea, Republic of</t>
        </is>
      </c>
      <c r="B14636" t="inlineStr">
        <is>
          <t>Processing Unit</t>
        </is>
      </c>
      <c r="C14636" t="inlineStr">
        <is>
          <t>Control Union Certifications Germany GmbH, Berlin, DE</t>
        </is>
      </c>
      <c r="D14636" t="inlineStr">
        <is>
          <t>17.09.2026</t>
        </is>
      </c>
      <c r="E14636" t="inlineStr">
        <is>
          <t>Republic of</t>
        </is>
      </c>
    </row>
    <row r="14637">
      <c r="A14637" t="inlineStr">
        <is>
          <t>Új Kalászka Mezőgazdasági Szövetkezet,  Töltéstava, Hungary</t>
        </is>
      </c>
      <c r="B14637" t="inlineStr">
        <is>
          <t>First Gathering Point</t>
        </is>
      </c>
      <c r="C14637" t="inlineStr">
        <is>
          <t>Bureau Veritas Polska Sp. z o.o., Warsaw, PL</t>
        </is>
      </c>
      <c r="D14637" t="inlineStr">
        <is>
          <t>17.09.2026</t>
        </is>
      </c>
      <c r="E14637" t="inlineStr">
        <is>
          <t>Hungary</t>
        </is>
      </c>
    </row>
    <row r="14638">
      <c r="A14638" t="inlineStr">
        <is>
          <t>Kyodo Printing Co., Ltd.,  Gokamachi, Sashima-gun, Ibaraki, Japan</t>
        </is>
      </c>
      <c r="B14638" t="inlineStr">
        <is>
          <t>Processing Unit</t>
        </is>
      </c>
      <c r="C14638" t="inlineStr">
        <is>
          <t>SGS Germany GmbH, Emstek, DE</t>
        </is>
      </c>
      <c r="D14638" t="inlineStr">
        <is>
          <t>17.09.2026</t>
        </is>
      </c>
      <c r="E14638" t="inlineStr">
        <is>
          <t>Japan</t>
        </is>
      </c>
    </row>
    <row r="14639">
      <c r="A14639" t="inlineStr">
        <is>
          <t>A K Corporation LLC,  Dubai, United Arab Emirates</t>
        </is>
      </c>
      <c r="B14639" t="inlineStr">
        <is>
          <t>Collecting Point, Trader with Storage</t>
        </is>
      </c>
      <c r="C14639" t="inlineStr">
        <is>
          <t>Alcumus ISOQAR Ltd, Stretford, Manchester, GB</t>
        </is>
      </c>
      <c r="D14639" t="inlineStr">
        <is>
          <t>17.09.2026</t>
        </is>
      </c>
      <c r="E14639" t="inlineStr">
        <is>
          <t>United Arab Emirates</t>
        </is>
      </c>
    </row>
    <row r="14640">
      <c r="A14640" t="inlineStr">
        <is>
          <t>LOTTE Chemical Hungary Ltd.,  Kornye, Hungary</t>
        </is>
      </c>
      <c r="B14640" t="inlineStr">
        <is>
          <t>Processing Unit</t>
        </is>
      </c>
      <c r="C14640" t="inlineStr">
        <is>
          <t>Control Union Certifications Germany GmbH, Berlin, DE</t>
        </is>
      </c>
      <c r="D14640" t="inlineStr">
        <is>
          <t>17.09.2026</t>
        </is>
      </c>
      <c r="E14640" t="inlineStr">
        <is>
          <t>Hungary</t>
        </is>
      </c>
    </row>
    <row r="14641">
      <c r="A14641" t="inlineStr">
        <is>
          <t>Optimusagro Trade LLC,  Dnipro, Dnipropetrovsk region, Ukraine</t>
        </is>
      </c>
      <c r="B14641" t="inlineStr">
        <is>
          <t>First Gathering Point, Trader with Storage, Processing Unit</t>
        </is>
      </c>
      <c r="C14641" t="inlineStr">
        <is>
          <t>BM Certification, Riga, LV</t>
        </is>
      </c>
      <c r="D14641" t="inlineStr">
        <is>
          <t>17.09.2026</t>
        </is>
      </c>
      <c r="E14641" t="inlineStr">
        <is>
          <t>Ukraine</t>
        </is>
      </c>
    </row>
    <row r="14642">
      <c r="A14642" t="inlineStr">
        <is>
          <t>MITSUI &amp; CO.(SHANGHAI) LTD.,  Pudong New Area, Shanghai, China</t>
        </is>
      </c>
      <c r="B14642" t="inlineStr">
        <is>
          <t>Trader</t>
        </is>
      </c>
      <c r="C14642" t="inlineStr">
        <is>
          <t>SCS Global Services, Emeryville, CA, US</t>
        </is>
      </c>
      <c r="D14642" t="inlineStr">
        <is>
          <t>17.09.2026</t>
        </is>
      </c>
      <c r="E14642" t="inlineStr">
        <is>
          <t>China</t>
        </is>
      </c>
    </row>
    <row r="14643">
      <c r="A14643" t="inlineStr">
        <is>
          <t>Jinyuan International Petrochemical Limited,  HONG KONG, China</t>
        </is>
      </c>
      <c r="B14643" t="inlineStr">
        <is>
          <t>Trader with Storage</t>
        </is>
      </c>
      <c r="C14643" t="inlineStr">
        <is>
          <t>SCS Global Services, Emeryville, CA, US</t>
        </is>
      </c>
      <c r="D14643" t="inlineStr">
        <is>
          <t>17.09.2026</t>
        </is>
      </c>
      <c r="E14643" t="inlineStr">
        <is>
          <t>China</t>
        </is>
      </c>
    </row>
    <row r="14644">
      <c r="A14644" t="inlineStr">
        <is>
          <t>Shanghai Zhongqi Environment Technology Co., LTD,  Shanghai, China</t>
        </is>
      </c>
      <c r="B14644" t="inlineStr">
        <is>
          <t>Collecting Point, Processing Unit, Trader</t>
        </is>
      </c>
      <c r="C14644" t="inlineStr">
        <is>
          <t>RINA Services S.p.A., Genova, IT</t>
        </is>
      </c>
      <c r="D14644" t="inlineStr">
        <is>
          <t>17.09.2026</t>
        </is>
      </c>
      <c r="E14644" t="inlineStr">
        <is>
          <t>China</t>
        </is>
      </c>
    </row>
    <row r="14645">
      <c r="A14645" t="inlineStr">
        <is>
          <t>Agro Palindo Sakti 2,  West Kalimantan, Indonesia</t>
        </is>
      </c>
      <c r="B14645" t="inlineStr">
        <is>
          <t>Point of Origin</t>
        </is>
      </c>
      <c r="C14645" t="inlineStr">
        <is>
          <t>PT. Qualitas Sertifikasi Indonesia, Jakarta, ID</t>
        </is>
      </c>
      <c r="D14645" t="inlineStr">
        <is>
          <t>17.09.2026</t>
        </is>
      </c>
      <c r="E14645" t="inlineStr">
        <is>
          <t>Indonesia</t>
        </is>
      </c>
    </row>
    <row r="14646">
      <c r="A14646" t="inlineStr">
        <is>
          <t>Agronusa Investama,  Kabupaten Landak, West Kalimantan, Indonesia</t>
        </is>
      </c>
      <c r="B14646" t="inlineStr">
        <is>
          <t>Point of Origin</t>
        </is>
      </c>
      <c r="C14646" t="inlineStr">
        <is>
          <t>PT. Qualitas Sertifikasi Indonesia, Jakarta, ID</t>
        </is>
      </c>
      <c r="D14646" t="inlineStr">
        <is>
          <t>17.09.2026</t>
        </is>
      </c>
      <c r="E14646" t="inlineStr">
        <is>
          <t>Indonesia</t>
        </is>
      </c>
    </row>
    <row r="14647">
      <c r="A14647" t="inlineStr">
        <is>
          <t>Agronusa Investama,  West Kalimantan, Indonesia</t>
        </is>
      </c>
      <c r="B14647" t="inlineStr">
        <is>
          <t>Point of Origin</t>
        </is>
      </c>
      <c r="C14647" t="inlineStr">
        <is>
          <t>PT. Qualitas Sertifikasi Indonesia, Jakarta, ID</t>
        </is>
      </c>
      <c r="D14647" t="inlineStr">
        <is>
          <t>17.09.2026</t>
        </is>
      </c>
      <c r="E14647" t="inlineStr">
        <is>
          <t>Indonesia</t>
        </is>
      </c>
    </row>
    <row r="14648">
      <c r="A14648" t="inlineStr">
        <is>
          <t>Mercantile &amp; Maritime Energy Pte. Ltd.,  Singapore, Singapore</t>
        </is>
      </c>
      <c r="B14648" t="inlineStr">
        <is>
          <t>Trader</t>
        </is>
      </c>
      <c r="C14648" t="inlineStr">
        <is>
          <t>Control Union Certifications Germany GmbH, Berlin, DE</t>
        </is>
      </c>
      <c r="D14648" t="inlineStr">
        <is>
          <t>17.09.2026</t>
        </is>
      </c>
      <c r="E14648" t="inlineStr">
        <is>
          <t>Singapore</t>
        </is>
      </c>
    </row>
    <row r="14649">
      <c r="A14649" t="inlineStr">
        <is>
          <t>Star Fuels Marketing Limited,  Chatuchak, Bangkok, Thailand</t>
        </is>
      </c>
      <c r="B14649" t="inlineStr">
        <is>
          <t>Trader with Storage</t>
        </is>
      </c>
      <c r="C14649" t="inlineStr">
        <is>
          <t>Control Union Certifications Germany GmbH, Berlin, DE</t>
        </is>
      </c>
      <c r="D14649" t="inlineStr">
        <is>
          <t>17.09.2026</t>
        </is>
      </c>
      <c r="E14649" t="inlineStr">
        <is>
          <t>Thailand</t>
        </is>
      </c>
    </row>
    <row r="14650">
      <c r="A14650" t="inlineStr">
        <is>
          <t>Jiangxi Luxin Optical Co., Ltd.,  Yingtan City, Jiangxi Province, China</t>
        </is>
      </c>
      <c r="B14650" t="inlineStr">
        <is>
          <t>Final Product Refinement</t>
        </is>
      </c>
      <c r="C14650" t="inlineStr">
        <is>
          <t>PT Intertek Utama Services, Jakarta, ID</t>
        </is>
      </c>
      <c r="D14650" t="inlineStr">
        <is>
          <t>17.09.2026</t>
        </is>
      </c>
      <c r="E14650" t="inlineStr">
        <is>
          <t>China</t>
        </is>
      </c>
    </row>
    <row r="14651">
      <c r="A14651" t="inlineStr">
        <is>
          <t>ESTRATEGIA NARANJA SAS,  Bogota D.C, Colombia</t>
        </is>
      </c>
      <c r="B14651" t="inlineStr">
        <is>
          <t>Trader</t>
        </is>
      </c>
      <c r="C14651" t="inlineStr">
        <is>
          <t>Certificadora Gallega del Noroeste SL, Vilagarcia de Arousa-Pontevedra, ES</t>
        </is>
      </c>
      <c r="D14651" t="inlineStr">
        <is>
          <t>17.09.2026</t>
        </is>
      </c>
      <c r="E14651" t="inlineStr">
        <is>
          <t>Colombia</t>
        </is>
      </c>
    </row>
    <row r="14652">
      <c r="A14652" t="inlineStr">
        <is>
          <t>ESTRATEGIA NARANJA SAS,  Bogota D.C, Colombia</t>
        </is>
      </c>
      <c r="B14652" t="inlineStr">
        <is>
          <t>Trader</t>
        </is>
      </c>
      <c r="C14652" t="inlineStr">
        <is>
          <t>Certificadora Gallega del Noroeste SL, Vilagarcia de Arousa-Pontevedra, ES</t>
        </is>
      </c>
      <c r="D14652" t="inlineStr">
        <is>
          <t>17.09.2026</t>
        </is>
      </c>
      <c r="E14652" t="inlineStr">
        <is>
          <t>Colombia</t>
        </is>
      </c>
    </row>
    <row r="14653">
      <c r="A14653" t="inlineStr">
        <is>
          <t>Domo Engineering Plastics Poland sp. z o.o.,  Gorzów Wielkopolski, Poland</t>
        </is>
      </c>
      <c r="B14653" t="inlineStr">
        <is>
          <t>Processing Unit</t>
        </is>
      </c>
      <c r="C14653" t="inlineStr">
        <is>
          <t>SGS Germany GmbH, Emstek, DE</t>
        </is>
      </c>
      <c r="D14653" t="inlineStr">
        <is>
          <t>17.09.2026</t>
        </is>
      </c>
      <c r="E14653" t="inlineStr">
        <is>
          <t>Poland</t>
        </is>
      </c>
    </row>
    <row r="14654">
      <c r="A14654" t="inlineStr">
        <is>
          <t>LNZ International AG,  Zug, Switzerland</t>
        </is>
      </c>
      <c r="B14654" t="inlineStr">
        <is>
          <t>First Gathering Point, Trader</t>
        </is>
      </c>
      <c r="C14654" t="inlineStr">
        <is>
          <t>Aciter Genelab LLC, Odessa, UA</t>
        </is>
      </c>
      <c r="D14654" t="inlineStr">
        <is>
          <t>17.09.2026</t>
        </is>
      </c>
      <c r="E14654" t="inlineStr">
        <is>
          <t>Switzerland</t>
        </is>
      </c>
    </row>
    <row r="14655">
      <c r="A14655" t="inlineStr">
        <is>
          <t>BY-PRODUCT s.r.o.,  Rimavská Sobota, Slovakia</t>
        </is>
      </c>
      <c r="B14655" t="inlineStr">
        <is>
          <t>Trader, Collecting Point</t>
        </is>
      </c>
      <c r="C14655" t="inlineStr">
        <is>
          <t>United Registrar of Systems Polska Sp. z o.o., Wrocław, PL</t>
        </is>
      </c>
      <c r="D14655" t="inlineStr">
        <is>
          <t>17.09.2026</t>
        </is>
      </c>
      <c r="E14655" t="inlineStr">
        <is>
          <t>Slovakia</t>
        </is>
      </c>
    </row>
    <row r="14656">
      <c r="A14656" t="inlineStr">
        <is>
          <t>MSL WASTE OIL LTD,  Brières-les-Scellés, France</t>
        </is>
      </c>
      <c r="B14656" t="inlineStr">
        <is>
          <t>Collecting Point</t>
        </is>
      </c>
      <c r="C14656" t="inlineStr">
        <is>
          <t>BM Certification, Riga, LV</t>
        </is>
      </c>
      <c r="D14656" t="inlineStr">
        <is>
          <t>17.09.2026</t>
        </is>
      </c>
      <c r="E14656" t="inlineStr">
        <is>
          <t>France</t>
        </is>
      </c>
    </row>
    <row r="14657">
      <c r="A14657" t="inlineStr">
        <is>
          <t>Shandong Youkou Energy Technology Development Co., Ltd,  Linqing City, Liaocheng City, Shandong Province, China</t>
        </is>
      </c>
      <c r="B14657" t="inlineStr">
        <is>
          <t>Trader with Storage, Collecting Point</t>
        </is>
      </c>
      <c r="C14657" t="inlineStr">
        <is>
          <t>SCS Global Services, Emeryville, CA, US</t>
        </is>
      </c>
      <c r="D14657" t="inlineStr">
        <is>
          <t>17.09.2026</t>
        </is>
      </c>
      <c r="E14657" t="inlineStr">
        <is>
          <t>China</t>
        </is>
      </c>
    </row>
    <row r="14658">
      <c r="A14658" t="inlineStr">
        <is>
          <t>JBS S/A,  Campo Verde, Brazil</t>
        </is>
      </c>
      <c r="B14658" t="inlineStr">
        <is>
          <t>Collecting Point, Processing Unit</t>
        </is>
      </c>
      <c r="C14658" t="inlineStr">
        <is>
          <t>Control Union Certifications Germany GmbH, Berlin, DE</t>
        </is>
      </c>
      <c r="D14658" t="inlineStr">
        <is>
          <t>17.09.2026</t>
        </is>
      </c>
      <c r="E14658" t="inlineStr">
        <is>
          <t>Brazil</t>
        </is>
      </c>
    </row>
    <row r="14659">
      <c r="A14659" t="inlineStr">
        <is>
          <t>Carmelo Palermo Olii S.r.l.,  Ribera, Italy</t>
        </is>
      </c>
      <c r="B14659" t="inlineStr">
        <is>
          <t>Point of Origin</t>
        </is>
      </c>
      <c r="C14659" t="inlineStr">
        <is>
          <t>RINA Services S.p.A., Genova, IT</t>
        </is>
      </c>
      <c r="D14659" t="inlineStr">
        <is>
          <t>17.09.2026</t>
        </is>
      </c>
      <c r="E14659" t="inlineStr">
        <is>
          <t>Italy</t>
        </is>
      </c>
    </row>
    <row r="14660">
      <c r="A14660" t="inlineStr">
        <is>
          <t>Adamant Asia Company,  Minh Hung Ward, Dong Nai Province, Vietnam</t>
        </is>
      </c>
      <c r="B14660" t="inlineStr">
        <is>
          <t>Processing Unit, Warehouse</t>
        </is>
      </c>
      <c r="C14660" t="inlineStr">
        <is>
          <t>RINA Services S.p.A., Genova, IT</t>
        </is>
      </c>
      <c r="D14660" t="inlineStr">
        <is>
          <t>17.09.2026</t>
        </is>
      </c>
      <c r="E14660" t="inlineStr">
        <is>
          <t>Vietnam</t>
        </is>
      </c>
    </row>
    <row r="14661">
      <c r="A14661" t="inlineStr">
        <is>
          <t>MEMI MILTO TOU FILIPPA,  ST. STEFANOS, ATHENS, Greece</t>
        </is>
      </c>
      <c r="B14661" t="inlineStr">
        <is>
          <t>Collecting Point</t>
        </is>
      </c>
      <c r="C14661" t="inlineStr">
        <is>
          <t>Eurocert SA, Metamorfosi, Athens, GR</t>
        </is>
      </c>
      <c r="D14661" t="inlineStr">
        <is>
          <t>17.09.2026</t>
        </is>
      </c>
      <c r="E14661" t="inlineStr">
        <is>
          <t>Greece</t>
        </is>
      </c>
    </row>
    <row r="14662">
      <c r="A14662" t="inlineStr">
        <is>
          <t>Guangdong Guoheng Youhe Advanced Materials Co., Ltd.,  Dongguan City, Guangdong Province, China</t>
        </is>
      </c>
      <c r="B14662" t="inlineStr">
        <is>
          <t>Processing Unit</t>
        </is>
      </c>
      <c r="C14662" t="inlineStr">
        <is>
          <t>China Quality Certification Centre Co., Ltd., Beijing, CN</t>
        </is>
      </c>
      <c r="D14662" t="inlineStr">
        <is>
          <t>17.09.2026</t>
        </is>
      </c>
      <c r="E14662" t="inlineStr">
        <is>
          <t>China</t>
        </is>
      </c>
    </row>
    <row r="14663">
      <c r="A14663" t="inlineStr">
        <is>
          <t>Emax Solutions Co., Ltd.,  Seo-myeon, Suncheon-si, Jeollanam-do, Korea, Republic of</t>
        </is>
      </c>
      <c r="B14663" t="inlineStr">
        <is>
          <t>Processing Unit, Point of Origin</t>
        </is>
      </c>
      <c r="C14663" t="inlineStr">
        <is>
          <t>Control Union Certifications Germany GmbH, Berlin, DE</t>
        </is>
      </c>
      <c r="D14663" t="inlineStr">
        <is>
          <t>17.09.2026</t>
        </is>
      </c>
      <c r="E14663" t="inlineStr">
        <is>
          <t>Republic of</t>
        </is>
      </c>
    </row>
    <row r="14664">
      <c r="A14664" t="inlineStr">
        <is>
          <t>Shandong Hongxuan Bioenergy Co., Ltd.,  Zouping City, Binzhou City, China</t>
        </is>
      </c>
      <c r="B14664" t="inlineStr">
        <is>
          <t>Collecting Point</t>
        </is>
      </c>
      <c r="C14664" t="inlineStr">
        <is>
          <t>SCS Global Services, Emeryville, CA, US</t>
        </is>
      </c>
      <c r="D14664" t="inlineStr">
        <is>
          <t>16.09.2026</t>
        </is>
      </c>
      <c r="E14664" t="inlineStr">
        <is>
          <t>China</t>
        </is>
      </c>
    </row>
    <row r="14665">
      <c r="A14665" t="inlineStr">
        <is>
          <t>XIAMEN JESS OPTICAL CO., LTD.,  XIAMEN, China</t>
        </is>
      </c>
      <c r="B14665" t="inlineStr">
        <is>
          <t>Processing Unit</t>
        </is>
      </c>
      <c r="C14665" t="inlineStr">
        <is>
          <t>RINA Services S.p.A., Genova, IT</t>
        </is>
      </c>
      <c r="D14665" t="inlineStr">
        <is>
          <t>16.09.2026</t>
        </is>
      </c>
      <c r="E14665" t="inlineStr">
        <is>
          <t>China</t>
        </is>
      </c>
    </row>
    <row r="14666">
      <c r="A14666" t="inlineStr">
        <is>
          <t>VALIN STEEL (SINGAPORE) PTE. LTD.,  Tianxin District, Changsha City, Hunan Province, China</t>
        </is>
      </c>
      <c r="B14666" t="inlineStr">
        <is>
          <t>Trader</t>
        </is>
      </c>
      <c r="C14666" t="inlineStr">
        <is>
          <t>RINA Services S.p.A., Genova, IT</t>
        </is>
      </c>
      <c r="D14666" t="inlineStr">
        <is>
          <t>16.09.2026</t>
        </is>
      </c>
      <c r="E14666" t="inlineStr">
        <is>
          <t>China</t>
        </is>
      </c>
    </row>
    <row r="14667">
      <c r="A14667" t="inlineStr">
        <is>
          <t>Grünig KG,  Bad Kissingen, Germany</t>
        </is>
      </c>
      <c r="B14667" t="inlineStr">
        <is>
          <t>Processing Unit</t>
        </is>
      </c>
      <c r="C14667" t="inlineStr">
        <is>
          <t>DQS CFS GmbH - Deutsche Gesellschaft für Nachhaltigkeit, Frankfurt am Main, DE</t>
        </is>
      </c>
      <c r="D14667" t="inlineStr">
        <is>
          <t>16.09.2026</t>
        </is>
      </c>
      <c r="E14667" t="inlineStr">
        <is>
          <t>Germany</t>
        </is>
      </c>
    </row>
    <row r="14668">
      <c r="A14668" t="inlineStr">
        <is>
          <t>Zhejiang Hindar Optical Co., LTD.,  Wenzhou City, Zhejiang Province, China</t>
        </is>
      </c>
      <c r="B14668" t="inlineStr">
        <is>
          <t>Trader with Storage, Processing Unit</t>
        </is>
      </c>
      <c r="C14668" t="inlineStr">
        <is>
          <t>SCS Global Services, Emeryville, CA, US</t>
        </is>
      </c>
      <c r="D14668" t="inlineStr">
        <is>
          <t>16.09.2026</t>
        </is>
      </c>
      <c r="E14668" t="inlineStr">
        <is>
          <t>China</t>
        </is>
      </c>
    </row>
    <row r="14669">
      <c r="A14669" t="inlineStr">
        <is>
          <t>HIROKAWA HORIZON CO.,LTD.,  Osaka, Japan</t>
        </is>
      </c>
      <c r="B14669" t="inlineStr">
        <is>
          <t>Trader with Storage</t>
        </is>
      </c>
      <c r="C14669" t="inlineStr">
        <is>
          <t>SGS Germany GmbH, Emstek, DE</t>
        </is>
      </c>
      <c r="D14669" t="inlineStr">
        <is>
          <t>16.09.2026</t>
        </is>
      </c>
      <c r="E14669" t="inlineStr">
        <is>
          <t>Japan</t>
        </is>
      </c>
    </row>
    <row r="14670">
      <c r="A14670" t="inlineStr">
        <is>
          <t>Independent Petroleum Resources SA,  Wollerau, Switzerland</t>
        </is>
      </c>
      <c r="B14670" t="inlineStr">
        <is>
          <t>Trader</t>
        </is>
      </c>
      <c r="C14670" t="inlineStr">
        <is>
          <t>CertRom SRL, Bucuresti, RO</t>
        </is>
      </c>
      <c r="D14670" t="inlineStr">
        <is>
          <t>16.09.2026</t>
        </is>
      </c>
      <c r="E14670" t="inlineStr">
        <is>
          <t>Switzerland</t>
        </is>
      </c>
    </row>
    <row r="14671">
      <c r="A14671" t="inlineStr">
        <is>
          <t>Shin-Etsu Singapore Pte Ltd,  #15-05/06 Great World City East Tower, Singapore, Singapore</t>
        </is>
      </c>
      <c r="B14671" t="inlineStr">
        <is>
          <t>Trader</t>
        </is>
      </c>
      <c r="C14671" t="inlineStr">
        <is>
          <t>PT TUV Rheinland Indonesia, Jakarta, ID</t>
        </is>
      </c>
      <c r="D14671" t="inlineStr">
        <is>
          <t>16.09.2026</t>
        </is>
      </c>
      <c r="E14671" t="inlineStr">
        <is>
          <t>Singapore</t>
        </is>
      </c>
    </row>
    <row r="14672">
      <c r="A14672" t="inlineStr">
        <is>
          <t>PT Indomas Mitra Teknik,  Desa Mardinding, Kecamatan Mardinding, Indonesia</t>
        </is>
      </c>
      <c r="B14672" t="inlineStr">
        <is>
          <t>Point of Origin</t>
        </is>
      </c>
      <c r="C14672" t="inlineStr">
        <is>
          <t>PT. Qualitas Sertifikasi Indonesia, Jakarta, ID</t>
        </is>
      </c>
      <c r="D14672" t="inlineStr">
        <is>
          <t>16.09.2026</t>
        </is>
      </c>
      <c r="E14672" t="inlineStr">
        <is>
          <t>Indonesia</t>
        </is>
      </c>
    </row>
    <row r="14673">
      <c r="A14673" t="inlineStr">
        <is>
          <t>AgroNordExport,  Petropavlovsk, Kazakhstan</t>
        </is>
      </c>
      <c r="B14673" t="inlineStr">
        <is>
          <t>Trader</t>
        </is>
      </c>
      <c r="C14673" t="inlineStr">
        <is>
          <t>BM Certification, Riga, LV</t>
        </is>
      </c>
      <c r="D14673" t="inlineStr">
        <is>
          <t>16.09.2026</t>
        </is>
      </c>
      <c r="E14673" t="inlineStr">
        <is>
          <t>Kazakhstan</t>
        </is>
      </c>
    </row>
    <row r="14674">
      <c r="A14674" t="inlineStr">
        <is>
          <t>Octane Eyewear (Shenzhen) Co., Ltd.,  Shenzhen City, Guangdong Province, China</t>
        </is>
      </c>
      <c r="B14674" t="inlineStr">
        <is>
          <t>Processing Unit</t>
        </is>
      </c>
      <c r="C14674" t="inlineStr">
        <is>
          <t>SCS Global Services, Emeryville, CA, US</t>
        </is>
      </c>
      <c r="D14674" t="inlineStr">
        <is>
          <t>16.09.2026</t>
        </is>
      </c>
      <c r="E14674" t="inlineStr">
        <is>
          <t>China</t>
        </is>
      </c>
    </row>
    <row r="14675">
      <c r="A14675" t="inlineStr">
        <is>
          <t>SOCAR TURKEY PETROL TICARET AS,  ISTANBUL, Turkey</t>
        </is>
      </c>
      <c r="B14675" t="inlineStr">
        <is>
          <t>Trader with Storage</t>
        </is>
      </c>
      <c r="C14675" t="inlineStr">
        <is>
          <t>PT Intertek Utama Services, Jakarta, ID</t>
        </is>
      </c>
      <c r="D14675" t="inlineStr">
        <is>
          <t>16.09.2026</t>
        </is>
      </c>
      <c r="E14675" t="inlineStr">
        <is>
          <t>Turkey</t>
        </is>
      </c>
    </row>
    <row r="14676">
      <c r="A14676" t="inlineStr">
        <is>
          <t>KAM 78-AGRO,  Sofia, Bulgaria</t>
        </is>
      </c>
      <c r="B14676" t="inlineStr">
        <is>
          <t>First Gathering Point, Trader</t>
        </is>
      </c>
      <c r="C14676" t="inlineStr">
        <is>
          <t>Control Union Certifications Germany GmbH, Berlin, DE</t>
        </is>
      </c>
      <c r="D14676" t="inlineStr">
        <is>
          <t>16.09.2026</t>
        </is>
      </c>
      <c r="E14676" t="inlineStr">
        <is>
          <t>Bulgaria</t>
        </is>
      </c>
    </row>
    <row r="14677">
      <c r="A14677" t="inlineStr">
        <is>
          <t>ED&amp;F Man Liquid Products UK Limited,  Liverpool, United Kingdom</t>
        </is>
      </c>
      <c r="B14677" t="inlineStr">
        <is>
          <t>Trader with Storage</t>
        </is>
      </c>
      <c r="C14677" t="inlineStr">
        <is>
          <t>Control Union Certifications Germany GmbH, Berlin, DE</t>
        </is>
      </c>
      <c r="D14677" t="inlineStr">
        <is>
          <t>16.09.2026</t>
        </is>
      </c>
      <c r="E14677" t="inlineStr">
        <is>
          <t>United Kingdom</t>
        </is>
      </c>
    </row>
    <row r="14678">
      <c r="A14678" t="inlineStr">
        <is>
          <t>F.FAIGES, S.L.,  Tortosa, Spain</t>
        </is>
      </c>
      <c r="B14678" t="inlineStr">
        <is>
          <t>Point of Origin</t>
        </is>
      </c>
      <c r="C14678" t="inlineStr">
        <is>
          <t>Bureau Veritas Polska Sp. z o.o., Warsaw, PL</t>
        </is>
      </c>
      <c r="D14678" t="inlineStr">
        <is>
          <t>16.09.2026</t>
        </is>
      </c>
      <c r="E14678" t="inlineStr">
        <is>
          <t>Spain</t>
        </is>
      </c>
    </row>
    <row r="14679">
      <c r="A14679" t="inlineStr">
        <is>
          <t>PT. Cakra Kaya Kreasi,  Medan, Indonesia</t>
        </is>
      </c>
      <c r="B14679" t="inlineStr">
        <is>
          <t>Trader with Storage</t>
        </is>
      </c>
      <c r="C14679" t="inlineStr">
        <is>
          <t>PT SBC Asia Sertifikasi, Kebumen, ID</t>
        </is>
      </c>
      <c r="D14679" t="inlineStr">
        <is>
          <t>16.09.2026</t>
        </is>
      </c>
      <c r="E14679" t="inlineStr">
        <is>
          <t>Indonesia</t>
        </is>
      </c>
    </row>
    <row r="14680">
      <c r="A14680" t="inlineStr">
        <is>
          <t>Xinji Minghui Lvyou Oil Co., Ltd,  Xinji, Hebei, China</t>
        </is>
      </c>
      <c r="B14680" t="inlineStr">
        <is>
          <t>Collecting Point, Trader with Storage</t>
        </is>
      </c>
      <c r="C14680" t="inlineStr">
        <is>
          <t>RINA Services S.p.A., Genova, IT</t>
        </is>
      </c>
      <c r="D14680" t="inlineStr">
        <is>
          <t>16.09.2026</t>
        </is>
      </c>
      <c r="E14680" t="inlineStr">
        <is>
          <t>China</t>
        </is>
      </c>
    </row>
    <row r="14681">
      <c r="A14681" t="inlineStr">
        <is>
          <t>PT Fadjar Hoetama Energi,  DKI Jakarta, Indonesia</t>
        </is>
      </c>
      <c r="B14681" t="inlineStr">
        <is>
          <t>Collecting Point, Trader with Storage</t>
        </is>
      </c>
      <c r="C14681" t="inlineStr">
        <is>
          <t>PT SBC Asia Sertifikasi, Kebumen, ID</t>
        </is>
      </c>
      <c r="D14681" t="inlineStr">
        <is>
          <t>16.09.2026</t>
        </is>
      </c>
      <c r="E14681" t="inlineStr">
        <is>
          <t>Indonesia</t>
        </is>
      </c>
    </row>
    <row r="14682">
      <c r="A14682" t="inlineStr">
        <is>
          <t>KORDELIVSKYY ELEVATOR,  Vinnytsia region, Kordelivka village, Ukraine</t>
        </is>
      </c>
      <c r="B14682" t="inlineStr">
        <is>
          <t>First Gathering Point, Trader with Storage</t>
        </is>
      </c>
      <c r="C14682" t="inlineStr">
        <is>
          <t>United Registrar of Systems Polska Sp. z o.o., Wrocław, PL</t>
        </is>
      </c>
      <c r="D14682" t="inlineStr">
        <is>
          <t>16.09.2026</t>
        </is>
      </c>
      <c r="E14682" t="inlineStr">
        <is>
          <t>Ukraine</t>
        </is>
      </c>
    </row>
    <row r="14683">
      <c r="A14683" t="inlineStr">
        <is>
          <t>Enespa-GRT Innovation GmbH,  Tangstedt, Germany</t>
        </is>
      </c>
      <c r="B14683" t="inlineStr">
        <is>
          <t>Trader</t>
        </is>
      </c>
      <c r="C14683" t="inlineStr">
        <is>
          <t>GUT Certifizierungsgesellschaft für Managementsysteme mbH Umweltgutachter, Berlin, DE</t>
        </is>
      </c>
      <c r="D14683" t="inlineStr">
        <is>
          <t>16.09.2026</t>
        </is>
      </c>
      <c r="E14683" t="inlineStr">
        <is>
          <t>Germany</t>
        </is>
      </c>
    </row>
    <row r="14684">
      <c r="A14684" t="inlineStr">
        <is>
          <t>Dongbang Industries,  Cheongju-si, Chungcheongbuk-do, South Korea</t>
        </is>
      </c>
      <c r="B14684" t="inlineStr">
        <is>
          <t>Collecting Point</t>
        </is>
      </c>
      <c r="C14684" t="inlineStr">
        <is>
          <t>Control Union Certifications Germany GmbH, Berlin, DE</t>
        </is>
      </c>
      <c r="D14684" t="inlineStr">
        <is>
          <t>16.09.2026</t>
        </is>
      </c>
      <c r="E14684" t="inlineStr">
        <is>
          <t>South Korea</t>
        </is>
      </c>
    </row>
    <row r="14685">
      <c r="A14685" t="inlineStr">
        <is>
          <t>Langgam Gema Mandiri,  Kec. Langgam Kab. Pelalawan Riau, Indonesia</t>
        </is>
      </c>
      <c r="B14685" t="inlineStr">
        <is>
          <t>Point of Origin</t>
        </is>
      </c>
      <c r="C14685" t="inlineStr">
        <is>
          <t>China Testing &amp; Certification International Group Co., Ltd., Beijing, CN</t>
        </is>
      </c>
      <c r="D14685" t="inlineStr">
        <is>
          <t>16.09.2026</t>
        </is>
      </c>
      <c r="E14685" t="inlineStr">
        <is>
          <t>Indonesia</t>
        </is>
      </c>
    </row>
    <row r="14686">
      <c r="A14686" t="inlineStr">
        <is>
          <t>Novi Trading BV,  Schiedam, Netherlands</t>
        </is>
      </c>
      <c r="B14686" t="inlineStr">
        <is>
          <t>Collecting Point, Trader</t>
        </is>
      </c>
      <c r="C14686" t="inlineStr">
        <is>
          <t>Control Union Certifications Germany GmbH, Berlin, DE</t>
        </is>
      </c>
      <c r="D14686" t="inlineStr">
        <is>
          <t>16.09.2026</t>
        </is>
      </c>
      <c r="E14686" t="inlineStr">
        <is>
          <t>Netherlands</t>
        </is>
      </c>
    </row>
    <row r="14687">
      <c r="A14687" t="inlineStr">
        <is>
          <t>CHANG SHIN VIET NAM Co., LTD,  Dong Nai Province, Vietnam</t>
        </is>
      </c>
      <c r="B14687" t="inlineStr">
        <is>
          <t>Processing Unit, Final Product Refinement</t>
        </is>
      </c>
      <c r="C14687" t="inlineStr">
        <is>
          <t>SGS Germany GmbH, Emstek, DE</t>
        </is>
      </c>
      <c r="D14687" t="inlineStr">
        <is>
          <t>16.09.2026</t>
        </is>
      </c>
      <c r="E14687" t="inlineStr">
        <is>
          <t>Vietnam</t>
        </is>
      </c>
    </row>
    <row r="14688">
      <c r="A14688" t="inlineStr">
        <is>
          <t>GasCom-Equipment,  Röthenbach an der Pegnitz, Germany</t>
        </is>
      </c>
      <c r="B14688" t="inlineStr">
        <is>
          <t>Trader, Processing Unit</t>
        </is>
      </c>
      <c r="C14688" t="inlineStr">
        <is>
          <t>TÜV NORD CERT GmbH, Essen, DE</t>
        </is>
      </c>
      <c r="D14688" t="inlineStr">
        <is>
          <t>16.09.2026</t>
        </is>
      </c>
      <c r="E14688" t="inlineStr">
        <is>
          <t>Germany</t>
        </is>
      </c>
    </row>
    <row r="14689">
      <c r="A14689" t="inlineStr">
        <is>
          <t>Agro Trading International,  Zug, Switzerland</t>
        </is>
      </c>
      <c r="B14689" t="inlineStr">
        <is>
          <t>Trader</t>
        </is>
      </c>
      <c r="C14689" t="inlineStr">
        <is>
          <t>BM Certification, Riga, LV</t>
        </is>
      </c>
      <c r="D14689" t="inlineStr">
        <is>
          <t>16.09.2026</t>
        </is>
      </c>
      <c r="E14689" t="inlineStr">
        <is>
          <t>Switzerland</t>
        </is>
      </c>
    </row>
    <row r="14690">
      <c r="A14690" t="inlineStr">
        <is>
          <t>Bunge Alimentos,  Nova Mutum, Brazil</t>
        </is>
      </c>
      <c r="B14690" t="inlineStr">
        <is>
          <t>Processing Unit</t>
        </is>
      </c>
      <c r="C14690" t="inlineStr">
        <is>
          <t>Control Union Certifications Germany GmbH, Berlin, DE</t>
        </is>
      </c>
      <c r="D14690" t="inlineStr">
        <is>
          <t>16.09.2026</t>
        </is>
      </c>
      <c r="E14690" t="inlineStr">
        <is>
          <t>Brazil</t>
        </is>
      </c>
    </row>
    <row r="14691">
      <c r="A14691" t="inlineStr">
        <is>
          <t>Waste Oil Recycling Ltd,  Vale, Guernsey, Guernsey</t>
        </is>
      </c>
      <c r="B14691" t="inlineStr">
        <is>
          <t>Collecting Point, Trader with Storage</t>
        </is>
      </c>
      <c r="C14691" t="inlineStr">
        <is>
          <t>SGS Germany GmbH, Emstek, DE</t>
        </is>
      </c>
      <c r="D14691" t="inlineStr">
        <is>
          <t>16.09.2026</t>
        </is>
      </c>
      <c r="E14691" t="inlineStr">
        <is>
          <t>Guernsey</t>
        </is>
      </c>
    </row>
    <row r="14692">
      <c r="A14692" t="inlineStr">
        <is>
          <t>Degam Yag Ve Kimya San.Tic.Ltd.Sti.,  Izmir, Turkey</t>
        </is>
      </c>
      <c r="B14692" t="inlineStr">
        <is>
          <t>Point of Origin, Collecting Point, Processing Unit</t>
        </is>
      </c>
      <c r="C14692" t="inlineStr">
        <is>
          <t>Trans Certification and Inspection Sdn Bhd, Kuantan, MY</t>
        </is>
      </c>
      <c r="D14692" t="inlineStr">
        <is>
          <t>16.09.2026</t>
        </is>
      </c>
      <c r="E14692" t="inlineStr">
        <is>
          <t>Turkey</t>
        </is>
      </c>
    </row>
    <row r="14693">
      <c r="A14693" t="inlineStr">
        <is>
          <t>Yakult Honsha Co., Ltd,  Chikushino-shi, Fukuoka, Japan</t>
        </is>
      </c>
      <c r="B14693" t="inlineStr">
        <is>
          <t>Final Product Refinement, Processing Unit</t>
        </is>
      </c>
      <c r="C14693" t="inlineStr">
        <is>
          <t>SGS Germany GmbH, Emstek, DE</t>
        </is>
      </c>
      <c r="D14693" t="inlineStr">
        <is>
          <t>16.09.2026</t>
        </is>
      </c>
      <c r="E14693" t="inlineStr">
        <is>
          <t>Japan</t>
        </is>
      </c>
    </row>
    <row r="14694">
      <c r="A14694" t="inlineStr">
        <is>
          <t>PXA SP - Inovação e Economia Circular,  Santana do Parnaíba, Brazil</t>
        </is>
      </c>
      <c r="B14694" t="inlineStr">
        <is>
          <t>Collecting Point, Processing Unit</t>
        </is>
      </c>
      <c r="C14694" t="inlineStr">
        <is>
          <t>Control Union Certifications Germany GmbH, Berlin, DE</t>
        </is>
      </c>
      <c r="D14694" t="inlineStr">
        <is>
          <t>16.09.2026</t>
        </is>
      </c>
      <c r="E14694" t="inlineStr">
        <is>
          <t>Brazil</t>
        </is>
      </c>
    </row>
    <row r="14695">
      <c r="A14695" t="inlineStr">
        <is>
          <t>SC Promat Comimpex SRL,  Tasnad, Romania</t>
        </is>
      </c>
      <c r="B14695" t="inlineStr">
        <is>
          <t>First Gathering Point, Trader with Storage</t>
        </is>
      </c>
      <c r="C14695" t="inlineStr">
        <is>
          <t>SRAC Cert SRL, Bucharest, RO</t>
        </is>
      </c>
      <c r="D14695" t="inlineStr">
        <is>
          <t>16.09.2026</t>
        </is>
      </c>
      <c r="E14695" t="inlineStr">
        <is>
          <t>Romania</t>
        </is>
      </c>
    </row>
    <row r="14696">
      <c r="A14696" t="inlineStr">
        <is>
          <t>Seara Alimentos Ltda,  MAFRA, Brazil</t>
        </is>
      </c>
      <c r="B14696" t="inlineStr">
        <is>
          <t>Collecting Point, Processing Unit</t>
        </is>
      </c>
      <c r="C14696" t="inlineStr">
        <is>
          <t>Control Union Certifications Germany GmbH, Berlin, DE</t>
        </is>
      </c>
      <c r="D14696" t="inlineStr">
        <is>
          <t>16.09.2026</t>
        </is>
      </c>
      <c r="E14696" t="inlineStr">
        <is>
          <t>Brazil</t>
        </is>
      </c>
    </row>
    <row r="14697">
      <c r="A14697" t="inlineStr">
        <is>
          <t>BP Products North America,  Blaine, United States</t>
        </is>
      </c>
      <c r="B14697" t="inlineStr">
        <is>
          <t>Processing Unit, Trader with Storage</t>
        </is>
      </c>
      <c r="C14697" t="inlineStr">
        <is>
          <t>Control Union Certifications Germany GmbH, Berlin, DE</t>
        </is>
      </c>
      <c r="D14697" t="inlineStr">
        <is>
          <t>16.09.2026</t>
        </is>
      </c>
      <c r="E14697" t="inlineStr">
        <is>
          <t>United States</t>
        </is>
      </c>
    </row>
    <row r="14698">
      <c r="A14698" t="inlineStr">
        <is>
          <t>Cereal Docks S.p.a.,  Portogruaro, Italy</t>
        </is>
      </c>
      <c r="B14698" t="inlineStr">
        <is>
          <t>Trader with Storage, First Gathering Point</t>
        </is>
      </c>
      <c r="C14698" t="inlineStr">
        <is>
          <t>CSQA Certificazioni Srl, Thiene, IT</t>
        </is>
      </c>
      <c r="D14698" t="inlineStr">
        <is>
          <t>16.09.2026</t>
        </is>
      </c>
      <c r="E14698" t="inlineStr">
        <is>
          <t>Italy</t>
        </is>
      </c>
    </row>
    <row r="14699">
      <c r="A14699" t="inlineStr">
        <is>
          <t>IBN Albaytar (IBB),  Al Jubail, Saudi Arabia</t>
        </is>
      </c>
      <c r="B14699" t="inlineStr">
        <is>
          <t>Processing Unit</t>
        </is>
      </c>
      <c r="C14699" t="inlineStr">
        <is>
          <t>SCS Global Services, Emeryville, CA, US</t>
        </is>
      </c>
      <c r="D14699" t="inlineStr">
        <is>
          <t>16.09.2026</t>
        </is>
      </c>
      <c r="E14699" t="inlineStr">
        <is>
          <t>Saudi Arabia</t>
        </is>
      </c>
    </row>
    <row r="14700">
      <c r="A14700" t="inlineStr">
        <is>
          <t>Wuhan Tianji Ecological Energy Technology Co., Ltd,  Wuhan, Hubei, China</t>
        </is>
      </c>
      <c r="B14700" t="inlineStr">
        <is>
          <t>Collecting Point, Trader with Storage, Processing Unit</t>
        </is>
      </c>
      <c r="C14700" t="inlineStr">
        <is>
          <t>RINA Services S.p.A., Genova, IT</t>
        </is>
      </c>
      <c r="D14700" t="inlineStr">
        <is>
          <t>16.09.2026</t>
        </is>
      </c>
      <c r="E14700" t="inlineStr">
        <is>
          <t>China</t>
        </is>
      </c>
    </row>
    <row r="14701">
      <c r="A14701" t="inlineStr">
        <is>
          <t>Ecotopia Pte Ltd,  Singapore, Singapore</t>
        </is>
      </c>
      <c r="B14701" t="inlineStr">
        <is>
          <t>Collecting Point, Trader</t>
        </is>
      </c>
      <c r="C14701" t="inlineStr">
        <is>
          <t>Trans Certification and Inspection Sdn Bhd, Kuantan, MY</t>
        </is>
      </c>
      <c r="D14701" t="inlineStr">
        <is>
          <t>16.09.2026</t>
        </is>
      </c>
      <c r="E14701" t="inlineStr">
        <is>
          <t>Singapore</t>
        </is>
      </c>
    </row>
    <row r="14702">
      <c r="A14702" t="inlineStr">
        <is>
          <t>Color-Chem (Europe) Ltd,  Leicester, United Kingdom</t>
        </is>
      </c>
      <c r="B14702" t="inlineStr">
        <is>
          <t>Trader</t>
        </is>
      </c>
      <c r="C14702" t="inlineStr">
        <is>
          <t>Double Helix Tracking Technologies Pte Ltd, Singapore, SG</t>
        </is>
      </c>
      <c r="D14702" t="inlineStr">
        <is>
          <t>16.09.2026</t>
        </is>
      </c>
      <c r="E14702" t="inlineStr">
        <is>
          <t>United Kingdom</t>
        </is>
      </c>
    </row>
    <row r="14703">
      <c r="A14703" t="inlineStr">
        <is>
          <t>Agro Service s r.o.,  Trstice, Slovakia</t>
        </is>
      </c>
      <c r="B14703" t="inlineStr">
        <is>
          <t>First Gathering Point, Trader</t>
        </is>
      </c>
      <c r="C14703" t="inlineStr">
        <is>
          <t>United Registrar of Systems Polska Sp. z o.o., Wrocław, PL</t>
        </is>
      </c>
      <c r="D14703" t="inlineStr">
        <is>
          <t>16.09.2026</t>
        </is>
      </c>
      <c r="E14703" t="inlineStr">
        <is>
          <t>Slovakia</t>
        </is>
      </c>
    </row>
    <row r="14704">
      <c r="A14704" t="inlineStr">
        <is>
          <t>PT Sheel Oil Indonesia,  Sumatera Utara, Indonesia</t>
        </is>
      </c>
      <c r="B14704" t="inlineStr">
        <is>
          <t>Point of Origin, Processing Unit</t>
        </is>
      </c>
      <c r="C14704" t="inlineStr">
        <is>
          <t>Trans Certification and Inspection Sdn Bhd, Kuantan, MY</t>
        </is>
      </c>
      <c r="D14704" t="inlineStr">
        <is>
          <t>16.09.2026</t>
        </is>
      </c>
      <c r="E14704" t="inlineStr">
        <is>
          <t>Indonesia</t>
        </is>
      </c>
    </row>
    <row r="14705">
      <c r="A14705" t="inlineStr">
        <is>
          <t>Adamant Asia Company,  Hoa Hoi Commune, Tay Ninh Province, Vietnam</t>
        </is>
      </c>
      <c r="B14705" t="inlineStr">
        <is>
          <t>Processing Unit, Warehouse</t>
        </is>
      </c>
      <c r="C14705" t="inlineStr">
        <is>
          <t>RINA Services S.p.A., Genova, IT</t>
        </is>
      </c>
      <c r="D14705" t="inlineStr">
        <is>
          <t>16.09.2026</t>
        </is>
      </c>
      <c r="E14705" t="inlineStr">
        <is>
          <t>Vietnam</t>
        </is>
      </c>
    </row>
    <row r="14706">
      <c r="A14706" t="inlineStr">
        <is>
          <t>Zhejiang Jiaao Enproenergy Co., Ltd.,  Tongxiang City, Zhejiang Province, China, China</t>
        </is>
      </c>
      <c r="B14706" t="inlineStr">
        <is>
          <t>Trader with Storage, Processing Unit</t>
        </is>
      </c>
      <c r="C14706" t="inlineStr">
        <is>
          <t>RINA Services S.p.A., Genova, IT</t>
        </is>
      </c>
      <c r="D14706" t="inlineStr">
        <is>
          <t>15.09.2026</t>
        </is>
      </c>
      <c r="E14706" t="inlineStr">
        <is>
          <t>China</t>
        </is>
      </c>
    </row>
    <row r="14707">
      <c r="A14707" t="inlineStr">
        <is>
          <t>Contour Optik Inc.,  Yingtan City, Jiangxi Province, China</t>
        </is>
      </c>
      <c r="B14707" t="inlineStr">
        <is>
          <t>Trader</t>
        </is>
      </c>
      <c r="C14707" t="inlineStr">
        <is>
          <t>SCS Global Services, Emeryville, CA, US</t>
        </is>
      </c>
      <c r="D14707" t="inlineStr">
        <is>
          <t>15.09.2026</t>
        </is>
      </c>
      <c r="E14707" t="inlineStr">
        <is>
          <t>China</t>
        </is>
      </c>
    </row>
    <row r="14708">
      <c r="A14708" t="inlineStr">
        <is>
          <t>MAJ agro s.r.o.,  Vyškov, Czech Republic</t>
        </is>
      </c>
      <c r="B14708" t="inlineStr">
        <is>
          <t>First Gathering Point, Trader</t>
        </is>
      </c>
      <c r="C14708" t="inlineStr">
        <is>
          <t>United Registrar of Systems Polska Sp. z o.o., Wrocław, PL</t>
        </is>
      </c>
      <c r="D14708" t="inlineStr">
        <is>
          <t>15.09.2026</t>
        </is>
      </c>
      <c r="E14708" t="inlineStr">
        <is>
          <t>Czech Republic</t>
        </is>
      </c>
    </row>
    <row r="14709">
      <c r="A14709" t="inlineStr">
        <is>
          <t>LAMA energy a.s.,  Hradec nad Moravicí, Czech Republic</t>
        </is>
      </c>
      <c r="B14709" t="inlineStr">
        <is>
          <t>Trader</t>
        </is>
      </c>
      <c r="C14709" t="inlineStr">
        <is>
          <t>United Registrar of Systems Polska Sp. z o.o., Wrocław, PL</t>
        </is>
      </c>
      <c r="D14709" t="inlineStr">
        <is>
          <t>15.09.2026</t>
        </is>
      </c>
      <c r="E14709" t="inlineStr">
        <is>
          <t>Czech Republic</t>
        </is>
      </c>
    </row>
    <row r="14710">
      <c r="A14710" t="inlineStr">
        <is>
          <t>Hua Yi Plastic Products (Shenzhen) Co., Ltd.,  ShenZhen, China</t>
        </is>
      </c>
      <c r="B14710" t="inlineStr">
        <is>
          <t>Processing Unit, Trader with Storage</t>
        </is>
      </c>
      <c r="C14710" t="inlineStr">
        <is>
          <t>China Quality Certification Centre Co., Ltd., Beijing, CN</t>
        </is>
      </c>
      <c r="D14710" t="inlineStr">
        <is>
          <t>15.09.2026</t>
        </is>
      </c>
      <c r="E14710" t="inlineStr">
        <is>
          <t>China</t>
        </is>
      </c>
    </row>
    <row r="14711">
      <c r="A14711" t="inlineStr">
        <is>
          <t>CHIMEI CORPORATION,  Tainan. Rende Dist.,, Taiwan</t>
        </is>
      </c>
      <c r="B14711" t="inlineStr">
        <is>
          <t>Processing Unit, Trader with Storage</t>
        </is>
      </c>
      <c r="C14711" t="inlineStr">
        <is>
          <t>Bureau Veritas Polska Sp. z o.o., Warsaw, PL</t>
        </is>
      </c>
      <c r="D14711" t="inlineStr">
        <is>
          <t>15.09.2026</t>
        </is>
      </c>
      <c r="E14711" t="inlineStr">
        <is>
          <t>Taiwan</t>
        </is>
      </c>
    </row>
    <row r="14712">
      <c r="A14712" t="inlineStr">
        <is>
          <t>Suzhou  Yiquan Oil and Grease Co., Ltd,  Suzhou, China</t>
        </is>
      </c>
      <c r="B14712" t="inlineStr">
        <is>
          <t>Collecting Point</t>
        </is>
      </c>
      <c r="C14712" t="inlineStr">
        <is>
          <t>RINA Services S.p.A., Genova, IT</t>
        </is>
      </c>
      <c r="D14712" t="inlineStr">
        <is>
          <t>15.09.2026</t>
        </is>
      </c>
      <c r="E14712" t="inlineStr">
        <is>
          <t>China</t>
        </is>
      </c>
    </row>
    <row r="14713">
      <c r="A14713" t="inlineStr">
        <is>
          <t>Langelund Transport ApS,  Agerskov, Denmark</t>
        </is>
      </c>
      <c r="B14713" t="inlineStr">
        <is>
          <t>Collecting Point, First Gathering Point</t>
        </is>
      </c>
      <c r="C14713" t="inlineStr">
        <is>
          <t>Baltic Control Certification, Risskov, DK</t>
        </is>
      </c>
      <c r="D14713" t="inlineStr">
        <is>
          <t>15.09.2026</t>
        </is>
      </c>
      <c r="E14713" t="inlineStr">
        <is>
          <t>Denmark</t>
        </is>
      </c>
    </row>
    <row r="14714">
      <c r="A14714" t="inlineStr">
        <is>
          <t>Black ＆ Decker (Suzhou) Precision Manufacturing Co.,Ltd.,  Suzhou, China</t>
        </is>
      </c>
      <c r="B14714" t="inlineStr">
        <is>
          <t>Processing Unit, Final Product Refinement</t>
        </is>
      </c>
      <c r="C14714" t="inlineStr">
        <is>
          <t>China Quality Certification Centre Co., Ltd., Beijing, CN</t>
        </is>
      </c>
      <c r="D14714" t="inlineStr">
        <is>
          <t>15.09.2026</t>
        </is>
      </c>
      <c r="E14714" t="inlineStr">
        <is>
          <t>China</t>
        </is>
      </c>
    </row>
    <row r="14715">
      <c r="A14715" t="inlineStr">
        <is>
          <t>SD Guthrie International Zwijndrecht Refinery B.V.,  Zwijndrecht, Netherlands</t>
        </is>
      </c>
      <c r="B14715" t="inlineStr">
        <is>
          <t>Point of Origin</t>
        </is>
      </c>
      <c r="C14715" t="inlineStr">
        <is>
          <t>Normec QS BV, Bennekom, NL</t>
        </is>
      </c>
      <c r="D14715" t="inlineStr">
        <is>
          <t>15.09.2026</t>
        </is>
      </c>
      <c r="E14715" t="inlineStr">
        <is>
          <t>Netherlands</t>
        </is>
      </c>
    </row>
    <row r="14716">
      <c r="A14716" t="inlineStr">
        <is>
          <t>Pactiv Evergreen,  Bedford Park, IL, United States</t>
        </is>
      </c>
      <c r="B14716" t="inlineStr">
        <is>
          <t>Processing Unit</t>
        </is>
      </c>
      <c r="C14716" t="inlineStr">
        <is>
          <t>SCS Global Services, Emeryville, CA, US</t>
        </is>
      </c>
      <c r="D14716" t="inlineStr">
        <is>
          <t>15.09.2026</t>
        </is>
      </c>
      <c r="E14716" t="inlineStr">
        <is>
          <t>United States</t>
        </is>
      </c>
    </row>
    <row r="14717">
      <c r="A14717" t="inlineStr">
        <is>
          <t>Pactiv Evergreen,  Bedford Park, IL, United States</t>
        </is>
      </c>
      <c r="B14717" t="inlineStr">
        <is>
          <t>Processing Unit</t>
        </is>
      </c>
      <c r="C14717" t="inlineStr">
        <is>
          <t>SCS Global Services, Emeryville, CA, US</t>
        </is>
      </c>
      <c r="D14717" t="inlineStr">
        <is>
          <t>15.09.2026</t>
        </is>
      </c>
      <c r="E14717" t="inlineStr">
        <is>
          <t>United States</t>
        </is>
      </c>
    </row>
    <row r="14718">
      <c r="A14718" t="inlineStr">
        <is>
          <t>LG Chem Ltd.,  Seosan, South Korea</t>
        </is>
      </c>
      <c r="B14718" t="inlineStr">
        <is>
          <t>Processing Unit</t>
        </is>
      </c>
      <c r="C14718" t="inlineStr">
        <is>
          <t>Korean Foundation for Quality, Songpa-gu, Seoul, KR</t>
        </is>
      </c>
      <c r="D14718" t="inlineStr">
        <is>
          <t>15.09.2026</t>
        </is>
      </c>
      <c r="E14718" t="inlineStr">
        <is>
          <t>South Korea</t>
        </is>
      </c>
    </row>
    <row r="14719">
      <c r="A14719" t="inlineStr">
        <is>
          <t>PENTHOL SA,  Geneva, Switzerland</t>
        </is>
      </c>
      <c r="B14719" t="inlineStr">
        <is>
          <t>Trader</t>
        </is>
      </c>
      <c r="C14719" t="inlineStr">
        <is>
          <t>Certificadora Gallega del Noroeste SL, Vilagarcia de Arousa-Pontevedra, ES</t>
        </is>
      </c>
      <c r="D14719" t="inlineStr">
        <is>
          <t>15.09.2026</t>
        </is>
      </c>
      <c r="E14719" t="inlineStr">
        <is>
          <t>Switzerland</t>
        </is>
      </c>
    </row>
    <row r="14720">
      <c r="A14720" t="inlineStr">
        <is>
          <t>FINSTER BLACK PVT LTD,  VILLAGE VANIVALI/LOHOP, TAL. KHALAPUR, DIST.RAIGAD, India</t>
        </is>
      </c>
      <c r="B14720" t="inlineStr">
        <is>
          <t>Trader with Storage, Processing Unit, Collecting Point</t>
        </is>
      </c>
      <c r="C14720" t="inlineStr">
        <is>
          <t>Cotecna India Inspection Pvt Ltd, Kolkata, IN</t>
        </is>
      </c>
      <c r="D14720" t="inlineStr">
        <is>
          <t>15.09.2026</t>
        </is>
      </c>
      <c r="E14720" t="inlineStr">
        <is>
          <t>India</t>
        </is>
      </c>
    </row>
    <row r="14721">
      <c r="A14721" t="inlineStr">
        <is>
          <t>Shandong Ka wah Oils,  Liaocheng City, Shandong Province, China</t>
        </is>
      </c>
      <c r="B14721" t="inlineStr">
        <is>
          <t>Processing Unit</t>
        </is>
      </c>
      <c r="C14721" t="inlineStr">
        <is>
          <t>SGS Germany GmbH, Emstek, DE</t>
        </is>
      </c>
      <c r="D14721" t="inlineStr">
        <is>
          <t>15.09.2026</t>
        </is>
      </c>
      <c r="E14721" t="inlineStr">
        <is>
          <t>China</t>
        </is>
      </c>
    </row>
    <row r="14722">
      <c r="A14722" t="inlineStr">
        <is>
          <t>PT. ERA SAWITA,  KEC. KEPENUHAN, KAB. ROKAN HULU- PROVINSI. RIAU, Indonesia</t>
        </is>
      </c>
      <c r="B14722" t="inlineStr">
        <is>
          <t>Point of Origin</t>
        </is>
      </c>
      <c r="C14722" t="inlineStr">
        <is>
          <t>BM Certification, Riga, LV</t>
        </is>
      </c>
      <c r="D14722" t="inlineStr">
        <is>
          <t>15.09.2026</t>
        </is>
      </c>
      <c r="E14722" t="inlineStr">
        <is>
          <t>Indonesia</t>
        </is>
      </c>
    </row>
    <row r="14723">
      <c r="A14723" t="inlineStr">
        <is>
          <t>Sirmax Polska Sp. z o. o.,  Kutno, Poland</t>
        </is>
      </c>
      <c r="B14723" t="inlineStr">
        <is>
          <t>Processing Unit</t>
        </is>
      </c>
      <c r="C14723" t="inlineStr">
        <is>
          <t>IIP S.r.l., Monza, IT</t>
        </is>
      </c>
      <c r="D14723" t="inlineStr">
        <is>
          <t>15.09.2026</t>
        </is>
      </c>
      <c r="E14723" t="inlineStr">
        <is>
          <t>Poland</t>
        </is>
      </c>
    </row>
    <row r="14724">
      <c r="A14724" t="inlineStr">
        <is>
          <t>H.B. Fuller Europe GmbH,  Mindelo, Portugal</t>
        </is>
      </c>
      <c r="B14724" t="inlineStr">
        <is>
          <t>Processing Unit</t>
        </is>
      </c>
      <c r="C14724" t="inlineStr">
        <is>
          <t>Bureau Veritas Polska Sp. z o.o., Warsaw, PL</t>
        </is>
      </c>
      <c r="D14724" t="inlineStr">
        <is>
          <t>15.09.2026</t>
        </is>
      </c>
      <c r="E14724" t="inlineStr">
        <is>
          <t>Portugal</t>
        </is>
      </c>
    </row>
    <row r="14725">
      <c r="A14725" t="inlineStr">
        <is>
          <t>Al-Jubail Fertilizers Company (Bayroni),  Al Jubail, Saudi Arabia</t>
        </is>
      </c>
      <c r="B14725" t="inlineStr">
        <is>
          <t>Processing Unit</t>
        </is>
      </c>
      <c r="C14725" t="inlineStr">
        <is>
          <t>SCS Global Services, Emeryville, CA, US</t>
        </is>
      </c>
      <c r="D14725" t="inlineStr">
        <is>
          <t>15.09.2026</t>
        </is>
      </c>
      <c r="E14725" t="inlineStr">
        <is>
          <t>Saudi Arabia</t>
        </is>
      </c>
    </row>
    <row r="14726">
      <c r="A14726" t="inlineStr">
        <is>
          <t>Espinosa Gestors S.L,  Macanet de la Selva, Gerona, Spain</t>
        </is>
      </c>
      <c r="B14726" t="inlineStr">
        <is>
          <t>Collecting Point</t>
        </is>
      </c>
      <c r="C14726" t="inlineStr">
        <is>
          <t>RINA Services S.p.A., Genova, IT</t>
        </is>
      </c>
      <c r="D14726" t="inlineStr">
        <is>
          <t>15.09.2026</t>
        </is>
      </c>
      <c r="E14726" t="inlineStr">
        <is>
          <t>Spain</t>
        </is>
      </c>
    </row>
    <row r="14727">
      <c r="A14727" t="inlineStr">
        <is>
          <t>Tria Energy UK Limited,  London, United Kingdom</t>
        </is>
      </c>
      <c r="B14727" t="inlineStr">
        <is>
          <t>Trader</t>
        </is>
      </c>
      <c r="C14727" t="inlineStr">
        <is>
          <t>Aardvark Certification Ltd, Wiveliscombe, Somerset, GB</t>
        </is>
      </c>
      <c r="D14727" t="inlineStr">
        <is>
          <t>15.09.2026</t>
        </is>
      </c>
      <c r="E14727" t="inlineStr">
        <is>
          <t>United Kingdom</t>
        </is>
      </c>
    </row>
    <row r="14728">
      <c r="A14728" t="inlineStr">
        <is>
          <t>SmartestEnergy limited,  London, United Kingdom</t>
        </is>
      </c>
      <c r="B14728" t="inlineStr">
        <is>
          <t>Trader</t>
        </is>
      </c>
      <c r="C14728" t="inlineStr">
        <is>
          <t>Double Helix Tracking Technologies Pte Ltd, Singapore, SG</t>
        </is>
      </c>
      <c r="D14728" t="inlineStr">
        <is>
          <t>15.09.2026</t>
        </is>
      </c>
      <c r="E14728" t="inlineStr">
        <is>
          <t>United Kingdom</t>
        </is>
      </c>
    </row>
    <row r="14729">
      <c r="A14729" t="inlineStr">
        <is>
          <t>PT Energi Terbarukan Rezeki Abadi,  Kabupaten Serang, Indonesia</t>
        </is>
      </c>
      <c r="B14729" t="inlineStr">
        <is>
          <t>Collecting Point, Processing Unit</t>
        </is>
      </c>
      <c r="C14729" t="inlineStr">
        <is>
          <t>PT. CBQA GLOBAL INDONESIA, JAKARTA SELATAN, ID</t>
        </is>
      </c>
      <c r="D14729" t="inlineStr">
        <is>
          <t>15.09.2026</t>
        </is>
      </c>
      <c r="E14729" t="inlineStr">
        <is>
          <t>Indonesia</t>
        </is>
      </c>
    </row>
    <row r="14730">
      <c r="A14730" t="inlineStr">
        <is>
          <t>HELM POLSKA Sp. z o.o.,  Warsaw, Poland</t>
        </is>
      </c>
      <c r="B14730" t="inlineStr">
        <is>
          <t>Trader</t>
        </is>
      </c>
      <c r="C14730" t="inlineStr">
        <is>
          <t>Bureau Veritas Polska Sp. z o.o., Warsaw, PL</t>
        </is>
      </c>
      <c r="D14730" t="inlineStr">
        <is>
          <t>15.09.2026</t>
        </is>
      </c>
      <c r="E14730" t="inlineStr">
        <is>
          <t>Poland</t>
        </is>
      </c>
    </row>
    <row r="14731">
      <c r="A14731" t="inlineStr">
        <is>
          <t>Eastern Palm Oil company limited,  Nong Yai, Thailand</t>
        </is>
      </c>
      <c r="B14731" t="inlineStr">
        <is>
          <t>Point of Origin</t>
        </is>
      </c>
      <c r="C14731" t="inlineStr">
        <is>
          <t>Bureau Veritas Polska Sp. z o.o., Warsaw, PL</t>
        </is>
      </c>
      <c r="D14731" t="inlineStr">
        <is>
          <t>15.09.2026</t>
        </is>
      </c>
      <c r="E14731" t="inlineStr">
        <is>
          <t>Thailand</t>
        </is>
      </c>
    </row>
    <row r="14732">
      <c r="A14732" t="inlineStr">
        <is>
          <t>Eastern Palm Oil company limited,  Nong Yai, Thailand</t>
        </is>
      </c>
      <c r="B14732" t="inlineStr">
        <is>
          <t>Point of Origin</t>
        </is>
      </c>
      <c r="C14732" t="inlineStr">
        <is>
          <t>Bureau Veritas Polska Sp. z o.o., Warsaw, PL</t>
        </is>
      </c>
      <c r="D14732" t="inlineStr">
        <is>
          <t>15.09.2026</t>
        </is>
      </c>
      <c r="E14732" t="inlineStr">
        <is>
          <t>Thailand</t>
        </is>
      </c>
    </row>
    <row r="14733">
      <c r="A14733" t="inlineStr">
        <is>
          <t>Super Energy Pte Ltd,  Singapore, Singapore</t>
        </is>
      </c>
      <c r="B14733" t="inlineStr">
        <is>
          <t>Collecting Point</t>
        </is>
      </c>
      <c r="C14733" t="inlineStr">
        <is>
          <t>PT Mutuagung Lestari, Depok, ID</t>
        </is>
      </c>
      <c r="D14733" t="inlineStr">
        <is>
          <t>15.09.2026</t>
        </is>
      </c>
      <c r="E14733" t="inlineStr">
        <is>
          <t>Singapore</t>
        </is>
      </c>
    </row>
    <row r="14734">
      <c r="A14734" t="inlineStr">
        <is>
          <t>Agrospelta UAB,  Siauliai, Lithuania</t>
        </is>
      </c>
      <c r="B14734" t="inlineStr">
        <is>
          <t>First Gathering Point, Trader with Storage</t>
        </is>
      </c>
      <c r="C14734" t="inlineStr">
        <is>
          <t>SGS Germany GmbH, Emstek, DE</t>
        </is>
      </c>
      <c r="D14734" t="inlineStr">
        <is>
          <t>15.09.2026</t>
        </is>
      </c>
      <c r="E14734" t="inlineStr">
        <is>
          <t>Lithuania</t>
        </is>
      </c>
    </row>
    <row r="14735">
      <c r="A14735" t="inlineStr">
        <is>
          <t>Kisdombegyházi Agro-Ferr Kft.,  Dombegyház, Hungary</t>
        </is>
      </c>
      <c r="B14735" t="inlineStr">
        <is>
          <t>First Gathering Point, Trader</t>
        </is>
      </c>
      <c r="C14735" t="inlineStr">
        <is>
          <t>Control Union Certifications Germany GmbH, Berlin, DE</t>
        </is>
      </c>
      <c r="D14735" t="inlineStr">
        <is>
          <t>15.09.2026</t>
        </is>
      </c>
      <c r="E14735" t="inlineStr">
        <is>
          <t>Hungary</t>
        </is>
      </c>
    </row>
    <row r="14736">
      <c r="A14736" t="inlineStr">
        <is>
          <t>HaboLNG, s.r.o.,  Bratislava, Slovakia</t>
        </is>
      </c>
      <c r="B14736" t="inlineStr">
        <is>
          <t>Trader with Storage</t>
        </is>
      </c>
      <c r="C14736" t="inlineStr">
        <is>
          <t>Bureau Veritas Polska Sp. z o.o., Warsaw, PL</t>
        </is>
      </c>
      <c r="D14736" t="inlineStr">
        <is>
          <t>15.09.2026</t>
        </is>
      </c>
      <c r="E14736" t="inlineStr">
        <is>
          <t>Slovakia</t>
        </is>
      </c>
    </row>
    <row r="14737">
      <c r="A14737" t="inlineStr">
        <is>
          <t>GENERAL DE POLIMEROS,  Montalbán, Teruel, Spain</t>
        </is>
      </c>
      <c r="B14737" t="inlineStr">
        <is>
          <t>Collecting Point, Processing Unit</t>
        </is>
      </c>
      <c r="C14737" t="inlineStr">
        <is>
          <t>Certificadora Gallega del Noroeste SL, Vilagarcia de Arousa-Pontevedra, ES</t>
        </is>
      </c>
      <c r="D14737" t="inlineStr">
        <is>
          <t>15.09.2026</t>
        </is>
      </c>
      <c r="E14737" t="inlineStr">
        <is>
          <t>Spain</t>
        </is>
      </c>
    </row>
    <row r="14738">
      <c r="A14738" t="inlineStr">
        <is>
          <t>ZELLER PLASTIK POLAND,  Wola Rębkowska, Poland</t>
        </is>
      </c>
      <c r="B14738" t="inlineStr">
        <is>
          <t>Processing Unit</t>
        </is>
      </c>
      <c r="C14738" t="inlineStr">
        <is>
          <t>Bureau Veritas Polska Sp. z o.o., Warsaw, PL</t>
        </is>
      </c>
      <c r="D14738" t="inlineStr">
        <is>
          <t>15.09.2026</t>
        </is>
      </c>
      <c r="E14738" t="inlineStr">
        <is>
          <t>Poland</t>
        </is>
      </c>
    </row>
    <row r="14739">
      <c r="A14739" t="inlineStr">
        <is>
          <t>Ecostar Maroc,  Assilah - Tanger, Morocco</t>
        </is>
      </c>
      <c r="B14739" t="inlineStr">
        <is>
          <t>Collecting Point</t>
        </is>
      </c>
      <c r="C14739" t="inlineStr">
        <is>
          <t>Bureau Veritas Polska Sp. z o.o., Warsaw, PL</t>
        </is>
      </c>
      <c r="D14739" t="inlineStr">
        <is>
          <t>15.09.2026</t>
        </is>
      </c>
      <c r="E14739" t="inlineStr">
        <is>
          <t>Morocco</t>
        </is>
      </c>
    </row>
    <row r="14740">
      <c r="A14740" t="inlineStr">
        <is>
          <t>RAIFFEISEN TRGOVINA d.o.o.,  Lenart v Slovenskih goricah, Slovenia</t>
        </is>
      </c>
      <c r="B14740" t="inlineStr">
        <is>
          <t>First Gathering Point</t>
        </is>
      </c>
      <c r="C14740" t="inlineStr">
        <is>
          <t>Bureau Veritas Polska Sp. z o.o., Warsaw, PL</t>
        </is>
      </c>
      <c r="D14740" t="inlineStr">
        <is>
          <t>15.09.2026</t>
        </is>
      </c>
      <c r="E14740" t="inlineStr">
        <is>
          <t>Slovenia</t>
        </is>
      </c>
    </row>
    <row r="14741">
      <c r="A14741" t="inlineStr">
        <is>
          <t>Golden Zone Plantation Sdn Bhd,  Skudai, Johor Bahru, Malaysia</t>
        </is>
      </c>
      <c r="B14741" t="inlineStr">
        <is>
          <t>Trader with Storage</t>
        </is>
      </c>
      <c r="C14741" t="inlineStr">
        <is>
          <t>Trans Certification and Inspection Sdn Bhd, Kuantan, MY</t>
        </is>
      </c>
      <c r="D14741" t="inlineStr">
        <is>
          <t>15.09.2026</t>
        </is>
      </c>
      <c r="E14741" t="inlineStr">
        <is>
          <t>Malaysia</t>
        </is>
      </c>
    </row>
    <row r="14742">
      <c r="A14742" t="inlineStr">
        <is>
          <t>Performance Specialty Products Asturias,  Asturias, Spain</t>
        </is>
      </c>
      <c r="B14742" t="inlineStr">
        <is>
          <t>Processing Unit</t>
        </is>
      </c>
      <c r="C14742" t="inlineStr">
        <is>
          <t>SGS Germany GmbH, Emstek, DE</t>
        </is>
      </c>
      <c r="D14742" t="inlineStr">
        <is>
          <t>15.09.2026</t>
        </is>
      </c>
      <c r="E14742" t="inlineStr">
        <is>
          <t>Spain</t>
        </is>
      </c>
    </row>
    <row r="14743">
      <c r="A14743" t="inlineStr">
        <is>
          <t>Bonroy Petchem Co.,,  London, United Kingdom</t>
        </is>
      </c>
      <c r="B14743" t="inlineStr">
        <is>
          <t>Trader, Proof of Compliance Trader</t>
        </is>
      </c>
      <c r="C14743" t="inlineStr">
        <is>
          <t>Double Helix Tracking Technologies Pte Ltd, Singapore, SG</t>
        </is>
      </c>
      <c r="D14743" t="inlineStr">
        <is>
          <t>15.09.2026</t>
        </is>
      </c>
      <c r="E14743" t="inlineStr">
        <is>
          <t>United Kingdom</t>
        </is>
      </c>
    </row>
    <row r="14744">
      <c r="A14744" t="inlineStr">
        <is>
          <t>CKSK INTERNATIONAL TRADING LLC,  DUBAI, United Arab Emirates</t>
        </is>
      </c>
      <c r="B14744" t="inlineStr">
        <is>
          <t>Trader</t>
        </is>
      </c>
      <c r="C14744" t="inlineStr">
        <is>
          <t>Eurocert SA, Metamorfosi, Athens, GR</t>
        </is>
      </c>
      <c r="D14744" t="inlineStr">
        <is>
          <t>15.09.2026</t>
        </is>
      </c>
      <c r="E14744" t="inlineStr">
        <is>
          <t>United Arab Emirates</t>
        </is>
      </c>
    </row>
    <row r="14745">
      <c r="A14745" t="inlineStr">
        <is>
          <t>Norbro Energi A/S,  Køge, Denmark</t>
        </is>
      </c>
      <c r="B14745" t="inlineStr">
        <is>
          <t>Trader with Storage</t>
        </is>
      </c>
      <c r="C14745" t="inlineStr">
        <is>
          <t>SGS Germany GmbH, Emstek, DE</t>
        </is>
      </c>
      <c r="D14745" t="inlineStr">
        <is>
          <t>14.09.2026</t>
        </is>
      </c>
      <c r="E14745" t="inlineStr">
        <is>
          <t>Denmark</t>
        </is>
      </c>
    </row>
    <row r="14746">
      <c r="A14746" t="inlineStr">
        <is>
          <t>Norbro Energi A/S,  Køge, Denmark</t>
        </is>
      </c>
      <c r="B14746" t="inlineStr">
        <is>
          <t>Trader with Storage</t>
        </is>
      </c>
      <c r="C14746" t="inlineStr">
        <is>
          <t>SGS Germany GmbH, Emstek, DE</t>
        </is>
      </c>
      <c r="D14746" t="inlineStr">
        <is>
          <t>14.09.2026</t>
        </is>
      </c>
      <c r="E14746" t="inlineStr">
        <is>
          <t>Denmark</t>
        </is>
      </c>
    </row>
    <row r="14747">
      <c r="A14747" t="inlineStr">
        <is>
          <t>Sin Huat Hin Palm Oil Mill (Kuala Selangor) SDN BHD,  Batang Berjuntai, Selangor, Malaysia</t>
        </is>
      </c>
      <c r="B14747" t="inlineStr">
        <is>
          <t>Point of Origin</t>
        </is>
      </c>
      <c r="C14747" t="inlineStr">
        <is>
          <t>Control Union Certifications Germany GmbH, Berlin, DE</t>
        </is>
      </c>
      <c r="D14747" t="inlineStr">
        <is>
          <t>14.09.2026</t>
        </is>
      </c>
      <c r="E14747" t="inlineStr">
        <is>
          <t>Malaysia</t>
        </is>
      </c>
    </row>
    <row r="14748">
      <c r="A14748" t="inlineStr">
        <is>
          <t>Valero Refining-Texas, L.P.,  Corpus Christi, United States</t>
        </is>
      </c>
      <c r="B14748" t="inlineStr">
        <is>
          <t>Processing Unit</t>
        </is>
      </c>
      <c r="C14748" t="inlineStr">
        <is>
          <t>Control Union Certifications Germany GmbH, Berlin, DE</t>
        </is>
      </c>
      <c r="D14748" t="inlineStr">
        <is>
          <t>14.09.2026</t>
        </is>
      </c>
      <c r="E14748" t="inlineStr">
        <is>
          <t>United States</t>
        </is>
      </c>
    </row>
    <row r="14749">
      <c r="A14749" t="inlineStr">
        <is>
          <t>Albertsons Companies, Inc.,  Bellevue, United States</t>
        </is>
      </c>
      <c r="B14749" t="inlineStr">
        <is>
          <t>Processing Unit</t>
        </is>
      </c>
      <c r="C14749" t="inlineStr">
        <is>
          <t>SCS Global Services, Emeryville, CA, US</t>
        </is>
      </c>
      <c r="D14749" t="inlineStr">
        <is>
          <t>14.09.2026</t>
        </is>
      </c>
      <c r="E14749" t="inlineStr">
        <is>
          <t>United States</t>
        </is>
      </c>
    </row>
    <row r="14750">
      <c r="A14750" t="inlineStr">
        <is>
          <t>INOVYN Deutschland GmbH,  Rheinberg, Germany</t>
        </is>
      </c>
      <c r="B14750" t="inlineStr">
        <is>
          <t>Processing Unit</t>
        </is>
      </c>
      <c r="C14750" t="inlineStr">
        <is>
          <t>SCS Global Services, Emeryville, CA, US</t>
        </is>
      </c>
      <c r="D14750" t="inlineStr">
        <is>
          <t>14.09.2026</t>
        </is>
      </c>
      <c r="E14750" t="inlineStr">
        <is>
          <t>Germany</t>
        </is>
      </c>
    </row>
    <row r="14751">
      <c r="A14751" t="inlineStr">
        <is>
          <t>BASF Schwarzheide GmbH,  Schwarzheide, Germany</t>
        </is>
      </c>
      <c r="B14751" t="inlineStr">
        <is>
          <t>Processing Unit</t>
        </is>
      </c>
      <c r="C14751" t="inlineStr">
        <is>
          <t>TÜV NORD CERT GmbH, Essen, DE</t>
        </is>
      </c>
      <c r="D14751" t="inlineStr">
        <is>
          <t>14.09.2026</t>
        </is>
      </c>
      <c r="E14751" t="inlineStr">
        <is>
          <t>Germany</t>
        </is>
      </c>
    </row>
    <row r="14752">
      <c r="A14752" t="inlineStr">
        <is>
          <t>Toray Industries, Inc. Ehime Plant,  Masaki-cho, Iyo-gun, Ehime, Japan</t>
        </is>
      </c>
      <c r="B14752" t="inlineStr">
        <is>
          <t>Processing Unit, Trader with Storage</t>
        </is>
      </c>
      <c r="C14752" t="inlineStr">
        <is>
          <t>PT Intertek Utama Services, Jakarta, ID</t>
        </is>
      </c>
      <c r="D14752" t="inlineStr">
        <is>
          <t>14.09.2026</t>
        </is>
      </c>
      <c r="E14752" t="inlineStr">
        <is>
          <t>Japan</t>
        </is>
      </c>
    </row>
    <row r="14753">
      <c r="A14753" t="inlineStr">
        <is>
          <t>PT GLOBAL ENERGI BARU,  kembangan, Indonesia</t>
        </is>
      </c>
      <c r="B14753" t="inlineStr">
        <is>
          <t>Trader with Storage</t>
        </is>
      </c>
      <c r="C14753" t="inlineStr">
        <is>
          <t>PT. CBQA GLOBAL INDONESIA, JAKARTA SELATAN, ID</t>
        </is>
      </c>
      <c r="D14753" t="inlineStr">
        <is>
          <t>14.09.2026</t>
        </is>
      </c>
      <c r="E14753" t="inlineStr">
        <is>
          <t>Indonesia</t>
        </is>
      </c>
    </row>
    <row r="14754">
      <c r="A14754" t="inlineStr">
        <is>
          <t>Ventos grūdai, UAB,  Venta, Akmenės raj., Lithuania</t>
        </is>
      </c>
      <c r="B14754" t="inlineStr">
        <is>
          <t>First Gathering Point</t>
        </is>
      </c>
      <c r="C14754" t="inlineStr">
        <is>
          <t>BM Certification, Riga, LV</t>
        </is>
      </c>
      <c r="D14754" t="inlineStr">
        <is>
          <t>14.09.2026</t>
        </is>
      </c>
      <c r="E14754" t="inlineStr">
        <is>
          <t>Lithuania</t>
        </is>
      </c>
    </row>
    <row r="14755">
      <c r="A14755" t="inlineStr">
        <is>
          <t>sotici bioenergy,  SFAX, Tunisia</t>
        </is>
      </c>
      <c r="B14755" t="inlineStr">
        <is>
          <t>Collecting Point</t>
        </is>
      </c>
      <c r="C14755" t="inlineStr">
        <is>
          <t>BM Certification, Riga, LV</t>
        </is>
      </c>
      <c r="D14755" t="inlineStr">
        <is>
          <t>14.09.2026</t>
        </is>
      </c>
      <c r="E14755" t="inlineStr">
        <is>
          <t>Tunisia</t>
        </is>
      </c>
    </row>
    <row r="14756">
      <c r="A14756" t="inlineStr">
        <is>
          <t>Circtec Netherlands B.V.,  Farmsum, The Netherlands</t>
        </is>
      </c>
      <c r="B14756" t="inlineStr">
        <is>
          <t>Collecting Point, Processing Unit, Trader</t>
        </is>
      </c>
      <c r="C14756" t="inlineStr">
        <is>
          <t>DEKRA Certification B.V., Arnhem, NL</t>
        </is>
      </c>
      <c r="D14756" t="inlineStr">
        <is>
          <t>14.09.2026</t>
        </is>
      </c>
      <c r="E14756" t="inlineStr">
        <is>
          <t>The Netherlands</t>
        </is>
      </c>
    </row>
    <row r="14757">
      <c r="A14757" t="inlineStr">
        <is>
          <t>Circtec Netherlands B.V.,  Farmsum, Netherlands</t>
        </is>
      </c>
      <c r="B14757" t="inlineStr">
        <is>
          <t>Collecting Point, Processing Unit, Trader</t>
        </is>
      </c>
      <c r="C14757" t="inlineStr">
        <is>
          <t>DEKRA Certification B.V., Arnhem, NL</t>
        </is>
      </c>
      <c r="D14757" t="inlineStr">
        <is>
          <t>14.09.2026</t>
        </is>
      </c>
      <c r="E14757" t="inlineStr">
        <is>
          <t>Netherlands</t>
        </is>
      </c>
    </row>
    <row r="14758">
      <c r="A14758" t="inlineStr">
        <is>
          <t>Re:CS Holdings Corporation,  Chuo-ku, Osaka-city, Osaka, Japan</t>
        </is>
      </c>
      <c r="B14758" t="inlineStr">
        <is>
          <t>Trader, Collecting Point</t>
        </is>
      </c>
      <c r="C14758" t="inlineStr">
        <is>
          <t>SGS Germany GmbH, Emstek, DE</t>
        </is>
      </c>
      <c r="D14758" t="inlineStr">
        <is>
          <t>14.09.2026</t>
        </is>
      </c>
      <c r="E14758" t="inlineStr">
        <is>
          <t>Japan</t>
        </is>
      </c>
    </row>
    <row r="14759">
      <c r="A14759" t="inlineStr">
        <is>
          <t>Jayachandran Global Refineries Pvt. Ltd.,  Chennai, India</t>
        </is>
      </c>
      <c r="B14759" t="inlineStr">
        <is>
          <t>Processing Unit</t>
        </is>
      </c>
      <c r="C14759" t="inlineStr">
        <is>
          <t>SGS Germany GmbH, Emstek, DE</t>
        </is>
      </c>
      <c r="D14759" t="inlineStr">
        <is>
          <t>14.09.2026</t>
        </is>
      </c>
      <c r="E14759" t="inlineStr">
        <is>
          <t>India</t>
        </is>
      </c>
    </row>
    <row r="14760">
      <c r="A14760" t="inlineStr">
        <is>
          <t>SC Promat Comimpex SRL,  Tasnad, Romania</t>
        </is>
      </c>
      <c r="B14760" t="inlineStr">
        <is>
          <t>First Gathering Point, Trader with Storage</t>
        </is>
      </c>
      <c r="C14760" t="inlineStr">
        <is>
          <t>SRAC Cert SRL, Bucharest, RO</t>
        </is>
      </c>
      <c r="D14760" t="inlineStr">
        <is>
          <t>14.09.2026</t>
        </is>
      </c>
      <c r="E14760" t="inlineStr">
        <is>
          <t>Romania</t>
        </is>
      </c>
    </row>
    <row r="14761">
      <c r="A14761" t="inlineStr">
        <is>
          <t>Drylock Technologies,  Buccinasco (MI), Italy</t>
        </is>
      </c>
      <c r="B14761" t="inlineStr">
        <is>
          <t>Final Product Refinement</t>
        </is>
      </c>
      <c r="C14761" t="inlineStr">
        <is>
          <t>TÜV SÜD Industrie Service GmbH, München, DE</t>
        </is>
      </c>
      <c r="D14761" t="inlineStr">
        <is>
          <t>14.09.2026</t>
        </is>
      </c>
      <c r="E14761" t="inlineStr">
        <is>
          <t>Italy</t>
        </is>
      </c>
    </row>
    <row r="14762">
      <c r="A14762" t="inlineStr">
        <is>
          <t>Valero Marketing and Supply Company,  San Antonio, Texas, United States</t>
        </is>
      </c>
      <c r="B14762" t="inlineStr">
        <is>
          <t>Trader with Storage</t>
        </is>
      </c>
      <c r="C14762" t="inlineStr">
        <is>
          <t>Control Union Certifications Germany GmbH, Berlin, DE</t>
        </is>
      </c>
      <c r="D14762" t="inlineStr">
        <is>
          <t>14.09.2026</t>
        </is>
      </c>
      <c r="E14762" t="inlineStr">
        <is>
          <t>United States</t>
        </is>
      </c>
    </row>
    <row r="14763">
      <c r="A14763" t="inlineStr">
        <is>
          <t>SAM MILLS INTERNATIONAL SA,  Botiz, Romania</t>
        </is>
      </c>
      <c r="B14763" t="inlineStr">
        <is>
          <t>Processing Unit</t>
        </is>
      </c>
      <c r="C14763" t="inlineStr">
        <is>
          <t>SRAC Cert SRL, Bucharest, RO</t>
        </is>
      </c>
      <c r="D14763" t="inlineStr">
        <is>
          <t>14.09.2026</t>
        </is>
      </c>
      <c r="E14763" t="inlineStr">
        <is>
          <t>Romania</t>
        </is>
      </c>
    </row>
    <row r="14764">
      <c r="A14764" t="inlineStr">
        <is>
          <t>Sea Crown Marine Services DMCC,  Dubai, United Arab Emirates</t>
        </is>
      </c>
      <c r="B14764" t="inlineStr">
        <is>
          <t>Trader</t>
        </is>
      </c>
      <c r="C14764" t="inlineStr">
        <is>
          <t>Control Union Poland Sp. z o.o., Zielona Gora, PL</t>
        </is>
      </c>
      <c r="D14764" t="inlineStr">
        <is>
          <t>14.09.2026</t>
        </is>
      </c>
      <c r="E14764" t="inlineStr">
        <is>
          <t>United Arab Emirates</t>
        </is>
      </c>
    </row>
    <row r="14765">
      <c r="A14765" t="inlineStr">
        <is>
          <t>Aavisi FZC,  Sharjah, The United Arab Emirates</t>
        </is>
      </c>
      <c r="B14765" t="inlineStr">
        <is>
          <t>Processing Unit, Trader with Storage</t>
        </is>
      </c>
      <c r="C14765" t="inlineStr">
        <is>
          <t>Eurocert SA, Metamorfosi, Athens, GR</t>
        </is>
      </c>
      <c r="D14765" t="inlineStr">
        <is>
          <t>14.09.2026</t>
        </is>
      </c>
      <c r="E14765" t="inlineStr">
        <is>
          <t>The United Arab Emirates</t>
        </is>
      </c>
    </row>
    <row r="14766">
      <c r="A14766" t="inlineStr">
        <is>
          <t>Valero Marketing and Supply Company,  San Antonio, United States</t>
        </is>
      </c>
      <c r="B14766" t="inlineStr">
        <is>
          <t>Trader with Storage</t>
        </is>
      </c>
      <c r="C14766" t="inlineStr">
        <is>
          <t>Control Union Certifications Germany GmbH, Berlin, DE</t>
        </is>
      </c>
      <c r="D14766" t="inlineStr">
        <is>
          <t>14.09.2026</t>
        </is>
      </c>
      <c r="E14766" t="inlineStr">
        <is>
          <t>United States</t>
        </is>
      </c>
    </row>
    <row r="14767">
      <c r="A14767" t="inlineStr">
        <is>
          <t>Valero Marketing and Supply Company,  San Antonio, United States</t>
        </is>
      </c>
      <c r="B14767" t="inlineStr">
        <is>
          <t>Trader with Storage</t>
        </is>
      </c>
      <c r="C14767" t="inlineStr">
        <is>
          <t>Control Union Certifications Germany GmbH, Berlin, DE</t>
        </is>
      </c>
      <c r="D14767" t="inlineStr">
        <is>
          <t>14.09.2026</t>
        </is>
      </c>
      <c r="E14767" t="inlineStr">
        <is>
          <t>United States</t>
        </is>
      </c>
    </row>
    <row r="14768">
      <c r="A14768" t="inlineStr">
        <is>
          <t>Seda North America,  Mount Pleasant, United States</t>
        </is>
      </c>
      <c r="B14768" t="inlineStr">
        <is>
          <t>Processing Unit</t>
        </is>
      </c>
      <c r="C14768" t="inlineStr">
        <is>
          <t>SCS Global Services, Emeryville, CA, US</t>
        </is>
      </c>
      <c r="D14768" t="inlineStr">
        <is>
          <t>14.09.2026</t>
        </is>
      </c>
      <c r="E14768" t="inlineStr">
        <is>
          <t>United States</t>
        </is>
      </c>
    </row>
    <row r="14769">
      <c r="A14769" t="inlineStr">
        <is>
          <t>Dynasty Bioenergy Trading,  Seksyen U5, Shah Alam, Malaysia</t>
        </is>
      </c>
      <c r="B14769" t="inlineStr">
        <is>
          <t>Collecting Point, Trader with Storage</t>
        </is>
      </c>
      <c r="C14769" t="inlineStr">
        <is>
          <t>RINA Services S.p.A., Genova, IT</t>
        </is>
      </c>
      <c r="D14769" t="inlineStr">
        <is>
          <t>14.09.2026</t>
        </is>
      </c>
      <c r="E14769" t="inlineStr">
        <is>
          <t>Malaysia</t>
        </is>
      </c>
    </row>
    <row r="14770">
      <c r="A14770" t="inlineStr">
        <is>
          <t>Export Trading Group Commodities,  Pozuelo de Alarcon, Madrid, Spain</t>
        </is>
      </c>
      <c r="B14770" t="inlineStr">
        <is>
          <t>Trader</t>
        </is>
      </c>
      <c r="C14770" t="inlineStr">
        <is>
          <t>Control Union Poland Sp. z o.o., Zielona Gora, PL</t>
        </is>
      </c>
      <c r="D14770" t="inlineStr">
        <is>
          <t>14.09.2026</t>
        </is>
      </c>
      <c r="E14770" t="inlineStr">
        <is>
          <t>Spain</t>
        </is>
      </c>
    </row>
    <row r="14771">
      <c r="A14771" t="inlineStr">
        <is>
          <t>OQEMA GmbH,  Mönchengladbach, Germany</t>
        </is>
      </c>
      <c r="B14771" t="inlineStr">
        <is>
          <t>Trader with Storage</t>
        </is>
      </c>
      <c r="C14771" t="inlineStr">
        <is>
          <t>DQS CFS GmbH - Deutsche Gesellschaft für Nachhaltigkeit, Frankfurt am Main, DE</t>
        </is>
      </c>
      <c r="D14771" t="inlineStr">
        <is>
          <t>14.09.2026</t>
        </is>
      </c>
      <c r="E14771" t="inlineStr">
        <is>
          <t>Germany</t>
        </is>
      </c>
    </row>
    <row r="14772">
      <c r="A14772" t="inlineStr">
        <is>
          <t>Galle GmbH,  Sonnewalde, Germany</t>
        </is>
      </c>
      <c r="B14772" t="inlineStr">
        <is>
          <t>First Gathering Point, Point of Origin</t>
        </is>
      </c>
      <c r="C14772" t="inlineStr">
        <is>
          <t>SGS Germany GmbH, Emstek, DE</t>
        </is>
      </c>
      <c r="D14772" t="inlineStr">
        <is>
          <t>14.09.2026</t>
        </is>
      </c>
      <c r="E14772" t="inlineStr">
        <is>
          <t>Germany</t>
        </is>
      </c>
    </row>
    <row r="14773">
      <c r="A14773" t="inlineStr">
        <is>
          <t>CYH GARSAN, S.L.U.,  LORCA, Spain</t>
        </is>
      </c>
      <c r="B14773" t="inlineStr">
        <is>
          <t>Trader with Storage</t>
        </is>
      </c>
      <c r="C14773" t="inlineStr">
        <is>
          <t>Control Union Poland Sp. z o.o., Zielona Gora, PL</t>
        </is>
      </c>
      <c r="D14773" t="inlineStr">
        <is>
          <t>14.09.2026</t>
        </is>
      </c>
      <c r="E14773" t="inlineStr">
        <is>
          <t>Spain</t>
        </is>
      </c>
    </row>
    <row r="14774">
      <c r="A14774" t="inlineStr">
        <is>
          <t>ACT Commodities BV,  Amsterdam, The Netherlands</t>
        </is>
      </c>
      <c r="B14774" t="inlineStr">
        <is>
          <t>Trader with Storage</t>
        </is>
      </c>
      <c r="C14774" t="inlineStr">
        <is>
          <t>DEKRA Certification B.V., Arnhem, NL</t>
        </is>
      </c>
      <c r="D14774" t="inlineStr">
        <is>
          <t>14.09.2026</t>
        </is>
      </c>
      <c r="E14774" t="inlineStr">
        <is>
          <t>The Netherlands</t>
        </is>
      </c>
    </row>
    <row r="14775">
      <c r="A14775" t="inlineStr">
        <is>
          <t>ACT Commodities BV,  Amsterdam, The Netherlands</t>
        </is>
      </c>
      <c r="B14775" t="inlineStr">
        <is>
          <t>Trader with Storage</t>
        </is>
      </c>
      <c r="C14775" t="inlineStr">
        <is>
          <t>DEKRA Certification B.V., Arnhem, NL</t>
        </is>
      </c>
      <c r="D14775" t="inlineStr">
        <is>
          <t>14.09.2026</t>
        </is>
      </c>
      <c r="E14775" t="inlineStr">
        <is>
          <t>The Netherlands</t>
        </is>
      </c>
    </row>
    <row r="14776">
      <c r="A14776" t="inlineStr">
        <is>
          <t>Bugaboo(Xiamen) Industrial Co., Ltd.,  Xiamen, China</t>
        </is>
      </c>
      <c r="B14776" t="inlineStr">
        <is>
          <t>Trader with Storage, Final Product Refinement</t>
        </is>
      </c>
      <c r="C14776" t="inlineStr">
        <is>
          <t>Bureau Veritas Polska Sp. z o.o., Warsaw, PL</t>
        </is>
      </c>
      <c r="D14776" t="inlineStr">
        <is>
          <t>14.09.2026</t>
        </is>
      </c>
      <c r="E14776" t="inlineStr">
        <is>
          <t>China</t>
        </is>
      </c>
    </row>
    <row r="14777">
      <c r="A14777" t="inlineStr">
        <is>
          <t>Delta SRL,  Domegge di Cadore, Italy</t>
        </is>
      </c>
      <c r="B14777" t="inlineStr">
        <is>
          <t>Processing Unit</t>
        </is>
      </c>
      <c r="C14777" t="inlineStr">
        <is>
          <t>RINA Services S.p.A., Genova, IT</t>
        </is>
      </c>
      <c r="D14777" t="inlineStr">
        <is>
          <t>14.09.2026</t>
        </is>
      </c>
      <c r="E14777" t="inlineStr">
        <is>
          <t>Italy</t>
        </is>
      </c>
    </row>
    <row r="14778">
      <c r="A14778" t="inlineStr">
        <is>
          <t>PT Noovoleum Indonesia Investama,  Cipete Sel., Kec. Cilandak, Kota Jakarta Selatan, Indonesia</t>
        </is>
      </c>
      <c r="B14778" t="inlineStr">
        <is>
          <t>Collecting Point, Trader with Storage</t>
        </is>
      </c>
      <c r="C14778" t="inlineStr">
        <is>
          <t>PT. Qualitas Sertifikasi Indonesia, Jakarta, ID</t>
        </is>
      </c>
      <c r="D14778" t="inlineStr">
        <is>
          <t>14.09.2026</t>
        </is>
      </c>
      <c r="E14778" t="inlineStr">
        <is>
          <t>Indonesia</t>
        </is>
      </c>
    </row>
    <row r="14779">
      <c r="A14779" t="inlineStr">
        <is>
          <t>PT Noovoleum Indonesia Investama,  Cipete Sel., Kec. Cilandak, Kota Jakarta Selatan, Indonesia</t>
        </is>
      </c>
      <c r="B14779" t="inlineStr">
        <is>
          <t>Collecting Point, Trader with Storage</t>
        </is>
      </c>
      <c r="C14779" t="inlineStr">
        <is>
          <t>PT. Qualitas Sertifikasi Indonesia, Jakarta, ID</t>
        </is>
      </c>
      <c r="D14779" t="inlineStr">
        <is>
          <t>14.09.2026</t>
        </is>
      </c>
      <c r="E14779" t="inlineStr">
        <is>
          <t>Indonesia</t>
        </is>
      </c>
    </row>
    <row r="14780">
      <c r="A14780" t="inlineStr">
        <is>
          <t>QUANTUM GLOBAL (APAC) PTE LTD,  # 29-04 millenia tower, Singapore</t>
        </is>
      </c>
      <c r="B14780" t="inlineStr">
        <is>
          <t>Trader</t>
        </is>
      </c>
      <c r="C14780" t="inlineStr">
        <is>
          <t>Control Union Certifications Germany GmbH, Berlin, DE</t>
        </is>
      </c>
      <c r="D14780" t="inlineStr">
        <is>
          <t>14.09.2026</t>
        </is>
      </c>
      <c r="E14780" t="inlineStr">
        <is>
          <t>Singapore</t>
        </is>
      </c>
    </row>
    <row r="14781">
      <c r="A14781" t="inlineStr">
        <is>
          <t>Seri Morib Palm Oil Mill,  Tanjong Sepat, Malaysia</t>
        </is>
      </c>
      <c r="B14781" t="inlineStr">
        <is>
          <t>Point of Origin</t>
        </is>
      </c>
      <c r="C14781" t="inlineStr">
        <is>
          <t>Control Union Certifications Germany GmbH, Berlin, DE</t>
        </is>
      </c>
      <c r="D14781" t="inlineStr">
        <is>
          <t>14.09.2026</t>
        </is>
      </c>
      <c r="E14781" t="inlineStr">
        <is>
          <t>Malaysia</t>
        </is>
      </c>
    </row>
    <row r="14782">
      <c r="A14782" t="inlineStr">
        <is>
          <t>COMPAGNIA DELLE PRIMIZIE,  POLICORO, Italy</t>
        </is>
      </c>
      <c r="B14782" t="inlineStr">
        <is>
          <t>First Gathering Point</t>
        </is>
      </c>
      <c r="C14782" t="inlineStr">
        <is>
          <t>DNV Business Assurance Sweden AB, Solna, SE</t>
        </is>
      </c>
      <c r="D14782" t="inlineStr">
        <is>
          <t>14.09.2026</t>
        </is>
      </c>
      <c r="E14782" t="inlineStr">
        <is>
          <t>Italy</t>
        </is>
      </c>
    </row>
    <row r="14783">
      <c r="A14783" t="inlineStr">
        <is>
          <t>LLC "OLIYNYI DIM",  village Lozuvatka, Ukraine</t>
        </is>
      </c>
      <c r="B14783" t="inlineStr">
        <is>
          <t>Trader, First Gathering Point, Point of Origin, Processing Unit</t>
        </is>
      </c>
      <c r="C14783" t="inlineStr">
        <is>
          <t>Bureau Veritas Polska Sp. z o.o., Warsaw, PL</t>
        </is>
      </c>
      <c r="D14783" t="inlineStr">
        <is>
          <t>14.09.2026</t>
        </is>
      </c>
      <c r="E14783" t="inlineStr">
        <is>
          <t>Ukraine</t>
        </is>
      </c>
    </row>
    <row r="14784">
      <c r="A14784" t="inlineStr">
        <is>
          <t>LLC "OLIYNYI DIM",  village Lozuvatka, Ukraine</t>
        </is>
      </c>
      <c r="B14784" t="inlineStr">
        <is>
          <t>Point of Origin, First Gathering Point, Trader, Processing Unit</t>
        </is>
      </c>
      <c r="C14784" t="inlineStr">
        <is>
          <t>Bureau Veritas Polska Sp. z o.o., Warsaw, PL</t>
        </is>
      </c>
      <c r="D14784" t="inlineStr">
        <is>
          <t>14.09.2026</t>
        </is>
      </c>
      <c r="E14784" t="inlineStr">
        <is>
          <t>Ukraine</t>
        </is>
      </c>
    </row>
    <row r="14785">
      <c r="A14785" t="inlineStr">
        <is>
          <t>FUNDACIÓN VALORA2,  Carrión de los condes, Spain</t>
        </is>
      </c>
      <c r="B14785" t="inlineStr">
        <is>
          <t>Collecting Point, Trader</t>
        </is>
      </c>
      <c r="C14785" t="inlineStr">
        <is>
          <t>RINA Services S.p.A., Genova, IT</t>
        </is>
      </c>
      <c r="D14785" t="inlineStr">
        <is>
          <t>14.09.2026</t>
        </is>
      </c>
      <c r="E14785" t="inlineStr">
        <is>
          <t>Spain</t>
        </is>
      </c>
    </row>
    <row r="14786">
      <c r="A14786" t="inlineStr">
        <is>
          <t>Akkerman Zernoprom,  Belgorod-Dnestrovsky, Ukraine</t>
        </is>
      </c>
      <c r="B14786" t="inlineStr">
        <is>
          <t>First Gathering Point</t>
        </is>
      </c>
      <c r="C14786" t="inlineStr">
        <is>
          <t>Baltic Control Certification, Risskov, DK</t>
        </is>
      </c>
      <c r="D14786" t="inlineStr">
        <is>
          <t>14.09.2026</t>
        </is>
      </c>
      <c r="E14786" t="inlineStr">
        <is>
          <t>Ukraine</t>
        </is>
      </c>
    </row>
    <row r="14787">
      <c r="A14787" t="inlineStr">
        <is>
          <t>Meridional TCS Indústria e Comércio de Óleos LTDA,  Ponta Grossa city, Paraná State, Brazil</t>
        </is>
      </c>
      <c r="B14787" t="inlineStr">
        <is>
          <t>Collecting Point, Trader, Processing Unit</t>
        </is>
      </c>
      <c r="C14787" t="inlineStr">
        <is>
          <t>QIMA, Centro, Botucatu - SP, CEP, BR</t>
        </is>
      </c>
      <c r="D14787" t="inlineStr">
        <is>
          <t>14.09.2026</t>
        </is>
      </c>
      <c r="E14787" t="inlineStr">
        <is>
          <t>Brazil</t>
        </is>
      </c>
    </row>
    <row r="14788">
      <c r="A14788" t="inlineStr">
        <is>
          <t>Seri Bandar Palm Oil Mill,  Banting, Malaysia</t>
        </is>
      </c>
      <c r="B14788" t="inlineStr">
        <is>
          <t>Point of Origin</t>
        </is>
      </c>
      <c r="C14788" t="inlineStr">
        <is>
          <t>Control Union Certifications Germany GmbH, Berlin, DE</t>
        </is>
      </c>
      <c r="D14788" t="inlineStr">
        <is>
          <t>14.09.2026</t>
        </is>
      </c>
      <c r="E14788" t="inlineStr">
        <is>
          <t>Malaysia</t>
        </is>
      </c>
    </row>
    <row r="14789">
      <c r="A14789" t="inlineStr">
        <is>
          <t>A. Hatzopoulos,  Thessaloniki, Greece</t>
        </is>
      </c>
      <c r="B14789" t="inlineStr">
        <is>
          <t>Processing Unit</t>
        </is>
      </c>
      <c r="C14789" t="inlineStr">
        <is>
          <t>Eurocert SA, Metamorfosi, Athens, GR</t>
        </is>
      </c>
      <c r="D14789" t="inlineStr">
        <is>
          <t>14.09.2026</t>
        </is>
      </c>
      <c r="E14789" t="inlineStr">
        <is>
          <t>Greece</t>
        </is>
      </c>
    </row>
    <row r="14790">
      <c r="A14790" t="inlineStr">
        <is>
          <t>Shijiazhuang Dong Ai Waste Material Recycling Co. , Ltd.,  Shenze County, Shijiazhuang, China</t>
        </is>
      </c>
      <c r="B14790" t="inlineStr">
        <is>
          <t>Collecting Point, Trader with Storage</t>
        </is>
      </c>
      <c r="C14790" t="inlineStr">
        <is>
          <t>RINA Services S.p.A., Genova, IT</t>
        </is>
      </c>
      <c r="D14790" t="inlineStr">
        <is>
          <t>14.09.2026</t>
        </is>
      </c>
      <c r="E14790" t="inlineStr">
        <is>
          <t>China</t>
        </is>
      </c>
    </row>
    <row r="14791">
      <c r="A14791" t="inlineStr">
        <is>
          <t>A. Hatzopoulos,  Thessaloniki, Greece</t>
        </is>
      </c>
      <c r="B14791" t="inlineStr">
        <is>
          <t>Processing Unit</t>
        </is>
      </c>
      <c r="C14791" t="inlineStr">
        <is>
          <t>Eurocert SA, Metamorfosi, Athens, GR</t>
        </is>
      </c>
      <c r="D14791" t="inlineStr">
        <is>
          <t>14.09.2026</t>
        </is>
      </c>
      <c r="E14791" t="inlineStr">
        <is>
          <t>Greece</t>
        </is>
      </c>
    </row>
    <row r="14792">
      <c r="A14792" t="inlineStr">
        <is>
          <t>Ultimate Flexipack Limited,  Haridwar, India</t>
        </is>
      </c>
      <c r="B14792" t="inlineStr">
        <is>
          <t>Processing Unit</t>
        </is>
      </c>
      <c r="C14792" t="inlineStr">
        <is>
          <t>Cotecna India Inspection Pvt Ltd, Kolkata, IN</t>
        </is>
      </c>
      <c r="D14792" t="inlineStr">
        <is>
          <t>14.09.2026</t>
        </is>
      </c>
      <c r="E14792" t="inlineStr">
        <is>
          <t>India</t>
        </is>
      </c>
    </row>
    <row r="14793">
      <c r="A14793" t="inlineStr">
        <is>
          <t>CMT Recycling s.r.o.,  Brno, Czech Republic</t>
        </is>
      </c>
      <c r="B14793" t="inlineStr">
        <is>
          <t>Collecting Point, Trader with Storage</t>
        </is>
      </c>
      <c r="C14793" t="inlineStr">
        <is>
          <t>United Registrar of Systems Polska Sp. z o.o., Wrocław, PL</t>
        </is>
      </c>
      <c r="D14793" t="inlineStr">
        <is>
          <t>14.09.2026</t>
        </is>
      </c>
      <c r="E14793" t="inlineStr">
        <is>
          <t>Czech Republic</t>
        </is>
      </c>
    </row>
    <row r="14794">
      <c r="A14794" t="inlineStr">
        <is>
          <t>Dukeun Interline Refinery Co., LTD,  Hwaseong-si, South Korea</t>
        </is>
      </c>
      <c r="B14794" t="inlineStr">
        <is>
          <t>Collecting Point, Processing Unit</t>
        </is>
      </c>
      <c r="C14794" t="inlineStr">
        <is>
          <t>Control Union Certifications Germany GmbH, Berlin, DE</t>
        </is>
      </c>
      <c r="D14794" t="inlineStr">
        <is>
          <t>14.09.2026</t>
        </is>
      </c>
      <c r="E14794" t="inlineStr">
        <is>
          <t>South Korea</t>
        </is>
      </c>
    </row>
    <row r="14795">
      <c r="A14795" t="inlineStr">
        <is>
          <t>Wilmar Agro Vietnam Co., Ltd,  Can Tho City, Vietnam</t>
        </is>
      </c>
      <c r="B14795" t="inlineStr">
        <is>
          <t>Point of Origin</t>
        </is>
      </c>
      <c r="C14795" t="inlineStr">
        <is>
          <t>PT Intertek Utama Services, Jakarta, ID</t>
        </is>
      </c>
      <c r="D14795" t="inlineStr">
        <is>
          <t>14.09.2026</t>
        </is>
      </c>
      <c r="E14795" t="inlineStr">
        <is>
          <t>Vietnam</t>
        </is>
      </c>
    </row>
    <row r="14796">
      <c r="A14796" t="inlineStr">
        <is>
          <t>SAME CHEMICALS,  BARENDRECHT, Netherlands</t>
        </is>
      </c>
      <c r="B14796" t="inlineStr">
        <is>
          <t>Trader</t>
        </is>
      </c>
      <c r="C14796" t="inlineStr">
        <is>
          <t>DEKRA Certification B.V., Arnhem, NL</t>
        </is>
      </c>
      <c r="D14796" t="inlineStr">
        <is>
          <t>14.09.2026</t>
        </is>
      </c>
      <c r="E14796" t="inlineStr">
        <is>
          <t>Netherlands</t>
        </is>
      </c>
    </row>
    <row r="14797">
      <c r="A14797" t="inlineStr">
        <is>
          <t>Bunge Italia Spa,  Porto Corsini - Ravenna (RA), Italy</t>
        </is>
      </c>
      <c r="B14797" t="inlineStr">
        <is>
          <t>Point of Origin, Trader with Storage, Processing Unit</t>
        </is>
      </c>
      <c r="C14797" t="inlineStr">
        <is>
          <t>Control Union Poland Sp. z o.o., Zielona Gora, PL</t>
        </is>
      </c>
      <c r="D14797" t="inlineStr">
        <is>
          <t>13.09.2026</t>
        </is>
      </c>
      <c r="E14797" t="inlineStr">
        <is>
          <t>Italy</t>
        </is>
      </c>
    </row>
    <row r="14798">
      <c r="A14798" t="inlineStr">
        <is>
          <t>Bunge Italia Spa,  Ravenna, Italy</t>
        </is>
      </c>
      <c r="B14798" t="inlineStr">
        <is>
          <t>Point of Origin, Trader with Storage, Processing Unit</t>
        </is>
      </c>
      <c r="C14798" t="inlineStr">
        <is>
          <t>Control Union Poland Sp. z o.o., Zielona Gora, PL</t>
        </is>
      </c>
      <c r="D14798" t="inlineStr">
        <is>
          <t>13.09.2026</t>
        </is>
      </c>
      <c r="E14798" t="inlineStr">
        <is>
          <t>Italy</t>
        </is>
      </c>
    </row>
    <row r="14799">
      <c r="A14799" t="inlineStr">
        <is>
          <t>Bunge Italia Spa,  Ravenna, Italy</t>
        </is>
      </c>
      <c r="B14799" t="inlineStr">
        <is>
          <t>Trader with Storage, Processing Unit</t>
        </is>
      </c>
      <c r="C14799" t="inlineStr">
        <is>
          <t>Control Union Poland Sp. z o.o., Zielona Gora, PL</t>
        </is>
      </c>
      <c r="D14799" t="inlineStr">
        <is>
          <t>13.09.2026</t>
        </is>
      </c>
      <c r="E14799" t="inlineStr">
        <is>
          <t>Italy</t>
        </is>
      </c>
    </row>
    <row r="14800">
      <c r="A14800" t="inlineStr">
        <is>
          <t>Tepsa Iberia, S.L.U.,  Barcelona, Spain</t>
        </is>
      </c>
      <c r="B14800" t="inlineStr">
        <is>
          <t>Logistics Center</t>
        </is>
      </c>
      <c r="C14800" t="inlineStr">
        <is>
          <t>Bureau Veritas Polska Sp. z o.o., Warsaw, PL</t>
        </is>
      </c>
      <c r="D14800" t="inlineStr">
        <is>
          <t>13.09.2026</t>
        </is>
      </c>
      <c r="E14800" t="inlineStr">
        <is>
          <t>Spain</t>
        </is>
      </c>
    </row>
    <row r="14801">
      <c r="A14801" t="inlineStr">
        <is>
          <t>GRASAS DEL GUADALQUIVIR S.L.,  Villafranca de Cordoba, Spain</t>
        </is>
      </c>
      <c r="B14801" t="inlineStr">
        <is>
          <t>Collecting Point, Point of Origin, Trader with Storage</t>
        </is>
      </c>
      <c r="C14801" t="inlineStr">
        <is>
          <t>RINA Services S.p.A., Genova, IT</t>
        </is>
      </c>
      <c r="D14801" t="inlineStr">
        <is>
          <t>13.09.2026</t>
        </is>
      </c>
      <c r="E14801" t="inlineStr">
        <is>
          <t>Spain</t>
        </is>
      </c>
    </row>
    <row r="14802">
      <c r="A14802" t="inlineStr">
        <is>
          <t>CROSS ACHIZITII,  Constanta, Romania</t>
        </is>
      </c>
      <c r="B14802" t="inlineStr">
        <is>
          <t>First Gathering Point, Trader with Storage</t>
        </is>
      </c>
      <c r="C14802" t="inlineStr">
        <is>
          <t>Control Union Certifications Germany GmbH, Berlin, DE</t>
        </is>
      </c>
      <c r="D14802" t="inlineStr">
        <is>
          <t>13.09.2026</t>
        </is>
      </c>
      <c r="E14802" t="inlineStr">
        <is>
          <t>Romania</t>
        </is>
      </c>
    </row>
    <row r="14803">
      <c r="A14803" t="inlineStr">
        <is>
          <t>LIFE RECYCLE SERVICE,  Kawasan Perindustrian Krubong, Malaysia</t>
        </is>
      </c>
      <c r="B14803" t="inlineStr">
        <is>
          <t>Collecting Point, Trader with Storage</t>
        </is>
      </c>
      <c r="C14803" t="inlineStr">
        <is>
          <t>RINA Services S.p.A., Genova, IT</t>
        </is>
      </c>
      <c r="D14803" t="inlineStr">
        <is>
          <t>13.09.2026</t>
        </is>
      </c>
      <c r="E14803" t="inlineStr">
        <is>
          <t>Malaysia</t>
        </is>
      </c>
    </row>
    <row r="14804">
      <c r="A14804" t="inlineStr">
        <is>
          <t>IK Trade, s.r.o.,  Černuc, Czech Republic</t>
        </is>
      </c>
      <c r="B14804" t="inlineStr">
        <is>
          <t>First Gathering Point, Trader with Storage</t>
        </is>
      </c>
      <c r="C14804" t="inlineStr">
        <is>
          <t>Bureau Veritas Polska Sp. z o.o., Warsaw, PL</t>
        </is>
      </c>
      <c r="D14804" t="inlineStr">
        <is>
          <t>13.09.2026</t>
        </is>
      </c>
      <c r="E14804" t="inlineStr">
        <is>
          <t>Czech Republic</t>
        </is>
      </c>
    </row>
    <row r="14805">
      <c r="A14805" t="inlineStr">
        <is>
          <t>UCO TRADING SPAIN, S.L.,  Oviedo, Spain</t>
        </is>
      </c>
      <c r="B14805" t="inlineStr">
        <is>
          <t>Trader</t>
        </is>
      </c>
      <c r="C14805" t="inlineStr">
        <is>
          <t>SGS Germany GmbH, Emstek, DE</t>
        </is>
      </c>
      <c r="D14805" t="inlineStr">
        <is>
          <t>13.09.2026</t>
        </is>
      </c>
      <c r="E14805" t="inlineStr">
        <is>
          <t>Spain</t>
        </is>
      </c>
    </row>
    <row r="14806">
      <c r="A14806" t="inlineStr">
        <is>
          <t>UCO TRADING SPAIN, S.L.,  Oviedo, Spain</t>
        </is>
      </c>
      <c r="B14806" t="inlineStr">
        <is>
          <t>Trader</t>
        </is>
      </c>
      <c r="C14806" t="inlineStr">
        <is>
          <t>SGS Germany GmbH, Emstek, DE</t>
        </is>
      </c>
      <c r="D14806" t="inlineStr">
        <is>
          <t>13.09.2026</t>
        </is>
      </c>
      <c r="E14806" t="inlineStr">
        <is>
          <t>Spain</t>
        </is>
      </c>
    </row>
    <row r="14807">
      <c r="A14807" t="inlineStr">
        <is>
          <t>Kuraray Co., Ltd.,  Niigata, Japan</t>
        </is>
      </c>
      <c r="B14807" t="inlineStr">
        <is>
          <t>Processing Unit, Collecting Point</t>
        </is>
      </c>
      <c r="C14807" t="inlineStr">
        <is>
          <t>SGS Germany GmbH, Emstek, DE</t>
        </is>
      </c>
      <c r="D14807" t="inlineStr">
        <is>
          <t>13.09.2026</t>
        </is>
      </c>
      <c r="E14807" t="inlineStr">
        <is>
          <t>Japan</t>
        </is>
      </c>
    </row>
    <row r="14808">
      <c r="A14808" t="inlineStr">
        <is>
          <t>Shenzhen Topview Eyewear Industrial Co. Ltd.,  Shenzhen, China</t>
        </is>
      </c>
      <c r="B14808" t="inlineStr">
        <is>
          <t>Processing Unit</t>
        </is>
      </c>
      <c r="C14808" t="inlineStr">
        <is>
          <t>SCS Global Services, Emeryville, CA, US</t>
        </is>
      </c>
      <c r="D14808" t="inlineStr">
        <is>
          <t>13.09.2026</t>
        </is>
      </c>
      <c r="E14808" t="inlineStr">
        <is>
          <t>China</t>
        </is>
      </c>
    </row>
    <row r="14809">
      <c r="A14809" t="inlineStr">
        <is>
          <t>Pinard Beauty Pack,  Martignat, France</t>
        </is>
      </c>
      <c r="B14809" t="inlineStr">
        <is>
          <t>Trader with Storage, Final Product Refinement, Processing Unit</t>
        </is>
      </c>
      <c r="C14809" t="inlineStr">
        <is>
          <t>Bureau Veritas Polska Sp. z o.o., Warsaw, PL</t>
        </is>
      </c>
      <c r="D14809" t="inlineStr">
        <is>
          <t>13.09.2026</t>
        </is>
      </c>
      <c r="E14809" t="inlineStr">
        <is>
          <t>France</t>
        </is>
      </c>
    </row>
    <row r="14810">
      <c r="A14810" t="inlineStr">
        <is>
          <t>Five Elements Environmental Technologies Pvt Ltd,  Palghar, India</t>
        </is>
      </c>
      <c r="B14810" t="inlineStr">
        <is>
          <t>Collecting Point, Processing Unit</t>
        </is>
      </c>
      <c r="C14810" t="inlineStr">
        <is>
          <t>Cotecna India Inspection Pvt Ltd, Kolkata, IN</t>
        </is>
      </c>
      <c r="D14810" t="inlineStr">
        <is>
          <t>13.09.2026</t>
        </is>
      </c>
      <c r="E14810" t="inlineStr">
        <is>
          <t>India</t>
        </is>
      </c>
    </row>
    <row r="14811">
      <c r="A14811" t="inlineStr">
        <is>
          <t>CHANG CHUN PETROCHEMICAL CO., LTD.,  MIAOLI COUNTY, Taiwan, Province of China</t>
        </is>
      </c>
      <c r="B14811" t="inlineStr">
        <is>
          <t>Processing Unit</t>
        </is>
      </c>
      <c r="C14811" t="inlineStr">
        <is>
          <t>Bureau Veritas Polska Sp. z o.o., Warsaw, PL</t>
        </is>
      </c>
      <c r="D14811" t="inlineStr">
        <is>
          <t>13.09.2026</t>
        </is>
      </c>
      <c r="E14811" t="inlineStr">
        <is>
          <t>Province of China</t>
        </is>
      </c>
    </row>
    <row r="14812">
      <c r="A14812" t="inlineStr">
        <is>
          <t>SOUTHERN BIOFUEL TRADING PRODUCTION COMPANY LIMITED,  Can Tho, Vietnam</t>
        </is>
      </c>
      <c r="B14812" t="inlineStr">
        <is>
          <t>Collecting Point, Trader with Storage</t>
        </is>
      </c>
      <c r="C14812" t="inlineStr">
        <is>
          <t>PT Intertek Utama Services, Jakarta, ID</t>
        </is>
      </c>
      <c r="D14812" t="inlineStr">
        <is>
          <t>13.09.2026</t>
        </is>
      </c>
      <c r="E14812" t="inlineStr">
        <is>
          <t>Vietnam</t>
        </is>
      </c>
    </row>
    <row r="14813">
      <c r="A14813" t="inlineStr">
        <is>
          <t>SOUTHERN BIOFUEL TRADING PRODUCTION COMPANY LIMITED,  Can Tho, Vietnam</t>
        </is>
      </c>
      <c r="B14813" t="inlineStr">
        <is>
          <t>Collecting Point, Trader with Storage</t>
        </is>
      </c>
      <c r="C14813" t="inlineStr">
        <is>
          <t>PT Intertek Utama Services, Jakarta, ID</t>
        </is>
      </c>
      <c r="D14813" t="inlineStr">
        <is>
          <t>13.09.2026</t>
        </is>
      </c>
      <c r="E14813" t="inlineStr">
        <is>
          <t>Vietnam</t>
        </is>
      </c>
    </row>
    <row r="14814">
      <c r="A14814" t="inlineStr">
        <is>
          <t>SC Agrotex Srl,  Carei, jud. Satu Mare, Romania</t>
        </is>
      </c>
      <c r="B14814" t="inlineStr">
        <is>
          <t>First Gathering Point, Trader with Storage</t>
        </is>
      </c>
      <c r="C14814" t="inlineStr">
        <is>
          <t>SGS Germany GmbH, Emstek, DE</t>
        </is>
      </c>
      <c r="D14814" t="inlineStr">
        <is>
          <t>13.09.2026</t>
        </is>
      </c>
      <c r="E14814" t="inlineStr">
        <is>
          <t>Romania</t>
        </is>
      </c>
    </row>
    <row r="14815">
      <c r="A14815" t="inlineStr">
        <is>
          <t>Berry Global,  Bloomington, United States</t>
        </is>
      </c>
      <c r="B14815" t="inlineStr">
        <is>
          <t>Processing Unit</t>
        </is>
      </c>
      <c r="C14815" t="inlineStr">
        <is>
          <t>SCS Global Services, Emeryville, CA, US</t>
        </is>
      </c>
      <c r="D14815" t="inlineStr">
        <is>
          <t>13.09.2026</t>
        </is>
      </c>
      <c r="E14815" t="inlineStr">
        <is>
          <t>United States</t>
        </is>
      </c>
    </row>
    <row r="14816">
      <c r="A14816" t="inlineStr">
        <is>
          <t>Alcoholera de la Puebla S.A.,  Toledo, La Puebla de Almoradiel, Spain</t>
        </is>
      </c>
      <c r="B14816" t="inlineStr">
        <is>
          <t>Collecting Point, Processing Unit</t>
        </is>
      </c>
      <c r="C14816" t="inlineStr">
        <is>
          <t>Control Union Poland Sp. z o.o., Zielona Gora, PL</t>
        </is>
      </c>
      <c r="D14816" t="inlineStr">
        <is>
          <t>13.09.2026</t>
        </is>
      </c>
      <c r="E14816" t="inlineStr">
        <is>
          <t>Spain</t>
        </is>
      </c>
    </row>
    <row r="14817">
      <c r="A14817" t="inlineStr">
        <is>
          <t>Poet Biorefining - Bingham Lake, LLC,  Bingham Lake, United States</t>
        </is>
      </c>
      <c r="B14817" t="inlineStr">
        <is>
          <t>Processing Unit</t>
        </is>
      </c>
      <c r="C14817" t="inlineStr">
        <is>
          <t>SCS Global Services, Emeryville, CA, US</t>
        </is>
      </c>
      <c r="D14817" t="inlineStr">
        <is>
          <t>13.09.2026</t>
        </is>
      </c>
      <c r="E14817" t="inlineStr">
        <is>
          <t>United States</t>
        </is>
      </c>
    </row>
    <row r="14818">
      <c r="A14818" t="inlineStr">
        <is>
          <t>Poet Biorefining - Bingham Lake, LLC,  Bingham Lake, United States</t>
        </is>
      </c>
      <c r="B14818" t="inlineStr">
        <is>
          <t>Processing Unit</t>
        </is>
      </c>
      <c r="C14818" t="inlineStr">
        <is>
          <t>SCS Global Services, Emeryville, CA, US</t>
        </is>
      </c>
      <c r="D14818" t="inlineStr">
        <is>
          <t>13.09.2026</t>
        </is>
      </c>
      <c r="E14818" t="inlineStr">
        <is>
          <t>United States</t>
        </is>
      </c>
    </row>
    <row r="14819">
      <c r="A14819" t="inlineStr">
        <is>
          <t>Eco-1 Bioenergi AS,  Oslo, Norway</t>
        </is>
      </c>
      <c r="B14819" t="inlineStr">
        <is>
          <t>Trader with Storage</t>
        </is>
      </c>
      <c r="C14819" t="inlineStr">
        <is>
          <t>ASG Cert GmbH, Munich, DE</t>
        </is>
      </c>
      <c r="D14819" t="inlineStr">
        <is>
          <t>13.09.2026</t>
        </is>
      </c>
      <c r="E14819" t="inlineStr">
        <is>
          <t>Norway</t>
        </is>
      </c>
    </row>
    <row r="14820">
      <c r="A14820" t="inlineStr">
        <is>
          <t>Masol Continental Biofuel Srl,  Livorno, Italy</t>
        </is>
      </c>
      <c r="B14820" t="inlineStr">
        <is>
          <t>Warehouse, Processing Unit</t>
        </is>
      </c>
      <c r="C14820" t="inlineStr">
        <is>
          <t>SGS Germany GmbH, Emstek, DE</t>
        </is>
      </c>
      <c r="D14820" t="inlineStr">
        <is>
          <t>12.09.2026</t>
        </is>
      </c>
      <c r="E14820" t="inlineStr">
        <is>
          <t>Italy</t>
        </is>
      </c>
    </row>
    <row r="14821">
      <c r="A14821" t="inlineStr">
        <is>
          <t>HELMSMAN SUPPLY LIMITED,  HONG KONG, Hong Kong</t>
        </is>
      </c>
      <c r="B14821" t="inlineStr">
        <is>
          <t>Trader with Storage</t>
        </is>
      </c>
      <c r="C14821" t="inlineStr">
        <is>
          <t>RINA Services S.p.A., Genova, IT</t>
        </is>
      </c>
      <c r="D14821" t="inlineStr">
        <is>
          <t>12.09.2026</t>
        </is>
      </c>
      <c r="E14821" t="inlineStr">
        <is>
          <t>Hong Kong</t>
        </is>
      </c>
    </row>
    <row r="14822">
      <c r="A14822" t="inlineStr">
        <is>
          <t>PT SMART Tbk,  Kabupaten Labuhanbatu Utara, Sumatera Utara, Indonesia</t>
        </is>
      </c>
      <c r="B14822" t="inlineStr">
        <is>
          <t>First Gathering Point, Processing Unit, Point of Origin</t>
        </is>
      </c>
      <c r="C14822" t="inlineStr">
        <is>
          <t>PT Mutuagung Lestari, Depok, ID</t>
        </is>
      </c>
      <c r="D14822" t="inlineStr">
        <is>
          <t>12.09.2026</t>
        </is>
      </c>
      <c r="E14822" t="inlineStr">
        <is>
          <t>Indonesia</t>
        </is>
      </c>
    </row>
    <row r="14823">
      <c r="A14823" t="inlineStr">
        <is>
          <t>PT Tapian Nadenggan,  Kabupaten Padang Lawas Utara, Sumatera Utara, Indonesia</t>
        </is>
      </c>
      <c r="B14823" t="inlineStr">
        <is>
          <t>First Gathering Point, Processing Unit, Point of Origin</t>
        </is>
      </c>
      <c r="C14823" t="inlineStr">
        <is>
          <t>PT Mutuagung Lestari, Depok, ID</t>
        </is>
      </c>
      <c r="D14823" t="inlineStr">
        <is>
          <t>12.09.2026</t>
        </is>
      </c>
      <c r="E14823" t="inlineStr">
        <is>
          <t>Indonesia</t>
        </is>
      </c>
    </row>
    <row r="14824">
      <c r="A14824" t="inlineStr">
        <is>
          <t>EXXONMOBIL CHEMICAL ASIA PACIFIC,  Singapore, Singapore</t>
        </is>
      </c>
      <c r="B14824" t="inlineStr">
        <is>
          <t>Processing Unit</t>
        </is>
      </c>
      <c r="C14824" t="inlineStr">
        <is>
          <t>Control Union Certifications Germany GmbH, Berlin, DE</t>
        </is>
      </c>
      <c r="D14824" t="inlineStr">
        <is>
          <t>12.09.2026</t>
        </is>
      </c>
      <c r="E14824" t="inlineStr">
        <is>
          <t>Singapore</t>
        </is>
      </c>
    </row>
    <row r="14825">
      <c r="A14825" t="inlineStr">
        <is>
          <t>Molgas Energia,  San Fernando de Henares, Spain</t>
        </is>
      </c>
      <c r="B14825" t="inlineStr">
        <is>
          <t>Trader with Storage</t>
        </is>
      </c>
      <c r="C14825" t="inlineStr">
        <is>
          <t>Certificadora Gallega del Noroeste SL, Vilagarcia de Arousa-Pontevedra, ES</t>
        </is>
      </c>
      <c r="D14825" t="inlineStr">
        <is>
          <t>12.09.2026</t>
        </is>
      </c>
      <c r="E14825" t="inlineStr">
        <is>
          <t>Spain</t>
        </is>
      </c>
    </row>
    <row r="14826">
      <c r="A14826" t="inlineStr">
        <is>
          <t>Jimeno Tagus S.L.,  La Rioja, Spain</t>
        </is>
      </c>
      <c r="B14826" t="inlineStr">
        <is>
          <t>Collecting Point, Trader</t>
        </is>
      </c>
      <c r="C14826" t="inlineStr">
        <is>
          <t>RINA Services S.p.A., Genova, IT</t>
        </is>
      </c>
      <c r="D14826" t="inlineStr">
        <is>
          <t>12.09.2026</t>
        </is>
      </c>
      <c r="E14826" t="inlineStr">
        <is>
          <t>Spain</t>
        </is>
      </c>
    </row>
    <row r="14827">
      <c r="A14827" t="inlineStr">
        <is>
          <t>JBS S.A.,  Lins, Brazil</t>
        </is>
      </c>
      <c r="B14827" t="inlineStr">
        <is>
          <t>Trader with Storage</t>
        </is>
      </c>
      <c r="C14827" t="inlineStr">
        <is>
          <t>Control Union Certifications Germany GmbH, Berlin, DE</t>
        </is>
      </c>
      <c r="D14827" t="inlineStr">
        <is>
          <t>12.09.2026</t>
        </is>
      </c>
      <c r="E14827" t="inlineStr">
        <is>
          <t>Brazil</t>
        </is>
      </c>
    </row>
    <row r="14828">
      <c r="A14828" t="inlineStr">
        <is>
          <t>BEFESA ZINC OXIDO,  Sondika, Spain</t>
        </is>
      </c>
      <c r="B14828" t="inlineStr">
        <is>
          <t>Collecting Point, Processing Unit</t>
        </is>
      </c>
      <c r="C14828" t="inlineStr">
        <is>
          <t>Control Union Poland Sp. z o.o., Zielona Gora, PL</t>
        </is>
      </c>
      <c r="D14828" t="inlineStr">
        <is>
          <t>12.09.2026</t>
        </is>
      </c>
      <c r="E14828" t="inlineStr">
        <is>
          <t>Spain</t>
        </is>
      </c>
    </row>
    <row r="14829">
      <c r="A14829" t="inlineStr">
        <is>
          <t>Ladang Petri Tenggara (Kilang Sawit Sg Kachur),  Kota Tinggi, Malaysia</t>
        </is>
      </c>
      <c r="B14829" t="inlineStr">
        <is>
          <t>Point of Origin</t>
        </is>
      </c>
      <c r="C14829" t="inlineStr">
        <is>
          <t>Trans Certification and Inspection Sdn Bhd, Kuantan, MY</t>
        </is>
      </c>
      <c r="D14829" t="inlineStr">
        <is>
          <t>12.09.2026</t>
        </is>
      </c>
      <c r="E14829" t="inlineStr">
        <is>
          <t>Malaysia</t>
        </is>
      </c>
    </row>
    <row r="14830">
      <c r="A14830" t="inlineStr">
        <is>
          <t>LADANG SERASA SDN BHD (KILANG KELAPA SAWIT SERASA),  GUA MUSANG, Malaysia</t>
        </is>
      </c>
      <c r="B14830" t="inlineStr">
        <is>
          <t>Point of Origin</t>
        </is>
      </c>
      <c r="C14830" t="inlineStr">
        <is>
          <t>Trans Certification and Inspection Sdn Bhd, Kuantan, MY</t>
        </is>
      </c>
      <c r="D14830" t="inlineStr">
        <is>
          <t>12.09.2026</t>
        </is>
      </c>
      <c r="E14830" t="inlineStr">
        <is>
          <t>Malaysia</t>
        </is>
      </c>
    </row>
    <row r="14831">
      <c r="A14831" t="inlineStr">
        <is>
          <t>Binu Plantation Sdn Bhd (Binu Palm Oil Mill),  Miri, Malaysia</t>
        </is>
      </c>
      <c r="B14831" t="inlineStr">
        <is>
          <t>Point of Origin</t>
        </is>
      </c>
      <c r="C14831" t="inlineStr">
        <is>
          <t>Trans Certification and Inspection Sdn Bhd, Kuantan, MY</t>
        </is>
      </c>
      <c r="D14831" t="inlineStr">
        <is>
          <t>12.09.2026</t>
        </is>
      </c>
      <c r="E14831" t="inlineStr">
        <is>
          <t>Malaysia</t>
        </is>
      </c>
    </row>
    <row r="14832">
      <c r="A14832" t="inlineStr">
        <is>
          <t>Ladang Permai Sdn Bhd,  Lahad Datu, Malaysia</t>
        </is>
      </c>
      <c r="B14832" t="inlineStr">
        <is>
          <t>Point of Origin</t>
        </is>
      </c>
      <c r="C14832" t="inlineStr">
        <is>
          <t>Trans Certification and Inspection Sdn Bhd, Kuantan, MY</t>
        </is>
      </c>
      <c r="D14832" t="inlineStr">
        <is>
          <t>12.09.2026</t>
        </is>
      </c>
      <c r="E14832" t="inlineStr">
        <is>
          <t>Malaysia</t>
        </is>
      </c>
    </row>
    <row r="14833">
      <c r="A14833" t="inlineStr">
        <is>
          <t>Ladang Permai Sdn. Bhd. (Batu Putih Palm Oil Mill),  Sandakan, Malaysia</t>
        </is>
      </c>
      <c r="B14833" t="inlineStr">
        <is>
          <t>Point of Origin</t>
        </is>
      </c>
      <c r="C14833" t="inlineStr">
        <is>
          <t>Trans Certification and Inspection Sdn Bhd, Kuantan, MY</t>
        </is>
      </c>
      <c r="D14833" t="inlineStr">
        <is>
          <t>12.09.2026</t>
        </is>
      </c>
      <c r="E14833" t="inlineStr">
        <is>
          <t>Malaysia</t>
        </is>
      </c>
    </row>
    <row r="14834">
      <c r="A14834" t="inlineStr">
        <is>
          <t>Best Oil Europa,  Attard, Malta</t>
        </is>
      </c>
      <c r="B14834" t="inlineStr">
        <is>
          <t>Trader</t>
        </is>
      </c>
      <c r="C14834" t="inlineStr">
        <is>
          <t>ICIM SpA, sesto san giovanni, IT</t>
        </is>
      </c>
      <c r="D14834" t="inlineStr">
        <is>
          <t>12.09.2026</t>
        </is>
      </c>
      <c r="E14834" t="inlineStr">
        <is>
          <t>Malta</t>
        </is>
      </c>
    </row>
    <row r="14835">
      <c r="A14835" t="inlineStr">
        <is>
          <t>Best Oil Europa,  Attard, Malta</t>
        </is>
      </c>
      <c r="B14835" t="inlineStr">
        <is>
          <t>Trader</t>
        </is>
      </c>
      <c r="C14835" t="inlineStr">
        <is>
          <t>ICIM SpA, sesto san giovanni, IT</t>
        </is>
      </c>
      <c r="D14835" t="inlineStr">
        <is>
          <t>12.09.2026</t>
        </is>
      </c>
      <c r="E14835" t="inlineStr">
        <is>
          <t>Malta</t>
        </is>
      </c>
    </row>
    <row r="14836">
      <c r="A14836" t="inlineStr">
        <is>
          <t>MOLEEM CORPORATION,  Seocho-gu, Seoul, Republic of Korea, Korea, Republic of</t>
        </is>
      </c>
      <c r="B14836" t="inlineStr">
        <is>
          <t>Trader</t>
        </is>
      </c>
      <c r="C14836" t="inlineStr">
        <is>
          <t>Control Union Certifications Germany GmbH, Berlin, DE</t>
        </is>
      </c>
      <c r="D14836" t="inlineStr">
        <is>
          <t>12.09.2026</t>
        </is>
      </c>
      <c r="E14836" t="inlineStr">
        <is>
          <t>Republic of</t>
        </is>
      </c>
    </row>
    <row r="14837">
      <c r="A14837" t="inlineStr">
        <is>
          <t>Bridgestone Americas,  Graniteville, SC, United States</t>
        </is>
      </c>
      <c r="B14837" t="inlineStr">
        <is>
          <t>Processing Unit</t>
        </is>
      </c>
      <c r="C14837" t="inlineStr">
        <is>
          <t>SCS Global Services, Emeryville, CA, US</t>
        </is>
      </c>
      <c r="D14837" t="inlineStr">
        <is>
          <t>12.09.2026</t>
        </is>
      </c>
      <c r="E14837" t="inlineStr">
        <is>
          <t>United States</t>
        </is>
      </c>
    </row>
    <row r="14838">
      <c r="A14838" t="inlineStr">
        <is>
          <t>Orion Engineered Carbons,  Köln, Germany</t>
        </is>
      </c>
      <c r="B14838" t="inlineStr">
        <is>
          <t>Trader with Storage, Processing Unit</t>
        </is>
      </c>
      <c r="C14838" t="inlineStr">
        <is>
          <t>DQS CFS GmbH - Deutsche Gesellschaft für Nachhaltigkeit, Frankfurt am Main, DE</t>
        </is>
      </c>
      <c r="D14838" t="inlineStr">
        <is>
          <t>12.09.2026</t>
        </is>
      </c>
      <c r="E14838" t="inlineStr">
        <is>
          <t>Germany</t>
        </is>
      </c>
    </row>
    <row r="14839">
      <c r="A14839" t="inlineStr">
        <is>
          <t>Konimpex Chemicals Sp. z o.o.,  Konin, Poland</t>
        </is>
      </c>
      <c r="B14839" t="inlineStr">
        <is>
          <t>Trader with Storage</t>
        </is>
      </c>
      <c r="C14839" t="inlineStr">
        <is>
          <t>Bureau Veritas Polska Sp. z o.o., Warsaw, PL</t>
        </is>
      </c>
      <c r="D14839" t="inlineStr">
        <is>
          <t>12.09.2026</t>
        </is>
      </c>
      <c r="E14839" t="inlineStr">
        <is>
          <t>Poland</t>
        </is>
      </c>
    </row>
    <row r="14840">
      <c r="A14840" t="inlineStr">
        <is>
          <t>SUMITOMO CORPORATION (HONGKONG) LTD,  Hong Kong, Hong Kong</t>
        </is>
      </c>
      <c r="B14840" t="inlineStr">
        <is>
          <t>Trader</t>
        </is>
      </c>
      <c r="C14840" t="inlineStr">
        <is>
          <t>RINA Services S.p.A., Genova, IT</t>
        </is>
      </c>
      <c r="D14840" t="inlineStr">
        <is>
          <t>12.09.2026</t>
        </is>
      </c>
      <c r="E14840" t="inlineStr">
        <is>
          <t>Hong Kong</t>
        </is>
      </c>
    </row>
    <row r="14841">
      <c r="A14841" t="inlineStr">
        <is>
          <t>Hi-P (Thailand) Co., Ltd.,  Rayong, Thailand</t>
        </is>
      </c>
      <c r="B14841" t="inlineStr">
        <is>
          <t>Processing Unit</t>
        </is>
      </c>
      <c r="C14841" t="inlineStr">
        <is>
          <t>SCS Global Services, Emeryville, CA, US</t>
        </is>
      </c>
      <c r="D14841" t="inlineStr">
        <is>
          <t>12.09.2026</t>
        </is>
      </c>
      <c r="E14841" t="inlineStr">
        <is>
          <t>Thailand</t>
        </is>
      </c>
    </row>
    <row r="14842">
      <c r="A14842" t="inlineStr">
        <is>
          <t>Exolum Amsterdam B.V.,  Amsterdam, Netherlands</t>
        </is>
      </c>
      <c r="B14842" t="inlineStr">
        <is>
          <t>Warehouse</t>
        </is>
      </c>
      <c r="C14842" t="inlineStr">
        <is>
          <t>SGS Germany GmbH, Emstek, DE</t>
        </is>
      </c>
      <c r="D14842" t="inlineStr">
        <is>
          <t>12.09.2026</t>
        </is>
      </c>
      <c r="E14842" t="inlineStr">
        <is>
          <t>Netherlands</t>
        </is>
      </c>
    </row>
    <row r="14843">
      <c r="A14843" t="inlineStr">
        <is>
          <t>Carpenter Engineered Foams Switzerland AG,  Wolfhausen, Switzerland</t>
        </is>
      </c>
      <c r="B14843" t="inlineStr">
        <is>
          <t>Processing Unit, Final Product Refinement</t>
        </is>
      </c>
      <c r="C14843" t="inlineStr">
        <is>
          <t>DIN CERTCO GmbH, Berlin, DE</t>
        </is>
      </c>
      <c r="D14843" t="inlineStr">
        <is>
          <t>12.09.2026</t>
        </is>
      </c>
      <c r="E14843" t="inlineStr">
        <is>
          <t>Switzerland</t>
        </is>
      </c>
    </row>
    <row r="14844">
      <c r="A14844" t="inlineStr">
        <is>
          <t>Calofic Corporation,  Quang Ninh Province, Vietnam</t>
        </is>
      </c>
      <c r="B14844" t="inlineStr">
        <is>
          <t>Point of Origin, Trader with Storage</t>
        </is>
      </c>
      <c r="C14844" t="inlineStr">
        <is>
          <t>Bureau Veritas Polska Sp. z o.o., Warsaw, PL</t>
        </is>
      </c>
      <c r="D14844" t="inlineStr">
        <is>
          <t>12.09.2026</t>
        </is>
      </c>
      <c r="E14844" t="inlineStr">
        <is>
          <t>Vietnam</t>
        </is>
      </c>
    </row>
    <row r="14845">
      <c r="A14845" t="inlineStr">
        <is>
          <t>Rosti GP Germany GmbH,  Dresden, Germany</t>
        </is>
      </c>
      <c r="B14845" t="inlineStr">
        <is>
          <t>Processing Unit</t>
        </is>
      </c>
      <c r="C14845" t="inlineStr">
        <is>
          <t>DQS CFS GmbH - Deutsche Gesellschaft für Nachhaltigkeit, Frankfurt am Main, DE</t>
        </is>
      </c>
      <c r="D14845" t="inlineStr">
        <is>
          <t>12.09.2026</t>
        </is>
      </c>
      <c r="E14845" t="inlineStr">
        <is>
          <t>Germany</t>
        </is>
      </c>
    </row>
    <row r="14846">
      <c r="A14846" t="inlineStr">
        <is>
          <t>Nürnberg Gummi Babyartikel GmbH &amp; Co. KG,  Georgensgmünd, Germany</t>
        </is>
      </c>
      <c r="B14846" t="inlineStr">
        <is>
          <t>Processing Unit, Final Product Refinement</t>
        </is>
      </c>
      <c r="C14846" t="inlineStr">
        <is>
          <t>SGS Germany GmbH, Emstek, DE</t>
        </is>
      </c>
      <c r="D14846" t="inlineStr">
        <is>
          <t>12.09.2026</t>
        </is>
      </c>
      <c r="E14846" t="inlineStr">
        <is>
          <t>Germany</t>
        </is>
      </c>
    </row>
    <row r="14847">
      <c r="A14847" t="inlineStr">
        <is>
          <t>Impala Terminals Infrastructure UK Ltd,  Westerligh, Bristol, United Kingdom</t>
        </is>
      </c>
      <c r="B14847" t="inlineStr">
        <is>
          <t>Trader with Storage</t>
        </is>
      </c>
      <c r="C14847" t="inlineStr">
        <is>
          <t>SGS Germany GmbH, Emstek, DE</t>
        </is>
      </c>
      <c r="D14847" t="inlineStr">
        <is>
          <t>12.09.2026</t>
        </is>
      </c>
      <c r="E14847" t="inlineStr">
        <is>
          <t>United Kingdom</t>
        </is>
      </c>
    </row>
    <row r="14848">
      <c r="A14848" t="inlineStr">
        <is>
          <t>PT Citra Riau Sarana – POM CRS1,  Desa Bumi Mulya, Kecamatan Logas Tanah Darat, Kabupaten Kuantan Singingi, Provinsi Riau, Indonesia</t>
        </is>
      </c>
      <c r="B14848" t="inlineStr">
        <is>
          <t>Point of Origin</t>
        </is>
      </c>
      <c r="C14848" t="inlineStr">
        <is>
          <t>PT SBC Asia Sertifikasi, Kebumen, ID</t>
        </is>
      </c>
      <c r="D14848" t="inlineStr">
        <is>
          <t>12.09.2026</t>
        </is>
      </c>
      <c r="E14848" t="inlineStr">
        <is>
          <t>Indonesia</t>
        </is>
      </c>
    </row>
    <row r="14849">
      <c r="A14849" t="inlineStr">
        <is>
          <t>PT Citra Riau Sarana – POM CRS2,  Desa Muara Langsat, Kecamatan Sentajo Raya, Kabupaten Kuantan Singingi, Provinsi Riau, Indonesia</t>
        </is>
      </c>
      <c r="B14849" t="inlineStr">
        <is>
          <t>Point of Origin</t>
        </is>
      </c>
      <c r="C14849" t="inlineStr">
        <is>
          <t>PT SBC Asia Sertifikasi, Kebumen, ID</t>
        </is>
      </c>
      <c r="D14849" t="inlineStr">
        <is>
          <t>12.09.2026</t>
        </is>
      </c>
      <c r="E14849" t="inlineStr">
        <is>
          <t>Indonesia</t>
        </is>
      </c>
    </row>
    <row r="14850">
      <c r="A14850" t="inlineStr">
        <is>
          <t>PT Jatimjaya Perkasa – POM JJP,  Desa Sei Majo, Kecamatan Kubu Babussalam, Kabupaten Rokan Hilir, Provinsi Riau, Indonesia</t>
        </is>
      </c>
      <c r="B14850" t="inlineStr">
        <is>
          <t>Point of Origin</t>
        </is>
      </c>
      <c r="C14850" t="inlineStr">
        <is>
          <t>PT SBC Asia Sertifikasi, Kebumen, ID</t>
        </is>
      </c>
      <c r="D14850" t="inlineStr">
        <is>
          <t>12.09.2026</t>
        </is>
      </c>
      <c r="E14850" t="inlineStr">
        <is>
          <t>Indonesia</t>
        </is>
      </c>
    </row>
    <row r="14851">
      <c r="A14851" t="inlineStr">
        <is>
          <t>PT Swadaya Indopalma – POM SIP,  Dusun II Talang Dabuk, Desa Sungai Rengit, Kecamatan Talang Kelapa, Kebupaten Banyuasin, Provinsi Sumatera Selatan, Indonesia</t>
        </is>
      </c>
      <c r="B14851" t="inlineStr">
        <is>
          <t>Point of Origin</t>
        </is>
      </c>
      <c r="C14851" t="inlineStr">
        <is>
          <t>PT SBC Asia Sertifikasi, Kebumen, ID</t>
        </is>
      </c>
      <c r="D14851" t="inlineStr">
        <is>
          <t>12.09.2026</t>
        </is>
      </c>
      <c r="E14851" t="inlineStr">
        <is>
          <t>Indonesia</t>
        </is>
      </c>
    </row>
    <row r="14852">
      <c r="A14852" t="inlineStr">
        <is>
          <t>Grainstore Trading,  Glina, Romania</t>
        </is>
      </c>
      <c r="B14852" t="inlineStr">
        <is>
          <t>First Gathering Point, Trader</t>
        </is>
      </c>
      <c r="C14852" t="inlineStr">
        <is>
          <t>SGS Germany GmbH, Emstek, DE</t>
        </is>
      </c>
      <c r="D14852" t="inlineStr">
        <is>
          <t>12.09.2026</t>
        </is>
      </c>
      <c r="E14852" t="inlineStr">
        <is>
          <t>Romania</t>
        </is>
      </c>
    </row>
    <row r="14853">
      <c r="A14853" t="inlineStr">
        <is>
          <t>LLC "ZERNOPROM AHRO",  Zhytomyr, Oliyivka village, Ukraine</t>
        </is>
      </c>
      <c r="B14853" t="inlineStr">
        <is>
          <t>First Gathering Point, Trader with Storage</t>
        </is>
      </c>
      <c r="C14853" t="inlineStr">
        <is>
          <t>United Registrar of Systems Polska Sp. z o.o., Wrocław, PL</t>
        </is>
      </c>
      <c r="D14853" t="inlineStr">
        <is>
          <t>12.09.2026</t>
        </is>
      </c>
      <c r="E14853" t="inlineStr">
        <is>
          <t>Ukraine</t>
        </is>
      </c>
    </row>
    <row r="14854">
      <c r="A14854" t="inlineStr">
        <is>
          <t>LLC "SPETSAGROPROECT",  Ivano-Frankivsk region, Rogatin, Ukraine</t>
        </is>
      </c>
      <c r="B14854" t="inlineStr">
        <is>
          <t>First Gathering Point, Trader with Storage</t>
        </is>
      </c>
      <c r="C14854" t="inlineStr">
        <is>
          <t>United Registrar of Systems Polska Sp. z o.o., Wrocław, PL</t>
        </is>
      </c>
      <c r="D14854" t="inlineStr">
        <is>
          <t>12.09.2026</t>
        </is>
      </c>
      <c r="E14854" t="inlineStr">
        <is>
          <t>Ukraine</t>
        </is>
      </c>
    </row>
    <row r="14855">
      <c r="A14855" t="inlineStr">
        <is>
          <t>RAUMEDIC AG,  Feuchtwangen, Germany</t>
        </is>
      </c>
      <c r="B14855" t="inlineStr">
        <is>
          <t>Processing Unit, Final Product Refinement</t>
        </is>
      </c>
      <c r="C14855" t="inlineStr">
        <is>
          <t>GUT Certifizierungsgesellschaft für Managementsysteme mbH Umweltgutachter, Berlin, DE</t>
        </is>
      </c>
      <c r="D14855" t="inlineStr">
        <is>
          <t>12.09.2026</t>
        </is>
      </c>
      <c r="E14855" t="inlineStr">
        <is>
          <t>Germany</t>
        </is>
      </c>
    </row>
    <row r="14856">
      <c r="A14856" t="inlineStr">
        <is>
          <t>RAUMEDIC AG,  Münchberg, Germany</t>
        </is>
      </c>
      <c r="B14856" t="inlineStr">
        <is>
          <t>Processing Unit, Final Product Refinement</t>
        </is>
      </c>
      <c r="C14856" t="inlineStr">
        <is>
          <t>GUT Certifizierungsgesellschaft für Managementsysteme mbH Umweltgutachter, Berlin, DE</t>
        </is>
      </c>
      <c r="D14856" t="inlineStr">
        <is>
          <t>12.09.2026</t>
        </is>
      </c>
      <c r="E14856" t="inlineStr">
        <is>
          <t>Germany</t>
        </is>
      </c>
    </row>
    <row r="14857">
      <c r="A14857" t="inlineStr">
        <is>
          <t>BZK Deutschland GmbH,  Berlin, Germany</t>
        </is>
      </c>
      <c r="B14857" t="inlineStr">
        <is>
          <t>Trader</t>
        </is>
      </c>
      <c r="C14857" t="inlineStr">
        <is>
          <t>Bureau Veritas Polska Sp. z o.o., Warsaw, PL</t>
        </is>
      </c>
      <c r="D14857" t="inlineStr">
        <is>
          <t>12.09.2026</t>
        </is>
      </c>
      <c r="E14857" t="inlineStr">
        <is>
          <t>Germany</t>
        </is>
      </c>
    </row>
    <row r="14858">
      <c r="A14858" t="inlineStr">
        <is>
          <t>Novara Overseas LLC,  MIAMI, United States</t>
        </is>
      </c>
      <c r="B14858" t="inlineStr">
        <is>
          <t>Trader</t>
        </is>
      </c>
      <c r="C14858" t="inlineStr">
        <is>
          <t>Control Union Certifications Germany GmbH, Berlin, DE</t>
        </is>
      </c>
      <c r="D14858" t="inlineStr">
        <is>
          <t>12.09.2026</t>
        </is>
      </c>
      <c r="E14858" t="inlineStr">
        <is>
          <t>United States</t>
        </is>
      </c>
    </row>
    <row r="14859">
      <c r="A14859" t="inlineStr">
        <is>
          <t>JBS / SA,  Lins, Sao Paulo, Brazil</t>
        </is>
      </c>
      <c r="B14859" t="inlineStr">
        <is>
          <t>Point of Origin, Collecting Point, Processing Unit</t>
        </is>
      </c>
      <c r="C14859" t="inlineStr">
        <is>
          <t>Control Union Certifications Germany GmbH, Berlin, DE</t>
        </is>
      </c>
      <c r="D14859" t="inlineStr">
        <is>
          <t>12.09.2026</t>
        </is>
      </c>
      <c r="E14859" t="inlineStr">
        <is>
          <t>Brazil</t>
        </is>
      </c>
    </row>
    <row r="14860">
      <c r="A14860" t="inlineStr">
        <is>
          <t>Shanghai Shenji Langneng Environmental Technology Co., Ltd.,  Langxia Town, Jinshan District, Shanghai, China</t>
        </is>
      </c>
      <c r="B14860" t="inlineStr">
        <is>
          <t>Processing Unit, Collecting Point, First Gathering Point</t>
        </is>
      </c>
      <c r="C14860" t="inlineStr">
        <is>
          <t>China Classification Society Certification Co., Ltd, Dong Cheng District, Beijing, CN</t>
        </is>
      </c>
      <c r="D14860" t="inlineStr">
        <is>
          <t>11.09.2026</t>
        </is>
      </c>
      <c r="E14860" t="inlineStr">
        <is>
          <t>China</t>
        </is>
      </c>
    </row>
    <row r="14861">
      <c r="A14861" t="inlineStr">
        <is>
          <t>Shanghai Shenji Langneng Environmental Technology Co., Ltd.,  Langxia Town, Jinshan District, Shanghai, China</t>
        </is>
      </c>
      <c r="B14861" t="inlineStr">
        <is>
          <t>Processing Unit, Collecting Point, First Gathering Point</t>
        </is>
      </c>
      <c r="C14861" t="inlineStr">
        <is>
          <t>China Classification Society Certification Co., Ltd, Dong Cheng District, Beijing, CN</t>
        </is>
      </c>
      <c r="D14861" t="inlineStr">
        <is>
          <t>11.09.2026</t>
        </is>
      </c>
      <c r="E14861" t="inlineStr">
        <is>
          <t>China</t>
        </is>
      </c>
    </row>
    <row r="14862">
      <c r="A14862" t="inlineStr">
        <is>
          <t>Kansai Helios Slovenija d.o.o.,  Domžale, Slovenia</t>
        </is>
      </c>
      <c r="B14862" t="inlineStr">
        <is>
          <t>Processing Unit</t>
        </is>
      </c>
      <c r="C14862" t="inlineStr">
        <is>
          <t>Bureau Veritas Polska Sp. z o.o., Warsaw, PL</t>
        </is>
      </c>
      <c r="D14862" t="inlineStr">
        <is>
          <t>11.09.2026</t>
        </is>
      </c>
      <c r="E14862" t="inlineStr">
        <is>
          <t>Slovenia</t>
        </is>
      </c>
    </row>
    <row r="14863">
      <c r="A14863" t="inlineStr">
        <is>
          <t>Mátramag Mezőgazdasági Szövetkezet,  Jászapáti, Hungary</t>
        </is>
      </c>
      <c r="B14863" t="inlineStr">
        <is>
          <t>First Gathering Point, Trader</t>
        </is>
      </c>
      <c r="C14863" t="inlineStr">
        <is>
          <t>Certificadora Gallega del Noroeste SL, Vilagarcia de Arousa-Pontevedra, ES</t>
        </is>
      </c>
      <c r="D14863" t="inlineStr">
        <is>
          <t>11.09.2026</t>
        </is>
      </c>
      <c r="E14863" t="inlineStr">
        <is>
          <t>Hungary</t>
        </is>
      </c>
    </row>
    <row r="14864">
      <c r="A14864" t="inlineStr">
        <is>
          <t>Shanghai Yuyongjia Energy Development Co., Ltd,  shanghai, China</t>
        </is>
      </c>
      <c r="B14864" t="inlineStr">
        <is>
          <t>Trader</t>
        </is>
      </c>
      <c r="C14864" t="inlineStr">
        <is>
          <t>RINA Services S.p.A., Genova, IT</t>
        </is>
      </c>
      <c r="D14864" t="inlineStr">
        <is>
          <t>11.09.2026</t>
        </is>
      </c>
      <c r="E14864" t="inlineStr">
        <is>
          <t>China</t>
        </is>
      </c>
    </row>
    <row r="14865">
      <c r="A14865" t="inlineStr">
        <is>
          <t>China National Aviation Fuel Supply Co. Ltd East China Branch,  Shanghai, China</t>
        </is>
      </c>
      <c r="B14865" t="inlineStr">
        <is>
          <t>Trader with Storage</t>
        </is>
      </c>
      <c r="C14865" t="inlineStr">
        <is>
          <t>China Quality Certification Centre Co., Ltd., Beijing, CN</t>
        </is>
      </c>
      <c r="D14865" t="inlineStr">
        <is>
          <t>11.09.2026</t>
        </is>
      </c>
      <c r="E14865" t="inlineStr">
        <is>
          <t>China</t>
        </is>
      </c>
    </row>
    <row r="14866">
      <c r="A14866" t="inlineStr">
        <is>
          <t>China National Aviation Fuel Group Chongqing Petroleum Co., Ltd.,  Chonqing City, China</t>
        </is>
      </c>
      <c r="B14866" t="inlineStr">
        <is>
          <t>Trader</t>
        </is>
      </c>
      <c r="C14866" t="inlineStr">
        <is>
          <t>China Quality Certification Centre Co., Ltd., Beijing, CN</t>
        </is>
      </c>
      <c r="D14866" t="inlineStr">
        <is>
          <t>11.09.2026</t>
        </is>
      </c>
      <c r="E14866" t="inlineStr">
        <is>
          <t>China</t>
        </is>
      </c>
    </row>
    <row r="14867">
      <c r="A14867" t="inlineStr">
        <is>
          <t>SABAH STEEL ENGINEERING WORKS,  Lahad Datu, Malaysia</t>
        </is>
      </c>
      <c r="B14867" t="inlineStr">
        <is>
          <t>Trader with Storage, Collecting Point</t>
        </is>
      </c>
      <c r="C14867" t="inlineStr">
        <is>
          <t>SGS Germany GmbH, Emstek, DE</t>
        </is>
      </c>
      <c r="D14867" t="inlineStr">
        <is>
          <t>11.09.2026</t>
        </is>
      </c>
      <c r="E14867" t="inlineStr">
        <is>
          <t>Malaysia</t>
        </is>
      </c>
    </row>
    <row r="14868">
      <c r="A14868" t="inlineStr">
        <is>
          <t>HDC Hyundai Engineering Plastics Co., Ltd Ulsan Plant,  Ulsan, Korea, Republic of</t>
        </is>
      </c>
      <c r="B14868" t="inlineStr">
        <is>
          <t>Processing Unit</t>
        </is>
      </c>
      <c r="C14868" t="inlineStr">
        <is>
          <t>Control Union Certifications Germany GmbH, Berlin, DE</t>
        </is>
      </c>
      <c r="D14868" t="inlineStr">
        <is>
          <t>11.09.2026</t>
        </is>
      </c>
      <c r="E14868" t="inlineStr">
        <is>
          <t>Republic of</t>
        </is>
      </c>
    </row>
    <row r="14869">
      <c r="A14869" t="inlineStr">
        <is>
          <t>Yee Shing Hong Chemical Co., Ltd.,  Au Pui Wan Street, Fo Tan, Shatin, Hong Kong</t>
        </is>
      </c>
      <c r="B14869" t="inlineStr">
        <is>
          <t>Trader</t>
        </is>
      </c>
      <c r="C14869" t="inlineStr">
        <is>
          <t>DQS CFS GmbH - Deutsche Gesellschaft für Nachhaltigkeit, Frankfurt am Main, DE</t>
        </is>
      </c>
      <c r="D14869" t="inlineStr">
        <is>
          <t>11.09.2026</t>
        </is>
      </c>
      <c r="E14869" t="inlineStr">
        <is>
          <t>Hong Kong</t>
        </is>
      </c>
    </row>
    <row r="14870">
      <c r="A14870" t="inlineStr">
        <is>
          <t>Kyodo Printing Co., Ltd.,  Odawara-shi,Kanagawa, Japan</t>
        </is>
      </c>
      <c r="B14870" t="inlineStr">
        <is>
          <t>Final Product Refinement, Processing Unit</t>
        </is>
      </c>
      <c r="C14870" t="inlineStr">
        <is>
          <t>SGS Germany GmbH, Emstek, DE</t>
        </is>
      </c>
      <c r="D14870" t="inlineStr">
        <is>
          <t>11.09.2026</t>
        </is>
      </c>
      <c r="E14870" t="inlineStr">
        <is>
          <t>Japan</t>
        </is>
      </c>
    </row>
    <row r="14871">
      <c r="A14871" t="inlineStr">
        <is>
          <t>Meliora Bio,  Kalundborg, Denmark</t>
        </is>
      </c>
      <c r="B14871" t="inlineStr">
        <is>
          <t>First Gathering Point, Processing Unit</t>
        </is>
      </c>
      <c r="C14871" t="inlineStr">
        <is>
          <t>Baltic Control Certification, Risskov, DK</t>
        </is>
      </c>
      <c r="D14871" t="inlineStr">
        <is>
          <t>11.09.2026</t>
        </is>
      </c>
      <c r="E14871" t="inlineStr">
        <is>
          <t>Denmark</t>
        </is>
      </c>
    </row>
    <row r="14872">
      <c r="A14872" t="inlineStr">
        <is>
          <t>Kyodo Printing Co., Ltd.,  Sagamihara-shi,Kanagawa, Japan</t>
        </is>
      </c>
      <c r="B14872" t="inlineStr">
        <is>
          <t>Final Product Refinement, Processing Unit</t>
        </is>
      </c>
      <c r="C14872" t="inlineStr">
        <is>
          <t>SGS Germany GmbH, Emstek, DE</t>
        </is>
      </c>
      <c r="D14872" t="inlineStr">
        <is>
          <t>11.09.2026</t>
        </is>
      </c>
      <c r="E14872" t="inlineStr">
        <is>
          <t>Japan</t>
        </is>
      </c>
    </row>
    <row r="14873">
      <c r="A14873" t="inlineStr">
        <is>
          <t>Wooridoori Co., Ltd,  Hwaseang-si, South Korea</t>
        </is>
      </c>
      <c r="B14873" t="inlineStr">
        <is>
          <t>Trader</t>
        </is>
      </c>
      <c r="C14873" t="inlineStr">
        <is>
          <t>Control Union Certifications Germany GmbH, Berlin, DE</t>
        </is>
      </c>
      <c r="D14873" t="inlineStr">
        <is>
          <t>11.09.2026</t>
        </is>
      </c>
      <c r="E14873" t="inlineStr">
        <is>
          <t>South Korea</t>
        </is>
      </c>
    </row>
    <row r="14874">
      <c r="A14874" t="inlineStr">
        <is>
          <t>Wooridoori Co., Ltd,  Hwaseang-si, South Korea</t>
        </is>
      </c>
      <c r="B14874" t="inlineStr">
        <is>
          <t>Trader</t>
        </is>
      </c>
      <c r="C14874" t="inlineStr">
        <is>
          <t>Control Union Certifications Germany GmbH, Berlin, DE</t>
        </is>
      </c>
      <c r="D14874" t="inlineStr">
        <is>
          <t>11.09.2026</t>
        </is>
      </c>
      <c r="E14874" t="inlineStr">
        <is>
          <t>South Korea</t>
        </is>
      </c>
    </row>
    <row r="14875">
      <c r="A14875" t="inlineStr">
        <is>
          <t>PT Indokarya Internusa,  Palembang, Indonesia</t>
        </is>
      </c>
      <c r="B14875" t="inlineStr">
        <is>
          <t>Point of Origin, Warehouse, Trader with Storage, Processing Unit</t>
        </is>
      </c>
      <c r="C14875" t="inlineStr">
        <is>
          <t>Control Union Certifications Germany GmbH, Berlin, DE</t>
        </is>
      </c>
      <c r="D14875" t="inlineStr">
        <is>
          <t>11.09.2026</t>
        </is>
      </c>
      <c r="E14875" t="inlineStr">
        <is>
          <t>Indonesia</t>
        </is>
      </c>
    </row>
    <row r="14876">
      <c r="A14876" t="inlineStr">
        <is>
          <t>COOPERATIVA AGRICOLA OREZEANU,  Traian, Silistraru, Romania</t>
        </is>
      </c>
      <c r="B14876" t="inlineStr">
        <is>
          <t>First Gathering Point, Trader with Storage</t>
        </is>
      </c>
      <c r="C14876" t="inlineStr">
        <is>
          <t>Bureau Veritas Polska Sp. z o.o., Warsaw, PL</t>
        </is>
      </c>
      <c r="D14876" t="inlineStr">
        <is>
          <t>11.09.2026</t>
        </is>
      </c>
      <c r="E14876" t="inlineStr">
        <is>
          <t>Romania</t>
        </is>
      </c>
    </row>
    <row r="14877">
      <c r="A14877" t="inlineStr">
        <is>
          <t>NT Élelmiszertermelő és Kereskedelmi Kft,  Kiskunfélegyháza, Hungary</t>
        </is>
      </c>
      <c r="B14877" t="inlineStr">
        <is>
          <t>First Gathering Point, Trader with Storage, Processing Unit</t>
        </is>
      </c>
      <c r="C14877" t="inlineStr">
        <is>
          <t>BM Certification, Riga, LV</t>
        </is>
      </c>
      <c r="D14877" t="inlineStr">
        <is>
          <t>11.09.2026</t>
        </is>
      </c>
      <c r="E14877" t="inlineStr">
        <is>
          <t>Hungary</t>
        </is>
      </c>
    </row>
    <row r="14878">
      <c r="A14878" t="inlineStr">
        <is>
          <t>Grabo Flexpack Srl,  Coriano, Italy</t>
        </is>
      </c>
      <c r="B14878" t="inlineStr">
        <is>
          <t>Processing Unit</t>
        </is>
      </c>
      <c r="C14878" t="inlineStr">
        <is>
          <t>SGS Germany GmbH, Emstek, DE</t>
        </is>
      </c>
      <c r="D14878" t="inlineStr">
        <is>
          <t>11.09.2026</t>
        </is>
      </c>
      <c r="E14878" t="inlineStr">
        <is>
          <t>Italy</t>
        </is>
      </c>
    </row>
    <row r="14879">
      <c r="A14879" t="inlineStr">
        <is>
          <t>BB Energy Belgium,  Braine-l'Alleud, Belgium</t>
        </is>
      </c>
      <c r="B14879" t="inlineStr">
        <is>
          <t>Trader with Storage</t>
        </is>
      </c>
      <c r="C14879" t="inlineStr">
        <is>
          <t>Control Union Certifications Germany GmbH, Berlin, DE</t>
        </is>
      </c>
      <c r="D14879" t="inlineStr">
        <is>
          <t>11.09.2026</t>
        </is>
      </c>
      <c r="E14879" t="inlineStr">
        <is>
          <t>Belgium</t>
        </is>
      </c>
    </row>
    <row r="14880">
      <c r="A14880" t="inlineStr">
        <is>
          <t>BB Energy Belgium,  Braine-l'Alleud, Belgium</t>
        </is>
      </c>
      <c r="B14880" t="inlineStr">
        <is>
          <t>Trader with Storage</t>
        </is>
      </c>
      <c r="C14880" t="inlineStr">
        <is>
          <t>Control Union Certifications Germany GmbH, Berlin, DE</t>
        </is>
      </c>
      <c r="D14880" t="inlineStr">
        <is>
          <t>11.09.2026</t>
        </is>
      </c>
      <c r="E14880" t="inlineStr">
        <is>
          <t>Belgium</t>
        </is>
      </c>
    </row>
    <row r="14881">
      <c r="A14881" t="inlineStr">
        <is>
          <t>Fratelli Cosulich Bunkers (HK) Ltd,  Hong Kong, China</t>
        </is>
      </c>
      <c r="B14881" t="inlineStr">
        <is>
          <t>Trader, Proof of Compliance Trader</t>
        </is>
      </c>
      <c r="C14881" t="inlineStr">
        <is>
          <t>SCS Global Services, Emeryville, CA, US</t>
        </is>
      </c>
      <c r="D14881" t="inlineStr">
        <is>
          <t>11.09.2026</t>
        </is>
      </c>
      <c r="E14881" t="inlineStr">
        <is>
          <t>China</t>
        </is>
      </c>
    </row>
    <row r="14882">
      <c r="A14882" t="inlineStr">
        <is>
          <t>Bischof+Klein Polska GmbH spółka komandytowa,  Walce, Poland</t>
        </is>
      </c>
      <c r="B14882" t="inlineStr">
        <is>
          <t>Processing Unit</t>
        </is>
      </c>
      <c r="C14882" t="inlineStr">
        <is>
          <t>SGS Germany GmbH, Emstek, DE</t>
        </is>
      </c>
      <c r="D14882" t="inlineStr">
        <is>
          <t>11.09.2026</t>
        </is>
      </c>
      <c r="E14882" t="inlineStr">
        <is>
          <t>Poland</t>
        </is>
      </c>
    </row>
    <row r="14883">
      <c r="A14883" t="inlineStr">
        <is>
          <t>Linyi Shansong Biological Products Co., Ltd.,  Lanshan District, Linyi City, Shandong Province, China</t>
        </is>
      </c>
      <c r="B14883" t="inlineStr">
        <is>
          <t>Processing Unit</t>
        </is>
      </c>
      <c r="C14883" t="inlineStr">
        <is>
          <t>SGS Germany GmbH, Emstek, DE</t>
        </is>
      </c>
      <c r="D14883" t="inlineStr">
        <is>
          <t>11.09.2026</t>
        </is>
      </c>
      <c r="E14883" t="inlineStr">
        <is>
          <t>China</t>
        </is>
      </c>
    </row>
    <row r="14884">
      <c r="A14884" t="inlineStr">
        <is>
          <t>Foshan Sanshui Jinfengye Oil Co.,Ltd.,  Foshan City, Guangdong Province, China</t>
        </is>
      </c>
      <c r="B14884" t="inlineStr">
        <is>
          <t>Collecting Point, Trader with Storage</t>
        </is>
      </c>
      <c r="C14884" t="inlineStr">
        <is>
          <t>SCS Global Services, Emeryville, CA, US</t>
        </is>
      </c>
      <c r="D14884" t="inlineStr">
        <is>
          <t>11.09.2026</t>
        </is>
      </c>
      <c r="E14884" t="inlineStr">
        <is>
          <t>China</t>
        </is>
      </c>
    </row>
    <row r="14885">
      <c r="A14885" t="inlineStr">
        <is>
          <t>OQ TRADING,  Rotterdam, Netherlands</t>
        </is>
      </c>
      <c r="B14885" t="inlineStr">
        <is>
          <t>Trader, Trader with Storage</t>
        </is>
      </c>
      <c r="C14885" t="inlineStr">
        <is>
          <t>SGS Germany GmbH, Emstek, DE</t>
        </is>
      </c>
      <c r="D14885" t="inlineStr">
        <is>
          <t>11.09.2026</t>
        </is>
      </c>
      <c r="E14885" t="inlineStr">
        <is>
          <t>Netherlands</t>
        </is>
      </c>
    </row>
    <row r="14886">
      <c r="A14886" t="inlineStr">
        <is>
          <t>TSRC (Nantong) Industries Ltd.,  Nantong city, China</t>
        </is>
      </c>
      <c r="B14886" t="inlineStr">
        <is>
          <t>Processing Unit</t>
        </is>
      </c>
      <c r="C14886" t="inlineStr">
        <is>
          <t>SGS Germany GmbH, Emstek, DE</t>
        </is>
      </c>
      <c r="D14886" t="inlineStr">
        <is>
          <t>11.09.2026</t>
        </is>
      </c>
      <c r="E14886" t="inlineStr">
        <is>
          <t>China</t>
        </is>
      </c>
    </row>
    <row r="14887">
      <c r="A14887" t="inlineStr">
        <is>
          <t>OQ TRADING,  Rotterdam, Netherlands</t>
        </is>
      </c>
      <c r="B14887" t="inlineStr">
        <is>
          <t>Trader with Storage</t>
        </is>
      </c>
      <c r="C14887" t="inlineStr">
        <is>
          <t>SGS Germany GmbH, Emstek, DE</t>
        </is>
      </c>
      <c r="D14887" t="inlineStr">
        <is>
          <t>11.09.2026</t>
        </is>
      </c>
      <c r="E14887" t="inlineStr">
        <is>
          <t>Netherlands</t>
        </is>
      </c>
    </row>
    <row r="14888">
      <c r="A14888" t="inlineStr">
        <is>
          <t>DuPont-Asahi Flash Spun Products Co., Ltd.,  Tokyo, Japan</t>
        </is>
      </c>
      <c r="B14888" t="inlineStr">
        <is>
          <t>Trader with Storage</t>
        </is>
      </c>
      <c r="C14888" t="inlineStr">
        <is>
          <t>Control Union Certifications Germany GmbH, Berlin, DE</t>
        </is>
      </c>
      <c r="D14888" t="inlineStr">
        <is>
          <t>11.09.2026</t>
        </is>
      </c>
      <c r="E14888" t="inlineStr">
        <is>
          <t>Japan</t>
        </is>
      </c>
    </row>
    <row r="14889">
      <c r="A14889" t="inlineStr">
        <is>
          <t>Duna-Agrotrade Kft.,  Gara, Hungary</t>
        </is>
      </c>
      <c r="B14889" t="inlineStr">
        <is>
          <t>First Gathering Point, Trader with Storage</t>
        </is>
      </c>
      <c r="C14889" t="inlineStr">
        <is>
          <t>Certificadora Gallega del Noroeste SL, Vilagarcia de Arousa-Pontevedra, ES</t>
        </is>
      </c>
      <c r="D14889" t="inlineStr">
        <is>
          <t>11.09.2026</t>
        </is>
      </c>
      <c r="E14889" t="inlineStr">
        <is>
          <t>Hungary</t>
        </is>
      </c>
    </row>
    <row r="14890">
      <c r="A14890" t="inlineStr">
        <is>
          <t>HCP PACKAGING (HUAI'AN) CO., LTD,  Huai An (Jiangsu Province), China</t>
        </is>
      </c>
      <c r="B14890" t="inlineStr">
        <is>
          <t>Processing Unit, Trader</t>
        </is>
      </c>
      <c r="C14890" t="inlineStr">
        <is>
          <t>China Quality Certification Centre Co., Ltd., Beijing, CN</t>
        </is>
      </c>
      <c r="D14890" t="inlineStr">
        <is>
          <t>11.09.2026</t>
        </is>
      </c>
      <c r="E14890" t="inlineStr">
        <is>
          <t>China</t>
        </is>
      </c>
    </row>
    <row r="14891">
      <c r="A14891" t="inlineStr">
        <is>
          <t>Depots Petroliers de Fos,  Fos sur Mer, France</t>
        </is>
      </c>
      <c r="B14891" t="inlineStr">
        <is>
          <t>Warehouse</t>
        </is>
      </c>
      <c r="C14891" t="inlineStr">
        <is>
          <t>Control Union Certifications Germany GmbH, Berlin, DE</t>
        </is>
      </c>
      <c r="D14891" t="inlineStr">
        <is>
          <t>11.09.2026</t>
        </is>
      </c>
      <c r="E14891" t="inlineStr">
        <is>
          <t>France</t>
        </is>
      </c>
    </row>
    <row r="14892">
      <c r="A14892" t="inlineStr">
        <is>
          <t>NINGBO RCG TECHNOLOGY CO., LTD.,  Ningbo City, China</t>
        </is>
      </c>
      <c r="B14892" t="inlineStr">
        <is>
          <t>Trader with Storage</t>
        </is>
      </c>
      <c r="C14892" t="inlineStr">
        <is>
          <t>Extensive Standard Technical Services Co., Ltd., Hong Kong, CN</t>
        </is>
      </c>
      <c r="D14892" t="inlineStr">
        <is>
          <t>11.09.2026</t>
        </is>
      </c>
      <c r="E14892" t="inlineStr">
        <is>
          <t>China</t>
        </is>
      </c>
    </row>
    <row r="14893">
      <c r="A14893" t="inlineStr">
        <is>
          <t>Ecodiesel Colombia S.A.,  Barrancabermeja, Santander, Colombia</t>
        </is>
      </c>
      <c r="B14893" t="inlineStr">
        <is>
          <t>Point of Origin, Processing Unit</t>
        </is>
      </c>
      <c r="C14893" t="inlineStr">
        <is>
          <t>Control Union Poland Sp. z o.o., Zielona Gora, PL</t>
        </is>
      </c>
      <c r="D14893" t="inlineStr">
        <is>
          <t>11.09.2026</t>
        </is>
      </c>
      <c r="E14893" t="inlineStr">
        <is>
          <t>Colombia</t>
        </is>
      </c>
    </row>
    <row r="14894">
      <c r="A14894" t="inlineStr">
        <is>
          <t>Willy's Vet,  Mijdrecht, Netherlands</t>
        </is>
      </c>
      <c r="B14894" t="inlineStr">
        <is>
          <t>Collecting Point, Trader with Storage</t>
        </is>
      </c>
      <c r="C14894" t="inlineStr">
        <is>
          <t>Control Union Certifications Germany GmbH, Berlin, DE</t>
        </is>
      </c>
      <c r="D14894" t="inlineStr">
        <is>
          <t>11.09.2026</t>
        </is>
      </c>
      <c r="E14894" t="inlineStr">
        <is>
          <t>Netherlands</t>
        </is>
      </c>
    </row>
    <row r="14895">
      <c r="A14895" t="inlineStr">
        <is>
          <t>Evonik Corporation,  Andrews, United States</t>
        </is>
      </c>
      <c r="B14895" t="inlineStr">
        <is>
          <t>Collecting Point, Processing Unit</t>
        </is>
      </c>
      <c r="C14895" t="inlineStr">
        <is>
          <t>SCS Global Services, Emeryville, CA, US</t>
        </is>
      </c>
      <c r="D14895" t="inlineStr">
        <is>
          <t>11.09.2026</t>
        </is>
      </c>
      <c r="E14895" t="inlineStr">
        <is>
          <t>United States</t>
        </is>
      </c>
    </row>
    <row r="14896">
      <c r="A14896" t="inlineStr">
        <is>
          <t>Evonik Corporation,  Goose Creek, United States</t>
        </is>
      </c>
      <c r="B14896" t="inlineStr">
        <is>
          <t>Processing Unit</t>
        </is>
      </c>
      <c r="C14896" t="inlineStr">
        <is>
          <t>SCS Global Services, Emeryville, CA, US</t>
        </is>
      </c>
      <c r="D14896" t="inlineStr">
        <is>
          <t>11.09.2026</t>
        </is>
      </c>
      <c r="E14896" t="inlineStr">
        <is>
          <t>United States</t>
        </is>
      </c>
    </row>
    <row r="14897">
      <c r="A14897" t="inlineStr">
        <is>
          <t>DUBENSKYI KRAI,  Pustoivanne, Ukraine</t>
        </is>
      </c>
      <c r="B14897" t="inlineStr">
        <is>
          <t>Farm / Plantation, Trader</t>
        </is>
      </c>
      <c r="C14897" t="inlineStr">
        <is>
          <t>United Registrar of Systems Polska Sp. z o.o., Wrocław, PL</t>
        </is>
      </c>
      <c r="D14897" t="inlineStr">
        <is>
          <t>11.09.2026</t>
        </is>
      </c>
      <c r="E14897" t="inlineStr">
        <is>
          <t>Ukraine</t>
        </is>
      </c>
    </row>
    <row r="14898">
      <c r="A14898" t="inlineStr">
        <is>
          <t>Borsari E. &amp; C.,  NONANTOLA, Italy</t>
        </is>
      </c>
      <c r="B14898" t="inlineStr">
        <is>
          <t>Trader with Storage</t>
        </is>
      </c>
      <c r="C14898" t="inlineStr">
        <is>
          <t>SGS Germany GmbH, Emstek, DE</t>
        </is>
      </c>
      <c r="D14898" t="inlineStr">
        <is>
          <t>11.09.2026</t>
        </is>
      </c>
      <c r="E14898" t="inlineStr">
        <is>
          <t>Italy</t>
        </is>
      </c>
    </row>
    <row r="14899">
      <c r="A14899" t="inlineStr">
        <is>
          <t>Yoons Global,  Busan, South Korea</t>
        </is>
      </c>
      <c r="B14899" t="inlineStr">
        <is>
          <t>Trader with Storage</t>
        </is>
      </c>
      <c r="C14899" t="inlineStr">
        <is>
          <t>Korean Foundation for Quality, Songpa-gu, Seoul, KR</t>
        </is>
      </c>
      <c r="D14899" t="inlineStr">
        <is>
          <t>11.09.2026</t>
        </is>
      </c>
      <c r="E14899" t="inlineStr">
        <is>
          <t>South Korea</t>
        </is>
      </c>
    </row>
    <row r="14900">
      <c r="A14900" t="inlineStr">
        <is>
          <t>NOROFERT SA,  Bucuresti, Romania</t>
        </is>
      </c>
      <c r="B14900" t="inlineStr">
        <is>
          <t>First Gathering Point, Trader</t>
        </is>
      </c>
      <c r="C14900" t="inlineStr">
        <is>
          <t>SRAC Cert SRL, Bucharest, RO</t>
        </is>
      </c>
      <c r="D14900" t="inlineStr">
        <is>
          <t>11.09.2026</t>
        </is>
      </c>
      <c r="E14900" t="inlineStr">
        <is>
          <t>Romania</t>
        </is>
      </c>
    </row>
    <row r="14901">
      <c r="A14901" t="inlineStr">
        <is>
          <t>Stelliferi &amp; Viconuts S.p.A.,  Ronciglione (VT), Italy</t>
        </is>
      </c>
      <c r="B14901" t="inlineStr">
        <is>
          <t>Processing Unit, Trader with Storage</t>
        </is>
      </c>
      <c r="C14901" t="inlineStr">
        <is>
          <t>DNV Business Assurance Sweden AB, Solna, SE</t>
        </is>
      </c>
      <c r="D14901" t="inlineStr">
        <is>
          <t>11.09.2026</t>
        </is>
      </c>
      <c r="E14901" t="inlineStr">
        <is>
          <t>Italy</t>
        </is>
      </c>
    </row>
    <row r="14902">
      <c r="A14902" t="inlineStr">
        <is>
          <t>C.P.N. Società Cooperativa Agricola,  Ronciglione (VT), Italy</t>
        </is>
      </c>
      <c r="B14902" t="inlineStr">
        <is>
          <t>First Gathering Point</t>
        </is>
      </c>
      <c r="C14902" t="inlineStr">
        <is>
          <t>DNV Business Assurance Sweden AB, Solna, SE</t>
        </is>
      </c>
      <c r="D14902" t="inlineStr">
        <is>
          <t>11.09.2026</t>
        </is>
      </c>
      <c r="E14902" t="inlineStr">
        <is>
          <t>Italy</t>
        </is>
      </c>
    </row>
    <row r="14903">
      <c r="A14903" t="inlineStr">
        <is>
          <t>NOROFERT SA,  Bucuresti, Romania</t>
        </is>
      </c>
      <c r="B14903" t="inlineStr">
        <is>
          <t>First Gathering Point, Trader</t>
        </is>
      </c>
      <c r="C14903" t="inlineStr">
        <is>
          <t>SRAC Cert SRL, Bucharest, RO</t>
        </is>
      </c>
      <c r="D14903" t="inlineStr">
        <is>
          <t>11.09.2026</t>
        </is>
      </c>
      <c r="E14903" t="inlineStr">
        <is>
          <t>Romania</t>
        </is>
      </c>
    </row>
    <row r="14904">
      <c r="A14904" t="inlineStr">
        <is>
          <t>PT. Tasik Raja,  Kabupaten Labuhan Batu Selatan, Indonesia</t>
        </is>
      </c>
      <c r="B14904" t="inlineStr">
        <is>
          <t>First Gathering Point, Processing Unit</t>
        </is>
      </c>
      <c r="C14904" t="inlineStr">
        <is>
          <t>PT Mutuagung Lestari, Depok, ID</t>
        </is>
      </c>
      <c r="D14904" t="inlineStr">
        <is>
          <t>11.09.2026</t>
        </is>
      </c>
      <c r="E14904" t="inlineStr">
        <is>
          <t>Indonesia</t>
        </is>
      </c>
    </row>
    <row r="14905">
      <c r="A14905" t="inlineStr">
        <is>
          <t>Sumitomo Corporation España S.A,  Madrid, Spain</t>
        </is>
      </c>
      <c r="B14905" t="inlineStr">
        <is>
          <t>Trader with Storage</t>
        </is>
      </c>
      <c r="C14905" t="inlineStr">
        <is>
          <t>SGS Germany GmbH, Emstek, DE</t>
        </is>
      </c>
      <c r="D14905" t="inlineStr">
        <is>
          <t>11.09.2026</t>
        </is>
      </c>
      <c r="E14905" t="inlineStr">
        <is>
          <t>Spain</t>
        </is>
      </c>
    </row>
    <row r="14906">
      <c r="A14906" t="inlineStr">
        <is>
          <t>Energetech Europe BV,  Amsterdam, Netherlands</t>
        </is>
      </c>
      <c r="B14906" t="inlineStr">
        <is>
          <t>Proof of Compliance Trader, Trader, Trader with Storage</t>
        </is>
      </c>
      <c r="C14906" t="inlineStr">
        <is>
          <t>DEKRA Certification B.V., Arnhem, NL</t>
        </is>
      </c>
      <c r="D14906" t="inlineStr">
        <is>
          <t>11.09.2026</t>
        </is>
      </c>
      <c r="E14906" t="inlineStr">
        <is>
          <t>Netherlands</t>
        </is>
      </c>
    </row>
    <row r="14907">
      <c r="A14907" t="inlineStr">
        <is>
          <t>HONG KONG YAO SHENG TRADING COMPANY LIMITED,  Guangzhou City, China</t>
        </is>
      </c>
      <c r="B14907" t="inlineStr">
        <is>
          <t>Trader</t>
        </is>
      </c>
      <c r="C14907" t="inlineStr">
        <is>
          <t>Trans Certification and Inspection Sdn Bhd, Kuantan, MY</t>
        </is>
      </c>
      <c r="D14907" t="inlineStr">
        <is>
          <t>11.09.2026</t>
        </is>
      </c>
      <c r="E14907" t="inlineStr">
        <is>
          <t>China</t>
        </is>
      </c>
    </row>
    <row r="14908">
      <c r="A14908" t="inlineStr">
        <is>
          <t>Orinso GmbH,  Kleve, Germany</t>
        </is>
      </c>
      <c r="B14908" t="inlineStr">
        <is>
          <t>Collecting Point, Trader with Storage</t>
        </is>
      </c>
      <c r="C14908" t="inlineStr">
        <is>
          <t>DEKRA Certification B.V., Arnhem, NL</t>
        </is>
      </c>
      <c r="D14908" t="inlineStr">
        <is>
          <t>11.09.2026</t>
        </is>
      </c>
      <c r="E14908" t="inlineStr">
        <is>
          <t>Germany</t>
        </is>
      </c>
    </row>
    <row r="14909">
      <c r="A14909" t="inlineStr">
        <is>
          <t>SBH Heijmen Rotterdam BV,  Rotterdam, The Netherlands</t>
        </is>
      </c>
      <c r="B14909" t="inlineStr">
        <is>
          <t>Trader with Storage</t>
        </is>
      </c>
      <c r="C14909" t="inlineStr">
        <is>
          <t>DEKRA Certification B.V., Arnhem, NL</t>
        </is>
      </c>
      <c r="D14909" t="inlineStr">
        <is>
          <t>11.09.2026</t>
        </is>
      </c>
      <c r="E14909" t="inlineStr">
        <is>
          <t>The Netherlands</t>
        </is>
      </c>
    </row>
    <row r="14910">
      <c r="A14910" t="inlineStr">
        <is>
          <t>SBH Heijmen Rotterdam BV,  Rotterdam, Netherlands</t>
        </is>
      </c>
      <c r="B14910" t="inlineStr">
        <is>
          <t>Trader with Storage</t>
        </is>
      </c>
      <c r="C14910" t="inlineStr">
        <is>
          <t>DEKRA Certification B.V., Arnhem, NL</t>
        </is>
      </c>
      <c r="D14910" t="inlineStr">
        <is>
          <t>11.09.2026</t>
        </is>
      </c>
      <c r="E14910" t="inlineStr">
        <is>
          <t>Netherlands</t>
        </is>
      </c>
    </row>
    <row r="14911">
      <c r="A14911" t="inlineStr">
        <is>
          <t>UCO TRADING USA CORP,  Oviedo, Spain</t>
        </is>
      </c>
      <c r="B14911" t="inlineStr">
        <is>
          <t>Trader</t>
        </is>
      </c>
      <c r="C14911" t="inlineStr">
        <is>
          <t>SGS Germany GmbH, Emstek, DE</t>
        </is>
      </c>
      <c r="D14911" t="inlineStr">
        <is>
          <t>11.09.2026</t>
        </is>
      </c>
      <c r="E14911" t="inlineStr">
        <is>
          <t>Spain</t>
        </is>
      </c>
    </row>
    <row r="14912">
      <c r="A14912" t="inlineStr">
        <is>
          <t>South Pacific Trading US LLC,  Cooper City, United States</t>
        </is>
      </c>
      <c r="B14912" t="inlineStr">
        <is>
          <t>Trader</t>
        </is>
      </c>
      <c r="C14912" t="inlineStr">
        <is>
          <t>Control Union Certifications Germany GmbH, Berlin, DE</t>
        </is>
      </c>
      <c r="D14912" t="inlineStr">
        <is>
          <t>11.09.2026</t>
        </is>
      </c>
      <c r="E14912" t="inlineStr">
        <is>
          <t>United States</t>
        </is>
      </c>
    </row>
    <row r="14913">
      <c r="A14913" t="inlineStr">
        <is>
          <t>UCO TRADING USA CORP,  Oviedo, Spain</t>
        </is>
      </c>
      <c r="B14913" t="inlineStr">
        <is>
          <t>Trader</t>
        </is>
      </c>
      <c r="C14913" t="inlineStr">
        <is>
          <t>SGS Germany GmbH, Emstek, DE</t>
        </is>
      </c>
      <c r="D14913" t="inlineStr">
        <is>
          <t>11.09.2026</t>
        </is>
      </c>
      <c r="E14913" t="inlineStr">
        <is>
          <t>Spain</t>
        </is>
      </c>
    </row>
    <row r="14914">
      <c r="A14914" t="inlineStr">
        <is>
          <t>Borsari E. &amp; C.,  NONANTOLA, Italy</t>
        </is>
      </c>
      <c r="B14914" t="inlineStr">
        <is>
          <t>Trader with Storage</t>
        </is>
      </c>
      <c r="C14914" t="inlineStr">
        <is>
          <t>SGS Germany GmbH, Emstek, DE</t>
        </is>
      </c>
      <c r="D14914" t="inlineStr">
        <is>
          <t>11.09.2026</t>
        </is>
      </c>
      <c r="E14914" t="inlineStr">
        <is>
          <t>Italy</t>
        </is>
      </c>
    </row>
    <row r="14915">
      <c r="A14915" t="inlineStr">
        <is>
          <t>Ecorec,  Montescudaio (Pi), Italy</t>
        </is>
      </c>
      <c r="B14915" t="inlineStr">
        <is>
          <t>Collecting Point, Trader with Storage, Processing Unit</t>
        </is>
      </c>
      <c r="C14915" t="inlineStr">
        <is>
          <t>SGS Germany GmbH, Emstek, DE</t>
        </is>
      </c>
      <c r="D14915" t="inlineStr">
        <is>
          <t>11.09.2026</t>
        </is>
      </c>
      <c r="E14915" t="inlineStr">
        <is>
          <t>Italy</t>
        </is>
      </c>
    </row>
    <row r="14916">
      <c r="A14916" t="inlineStr">
        <is>
          <t>Ecodiesel Colombia S.A.,  Barrancabermeja, Santander, Colombia</t>
        </is>
      </c>
      <c r="B14916" t="inlineStr">
        <is>
          <t>Processing Unit, Point of Origin</t>
        </is>
      </c>
      <c r="C14916" t="inlineStr">
        <is>
          <t>Control Union Poland Sp. z o.o., Zielona Gora, PL</t>
        </is>
      </c>
      <c r="D14916" t="inlineStr">
        <is>
          <t>11.09.2026</t>
        </is>
      </c>
      <c r="E14916" t="inlineStr">
        <is>
          <t>Colombia</t>
        </is>
      </c>
    </row>
    <row r="14917">
      <c r="A14917" t="inlineStr">
        <is>
          <t>Shanghai Huayi Industrial Gas Co., Ltd.,  Fengxian District, Shanghai City, China</t>
        </is>
      </c>
      <c r="B14917" t="inlineStr">
        <is>
          <t>Processing Unit</t>
        </is>
      </c>
      <c r="C14917" t="inlineStr">
        <is>
          <t>SGS Germany GmbH, Emstek, DE</t>
        </is>
      </c>
      <c r="D14917" t="inlineStr">
        <is>
          <t>11.09.2026</t>
        </is>
      </c>
      <c r="E14917" t="inlineStr">
        <is>
          <t>China</t>
        </is>
      </c>
    </row>
    <row r="14918">
      <c r="A14918" t="inlineStr">
        <is>
          <t>Ecodev Latam,  Ciudad Autonoma Buenos Aires, Argentina</t>
        </is>
      </c>
      <c r="B14918" t="inlineStr">
        <is>
          <t>Trader with Storage</t>
        </is>
      </c>
      <c r="C14918" t="inlineStr">
        <is>
          <t>SGS Germany GmbH, Emstek, DE</t>
        </is>
      </c>
      <c r="D14918" t="inlineStr">
        <is>
          <t>11.09.2026</t>
        </is>
      </c>
      <c r="E14918" t="inlineStr">
        <is>
          <t>Argentina</t>
        </is>
      </c>
    </row>
    <row r="14919">
      <c r="A14919" t="inlineStr">
        <is>
          <t>Shanghai Huayi Industrial Gas Co., Ltd.,  Fengxian District, Shanghai City, China</t>
        </is>
      </c>
      <c r="B14919" t="inlineStr">
        <is>
          <t>Processing Unit</t>
        </is>
      </c>
      <c r="C14919" t="inlineStr">
        <is>
          <t>SGS Germany GmbH, Emstek, DE</t>
        </is>
      </c>
      <c r="D14919" t="inlineStr">
        <is>
          <t>11.09.2026</t>
        </is>
      </c>
      <c r="E14919" t="inlineStr">
        <is>
          <t>China</t>
        </is>
      </c>
    </row>
    <row r="14920">
      <c r="A14920" t="inlineStr">
        <is>
          <t>Ecodiesel Colombia S.A.,  Barrancabermeja, Santander, Colombia</t>
        </is>
      </c>
      <c r="B14920" t="inlineStr">
        <is>
          <t>Processing Unit, Point of Origin</t>
        </is>
      </c>
      <c r="C14920" t="inlineStr">
        <is>
          <t>Control Union Poland Sp. z o.o., Zielona Gora, PL</t>
        </is>
      </c>
      <c r="D14920" t="inlineStr">
        <is>
          <t>11.09.2026</t>
        </is>
      </c>
      <c r="E14920" t="inlineStr">
        <is>
          <t>Colombia</t>
        </is>
      </c>
    </row>
    <row r="14921">
      <c r="A14921" t="inlineStr">
        <is>
          <t>Shell Aviation Sweden AB,  Stockholm, Sweden</t>
        </is>
      </c>
      <c r="B14921" t="inlineStr">
        <is>
          <t>Trader with Storage, Proof of Compliance Trader</t>
        </is>
      </c>
      <c r="C14921" t="inlineStr">
        <is>
          <t>SGS Germany GmbH, Emstek, DE</t>
        </is>
      </c>
      <c r="D14921" t="inlineStr">
        <is>
          <t>11.09.2026</t>
        </is>
      </c>
      <c r="E14921" t="inlineStr">
        <is>
          <t>Sweden</t>
        </is>
      </c>
    </row>
    <row r="14922">
      <c r="A14922" t="inlineStr">
        <is>
          <t>KWANTAS OIL SDN BHD,  Kinabatangan, Malaysia</t>
        </is>
      </c>
      <c r="B14922" t="inlineStr">
        <is>
          <t>Point of Origin</t>
        </is>
      </c>
      <c r="C14922" t="inlineStr">
        <is>
          <t>Trans Certification and Inspection Sdn Bhd, Kuantan, MY</t>
        </is>
      </c>
      <c r="D14922" t="inlineStr">
        <is>
          <t>11.09.2026</t>
        </is>
      </c>
      <c r="E14922" t="inlineStr">
        <is>
          <t>Malaysia</t>
        </is>
      </c>
    </row>
    <row r="14923">
      <c r="A14923" t="inlineStr">
        <is>
          <t>Residuos Aragón S.L,  Muel (Zaragoza), Spain</t>
        </is>
      </c>
      <c r="B14923" t="inlineStr">
        <is>
          <t>Point of Origin</t>
        </is>
      </c>
      <c r="C14923" t="inlineStr">
        <is>
          <t>Control Union Poland Sp. z o.o., Zielona Gora, PL</t>
        </is>
      </c>
      <c r="D14923" t="inlineStr">
        <is>
          <t>10.09.2026</t>
        </is>
      </c>
      <c r="E14923" t="inlineStr">
        <is>
          <t>Spain</t>
        </is>
      </c>
    </row>
    <row r="14924">
      <c r="A14924" t="inlineStr">
        <is>
          <t>DOUNOR,  Neuville en ferrain, France</t>
        </is>
      </c>
      <c r="B14924" t="inlineStr">
        <is>
          <t>Processing Unit</t>
        </is>
      </c>
      <c r="C14924" t="inlineStr">
        <is>
          <t>SGS Germany GmbH, Emstek, DE</t>
        </is>
      </c>
      <c r="D14924" t="inlineStr">
        <is>
          <t>10.09.2026</t>
        </is>
      </c>
      <c r="E14924" t="inlineStr">
        <is>
          <t>France</t>
        </is>
      </c>
    </row>
    <row r="14925">
      <c r="A14925" t="inlineStr">
        <is>
          <t>Virág-Chem Kft.,  Székesfehérvár, Hungary</t>
        </is>
      </c>
      <c r="B14925" t="inlineStr">
        <is>
          <t>First Gathering Point</t>
        </is>
      </c>
      <c r="C14925" t="inlineStr">
        <is>
          <t>Bureau Veritas Polska Sp. z o.o., Warsaw, PL</t>
        </is>
      </c>
      <c r="D14925" t="inlineStr">
        <is>
          <t>10.09.2026</t>
        </is>
      </c>
      <c r="E14925" t="inlineStr">
        <is>
          <t>Hungary</t>
        </is>
      </c>
    </row>
    <row r="14926">
      <c r="A14926" t="inlineStr">
        <is>
          <t>Ascend Performance Materials,  Foley, United States</t>
        </is>
      </c>
      <c r="B14926" t="inlineStr">
        <is>
          <t>Processing Unit</t>
        </is>
      </c>
      <c r="C14926" t="inlineStr">
        <is>
          <t>SCS Global Services, Emeryville, CA, US</t>
        </is>
      </c>
      <c r="D14926" t="inlineStr">
        <is>
          <t>10.09.2026</t>
        </is>
      </c>
      <c r="E14926" t="inlineStr">
        <is>
          <t>United States</t>
        </is>
      </c>
    </row>
    <row r="14927">
      <c r="A14927" t="inlineStr">
        <is>
          <t>Ilariuzzi S.r.l.,  Parma, Italy</t>
        </is>
      </c>
      <c r="B14927" t="inlineStr">
        <is>
          <t>Collecting Point</t>
        </is>
      </c>
      <c r="C14927" t="inlineStr">
        <is>
          <t>SGS Germany GmbH, Emstek, DE</t>
        </is>
      </c>
      <c r="D14927" t="inlineStr">
        <is>
          <t>10.09.2026</t>
        </is>
      </c>
      <c r="E14927" t="inlineStr">
        <is>
          <t>Italy</t>
        </is>
      </c>
    </row>
    <row r="14928">
      <c r="A14928" t="inlineStr">
        <is>
          <t>Galon Bioenergy Pte Ltd,  Singapore, Singapore</t>
        </is>
      </c>
      <c r="B14928" t="inlineStr">
        <is>
          <t>Collecting Point, Trader with Storage</t>
        </is>
      </c>
      <c r="C14928" t="inlineStr">
        <is>
          <t>PT SBC Asia Sertifikasi, Kebumen, ID</t>
        </is>
      </c>
      <c r="D14928" t="inlineStr">
        <is>
          <t>10.09.2026</t>
        </is>
      </c>
      <c r="E14928" t="inlineStr">
        <is>
          <t>Singapore</t>
        </is>
      </c>
    </row>
    <row r="14929">
      <c r="A14929" t="inlineStr">
        <is>
          <t>SKAINTEIR OÜ,  Tallinn, Estonia</t>
        </is>
      </c>
      <c r="B14929" t="inlineStr">
        <is>
          <t>Trader</t>
        </is>
      </c>
      <c r="C14929" t="inlineStr">
        <is>
          <t>BM Certification, Riga, LV</t>
        </is>
      </c>
      <c r="D14929" t="inlineStr">
        <is>
          <t>10.09.2026</t>
        </is>
      </c>
      <c r="E14929" t="inlineStr">
        <is>
          <t>Estonia</t>
        </is>
      </c>
    </row>
    <row r="14930">
      <c r="A14930" t="inlineStr">
        <is>
          <t>IB Trading LDA,  Montijo, Portugal</t>
        </is>
      </c>
      <c r="B14930" t="inlineStr">
        <is>
          <t>Trader</t>
        </is>
      </c>
      <c r="C14930" t="inlineStr">
        <is>
          <t>Control Union Poland Sp. z o.o., Zielona Gora, PL</t>
        </is>
      </c>
      <c r="D14930" t="inlineStr">
        <is>
          <t>10.09.2026</t>
        </is>
      </c>
      <c r="E14930" t="inlineStr">
        <is>
          <t>Portugal</t>
        </is>
      </c>
    </row>
    <row r="14931">
      <c r="A14931" t="inlineStr">
        <is>
          <t>IBERO WASTE TRADING,  Almería, Spain</t>
        </is>
      </c>
      <c r="B14931" t="inlineStr">
        <is>
          <t>Trader</t>
        </is>
      </c>
      <c r="C14931" t="inlineStr">
        <is>
          <t>Control Union Poland Sp. z o.o., Zielona Gora, PL</t>
        </is>
      </c>
      <c r="D14931" t="inlineStr">
        <is>
          <t>10.09.2026</t>
        </is>
      </c>
      <c r="E14931" t="inlineStr">
        <is>
          <t>Spain</t>
        </is>
      </c>
    </row>
    <row r="14932">
      <c r="A14932" t="inlineStr">
        <is>
          <t>Dég és Vidéke Gabona Kft,  Dég, Hungary</t>
        </is>
      </c>
      <c r="B14932" t="inlineStr">
        <is>
          <t>First Gathering Point, Trader with Storage</t>
        </is>
      </c>
      <c r="C14932" t="inlineStr">
        <is>
          <t>BM Certification, Riga, LV</t>
        </is>
      </c>
      <c r="D14932" t="inlineStr">
        <is>
          <t>10.09.2026</t>
        </is>
      </c>
      <c r="E14932" t="inlineStr">
        <is>
          <t>Hungary</t>
        </is>
      </c>
    </row>
    <row r="14933">
      <c r="A14933" t="inlineStr">
        <is>
          <t>Négy Mező Mezőgazdasági Szövetkezet,  Szakály, Hungary</t>
        </is>
      </c>
      <c r="B14933" t="inlineStr">
        <is>
          <t>First Gathering Point, Trader</t>
        </is>
      </c>
      <c r="C14933" t="inlineStr">
        <is>
          <t>BM Certification, Riga, LV</t>
        </is>
      </c>
      <c r="D14933" t="inlineStr">
        <is>
          <t>10.09.2026</t>
        </is>
      </c>
      <c r="E14933" t="inlineStr">
        <is>
          <t>Hungary</t>
        </is>
      </c>
    </row>
    <row r="14934">
      <c r="A14934" t="inlineStr">
        <is>
          <t>Zhaoqing Huanfa Biotechnology Co.，Ltd.,  Zhaoqing City, Guangdong Province, China</t>
        </is>
      </c>
      <c r="B14934" t="inlineStr">
        <is>
          <t>Processing Unit</t>
        </is>
      </c>
      <c r="C14934" t="inlineStr">
        <is>
          <t>DIN CERTCO GmbH, Berlin, DE</t>
        </is>
      </c>
      <c r="D14934" t="inlineStr">
        <is>
          <t>10.09.2026</t>
        </is>
      </c>
      <c r="E14934" t="inlineStr">
        <is>
          <t>China</t>
        </is>
      </c>
    </row>
    <row r="14935">
      <c r="A14935" t="inlineStr">
        <is>
          <t>Okaya &amp; Co., Ltd,  Tokyo, Japan, 14th Floor, Marunouchi Chuo Building, Japan</t>
        </is>
      </c>
      <c r="B14935" t="inlineStr">
        <is>
          <t>Trader with Storage</t>
        </is>
      </c>
      <c r="C14935" t="inlineStr">
        <is>
          <t>PT Intertek Utama Services, Jakarta, ID</t>
        </is>
      </c>
      <c r="D14935" t="inlineStr">
        <is>
          <t>10.09.2026</t>
        </is>
      </c>
      <c r="E14935" t="inlineStr">
        <is>
          <t>Japan</t>
        </is>
      </c>
    </row>
    <row r="14936">
      <c r="A14936" t="inlineStr">
        <is>
          <t>Life Technologies BPD UK,  Cramlington, Northumberland, United Kingdom</t>
        </is>
      </c>
      <c r="B14936" t="inlineStr">
        <is>
          <t>Processing Unit</t>
        </is>
      </c>
      <c r="C14936" t="inlineStr">
        <is>
          <t>SCS Global Services, Emeryville, CA, US</t>
        </is>
      </c>
      <c r="D14936" t="inlineStr">
        <is>
          <t>10.09.2026</t>
        </is>
      </c>
      <c r="E14936" t="inlineStr">
        <is>
          <t>United Kingdom</t>
        </is>
      </c>
    </row>
    <row r="14937">
      <c r="A14937" t="inlineStr">
        <is>
          <t>KEDIRI SAKAMA NUSANTARA,  KAB. KEDIRI, Indonesia</t>
        </is>
      </c>
      <c r="B14937" t="inlineStr">
        <is>
          <t>Collecting Point</t>
        </is>
      </c>
      <c r="C14937" t="inlineStr">
        <is>
          <t>PT. CBQA GLOBAL INDONESIA, JAKARTA SELATAN, ID</t>
        </is>
      </c>
      <c r="D14937" t="inlineStr">
        <is>
          <t>10.09.2026</t>
        </is>
      </c>
      <c r="E14937" t="inlineStr">
        <is>
          <t>Indonesia</t>
        </is>
      </c>
    </row>
    <row r="14938">
      <c r="A14938" t="inlineStr">
        <is>
          <t>WIKIUM s.r.o.,  Praha 9, Czech Republic</t>
        </is>
      </c>
      <c r="B14938" t="inlineStr">
        <is>
          <t>Collecting Point</t>
        </is>
      </c>
      <c r="C14938" t="inlineStr">
        <is>
          <t>United Registrar of Systems Polska Sp. z o.o., Wrocław, PL</t>
        </is>
      </c>
      <c r="D14938" t="inlineStr">
        <is>
          <t>10.09.2026</t>
        </is>
      </c>
      <c r="E14938" t="inlineStr">
        <is>
          <t>Czech Republic</t>
        </is>
      </c>
    </row>
    <row r="14939">
      <c r="A14939" t="inlineStr">
        <is>
          <t>Chiripal Poly Films LTD,  Thummaloor (V) Maheshwram (M), India</t>
        </is>
      </c>
      <c r="B14939" t="inlineStr">
        <is>
          <t>Processing Unit</t>
        </is>
      </c>
      <c r="C14939" t="inlineStr">
        <is>
          <t>PT Intertek Utama Services, Jakarta, ID</t>
        </is>
      </c>
      <c r="D14939" t="inlineStr">
        <is>
          <t>10.09.2026</t>
        </is>
      </c>
      <c r="E14939" t="inlineStr">
        <is>
          <t>India</t>
        </is>
      </c>
    </row>
    <row r="14940">
      <c r="A14940" t="inlineStr">
        <is>
          <t>Chiripal poly films limited,  Kheda, India</t>
        </is>
      </c>
      <c r="B14940" t="inlineStr">
        <is>
          <t>Processing Unit</t>
        </is>
      </c>
      <c r="C14940" t="inlineStr">
        <is>
          <t>PT Intertek Utama Services, Jakarta, ID</t>
        </is>
      </c>
      <c r="D14940" t="inlineStr">
        <is>
          <t>10.09.2026</t>
        </is>
      </c>
      <c r="E14940" t="inlineStr">
        <is>
          <t>India</t>
        </is>
      </c>
    </row>
    <row r="14941">
      <c r="A14941" t="inlineStr">
        <is>
          <t>VIKA COMMODITIES, LDA,  Avanca, Portugal</t>
        </is>
      </c>
      <c r="B14941" t="inlineStr">
        <is>
          <t>Trader</t>
        </is>
      </c>
      <c r="C14941" t="inlineStr">
        <is>
          <t>Certificadora Gallega del Noroeste SL, Vilagarcia de Arousa-Pontevedra, ES</t>
        </is>
      </c>
      <c r="D14941" t="inlineStr">
        <is>
          <t>10.09.2026</t>
        </is>
      </c>
      <c r="E14941" t="inlineStr">
        <is>
          <t>Portugal</t>
        </is>
      </c>
    </row>
    <row r="14942">
      <c r="A14942" t="inlineStr">
        <is>
          <t>Arrow Switzerland Sarl,  Tamon, Asturias, Spain</t>
        </is>
      </c>
      <c r="B14942" t="inlineStr">
        <is>
          <t>Trader with Storage</t>
        </is>
      </c>
      <c r="C14942" t="inlineStr">
        <is>
          <t>SGS Germany GmbH, Emstek, DE</t>
        </is>
      </c>
      <c r="D14942" t="inlineStr">
        <is>
          <t>10.09.2026</t>
        </is>
      </c>
      <c r="E14942" t="inlineStr">
        <is>
          <t>Spain</t>
        </is>
      </c>
    </row>
    <row r="14943">
      <c r="A14943" t="inlineStr">
        <is>
          <t>STWARD OIL INC,  Ciudad de Panama, Panama</t>
        </is>
      </c>
      <c r="B14943" t="inlineStr">
        <is>
          <t>Trader</t>
        </is>
      </c>
      <c r="C14943" t="inlineStr">
        <is>
          <t>Certificadora Gallega del Noroeste SL, Vilagarcia de Arousa-Pontevedra, ES</t>
        </is>
      </c>
      <c r="D14943" t="inlineStr">
        <is>
          <t>10.09.2026</t>
        </is>
      </c>
      <c r="E14943" t="inlineStr">
        <is>
          <t>Panama</t>
        </is>
      </c>
    </row>
    <row r="14944">
      <c r="A14944" t="inlineStr">
        <is>
          <t>European Air Transport Leipzig GmbH,  Schkeuditz, Germany</t>
        </is>
      </c>
      <c r="B14944" t="inlineStr">
        <is>
          <t>Trader with Storage, Proof of Compliance Trader</t>
        </is>
      </c>
      <c r="C14944" t="inlineStr">
        <is>
          <t>TÜV SÜD Industrie Service GmbH, München, DE</t>
        </is>
      </c>
      <c r="D14944" t="inlineStr">
        <is>
          <t>10.09.2026</t>
        </is>
      </c>
      <c r="E14944" t="inlineStr">
        <is>
          <t>Germany</t>
        </is>
      </c>
    </row>
    <row r="14945">
      <c r="A14945" t="inlineStr">
        <is>
          <t>Gold Energy Comercializadora de Energia S.A.,  Vila Real, Portugal</t>
        </is>
      </c>
      <c r="B14945" t="inlineStr">
        <is>
          <t>Trader</t>
        </is>
      </c>
      <c r="C14945" t="inlineStr">
        <is>
          <t>Control Union Poland Sp. z o.o., Zielona Gora, PL</t>
        </is>
      </c>
      <c r="D14945" t="inlineStr">
        <is>
          <t>10.09.2026</t>
        </is>
      </c>
      <c r="E14945" t="inlineStr">
        <is>
          <t>Portugal</t>
        </is>
      </c>
    </row>
    <row r="14946">
      <c r="A14946" t="inlineStr">
        <is>
          <t>Summit Sustainable Ingredients,  Phillipsburg, United States</t>
        </is>
      </c>
      <c r="B14946" t="inlineStr">
        <is>
          <t>Collecting Point, Processing Unit</t>
        </is>
      </c>
      <c r="C14946" t="inlineStr">
        <is>
          <t>SCS Global Services, Emeryville, CA, US</t>
        </is>
      </c>
      <c r="D14946" t="inlineStr">
        <is>
          <t>10.09.2026</t>
        </is>
      </c>
      <c r="E14946" t="inlineStr">
        <is>
          <t>United States</t>
        </is>
      </c>
    </row>
    <row r="14947">
      <c r="A14947" t="inlineStr">
        <is>
          <t>Summit Sustainable Ingredients,  Phillipsburg, United States</t>
        </is>
      </c>
      <c r="B14947" t="inlineStr">
        <is>
          <t>Collecting Point, Processing Unit</t>
        </is>
      </c>
      <c r="C14947" t="inlineStr">
        <is>
          <t>SCS Global Services, Emeryville, CA, US</t>
        </is>
      </c>
      <c r="D14947" t="inlineStr">
        <is>
          <t>10.09.2026</t>
        </is>
      </c>
      <c r="E14947" t="inlineStr">
        <is>
          <t>United States</t>
        </is>
      </c>
    </row>
    <row r="14948">
      <c r="A14948" t="inlineStr">
        <is>
          <t>Polifilm Performance Films,  Südliches Anhalt, Germany</t>
        </is>
      </c>
      <c r="B14948" t="inlineStr">
        <is>
          <t>Processing Unit, Trader</t>
        </is>
      </c>
      <c r="C14948" t="inlineStr">
        <is>
          <t>SGS Germany GmbH, Emstek, DE</t>
        </is>
      </c>
      <c r="D14948" t="inlineStr">
        <is>
          <t>10.09.2026</t>
        </is>
      </c>
      <c r="E14948" t="inlineStr">
        <is>
          <t>Germany</t>
        </is>
      </c>
    </row>
    <row r="14949">
      <c r="A14949" t="inlineStr">
        <is>
          <t>FS COMERCIALIZACAO DE ETANOL LTDA - ECE-MT,  Lucas do Rio Verde, Brazil</t>
        </is>
      </c>
      <c r="B14949" t="inlineStr">
        <is>
          <t>Trader with Storage</t>
        </is>
      </c>
      <c r="C14949" t="inlineStr">
        <is>
          <t>SCS Global Services, Emeryville, CA, US</t>
        </is>
      </c>
      <c r="D14949" t="inlineStr">
        <is>
          <t>10.09.2026</t>
        </is>
      </c>
      <c r="E14949" t="inlineStr">
        <is>
          <t>Brazil</t>
        </is>
      </c>
    </row>
    <row r="14950">
      <c r="A14950" t="inlineStr">
        <is>
          <t>FS COMERCIALIZACAO DE ETANOL LTDA - ECE-MT,  Lucas do Rio Verde, Brazil</t>
        </is>
      </c>
      <c r="B14950" t="inlineStr">
        <is>
          <t>Trader, Trader with Storage</t>
        </is>
      </c>
      <c r="C14950" t="inlineStr">
        <is>
          <t>SCS Global Services, Emeryville, CA, US</t>
        </is>
      </c>
      <c r="D14950" t="inlineStr">
        <is>
          <t>10.09.2026</t>
        </is>
      </c>
      <c r="E14950" t="inlineStr">
        <is>
          <t>Brazil</t>
        </is>
      </c>
    </row>
    <row r="14951">
      <c r="A14951" t="inlineStr">
        <is>
          <t>SBR Marketing LLC,  Parsippany, United States</t>
        </is>
      </c>
      <c r="B14951" t="inlineStr">
        <is>
          <t>Trader with Storage</t>
        </is>
      </c>
      <c r="C14951" t="inlineStr">
        <is>
          <t>SCS Global Services, Emeryville, CA, US</t>
        </is>
      </c>
      <c r="D14951" t="inlineStr">
        <is>
          <t>10.09.2026</t>
        </is>
      </c>
      <c r="E14951" t="inlineStr">
        <is>
          <t>United States</t>
        </is>
      </c>
    </row>
    <row r="14952">
      <c r="A14952" t="inlineStr">
        <is>
          <t>SBR Marketing LLC,  Parsippany, United States</t>
        </is>
      </c>
      <c r="B14952" t="inlineStr">
        <is>
          <t>Trader with Storage</t>
        </is>
      </c>
      <c r="C14952" t="inlineStr">
        <is>
          <t>SCS Global Services, Emeryville, CA, US</t>
        </is>
      </c>
      <c r="D14952" t="inlineStr">
        <is>
          <t>10.09.2026</t>
        </is>
      </c>
      <c r="E14952" t="inlineStr">
        <is>
          <t>United States</t>
        </is>
      </c>
    </row>
    <row r="14953">
      <c r="A14953" t="inlineStr">
        <is>
          <t>Avfuel Corporation,  Ann Arbor, United States</t>
        </is>
      </c>
      <c r="B14953" t="inlineStr">
        <is>
          <t>Trader with Storage</t>
        </is>
      </c>
      <c r="C14953" t="inlineStr">
        <is>
          <t>SCS Global Services, Emeryville, CA, US</t>
        </is>
      </c>
      <c r="D14953" t="inlineStr">
        <is>
          <t>10.09.2026</t>
        </is>
      </c>
      <c r="E14953" t="inlineStr">
        <is>
          <t>United States</t>
        </is>
      </c>
    </row>
    <row r="14954">
      <c r="A14954" t="inlineStr">
        <is>
          <t>Avfuel Corporation,  Ann Arbor, United States</t>
        </is>
      </c>
      <c r="B14954" t="inlineStr">
        <is>
          <t>Trader with Storage</t>
        </is>
      </c>
      <c r="C14954" t="inlineStr">
        <is>
          <t>SCS Global Services, Emeryville, CA, US</t>
        </is>
      </c>
      <c r="D14954" t="inlineStr">
        <is>
          <t>10.09.2026</t>
        </is>
      </c>
      <c r="E14954" t="inlineStr">
        <is>
          <t>United States</t>
        </is>
      </c>
    </row>
    <row r="14955">
      <c r="A14955" t="inlineStr">
        <is>
          <t>Avfuel Corporation,  Ann Arbor, United States</t>
        </is>
      </c>
      <c r="B14955" t="inlineStr">
        <is>
          <t>Trader with Storage</t>
        </is>
      </c>
      <c r="C14955" t="inlineStr">
        <is>
          <t>SCS Global Services, Emeryville, CA, US</t>
        </is>
      </c>
      <c r="D14955" t="inlineStr">
        <is>
          <t>10.09.2026</t>
        </is>
      </c>
      <c r="E14955" t="inlineStr">
        <is>
          <t>United States</t>
        </is>
      </c>
    </row>
    <row r="14956">
      <c r="A14956" t="inlineStr">
        <is>
          <t>Henkel Adhesives Technologies (Guangdong) Co.Ltd.,  Dongguan,Humen, China</t>
        </is>
      </c>
      <c r="B14956" t="inlineStr">
        <is>
          <t>Processing Unit</t>
        </is>
      </c>
      <c r="C14956" t="inlineStr">
        <is>
          <t>SGS Germany GmbH, Emstek, DE</t>
        </is>
      </c>
      <c r="D14956" t="inlineStr">
        <is>
          <t>10.09.2026</t>
        </is>
      </c>
      <c r="E14956" t="inlineStr">
        <is>
          <t>China</t>
        </is>
      </c>
    </row>
    <row r="14957">
      <c r="A14957" t="inlineStr">
        <is>
          <t>Carrara Filippo,  Parma, Italy</t>
        </is>
      </c>
      <c r="B14957" t="inlineStr">
        <is>
          <t>Farm / Plantation</t>
        </is>
      </c>
      <c r="C14957" t="inlineStr">
        <is>
          <t>RINA Services S.p.A., Genova, IT</t>
        </is>
      </c>
      <c r="D14957" t="inlineStr">
        <is>
          <t>10.09.2026</t>
        </is>
      </c>
      <c r="E14957" t="inlineStr">
        <is>
          <t>Italy</t>
        </is>
      </c>
    </row>
    <row r="14958">
      <c r="A14958" t="inlineStr">
        <is>
          <t>MAI KUNG CO. LTD,  NEW TAIPEI CITY, Taiwan, Province of China</t>
        </is>
      </c>
      <c r="B14958" t="inlineStr">
        <is>
          <t>Trader</t>
        </is>
      </c>
      <c r="C14958" t="inlineStr">
        <is>
          <t>Bureau Veritas Polska Sp. z o.o., Warsaw, PL</t>
        </is>
      </c>
      <c r="D14958" t="inlineStr">
        <is>
          <t>10.09.2026</t>
        </is>
      </c>
      <c r="E14958" t="inlineStr">
        <is>
          <t>Province of China</t>
        </is>
      </c>
    </row>
    <row r="14959">
      <c r="A14959" t="inlineStr">
        <is>
          <t>ZEMOS a.s.,  Velké Němčice, Czech Republic</t>
        </is>
      </c>
      <c r="B14959" t="inlineStr">
        <is>
          <t>Collecting Point, First Gathering Point, Processing Unit</t>
        </is>
      </c>
      <c r="C14959" t="inlineStr">
        <is>
          <t>Bureau Veritas Polska Sp. z o.o., Warsaw, PL</t>
        </is>
      </c>
      <c r="D14959" t="inlineStr">
        <is>
          <t>10.09.2026</t>
        </is>
      </c>
      <c r="E14959" t="inlineStr">
        <is>
          <t>Czech Republic</t>
        </is>
      </c>
    </row>
    <row r="14960">
      <c r="A14960" t="inlineStr">
        <is>
          <t>HIROKAWA HOLDINGS CO.,LTD.,  Osaka, Japan</t>
        </is>
      </c>
      <c r="B14960" t="inlineStr">
        <is>
          <t>Trader</t>
        </is>
      </c>
      <c r="C14960" t="inlineStr">
        <is>
          <t>SGS Germany GmbH, Emstek, DE</t>
        </is>
      </c>
      <c r="D14960" t="inlineStr">
        <is>
          <t>10.09.2026</t>
        </is>
      </c>
      <c r="E14960" t="inlineStr">
        <is>
          <t>Japan</t>
        </is>
      </c>
    </row>
    <row r="14961">
      <c r="A14961" t="inlineStr">
        <is>
          <t>AOS OIL,  Samos, Greece</t>
        </is>
      </c>
      <c r="B14961" t="inlineStr">
        <is>
          <t>Collecting Point</t>
        </is>
      </c>
      <c r="C14961" t="inlineStr">
        <is>
          <t>Bureau Veritas Polska Sp. z o.o., Warsaw, PL</t>
        </is>
      </c>
      <c r="D14961" t="inlineStr">
        <is>
          <t>10.09.2026</t>
        </is>
      </c>
      <c r="E14961" t="inlineStr">
        <is>
          <t>Greece</t>
        </is>
      </c>
    </row>
    <row r="14962">
      <c r="A14962" t="inlineStr">
        <is>
          <t>Vaixue Chem International Trade Co., Limited,  HK, Hong Kong</t>
        </is>
      </c>
      <c r="B14962" t="inlineStr">
        <is>
          <t>Trader</t>
        </is>
      </c>
      <c r="C14962" t="inlineStr">
        <is>
          <t>RINA Services S.p.A., Genova, IT</t>
        </is>
      </c>
      <c r="D14962" t="inlineStr">
        <is>
          <t>10.09.2026</t>
        </is>
      </c>
      <c r="E14962" t="inlineStr">
        <is>
          <t>Hong Kong</t>
        </is>
      </c>
    </row>
    <row r="14963">
      <c r="A14963" t="inlineStr">
        <is>
          <t>Towarzystwo Gospodarcze MEBLOPOL Sp. z o.o.,  Poznan, Poland</t>
        </is>
      </c>
      <c r="B14963" t="inlineStr">
        <is>
          <t>Trader with Storage</t>
        </is>
      </c>
      <c r="C14963" t="inlineStr">
        <is>
          <t>Bureau Veritas Polska Sp. z o.o., Warsaw, PL</t>
        </is>
      </c>
      <c r="D14963" t="inlineStr">
        <is>
          <t>10.09.2026</t>
        </is>
      </c>
      <c r="E14963" t="inlineStr">
        <is>
          <t>Poland</t>
        </is>
      </c>
    </row>
    <row r="14964">
      <c r="A14964" t="inlineStr">
        <is>
          <t>Jilin Qifeng Chemical Fiber Co., Ltd.,  JILIN CITY, China</t>
        </is>
      </c>
      <c r="B14964" t="inlineStr">
        <is>
          <t>Processing Unit</t>
        </is>
      </c>
      <c r="C14964" t="inlineStr">
        <is>
          <t>SGS Germany GmbH, Emstek, DE</t>
        </is>
      </c>
      <c r="D14964" t="inlineStr">
        <is>
          <t>10.09.2026</t>
        </is>
      </c>
      <c r="E14964" t="inlineStr">
        <is>
          <t>China</t>
        </is>
      </c>
    </row>
    <row r="14965">
      <c r="A14965" t="inlineStr">
        <is>
          <t>Expur S.A.,  Slobozia, Ialomita, Romania</t>
        </is>
      </c>
      <c r="B14965" t="inlineStr">
        <is>
          <t>Trader with Storage, Processing Unit, First Gathering Point</t>
        </is>
      </c>
      <c r="C14965" t="inlineStr">
        <is>
          <t>Bureau Veritas Polska Sp. z o.o., Warsaw, PL</t>
        </is>
      </c>
      <c r="D14965" t="inlineStr">
        <is>
          <t>10.09.2026</t>
        </is>
      </c>
      <c r="E14965" t="inlineStr">
        <is>
          <t>Romania</t>
        </is>
      </c>
    </row>
    <row r="14966">
      <c r="A14966" t="inlineStr">
        <is>
          <t>Expur S.A.,  Slobozia, Ialomita, Romania</t>
        </is>
      </c>
      <c r="B14966" t="inlineStr">
        <is>
          <t>Trader with Storage, Processing Unit</t>
        </is>
      </c>
      <c r="C14966" t="inlineStr">
        <is>
          <t>Bureau Veritas Polska Sp. z o.o., Warsaw, PL</t>
        </is>
      </c>
      <c r="D14966" t="inlineStr">
        <is>
          <t>10.09.2026</t>
        </is>
      </c>
      <c r="E14966" t="inlineStr">
        <is>
          <t>Romania</t>
        </is>
      </c>
    </row>
    <row r="14967">
      <c r="A14967" t="inlineStr">
        <is>
          <t>Dapeng Bioenergy (Shandong) Co., Ltd,  Liaocheng City, Shandong Province, China</t>
        </is>
      </c>
      <c r="B14967" t="inlineStr">
        <is>
          <t>Trader with Storage, Collecting Point, Processing Unit</t>
        </is>
      </c>
      <c r="C14967" t="inlineStr">
        <is>
          <t>SCS Global Services, Emeryville, CA, US</t>
        </is>
      </c>
      <c r="D14967" t="inlineStr">
        <is>
          <t>10.09.2026</t>
        </is>
      </c>
      <c r="E14967" t="inlineStr">
        <is>
          <t>China</t>
        </is>
      </c>
    </row>
    <row r="14968">
      <c r="A14968" t="inlineStr">
        <is>
          <t>Plastotecnica SpA,  Bagnoli di Sopra, Italy</t>
        </is>
      </c>
      <c r="B14968" t="inlineStr">
        <is>
          <t>Processing Unit</t>
        </is>
      </c>
      <c r="C14968" t="inlineStr">
        <is>
          <t>ICIM SpA, sesto san giovanni, IT</t>
        </is>
      </c>
      <c r="D14968" t="inlineStr">
        <is>
          <t>10.09.2026</t>
        </is>
      </c>
      <c r="E14968" t="inlineStr">
        <is>
          <t>Italy</t>
        </is>
      </c>
    </row>
    <row r="14969">
      <c r="A14969" t="inlineStr">
        <is>
          <t>WAMCO COLLECT,  Campo Real, Spain</t>
        </is>
      </c>
      <c r="B14969" t="inlineStr">
        <is>
          <t>Collecting Point, Trader with Storage</t>
        </is>
      </c>
      <c r="C14969" t="inlineStr">
        <is>
          <t>Certificadora Gallega del Noroeste SL, Vilagarcia de Arousa-Pontevedra, ES</t>
        </is>
      </c>
      <c r="D14969" t="inlineStr">
        <is>
          <t>10.09.2026</t>
        </is>
      </c>
      <c r="E14969" t="inlineStr">
        <is>
          <t>Spain</t>
        </is>
      </c>
    </row>
    <row r="14970">
      <c r="A14970" t="inlineStr">
        <is>
          <t>TENOIT CO., LTD.,  Taipei, Taiwan, Province of China</t>
        </is>
      </c>
      <c r="B14970" t="inlineStr">
        <is>
          <t>Trader</t>
        </is>
      </c>
      <c r="C14970" t="inlineStr">
        <is>
          <t>Bureau Veritas Polska Sp. z o.o., Warsaw, PL</t>
        </is>
      </c>
      <c r="D14970" t="inlineStr">
        <is>
          <t>10.09.2026</t>
        </is>
      </c>
      <c r="E14970" t="inlineStr">
        <is>
          <t>Province of China</t>
        </is>
      </c>
    </row>
    <row r="14971">
      <c r="A14971" t="inlineStr">
        <is>
          <t>Rego Packing (GZ) Industrial Co., Ltd.,  Guangzhou, China</t>
        </is>
      </c>
      <c r="B14971" t="inlineStr">
        <is>
          <t>Processing Unit</t>
        </is>
      </c>
      <c r="C14971" t="inlineStr">
        <is>
          <t>SGS Germany GmbH, Emstek, DE</t>
        </is>
      </c>
      <c r="D14971" t="inlineStr">
        <is>
          <t>09.09.2026</t>
        </is>
      </c>
      <c r="E14971" t="inlineStr">
        <is>
          <t>China</t>
        </is>
      </c>
    </row>
    <row r="14972">
      <c r="A14972" t="inlineStr">
        <is>
          <t>Fitesa Sweden,  Åby, Norrköping, Sweden</t>
        </is>
      </c>
      <c r="B14972" t="inlineStr">
        <is>
          <t>Processing Unit</t>
        </is>
      </c>
      <c r="C14972" t="inlineStr">
        <is>
          <t>DNV Business Assurance Sweden AB, Solna, SE</t>
        </is>
      </c>
      <c r="D14972" t="inlineStr">
        <is>
          <t>09.09.2026</t>
        </is>
      </c>
      <c r="E14972" t="inlineStr">
        <is>
          <t>Sweden</t>
        </is>
      </c>
    </row>
    <row r="14973">
      <c r="A14973" t="inlineStr">
        <is>
          <t>RADU MIHAI PFA,  Bucinisu - Olt, Romania</t>
        </is>
      </c>
      <c r="B14973" t="inlineStr">
        <is>
          <t>First Gathering Point</t>
        </is>
      </c>
      <c r="C14973" t="inlineStr">
        <is>
          <t>RINA Services S.p.A., Genova, IT</t>
        </is>
      </c>
      <c r="D14973" t="inlineStr">
        <is>
          <t>09.09.2026</t>
        </is>
      </c>
      <c r="E14973" t="inlineStr">
        <is>
          <t>Romania</t>
        </is>
      </c>
    </row>
    <row r="14974">
      <c r="A14974" t="inlineStr">
        <is>
          <t>JUN TENG RUBBER LIMITED,  Hong Kong, Hong Kong, SAR, China</t>
        </is>
      </c>
      <c r="B14974" t="inlineStr">
        <is>
          <t>Trader</t>
        </is>
      </c>
      <c r="C14974" t="inlineStr">
        <is>
          <t>SCS Global Services, Emeryville, CA, US</t>
        </is>
      </c>
      <c r="D14974" t="inlineStr">
        <is>
          <t>09.09.2026</t>
        </is>
      </c>
      <c r="E14974" t="inlineStr">
        <is>
          <t>China</t>
        </is>
      </c>
    </row>
    <row r="14975">
      <c r="A14975" t="inlineStr">
        <is>
          <t>Green Fire New Energy（Zhongshan）Co.,Ltd.,  Zhongshan City, Guangdong Province, China</t>
        </is>
      </c>
      <c r="B14975" t="inlineStr">
        <is>
          <t>Collecting Point</t>
        </is>
      </c>
      <c r="C14975" t="inlineStr">
        <is>
          <t>SCS Global Services, Emeryville, CA, US</t>
        </is>
      </c>
      <c r="D14975" t="inlineStr">
        <is>
          <t>09.09.2026</t>
        </is>
      </c>
      <c r="E14975" t="inlineStr">
        <is>
          <t>China</t>
        </is>
      </c>
    </row>
    <row r="14976">
      <c r="A14976" t="inlineStr">
        <is>
          <t>Shouxian Longyuan Animal Harmless Treatment Co., Ltd.,  Huainan City, Anhui Province, China</t>
        </is>
      </c>
      <c r="B14976" t="inlineStr">
        <is>
          <t>Point of Origin, Collecting Point, Trader</t>
        </is>
      </c>
      <c r="C14976" t="inlineStr">
        <is>
          <t>SCS Global Services, Emeryville, CA, US</t>
        </is>
      </c>
      <c r="D14976" t="inlineStr">
        <is>
          <t>09.09.2026</t>
        </is>
      </c>
      <c r="E14976" t="inlineStr">
        <is>
          <t>China</t>
        </is>
      </c>
    </row>
    <row r="14977">
      <c r="A14977" t="inlineStr">
        <is>
          <t>Edelstein,  Cesano Maderno, Italy</t>
        </is>
      </c>
      <c r="B14977" t="inlineStr">
        <is>
          <t>Final Product Refinement, Trader with Storage</t>
        </is>
      </c>
      <c r="C14977" t="inlineStr">
        <is>
          <t>PT Intertek Utama Services, Jakarta, ID</t>
        </is>
      </c>
      <c r="D14977" t="inlineStr">
        <is>
          <t>09.09.2026</t>
        </is>
      </c>
      <c r="E14977" t="inlineStr">
        <is>
          <t>Italy</t>
        </is>
      </c>
    </row>
    <row r="14978">
      <c r="A14978" t="inlineStr">
        <is>
          <t>Golden Eco-Plastics Pte Limited,  Yalalevu, BA, Fiji</t>
        </is>
      </c>
      <c r="B14978" t="inlineStr">
        <is>
          <t>Processing Unit</t>
        </is>
      </c>
      <c r="C14978" t="inlineStr">
        <is>
          <t>SCS Global Services, Emeryville, CA, US</t>
        </is>
      </c>
      <c r="D14978" t="inlineStr">
        <is>
          <t>09.09.2026</t>
        </is>
      </c>
      <c r="E14978" t="inlineStr">
        <is>
          <t>Fiji</t>
        </is>
      </c>
    </row>
    <row r="14979">
      <c r="A14979" t="inlineStr">
        <is>
          <t>PT. Sustain Oil Trading,  Dumai City, Indonesia</t>
        </is>
      </c>
      <c r="B14979" t="inlineStr">
        <is>
          <t>Trader</t>
        </is>
      </c>
      <c r="C14979" t="inlineStr">
        <is>
          <t>China Testing &amp; Certification International Group Co., Ltd., Beijing, CN</t>
        </is>
      </c>
      <c r="D14979" t="inlineStr">
        <is>
          <t>09.09.2026</t>
        </is>
      </c>
      <c r="E14979" t="inlineStr">
        <is>
          <t>Indonesia</t>
        </is>
      </c>
    </row>
    <row r="14980">
      <c r="A14980" t="inlineStr">
        <is>
          <t>Cahaya Bumi,  Pekanbaru, Indonesia</t>
        </is>
      </c>
      <c r="B14980" t="inlineStr">
        <is>
          <t>Trader with Storage, Collecting Point</t>
        </is>
      </c>
      <c r="C14980" t="inlineStr">
        <is>
          <t>China Testing &amp; Certification International Group Co., Ltd., Beijing, CN</t>
        </is>
      </c>
      <c r="D14980" t="inlineStr">
        <is>
          <t>09.09.2026</t>
        </is>
      </c>
      <c r="E14980" t="inlineStr">
        <is>
          <t>Indonesia</t>
        </is>
      </c>
    </row>
    <row r="14981">
      <c r="A14981" t="inlineStr">
        <is>
          <t>Golden Manufacturers Pte Limited,  Suva. Valelevu, Fiji</t>
        </is>
      </c>
      <c r="B14981" t="inlineStr">
        <is>
          <t>Trader with Storage, Processing Unit</t>
        </is>
      </c>
      <c r="C14981" t="inlineStr">
        <is>
          <t>SCS Global Services, Emeryville, CA, US</t>
        </is>
      </c>
      <c r="D14981" t="inlineStr">
        <is>
          <t>09.09.2026</t>
        </is>
      </c>
      <c r="E14981" t="inlineStr">
        <is>
          <t>Fiji</t>
        </is>
      </c>
    </row>
    <row r="14982">
      <c r="A14982" t="inlineStr">
        <is>
          <t>AKR Alpha Kunststoffrecycling GmbH,  Wartenberg, Germany</t>
        </is>
      </c>
      <c r="B14982" t="inlineStr">
        <is>
          <t>Collecting Point, Processing Unit</t>
        </is>
      </c>
      <c r="C14982" t="inlineStr">
        <is>
          <t>BM Certification, Riga, LV</t>
        </is>
      </c>
      <c r="D14982" t="inlineStr">
        <is>
          <t>09.09.2026</t>
        </is>
      </c>
      <c r="E14982" t="inlineStr">
        <is>
          <t>Germany</t>
        </is>
      </c>
    </row>
    <row r="14983">
      <c r="A14983" t="inlineStr">
        <is>
          <t>Wastespresso Waste Management and Technologies Inc.,  Bakırköy/Istanbul, Turkey</t>
        </is>
      </c>
      <c r="B14983" t="inlineStr">
        <is>
          <t>Processing Unit, Collecting Point, Trader</t>
        </is>
      </c>
      <c r="C14983" t="inlineStr">
        <is>
          <t>PT Intertek Utama Services, Jakarta, ID</t>
        </is>
      </c>
      <c r="D14983" t="inlineStr">
        <is>
          <t>09.09.2026</t>
        </is>
      </c>
      <c r="E14983" t="inlineStr">
        <is>
          <t>Turkey</t>
        </is>
      </c>
    </row>
    <row r="14984">
      <c r="A14984" t="inlineStr">
        <is>
          <t>BUKIT PALEM,  Ketapang, Indonesia</t>
        </is>
      </c>
      <c r="B14984" t="inlineStr">
        <is>
          <t>Point of Origin</t>
        </is>
      </c>
      <c r="C14984" t="inlineStr">
        <is>
          <t>PT. Qualitas Sertifikasi Indonesia, Jakarta, ID</t>
        </is>
      </c>
      <c r="D14984" t="inlineStr">
        <is>
          <t>09.09.2026</t>
        </is>
      </c>
      <c r="E14984" t="inlineStr">
        <is>
          <t>Indonesia</t>
        </is>
      </c>
    </row>
    <row r="14985">
      <c r="A14985" t="inlineStr">
        <is>
          <t>Kunság Népe Mezőgazdasági Zártkörűen müködő Részvénytársaság,  Kunhegyes, Hungary</t>
        </is>
      </c>
      <c r="B14985" t="inlineStr">
        <is>
          <t>First Gathering Point, Trader</t>
        </is>
      </c>
      <c r="C14985" t="inlineStr">
        <is>
          <t>Control Union Certifications Germany GmbH, Berlin, DE</t>
        </is>
      </c>
      <c r="D14985" t="inlineStr">
        <is>
          <t>09.09.2026</t>
        </is>
      </c>
      <c r="E14985" t="inlineStr">
        <is>
          <t>Hungary</t>
        </is>
      </c>
    </row>
    <row r="14986">
      <c r="A14986" t="inlineStr">
        <is>
          <t>Metrospectrum,  Seoul, South Korea</t>
        </is>
      </c>
      <c r="B14986" t="inlineStr">
        <is>
          <t>Trader with Storage</t>
        </is>
      </c>
      <c r="C14986" t="inlineStr">
        <is>
          <t>Korean Foundation for Quality, Songpa-gu, Seoul, KR</t>
        </is>
      </c>
      <c r="D14986" t="inlineStr">
        <is>
          <t>09.09.2026</t>
        </is>
      </c>
      <c r="E14986" t="inlineStr">
        <is>
          <t>South Korea</t>
        </is>
      </c>
    </row>
    <row r="14987">
      <c r="A14987" t="inlineStr">
        <is>
          <t>RPC Bramlage Food GmbH,  Celle, Germany</t>
        </is>
      </c>
      <c r="B14987" t="inlineStr">
        <is>
          <t>Processing Unit</t>
        </is>
      </c>
      <c r="C14987" t="inlineStr">
        <is>
          <t>SGS Germany GmbH, Emstek, DE</t>
        </is>
      </c>
      <c r="D14987" t="inlineStr">
        <is>
          <t>09.09.2026</t>
        </is>
      </c>
      <c r="E14987" t="inlineStr">
        <is>
          <t>Germany</t>
        </is>
      </c>
    </row>
    <row r="14988">
      <c r="A14988" t="inlineStr">
        <is>
          <t>Wandaa GmbH,  Marbach am Neckar, Germany</t>
        </is>
      </c>
      <c r="B14988" t="inlineStr">
        <is>
          <t>Trader with Storage</t>
        </is>
      </c>
      <c r="C14988" t="inlineStr">
        <is>
          <t>BM Certification, Riga, LV</t>
        </is>
      </c>
      <c r="D14988" t="inlineStr">
        <is>
          <t>09.09.2026</t>
        </is>
      </c>
      <c r="E14988" t="inlineStr">
        <is>
          <t>Germany</t>
        </is>
      </c>
    </row>
    <row r="14989">
      <c r="A14989" t="inlineStr">
        <is>
          <t>Mitsubishi International Corporation,  Houston, United States</t>
        </is>
      </c>
      <c r="B14989" t="inlineStr">
        <is>
          <t>Trader</t>
        </is>
      </c>
      <c r="C14989" t="inlineStr">
        <is>
          <t>SCS Global Services, Emeryville, CA, US</t>
        </is>
      </c>
      <c r="D14989" t="inlineStr">
        <is>
          <t>09.09.2026</t>
        </is>
      </c>
      <c r="E14989" t="inlineStr">
        <is>
          <t>United States</t>
        </is>
      </c>
    </row>
    <row r="14990">
      <c r="A14990" t="inlineStr">
        <is>
          <t>POLIFILM Neukirchen,  Neukirchen/ Pleiße, Germany</t>
        </is>
      </c>
      <c r="B14990" t="inlineStr">
        <is>
          <t>Processing Unit, Trader</t>
        </is>
      </c>
      <c r="C14990" t="inlineStr">
        <is>
          <t>SGS Germany GmbH, Emstek, DE</t>
        </is>
      </c>
      <c r="D14990" t="inlineStr">
        <is>
          <t>09.09.2026</t>
        </is>
      </c>
      <c r="E14990" t="inlineStr">
        <is>
          <t>Germany</t>
        </is>
      </c>
    </row>
    <row r="14991">
      <c r="A14991" t="inlineStr">
        <is>
          <t>Violar S.A.,  Achillio-Larisas, Greece</t>
        </is>
      </c>
      <c r="B14991" t="inlineStr">
        <is>
          <t>Collecting Point, First Gathering Point, Trader with Storage, Processing Unit</t>
        </is>
      </c>
      <c r="C14991" t="inlineStr">
        <is>
          <t>Eurocert SA, Metamorfosi, Athens, GR</t>
        </is>
      </c>
      <c r="D14991" t="inlineStr">
        <is>
          <t>09.09.2026</t>
        </is>
      </c>
      <c r="E14991" t="inlineStr">
        <is>
          <t>Greece</t>
        </is>
      </c>
    </row>
    <row r="14992">
      <c r="A14992" t="inlineStr">
        <is>
          <t>SN KASEI CO., LTD.,  Niihama-shi, Ehime, Japan</t>
        </is>
      </c>
      <c r="B14992" t="inlineStr">
        <is>
          <t>Processing Unit</t>
        </is>
      </c>
      <c r="C14992" t="inlineStr">
        <is>
          <t>SGS Germany GmbH, Emstek, DE</t>
        </is>
      </c>
      <c r="D14992" t="inlineStr">
        <is>
          <t>09.09.2026</t>
        </is>
      </c>
      <c r="E14992" t="inlineStr">
        <is>
          <t>Japan</t>
        </is>
      </c>
    </row>
    <row r="14993">
      <c r="A14993" t="inlineStr">
        <is>
          <t>HIAP HUAT CHEMICALS SDN BHD,  BENTONG, Malaysia</t>
        </is>
      </c>
      <c r="B14993" t="inlineStr">
        <is>
          <t>Trader with Storage, Processing Unit, Collecting Point</t>
        </is>
      </c>
      <c r="C14993" t="inlineStr">
        <is>
          <t>SGS Germany GmbH, Emstek, DE</t>
        </is>
      </c>
      <c r="D14993" t="inlineStr">
        <is>
          <t>09.09.2026</t>
        </is>
      </c>
      <c r="E14993" t="inlineStr">
        <is>
          <t>Malaysia</t>
        </is>
      </c>
    </row>
    <row r="14994">
      <c r="A14994" t="inlineStr">
        <is>
          <t>Eduard Císař,  Praha 4 - Podolí, Czech Republic</t>
        </is>
      </c>
      <c r="B14994" t="inlineStr">
        <is>
          <t>Collecting Point</t>
        </is>
      </c>
      <c r="C14994" t="inlineStr">
        <is>
          <t>Bureau Veritas Polska Sp. z o.o., Warsaw, PL</t>
        </is>
      </c>
      <c r="D14994" t="inlineStr">
        <is>
          <t>09.09.2026</t>
        </is>
      </c>
      <c r="E14994" t="inlineStr">
        <is>
          <t>Czech Republic</t>
        </is>
      </c>
    </row>
    <row r="14995">
      <c r="A14995" t="inlineStr">
        <is>
          <t>PPHU"Papier-Trans" Piotr Żołnierczyk,  Ksawerów, Poland</t>
        </is>
      </c>
      <c r="B14995" t="inlineStr">
        <is>
          <t>Trader with Storage, Collecting Point</t>
        </is>
      </c>
      <c r="C14995" t="inlineStr">
        <is>
          <t>United Registrar of Systems Polska Sp. z o.o., Wrocław, PL</t>
        </is>
      </c>
      <c r="D14995" t="inlineStr">
        <is>
          <t>09.09.2026</t>
        </is>
      </c>
      <c r="E14995" t="inlineStr">
        <is>
          <t>Poland</t>
        </is>
      </c>
    </row>
    <row r="14996">
      <c r="A14996" t="inlineStr">
        <is>
          <t>SHPP US LLC,  Mt Vernon, IN, United States</t>
        </is>
      </c>
      <c r="B14996" t="inlineStr">
        <is>
          <t>Processing Unit</t>
        </is>
      </c>
      <c r="C14996" t="inlineStr">
        <is>
          <t>TÜV NORD CERT GmbH, Essen, DE</t>
        </is>
      </c>
      <c r="D14996" t="inlineStr">
        <is>
          <t>09.09.2026</t>
        </is>
      </c>
      <c r="E14996" t="inlineStr">
        <is>
          <t>United States</t>
        </is>
      </c>
    </row>
    <row r="14997">
      <c r="A14997" t="inlineStr">
        <is>
          <t>Gapuma Switzerland AG,  Altendorf, Switzerland</t>
        </is>
      </c>
      <c r="B14997" t="inlineStr">
        <is>
          <t>Trader with Storage</t>
        </is>
      </c>
      <c r="C14997" t="inlineStr">
        <is>
          <t>ASG Cert GmbH, Munich, DE</t>
        </is>
      </c>
      <c r="D14997" t="inlineStr">
        <is>
          <t>09.09.2026</t>
        </is>
      </c>
      <c r="E14997" t="inlineStr">
        <is>
          <t>Switzerland</t>
        </is>
      </c>
    </row>
    <row r="14998">
      <c r="A14998" t="inlineStr">
        <is>
          <t>Plastoplan Polska Sp. z o.o.,  Warszawa, Poland</t>
        </is>
      </c>
      <c r="B14998" t="inlineStr">
        <is>
          <t>Trader with Storage</t>
        </is>
      </c>
      <c r="C14998" t="inlineStr">
        <is>
          <t>Bureau Veritas Polska Sp. z o.o., Warsaw, PL</t>
        </is>
      </c>
      <c r="D14998" t="inlineStr">
        <is>
          <t>09.09.2026</t>
        </is>
      </c>
      <c r="E14998" t="inlineStr">
        <is>
          <t>Poland</t>
        </is>
      </c>
    </row>
    <row r="14999">
      <c r="A14999" t="inlineStr">
        <is>
          <t>Anhui Xinmiao Rubber Recycling Resources Utilization Co., Ltd.,  Lu'an City,Anhui Province, China</t>
        </is>
      </c>
      <c r="B14999" t="inlineStr">
        <is>
          <t>Processing Unit</t>
        </is>
      </c>
      <c r="C14999" t="inlineStr">
        <is>
          <t>RINA Services S.p.A., Genova, IT</t>
        </is>
      </c>
      <c r="D14999" t="inlineStr">
        <is>
          <t>09.09.2026</t>
        </is>
      </c>
      <c r="E14999" t="inlineStr">
        <is>
          <t>China</t>
        </is>
      </c>
    </row>
    <row r="15000">
      <c r="A15000" t="inlineStr">
        <is>
          <t>Anhui Xinmiao Rubber Recycling Resources Utilization Co., Ltd.,  Lu'an City,Anhui Province, China</t>
        </is>
      </c>
      <c r="B15000" t="inlineStr">
        <is>
          <t>Processing Unit</t>
        </is>
      </c>
      <c r="C15000" t="inlineStr">
        <is>
          <t>RINA Services S.p.A., Genova, IT</t>
        </is>
      </c>
      <c r="D15000" t="inlineStr">
        <is>
          <t>09.09.2026</t>
        </is>
      </c>
      <c r="E15000" t="inlineStr">
        <is>
          <t>China</t>
        </is>
      </c>
    </row>
    <row r="15001">
      <c r="A15001" t="inlineStr">
        <is>
          <t>Černohlávek Group s.r.o.,  Církvice, Czech Republic</t>
        </is>
      </c>
      <c r="B15001" t="inlineStr">
        <is>
          <t>Collecting Point</t>
        </is>
      </c>
      <c r="C15001" t="inlineStr">
        <is>
          <t>TÜV SÜD Czech s.r.o., Praha 4, CZ</t>
        </is>
      </c>
      <c r="D15001" t="inlineStr">
        <is>
          <t>09.09.2026</t>
        </is>
      </c>
      <c r="E15001" t="inlineStr">
        <is>
          <t>Czech Republic</t>
        </is>
      </c>
    </row>
    <row r="15002">
      <c r="A15002" t="inlineStr">
        <is>
          <t>Mercedes-Benz Grand Prix Ltd,  Brackley, United Kingdom</t>
        </is>
      </c>
      <c r="B15002" t="inlineStr">
        <is>
          <t>Processing Unit</t>
        </is>
      </c>
      <c r="C15002" t="inlineStr">
        <is>
          <t>Aardvark Certification Ltd, Wiveliscombe, Somerset, GB</t>
        </is>
      </c>
      <c r="D15002" t="inlineStr">
        <is>
          <t>09.09.2026</t>
        </is>
      </c>
      <c r="E15002" t="inlineStr">
        <is>
          <t>United Kingdom</t>
        </is>
      </c>
    </row>
    <row r="15003">
      <c r="A15003" t="inlineStr">
        <is>
          <t>Chant Oil Co., Ltd.,  Douliu City, Yunlin County, Taiwan</t>
        </is>
      </c>
      <c r="B15003" t="inlineStr">
        <is>
          <t>Point of Origin, Collecting Point, Trader with Storage, Processing Unit</t>
        </is>
      </c>
      <c r="C15003" t="inlineStr">
        <is>
          <t>Control Union Certifications Germany GmbH, Berlin, DE</t>
        </is>
      </c>
      <c r="D15003" t="inlineStr">
        <is>
          <t>08.09.2026</t>
        </is>
      </c>
      <c r="E15003" t="inlineStr">
        <is>
          <t>Taiwan</t>
        </is>
      </c>
    </row>
    <row r="15004">
      <c r="A15004" t="inlineStr">
        <is>
          <t>Chant Oil Co., Ltd.,  Douliu City, Yunlin County, Taiwan</t>
        </is>
      </c>
      <c r="B15004" t="inlineStr">
        <is>
          <t>Trader with Storage, Collecting Point, Processing Unit</t>
        </is>
      </c>
      <c r="C15004" t="inlineStr">
        <is>
          <t>Control Union Certifications Germany GmbH, Berlin, DE</t>
        </is>
      </c>
      <c r="D15004" t="inlineStr">
        <is>
          <t>08.09.2026</t>
        </is>
      </c>
      <c r="E15004" t="inlineStr">
        <is>
          <t>Taiwan</t>
        </is>
      </c>
    </row>
    <row r="15005">
      <c r="A15005" t="inlineStr">
        <is>
          <t>Daqing Oilfield Chemical Co., Ltd.,  Daqing, Heilongjiang, China</t>
        </is>
      </c>
      <c r="B15005" t="inlineStr">
        <is>
          <t>Processing Unit</t>
        </is>
      </c>
      <c r="C15005" t="inlineStr">
        <is>
          <t>SCS Global Services, Emeryville, CA, US</t>
        </is>
      </c>
      <c r="D15005" t="inlineStr">
        <is>
          <t>08.09.2026</t>
        </is>
      </c>
      <c r="E15005" t="inlineStr">
        <is>
          <t>China</t>
        </is>
      </c>
    </row>
    <row r="15006">
      <c r="A15006" t="inlineStr">
        <is>
          <t>EMBALAJE ST. JOHNS,  Silao, Mexico</t>
        </is>
      </c>
      <c r="B15006" t="inlineStr">
        <is>
          <t>Processing Unit, Trader with Storage</t>
        </is>
      </c>
      <c r="C15006" t="inlineStr">
        <is>
          <t>Control Union Poland Sp. z o.o., Zielona Gora, PL</t>
        </is>
      </c>
      <c r="D15006" t="inlineStr">
        <is>
          <t>08.09.2026</t>
        </is>
      </c>
      <c r="E15006" t="inlineStr">
        <is>
          <t>Mexico</t>
        </is>
      </c>
    </row>
    <row r="15007">
      <c r="A15007" t="inlineStr">
        <is>
          <t>MB Agrotraderis,  Marijampolė, Lithuania</t>
        </is>
      </c>
      <c r="B15007" t="inlineStr">
        <is>
          <t>Trader, First Gathering Point</t>
        </is>
      </c>
      <c r="C15007" t="inlineStr">
        <is>
          <t>BM Certification, Riga, LV</t>
        </is>
      </c>
      <c r="D15007" t="inlineStr">
        <is>
          <t>08.09.2026</t>
        </is>
      </c>
      <c r="E15007" t="inlineStr">
        <is>
          <t>Lithuania</t>
        </is>
      </c>
    </row>
    <row r="15008">
      <c r="A15008" t="inlineStr">
        <is>
          <t>CIM Chemicals AG,  Zug, Switzerland</t>
        </is>
      </c>
      <c r="B15008" t="inlineStr">
        <is>
          <t>Trader</t>
        </is>
      </c>
      <c r="C15008" t="inlineStr">
        <is>
          <t>SGS Germany GmbH, Emstek, DE</t>
        </is>
      </c>
      <c r="D15008" t="inlineStr">
        <is>
          <t>08.09.2026</t>
        </is>
      </c>
      <c r="E15008" t="inlineStr">
        <is>
          <t>Switzerland</t>
        </is>
      </c>
    </row>
    <row r="15009">
      <c r="A15009" t="inlineStr">
        <is>
          <t>GHW (VIETNAM) CO.,LTD,  Binh Duong Province, Vietnam</t>
        </is>
      </c>
      <c r="B15009" t="inlineStr">
        <is>
          <t>Processing Unit</t>
        </is>
      </c>
      <c r="C15009" t="inlineStr">
        <is>
          <t>PT Intertek Utama Services, Jakarta, ID</t>
        </is>
      </c>
      <c r="D15009" t="inlineStr">
        <is>
          <t>08.09.2026</t>
        </is>
      </c>
      <c r="E15009" t="inlineStr">
        <is>
          <t>Vietnam</t>
        </is>
      </c>
    </row>
    <row r="15010">
      <c r="A15010" t="inlineStr">
        <is>
          <t>China-Base Commercial &amp; Trading (Zhejiang) Co., Ltd,  Ningbo City, Zhejiang Province,, China</t>
        </is>
      </c>
      <c r="B15010" t="inlineStr">
        <is>
          <t>Trader with Storage</t>
        </is>
      </c>
      <c r="C15010" t="inlineStr">
        <is>
          <t>SCS Global Services, Emeryville, CA, US</t>
        </is>
      </c>
      <c r="D15010" t="inlineStr">
        <is>
          <t>08.09.2026</t>
        </is>
      </c>
      <c r="E15010" t="inlineStr">
        <is>
          <t>China</t>
        </is>
      </c>
    </row>
    <row r="15011">
      <c r="A15011" t="inlineStr">
        <is>
          <t>China-Base Commercial &amp; Trading (Zhejiang) Co., Ltd,  Ningbo City, Zhejiang Province,, China</t>
        </is>
      </c>
      <c r="B15011" t="inlineStr">
        <is>
          <t>Trader with Storage</t>
        </is>
      </c>
      <c r="C15011" t="inlineStr">
        <is>
          <t>SCS Global Services, Emeryville, CA, US</t>
        </is>
      </c>
      <c r="D15011" t="inlineStr">
        <is>
          <t>08.09.2026</t>
        </is>
      </c>
      <c r="E15011" t="inlineStr">
        <is>
          <t>China</t>
        </is>
      </c>
    </row>
    <row r="15012">
      <c r="A15012" t="inlineStr">
        <is>
          <t>Quatra Switzerland,  Lokeren, Belgium</t>
        </is>
      </c>
      <c r="B15012" t="inlineStr">
        <is>
          <t>Collecting Point, Trader with Storage</t>
        </is>
      </c>
      <c r="C15012" t="inlineStr">
        <is>
          <t>Control Union Certifications Germany GmbH, Berlin, DE</t>
        </is>
      </c>
      <c r="D15012" t="inlineStr">
        <is>
          <t>08.09.2026</t>
        </is>
      </c>
      <c r="E15012" t="inlineStr">
        <is>
          <t>Belgium</t>
        </is>
      </c>
    </row>
    <row r="15013">
      <c r="A15013" t="inlineStr">
        <is>
          <t>ExxonMobil Chemical Limited,  Fawley, Southampton, United Kingdom</t>
        </is>
      </c>
      <c r="B15013" t="inlineStr">
        <is>
          <t>Processing Unit, Trader with Storage</t>
        </is>
      </c>
      <c r="C15013" t="inlineStr">
        <is>
          <t>Bureau Veritas Polska Sp. z o.o., Warsaw, PL</t>
        </is>
      </c>
      <c r="D15013" t="inlineStr">
        <is>
          <t>08.09.2026</t>
        </is>
      </c>
      <c r="E15013" t="inlineStr">
        <is>
          <t>United Kingdom</t>
        </is>
      </c>
    </row>
    <row r="15014">
      <c r="A15014" t="inlineStr">
        <is>
          <t>Anhui Yangtze River Liquefied Natural Gas Co.,Ltd,  Wuhu, China</t>
        </is>
      </c>
      <c r="B15014" t="inlineStr">
        <is>
          <t>Trader with Storage</t>
        </is>
      </c>
      <c r="C15014" t="inlineStr">
        <is>
          <t>SGS Germany GmbH, Emstek, DE</t>
        </is>
      </c>
      <c r="D15014" t="inlineStr">
        <is>
          <t>08.09.2026</t>
        </is>
      </c>
      <c r="E15014" t="inlineStr">
        <is>
          <t>China</t>
        </is>
      </c>
    </row>
    <row r="15015">
      <c r="A15015" t="inlineStr">
        <is>
          <t>Uponor s.r.l,  Agrate Brianza (MB), Italy</t>
        </is>
      </c>
      <c r="B15015" t="inlineStr">
        <is>
          <t>Trader, Trader with Storage</t>
        </is>
      </c>
      <c r="C15015" t="inlineStr">
        <is>
          <t>IIP S.r.l., Monza, IT</t>
        </is>
      </c>
      <c r="D15015" t="inlineStr">
        <is>
          <t>08.09.2026</t>
        </is>
      </c>
      <c r="E15015" t="inlineStr">
        <is>
          <t>Italy</t>
        </is>
      </c>
    </row>
    <row r="15016">
      <c r="A15016" t="inlineStr">
        <is>
          <t>Chuan,Hsing Business Entity,  Kaohsiung City, Daliao Dist, Taiwan</t>
        </is>
      </c>
      <c r="B15016" t="inlineStr">
        <is>
          <t>Collecting Point, Trader with Storage</t>
        </is>
      </c>
      <c r="C15016" t="inlineStr">
        <is>
          <t>Bureau Veritas Polska Sp. z o.o., Warsaw, PL</t>
        </is>
      </c>
      <c r="D15016" t="inlineStr">
        <is>
          <t>08.09.2026</t>
        </is>
      </c>
      <c r="E15016" t="inlineStr">
        <is>
          <t>Taiwan</t>
        </is>
      </c>
    </row>
    <row r="15017">
      <c r="A15017" t="inlineStr">
        <is>
          <t>Czekopol s.r.o.,  Letovice, Czech Republic</t>
        </is>
      </c>
      <c r="B15017" t="inlineStr">
        <is>
          <t>First Gathering Point, Trader</t>
        </is>
      </c>
      <c r="C15017" t="inlineStr">
        <is>
          <t>United Registrar of Systems Polska Sp. z o.o., Wrocław, PL</t>
        </is>
      </c>
      <c r="D15017" t="inlineStr">
        <is>
          <t>08.09.2026</t>
        </is>
      </c>
      <c r="E15017" t="inlineStr">
        <is>
          <t>Czech Republic</t>
        </is>
      </c>
    </row>
    <row r="15018">
      <c r="A15018" t="inlineStr">
        <is>
          <t>Tecniplast Spa,  Buguggiate (Va), Italy</t>
        </is>
      </c>
      <c r="B15018" t="inlineStr">
        <is>
          <t>Processing Unit</t>
        </is>
      </c>
      <c r="C15018" t="inlineStr">
        <is>
          <t>DNV Business Assurance Sweden AB, Solna, SE</t>
        </is>
      </c>
      <c r="D15018" t="inlineStr">
        <is>
          <t>08.09.2026</t>
        </is>
      </c>
      <c r="E15018" t="inlineStr">
        <is>
          <t>Italy</t>
        </is>
      </c>
    </row>
    <row r="15019">
      <c r="A15019" t="inlineStr">
        <is>
          <t>GOLDEN SAPPHIRE GENERAL TRADING LLC,  DUBAI, United Arab Emirates</t>
        </is>
      </c>
      <c r="B15019" t="inlineStr">
        <is>
          <t>Trader</t>
        </is>
      </c>
      <c r="C15019" t="inlineStr">
        <is>
          <t>PT Mutuagung Lestari, Depok, ID</t>
        </is>
      </c>
      <c r="D15019" t="inlineStr">
        <is>
          <t>08.09.2026</t>
        </is>
      </c>
      <c r="E15019" t="inlineStr">
        <is>
          <t>United Arab Emirates</t>
        </is>
      </c>
    </row>
    <row r="15020">
      <c r="A15020" t="inlineStr">
        <is>
          <t>Industrias Afines,  Mos, Pontevedra, Spain</t>
        </is>
      </c>
      <c r="B15020" t="inlineStr">
        <is>
          <t>Collecting Point, Trader</t>
        </is>
      </c>
      <c r="C15020" t="inlineStr">
        <is>
          <t>Control Union Poland Sp. z o.o., Zielona Gora, PL</t>
        </is>
      </c>
      <c r="D15020" t="inlineStr">
        <is>
          <t>08.09.2026</t>
        </is>
      </c>
      <c r="E15020" t="inlineStr">
        <is>
          <t>Spain</t>
        </is>
      </c>
    </row>
    <row r="15021">
      <c r="A15021" t="inlineStr">
        <is>
          <t>M-Chemicals, s.r.o.,  Bratislava, Slovakia</t>
        </is>
      </c>
      <c r="B15021" t="inlineStr">
        <is>
          <t>Trader</t>
        </is>
      </c>
      <c r="C15021" t="inlineStr">
        <is>
          <t>United Registrar of Systems Polska Sp. z o.o., Wrocław, PL</t>
        </is>
      </c>
      <c r="D15021" t="inlineStr">
        <is>
          <t>08.09.2026</t>
        </is>
      </c>
      <c r="E15021" t="inlineStr">
        <is>
          <t>Slovakia</t>
        </is>
      </c>
    </row>
    <row r="15022">
      <c r="A15022" t="inlineStr">
        <is>
          <t>Bunge Australia Pty Ltd,  Melbourne, Australia</t>
        </is>
      </c>
      <c r="B15022" t="inlineStr">
        <is>
          <t>Trader with Storage</t>
        </is>
      </c>
      <c r="C15022" t="inlineStr">
        <is>
          <t>Control Union Certifications Germany GmbH, Berlin, DE</t>
        </is>
      </c>
      <c r="D15022" t="inlineStr">
        <is>
          <t>08.09.2026</t>
        </is>
      </c>
      <c r="E15022" t="inlineStr">
        <is>
          <t>Australia</t>
        </is>
      </c>
    </row>
    <row r="15023">
      <c r="A15023" t="inlineStr">
        <is>
          <t>Bunge Australia Pty Ltd,  Melbourne, Australia</t>
        </is>
      </c>
      <c r="B15023" t="inlineStr">
        <is>
          <t>Trader with Storage</t>
        </is>
      </c>
      <c r="C15023" t="inlineStr">
        <is>
          <t>Control Union Certifications Germany GmbH, Berlin, DE</t>
        </is>
      </c>
      <c r="D15023" t="inlineStr">
        <is>
          <t>08.09.2026</t>
        </is>
      </c>
      <c r="E15023" t="inlineStr">
        <is>
          <t>Australia</t>
        </is>
      </c>
    </row>
    <row r="15024">
      <c r="A15024" t="inlineStr">
        <is>
          <t>GARNA TRADING UKRAINE,  Kyiv, Ukraine</t>
        </is>
      </c>
      <c r="B15024" t="inlineStr">
        <is>
          <t>First Gathering Point, Trader with Storage</t>
        </is>
      </c>
      <c r="C15024" t="inlineStr">
        <is>
          <t>Control Union Certifications Germany GmbH, Berlin, DE</t>
        </is>
      </c>
      <c r="D15024" t="inlineStr">
        <is>
          <t>08.09.2026</t>
        </is>
      </c>
      <c r="E15024" t="inlineStr">
        <is>
          <t>Ukraine</t>
        </is>
      </c>
    </row>
    <row r="15025">
      <c r="A15025" t="inlineStr">
        <is>
          <t>Olleco,  Liverpool, United Kingdom</t>
        </is>
      </c>
      <c r="B15025" t="inlineStr">
        <is>
          <t>Collecting Point</t>
        </is>
      </c>
      <c r="C15025" t="inlineStr">
        <is>
          <t>Control Union Certifications Germany GmbH, Berlin, DE</t>
        </is>
      </c>
      <c r="D15025" t="inlineStr">
        <is>
          <t>08.09.2026</t>
        </is>
      </c>
      <c r="E15025" t="inlineStr">
        <is>
          <t>United Kingdom</t>
        </is>
      </c>
    </row>
    <row r="15026">
      <c r="A15026" t="inlineStr">
        <is>
          <t>NextGen Renewables Pte Ltd,  Singapore, Singapore</t>
        </is>
      </c>
      <c r="B15026" t="inlineStr">
        <is>
          <t>Trader</t>
        </is>
      </c>
      <c r="C15026" t="inlineStr">
        <is>
          <t>PT. Qualitas Sertifikasi Indonesia, Jakarta, ID</t>
        </is>
      </c>
      <c r="D15026" t="inlineStr">
        <is>
          <t>08.09.2026</t>
        </is>
      </c>
      <c r="E15026" t="inlineStr">
        <is>
          <t>Singapore</t>
        </is>
      </c>
    </row>
    <row r="15027">
      <c r="A15027" t="inlineStr">
        <is>
          <t>GREEN CHEM KOREA CO., LTD,  Seocho-gu, Seoul, South Korea</t>
        </is>
      </c>
      <c r="B15027" t="inlineStr">
        <is>
          <t>Trader</t>
        </is>
      </c>
      <c r="C15027" t="inlineStr">
        <is>
          <t>Control Union Certifications Germany GmbH, Berlin, DE</t>
        </is>
      </c>
      <c r="D15027" t="inlineStr">
        <is>
          <t>08.09.2026</t>
        </is>
      </c>
      <c r="E15027" t="inlineStr">
        <is>
          <t>South Korea</t>
        </is>
      </c>
    </row>
    <row r="15028">
      <c r="A15028" t="inlineStr">
        <is>
          <t>Nimble Group (Shanghai) Co., Ltd.,  Shanghai, China</t>
        </is>
      </c>
      <c r="B15028" t="inlineStr">
        <is>
          <t>Trader</t>
        </is>
      </c>
      <c r="C15028" t="inlineStr">
        <is>
          <t>SGS Germany GmbH, Emstek, DE</t>
        </is>
      </c>
      <c r="D15028" t="inlineStr">
        <is>
          <t>08.09.2026</t>
        </is>
      </c>
      <c r="E15028" t="inlineStr">
        <is>
          <t>China</t>
        </is>
      </c>
    </row>
    <row r="15029">
      <c r="A15029" t="inlineStr">
        <is>
          <t>Agricultorul SRL,  Onesti, Jud. Bacau, Romania</t>
        </is>
      </c>
      <c r="B15029" t="inlineStr">
        <is>
          <t>First Gathering Point</t>
        </is>
      </c>
      <c r="C15029" t="inlineStr">
        <is>
          <t>SGS Germany GmbH, Emstek, DE</t>
        </is>
      </c>
      <c r="D15029" t="inlineStr">
        <is>
          <t>08.09.2026</t>
        </is>
      </c>
      <c r="E15029" t="inlineStr">
        <is>
          <t>Romania</t>
        </is>
      </c>
    </row>
    <row r="15030">
      <c r="A15030" t="inlineStr">
        <is>
          <t>Société d'Approvisionnement et de Ventes d'Energie (SAVE),  Boulogne-Billancourt, France</t>
        </is>
      </c>
      <c r="B15030" t="inlineStr">
        <is>
          <t>Trader</t>
        </is>
      </c>
      <c r="C15030" t="inlineStr">
        <is>
          <t>Bureau Veritas Polska Sp. z o.o., Warsaw, PL</t>
        </is>
      </c>
      <c r="D15030" t="inlineStr">
        <is>
          <t>08.09.2026</t>
        </is>
      </c>
      <c r="E15030" t="inlineStr">
        <is>
          <t>France</t>
        </is>
      </c>
    </row>
    <row r="15031">
      <c r="A15031" t="inlineStr">
        <is>
          <t>Gebr. Oude Lenferink BV,  Fleringen, The Netherlands</t>
        </is>
      </c>
      <c r="B15031" t="inlineStr">
        <is>
          <t>Collecting Point</t>
        </is>
      </c>
      <c r="C15031" t="inlineStr">
        <is>
          <t>Normec QS BV, Bennekom, NL</t>
        </is>
      </c>
      <c r="D15031" t="inlineStr">
        <is>
          <t>08.09.2026</t>
        </is>
      </c>
      <c r="E15031" t="inlineStr">
        <is>
          <t>The Netherlands</t>
        </is>
      </c>
    </row>
    <row r="15032">
      <c r="A15032" t="inlineStr">
        <is>
          <t>Asaş Ambalaj Baski San. Tic. A.S.,  Yenikent / Ankara, Turkey</t>
        </is>
      </c>
      <c r="B15032" t="inlineStr">
        <is>
          <t>Processing Unit</t>
        </is>
      </c>
      <c r="C15032" t="inlineStr">
        <is>
          <t>PT Intertek Utama Services, Jakarta, ID</t>
        </is>
      </c>
      <c r="D15032" t="inlineStr">
        <is>
          <t>08.09.2026</t>
        </is>
      </c>
      <c r="E15032" t="inlineStr">
        <is>
          <t>Turkey</t>
        </is>
      </c>
    </row>
    <row r="15033">
      <c r="A15033" t="inlineStr">
        <is>
          <t>PT Yuni Bersaudara Sejahtera,  Kampar, Indonesia</t>
        </is>
      </c>
      <c r="B15033" t="inlineStr">
        <is>
          <t>Point of Origin, Trader with Storage, Processing Unit</t>
        </is>
      </c>
      <c r="C15033" t="inlineStr">
        <is>
          <t>PT. CBQA GLOBAL INDONESIA, JAKARTA SELATAN, ID</t>
        </is>
      </c>
      <c r="D15033" t="inlineStr">
        <is>
          <t>08.09.2026</t>
        </is>
      </c>
      <c r="E15033" t="inlineStr">
        <is>
          <t>Indonesia</t>
        </is>
      </c>
    </row>
    <row r="15034">
      <c r="A15034" t="inlineStr">
        <is>
          <t>Audia Plastics s.r.o,  Voderady, Slovakia</t>
        </is>
      </c>
      <c r="B15034" t="inlineStr">
        <is>
          <t>Processing Unit, Collecting Point</t>
        </is>
      </c>
      <c r="C15034" t="inlineStr">
        <is>
          <t>SCS Global Services, Emeryville, CA, US</t>
        </is>
      </c>
      <c r="D15034" t="inlineStr">
        <is>
          <t>08.09.2026</t>
        </is>
      </c>
      <c r="E15034" t="inlineStr">
        <is>
          <t>Slovakia</t>
        </is>
      </c>
    </row>
    <row r="15035">
      <c r="A15035" t="inlineStr">
        <is>
          <t>EcoOils (Negeri Sembilan) Sdn Bhd,  Nilai, Negeri Sembilan Darul Khusus, Malaysia</t>
        </is>
      </c>
      <c r="B15035" t="inlineStr">
        <is>
          <t>Collecting Point, Processing Unit, Trader with Storage</t>
        </is>
      </c>
      <c r="C15035" t="inlineStr">
        <is>
          <t>Control Union Certifications Germany GmbH, Berlin, DE</t>
        </is>
      </c>
      <c r="D15035" t="inlineStr">
        <is>
          <t>08.09.2026</t>
        </is>
      </c>
      <c r="E15035" t="inlineStr">
        <is>
          <t>Malaysia</t>
        </is>
      </c>
    </row>
    <row r="15036">
      <c r="A15036" t="inlineStr">
        <is>
          <t>TotalEnergies Trading Asia Pte. Ltd.,  Singapore, Singapore</t>
        </is>
      </c>
      <c r="B15036" t="inlineStr">
        <is>
          <t>Trader</t>
        </is>
      </c>
      <c r="C15036" t="inlineStr">
        <is>
          <t>SGS Germany GmbH, Emstek, DE</t>
        </is>
      </c>
      <c r="D15036" t="inlineStr">
        <is>
          <t>08.09.2026</t>
        </is>
      </c>
      <c r="E15036" t="inlineStr">
        <is>
          <t>Singapore</t>
        </is>
      </c>
    </row>
    <row r="15037">
      <c r="A15037" t="inlineStr">
        <is>
          <t>Mikó &amp; Mikó,  Enying, Hungary</t>
        </is>
      </c>
      <c r="B15037" t="inlineStr">
        <is>
          <t>First Gathering Point</t>
        </is>
      </c>
      <c r="C15037" t="inlineStr">
        <is>
          <t>Certificadora Gallega del Noroeste SL, Vilagarcia de Arousa-Pontevedra, ES</t>
        </is>
      </c>
      <c r="D15037" t="inlineStr">
        <is>
          <t>08.09.2026</t>
        </is>
      </c>
      <c r="E15037" t="inlineStr">
        <is>
          <t>Hungary</t>
        </is>
      </c>
    </row>
    <row r="15038">
      <c r="A15038" t="inlineStr">
        <is>
          <t>INVISTA Nylon Chemicals (China) Co., Ltd.,  Shanghai,, China</t>
        </is>
      </c>
      <c r="B15038" t="inlineStr">
        <is>
          <t>Processing Unit</t>
        </is>
      </c>
      <c r="C15038" t="inlineStr">
        <is>
          <t>SCS Global Services, Emeryville, CA, US</t>
        </is>
      </c>
      <c r="D15038" t="inlineStr">
        <is>
          <t>08.09.2026</t>
        </is>
      </c>
      <c r="E15038" t="inlineStr">
        <is>
          <t>China</t>
        </is>
      </c>
    </row>
    <row r="15039">
      <c r="A15039" t="inlineStr">
        <is>
          <t>Ricupoil-olii minerali di recupero-società responsabilità limitata,  Genova, Italy</t>
        </is>
      </c>
      <c r="B15039" t="inlineStr">
        <is>
          <t>Collecting Point</t>
        </is>
      </c>
      <c r="C15039" t="inlineStr">
        <is>
          <t>RINA Services S.p.A., Genova, IT</t>
        </is>
      </c>
      <c r="D15039" t="inlineStr">
        <is>
          <t>08.09.2026</t>
        </is>
      </c>
      <c r="E15039" t="inlineStr">
        <is>
          <t>Italy</t>
        </is>
      </c>
    </row>
    <row r="15040">
      <c r="A15040" t="inlineStr">
        <is>
          <t>Sino Legend (China) Chemical Company Ltd.,  Zhangjiagang City, Jiangsu Province, China</t>
        </is>
      </c>
      <c r="B15040" t="inlineStr">
        <is>
          <t>Processing Unit</t>
        </is>
      </c>
      <c r="C15040" t="inlineStr">
        <is>
          <t>DIN CERTCO GmbH, Berlin, DE</t>
        </is>
      </c>
      <c r="D15040" t="inlineStr">
        <is>
          <t>08.09.2026</t>
        </is>
      </c>
      <c r="E15040" t="inlineStr">
        <is>
          <t>China</t>
        </is>
      </c>
    </row>
    <row r="15041">
      <c r="A15041" t="inlineStr">
        <is>
          <t>DAIREN CHEMICAL CORPORATION,  Kaohsiung City, Taiwan, Province of China</t>
        </is>
      </c>
      <c r="B15041" t="inlineStr">
        <is>
          <t>Point of Origin, Processing Unit</t>
        </is>
      </c>
      <c r="C15041" t="inlineStr">
        <is>
          <t>Bureau Veritas Polska Sp. z o.o., Warsaw, PL</t>
        </is>
      </c>
      <c r="D15041" t="inlineStr">
        <is>
          <t>08.09.2026</t>
        </is>
      </c>
      <c r="E15041" t="inlineStr">
        <is>
          <t>Province of China</t>
        </is>
      </c>
    </row>
    <row r="15042">
      <c r="A15042" t="inlineStr">
        <is>
          <t>Firestone Polymers,  Sulphur, LA, United States</t>
        </is>
      </c>
      <c r="B15042" t="inlineStr">
        <is>
          <t>Processing Unit</t>
        </is>
      </c>
      <c r="C15042" t="inlineStr">
        <is>
          <t>SCS Global Services, Emeryville, CA, US</t>
        </is>
      </c>
      <c r="D15042" t="inlineStr">
        <is>
          <t>08.09.2026</t>
        </is>
      </c>
      <c r="E15042" t="inlineStr">
        <is>
          <t>United States</t>
        </is>
      </c>
    </row>
    <row r="15043">
      <c r="A15043" t="inlineStr">
        <is>
          <t>Mandiri Sawit Bersama,  Subulussalam, Indonesia</t>
        </is>
      </c>
      <c r="B15043" t="inlineStr">
        <is>
          <t>Point of Origin</t>
        </is>
      </c>
      <c r="C15043" t="inlineStr">
        <is>
          <t>PT. Qualitas Sertifikasi Indonesia, Jakarta, ID</t>
        </is>
      </c>
      <c r="D15043" t="inlineStr">
        <is>
          <t>08.09.2026</t>
        </is>
      </c>
      <c r="E15043" t="inlineStr">
        <is>
          <t>Indonesia</t>
        </is>
      </c>
    </row>
    <row r="15044">
      <c r="A15044" t="inlineStr">
        <is>
          <t>Richardson International Limited,  Winnipeg, Manitoba, Canada</t>
        </is>
      </c>
      <c r="B15044" t="inlineStr">
        <is>
          <t>First Gathering Point</t>
        </is>
      </c>
      <c r="C15044" t="inlineStr">
        <is>
          <t>SGS Germany GmbH, Emstek, DE</t>
        </is>
      </c>
      <c r="D15044" t="inlineStr">
        <is>
          <t>07.09.2026</t>
        </is>
      </c>
      <c r="E15044" t="inlineStr">
        <is>
          <t>Canada</t>
        </is>
      </c>
    </row>
    <row r="15045">
      <c r="A15045" t="inlineStr">
        <is>
          <t>Richardson International Limited,  Winnipeg, Manitoba, Canada</t>
        </is>
      </c>
      <c r="B15045" t="inlineStr">
        <is>
          <t>First Gathering Point</t>
        </is>
      </c>
      <c r="C15045" t="inlineStr">
        <is>
          <t>SGS Germany GmbH, Emstek, DE</t>
        </is>
      </c>
      <c r="D15045" t="inlineStr">
        <is>
          <t>07.09.2026</t>
        </is>
      </c>
      <c r="E15045" t="inlineStr">
        <is>
          <t>Canada</t>
        </is>
      </c>
    </row>
    <row r="15046">
      <c r="A15046" t="inlineStr">
        <is>
          <t>Pozzoli,  Inzago, Italy</t>
        </is>
      </c>
      <c r="B15046" t="inlineStr">
        <is>
          <t>Processing Unit</t>
        </is>
      </c>
      <c r="C15046" t="inlineStr">
        <is>
          <t>Bureau Veritas Polska Sp. z o.o., Warsaw, PL</t>
        </is>
      </c>
      <c r="D15046" t="inlineStr">
        <is>
          <t>07.09.2026</t>
        </is>
      </c>
      <c r="E15046" t="inlineStr">
        <is>
          <t>Italy</t>
        </is>
      </c>
    </row>
    <row r="15047">
      <c r="A15047" t="inlineStr">
        <is>
          <t>Silgan Dispensing Systems Thomaston Corporation,  Thomaston, CT, United States</t>
        </is>
      </c>
      <c r="B15047" t="inlineStr">
        <is>
          <t>Processing Unit</t>
        </is>
      </c>
      <c r="C15047" t="inlineStr">
        <is>
          <t>SCS Global Services, Emeryville, CA, US</t>
        </is>
      </c>
      <c r="D15047" t="inlineStr">
        <is>
          <t>07.09.2026</t>
        </is>
      </c>
      <c r="E15047" t="inlineStr">
        <is>
          <t>United States</t>
        </is>
      </c>
    </row>
    <row r="15048">
      <c r="A15048" t="inlineStr">
        <is>
          <t>Youke Energy (Jiangsu) Co.,Ltd.,  Nantong, China</t>
        </is>
      </c>
      <c r="B15048" t="inlineStr">
        <is>
          <t>Collecting Point, Trader with Storage</t>
        </is>
      </c>
      <c r="C15048" t="inlineStr">
        <is>
          <t>RINA Services S.p.A., Genova, IT</t>
        </is>
      </c>
      <c r="D15048" t="inlineStr">
        <is>
          <t>07.09.2026</t>
        </is>
      </c>
      <c r="E15048" t="inlineStr">
        <is>
          <t>China</t>
        </is>
      </c>
    </row>
    <row r="15049">
      <c r="A15049" t="inlineStr">
        <is>
          <t>XIAMEN ITG PETROCHEMICAL CO.，LTD.,  Xiamen,Fujian, China</t>
        </is>
      </c>
      <c r="B15049" t="inlineStr">
        <is>
          <t>Trader</t>
        </is>
      </c>
      <c r="C15049" t="inlineStr">
        <is>
          <t>RINA Services S.p.A., Genova, IT</t>
        </is>
      </c>
      <c r="D15049" t="inlineStr">
        <is>
          <t>07.09.2026</t>
        </is>
      </c>
      <c r="E15049" t="inlineStr">
        <is>
          <t>China</t>
        </is>
      </c>
    </row>
    <row r="15050">
      <c r="A15050" t="inlineStr">
        <is>
          <t>C&amp;D (Singapore) Business PTE. LTD.,  Xiamen,Fujian, China</t>
        </is>
      </c>
      <c r="B15050" t="inlineStr">
        <is>
          <t>Trader with Storage</t>
        </is>
      </c>
      <c r="C15050" t="inlineStr">
        <is>
          <t>RINA Services S.p.A., Genova, IT</t>
        </is>
      </c>
      <c r="D15050" t="inlineStr">
        <is>
          <t>07.09.2026</t>
        </is>
      </c>
      <c r="E15050" t="inlineStr">
        <is>
          <t>China</t>
        </is>
      </c>
    </row>
    <row r="15051">
      <c r="A15051" t="inlineStr">
        <is>
          <t>ARKEMA,  BORETTO (REGGIO EMILIA), Italy</t>
        </is>
      </c>
      <c r="B15051" t="inlineStr">
        <is>
          <t>Processing Unit</t>
        </is>
      </c>
      <c r="C15051" t="inlineStr">
        <is>
          <t>DNV Business Assurance Sweden AB, Solna, SE</t>
        </is>
      </c>
      <c r="D15051" t="inlineStr">
        <is>
          <t>07.09.2026</t>
        </is>
      </c>
      <c r="E15051" t="inlineStr">
        <is>
          <t>Italy</t>
        </is>
      </c>
    </row>
    <row r="15052">
      <c r="A15052" t="inlineStr">
        <is>
          <t>MARINA MOUMOURI,  Aigio, Greece</t>
        </is>
      </c>
      <c r="B15052" t="inlineStr">
        <is>
          <t>Trader with Storage, Collecting Point</t>
        </is>
      </c>
      <c r="C15052" t="inlineStr">
        <is>
          <t>Eurocert SA, Metamorfosi, Athens, GR</t>
        </is>
      </c>
      <c r="D15052" t="inlineStr">
        <is>
          <t>07.09.2026</t>
        </is>
      </c>
      <c r="E15052" t="inlineStr">
        <is>
          <t>Greece</t>
        </is>
      </c>
    </row>
    <row r="15053">
      <c r="A15053" t="inlineStr">
        <is>
          <t>Falehco Eco Energy,  6th October City, Egypt</t>
        </is>
      </c>
      <c r="B15053" t="inlineStr">
        <is>
          <t>Trader with Storage, Collecting Point, Processing Unit</t>
        </is>
      </c>
      <c r="C15053" t="inlineStr">
        <is>
          <t>Trans Certification and Inspection Sdn Bhd, Kuantan, MY</t>
        </is>
      </c>
      <c r="D15053" t="inlineStr">
        <is>
          <t>07.09.2026</t>
        </is>
      </c>
      <c r="E15053" t="inlineStr">
        <is>
          <t>Egypt</t>
        </is>
      </c>
    </row>
    <row r="15054">
      <c r="A15054" t="inlineStr">
        <is>
          <t>Targray Europe BV,  Rotterdam, Netherlands</t>
        </is>
      </c>
      <c r="B15054" t="inlineStr">
        <is>
          <t>Trader</t>
        </is>
      </c>
      <c r="C15054" t="inlineStr">
        <is>
          <t>SGS Germany GmbH, Emstek, DE</t>
        </is>
      </c>
      <c r="D15054" t="inlineStr">
        <is>
          <t>07.09.2026</t>
        </is>
      </c>
      <c r="E15054" t="inlineStr">
        <is>
          <t>Netherlands</t>
        </is>
      </c>
    </row>
    <row r="15055">
      <c r="A15055" t="inlineStr">
        <is>
          <t>Chongqing Yaoqun Environmental Protection Technology Co.,Ltd.,  Chongqing, China</t>
        </is>
      </c>
      <c r="B15055" t="inlineStr">
        <is>
          <t>Collecting Point</t>
        </is>
      </c>
      <c r="C15055" t="inlineStr">
        <is>
          <t>RINA Services S.p.A., Genova, IT</t>
        </is>
      </c>
      <c r="D15055" t="inlineStr">
        <is>
          <t>07.09.2026</t>
        </is>
      </c>
      <c r="E15055" t="inlineStr">
        <is>
          <t>China</t>
        </is>
      </c>
    </row>
    <row r="15056">
      <c r="A15056" t="inlineStr">
        <is>
          <t>PT NIAGA DAMAI SEJAHTERA,  Jakarta barat, Indonesia</t>
        </is>
      </c>
      <c r="B15056" t="inlineStr">
        <is>
          <t>Trader with Storage</t>
        </is>
      </c>
      <c r="C15056" t="inlineStr">
        <is>
          <t>RINA Services S.p.A., Genova, IT</t>
        </is>
      </c>
      <c r="D15056" t="inlineStr">
        <is>
          <t>07.09.2026</t>
        </is>
      </c>
      <c r="E15056" t="inlineStr">
        <is>
          <t>Indonesia</t>
        </is>
      </c>
    </row>
    <row r="15057">
      <c r="A15057" t="inlineStr">
        <is>
          <t>Proampac Grimsby Limited,  Grimsby, United Kingdom</t>
        </is>
      </c>
      <c r="B15057" t="inlineStr">
        <is>
          <t>Processing Unit</t>
        </is>
      </c>
      <c r="C15057" t="inlineStr">
        <is>
          <t>SGS Germany GmbH, Emstek, DE</t>
        </is>
      </c>
      <c r="D15057" t="inlineStr">
        <is>
          <t>07.09.2026</t>
        </is>
      </c>
      <c r="E15057" t="inlineStr">
        <is>
          <t>United Kingdom</t>
        </is>
      </c>
    </row>
    <row r="15058">
      <c r="A15058" t="inlineStr">
        <is>
          <t>Agro Platform Zrt.,  Küngös, Hungary</t>
        </is>
      </c>
      <c r="B15058" t="inlineStr">
        <is>
          <t>First Gathering Point, Trader with Storage</t>
        </is>
      </c>
      <c r="C15058" t="inlineStr">
        <is>
          <t>Certificadora Gallega del Noroeste SL, Vilagarcia de Arousa-Pontevedra, ES</t>
        </is>
      </c>
      <c r="D15058" t="inlineStr">
        <is>
          <t>07.09.2026</t>
        </is>
      </c>
      <c r="E15058" t="inlineStr">
        <is>
          <t>Hungary</t>
        </is>
      </c>
    </row>
    <row r="15059">
      <c r="A15059" t="inlineStr">
        <is>
          <t>FINPROJECT INDIA PRIVATE LIMITED,  JAIPUR, India</t>
        </is>
      </c>
      <c r="B15059" t="inlineStr">
        <is>
          <t>Processing Unit</t>
        </is>
      </c>
      <c r="C15059" t="inlineStr">
        <is>
          <t>RINA Services S.p.A., Genova, IT</t>
        </is>
      </c>
      <c r="D15059" t="inlineStr">
        <is>
          <t>07.09.2026</t>
        </is>
      </c>
      <c r="E15059" t="inlineStr">
        <is>
          <t>India</t>
        </is>
      </c>
    </row>
    <row r="15060">
      <c r="A15060" t="inlineStr">
        <is>
          <t>Richardson International Limited,  Winnipeg, Manitoba, Canada</t>
        </is>
      </c>
      <c r="B15060" t="inlineStr">
        <is>
          <t>First Gathering Point</t>
        </is>
      </c>
      <c r="C15060" t="inlineStr">
        <is>
          <t>SGS Germany GmbH, Emstek, DE</t>
        </is>
      </c>
      <c r="D15060" t="inlineStr">
        <is>
          <t>07.09.2026</t>
        </is>
      </c>
      <c r="E15060" t="inlineStr">
        <is>
          <t>Canada</t>
        </is>
      </c>
    </row>
    <row r="15061">
      <c r="A15061" t="inlineStr">
        <is>
          <t>Pelsan Tekstil Urunleri San. Ve Tic. A.S,  Tekirdag, Turkey</t>
        </is>
      </c>
      <c r="B15061" t="inlineStr">
        <is>
          <t>Processing Unit</t>
        </is>
      </c>
      <c r="C15061" t="inlineStr">
        <is>
          <t>PT Intertek Utama Services, Jakarta, ID</t>
        </is>
      </c>
      <c r="D15061" t="inlineStr">
        <is>
          <t>07.09.2026</t>
        </is>
      </c>
      <c r="E15061" t="inlineStr">
        <is>
          <t>Turkey</t>
        </is>
      </c>
    </row>
    <row r="15062">
      <c r="A15062" t="inlineStr">
        <is>
          <t>Teksis Tekstil Ürünleri Pazarlama A.Ş,  Beşiktaş / Istanbul, Turkey</t>
        </is>
      </c>
      <c r="B15062" t="inlineStr">
        <is>
          <t>Trader</t>
        </is>
      </c>
      <c r="C15062" t="inlineStr">
        <is>
          <t>PT Intertek Utama Services, Jakarta, ID</t>
        </is>
      </c>
      <c r="D15062" t="inlineStr">
        <is>
          <t>07.09.2026</t>
        </is>
      </c>
      <c r="E15062" t="inlineStr">
        <is>
          <t>Turkey</t>
        </is>
      </c>
    </row>
    <row r="15063">
      <c r="A15063" t="inlineStr">
        <is>
          <t>Sioen Industries,  Ardooie, Belgium</t>
        </is>
      </c>
      <c r="B15063" t="inlineStr">
        <is>
          <t>Processing Unit</t>
        </is>
      </c>
      <c r="C15063" t="inlineStr">
        <is>
          <t>SGS Germany GmbH, Emstek, DE</t>
        </is>
      </c>
      <c r="D15063" t="inlineStr">
        <is>
          <t>07.09.2026</t>
        </is>
      </c>
      <c r="E15063" t="inlineStr">
        <is>
          <t>Belgium</t>
        </is>
      </c>
    </row>
    <row r="15064">
      <c r="A15064" t="inlineStr">
        <is>
          <t>Xiaoxian Kangdeli Grease Technology Co.,Ltd.,  Xiao County, Suzhou City, Anhui Province, China</t>
        </is>
      </c>
      <c r="B15064" t="inlineStr">
        <is>
          <t>Collecting Point</t>
        </is>
      </c>
      <c r="C15064" t="inlineStr">
        <is>
          <t>SCS Global Services, Emeryville, CA, US</t>
        </is>
      </c>
      <c r="D15064" t="inlineStr">
        <is>
          <t>07.09.2026</t>
        </is>
      </c>
      <c r="E15064" t="inlineStr">
        <is>
          <t>China</t>
        </is>
      </c>
    </row>
    <row r="15065">
      <c r="A15065" t="inlineStr">
        <is>
          <t>Yingtan Hengfeng New Material Co., Ltd.,  Yingtan, Jiangxi Province, China</t>
        </is>
      </c>
      <c r="B15065" t="inlineStr">
        <is>
          <t>Processing Unit</t>
        </is>
      </c>
      <c r="C15065" t="inlineStr">
        <is>
          <t>SCS Global Services, Emeryville, CA, US</t>
        </is>
      </c>
      <c r="D15065" t="inlineStr">
        <is>
          <t>07.09.2026</t>
        </is>
      </c>
      <c r="E15065" t="inlineStr">
        <is>
          <t>China</t>
        </is>
      </c>
    </row>
    <row r="15066">
      <c r="A15066" t="inlineStr">
        <is>
          <t>LONIGO CORP,  jinhe industrijial area, zhangmutou town dongguan, China</t>
        </is>
      </c>
      <c r="B15066" t="inlineStr">
        <is>
          <t>Trader</t>
        </is>
      </c>
      <c r="C15066" t="inlineStr">
        <is>
          <t>RINA Services S.p.A., Genova, IT</t>
        </is>
      </c>
      <c r="D15066" t="inlineStr">
        <is>
          <t>07.09.2026</t>
        </is>
      </c>
      <c r="E15066" t="inlineStr">
        <is>
          <t>China</t>
        </is>
      </c>
    </row>
    <row r="15067">
      <c r="A15067" t="inlineStr">
        <is>
          <t>Pregis,  Visalia, United States</t>
        </is>
      </c>
      <c r="B15067" t="inlineStr">
        <is>
          <t>Processing Unit</t>
        </is>
      </c>
      <c r="C15067" t="inlineStr">
        <is>
          <t>SCS Global Services, Emeryville, CA, US</t>
        </is>
      </c>
      <c r="D15067" t="inlineStr">
        <is>
          <t>07.09.2026</t>
        </is>
      </c>
      <c r="E15067" t="inlineStr">
        <is>
          <t>United States</t>
        </is>
      </c>
    </row>
    <row r="15068">
      <c r="A15068" t="inlineStr">
        <is>
          <t>Pregis,  Hopkinsville, United States</t>
        </is>
      </c>
      <c r="B15068" t="inlineStr">
        <is>
          <t>Processing Unit</t>
        </is>
      </c>
      <c r="C15068" t="inlineStr">
        <is>
          <t>SCS Global Services, Emeryville, CA, US</t>
        </is>
      </c>
      <c r="D15068" t="inlineStr">
        <is>
          <t>07.09.2026</t>
        </is>
      </c>
      <c r="E15068" t="inlineStr">
        <is>
          <t>United States</t>
        </is>
      </c>
    </row>
    <row r="15069">
      <c r="A15069" t="inlineStr">
        <is>
          <t>Evans Lestari,  Musi Rawas, Indonesia</t>
        </is>
      </c>
      <c r="B15069" t="inlineStr">
        <is>
          <t>First Gathering Point, Processing Unit</t>
        </is>
      </c>
      <c r="C15069" t="inlineStr">
        <is>
          <t>ASG Cert GmbH, Munich, DE</t>
        </is>
      </c>
      <c r="D15069" t="inlineStr">
        <is>
          <t>07.09.2026</t>
        </is>
      </c>
      <c r="E15069" t="inlineStr">
        <is>
          <t>Indonesia</t>
        </is>
      </c>
    </row>
    <row r="15070">
      <c r="A15070" t="inlineStr">
        <is>
          <t>Zhengzhou Jinshan Chemical Co., Ltd,  Zhengzhou City, Henan Province, China</t>
        </is>
      </c>
      <c r="B15070" t="inlineStr">
        <is>
          <t>Processing Unit</t>
        </is>
      </c>
      <c r="C15070" t="inlineStr">
        <is>
          <t>SCS Global Services, Emeryville, CA, US</t>
        </is>
      </c>
      <c r="D15070" t="inlineStr">
        <is>
          <t>07.09.2026</t>
        </is>
      </c>
      <c r="E15070" t="inlineStr">
        <is>
          <t>China</t>
        </is>
      </c>
    </row>
    <row r="15071">
      <c r="A15071" t="inlineStr">
        <is>
          <t>CITSALP,  Rubí (España), Spain</t>
        </is>
      </c>
      <c r="B15071" t="inlineStr">
        <is>
          <t>Collecting Point, Trader with Storage, Processing Unit</t>
        </is>
      </c>
      <c r="C15071" t="inlineStr">
        <is>
          <t>DEKRA Certification GmbH, Stuttgart, DE</t>
        </is>
      </c>
      <c r="D15071" t="inlineStr">
        <is>
          <t>07.09.2026</t>
        </is>
      </c>
      <c r="E15071" t="inlineStr">
        <is>
          <t>Spain</t>
        </is>
      </c>
    </row>
    <row r="15072">
      <c r="A15072" t="inlineStr">
        <is>
          <t>Orinso N.V.,  Antwerpen, Belgium</t>
        </is>
      </c>
      <c r="B15072" t="inlineStr">
        <is>
          <t>Collecting Point, Trader with Storage</t>
        </is>
      </c>
      <c r="C15072" t="inlineStr">
        <is>
          <t>DEKRA Certification B.V., Arnhem, NL</t>
        </is>
      </c>
      <c r="D15072" t="inlineStr">
        <is>
          <t>07.09.2026</t>
        </is>
      </c>
      <c r="E15072" t="inlineStr">
        <is>
          <t>Belgium</t>
        </is>
      </c>
    </row>
    <row r="15073">
      <c r="A15073" t="inlineStr">
        <is>
          <t>Chant Oil Co., Ltd.,  Xianxi Township, Changhua County, Taiwan</t>
        </is>
      </c>
      <c r="B15073" t="inlineStr">
        <is>
          <t>Processing Unit, Collecting Point, Trader with Storage</t>
        </is>
      </c>
      <c r="C15073" t="inlineStr">
        <is>
          <t>Control Union Certifications Germany GmbH, Berlin, DE</t>
        </is>
      </c>
      <c r="D15073" t="inlineStr">
        <is>
          <t>07.09.2026</t>
        </is>
      </c>
      <c r="E15073" t="inlineStr">
        <is>
          <t>Taiwan</t>
        </is>
      </c>
    </row>
    <row r="15074">
      <c r="A15074" t="inlineStr">
        <is>
          <t>SYNERGY PORTAL SDN. BHD.,  SHAH ALAM, Malaysia</t>
        </is>
      </c>
      <c r="B15074" t="inlineStr">
        <is>
          <t>Trader with Storage, Collecting Point</t>
        </is>
      </c>
      <c r="C15074" t="inlineStr">
        <is>
          <t>PT SBC Asia Sertifikasi, Kebumen, ID</t>
        </is>
      </c>
      <c r="D15074" t="inlineStr">
        <is>
          <t>07.09.2026</t>
        </is>
      </c>
      <c r="E15074" t="inlineStr">
        <is>
          <t>Malaysia</t>
        </is>
      </c>
    </row>
    <row r="15075">
      <c r="A15075" t="inlineStr">
        <is>
          <t>Krnjak d.o.o.,  Donji Miholjac, Croatia</t>
        </is>
      </c>
      <c r="B15075" t="inlineStr">
        <is>
          <t>First Gathering Point, Farm / Plantation, Trader with Storage</t>
        </is>
      </c>
      <c r="C15075" t="inlineStr">
        <is>
          <t>Bureau Veritas Polska Sp. z o.o., Warsaw, PL</t>
        </is>
      </c>
      <c r="D15075" t="inlineStr">
        <is>
          <t>07.09.2026</t>
        </is>
      </c>
      <c r="E15075" t="inlineStr">
        <is>
          <t>Croatia</t>
        </is>
      </c>
    </row>
    <row r="15076">
      <c r="A15076" t="inlineStr">
        <is>
          <t>EcoOils Sdn Bhd,  Jalan Tengah Nipah, Lahad Datu,, Malaysia</t>
        </is>
      </c>
      <c r="B15076" t="inlineStr">
        <is>
          <t>Trader with Storage, Processing Unit</t>
        </is>
      </c>
      <c r="C15076" t="inlineStr">
        <is>
          <t>Control Union Certifications Germany GmbH, Berlin, DE</t>
        </is>
      </c>
      <c r="D15076" t="inlineStr">
        <is>
          <t>07.09.2026</t>
        </is>
      </c>
      <c r="E15076" t="inlineStr">
        <is>
          <t>Malaysia</t>
        </is>
      </c>
    </row>
    <row r="15077">
      <c r="A15077" t="inlineStr">
        <is>
          <t>BASF Chemicals Company Limited (BACH),  Shanghai Chemical Industrial Park, Shanghai, China</t>
        </is>
      </c>
      <c r="B15077" t="inlineStr">
        <is>
          <t>Collecting Point, Processing Unit</t>
        </is>
      </c>
      <c r="C15077" t="inlineStr">
        <is>
          <t>DIN CERTCO GmbH, Berlin, DE</t>
        </is>
      </c>
      <c r="D15077" t="inlineStr">
        <is>
          <t>07.09.2026</t>
        </is>
      </c>
      <c r="E15077" t="inlineStr">
        <is>
          <t>China</t>
        </is>
      </c>
    </row>
    <row r="15078">
      <c r="A15078" t="inlineStr">
        <is>
          <t>C.O.U.S.A.,  Montevideo, Uruguay</t>
        </is>
      </c>
      <c r="B15078" t="inlineStr">
        <is>
          <t>Processing Unit, Point of Origin</t>
        </is>
      </c>
      <c r="C15078" t="inlineStr">
        <is>
          <t>Control Union Certifications Germany GmbH, Berlin, DE</t>
        </is>
      </c>
      <c r="D15078" t="inlineStr">
        <is>
          <t>07.09.2026</t>
        </is>
      </c>
      <c r="E15078" t="inlineStr">
        <is>
          <t>Uruguay</t>
        </is>
      </c>
    </row>
    <row r="15079">
      <c r="A15079" t="inlineStr">
        <is>
          <t>Chant Oil Co., Ltd.,  Xianxi Township, Changhua County, Taiwan</t>
        </is>
      </c>
      <c r="B15079" t="inlineStr">
        <is>
          <t>Point of Origin, Processing Unit, Trader with Storage, Collecting Point</t>
        </is>
      </c>
      <c r="C15079" t="inlineStr">
        <is>
          <t>Control Union Certifications Germany GmbH, Berlin, DE</t>
        </is>
      </c>
      <c r="D15079" t="inlineStr">
        <is>
          <t>07.09.2026</t>
        </is>
      </c>
      <c r="E15079" t="inlineStr">
        <is>
          <t>Taiwan</t>
        </is>
      </c>
    </row>
    <row r="15080">
      <c r="A15080" t="inlineStr">
        <is>
          <t>Farmers Cooperative Association,  Varna, IL, United States</t>
        </is>
      </c>
      <c r="B15080" t="inlineStr">
        <is>
          <t>First Gathering Point</t>
        </is>
      </c>
      <c r="C15080" t="inlineStr">
        <is>
          <t>Control Union Certifications Germany GmbH, Berlin, DE</t>
        </is>
      </c>
      <c r="D15080" t="inlineStr">
        <is>
          <t>07.09.2026</t>
        </is>
      </c>
      <c r="E15080" t="inlineStr">
        <is>
          <t>United States</t>
        </is>
      </c>
    </row>
    <row r="15081">
      <c r="A15081" t="inlineStr">
        <is>
          <t>Farmers Cooperative Association,  Varna, IL, United States</t>
        </is>
      </c>
      <c r="B15081" t="inlineStr">
        <is>
          <t>First Gathering Point</t>
        </is>
      </c>
      <c r="C15081" t="inlineStr">
        <is>
          <t>Control Union Certifications Germany GmbH, Berlin, DE</t>
        </is>
      </c>
      <c r="D15081" t="inlineStr">
        <is>
          <t>07.09.2026</t>
        </is>
      </c>
      <c r="E15081" t="inlineStr">
        <is>
          <t>United States</t>
        </is>
      </c>
    </row>
    <row r="15082">
      <c r="A15082" t="inlineStr">
        <is>
          <t>Shandong Henghe Comprehensive Resources Utilization Co., Ltd.,  Binzhou City, Shandong Province, China</t>
        </is>
      </c>
      <c r="B15082" t="inlineStr">
        <is>
          <t>Collecting Point, Point of Origin, Trader with Storage</t>
        </is>
      </c>
      <c r="C15082" t="inlineStr">
        <is>
          <t>SCS Global Services, Emeryville, CA, US</t>
        </is>
      </c>
      <c r="D15082" t="inlineStr">
        <is>
          <t>07.09.2026</t>
        </is>
      </c>
      <c r="E15082" t="inlineStr">
        <is>
          <t>China</t>
        </is>
      </c>
    </row>
    <row r="15083">
      <c r="A15083" t="inlineStr">
        <is>
          <t>Ningbo Lisi Import and Export Co., Ltd.,  Ningbo, Zhejiang Province, China</t>
        </is>
      </c>
      <c r="B15083" t="inlineStr">
        <is>
          <t>Trader</t>
        </is>
      </c>
      <c r="C15083" t="inlineStr">
        <is>
          <t>TÜV NORD CERT GmbH, Essen, DE</t>
        </is>
      </c>
      <c r="D15083" t="inlineStr">
        <is>
          <t>07.09.2026</t>
        </is>
      </c>
      <c r="E15083" t="inlineStr">
        <is>
          <t>China</t>
        </is>
      </c>
    </row>
    <row r="15084">
      <c r="A15084" t="inlineStr">
        <is>
          <t>Asahi Kasei Plastics Singapore Pte Ltd,  Jurong Island, Singapore</t>
        </is>
      </c>
      <c r="B15084" t="inlineStr">
        <is>
          <t>Trader with Storage, Processing Unit</t>
        </is>
      </c>
      <c r="C15084" t="inlineStr">
        <is>
          <t>Control Union Certifications Germany GmbH, Berlin, DE</t>
        </is>
      </c>
      <c r="D15084" t="inlineStr">
        <is>
          <t>06.09.2026</t>
        </is>
      </c>
      <c r="E15084" t="inlineStr">
        <is>
          <t>Singapore</t>
        </is>
      </c>
    </row>
    <row r="15085">
      <c r="A15085" t="inlineStr">
        <is>
          <t>SC ARTEMA PLAST S.R.L.,  Boldești-Scăieni, Romania</t>
        </is>
      </c>
      <c r="B15085" t="inlineStr">
        <is>
          <t>Final Product Refinement</t>
        </is>
      </c>
      <c r="C15085" t="inlineStr">
        <is>
          <t>Bureau Veritas Polska Sp. z o.o., Warsaw, PL</t>
        </is>
      </c>
      <c r="D15085" t="inlineStr">
        <is>
          <t>06.09.2026</t>
        </is>
      </c>
      <c r="E15085" t="inlineStr">
        <is>
          <t>Romania</t>
        </is>
      </c>
    </row>
    <row r="15086">
      <c r="A15086" t="inlineStr">
        <is>
          <t>Intercontinental Specialty Fats Sdn Bhd,  Pelabuhan Klang, Malaysia</t>
        </is>
      </c>
      <c r="B15086" t="inlineStr">
        <is>
          <t>Point of Origin</t>
        </is>
      </c>
      <c r="C15086" t="inlineStr">
        <is>
          <t>Control Union Certifications Germany GmbH, Berlin, DE</t>
        </is>
      </c>
      <c r="D15086" t="inlineStr">
        <is>
          <t>06.09.2026</t>
        </is>
      </c>
      <c r="E15086" t="inlineStr">
        <is>
          <t>Malaysia</t>
        </is>
      </c>
    </row>
    <row r="15087">
      <c r="A15087" t="inlineStr">
        <is>
          <t>C.T.C.,  ghivizzano, Italy</t>
        </is>
      </c>
      <c r="B15087" t="inlineStr">
        <is>
          <t>Final Product Refinement</t>
        </is>
      </c>
      <c r="C15087" t="inlineStr">
        <is>
          <t>ICIM SpA, sesto san giovanni, IT</t>
        </is>
      </c>
      <c r="D15087" t="inlineStr">
        <is>
          <t>06.09.2026</t>
        </is>
      </c>
      <c r="E15087" t="inlineStr">
        <is>
          <t>Italy</t>
        </is>
      </c>
    </row>
    <row r="15088">
      <c r="A15088" t="inlineStr">
        <is>
          <t>QUATRA OIL IBERIA SL,  Esparreguera, Spain</t>
        </is>
      </c>
      <c r="B15088" t="inlineStr">
        <is>
          <t>Collecting Point, Trader with Storage</t>
        </is>
      </c>
      <c r="C15088" t="inlineStr">
        <is>
          <t>Control Union Poland Sp. z o.o., Zielona Gora, PL</t>
        </is>
      </c>
      <c r="D15088" t="inlineStr">
        <is>
          <t>06.09.2026</t>
        </is>
      </c>
      <c r="E15088" t="inlineStr">
        <is>
          <t>Spain</t>
        </is>
      </c>
    </row>
    <row r="15089">
      <c r="A15089" t="inlineStr">
        <is>
          <t>PT Trinseo Materials Indonesia,  Cilegon, Indonesia</t>
        </is>
      </c>
      <c r="B15089" t="inlineStr">
        <is>
          <t>Processing Unit</t>
        </is>
      </c>
      <c r="C15089" t="inlineStr">
        <is>
          <t>SGS Germany GmbH, Emstek, DE</t>
        </is>
      </c>
      <c r="D15089" t="inlineStr">
        <is>
          <t>06.09.2026</t>
        </is>
      </c>
      <c r="E15089" t="inlineStr">
        <is>
          <t>Indonesia</t>
        </is>
      </c>
    </row>
    <row r="15090">
      <c r="A15090" t="inlineStr">
        <is>
          <t>Jysk Energi A/S,  Holstebro, Denmark</t>
        </is>
      </c>
      <c r="B15090" t="inlineStr">
        <is>
          <t>Trader</t>
        </is>
      </c>
      <c r="C15090" t="inlineStr">
        <is>
          <t>Baltic Control Certification, Risskov, DK</t>
        </is>
      </c>
      <c r="D15090" t="inlineStr">
        <is>
          <t>06.09.2026</t>
        </is>
      </c>
      <c r="E15090" t="inlineStr">
        <is>
          <t>Denmark</t>
        </is>
      </c>
    </row>
    <row r="15091">
      <c r="A15091" t="inlineStr">
        <is>
          <t>Valero Energy Ltd,  Rhoscrowther, Pembroke, Pembrokeshire, United Kingdom</t>
        </is>
      </c>
      <c r="B15091" t="inlineStr">
        <is>
          <t>Processing Unit</t>
        </is>
      </c>
      <c r="C15091" t="inlineStr">
        <is>
          <t>PT Intertek Utama Services, Jakarta, ID</t>
        </is>
      </c>
      <c r="D15091" t="inlineStr">
        <is>
          <t>06.09.2026</t>
        </is>
      </c>
      <c r="E15091" t="inlineStr">
        <is>
          <t>United Kingdom</t>
        </is>
      </c>
    </row>
    <row r="15092">
      <c r="A15092" t="inlineStr">
        <is>
          <t>Shell Energy Deutschland GmbH,  Hamburg, Germany</t>
        </is>
      </c>
      <c r="B15092" t="inlineStr">
        <is>
          <t>Trader</t>
        </is>
      </c>
      <c r="C15092" t="inlineStr">
        <is>
          <t>DEKRA Certification B.V., Arnhem, NL</t>
        </is>
      </c>
      <c r="D15092" t="inlineStr">
        <is>
          <t>06.09.2026</t>
        </is>
      </c>
      <c r="E15092" t="inlineStr">
        <is>
          <t>Germany</t>
        </is>
      </c>
    </row>
    <row r="15093">
      <c r="A15093" t="inlineStr">
        <is>
          <t>Kilang Kelapa Sawit Jerantut,  Jerantut, Malaysia</t>
        </is>
      </c>
      <c r="B15093" t="inlineStr">
        <is>
          <t>Point of Origin</t>
        </is>
      </c>
      <c r="C15093" t="inlineStr">
        <is>
          <t>Control Union Certifications Germany GmbH, Berlin, DE</t>
        </is>
      </c>
      <c r="D15093" t="inlineStr">
        <is>
          <t>06.09.2026</t>
        </is>
      </c>
      <c r="E15093" t="inlineStr">
        <is>
          <t>Malaysia</t>
        </is>
      </c>
    </row>
    <row r="15094">
      <c r="A15094" t="inlineStr">
        <is>
          <t>Bf Agricola srl - Società Agricola,  Cortona, Italy</t>
        </is>
      </c>
      <c r="B15094" t="inlineStr">
        <is>
          <t>Farm / Plantation</t>
        </is>
      </c>
      <c r="C15094" t="inlineStr">
        <is>
          <t>DNV Business Assurance Sweden AB, Solna, SE</t>
        </is>
      </c>
      <c r="D15094" t="inlineStr">
        <is>
          <t>06.09.2026</t>
        </is>
      </c>
      <c r="E15094" t="inlineStr">
        <is>
          <t>Italy</t>
        </is>
      </c>
    </row>
    <row r="15095">
      <c r="A15095" t="inlineStr">
        <is>
          <t>IES Italiana Energia e Servizi S.p.A.,  Mantova, Italy</t>
        </is>
      </c>
      <c r="B15095" t="inlineStr">
        <is>
          <t>Trader with Storage</t>
        </is>
      </c>
      <c r="C15095" t="inlineStr">
        <is>
          <t>SGS Germany GmbH, Emstek, DE</t>
        </is>
      </c>
      <c r="D15095" t="inlineStr">
        <is>
          <t>06.09.2026</t>
        </is>
      </c>
      <c r="E15095" t="inlineStr">
        <is>
          <t>Italy</t>
        </is>
      </c>
    </row>
    <row r="15096">
      <c r="A15096" t="inlineStr">
        <is>
          <t>Bionexo,  Montevideo, Uruguay</t>
        </is>
      </c>
      <c r="B15096" t="inlineStr">
        <is>
          <t>Collecting Point, Trader with Storage</t>
        </is>
      </c>
      <c r="C15096" t="inlineStr">
        <is>
          <t>Control Union Certifications Germany GmbH, Berlin, DE</t>
        </is>
      </c>
      <c r="D15096" t="inlineStr">
        <is>
          <t>06.09.2026</t>
        </is>
      </c>
      <c r="E15096" t="inlineStr">
        <is>
          <t>Uruguay</t>
        </is>
      </c>
    </row>
    <row r="15097">
      <c r="A15097" t="inlineStr">
        <is>
          <t>Toray Plastics (America), Inc.,  Front Royal, Virginia, United States</t>
        </is>
      </c>
      <c r="B15097" t="inlineStr">
        <is>
          <t>Processing Unit, Warehouse</t>
        </is>
      </c>
      <c r="C15097" t="inlineStr">
        <is>
          <t>SGS Germany GmbH, Emstek, DE</t>
        </is>
      </c>
      <c r="D15097" t="inlineStr">
        <is>
          <t>06.09.2026</t>
        </is>
      </c>
      <c r="E15097" t="inlineStr">
        <is>
          <t>United States</t>
        </is>
      </c>
    </row>
    <row r="15098">
      <c r="A15098" t="inlineStr">
        <is>
          <t>BIOCAR S. A.,  Ciudad de Panamá, Panama</t>
        </is>
      </c>
      <c r="B15098" t="inlineStr">
        <is>
          <t>Collecting Point</t>
        </is>
      </c>
      <c r="C15098" t="inlineStr">
        <is>
          <t>Certificadora Gallega del Noroeste SL, Vilagarcia de Arousa-Pontevedra, ES</t>
        </is>
      </c>
      <c r="D15098" t="inlineStr">
        <is>
          <t>05.09.2026</t>
        </is>
      </c>
      <c r="E15098" t="inlineStr">
        <is>
          <t>Panama</t>
        </is>
      </c>
    </row>
    <row r="15099">
      <c r="A15099" t="inlineStr">
        <is>
          <t>Masader for Industry and Investment,  Alexandria, Merghem, Egypt</t>
        </is>
      </c>
      <c r="B15099" t="inlineStr">
        <is>
          <t>Collecting Point, Trader with Storage, Processing Unit, Point of Origin</t>
        </is>
      </c>
      <c r="C15099" t="inlineStr">
        <is>
          <t>Trans Certification and Inspection Sdn Bhd, Kuantan, MY</t>
        </is>
      </c>
      <c r="D15099" t="inlineStr">
        <is>
          <t>05.09.2026</t>
        </is>
      </c>
      <c r="E15099" t="inlineStr">
        <is>
          <t>Egypt</t>
        </is>
      </c>
    </row>
    <row r="15100">
      <c r="A15100" t="inlineStr">
        <is>
          <t>Salmoiraghi srl,  Cuvio (VA), Italy</t>
        </is>
      </c>
      <c r="B15100" t="inlineStr">
        <is>
          <t>Collecting Point, Trader with Storage, Processing Unit</t>
        </is>
      </c>
      <c r="C15100" t="inlineStr">
        <is>
          <t>ICIM SpA, sesto san giovanni, IT</t>
        </is>
      </c>
      <c r="D15100" t="inlineStr">
        <is>
          <t>05.09.2026</t>
        </is>
      </c>
      <c r="E15100" t="inlineStr">
        <is>
          <t>Italy</t>
        </is>
      </c>
    </row>
    <row r="15101">
      <c r="A15101" t="inlineStr">
        <is>
          <t>TRANS-TEC INTERNATIONAL,  San Jose, Costa Rica</t>
        </is>
      </c>
      <c r="B15101" t="inlineStr">
        <is>
          <t>Trader</t>
        </is>
      </c>
      <c r="C15101" t="inlineStr">
        <is>
          <t>Control Union Certifications Germany GmbH, Berlin, DE</t>
        </is>
      </c>
      <c r="D15101" t="inlineStr">
        <is>
          <t>05.09.2026</t>
        </is>
      </c>
      <c r="E15101" t="inlineStr">
        <is>
          <t>Costa Rica</t>
        </is>
      </c>
    </row>
    <row r="15102">
      <c r="A15102" t="inlineStr">
        <is>
          <t>TRANS-TEC INTERNATIONAL,  San Jose, Costa Rica</t>
        </is>
      </c>
      <c r="B15102" t="inlineStr">
        <is>
          <t>Trader</t>
        </is>
      </c>
      <c r="C15102" t="inlineStr">
        <is>
          <t>Control Union Certifications Germany GmbH, Berlin, DE</t>
        </is>
      </c>
      <c r="D15102" t="inlineStr">
        <is>
          <t>05.09.2026</t>
        </is>
      </c>
      <c r="E15102" t="inlineStr">
        <is>
          <t>Costa Rica</t>
        </is>
      </c>
    </row>
    <row r="15103">
      <c r="A15103" t="inlineStr">
        <is>
          <t>VEKA AG,  Sendenhorst, Germany</t>
        </is>
      </c>
      <c r="B15103" t="inlineStr">
        <is>
          <t>Processing Unit, Trader with Storage</t>
        </is>
      </c>
      <c r="C15103" t="inlineStr">
        <is>
          <t>SGS Germany GmbH, Emstek, DE</t>
        </is>
      </c>
      <c r="D15103" t="inlineStr">
        <is>
          <t>05.09.2026</t>
        </is>
      </c>
      <c r="E15103" t="inlineStr">
        <is>
          <t>Germany</t>
        </is>
      </c>
    </row>
    <row r="15104">
      <c r="A15104" t="inlineStr">
        <is>
          <t>STIRILAB,  Ružomberok, Slovakia</t>
        </is>
      </c>
      <c r="B15104" t="inlineStr">
        <is>
          <t>Processing Unit</t>
        </is>
      </c>
      <c r="C15104" t="inlineStr">
        <is>
          <t>SGS Germany GmbH, Emstek, DE</t>
        </is>
      </c>
      <c r="D15104" t="inlineStr">
        <is>
          <t>05.09.2026</t>
        </is>
      </c>
      <c r="E15104" t="inlineStr">
        <is>
          <t>Slovakia</t>
        </is>
      </c>
    </row>
    <row r="15105">
      <c r="A15105" t="inlineStr">
        <is>
          <t>Palm-Oleo Sdn Bhd,  Rawang, Malaysia</t>
        </is>
      </c>
      <c r="B15105" t="inlineStr">
        <is>
          <t>Point of Origin</t>
        </is>
      </c>
      <c r="C15105" t="inlineStr">
        <is>
          <t>PT Intertek Utama Services, Jakarta, ID</t>
        </is>
      </c>
      <c r="D15105" t="inlineStr">
        <is>
          <t>05.09.2026</t>
        </is>
      </c>
      <c r="E15105" t="inlineStr">
        <is>
          <t>Malaysia</t>
        </is>
      </c>
    </row>
    <row r="15106">
      <c r="A15106" t="inlineStr">
        <is>
          <t>VG Bio BV,  Heibloem, Netherlands</t>
        </is>
      </c>
      <c r="B15106" t="inlineStr">
        <is>
          <t>Trader with Storage, Collecting Point, Processing Unit</t>
        </is>
      </c>
      <c r="C15106" t="inlineStr">
        <is>
          <t>DEKRA Certification B.V., Arnhem, NL</t>
        </is>
      </c>
      <c r="D15106" t="inlineStr">
        <is>
          <t>05.09.2026</t>
        </is>
      </c>
      <c r="E15106" t="inlineStr">
        <is>
          <t>Netherlands</t>
        </is>
      </c>
    </row>
    <row r="15107">
      <c r="A15107" t="inlineStr">
        <is>
          <t>PT. Cisadane Sawit Raya Tbk,  Labuhanbatu, Indonesia</t>
        </is>
      </c>
      <c r="B15107" t="inlineStr">
        <is>
          <t>Point of Origin</t>
        </is>
      </c>
      <c r="C15107" t="inlineStr">
        <is>
          <t>PT. Qualitas Sertifikasi Indonesia, Jakarta, ID</t>
        </is>
      </c>
      <c r="D15107" t="inlineStr">
        <is>
          <t>05.09.2026</t>
        </is>
      </c>
      <c r="E15107" t="inlineStr">
        <is>
          <t>Indonesia</t>
        </is>
      </c>
    </row>
    <row r="15108">
      <c r="A15108" t="inlineStr">
        <is>
          <t>View Sino Oil Pte Ltd.,  Beijing, China</t>
        </is>
      </c>
      <c r="B15108" t="inlineStr">
        <is>
          <t>Trader</t>
        </is>
      </c>
      <c r="C15108" t="inlineStr">
        <is>
          <t>SCS Global Services, Emeryville, CA, US</t>
        </is>
      </c>
      <c r="D15108" t="inlineStr">
        <is>
          <t>05.09.2026</t>
        </is>
      </c>
      <c r="E15108" t="inlineStr">
        <is>
          <t>China</t>
        </is>
      </c>
    </row>
    <row r="15109">
      <c r="A15109" t="inlineStr">
        <is>
          <t>BASELL ASIA PACIFIC LIMITED,  32/F Dorset House, Taikoo Place, Quarry Bay, Hong Kong</t>
        </is>
      </c>
      <c r="B15109" t="inlineStr">
        <is>
          <t>Trader with Storage</t>
        </is>
      </c>
      <c r="C15109" t="inlineStr">
        <is>
          <t>TÜV SÜD Industrie Service GmbH, München, DE</t>
        </is>
      </c>
      <c r="D15109" t="inlineStr">
        <is>
          <t>05.09.2026</t>
        </is>
      </c>
      <c r="E15109" t="inlineStr">
        <is>
          <t>Hong Kong</t>
        </is>
      </c>
    </row>
    <row r="15110">
      <c r="A15110" t="inlineStr">
        <is>
          <t>PT. Inti Indosawit Subur,  Jakarta Pusat, Indonesia</t>
        </is>
      </c>
      <c r="B15110" t="inlineStr">
        <is>
          <t>Logistics Center</t>
        </is>
      </c>
      <c r="C15110" t="inlineStr">
        <is>
          <t>SGS Germany GmbH, Emstek, DE</t>
        </is>
      </c>
      <c r="D15110" t="inlineStr">
        <is>
          <t>05.09.2026</t>
        </is>
      </c>
      <c r="E15110" t="inlineStr">
        <is>
          <t>Indonesia</t>
        </is>
      </c>
    </row>
    <row r="15111">
      <c r="A15111" t="inlineStr">
        <is>
          <t>Molinos Overseas Commodities S.A.,  Montevideo, Uruguay</t>
        </is>
      </c>
      <c r="B15111" t="inlineStr">
        <is>
          <t>Trader</t>
        </is>
      </c>
      <c r="C15111" t="inlineStr">
        <is>
          <t>Control Union Certifications Germany GmbH, Berlin, DE</t>
        </is>
      </c>
      <c r="D15111" t="inlineStr">
        <is>
          <t>05.09.2026</t>
        </is>
      </c>
      <c r="E15111" t="inlineStr">
        <is>
          <t>Uruguay</t>
        </is>
      </c>
    </row>
    <row r="15112">
      <c r="A15112" t="inlineStr">
        <is>
          <t>Marcor Stevedoring BV,  Rotterdam, Netherlands</t>
        </is>
      </c>
      <c r="B15112" t="inlineStr">
        <is>
          <t>Logistics Center</t>
        </is>
      </c>
      <c r="C15112" t="inlineStr">
        <is>
          <t>Control Union Certifications Germany GmbH, Berlin, DE</t>
        </is>
      </c>
      <c r="D15112" t="inlineStr">
        <is>
          <t>05.09.2026</t>
        </is>
      </c>
      <c r="E15112" t="inlineStr">
        <is>
          <t>Netherlands</t>
        </is>
      </c>
    </row>
    <row r="15113">
      <c r="A15113" t="inlineStr">
        <is>
          <t>Saga City,  Saga city, Japan</t>
        </is>
      </c>
      <c r="B15113" t="inlineStr">
        <is>
          <t>Processing Unit, Point of Origin</t>
        </is>
      </c>
      <c r="C15113" t="inlineStr">
        <is>
          <t>Control Union Certifications Germany GmbH, Berlin, DE</t>
        </is>
      </c>
      <c r="D15113" t="inlineStr">
        <is>
          <t>05.09.2026</t>
        </is>
      </c>
      <c r="E15113" t="inlineStr">
        <is>
          <t>Japan</t>
        </is>
      </c>
    </row>
    <row r="15114">
      <c r="A15114" t="inlineStr">
        <is>
          <t>Sahara Energy International Pte Ltd,  Singapore, Singapore</t>
        </is>
      </c>
      <c r="B15114" t="inlineStr">
        <is>
          <t>Trader</t>
        </is>
      </c>
      <c r="C15114" t="inlineStr">
        <is>
          <t>Control Union Certifications Germany GmbH, Berlin, DE</t>
        </is>
      </c>
      <c r="D15114" t="inlineStr">
        <is>
          <t>05.09.2026</t>
        </is>
      </c>
      <c r="E15114" t="inlineStr">
        <is>
          <t>Singapore</t>
        </is>
      </c>
    </row>
    <row r="15115">
      <c r="A15115" t="inlineStr">
        <is>
          <t>Sahara Energy International Pte Ltd,  Singapore, Singapore</t>
        </is>
      </c>
      <c r="B15115" t="inlineStr">
        <is>
          <t>Trader</t>
        </is>
      </c>
      <c r="C15115" t="inlineStr">
        <is>
          <t>Control Union Certifications Germany GmbH, Berlin, DE</t>
        </is>
      </c>
      <c r="D15115" t="inlineStr">
        <is>
          <t>05.09.2026</t>
        </is>
      </c>
      <c r="E15115" t="inlineStr">
        <is>
          <t>Singapore</t>
        </is>
      </c>
    </row>
    <row r="15116">
      <c r="A15116" t="inlineStr">
        <is>
          <t>Ukivo,  Odessa (Ukraine), Ukraine</t>
        </is>
      </c>
      <c r="B15116" t="inlineStr">
        <is>
          <t>Collecting Point, Trader with Storage, Processing Unit</t>
        </is>
      </c>
      <c r="C15116" t="inlineStr">
        <is>
          <t>RINA Services S.p.A., Genova, IT</t>
        </is>
      </c>
      <c r="D15116" t="inlineStr">
        <is>
          <t>05.09.2026</t>
        </is>
      </c>
      <c r="E15116" t="inlineStr">
        <is>
          <t>Ukraine</t>
        </is>
      </c>
    </row>
    <row r="15117">
      <c r="A15117" t="inlineStr">
        <is>
          <t>Ascend Performance Materials,  Decatur, United States</t>
        </is>
      </c>
      <c r="B15117" t="inlineStr">
        <is>
          <t>Processing Unit</t>
        </is>
      </c>
      <c r="C15117" t="inlineStr">
        <is>
          <t>SCS Global Services, Emeryville, CA, US</t>
        </is>
      </c>
      <c r="D15117" t="inlineStr">
        <is>
          <t>05.09.2026</t>
        </is>
      </c>
      <c r="E15117" t="inlineStr">
        <is>
          <t>United States</t>
        </is>
      </c>
    </row>
    <row r="15118">
      <c r="A15118" t="inlineStr">
        <is>
          <t>Ascend Performance Materials,  Alvin, United States</t>
        </is>
      </c>
      <c r="B15118" t="inlineStr">
        <is>
          <t>Processing Unit</t>
        </is>
      </c>
      <c r="C15118" t="inlineStr">
        <is>
          <t>SCS Global Services, Emeryville, CA, US</t>
        </is>
      </c>
      <c r="D15118" t="inlineStr">
        <is>
          <t>05.09.2026</t>
        </is>
      </c>
      <c r="E15118" t="inlineStr">
        <is>
          <t>United States</t>
        </is>
      </c>
    </row>
    <row r="15119">
      <c r="A15119" t="inlineStr">
        <is>
          <t>Ascend Performance Materials,  Cantonment, United States</t>
        </is>
      </c>
      <c r="B15119" t="inlineStr">
        <is>
          <t>Processing Unit</t>
        </is>
      </c>
      <c r="C15119" t="inlineStr">
        <is>
          <t>SCS Global Services, Emeryville, CA, US</t>
        </is>
      </c>
      <c r="D15119" t="inlineStr">
        <is>
          <t>05.09.2026</t>
        </is>
      </c>
      <c r="E15119" t="inlineStr">
        <is>
          <t>United States</t>
        </is>
      </c>
    </row>
    <row r="15120">
      <c r="A15120" t="inlineStr">
        <is>
          <t>Future Energy Global,  Dublin, Ireland</t>
        </is>
      </c>
      <c r="B15120" t="inlineStr">
        <is>
          <t>Trader, Proof of Compliance Trader</t>
        </is>
      </c>
      <c r="C15120" t="inlineStr">
        <is>
          <t>SCS Global Services, Emeryville, CA, US</t>
        </is>
      </c>
      <c r="D15120" t="inlineStr">
        <is>
          <t>05.09.2026</t>
        </is>
      </c>
      <c r="E15120" t="inlineStr">
        <is>
          <t>Ireland</t>
        </is>
      </c>
    </row>
    <row r="15121">
      <c r="A15121" t="inlineStr">
        <is>
          <t>Future Energy Global,  Dublin, Ireland</t>
        </is>
      </c>
      <c r="B15121" t="inlineStr">
        <is>
          <t>Trader</t>
        </is>
      </c>
      <c r="C15121" t="inlineStr">
        <is>
          <t>SCS Global Services, Emeryville, CA, US</t>
        </is>
      </c>
      <c r="D15121" t="inlineStr">
        <is>
          <t>05.09.2026</t>
        </is>
      </c>
      <c r="E15121" t="inlineStr">
        <is>
          <t>Ireland</t>
        </is>
      </c>
    </row>
    <row r="15122">
      <c r="A15122" t="inlineStr">
        <is>
          <t>Future Energy Global,  Dublin, Ireland</t>
        </is>
      </c>
      <c r="B15122" t="inlineStr">
        <is>
          <t>Trader</t>
        </is>
      </c>
      <c r="C15122" t="inlineStr">
        <is>
          <t>SCS Global Services, Emeryville, CA, US</t>
        </is>
      </c>
      <c r="D15122" t="inlineStr">
        <is>
          <t>05.09.2026</t>
        </is>
      </c>
      <c r="E15122" t="inlineStr">
        <is>
          <t>Ireland</t>
        </is>
      </c>
    </row>
    <row r="15123">
      <c r="A15123" t="inlineStr">
        <is>
          <t>Xiamen CYH Environmental Technology Co., Ltd,  Xiamen City, Fujian Province, China</t>
        </is>
      </c>
      <c r="B15123" t="inlineStr">
        <is>
          <t>Collecting Point</t>
        </is>
      </c>
      <c r="C15123" t="inlineStr">
        <is>
          <t>RINA Services S.p.A., Genova, IT</t>
        </is>
      </c>
      <c r="D15123" t="inlineStr">
        <is>
          <t>05.09.2026</t>
        </is>
      </c>
      <c r="E15123" t="inlineStr">
        <is>
          <t>China</t>
        </is>
      </c>
    </row>
    <row r="15124">
      <c r="A15124" t="inlineStr">
        <is>
          <t>Be8 Switzerland SA,  Geneva, Switzerland</t>
        </is>
      </c>
      <c r="B15124" t="inlineStr">
        <is>
          <t>Trader</t>
        </is>
      </c>
      <c r="C15124" t="inlineStr">
        <is>
          <t>SGS Germany GmbH, Emstek, DE</t>
        </is>
      </c>
      <c r="D15124" t="inlineStr">
        <is>
          <t>05.09.2026</t>
        </is>
      </c>
      <c r="E15124" t="inlineStr">
        <is>
          <t>Switzerland</t>
        </is>
      </c>
    </row>
    <row r="15125">
      <c r="A15125" t="inlineStr">
        <is>
          <t>Arkema,  Zwickau, Germany</t>
        </is>
      </c>
      <c r="B15125" t="inlineStr">
        <is>
          <t>Processing Unit</t>
        </is>
      </c>
      <c r="C15125" t="inlineStr">
        <is>
          <t>DNV Business Assurance Sweden AB, Solna, SE</t>
        </is>
      </c>
      <c r="D15125" t="inlineStr">
        <is>
          <t>05.09.2026</t>
        </is>
      </c>
      <c r="E15125" t="inlineStr">
        <is>
          <t>Germany</t>
        </is>
      </c>
    </row>
    <row r="15126">
      <c r="A15126" t="inlineStr">
        <is>
          <t>Oleoland Ltd.,  Limassol, Cyprus</t>
        </is>
      </c>
      <c r="B15126" t="inlineStr">
        <is>
          <t>Trader</t>
        </is>
      </c>
      <c r="C15126" t="inlineStr">
        <is>
          <t>Aciter Genelab LLC, Odessa, UA</t>
        </is>
      </c>
      <c r="D15126" t="inlineStr">
        <is>
          <t>05.09.2026</t>
        </is>
      </c>
      <c r="E15126" t="inlineStr">
        <is>
          <t>Cyprus</t>
        </is>
      </c>
    </row>
    <row r="15127">
      <c r="A15127" t="inlineStr">
        <is>
          <t>PT Unggul Lestari,  Kab. Kotawaringin Timur, Prov. Kalimantan Tengah, Indonesia</t>
        </is>
      </c>
      <c r="B15127" t="inlineStr">
        <is>
          <t>Farm / Plantation, Point of Origin, Warehouse, Processing Unit</t>
        </is>
      </c>
      <c r="C15127" t="inlineStr">
        <is>
          <t>Control Union Certifications Germany GmbH, Berlin, DE</t>
        </is>
      </c>
      <c r="D15127" t="inlineStr">
        <is>
          <t>05.09.2026</t>
        </is>
      </c>
      <c r="E15127" t="inlineStr">
        <is>
          <t>Indonesia</t>
        </is>
      </c>
    </row>
    <row r="15128">
      <c r="A15128" t="inlineStr">
        <is>
          <t>Mahoney Environmental Solutions,  Woodridge, United States</t>
        </is>
      </c>
      <c r="B15128" t="inlineStr">
        <is>
          <t>Collecting Point</t>
        </is>
      </c>
      <c r="C15128" t="inlineStr">
        <is>
          <t>SCS Global Services, Emeryville, CA, US</t>
        </is>
      </c>
      <c r="D15128" t="inlineStr">
        <is>
          <t>05.09.2026</t>
        </is>
      </c>
      <c r="E15128" t="inlineStr">
        <is>
          <t>United States</t>
        </is>
      </c>
    </row>
    <row r="15129">
      <c r="A15129" t="inlineStr">
        <is>
          <t>Mahoney Environmental Solutions,  Woodridge, United States</t>
        </is>
      </c>
      <c r="B15129" t="inlineStr">
        <is>
          <t>Collecting Point</t>
        </is>
      </c>
      <c r="C15129" t="inlineStr">
        <is>
          <t>SCS Global Services, Emeryville, CA, US</t>
        </is>
      </c>
      <c r="D15129" t="inlineStr">
        <is>
          <t>05.09.2026</t>
        </is>
      </c>
      <c r="E15129" t="inlineStr">
        <is>
          <t>United States</t>
        </is>
      </c>
    </row>
    <row r="15130">
      <c r="A15130" t="inlineStr">
        <is>
          <t>Hung Loc Phat Cashew Oil,  Vinh Cuu, Vietnam</t>
        </is>
      </c>
      <c r="B15130" t="inlineStr">
        <is>
          <t>Processing Unit, Collecting Point</t>
        </is>
      </c>
      <c r="C15130" t="inlineStr">
        <is>
          <t>PT. CBQA GLOBAL INDONESIA, JAKARTA SELATAN, ID</t>
        </is>
      </c>
      <c r="D15130" t="inlineStr">
        <is>
          <t>05.09.2026</t>
        </is>
      </c>
      <c r="E15130" t="inlineStr">
        <is>
          <t>Vietnam</t>
        </is>
      </c>
    </row>
    <row r="15131">
      <c r="A15131" t="inlineStr">
        <is>
          <t>Atlantic Trading &amp; Marketing, Inc.,  Houston, United States</t>
        </is>
      </c>
      <c r="B15131" t="inlineStr">
        <is>
          <t>Trader</t>
        </is>
      </c>
      <c r="C15131" t="inlineStr">
        <is>
          <t>SCS Global Services, Emeryville, CA, US</t>
        </is>
      </c>
      <c r="D15131" t="inlineStr">
        <is>
          <t>05.09.2026</t>
        </is>
      </c>
      <c r="E15131" t="inlineStr">
        <is>
          <t>United States</t>
        </is>
      </c>
    </row>
    <row r="15132">
      <c r="A15132" t="inlineStr">
        <is>
          <t>Atlantic Trading &amp; Marketing, Inc.,  Houston, United States</t>
        </is>
      </c>
      <c r="B15132" t="inlineStr">
        <is>
          <t>Trader</t>
        </is>
      </c>
      <c r="C15132" t="inlineStr">
        <is>
          <t>SCS Global Services, Emeryville, CA, US</t>
        </is>
      </c>
      <c r="D15132" t="inlineStr">
        <is>
          <t>05.09.2026</t>
        </is>
      </c>
      <c r="E15132" t="inlineStr">
        <is>
          <t>United States</t>
        </is>
      </c>
    </row>
    <row r="15133">
      <c r="A15133" t="inlineStr">
        <is>
          <t>Sumec Technology and Equipment Co.,Ltd.,  Nanjing City, Jiangsu Province, China</t>
        </is>
      </c>
      <c r="B15133" t="inlineStr">
        <is>
          <t>Trader with Storage</t>
        </is>
      </c>
      <c r="C15133" t="inlineStr">
        <is>
          <t>RINA Services S.p.A., Genova, IT</t>
        </is>
      </c>
      <c r="D15133" t="inlineStr">
        <is>
          <t>05.09.2026</t>
        </is>
      </c>
      <c r="E15133" t="inlineStr">
        <is>
          <t>China</t>
        </is>
      </c>
    </row>
    <row r="15134">
      <c r="A15134" t="inlineStr">
        <is>
          <t>Agrárbázis Mezőgazdasági Szövetkezet,  Székesfehérvár, Hungary</t>
        </is>
      </c>
      <c r="B15134" t="inlineStr">
        <is>
          <t>First Gathering Point</t>
        </is>
      </c>
      <c r="C15134" t="inlineStr">
        <is>
          <t>BM Certification, Riga, LV</t>
        </is>
      </c>
      <c r="D15134" t="inlineStr">
        <is>
          <t>04.09.2026</t>
        </is>
      </c>
      <c r="E15134" t="inlineStr">
        <is>
          <t>Hungary</t>
        </is>
      </c>
    </row>
    <row r="15135">
      <c r="A15135" t="inlineStr">
        <is>
          <t>Chongqing Yuexinying Biotechnology Co., Ltd.,  Chongqing City, China</t>
        </is>
      </c>
      <c r="B15135" t="inlineStr">
        <is>
          <t>Collecting Point, Trader with Storage</t>
        </is>
      </c>
      <c r="C15135" t="inlineStr">
        <is>
          <t>RINA Services S.p.A., Genova, IT</t>
        </is>
      </c>
      <c r="D15135" t="inlineStr">
        <is>
          <t>04.09.2026</t>
        </is>
      </c>
      <c r="E15135" t="inlineStr">
        <is>
          <t>China</t>
        </is>
      </c>
    </row>
    <row r="15136">
      <c r="A15136" t="inlineStr">
        <is>
          <t>Handan Furong Chemical Auxiliary Co., LTD,  Handan City, Hebei Province, China</t>
        </is>
      </c>
      <c r="B15136" t="inlineStr">
        <is>
          <t>Collecting Point</t>
        </is>
      </c>
      <c r="C15136" t="inlineStr">
        <is>
          <t>RINA Services S.p.A., Genova, IT</t>
        </is>
      </c>
      <c r="D15136" t="inlineStr">
        <is>
          <t>04.09.2026</t>
        </is>
      </c>
      <c r="E15136" t="inlineStr">
        <is>
          <t>China</t>
        </is>
      </c>
    </row>
    <row r="15137">
      <c r="A15137" t="inlineStr">
        <is>
          <t>Foshan Dong Sheng Jie Bioenergy Co., LTD,  Foshan City，Guangdong Province, China</t>
        </is>
      </c>
      <c r="B15137" t="inlineStr">
        <is>
          <t>Collecting Point</t>
        </is>
      </c>
      <c r="C15137" t="inlineStr">
        <is>
          <t>RINA Services S.p.A., Genova, IT</t>
        </is>
      </c>
      <c r="D15137" t="inlineStr">
        <is>
          <t>04.09.2026</t>
        </is>
      </c>
      <c r="E15137" t="inlineStr">
        <is>
          <t>China</t>
        </is>
      </c>
    </row>
    <row r="15138">
      <c r="A15138" t="inlineStr">
        <is>
          <t>TSC CO.,LTD,  Siheung-si, Gyeonggi-do, Korea, Republic of</t>
        </is>
      </c>
      <c r="B15138" t="inlineStr">
        <is>
          <t>Processing Unit</t>
        </is>
      </c>
      <c r="C15138" t="inlineStr">
        <is>
          <t>Control Union Certifications Germany GmbH, Berlin, DE</t>
        </is>
      </c>
      <c r="D15138" t="inlineStr">
        <is>
          <t>04.09.2026</t>
        </is>
      </c>
      <c r="E15138" t="inlineStr">
        <is>
          <t>Republic of</t>
        </is>
      </c>
    </row>
    <row r="15139">
      <c r="A15139" t="inlineStr">
        <is>
          <t>DSM Biomedical, B.V.,  Geleen, Netherlands</t>
        </is>
      </c>
      <c r="B15139" t="inlineStr">
        <is>
          <t>Trader with Storage, Processing Unit, Final Product Refinement</t>
        </is>
      </c>
      <c r="C15139" t="inlineStr">
        <is>
          <t>DEKRA Certification B.V., Arnhem, NL</t>
        </is>
      </c>
      <c r="D15139" t="inlineStr">
        <is>
          <t>04.09.2026</t>
        </is>
      </c>
      <c r="E15139" t="inlineStr">
        <is>
          <t>Netherlands</t>
        </is>
      </c>
    </row>
    <row r="15140">
      <c r="A15140" t="inlineStr">
        <is>
          <t>Companhia Melhoramentos Norte do Paraná - Nova Londrina,  Nova Londrina, Brazil</t>
        </is>
      </c>
      <c r="B15140" t="inlineStr">
        <is>
          <t>Processing Unit, Farm / Plantation</t>
        </is>
      </c>
      <c r="C15140" t="inlineStr">
        <is>
          <t>Control Union Certifications Germany GmbH, Berlin, DE</t>
        </is>
      </c>
      <c r="D15140" t="inlineStr">
        <is>
          <t>04.09.2026</t>
        </is>
      </c>
      <c r="E15140" t="inlineStr">
        <is>
          <t>Brazil</t>
        </is>
      </c>
    </row>
    <row r="15141">
      <c r="A15141" t="inlineStr">
        <is>
          <t>Bridgestone Corporation, Kurume plant,  Kurume-shi, Fukuoka-ken, Japan</t>
        </is>
      </c>
      <c r="B15141" t="inlineStr">
        <is>
          <t>Processing Unit</t>
        </is>
      </c>
      <c r="C15141" t="inlineStr">
        <is>
          <t>SGS Germany GmbH, Emstek, DE</t>
        </is>
      </c>
      <c r="D15141" t="inlineStr">
        <is>
          <t>04.09.2026</t>
        </is>
      </c>
      <c r="E15141" t="inlineStr">
        <is>
          <t>Japan</t>
        </is>
      </c>
    </row>
    <row r="15142">
      <c r="A15142" t="inlineStr">
        <is>
          <t>SOLEA BG,  Pleven, Bulgaria</t>
        </is>
      </c>
      <c r="B15142" t="inlineStr">
        <is>
          <t>Trader</t>
        </is>
      </c>
      <c r="C15142" t="inlineStr">
        <is>
          <t>Bureau Veritas Polska Sp. z o.o., Warsaw, PL</t>
        </is>
      </c>
      <c r="D15142" t="inlineStr">
        <is>
          <t>04.09.2026</t>
        </is>
      </c>
      <c r="E15142" t="inlineStr">
        <is>
          <t>Bulgaria</t>
        </is>
      </c>
    </row>
    <row r="15143">
      <c r="A15143" t="inlineStr">
        <is>
          <t>SecAnim Ltd,  Widnes, United Kingdom</t>
        </is>
      </c>
      <c r="B15143" t="inlineStr">
        <is>
          <t>Point of Origin</t>
        </is>
      </c>
      <c r="C15143" t="inlineStr">
        <is>
          <t>SGS Germany GmbH, Emstek, DE</t>
        </is>
      </c>
      <c r="D15143" t="inlineStr">
        <is>
          <t>04.09.2026</t>
        </is>
      </c>
      <c r="E15143" t="inlineStr">
        <is>
          <t>United Kingdom</t>
        </is>
      </c>
    </row>
    <row r="15144">
      <c r="A15144" t="inlineStr">
        <is>
          <t>Savandi LLC,  Ternopil, Ukraine</t>
        </is>
      </c>
      <c r="B15144" t="inlineStr">
        <is>
          <t>First Gathering Point, Trader with Storage</t>
        </is>
      </c>
      <c r="C15144" t="inlineStr">
        <is>
          <t>Aciter Genelab LLC, Odessa, UA</t>
        </is>
      </c>
      <c r="D15144" t="inlineStr">
        <is>
          <t>04.09.2026</t>
        </is>
      </c>
      <c r="E15144" t="inlineStr">
        <is>
          <t>Ukraine</t>
        </is>
      </c>
    </row>
    <row r="15145">
      <c r="A15145" t="inlineStr">
        <is>
          <t>AR Bio Resources Sdn. Bhd.,  Klang, Malaysia</t>
        </is>
      </c>
      <c r="B15145" t="inlineStr">
        <is>
          <t>Trader with Storage</t>
        </is>
      </c>
      <c r="C15145" t="inlineStr">
        <is>
          <t>PT Intertek Utama Services, Jakarta, ID</t>
        </is>
      </c>
      <c r="D15145" t="inlineStr">
        <is>
          <t>04.09.2026</t>
        </is>
      </c>
      <c r="E15145" t="inlineStr">
        <is>
          <t>Malaysia</t>
        </is>
      </c>
    </row>
    <row r="15146">
      <c r="A15146" t="inlineStr">
        <is>
          <t>George Xenakis,  Chios, Greece</t>
        </is>
      </c>
      <c r="B15146" t="inlineStr">
        <is>
          <t>Collecting Point</t>
        </is>
      </c>
      <c r="C15146" t="inlineStr">
        <is>
          <t>Business Quality Verification Testing and Certification Services P.C. (BQV), Marousi, Athens, GR</t>
        </is>
      </c>
      <c r="D15146" t="inlineStr">
        <is>
          <t>04.09.2026</t>
        </is>
      </c>
      <c r="E15146" t="inlineStr">
        <is>
          <t>Greece</t>
        </is>
      </c>
    </row>
    <row r="15147">
      <c r="A15147" t="inlineStr">
        <is>
          <t>Indorama Ventures Mobility (Kaiping) No.2 Co., Ltd.,  Kaiping, China</t>
        </is>
      </c>
      <c r="B15147" t="inlineStr">
        <is>
          <t>Processing Unit</t>
        </is>
      </c>
      <c r="C15147" t="inlineStr">
        <is>
          <t>SGS Germany GmbH, Emstek, DE</t>
        </is>
      </c>
      <c r="D15147" t="inlineStr">
        <is>
          <t>04.09.2026</t>
        </is>
      </c>
      <c r="E15147" t="inlineStr">
        <is>
          <t>China</t>
        </is>
      </c>
    </row>
    <row r="15148">
      <c r="A15148" t="inlineStr">
        <is>
          <t>Northern Partners Cooperative,  Mendota, Illinois, United States</t>
        </is>
      </c>
      <c r="B15148" t="inlineStr">
        <is>
          <t>First Gathering Point</t>
        </is>
      </c>
      <c r="C15148" t="inlineStr">
        <is>
          <t>Control Union Certifications Germany GmbH, Berlin, DE</t>
        </is>
      </c>
      <c r="D15148" t="inlineStr">
        <is>
          <t>04.09.2026</t>
        </is>
      </c>
      <c r="E15148" t="inlineStr">
        <is>
          <t>United States</t>
        </is>
      </c>
    </row>
    <row r="15149">
      <c r="A15149" t="inlineStr">
        <is>
          <t>Northern Partners Cooperative,  Mendota, Illinois, United States</t>
        </is>
      </c>
      <c r="B15149" t="inlineStr">
        <is>
          <t>First Gathering Point</t>
        </is>
      </c>
      <c r="C15149" t="inlineStr">
        <is>
          <t>Control Union Certifications Germany GmbH, Berlin, DE</t>
        </is>
      </c>
      <c r="D15149" t="inlineStr">
        <is>
          <t>04.09.2026</t>
        </is>
      </c>
      <c r="E15149" t="inlineStr">
        <is>
          <t>United States</t>
        </is>
      </c>
    </row>
    <row r="15150">
      <c r="A15150" t="inlineStr">
        <is>
          <t>Hebei Free Trade Zone Zhengding DistrictProduction and Development Trading Co., Ltd,  Shijiazhuang City, Hebei Province, China</t>
        </is>
      </c>
      <c r="B15150" t="inlineStr">
        <is>
          <t>Trader</t>
        </is>
      </c>
      <c r="C15150" t="inlineStr">
        <is>
          <t>SCS Global Services, Emeryville, CA, US</t>
        </is>
      </c>
      <c r="D15150" t="inlineStr">
        <is>
          <t>04.09.2026</t>
        </is>
      </c>
      <c r="E15150" t="inlineStr">
        <is>
          <t>China</t>
        </is>
      </c>
    </row>
    <row r="15151">
      <c r="A15151" t="inlineStr">
        <is>
          <t>Sunstar Europe SA,  Etoy, Switzerland</t>
        </is>
      </c>
      <c r="B15151" t="inlineStr">
        <is>
          <t>Trader with Storage</t>
        </is>
      </c>
      <c r="C15151" t="inlineStr">
        <is>
          <t>GUT Certifizierungsgesellschaft für Managementsysteme mbH Umweltgutachter, Berlin, DE</t>
        </is>
      </c>
      <c r="D15151" t="inlineStr">
        <is>
          <t>04.09.2026</t>
        </is>
      </c>
      <c r="E15151" t="inlineStr">
        <is>
          <t>Switzerland</t>
        </is>
      </c>
    </row>
    <row r="15152">
      <c r="A15152" t="inlineStr">
        <is>
          <t>PERKASA ENAM SDN. BHD.,  KUANTAN, Malaysia</t>
        </is>
      </c>
      <c r="B15152" t="inlineStr">
        <is>
          <t>Collecting Point</t>
        </is>
      </c>
      <c r="C15152" t="inlineStr">
        <is>
          <t>RINA Services S.p.A., Genova, IT</t>
        </is>
      </c>
      <c r="D15152" t="inlineStr">
        <is>
          <t>04.09.2026</t>
        </is>
      </c>
      <c r="E15152" t="inlineStr">
        <is>
          <t>Malaysia</t>
        </is>
      </c>
    </row>
    <row r="15153">
      <c r="A15153" t="inlineStr">
        <is>
          <t>HELM SKANDINAVIEN A/S,  Copenhagen, Denmark</t>
        </is>
      </c>
      <c r="B15153" t="inlineStr">
        <is>
          <t>Trader</t>
        </is>
      </c>
      <c r="C15153" t="inlineStr">
        <is>
          <t>TÜV NORD CERT GmbH, Essen, DE</t>
        </is>
      </c>
      <c r="D15153" t="inlineStr">
        <is>
          <t>04.09.2026</t>
        </is>
      </c>
      <c r="E15153" t="inlineStr">
        <is>
          <t>Denmark</t>
        </is>
      </c>
    </row>
    <row r="15154">
      <c r="A15154" t="inlineStr">
        <is>
          <t>Helm Skandinavien,  Solna, Sweden</t>
        </is>
      </c>
      <c r="B15154" t="inlineStr">
        <is>
          <t>Trader</t>
        </is>
      </c>
      <c r="C15154" t="inlineStr">
        <is>
          <t>TÜV NORD CERT GmbH, Essen, DE</t>
        </is>
      </c>
      <c r="D15154" t="inlineStr">
        <is>
          <t>04.09.2026</t>
        </is>
      </c>
      <c r="E15154" t="inlineStr">
        <is>
          <t>Sweden</t>
        </is>
      </c>
    </row>
    <row r="15155">
      <c r="A15155" t="inlineStr">
        <is>
          <t>Berndt GmbH,  Waldkraiburg, Germany</t>
        </is>
      </c>
      <c r="B15155" t="inlineStr">
        <is>
          <t>Point of Origin</t>
        </is>
      </c>
      <c r="C15155" t="inlineStr">
        <is>
          <t>GUT Certifizierungsgesellschaft für Managementsysteme mbH Umweltgutachter, Berlin, DE</t>
        </is>
      </c>
      <c r="D15155" t="inlineStr">
        <is>
          <t>04.09.2026</t>
        </is>
      </c>
      <c r="E15155" t="inlineStr">
        <is>
          <t>Germany</t>
        </is>
      </c>
    </row>
    <row r="15156">
      <c r="A15156" t="inlineStr">
        <is>
          <t>TBA Kraftisried GmbH,  Kraftisried, Germany</t>
        </is>
      </c>
      <c r="B15156" t="inlineStr">
        <is>
          <t>Point of Origin</t>
        </is>
      </c>
      <c r="C15156" t="inlineStr">
        <is>
          <t>GUT Certifizierungsgesellschaft für Managementsysteme mbH Umweltgutachter, Berlin, DE</t>
        </is>
      </c>
      <c r="D15156" t="inlineStr">
        <is>
          <t>04.09.2026</t>
        </is>
      </c>
      <c r="E15156" t="inlineStr">
        <is>
          <t>Germany</t>
        </is>
      </c>
    </row>
    <row r="15157">
      <c r="A15157" t="inlineStr">
        <is>
          <t>KIM PACK CO., LTD.,  Chachuengsao, Thailand</t>
        </is>
      </c>
      <c r="B15157" t="inlineStr">
        <is>
          <t>Processing Unit, Final Product Refinement</t>
        </is>
      </c>
      <c r="C15157" t="inlineStr">
        <is>
          <t>Control Union Certifications Germany GmbH, Berlin, DE</t>
        </is>
      </c>
      <c r="D15157" t="inlineStr">
        <is>
          <t>04.09.2026</t>
        </is>
      </c>
      <c r="E15157" t="inlineStr">
        <is>
          <t>Thailand</t>
        </is>
      </c>
    </row>
    <row r="15158">
      <c r="A15158" t="inlineStr">
        <is>
          <t>Toria-08,  Velingrad, Bulgaria</t>
        </is>
      </c>
      <c r="B15158" t="inlineStr">
        <is>
          <t>Collecting Point, Processing Unit</t>
        </is>
      </c>
      <c r="C15158" t="inlineStr">
        <is>
          <t>Bureau Veritas Polska Sp. z o.o., Warsaw, PL</t>
        </is>
      </c>
      <c r="D15158" t="inlineStr">
        <is>
          <t>04.09.2026</t>
        </is>
      </c>
      <c r="E15158" t="inlineStr">
        <is>
          <t>Bulgaria</t>
        </is>
      </c>
    </row>
    <row r="15159">
      <c r="A15159" t="inlineStr">
        <is>
          <t>Cooperativa Corilicola Langhe Monferrato Roero Società Cooperativa Agricola (CORICOOP S.C.A.),  Pocapaglia, Italy</t>
        </is>
      </c>
      <c r="B15159" t="inlineStr">
        <is>
          <t>First Gathering Point</t>
        </is>
      </c>
      <c r="C15159" t="inlineStr">
        <is>
          <t>SGS Germany GmbH, Emstek, DE</t>
        </is>
      </c>
      <c r="D15159" t="inlineStr">
        <is>
          <t>04.09.2026</t>
        </is>
      </c>
      <c r="E15159" t="inlineStr">
        <is>
          <t>Italy</t>
        </is>
      </c>
    </row>
    <row r="15160">
      <c r="A15160" t="inlineStr">
        <is>
          <t>Bio Oil DE GmbH,  Eggstätt, Germany</t>
        </is>
      </c>
      <c r="B15160" t="inlineStr">
        <is>
          <t>Collecting Point, Trader</t>
        </is>
      </c>
      <c r="C15160" t="inlineStr">
        <is>
          <t>agroVet GmbH, Enzersfeld, AT</t>
        </is>
      </c>
      <c r="D15160" t="inlineStr">
        <is>
          <t>04.09.2026</t>
        </is>
      </c>
      <c r="E15160" t="inlineStr">
        <is>
          <t>Germany</t>
        </is>
      </c>
    </row>
    <row r="15161">
      <c r="A15161" t="inlineStr">
        <is>
          <t>ŽŪK Jukagros,  Jonava, Lithuania</t>
        </is>
      </c>
      <c r="B15161" t="inlineStr">
        <is>
          <t>First Gathering Point</t>
        </is>
      </c>
      <c r="C15161" t="inlineStr">
        <is>
          <t>Bureau Veritas Polska Sp. z o.o., Warsaw, PL</t>
        </is>
      </c>
      <c r="D15161" t="inlineStr">
        <is>
          <t>04.09.2026</t>
        </is>
      </c>
      <c r="E15161" t="inlineStr">
        <is>
          <t>Lithuania</t>
        </is>
      </c>
    </row>
    <row r="15162">
      <c r="A15162" t="inlineStr">
        <is>
          <t>FS Grain,  Morris, Illinois, United States</t>
        </is>
      </c>
      <c r="B15162" t="inlineStr">
        <is>
          <t>First Gathering Point</t>
        </is>
      </c>
      <c r="C15162" t="inlineStr">
        <is>
          <t>Control Union Certifications Germany GmbH, Berlin, DE</t>
        </is>
      </c>
      <c r="D15162" t="inlineStr">
        <is>
          <t>04.09.2026</t>
        </is>
      </c>
      <c r="E15162" t="inlineStr">
        <is>
          <t>United States</t>
        </is>
      </c>
    </row>
    <row r="15163">
      <c r="A15163" t="inlineStr">
        <is>
          <t>FS Grain,  Morris, Illinois, United States</t>
        </is>
      </c>
      <c r="B15163" t="inlineStr">
        <is>
          <t>First Gathering Point</t>
        </is>
      </c>
      <c r="C15163" t="inlineStr">
        <is>
          <t>Control Union Certifications Germany GmbH, Berlin, DE</t>
        </is>
      </c>
      <c r="D15163" t="inlineStr">
        <is>
          <t>04.09.2026</t>
        </is>
      </c>
      <c r="E15163" t="inlineStr">
        <is>
          <t>United States</t>
        </is>
      </c>
    </row>
    <row r="15164">
      <c r="A15164" t="inlineStr">
        <is>
          <t>São Martinho S/A - Usina Santa Cruz,  Américo Brasiliense, Brazil</t>
        </is>
      </c>
      <c r="B15164" t="inlineStr">
        <is>
          <t>First Gathering Point, Processing Unit</t>
        </is>
      </c>
      <c r="C15164" t="inlineStr">
        <is>
          <t>SCS Global Services, Emeryville, CA, US</t>
        </is>
      </c>
      <c r="D15164" t="inlineStr">
        <is>
          <t>04.09.2026</t>
        </is>
      </c>
      <c r="E15164" t="inlineStr">
        <is>
          <t>Brazil</t>
        </is>
      </c>
    </row>
    <row r="15165">
      <c r="A15165" t="inlineStr">
        <is>
          <t>São Martinho S/A - Usina Santa Cruz,  Américo Brasiliense, Brazil</t>
        </is>
      </c>
      <c r="B15165" t="inlineStr">
        <is>
          <t>First Gathering Point, Processing Unit</t>
        </is>
      </c>
      <c r="C15165" t="inlineStr">
        <is>
          <t>SCS Global Services, Emeryville, CA, US</t>
        </is>
      </c>
      <c r="D15165" t="inlineStr">
        <is>
          <t>04.09.2026</t>
        </is>
      </c>
      <c r="E15165" t="inlineStr">
        <is>
          <t>Brazil</t>
        </is>
      </c>
    </row>
    <row r="15166">
      <c r="A15166" t="inlineStr">
        <is>
          <t>Liuyang Hexin Renewable Resources Co., Ltd,  Liuyang City, Hunan Province, China</t>
        </is>
      </c>
      <c r="B15166" t="inlineStr">
        <is>
          <t>Collecting Point</t>
        </is>
      </c>
      <c r="C15166" t="inlineStr">
        <is>
          <t>RINA Services S.p.A., Genova, IT</t>
        </is>
      </c>
      <c r="D15166" t="inlineStr">
        <is>
          <t>04.09.2026</t>
        </is>
      </c>
      <c r="E15166" t="inlineStr">
        <is>
          <t>China</t>
        </is>
      </c>
    </row>
    <row r="15167">
      <c r="A15167" t="inlineStr">
        <is>
          <t>Private Agroindustrial Enterprise AGROPRODSERVICE,  village Nastasiv, Ukraine</t>
        </is>
      </c>
      <c r="B15167" t="inlineStr">
        <is>
          <t>Farm / Plantation</t>
        </is>
      </c>
      <c r="C15167" t="inlineStr">
        <is>
          <t>United Registrar of Systems Polska Sp. z o.o., Wrocław, PL</t>
        </is>
      </c>
      <c r="D15167" t="inlineStr">
        <is>
          <t>04.09.2026</t>
        </is>
      </c>
      <c r="E15167" t="inlineStr">
        <is>
          <t>Ukraine</t>
        </is>
      </c>
    </row>
    <row r="15168">
      <c r="A15168" t="inlineStr">
        <is>
          <t>Dráva Környéki Gabona Mezőgazdasági Szövetkezet,  Túrony, Hungary</t>
        </is>
      </c>
      <c r="B15168" t="inlineStr">
        <is>
          <t>First Gathering Point</t>
        </is>
      </c>
      <c r="C15168" t="inlineStr">
        <is>
          <t>Certificadora Gallega del Noroeste SL, Vilagarcia de Arousa-Pontevedra, ES</t>
        </is>
      </c>
      <c r="D15168" t="inlineStr">
        <is>
          <t>04.09.2026</t>
        </is>
      </c>
      <c r="E15168" t="inlineStr">
        <is>
          <t>Hungary</t>
        </is>
      </c>
    </row>
    <row r="15169">
      <c r="A15169" t="inlineStr">
        <is>
          <t>S.C. Kik Compounds S.R.L.,  Geangoesti, Dambovita, Romania</t>
        </is>
      </c>
      <c r="B15169" t="inlineStr">
        <is>
          <t>Point of Origin, Collecting Point, Processing Unit</t>
        </is>
      </c>
      <c r="C15169" t="inlineStr">
        <is>
          <t>CertRom SRL, Bucuresti, RO</t>
        </is>
      </c>
      <c r="D15169" t="inlineStr">
        <is>
          <t>04.09.2026</t>
        </is>
      </c>
      <c r="E15169" t="inlineStr">
        <is>
          <t>Romania</t>
        </is>
      </c>
    </row>
    <row r="15170">
      <c r="A15170" t="inlineStr">
        <is>
          <t>BALEÀRIA EUROLÍNEAS MARÍTIMAS S.A.U.,  Denia, Spain</t>
        </is>
      </c>
      <c r="B15170" t="inlineStr">
        <is>
          <t>Trader</t>
        </is>
      </c>
      <c r="C15170" t="inlineStr">
        <is>
          <t>Certificadora Gallega del Noroeste SL, Vilagarcia de Arousa-Pontevedra, ES</t>
        </is>
      </c>
      <c r="D15170" t="inlineStr">
        <is>
          <t>04.09.2026</t>
        </is>
      </c>
      <c r="E15170" t="inlineStr">
        <is>
          <t>Spain</t>
        </is>
      </c>
    </row>
    <row r="15171">
      <c r="A15171" t="inlineStr">
        <is>
          <t>TURN2X GmbH,  Miajadas, Spain</t>
        </is>
      </c>
      <c r="B15171" t="inlineStr">
        <is>
          <t>Processing Unit, Trader</t>
        </is>
      </c>
      <c r="C15171" t="inlineStr">
        <is>
          <t>Normec QS BV, Bennekom, NL</t>
        </is>
      </c>
      <c r="D15171" t="inlineStr">
        <is>
          <t>04.09.2026</t>
        </is>
      </c>
      <c r="E15171" t="inlineStr">
        <is>
          <t>Spain</t>
        </is>
      </c>
    </row>
    <row r="15172">
      <c r="A15172" t="inlineStr">
        <is>
          <t>Lambiotte et Compagnie,  Marbehan, Belgium</t>
        </is>
      </c>
      <c r="B15172" t="inlineStr">
        <is>
          <t>Processing Unit</t>
        </is>
      </c>
      <c r="C15172" t="inlineStr">
        <is>
          <t>DEKRA Certification B.V., Arnhem, NL</t>
        </is>
      </c>
      <c r="D15172" t="inlineStr">
        <is>
          <t>04.09.2026</t>
        </is>
      </c>
      <c r="E15172" t="inlineStr">
        <is>
          <t>Belgium</t>
        </is>
      </c>
    </row>
    <row r="15173">
      <c r="A15173" t="inlineStr">
        <is>
          <t>Global Life Sciences Solutions Manufacturing UK LTD,  Cardiff, United Kingdom</t>
        </is>
      </c>
      <c r="B15173" t="inlineStr">
        <is>
          <t>Trader with Storage</t>
        </is>
      </c>
      <c r="C15173" t="inlineStr">
        <is>
          <t>DEKRA Certification B.V., Arnhem, NL</t>
        </is>
      </c>
      <c r="D15173" t="inlineStr">
        <is>
          <t>04.09.2026</t>
        </is>
      </c>
      <c r="E15173" t="inlineStr">
        <is>
          <t>United Kingdom</t>
        </is>
      </c>
    </row>
    <row r="15174">
      <c r="A15174" t="inlineStr">
        <is>
          <t>Orinso Aqua,  Veghel, The Netherlands</t>
        </is>
      </c>
      <c r="B15174" t="inlineStr">
        <is>
          <t>Collecting Point, Trader with Storage</t>
        </is>
      </c>
      <c r="C15174" t="inlineStr">
        <is>
          <t>DEKRA Certification B.V., Arnhem, NL</t>
        </is>
      </c>
      <c r="D15174" t="inlineStr">
        <is>
          <t>04.09.2026</t>
        </is>
      </c>
      <c r="E15174" t="inlineStr">
        <is>
          <t>The Netherlands</t>
        </is>
      </c>
    </row>
    <row r="15175">
      <c r="A15175" t="inlineStr">
        <is>
          <t>Zhuhai Handsome New Material Co., Ltd,  Zhuhai, China</t>
        </is>
      </c>
      <c r="B15175" t="inlineStr">
        <is>
          <t>Processing Unit</t>
        </is>
      </c>
      <c r="C15175" t="inlineStr">
        <is>
          <t>SGS Germany GmbH, Emstek, DE</t>
        </is>
      </c>
      <c r="D15175" t="inlineStr">
        <is>
          <t>04.09.2026</t>
        </is>
      </c>
      <c r="E15175" t="inlineStr">
        <is>
          <t>China</t>
        </is>
      </c>
    </row>
    <row r="15176">
      <c r="A15176" t="inlineStr">
        <is>
          <t>Lica Samadau Cooperativa Agricola,  Ineu, Romania</t>
        </is>
      </c>
      <c r="B15176" t="inlineStr">
        <is>
          <t>First Gathering Point</t>
        </is>
      </c>
      <c r="C15176" t="inlineStr">
        <is>
          <t>SRAC Cert SRL, Bucharest, RO</t>
        </is>
      </c>
      <c r="D15176" t="inlineStr">
        <is>
          <t>04.09.2026</t>
        </is>
      </c>
      <c r="E15176" t="inlineStr">
        <is>
          <t>Romania</t>
        </is>
      </c>
    </row>
    <row r="15177">
      <c r="A15177" t="inlineStr">
        <is>
          <t>Al-Hilool Al-Mustadama for the Treatment and Control of Motor Oils and Food Waste Co. Ltd,  Al-Zaafaraniyah, Iraq</t>
        </is>
      </c>
      <c r="B15177" t="inlineStr">
        <is>
          <t>Collecting Point, Trader with Storage</t>
        </is>
      </c>
      <c r="C15177" t="inlineStr">
        <is>
          <t>PT. CBQA GLOBAL INDONESIA, JAKARTA SELATAN, ID</t>
        </is>
      </c>
      <c r="D15177" t="inlineStr">
        <is>
          <t>04.09.2026</t>
        </is>
      </c>
      <c r="E15177" t="inlineStr">
        <is>
          <t>Iraq</t>
        </is>
      </c>
    </row>
    <row r="15178">
      <c r="A15178" t="inlineStr">
        <is>
          <t>Sinar Mutiaranusa Palmindo,  Simpang Tanjung, Medan Sunggal, Medan, Indonesia</t>
        </is>
      </c>
      <c r="B15178" t="inlineStr">
        <is>
          <t>Trader</t>
        </is>
      </c>
      <c r="C15178" t="inlineStr">
        <is>
          <t>PT. CBQA GLOBAL INDONESIA, JAKARTA SELATAN, ID</t>
        </is>
      </c>
      <c r="D15178" t="inlineStr">
        <is>
          <t>04.09.2026</t>
        </is>
      </c>
      <c r="E15178" t="inlineStr">
        <is>
          <t>Indonesia</t>
        </is>
      </c>
    </row>
    <row r="15179">
      <c r="A15179" t="inlineStr">
        <is>
          <t>Ningbo Baizhehui Trading Co., Ltd,  Yinzhou District, Ningbo, China</t>
        </is>
      </c>
      <c r="B15179" t="inlineStr">
        <is>
          <t>Trader</t>
        </is>
      </c>
      <c r="C15179" t="inlineStr">
        <is>
          <t>RINA Services S.p.A., Genova, IT</t>
        </is>
      </c>
      <c r="D15179" t="inlineStr">
        <is>
          <t>04.09.2026</t>
        </is>
      </c>
      <c r="E15179" t="inlineStr">
        <is>
          <t>China</t>
        </is>
      </c>
    </row>
    <row r="15180">
      <c r="A15180" t="inlineStr">
        <is>
          <t>Bf Agricola srl - Società Agricola,  Jolanda di Savoia, Italy</t>
        </is>
      </c>
      <c r="B15180" t="inlineStr">
        <is>
          <t>Farm / Plantation</t>
        </is>
      </c>
      <c r="C15180" t="inlineStr">
        <is>
          <t>DNV Business Assurance Sweden AB, Solna, SE</t>
        </is>
      </c>
      <c r="D15180" t="inlineStr">
        <is>
          <t>04.09.2026</t>
        </is>
      </c>
      <c r="E15180" t="inlineStr">
        <is>
          <t>Italy</t>
        </is>
      </c>
    </row>
    <row r="15181">
      <c r="A15181" t="inlineStr">
        <is>
          <t>Naturalmente Social Recikla, S.L.U.,  La Cartuja (Zaragoza), Spain</t>
        </is>
      </c>
      <c r="B15181" t="inlineStr">
        <is>
          <t>Collecting Point, Trader</t>
        </is>
      </c>
      <c r="C15181" t="inlineStr">
        <is>
          <t>RINA Services S.p.A., Genova, IT</t>
        </is>
      </c>
      <c r="D15181" t="inlineStr">
        <is>
          <t>04.09.2026</t>
        </is>
      </c>
      <c r="E15181" t="inlineStr">
        <is>
          <t>Spain</t>
        </is>
      </c>
    </row>
    <row r="15182">
      <c r="A15182" t="inlineStr">
        <is>
          <t>Stervis,  Roma, Italy</t>
        </is>
      </c>
      <c r="B15182" t="inlineStr">
        <is>
          <t>Trader</t>
        </is>
      </c>
      <c r="C15182" t="inlineStr">
        <is>
          <t>ICIM SpA, sesto san giovanni, IT</t>
        </is>
      </c>
      <c r="D15182" t="inlineStr">
        <is>
          <t>04.09.2026</t>
        </is>
      </c>
      <c r="E15182" t="inlineStr">
        <is>
          <t>Italy</t>
        </is>
      </c>
    </row>
    <row r="15183">
      <c r="A15183" t="inlineStr">
        <is>
          <t>ACEITES VEGETALES VALENTIN,  SANT FOST DE CAMPSENTELLES, Spain</t>
        </is>
      </c>
      <c r="B15183" t="inlineStr">
        <is>
          <t>Trader</t>
        </is>
      </c>
      <c r="C15183" t="inlineStr">
        <is>
          <t>RINA Services S.p.A., Genova, IT</t>
        </is>
      </c>
      <c r="D15183" t="inlineStr">
        <is>
          <t>04.09.2026</t>
        </is>
      </c>
      <c r="E15183" t="inlineStr">
        <is>
          <t>Spain</t>
        </is>
      </c>
    </row>
    <row r="15184">
      <c r="A15184" t="inlineStr">
        <is>
          <t>Cookright Filtering Services,  Napier, New Zealand</t>
        </is>
      </c>
      <c r="B15184" t="inlineStr">
        <is>
          <t>Collecting Point</t>
        </is>
      </c>
      <c r="C15184" t="inlineStr">
        <is>
          <t>SGS Germany GmbH, Emstek, DE</t>
        </is>
      </c>
      <c r="D15184" t="inlineStr">
        <is>
          <t>04.09.2026</t>
        </is>
      </c>
      <c r="E15184" t="inlineStr">
        <is>
          <t>New Zealand</t>
        </is>
      </c>
    </row>
    <row r="15185">
      <c r="A15185" t="inlineStr">
        <is>
          <t>Guangdong Tepeng Energy Co., LTD,  Guangzhou, Guangdong Province, China</t>
        </is>
      </c>
      <c r="B15185" t="inlineStr">
        <is>
          <t>Trader</t>
        </is>
      </c>
      <c r="C15185" t="inlineStr">
        <is>
          <t>RINA Services S.p.A., Genova, IT</t>
        </is>
      </c>
      <c r="D15185" t="inlineStr">
        <is>
          <t>04.09.2026</t>
        </is>
      </c>
      <c r="E15185" t="inlineStr">
        <is>
          <t>China</t>
        </is>
      </c>
    </row>
    <row r="15186">
      <c r="A15186" t="inlineStr">
        <is>
          <t>BREMFIELD GREEN ENERGY PTE LTD,  Singapore, Singapore</t>
        </is>
      </c>
      <c r="B15186" t="inlineStr">
        <is>
          <t>Trader, Trader with Storage, Collecting Point</t>
        </is>
      </c>
      <c r="C15186" t="inlineStr">
        <is>
          <t>Trans Certification and Inspection Sdn Bhd, Kuantan, MY</t>
        </is>
      </c>
      <c r="D15186" t="inlineStr">
        <is>
          <t>04.09.2026</t>
        </is>
      </c>
      <c r="E15186" t="inlineStr">
        <is>
          <t>Singapore</t>
        </is>
      </c>
    </row>
    <row r="15187">
      <c r="A15187" t="inlineStr">
        <is>
          <t>Deutsche Agrartechnik,  Kiev, Ukraine</t>
        </is>
      </c>
      <c r="B15187" t="inlineStr">
        <is>
          <t>Collecting Point, Trader</t>
        </is>
      </c>
      <c r="C15187" t="inlineStr">
        <is>
          <t>BM Certification, Riga, LV</t>
        </is>
      </c>
      <c r="D15187" t="inlineStr">
        <is>
          <t>03.09.2026</t>
        </is>
      </c>
      <c r="E15187" t="inlineStr">
        <is>
          <t>Ukraine</t>
        </is>
      </c>
    </row>
    <row r="15188">
      <c r="A15188" t="inlineStr">
        <is>
          <t>ENEOS Materials Corporation, Chiba Plant,  Ichihara-shi, Chiba-ken, Japan</t>
        </is>
      </c>
      <c r="B15188" t="inlineStr">
        <is>
          <t>Processing Unit</t>
        </is>
      </c>
      <c r="C15188" t="inlineStr">
        <is>
          <t>SGS Germany GmbH, Emstek, DE</t>
        </is>
      </c>
      <c r="D15188" t="inlineStr">
        <is>
          <t>03.09.2026</t>
        </is>
      </c>
      <c r="E15188" t="inlineStr">
        <is>
          <t>Japan</t>
        </is>
      </c>
    </row>
    <row r="15189">
      <c r="A15189" t="inlineStr">
        <is>
          <t>AGROFITOPEST SRL,  Alba Iulia, Alba, Romania</t>
        </is>
      </c>
      <c r="B15189" t="inlineStr">
        <is>
          <t>First Gathering Point, Trader</t>
        </is>
      </c>
      <c r="C15189" t="inlineStr">
        <is>
          <t>SGS Germany GmbH, Emstek, DE</t>
        </is>
      </c>
      <c r="D15189" t="inlineStr">
        <is>
          <t>03.09.2026</t>
        </is>
      </c>
      <c r="E15189" t="inlineStr">
        <is>
          <t>Romania</t>
        </is>
      </c>
    </row>
    <row r="15190">
      <c r="A15190" t="inlineStr">
        <is>
          <t>Intercontinental Specialty Fats Sdn Bhd,  Dengkil,, Malaysia</t>
        </is>
      </c>
      <c r="B15190" t="inlineStr">
        <is>
          <t>Point of Origin</t>
        </is>
      </c>
      <c r="C15190" t="inlineStr">
        <is>
          <t>Control Union Certifications Germany GmbH, Berlin, DE</t>
        </is>
      </c>
      <c r="D15190" t="inlineStr">
        <is>
          <t>03.09.2026</t>
        </is>
      </c>
      <c r="E15190" t="inlineStr">
        <is>
          <t>Malaysia</t>
        </is>
      </c>
    </row>
    <row r="15191">
      <c r="A15191" t="inlineStr">
        <is>
          <t>Ingevity UK,  Warrington, The United Kingdom</t>
        </is>
      </c>
      <c r="B15191" t="inlineStr">
        <is>
          <t>Processing Unit</t>
        </is>
      </c>
      <c r="C15191" t="inlineStr">
        <is>
          <t>SCS Global Services, Emeryville, CA, US</t>
        </is>
      </c>
      <c r="D15191" t="inlineStr">
        <is>
          <t>03.09.2026</t>
        </is>
      </c>
      <c r="E15191" t="inlineStr">
        <is>
          <t>The United Kingdom</t>
        </is>
      </c>
    </row>
    <row r="15192">
      <c r="A15192" t="inlineStr">
        <is>
          <t>HAIYUAN TRADING PTE. LTD.,  Dongying，Shandong, China</t>
        </is>
      </c>
      <c r="B15192" t="inlineStr">
        <is>
          <t>Trader with Storage</t>
        </is>
      </c>
      <c r="C15192" t="inlineStr">
        <is>
          <t>SCS Global Services, Emeryville, CA, US</t>
        </is>
      </c>
      <c r="D15192" t="inlineStr">
        <is>
          <t>03.09.2026</t>
        </is>
      </c>
      <c r="E15192" t="inlineStr">
        <is>
          <t>China</t>
        </is>
      </c>
    </row>
    <row r="15193">
      <c r="A15193" t="inlineStr">
        <is>
          <t>HAIYUAN TRADING PTE. LTD.,  Dongying，Shandong, China</t>
        </is>
      </c>
      <c r="B15193" t="inlineStr">
        <is>
          <t>Trader with Storage</t>
        </is>
      </c>
      <c r="C15193" t="inlineStr">
        <is>
          <t>SCS Global Services, Emeryville, CA, US</t>
        </is>
      </c>
      <c r="D15193" t="inlineStr">
        <is>
          <t>03.09.2026</t>
        </is>
      </c>
      <c r="E15193" t="inlineStr">
        <is>
          <t>China</t>
        </is>
      </c>
    </row>
    <row r="15194">
      <c r="A15194" t="inlineStr">
        <is>
          <t>Mingfeng (Changchun) Trading Co., Ltd.,  Changchun City, Jilin Province, China</t>
        </is>
      </c>
      <c r="B15194" t="inlineStr">
        <is>
          <t>Trader</t>
        </is>
      </c>
      <c r="C15194" t="inlineStr">
        <is>
          <t>SCS Global Services, Emeryville, CA, US</t>
        </is>
      </c>
      <c r="D15194" t="inlineStr">
        <is>
          <t>03.09.2026</t>
        </is>
      </c>
      <c r="E15194" t="inlineStr">
        <is>
          <t>China</t>
        </is>
      </c>
    </row>
    <row r="15195">
      <c r="A15195" t="inlineStr">
        <is>
          <t>SecAnim Südwest GmbH,  Lampertheim, Germany</t>
        </is>
      </c>
      <c r="B15195" t="inlineStr">
        <is>
          <t>Point of Origin</t>
        </is>
      </c>
      <c r="C15195" t="inlineStr">
        <is>
          <t>GUT Certifizierungsgesellschaft für Managementsysteme mbH Umweltgutachter, Berlin, DE</t>
        </is>
      </c>
      <c r="D15195" t="inlineStr">
        <is>
          <t>03.09.2026</t>
        </is>
      </c>
      <c r="E15195" t="inlineStr">
        <is>
          <t>Germany</t>
        </is>
      </c>
    </row>
    <row r="15196">
      <c r="A15196" t="inlineStr">
        <is>
          <t>Vantage Corn Processors,  Decatur, IL, United States</t>
        </is>
      </c>
      <c r="B15196" t="inlineStr">
        <is>
          <t>Trader with Storage</t>
        </is>
      </c>
      <c r="C15196" t="inlineStr">
        <is>
          <t>ASG Cert GmbH, Munich, DE</t>
        </is>
      </c>
      <c r="D15196" t="inlineStr">
        <is>
          <t>03.09.2026</t>
        </is>
      </c>
      <c r="E15196" t="inlineStr">
        <is>
          <t>United States</t>
        </is>
      </c>
    </row>
    <row r="15197">
      <c r="A15197" t="inlineStr">
        <is>
          <t>SC Sarapac Impex SRL,  Slobozia, Ialomita, Romania</t>
        </is>
      </c>
      <c r="B15197" t="inlineStr">
        <is>
          <t>Processing Unit, Collecting Point, Trader, Point of Origin</t>
        </is>
      </c>
      <c r="C15197" t="inlineStr">
        <is>
          <t>BM Certification, Riga, LV</t>
        </is>
      </c>
      <c r="D15197" t="inlineStr">
        <is>
          <t>03.09.2026</t>
        </is>
      </c>
      <c r="E15197" t="inlineStr">
        <is>
          <t>Romania</t>
        </is>
      </c>
    </row>
    <row r="15198">
      <c r="A15198" t="inlineStr">
        <is>
          <t>SC Sarapac Impex SRL,  SLOBOZIA, Romania</t>
        </is>
      </c>
      <c r="B15198" t="inlineStr">
        <is>
          <t>First Gathering Point, Trader</t>
        </is>
      </c>
      <c r="C15198" t="inlineStr">
        <is>
          <t>BM Certification, Riga, LV</t>
        </is>
      </c>
      <c r="D15198" t="inlineStr">
        <is>
          <t>03.09.2026</t>
        </is>
      </c>
      <c r="E15198" t="inlineStr">
        <is>
          <t>Romania</t>
        </is>
      </c>
    </row>
    <row r="15199">
      <c r="A15199" t="inlineStr">
        <is>
          <t>Vantage Corn Processors,  Decatur, IL, United States</t>
        </is>
      </c>
      <c r="B15199" t="inlineStr">
        <is>
          <t>Trader with Storage</t>
        </is>
      </c>
      <c r="C15199" t="inlineStr">
        <is>
          <t>ASG Cert GmbH, Munich, DE</t>
        </is>
      </c>
      <c r="D15199" t="inlineStr">
        <is>
          <t>03.09.2026</t>
        </is>
      </c>
      <c r="E15199" t="inlineStr">
        <is>
          <t>United States</t>
        </is>
      </c>
    </row>
    <row r="15200">
      <c r="A15200" t="inlineStr">
        <is>
          <t>SANYUAN INT’L LOGISTICS (HK) LIMITED,  Shenzhen, Guangdong Province, China</t>
        </is>
      </c>
      <c r="B15200" t="inlineStr">
        <is>
          <t>Trader</t>
        </is>
      </c>
      <c r="C15200" t="inlineStr">
        <is>
          <t>SCS Global Services, Emeryville, CA, US</t>
        </is>
      </c>
      <c r="D15200" t="inlineStr">
        <is>
          <t>03.09.2026</t>
        </is>
      </c>
      <c r="E15200" t="inlineStr">
        <is>
          <t>China</t>
        </is>
      </c>
    </row>
    <row r="15201">
      <c r="A15201" t="inlineStr">
        <is>
          <t>FORESA, INDUSTRIAS QUÍMICAS DEL NOROESTE, S.A.U.,  Caldas de Reis, Spain</t>
        </is>
      </c>
      <c r="B15201" t="inlineStr">
        <is>
          <t>Processing Unit, Trader with Storage</t>
        </is>
      </c>
      <c r="C15201" t="inlineStr">
        <is>
          <t>Certificadora Gallega del Noroeste SL, Vilagarcia de Arousa-Pontevedra, ES</t>
        </is>
      </c>
      <c r="D15201" t="inlineStr">
        <is>
          <t>03.09.2026</t>
        </is>
      </c>
      <c r="E15201" t="inlineStr">
        <is>
          <t>Spain</t>
        </is>
      </c>
    </row>
    <row r="15202">
      <c r="A15202" t="inlineStr">
        <is>
          <t>AS "Dobeles dzirnavnieks",  Dobele, Latvia</t>
        </is>
      </c>
      <c r="B15202" t="inlineStr">
        <is>
          <t>Trader with Storage, First Gathering Point</t>
        </is>
      </c>
      <c r="C15202" t="inlineStr">
        <is>
          <t>SGS Germany GmbH, Emstek, DE</t>
        </is>
      </c>
      <c r="D15202" t="inlineStr">
        <is>
          <t>03.09.2026</t>
        </is>
      </c>
      <c r="E15202" t="inlineStr">
        <is>
          <t>Latvia</t>
        </is>
      </c>
    </row>
    <row r="15203">
      <c r="A15203" t="inlineStr">
        <is>
          <t>BeyondPoly (Shandong) New Materials Co.,Ltd.,  Binzhou City, Shandong Province, China</t>
        </is>
      </c>
      <c r="B15203" t="inlineStr">
        <is>
          <t>Processing Unit</t>
        </is>
      </c>
      <c r="C15203" t="inlineStr">
        <is>
          <t>SGS Germany GmbH, Emstek, DE</t>
        </is>
      </c>
      <c r="D15203" t="inlineStr">
        <is>
          <t>03.09.2026</t>
        </is>
      </c>
      <c r="E15203" t="inlineStr">
        <is>
          <t>China</t>
        </is>
      </c>
    </row>
    <row r="15204">
      <c r="A15204" t="inlineStr">
        <is>
          <t>K.F.S. Gabona Termelői Csoportja Mezőgazdasági Szövetkezet,  Fazekasboda, Hungary</t>
        </is>
      </c>
      <c r="B15204" t="inlineStr">
        <is>
          <t>First Gathering Point</t>
        </is>
      </c>
      <c r="C15204" t="inlineStr">
        <is>
          <t>SGS Germany GmbH, Emstek, DE</t>
        </is>
      </c>
      <c r="D15204" t="inlineStr">
        <is>
          <t>03.09.2026</t>
        </is>
      </c>
      <c r="E15204" t="inlineStr">
        <is>
          <t>Hungary</t>
        </is>
      </c>
    </row>
    <row r="15205">
      <c r="A15205" t="inlineStr">
        <is>
          <t>GREMCA Agricultura y Energía Sostenible S.A.,  El Copey, Cesar, Colombia</t>
        </is>
      </c>
      <c r="B15205" t="inlineStr">
        <is>
          <t>First Gathering Point, Processing Unit, Point of Origin</t>
        </is>
      </c>
      <c r="C15205" t="inlineStr">
        <is>
          <t>Control Union Poland Sp. z o.o., Zielona Gora, PL</t>
        </is>
      </c>
      <c r="D15205" t="inlineStr">
        <is>
          <t>03.09.2026</t>
        </is>
      </c>
      <c r="E15205" t="inlineStr">
        <is>
          <t>Colombia</t>
        </is>
      </c>
    </row>
    <row r="15206">
      <c r="A15206" t="inlineStr">
        <is>
          <t>Anqing Jin Bao Bei Energy Technology Co.,Ltd.,  Anqing City Anhui Province, China</t>
        </is>
      </c>
      <c r="B15206" t="inlineStr">
        <is>
          <t>Collecting Point, Trader</t>
        </is>
      </c>
      <c r="C15206" t="inlineStr">
        <is>
          <t>SCS Global Services, Emeryville, CA, US</t>
        </is>
      </c>
      <c r="D15206" t="inlineStr">
        <is>
          <t>03.09.2026</t>
        </is>
      </c>
      <c r="E15206" t="inlineStr">
        <is>
          <t>China</t>
        </is>
      </c>
    </row>
    <row r="15207">
      <c r="A15207" t="inlineStr">
        <is>
          <t>LanzaJet,  Soperton, GA, United States</t>
        </is>
      </c>
      <c r="B15207" t="inlineStr">
        <is>
          <t>Processing Unit</t>
        </is>
      </c>
      <c r="C15207" t="inlineStr">
        <is>
          <t>SCS Global Services, Emeryville, CA, US</t>
        </is>
      </c>
      <c r="D15207" t="inlineStr">
        <is>
          <t>03.09.2026</t>
        </is>
      </c>
      <c r="E15207" t="inlineStr">
        <is>
          <t>United States</t>
        </is>
      </c>
    </row>
    <row r="15208">
      <c r="A15208" t="inlineStr">
        <is>
          <t>Inno Materials Inc.,  Gumi-Si, South Korea</t>
        </is>
      </c>
      <c r="B15208" t="inlineStr">
        <is>
          <t>Collecting Point, Processing Unit</t>
        </is>
      </c>
      <c r="C15208" t="inlineStr">
        <is>
          <t>Control Union Certifications Germany GmbH, Berlin, DE</t>
        </is>
      </c>
      <c r="D15208" t="inlineStr">
        <is>
          <t>03.09.2026</t>
        </is>
      </c>
      <c r="E15208" t="inlineStr">
        <is>
          <t>South Korea</t>
        </is>
      </c>
    </row>
    <row r="15209">
      <c r="A15209" t="inlineStr">
        <is>
          <t>Kin Sang Chemical Ltd.,  Shenzhen, China</t>
        </is>
      </c>
      <c r="B15209" t="inlineStr">
        <is>
          <t>Trader with Storage</t>
        </is>
      </c>
      <c r="C15209" t="inlineStr">
        <is>
          <t>SCS Global Services, Emeryville, CA, US</t>
        </is>
      </c>
      <c r="D15209" t="inlineStr">
        <is>
          <t>03.09.2026</t>
        </is>
      </c>
      <c r="E15209" t="inlineStr">
        <is>
          <t>China</t>
        </is>
      </c>
    </row>
    <row r="15210">
      <c r="A15210" t="inlineStr">
        <is>
          <t>Bozhou Masheng Environmental Technology Co., Ltd,  Bozhou, China</t>
        </is>
      </c>
      <c r="B15210" t="inlineStr">
        <is>
          <t>Collecting Point, Processing Unit</t>
        </is>
      </c>
      <c r="C15210" t="inlineStr">
        <is>
          <t>RINA Services S.p.A., Genova, IT</t>
        </is>
      </c>
      <c r="D15210" t="inlineStr">
        <is>
          <t>03.09.2026</t>
        </is>
      </c>
      <c r="E15210" t="inlineStr">
        <is>
          <t>China</t>
        </is>
      </c>
    </row>
    <row r="15211">
      <c r="A15211" t="inlineStr">
        <is>
          <t>ORLEN Eesti OÜ,  Tallinn, Estonia</t>
        </is>
      </c>
      <c r="B15211" t="inlineStr">
        <is>
          <t>Trader with Storage</t>
        </is>
      </c>
      <c r="C15211" t="inlineStr">
        <is>
          <t>Bureau Veritas Polska Sp. z o.o., Warsaw, PL</t>
        </is>
      </c>
      <c r="D15211" t="inlineStr">
        <is>
          <t>03.09.2026</t>
        </is>
      </c>
      <c r="E15211" t="inlineStr">
        <is>
          <t>Estonia</t>
        </is>
      </c>
    </row>
    <row r="15212">
      <c r="A15212" t="inlineStr">
        <is>
          <t>SecAnim GmbH,  Elxleben, Germany</t>
        </is>
      </c>
      <c r="B15212" t="inlineStr">
        <is>
          <t>Point of Origin, Processing Unit</t>
        </is>
      </c>
      <c r="C15212" t="inlineStr">
        <is>
          <t>GUT Certifizierungsgesellschaft für Managementsysteme mbH Umweltgutachter, Berlin, DE</t>
        </is>
      </c>
      <c r="D15212" t="inlineStr">
        <is>
          <t>03.09.2026</t>
        </is>
      </c>
      <c r="E15212" t="inlineStr">
        <is>
          <t>Germany</t>
        </is>
      </c>
    </row>
    <row r="15213">
      <c r="A15213" t="inlineStr">
        <is>
          <t>Excarbri S.L.,  Valverde de Leganés, Spain</t>
        </is>
      </c>
      <c r="B15213" t="inlineStr">
        <is>
          <t>Processing Unit, First Gathering Point</t>
        </is>
      </c>
      <c r="C15213" t="inlineStr">
        <is>
          <t>BMC Assurance, S.L, Santander, ES</t>
        </is>
      </c>
      <c r="D15213" t="inlineStr">
        <is>
          <t>03.09.2026</t>
        </is>
      </c>
      <c r="E15213" t="inlineStr">
        <is>
          <t>Spain</t>
        </is>
      </c>
    </row>
    <row r="15214">
      <c r="A15214" t="inlineStr">
        <is>
          <t>Tubest Packing (JS) Co., Ltd.,  Kunshan City，Jiangsu Province, China</t>
        </is>
      </c>
      <c r="B15214" t="inlineStr">
        <is>
          <t>Processing Unit</t>
        </is>
      </c>
      <c r="C15214" t="inlineStr">
        <is>
          <t>Bureau Veritas Polska Sp. z o.o., Warsaw, PL</t>
        </is>
      </c>
      <c r="D15214" t="inlineStr">
        <is>
          <t>03.09.2026</t>
        </is>
      </c>
      <c r="E15214" t="inlineStr">
        <is>
          <t>China</t>
        </is>
      </c>
    </row>
    <row r="15215">
      <c r="A15215" t="inlineStr">
        <is>
          <t>Biotisk Energier Netherlands BV,  Dordrecht, Netherlands</t>
        </is>
      </c>
      <c r="B15215" t="inlineStr">
        <is>
          <t>Trader with Storage, Collecting Point</t>
        </is>
      </c>
      <c r="C15215" t="inlineStr">
        <is>
          <t>Trans Certification and Inspection Sdn Bhd, Kuantan, MY</t>
        </is>
      </c>
      <c r="D15215" t="inlineStr">
        <is>
          <t>03.09.2026</t>
        </is>
      </c>
      <c r="E15215" t="inlineStr">
        <is>
          <t>Netherlands</t>
        </is>
      </c>
    </row>
    <row r="15216">
      <c r="A15216" t="inlineStr">
        <is>
          <t>FRIGAL - ENTREPOSTO FRIGORÍFICO ALIMENTAR,  Estoi, Faro, Portugal</t>
        </is>
      </c>
      <c r="B15216" t="inlineStr">
        <is>
          <t>Trader</t>
        </is>
      </c>
      <c r="C15216" t="inlineStr">
        <is>
          <t>Certificadora Gallega del Noroeste SL, Vilagarcia de Arousa-Pontevedra, ES</t>
        </is>
      </c>
      <c r="D15216" t="inlineStr">
        <is>
          <t>03.09.2026</t>
        </is>
      </c>
      <c r="E15216" t="inlineStr">
        <is>
          <t>Portugal</t>
        </is>
      </c>
    </row>
    <row r="15217">
      <c r="A15217" t="inlineStr">
        <is>
          <t>Crasus Chemical Inc.,  Tokyo, Japan</t>
        </is>
      </c>
      <c r="B15217" t="inlineStr">
        <is>
          <t>Trader</t>
        </is>
      </c>
      <c r="C15217" t="inlineStr">
        <is>
          <t>SGS Germany GmbH, Emstek, DE</t>
        </is>
      </c>
      <c r="D15217" t="inlineStr">
        <is>
          <t>03.09.2026</t>
        </is>
      </c>
      <c r="E15217" t="inlineStr">
        <is>
          <t>Japan</t>
        </is>
      </c>
    </row>
    <row r="15218">
      <c r="A15218" t="inlineStr">
        <is>
          <t>PT. Kurnia Sari Utama,  Karawang-Barat, Indonesia</t>
        </is>
      </c>
      <c r="B15218" t="inlineStr">
        <is>
          <t>Collecting Point, Trader with Storage, Processing Unit</t>
        </is>
      </c>
      <c r="C15218" t="inlineStr">
        <is>
          <t>PT. Qualitas Sertifikasi Indonesia, Jakarta, ID</t>
        </is>
      </c>
      <c r="D15218" t="inlineStr">
        <is>
          <t>03.09.2026</t>
        </is>
      </c>
      <c r="E15218" t="inlineStr">
        <is>
          <t>Indonesia</t>
        </is>
      </c>
    </row>
    <row r="15219">
      <c r="A15219" t="inlineStr">
        <is>
          <t>Bio Genesis Oil Trading,  Birkat Al Awamer, Qatar</t>
        </is>
      </c>
      <c r="B15219" t="inlineStr">
        <is>
          <t>Collecting Point</t>
        </is>
      </c>
      <c r="C15219" t="inlineStr">
        <is>
          <t>Trans Certification and Inspection Sdn Bhd, Kuantan, MY</t>
        </is>
      </c>
      <c r="D15219" t="inlineStr">
        <is>
          <t>03.09.2026</t>
        </is>
      </c>
      <c r="E15219" t="inlineStr">
        <is>
          <t>Qatar</t>
        </is>
      </c>
    </row>
    <row r="15220">
      <c r="A15220" t="inlineStr">
        <is>
          <t>Bio Frimarc Unipessoal,  Olhao, Portugal</t>
        </is>
      </c>
      <c r="B15220" t="inlineStr">
        <is>
          <t>Collecting Point</t>
        </is>
      </c>
      <c r="C15220" t="inlineStr">
        <is>
          <t>Certificadora Gallega del Noroeste SL, Vilagarcia de Arousa-Pontevedra, ES</t>
        </is>
      </c>
      <c r="D15220" t="inlineStr">
        <is>
          <t>03.09.2026</t>
        </is>
      </c>
      <c r="E15220" t="inlineStr">
        <is>
          <t>Portugal</t>
        </is>
      </c>
    </row>
    <row r="15221">
      <c r="A15221" t="inlineStr">
        <is>
          <t>ERU Europe GmbH,  Kyiv, Ukraine</t>
        </is>
      </c>
      <c r="B15221" t="inlineStr">
        <is>
          <t>Trader</t>
        </is>
      </c>
      <c r="C15221" t="inlineStr">
        <is>
          <t>Baltic Control Certification, Risskov, DK</t>
        </is>
      </c>
      <c r="D15221" t="inlineStr">
        <is>
          <t>03.09.2026</t>
        </is>
      </c>
      <c r="E15221" t="inlineStr">
        <is>
          <t>Ukraine</t>
        </is>
      </c>
    </row>
    <row r="15222">
      <c r="A15222" t="inlineStr">
        <is>
          <t>GR Korea Ltd,  Gimcheon-si, The Republic of Korea</t>
        </is>
      </c>
      <c r="B15222" t="inlineStr">
        <is>
          <t>Processing Unit</t>
        </is>
      </c>
      <c r="C15222" t="inlineStr">
        <is>
          <t>Control Union Certifications Germany GmbH, Berlin, DE</t>
        </is>
      </c>
      <c r="D15222" t="inlineStr">
        <is>
          <t>03.09.2026</t>
        </is>
      </c>
      <c r="E15222" t="inlineStr">
        <is>
          <t>The Republic of Korea</t>
        </is>
      </c>
    </row>
    <row r="15223">
      <c r="A15223" t="inlineStr">
        <is>
          <t>Agrofirm "Olgopil",  Vinnytsia region, Gaysynskyi district, Olgopil village, Ukraine</t>
        </is>
      </c>
      <c r="B15223" t="inlineStr">
        <is>
          <t>Farm / Plantation</t>
        </is>
      </c>
      <c r="C15223" t="inlineStr">
        <is>
          <t>BM Certification, Riga, LV</t>
        </is>
      </c>
      <c r="D15223" t="inlineStr">
        <is>
          <t>02.09.2026</t>
        </is>
      </c>
      <c r="E15223" t="inlineStr">
        <is>
          <t>Ukraine</t>
        </is>
      </c>
    </row>
    <row r="15224">
      <c r="A15224" t="inlineStr">
        <is>
          <t>PT Tujuh Serangkai Sawit Perdana,  Kab. Labuhanbatu Selatan, Indonesia</t>
        </is>
      </c>
      <c r="B15224" t="inlineStr">
        <is>
          <t>Point of Origin</t>
        </is>
      </c>
      <c r="C15224" t="inlineStr">
        <is>
          <t>BM Certification, Riga, LV</t>
        </is>
      </c>
      <c r="D15224" t="inlineStr">
        <is>
          <t>02.09.2026</t>
        </is>
      </c>
      <c r="E15224" t="inlineStr">
        <is>
          <t>Indonesia</t>
        </is>
      </c>
    </row>
    <row r="15225">
      <c r="A15225" t="inlineStr">
        <is>
          <t>PT Mekar Jaya Sawit,  Kab. Simalungun, Indonesia</t>
        </is>
      </c>
      <c r="B15225" t="inlineStr">
        <is>
          <t>Point of Origin</t>
        </is>
      </c>
      <c r="C15225" t="inlineStr">
        <is>
          <t>BM Certification, Riga, LV</t>
        </is>
      </c>
      <c r="D15225" t="inlineStr">
        <is>
          <t>02.09.2026</t>
        </is>
      </c>
      <c r="E15225" t="inlineStr">
        <is>
          <t>Indonesia</t>
        </is>
      </c>
    </row>
    <row r="15226">
      <c r="A15226" t="inlineStr">
        <is>
          <t>CV Agri Sinar Kencana,  Sumatera Utara, Indonesia</t>
        </is>
      </c>
      <c r="B15226" t="inlineStr">
        <is>
          <t>Point of Origin</t>
        </is>
      </c>
      <c r="C15226" t="inlineStr">
        <is>
          <t>BM Certification, Riga, LV</t>
        </is>
      </c>
      <c r="D15226" t="inlineStr">
        <is>
          <t>02.09.2026</t>
        </is>
      </c>
      <c r="E15226" t="inlineStr">
        <is>
          <t>Indonesia</t>
        </is>
      </c>
    </row>
    <row r="15227">
      <c r="A15227" t="inlineStr">
        <is>
          <t>PT Bersama Oesaha Saragih Sejahtera,  Simalungun, Indonesia</t>
        </is>
      </c>
      <c r="B15227" t="inlineStr">
        <is>
          <t>Point of Origin</t>
        </is>
      </c>
      <c r="C15227" t="inlineStr">
        <is>
          <t>BM Certification, Riga, LV</t>
        </is>
      </c>
      <c r="D15227" t="inlineStr">
        <is>
          <t>02.09.2026</t>
        </is>
      </c>
      <c r="E15227" t="inlineStr">
        <is>
          <t>Indonesia</t>
        </is>
      </c>
    </row>
    <row r="15228">
      <c r="A15228" t="inlineStr">
        <is>
          <t>KC&amp;A Corporation,  Giheung-gu, Yongin-si, Gyeonggi-do, Korea, Republic of</t>
        </is>
      </c>
      <c r="B15228" t="inlineStr">
        <is>
          <t>Trader with Storage</t>
        </is>
      </c>
      <c r="C15228" t="inlineStr">
        <is>
          <t>Control Union Certifications Germany GmbH, Berlin, DE</t>
        </is>
      </c>
      <c r="D15228" t="inlineStr">
        <is>
          <t>02.09.2026</t>
        </is>
      </c>
      <c r="E15228" t="inlineStr">
        <is>
          <t>Republic of</t>
        </is>
      </c>
    </row>
    <row r="15229">
      <c r="A15229" t="inlineStr">
        <is>
          <t>Nexsol (Malaysia) Sdn Bhd,  Kawasan Perindustrian Tanjung Langsat Pasir Gudang, Malaysia</t>
        </is>
      </c>
      <c r="B15229" t="inlineStr">
        <is>
          <t>Trader with Storage, Processing Unit, Warehouse</t>
        </is>
      </c>
      <c r="C15229" t="inlineStr">
        <is>
          <t>ASG Cert GmbH, Munich, DE</t>
        </is>
      </c>
      <c r="D15229" t="inlineStr">
        <is>
          <t>02.09.2026</t>
        </is>
      </c>
      <c r="E15229" t="inlineStr">
        <is>
          <t>Malaysia</t>
        </is>
      </c>
    </row>
    <row r="15230">
      <c r="A15230" t="inlineStr">
        <is>
          <t>Marcal Környéki Mezőgazdasági Termelői Beszerző és Értékesítő Szövetkezet,  Koroncó, Hungary</t>
        </is>
      </c>
      <c r="B15230" t="inlineStr">
        <is>
          <t>First Gathering Point, Trader with Storage</t>
        </is>
      </c>
      <c r="C15230" t="inlineStr">
        <is>
          <t>Bureau Veritas Polska Sp. z o.o., Warsaw, PL</t>
        </is>
      </c>
      <c r="D15230" t="inlineStr">
        <is>
          <t>02.09.2026</t>
        </is>
      </c>
      <c r="E15230" t="inlineStr">
        <is>
          <t>Hungary</t>
        </is>
      </c>
    </row>
    <row r="15231">
      <c r="A15231" t="inlineStr">
        <is>
          <t>LUIS LEAL E FILHOS S.A.,  Arrifana, Portugal</t>
        </is>
      </c>
      <c r="B15231" t="inlineStr">
        <is>
          <t>Point of Origin, Processing Unit</t>
        </is>
      </c>
      <c r="C15231" t="inlineStr">
        <is>
          <t>Control Union Poland Sp. z o.o., Zielona Gora, PL</t>
        </is>
      </c>
      <c r="D15231" t="inlineStr">
        <is>
          <t>02.09.2026</t>
        </is>
      </c>
      <c r="E15231" t="inlineStr">
        <is>
          <t>Portugal</t>
        </is>
      </c>
    </row>
    <row r="15232">
      <c r="A15232" t="inlineStr">
        <is>
          <t>Global Farming International SRL,  Țarigrad, Moldova</t>
        </is>
      </c>
      <c r="B15232" t="inlineStr">
        <is>
          <t>First Gathering Point</t>
        </is>
      </c>
      <c r="C15232" t="inlineStr">
        <is>
          <t>SGS Germany GmbH, Emstek, DE</t>
        </is>
      </c>
      <c r="D15232" t="inlineStr">
        <is>
          <t>02.09.2026</t>
        </is>
      </c>
      <c r="E15232" t="inlineStr">
        <is>
          <t>Moldova</t>
        </is>
      </c>
    </row>
    <row r="15233">
      <c r="A15233" t="inlineStr">
        <is>
          <t>Nitto Advanced Film Gronau GmbH,  Gronau, Germany</t>
        </is>
      </c>
      <c r="B15233" t="inlineStr">
        <is>
          <t>Processing Unit, Final Product Refinement</t>
        </is>
      </c>
      <c r="C15233" t="inlineStr">
        <is>
          <t>GUT Certifizierungsgesellschaft für Managementsysteme mbH Umweltgutachter, Berlin, DE</t>
        </is>
      </c>
      <c r="D15233" t="inlineStr">
        <is>
          <t>02.09.2026</t>
        </is>
      </c>
      <c r="E15233" t="inlineStr">
        <is>
          <t>Germany</t>
        </is>
      </c>
    </row>
    <row r="15234">
      <c r="A15234" t="inlineStr">
        <is>
          <t>Ponaflex Corporation,  Namdong-gu, Incheon, The Republic of Korea</t>
        </is>
      </c>
      <c r="B15234" t="inlineStr">
        <is>
          <t>Processing Unit</t>
        </is>
      </c>
      <c r="C15234" t="inlineStr">
        <is>
          <t>SGS Germany GmbH, Emstek, DE</t>
        </is>
      </c>
      <c r="D15234" t="inlineStr">
        <is>
          <t>02.09.2026</t>
        </is>
      </c>
      <c r="E15234" t="inlineStr">
        <is>
          <t>The Republic of Korea</t>
        </is>
      </c>
    </row>
    <row r="15235">
      <c r="A15235" t="inlineStr">
        <is>
          <t>Junan County Jinchi Trading Co., Ltd,  Linyi City, Shandong Province, China</t>
        </is>
      </c>
      <c r="B15235" t="inlineStr">
        <is>
          <t>Collecting Point</t>
        </is>
      </c>
      <c r="C15235" t="inlineStr">
        <is>
          <t>RINA Services S.p.A., Genova, IT</t>
        </is>
      </c>
      <c r="D15235" t="inlineStr">
        <is>
          <t>02.09.2026</t>
        </is>
      </c>
      <c r="E15235" t="inlineStr">
        <is>
          <t>China</t>
        </is>
      </c>
    </row>
    <row r="15236">
      <c r="A15236" t="inlineStr">
        <is>
          <t>BLUE PLANET INDUSTRIAL WASTE SOLUTIONS SDN BHD,  PADANG SERAI, Malaysia</t>
        </is>
      </c>
      <c r="B15236" t="inlineStr">
        <is>
          <t>Trader with Storage</t>
        </is>
      </c>
      <c r="C15236" t="inlineStr">
        <is>
          <t>Aardvark Certification Ltd, Wiveliscombe, Somerset, GB</t>
        </is>
      </c>
      <c r="D15236" t="inlineStr">
        <is>
          <t>02.09.2026</t>
        </is>
      </c>
      <c r="E15236" t="inlineStr">
        <is>
          <t>Malaysia</t>
        </is>
      </c>
    </row>
    <row r="15237">
      <c r="A15237" t="inlineStr">
        <is>
          <t>BLUE PLANET INDUSTRIAL WASTE SOLUTIONS SDN BHD,  PADANG SERAI, Malaysia</t>
        </is>
      </c>
      <c r="B15237" t="inlineStr">
        <is>
          <t>Trader with Storage</t>
        </is>
      </c>
      <c r="C15237" t="inlineStr">
        <is>
          <t>Aardvark Certification Ltd, Wiveliscombe, Somerset, GB</t>
        </is>
      </c>
      <c r="D15237" t="inlineStr">
        <is>
          <t>02.09.2026</t>
        </is>
      </c>
      <c r="E15237" t="inlineStr">
        <is>
          <t>Malaysia</t>
        </is>
      </c>
    </row>
    <row r="15238">
      <c r="A15238" t="inlineStr">
        <is>
          <t>Sambu Fine Chemical Co, Ltd,  Gimhae-si, South Korea</t>
        </is>
      </c>
      <c r="B15238" t="inlineStr">
        <is>
          <t>Trader with Storage, Processing Unit</t>
        </is>
      </c>
      <c r="C15238" t="inlineStr">
        <is>
          <t>SGS Germany GmbH, Emstek, DE</t>
        </is>
      </c>
      <c r="D15238" t="inlineStr">
        <is>
          <t>02.09.2026</t>
        </is>
      </c>
      <c r="E15238" t="inlineStr">
        <is>
          <t>South Korea</t>
        </is>
      </c>
    </row>
    <row r="15239">
      <c r="A15239" t="inlineStr">
        <is>
          <t>Guangxi Wuzhou Guolong Plastic Chemical Co., Ltd.,  Wuzhou, Guangxi, China</t>
        </is>
      </c>
      <c r="B15239" t="inlineStr">
        <is>
          <t>Trader with Storage, Processing Unit</t>
        </is>
      </c>
      <c r="C15239" t="inlineStr">
        <is>
          <t>SCS Global Services, Emeryville, CA, US</t>
        </is>
      </c>
      <c r="D15239" t="inlineStr">
        <is>
          <t>02.09.2026</t>
        </is>
      </c>
      <c r="E15239" t="inlineStr">
        <is>
          <t>China</t>
        </is>
      </c>
    </row>
    <row r="15240">
      <c r="A15240" t="inlineStr">
        <is>
          <t>PT Agriprima Cipta Persada,  Desa Andaito, Kecamatan Muting, Kabupaten Merauke, Indonesia</t>
        </is>
      </c>
      <c r="B15240" t="inlineStr">
        <is>
          <t>Point of Origin</t>
        </is>
      </c>
      <c r="C15240" t="inlineStr">
        <is>
          <t>PT SBC Asia Sertifikasi, Kebumen, ID</t>
        </is>
      </c>
      <c r="D15240" t="inlineStr">
        <is>
          <t>02.09.2026</t>
        </is>
      </c>
      <c r="E15240" t="inlineStr">
        <is>
          <t>Indonesia</t>
        </is>
      </c>
    </row>
    <row r="15241">
      <c r="A15241" t="inlineStr">
        <is>
          <t>PT Agrinusa Persada Mulia,  Desa Bupul, Kecamatan Elikobal, Kabupaten Merauke, Indonesia</t>
        </is>
      </c>
      <c r="B15241" t="inlineStr">
        <is>
          <t>Point of Origin</t>
        </is>
      </c>
      <c r="C15241" t="inlineStr">
        <is>
          <t>PT SBC Asia Sertifikasi, Kebumen, ID</t>
        </is>
      </c>
      <c r="D15241" t="inlineStr">
        <is>
          <t>02.09.2026</t>
        </is>
      </c>
      <c r="E15241" t="inlineStr">
        <is>
          <t>Indonesia</t>
        </is>
      </c>
    </row>
    <row r="15242">
      <c r="A15242" t="inlineStr">
        <is>
          <t>Arong Banner Zhongneng Energy Technology Co., Ltd.,  Hulunbuir City,Inner Mongolia Autonomous Region, China</t>
        </is>
      </c>
      <c r="B15242" t="inlineStr">
        <is>
          <t>Processing Unit</t>
        </is>
      </c>
      <c r="C15242" t="inlineStr">
        <is>
          <t>CTI Certification Co. Ltd, Shenzhen, CN</t>
        </is>
      </c>
      <c r="D15242" t="inlineStr">
        <is>
          <t>02.09.2026</t>
        </is>
      </c>
      <c r="E15242" t="inlineStr">
        <is>
          <t>China</t>
        </is>
      </c>
    </row>
    <row r="15243">
      <c r="A15243" t="inlineStr">
        <is>
          <t>Neste Walco Ltd,  Railway Square, Ireland</t>
        </is>
      </c>
      <c r="B15243" t="inlineStr">
        <is>
          <t>Trader, Collecting Point</t>
        </is>
      </c>
      <c r="C15243" t="inlineStr">
        <is>
          <t>DEKRA Certification B.V., Arnhem, NL</t>
        </is>
      </c>
      <c r="D15243" t="inlineStr">
        <is>
          <t>02.09.2026</t>
        </is>
      </c>
      <c r="E15243" t="inlineStr">
        <is>
          <t>Ireland</t>
        </is>
      </c>
    </row>
    <row r="15244">
      <c r="A15244" t="inlineStr">
        <is>
          <t>Erim Arikan Yag Gida Inş. San. ve Tic. A.Ş.,  Nizip, Turkey</t>
        </is>
      </c>
      <c r="B15244" t="inlineStr">
        <is>
          <t>Collecting Point, Processing Unit, Point of Origin, Trader with Storage</t>
        </is>
      </c>
      <c r="C15244" t="inlineStr">
        <is>
          <t>BM Certification, Riga, LV</t>
        </is>
      </c>
      <c r="D15244" t="inlineStr">
        <is>
          <t>02.09.2026</t>
        </is>
      </c>
      <c r="E15244" t="inlineStr">
        <is>
          <t>Turkey</t>
        </is>
      </c>
    </row>
    <row r="15245">
      <c r="A15245" t="inlineStr">
        <is>
          <t>Enerjipro Danismanlik Petrol &amp; Proje Ltd Sti,  Şişli, Turkey</t>
        </is>
      </c>
      <c r="B15245" t="inlineStr">
        <is>
          <t>Trader</t>
        </is>
      </c>
      <c r="C15245" t="inlineStr">
        <is>
          <t>PT Intertek Utama Services, Jakarta, ID</t>
        </is>
      </c>
      <c r="D15245" t="inlineStr">
        <is>
          <t>02.09.2026</t>
        </is>
      </c>
      <c r="E15245" t="inlineStr">
        <is>
          <t>Turkey</t>
        </is>
      </c>
    </row>
    <row r="15246">
      <c r="A15246" t="inlineStr">
        <is>
          <t>WENZHOU GUANHAO GLASSES CO LTD,  Wenzhou, China</t>
        </is>
      </c>
      <c r="B15246" t="inlineStr">
        <is>
          <t>Processing Unit</t>
        </is>
      </c>
      <c r="C15246" t="inlineStr">
        <is>
          <t>Bureau Veritas Consumer Products Services, Inc., Littleton, MA, US</t>
        </is>
      </c>
      <c r="D15246" t="inlineStr">
        <is>
          <t>02.09.2026</t>
        </is>
      </c>
      <c r="E15246" t="inlineStr">
        <is>
          <t>China</t>
        </is>
      </c>
    </row>
    <row r="15247">
      <c r="A15247" t="inlineStr">
        <is>
          <t>Münzer Paltental GmbH,  Gaishorn am See, Austria</t>
        </is>
      </c>
      <c r="B15247" t="inlineStr">
        <is>
          <t>Point of Origin, Collecting Point, Trader with Storage, Processing Unit, Proof of Compliance Trader</t>
        </is>
      </c>
      <c r="C15247" t="inlineStr">
        <is>
          <t>ASG Cert GmbH, Munich, DE</t>
        </is>
      </c>
      <c r="D15247" t="inlineStr">
        <is>
          <t>02.09.2026</t>
        </is>
      </c>
      <c r="E15247" t="inlineStr">
        <is>
          <t>Austria</t>
        </is>
      </c>
    </row>
    <row r="15248">
      <c r="A15248" t="inlineStr">
        <is>
          <t>Cleanlake AB,  Charlottenlund, Denmark</t>
        </is>
      </c>
      <c r="B15248" t="inlineStr">
        <is>
          <t>Trader</t>
        </is>
      </c>
      <c r="C15248" t="inlineStr">
        <is>
          <t>RINA Services S.p.A., Genova, IT</t>
        </is>
      </c>
      <c r="D15248" t="inlineStr">
        <is>
          <t>02.09.2026</t>
        </is>
      </c>
      <c r="E15248" t="inlineStr">
        <is>
          <t>Denmark</t>
        </is>
      </c>
    </row>
    <row r="15249">
      <c r="A15249" t="inlineStr">
        <is>
          <t>YAMATO-ESULON (THAILAND) CO., LTD.,  Chachoengsao, Thailand</t>
        </is>
      </c>
      <c r="B15249" t="inlineStr">
        <is>
          <t>Processing Unit</t>
        </is>
      </c>
      <c r="C15249" t="inlineStr">
        <is>
          <t>SGS Germany GmbH, Emstek, DE</t>
        </is>
      </c>
      <c r="D15249" t="inlineStr">
        <is>
          <t>02.09.2026</t>
        </is>
      </c>
      <c r="E15249" t="inlineStr">
        <is>
          <t>Thailand</t>
        </is>
      </c>
    </row>
    <row r="15250">
      <c r="A15250" t="inlineStr">
        <is>
          <t>Ansomi - Global,  Lisboa,  Lumiar, Portugal</t>
        </is>
      </c>
      <c r="B15250" t="inlineStr">
        <is>
          <t>Trader with Storage</t>
        </is>
      </c>
      <c r="C15250" t="inlineStr">
        <is>
          <t>RINA Services S.p.A., Genova, IT</t>
        </is>
      </c>
      <c r="D15250" t="inlineStr">
        <is>
          <t>02.09.2026</t>
        </is>
      </c>
      <c r="E15250" t="inlineStr">
        <is>
          <t>Portugal</t>
        </is>
      </c>
    </row>
    <row r="15251">
      <c r="A15251" t="inlineStr">
        <is>
          <t>ASUNGPLASTIC.Co.,Ltd.,  ANSAN-SI, South Korea</t>
        </is>
      </c>
      <c r="B15251" t="inlineStr">
        <is>
          <t>Processing Unit, Trader</t>
        </is>
      </c>
      <c r="C15251" t="inlineStr">
        <is>
          <t>Bureau Veritas Polska Sp. z o.o., Warsaw, PL</t>
        </is>
      </c>
      <c r="D15251" t="inlineStr">
        <is>
          <t>02.09.2026</t>
        </is>
      </c>
      <c r="E15251" t="inlineStr">
        <is>
          <t>South Korea</t>
        </is>
      </c>
    </row>
    <row r="15252">
      <c r="A15252" t="inlineStr">
        <is>
          <t>"OZTK" LLC,  Kyiv, Ukraine</t>
        </is>
      </c>
      <c r="B15252" t="inlineStr">
        <is>
          <t>First Gathering Point, Trader</t>
        </is>
      </c>
      <c r="C15252" t="inlineStr">
        <is>
          <t>Bureau Veritas Polska Sp. z o.o., Warsaw, PL</t>
        </is>
      </c>
      <c r="D15252" t="inlineStr">
        <is>
          <t>02.09.2026</t>
        </is>
      </c>
      <c r="E15252" t="inlineStr">
        <is>
          <t>Ukraine</t>
        </is>
      </c>
    </row>
    <row r="15253">
      <c r="A15253" t="inlineStr">
        <is>
          <t>Consorzi Agrari d'Italia S.p.A.,  SAN GIORGIO DI PIANO (BO), Italy</t>
        </is>
      </c>
      <c r="B15253" t="inlineStr">
        <is>
          <t>First Gathering Point</t>
        </is>
      </c>
      <c r="C15253" t="inlineStr">
        <is>
          <t>CSQA Certificazioni Srl, Thiene, IT</t>
        </is>
      </c>
      <c r="D15253" t="inlineStr">
        <is>
          <t>02.09.2026</t>
        </is>
      </c>
      <c r="E15253" t="inlineStr">
        <is>
          <t>Italy</t>
        </is>
      </c>
    </row>
    <row r="15254">
      <c r="A15254" t="inlineStr">
        <is>
          <t>NANDAMAY GLOBAL CO., LTD,  Bundang - Gu, Seongnam-Si, Gyeonggi - Do, Korea, Republic of</t>
        </is>
      </c>
      <c r="B15254" t="inlineStr">
        <is>
          <t>Trader</t>
        </is>
      </c>
      <c r="C15254" t="inlineStr">
        <is>
          <t>Control Union Certifications Germany GmbH, Berlin, DE</t>
        </is>
      </c>
      <c r="D15254" t="inlineStr">
        <is>
          <t>02.09.2026</t>
        </is>
      </c>
      <c r="E15254" t="inlineStr">
        <is>
          <t>Republic of</t>
        </is>
      </c>
    </row>
    <row r="15255">
      <c r="A15255" t="inlineStr">
        <is>
          <t>VIMEKSIM SRB DOO,  Novi Sad, Serbia</t>
        </is>
      </c>
      <c r="B15255" t="inlineStr">
        <is>
          <t>Trader</t>
        </is>
      </c>
      <c r="C15255" t="inlineStr">
        <is>
          <t>Bureau Veritas Polska Sp. z o.o., Warsaw, PL</t>
        </is>
      </c>
      <c r="D15255" t="inlineStr">
        <is>
          <t>02.09.2026</t>
        </is>
      </c>
      <c r="E15255" t="inlineStr">
        <is>
          <t>Serbia</t>
        </is>
      </c>
    </row>
    <row r="15256">
      <c r="A15256" t="inlineStr">
        <is>
          <t>Fratelli Guzzini,  Recanati, Italy</t>
        </is>
      </c>
      <c r="B15256" t="inlineStr">
        <is>
          <t>Processing Unit, Final Product Refinement, Trader with Storage</t>
        </is>
      </c>
      <c r="C15256" t="inlineStr">
        <is>
          <t>IIP S.r.l., Monza, IT</t>
        </is>
      </c>
      <c r="D15256" t="inlineStr">
        <is>
          <t>02.09.2026</t>
        </is>
      </c>
      <c r="E15256" t="inlineStr">
        <is>
          <t>Italy</t>
        </is>
      </c>
    </row>
    <row r="15257">
      <c r="A15257" t="inlineStr">
        <is>
          <t>Beijing Yongle Waste Co-processing Center,  Tongzhou District, Beijing, China</t>
        </is>
      </c>
      <c r="B15257" t="inlineStr">
        <is>
          <t>Collecting Point, Trader with Storage</t>
        </is>
      </c>
      <c r="C15257" t="inlineStr">
        <is>
          <t>RINA Services S.p.A., Genova, IT</t>
        </is>
      </c>
      <c r="D15257" t="inlineStr">
        <is>
          <t>02.09.2026</t>
        </is>
      </c>
      <c r="E15257" t="inlineStr">
        <is>
          <t>China</t>
        </is>
      </c>
    </row>
    <row r="15258">
      <c r="A15258" t="inlineStr">
        <is>
          <t>Xinji Jiashijian Renewable Resources Utilization Co., Ltd,  Xinji City, Hebei Province, China</t>
        </is>
      </c>
      <c r="B15258" t="inlineStr">
        <is>
          <t>Collecting Point</t>
        </is>
      </c>
      <c r="C15258" t="inlineStr">
        <is>
          <t>RINA Services S.p.A., Genova, IT</t>
        </is>
      </c>
      <c r="D15258" t="inlineStr">
        <is>
          <t>02.09.2026</t>
        </is>
      </c>
      <c r="E15258" t="inlineStr">
        <is>
          <t>China</t>
        </is>
      </c>
    </row>
    <row r="15259">
      <c r="A15259" t="inlineStr">
        <is>
          <t>Leshan Hualin Environmental Sanitation Management Co., LTD,  Leshan, China</t>
        </is>
      </c>
      <c r="B15259" t="inlineStr">
        <is>
          <t>Trader</t>
        </is>
      </c>
      <c r="C15259" t="inlineStr">
        <is>
          <t>RINA Services S.p.A., Genova, IT</t>
        </is>
      </c>
      <c r="D15259" t="inlineStr">
        <is>
          <t>02.09.2026</t>
        </is>
      </c>
      <c r="E15259" t="inlineStr">
        <is>
          <t>China</t>
        </is>
      </c>
    </row>
    <row r="15260">
      <c r="A15260" t="inlineStr">
        <is>
          <t>Iras Indah Sdn Bhd,  Kota Kinabalu, Malaysia</t>
        </is>
      </c>
      <c r="B15260" t="inlineStr">
        <is>
          <t>Collecting Point, Trader with Storage</t>
        </is>
      </c>
      <c r="C15260" t="inlineStr">
        <is>
          <t>Trans Certification and Inspection Sdn Bhd, Kuantan, MY</t>
        </is>
      </c>
      <c r="D15260" t="inlineStr">
        <is>
          <t>02.09.2026</t>
        </is>
      </c>
      <c r="E15260" t="inlineStr">
        <is>
          <t>Malaysia</t>
        </is>
      </c>
    </row>
    <row r="15261">
      <c r="A15261" t="inlineStr">
        <is>
          <t>Daekyung Oil &amp; Transportation co., ltd.,  Nongong-eup, Dalseong-gun, Daegu, South Korea</t>
        </is>
      </c>
      <c r="B15261" t="inlineStr">
        <is>
          <t>Point of Origin</t>
        </is>
      </c>
      <c r="C15261" t="inlineStr">
        <is>
          <t>Control Union Certifications Germany GmbH, Berlin, DE</t>
        </is>
      </c>
      <c r="D15261" t="inlineStr">
        <is>
          <t>02.09.2026</t>
        </is>
      </c>
      <c r="E15261" t="inlineStr">
        <is>
          <t>South Korea</t>
        </is>
      </c>
    </row>
    <row r="15262">
      <c r="A15262" t="inlineStr">
        <is>
          <t>Daekyung Oil &amp; Transportation co., ltd.,  Samdong-myeon, Ulju-gun, Ulsan, South Korea</t>
        </is>
      </c>
      <c r="B15262" t="inlineStr">
        <is>
          <t>Point of Origin</t>
        </is>
      </c>
      <c r="C15262" t="inlineStr">
        <is>
          <t>Control Union Certifications Germany GmbH, Berlin, DE</t>
        </is>
      </c>
      <c r="D15262" t="inlineStr">
        <is>
          <t>02.09.2026</t>
        </is>
      </c>
      <c r="E15262" t="inlineStr">
        <is>
          <t>South Korea</t>
        </is>
      </c>
    </row>
    <row r="15263">
      <c r="A15263" t="inlineStr">
        <is>
          <t>SD Guthrie International Port Klang Refinery Sdn Bhd,  Pelabuhan Klang, Malaysia</t>
        </is>
      </c>
      <c r="B15263" t="inlineStr">
        <is>
          <t>Point of Origin</t>
        </is>
      </c>
      <c r="C15263" t="inlineStr">
        <is>
          <t>Control Union Certifications Germany GmbH, Berlin, DE</t>
        </is>
      </c>
      <c r="D15263" t="inlineStr">
        <is>
          <t>02.09.2026</t>
        </is>
      </c>
      <c r="E15263" t="inlineStr">
        <is>
          <t>Malaysia</t>
        </is>
      </c>
    </row>
    <row r="15264">
      <c r="A15264" t="inlineStr">
        <is>
          <t>Southstar S.A.,  Athens, Greece</t>
        </is>
      </c>
      <c r="B15264" t="inlineStr">
        <is>
          <t>Collecting Point</t>
        </is>
      </c>
      <c r="C15264" t="inlineStr">
        <is>
          <t>Eurocert SA, Metamorfosi, Athens, GR</t>
        </is>
      </c>
      <c r="D15264" t="inlineStr">
        <is>
          <t>02.09.2026</t>
        </is>
      </c>
      <c r="E15264" t="inlineStr">
        <is>
          <t>Greece</t>
        </is>
      </c>
    </row>
    <row r="15265">
      <c r="A15265" t="inlineStr">
        <is>
          <t>Al Dahra Serbia,  Padinska Skela, Serbia</t>
        </is>
      </c>
      <c r="B15265" t="inlineStr">
        <is>
          <t>Trader with Storage, Farm / Plantation</t>
        </is>
      </c>
      <c r="C15265" t="inlineStr">
        <is>
          <t>Control Union Certifications Germany GmbH, Berlin, DE</t>
        </is>
      </c>
      <c r="D15265" t="inlineStr">
        <is>
          <t>02.09.2026</t>
        </is>
      </c>
      <c r="E15265" t="inlineStr">
        <is>
          <t>Serbia</t>
        </is>
      </c>
    </row>
    <row r="15266">
      <c r="A15266" t="inlineStr">
        <is>
          <t>NEW SUNRISE INTERNATIONAL LIMITED,  SHANGHAI CITY, China</t>
        </is>
      </c>
      <c r="B15266" t="inlineStr">
        <is>
          <t>Trader</t>
        </is>
      </c>
      <c r="C15266" t="inlineStr">
        <is>
          <t>RINA Services S.p.A., Genova, IT</t>
        </is>
      </c>
      <c r="D15266" t="inlineStr">
        <is>
          <t>02.09.2026</t>
        </is>
      </c>
      <c r="E15266" t="inlineStr">
        <is>
          <t>China</t>
        </is>
      </c>
    </row>
    <row r="15267">
      <c r="A15267" t="inlineStr">
        <is>
          <t>EOC Belgium,  Evergem, Belgium</t>
        </is>
      </c>
      <c r="B15267" t="inlineStr">
        <is>
          <t>Processing Unit</t>
        </is>
      </c>
      <c r="C15267" t="inlineStr">
        <is>
          <t>DEKRA Certification B.V., Arnhem, NL</t>
        </is>
      </c>
      <c r="D15267" t="inlineStr">
        <is>
          <t>02.09.2026</t>
        </is>
      </c>
      <c r="E15267" t="inlineStr">
        <is>
          <t>Belgium</t>
        </is>
      </c>
    </row>
    <row r="15268">
      <c r="A15268" t="inlineStr">
        <is>
          <t>HENGSHUI JINGHUA CHEMICAL CO., LTD.,  HIGH-TECH ZONE, HENGSHUI CITY, HEBEI PROVINCE, China</t>
        </is>
      </c>
      <c r="B15268" t="inlineStr">
        <is>
          <t>Processing Unit</t>
        </is>
      </c>
      <c r="C15268" t="inlineStr">
        <is>
          <t>Trans Certification and Inspection Sdn Bhd, Kuantan, MY</t>
        </is>
      </c>
      <c r="D15268" t="inlineStr">
        <is>
          <t>02.09.2026</t>
        </is>
      </c>
      <c r="E15268" t="inlineStr">
        <is>
          <t>China</t>
        </is>
      </c>
    </row>
    <row r="15269">
      <c r="A15269" t="inlineStr">
        <is>
          <t>KOONG SHING SDN BHD,  Kunak, Malaysia</t>
        </is>
      </c>
      <c r="B15269" t="inlineStr">
        <is>
          <t>Point of Origin</t>
        </is>
      </c>
      <c r="C15269" t="inlineStr">
        <is>
          <t>Trans Certification and Inspection Sdn Bhd, Kuantan, MY</t>
        </is>
      </c>
      <c r="D15269" t="inlineStr">
        <is>
          <t>02.09.2026</t>
        </is>
      </c>
      <c r="E15269" t="inlineStr">
        <is>
          <t>Malaysia</t>
        </is>
      </c>
    </row>
    <row r="15270">
      <c r="A15270" t="inlineStr">
        <is>
          <t>BUNGE ARGENTINA SA,  Quequén, Buenos Aires, Argentina</t>
        </is>
      </c>
      <c r="B15270" t="inlineStr">
        <is>
          <t>Processing Unit, Point of Origin</t>
        </is>
      </c>
      <c r="C15270" t="inlineStr">
        <is>
          <t>Control Union Certifications Germany GmbH, Berlin, DE</t>
        </is>
      </c>
      <c r="D15270" t="inlineStr">
        <is>
          <t>01.09.2026</t>
        </is>
      </c>
      <c r="E15270" t="inlineStr">
        <is>
          <t>Argentina</t>
        </is>
      </c>
    </row>
    <row r="15271">
      <c r="A15271" t="inlineStr">
        <is>
          <t>Luyi Solid Waste Disposal (Jining) Co., Ltd,  Jining, China</t>
        </is>
      </c>
      <c r="B15271" t="inlineStr">
        <is>
          <t>Collecting Point, Processing Unit</t>
        </is>
      </c>
      <c r="C15271" t="inlineStr">
        <is>
          <t>RINA Services S.p.A., Genova, IT</t>
        </is>
      </c>
      <c r="D15271" t="inlineStr">
        <is>
          <t>01.09.2026</t>
        </is>
      </c>
      <c r="E15271" t="inlineStr">
        <is>
          <t>China</t>
        </is>
      </c>
    </row>
    <row r="15272">
      <c r="A15272" t="inlineStr">
        <is>
          <t>Lima Energy Sdn Bhd,  Port Klang, Selangor, Malaysia</t>
        </is>
      </c>
      <c r="B15272" t="inlineStr">
        <is>
          <t>Trader</t>
        </is>
      </c>
      <c r="C15272" t="inlineStr">
        <is>
          <t>RINA Services S.p.A., Genova, IT</t>
        </is>
      </c>
      <c r="D15272" t="inlineStr">
        <is>
          <t>01.09.2026</t>
        </is>
      </c>
      <c r="E15272" t="inlineStr">
        <is>
          <t>Malaysia</t>
        </is>
      </c>
    </row>
    <row r="15273">
      <c r="A15273" t="inlineStr">
        <is>
          <t>PIK- VINKOVCI Plus d.o.o.,  Vinkovci, Croatia</t>
        </is>
      </c>
      <c r="B15273" t="inlineStr">
        <is>
          <t>Farm / Plantation, First Gathering Point, Trader with Storage</t>
        </is>
      </c>
      <c r="C15273" t="inlineStr">
        <is>
          <t>Bureau Veritas Polska Sp. z o.o., Warsaw, PL</t>
        </is>
      </c>
      <c r="D15273" t="inlineStr">
        <is>
          <t>01.09.2026</t>
        </is>
      </c>
      <c r="E15273" t="inlineStr">
        <is>
          <t>Croatia</t>
        </is>
      </c>
    </row>
    <row r="15274">
      <c r="A15274" t="inlineStr">
        <is>
          <t>FERSTAR AGRO s.r.o.,  Chrudim, Czech Republic</t>
        </is>
      </c>
      <c r="B15274" t="inlineStr">
        <is>
          <t>First Gathering Point, Trader</t>
        </is>
      </c>
      <c r="C15274" t="inlineStr">
        <is>
          <t>TÜV SÜD Czech s.r.o., Praha 4, CZ</t>
        </is>
      </c>
      <c r="D15274" t="inlineStr">
        <is>
          <t>01.09.2026</t>
        </is>
      </c>
      <c r="E15274" t="inlineStr">
        <is>
          <t>Czech Republic</t>
        </is>
      </c>
    </row>
    <row r="15275">
      <c r="A15275" t="inlineStr">
        <is>
          <t>Qufu Haichuang Masheng Environmental Technology Co., Ltd,  Jining, China</t>
        </is>
      </c>
      <c r="B15275" t="inlineStr">
        <is>
          <t>Collecting Point, Processing Unit</t>
        </is>
      </c>
      <c r="C15275" t="inlineStr">
        <is>
          <t>RINA Services S.p.A., Genova, IT</t>
        </is>
      </c>
      <c r="D15275" t="inlineStr">
        <is>
          <t>01.09.2026</t>
        </is>
      </c>
      <c r="E15275" t="inlineStr">
        <is>
          <t>China</t>
        </is>
      </c>
    </row>
    <row r="15276">
      <c r="A15276" t="inlineStr">
        <is>
          <t>Jiangsu Chenjie Renewable Resources Technology Co., Ltd.,  Suzhou, China</t>
        </is>
      </c>
      <c r="B15276" t="inlineStr">
        <is>
          <t>Collecting Point, Processing Unit</t>
        </is>
      </c>
      <c r="C15276" t="inlineStr">
        <is>
          <t>RINA Services S.p.A., Genova, IT</t>
        </is>
      </c>
      <c r="D15276" t="inlineStr">
        <is>
          <t>01.09.2026</t>
        </is>
      </c>
      <c r="E15276" t="inlineStr">
        <is>
          <t>China</t>
        </is>
      </c>
    </row>
    <row r="15277">
      <c r="A15277" t="inlineStr">
        <is>
          <t>SRL ML CAPITAL PRO,  Chisinau, Moldova</t>
        </is>
      </c>
      <c r="B15277" t="inlineStr">
        <is>
          <t>Trader with Storage</t>
        </is>
      </c>
      <c r="C15277" t="inlineStr">
        <is>
          <t>BM Certification, Riga, LV</t>
        </is>
      </c>
      <c r="D15277" t="inlineStr">
        <is>
          <t>01.09.2026</t>
        </is>
      </c>
      <c r="E15277" t="inlineStr">
        <is>
          <t>Moldova</t>
        </is>
      </c>
    </row>
    <row r="15278">
      <c r="A15278" t="inlineStr">
        <is>
          <t>ATLANTIDA 21 - SOLUCIONES BIONERGETICAS DE LA PENINSULA,  O Porriño, Pontevedra, Spain</t>
        </is>
      </c>
      <c r="B15278" t="inlineStr">
        <is>
          <t>Trader</t>
        </is>
      </c>
      <c r="C15278" t="inlineStr">
        <is>
          <t>RINA Services S.p.A., Genova, IT</t>
        </is>
      </c>
      <c r="D15278" t="inlineStr">
        <is>
          <t>01.09.2026</t>
        </is>
      </c>
      <c r="E15278" t="inlineStr">
        <is>
          <t>Spain</t>
        </is>
      </c>
    </row>
    <row r="15279">
      <c r="A15279" t="inlineStr">
        <is>
          <t>V.A. WHITLEY &amp; CO. LIMITED,  Heywood, United Kingdom</t>
        </is>
      </c>
      <c r="B15279" t="inlineStr">
        <is>
          <t>Collecting Point</t>
        </is>
      </c>
      <c r="C15279" t="inlineStr">
        <is>
          <t>SGS Germany GmbH, Emstek, DE</t>
        </is>
      </c>
      <c r="D15279" t="inlineStr">
        <is>
          <t>01.09.2026</t>
        </is>
      </c>
      <c r="E15279" t="inlineStr">
        <is>
          <t>United Kingdom</t>
        </is>
      </c>
    </row>
    <row r="15280">
      <c r="A15280" t="inlineStr">
        <is>
          <t>Guangdong Zhongxiang Oil Co., Ltd,  Yuncheng District, Yunfu City, China</t>
        </is>
      </c>
      <c r="B15280" t="inlineStr">
        <is>
          <t>Collecting Point</t>
        </is>
      </c>
      <c r="C15280" t="inlineStr">
        <is>
          <t>RINA Services S.p.A., Genova, IT</t>
        </is>
      </c>
      <c r="D15280" t="inlineStr">
        <is>
          <t>01.09.2026</t>
        </is>
      </c>
      <c r="E15280" t="inlineStr">
        <is>
          <t>China</t>
        </is>
      </c>
    </row>
    <row r="15281">
      <c r="A15281" t="inlineStr">
        <is>
          <t>DONGGUAN YIYI OPTICAL COMPANY LTD,  jin he industrial area, zhangmutou town, dongguan, China</t>
        </is>
      </c>
      <c r="B15281" t="inlineStr">
        <is>
          <t>Trader</t>
        </is>
      </c>
      <c r="C15281" t="inlineStr">
        <is>
          <t>RINA Services S.p.A., Genova, IT</t>
        </is>
      </c>
      <c r="D15281" t="inlineStr">
        <is>
          <t>01.09.2026</t>
        </is>
      </c>
      <c r="E15281" t="inlineStr">
        <is>
          <t>China</t>
        </is>
      </c>
    </row>
    <row r="15282">
      <c r="A15282" t="inlineStr">
        <is>
          <t>ROAD JET,  JIN HE INDUSTRIAL AREA, ZHANGMUTOU TOWN, DONGGUAN, China</t>
        </is>
      </c>
      <c r="B15282" t="inlineStr">
        <is>
          <t>Trader</t>
        </is>
      </c>
      <c r="C15282" t="inlineStr">
        <is>
          <t>RINA Services S.p.A., Genova, IT</t>
        </is>
      </c>
      <c r="D15282" t="inlineStr">
        <is>
          <t>01.09.2026</t>
        </is>
      </c>
      <c r="E15282" t="inlineStr">
        <is>
          <t>China</t>
        </is>
      </c>
    </row>
    <row r="15283">
      <c r="A15283" t="inlineStr">
        <is>
          <t>Felice Claudio,  Ripalimosani, Italy</t>
        </is>
      </c>
      <c r="B15283" t="inlineStr">
        <is>
          <t>First Gathering Point</t>
        </is>
      </c>
      <c r="C15283" t="inlineStr">
        <is>
          <t>DNV Business Assurance Sweden AB, Solna, SE</t>
        </is>
      </c>
      <c r="D15283" t="inlineStr">
        <is>
          <t>01.09.2026</t>
        </is>
      </c>
      <c r="E15283" t="inlineStr">
        <is>
          <t>Italy</t>
        </is>
      </c>
    </row>
    <row r="15284">
      <c r="A15284" t="inlineStr">
        <is>
          <t>MIK Co., Ltd,  Gyeonggi-do,, South Korea</t>
        </is>
      </c>
      <c r="B15284" t="inlineStr">
        <is>
          <t>Collecting Point, Trader with Storage</t>
        </is>
      </c>
      <c r="C15284" t="inlineStr">
        <is>
          <t>PT. Qualitas Sertifikasi Indonesia, Jakarta, ID</t>
        </is>
      </c>
      <c r="D15284" t="inlineStr">
        <is>
          <t>01.09.2026</t>
        </is>
      </c>
      <c r="E15284" t="inlineStr">
        <is>
          <t>South Korea</t>
        </is>
      </c>
    </row>
    <row r="15285">
      <c r="A15285" t="inlineStr">
        <is>
          <t>HIROKAWA CO.,LTD.,  Osaka, Japan</t>
        </is>
      </c>
      <c r="B15285" t="inlineStr">
        <is>
          <t>Trader with Storage</t>
        </is>
      </c>
      <c r="C15285" t="inlineStr">
        <is>
          <t>SGS Germany GmbH, Emstek, DE</t>
        </is>
      </c>
      <c r="D15285" t="inlineStr">
        <is>
          <t>01.09.2026</t>
        </is>
      </c>
      <c r="E15285" t="inlineStr">
        <is>
          <t>Japan</t>
        </is>
      </c>
    </row>
    <row r="15286">
      <c r="A15286" t="inlineStr">
        <is>
          <t>Nexeo Plaschem (Shanghai) Co., Ltd.,  Shanghai City, China</t>
        </is>
      </c>
      <c r="B15286" t="inlineStr">
        <is>
          <t>Trader with Storage</t>
        </is>
      </c>
      <c r="C15286" t="inlineStr">
        <is>
          <t>SCS Global Services, Emeryville, CA, US</t>
        </is>
      </c>
      <c r="D15286" t="inlineStr">
        <is>
          <t>01.09.2026</t>
        </is>
      </c>
      <c r="E15286" t="inlineStr">
        <is>
          <t>China</t>
        </is>
      </c>
    </row>
    <row r="15287">
      <c r="A15287" t="inlineStr">
        <is>
          <t>RENEWABLE ENERGY INVESTMENTS,  Miami, Florida, United States</t>
        </is>
      </c>
      <c r="B15287" t="inlineStr">
        <is>
          <t>Trader</t>
        </is>
      </c>
      <c r="C15287" t="inlineStr">
        <is>
          <t>Control Union Certifications Germany GmbH, Berlin, DE</t>
        </is>
      </c>
      <c r="D15287" t="inlineStr">
        <is>
          <t>01.09.2026</t>
        </is>
      </c>
      <c r="E15287" t="inlineStr">
        <is>
          <t>United States</t>
        </is>
      </c>
    </row>
    <row r="15288">
      <c r="A15288" t="inlineStr">
        <is>
          <t>Shangqiu Huamao Biotechnology Co., Ltd.,  Shangqiu City, Henan Province, China</t>
        </is>
      </c>
      <c r="B15288" t="inlineStr">
        <is>
          <t>Collecting Point, Trader</t>
        </is>
      </c>
      <c r="C15288" t="inlineStr">
        <is>
          <t>SCS Global Services, Emeryville, CA, US</t>
        </is>
      </c>
      <c r="D15288" t="inlineStr">
        <is>
          <t>01.09.2026</t>
        </is>
      </c>
      <c r="E15288" t="inlineStr">
        <is>
          <t>China</t>
        </is>
      </c>
    </row>
    <row r="15289">
      <c r="A15289" t="inlineStr">
        <is>
          <t>Ponaflex Corporation Gwangju Plant,  Buk-gu, Gwangju, The Republic of Korea</t>
        </is>
      </c>
      <c r="B15289" t="inlineStr">
        <is>
          <t>Processing Unit</t>
        </is>
      </c>
      <c r="C15289" t="inlineStr">
        <is>
          <t>SGS Germany GmbH, Emstek, DE</t>
        </is>
      </c>
      <c r="D15289" t="inlineStr">
        <is>
          <t>01.09.2026</t>
        </is>
      </c>
      <c r="E15289" t="inlineStr">
        <is>
          <t>The Republic of Korea</t>
        </is>
      </c>
    </row>
    <row r="15290">
      <c r="A15290" t="inlineStr">
        <is>
          <t>VIETNAM CHINGLUH SHOES CO.,,  Vinh Long Province, Vietnam</t>
        </is>
      </c>
      <c r="B15290" t="inlineStr">
        <is>
          <t>Processing Unit</t>
        </is>
      </c>
      <c r="C15290" t="inlineStr">
        <is>
          <t>SGS Germany GmbH, Emstek, DE</t>
        </is>
      </c>
      <c r="D15290" t="inlineStr">
        <is>
          <t>01.09.2026</t>
        </is>
      </c>
      <c r="E15290" t="inlineStr">
        <is>
          <t>Vietnam</t>
        </is>
      </c>
    </row>
    <row r="15291">
      <c r="A15291" t="inlineStr">
        <is>
          <t>Princi völgye Mezőgazdasági Szövetkezet,  Porrogszentpál, Hungary</t>
        </is>
      </c>
      <c r="B15291" t="inlineStr">
        <is>
          <t>First Gathering Point</t>
        </is>
      </c>
      <c r="C15291" t="inlineStr">
        <is>
          <t>BM Certification, Riga, LV</t>
        </is>
      </c>
      <c r="D15291" t="inlineStr">
        <is>
          <t>01.09.2026</t>
        </is>
      </c>
      <c r="E15291" t="inlineStr">
        <is>
          <t>Hungary</t>
        </is>
      </c>
    </row>
    <row r="15292">
      <c r="A15292" t="inlineStr">
        <is>
          <t>OIL MASTERS NORTH DEVON/BRISTOL,  Chivenor, The United Kingdom</t>
        </is>
      </c>
      <c r="B15292" t="inlineStr">
        <is>
          <t>Collecting Point</t>
        </is>
      </c>
      <c r="C15292" t="inlineStr">
        <is>
          <t>Control Union Certifications Germany GmbH, Berlin, DE</t>
        </is>
      </c>
      <c r="D15292" t="inlineStr">
        <is>
          <t>01.09.2026</t>
        </is>
      </c>
      <c r="E15292" t="inlineStr">
        <is>
          <t>The United Kingdom</t>
        </is>
      </c>
    </row>
    <row r="15293">
      <c r="A15293" t="inlineStr">
        <is>
          <t>Agrimais Casatico,  Casatico Die Marcaria, Italy</t>
        </is>
      </c>
      <c r="B15293" t="inlineStr">
        <is>
          <t>First Gathering Point</t>
        </is>
      </c>
      <c r="C15293" t="inlineStr">
        <is>
          <t>DNV Business Assurance Sweden AB, Solna, SE</t>
        </is>
      </c>
      <c r="D15293" t="inlineStr">
        <is>
          <t>01.09.2026</t>
        </is>
      </c>
      <c r="E15293" t="inlineStr">
        <is>
          <t>Italy</t>
        </is>
      </c>
    </row>
    <row r="15294">
      <c r="A15294" t="inlineStr">
        <is>
          <t>Kyiv-Atlantic Ukraine,  Mironoivka municipality,Mironivskyi district, Kyiv region, Ukraine</t>
        </is>
      </c>
      <c r="B15294" t="inlineStr">
        <is>
          <t>Processing Unit, Trader with Storage</t>
        </is>
      </c>
      <c r="C15294" t="inlineStr">
        <is>
          <t>Control Union Certifications Germany GmbH, Berlin, DE</t>
        </is>
      </c>
      <c r="D15294" t="inlineStr">
        <is>
          <t>01.09.2026</t>
        </is>
      </c>
      <c r="E15294" t="inlineStr">
        <is>
          <t>Ukraine</t>
        </is>
      </c>
    </row>
    <row r="15295">
      <c r="A15295" t="inlineStr">
        <is>
          <t>Haltermann Carless Deutschland GmbH,  Hamburg, Germany</t>
        </is>
      </c>
      <c r="B15295" t="inlineStr">
        <is>
          <t>Trader with Storage</t>
        </is>
      </c>
      <c r="C15295" t="inlineStr">
        <is>
          <t>DEKRA Certification GmbH, Stuttgart, DE</t>
        </is>
      </c>
      <c r="D15295" t="inlineStr">
        <is>
          <t>01.09.2026</t>
        </is>
      </c>
      <c r="E15295" t="inlineStr">
        <is>
          <t>Germany</t>
        </is>
      </c>
    </row>
    <row r="15296">
      <c r="A15296" t="inlineStr">
        <is>
          <t>Haltermann Carless Deutschland GmbH,  Hamburg, Germany</t>
        </is>
      </c>
      <c r="B15296" t="inlineStr">
        <is>
          <t>Trader with Storage</t>
        </is>
      </c>
      <c r="C15296" t="inlineStr">
        <is>
          <t>DEKRA Certification GmbH, Stuttgart, DE</t>
        </is>
      </c>
      <c r="D15296" t="inlineStr">
        <is>
          <t>01.09.2026</t>
        </is>
      </c>
      <c r="E15296" t="inlineStr">
        <is>
          <t>Germany</t>
        </is>
      </c>
    </row>
    <row r="15297">
      <c r="A15297" t="inlineStr">
        <is>
          <t>BASF Corporation,  Port Arthur, United States</t>
        </is>
      </c>
      <c r="B15297" t="inlineStr">
        <is>
          <t>Trader, Processing Unit</t>
        </is>
      </c>
      <c r="C15297" t="inlineStr">
        <is>
          <t>SCS Global Services, Emeryville, CA, US</t>
        </is>
      </c>
      <c r="D15297" t="inlineStr">
        <is>
          <t>01.09.2026</t>
        </is>
      </c>
      <c r="E15297" t="inlineStr">
        <is>
          <t>United States</t>
        </is>
      </c>
    </row>
    <row r="15298">
      <c r="A15298" t="inlineStr">
        <is>
          <t>TotalEnergies Petrochemicals &amp; Refining USA, Inc,  Port Arthur, Texas, United States</t>
        </is>
      </c>
      <c r="B15298" t="inlineStr">
        <is>
          <t>Trader with Storage, Processing Unit, Trader</t>
        </is>
      </c>
      <c r="C15298" t="inlineStr">
        <is>
          <t>SCS Global Services, Emeryville, CA, US</t>
        </is>
      </c>
      <c r="D15298" t="inlineStr">
        <is>
          <t>01.09.2026</t>
        </is>
      </c>
      <c r="E15298" t="inlineStr">
        <is>
          <t>United States</t>
        </is>
      </c>
    </row>
    <row r="15299">
      <c r="A15299" t="inlineStr">
        <is>
          <t>TotalEnergies Petrochemicals &amp; Refining USA, Inc,  La Porte, Texas, United States</t>
        </is>
      </c>
      <c r="B15299" t="inlineStr">
        <is>
          <t>Processing Unit</t>
        </is>
      </c>
      <c r="C15299" t="inlineStr">
        <is>
          <t>SCS Global Services, Emeryville, CA, US</t>
        </is>
      </c>
      <c r="D15299" t="inlineStr">
        <is>
          <t>01.09.2026</t>
        </is>
      </c>
      <c r="E15299" t="inlineStr">
        <is>
          <t>United States</t>
        </is>
      </c>
    </row>
    <row r="15300">
      <c r="A15300" t="inlineStr">
        <is>
          <t>WAGA ASSETS VEHICULE 19 (WAGA ENERGY),  Eteignières, France</t>
        </is>
      </c>
      <c r="B15300" t="inlineStr">
        <is>
          <t>Processing Unit, Collecting Point</t>
        </is>
      </c>
      <c r="C15300" t="inlineStr">
        <is>
          <t>SI Cert Italy S.R.L., Parma, IT</t>
        </is>
      </c>
      <c r="D15300" t="inlineStr">
        <is>
          <t>01.09.2026</t>
        </is>
      </c>
      <c r="E15300" t="inlineStr">
        <is>
          <t>France</t>
        </is>
      </c>
    </row>
    <row r="15301">
      <c r="A15301" t="inlineStr">
        <is>
          <t>Enerhooshchadni tekhnolohiyi NVO, PP,  Khorostkiv city, Ternopil region, Ukraine, Ukraine</t>
        </is>
      </c>
      <c r="B15301" t="inlineStr">
        <is>
          <t>First Gathering Point, Trader with Storage</t>
        </is>
      </c>
      <c r="C15301" t="inlineStr">
        <is>
          <t>Bureau Veritas Polska Sp. z o.o., Warsaw, PL</t>
        </is>
      </c>
      <c r="D15301" t="inlineStr">
        <is>
          <t>01.09.2026</t>
        </is>
      </c>
      <c r="E15301" t="inlineStr">
        <is>
          <t>Ukraine</t>
        </is>
      </c>
    </row>
    <row r="15302">
      <c r="A15302" t="inlineStr">
        <is>
          <t>Recogida de aceites y grasas Maresme, S.L. (Maresme SL),  Teia ( Barcelona), Spain</t>
        </is>
      </c>
      <c r="B15302" t="inlineStr">
        <is>
          <t>Collecting Point, Trader</t>
        </is>
      </c>
      <c r="C15302" t="inlineStr">
        <is>
          <t>Control Union Poland Sp. z o.o., Zielona Gora, PL</t>
        </is>
      </c>
      <c r="D15302" t="inlineStr">
        <is>
          <t>01.09.2026</t>
        </is>
      </c>
      <c r="E15302" t="inlineStr">
        <is>
          <t>Spain</t>
        </is>
      </c>
    </row>
    <row r="15303">
      <c r="A15303" t="inlineStr">
        <is>
          <t>ViGo Bioenergy GmbH,  Berlin, Germany</t>
        </is>
      </c>
      <c r="B15303" t="inlineStr">
        <is>
          <t>Trader</t>
        </is>
      </c>
      <c r="C15303" t="inlineStr">
        <is>
          <t>DEKRA Certification B.V., Arnhem, NL</t>
        </is>
      </c>
      <c r="D15303" t="inlineStr">
        <is>
          <t>01.09.2026</t>
        </is>
      </c>
      <c r="E15303" t="inlineStr">
        <is>
          <t>Germany</t>
        </is>
      </c>
    </row>
    <row r="15304">
      <c r="A15304" t="inlineStr">
        <is>
          <t>Fraddon Biogas Limited,  St Columb, United Kingdom</t>
        </is>
      </c>
      <c r="B15304" t="inlineStr">
        <is>
          <t>Collecting Point, First Gathering Point, Processing Unit</t>
        </is>
      </c>
      <c r="C15304" t="inlineStr">
        <is>
          <t>Aardvark Certification Ltd, Wiveliscombe, Somerset, GB</t>
        </is>
      </c>
      <c r="D15304" t="inlineStr">
        <is>
          <t>01.09.2026</t>
        </is>
      </c>
      <c r="E15304" t="inlineStr">
        <is>
          <t>United Kingdom</t>
        </is>
      </c>
    </row>
    <row r="15305">
      <c r="A15305" t="inlineStr">
        <is>
          <t>SHPP US LLC,  Selkirk, NY, United States</t>
        </is>
      </c>
      <c r="B15305" t="inlineStr">
        <is>
          <t>Processing Unit</t>
        </is>
      </c>
      <c r="C15305" t="inlineStr">
        <is>
          <t>TÜV NORD CERT GmbH, Essen, DE</t>
        </is>
      </c>
      <c r="D15305" t="inlineStr">
        <is>
          <t>01.09.2026</t>
        </is>
      </c>
      <c r="E15305" t="inlineStr">
        <is>
          <t>United States</t>
        </is>
      </c>
    </row>
    <row r="15306">
      <c r="A15306" t="inlineStr">
        <is>
          <t>Kooperatyvas "Lietuviški Javai",  Kėdainiai, Lithuania</t>
        </is>
      </c>
      <c r="B15306" t="inlineStr">
        <is>
          <t>First Gathering Point, Trader</t>
        </is>
      </c>
      <c r="C15306" t="inlineStr">
        <is>
          <t>Bureau Veritas Polska Sp. z o.o., Warsaw, PL</t>
        </is>
      </c>
      <c r="D15306" t="inlineStr">
        <is>
          <t>01.09.2026</t>
        </is>
      </c>
      <c r="E15306" t="inlineStr">
        <is>
          <t>Lithuania</t>
        </is>
      </c>
    </row>
    <row r="15307">
      <c r="A15307" t="inlineStr">
        <is>
          <t>NINGBO CHIMBUSCO MARINE BUNKER CO.,LTD.,  Ningbo, Zhejiang Province, China</t>
        </is>
      </c>
      <c r="B15307" t="inlineStr">
        <is>
          <t>Trader</t>
        </is>
      </c>
      <c r="C15307" t="inlineStr">
        <is>
          <t>Guardian Independent Certification Limited, Singapore, SG</t>
        </is>
      </c>
      <c r="D15307" t="inlineStr">
        <is>
          <t>01.09.2026</t>
        </is>
      </c>
      <c r="E15307" t="inlineStr">
        <is>
          <t>China</t>
        </is>
      </c>
    </row>
    <row r="15308">
      <c r="A15308" t="inlineStr">
        <is>
          <t>Birla Carbon (Thailand) Public Co. Ltd.,  Angthong, Thailand</t>
        </is>
      </c>
      <c r="B15308" t="inlineStr">
        <is>
          <t>Processing Unit, Trader with Storage</t>
        </is>
      </c>
      <c r="C15308" t="inlineStr">
        <is>
          <t>PT Intertek Utama Services, Jakarta, ID</t>
        </is>
      </c>
      <c r="D15308" t="inlineStr">
        <is>
          <t>01.09.2026</t>
        </is>
      </c>
      <c r="E15308" t="inlineStr">
        <is>
          <t>Thailand</t>
        </is>
      </c>
    </row>
    <row r="15309">
      <c r="A15309" t="inlineStr">
        <is>
          <t>CHANDRA ASRI TRADING COMPANY PTE LTD,  Singapore, Singapore</t>
        </is>
      </c>
      <c r="B15309" t="inlineStr">
        <is>
          <t>Trader</t>
        </is>
      </c>
      <c r="C15309" t="inlineStr">
        <is>
          <t>PT Intertek Utama Services, Jakarta, ID</t>
        </is>
      </c>
      <c r="D15309" t="inlineStr">
        <is>
          <t>01.09.2026</t>
        </is>
      </c>
      <c r="E15309" t="inlineStr">
        <is>
          <t>Singapore</t>
        </is>
      </c>
    </row>
    <row r="15310">
      <c r="A15310" t="inlineStr">
        <is>
          <t>JIANGSU Xuanda Polymer Materials CO.,LTD,  NANTONG, China</t>
        </is>
      </c>
      <c r="B15310" t="inlineStr">
        <is>
          <t>Processing Unit</t>
        </is>
      </c>
      <c r="C15310" t="inlineStr">
        <is>
          <t>PT Intertek Utama Services, Jakarta, ID</t>
        </is>
      </c>
      <c r="D15310" t="inlineStr">
        <is>
          <t>01.09.2026</t>
        </is>
      </c>
      <c r="E15310" t="inlineStr">
        <is>
          <t>China</t>
        </is>
      </c>
    </row>
    <row r="15311">
      <c r="A15311" t="inlineStr">
        <is>
          <t>Shenzhen Lijian Trading Co. Ltd.,  Shenzhen, China</t>
        </is>
      </c>
      <c r="B15311" t="inlineStr">
        <is>
          <t>Trader</t>
        </is>
      </c>
      <c r="C15311" t="inlineStr">
        <is>
          <t>CTI Certification Co. Ltd, Shenzhen, CN</t>
        </is>
      </c>
      <c r="D15311" t="inlineStr">
        <is>
          <t>01.09.2026</t>
        </is>
      </c>
      <c r="E15311" t="inlineStr">
        <is>
          <t>China</t>
        </is>
      </c>
    </row>
    <row r="15312">
      <c r="A15312" t="inlineStr">
        <is>
          <t>PT Wahana Karya Sejahtera Mandiri,  Desa Tobadak, Kec. Tobadak, Kab. Mamuju Tengah, Indonesia</t>
        </is>
      </c>
      <c r="B15312" t="inlineStr">
        <is>
          <t>Point of Origin</t>
        </is>
      </c>
      <c r="C15312" t="inlineStr">
        <is>
          <t>PT SBC Asia Sertifikasi, Kebumen, ID</t>
        </is>
      </c>
      <c r="D15312" t="inlineStr">
        <is>
          <t>01.09.2026</t>
        </is>
      </c>
      <c r="E15312" t="inlineStr">
        <is>
          <t>Indonesia</t>
        </is>
      </c>
    </row>
    <row r="15313">
      <c r="A15313" t="inlineStr">
        <is>
          <t>Kumho Tire Co., Inc. (Gokseong Plant),  Jeollanam-do, South Korea</t>
        </is>
      </c>
      <c r="B15313" t="inlineStr">
        <is>
          <t>Processing Unit</t>
        </is>
      </c>
      <c r="C15313" t="inlineStr">
        <is>
          <t>Control Union Certifications Germany GmbH, Berlin, DE</t>
        </is>
      </c>
      <c r="D15313" t="inlineStr">
        <is>
          <t>01.09.2026</t>
        </is>
      </c>
      <c r="E15313" t="inlineStr">
        <is>
          <t>South Korea</t>
        </is>
      </c>
    </row>
    <row r="15314">
      <c r="A15314" t="inlineStr">
        <is>
          <t>PRIMA MAKMUR CAKRAWALA,  Jakarta, Indonesia</t>
        </is>
      </c>
      <c r="B15314" t="inlineStr">
        <is>
          <t>Trader</t>
        </is>
      </c>
      <c r="C15314" t="inlineStr">
        <is>
          <t>PT SBC Asia Sertifikasi, Kebumen, ID</t>
        </is>
      </c>
      <c r="D15314" t="inlineStr">
        <is>
          <t>01.09.2026</t>
        </is>
      </c>
      <c r="E15314" t="inlineStr">
        <is>
          <t>Indonesia</t>
        </is>
      </c>
    </row>
    <row r="15315">
      <c r="A15315" t="inlineStr">
        <is>
          <t>Kumho Tire Co., Inc.,  Gwangsan-gu, Gwangju, South Korea</t>
        </is>
      </c>
      <c r="B15315" t="inlineStr">
        <is>
          <t>Trader</t>
        </is>
      </c>
      <c r="C15315" t="inlineStr">
        <is>
          <t>Control Union Certifications Germany GmbH, Berlin, DE</t>
        </is>
      </c>
      <c r="D15315" t="inlineStr">
        <is>
          <t>01.09.2026</t>
        </is>
      </c>
      <c r="E15315" t="inlineStr">
        <is>
          <t>South Korea</t>
        </is>
      </c>
    </row>
    <row r="15316">
      <c r="A15316" t="inlineStr">
        <is>
          <t>Specialty Chemicals Terminals NV,  Antwerpen, Belgium</t>
        </is>
      </c>
      <c r="B15316" t="inlineStr">
        <is>
          <t>Warehouse</t>
        </is>
      </c>
      <c r="C15316" t="inlineStr">
        <is>
          <t>SGS Germany GmbH, Emstek, DE</t>
        </is>
      </c>
      <c r="D15316" t="inlineStr">
        <is>
          <t>01.09.2026</t>
        </is>
      </c>
      <c r="E15316" t="inlineStr">
        <is>
          <t>Belgium</t>
        </is>
      </c>
    </row>
    <row r="15317">
      <c r="A15317" t="inlineStr">
        <is>
          <t>Cycle 0 SVP1 S.L.,  Artajona, Spain</t>
        </is>
      </c>
      <c r="B15317" t="inlineStr">
        <is>
          <t>Processing Unit, Collecting Point</t>
        </is>
      </c>
      <c r="C15317" t="inlineStr">
        <is>
          <t>Amspec Iberia SL, Vilagarcia de Arousa-Pontevedra, ES</t>
        </is>
      </c>
      <c r="D15317" t="inlineStr">
        <is>
          <t>01.09.2026</t>
        </is>
      </c>
      <c r="E15317" t="inlineStr">
        <is>
          <t>Spain</t>
        </is>
      </c>
    </row>
    <row r="15318">
      <c r="A15318" t="inlineStr">
        <is>
          <t>Eastern Bio Resources Co., Ltd,  Si Racha District, Chonburi, Thailand</t>
        </is>
      </c>
      <c r="B15318" t="inlineStr">
        <is>
          <t>Collecting Point</t>
        </is>
      </c>
      <c r="C15318" t="inlineStr">
        <is>
          <t>PT. CBQA GLOBAL INDONESIA, JAKARTA SELATAN, ID</t>
        </is>
      </c>
      <c r="D15318" t="inlineStr">
        <is>
          <t>01.09.2026</t>
        </is>
      </c>
      <c r="E15318" t="inlineStr">
        <is>
          <t>Thailand</t>
        </is>
      </c>
    </row>
    <row r="15319">
      <c r="A15319" t="inlineStr">
        <is>
          <t>Eastern Bio Resources Co., Ltd,  Si Racha District, Chonburi, Thailand</t>
        </is>
      </c>
      <c r="B15319" t="inlineStr">
        <is>
          <t>Collecting Point</t>
        </is>
      </c>
      <c r="C15319" t="inlineStr">
        <is>
          <t>PT. CBQA GLOBAL INDONESIA, JAKARTA SELATAN, ID</t>
        </is>
      </c>
      <c r="D15319" t="inlineStr">
        <is>
          <t>01.09.2026</t>
        </is>
      </c>
      <c r="E15319" t="inlineStr">
        <is>
          <t>Thailand</t>
        </is>
      </c>
    </row>
    <row r="15320">
      <c r="A15320" t="inlineStr">
        <is>
          <t>MEGAH TITANIUM SDN.BHD,  BINTULU,SARAWAK, Malaysia</t>
        </is>
      </c>
      <c r="B15320" t="inlineStr">
        <is>
          <t>Trader</t>
        </is>
      </c>
      <c r="C15320" t="inlineStr">
        <is>
          <t>Trans Certification and Inspection Sdn Bhd, Kuantan, MY</t>
        </is>
      </c>
      <c r="D15320" t="inlineStr">
        <is>
          <t>01.09.2026</t>
        </is>
      </c>
      <c r="E15320" t="inlineStr">
        <is>
          <t>Malaysia</t>
        </is>
      </c>
    </row>
    <row r="15321">
      <c r="A15321" t="inlineStr">
        <is>
          <t>ASTANA ENDAH SDN BHD,  PERAK TENGAH, Malaysia</t>
        </is>
      </c>
      <c r="B15321" t="inlineStr">
        <is>
          <t>Point of Origin</t>
        </is>
      </c>
      <c r="C15321" t="inlineStr">
        <is>
          <t>PT. CBQA GLOBAL INDONESIA, JAKARTA SELATAN, ID</t>
        </is>
      </c>
      <c r="D15321" t="inlineStr">
        <is>
          <t>01.09.2026</t>
        </is>
      </c>
      <c r="E15321" t="inlineStr">
        <is>
          <t>Malaysia</t>
        </is>
      </c>
    </row>
    <row r="15322">
      <c r="A15322" t="inlineStr">
        <is>
          <t>Stollwerck,  Veitshöchheim, Germany</t>
        </is>
      </c>
      <c r="B15322" t="inlineStr">
        <is>
          <t>Trader with Storage, Final Product Refinement</t>
        </is>
      </c>
      <c r="C15322" t="inlineStr">
        <is>
          <t>SGS Germany GmbH, Emstek, DE</t>
        </is>
      </c>
      <c r="D15322" t="inlineStr">
        <is>
          <t>01.09.2026</t>
        </is>
      </c>
      <c r="E15322" t="inlineStr">
        <is>
          <t>Germany</t>
        </is>
      </c>
    </row>
    <row r="15323">
      <c r="A15323" t="inlineStr">
        <is>
          <t>RHOMBIC CORPORATION,  Kamisu-shi, Japan</t>
        </is>
      </c>
      <c r="B15323" t="inlineStr">
        <is>
          <t>Processing Unit</t>
        </is>
      </c>
      <c r="C15323" t="inlineStr">
        <is>
          <t>Control Union Certifications Germany GmbH, Berlin, DE</t>
        </is>
      </c>
      <c r="D15323" t="inlineStr">
        <is>
          <t>31.08.2026</t>
        </is>
      </c>
      <c r="E15323" t="inlineStr">
        <is>
          <t>Japan</t>
        </is>
      </c>
    </row>
    <row r="15324">
      <c r="A15324" t="inlineStr">
        <is>
          <t>NEW ZEUS BIOENERGY PTE. LTD.,  Shanghai, China</t>
        </is>
      </c>
      <c r="B15324" t="inlineStr">
        <is>
          <t>Trader</t>
        </is>
      </c>
      <c r="C15324" t="inlineStr">
        <is>
          <t>Bureau Veritas Polska Sp. z o.o., Warsaw, PL</t>
        </is>
      </c>
      <c r="D15324" t="inlineStr">
        <is>
          <t>31.08.2026</t>
        </is>
      </c>
      <c r="E15324" t="inlineStr">
        <is>
          <t>China</t>
        </is>
      </c>
    </row>
    <row r="15325">
      <c r="A15325" t="inlineStr">
        <is>
          <t>NEW ZEUS BIOENERGY PTE. LTD.,  Shanghai, China</t>
        </is>
      </c>
      <c r="B15325" t="inlineStr">
        <is>
          <t>Trader</t>
        </is>
      </c>
      <c r="C15325" t="inlineStr">
        <is>
          <t>Bureau Veritas Polska Sp. z o.o., Warsaw, PL</t>
        </is>
      </c>
      <c r="D15325" t="inlineStr">
        <is>
          <t>31.08.2026</t>
        </is>
      </c>
      <c r="E15325" t="inlineStr">
        <is>
          <t>China</t>
        </is>
      </c>
    </row>
    <row r="15326">
      <c r="A15326" t="inlineStr">
        <is>
          <t>KOBZ Služby s.r.o.,  Jezernice, Czech Republic</t>
        </is>
      </c>
      <c r="B15326" t="inlineStr">
        <is>
          <t>First Gathering Point, Trader with Storage</t>
        </is>
      </c>
      <c r="C15326" t="inlineStr">
        <is>
          <t>SGS Germany GmbH, Emstek, DE</t>
        </is>
      </c>
      <c r="D15326" t="inlineStr">
        <is>
          <t>31.08.2026</t>
        </is>
      </c>
      <c r="E15326" t="inlineStr">
        <is>
          <t>Czech Republic</t>
        </is>
      </c>
    </row>
    <row r="15327">
      <c r="A15327" t="inlineStr">
        <is>
          <t>NEW ZEUS BIOENERGY PTE. LTD.,  Shanghai, China</t>
        </is>
      </c>
      <c r="B15327" t="inlineStr">
        <is>
          <t>Trader</t>
        </is>
      </c>
      <c r="C15327" t="inlineStr">
        <is>
          <t>Bureau Veritas Polska Sp. z o.o., Warsaw, PL</t>
        </is>
      </c>
      <c r="D15327" t="inlineStr">
        <is>
          <t>31.08.2026</t>
        </is>
      </c>
      <c r="E15327" t="inlineStr">
        <is>
          <t>China</t>
        </is>
      </c>
    </row>
    <row r="15328">
      <c r="A15328" t="inlineStr">
        <is>
          <t>MOLINO PAGANI S.P.A.,  BORGHETTO LODIGIANO, Italy</t>
        </is>
      </c>
      <c r="B15328" t="inlineStr">
        <is>
          <t>Processing Unit</t>
        </is>
      </c>
      <c r="C15328" t="inlineStr">
        <is>
          <t>RINA Services S.p.A., Genova, IT</t>
        </is>
      </c>
      <c r="D15328" t="inlineStr">
        <is>
          <t>31.08.2026</t>
        </is>
      </c>
      <c r="E15328" t="inlineStr">
        <is>
          <t>Italy</t>
        </is>
      </c>
    </row>
    <row r="15329">
      <c r="A15329" t="inlineStr">
        <is>
          <t>Röchling Medical Waldachtal,  Waldachtal, Germany</t>
        </is>
      </c>
      <c r="B15329" t="inlineStr">
        <is>
          <t>Processing Unit</t>
        </is>
      </c>
      <c r="C15329" t="inlineStr">
        <is>
          <t>SGS Germany GmbH, Emstek, DE</t>
        </is>
      </c>
      <c r="D15329" t="inlineStr">
        <is>
          <t>31.08.2026</t>
        </is>
      </c>
      <c r="E15329" t="inlineStr">
        <is>
          <t>Germany</t>
        </is>
      </c>
    </row>
    <row r="15330">
      <c r="A15330" t="inlineStr">
        <is>
          <t>NITTO BOSEKI CO., LTD.,  Fukushima-Shi, Fukushima-Ken, Japan</t>
        </is>
      </c>
      <c r="B15330" t="inlineStr">
        <is>
          <t>Trader, Processing Unit, Warehouse</t>
        </is>
      </c>
      <c r="C15330" t="inlineStr">
        <is>
          <t>Bureau Veritas Polska Sp. z o.o., Warsaw, PL</t>
        </is>
      </c>
      <c r="D15330" t="inlineStr">
        <is>
          <t>31.08.2026</t>
        </is>
      </c>
      <c r="E15330" t="inlineStr">
        <is>
          <t>Japan</t>
        </is>
      </c>
    </row>
    <row r="15331">
      <c r="A15331" t="inlineStr">
        <is>
          <t>Röchling Medical Solutions SE,  Neuhaus am Rennweg, Germany</t>
        </is>
      </c>
      <c r="B15331" t="inlineStr">
        <is>
          <t>Processing Unit</t>
        </is>
      </c>
      <c r="C15331" t="inlineStr">
        <is>
          <t>SGS Germany GmbH, Emstek, DE</t>
        </is>
      </c>
      <c r="D15331" t="inlineStr">
        <is>
          <t>31.08.2026</t>
        </is>
      </c>
      <c r="E15331" t="inlineStr">
        <is>
          <t>Germany</t>
        </is>
      </c>
    </row>
    <row r="15332">
      <c r="A15332" t="inlineStr">
        <is>
          <t>PT. Inti Indosawit Subur,  Tungkal Ulu District, Tanjung Jabung Regency, Jambi, Indonesia</t>
        </is>
      </c>
      <c r="B15332" t="inlineStr">
        <is>
          <t>Point of Origin</t>
        </is>
      </c>
      <c r="C15332" t="inlineStr">
        <is>
          <t>SGS Germany GmbH, Emstek, DE</t>
        </is>
      </c>
      <c r="D15332" t="inlineStr">
        <is>
          <t>31.08.2026</t>
        </is>
      </c>
      <c r="E15332" t="inlineStr">
        <is>
          <t>Indonesia</t>
        </is>
      </c>
    </row>
    <row r="15333">
      <c r="A15333" t="inlineStr">
        <is>
          <t>AVGPSL,  Porto, Portugal</t>
        </is>
      </c>
      <c r="B15333" t="inlineStr">
        <is>
          <t>Trader</t>
        </is>
      </c>
      <c r="C15333" t="inlineStr">
        <is>
          <t>SGS Germany GmbH, Emstek, DE</t>
        </is>
      </c>
      <c r="D15333" t="inlineStr">
        <is>
          <t>31.08.2026</t>
        </is>
      </c>
      <c r="E15333" t="inlineStr">
        <is>
          <t>Portugal</t>
        </is>
      </c>
    </row>
    <row r="15334">
      <c r="A15334" t="inlineStr">
        <is>
          <t>KUNSTSTOFFEXPRESS Handel GmbH,  Bielefeld, Germany</t>
        </is>
      </c>
      <c r="B15334" t="inlineStr">
        <is>
          <t>Trader with Storage</t>
        </is>
      </c>
      <c r="C15334" t="inlineStr">
        <is>
          <t>DIN CERTCO GmbH, Berlin, DE</t>
        </is>
      </c>
      <c r="D15334" t="inlineStr">
        <is>
          <t>31.08.2026</t>
        </is>
      </c>
      <c r="E15334" t="inlineStr">
        <is>
          <t>Germany</t>
        </is>
      </c>
    </row>
    <row r="15335">
      <c r="A15335" t="inlineStr">
        <is>
          <t>Esso Petroleum Company Limited,  Fawley, Southampton, United Kingdom</t>
        </is>
      </c>
      <c r="B15335" t="inlineStr">
        <is>
          <t>Processing Unit</t>
        </is>
      </c>
      <c r="C15335" t="inlineStr">
        <is>
          <t>Bureau Veritas Polska Sp. z o.o., Warsaw, PL</t>
        </is>
      </c>
      <c r="D15335" t="inlineStr">
        <is>
          <t>31.08.2026</t>
        </is>
      </c>
      <c r="E15335" t="inlineStr">
        <is>
          <t>United Kingdom</t>
        </is>
      </c>
    </row>
    <row r="15336">
      <c r="A15336" t="inlineStr">
        <is>
          <t>Utilagricola G.B. SRL,  Magione      Perugia, Italy</t>
        </is>
      </c>
      <c r="B15336" t="inlineStr">
        <is>
          <t>First Gathering Point</t>
        </is>
      </c>
      <c r="C15336" t="inlineStr">
        <is>
          <t>DNV Business Assurance Sweden AB, Solna, SE</t>
        </is>
      </c>
      <c r="D15336" t="inlineStr">
        <is>
          <t>31.08.2026</t>
        </is>
      </c>
      <c r="E15336" t="inlineStr">
        <is>
          <t>Italy</t>
        </is>
      </c>
    </row>
    <row r="15337">
      <c r="A15337" t="inlineStr">
        <is>
          <t>Frigorifico Allana Private Limited,  Aurangabad, India</t>
        </is>
      </c>
      <c r="B15337" t="inlineStr">
        <is>
          <t>Point of Origin</t>
        </is>
      </c>
      <c r="C15337" t="inlineStr">
        <is>
          <t>SGS Germany GmbH, Emstek, DE</t>
        </is>
      </c>
      <c r="D15337" t="inlineStr">
        <is>
          <t>31.08.2026</t>
        </is>
      </c>
      <c r="E15337" t="inlineStr">
        <is>
          <t>India</t>
        </is>
      </c>
    </row>
    <row r="15338">
      <c r="A15338" t="inlineStr">
        <is>
          <t>Wistema GmbH,  Dielheim, Germany</t>
        </is>
      </c>
      <c r="B15338" t="inlineStr">
        <is>
          <t>Trader</t>
        </is>
      </c>
      <c r="C15338" t="inlineStr">
        <is>
          <t>DQS CFS GmbH - Deutsche Gesellschaft für Nachhaltigkeit, Frankfurt am Main, DE</t>
        </is>
      </c>
      <c r="D15338" t="inlineStr">
        <is>
          <t>31.08.2026</t>
        </is>
      </c>
      <c r="E15338" t="inlineStr">
        <is>
          <t>Germany</t>
        </is>
      </c>
    </row>
    <row r="15339">
      <c r="A15339" t="inlineStr">
        <is>
          <t>STX Commodities LLC,  New York, United States</t>
        </is>
      </c>
      <c r="B15339" t="inlineStr">
        <is>
          <t>Trader</t>
        </is>
      </c>
      <c r="C15339" t="inlineStr">
        <is>
          <t>SCS Global Services, Emeryville, CA, US</t>
        </is>
      </c>
      <c r="D15339" t="inlineStr">
        <is>
          <t>31.08.2026</t>
        </is>
      </c>
      <c r="E15339" t="inlineStr">
        <is>
          <t>United States</t>
        </is>
      </c>
    </row>
    <row r="15340">
      <c r="A15340" t="inlineStr">
        <is>
          <t>STX Commodities LLC,  New York, United States</t>
        </is>
      </c>
      <c r="B15340" t="inlineStr">
        <is>
          <t>Trader</t>
        </is>
      </c>
      <c r="C15340" t="inlineStr">
        <is>
          <t>SCS Global Services, Emeryville, CA, US</t>
        </is>
      </c>
      <c r="D15340" t="inlineStr">
        <is>
          <t>31.08.2026</t>
        </is>
      </c>
      <c r="E15340" t="inlineStr">
        <is>
          <t>United States</t>
        </is>
      </c>
    </row>
    <row r="15341">
      <c r="A15341" t="inlineStr">
        <is>
          <t>Worms Argentina,  Arroyo Seco, Argentina</t>
        </is>
      </c>
      <c r="B15341" t="inlineStr">
        <is>
          <t>Point of Origin, Collecting Point, Trader with Storage, Processing Unit</t>
        </is>
      </c>
      <c r="C15341" t="inlineStr">
        <is>
          <t>Control Union Certifications Germany GmbH, Berlin, DE</t>
        </is>
      </c>
      <c r="D15341" t="inlineStr">
        <is>
          <t>31.08.2026</t>
        </is>
      </c>
      <c r="E15341" t="inlineStr">
        <is>
          <t>Argentina</t>
        </is>
      </c>
    </row>
    <row r="15342">
      <c r="A15342" t="inlineStr">
        <is>
          <t>Dynamic Plantations Bhd,  Segamat, Johor, Malaysia</t>
        </is>
      </c>
      <c r="B15342" t="inlineStr">
        <is>
          <t>Point of Origin</t>
        </is>
      </c>
      <c r="C15342" t="inlineStr">
        <is>
          <t>PT Intertek Utama Services, Jakarta, ID</t>
        </is>
      </c>
      <c r="D15342" t="inlineStr">
        <is>
          <t>31.08.2026</t>
        </is>
      </c>
      <c r="E15342" t="inlineStr">
        <is>
          <t>Malaysia</t>
        </is>
      </c>
    </row>
    <row r="15343">
      <c r="A15343" t="inlineStr">
        <is>
          <t>Seaboard Foods RNG, LLC,  Tribune, KS, United States</t>
        </is>
      </c>
      <c r="B15343" t="inlineStr">
        <is>
          <t>Collecting Point, Processing Unit</t>
        </is>
      </c>
      <c r="C15343" t="inlineStr">
        <is>
          <t>SCS Global Services, Emeryville, CA, US</t>
        </is>
      </c>
      <c r="D15343" t="inlineStr">
        <is>
          <t>31.08.2026</t>
        </is>
      </c>
      <c r="E15343" t="inlineStr">
        <is>
          <t>United States</t>
        </is>
      </c>
    </row>
    <row r="15344">
      <c r="A15344" t="inlineStr">
        <is>
          <t>Seaboard Foods RNG, LLC,  Tribune, KS, United States</t>
        </is>
      </c>
      <c r="B15344" t="inlineStr">
        <is>
          <t>Collecting Point, Processing Unit</t>
        </is>
      </c>
      <c r="C15344" t="inlineStr">
        <is>
          <t>SCS Global Services, Emeryville, CA, US</t>
        </is>
      </c>
      <c r="D15344" t="inlineStr">
        <is>
          <t>31.08.2026</t>
        </is>
      </c>
      <c r="E15344" t="inlineStr">
        <is>
          <t>United States</t>
        </is>
      </c>
    </row>
    <row r="15345">
      <c r="A15345" t="inlineStr">
        <is>
          <t>Seaboard Foods RNG, LLC,  Tribune, KS, United States</t>
        </is>
      </c>
      <c r="B15345" t="inlineStr">
        <is>
          <t>Collecting Point, Processing Unit</t>
        </is>
      </c>
      <c r="C15345" t="inlineStr">
        <is>
          <t>SCS Global Services, Emeryville, CA, US</t>
        </is>
      </c>
      <c r="D15345" t="inlineStr">
        <is>
          <t>31.08.2026</t>
        </is>
      </c>
      <c r="E15345" t="inlineStr">
        <is>
          <t>United States</t>
        </is>
      </c>
    </row>
    <row r="15346">
      <c r="A15346" t="inlineStr">
        <is>
          <t>Seaboard Foods RNG, LLC,  Tribune, KS, United States</t>
        </is>
      </c>
      <c r="B15346" t="inlineStr">
        <is>
          <t>Collecting Point, Processing Unit</t>
        </is>
      </c>
      <c r="C15346" t="inlineStr">
        <is>
          <t>SCS Global Services, Emeryville, CA, US</t>
        </is>
      </c>
      <c r="D15346" t="inlineStr">
        <is>
          <t>31.08.2026</t>
        </is>
      </c>
      <c r="E15346" t="inlineStr">
        <is>
          <t>United States</t>
        </is>
      </c>
    </row>
    <row r="15347">
      <c r="A15347" t="inlineStr">
        <is>
          <t>Raizen North America,  Houston, TX, United States</t>
        </is>
      </c>
      <c r="B15347" t="inlineStr">
        <is>
          <t>Trader with Storage</t>
        </is>
      </c>
      <c r="C15347" t="inlineStr">
        <is>
          <t>PT Intertek Utama Services, Jakarta, ID</t>
        </is>
      </c>
      <c r="D15347" t="inlineStr">
        <is>
          <t>31.08.2026</t>
        </is>
      </c>
      <c r="E15347" t="inlineStr">
        <is>
          <t>United States</t>
        </is>
      </c>
    </row>
    <row r="15348">
      <c r="A15348" t="inlineStr">
        <is>
          <t>Celanese Polymer Products, LLC,  RICHMOND VA, United States</t>
        </is>
      </c>
      <c r="B15348" t="inlineStr">
        <is>
          <t>Processing Unit</t>
        </is>
      </c>
      <c r="C15348" t="inlineStr">
        <is>
          <t>TÜV NORD CERT GmbH, Essen, DE</t>
        </is>
      </c>
      <c r="D15348" t="inlineStr">
        <is>
          <t>31.08.2026</t>
        </is>
      </c>
      <c r="E15348" t="inlineStr">
        <is>
          <t>United States</t>
        </is>
      </c>
    </row>
    <row r="15349">
      <c r="A15349" t="inlineStr">
        <is>
          <t>Genting Plantations (WM) Sdn Bhd - Genting Selama Estate,  Serdang, Malaysia</t>
        </is>
      </c>
      <c r="B15349" t="inlineStr">
        <is>
          <t>Farm / Plantation</t>
        </is>
      </c>
      <c r="C15349" t="inlineStr">
        <is>
          <t>Global Gateway Certifications Sdn Bhd, Ampang, MY</t>
        </is>
      </c>
      <c r="D15349" t="inlineStr">
        <is>
          <t>31.08.2026</t>
        </is>
      </c>
      <c r="E15349" t="inlineStr">
        <is>
          <t>Malaysia</t>
        </is>
      </c>
    </row>
    <row r="15350">
      <c r="A15350" t="inlineStr">
        <is>
          <t>Genting Plantations (WM) Sdn Bhd - Genting Bukit Sembilan Estate,  Kuala Ketil, Malaysia</t>
        </is>
      </c>
      <c r="B15350" t="inlineStr">
        <is>
          <t>Farm / Plantation</t>
        </is>
      </c>
      <c r="C15350" t="inlineStr">
        <is>
          <t>Global Gateway Certifications Sdn Bhd, Ampang, MY</t>
        </is>
      </c>
      <c r="D15350" t="inlineStr">
        <is>
          <t>31.08.2026</t>
        </is>
      </c>
      <c r="E15350" t="inlineStr">
        <is>
          <t>Malaysia</t>
        </is>
      </c>
    </row>
    <row r="15351">
      <c r="A15351" t="inlineStr">
        <is>
          <t>RKW SE - ZNL Gronau,  Gronau, Germany</t>
        </is>
      </c>
      <c r="B15351" t="inlineStr">
        <is>
          <t>Processing Unit</t>
        </is>
      </c>
      <c r="C15351" t="inlineStr">
        <is>
          <t>GUT Certifizierungsgesellschaft für Managementsysteme mbH Umweltgutachter, Berlin, DE</t>
        </is>
      </c>
      <c r="D15351" t="inlineStr">
        <is>
          <t>31.08.2026</t>
        </is>
      </c>
      <c r="E15351" t="inlineStr">
        <is>
          <t>Germany</t>
        </is>
      </c>
    </row>
    <row r="15352">
      <c r="A15352" t="inlineStr">
        <is>
          <t>ED&amp;F Man Liquid Products Nederland B.V.,  Amsterdam, Netherlands</t>
        </is>
      </c>
      <c r="B15352" t="inlineStr">
        <is>
          <t>Trader</t>
        </is>
      </c>
      <c r="C15352" t="inlineStr">
        <is>
          <t>Control Union Certifications Germany GmbH, Berlin, DE</t>
        </is>
      </c>
      <c r="D15352" t="inlineStr">
        <is>
          <t>31.08.2026</t>
        </is>
      </c>
      <c r="E15352" t="inlineStr">
        <is>
          <t>Netherlands</t>
        </is>
      </c>
    </row>
    <row r="15353">
      <c r="A15353" t="inlineStr">
        <is>
          <t>ED&amp;F Man Deutschland GmbH,  Amsterdam, Netherlands</t>
        </is>
      </c>
      <c r="B15353" t="inlineStr">
        <is>
          <t>Trader</t>
        </is>
      </c>
      <c r="C15353" t="inlineStr">
        <is>
          <t>Control Union Certifications Germany GmbH, Berlin, DE</t>
        </is>
      </c>
      <c r="D15353" t="inlineStr">
        <is>
          <t>31.08.2026</t>
        </is>
      </c>
      <c r="E15353" t="inlineStr">
        <is>
          <t>Netherlands</t>
        </is>
      </c>
    </row>
    <row r="15354">
      <c r="A15354" t="inlineStr">
        <is>
          <t>United Creation Optical Technology Co., Ltd,  Yingtan City,Jiangxi Province, China</t>
        </is>
      </c>
      <c r="B15354" t="inlineStr">
        <is>
          <t>Processing Unit, Trader with Storage</t>
        </is>
      </c>
      <c r="C15354" t="inlineStr">
        <is>
          <t>China Quality Certification Centre Co., Ltd., Beijing, CN</t>
        </is>
      </c>
      <c r="D15354" t="inlineStr">
        <is>
          <t>31.08.2026</t>
        </is>
      </c>
      <c r="E15354" t="inlineStr">
        <is>
          <t>China</t>
        </is>
      </c>
    </row>
    <row r="15355">
      <c r="A15355" t="inlineStr">
        <is>
          <t>Fratelli Cosulich S.p.A.,  Genoa, Italy</t>
        </is>
      </c>
      <c r="B15355" t="inlineStr">
        <is>
          <t>Trader, Proof of Compliance Trader</t>
        </is>
      </c>
      <c r="C15355" t="inlineStr">
        <is>
          <t>SGS Germany GmbH, Emstek, DE</t>
        </is>
      </c>
      <c r="D15355" t="inlineStr">
        <is>
          <t>31.08.2026</t>
        </is>
      </c>
      <c r="E15355" t="inlineStr">
        <is>
          <t>Italy</t>
        </is>
      </c>
    </row>
    <row r="15356">
      <c r="A15356" t="inlineStr">
        <is>
          <t>Methanex Beaumont,  Nederland, Texas, United States</t>
        </is>
      </c>
      <c r="B15356" t="inlineStr">
        <is>
          <t>Warehouse, Processing Unit</t>
        </is>
      </c>
      <c r="C15356" t="inlineStr">
        <is>
          <t>SGS Germany GmbH, Emstek, DE</t>
        </is>
      </c>
      <c r="D15356" t="inlineStr">
        <is>
          <t>31.08.2026</t>
        </is>
      </c>
      <c r="E15356" t="inlineStr">
        <is>
          <t>United States</t>
        </is>
      </c>
    </row>
    <row r="15357">
      <c r="A15357" t="inlineStr">
        <is>
          <t>Methanex Beaumont,  Nederland, Texas, United States</t>
        </is>
      </c>
      <c r="B15357" t="inlineStr">
        <is>
          <t>Warehouse, Processing Unit</t>
        </is>
      </c>
      <c r="C15357" t="inlineStr">
        <is>
          <t>SGS Germany GmbH, Emstek, DE</t>
        </is>
      </c>
      <c r="D15357" t="inlineStr">
        <is>
          <t>31.08.2026</t>
        </is>
      </c>
      <c r="E15357" t="inlineStr">
        <is>
          <t>United States</t>
        </is>
      </c>
    </row>
    <row r="15358">
      <c r="A15358" t="inlineStr">
        <is>
          <t>MUTIARA SAWIT LESTARI,  Peureulak Barat, Kab. Aceh Timur , Aceh, Indonesia</t>
        </is>
      </c>
      <c r="B15358" t="inlineStr">
        <is>
          <t>Point of Origin</t>
        </is>
      </c>
      <c r="C15358" t="inlineStr">
        <is>
          <t>RINA Services S.p.A., Genova, IT</t>
        </is>
      </c>
      <c r="D15358" t="inlineStr">
        <is>
          <t>31.08.2026</t>
        </is>
      </c>
      <c r="E15358" t="inlineStr">
        <is>
          <t>Indonesia</t>
        </is>
      </c>
    </row>
    <row r="15359">
      <c r="A15359" t="inlineStr">
        <is>
          <t>Phillips66 Continental GmbH,  Hamburg, Germany</t>
        </is>
      </c>
      <c r="B15359" t="inlineStr">
        <is>
          <t>Trader with Storage</t>
        </is>
      </c>
      <c r="C15359" t="inlineStr">
        <is>
          <t>SGS Germany GmbH, Emstek, DE</t>
        </is>
      </c>
      <c r="D15359" t="inlineStr">
        <is>
          <t>31.08.2026</t>
        </is>
      </c>
      <c r="E15359" t="inlineStr">
        <is>
          <t>Germany</t>
        </is>
      </c>
    </row>
    <row r="15360">
      <c r="A15360" t="inlineStr">
        <is>
          <t>Shandong Vehicle Intelligent Equipment Co., Ltd.,  Dezhou City, Shandong Province, China</t>
        </is>
      </c>
      <c r="B15360" t="inlineStr">
        <is>
          <t>Trader</t>
        </is>
      </c>
      <c r="C15360" t="inlineStr">
        <is>
          <t>SCS Global Services, Emeryville, CA, US</t>
        </is>
      </c>
      <c r="D15360" t="inlineStr">
        <is>
          <t>31.08.2026</t>
        </is>
      </c>
      <c r="E15360" t="inlineStr">
        <is>
          <t>China</t>
        </is>
      </c>
    </row>
    <row r="15361">
      <c r="A15361" t="inlineStr">
        <is>
          <t>Besterdhoeve Biogas BV,  Bakel, The Netherlands</t>
        </is>
      </c>
      <c r="B15361" t="inlineStr">
        <is>
          <t>Collecting Point, Processing Unit</t>
        </is>
      </c>
      <c r="C15361" t="inlineStr">
        <is>
          <t>Normec QS BV, Bennekom, NL</t>
        </is>
      </c>
      <c r="D15361" t="inlineStr">
        <is>
          <t>31.08.2026</t>
        </is>
      </c>
      <c r="E15361" t="inlineStr">
        <is>
          <t>The Netherlands</t>
        </is>
      </c>
    </row>
    <row r="15362">
      <c r="A15362" t="inlineStr">
        <is>
          <t>Wenzhou Eyestar Eyewear Co., Ltd,  Wenzhou, Zhejiang, China</t>
        </is>
      </c>
      <c r="B15362" t="inlineStr">
        <is>
          <t>Trader with Storage</t>
        </is>
      </c>
      <c r="C15362" t="inlineStr">
        <is>
          <t>SCS Global Services, Emeryville, CA, US</t>
        </is>
      </c>
      <c r="D15362" t="inlineStr">
        <is>
          <t>31.08.2026</t>
        </is>
      </c>
      <c r="E15362" t="inlineStr">
        <is>
          <t>China</t>
        </is>
      </c>
    </row>
    <row r="15363">
      <c r="A15363" t="inlineStr">
        <is>
          <t>Bridgestone Europe NV/SA c/o Technical Center Europe SpA,  Rome, Italy</t>
        </is>
      </c>
      <c r="B15363" t="inlineStr">
        <is>
          <t>Processing Unit, Trader with Storage</t>
        </is>
      </c>
      <c r="C15363" t="inlineStr">
        <is>
          <t>SGS Germany GmbH, Emstek, DE</t>
        </is>
      </c>
      <c r="D15363" t="inlineStr">
        <is>
          <t>31.08.2026</t>
        </is>
      </c>
      <c r="E15363" t="inlineStr">
        <is>
          <t>Italy</t>
        </is>
      </c>
    </row>
    <row r="15364">
      <c r="A15364" t="inlineStr">
        <is>
          <t>Goldenplast SpA,  Potenza Picena, Italy</t>
        </is>
      </c>
      <c r="B15364" t="inlineStr">
        <is>
          <t>Processing Unit</t>
        </is>
      </c>
      <c r="C15364" t="inlineStr">
        <is>
          <t>Bureau Veritas Polska Sp. z o.o., Warsaw, PL</t>
        </is>
      </c>
      <c r="D15364" t="inlineStr">
        <is>
          <t>31.08.2026</t>
        </is>
      </c>
      <c r="E15364" t="inlineStr">
        <is>
          <t>Italy</t>
        </is>
      </c>
    </row>
    <row r="15365">
      <c r="A15365" t="inlineStr">
        <is>
          <t>B.V. Landgoed De Princepeel,  Wilbertoord, Netherlands</t>
        </is>
      </c>
      <c r="B15365" t="inlineStr">
        <is>
          <t>Collecting Point, Processing Unit</t>
        </is>
      </c>
      <c r="C15365" t="inlineStr">
        <is>
          <t>Normec QS BV, Bennekom, NL</t>
        </is>
      </c>
      <c r="D15365" t="inlineStr">
        <is>
          <t>31.08.2026</t>
        </is>
      </c>
      <c r="E15365" t="inlineStr">
        <is>
          <t>Netherlands</t>
        </is>
      </c>
    </row>
    <row r="15366">
      <c r="A15366" t="inlineStr">
        <is>
          <t>PT Energi Unggul Persada,  Kabupaten Mempawah Provinsi Kalimantan Barat, Indonesia</t>
        </is>
      </c>
      <c r="B15366" t="inlineStr">
        <is>
          <t>Processing Unit, Point of Origin, Warehouse, Trader with Storage</t>
        </is>
      </c>
      <c r="C15366" t="inlineStr">
        <is>
          <t>PT SBC Asia Sertifikasi, Kebumen, ID</t>
        </is>
      </c>
      <c r="D15366" t="inlineStr">
        <is>
          <t>31.08.2026</t>
        </is>
      </c>
      <c r="E15366" t="inlineStr">
        <is>
          <t>Indonesia</t>
        </is>
      </c>
    </row>
    <row r="15367">
      <c r="A15367" t="inlineStr">
        <is>
          <t>Guanxian Xinrui Industrial Co., Ltd.,  Liaocheng City, Shandong Province, China</t>
        </is>
      </c>
      <c r="B15367" t="inlineStr">
        <is>
          <t>Processing Unit</t>
        </is>
      </c>
      <c r="C15367" t="inlineStr">
        <is>
          <t>SGS Germany GmbH, Emstek, DE</t>
        </is>
      </c>
      <c r="D15367" t="inlineStr">
        <is>
          <t>31.08.2026</t>
        </is>
      </c>
      <c r="E15367" t="inlineStr">
        <is>
          <t>China</t>
        </is>
      </c>
    </row>
    <row r="15368">
      <c r="A15368" t="inlineStr">
        <is>
          <t>Iharos Térségi Mezőgazdasági Szövetkezet,  Kaposvár, Hungary</t>
        </is>
      </c>
      <c r="B15368" t="inlineStr">
        <is>
          <t>First Gathering Point</t>
        </is>
      </c>
      <c r="C15368" t="inlineStr">
        <is>
          <t>Certificadora Gallega del Noroeste SL, Vilagarcia de Arousa-Pontevedra, ES</t>
        </is>
      </c>
      <c r="D15368" t="inlineStr">
        <is>
          <t>31.08.2026</t>
        </is>
      </c>
      <c r="E15368" t="inlineStr">
        <is>
          <t>Hungary</t>
        </is>
      </c>
    </row>
    <row r="15369">
      <c r="A15369" t="inlineStr">
        <is>
          <t>Asahi Kasei Corporation,  kawasaki-ku, kawasaki city, kanagawa, Japan</t>
        </is>
      </c>
      <c r="B15369" t="inlineStr">
        <is>
          <t>Processing Unit</t>
        </is>
      </c>
      <c r="C15369" t="inlineStr">
        <is>
          <t>Control Union Certifications Germany GmbH, Berlin, DE</t>
        </is>
      </c>
      <c r="D15369" t="inlineStr">
        <is>
          <t>31.08.2026</t>
        </is>
      </c>
      <c r="E15369" t="inlineStr">
        <is>
          <t>Japan</t>
        </is>
      </c>
    </row>
    <row r="15370">
      <c r="A15370" t="inlineStr">
        <is>
          <t>SC Prutul s.a.,  Galati, Romania</t>
        </is>
      </c>
      <c r="B15370" t="inlineStr">
        <is>
          <t>Processing Unit, Point of Origin</t>
        </is>
      </c>
      <c r="C15370" t="inlineStr">
        <is>
          <t>SGS Germany GmbH, Emstek, DE</t>
        </is>
      </c>
      <c r="D15370" t="inlineStr">
        <is>
          <t>31.08.2026</t>
        </is>
      </c>
      <c r="E15370" t="inlineStr">
        <is>
          <t>Romania</t>
        </is>
      </c>
    </row>
    <row r="15371">
      <c r="A15371" t="inlineStr">
        <is>
          <t>Interzero Plastics Sorting GmbH,  Berlin, Germany</t>
        </is>
      </c>
      <c r="B15371" t="inlineStr">
        <is>
          <t>Central Office (Group of Point of Origin), Collecting Point, Trader with Storage, Point of Origin</t>
        </is>
      </c>
      <c r="C15371" t="inlineStr">
        <is>
          <t>GUT Certifizierungsgesellschaft für Managementsysteme mbH Umweltgutachter, Berlin, DE</t>
        </is>
      </c>
      <c r="D15371" t="inlineStr">
        <is>
          <t>31.08.2026</t>
        </is>
      </c>
      <c r="E15371" t="inlineStr">
        <is>
          <t>Germany</t>
        </is>
      </c>
    </row>
    <row r="15372">
      <c r="A15372" t="inlineStr">
        <is>
          <t>Interzero Plastics Sorting GmbH,  Eisenhüttenstadt, Germany</t>
        </is>
      </c>
      <c r="B15372" t="inlineStr">
        <is>
          <t>Processing Unit, Point of Origin</t>
        </is>
      </c>
      <c r="C15372" t="inlineStr">
        <is>
          <t>GUT Certifizierungsgesellschaft für Managementsysteme mbH Umweltgutachter, Berlin, DE</t>
        </is>
      </c>
      <c r="D15372" t="inlineStr">
        <is>
          <t>31.08.2026</t>
        </is>
      </c>
      <c r="E15372" t="inlineStr">
        <is>
          <t>Germany</t>
        </is>
      </c>
    </row>
    <row r="15373">
      <c r="A15373" t="inlineStr">
        <is>
          <t>DUMAR SRL,  Trusesti,Judetul Botosani, Romania</t>
        </is>
      </c>
      <c r="B15373" t="inlineStr">
        <is>
          <t>First Gathering Point</t>
        </is>
      </c>
      <c r="C15373" t="inlineStr">
        <is>
          <t>SRAC Cert SRL, Bucharest, RO</t>
        </is>
      </c>
      <c r="D15373" t="inlineStr">
        <is>
          <t>31.08.2026</t>
        </is>
      </c>
      <c r="E15373" t="inlineStr">
        <is>
          <t>Romania</t>
        </is>
      </c>
    </row>
    <row r="15374">
      <c r="A15374" t="inlineStr">
        <is>
          <t>S.A.BA.R.,  Novellara, Italy</t>
        </is>
      </c>
      <c r="B15374" t="inlineStr">
        <is>
          <t>Collecting Point, Processing Unit</t>
        </is>
      </c>
      <c r="C15374" t="inlineStr">
        <is>
          <t>RINA Services S.p.A., Genova, IT</t>
        </is>
      </c>
      <c r="D15374" t="inlineStr">
        <is>
          <t>31.08.2026</t>
        </is>
      </c>
      <c r="E15374" t="inlineStr">
        <is>
          <t>Italy</t>
        </is>
      </c>
    </row>
    <row r="15375">
      <c r="A15375" t="inlineStr">
        <is>
          <t>Pražské služby,a.s.,  Praha, Czech Republic</t>
        </is>
      </c>
      <c r="B15375" t="inlineStr">
        <is>
          <t>Collecting Point, Trader</t>
        </is>
      </c>
      <c r="C15375" t="inlineStr">
        <is>
          <t>TÜV SÜD Czech s.r.o., Praha 4, CZ</t>
        </is>
      </c>
      <c r="D15375" t="inlineStr">
        <is>
          <t>31.08.2026</t>
        </is>
      </c>
      <c r="E15375" t="inlineStr">
        <is>
          <t>Czech Republic</t>
        </is>
      </c>
    </row>
    <row r="15376">
      <c r="A15376" t="inlineStr">
        <is>
          <t>LCC Group Limited,  Cookstown, United Kingdom</t>
        </is>
      </c>
      <c r="B15376" t="inlineStr">
        <is>
          <t>Trader with Storage</t>
        </is>
      </c>
      <c r="C15376" t="inlineStr">
        <is>
          <t>ASG Cert GmbH, Munich, DE</t>
        </is>
      </c>
      <c r="D15376" t="inlineStr">
        <is>
          <t>31.08.2026</t>
        </is>
      </c>
      <c r="E15376" t="inlineStr">
        <is>
          <t>United Kingdom</t>
        </is>
      </c>
    </row>
    <row r="15377">
      <c r="A15377" t="inlineStr">
        <is>
          <t>Comgoed Grond- &amp; Reststoffen B.V.,  Dirksland, Netherlands</t>
        </is>
      </c>
      <c r="B15377" t="inlineStr">
        <is>
          <t>Collecting Point, Trader with Storage</t>
        </is>
      </c>
      <c r="C15377" t="inlineStr">
        <is>
          <t>DEKRA Certification B.V., Arnhem, NL</t>
        </is>
      </c>
      <c r="D15377" t="inlineStr">
        <is>
          <t>31.08.2026</t>
        </is>
      </c>
      <c r="E15377" t="inlineStr">
        <is>
          <t>Netherlands</t>
        </is>
      </c>
    </row>
    <row r="15378">
      <c r="A15378" t="inlineStr">
        <is>
          <t>YUAN WEI PLASTICS SDN.BHD,  MERU , KLANG, Malaysia</t>
        </is>
      </c>
      <c r="B15378" t="inlineStr">
        <is>
          <t>Processing Unit, Trader</t>
        </is>
      </c>
      <c r="C15378" t="inlineStr">
        <is>
          <t>SCS Global Services, Emeryville, CA, US</t>
        </is>
      </c>
      <c r="D15378" t="inlineStr">
        <is>
          <t>31.08.2026</t>
        </is>
      </c>
      <c r="E15378" t="inlineStr">
        <is>
          <t>Malaysia</t>
        </is>
      </c>
    </row>
    <row r="15379">
      <c r="A15379" t="inlineStr">
        <is>
          <t>PT. Inti Indosawit Subur,  Muara Bulian District, Batang Hari Regency, Indonesia</t>
        </is>
      </c>
      <c r="B15379" t="inlineStr">
        <is>
          <t>Point of Origin, Processing Unit</t>
        </is>
      </c>
      <c r="C15379" t="inlineStr">
        <is>
          <t>SGS Germany GmbH, Emstek, DE</t>
        </is>
      </c>
      <c r="D15379" t="inlineStr">
        <is>
          <t>31.08.2026</t>
        </is>
      </c>
      <c r="E15379" t="inlineStr">
        <is>
          <t>Indonesia</t>
        </is>
      </c>
    </row>
    <row r="15380">
      <c r="A15380" t="inlineStr">
        <is>
          <t>Scientex Great Wall Sdn. Bhd.,  ​Taman Perindustrian Pulau Indah, Pulau Indah, Malaysia</t>
        </is>
      </c>
      <c r="B15380" t="inlineStr">
        <is>
          <t>Processing Unit, Trader with Storage</t>
        </is>
      </c>
      <c r="C15380" t="inlineStr">
        <is>
          <t>SGS Germany GmbH, Emstek, DE</t>
        </is>
      </c>
      <c r="D15380" t="inlineStr">
        <is>
          <t>30.08.2026</t>
        </is>
      </c>
      <c r="E15380" t="inlineStr">
        <is>
          <t>Malaysia</t>
        </is>
      </c>
    </row>
    <row r="15381">
      <c r="A15381" t="inlineStr">
        <is>
          <t>ULCO Trading,  Carcea Judetul Dolj, Romania</t>
        </is>
      </c>
      <c r="B15381" t="inlineStr">
        <is>
          <t>First Gathering Point, Trader with Storage, Processing Unit</t>
        </is>
      </c>
      <c r="C15381" t="inlineStr">
        <is>
          <t>RINA Services S.p.A., Genova, IT</t>
        </is>
      </c>
      <c r="D15381" t="inlineStr">
        <is>
          <t>30.08.2026</t>
        </is>
      </c>
      <c r="E15381" t="inlineStr">
        <is>
          <t>Romania</t>
        </is>
      </c>
    </row>
    <row r="15382">
      <c r="A15382" t="inlineStr">
        <is>
          <t>Trublin,  Landas, France</t>
        </is>
      </c>
      <c r="B15382" t="inlineStr">
        <is>
          <t>Collecting Point</t>
        </is>
      </c>
      <c r="C15382" t="inlineStr">
        <is>
          <t>Control Union Certifications Germany GmbH, Berlin, DE</t>
        </is>
      </c>
      <c r="D15382" t="inlineStr">
        <is>
          <t>30.08.2026</t>
        </is>
      </c>
      <c r="E15382" t="inlineStr">
        <is>
          <t>France</t>
        </is>
      </c>
    </row>
    <row r="15383">
      <c r="A15383" t="inlineStr">
        <is>
          <t>Sichuan Tianzhou Green Technology Co., Ltd.,  Chengdu,Sichuan Province, China</t>
        </is>
      </c>
      <c r="B15383" t="inlineStr">
        <is>
          <t>Trader</t>
        </is>
      </c>
      <c r="C15383" t="inlineStr">
        <is>
          <t>SCS Global Services, Emeryville, CA, US</t>
        </is>
      </c>
      <c r="D15383" t="inlineStr">
        <is>
          <t>30.08.2026</t>
        </is>
      </c>
      <c r="E15383" t="inlineStr">
        <is>
          <t>China</t>
        </is>
      </c>
    </row>
    <row r="15384">
      <c r="A15384" t="inlineStr">
        <is>
          <t>Covestro,  Hebron, Ohio, United States</t>
        </is>
      </c>
      <c r="B15384" t="inlineStr">
        <is>
          <t>Trader with Storage, Processing Unit</t>
        </is>
      </c>
      <c r="C15384" t="inlineStr">
        <is>
          <t>DQS CFS GmbH - Deutsche Gesellschaft für Nachhaltigkeit, Frankfurt am Main, DE</t>
        </is>
      </c>
      <c r="D15384" t="inlineStr">
        <is>
          <t>30.08.2026</t>
        </is>
      </c>
      <c r="E15384" t="inlineStr">
        <is>
          <t>United States</t>
        </is>
      </c>
    </row>
    <row r="15385">
      <c r="A15385" t="inlineStr">
        <is>
          <t>Quantum Global Trading,  Dubai, United Arab Emirates</t>
        </is>
      </c>
      <c r="B15385" t="inlineStr">
        <is>
          <t>Trader</t>
        </is>
      </c>
      <c r="C15385" t="inlineStr">
        <is>
          <t>Control Union Certifications Germany GmbH, Berlin, DE</t>
        </is>
      </c>
      <c r="D15385" t="inlineStr">
        <is>
          <t>30.08.2026</t>
        </is>
      </c>
      <c r="E15385" t="inlineStr">
        <is>
          <t>United Arab Emirates</t>
        </is>
      </c>
    </row>
    <row r="15386">
      <c r="A15386" t="inlineStr">
        <is>
          <t>Fabio Produkt spol. s r.o.,  Jičín, Czech Republic</t>
        </is>
      </c>
      <c r="B15386" t="inlineStr">
        <is>
          <t>First Gathering Point, Trader</t>
        </is>
      </c>
      <c r="C15386" t="inlineStr">
        <is>
          <t>Bureau Veritas Polska Sp. z o.o., Warsaw, PL</t>
        </is>
      </c>
      <c r="D15386" t="inlineStr">
        <is>
          <t>30.08.2026</t>
        </is>
      </c>
      <c r="E15386" t="inlineStr">
        <is>
          <t>Czech Republic</t>
        </is>
      </c>
    </row>
    <row r="15387">
      <c r="A15387" t="inlineStr">
        <is>
          <t>NOCCIOLE MARCHISIO,  Cortemilia, Italy</t>
        </is>
      </c>
      <c r="B15387" t="inlineStr">
        <is>
          <t>Processing Unit</t>
        </is>
      </c>
      <c r="C15387" t="inlineStr">
        <is>
          <t>SGS Germany GmbH, Emstek, DE</t>
        </is>
      </c>
      <c r="D15387" t="inlineStr">
        <is>
          <t>30.08.2026</t>
        </is>
      </c>
      <c r="E15387" t="inlineStr">
        <is>
          <t>Italy</t>
        </is>
      </c>
    </row>
    <row r="15388">
      <c r="A15388" t="inlineStr">
        <is>
          <t>Bunker One (UK) Ltd.,  London, United Kingdom</t>
        </is>
      </c>
      <c r="B15388" t="inlineStr">
        <is>
          <t>Trader</t>
        </is>
      </c>
      <c r="C15388" t="inlineStr">
        <is>
          <t>Baltic Control Certification, Risskov, DK</t>
        </is>
      </c>
      <c r="D15388" t="inlineStr">
        <is>
          <t>30.08.2026</t>
        </is>
      </c>
      <c r="E15388" t="inlineStr">
        <is>
          <t>United Kingdom</t>
        </is>
      </c>
    </row>
    <row r="15389">
      <c r="A15389" t="inlineStr">
        <is>
          <t>Bunker One (UK) Ltd.,  London, United Kingdom</t>
        </is>
      </c>
      <c r="B15389" t="inlineStr">
        <is>
          <t>Trader</t>
        </is>
      </c>
      <c r="C15389" t="inlineStr">
        <is>
          <t>Baltic Control Certification, Risskov, DK</t>
        </is>
      </c>
      <c r="D15389" t="inlineStr">
        <is>
          <t>30.08.2026</t>
        </is>
      </c>
      <c r="E15389" t="inlineStr">
        <is>
          <t>United Kingdom</t>
        </is>
      </c>
    </row>
    <row r="15390">
      <c r="A15390" t="inlineStr">
        <is>
          <t>SC AGRICOST SA,  Braila, Romania</t>
        </is>
      </c>
      <c r="B15390" t="inlineStr">
        <is>
          <t>Farm / Plantation</t>
        </is>
      </c>
      <c r="C15390" t="inlineStr">
        <is>
          <t>Control Union Certifications Germany GmbH, Berlin, DE</t>
        </is>
      </c>
      <c r="D15390" t="inlineStr">
        <is>
          <t>30.08.2026</t>
        </is>
      </c>
      <c r="E15390" t="inlineStr">
        <is>
          <t>Romania</t>
        </is>
      </c>
    </row>
    <row r="15391">
      <c r="A15391" t="inlineStr">
        <is>
          <t>Sinarsiak Dianpermai,  Riau, Indonesia</t>
        </is>
      </c>
      <c r="B15391" t="inlineStr">
        <is>
          <t>Point of Origin</t>
        </is>
      </c>
      <c r="C15391" t="inlineStr">
        <is>
          <t>PT. Qualitas Sertifikasi Indonesia, Jakarta, ID</t>
        </is>
      </c>
      <c r="D15391" t="inlineStr">
        <is>
          <t>30.08.2026</t>
        </is>
      </c>
      <c r="E15391" t="inlineStr">
        <is>
          <t>Indonesia</t>
        </is>
      </c>
    </row>
    <row r="15392">
      <c r="A15392" t="inlineStr">
        <is>
          <t>Siak Prima Sakti,  Riau, Indonesia</t>
        </is>
      </c>
      <c r="B15392" t="inlineStr">
        <is>
          <t>Point of Origin</t>
        </is>
      </c>
      <c r="C15392" t="inlineStr">
        <is>
          <t>PT. Qualitas Sertifikasi Indonesia, Jakarta, ID</t>
        </is>
      </c>
      <c r="D15392" t="inlineStr">
        <is>
          <t>30.08.2026</t>
        </is>
      </c>
      <c r="E15392" t="inlineStr">
        <is>
          <t>Indonesia</t>
        </is>
      </c>
    </row>
    <row r="15393">
      <c r="A15393" t="inlineStr">
        <is>
          <t>Murini Sam-Sam, Kandis,  Riau, Indonesia</t>
        </is>
      </c>
      <c r="B15393" t="inlineStr">
        <is>
          <t>Point of Origin</t>
        </is>
      </c>
      <c r="C15393" t="inlineStr">
        <is>
          <t>PT. Qualitas Sertifikasi Indonesia, Jakarta, ID</t>
        </is>
      </c>
      <c r="D15393" t="inlineStr">
        <is>
          <t>30.08.2026</t>
        </is>
      </c>
      <c r="E15393" t="inlineStr">
        <is>
          <t>Indonesia</t>
        </is>
      </c>
    </row>
    <row r="15394">
      <c r="A15394" t="inlineStr">
        <is>
          <t>Aquafin NV,  Antwerpen, Belgium</t>
        </is>
      </c>
      <c r="B15394" t="inlineStr">
        <is>
          <t>Collecting Point, Processing Unit</t>
        </is>
      </c>
      <c r="C15394" t="inlineStr">
        <is>
          <t>Normec QS BV, Bennekom, NL</t>
        </is>
      </c>
      <c r="D15394" t="inlineStr">
        <is>
          <t>30.08.2026</t>
        </is>
      </c>
      <c r="E15394" t="inlineStr">
        <is>
          <t>Belgium</t>
        </is>
      </c>
    </row>
    <row r="15395">
      <c r="A15395" t="inlineStr">
        <is>
          <t>Kelet-magyarországi Gazdálkodók Szövetkezete,  Borsodszirák, Hungary</t>
        </is>
      </c>
      <c r="B15395" t="inlineStr">
        <is>
          <t>First Gathering Point, Trader with Storage</t>
        </is>
      </c>
      <c r="C15395" t="inlineStr">
        <is>
          <t>Certificadora Gallega del Noroeste SL, Vilagarcia de Arousa-Pontevedra, ES</t>
        </is>
      </c>
      <c r="D15395" t="inlineStr">
        <is>
          <t>30.08.2026</t>
        </is>
      </c>
      <c r="E15395" t="inlineStr">
        <is>
          <t>Hungary</t>
        </is>
      </c>
    </row>
    <row r="15396">
      <c r="A15396" t="inlineStr">
        <is>
          <t>Formosa Plastics Corporation,  Kaohsiung City, Linyuan Dist, Taiwan</t>
        </is>
      </c>
      <c r="B15396" t="inlineStr">
        <is>
          <t>Processing Unit</t>
        </is>
      </c>
      <c r="C15396" t="inlineStr">
        <is>
          <t>Bureau Veritas Polska Sp. z o.o., Warsaw, PL</t>
        </is>
      </c>
      <c r="D15396" t="inlineStr">
        <is>
          <t>30.08.2026</t>
        </is>
      </c>
      <c r="E15396" t="inlineStr">
        <is>
          <t>Taiwan</t>
        </is>
      </c>
    </row>
    <row r="15397">
      <c r="A15397" t="inlineStr">
        <is>
          <t>SecAnim GmbH,  Mützel, Germany</t>
        </is>
      </c>
      <c r="B15397" t="inlineStr">
        <is>
          <t>Point of Origin</t>
        </is>
      </c>
      <c r="C15397" t="inlineStr">
        <is>
          <t>GUT Certifizierungsgesellschaft für Managementsysteme mbH Umweltgutachter, Berlin, DE</t>
        </is>
      </c>
      <c r="D15397" t="inlineStr">
        <is>
          <t>30.08.2026</t>
        </is>
      </c>
      <c r="E15397" t="inlineStr">
        <is>
          <t>Germany</t>
        </is>
      </c>
    </row>
    <row r="15398">
      <c r="A15398" t="inlineStr">
        <is>
          <t>EuroEco Fuels Poland Sp. z o.o.,  Szczecin, Poland</t>
        </is>
      </c>
      <c r="B15398" t="inlineStr">
        <is>
          <t>Collecting Point, Processing Unit</t>
        </is>
      </c>
      <c r="C15398" t="inlineStr">
        <is>
          <t>DEKRA Certification B.V., Arnhem, NL</t>
        </is>
      </c>
      <c r="D15398" t="inlineStr">
        <is>
          <t>30.08.2026</t>
        </is>
      </c>
      <c r="E15398" t="inlineStr">
        <is>
          <t>Poland</t>
        </is>
      </c>
    </row>
    <row r="15399">
      <c r="A15399" t="inlineStr">
        <is>
          <t>EuroEco Fuels Poland Sp. z o.o.,  Szczecin, Poland</t>
        </is>
      </c>
      <c r="B15399" t="inlineStr">
        <is>
          <t>Collecting Point, Processing Unit</t>
        </is>
      </c>
      <c r="C15399" t="inlineStr">
        <is>
          <t>DEKRA Certification B.V., Arnhem, NL</t>
        </is>
      </c>
      <c r="D15399" t="inlineStr">
        <is>
          <t>30.08.2026</t>
        </is>
      </c>
      <c r="E15399" t="inlineStr">
        <is>
          <t>Poland</t>
        </is>
      </c>
    </row>
    <row r="15400">
      <c r="A15400" t="inlineStr">
        <is>
          <t>Celanese Polymer Products, LLC,  Washington, WV, United States</t>
        </is>
      </c>
      <c r="B15400" t="inlineStr">
        <is>
          <t>Collecting Point, Processing Unit, Point of Origin</t>
        </is>
      </c>
      <c r="C15400" t="inlineStr">
        <is>
          <t>SCS Global Services, Emeryville, CA, US</t>
        </is>
      </c>
      <c r="D15400" t="inlineStr">
        <is>
          <t>30.08.2026</t>
        </is>
      </c>
      <c r="E15400" t="inlineStr">
        <is>
          <t>United States</t>
        </is>
      </c>
    </row>
    <row r="15401">
      <c r="A15401" t="inlineStr">
        <is>
          <t>Battonyai Agrár Zrt.,  Dombegyház, Hungary</t>
        </is>
      </c>
      <c r="B15401" t="inlineStr">
        <is>
          <t>First Gathering Point</t>
        </is>
      </c>
      <c r="C15401" t="inlineStr">
        <is>
          <t>Certificadora Gallega del Noroeste SL, Vilagarcia de Arousa-Pontevedra, ES</t>
        </is>
      </c>
      <c r="D15401" t="inlineStr">
        <is>
          <t>30.08.2026</t>
        </is>
      </c>
      <c r="E15401" t="inlineStr">
        <is>
          <t>Hungary</t>
        </is>
      </c>
    </row>
    <row r="15402">
      <c r="A15402" t="inlineStr">
        <is>
          <t>Dombegyházi Agrár Zrt.,  Dombegyháza, Hungary</t>
        </is>
      </c>
      <c r="B15402" t="inlineStr">
        <is>
          <t>First Gathering Point</t>
        </is>
      </c>
      <c r="C15402" t="inlineStr">
        <is>
          <t>Certificadora Gallega del Noroeste SL, Vilagarcia de Arousa-Pontevedra, ES</t>
        </is>
      </c>
      <c r="D15402" t="inlineStr">
        <is>
          <t>30.08.2026</t>
        </is>
      </c>
      <c r="E15402" t="inlineStr">
        <is>
          <t>Hungary</t>
        </is>
      </c>
    </row>
    <row r="15403">
      <c r="A15403" t="inlineStr">
        <is>
          <t>Quadra Commodities SA,  Geneva, Switzerland</t>
        </is>
      </c>
      <c r="B15403" t="inlineStr">
        <is>
          <t>Trader with Storage</t>
        </is>
      </c>
      <c r="C15403" t="inlineStr">
        <is>
          <t>Bureau Veritas Polska Sp. z o.o., Warsaw, PL</t>
        </is>
      </c>
      <c r="D15403" t="inlineStr">
        <is>
          <t>30.08.2026</t>
        </is>
      </c>
      <c r="E15403" t="inlineStr">
        <is>
          <t>Switzerland</t>
        </is>
      </c>
    </row>
    <row r="15404">
      <c r="A15404" t="inlineStr">
        <is>
          <t>Torm-Agro-Plusz Kft.,  Tulkán, Lőkösháza, Hungary</t>
        </is>
      </c>
      <c r="B15404" t="inlineStr">
        <is>
          <t>First Gathering Point</t>
        </is>
      </c>
      <c r="C15404" t="inlineStr">
        <is>
          <t>Certificadora Gallega del Noroeste SL, Vilagarcia de Arousa-Pontevedra, ES</t>
        </is>
      </c>
      <c r="D15404" t="inlineStr">
        <is>
          <t>30.08.2026</t>
        </is>
      </c>
      <c r="E15404" t="inlineStr">
        <is>
          <t>Hungary</t>
        </is>
      </c>
    </row>
    <row r="15405">
      <c r="A15405" t="inlineStr">
        <is>
          <t>Itagro France,  Breil-sur-Roya, France</t>
        </is>
      </c>
      <c r="B15405" t="inlineStr">
        <is>
          <t>Collecting Point</t>
        </is>
      </c>
      <c r="C15405" t="inlineStr">
        <is>
          <t>RINA Services S.p.A., Genova, IT</t>
        </is>
      </c>
      <c r="D15405" t="inlineStr">
        <is>
          <t>29.08.2026</t>
        </is>
      </c>
      <c r="E15405" t="inlineStr">
        <is>
          <t>France</t>
        </is>
      </c>
    </row>
    <row r="15406">
      <c r="A15406" t="inlineStr">
        <is>
          <t>BUNGE ARGENTINA SA,  San Lorenzo, Argentina</t>
        </is>
      </c>
      <c r="B15406" t="inlineStr">
        <is>
          <t>Trader with Storage, Warehouse, Processing Unit, Point of Origin</t>
        </is>
      </c>
      <c r="C15406" t="inlineStr">
        <is>
          <t>Control Union Certifications Germany GmbH, Berlin, DE</t>
        </is>
      </c>
      <c r="D15406" t="inlineStr">
        <is>
          <t>29.08.2026</t>
        </is>
      </c>
      <c r="E15406" t="inlineStr">
        <is>
          <t>Argentina</t>
        </is>
      </c>
    </row>
    <row r="15407">
      <c r="A15407" t="inlineStr">
        <is>
          <t>Hongkong Grand Ocean Industrial Development Company Limited,  Hong Kong, China</t>
        </is>
      </c>
      <c r="B15407" t="inlineStr">
        <is>
          <t>Trader</t>
        </is>
      </c>
      <c r="C15407" t="inlineStr">
        <is>
          <t>SCS Global Services, Emeryville, CA, US</t>
        </is>
      </c>
      <c r="D15407" t="inlineStr">
        <is>
          <t>29.08.2026</t>
        </is>
      </c>
      <c r="E15407" t="inlineStr">
        <is>
          <t>China</t>
        </is>
      </c>
    </row>
    <row r="15408">
      <c r="A15408" t="inlineStr">
        <is>
          <t>PT Sawita Inter Perkasa,  Sumatera Utara, Indonesia</t>
        </is>
      </c>
      <c r="B15408" t="inlineStr">
        <is>
          <t>Point of Origin</t>
        </is>
      </c>
      <c r="C15408" t="inlineStr">
        <is>
          <t>BM Certification, Riga, LV</t>
        </is>
      </c>
      <c r="D15408" t="inlineStr">
        <is>
          <t>29.08.2026</t>
        </is>
      </c>
      <c r="E15408" t="inlineStr">
        <is>
          <t>Indonesia</t>
        </is>
      </c>
    </row>
    <row r="15409">
      <c r="A15409" t="inlineStr">
        <is>
          <t>CV. Jaya Pratama Sawit,  Kab. Batu Bara, Indonesia</t>
        </is>
      </c>
      <c r="B15409" t="inlineStr">
        <is>
          <t>Point of Origin</t>
        </is>
      </c>
      <c r="C15409" t="inlineStr">
        <is>
          <t>BM Certification, Riga, LV</t>
        </is>
      </c>
      <c r="D15409" t="inlineStr">
        <is>
          <t>29.08.2026</t>
        </is>
      </c>
      <c r="E15409" t="inlineStr">
        <is>
          <t>Indonesia</t>
        </is>
      </c>
    </row>
    <row r="15410">
      <c r="A15410" t="inlineStr">
        <is>
          <t>Döbröközi Mg. Zrt,  Döbrököz, Hungary</t>
        </is>
      </c>
      <c r="B15410" t="inlineStr">
        <is>
          <t>Farm / Plantation, First Gathering Point</t>
        </is>
      </c>
      <c r="C15410" t="inlineStr">
        <is>
          <t>Bureau Veritas Polska Sp. z o.o., Warsaw, PL</t>
        </is>
      </c>
      <c r="D15410" t="inlineStr">
        <is>
          <t>29.08.2026</t>
        </is>
      </c>
      <c r="E15410" t="inlineStr">
        <is>
          <t>Hungary</t>
        </is>
      </c>
    </row>
    <row r="15411">
      <c r="A15411" t="inlineStr">
        <is>
          <t>Renova,  San Lorenzo, Santa Fe, Argentina</t>
        </is>
      </c>
      <c r="B15411" t="inlineStr">
        <is>
          <t>Processing Unit</t>
        </is>
      </c>
      <c r="C15411" t="inlineStr">
        <is>
          <t>Control Union Certifications Germany GmbH, Berlin, DE</t>
        </is>
      </c>
      <c r="D15411" t="inlineStr">
        <is>
          <t>29.08.2026</t>
        </is>
      </c>
      <c r="E15411" t="inlineStr">
        <is>
          <t>Argentina</t>
        </is>
      </c>
    </row>
    <row r="15412">
      <c r="A15412" t="inlineStr">
        <is>
          <t>Renova,  San Lorenzo, Santa Fe, Argentina</t>
        </is>
      </c>
      <c r="B15412" t="inlineStr">
        <is>
          <t>Point of Origin, Trader with Storage, Processing Unit</t>
        </is>
      </c>
      <c r="C15412" t="inlineStr">
        <is>
          <t>Control Union Certifications Germany GmbH, Berlin, DE</t>
        </is>
      </c>
      <c r="D15412" t="inlineStr">
        <is>
          <t>29.08.2026</t>
        </is>
      </c>
      <c r="E15412" t="inlineStr">
        <is>
          <t>Argentina</t>
        </is>
      </c>
    </row>
    <row r="15413">
      <c r="A15413" t="inlineStr">
        <is>
          <t>Carbon Farming Germany,  Berlin, Germany</t>
        </is>
      </c>
      <c r="B15413" t="inlineStr">
        <is>
          <t>Trader with Storage, Proof of Compliance Trader</t>
        </is>
      </c>
      <c r="C15413" t="inlineStr">
        <is>
          <t>TÜV SÜD Industrie Service GmbH, München, DE</t>
        </is>
      </c>
      <c r="D15413" t="inlineStr">
        <is>
          <t>29.08.2026</t>
        </is>
      </c>
      <c r="E15413" t="inlineStr">
        <is>
          <t>Germany</t>
        </is>
      </c>
    </row>
    <row r="15414">
      <c r="A15414" t="inlineStr">
        <is>
          <t>Shell International Eastern Trading Company,  Singapore, Singapore</t>
        </is>
      </c>
      <c r="B15414" t="inlineStr">
        <is>
          <t>Trader with Storage</t>
        </is>
      </c>
      <c r="C15414" t="inlineStr">
        <is>
          <t>Control Union Certifications Germany GmbH, Berlin, DE</t>
        </is>
      </c>
      <c r="D15414" t="inlineStr">
        <is>
          <t>29.08.2026</t>
        </is>
      </c>
      <c r="E15414" t="inlineStr">
        <is>
          <t>Singapore</t>
        </is>
      </c>
    </row>
    <row r="15415">
      <c r="A15415" t="inlineStr">
        <is>
          <t>Shell International Eastern Trading Company,  Singapore, Singapore</t>
        </is>
      </c>
      <c r="B15415" t="inlineStr">
        <is>
          <t>Trader with Storage</t>
        </is>
      </c>
      <c r="C15415" t="inlineStr">
        <is>
          <t>Control Union Certifications Germany GmbH, Berlin, DE</t>
        </is>
      </c>
      <c r="D15415" t="inlineStr">
        <is>
          <t>29.08.2026</t>
        </is>
      </c>
      <c r="E15415" t="inlineStr">
        <is>
          <t>Singapore</t>
        </is>
      </c>
    </row>
    <row r="15416">
      <c r="A15416" t="inlineStr">
        <is>
          <t>Hainan Annengjie International Trade Co., Ltd,  Haikou City, Hainan Province, China</t>
        </is>
      </c>
      <c r="B15416" t="inlineStr">
        <is>
          <t>Trader with Storage</t>
        </is>
      </c>
      <c r="C15416" t="inlineStr">
        <is>
          <t>RINA Services S.p.A., Genova, IT</t>
        </is>
      </c>
      <c r="D15416" t="inlineStr">
        <is>
          <t>29.08.2026</t>
        </is>
      </c>
      <c r="E15416" t="inlineStr">
        <is>
          <t>China</t>
        </is>
      </c>
    </row>
    <row r="15417">
      <c r="A15417" t="inlineStr">
        <is>
          <t>Guangxi Xingye County Weida Oil Co., Ltd,  Yulin City, Guangxi Zhuang Autonomous Region, China</t>
        </is>
      </c>
      <c r="B15417" t="inlineStr">
        <is>
          <t>Collecting Point, Trader with Storage</t>
        </is>
      </c>
      <c r="C15417" t="inlineStr">
        <is>
          <t>RINA Services S.p.A., Genova, IT</t>
        </is>
      </c>
      <c r="D15417" t="inlineStr">
        <is>
          <t>29.08.2026</t>
        </is>
      </c>
      <c r="E15417" t="inlineStr">
        <is>
          <t>China</t>
        </is>
      </c>
    </row>
    <row r="15418">
      <c r="A15418" t="inlineStr">
        <is>
          <t>Arkema (Changshu) Specialty Materials Co., Ltd.,  Changshu, Jiangsu, China</t>
        </is>
      </c>
      <c r="B15418" t="inlineStr">
        <is>
          <t>Processing Unit</t>
        </is>
      </c>
      <c r="C15418" t="inlineStr">
        <is>
          <t>DIN CERTCO GmbH, Berlin, DE</t>
        </is>
      </c>
      <c r="D15418" t="inlineStr">
        <is>
          <t>29.08.2026</t>
        </is>
      </c>
      <c r="E15418" t="inlineStr">
        <is>
          <t>China</t>
        </is>
      </c>
    </row>
    <row r="15419">
      <c r="A15419" t="inlineStr">
        <is>
          <t>FRANCE COLLECT,  BOUAYE, France</t>
        </is>
      </c>
      <c r="B15419" t="inlineStr">
        <is>
          <t>Collecting Point</t>
        </is>
      </c>
      <c r="C15419" t="inlineStr">
        <is>
          <t>Control Union Certifications Germany GmbH, Berlin, DE</t>
        </is>
      </c>
      <c r="D15419" t="inlineStr">
        <is>
          <t>29.08.2026</t>
        </is>
      </c>
      <c r="E15419" t="inlineStr">
        <is>
          <t>France</t>
        </is>
      </c>
    </row>
    <row r="15420">
      <c r="A15420" t="inlineStr">
        <is>
          <t>Horizon Petroleum Limited,  Main Office Tower, Financial Park Labuan Complex, Malaysia</t>
        </is>
      </c>
      <c r="B15420" t="inlineStr">
        <is>
          <t>Trader</t>
        </is>
      </c>
      <c r="C15420" t="inlineStr">
        <is>
          <t>Trans Certification and Inspection Sdn Bhd, Kuantan, MY</t>
        </is>
      </c>
      <c r="D15420" t="inlineStr">
        <is>
          <t>29.08.2026</t>
        </is>
      </c>
      <c r="E15420" t="inlineStr">
        <is>
          <t>Malaysia</t>
        </is>
      </c>
    </row>
    <row r="15421">
      <c r="A15421" t="inlineStr">
        <is>
          <t>PT. Dasa Anugrah Sejati,  Tungkal Ulu District, Tanjung Jabung Regency, Jambi, Indonesia, Indonesia</t>
        </is>
      </c>
      <c r="B15421" t="inlineStr">
        <is>
          <t>Point of Origin</t>
        </is>
      </c>
      <c r="C15421" t="inlineStr">
        <is>
          <t>SGS Germany GmbH, Emstek, DE</t>
        </is>
      </c>
      <c r="D15421" t="inlineStr">
        <is>
          <t>29.08.2026</t>
        </is>
      </c>
      <c r="E15421" t="inlineStr">
        <is>
          <t>Indonesia</t>
        </is>
      </c>
    </row>
    <row r="15422">
      <c r="A15422" t="inlineStr">
        <is>
          <t>Sasol Germany GmbH,  Marl, Germany</t>
        </is>
      </c>
      <c r="B15422" t="inlineStr">
        <is>
          <t>Processing Unit</t>
        </is>
      </c>
      <c r="C15422" t="inlineStr">
        <is>
          <t>RINA Services S.p.A., Genova, IT</t>
        </is>
      </c>
      <c r="D15422" t="inlineStr">
        <is>
          <t>29.08.2026</t>
        </is>
      </c>
      <c r="E15422" t="inlineStr">
        <is>
          <t>Germany</t>
        </is>
      </c>
    </row>
    <row r="15423">
      <c r="A15423" t="inlineStr">
        <is>
          <t>Thai Polycarbonate Co., Ltd.,  Map-Ta-Phut, Muang, Rayong, Thailand</t>
        </is>
      </c>
      <c r="B15423" t="inlineStr">
        <is>
          <t>Processing Unit</t>
        </is>
      </c>
      <c r="C15423" t="inlineStr">
        <is>
          <t>SGS Germany GmbH, Emstek, DE</t>
        </is>
      </c>
      <c r="D15423" t="inlineStr">
        <is>
          <t>29.08.2026</t>
        </is>
      </c>
      <c r="E15423" t="inlineStr">
        <is>
          <t>Thailand</t>
        </is>
      </c>
    </row>
    <row r="15424">
      <c r="A15424" t="inlineStr">
        <is>
          <t>Evos Rotterdam BV,  Europoort Rotterdam, Netherlands</t>
        </is>
      </c>
      <c r="B15424" t="inlineStr">
        <is>
          <t>Warehouse</t>
        </is>
      </c>
      <c r="C15424" t="inlineStr">
        <is>
          <t>DNV Business Assurance Sweden AB, Solna, SE</t>
        </is>
      </c>
      <c r="D15424" t="inlineStr">
        <is>
          <t>29.08.2026</t>
        </is>
      </c>
      <c r="E15424" t="inlineStr">
        <is>
          <t>Netherlands</t>
        </is>
      </c>
    </row>
    <row r="15425">
      <c r="A15425" t="inlineStr">
        <is>
          <t>Evos Rotterdam BV,  Europoort Rotterdam, Netherlands</t>
        </is>
      </c>
      <c r="B15425" t="inlineStr">
        <is>
          <t>Warehouse</t>
        </is>
      </c>
      <c r="C15425" t="inlineStr">
        <is>
          <t>DNV Business Assurance Sweden AB, Solna, SE</t>
        </is>
      </c>
      <c r="D15425" t="inlineStr">
        <is>
          <t>29.08.2026</t>
        </is>
      </c>
      <c r="E15425" t="inlineStr">
        <is>
          <t>Netherlands</t>
        </is>
      </c>
    </row>
    <row r="15426">
      <c r="A15426" t="inlineStr">
        <is>
          <t>Augusto Guimarães &amp; Irmão, Lda,  Vila Nova de Gaia, Portugal</t>
        </is>
      </c>
      <c r="B15426" t="inlineStr">
        <is>
          <t>Trader with Storage</t>
        </is>
      </c>
      <c r="C15426" t="inlineStr">
        <is>
          <t>SGS Germany GmbH, Emstek, DE</t>
        </is>
      </c>
      <c r="D15426" t="inlineStr">
        <is>
          <t>29.08.2026</t>
        </is>
      </c>
      <c r="E15426" t="inlineStr">
        <is>
          <t>Portugal</t>
        </is>
      </c>
    </row>
    <row r="15427">
      <c r="A15427" t="inlineStr">
        <is>
          <t>Hyungje Bio Industrial Co., Ltd.,  Dongnamgu, Cheonansi, Chungcheongnam-do, Korea, Republic of</t>
        </is>
      </c>
      <c r="B15427" t="inlineStr">
        <is>
          <t>Collecting Point</t>
        </is>
      </c>
      <c r="C15427" t="inlineStr">
        <is>
          <t>Control Union Certifications Germany GmbH, Berlin, DE</t>
        </is>
      </c>
      <c r="D15427" t="inlineStr">
        <is>
          <t>29.08.2026</t>
        </is>
      </c>
      <c r="E15427" t="inlineStr">
        <is>
          <t>Republic of</t>
        </is>
      </c>
    </row>
    <row r="15428">
      <c r="A15428" t="inlineStr">
        <is>
          <t>Hyungje Bio Industrial Co., Ltd.,  Dongnamgu, Cheonansi, Chungcheongnam-do, Korea, Republic of</t>
        </is>
      </c>
      <c r="B15428" t="inlineStr">
        <is>
          <t>Collecting Point</t>
        </is>
      </c>
      <c r="C15428" t="inlineStr">
        <is>
          <t>Control Union Certifications Germany GmbH, Berlin, DE</t>
        </is>
      </c>
      <c r="D15428" t="inlineStr">
        <is>
          <t>29.08.2026</t>
        </is>
      </c>
      <c r="E15428" t="inlineStr">
        <is>
          <t>Republic of</t>
        </is>
      </c>
    </row>
    <row r="15429">
      <c r="A15429" t="inlineStr">
        <is>
          <t>Hyungje Bio Industrial Co., Ltd.,  Dongnamgu, Cheonansi, Chungcheongnam-do, Korea, Republic of</t>
        </is>
      </c>
      <c r="B15429" t="inlineStr">
        <is>
          <t>Collecting Point</t>
        </is>
      </c>
      <c r="C15429" t="inlineStr">
        <is>
          <t>Control Union Certifications Germany GmbH, Berlin, DE</t>
        </is>
      </c>
      <c r="D15429" t="inlineStr">
        <is>
          <t>29.08.2026</t>
        </is>
      </c>
      <c r="E15429" t="inlineStr">
        <is>
          <t>Republic of</t>
        </is>
      </c>
    </row>
    <row r="15430">
      <c r="A15430" t="inlineStr">
        <is>
          <t>SAWIT JAYA MAKMUR SENTOSA,  LANGKAT, SUMATERA UTARA, Indonesia</t>
        </is>
      </c>
      <c r="B15430" t="inlineStr">
        <is>
          <t>Point of Origin</t>
        </is>
      </c>
      <c r="C15430" t="inlineStr">
        <is>
          <t>PT. CBQA GLOBAL INDONESIA, JAKARTA SELATAN, ID</t>
        </is>
      </c>
      <c r="D15430" t="inlineStr">
        <is>
          <t>29.08.2026</t>
        </is>
      </c>
      <c r="E15430" t="inlineStr">
        <is>
          <t>Indonesia</t>
        </is>
      </c>
    </row>
    <row r="15431">
      <c r="A15431" t="inlineStr">
        <is>
          <t>VIRGIN OIL COMPANY (MAURITIUS) LTD,  MONTAGNE BLANCHE, Mauritius</t>
        </is>
      </c>
      <c r="B15431" t="inlineStr">
        <is>
          <t>Collecting Point, Processing Unit</t>
        </is>
      </c>
      <c r="C15431" t="inlineStr">
        <is>
          <t>Cotecna India Inspection Pvt Ltd, Kolkata, IN</t>
        </is>
      </c>
      <c r="D15431" t="inlineStr">
        <is>
          <t>29.08.2026</t>
        </is>
      </c>
      <c r="E15431" t="inlineStr">
        <is>
          <t>Mauritius</t>
        </is>
      </c>
    </row>
    <row r="15432">
      <c r="A15432" t="inlineStr">
        <is>
          <t>Oil Solutions Ltd,  Kirkby Stephen, The United Kingdom</t>
        </is>
      </c>
      <c r="B15432" t="inlineStr">
        <is>
          <t>Collecting Point</t>
        </is>
      </c>
      <c r="C15432" t="inlineStr">
        <is>
          <t>SGS Germany GmbH, Emstek, DE</t>
        </is>
      </c>
      <c r="D15432" t="inlineStr">
        <is>
          <t>29.08.2026</t>
        </is>
      </c>
      <c r="E15432" t="inlineStr">
        <is>
          <t>The United Kingdom</t>
        </is>
      </c>
    </row>
    <row r="15433">
      <c r="A15433" t="inlineStr">
        <is>
          <t>Teremtő Kft.,  Kompolt, Hungary</t>
        </is>
      </c>
      <c r="B15433" t="inlineStr">
        <is>
          <t>First Gathering Point, Trader with Storage</t>
        </is>
      </c>
      <c r="C15433" t="inlineStr">
        <is>
          <t>Certificadora Gallega del Noroeste SL, Vilagarcia de Arousa-Pontevedra, ES</t>
        </is>
      </c>
      <c r="D15433" t="inlineStr">
        <is>
          <t>29.08.2026</t>
        </is>
      </c>
      <c r="E15433" t="inlineStr">
        <is>
          <t>Hungary</t>
        </is>
      </c>
    </row>
    <row r="15434">
      <c r="A15434" t="inlineStr">
        <is>
          <t>Coatex Inc,  Chester, United States</t>
        </is>
      </c>
      <c r="B15434" t="inlineStr">
        <is>
          <t>Processing Unit</t>
        </is>
      </c>
      <c r="C15434" t="inlineStr">
        <is>
          <t>DNV Business Assurance Sweden AB, Solna, SE</t>
        </is>
      </c>
      <c r="D15434" t="inlineStr">
        <is>
          <t>29.08.2026</t>
        </is>
      </c>
      <c r="E15434" t="inlineStr">
        <is>
          <t>United States</t>
        </is>
      </c>
    </row>
    <row r="15435">
      <c r="A15435" t="inlineStr">
        <is>
          <t>CY INTERTRADE SDN.BHD,  MERU, KLANG, Malaysia</t>
        </is>
      </c>
      <c r="B15435" t="inlineStr">
        <is>
          <t>Point of Origin, Collecting Point, Trader</t>
        </is>
      </c>
      <c r="C15435" t="inlineStr">
        <is>
          <t>SCS Global Services, Emeryville, CA, US</t>
        </is>
      </c>
      <c r="D15435" t="inlineStr">
        <is>
          <t>29.08.2026</t>
        </is>
      </c>
      <c r="E15435" t="inlineStr">
        <is>
          <t>Malaysia</t>
        </is>
      </c>
    </row>
    <row r="15436">
      <c r="A15436" t="inlineStr">
        <is>
          <t>Plastic Legno,  Castellamonte, Italy</t>
        </is>
      </c>
      <c r="B15436" t="inlineStr">
        <is>
          <t>Processing Unit</t>
        </is>
      </c>
      <c r="C15436" t="inlineStr">
        <is>
          <t>ICIM SpA, sesto san giovanni, IT</t>
        </is>
      </c>
      <c r="D15436" t="inlineStr">
        <is>
          <t>29.08.2026</t>
        </is>
      </c>
      <c r="E15436" t="inlineStr">
        <is>
          <t>Italy</t>
        </is>
      </c>
    </row>
    <row r="15437">
      <c r="A15437" t="inlineStr">
        <is>
          <t>Seri Ulu Langat Palm Oil Mill,  Jalan Banting 43800 Dengkil, Malaysia</t>
        </is>
      </c>
      <c r="B15437" t="inlineStr">
        <is>
          <t>Point of Origin</t>
        </is>
      </c>
      <c r="C15437" t="inlineStr">
        <is>
          <t>Trans Certification and Inspection Sdn Bhd, Kuantan, MY</t>
        </is>
      </c>
      <c r="D15437" t="inlineStr">
        <is>
          <t>29.08.2026</t>
        </is>
      </c>
      <c r="E15437" t="inlineStr">
        <is>
          <t>Malaysia</t>
        </is>
      </c>
    </row>
    <row r="15438">
      <c r="A15438" t="inlineStr">
        <is>
          <t>Seri Langat Palm Oil Mill,  Jenjarom, Kuala Langat, Malaysia</t>
        </is>
      </c>
      <c r="B15438" t="inlineStr">
        <is>
          <t>Point of Origin</t>
        </is>
      </c>
      <c r="C15438" t="inlineStr">
        <is>
          <t>Trans Certification and Inspection Sdn Bhd, Kuantan, MY</t>
        </is>
      </c>
      <c r="D15438" t="inlineStr">
        <is>
          <t>29.08.2026</t>
        </is>
      </c>
      <c r="E15438" t="inlineStr">
        <is>
          <t>Malaysia</t>
        </is>
      </c>
    </row>
    <row r="15439">
      <c r="A15439" t="inlineStr">
        <is>
          <t>Kuraray Co., Ltd.,  Saijo, Japan</t>
        </is>
      </c>
      <c r="B15439" t="inlineStr">
        <is>
          <t>Processing Unit</t>
        </is>
      </c>
      <c r="C15439" t="inlineStr">
        <is>
          <t>Control Union Certifications Germany GmbH, Berlin, DE</t>
        </is>
      </c>
      <c r="D15439" t="inlineStr">
        <is>
          <t>28.08.2026</t>
        </is>
      </c>
      <c r="E15439" t="inlineStr">
        <is>
          <t>Japan</t>
        </is>
      </c>
    </row>
    <row r="15440">
      <c r="A15440" t="inlineStr">
        <is>
          <t>E&amp;C YEONCHEON,  Yeoncheon-gun, Gyeonggi-do, Korea, Republic of</t>
        </is>
      </c>
      <c r="B15440" t="inlineStr">
        <is>
          <t>Collecting Point, Processing Unit</t>
        </is>
      </c>
      <c r="C15440" t="inlineStr">
        <is>
          <t>Control Union Certifications Germany GmbH, Berlin, DE</t>
        </is>
      </c>
      <c r="D15440" t="inlineStr">
        <is>
          <t>28.08.2026</t>
        </is>
      </c>
      <c r="E15440" t="inlineStr">
        <is>
          <t>Republic of</t>
        </is>
      </c>
    </row>
    <row r="15441">
      <c r="A15441" t="inlineStr">
        <is>
          <t>ZARJA AGRO,  Burgas, Bulgaria</t>
        </is>
      </c>
      <c r="B15441" t="inlineStr">
        <is>
          <t>Trader, First Gathering Point</t>
        </is>
      </c>
      <c r="C15441" t="inlineStr">
        <is>
          <t>BM Certification, Riga, LV</t>
        </is>
      </c>
      <c r="D15441" t="inlineStr">
        <is>
          <t>28.08.2026</t>
        </is>
      </c>
      <c r="E15441" t="inlineStr">
        <is>
          <t>Bulgaria</t>
        </is>
      </c>
    </row>
    <row r="15442">
      <c r="A15442" t="inlineStr">
        <is>
          <t>«Sanavitas»,  Kolomiytsivka village, Ukraine</t>
        </is>
      </c>
      <c r="B15442" t="inlineStr">
        <is>
          <t>Trader with Storage</t>
        </is>
      </c>
      <c r="C15442" t="inlineStr">
        <is>
          <t>BM Certification, Riga, LV</t>
        </is>
      </c>
      <c r="D15442" t="inlineStr">
        <is>
          <t>28.08.2026</t>
        </is>
      </c>
      <c r="E15442" t="inlineStr">
        <is>
          <t>Ukraine</t>
        </is>
      </c>
    </row>
    <row r="15443">
      <c r="A15443" t="inlineStr">
        <is>
          <t>Molinos Agro S.A.,  San Lorenzo, Santa Fe, Argentina</t>
        </is>
      </c>
      <c r="B15443" t="inlineStr">
        <is>
          <t>Trader with Storage, Warehouse, Processing Unit</t>
        </is>
      </c>
      <c r="C15443" t="inlineStr">
        <is>
          <t>Control Union Certifications Germany GmbH, Berlin, DE</t>
        </is>
      </c>
      <c r="D15443" t="inlineStr">
        <is>
          <t>28.08.2026</t>
        </is>
      </c>
      <c r="E15443" t="inlineStr">
        <is>
          <t>Argentina</t>
        </is>
      </c>
    </row>
    <row r="15444">
      <c r="A15444" t="inlineStr">
        <is>
          <t>PGEO Bioproducts Sdn. Bhd.,  Kawasan Perindustrian Pasir Gudang, Pasir Gudang, Malaysia</t>
        </is>
      </c>
      <c r="B15444" t="inlineStr">
        <is>
          <t>Processing Unit</t>
        </is>
      </c>
      <c r="C15444" t="inlineStr">
        <is>
          <t>ASG Cert GmbH, Munich, DE</t>
        </is>
      </c>
      <c r="D15444" t="inlineStr">
        <is>
          <t>28.08.2026</t>
        </is>
      </c>
      <c r="E15444" t="inlineStr">
        <is>
          <t>Malaysia</t>
        </is>
      </c>
    </row>
    <row r="15445">
      <c r="A15445" t="inlineStr">
        <is>
          <t>PGEO Edible Oils Sdn. Bhd.,  Pasir Gudang, Johor, Malaysia</t>
        </is>
      </c>
      <c r="B15445" t="inlineStr">
        <is>
          <t>Point of Origin, Warehouse, Trader with Storage, Processing Unit</t>
        </is>
      </c>
      <c r="C15445" t="inlineStr">
        <is>
          <t>ASG Cert GmbH, Munich, DE</t>
        </is>
      </c>
      <c r="D15445" t="inlineStr">
        <is>
          <t>28.08.2026</t>
        </is>
      </c>
      <c r="E15445" t="inlineStr">
        <is>
          <t>Malaysia</t>
        </is>
      </c>
    </row>
    <row r="15446">
      <c r="A15446" t="inlineStr">
        <is>
          <t>PGEO Edible Oils Sdn. Bhd.,  Kawasan Lembaga Perlabuhan Johor, Pasir Gudang, Malaysia</t>
        </is>
      </c>
      <c r="B15446" t="inlineStr">
        <is>
          <t>Point of Origin, Trader with Storage, Processing Unit</t>
        </is>
      </c>
      <c r="C15446" t="inlineStr">
        <is>
          <t>ASG Cert GmbH, Munich, DE</t>
        </is>
      </c>
      <c r="D15446" t="inlineStr">
        <is>
          <t>28.08.2026</t>
        </is>
      </c>
      <c r="E15446" t="inlineStr">
        <is>
          <t>Malaysia</t>
        </is>
      </c>
    </row>
    <row r="15447">
      <c r="A15447" t="inlineStr">
        <is>
          <t>New Eco One Co., Ltd,  Incheon, Korea, Republic of</t>
        </is>
      </c>
      <c r="B15447" t="inlineStr">
        <is>
          <t>Collecting Point, Processing Unit</t>
        </is>
      </c>
      <c r="C15447" t="inlineStr">
        <is>
          <t>Control Union Certifications Germany GmbH, Berlin, DE</t>
        </is>
      </c>
      <c r="D15447" t="inlineStr">
        <is>
          <t>28.08.2026</t>
        </is>
      </c>
      <c r="E15447" t="inlineStr">
        <is>
          <t>Republic of</t>
        </is>
      </c>
    </row>
    <row r="15448">
      <c r="A15448" t="inlineStr">
        <is>
          <t>Idemitsu Retail Marketing,  Osaka-shi, Osaka, Japan</t>
        </is>
      </c>
      <c r="B15448" t="inlineStr">
        <is>
          <t>Trader</t>
        </is>
      </c>
      <c r="C15448" t="inlineStr">
        <is>
          <t>SGS Germany GmbH, Emstek, DE</t>
        </is>
      </c>
      <c r="D15448" t="inlineStr">
        <is>
          <t>28.08.2026</t>
        </is>
      </c>
      <c r="E15448" t="inlineStr">
        <is>
          <t>Japan</t>
        </is>
      </c>
    </row>
    <row r="15449">
      <c r="A15449" t="inlineStr">
        <is>
          <t>PINECONE TRADING AND MANUFACTURING COMPANY LIMITED,  Tay Ninh Province, Vietnam</t>
        </is>
      </c>
      <c r="B15449" t="inlineStr">
        <is>
          <t>Processing Unit, Trader</t>
        </is>
      </c>
      <c r="C15449" t="inlineStr">
        <is>
          <t>BM Certification, Riga, LV</t>
        </is>
      </c>
      <c r="D15449" t="inlineStr">
        <is>
          <t>28.08.2026</t>
        </is>
      </c>
      <c r="E15449" t="inlineStr">
        <is>
          <t>Vietnam</t>
        </is>
      </c>
    </row>
    <row r="15450">
      <c r="A15450" t="inlineStr">
        <is>
          <t>WM Renewable Energy,  Lewisville, United States</t>
        </is>
      </c>
      <c r="B15450" t="inlineStr">
        <is>
          <t>Collecting Point, Processing Unit</t>
        </is>
      </c>
      <c r="C15450" t="inlineStr">
        <is>
          <t>SCS Global Services, Emeryville, CA, US</t>
        </is>
      </c>
      <c r="D15450" t="inlineStr">
        <is>
          <t>28.08.2026</t>
        </is>
      </c>
      <c r="E15450" t="inlineStr">
        <is>
          <t>United States</t>
        </is>
      </c>
    </row>
    <row r="15451">
      <c r="A15451" t="inlineStr">
        <is>
          <t>WM Renewable Energy,  Lewisville, United States</t>
        </is>
      </c>
      <c r="B15451" t="inlineStr">
        <is>
          <t>Collecting Point, Processing Unit</t>
        </is>
      </c>
      <c r="C15451" t="inlineStr">
        <is>
          <t>SCS Global Services, Emeryville, CA, US</t>
        </is>
      </c>
      <c r="D15451" t="inlineStr">
        <is>
          <t>28.08.2026</t>
        </is>
      </c>
      <c r="E15451" t="inlineStr">
        <is>
          <t>United States</t>
        </is>
      </c>
    </row>
    <row r="15452">
      <c r="A15452" t="inlineStr">
        <is>
          <t>MSP ENERGIE,  La Valette du Var, France</t>
        </is>
      </c>
      <c r="B15452" t="inlineStr">
        <is>
          <t>Trader</t>
        </is>
      </c>
      <c r="C15452" t="inlineStr">
        <is>
          <t>Control Union Certifications Germany GmbH, Berlin, DE</t>
        </is>
      </c>
      <c r="D15452" t="inlineStr">
        <is>
          <t>28.08.2026</t>
        </is>
      </c>
      <c r="E15452" t="inlineStr">
        <is>
          <t>France</t>
        </is>
      </c>
    </row>
    <row r="15453">
      <c r="A15453" t="inlineStr">
        <is>
          <t>SOCIETA' ITALIANA ACETILENE E DERIVATI SIAD,  Osio Sopra (BG, Italy</t>
        </is>
      </c>
      <c r="B15453" t="inlineStr">
        <is>
          <t>Trader, Trader with Storage</t>
        </is>
      </c>
      <c r="C15453" t="inlineStr">
        <is>
          <t>Certiquality srl, Milano, IT</t>
        </is>
      </c>
      <c r="D15453" t="inlineStr">
        <is>
          <t>28.08.2026</t>
        </is>
      </c>
      <c r="E15453" t="inlineStr">
        <is>
          <t>Italy</t>
        </is>
      </c>
    </row>
    <row r="15454">
      <c r="A15454" t="inlineStr">
        <is>
          <t>Natural Oleochemicals Sdn. Bhd.,  Kawasan Perindustrian Pasir Gudang, Pasir Gudang, Malaysia</t>
        </is>
      </c>
      <c r="B15454" t="inlineStr">
        <is>
          <t>Point of Origin, Trader with Storage, Processing Unit</t>
        </is>
      </c>
      <c r="C15454" t="inlineStr">
        <is>
          <t>ASG Cert GmbH, Munich, DE</t>
        </is>
      </c>
      <c r="D15454" t="inlineStr">
        <is>
          <t>28.08.2026</t>
        </is>
      </c>
      <c r="E15454" t="inlineStr">
        <is>
          <t>Malaysia</t>
        </is>
      </c>
    </row>
    <row r="15455">
      <c r="A15455" t="inlineStr">
        <is>
          <t>Morisem Sdn Bhd (Baturong Palm Oil Mill),  Lahad Datu, Malaysia</t>
        </is>
      </c>
      <c r="B15455" t="inlineStr">
        <is>
          <t>Point of Origin</t>
        </is>
      </c>
      <c r="C15455" t="inlineStr">
        <is>
          <t>PT Intertek Utama Services, Jakarta, ID</t>
        </is>
      </c>
      <c r="D15455" t="inlineStr">
        <is>
          <t>28.08.2026</t>
        </is>
      </c>
      <c r="E15455" t="inlineStr">
        <is>
          <t>Malaysia</t>
        </is>
      </c>
    </row>
    <row r="15456">
      <c r="A15456" t="inlineStr">
        <is>
          <t>Biesterfeld Polska Sp. z o. o.,  Warsaw, Poland</t>
        </is>
      </c>
      <c r="B15456" t="inlineStr">
        <is>
          <t>Trader with Storage</t>
        </is>
      </c>
      <c r="C15456" t="inlineStr">
        <is>
          <t>Bureau Veritas Polska Sp. z o.o., Warsaw, PL</t>
        </is>
      </c>
      <c r="D15456" t="inlineStr">
        <is>
          <t>28.08.2026</t>
        </is>
      </c>
      <c r="E15456" t="inlineStr">
        <is>
          <t>Poland</t>
        </is>
      </c>
    </row>
    <row r="15457">
      <c r="A15457" t="inlineStr">
        <is>
          <t>WAGA ENERGY,  Septèmes-les-Vallons, France</t>
        </is>
      </c>
      <c r="B15457" t="inlineStr">
        <is>
          <t>Processing Unit, Collecting Point</t>
        </is>
      </c>
      <c r="C15457" t="inlineStr">
        <is>
          <t>SI Cert Italy S.R.L., Parma, IT</t>
        </is>
      </c>
      <c r="D15457" t="inlineStr">
        <is>
          <t>28.08.2026</t>
        </is>
      </c>
      <c r="E15457" t="inlineStr">
        <is>
          <t>France</t>
        </is>
      </c>
    </row>
    <row r="15458">
      <c r="A15458" t="inlineStr">
        <is>
          <t>HANYSZÉLI Gazdák Mezőgazdasági Szövetkezete,  Csorna, Hungary</t>
        </is>
      </c>
      <c r="B15458" t="inlineStr">
        <is>
          <t>First Gathering Point</t>
        </is>
      </c>
      <c r="C15458" t="inlineStr">
        <is>
          <t>SGS Germany GmbH, Emstek, DE</t>
        </is>
      </c>
      <c r="D15458" t="inlineStr">
        <is>
          <t>28.08.2026</t>
        </is>
      </c>
      <c r="E15458" t="inlineStr">
        <is>
          <t>Hungary</t>
        </is>
      </c>
    </row>
    <row r="15459">
      <c r="A15459" t="inlineStr">
        <is>
          <t>ARIKAN AGRO GIDA SANAYI VE TICARET ANONIM SIRKETI,  BORNOVA - IZMIR, Turkey</t>
        </is>
      </c>
      <c r="B15459" t="inlineStr">
        <is>
          <t>Trader with Storage</t>
        </is>
      </c>
      <c r="C15459" t="inlineStr">
        <is>
          <t>Business Quality Verification Testing and Certification Services P.C. (BQV), Marousi, Athens, GR</t>
        </is>
      </c>
      <c r="D15459" t="inlineStr">
        <is>
          <t>28.08.2026</t>
        </is>
      </c>
      <c r="E15459" t="inlineStr">
        <is>
          <t>Turkey</t>
        </is>
      </c>
    </row>
    <row r="15460">
      <c r="A15460" t="inlineStr">
        <is>
          <t>Reynolds Consumer Products,  Huntersville, United States</t>
        </is>
      </c>
      <c r="B15460" t="inlineStr">
        <is>
          <t>Processing Unit</t>
        </is>
      </c>
      <c r="C15460" t="inlineStr">
        <is>
          <t>SCS Global Services, Emeryville, CA, US</t>
        </is>
      </c>
      <c r="D15460" t="inlineStr">
        <is>
          <t>28.08.2026</t>
        </is>
      </c>
      <c r="E15460" t="inlineStr">
        <is>
          <t>United States</t>
        </is>
      </c>
    </row>
    <row r="15461">
      <c r="A15461" t="inlineStr">
        <is>
          <t>Washington Penn Plastics,  Frankfort, United States</t>
        </is>
      </c>
      <c r="B15461" t="inlineStr">
        <is>
          <t>Processing Unit, Collecting Point</t>
        </is>
      </c>
      <c r="C15461" t="inlineStr">
        <is>
          <t>SCS Global Services, Emeryville, CA, US</t>
        </is>
      </c>
      <c r="D15461" t="inlineStr">
        <is>
          <t>28.08.2026</t>
        </is>
      </c>
      <c r="E15461" t="inlineStr">
        <is>
          <t>United States</t>
        </is>
      </c>
    </row>
    <row r="15462">
      <c r="A15462" t="inlineStr">
        <is>
          <t>ITOCHU Retail Link Corporation,  Chuo-ku, Tokyo, Japan</t>
        </is>
      </c>
      <c r="B15462" t="inlineStr">
        <is>
          <t>Trader with Storage</t>
        </is>
      </c>
      <c r="C15462" t="inlineStr">
        <is>
          <t>Control Union Certifications Germany GmbH, Berlin, DE</t>
        </is>
      </c>
      <c r="D15462" t="inlineStr">
        <is>
          <t>28.08.2026</t>
        </is>
      </c>
      <c r="E15462" t="inlineStr">
        <is>
          <t>Japan</t>
        </is>
      </c>
    </row>
    <row r="15463">
      <c r="A15463" t="inlineStr">
        <is>
          <t>Apeiron Bioenergy (Viet Nam) Company Limited,  Ho Chi Minh, Vietnam</t>
        </is>
      </c>
      <c r="B15463" t="inlineStr">
        <is>
          <t>Collecting Point, Trader with Storage, Warehouse</t>
        </is>
      </c>
      <c r="C15463" t="inlineStr">
        <is>
          <t>SCS Global Services, Emeryville, CA, US</t>
        </is>
      </c>
      <c r="D15463" t="inlineStr">
        <is>
          <t>28.08.2026</t>
        </is>
      </c>
      <c r="E15463" t="inlineStr">
        <is>
          <t>Vietnam</t>
        </is>
      </c>
    </row>
    <row r="15464">
      <c r="A15464" t="inlineStr">
        <is>
          <t>Pamol Estates (Sabah) Sdn Bhd, Pamol Sabah Palm Oil Mill,  Sandakan, Malaysia</t>
        </is>
      </c>
      <c r="B15464" t="inlineStr">
        <is>
          <t>Point of Origin</t>
        </is>
      </c>
      <c r="C15464" t="inlineStr">
        <is>
          <t>PT Intertek Utama Services, Jakarta, ID</t>
        </is>
      </c>
      <c r="D15464" t="inlineStr">
        <is>
          <t>28.08.2026</t>
        </is>
      </c>
      <c r="E15464" t="inlineStr">
        <is>
          <t>Malaysia</t>
        </is>
      </c>
    </row>
    <row r="15465">
      <c r="A15465" t="inlineStr">
        <is>
          <t>Ste Belard International Trading,  SFAX, Tunisia</t>
        </is>
      </c>
      <c r="B15465" t="inlineStr">
        <is>
          <t>Trader with Storage</t>
        </is>
      </c>
      <c r="C15465" t="inlineStr">
        <is>
          <t>BM Certification, Riga, LV</t>
        </is>
      </c>
      <c r="D15465" t="inlineStr">
        <is>
          <t>28.08.2026</t>
        </is>
      </c>
      <c r="E15465" t="inlineStr">
        <is>
          <t>Tunisia</t>
        </is>
      </c>
    </row>
    <row r="15466">
      <c r="A15466" t="inlineStr">
        <is>
          <t>Tampieri S.P.A.,  faenza, Italy</t>
        </is>
      </c>
      <c r="B15466" t="inlineStr">
        <is>
          <t>Processing Unit, Trader with Storage</t>
        </is>
      </c>
      <c r="C15466" t="inlineStr">
        <is>
          <t>CSQA Certificazioni Srl, Thiene, IT</t>
        </is>
      </c>
      <c r="D15466" t="inlineStr">
        <is>
          <t>28.08.2026</t>
        </is>
      </c>
      <c r="E15466" t="inlineStr">
        <is>
          <t>Italy</t>
        </is>
      </c>
    </row>
    <row r="15467">
      <c r="A15467" t="inlineStr">
        <is>
          <t>GOLDEN STAR OPTICAL MANUFACTORY COMPANY LIMITED,  Hong Kong, China</t>
        </is>
      </c>
      <c r="B15467" t="inlineStr">
        <is>
          <t>Trader</t>
        </is>
      </c>
      <c r="C15467" t="inlineStr">
        <is>
          <t>DIN CERTCO GmbH, Berlin, DE</t>
        </is>
      </c>
      <c r="D15467" t="inlineStr">
        <is>
          <t>28.08.2026</t>
        </is>
      </c>
      <c r="E15467" t="inlineStr">
        <is>
          <t>China</t>
        </is>
      </c>
    </row>
    <row r="15468">
      <c r="A15468" t="inlineStr">
        <is>
          <t>FIXED.zone,  Bystřice p/Hostýnem, Czech Republic</t>
        </is>
      </c>
      <c r="B15468" t="inlineStr">
        <is>
          <t>Processing Unit, Final Product Refinement</t>
        </is>
      </c>
      <c r="C15468" t="inlineStr">
        <is>
          <t>PT Intertek Utama Services, Jakarta, ID</t>
        </is>
      </c>
      <c r="D15468" t="inlineStr">
        <is>
          <t>28.08.2026</t>
        </is>
      </c>
      <c r="E15468" t="inlineStr">
        <is>
          <t>Czech Republic</t>
        </is>
      </c>
    </row>
    <row r="15469">
      <c r="A15469" t="inlineStr">
        <is>
          <t>Pyeongtaek Fat and Fatty Oil Co.,  Pyeongtaek-si, South Korea</t>
        </is>
      </c>
      <c r="B15469" t="inlineStr">
        <is>
          <t>Collecting Point, Trader with Storage</t>
        </is>
      </c>
      <c r="C15469" t="inlineStr">
        <is>
          <t>Korean Foundation for Quality, Songpa-gu, Seoul, KR</t>
        </is>
      </c>
      <c r="D15469" t="inlineStr">
        <is>
          <t>28.08.2026</t>
        </is>
      </c>
      <c r="E15469" t="inlineStr">
        <is>
          <t>South Korea</t>
        </is>
      </c>
    </row>
    <row r="15470">
      <c r="A15470" t="inlineStr">
        <is>
          <t>WM Renewable Energy,  San Antonio, United States</t>
        </is>
      </c>
      <c r="B15470" t="inlineStr">
        <is>
          <t>Collecting Point, Processing Unit</t>
        </is>
      </c>
      <c r="C15470" t="inlineStr">
        <is>
          <t>SCS Global Services, Emeryville, CA, US</t>
        </is>
      </c>
      <c r="D15470" t="inlineStr">
        <is>
          <t>28.08.2026</t>
        </is>
      </c>
      <c r="E15470" t="inlineStr">
        <is>
          <t>United States</t>
        </is>
      </c>
    </row>
    <row r="15471">
      <c r="A15471" t="inlineStr">
        <is>
          <t>WM Renewable Energy,  Temple, United States</t>
        </is>
      </c>
      <c r="B15471" t="inlineStr">
        <is>
          <t>Collecting Point, Processing Unit</t>
        </is>
      </c>
      <c r="C15471" t="inlineStr">
        <is>
          <t>SCS Global Services, Emeryville, CA, US</t>
        </is>
      </c>
      <c r="D15471" t="inlineStr">
        <is>
          <t>28.08.2026</t>
        </is>
      </c>
      <c r="E15471" t="inlineStr">
        <is>
          <t>United States</t>
        </is>
      </c>
    </row>
    <row r="15472">
      <c r="A15472" t="inlineStr">
        <is>
          <t>WM Renewable Energy,  San Antonio, United States</t>
        </is>
      </c>
      <c r="B15472" t="inlineStr">
        <is>
          <t>Collecting Point, Processing Unit</t>
        </is>
      </c>
      <c r="C15472" t="inlineStr">
        <is>
          <t>SCS Global Services, Emeryville, CA, US</t>
        </is>
      </c>
      <c r="D15472" t="inlineStr">
        <is>
          <t>28.08.2026</t>
        </is>
      </c>
      <c r="E15472" t="inlineStr">
        <is>
          <t>United States</t>
        </is>
      </c>
    </row>
    <row r="15473">
      <c r="A15473" t="inlineStr">
        <is>
          <t>WM Renewable Energy,  Temple, United States</t>
        </is>
      </c>
      <c r="B15473" t="inlineStr">
        <is>
          <t>Collecting Point, Processing Unit</t>
        </is>
      </c>
      <c r="C15473" t="inlineStr">
        <is>
          <t>SCS Global Services, Emeryville, CA, US</t>
        </is>
      </c>
      <c r="D15473" t="inlineStr">
        <is>
          <t>28.08.2026</t>
        </is>
      </c>
      <c r="E15473" t="inlineStr">
        <is>
          <t>United States</t>
        </is>
      </c>
    </row>
    <row r="15474">
      <c r="A15474" t="inlineStr">
        <is>
          <t>SPK Agroszolg Kft.,  Kaposvár, Hungary</t>
        </is>
      </c>
      <c r="B15474" t="inlineStr">
        <is>
          <t>First Gathering Point, Trader with Storage</t>
        </is>
      </c>
      <c r="C15474" t="inlineStr">
        <is>
          <t>Amspec Iberia SL, Vilagarcia de Arousa-Pontevedra, ES</t>
        </is>
      </c>
      <c r="D15474" t="inlineStr">
        <is>
          <t>28.08.2026</t>
        </is>
      </c>
      <c r="E15474" t="inlineStr">
        <is>
          <t>Hungary</t>
        </is>
      </c>
    </row>
    <row r="15475">
      <c r="A15475" t="inlineStr">
        <is>
          <t>ALLIED ALPHA LIMITED,  Hongkong, Hong Kong, SAR, China</t>
        </is>
      </c>
      <c r="B15475" t="inlineStr">
        <is>
          <t>Trader</t>
        </is>
      </c>
      <c r="C15475" t="inlineStr">
        <is>
          <t>China Quality Certification Centre Co., Ltd., Beijing, CN</t>
        </is>
      </c>
      <c r="D15475" t="inlineStr">
        <is>
          <t>28.08.2026</t>
        </is>
      </c>
      <c r="E15475" t="inlineStr">
        <is>
          <t>China</t>
        </is>
      </c>
    </row>
    <row r="15476">
      <c r="A15476" t="inlineStr">
        <is>
          <t>Ningbo Lisi Houseware Co. Ltd,  Ningbo, Zhejiang Province, China</t>
        </is>
      </c>
      <c r="B15476" t="inlineStr">
        <is>
          <t>Processing Unit</t>
        </is>
      </c>
      <c r="C15476" t="inlineStr">
        <is>
          <t>TÜV NORD CERT GmbH, Essen, DE</t>
        </is>
      </c>
      <c r="D15476" t="inlineStr">
        <is>
          <t>28.08.2026</t>
        </is>
      </c>
      <c r="E15476" t="inlineStr">
        <is>
          <t>China</t>
        </is>
      </c>
    </row>
    <row r="15477">
      <c r="A15477" t="inlineStr">
        <is>
          <t>SUZHOU UNISUPPLY INDUSTRIAL,  Suzhou City, Jiangsu Province, China, China</t>
        </is>
      </c>
      <c r="B15477" t="inlineStr">
        <is>
          <t>Processing Unit</t>
        </is>
      </c>
      <c r="C15477" t="inlineStr">
        <is>
          <t>SGS Germany GmbH, Emstek, DE</t>
        </is>
      </c>
      <c r="D15477" t="inlineStr">
        <is>
          <t>28.08.2026</t>
        </is>
      </c>
      <c r="E15477" t="inlineStr">
        <is>
          <t>China</t>
        </is>
      </c>
    </row>
    <row r="15478">
      <c r="A15478" t="inlineStr">
        <is>
          <t>Swedish Biofuels,  Stockholm, Sweden</t>
        </is>
      </c>
      <c r="B15478" t="inlineStr">
        <is>
          <t>Processing Unit</t>
        </is>
      </c>
      <c r="C15478" t="inlineStr">
        <is>
          <t>DNV Business Assurance Sweden AB, Solna, SE</t>
        </is>
      </c>
      <c r="D15478" t="inlineStr">
        <is>
          <t>28.08.2026</t>
        </is>
      </c>
      <c r="E15478" t="inlineStr">
        <is>
          <t>Sweden</t>
        </is>
      </c>
    </row>
    <row r="15479">
      <c r="A15479" t="inlineStr">
        <is>
          <t>Fisway,  Montevideo, Uruguay</t>
        </is>
      </c>
      <c r="B15479" t="inlineStr">
        <is>
          <t>Trader</t>
        </is>
      </c>
      <c r="C15479" t="inlineStr">
        <is>
          <t>Control Union Certifications Germany GmbH, Berlin, DE</t>
        </is>
      </c>
      <c r="D15479" t="inlineStr">
        <is>
          <t>28.08.2026</t>
        </is>
      </c>
      <c r="E15479" t="inlineStr">
        <is>
          <t>Uruguay</t>
        </is>
      </c>
    </row>
    <row r="15480">
      <c r="A15480" t="inlineStr">
        <is>
          <t>PT. DUMAI HIJAU ABADI,  DUMAI, Indonesia</t>
        </is>
      </c>
      <c r="B15480" t="inlineStr">
        <is>
          <t>Point of Origin</t>
        </is>
      </c>
      <c r="C15480" t="inlineStr">
        <is>
          <t>PT. CBQA GLOBAL INDONESIA, JAKARTA SELATAN, ID</t>
        </is>
      </c>
      <c r="D15480" t="inlineStr">
        <is>
          <t>28.08.2026</t>
        </is>
      </c>
      <c r="E15480" t="inlineStr">
        <is>
          <t>Indonesia</t>
        </is>
      </c>
    </row>
    <row r="15481">
      <c r="A15481" t="inlineStr">
        <is>
          <t>Inpasa Europe Trading B.V.,  Rotterdam, Netherlands</t>
        </is>
      </c>
      <c r="B15481" t="inlineStr">
        <is>
          <t>Trader with Storage</t>
        </is>
      </c>
      <c r="C15481" t="inlineStr">
        <is>
          <t>Control Union Certifications Germany GmbH, Berlin, DE</t>
        </is>
      </c>
      <c r="D15481" t="inlineStr">
        <is>
          <t>28.08.2026</t>
        </is>
      </c>
      <c r="E15481" t="inlineStr">
        <is>
          <t>Netherlands</t>
        </is>
      </c>
    </row>
    <row r="15482">
      <c r="A15482" t="inlineStr">
        <is>
          <t>Inpasa Europe Trading BV,  Geneva, Switzerland</t>
        </is>
      </c>
      <c r="B15482" t="inlineStr">
        <is>
          <t>Trader with Storage</t>
        </is>
      </c>
      <c r="C15482" t="inlineStr">
        <is>
          <t>Control Union Certifications Germany GmbH, Berlin, DE</t>
        </is>
      </c>
      <c r="D15482" t="inlineStr">
        <is>
          <t>28.08.2026</t>
        </is>
      </c>
      <c r="E15482" t="inlineStr">
        <is>
          <t>Switzerland</t>
        </is>
      </c>
    </row>
    <row r="15483">
      <c r="A15483" t="inlineStr">
        <is>
          <t>GRENCO GRAINS ENERGY COMPANY SAS,  Canelones, Uruguay</t>
        </is>
      </c>
      <c r="B15483" t="inlineStr">
        <is>
          <t>Trader</t>
        </is>
      </c>
      <c r="C15483" t="inlineStr">
        <is>
          <t>Control Union Certifications Germany GmbH, Berlin, DE</t>
        </is>
      </c>
      <c r="D15483" t="inlineStr">
        <is>
          <t>28.08.2026</t>
        </is>
      </c>
      <c r="E15483" t="inlineStr">
        <is>
          <t>Uruguay</t>
        </is>
      </c>
    </row>
    <row r="15484">
      <c r="A15484" t="inlineStr">
        <is>
          <t>S/A Usina Coruripe Açúcar e Álcool,  Iturama, Brazil</t>
        </is>
      </c>
      <c r="B15484" t="inlineStr">
        <is>
          <t>First Gathering Point, Processing Unit</t>
        </is>
      </c>
      <c r="C15484" t="inlineStr">
        <is>
          <t>Control Union Certifications Germany GmbH, Berlin, DE</t>
        </is>
      </c>
      <c r="D15484" t="inlineStr">
        <is>
          <t>28.08.2026</t>
        </is>
      </c>
      <c r="E15484" t="inlineStr">
        <is>
          <t>Brazil</t>
        </is>
      </c>
    </row>
    <row r="15485">
      <c r="A15485" t="inlineStr">
        <is>
          <t>Anhui Putan New Material Technology Co., Ltd.,  Huainan City, Anhui Province, China</t>
        </is>
      </c>
      <c r="B15485" t="inlineStr">
        <is>
          <t>Processing Unit</t>
        </is>
      </c>
      <c r="C15485" t="inlineStr">
        <is>
          <t>DIN CERTCO GmbH, Berlin, DE</t>
        </is>
      </c>
      <c r="D15485" t="inlineStr">
        <is>
          <t>28.08.2026</t>
        </is>
      </c>
      <c r="E15485" t="inlineStr">
        <is>
          <t>China</t>
        </is>
      </c>
    </row>
    <row r="15486">
      <c r="A15486" t="inlineStr">
        <is>
          <t>XIAMEN NAVIS IMPORT AND EXPORT CO., LTD.,  Xiamen, China</t>
        </is>
      </c>
      <c r="B15486" t="inlineStr">
        <is>
          <t>Trader with Storage</t>
        </is>
      </c>
      <c r="C15486" t="inlineStr">
        <is>
          <t>Bureau Veritas Polska Sp. z o.o., Warsaw, PL</t>
        </is>
      </c>
      <c r="D15486" t="inlineStr">
        <is>
          <t>28.08.2026</t>
        </is>
      </c>
      <c r="E15486" t="inlineStr">
        <is>
          <t>China</t>
        </is>
      </c>
    </row>
    <row r="15487">
      <c r="A15487" t="inlineStr">
        <is>
          <t>EFG Rapotín BPS s.r.o.,  Rapotín, Czech Republic</t>
        </is>
      </c>
      <c r="B15487" t="inlineStr">
        <is>
          <t>Collecting Point, Processing Unit</t>
        </is>
      </c>
      <c r="C15487" t="inlineStr">
        <is>
          <t>TÜV SÜD Czech s.r.o., Praha 4, CZ</t>
        </is>
      </c>
      <c r="D15487" t="inlineStr">
        <is>
          <t>28.08.2026</t>
        </is>
      </c>
      <c r="E15487" t="inlineStr">
        <is>
          <t>Czech Republic</t>
        </is>
      </c>
    </row>
    <row r="15488">
      <c r="A15488" t="inlineStr">
        <is>
          <t>ENERGI YIJIE LANGYU,  Desa Cileles, Kecamatan Tiga Raksa, Indonesia</t>
        </is>
      </c>
      <c r="B15488" t="inlineStr">
        <is>
          <t>Processing Unit, Collecting Point</t>
        </is>
      </c>
      <c r="C15488" t="inlineStr">
        <is>
          <t>PT. Qualitas Sertifikasi Indonesia, Jakarta, ID</t>
        </is>
      </c>
      <c r="D15488" t="inlineStr">
        <is>
          <t>28.08.2026</t>
        </is>
      </c>
      <c r="E15488" t="inlineStr">
        <is>
          <t>Indonesia</t>
        </is>
      </c>
    </row>
    <row r="15489">
      <c r="A15489" t="inlineStr">
        <is>
          <t>RADOSLAV 2012,  VILLAGE DRACHEVO, Bulgaria</t>
        </is>
      </c>
      <c r="B15489" t="inlineStr">
        <is>
          <t>Collecting Point, Processing Unit</t>
        </is>
      </c>
      <c r="C15489" t="inlineStr">
        <is>
          <t>Bureau Veritas Polska Sp. z o.o., Warsaw, PL</t>
        </is>
      </c>
      <c r="D15489" t="inlineStr">
        <is>
          <t>28.08.2026</t>
        </is>
      </c>
      <c r="E15489" t="inlineStr">
        <is>
          <t>Bulgaria</t>
        </is>
      </c>
    </row>
    <row r="15490">
      <c r="A15490" t="inlineStr">
        <is>
          <t>EFG Green gas s.r.o.,  Rapotin, Czech Republic</t>
        </is>
      </c>
      <c r="B15490" t="inlineStr">
        <is>
          <t>Processing Unit</t>
        </is>
      </c>
      <c r="C15490" t="inlineStr">
        <is>
          <t>TÜV SÜD Czech s.r.o., Praha 4, CZ</t>
        </is>
      </c>
      <c r="D15490" t="inlineStr">
        <is>
          <t>28.08.2026</t>
        </is>
      </c>
      <c r="E15490" t="inlineStr">
        <is>
          <t>Czech Republic</t>
        </is>
      </c>
    </row>
    <row r="15491">
      <c r="A15491" t="inlineStr">
        <is>
          <t>PKG Lautan Indonesia,  Kel. Kedoya Selatan, Kec. Kebon Jeruk, Indonesia</t>
        </is>
      </c>
      <c r="B15491" t="inlineStr">
        <is>
          <t>Trader</t>
        </is>
      </c>
      <c r="C15491" t="inlineStr">
        <is>
          <t>PT Mutuagung Lestari, Depok, ID</t>
        </is>
      </c>
      <c r="D15491" t="inlineStr">
        <is>
          <t>28.08.2026</t>
        </is>
      </c>
      <c r="E15491" t="inlineStr">
        <is>
          <t>Indonesia</t>
        </is>
      </c>
    </row>
    <row r="15492">
      <c r="A15492" t="inlineStr">
        <is>
          <t>Fetrans Per S.L.,  Ontigola (Toledo), Spain</t>
        </is>
      </c>
      <c r="B15492" t="inlineStr">
        <is>
          <t>Collecting Point</t>
        </is>
      </c>
      <c r="C15492" t="inlineStr">
        <is>
          <t>Certificadora Gallega del Noroeste SL, Vilagarcia de Arousa-Pontevedra, ES</t>
        </is>
      </c>
      <c r="D15492" t="inlineStr">
        <is>
          <t>28.08.2026</t>
        </is>
      </c>
      <c r="E15492" t="inlineStr">
        <is>
          <t>Spain</t>
        </is>
      </c>
    </row>
    <row r="15493">
      <c r="A15493" t="inlineStr">
        <is>
          <t>Waterschap Brabantse Delta– RWZI Waalwijk,  Waalwijk, Netherlands</t>
        </is>
      </c>
      <c r="B15493" t="inlineStr">
        <is>
          <t>Point of Origin, Collecting Point, Processing Unit</t>
        </is>
      </c>
      <c r="C15493" t="inlineStr">
        <is>
          <t>Normec QS BV, Bennekom, NL</t>
        </is>
      </c>
      <c r="D15493" t="inlineStr">
        <is>
          <t>27.08.2026</t>
        </is>
      </c>
      <c r="E15493" t="inlineStr">
        <is>
          <t>Netherlands</t>
        </is>
      </c>
    </row>
    <row r="15494">
      <c r="A15494" t="inlineStr">
        <is>
          <t>China National Aviation Fuel Group Southern Storage and Transportation Company Limited,  Zhanjiang City, China</t>
        </is>
      </c>
      <c r="B15494" t="inlineStr">
        <is>
          <t>Warehouse</t>
        </is>
      </c>
      <c r="C15494" t="inlineStr">
        <is>
          <t>China Classification Society Certification Co., Ltd, Dong Cheng District, Beijing, CN</t>
        </is>
      </c>
      <c r="D15494" t="inlineStr">
        <is>
          <t>27.08.2026</t>
        </is>
      </c>
      <c r="E15494" t="inlineStr">
        <is>
          <t>China</t>
        </is>
      </c>
    </row>
    <row r="15495">
      <c r="A15495" t="inlineStr">
        <is>
          <t>PT Berkat Sawit Utama,  Desa Bungku, Kecamatan Bajubang
, Indonesia</t>
        </is>
      </c>
      <c r="B15495" t="inlineStr">
        <is>
          <t>First Gathering Point, Processing Unit, Point of Origin</t>
        </is>
      </c>
      <c r="C15495" t="inlineStr">
        <is>
          <t>PT SBC Asia Sertifikasi, Kebumen, ID</t>
        </is>
      </c>
      <c r="D15495" t="inlineStr">
        <is>
          <t>27.08.2026</t>
        </is>
      </c>
      <c r="E15495" t="inlineStr">
        <is>
          <t>Indonesia</t>
        </is>
      </c>
    </row>
    <row r="15496">
      <c r="A15496" t="inlineStr">
        <is>
          <t>Interpolimeri Spa,  Limena, Italy</t>
        </is>
      </c>
      <c r="B15496" t="inlineStr">
        <is>
          <t>Trader with Storage</t>
        </is>
      </c>
      <c r="C15496" t="inlineStr">
        <is>
          <t>PT Intertek Utama Services, Jakarta, ID</t>
        </is>
      </c>
      <c r="D15496" t="inlineStr">
        <is>
          <t>27.08.2026</t>
        </is>
      </c>
      <c r="E15496" t="inlineStr">
        <is>
          <t>Italy</t>
        </is>
      </c>
    </row>
    <row r="15497">
      <c r="A15497" t="inlineStr">
        <is>
          <t>PT Berkat Sawit Utama,  Padang Salak, Desa Bungku, Kec. Bajubang,, Indonesia</t>
        </is>
      </c>
      <c r="B15497" t="inlineStr">
        <is>
          <t>Point of Origin</t>
        </is>
      </c>
      <c r="C15497" t="inlineStr">
        <is>
          <t>PT SBC Asia Sertifikasi, Kebumen, ID</t>
        </is>
      </c>
      <c r="D15497" t="inlineStr">
        <is>
          <t>27.08.2026</t>
        </is>
      </c>
      <c r="E15497" t="inlineStr">
        <is>
          <t>Indonesia</t>
        </is>
      </c>
    </row>
    <row r="15498">
      <c r="A15498" t="inlineStr">
        <is>
          <t>PT Karya Agung Megah Utama,  Jorong V, Kecamatan Lubuk Basung, Kabupaten Agam, Indonesia</t>
        </is>
      </c>
      <c r="B15498" t="inlineStr">
        <is>
          <t>Point of Origin</t>
        </is>
      </c>
      <c r="C15498" t="inlineStr">
        <is>
          <t>PT SBC Asia Sertifikasi, Kebumen, ID</t>
        </is>
      </c>
      <c r="D15498" t="inlineStr">
        <is>
          <t>27.08.2026</t>
        </is>
      </c>
      <c r="E15498" t="inlineStr">
        <is>
          <t>Indonesia</t>
        </is>
      </c>
    </row>
    <row r="15499">
      <c r="A15499" t="inlineStr">
        <is>
          <t>PT Sentosa Asih Makmur,  Desa Sungai Palah, Kec. Galing, Kab. Sambas, Indonesia</t>
        </is>
      </c>
      <c r="B15499" t="inlineStr">
        <is>
          <t>Point of Origin</t>
        </is>
      </c>
      <c r="C15499" t="inlineStr">
        <is>
          <t>PT SBC Asia Sertifikasi, Kebumen, ID</t>
        </is>
      </c>
      <c r="D15499" t="inlineStr">
        <is>
          <t>27.08.2026</t>
        </is>
      </c>
      <c r="E15499" t="inlineStr">
        <is>
          <t>Indonesia</t>
        </is>
      </c>
    </row>
    <row r="15500">
      <c r="A15500" t="inlineStr">
        <is>
          <t>PT Perkebunan Anak Negeri Pasaman,  Desa Ampadi, Kecamatan Meranti, Kabupaten Landak, Indonesia</t>
        </is>
      </c>
      <c r="B15500" t="inlineStr">
        <is>
          <t>Point of Origin</t>
        </is>
      </c>
      <c r="C15500" t="inlineStr">
        <is>
          <t>PT SBC Asia Sertifikasi, Kebumen, ID</t>
        </is>
      </c>
      <c r="D15500" t="inlineStr">
        <is>
          <t>27.08.2026</t>
        </is>
      </c>
      <c r="E15500" t="inlineStr">
        <is>
          <t>Indonesia</t>
        </is>
      </c>
    </row>
    <row r="15501">
      <c r="A15501" t="inlineStr">
        <is>
          <t>SYNERGY ECOTECH ENGINEERING SDN BHD,  MUAR, Malaysia</t>
        </is>
      </c>
      <c r="B15501" t="inlineStr">
        <is>
          <t>Trader</t>
        </is>
      </c>
      <c r="C15501" t="inlineStr">
        <is>
          <t>TÜV NORD CERT GmbH, Essen, DE</t>
        </is>
      </c>
      <c r="D15501" t="inlineStr">
        <is>
          <t>27.08.2026</t>
        </is>
      </c>
      <c r="E15501" t="inlineStr">
        <is>
          <t>Malaysia</t>
        </is>
      </c>
    </row>
    <row r="15502">
      <c r="A15502" t="inlineStr">
        <is>
          <t>MET International AG,  Baar, Switzerland</t>
        </is>
      </c>
      <c r="B15502" t="inlineStr">
        <is>
          <t>Trader</t>
        </is>
      </c>
      <c r="C15502" t="inlineStr">
        <is>
          <t>Double Helix Tracking Technologies Pte Ltd, Singapore, SG</t>
        </is>
      </c>
      <c r="D15502" t="inlineStr">
        <is>
          <t>27.08.2026</t>
        </is>
      </c>
      <c r="E15502" t="inlineStr">
        <is>
          <t>Switzerland</t>
        </is>
      </c>
    </row>
    <row r="15503">
      <c r="A15503" t="inlineStr">
        <is>
          <t>Selago Makmur Plantation,  Kelurahan Gunung Sugih, Kecamatan Ciwandan, Kota Cilegon, Banten, Indonesia</t>
        </is>
      </c>
      <c r="B15503" t="inlineStr">
        <is>
          <t>Trader with Storage, Processing Unit</t>
        </is>
      </c>
      <c r="C15503" t="inlineStr">
        <is>
          <t>PT. Qualitas Sertifikasi Indonesia, Jakarta, ID</t>
        </is>
      </c>
      <c r="D15503" t="inlineStr">
        <is>
          <t>27.08.2026</t>
        </is>
      </c>
      <c r="E15503" t="inlineStr">
        <is>
          <t>Indonesia</t>
        </is>
      </c>
    </row>
    <row r="15504">
      <c r="A15504" t="inlineStr">
        <is>
          <t>Ara Nova B.V.,  Schiedam, Netherlands</t>
        </is>
      </c>
      <c r="B15504" t="inlineStr">
        <is>
          <t>Trader</t>
        </is>
      </c>
      <c r="C15504" t="inlineStr">
        <is>
          <t>Control Union Certifications Germany GmbH, Berlin, DE</t>
        </is>
      </c>
      <c r="D15504" t="inlineStr">
        <is>
          <t>27.08.2026</t>
        </is>
      </c>
      <c r="E15504" t="inlineStr">
        <is>
          <t>Netherlands</t>
        </is>
      </c>
    </row>
    <row r="15505">
      <c r="A15505" t="inlineStr">
        <is>
          <t>White Elephant,  Rīga, Latvia</t>
        </is>
      </c>
      <c r="B15505" t="inlineStr">
        <is>
          <t>Trader</t>
        </is>
      </c>
      <c r="C15505" t="inlineStr">
        <is>
          <t>BM Certification, Riga, LV</t>
        </is>
      </c>
      <c r="D15505" t="inlineStr">
        <is>
          <t>27.08.2026</t>
        </is>
      </c>
      <c r="E15505" t="inlineStr">
        <is>
          <t>Latvia</t>
        </is>
      </c>
    </row>
    <row r="15506">
      <c r="A15506" t="inlineStr">
        <is>
          <t>UFLEX LTD,  NOIDA, India</t>
        </is>
      </c>
      <c r="B15506" t="inlineStr">
        <is>
          <t>Processing Unit, Collecting Point, Final Product Refinement</t>
        </is>
      </c>
      <c r="C15506" t="inlineStr">
        <is>
          <t>Cotecna India Inspection Pvt Ltd, Kolkata, IN</t>
        </is>
      </c>
      <c r="D15506" t="inlineStr">
        <is>
          <t>27.08.2026</t>
        </is>
      </c>
      <c r="E15506" t="inlineStr">
        <is>
          <t>India</t>
        </is>
      </c>
    </row>
    <row r="15507">
      <c r="A15507" t="inlineStr">
        <is>
          <t>ACOR, S. COOP.,  Olmedo, Valladolid, Spain</t>
        </is>
      </c>
      <c r="B15507" t="inlineStr">
        <is>
          <t>Processing Unit, Trader with Storage</t>
        </is>
      </c>
      <c r="C15507" t="inlineStr">
        <is>
          <t>Control Union Poland Sp. z o.o., Zielona Gora, PL</t>
        </is>
      </c>
      <c r="D15507" t="inlineStr">
        <is>
          <t>27.08.2026</t>
        </is>
      </c>
      <c r="E15507" t="inlineStr">
        <is>
          <t>Spain</t>
        </is>
      </c>
    </row>
    <row r="15508">
      <c r="A15508" t="inlineStr">
        <is>
          <t>Tria Energy Limited,  Whitechurch, Co.Cork, Ireland</t>
        </is>
      </c>
      <c r="B15508" t="inlineStr">
        <is>
          <t>Trader with Storage</t>
        </is>
      </c>
      <c r="C15508" t="inlineStr">
        <is>
          <t>Aardvark Certification Ltd, Wiveliscombe, Somerset, GB</t>
        </is>
      </c>
      <c r="D15508" t="inlineStr">
        <is>
          <t>27.08.2026</t>
        </is>
      </c>
      <c r="E15508" t="inlineStr">
        <is>
          <t>Ireland</t>
        </is>
      </c>
    </row>
    <row r="15509">
      <c r="A15509" t="inlineStr">
        <is>
          <t>PETROGAS GROUP LIMITED,  Parkwest, Ireland</t>
        </is>
      </c>
      <c r="B15509" t="inlineStr">
        <is>
          <t>Trader with Storage</t>
        </is>
      </c>
      <c r="C15509" t="inlineStr">
        <is>
          <t>SCS Global Services, Emeryville, CA, US</t>
        </is>
      </c>
      <c r="D15509" t="inlineStr">
        <is>
          <t>27.08.2026</t>
        </is>
      </c>
      <c r="E15509" t="inlineStr">
        <is>
          <t>Ireland</t>
        </is>
      </c>
    </row>
    <row r="15510">
      <c r="A15510" t="inlineStr">
        <is>
          <t>Marubeni America Corporation,  White Plains, United States</t>
        </is>
      </c>
      <c r="B15510" t="inlineStr">
        <is>
          <t>Trader with Storage</t>
        </is>
      </c>
      <c r="C15510" t="inlineStr">
        <is>
          <t>SCS Global Services, Emeryville, CA, US</t>
        </is>
      </c>
      <c r="D15510" t="inlineStr">
        <is>
          <t>27.08.2026</t>
        </is>
      </c>
      <c r="E15510" t="inlineStr">
        <is>
          <t>United States</t>
        </is>
      </c>
    </row>
    <row r="15511">
      <c r="A15511" t="inlineStr">
        <is>
          <t>NNZ Nordic ApS,  Odense, Denmark</t>
        </is>
      </c>
      <c r="B15511" t="inlineStr">
        <is>
          <t>Trader with Storage</t>
        </is>
      </c>
      <c r="C15511" t="inlineStr">
        <is>
          <t>Normec QS BV, Bennekom, NL</t>
        </is>
      </c>
      <c r="D15511" t="inlineStr">
        <is>
          <t>27.08.2026</t>
        </is>
      </c>
      <c r="E15511" t="inlineStr">
        <is>
          <t>Denmark</t>
        </is>
      </c>
    </row>
    <row r="15512">
      <c r="A15512" t="inlineStr">
        <is>
          <t>Khutirske, ALLC,  Kopanky village, Ukraine</t>
        </is>
      </c>
      <c r="B15512" t="inlineStr">
        <is>
          <t>Farm / Plantation</t>
        </is>
      </c>
      <c r="C15512" t="inlineStr">
        <is>
          <t>Bureau Veritas Polska Sp. z o.o., Warsaw, PL</t>
        </is>
      </c>
      <c r="D15512" t="inlineStr">
        <is>
          <t>27.08.2026</t>
        </is>
      </c>
      <c r="E15512" t="inlineStr">
        <is>
          <t>Ukraine</t>
        </is>
      </c>
    </row>
    <row r="15513">
      <c r="A15513" t="inlineStr">
        <is>
          <t>Shanghai Laogang Solid Waste Comprehensive Development Co., Ltd. Phase III,  Shanghai, China</t>
        </is>
      </c>
      <c r="B15513" t="inlineStr">
        <is>
          <t>Collecting Point, Processing Unit</t>
        </is>
      </c>
      <c r="C15513" t="inlineStr">
        <is>
          <t>SGS Germany GmbH, Emstek, DE</t>
        </is>
      </c>
      <c r="D15513" t="inlineStr">
        <is>
          <t>27.08.2026</t>
        </is>
      </c>
      <c r="E15513" t="inlineStr">
        <is>
          <t>China</t>
        </is>
      </c>
    </row>
    <row r="15514">
      <c r="A15514" t="inlineStr">
        <is>
          <t>Agralco S. Coop. Ltda.,  Estella (Navarra), Spain</t>
        </is>
      </c>
      <c r="B15514" t="inlineStr">
        <is>
          <t>Collecting Point, Processing Unit</t>
        </is>
      </c>
      <c r="C15514" t="inlineStr">
        <is>
          <t>Bureau Veritas Polska Sp. z o.o., Warsaw, PL</t>
        </is>
      </c>
      <c r="D15514" t="inlineStr">
        <is>
          <t>27.08.2026</t>
        </is>
      </c>
      <c r="E15514" t="inlineStr">
        <is>
          <t>Spain</t>
        </is>
      </c>
    </row>
    <row r="15515">
      <c r="A15515" t="inlineStr">
        <is>
          <t>PT. Ultimate Noble Indonesia,  Kab. Garut, Provinsi Jawa Barat, Indonesia</t>
        </is>
      </c>
      <c r="B15515" t="inlineStr">
        <is>
          <t>Processing Unit, Trader with Storage</t>
        </is>
      </c>
      <c r="C15515" t="inlineStr">
        <is>
          <t>China Quality Certification Centre Co., Ltd., Beijing, CN</t>
        </is>
      </c>
      <c r="D15515" t="inlineStr">
        <is>
          <t>27.08.2026</t>
        </is>
      </c>
      <c r="E15515" t="inlineStr">
        <is>
          <t>Indonesia</t>
        </is>
      </c>
    </row>
    <row r="15516">
      <c r="A15516" t="inlineStr">
        <is>
          <t>Western Ethanol Group, LLC,  Khorostkiv, Ternopil region, Ukraine</t>
        </is>
      </c>
      <c r="B15516" t="inlineStr">
        <is>
          <t>Trader with Storage, First Gathering Point, Processing Unit</t>
        </is>
      </c>
      <c r="C15516" t="inlineStr">
        <is>
          <t>Bureau Veritas Polska Sp. z o.o., Warsaw, PL</t>
        </is>
      </c>
      <c r="D15516" t="inlineStr">
        <is>
          <t>27.08.2026</t>
        </is>
      </c>
      <c r="E15516" t="inlineStr">
        <is>
          <t>Ukraine</t>
        </is>
      </c>
    </row>
    <row r="15517">
      <c r="A15517" t="inlineStr">
        <is>
          <t>Crocs UK Limited,  London, United Kingdom</t>
        </is>
      </c>
      <c r="B15517" t="inlineStr">
        <is>
          <t>Trader</t>
        </is>
      </c>
      <c r="C15517" t="inlineStr">
        <is>
          <t>SCS Global Services, Emeryville, CA, US</t>
        </is>
      </c>
      <c r="D15517" t="inlineStr">
        <is>
          <t>27.08.2026</t>
        </is>
      </c>
      <c r="E15517" t="inlineStr">
        <is>
          <t>United Kingdom</t>
        </is>
      </c>
    </row>
    <row r="15518">
      <c r="A15518" t="inlineStr">
        <is>
          <t>Shanghai Laogang Solid Waste Comprehensive Development Co., Ltd. Phase III,  Shanghai, China</t>
        </is>
      </c>
      <c r="B15518" t="inlineStr">
        <is>
          <t>Collecting Point, Processing Unit</t>
        </is>
      </c>
      <c r="C15518" t="inlineStr">
        <is>
          <t>SGS Germany GmbH, Emstek, DE</t>
        </is>
      </c>
      <c r="D15518" t="inlineStr">
        <is>
          <t>27.08.2026</t>
        </is>
      </c>
      <c r="E15518" t="inlineStr">
        <is>
          <t>China</t>
        </is>
      </c>
    </row>
    <row r="15519">
      <c r="A15519" t="inlineStr">
        <is>
          <t>Mazzucchelli 1849 s.p.a.,  Venegono Superiore, Italy</t>
        </is>
      </c>
      <c r="B15519" t="inlineStr">
        <is>
          <t>Warehouse</t>
        </is>
      </c>
      <c r="C15519" t="inlineStr">
        <is>
          <t>ICIM SpA, sesto san giovanni, IT</t>
        </is>
      </c>
      <c r="D15519" t="inlineStr">
        <is>
          <t>27.08.2026</t>
        </is>
      </c>
      <c r="E15519" t="inlineStr">
        <is>
          <t>Italy</t>
        </is>
      </c>
    </row>
    <row r="15520">
      <c r="A15520" t="inlineStr">
        <is>
          <t>Mazzucchelli 1849 s.p.a.,  Castiglione Olona, Italy</t>
        </is>
      </c>
      <c r="B15520" t="inlineStr">
        <is>
          <t>Trader with Storage, Processing Unit</t>
        </is>
      </c>
      <c r="C15520" t="inlineStr">
        <is>
          <t>ICIM SpA, sesto san giovanni, IT</t>
        </is>
      </c>
      <c r="D15520" t="inlineStr">
        <is>
          <t>27.08.2026</t>
        </is>
      </c>
      <c r="E15520" t="inlineStr">
        <is>
          <t>Italy</t>
        </is>
      </c>
    </row>
    <row r="15521">
      <c r="A15521" t="inlineStr">
        <is>
          <t>TERMOPLAST NORD,  GIAVERA DEL MONTELLO, Italy</t>
        </is>
      </c>
      <c r="B15521" t="inlineStr">
        <is>
          <t>Processing Unit</t>
        </is>
      </c>
      <c r="C15521" t="inlineStr">
        <is>
          <t>Bureau Veritas Polska Sp. z o.o., Warsaw, PL</t>
        </is>
      </c>
      <c r="D15521" t="inlineStr">
        <is>
          <t>27.08.2026</t>
        </is>
      </c>
      <c r="E15521" t="inlineStr">
        <is>
          <t>Italy</t>
        </is>
      </c>
    </row>
    <row r="15522">
      <c r="A15522" t="inlineStr">
        <is>
          <t>China National Aviation Fuel Supply Co. Ltd Ningbo Branch,  Ningbo City, China</t>
        </is>
      </c>
      <c r="B15522" t="inlineStr">
        <is>
          <t>Trader with Storage</t>
        </is>
      </c>
      <c r="C15522" t="inlineStr">
        <is>
          <t>China Quality Certification Centre Co., Ltd., Beijing, CN</t>
        </is>
      </c>
      <c r="D15522" t="inlineStr">
        <is>
          <t>27.08.2026</t>
        </is>
      </c>
      <c r="E15522" t="inlineStr">
        <is>
          <t>China</t>
        </is>
      </c>
    </row>
    <row r="15523">
      <c r="A15523" t="inlineStr">
        <is>
          <t>Kuraray Co., Ltd.,  Minami-ku, Japan</t>
        </is>
      </c>
      <c r="B15523" t="inlineStr">
        <is>
          <t>Processing Unit, Final Product Refinement</t>
        </is>
      </c>
      <c r="C15523" t="inlineStr">
        <is>
          <t>Control Union Certifications Germany GmbH, Berlin, DE</t>
        </is>
      </c>
      <c r="D15523" t="inlineStr">
        <is>
          <t>27.08.2026</t>
        </is>
      </c>
      <c r="E15523" t="inlineStr">
        <is>
          <t>Japan</t>
        </is>
      </c>
    </row>
    <row r="15524">
      <c r="A15524" t="inlineStr">
        <is>
          <t>Fanon,  Petrijanec, Croatia</t>
        </is>
      </c>
      <c r="B15524" t="inlineStr">
        <is>
          <t>First Gathering Point, Trader, Processing Unit</t>
        </is>
      </c>
      <c r="C15524" t="inlineStr">
        <is>
          <t>Bureau Veritas Polska Sp. z o.o., Warsaw, PL</t>
        </is>
      </c>
      <c r="D15524" t="inlineStr">
        <is>
          <t>27.08.2026</t>
        </is>
      </c>
      <c r="E15524" t="inlineStr">
        <is>
          <t>Croatia</t>
        </is>
      </c>
    </row>
    <row r="15525">
      <c r="A15525" t="inlineStr">
        <is>
          <t>ZOIE AGRO PRIVATE LIMITED,  KOLKATA, India</t>
        </is>
      </c>
      <c r="B15525" t="inlineStr">
        <is>
          <t>Trader</t>
        </is>
      </c>
      <c r="C15525" t="inlineStr">
        <is>
          <t>PT Mutuagung Lestari, Depok, ID</t>
        </is>
      </c>
      <c r="D15525" t="inlineStr">
        <is>
          <t>27.08.2026</t>
        </is>
      </c>
      <c r="E15525" t="inlineStr">
        <is>
          <t>India</t>
        </is>
      </c>
    </row>
    <row r="15526">
      <c r="A15526" t="inlineStr">
        <is>
          <t>Agora Agri,  Kaunas, Lithuania</t>
        </is>
      </c>
      <c r="B15526" t="inlineStr">
        <is>
          <t>Trader</t>
        </is>
      </c>
      <c r="C15526" t="inlineStr">
        <is>
          <t>BM Certification, Riga, LV</t>
        </is>
      </c>
      <c r="D15526" t="inlineStr">
        <is>
          <t>27.08.2026</t>
        </is>
      </c>
      <c r="E15526" t="inlineStr">
        <is>
          <t>Lithuania</t>
        </is>
      </c>
    </row>
    <row r="15527">
      <c r="A15527" t="inlineStr">
        <is>
          <t>Yakult Honsha Co., Ltd.,  Kitakami-shi, Iwate, Japan</t>
        </is>
      </c>
      <c r="B15527" t="inlineStr">
        <is>
          <t>Final Product Refinement, Processing Unit</t>
        </is>
      </c>
      <c r="C15527" t="inlineStr">
        <is>
          <t>SGS Germany GmbH, Emstek, DE</t>
        </is>
      </c>
      <c r="D15527" t="inlineStr">
        <is>
          <t>27.08.2026</t>
        </is>
      </c>
      <c r="E15527" t="inlineStr">
        <is>
          <t>Japan</t>
        </is>
      </c>
    </row>
    <row r="15528">
      <c r="A15528" t="inlineStr">
        <is>
          <t>Nordic Soya Oy,  Uusikaupunki, Finland</t>
        </is>
      </c>
      <c r="B15528" t="inlineStr">
        <is>
          <t>First Gathering Point, Processing Unit</t>
        </is>
      </c>
      <c r="C15528" t="inlineStr">
        <is>
          <t>BM Certification, Riga, LV</t>
        </is>
      </c>
      <c r="D15528" t="inlineStr">
        <is>
          <t>27.08.2026</t>
        </is>
      </c>
      <c r="E15528" t="inlineStr">
        <is>
          <t>Finland</t>
        </is>
      </c>
    </row>
    <row r="15529">
      <c r="A15529" t="inlineStr">
        <is>
          <t>Printpack Packaging de Mexico,  Zapopan, Mexico</t>
        </is>
      </c>
      <c r="B15529" t="inlineStr">
        <is>
          <t>Processing Unit</t>
        </is>
      </c>
      <c r="C15529" t="inlineStr">
        <is>
          <t>SCS Global Services, Emeryville, CA, US</t>
        </is>
      </c>
      <c r="D15529" t="inlineStr">
        <is>
          <t>27.08.2026</t>
        </is>
      </c>
      <c r="E15529" t="inlineStr">
        <is>
          <t>Mexico</t>
        </is>
      </c>
    </row>
    <row r="15530">
      <c r="A15530" t="inlineStr">
        <is>
          <t>MPG Manifattura Plastica spa,  Gallarate, Italy</t>
        </is>
      </c>
      <c r="B15530" t="inlineStr">
        <is>
          <t>Processing Unit</t>
        </is>
      </c>
      <c r="C15530" t="inlineStr">
        <is>
          <t>ICIM SpA, sesto san giovanni, IT</t>
        </is>
      </c>
      <c r="D15530" t="inlineStr">
        <is>
          <t>27.08.2026</t>
        </is>
      </c>
      <c r="E15530" t="inlineStr">
        <is>
          <t>Italy</t>
        </is>
      </c>
    </row>
    <row r="15531">
      <c r="A15531" t="inlineStr">
        <is>
          <t>Yakult Honsha Co., Ltd.,  Nisshin-shi, Aichi, Japan</t>
        </is>
      </c>
      <c r="B15531" t="inlineStr">
        <is>
          <t>Final Product Refinement, Processing Unit</t>
        </is>
      </c>
      <c r="C15531" t="inlineStr">
        <is>
          <t>SGS Germany GmbH, Emstek, DE</t>
        </is>
      </c>
      <c r="D15531" t="inlineStr">
        <is>
          <t>27.08.2026</t>
        </is>
      </c>
      <c r="E15531" t="inlineStr">
        <is>
          <t>Japan</t>
        </is>
      </c>
    </row>
    <row r="15532">
      <c r="A15532" t="inlineStr">
        <is>
          <t>Glowide Co.,Ltd.,  Jongno-gu, Seoul, The Republic of Korea</t>
        </is>
      </c>
      <c r="B15532" t="inlineStr">
        <is>
          <t>Trader with Storage</t>
        </is>
      </c>
      <c r="C15532" t="inlineStr">
        <is>
          <t>Control Union Certifications Germany GmbH, Berlin, DE</t>
        </is>
      </c>
      <c r="D15532" t="inlineStr">
        <is>
          <t>27.08.2026</t>
        </is>
      </c>
      <c r="E15532" t="inlineStr">
        <is>
          <t>The Republic of Korea</t>
        </is>
      </c>
    </row>
    <row r="15533">
      <c r="A15533" t="inlineStr">
        <is>
          <t>Inver Energy Ltd,  Cork, Ireland</t>
        </is>
      </c>
      <c r="B15533" t="inlineStr">
        <is>
          <t>Trader with Storage</t>
        </is>
      </c>
      <c r="C15533" t="inlineStr">
        <is>
          <t>Control Union Certifications Germany GmbH, Berlin, DE</t>
        </is>
      </c>
      <c r="D15533" t="inlineStr">
        <is>
          <t>27.08.2026</t>
        </is>
      </c>
      <c r="E15533" t="inlineStr">
        <is>
          <t>Ireland</t>
        </is>
      </c>
    </row>
    <row r="15534">
      <c r="A15534" t="inlineStr">
        <is>
          <t>Hes Botlek Tank Terminal B.V.,  Rotterdam, Netherlands</t>
        </is>
      </c>
      <c r="B15534" t="inlineStr">
        <is>
          <t>Warehouse</t>
        </is>
      </c>
      <c r="C15534" t="inlineStr">
        <is>
          <t>DNV Business Assurance Sweden AB, Solna, SE</t>
        </is>
      </c>
      <c r="D15534" t="inlineStr">
        <is>
          <t>27.08.2026</t>
        </is>
      </c>
      <c r="E15534" t="inlineStr">
        <is>
          <t>Netherlands</t>
        </is>
      </c>
    </row>
    <row r="15535">
      <c r="A15535" t="inlineStr">
        <is>
          <t>Jellice Pioneer Europe Bv,  Emmen, Netherlands</t>
        </is>
      </c>
      <c r="B15535" t="inlineStr">
        <is>
          <t>Point of Origin</t>
        </is>
      </c>
      <c r="C15535" t="inlineStr">
        <is>
          <t>Control Union Certifications Germany GmbH, Berlin, DE</t>
        </is>
      </c>
      <c r="D15535" t="inlineStr">
        <is>
          <t>27.08.2026</t>
        </is>
      </c>
      <c r="E15535" t="inlineStr">
        <is>
          <t>Netherlands</t>
        </is>
      </c>
    </row>
    <row r="15536">
      <c r="A15536" t="inlineStr">
        <is>
          <t>PT Hamparan Khatulistiwa Indah,  Kab. Kutai Barat, Provinsi Kalimantan Timur, Indonesia</t>
        </is>
      </c>
      <c r="B15536" t="inlineStr">
        <is>
          <t>Point of Origin</t>
        </is>
      </c>
      <c r="C15536" t="inlineStr">
        <is>
          <t>PT. Qualitas Sertifikasi Indonesia, Jakarta, ID</t>
        </is>
      </c>
      <c r="D15536" t="inlineStr">
        <is>
          <t>27.08.2026</t>
        </is>
      </c>
      <c r="E15536" t="inlineStr">
        <is>
          <t>Indonesia</t>
        </is>
      </c>
    </row>
    <row r="15537">
      <c r="A15537" t="inlineStr">
        <is>
          <t>Huntsman Polyurethanes (UK),  Redcar, United Kingdom</t>
        </is>
      </c>
      <c r="B15537" t="inlineStr">
        <is>
          <t>Processing Unit</t>
        </is>
      </c>
      <c r="C15537" t="inlineStr">
        <is>
          <t>Bureau Veritas Polska Sp. z o.o., Warsaw, PL</t>
        </is>
      </c>
      <c r="D15537" t="inlineStr">
        <is>
          <t>27.08.2026</t>
        </is>
      </c>
      <c r="E15537" t="inlineStr">
        <is>
          <t>United Kingdom</t>
        </is>
      </c>
    </row>
    <row r="15538">
      <c r="A15538" t="inlineStr">
        <is>
          <t>WAGA ENERGY,  Fresnoy-Folny, France</t>
        </is>
      </c>
      <c r="B15538" t="inlineStr">
        <is>
          <t>Processing Unit, Collecting Point</t>
        </is>
      </c>
      <c r="C15538" t="inlineStr">
        <is>
          <t>SI Cert Italy S.R.L., Parma, IT</t>
        </is>
      </c>
      <c r="D15538" t="inlineStr">
        <is>
          <t>27.08.2026</t>
        </is>
      </c>
      <c r="E15538" t="inlineStr">
        <is>
          <t>France</t>
        </is>
      </c>
    </row>
    <row r="15539">
      <c r="A15539" t="inlineStr">
        <is>
          <t>Shijiazhuang Safu New Energy Technology Co., Ltd.,  Shijiazhuang City, Hebei Province, China</t>
        </is>
      </c>
      <c r="B15539" t="inlineStr">
        <is>
          <t>Collecting Point, Trader with Storage</t>
        </is>
      </c>
      <c r="C15539" t="inlineStr">
        <is>
          <t>RINA Services S.p.A., Genova, IT</t>
        </is>
      </c>
      <c r="D15539" t="inlineStr">
        <is>
          <t>26.08.2026</t>
        </is>
      </c>
      <c r="E15539" t="inlineStr">
        <is>
          <t>China</t>
        </is>
      </c>
    </row>
    <row r="15540">
      <c r="A15540" t="inlineStr">
        <is>
          <t>Plymouth Energy Grains,  Merrill, United States</t>
        </is>
      </c>
      <c r="B15540" t="inlineStr">
        <is>
          <t>First Gathering Point</t>
        </is>
      </c>
      <c r="C15540" t="inlineStr">
        <is>
          <t>Control Union Certifications Germany GmbH, Berlin, DE</t>
        </is>
      </c>
      <c r="D15540" t="inlineStr">
        <is>
          <t>26.08.2026</t>
        </is>
      </c>
      <c r="E15540" t="inlineStr">
        <is>
          <t>United States</t>
        </is>
      </c>
    </row>
    <row r="15541">
      <c r="A15541" t="inlineStr">
        <is>
          <t>Plymouth Energy Grains,  Merrill, United States</t>
        </is>
      </c>
      <c r="B15541" t="inlineStr">
        <is>
          <t>First Gathering Point</t>
        </is>
      </c>
      <c r="C15541" t="inlineStr">
        <is>
          <t>Control Union Certifications Germany GmbH, Berlin, DE</t>
        </is>
      </c>
      <c r="D15541" t="inlineStr">
        <is>
          <t>26.08.2026</t>
        </is>
      </c>
      <c r="E15541" t="inlineStr">
        <is>
          <t>United States</t>
        </is>
      </c>
    </row>
    <row r="15542">
      <c r="A15542" t="inlineStr">
        <is>
          <t>Sonne Energeticos,  Santa Catarina, Nuevo León, Mexico</t>
        </is>
      </c>
      <c r="B15542" t="inlineStr">
        <is>
          <t>Collecting Point</t>
        </is>
      </c>
      <c r="C15542" t="inlineStr">
        <is>
          <t>Certificadora Gallega del Noroeste SL, Vilagarcia de Arousa-Pontevedra, ES</t>
        </is>
      </c>
      <c r="D15542" t="inlineStr">
        <is>
          <t>26.08.2026</t>
        </is>
      </c>
      <c r="E15542" t="inlineStr">
        <is>
          <t>Mexico</t>
        </is>
      </c>
    </row>
    <row r="15543">
      <c r="A15543" t="inlineStr">
        <is>
          <t>Morton Extrusionstechnik GmbH,  Abtsteinach, Germany</t>
        </is>
      </c>
      <c r="B15543" t="inlineStr">
        <is>
          <t>Point of Origin, Processing Unit, Trader with Storage</t>
        </is>
      </c>
      <c r="C15543" t="inlineStr">
        <is>
          <t>SGS Germany GmbH, Emstek, DE</t>
        </is>
      </c>
      <c r="D15543" t="inlineStr">
        <is>
          <t>26.08.2026</t>
        </is>
      </c>
      <c r="E15543" t="inlineStr">
        <is>
          <t>Germany</t>
        </is>
      </c>
    </row>
    <row r="15544">
      <c r="A15544" t="inlineStr">
        <is>
          <t>Yakult Honsha Co., Ltd.,  Susono-shi, Shizuoka, Japan</t>
        </is>
      </c>
      <c r="B15544" t="inlineStr">
        <is>
          <t>Final Product Refinement, Processing Unit</t>
        </is>
      </c>
      <c r="C15544" t="inlineStr">
        <is>
          <t>SGS Germany GmbH, Emstek, DE</t>
        </is>
      </c>
      <c r="D15544" t="inlineStr">
        <is>
          <t>26.08.2026</t>
        </is>
      </c>
      <c r="E15544" t="inlineStr">
        <is>
          <t>Japan</t>
        </is>
      </c>
    </row>
    <row r="15545">
      <c r="A15545" t="inlineStr">
        <is>
          <t>Provident Biofuels Pte Ltd,  Singapore, Singapore</t>
        </is>
      </c>
      <c r="B15545" t="inlineStr">
        <is>
          <t>Trader</t>
        </is>
      </c>
      <c r="C15545" t="inlineStr">
        <is>
          <t>Control Union Certifications Germany GmbH, Berlin, DE</t>
        </is>
      </c>
      <c r="D15545" t="inlineStr">
        <is>
          <t>26.08.2026</t>
        </is>
      </c>
      <c r="E15545" t="inlineStr">
        <is>
          <t>Singapore</t>
        </is>
      </c>
    </row>
    <row r="15546">
      <c r="A15546" t="inlineStr">
        <is>
          <t>Innoil Global Trade Zrt.,  Budapest, Hungary</t>
        </is>
      </c>
      <c r="B15546" t="inlineStr">
        <is>
          <t>Trader</t>
        </is>
      </c>
      <c r="C15546" t="inlineStr">
        <is>
          <t>SGS Germany GmbH, Emstek, DE</t>
        </is>
      </c>
      <c r="D15546" t="inlineStr">
        <is>
          <t>26.08.2026</t>
        </is>
      </c>
      <c r="E15546" t="inlineStr">
        <is>
          <t>Hungary</t>
        </is>
      </c>
    </row>
    <row r="15547">
      <c r="A15547" t="inlineStr">
        <is>
          <t>Cellografica Gerosa S.p.A.,  Inverigo, COMO, Italy</t>
        </is>
      </c>
      <c r="B15547" t="inlineStr">
        <is>
          <t>Processing Unit</t>
        </is>
      </c>
      <c r="C15547" t="inlineStr">
        <is>
          <t>DNV Business Assurance Sweden AB, Solna, SE</t>
        </is>
      </c>
      <c r="D15547" t="inlineStr">
        <is>
          <t>26.08.2026</t>
        </is>
      </c>
      <c r="E15547" t="inlineStr">
        <is>
          <t>Italy</t>
        </is>
      </c>
    </row>
    <row r="15548">
      <c r="A15548" t="inlineStr">
        <is>
          <t>Ceres Holding Zrt.,  Paks, Hungary</t>
        </is>
      </c>
      <c r="B15548" t="inlineStr">
        <is>
          <t>First Gathering Point, Trader with Storage</t>
        </is>
      </c>
      <c r="C15548" t="inlineStr">
        <is>
          <t>SGS Germany GmbH, Emstek, DE</t>
        </is>
      </c>
      <c r="D15548" t="inlineStr">
        <is>
          <t>26.08.2026</t>
        </is>
      </c>
      <c r="E15548" t="inlineStr">
        <is>
          <t>Hungary</t>
        </is>
      </c>
    </row>
    <row r="15549">
      <c r="A15549" t="inlineStr">
        <is>
          <t>Maplehurst Farms Inc.,  Rochelle, Illinois, United States</t>
        </is>
      </c>
      <c r="B15549" t="inlineStr">
        <is>
          <t>First Gathering Point</t>
        </is>
      </c>
      <c r="C15549" t="inlineStr">
        <is>
          <t>Control Union Certifications Germany GmbH, Berlin, DE</t>
        </is>
      </c>
      <c r="D15549" t="inlineStr">
        <is>
          <t>26.08.2026</t>
        </is>
      </c>
      <c r="E15549" t="inlineStr">
        <is>
          <t>United States</t>
        </is>
      </c>
    </row>
    <row r="15550">
      <c r="A15550" t="inlineStr">
        <is>
          <t>Maplehurst Farms Inc.,  Rochelle, Illinois, United States</t>
        </is>
      </c>
      <c r="B15550" t="inlineStr">
        <is>
          <t>First Gathering Point</t>
        </is>
      </c>
      <c r="C15550" t="inlineStr">
        <is>
          <t>Control Union Certifications Germany GmbH, Berlin, DE</t>
        </is>
      </c>
      <c r="D15550" t="inlineStr">
        <is>
          <t>26.08.2026</t>
        </is>
      </c>
      <c r="E15550" t="inlineStr">
        <is>
          <t>United States</t>
        </is>
      </c>
    </row>
    <row r="15551">
      <c r="A15551" t="inlineStr">
        <is>
          <t>Charter Next Generation, Inc.,  Superior, United States</t>
        </is>
      </c>
      <c r="B15551" t="inlineStr">
        <is>
          <t>Processing Unit</t>
        </is>
      </c>
      <c r="C15551" t="inlineStr">
        <is>
          <t>SCS Global Services, Emeryville, CA, US</t>
        </is>
      </c>
      <c r="D15551" t="inlineStr">
        <is>
          <t>26.08.2026</t>
        </is>
      </c>
      <c r="E15551" t="inlineStr">
        <is>
          <t>United States</t>
        </is>
      </c>
    </row>
    <row r="15552">
      <c r="A15552" t="inlineStr">
        <is>
          <t>Charter Next Generation, Inc.,  Milton, United States</t>
        </is>
      </c>
      <c r="B15552" t="inlineStr">
        <is>
          <t>Processing Unit</t>
        </is>
      </c>
      <c r="C15552" t="inlineStr">
        <is>
          <t>SCS Global Services, Emeryville, CA, US</t>
        </is>
      </c>
      <c r="D15552" t="inlineStr">
        <is>
          <t>26.08.2026</t>
        </is>
      </c>
      <c r="E15552" t="inlineStr">
        <is>
          <t>United States</t>
        </is>
      </c>
    </row>
    <row r="15553">
      <c r="A15553" t="inlineStr">
        <is>
          <t>PT Riau Kampar Sahabat Sejati,  Kampar, Riau, Indonesia</t>
        </is>
      </c>
      <c r="B15553" t="inlineStr">
        <is>
          <t>Point of Origin</t>
        </is>
      </c>
      <c r="C15553" t="inlineStr">
        <is>
          <t>PT SBC Asia Sertifikasi, Kebumen, ID</t>
        </is>
      </c>
      <c r="D15553" t="inlineStr">
        <is>
          <t>26.08.2026</t>
        </is>
      </c>
      <c r="E15553" t="inlineStr">
        <is>
          <t>Indonesia</t>
        </is>
      </c>
    </row>
    <row r="15554">
      <c r="A15554" t="inlineStr">
        <is>
          <t>River Valley Cooperative,  Illinois, United States</t>
        </is>
      </c>
      <c r="B15554" t="inlineStr">
        <is>
          <t>First Gathering Point</t>
        </is>
      </c>
      <c r="C15554" t="inlineStr">
        <is>
          <t>Control Union Certifications Germany GmbH, Berlin, DE</t>
        </is>
      </c>
      <c r="D15554" t="inlineStr">
        <is>
          <t>26.08.2026</t>
        </is>
      </c>
      <c r="E15554" t="inlineStr">
        <is>
          <t>United States</t>
        </is>
      </c>
    </row>
    <row r="15555">
      <c r="A15555" t="inlineStr">
        <is>
          <t>River Valley Cooperative,  Illinois, United States</t>
        </is>
      </c>
      <c r="B15555" t="inlineStr">
        <is>
          <t>First Gathering Point</t>
        </is>
      </c>
      <c r="C15555" t="inlineStr">
        <is>
          <t>Control Union Certifications Germany GmbH, Berlin, DE</t>
        </is>
      </c>
      <c r="D15555" t="inlineStr">
        <is>
          <t>26.08.2026</t>
        </is>
      </c>
      <c r="E15555" t="inlineStr">
        <is>
          <t>United States</t>
        </is>
      </c>
    </row>
    <row r="15556">
      <c r="A15556" t="inlineStr">
        <is>
          <t>FENGAN TRADING CO LTD,  NEW TAIPEI CITY, Taiwan, Province of China</t>
        </is>
      </c>
      <c r="B15556" t="inlineStr">
        <is>
          <t>Collecting Point</t>
        </is>
      </c>
      <c r="C15556" t="inlineStr">
        <is>
          <t>PT. CBQA GLOBAL INDONESIA, JAKARTA SELATAN, ID</t>
        </is>
      </c>
      <c r="D15556" t="inlineStr">
        <is>
          <t>26.08.2026</t>
        </is>
      </c>
      <c r="E15556" t="inlineStr">
        <is>
          <t>Province of China</t>
        </is>
      </c>
    </row>
    <row r="15557">
      <c r="A15557" t="inlineStr">
        <is>
          <t>FENGAN TRADING CO LTD,  NEW TAIPEI CITY, Taiwan, Province of China</t>
        </is>
      </c>
      <c r="B15557" t="inlineStr">
        <is>
          <t>Collecting Point</t>
        </is>
      </c>
      <c r="C15557" t="inlineStr">
        <is>
          <t>PT. CBQA GLOBAL INDONESIA, JAKARTA SELATAN, ID</t>
        </is>
      </c>
      <c r="D15557" t="inlineStr">
        <is>
          <t>26.08.2026</t>
        </is>
      </c>
      <c r="E15557" t="inlineStr">
        <is>
          <t>Province of China</t>
        </is>
      </c>
    </row>
    <row r="15558">
      <c r="A15558" t="inlineStr">
        <is>
          <t>Zhejiang ZAKER New Material Technology Co., LTD.,  LiShui, China</t>
        </is>
      </c>
      <c r="B15558" t="inlineStr">
        <is>
          <t>Processing Unit</t>
        </is>
      </c>
      <c r="C15558" t="inlineStr">
        <is>
          <t>PT Intertek Utama Services, Jakarta, ID</t>
        </is>
      </c>
      <c r="D15558" t="inlineStr">
        <is>
          <t>26.08.2026</t>
        </is>
      </c>
      <c r="E15558" t="inlineStr">
        <is>
          <t>China</t>
        </is>
      </c>
    </row>
    <row r="15559">
      <c r="A15559" t="inlineStr">
        <is>
          <t>ACA Renewables PTE LTD,  Singapore, Singapore</t>
        </is>
      </c>
      <c r="B15559" t="inlineStr">
        <is>
          <t>Trader with Storage</t>
        </is>
      </c>
      <c r="C15559" t="inlineStr">
        <is>
          <t>PT Intertek Utama Services, Jakarta, ID</t>
        </is>
      </c>
      <c r="D15559" t="inlineStr">
        <is>
          <t>26.08.2026</t>
        </is>
      </c>
      <c r="E15559" t="inlineStr">
        <is>
          <t>Singapore</t>
        </is>
      </c>
    </row>
    <row r="15560">
      <c r="A15560" t="inlineStr">
        <is>
          <t>ACA Renewables PTE LTD,  Singapore, Singapore</t>
        </is>
      </c>
      <c r="B15560" t="inlineStr">
        <is>
          <t>Trader with Storage</t>
        </is>
      </c>
      <c r="C15560" t="inlineStr">
        <is>
          <t>PT Intertek Utama Services, Jakarta, ID</t>
        </is>
      </c>
      <c r="D15560" t="inlineStr">
        <is>
          <t>26.08.2026</t>
        </is>
      </c>
      <c r="E15560" t="inlineStr">
        <is>
          <t>Singapore</t>
        </is>
      </c>
    </row>
    <row r="15561">
      <c r="A15561" t="inlineStr">
        <is>
          <t>AMARUS INTERNATIONAL PTE LTD,  Singapore, Singapore</t>
        </is>
      </c>
      <c r="B15561" t="inlineStr">
        <is>
          <t>Trader with Storage</t>
        </is>
      </c>
      <c r="C15561" t="inlineStr">
        <is>
          <t>PT Intertek Utama Services, Jakarta, ID</t>
        </is>
      </c>
      <c r="D15561" t="inlineStr">
        <is>
          <t>26.08.2026</t>
        </is>
      </c>
      <c r="E15561" t="inlineStr">
        <is>
          <t>Singapore</t>
        </is>
      </c>
    </row>
    <row r="15562">
      <c r="A15562" t="inlineStr">
        <is>
          <t>SEBANGA MULTI SAWIT,  Mandau, Indonesia</t>
        </is>
      </c>
      <c r="B15562" t="inlineStr">
        <is>
          <t>Point of Origin, Trader with Storage</t>
        </is>
      </c>
      <c r="C15562" t="inlineStr">
        <is>
          <t>PT. Qualitas Sertifikasi Indonesia, Jakarta, ID</t>
        </is>
      </c>
      <c r="D15562" t="inlineStr">
        <is>
          <t>26.08.2026</t>
        </is>
      </c>
      <c r="E15562" t="inlineStr">
        <is>
          <t>Indonesia</t>
        </is>
      </c>
    </row>
    <row r="15563">
      <c r="A15563" t="inlineStr">
        <is>
          <t>BUMI INDAWA NIAGA,  JAKARTA SELATAN, Indonesia</t>
        </is>
      </c>
      <c r="B15563" t="inlineStr">
        <is>
          <t>Trader</t>
        </is>
      </c>
      <c r="C15563" t="inlineStr">
        <is>
          <t>PT. CBQA GLOBAL INDONESIA, JAKARTA SELATAN, ID</t>
        </is>
      </c>
      <c r="D15563" t="inlineStr">
        <is>
          <t>26.08.2026</t>
        </is>
      </c>
      <c r="E15563" t="inlineStr">
        <is>
          <t>Indonesia</t>
        </is>
      </c>
    </row>
    <row r="15564">
      <c r="A15564" t="inlineStr">
        <is>
          <t>Taghleef Latin America,  Cartagena, Colombia</t>
        </is>
      </c>
      <c r="B15564" t="inlineStr">
        <is>
          <t>Processing Unit, Trader with Storage</t>
        </is>
      </c>
      <c r="C15564" t="inlineStr">
        <is>
          <t>KIWA COLOMBIA S.A.S., Zipaquirá, CO</t>
        </is>
      </c>
      <c r="D15564" t="inlineStr">
        <is>
          <t>26.08.2026</t>
        </is>
      </c>
      <c r="E15564" t="inlineStr">
        <is>
          <t>Colombia</t>
        </is>
      </c>
    </row>
    <row r="15565">
      <c r="A15565" t="inlineStr">
        <is>
          <t>GREMCA Agricultura y Energía Sostenible S.A.,  El Copey, Cesar, Colombia</t>
        </is>
      </c>
      <c r="B15565" t="inlineStr">
        <is>
          <t>First Gathering Point, Processing Unit, Point of Origin</t>
        </is>
      </c>
      <c r="C15565" t="inlineStr">
        <is>
          <t>Control Union Poland Sp. z o.o., Zielona Gora, PL</t>
        </is>
      </c>
      <c r="D15565" t="inlineStr">
        <is>
          <t>26.08.2026</t>
        </is>
      </c>
      <c r="E15565" t="inlineStr">
        <is>
          <t>Colombia</t>
        </is>
      </c>
    </row>
    <row r="15566">
      <c r="A15566" t="inlineStr">
        <is>
          <t>RAW Energy,  Bintulu, Malaysia</t>
        </is>
      </c>
      <c r="B15566" t="inlineStr">
        <is>
          <t>First Gathering Point, Processing Unit</t>
        </is>
      </c>
      <c r="C15566" t="inlineStr">
        <is>
          <t>Trans Certification and Inspection Sdn Bhd, Kuantan, MY</t>
        </is>
      </c>
      <c r="D15566" t="inlineStr">
        <is>
          <t>26.08.2026</t>
        </is>
      </c>
      <c r="E15566" t="inlineStr">
        <is>
          <t>Malaysia</t>
        </is>
      </c>
    </row>
    <row r="15567">
      <c r="A15567" t="inlineStr">
        <is>
          <t>EFG Green gas s.r.o.,  Vyškov, Czech Republic</t>
        </is>
      </c>
      <c r="B15567" t="inlineStr">
        <is>
          <t>Processing Unit</t>
        </is>
      </c>
      <c r="C15567" t="inlineStr">
        <is>
          <t>TÜV SÜD Czech s.r.o., Praha 4, CZ</t>
        </is>
      </c>
      <c r="D15567" t="inlineStr">
        <is>
          <t>25.08.2026</t>
        </is>
      </c>
      <c r="E15567" t="inlineStr">
        <is>
          <t>Czech Republic</t>
        </is>
      </c>
    </row>
    <row r="15568">
      <c r="A15568" t="inlineStr">
        <is>
          <t>PT. Tunggal Yunus Estate,  Tapung District, Kampar Regency, Riau, Indonesia</t>
        </is>
      </c>
      <c r="B15568" t="inlineStr">
        <is>
          <t>Point of Origin, Processing Unit</t>
        </is>
      </c>
      <c r="C15568" t="inlineStr">
        <is>
          <t>SGS Germany GmbH, Emstek, DE</t>
        </is>
      </c>
      <c r="D15568" t="inlineStr">
        <is>
          <t>25.08.2026</t>
        </is>
      </c>
      <c r="E15568" t="inlineStr">
        <is>
          <t>Indonesia</t>
        </is>
      </c>
    </row>
    <row r="15569">
      <c r="A15569" t="inlineStr">
        <is>
          <t>D.A.R.,  Lauro, Italy</t>
        </is>
      </c>
      <c r="B15569" t="inlineStr">
        <is>
          <t>First Gathering Point, Processing Unit</t>
        </is>
      </c>
      <c r="C15569" t="inlineStr">
        <is>
          <t>RINA Services S.p.A., Genova, IT</t>
        </is>
      </c>
      <c r="D15569" t="inlineStr">
        <is>
          <t>25.08.2026</t>
        </is>
      </c>
      <c r="E15569" t="inlineStr">
        <is>
          <t>Italy</t>
        </is>
      </c>
    </row>
    <row r="15570">
      <c r="A15570" t="inlineStr">
        <is>
          <t>Agenzia Lucana di Sviluppo e di Innovazione in Agricoltura,  Lavello, Italy</t>
        </is>
      </c>
      <c r="B15570" t="inlineStr">
        <is>
          <t>First Gathering Point</t>
        </is>
      </c>
      <c r="C15570" t="inlineStr">
        <is>
          <t>RINA Services S.p.A., Genova, IT</t>
        </is>
      </c>
      <c r="D15570" t="inlineStr">
        <is>
          <t>25.08.2026</t>
        </is>
      </c>
      <c r="E15570" t="inlineStr">
        <is>
          <t>Italy</t>
        </is>
      </c>
    </row>
    <row r="15571">
      <c r="A15571" t="inlineStr">
        <is>
          <t>Maritza Olio,  Village Yasen, Bulgaria</t>
        </is>
      </c>
      <c r="B15571" t="inlineStr">
        <is>
          <t>First Gathering Point, Trader with Storage, Processing Unit</t>
        </is>
      </c>
      <c r="C15571" t="inlineStr">
        <is>
          <t>Control Union Certifications Germany GmbH, Berlin, DE</t>
        </is>
      </c>
      <c r="D15571" t="inlineStr">
        <is>
          <t>25.08.2026</t>
        </is>
      </c>
      <c r="E15571" t="inlineStr">
        <is>
          <t>Bulgaria</t>
        </is>
      </c>
    </row>
    <row r="15572">
      <c r="A15572" t="inlineStr">
        <is>
          <t>illwerke vkw AG,  Bregenz, Austria</t>
        </is>
      </c>
      <c r="B15572" t="inlineStr">
        <is>
          <t>Trader with Storage</t>
        </is>
      </c>
      <c r="C15572" t="inlineStr">
        <is>
          <t>agroVet GmbH, Enzersfeld, AT</t>
        </is>
      </c>
      <c r="D15572" t="inlineStr">
        <is>
          <t>25.08.2026</t>
        </is>
      </c>
      <c r="E15572" t="inlineStr">
        <is>
          <t>Austria</t>
        </is>
      </c>
    </row>
    <row r="15573">
      <c r="A15573" t="inlineStr">
        <is>
          <t>AC RECYCLING,  Kampenhout, Belgium</t>
        </is>
      </c>
      <c r="B15573" t="inlineStr">
        <is>
          <t>Point of Origin</t>
        </is>
      </c>
      <c r="C15573" t="inlineStr">
        <is>
          <t>SGS Germany GmbH, Emstek, DE</t>
        </is>
      </c>
      <c r="D15573" t="inlineStr">
        <is>
          <t>25.08.2026</t>
        </is>
      </c>
      <c r="E15573" t="inlineStr">
        <is>
          <t>Belgium</t>
        </is>
      </c>
    </row>
    <row r="15574">
      <c r="A15574" t="inlineStr">
        <is>
          <t>EFG Vyškov BPS s.r.o.,  Vyškov, Czech Republic</t>
        </is>
      </c>
      <c r="B15574" t="inlineStr">
        <is>
          <t>Collecting Point, Processing Unit, Trader</t>
        </is>
      </c>
      <c r="C15574" t="inlineStr">
        <is>
          <t>TÜV SÜD Czech s.r.o., Praha 4, CZ</t>
        </is>
      </c>
      <c r="D15574" t="inlineStr">
        <is>
          <t>25.08.2026</t>
        </is>
      </c>
      <c r="E15574" t="inlineStr">
        <is>
          <t>Czech Republic</t>
        </is>
      </c>
    </row>
    <row r="15575">
      <c r="A15575" t="inlineStr">
        <is>
          <t>ST Green Energy Pte Ltd,  Singapore, Singapore</t>
        </is>
      </c>
      <c r="B15575" t="inlineStr">
        <is>
          <t>Trader</t>
        </is>
      </c>
      <c r="C15575" t="inlineStr">
        <is>
          <t>Control Union Certifications Germany GmbH, Berlin, DE</t>
        </is>
      </c>
      <c r="D15575" t="inlineStr">
        <is>
          <t>25.08.2026</t>
        </is>
      </c>
      <c r="E15575" t="inlineStr">
        <is>
          <t>Singapore</t>
        </is>
      </c>
    </row>
    <row r="15576">
      <c r="A15576" t="inlineStr">
        <is>
          <t>Bridgestone Canada,  Joliette, Canada</t>
        </is>
      </c>
      <c r="B15576" t="inlineStr">
        <is>
          <t>Processing Unit</t>
        </is>
      </c>
      <c r="C15576" t="inlineStr">
        <is>
          <t>SCS Global Services, Emeryville, CA, US</t>
        </is>
      </c>
      <c r="D15576" t="inlineStr">
        <is>
          <t>25.08.2026</t>
        </is>
      </c>
      <c r="E15576" t="inlineStr">
        <is>
          <t>Canada</t>
        </is>
      </c>
    </row>
    <row r="15577">
      <c r="A15577" t="inlineStr">
        <is>
          <t>Qualiform,  Oyonnax, France</t>
        </is>
      </c>
      <c r="B15577" t="inlineStr">
        <is>
          <t>Processing Unit, Final Product Refinement</t>
        </is>
      </c>
      <c r="C15577" t="inlineStr">
        <is>
          <t>Control Union Certifications Germany GmbH, Berlin, DE</t>
        </is>
      </c>
      <c r="D15577" t="inlineStr">
        <is>
          <t>25.08.2026</t>
        </is>
      </c>
      <c r="E15577" t="inlineStr">
        <is>
          <t>France</t>
        </is>
      </c>
    </row>
    <row r="15578">
      <c r="A15578" t="inlineStr">
        <is>
          <t>GUANGDONG YANTIAN PORT &amp; SINOPEC ENERGY DEVELOPMENT CO., LTD,  Shenzhen, Guangdong Province, China, China</t>
        </is>
      </c>
      <c r="B15578" t="inlineStr">
        <is>
          <t>Trader</t>
        </is>
      </c>
      <c r="C15578" t="inlineStr">
        <is>
          <t>SCS Global Services, Emeryville, CA, US</t>
        </is>
      </c>
      <c r="D15578" t="inlineStr">
        <is>
          <t>25.08.2026</t>
        </is>
      </c>
      <c r="E15578" t="inlineStr">
        <is>
          <t>China</t>
        </is>
      </c>
    </row>
    <row r="15579">
      <c r="A15579" t="inlineStr">
        <is>
          <t>Hebei Duancheng Trading Co., Ltd.,  Shijiazhuang City, Hebei Province, China</t>
        </is>
      </c>
      <c r="B15579" t="inlineStr">
        <is>
          <t>Trader</t>
        </is>
      </c>
      <c r="C15579" t="inlineStr">
        <is>
          <t>SCS Global Services, Emeryville, CA, US</t>
        </is>
      </c>
      <c r="D15579" t="inlineStr">
        <is>
          <t>25.08.2026</t>
        </is>
      </c>
      <c r="E15579" t="inlineStr">
        <is>
          <t>China</t>
        </is>
      </c>
    </row>
    <row r="15580">
      <c r="A15580" t="inlineStr">
        <is>
          <t>Dijkstra Plastics,  Almelo, Netherlands</t>
        </is>
      </c>
      <c r="B15580" t="inlineStr">
        <is>
          <t>Processing Unit</t>
        </is>
      </c>
      <c r="C15580" t="inlineStr">
        <is>
          <t>Control Union Certifications Germany GmbH, Berlin, DE</t>
        </is>
      </c>
      <c r="D15580" t="inlineStr">
        <is>
          <t>25.08.2026</t>
        </is>
      </c>
      <c r="E15580" t="inlineStr">
        <is>
          <t>Netherlands</t>
        </is>
      </c>
    </row>
    <row r="15581">
      <c r="A15581" t="inlineStr">
        <is>
          <t>Dijkstra Plastics,  Haaksbergen, Netherlands</t>
        </is>
      </c>
      <c r="B15581" t="inlineStr">
        <is>
          <t>Processing Unit</t>
        </is>
      </c>
      <c r="C15581" t="inlineStr">
        <is>
          <t>Control Union Certifications Germany GmbH, Berlin, DE</t>
        </is>
      </c>
      <c r="D15581" t="inlineStr">
        <is>
          <t>25.08.2026</t>
        </is>
      </c>
      <c r="E15581" t="inlineStr">
        <is>
          <t>Netherlands</t>
        </is>
      </c>
    </row>
    <row r="15582">
      <c r="A15582" t="inlineStr">
        <is>
          <t>GARNA TRADING OÜ,  Kyiv, Ukraine</t>
        </is>
      </c>
      <c r="B15582" t="inlineStr">
        <is>
          <t>Trader</t>
        </is>
      </c>
      <c r="C15582" t="inlineStr">
        <is>
          <t>Control Union Certifications Germany GmbH, Berlin, DE</t>
        </is>
      </c>
      <c r="D15582" t="inlineStr">
        <is>
          <t>25.08.2026</t>
        </is>
      </c>
      <c r="E15582" t="inlineStr">
        <is>
          <t>Ukraine</t>
        </is>
      </c>
    </row>
    <row r="15583">
      <c r="A15583" t="inlineStr">
        <is>
          <t>Kukje,  Buk-myeon, Jeong-eup-si, South Korea</t>
        </is>
      </c>
      <c r="B15583" t="inlineStr">
        <is>
          <t>Collecting Point, Processing Unit</t>
        </is>
      </c>
      <c r="C15583" t="inlineStr">
        <is>
          <t>Control Union Certifications Germany GmbH, Berlin, DE</t>
        </is>
      </c>
      <c r="D15583" t="inlineStr">
        <is>
          <t>25.08.2026</t>
        </is>
      </c>
      <c r="E15583" t="inlineStr">
        <is>
          <t>South Korea</t>
        </is>
      </c>
    </row>
    <row r="15584">
      <c r="A15584" t="inlineStr">
        <is>
          <t>J. Meertens &amp; Zn BV.,  Vlaardingen, The Netherlands</t>
        </is>
      </c>
      <c r="B15584" t="inlineStr">
        <is>
          <t>Collecting Point</t>
        </is>
      </c>
      <c r="C15584" t="inlineStr">
        <is>
          <t>Control Union Certifications Germany GmbH, Berlin, DE</t>
        </is>
      </c>
      <c r="D15584" t="inlineStr">
        <is>
          <t>25.08.2026</t>
        </is>
      </c>
      <c r="E15584" t="inlineStr">
        <is>
          <t>The Netherlands</t>
        </is>
      </c>
    </row>
    <row r="15585">
      <c r="A15585" t="inlineStr">
        <is>
          <t>M.W. Beer &amp; Co. Ltd.,  Ingatestone, United Kingdom</t>
        </is>
      </c>
      <c r="B15585" t="inlineStr">
        <is>
          <t>Collecting Point, Trader with Storage</t>
        </is>
      </c>
      <c r="C15585" t="inlineStr">
        <is>
          <t>Control Union Certifications Germany GmbH, Berlin, DE</t>
        </is>
      </c>
      <c r="D15585" t="inlineStr">
        <is>
          <t>25.08.2026</t>
        </is>
      </c>
      <c r="E15585" t="inlineStr">
        <is>
          <t>United Kingdom</t>
        </is>
      </c>
    </row>
    <row r="15586">
      <c r="A15586" t="inlineStr">
        <is>
          <t>KLK Plantations and Trading Pte. Ltd.,  Singapore, Singapore</t>
        </is>
      </c>
      <c r="B15586" t="inlineStr">
        <is>
          <t>Trader</t>
        </is>
      </c>
      <c r="C15586" t="inlineStr">
        <is>
          <t>Global Gateway Certifications Sdn Bhd, Ampang, MY</t>
        </is>
      </c>
      <c r="D15586" t="inlineStr">
        <is>
          <t>25.08.2026</t>
        </is>
      </c>
      <c r="E15586" t="inlineStr">
        <is>
          <t>Singapore</t>
        </is>
      </c>
    </row>
    <row r="15587">
      <c r="A15587" t="inlineStr">
        <is>
          <t>Shin il EFS Corporation,  Ungchon-myeon, Ulsan, Korea, Republic of</t>
        </is>
      </c>
      <c r="B15587" t="inlineStr">
        <is>
          <t>Collecting Point, Processing Unit</t>
        </is>
      </c>
      <c r="C15587" t="inlineStr">
        <is>
          <t>Control Union Certifications Germany GmbH, Berlin, DE</t>
        </is>
      </c>
      <c r="D15587" t="inlineStr">
        <is>
          <t>25.08.2026</t>
        </is>
      </c>
      <c r="E15587" t="inlineStr">
        <is>
          <t>Republic of</t>
        </is>
      </c>
    </row>
    <row r="15588">
      <c r="A15588" t="inlineStr">
        <is>
          <t>Incasi Raya,  Padang, Indonesia</t>
        </is>
      </c>
      <c r="B15588" t="inlineStr">
        <is>
          <t>Point of Origin, Trader with Storage, Processing Unit</t>
        </is>
      </c>
      <c r="C15588" t="inlineStr">
        <is>
          <t>PT. Qualitas Sertifikasi Indonesia, Jakarta, ID</t>
        </is>
      </c>
      <c r="D15588" t="inlineStr">
        <is>
          <t>25.08.2026</t>
        </is>
      </c>
      <c r="E15588" t="inlineStr">
        <is>
          <t>Indonesia</t>
        </is>
      </c>
    </row>
    <row r="15589">
      <c r="A15589" t="inlineStr">
        <is>
          <t>Octopod-C Ltd,  Varna, Bulgaria</t>
        </is>
      </c>
      <c r="B15589" t="inlineStr">
        <is>
          <t>First Gathering Point, Trader with Storage</t>
        </is>
      </c>
      <c r="C15589" t="inlineStr">
        <is>
          <t>Control Union Certifications Germany GmbH, Berlin, DE</t>
        </is>
      </c>
      <c r="D15589" t="inlineStr">
        <is>
          <t>25.08.2026</t>
        </is>
      </c>
      <c r="E15589" t="inlineStr">
        <is>
          <t>Bulgaria</t>
        </is>
      </c>
    </row>
    <row r="15590">
      <c r="A15590" t="inlineStr">
        <is>
          <t>Octopod-C Ltd,  Samuil village, Bulgaria</t>
        </is>
      </c>
      <c r="B15590" t="inlineStr">
        <is>
          <t>Trader with Storage, Processing Unit</t>
        </is>
      </c>
      <c r="C15590" t="inlineStr">
        <is>
          <t>Control Union Certifications Germany GmbH, Berlin, DE</t>
        </is>
      </c>
      <c r="D15590" t="inlineStr">
        <is>
          <t>25.08.2026</t>
        </is>
      </c>
      <c r="E15590" t="inlineStr">
        <is>
          <t>Bulgaria</t>
        </is>
      </c>
    </row>
    <row r="15591">
      <c r="A15591" t="inlineStr">
        <is>
          <t>SCA Pétrole et Dérivés,  Bondoufle Cedex, France</t>
        </is>
      </c>
      <c r="B15591" t="inlineStr">
        <is>
          <t>Trader with Storage</t>
        </is>
      </c>
      <c r="C15591" t="inlineStr">
        <is>
          <t>Control Union Certifications Germany GmbH, Berlin, DE</t>
        </is>
      </c>
      <c r="D15591" t="inlineStr">
        <is>
          <t>25.08.2026</t>
        </is>
      </c>
      <c r="E15591" t="inlineStr">
        <is>
          <t>France</t>
        </is>
      </c>
    </row>
    <row r="15592">
      <c r="A15592" t="inlineStr">
        <is>
          <t>Berry Global,  Dalton, United States</t>
        </is>
      </c>
      <c r="B15592" t="inlineStr">
        <is>
          <t>Processing Unit</t>
        </is>
      </c>
      <c r="C15592" t="inlineStr">
        <is>
          <t>SCS Global Services, Emeryville, CA, US</t>
        </is>
      </c>
      <c r="D15592" t="inlineStr">
        <is>
          <t>25.08.2026</t>
        </is>
      </c>
      <c r="E15592" t="inlineStr">
        <is>
          <t>United States</t>
        </is>
      </c>
    </row>
    <row r="15593">
      <c r="A15593" t="inlineStr">
        <is>
          <t>Interbros,  Schönau, Germany</t>
        </is>
      </c>
      <c r="B15593" t="inlineStr">
        <is>
          <t>Processing Unit, Point of Origin</t>
        </is>
      </c>
      <c r="C15593" t="inlineStr">
        <is>
          <t>GUT Certifizierungsgesellschaft für Managementsysteme mbH Umweltgutachter, Berlin, DE</t>
        </is>
      </c>
      <c r="D15593" t="inlineStr">
        <is>
          <t>25.08.2026</t>
        </is>
      </c>
      <c r="E15593" t="inlineStr">
        <is>
          <t>Germany</t>
        </is>
      </c>
    </row>
    <row r="15594">
      <c r="A15594" t="inlineStr">
        <is>
          <t>PT Fajar Riau Lestari,  Kabupaten Kuantan Singingi, Provinsi Riau, Indonesia</t>
        </is>
      </c>
      <c r="B15594" t="inlineStr">
        <is>
          <t>Point of Origin</t>
        </is>
      </c>
      <c r="C15594" t="inlineStr">
        <is>
          <t>China Testing &amp; Certification International Group Co., Ltd., Beijing, CN</t>
        </is>
      </c>
      <c r="D15594" t="inlineStr">
        <is>
          <t>25.08.2026</t>
        </is>
      </c>
      <c r="E15594" t="inlineStr">
        <is>
          <t>Indonesia</t>
        </is>
      </c>
    </row>
    <row r="15595">
      <c r="A15595" t="inlineStr">
        <is>
          <t>TPG Oil &amp; Gas Sdn Bhd,  Tanjung Langsat, Pasir Gudang, Johor, Malaysia</t>
        </is>
      </c>
      <c r="B15595" t="inlineStr">
        <is>
          <t>Point of Origin, Processing Unit, Warehouse, Trader with Storage</t>
        </is>
      </c>
      <c r="C15595" t="inlineStr">
        <is>
          <t>PT SBC Asia Sertifikasi, Kebumen, ID</t>
        </is>
      </c>
      <c r="D15595" t="inlineStr">
        <is>
          <t>25.08.2026</t>
        </is>
      </c>
      <c r="E15595" t="inlineStr">
        <is>
          <t>Malaysia</t>
        </is>
      </c>
    </row>
    <row r="15596">
      <c r="A15596" t="inlineStr">
        <is>
          <t>Agrain Trans,  Odesa, Ukraine</t>
        </is>
      </c>
      <c r="B15596" t="inlineStr">
        <is>
          <t>First Gathering Point, Trader</t>
        </is>
      </c>
      <c r="C15596" t="inlineStr">
        <is>
          <t>BM Certification, Riga, LV</t>
        </is>
      </c>
      <c r="D15596" t="inlineStr">
        <is>
          <t>25.08.2026</t>
        </is>
      </c>
      <c r="E15596" t="inlineStr">
        <is>
          <t>Ukraine</t>
        </is>
      </c>
    </row>
    <row r="15597">
      <c r="A15597" t="inlineStr">
        <is>
          <t>Jiangxi Huachuang Glasses Co., Ltd,  Yingtan, China</t>
        </is>
      </c>
      <c r="B15597" t="inlineStr">
        <is>
          <t>Final Product Refinement, Processing Unit</t>
        </is>
      </c>
      <c r="C15597" t="inlineStr">
        <is>
          <t>PT Intertek Utama Services, Jakarta, ID</t>
        </is>
      </c>
      <c r="D15597" t="inlineStr">
        <is>
          <t>25.08.2026</t>
        </is>
      </c>
      <c r="E15597" t="inlineStr">
        <is>
          <t>China</t>
        </is>
      </c>
    </row>
    <row r="15598">
      <c r="A15598" t="inlineStr">
        <is>
          <t>PT SINAR WANDIOLE BALIKPAPAN,  Kec. Balikpapan Selatan, Kota Balikpapan, Indonesia</t>
        </is>
      </c>
      <c r="B15598" t="inlineStr">
        <is>
          <t>Trader with Storage</t>
        </is>
      </c>
      <c r="C15598" t="inlineStr">
        <is>
          <t>PT. Qualitas Sertifikasi Indonesia, Jakarta, ID</t>
        </is>
      </c>
      <c r="D15598" t="inlineStr">
        <is>
          <t>25.08.2026</t>
        </is>
      </c>
      <c r="E15598" t="inlineStr">
        <is>
          <t>Indonesia</t>
        </is>
      </c>
    </row>
    <row r="15599">
      <c r="A15599" t="inlineStr">
        <is>
          <t>Great Dragon Optical (FU JIAN) Co.,Ltd,  Fuding City, China</t>
        </is>
      </c>
      <c r="B15599" t="inlineStr">
        <is>
          <t>Processing Unit, Final Product Refinement</t>
        </is>
      </c>
      <c r="C15599" t="inlineStr">
        <is>
          <t>PT Intertek Utama Services, Jakarta, ID</t>
        </is>
      </c>
      <c r="D15599" t="inlineStr">
        <is>
          <t>25.08.2026</t>
        </is>
      </c>
      <c r="E15599" t="inlineStr">
        <is>
          <t>China</t>
        </is>
      </c>
    </row>
    <row r="15600">
      <c r="A15600" t="inlineStr">
        <is>
          <t>IPL Plastics Lommel,  Lommel, Belgium</t>
        </is>
      </c>
      <c r="B15600" t="inlineStr">
        <is>
          <t>Processing Unit</t>
        </is>
      </c>
      <c r="C15600" t="inlineStr">
        <is>
          <t>DEKRA Certification B.V., Arnhem, NL</t>
        </is>
      </c>
      <c r="D15600" t="inlineStr">
        <is>
          <t>25.08.2026</t>
        </is>
      </c>
      <c r="E15600" t="inlineStr">
        <is>
          <t>Belgium</t>
        </is>
      </c>
    </row>
    <row r="15601">
      <c r="A15601" t="inlineStr">
        <is>
          <t>SHPP B.V.,  Bergen op Zoom, Netherlands</t>
        </is>
      </c>
      <c r="B15601" t="inlineStr">
        <is>
          <t>Processing Unit</t>
        </is>
      </c>
      <c r="C15601" t="inlineStr">
        <is>
          <t>TÜV NORD CERT GmbH, Essen, DE</t>
        </is>
      </c>
      <c r="D15601" t="inlineStr">
        <is>
          <t>25.08.2026</t>
        </is>
      </c>
      <c r="E15601" t="inlineStr">
        <is>
          <t>Netherlands</t>
        </is>
      </c>
    </row>
    <row r="15602">
      <c r="A15602" t="inlineStr">
        <is>
          <t>Imerys Tableware Deutschland,  Tirschenreuth, Germany</t>
        </is>
      </c>
      <c r="B15602" t="inlineStr">
        <is>
          <t>Point of Origin</t>
        </is>
      </c>
      <c r="C15602" t="inlineStr">
        <is>
          <t>TÜV SÜD Industrie Service GmbH, München, DE</t>
        </is>
      </c>
      <c r="D15602" t="inlineStr">
        <is>
          <t>25.08.2026</t>
        </is>
      </c>
      <c r="E15602" t="inlineStr">
        <is>
          <t>Germany</t>
        </is>
      </c>
    </row>
    <row r="15603">
      <c r="A15603" t="inlineStr">
        <is>
          <t>Société Socina de commerce international,  Sakiet ezit, Tunisia</t>
        </is>
      </c>
      <c r="B15603" t="inlineStr">
        <is>
          <t>Collecting Point, Trader</t>
        </is>
      </c>
      <c r="C15603" t="inlineStr">
        <is>
          <t>BM Certification, Riga, LV</t>
        </is>
      </c>
      <c r="D15603" t="inlineStr">
        <is>
          <t>25.08.2026</t>
        </is>
      </c>
      <c r="E15603" t="inlineStr">
        <is>
          <t>Tunisia</t>
        </is>
      </c>
    </row>
    <row r="15604">
      <c r="A15604" t="inlineStr">
        <is>
          <t>CHINA SHIPPING &amp; SINOPEC SUPPLIERS CO., LTD,  Guangzhou, Guangdong Province, China</t>
        </is>
      </c>
      <c r="B15604" t="inlineStr">
        <is>
          <t>Trader with Storage</t>
        </is>
      </c>
      <c r="C15604" t="inlineStr">
        <is>
          <t>Guardian Independent Certification Limited, Singapore, SG</t>
        </is>
      </c>
      <c r="D15604" t="inlineStr">
        <is>
          <t>25.08.2026</t>
        </is>
      </c>
      <c r="E15604" t="inlineStr">
        <is>
          <t>China</t>
        </is>
      </c>
    </row>
    <row r="15605">
      <c r="A15605" t="inlineStr">
        <is>
          <t>Direct Fats and Oils Ltd,  Auckland, New Zealand</t>
        </is>
      </c>
      <c r="B15605" t="inlineStr">
        <is>
          <t>Collecting Point, Trader with Storage</t>
        </is>
      </c>
      <c r="C15605" t="inlineStr">
        <is>
          <t>SGS Germany GmbH, Emstek, DE</t>
        </is>
      </c>
      <c r="D15605" t="inlineStr">
        <is>
          <t>25.08.2026</t>
        </is>
      </c>
      <c r="E15605" t="inlineStr">
        <is>
          <t>New Zealand</t>
        </is>
      </c>
    </row>
    <row r="15606">
      <c r="A15606" t="inlineStr">
        <is>
          <t>Direct Fats and Oils Ltd,  Auckland, New Zealand</t>
        </is>
      </c>
      <c r="B15606" t="inlineStr">
        <is>
          <t>Collecting Point, Trader with Storage</t>
        </is>
      </c>
      <c r="C15606" t="inlineStr">
        <is>
          <t>SGS Germany GmbH, Emstek, DE</t>
        </is>
      </c>
      <c r="D15606" t="inlineStr">
        <is>
          <t>25.08.2026</t>
        </is>
      </c>
      <c r="E15606" t="inlineStr">
        <is>
          <t>New Zealand</t>
        </is>
      </c>
    </row>
    <row r="15607">
      <c r="A15607" t="inlineStr">
        <is>
          <t>Inpasa Agroindustrial S/A,  Sinop, Brazil</t>
        </is>
      </c>
      <c r="B15607" t="inlineStr">
        <is>
          <t>Processing Unit</t>
        </is>
      </c>
      <c r="C15607" t="inlineStr">
        <is>
          <t>SCS Global Services, Emeryville, CA, US</t>
        </is>
      </c>
      <c r="D15607" t="inlineStr">
        <is>
          <t>25.08.2026</t>
        </is>
      </c>
      <c r="E15607" t="inlineStr">
        <is>
          <t>Brazil</t>
        </is>
      </c>
    </row>
    <row r="15608">
      <c r="A15608" t="inlineStr">
        <is>
          <t>Inpasa Agroindustrial S/A,  Nova Mutum, Brazil</t>
        </is>
      </c>
      <c r="B15608" t="inlineStr">
        <is>
          <t>Processing Unit</t>
        </is>
      </c>
      <c r="C15608" t="inlineStr">
        <is>
          <t>SCS Global Services, Emeryville, CA, US</t>
        </is>
      </c>
      <c r="D15608" t="inlineStr">
        <is>
          <t>25.08.2026</t>
        </is>
      </c>
      <c r="E15608" t="inlineStr">
        <is>
          <t>Brazil</t>
        </is>
      </c>
    </row>
    <row r="15609">
      <c r="A15609" t="inlineStr">
        <is>
          <t>Alto Pekin, LLC,  Pekin, United States</t>
        </is>
      </c>
      <c r="B15609" t="inlineStr">
        <is>
          <t>Processing Unit</t>
        </is>
      </c>
      <c r="C15609" t="inlineStr">
        <is>
          <t>SCS Global Services, Emeryville, CA, US</t>
        </is>
      </c>
      <c r="D15609" t="inlineStr">
        <is>
          <t>25.08.2026</t>
        </is>
      </c>
      <c r="E15609" t="inlineStr">
        <is>
          <t>United States</t>
        </is>
      </c>
    </row>
    <row r="15610">
      <c r="A15610" t="inlineStr">
        <is>
          <t>Cipta Utama Andalan Nabati,  Kec. Rangkasbitung, Kab. Lebak, Provinsi Banten, Indonesia</t>
        </is>
      </c>
      <c r="B15610" t="inlineStr">
        <is>
          <t>Processing Unit</t>
        </is>
      </c>
      <c r="C15610" t="inlineStr">
        <is>
          <t>PT. Qualitas Sertifikasi Indonesia, Jakarta, ID</t>
        </is>
      </c>
      <c r="D15610" t="inlineStr">
        <is>
          <t>25.08.2026</t>
        </is>
      </c>
      <c r="E15610" t="inlineStr">
        <is>
          <t>Indonesia</t>
        </is>
      </c>
    </row>
    <row r="15611">
      <c r="A15611" t="inlineStr">
        <is>
          <t>Nanjing Jiushengmei Catering and Kitchen Waste Disposal Co.,Ltd.,  Nanjing, Jiangsu, China</t>
        </is>
      </c>
      <c r="B15611" t="inlineStr">
        <is>
          <t>Collecting Point, Processing Unit</t>
        </is>
      </c>
      <c r="C15611" t="inlineStr">
        <is>
          <t>RINA Services S.p.A., Genova, IT</t>
        </is>
      </c>
      <c r="D15611" t="inlineStr">
        <is>
          <t>25.08.2026</t>
        </is>
      </c>
      <c r="E15611" t="inlineStr">
        <is>
          <t>China</t>
        </is>
      </c>
    </row>
    <row r="15612">
      <c r="A15612" t="inlineStr">
        <is>
          <t>Agrivesuvio,  Lauro, Italy</t>
        </is>
      </c>
      <c r="B15612" t="inlineStr">
        <is>
          <t>First Gathering Point, Processing Unit</t>
        </is>
      </c>
      <c r="C15612" t="inlineStr">
        <is>
          <t>RINA Services S.p.A., Genova, IT</t>
        </is>
      </c>
      <c r="D15612" t="inlineStr">
        <is>
          <t>25.08.2026</t>
        </is>
      </c>
      <c r="E15612" t="inlineStr">
        <is>
          <t>Italy</t>
        </is>
      </c>
    </row>
    <row r="15613">
      <c r="A15613" t="inlineStr">
        <is>
          <t>Jiangyin Golden Bridge Chemical CO., LTD,  Jiangyin,Jiangsu, China</t>
        </is>
      </c>
      <c r="B15613" t="inlineStr">
        <is>
          <t>Trader with Storage</t>
        </is>
      </c>
      <c r="C15613" t="inlineStr">
        <is>
          <t>RINA Services S.p.A., Genova, IT</t>
        </is>
      </c>
      <c r="D15613" t="inlineStr">
        <is>
          <t>25.08.2026</t>
        </is>
      </c>
      <c r="E15613" t="inlineStr">
        <is>
          <t>China</t>
        </is>
      </c>
    </row>
    <row r="15614">
      <c r="A15614" t="inlineStr">
        <is>
          <t>Gredmann (HK) Limited,  Taipei, Taiwan, Province of China</t>
        </is>
      </c>
      <c r="B15614" t="inlineStr">
        <is>
          <t>Trader</t>
        </is>
      </c>
      <c r="C15614" t="inlineStr">
        <is>
          <t>Bureau Veritas Polska Sp. z o.o., Warsaw, PL</t>
        </is>
      </c>
      <c r="D15614" t="inlineStr">
        <is>
          <t>25.08.2026</t>
        </is>
      </c>
      <c r="E15614" t="inlineStr">
        <is>
          <t>Province of China</t>
        </is>
      </c>
    </row>
    <row r="15615">
      <c r="A15615" t="inlineStr">
        <is>
          <t>Jiangxi Green Clean New Energy Technology Co., Ltd,  Ji'an City, Jiangxi Province, China</t>
        </is>
      </c>
      <c r="B15615" t="inlineStr">
        <is>
          <t>Collecting Point</t>
        </is>
      </c>
      <c r="C15615" t="inlineStr">
        <is>
          <t>RINA Services S.p.A., Genova, IT</t>
        </is>
      </c>
      <c r="D15615" t="inlineStr">
        <is>
          <t>25.08.2026</t>
        </is>
      </c>
      <c r="E15615" t="inlineStr">
        <is>
          <t>China</t>
        </is>
      </c>
    </row>
    <row r="15616">
      <c r="A15616" t="inlineStr">
        <is>
          <t>MC ENERGY CO.,LTD,  Seoul, The Republic of Korea</t>
        </is>
      </c>
      <c r="B15616" t="inlineStr">
        <is>
          <t>Trader</t>
        </is>
      </c>
      <c r="C15616" t="inlineStr">
        <is>
          <t>Control Union Certifications Germany GmbH, Berlin, DE</t>
        </is>
      </c>
      <c r="D15616" t="inlineStr">
        <is>
          <t>25.08.2026</t>
        </is>
      </c>
      <c r="E15616" t="inlineStr">
        <is>
          <t>The Republic of Korea</t>
        </is>
      </c>
    </row>
    <row r="15617">
      <c r="A15617" t="inlineStr">
        <is>
          <t>Arkema, Inc.,  Grand Rapids, United States</t>
        </is>
      </c>
      <c r="B15617" t="inlineStr">
        <is>
          <t>Processing Unit</t>
        </is>
      </c>
      <c r="C15617" t="inlineStr">
        <is>
          <t>DNV Business Assurance Sweden AB, Solna, SE</t>
        </is>
      </c>
      <c r="D15617" t="inlineStr">
        <is>
          <t>25.08.2026</t>
        </is>
      </c>
      <c r="E15617" t="inlineStr">
        <is>
          <t>United States</t>
        </is>
      </c>
    </row>
    <row r="15618">
      <c r="A15618" t="inlineStr">
        <is>
          <t>Sucor,  Dakar, Senegal</t>
        </is>
      </c>
      <c r="B15618" t="inlineStr">
        <is>
          <t>Collecting Point, Warehouse</t>
        </is>
      </c>
      <c r="C15618" t="inlineStr">
        <is>
          <t>SGS Germany GmbH, Emstek, DE</t>
        </is>
      </c>
      <c r="D15618" t="inlineStr">
        <is>
          <t>24.08.2026</t>
        </is>
      </c>
      <c r="E15618" t="inlineStr">
        <is>
          <t>Senegal</t>
        </is>
      </c>
    </row>
    <row r="15619">
      <c r="A15619" t="inlineStr">
        <is>
          <t>Flexitech Solutions Limited,  TUEN MAN, Hong Kong, Hong Kong, SAR, China</t>
        </is>
      </c>
      <c r="B15619" t="inlineStr">
        <is>
          <t>Trader</t>
        </is>
      </c>
      <c r="C15619" t="inlineStr">
        <is>
          <t>SCS Global Services, Emeryville, CA, US</t>
        </is>
      </c>
      <c r="D15619" t="inlineStr">
        <is>
          <t>24.08.2026</t>
        </is>
      </c>
      <c r="E15619" t="inlineStr">
        <is>
          <t>China</t>
        </is>
      </c>
    </row>
    <row r="15620">
      <c r="A15620" t="inlineStr">
        <is>
          <t>METAGRO,  village Ploska, Ukraine</t>
        </is>
      </c>
      <c r="B15620" t="inlineStr">
        <is>
          <t>Farm / Plantation</t>
        </is>
      </c>
      <c r="C15620" t="inlineStr">
        <is>
          <t>Aciter Genelab LLC, Odessa, UA</t>
        </is>
      </c>
      <c r="D15620" t="inlineStr">
        <is>
          <t>24.08.2026</t>
        </is>
      </c>
      <c r="E15620" t="inlineStr">
        <is>
          <t>Ukraine</t>
        </is>
      </c>
    </row>
    <row r="15621">
      <c r="A15621" t="inlineStr">
        <is>
          <t>RPC Bramlage GmbH,  Lohne, Germany</t>
        </is>
      </c>
      <c r="B15621" t="inlineStr">
        <is>
          <t>Trader with Storage, Processing Unit</t>
        </is>
      </c>
      <c r="C15621" t="inlineStr">
        <is>
          <t>SGS Germany GmbH, Emstek, DE</t>
        </is>
      </c>
      <c r="D15621" t="inlineStr">
        <is>
          <t>24.08.2026</t>
        </is>
      </c>
      <c r="E15621" t="inlineStr">
        <is>
          <t>Germany</t>
        </is>
      </c>
    </row>
    <row r="15622">
      <c r="A15622" t="inlineStr">
        <is>
          <t>ENEOS Corporation,  Chiyoda-ku, Tokyo, Japan</t>
        </is>
      </c>
      <c r="B15622" t="inlineStr">
        <is>
          <t>Trader with Storage</t>
        </is>
      </c>
      <c r="C15622" t="inlineStr">
        <is>
          <t>Control Union Certifications Germany GmbH, Berlin, DE</t>
        </is>
      </c>
      <c r="D15622" t="inlineStr">
        <is>
          <t>24.08.2026</t>
        </is>
      </c>
      <c r="E15622" t="inlineStr">
        <is>
          <t>Japan</t>
        </is>
      </c>
    </row>
    <row r="15623">
      <c r="A15623" t="inlineStr">
        <is>
          <t>ENEOS Corporation,  Chiyoda-ku, Tokyo, Japan</t>
        </is>
      </c>
      <c r="B15623" t="inlineStr">
        <is>
          <t>Trader with Storage</t>
        </is>
      </c>
      <c r="C15623" t="inlineStr">
        <is>
          <t>Control Union Certifications Germany GmbH, Berlin, DE</t>
        </is>
      </c>
      <c r="D15623" t="inlineStr">
        <is>
          <t>24.08.2026</t>
        </is>
      </c>
      <c r="E15623" t="inlineStr">
        <is>
          <t>Japan</t>
        </is>
      </c>
    </row>
    <row r="15624">
      <c r="A15624" t="inlineStr">
        <is>
          <t>LLC "GALYTSKA GRAIN COMPANY",  Yastrubove village, Ternopil district, Ukraine</t>
        </is>
      </c>
      <c r="B15624" t="inlineStr">
        <is>
          <t>First Gathering Point, Trader with Storage</t>
        </is>
      </c>
      <c r="C15624" t="inlineStr">
        <is>
          <t>Aciter Genelab LLC, Odessa, UA</t>
        </is>
      </c>
      <c r="D15624" t="inlineStr">
        <is>
          <t>24.08.2026</t>
        </is>
      </c>
      <c r="E15624" t="inlineStr">
        <is>
          <t>Ukraine</t>
        </is>
      </c>
    </row>
    <row r="15625">
      <c r="A15625" t="inlineStr">
        <is>
          <t>TIAN SIANG OIL MILL (PERAK),  JALAN TAIPING KE BERUAS, PADANG GAJAH, TRONG, Malaysia</t>
        </is>
      </c>
      <c r="B15625" t="inlineStr">
        <is>
          <t>Point of Origin</t>
        </is>
      </c>
      <c r="C15625" t="inlineStr">
        <is>
          <t>Trans Certification and Inspection Sdn Bhd, Kuantan, MY</t>
        </is>
      </c>
      <c r="D15625" t="inlineStr">
        <is>
          <t>24.08.2026</t>
        </is>
      </c>
      <c r="E15625" t="inlineStr">
        <is>
          <t>Malaysia</t>
        </is>
      </c>
    </row>
    <row r="15626">
      <c r="A15626" t="inlineStr">
        <is>
          <t>Murini Sam-Sam, Pelintung,  Riau, Indonesia</t>
        </is>
      </c>
      <c r="B15626" t="inlineStr">
        <is>
          <t>Point of Origin</t>
        </is>
      </c>
      <c r="C15626" t="inlineStr">
        <is>
          <t>PT. Qualitas Sertifikasi Indonesia, Jakarta, ID</t>
        </is>
      </c>
      <c r="D15626" t="inlineStr">
        <is>
          <t>24.08.2026</t>
        </is>
      </c>
      <c r="E15626" t="inlineStr">
        <is>
          <t>Indonesia</t>
        </is>
      </c>
    </row>
    <row r="15627">
      <c r="A15627" t="inlineStr">
        <is>
          <t>Taixing City Jinsheng Agricultural Development Co., Ltd,  Taixing City, Jiangsu Province, China</t>
        </is>
      </c>
      <c r="B15627" t="inlineStr">
        <is>
          <t>Collecting Point</t>
        </is>
      </c>
      <c r="C15627" t="inlineStr">
        <is>
          <t>RINA Services S.p.A., Genova, IT</t>
        </is>
      </c>
      <c r="D15627" t="inlineStr">
        <is>
          <t>24.08.2026</t>
        </is>
      </c>
      <c r="E15627" t="inlineStr">
        <is>
          <t>China</t>
        </is>
      </c>
    </row>
    <row r="15628">
      <c r="A15628" t="inlineStr">
        <is>
          <t>Leikermoser Energiehandel,  Anif, Austria</t>
        </is>
      </c>
      <c r="B15628" t="inlineStr">
        <is>
          <t>Trader with Storage</t>
        </is>
      </c>
      <c r="C15628" t="inlineStr">
        <is>
          <t>agroVet GmbH, Enzersfeld, AT</t>
        </is>
      </c>
      <c r="D15628" t="inlineStr">
        <is>
          <t>24.08.2026</t>
        </is>
      </c>
      <c r="E15628" t="inlineStr">
        <is>
          <t>Austria</t>
        </is>
      </c>
    </row>
    <row r="15629">
      <c r="A15629" t="inlineStr">
        <is>
          <t>ECO AND SOLUTIONS CO., LTD.,  Jeongeup-si, Jeollabuk-do, Korea, Republic of</t>
        </is>
      </c>
      <c r="B15629" t="inlineStr">
        <is>
          <t>Point of Origin, Trader with Storage, Processing Unit</t>
        </is>
      </c>
      <c r="C15629" t="inlineStr">
        <is>
          <t>Control Union Certifications Germany GmbH, Berlin, DE</t>
        </is>
      </c>
      <c r="D15629" t="inlineStr">
        <is>
          <t>24.08.2026</t>
        </is>
      </c>
      <c r="E15629" t="inlineStr">
        <is>
          <t>Republic of</t>
        </is>
      </c>
    </row>
    <row r="15630">
      <c r="A15630" t="inlineStr">
        <is>
          <t>INEOS Derivatives Lavera,  Lavera, France</t>
        </is>
      </c>
      <c r="B15630" t="inlineStr">
        <is>
          <t>Processing Unit</t>
        </is>
      </c>
      <c r="C15630" t="inlineStr">
        <is>
          <t>DNV Business Assurance Sweden AB, Solna, SE</t>
        </is>
      </c>
      <c r="D15630" t="inlineStr">
        <is>
          <t>24.08.2026</t>
        </is>
      </c>
      <c r="E15630" t="inlineStr">
        <is>
          <t>France</t>
        </is>
      </c>
    </row>
    <row r="15631">
      <c r="A15631" t="inlineStr">
        <is>
          <t>HS HYOSUNG ADVANCED MATERIALS co.Ltd Jeonju Plant,  Deokjin-gu, Jeonju-si, South Korea</t>
        </is>
      </c>
      <c r="B15631" t="inlineStr">
        <is>
          <t>Processing Unit</t>
        </is>
      </c>
      <c r="C15631" t="inlineStr">
        <is>
          <t>Control Union Certifications Germany GmbH, Berlin, DE</t>
        </is>
      </c>
      <c r="D15631" t="inlineStr">
        <is>
          <t>24.08.2026</t>
        </is>
      </c>
      <c r="E15631" t="inlineStr">
        <is>
          <t>South Korea</t>
        </is>
      </c>
    </row>
    <row r="15632">
      <c r="A15632" t="inlineStr">
        <is>
          <t>Shandong Yanggu Futai Chemical Co., Ltd.,  Yanggu County, Liaocheng City, Shandong, China</t>
        </is>
      </c>
      <c r="B15632" t="inlineStr">
        <is>
          <t>Processing Unit</t>
        </is>
      </c>
      <c r="C15632" t="inlineStr">
        <is>
          <t>DIN CERTCO GmbH, Berlin, DE</t>
        </is>
      </c>
      <c r="D15632" t="inlineStr">
        <is>
          <t>24.08.2026</t>
        </is>
      </c>
      <c r="E15632" t="inlineStr">
        <is>
          <t>China</t>
        </is>
      </c>
    </row>
    <row r="15633">
      <c r="A15633" t="inlineStr">
        <is>
          <t>VIF 2000 SRL,  sat Draganesti-Vlasca, comuna Draganesti-Vlasca, Romania</t>
        </is>
      </c>
      <c r="B15633" t="inlineStr">
        <is>
          <t>First Gathering Point</t>
        </is>
      </c>
      <c r="C15633" t="inlineStr">
        <is>
          <t>SRAC Cert SRL, Bucharest, RO</t>
        </is>
      </c>
      <c r="D15633" t="inlineStr">
        <is>
          <t>24.08.2026</t>
        </is>
      </c>
      <c r="E15633" t="inlineStr">
        <is>
          <t>Romania</t>
        </is>
      </c>
    </row>
    <row r="15634">
      <c r="A15634" t="inlineStr">
        <is>
          <t>ASIA ENERGY,  ONSAN-EUP, ULJU-GUN, ULSAN, Korea, Republic of</t>
        </is>
      </c>
      <c r="B15634" t="inlineStr">
        <is>
          <t>Trader with Storage, Processing Unit</t>
        </is>
      </c>
      <c r="C15634" t="inlineStr">
        <is>
          <t>BM Certification, Riga, LV</t>
        </is>
      </c>
      <c r="D15634" t="inlineStr">
        <is>
          <t>24.08.2026</t>
        </is>
      </c>
      <c r="E15634" t="inlineStr">
        <is>
          <t>Republic of</t>
        </is>
      </c>
    </row>
    <row r="15635">
      <c r="A15635" t="inlineStr">
        <is>
          <t>FUNDACIÓN MADRE CORAJE,  Guadalcacin-Jerez de la Frontera-Cadiz, Spain</t>
        </is>
      </c>
      <c r="B15635" t="inlineStr">
        <is>
          <t>Collecting Point</t>
        </is>
      </c>
      <c r="C15635" t="inlineStr">
        <is>
          <t>Certificadora Gallega del Noroeste SL, Vilagarcia de Arousa-Pontevedra, ES</t>
        </is>
      </c>
      <c r="D15635" t="inlineStr">
        <is>
          <t>24.08.2026</t>
        </is>
      </c>
      <c r="E15635" t="inlineStr">
        <is>
          <t>Spain</t>
        </is>
      </c>
    </row>
    <row r="15636">
      <c r="A15636" t="inlineStr">
        <is>
          <t>ExxonMobil Chemical France,  Port Jerome sur Seine, France</t>
        </is>
      </c>
      <c r="B15636" t="inlineStr">
        <is>
          <t>Processing Unit, Trader with Storage</t>
        </is>
      </c>
      <c r="C15636" t="inlineStr">
        <is>
          <t>Bureau Veritas Polska Sp. z o.o., Warsaw, PL</t>
        </is>
      </c>
      <c r="D15636" t="inlineStr">
        <is>
          <t>24.08.2026</t>
        </is>
      </c>
      <c r="E15636" t="inlineStr">
        <is>
          <t>France</t>
        </is>
      </c>
    </row>
    <row r="15637">
      <c r="A15637" t="inlineStr">
        <is>
          <t>Service Grein,  Odessa region, Artsyz city, Ukraine</t>
        </is>
      </c>
      <c r="B15637" t="inlineStr">
        <is>
          <t>First Gathering Point, Trader with Storage</t>
        </is>
      </c>
      <c r="C15637" t="inlineStr">
        <is>
          <t>BM Certification, Riga, LV</t>
        </is>
      </c>
      <c r="D15637" t="inlineStr">
        <is>
          <t>24.08.2026</t>
        </is>
      </c>
      <c r="E15637" t="inlineStr">
        <is>
          <t>Ukraine</t>
        </is>
      </c>
    </row>
    <row r="15638">
      <c r="A15638" t="inlineStr">
        <is>
          <t>ELEVATOR AGRO,  Prilutskiy area, Ivkivtsi village, Ukraine</t>
        </is>
      </c>
      <c r="B15638" t="inlineStr">
        <is>
          <t>First Gathering Point, Trader with Storage</t>
        </is>
      </c>
      <c r="C15638" t="inlineStr">
        <is>
          <t>BM Certification, Riga, LV</t>
        </is>
      </c>
      <c r="D15638" t="inlineStr">
        <is>
          <t>24.08.2026</t>
        </is>
      </c>
      <c r="E15638" t="inlineStr">
        <is>
          <t>Ukraine</t>
        </is>
      </c>
    </row>
    <row r="15639">
      <c r="A15639" t="inlineStr">
        <is>
          <t>CG Chemikaliengesellschaft mit beschränkter Haftung &amp; Co. KG.,  Laatzen, Germany</t>
        </is>
      </c>
      <c r="B15639" t="inlineStr">
        <is>
          <t>Trader with Storage</t>
        </is>
      </c>
      <c r="C15639" t="inlineStr">
        <is>
          <t>TÜV NORD CERT GmbH, Essen, DE</t>
        </is>
      </c>
      <c r="D15639" t="inlineStr">
        <is>
          <t>24.08.2026</t>
        </is>
      </c>
      <c r="E15639" t="inlineStr">
        <is>
          <t>Germany</t>
        </is>
      </c>
    </row>
    <row r="15640">
      <c r="A15640" t="inlineStr">
        <is>
          <t>PPCC «Podillya-Agroproduct»,  Krasyliv town, Ukraine</t>
        </is>
      </c>
      <c r="B15640" t="inlineStr">
        <is>
          <t>First Gathering Point, Trader with Storage</t>
        </is>
      </c>
      <c r="C15640" t="inlineStr">
        <is>
          <t>Aciter Genelab LLC, Odessa, UA</t>
        </is>
      </c>
      <c r="D15640" t="inlineStr">
        <is>
          <t>24.08.2026</t>
        </is>
      </c>
      <c r="E15640" t="inlineStr">
        <is>
          <t>Ukraine</t>
        </is>
      </c>
    </row>
    <row r="15641">
      <c r="A15641" t="inlineStr">
        <is>
          <t>SAPI GREEN OIL SRL,  Bollate, Italy</t>
        </is>
      </c>
      <c r="B15641" t="inlineStr">
        <is>
          <t>Collecting Point, Trader with Storage, Processing Unit</t>
        </is>
      </c>
      <c r="C15641" t="inlineStr">
        <is>
          <t>SGS Germany GmbH, Emstek, DE</t>
        </is>
      </c>
      <c r="D15641" t="inlineStr">
        <is>
          <t>24.08.2026</t>
        </is>
      </c>
      <c r="E15641" t="inlineStr">
        <is>
          <t>Italy</t>
        </is>
      </c>
    </row>
    <row r="15642">
      <c r="A15642" t="inlineStr">
        <is>
          <t>Mewah Datu Sdn Bhd,  Lahad Datu, Malaysia</t>
        </is>
      </c>
      <c r="B15642" t="inlineStr">
        <is>
          <t>Point of Origin, Trader with Storage, Processing Unit</t>
        </is>
      </c>
      <c r="C15642" t="inlineStr">
        <is>
          <t>SGS Germany GmbH, Emstek, DE</t>
        </is>
      </c>
      <c r="D15642" t="inlineStr">
        <is>
          <t>24.08.2026</t>
        </is>
      </c>
      <c r="E15642" t="inlineStr">
        <is>
          <t>Malaysia</t>
        </is>
      </c>
    </row>
    <row r="15643">
      <c r="A15643" t="inlineStr">
        <is>
          <t>"TIMURAGRO",  TARUTINE, Ukraine</t>
        </is>
      </c>
      <c r="B15643" t="inlineStr">
        <is>
          <t>First Gathering Point</t>
        </is>
      </c>
      <c r="C15643" t="inlineStr">
        <is>
          <t>SGS Germany GmbH, Emstek, DE</t>
        </is>
      </c>
      <c r="D15643" t="inlineStr">
        <is>
          <t>24.08.2026</t>
        </is>
      </c>
      <c r="E15643" t="inlineStr">
        <is>
          <t>Ukraine</t>
        </is>
      </c>
    </row>
    <row r="15644">
      <c r="A15644" t="inlineStr">
        <is>
          <t>K.D. Feddersen Holding GmbH,  Hamburg, Germany</t>
        </is>
      </c>
      <c r="B15644" t="inlineStr">
        <is>
          <t>Trader with Storage</t>
        </is>
      </c>
      <c r="C15644" t="inlineStr">
        <is>
          <t>DQS CFS GmbH - Deutsche Gesellschaft für Nachhaltigkeit, Frankfurt am Main, DE</t>
        </is>
      </c>
      <c r="D15644" t="inlineStr">
        <is>
          <t>24.08.2026</t>
        </is>
      </c>
      <c r="E15644" t="inlineStr">
        <is>
          <t>Germany</t>
        </is>
      </c>
    </row>
    <row r="15645">
      <c r="A15645" t="inlineStr">
        <is>
          <t>Ecorec,  Montescudaio (Pi), Italy</t>
        </is>
      </c>
      <c r="B15645" t="inlineStr">
        <is>
          <t>Collecting Point, Trader with Storage, Processing Unit</t>
        </is>
      </c>
      <c r="C15645" t="inlineStr">
        <is>
          <t>SGS Germany GmbH, Emstek, DE</t>
        </is>
      </c>
      <c r="D15645" t="inlineStr">
        <is>
          <t>24.08.2026</t>
        </is>
      </c>
      <c r="E15645" t="inlineStr">
        <is>
          <t>Italy</t>
        </is>
      </c>
    </row>
    <row r="15646">
      <c r="A15646" t="inlineStr">
        <is>
          <t>BE8 S.A.,  Marialva, Brazil</t>
        </is>
      </c>
      <c r="B15646" t="inlineStr">
        <is>
          <t>Collecting Point, Trader with Storage, Processing Unit, Point of Origin</t>
        </is>
      </c>
      <c r="C15646" t="inlineStr">
        <is>
          <t>Control Union Certifications Germany GmbH, Berlin, DE</t>
        </is>
      </c>
      <c r="D15646" t="inlineStr">
        <is>
          <t>24.08.2026</t>
        </is>
      </c>
      <c r="E15646" t="inlineStr">
        <is>
          <t>Brazil</t>
        </is>
      </c>
    </row>
    <row r="15647">
      <c r="A15647" t="inlineStr">
        <is>
          <t>GS Global Singapore Pte. Ltd.,  Suntec City Tower Three, Singapore</t>
        </is>
      </c>
      <c r="B15647" t="inlineStr">
        <is>
          <t>Trader</t>
        </is>
      </c>
      <c r="C15647" t="inlineStr">
        <is>
          <t>SCS Global Services, Emeryville, CA, US</t>
        </is>
      </c>
      <c r="D15647" t="inlineStr">
        <is>
          <t>24.08.2026</t>
        </is>
      </c>
      <c r="E15647" t="inlineStr">
        <is>
          <t>Singapore</t>
        </is>
      </c>
    </row>
    <row r="15648">
      <c r="A15648" t="inlineStr">
        <is>
          <t>GS Global Singapore Pte. Ltd.,  Suntec City Tower Three, Singapore</t>
        </is>
      </c>
      <c r="B15648" t="inlineStr">
        <is>
          <t>Trader</t>
        </is>
      </c>
      <c r="C15648" t="inlineStr">
        <is>
          <t>SCS Global Services, Emeryville, CA, US</t>
        </is>
      </c>
      <c r="D15648" t="inlineStr">
        <is>
          <t>24.08.2026</t>
        </is>
      </c>
      <c r="E15648" t="inlineStr">
        <is>
          <t>Singapore</t>
        </is>
      </c>
    </row>
    <row r="15649">
      <c r="A15649" t="inlineStr">
        <is>
          <t>CSC JÄKLECHEMIE GmbH &amp; Co. KG,  Nürnberg, Germany</t>
        </is>
      </c>
      <c r="B15649" t="inlineStr">
        <is>
          <t>Trader with Storage</t>
        </is>
      </c>
      <c r="C15649" t="inlineStr">
        <is>
          <t>TÜV NORD CERT GmbH, Essen, DE</t>
        </is>
      </c>
      <c r="D15649" t="inlineStr">
        <is>
          <t>24.08.2026</t>
        </is>
      </c>
      <c r="E15649" t="inlineStr">
        <is>
          <t>Germany</t>
        </is>
      </c>
    </row>
    <row r="15650">
      <c r="A15650" t="inlineStr">
        <is>
          <t>Albea Poland,  Łódź, Poland</t>
        </is>
      </c>
      <c r="B15650" t="inlineStr">
        <is>
          <t>Processing Unit</t>
        </is>
      </c>
      <c r="C15650" t="inlineStr">
        <is>
          <t>Bureau Veritas Polska Sp. z o.o., Warsaw, PL</t>
        </is>
      </c>
      <c r="D15650" t="inlineStr">
        <is>
          <t>24.08.2026</t>
        </is>
      </c>
      <c r="E15650" t="inlineStr">
        <is>
          <t>Poland</t>
        </is>
      </c>
    </row>
    <row r="15651">
      <c r="A15651" t="inlineStr">
        <is>
          <t>Amcor Flexibles Złotów Sp. z o.o.,  Złotów, Poland</t>
        </is>
      </c>
      <c r="B15651" t="inlineStr">
        <is>
          <t>Processing Unit, Final Product Refinement, Trader</t>
        </is>
      </c>
      <c r="C15651" t="inlineStr">
        <is>
          <t>Bureau Veritas Polska Sp. z o.o., Warsaw, PL</t>
        </is>
      </c>
      <c r="D15651" t="inlineStr">
        <is>
          <t>24.08.2026</t>
        </is>
      </c>
      <c r="E15651" t="inlineStr">
        <is>
          <t>Poland</t>
        </is>
      </c>
    </row>
    <row r="15652">
      <c r="A15652" t="inlineStr">
        <is>
          <t>Kuraray Co., Ltd.,  Kurashiki, Japan</t>
        </is>
      </c>
      <c r="B15652" t="inlineStr">
        <is>
          <t>Processing Unit</t>
        </is>
      </c>
      <c r="C15652" t="inlineStr">
        <is>
          <t>Control Union Certifications Germany GmbH, Berlin, DE</t>
        </is>
      </c>
      <c r="D15652" t="inlineStr">
        <is>
          <t>24.08.2026</t>
        </is>
      </c>
      <c r="E15652" t="inlineStr">
        <is>
          <t>Japan</t>
        </is>
      </c>
    </row>
    <row r="15653">
      <c r="A15653" t="inlineStr">
        <is>
          <t>O.P. TENUTE ZUCCARELLA SOCIETA' COOPERATIVA AGRICOLA,  SCANZANO JONICO, Italy</t>
        </is>
      </c>
      <c r="B15653" t="inlineStr">
        <is>
          <t>First Gathering Point</t>
        </is>
      </c>
      <c r="C15653" t="inlineStr">
        <is>
          <t>DNV Business Assurance Sweden AB, Solna, SE</t>
        </is>
      </c>
      <c r="D15653" t="inlineStr">
        <is>
          <t>24.08.2026</t>
        </is>
      </c>
      <c r="E15653" t="inlineStr">
        <is>
          <t>Italy</t>
        </is>
      </c>
    </row>
    <row r="15654">
      <c r="A15654" t="inlineStr">
        <is>
          <t>SONATA AGRI INTERNATIONAL COTE D'IVOIRE,  zuenoula, Ivory Coast</t>
        </is>
      </c>
      <c r="B15654" t="inlineStr">
        <is>
          <t>Processing Unit, Point of Origin</t>
        </is>
      </c>
      <c r="C15654" t="inlineStr">
        <is>
          <t>Bureau Veritas Polska Sp. z o.o., Warsaw, PL</t>
        </is>
      </c>
      <c r="D15654" t="inlineStr">
        <is>
          <t>24.08.2026</t>
        </is>
      </c>
      <c r="E15654" t="inlineStr">
        <is>
          <t>Ivory Coast</t>
        </is>
      </c>
    </row>
    <row r="15655">
      <c r="A15655" t="inlineStr">
        <is>
          <t>TREFFERT,  Sainte-Marie-aux-Chênes, France</t>
        </is>
      </c>
      <c r="B15655" t="inlineStr">
        <is>
          <t>Processing Unit</t>
        </is>
      </c>
      <c r="C15655" t="inlineStr">
        <is>
          <t>Bureau Veritas Polska Sp. z o.o., Warsaw, PL</t>
        </is>
      </c>
      <c r="D15655" t="inlineStr">
        <is>
          <t>24.08.2026</t>
        </is>
      </c>
      <c r="E15655" t="inlineStr">
        <is>
          <t>France</t>
        </is>
      </c>
    </row>
    <row r="15656">
      <c r="A15656" t="inlineStr">
        <is>
          <t>Reciclajes Alimentarios, S.L.L. (REALIMEN),  Santa Pola (Alicante), Spain</t>
        </is>
      </c>
      <c r="B15656" t="inlineStr">
        <is>
          <t>Collecting Point, Trader</t>
        </is>
      </c>
      <c r="C15656" t="inlineStr">
        <is>
          <t>Control Union Poland Sp. z o.o., Zielona Gora, PL</t>
        </is>
      </c>
      <c r="D15656" t="inlineStr">
        <is>
          <t>24.08.2026</t>
        </is>
      </c>
      <c r="E15656" t="inlineStr">
        <is>
          <t>Spain</t>
        </is>
      </c>
    </row>
    <row r="15657">
      <c r="A15657" t="inlineStr">
        <is>
          <t>Gideon Agri Pte Ltd,  Singapore, Singapore</t>
        </is>
      </c>
      <c r="B15657" t="inlineStr">
        <is>
          <t>Trader with Storage</t>
        </is>
      </c>
      <c r="C15657" t="inlineStr">
        <is>
          <t>agroVet GmbH, Enzersfeld, AT</t>
        </is>
      </c>
      <c r="D15657" t="inlineStr">
        <is>
          <t>24.08.2026</t>
        </is>
      </c>
      <c r="E15657" t="inlineStr">
        <is>
          <t>Singapore</t>
        </is>
      </c>
    </row>
    <row r="15658">
      <c r="A15658" t="inlineStr">
        <is>
          <t>Gideon Agri Pte Ltd,  Singapore, Singapore</t>
        </is>
      </c>
      <c r="B15658" t="inlineStr">
        <is>
          <t>Trader with Storage</t>
        </is>
      </c>
      <c r="C15658" t="inlineStr">
        <is>
          <t>agroVet GmbH, Enzersfeld, AT</t>
        </is>
      </c>
      <c r="D15658" t="inlineStr">
        <is>
          <t>24.08.2026</t>
        </is>
      </c>
      <c r="E15658" t="inlineStr">
        <is>
          <t>Singapore</t>
        </is>
      </c>
    </row>
    <row r="15659">
      <c r="A15659" t="inlineStr">
        <is>
          <t>BAG Ölmühle BetriebsgmbH,  Güssing, Austria</t>
        </is>
      </c>
      <c r="B15659" t="inlineStr">
        <is>
          <t>Processing Unit</t>
        </is>
      </c>
      <c r="C15659" t="inlineStr">
        <is>
          <t>agroVet GmbH, Enzersfeld, AT</t>
        </is>
      </c>
      <c r="D15659" t="inlineStr">
        <is>
          <t>24.08.2026</t>
        </is>
      </c>
      <c r="E15659" t="inlineStr">
        <is>
          <t>Austria</t>
        </is>
      </c>
    </row>
    <row r="15660">
      <c r="A15660" t="inlineStr">
        <is>
          <t>VEBIOILS SRL,  Vercelli, Italy</t>
        </is>
      </c>
      <c r="B15660" t="inlineStr">
        <is>
          <t>Trader with Storage, Processing Unit, Point of Origin</t>
        </is>
      </c>
      <c r="C15660" t="inlineStr">
        <is>
          <t>SGS Germany GmbH, Emstek, DE</t>
        </is>
      </c>
      <c r="D15660" t="inlineStr">
        <is>
          <t>24.08.2026</t>
        </is>
      </c>
      <c r="E15660" t="inlineStr">
        <is>
          <t>Italy</t>
        </is>
      </c>
    </row>
    <row r="15661">
      <c r="A15661" t="inlineStr">
        <is>
          <t>Frigorífico Rioplatense,  General Pacheco, Argentina</t>
        </is>
      </c>
      <c r="B15661" t="inlineStr">
        <is>
          <t>Point of Origin</t>
        </is>
      </c>
      <c r="C15661" t="inlineStr">
        <is>
          <t>SGS Germany GmbH, Emstek, DE</t>
        </is>
      </c>
      <c r="D15661" t="inlineStr">
        <is>
          <t>24.08.2026</t>
        </is>
      </c>
      <c r="E15661" t="inlineStr">
        <is>
          <t>Argentina</t>
        </is>
      </c>
    </row>
    <row r="15662">
      <c r="A15662" t="inlineStr">
        <is>
          <t>Ecoservizi S.r.l.,  Marcon, Italy</t>
        </is>
      </c>
      <c r="B15662" t="inlineStr">
        <is>
          <t>Collecting Point, Processing Unit</t>
        </is>
      </c>
      <c r="C15662" t="inlineStr">
        <is>
          <t>SGS Germany GmbH, Emstek, DE</t>
        </is>
      </c>
      <c r="D15662" t="inlineStr">
        <is>
          <t>24.08.2026</t>
        </is>
      </c>
      <c r="E15662" t="inlineStr">
        <is>
          <t>Italy</t>
        </is>
      </c>
    </row>
    <row r="15663">
      <c r="A15663" t="inlineStr">
        <is>
          <t>Shaanxi ShaanMei Supply Chain Management Co.,Ltd.,  Xi'an, Shaanxi Province, China</t>
        </is>
      </c>
      <c r="B15663" t="inlineStr">
        <is>
          <t>Trader</t>
        </is>
      </c>
      <c r="C15663" t="inlineStr">
        <is>
          <t>SCS Global Services, Emeryville, CA, US</t>
        </is>
      </c>
      <c r="D15663" t="inlineStr">
        <is>
          <t>23.08.2026</t>
        </is>
      </c>
      <c r="E15663" t="inlineStr">
        <is>
          <t>China</t>
        </is>
      </c>
    </row>
    <row r="15664">
      <c r="A15664" t="inlineStr">
        <is>
          <t>Zeitco for Trade,  Cairo, Egypt</t>
        </is>
      </c>
      <c r="B15664" t="inlineStr">
        <is>
          <t>Collecting Point</t>
        </is>
      </c>
      <c r="C15664" t="inlineStr">
        <is>
          <t>SGS Germany GmbH, Emstek, DE</t>
        </is>
      </c>
      <c r="D15664" t="inlineStr">
        <is>
          <t>23.08.2026</t>
        </is>
      </c>
      <c r="E15664" t="inlineStr">
        <is>
          <t>Egypt</t>
        </is>
      </c>
    </row>
    <row r="15665">
      <c r="A15665" t="inlineStr">
        <is>
          <t>PT LOTTE Chemical Engineering Plastics Indonesia,  Kab. Bekasi, Prov. Jawa Barat, Indonesia</t>
        </is>
      </c>
      <c r="B15665" t="inlineStr">
        <is>
          <t>Processing Unit</t>
        </is>
      </c>
      <c r="C15665" t="inlineStr">
        <is>
          <t>Control Union Certifications Germany GmbH, Berlin, DE</t>
        </is>
      </c>
      <c r="D15665" t="inlineStr">
        <is>
          <t>23.08.2026</t>
        </is>
      </c>
      <c r="E15665" t="inlineStr">
        <is>
          <t>Indonesia</t>
        </is>
      </c>
    </row>
    <row r="15666">
      <c r="A15666" t="inlineStr">
        <is>
          <t>Agroker Holding Zrt.,  Nyíregyháza, Hungary</t>
        </is>
      </c>
      <c r="B15666" t="inlineStr">
        <is>
          <t>First Gathering Point, Trader with Storage</t>
        </is>
      </c>
      <c r="C15666" t="inlineStr">
        <is>
          <t>BM Certification, Riga, LV</t>
        </is>
      </c>
      <c r="D15666" t="inlineStr">
        <is>
          <t>23.08.2026</t>
        </is>
      </c>
      <c r="E15666" t="inlineStr">
        <is>
          <t>Hungary</t>
        </is>
      </c>
    </row>
    <row r="15667">
      <c r="A15667" t="inlineStr">
        <is>
          <t>HASTA PRIMA INDUSTRI,  SERANG, Indonesia</t>
        </is>
      </c>
      <c r="B15667" t="inlineStr">
        <is>
          <t>Processing Unit</t>
        </is>
      </c>
      <c r="C15667" t="inlineStr">
        <is>
          <t>SGS Germany GmbH, Emstek, DE</t>
        </is>
      </c>
      <c r="D15667" t="inlineStr">
        <is>
          <t>23.08.2026</t>
        </is>
      </c>
      <c r="E15667" t="inlineStr">
        <is>
          <t>Indonesia</t>
        </is>
      </c>
    </row>
    <row r="15668">
      <c r="A15668" t="inlineStr">
        <is>
          <t>Calang Sejati Indah,  Palangkaraya, Indonesia</t>
        </is>
      </c>
      <c r="B15668" t="inlineStr">
        <is>
          <t>Warehouse</t>
        </is>
      </c>
      <c r="C15668" t="inlineStr">
        <is>
          <t>PT. Qualitas Sertifikasi Indonesia, Jakarta, ID</t>
        </is>
      </c>
      <c r="D15668" t="inlineStr">
        <is>
          <t>23.08.2026</t>
        </is>
      </c>
      <c r="E15668" t="inlineStr">
        <is>
          <t>Indonesia</t>
        </is>
      </c>
    </row>
    <row r="15669">
      <c r="A15669" t="inlineStr">
        <is>
          <t>TotalEnergies Raffinage France,  Bruxelles, Belgium</t>
        </is>
      </c>
      <c r="B15669" t="inlineStr">
        <is>
          <t>Trader with Storage</t>
        </is>
      </c>
      <c r="C15669" t="inlineStr">
        <is>
          <t>SGS Germany GmbH, Emstek, DE</t>
        </is>
      </c>
      <c r="D15669" t="inlineStr">
        <is>
          <t>23.08.2026</t>
        </is>
      </c>
      <c r="E15669" t="inlineStr">
        <is>
          <t>Belgium</t>
        </is>
      </c>
    </row>
    <row r="15670">
      <c r="A15670" t="inlineStr">
        <is>
          <t>LOTTE Chemical Vietnam Co. (Dong Nai Plant),  Dong Nai Province, Vietnam</t>
        </is>
      </c>
      <c r="B15670" t="inlineStr">
        <is>
          <t>Processing Unit</t>
        </is>
      </c>
      <c r="C15670" t="inlineStr">
        <is>
          <t>Control Union Certifications Germany GmbH, Berlin, DE</t>
        </is>
      </c>
      <c r="D15670" t="inlineStr">
        <is>
          <t>23.08.2026</t>
        </is>
      </c>
      <c r="E15670" t="inlineStr">
        <is>
          <t>Vietnam</t>
        </is>
      </c>
    </row>
    <row r="15671">
      <c r="A15671" t="inlineStr">
        <is>
          <t>SC Agropec Dionis SRL,  Cetatea de Balta, Romania</t>
        </is>
      </c>
      <c r="B15671" t="inlineStr">
        <is>
          <t>First Gathering Point, Trader with Storage</t>
        </is>
      </c>
      <c r="C15671" t="inlineStr">
        <is>
          <t>SGS Germany GmbH, Emstek, DE</t>
        </is>
      </c>
      <c r="D15671" t="inlineStr">
        <is>
          <t>23.08.2026</t>
        </is>
      </c>
      <c r="E15671" t="inlineStr">
        <is>
          <t>Romania</t>
        </is>
      </c>
    </row>
    <row r="15672">
      <c r="A15672" t="inlineStr">
        <is>
          <t>Zhejiang Seaport International Energy Co.,Ltd Zhoushan Branch,  Yinzhou District, Ningbo, China</t>
        </is>
      </c>
      <c r="B15672" t="inlineStr">
        <is>
          <t>Trader with Storage</t>
        </is>
      </c>
      <c r="C15672" t="inlineStr">
        <is>
          <t>SCS Global Services, Emeryville, CA, US</t>
        </is>
      </c>
      <c r="D15672" t="inlineStr">
        <is>
          <t>23.08.2026</t>
        </is>
      </c>
      <c r="E15672" t="inlineStr">
        <is>
          <t>China</t>
        </is>
      </c>
    </row>
    <row r="15673">
      <c r="A15673" t="inlineStr">
        <is>
          <t>PT. Supra Matra Abadi,  Bilah Hulu District, Labuhan Batu Regency, Indonesia</t>
        </is>
      </c>
      <c r="B15673" t="inlineStr">
        <is>
          <t>Point of Origin, Processing Unit</t>
        </is>
      </c>
      <c r="C15673" t="inlineStr">
        <is>
          <t>SGS Germany GmbH, Emstek, DE</t>
        </is>
      </c>
      <c r="D15673" t="inlineStr">
        <is>
          <t>23.08.2026</t>
        </is>
      </c>
      <c r="E15673" t="inlineStr">
        <is>
          <t>Indonesia</t>
        </is>
      </c>
    </row>
    <row r="15674">
      <c r="A15674" t="inlineStr">
        <is>
          <t>ONE GRAINS&amp;LOGISTICS S.R.L.,  CONSTANTA, Romania</t>
        </is>
      </c>
      <c r="B15674" t="inlineStr">
        <is>
          <t>First Gathering Point, Trader</t>
        </is>
      </c>
      <c r="C15674" t="inlineStr">
        <is>
          <t>PT Intertek Utama Services, Jakarta, ID</t>
        </is>
      </c>
      <c r="D15674" t="inlineStr">
        <is>
          <t>23.08.2026</t>
        </is>
      </c>
      <c r="E15674" t="inlineStr">
        <is>
          <t>Romania</t>
        </is>
      </c>
    </row>
    <row r="15675">
      <c r="A15675" t="inlineStr">
        <is>
          <t>Röchling Industrial Rusko Oy.,  Rusko, Finland</t>
        </is>
      </c>
      <c r="B15675" t="inlineStr">
        <is>
          <t>Processing Unit</t>
        </is>
      </c>
      <c r="C15675" t="inlineStr">
        <is>
          <t>SGS Germany GmbH, Emstek, DE</t>
        </is>
      </c>
      <c r="D15675" t="inlineStr">
        <is>
          <t>23.08.2026</t>
        </is>
      </c>
      <c r="E15675" t="inlineStr">
        <is>
          <t>Finland</t>
        </is>
      </c>
    </row>
    <row r="15676">
      <c r="A15676" t="inlineStr">
        <is>
          <t>LLC "-AGRO SERVICE-",  Kamiany Myst, Ukraine</t>
        </is>
      </c>
      <c r="B15676" t="inlineStr">
        <is>
          <t>First Gathering Point, Trader with Storage</t>
        </is>
      </c>
      <c r="C15676" t="inlineStr">
        <is>
          <t>United Registrar of Systems Polska Sp. z o.o., Wrocław, PL</t>
        </is>
      </c>
      <c r="D15676" t="inlineStr">
        <is>
          <t>23.08.2026</t>
        </is>
      </c>
      <c r="E15676" t="inlineStr">
        <is>
          <t>Ukraine</t>
        </is>
      </c>
    </row>
    <row r="15677">
      <c r="A15677" t="inlineStr">
        <is>
          <t>ESL Fuels Ltd,  Ellesmere Port, The United Kingdom</t>
        </is>
      </c>
      <c r="B15677" t="inlineStr">
        <is>
          <t>Trader with Storage, Processing Unit, Proof of Compliance Trader</t>
        </is>
      </c>
      <c r="C15677" t="inlineStr">
        <is>
          <t>SGS Germany GmbH, Emstek, DE</t>
        </is>
      </c>
      <c r="D15677" t="inlineStr">
        <is>
          <t>23.08.2026</t>
        </is>
      </c>
      <c r="E15677" t="inlineStr">
        <is>
          <t>The United Kingdom</t>
        </is>
      </c>
    </row>
    <row r="15678">
      <c r="A15678" t="inlineStr">
        <is>
          <t>Alco Energy Rotterdam B.V.,  Europoort-Rotterdam, Netherlands</t>
        </is>
      </c>
      <c r="B15678" t="inlineStr">
        <is>
          <t>Trader with Storage, Processing Unit</t>
        </is>
      </c>
      <c r="C15678" t="inlineStr">
        <is>
          <t>SGS Germany GmbH, Emstek, DE</t>
        </is>
      </c>
      <c r="D15678" t="inlineStr">
        <is>
          <t>23.08.2026</t>
        </is>
      </c>
      <c r="E15678" t="inlineStr">
        <is>
          <t>Netherlands</t>
        </is>
      </c>
    </row>
    <row r="15679">
      <c r="A15679" t="inlineStr">
        <is>
          <t>MJR &amp; HFR,  Sierville, France</t>
        </is>
      </c>
      <c r="B15679" t="inlineStr">
        <is>
          <t>Collecting Point, Trader with Storage, Warehouse</t>
        </is>
      </c>
      <c r="C15679" t="inlineStr">
        <is>
          <t>Control Union Certifications Germany GmbH, Berlin, DE</t>
        </is>
      </c>
      <c r="D15679" t="inlineStr">
        <is>
          <t>23.08.2026</t>
        </is>
      </c>
      <c r="E15679" t="inlineStr">
        <is>
          <t>France</t>
        </is>
      </c>
    </row>
    <row r="15680">
      <c r="A15680" t="inlineStr">
        <is>
          <t>GLOBAL GRAIN INTERNATIONAL SRL,  Tandarei, Romania</t>
        </is>
      </c>
      <c r="B15680" t="inlineStr">
        <is>
          <t>First Gathering Point, Processing Unit, Trader with Storage, Point of Origin</t>
        </is>
      </c>
      <c r="C15680" t="inlineStr">
        <is>
          <t>SGS Germany GmbH, Emstek, DE</t>
        </is>
      </c>
      <c r="D15680" t="inlineStr">
        <is>
          <t>23.08.2026</t>
        </is>
      </c>
      <c r="E15680" t="inlineStr">
        <is>
          <t>Romania</t>
        </is>
      </c>
    </row>
    <row r="15681">
      <c r="A15681" t="inlineStr">
        <is>
          <t>Comcereal SA,  Botosani, Romania</t>
        </is>
      </c>
      <c r="B15681" t="inlineStr">
        <is>
          <t>First Gathering Point</t>
        </is>
      </c>
      <c r="C15681" t="inlineStr">
        <is>
          <t>SGS Germany GmbH, Emstek, DE</t>
        </is>
      </c>
      <c r="D15681" t="inlineStr">
        <is>
          <t>23.08.2026</t>
        </is>
      </c>
      <c r="E15681" t="inlineStr">
        <is>
          <t>Romania</t>
        </is>
      </c>
    </row>
    <row r="15682">
      <c r="A15682" t="inlineStr">
        <is>
          <t>Crocs Japan GK,  Minato-ku, Japan</t>
        </is>
      </c>
      <c r="B15682" t="inlineStr">
        <is>
          <t>Trader</t>
        </is>
      </c>
      <c r="C15682" t="inlineStr">
        <is>
          <t>SCS Global Services, Emeryville, CA, US</t>
        </is>
      </c>
      <c r="D15682" t="inlineStr">
        <is>
          <t>23.08.2026</t>
        </is>
      </c>
      <c r="E15682" t="inlineStr">
        <is>
          <t>Japan</t>
        </is>
      </c>
    </row>
    <row r="15683">
      <c r="A15683" t="inlineStr">
        <is>
          <t>HAIXIN ENERGY TECHNOLOGY INTERNATIONAL PTE LTD,  Suntec Tower 3, Singapore</t>
        </is>
      </c>
      <c r="B15683" t="inlineStr">
        <is>
          <t>Trader with Storage</t>
        </is>
      </c>
      <c r="C15683" t="inlineStr">
        <is>
          <t>RINA Services S.p.A., Genova, IT</t>
        </is>
      </c>
      <c r="D15683" t="inlineStr">
        <is>
          <t>23.08.2026</t>
        </is>
      </c>
      <c r="E15683" t="inlineStr">
        <is>
          <t>Singapore</t>
        </is>
      </c>
    </row>
    <row r="15684">
      <c r="A15684" t="inlineStr">
        <is>
          <t>Szirák-Agroker Kft.,  Borsodszirák, Hungary</t>
        </is>
      </c>
      <c r="B15684" t="inlineStr">
        <is>
          <t>First Gathering Point, Trader with Storage</t>
        </is>
      </c>
      <c r="C15684" t="inlineStr">
        <is>
          <t>Certificadora Gallega del Noroeste SL, Vilagarcia de Arousa-Pontevedra, ES</t>
        </is>
      </c>
      <c r="D15684" t="inlineStr">
        <is>
          <t>23.08.2026</t>
        </is>
      </c>
      <c r="E15684" t="inlineStr">
        <is>
          <t>Hungary</t>
        </is>
      </c>
    </row>
    <row r="15685">
      <c r="A15685" t="inlineStr">
        <is>
          <t>Covestro (Hong Kong) Limited,  Quarry Bay, Hong Kong, China</t>
        </is>
      </c>
      <c r="B15685" t="inlineStr">
        <is>
          <t>Trader with Storage</t>
        </is>
      </c>
      <c r="C15685" t="inlineStr">
        <is>
          <t>DIN CERTCO GmbH, Berlin, DE</t>
        </is>
      </c>
      <c r="D15685" t="inlineStr">
        <is>
          <t>23.08.2026</t>
        </is>
      </c>
      <c r="E15685" t="inlineStr">
        <is>
          <t>China</t>
        </is>
      </c>
    </row>
    <row r="15686">
      <c r="A15686" t="inlineStr">
        <is>
          <t>Füzesabonyi Kavics és Termény Kft.,  Füzesabony, Hungary</t>
        </is>
      </c>
      <c r="B15686" t="inlineStr">
        <is>
          <t>First Gathering Point, Trader with Storage</t>
        </is>
      </c>
      <c r="C15686" t="inlineStr">
        <is>
          <t>Bureau Veritas Polska Sp. z o.o., Warsaw, PL</t>
        </is>
      </c>
      <c r="D15686" t="inlineStr">
        <is>
          <t>23.08.2026</t>
        </is>
      </c>
      <c r="E15686" t="inlineStr">
        <is>
          <t>Hungary</t>
        </is>
      </c>
    </row>
    <row r="15687">
      <c r="A15687" t="inlineStr">
        <is>
          <t>Pineta,  Cerignola, Foggia, Italy</t>
        </is>
      </c>
      <c r="B15687" t="inlineStr">
        <is>
          <t>First Gathering Point</t>
        </is>
      </c>
      <c r="C15687" t="inlineStr">
        <is>
          <t>DNV Business Assurance Sweden AB, Solna, SE</t>
        </is>
      </c>
      <c r="D15687" t="inlineStr">
        <is>
          <t>23.08.2026</t>
        </is>
      </c>
      <c r="E15687" t="inlineStr">
        <is>
          <t>Italy</t>
        </is>
      </c>
    </row>
    <row r="15688">
      <c r="A15688" t="inlineStr">
        <is>
          <t>Formosa Plastics Cooperation,  Xingang Township, Chiayi County, Taiwan</t>
        </is>
      </c>
      <c r="B15688" t="inlineStr">
        <is>
          <t>Processing Unit</t>
        </is>
      </c>
      <c r="C15688" t="inlineStr">
        <is>
          <t>Bureau Veritas Polska Sp. z o.o., Warsaw, PL</t>
        </is>
      </c>
      <c r="D15688" t="inlineStr">
        <is>
          <t>23.08.2026</t>
        </is>
      </c>
      <c r="E15688" t="inlineStr">
        <is>
          <t>Taiwan</t>
        </is>
      </c>
    </row>
    <row r="15689">
      <c r="A15689" t="inlineStr">
        <is>
          <t>Wuhan Tianji Ecological Energy Technology Co., Ltd,  Wuhan, Hubei, China</t>
        </is>
      </c>
      <c r="B15689" t="inlineStr">
        <is>
          <t>Collecting Point, Trader with Storage</t>
        </is>
      </c>
      <c r="C15689" t="inlineStr">
        <is>
          <t>RINA Services S.p.A., Genova, IT</t>
        </is>
      </c>
      <c r="D15689" t="inlineStr">
        <is>
          <t>23.08.2026</t>
        </is>
      </c>
      <c r="E15689" t="inlineStr">
        <is>
          <t>China</t>
        </is>
      </c>
    </row>
    <row r="15690">
      <c r="A15690" t="inlineStr">
        <is>
          <t>Hubei Tianji Bioenergy Co.,Ltd.,  Hanchuan City,, China</t>
        </is>
      </c>
      <c r="B15690" t="inlineStr">
        <is>
          <t>Trader with Storage</t>
        </is>
      </c>
      <c r="C15690" t="inlineStr">
        <is>
          <t>RINA Services S.p.A., Genova, IT</t>
        </is>
      </c>
      <c r="D15690" t="inlineStr">
        <is>
          <t>23.08.2026</t>
        </is>
      </c>
      <c r="E15690" t="inlineStr">
        <is>
          <t>China</t>
        </is>
      </c>
    </row>
    <row r="15691">
      <c r="A15691" t="inlineStr">
        <is>
          <t>Karima,  Dobrich, Bulgaria</t>
        </is>
      </c>
      <c r="B15691" t="inlineStr">
        <is>
          <t>First Gathering Point, Trader with Storage</t>
        </is>
      </c>
      <c r="C15691" t="inlineStr">
        <is>
          <t>Bureau Veritas Polska Sp. z o.o., Warsaw, PL</t>
        </is>
      </c>
      <c r="D15691" t="inlineStr">
        <is>
          <t>23.08.2026</t>
        </is>
      </c>
      <c r="E15691" t="inlineStr">
        <is>
          <t>Bulgaria</t>
        </is>
      </c>
    </row>
    <row r="15692">
      <c r="A15692" t="inlineStr">
        <is>
          <t>PT. Gagasan Energi Multi Alternatif,  Kabupaten Deli Serdang, Sumatera Utara, Indonesia</t>
        </is>
      </c>
      <c r="B15692" t="inlineStr">
        <is>
          <t>Trader with Storage</t>
        </is>
      </c>
      <c r="C15692" t="inlineStr">
        <is>
          <t>PT Mutuagung Lestari, Depok, ID</t>
        </is>
      </c>
      <c r="D15692" t="inlineStr">
        <is>
          <t>23.08.2026</t>
        </is>
      </c>
      <c r="E15692" t="inlineStr">
        <is>
          <t>Indonesia</t>
        </is>
      </c>
    </row>
    <row r="15693">
      <c r="A15693" t="inlineStr">
        <is>
          <t>ZTN Süd,  Warthausen, Germany</t>
        </is>
      </c>
      <c r="B15693" t="inlineStr">
        <is>
          <t>Point of Origin</t>
        </is>
      </c>
      <c r="C15693" t="inlineStr">
        <is>
          <t>DEKRA Certification GmbH, Stuttgart, DE</t>
        </is>
      </c>
      <c r="D15693" t="inlineStr">
        <is>
          <t>22.08.2026</t>
        </is>
      </c>
      <c r="E15693" t="inlineStr">
        <is>
          <t>Germany</t>
        </is>
      </c>
    </row>
    <row r="15694">
      <c r="A15694" t="inlineStr">
        <is>
          <t>Dow Europe GmbH,  HOEK, Terneuzen, Netherlands</t>
        </is>
      </c>
      <c r="B15694" t="inlineStr">
        <is>
          <t>Trader with Storage, Processing Unit</t>
        </is>
      </c>
      <c r="C15694" t="inlineStr">
        <is>
          <t>SGS Germany GmbH, Emstek, DE</t>
        </is>
      </c>
      <c r="D15694" t="inlineStr">
        <is>
          <t>22.08.2026</t>
        </is>
      </c>
      <c r="E15694" t="inlineStr">
        <is>
          <t>Netherlands</t>
        </is>
      </c>
    </row>
    <row r="15695">
      <c r="A15695" t="inlineStr">
        <is>
          <t>MITANI VALVE CO., LTD.,  Sashima-Gun, Japan</t>
        </is>
      </c>
      <c r="B15695" t="inlineStr">
        <is>
          <t>Processing Unit</t>
        </is>
      </c>
      <c r="C15695" t="inlineStr">
        <is>
          <t>SGS Germany GmbH, Emstek, DE</t>
        </is>
      </c>
      <c r="D15695" t="inlineStr">
        <is>
          <t>22.08.2026</t>
        </is>
      </c>
      <c r="E15695" t="inlineStr">
        <is>
          <t>Japan</t>
        </is>
      </c>
    </row>
    <row r="15696">
      <c r="A15696" t="inlineStr">
        <is>
          <t>Hankook Tire &amp; Technology Co., Ltd. (Hungary Plant),  Rácalmás, Hungary</t>
        </is>
      </c>
      <c r="B15696" t="inlineStr">
        <is>
          <t>Processing Unit</t>
        </is>
      </c>
      <c r="C15696" t="inlineStr">
        <is>
          <t>Control Union Certifications Germany GmbH, Berlin, DE</t>
        </is>
      </c>
      <c r="D15696" t="inlineStr">
        <is>
          <t>22.08.2026</t>
        </is>
      </c>
      <c r="E15696" t="inlineStr">
        <is>
          <t>Hungary</t>
        </is>
      </c>
    </row>
    <row r="15697">
      <c r="A15697" t="inlineStr">
        <is>
          <t>Yakult Honsha Co., Ltd.,  Fukushima-shi, Fukushima, Japan</t>
        </is>
      </c>
      <c r="B15697" t="inlineStr">
        <is>
          <t>Final Product Refinement</t>
        </is>
      </c>
      <c r="C15697" t="inlineStr">
        <is>
          <t>SGS Germany GmbH, Emstek, DE</t>
        </is>
      </c>
      <c r="D15697" t="inlineStr">
        <is>
          <t>22.08.2026</t>
        </is>
      </c>
      <c r="E15697" t="inlineStr">
        <is>
          <t>Japan</t>
        </is>
      </c>
    </row>
    <row r="15698">
      <c r="A15698" t="inlineStr">
        <is>
          <t>Prezero Gestión de Residuos S.A.,  Madrid, Spain</t>
        </is>
      </c>
      <c r="B15698" t="inlineStr">
        <is>
          <t>Collecting Point, Processing Unit</t>
        </is>
      </c>
      <c r="C15698" t="inlineStr">
        <is>
          <t>DEKRA Certification B.V., Arnhem, NL</t>
        </is>
      </c>
      <c r="D15698" t="inlineStr">
        <is>
          <t>22.08.2026</t>
        </is>
      </c>
      <c r="E15698" t="inlineStr">
        <is>
          <t>Spain</t>
        </is>
      </c>
    </row>
    <row r="15699">
      <c r="A15699" t="inlineStr">
        <is>
          <t>HENAN JUNHENG Industrial Group biotechnology company.,LTD.,  Puyang, China</t>
        </is>
      </c>
      <c r="B15699" t="inlineStr">
        <is>
          <t>Processing Unit</t>
        </is>
      </c>
      <c r="C15699" t="inlineStr">
        <is>
          <t>China Quality Certification Centre Co., Ltd., Beijing, CN</t>
        </is>
      </c>
      <c r="D15699" t="inlineStr">
        <is>
          <t>22.08.2026</t>
        </is>
      </c>
      <c r="E15699" t="inlineStr">
        <is>
          <t>China</t>
        </is>
      </c>
    </row>
    <row r="15700">
      <c r="A15700" t="inlineStr">
        <is>
          <t>Junheng Biological (Hong Kong) Company Limited,  HONGKONG, China</t>
        </is>
      </c>
      <c r="B15700" t="inlineStr">
        <is>
          <t>Trader</t>
        </is>
      </c>
      <c r="C15700" t="inlineStr">
        <is>
          <t>China Quality Certification Centre Co., Ltd., Beijing, CN</t>
        </is>
      </c>
      <c r="D15700" t="inlineStr">
        <is>
          <t>22.08.2026</t>
        </is>
      </c>
      <c r="E15700" t="inlineStr">
        <is>
          <t>China</t>
        </is>
      </c>
    </row>
    <row r="15701">
      <c r="A15701" t="inlineStr">
        <is>
          <t>Comarket New Material Co.,Ltd.,  Dongtai City, Jiangsu Province，China, China</t>
        </is>
      </c>
      <c r="B15701" t="inlineStr">
        <is>
          <t>Collecting Point, Processing Unit</t>
        </is>
      </c>
      <c r="C15701" t="inlineStr">
        <is>
          <t>SCS Global Services, Emeryville, CA, US</t>
        </is>
      </c>
      <c r="D15701" t="inlineStr">
        <is>
          <t>22.08.2026</t>
        </is>
      </c>
      <c r="E15701" t="inlineStr">
        <is>
          <t>China</t>
        </is>
      </c>
    </row>
    <row r="15702">
      <c r="A15702" t="inlineStr">
        <is>
          <t>INEOS Manufacturing Deutschland GmbH,  Köln, Germany</t>
        </is>
      </c>
      <c r="B15702" t="inlineStr">
        <is>
          <t>Trader with Storage, Processing Unit</t>
        </is>
      </c>
      <c r="C15702" t="inlineStr">
        <is>
          <t>SCS Global Services, Emeryville, CA, US</t>
        </is>
      </c>
      <c r="D15702" t="inlineStr">
        <is>
          <t>22.08.2026</t>
        </is>
      </c>
      <c r="E15702" t="inlineStr">
        <is>
          <t>Germany</t>
        </is>
      </c>
    </row>
    <row r="15703">
      <c r="A15703" t="inlineStr">
        <is>
          <t>Holmel B.V.,  Heythuysen, The Netherlands</t>
        </is>
      </c>
      <c r="B15703" t="inlineStr">
        <is>
          <t>Collecting Point, Trader with Storage, Processing Unit</t>
        </is>
      </c>
      <c r="C15703" t="inlineStr">
        <is>
          <t>DEKRA Certification B.V., Arnhem, NL</t>
        </is>
      </c>
      <c r="D15703" t="inlineStr">
        <is>
          <t>22.08.2026</t>
        </is>
      </c>
      <c r="E15703" t="inlineStr">
        <is>
          <t>The Netherlands</t>
        </is>
      </c>
    </row>
    <row r="15704">
      <c r="A15704" t="inlineStr">
        <is>
          <t>SRI SENGGORA KILANG KELAPA SAWIT SDN BHD,  MARAN PAHANG, Malaysia</t>
        </is>
      </c>
      <c r="B15704" t="inlineStr">
        <is>
          <t>Point of Origin</t>
        </is>
      </c>
      <c r="C15704" t="inlineStr">
        <is>
          <t>Trans Certification and Inspection Sdn Bhd, Kuantan, MY</t>
        </is>
      </c>
      <c r="D15704" t="inlineStr">
        <is>
          <t>22.08.2026</t>
        </is>
      </c>
      <c r="E15704" t="inlineStr">
        <is>
          <t>Malaysia</t>
        </is>
      </c>
    </row>
    <row r="15705">
      <c r="A15705" t="inlineStr">
        <is>
          <t>Haltermann Carless Deutschland GmbH,  Speyer, Germany</t>
        </is>
      </c>
      <c r="B15705" t="inlineStr">
        <is>
          <t>Processing Unit</t>
        </is>
      </c>
      <c r="C15705" t="inlineStr">
        <is>
          <t>DEKRA Certification GmbH, Stuttgart, DE</t>
        </is>
      </c>
      <c r="D15705" t="inlineStr">
        <is>
          <t>22.08.2026</t>
        </is>
      </c>
      <c r="E15705" t="inlineStr">
        <is>
          <t>Germany</t>
        </is>
      </c>
    </row>
    <row r="15706">
      <c r="A15706" t="inlineStr">
        <is>
          <t>Haltermann Carless Deutschland GmbH,  Speyer, Germany</t>
        </is>
      </c>
      <c r="B15706" t="inlineStr">
        <is>
          <t>Processing Unit</t>
        </is>
      </c>
      <c r="C15706" t="inlineStr">
        <is>
          <t>DEKRA Certification GmbH, Stuttgart, DE</t>
        </is>
      </c>
      <c r="D15706" t="inlineStr">
        <is>
          <t>22.08.2026</t>
        </is>
      </c>
      <c r="E15706" t="inlineStr">
        <is>
          <t>Germany</t>
        </is>
      </c>
    </row>
    <row r="15707">
      <c r="A15707" t="inlineStr">
        <is>
          <t>Eco-Oil, Tratamento de Águas Contaminadas,  Setúbal, Portugal</t>
        </is>
      </c>
      <c r="B15707" t="inlineStr">
        <is>
          <t>Collecting Point, Processing Unit</t>
        </is>
      </c>
      <c r="C15707" t="inlineStr">
        <is>
          <t>Control Union Poland Sp. z o.o., Zielona Gora, PL</t>
        </is>
      </c>
      <c r="D15707" t="inlineStr">
        <is>
          <t>22.08.2026</t>
        </is>
      </c>
      <c r="E15707" t="inlineStr">
        <is>
          <t>Portugal</t>
        </is>
      </c>
    </row>
    <row r="15708">
      <c r="A15708" t="inlineStr">
        <is>
          <t>Marquis Energy LLC,  Hennepin, IL, United States</t>
        </is>
      </c>
      <c r="B15708" t="inlineStr">
        <is>
          <t>Point of Origin, Trader with Storage, Processing Unit</t>
        </is>
      </c>
      <c r="C15708" t="inlineStr">
        <is>
          <t>Control Union Certifications Germany GmbH, Berlin, DE</t>
        </is>
      </c>
      <c r="D15708" t="inlineStr">
        <is>
          <t>22.08.2026</t>
        </is>
      </c>
      <c r="E15708" t="inlineStr">
        <is>
          <t>United States</t>
        </is>
      </c>
    </row>
    <row r="15709">
      <c r="A15709" t="inlineStr">
        <is>
          <t>Marquis Energy LLC,  Hennepin, IL, United States</t>
        </is>
      </c>
      <c r="B15709" t="inlineStr">
        <is>
          <t>Point of Origin, Trader with Storage, Processing Unit</t>
        </is>
      </c>
      <c r="C15709" t="inlineStr">
        <is>
          <t>Control Union Certifications Germany GmbH, Berlin, DE</t>
        </is>
      </c>
      <c r="D15709" t="inlineStr">
        <is>
          <t>22.08.2026</t>
        </is>
      </c>
      <c r="E15709" t="inlineStr">
        <is>
          <t>United States</t>
        </is>
      </c>
    </row>
    <row r="15710">
      <c r="A15710" t="inlineStr">
        <is>
          <t>ST PALM OIL MILL SDN BHD,  TELUK INTAN ,PERAK, Malaysia</t>
        </is>
      </c>
      <c r="B15710" t="inlineStr">
        <is>
          <t>Point of Origin</t>
        </is>
      </c>
      <c r="C15710" t="inlineStr">
        <is>
          <t>Trans Certification and Inspection Sdn Bhd, Kuantan, MY</t>
        </is>
      </c>
      <c r="D15710" t="inlineStr">
        <is>
          <t>22.08.2026</t>
        </is>
      </c>
      <c r="E15710" t="inlineStr">
        <is>
          <t>Malaysia</t>
        </is>
      </c>
    </row>
    <row r="15711">
      <c r="A15711" t="inlineStr">
        <is>
          <t>SC Agrofortex SRL,  Craiova, Romania</t>
        </is>
      </c>
      <c r="B15711" t="inlineStr">
        <is>
          <t>First Gathering Point</t>
        </is>
      </c>
      <c r="C15711" t="inlineStr">
        <is>
          <t>SRAC Cert SRL, Bucharest, RO</t>
        </is>
      </c>
      <c r="D15711" t="inlineStr">
        <is>
          <t>22.08.2026</t>
        </is>
      </c>
      <c r="E15711" t="inlineStr">
        <is>
          <t>Romania</t>
        </is>
      </c>
    </row>
    <row r="15712">
      <c r="A15712" t="inlineStr">
        <is>
          <t>VIETNAM CHING LUH SHOES CO.,,  Tay Ninh Province, Vietnam</t>
        </is>
      </c>
      <c r="B15712" t="inlineStr">
        <is>
          <t>Final Product Refinement, Processing Unit</t>
        </is>
      </c>
      <c r="C15712" t="inlineStr">
        <is>
          <t>SGS Germany GmbH, Emstek, DE</t>
        </is>
      </c>
      <c r="D15712" t="inlineStr">
        <is>
          <t>22.08.2026</t>
        </is>
      </c>
      <c r="E15712" t="inlineStr">
        <is>
          <t>Vietnam</t>
        </is>
      </c>
    </row>
    <row r="15713">
      <c r="A15713" t="inlineStr">
        <is>
          <t>Vantage Corn Processors,  Columbus, United States</t>
        </is>
      </c>
      <c r="B15713" t="inlineStr">
        <is>
          <t>Point of Origin, Processing Unit, Trader with Storage</t>
        </is>
      </c>
      <c r="C15713" t="inlineStr">
        <is>
          <t>ASG Cert GmbH, Munich, DE</t>
        </is>
      </c>
      <c r="D15713" t="inlineStr">
        <is>
          <t>22.08.2026</t>
        </is>
      </c>
      <c r="E15713" t="inlineStr">
        <is>
          <t>United States</t>
        </is>
      </c>
    </row>
    <row r="15714">
      <c r="A15714" t="inlineStr">
        <is>
          <t>Vantage Corn Processors,  Columbus, United States</t>
        </is>
      </c>
      <c r="B15714" t="inlineStr">
        <is>
          <t>Point of Origin, Processing Unit, Trader with Storage</t>
        </is>
      </c>
      <c r="C15714" t="inlineStr">
        <is>
          <t>ASG Cert GmbH, Munich, DE</t>
        </is>
      </c>
      <c r="D15714" t="inlineStr">
        <is>
          <t>22.08.2026</t>
        </is>
      </c>
      <c r="E15714" t="inlineStr">
        <is>
          <t>United States</t>
        </is>
      </c>
    </row>
    <row r="15715">
      <c r="A15715" t="inlineStr">
        <is>
          <t>ALFA CONSORTIUM,  SHAH ALAM, SELANGOR, Malaysia</t>
        </is>
      </c>
      <c r="B15715" t="inlineStr">
        <is>
          <t>Trader with Storage</t>
        </is>
      </c>
      <c r="C15715" t="inlineStr">
        <is>
          <t>Trans Certification and Inspection Sdn Bhd, Kuantan, MY</t>
        </is>
      </c>
      <c r="D15715" t="inlineStr">
        <is>
          <t>22.08.2026</t>
        </is>
      </c>
      <c r="E15715" t="inlineStr">
        <is>
          <t>Malaysia</t>
        </is>
      </c>
    </row>
    <row r="15716">
      <c r="A15716" t="inlineStr">
        <is>
          <t>SERVACHEM,  SENONCHES, France</t>
        </is>
      </c>
      <c r="B15716" t="inlineStr">
        <is>
          <t>Processing Unit</t>
        </is>
      </c>
      <c r="C15716" t="inlineStr">
        <is>
          <t>Bureau Veritas Polska Sp. z o.o., Warsaw, PL</t>
        </is>
      </c>
      <c r="D15716" t="inlineStr">
        <is>
          <t>22.08.2026</t>
        </is>
      </c>
      <c r="E15716" t="inlineStr">
        <is>
          <t>France</t>
        </is>
      </c>
    </row>
    <row r="15717">
      <c r="A15717" t="inlineStr">
        <is>
          <t>UAB "Kedainiu aruodai",  Kedainiai, Lithuania</t>
        </is>
      </c>
      <c r="B15717" t="inlineStr">
        <is>
          <t>First Gathering Point, Trader with Storage</t>
        </is>
      </c>
      <c r="C15717" t="inlineStr">
        <is>
          <t>Bureau Veritas Polska Sp. z o.o., Warsaw, PL</t>
        </is>
      </c>
      <c r="D15717" t="inlineStr">
        <is>
          <t>22.08.2026</t>
        </is>
      </c>
      <c r="E15717" t="inlineStr">
        <is>
          <t>Lithuania</t>
        </is>
      </c>
    </row>
    <row r="15718">
      <c r="A15718" t="inlineStr">
        <is>
          <t>Molino Grassi,  Frazione Fraore - Parma (PR), Italy</t>
        </is>
      </c>
      <c r="B15718" t="inlineStr">
        <is>
          <t>Processing Unit</t>
        </is>
      </c>
      <c r="C15718" t="inlineStr">
        <is>
          <t>DNV Business Assurance Sweden AB, Solna, SE</t>
        </is>
      </c>
      <c r="D15718" t="inlineStr">
        <is>
          <t>22.08.2026</t>
        </is>
      </c>
      <c r="E15718" t="inlineStr">
        <is>
          <t>Italy</t>
        </is>
      </c>
    </row>
    <row r="15719">
      <c r="A15719" t="inlineStr">
        <is>
          <t>Archer Daniels Midland Company,  Columbus, United States</t>
        </is>
      </c>
      <c r="B15719" t="inlineStr">
        <is>
          <t>Point of Origin, Processing Unit, Trader with Storage</t>
        </is>
      </c>
      <c r="C15719" t="inlineStr">
        <is>
          <t>ASG Cert GmbH, Munich, DE</t>
        </is>
      </c>
      <c r="D15719" t="inlineStr">
        <is>
          <t>22.08.2026</t>
        </is>
      </c>
      <c r="E15719" t="inlineStr">
        <is>
          <t>United States</t>
        </is>
      </c>
    </row>
    <row r="15720">
      <c r="A15720" t="inlineStr">
        <is>
          <t>Archer Daniels Midland Company,  Columbus, United States</t>
        </is>
      </c>
      <c r="B15720" t="inlineStr">
        <is>
          <t>Point of Origin, Processing Unit, Trader with Storage</t>
        </is>
      </c>
      <c r="C15720" t="inlineStr">
        <is>
          <t>ASG Cert GmbH, Munich, DE</t>
        </is>
      </c>
      <c r="D15720" t="inlineStr">
        <is>
          <t>22.08.2026</t>
        </is>
      </c>
      <c r="E15720" t="inlineStr">
        <is>
          <t>United States</t>
        </is>
      </c>
    </row>
    <row r="15721">
      <c r="A15721" t="inlineStr">
        <is>
          <t>Polytech Kunststoffen B.V.,  Musselkanaal, Netherlands</t>
        </is>
      </c>
      <c r="B15721" t="inlineStr">
        <is>
          <t>Processing Unit, Point of Origin</t>
        </is>
      </c>
      <c r="C15721" t="inlineStr">
        <is>
          <t>Bureau Veritas Polska Sp. z o.o., Warsaw, PL</t>
        </is>
      </c>
      <c r="D15721" t="inlineStr">
        <is>
          <t>22.08.2026</t>
        </is>
      </c>
      <c r="E15721" t="inlineStr">
        <is>
          <t>Netherlands</t>
        </is>
      </c>
    </row>
    <row r="15722">
      <c r="A15722" t="inlineStr">
        <is>
          <t>P&amp;B PLASTIC COMPANY LIMITED,  Dongguan City, Guangdong Province, China</t>
        </is>
      </c>
      <c r="B15722" t="inlineStr">
        <is>
          <t>Trader</t>
        </is>
      </c>
      <c r="C15722" t="inlineStr">
        <is>
          <t>SCS Global Services, Emeryville, CA, US</t>
        </is>
      </c>
      <c r="D15722" t="inlineStr">
        <is>
          <t>22.08.2026</t>
        </is>
      </c>
      <c r="E15722" t="inlineStr">
        <is>
          <t>China</t>
        </is>
      </c>
    </row>
    <row r="15723">
      <c r="A15723" t="inlineStr">
        <is>
          <t>CNSL INDUSTRIAL COMPANY LIMITED,  Dong Nai Province, Vietnam</t>
        </is>
      </c>
      <c r="B15723" t="inlineStr">
        <is>
          <t>Point of Origin, Collecting Point, Processing Unit</t>
        </is>
      </c>
      <c r="C15723" t="inlineStr">
        <is>
          <t>Trans Certification and Inspection Sdn Bhd, Kuantan, MY</t>
        </is>
      </c>
      <c r="D15723" t="inlineStr">
        <is>
          <t>22.08.2026</t>
        </is>
      </c>
      <c r="E15723" t="inlineStr">
        <is>
          <t>Vietnam</t>
        </is>
      </c>
    </row>
    <row r="15724">
      <c r="A15724" t="inlineStr">
        <is>
          <t>Münzer Deutschland GmbH,  Wuppertal, Germany</t>
        </is>
      </c>
      <c r="B15724" t="inlineStr">
        <is>
          <t>Collecting Point, Trader with Storage</t>
        </is>
      </c>
      <c r="C15724" t="inlineStr">
        <is>
          <t>ASG Cert GmbH, Munich, DE</t>
        </is>
      </c>
      <c r="D15724" t="inlineStr">
        <is>
          <t>22.08.2026</t>
        </is>
      </c>
      <c r="E15724" t="inlineStr">
        <is>
          <t>Germany</t>
        </is>
      </c>
    </row>
    <row r="15725">
      <c r="A15725" t="inlineStr">
        <is>
          <t>Caely Renewables,  Amsterdam, Netherlands</t>
        </is>
      </c>
      <c r="B15725" t="inlineStr">
        <is>
          <t>Trader with Storage</t>
        </is>
      </c>
      <c r="C15725" t="inlineStr">
        <is>
          <t>SGS Germany GmbH, Emstek, DE</t>
        </is>
      </c>
      <c r="D15725" t="inlineStr">
        <is>
          <t>22.08.2026</t>
        </is>
      </c>
      <c r="E15725" t="inlineStr">
        <is>
          <t>Netherlands</t>
        </is>
      </c>
    </row>
    <row r="15726">
      <c r="A15726" t="inlineStr">
        <is>
          <t>Caely Renewables,  Amsterdam, Netherlands</t>
        </is>
      </c>
      <c r="B15726" t="inlineStr">
        <is>
          <t>Trader with Storage</t>
        </is>
      </c>
      <c r="C15726" t="inlineStr">
        <is>
          <t>SGS Germany GmbH, Emstek, DE</t>
        </is>
      </c>
      <c r="D15726" t="inlineStr">
        <is>
          <t>22.08.2026</t>
        </is>
      </c>
      <c r="E15726" t="inlineStr">
        <is>
          <t>Netherlands</t>
        </is>
      </c>
    </row>
    <row r="15727">
      <c r="A15727" t="inlineStr">
        <is>
          <t>Agrodep Srl,  Santana, Judet ARAD, Romania</t>
        </is>
      </c>
      <c r="B15727" t="inlineStr">
        <is>
          <t>First Gathering Point, Trader with Storage, Warehouse</t>
        </is>
      </c>
      <c r="C15727" t="inlineStr">
        <is>
          <t>SRAC Cert SRL, Bucharest, RO</t>
        </is>
      </c>
      <c r="D15727" t="inlineStr">
        <is>
          <t>21.08.2026</t>
        </is>
      </c>
      <c r="E15727" t="inlineStr">
        <is>
          <t>Romania</t>
        </is>
      </c>
    </row>
    <row r="15728">
      <c r="A15728" t="inlineStr">
        <is>
          <t>Vitol Asia Pte Ltd,  Guoco Midtown, Singapore</t>
        </is>
      </c>
      <c r="B15728" t="inlineStr">
        <is>
          <t>Trader with Storage</t>
        </is>
      </c>
      <c r="C15728" t="inlineStr">
        <is>
          <t>Control Union Certifications Germany GmbH, Berlin, DE</t>
        </is>
      </c>
      <c r="D15728" t="inlineStr">
        <is>
          <t>21.08.2026</t>
        </is>
      </c>
      <c r="E15728" t="inlineStr">
        <is>
          <t>Singapore</t>
        </is>
      </c>
    </row>
    <row r="15729">
      <c r="A15729" t="inlineStr">
        <is>
          <t>ENVIEN Magyarország Kft.,  Fehértó, Hungary</t>
        </is>
      </c>
      <c r="B15729" t="inlineStr">
        <is>
          <t>First Gathering Point, Trader</t>
        </is>
      </c>
      <c r="C15729" t="inlineStr">
        <is>
          <t>SGS Germany GmbH, Emstek, DE</t>
        </is>
      </c>
      <c r="D15729" t="inlineStr">
        <is>
          <t>21.08.2026</t>
        </is>
      </c>
      <c r="E15729" t="inlineStr">
        <is>
          <t>Hungary</t>
        </is>
      </c>
    </row>
    <row r="15730">
      <c r="A15730" t="inlineStr">
        <is>
          <t>Viet Nam King Chen Industrial &amp; Trading Co., Ltd,  Quang Ngai, Vietnam</t>
        </is>
      </c>
      <c r="B15730" t="inlineStr">
        <is>
          <t>Processing Unit</t>
        </is>
      </c>
      <c r="C15730" t="inlineStr">
        <is>
          <t>RINA Services S.p.A., Genova, IT</t>
        </is>
      </c>
      <c r="D15730" t="inlineStr">
        <is>
          <t>21.08.2026</t>
        </is>
      </c>
      <c r="E15730" t="inlineStr">
        <is>
          <t>Vietnam</t>
        </is>
      </c>
    </row>
    <row r="15731">
      <c r="A15731" t="inlineStr">
        <is>
          <t>Covestro (Shanghai) Investment Co., Ltd.,  Shanghai, China</t>
        </is>
      </c>
      <c r="B15731" t="inlineStr">
        <is>
          <t>Trader with Storage</t>
        </is>
      </c>
      <c r="C15731" t="inlineStr">
        <is>
          <t>DIN CERTCO GmbH, Berlin, DE</t>
        </is>
      </c>
      <c r="D15731" t="inlineStr">
        <is>
          <t>21.08.2026</t>
        </is>
      </c>
      <c r="E15731" t="inlineStr">
        <is>
          <t>China</t>
        </is>
      </c>
    </row>
    <row r="15732">
      <c r="A15732" t="inlineStr">
        <is>
          <t>Utilitas OU,  Tallinn, Estonia</t>
        </is>
      </c>
      <c r="B15732" t="inlineStr">
        <is>
          <t>Processing Unit</t>
        </is>
      </c>
      <c r="C15732" t="inlineStr">
        <is>
          <t>NCS Estonia OÜ, Tallinn, EE</t>
        </is>
      </c>
      <c r="D15732" t="inlineStr">
        <is>
          <t>21.08.2026</t>
        </is>
      </c>
      <c r="E15732" t="inlineStr">
        <is>
          <t>Estonia</t>
        </is>
      </c>
    </row>
    <row r="15733">
      <c r="A15733" t="inlineStr">
        <is>
          <t>ADM Agro Iberica,  Madrid, Spain</t>
        </is>
      </c>
      <c r="B15733" t="inlineStr">
        <is>
          <t>Trader with Storage</t>
        </is>
      </c>
      <c r="C15733" t="inlineStr">
        <is>
          <t>Control Union Poland Sp. z o.o., Zielona Gora, PL</t>
        </is>
      </c>
      <c r="D15733" t="inlineStr">
        <is>
          <t>21.08.2026</t>
        </is>
      </c>
      <c r="E15733" t="inlineStr">
        <is>
          <t>Spain</t>
        </is>
      </c>
    </row>
    <row r="15734">
      <c r="A15734" t="inlineStr">
        <is>
          <t>ENERGI OLEO PERSADA,  Tanjung Morawa, Indonesia</t>
        </is>
      </c>
      <c r="B15734" t="inlineStr">
        <is>
          <t>Trader with Storage, Point of Origin, Processing Unit</t>
        </is>
      </c>
      <c r="C15734" t="inlineStr">
        <is>
          <t>PT SBC Asia Sertifikasi, Kebumen, ID</t>
        </is>
      </c>
      <c r="D15734" t="inlineStr">
        <is>
          <t>21.08.2026</t>
        </is>
      </c>
      <c r="E15734" t="inlineStr">
        <is>
          <t>Indonesia</t>
        </is>
      </c>
    </row>
    <row r="15735">
      <c r="A15735" t="inlineStr">
        <is>
          <t>Martinez Renewables,  Pacheco, United States</t>
        </is>
      </c>
      <c r="B15735" t="inlineStr">
        <is>
          <t>Processing Unit</t>
        </is>
      </c>
      <c r="C15735" t="inlineStr">
        <is>
          <t>SCS Global Services, Emeryville, CA, US</t>
        </is>
      </c>
      <c r="D15735" t="inlineStr">
        <is>
          <t>21.08.2026</t>
        </is>
      </c>
      <c r="E15735" t="inlineStr">
        <is>
          <t>United States</t>
        </is>
      </c>
    </row>
    <row r="15736">
      <c r="A15736" t="inlineStr">
        <is>
          <t>Pentagas Hidrocarburos,  Lucena, Spain</t>
        </is>
      </c>
      <c r="B15736" t="inlineStr">
        <is>
          <t>Trader with Storage</t>
        </is>
      </c>
      <c r="C15736" t="inlineStr">
        <is>
          <t>Certificadora Gallega del Noroeste SL, Vilagarcia de Arousa-Pontevedra, ES</t>
        </is>
      </c>
      <c r="D15736" t="inlineStr">
        <is>
          <t>21.08.2026</t>
        </is>
      </c>
      <c r="E15736" t="inlineStr">
        <is>
          <t>Spain</t>
        </is>
      </c>
    </row>
    <row r="15737">
      <c r="A15737" t="inlineStr">
        <is>
          <t>CARGO AIR CHARTERING,  Sharjah, The United Arab Emirates</t>
        </is>
      </c>
      <c r="B15737" t="inlineStr">
        <is>
          <t>Trader, Proof of Compliance Trader</t>
        </is>
      </c>
      <c r="C15737" t="inlineStr">
        <is>
          <t>BM Certification, Riga, LV</t>
        </is>
      </c>
      <c r="D15737" t="inlineStr">
        <is>
          <t>21.08.2026</t>
        </is>
      </c>
      <c r="E15737" t="inlineStr">
        <is>
          <t>The United Arab Emirates</t>
        </is>
      </c>
    </row>
    <row r="15738">
      <c r="A15738" t="inlineStr">
        <is>
          <t>Dakota Praire Refining,  Dickinson, ND, United States</t>
        </is>
      </c>
      <c r="B15738" t="inlineStr">
        <is>
          <t>Processing Unit, Trader with Storage</t>
        </is>
      </c>
      <c r="C15738" t="inlineStr">
        <is>
          <t>SCS Global Services, Emeryville, CA, US</t>
        </is>
      </c>
      <c r="D15738" t="inlineStr">
        <is>
          <t>21.08.2026</t>
        </is>
      </c>
      <c r="E15738" t="inlineStr">
        <is>
          <t>United States</t>
        </is>
      </c>
    </row>
    <row r="15739">
      <c r="A15739" t="inlineStr">
        <is>
          <t>Agrifirm named after Dovzhenko,  Settlement of Yareski, Poltava Region, Ukraine</t>
        </is>
      </c>
      <c r="B15739" t="inlineStr">
        <is>
          <t>Farm / Plantation, Trader with Storage</t>
        </is>
      </c>
      <c r="C15739" t="inlineStr">
        <is>
          <t>SGS Germany GmbH, Emstek, DE</t>
        </is>
      </c>
      <c r="D15739" t="inlineStr">
        <is>
          <t>21.08.2026</t>
        </is>
      </c>
      <c r="E15739" t="inlineStr">
        <is>
          <t>Ukraine</t>
        </is>
      </c>
    </row>
    <row r="15740">
      <c r="A15740" t="inlineStr">
        <is>
          <t>Adamant Centroamerica S. DE R. L. DE C.V.,  Tegucigalpa, Honduras</t>
        </is>
      </c>
      <c r="B15740" t="inlineStr">
        <is>
          <t>Collecting Point, Trader</t>
        </is>
      </c>
      <c r="C15740" t="inlineStr">
        <is>
          <t>SGS Germany GmbH, Emstek, DE</t>
        </is>
      </c>
      <c r="D15740" t="inlineStr">
        <is>
          <t>21.08.2026</t>
        </is>
      </c>
      <c r="E15740" t="inlineStr">
        <is>
          <t>Honduras</t>
        </is>
      </c>
    </row>
    <row r="15741">
      <c r="A15741" t="inlineStr">
        <is>
          <t>Takaoka Co., Ltd.,  Koriyama, Japan</t>
        </is>
      </c>
      <c r="B15741" t="inlineStr">
        <is>
          <t>Trader with Storage</t>
        </is>
      </c>
      <c r="C15741" t="inlineStr">
        <is>
          <t>Control Union Certifications Germany GmbH, Berlin, DE</t>
        </is>
      </c>
      <c r="D15741" t="inlineStr">
        <is>
          <t>21.08.2026</t>
        </is>
      </c>
      <c r="E15741" t="inlineStr">
        <is>
          <t>Japan</t>
        </is>
      </c>
    </row>
    <row r="15742">
      <c r="A15742" t="inlineStr">
        <is>
          <t>Plastic Ingenuity,  Tooele, United States</t>
        </is>
      </c>
      <c r="B15742" t="inlineStr">
        <is>
          <t>Processing Unit</t>
        </is>
      </c>
      <c r="C15742" t="inlineStr">
        <is>
          <t>SCS Global Services, Emeryville, CA, US</t>
        </is>
      </c>
      <c r="D15742" t="inlineStr">
        <is>
          <t>21.08.2026</t>
        </is>
      </c>
      <c r="E15742" t="inlineStr">
        <is>
          <t>United States</t>
        </is>
      </c>
    </row>
    <row r="15743">
      <c r="A15743" t="inlineStr">
        <is>
          <t>Plastic Ingenuity,  Oxford, United States</t>
        </is>
      </c>
      <c r="B15743" t="inlineStr">
        <is>
          <t>Processing Unit</t>
        </is>
      </c>
      <c r="C15743" t="inlineStr">
        <is>
          <t>SCS Global Services, Emeryville, CA, US</t>
        </is>
      </c>
      <c r="D15743" t="inlineStr">
        <is>
          <t>21.08.2026</t>
        </is>
      </c>
      <c r="E15743" t="inlineStr">
        <is>
          <t>United States</t>
        </is>
      </c>
    </row>
    <row r="15744">
      <c r="A15744" t="inlineStr">
        <is>
          <t>PROT.IT S.R.L.,  TRANI, Italy</t>
        </is>
      </c>
      <c r="B15744" t="inlineStr">
        <is>
          <t>Point of Origin, Collecting Point, Processing Unit</t>
        </is>
      </c>
      <c r="C15744" t="inlineStr">
        <is>
          <t>ICIM SpA, sesto san giovanni, IT</t>
        </is>
      </c>
      <c r="D15744" t="inlineStr">
        <is>
          <t>21.08.2026</t>
        </is>
      </c>
      <c r="E15744" t="inlineStr">
        <is>
          <t>Italy</t>
        </is>
      </c>
    </row>
    <row r="15745">
      <c r="A15745" t="inlineStr">
        <is>
          <t>Kilang Sawit FELCRA Berhad Maran,  Pekan Tajau, Malaysia</t>
        </is>
      </c>
      <c r="B15745" t="inlineStr">
        <is>
          <t>Point of Origin</t>
        </is>
      </c>
      <c r="C15745" t="inlineStr">
        <is>
          <t>Trans Certification and Inspection Sdn Bhd, Kuantan, MY</t>
        </is>
      </c>
      <c r="D15745" t="inlineStr">
        <is>
          <t>21.08.2026</t>
        </is>
      </c>
      <c r="E15745" t="inlineStr">
        <is>
          <t>Malaysia</t>
        </is>
      </c>
    </row>
    <row r="15746">
      <c r="A15746" t="inlineStr">
        <is>
          <t>Marathon Petroleum Company,  Findlay, Ohio, United States</t>
        </is>
      </c>
      <c r="B15746" t="inlineStr">
        <is>
          <t>Collecting Point, Trader with Storage</t>
        </is>
      </c>
      <c r="C15746" t="inlineStr">
        <is>
          <t>SCS Global Services, Emeryville, CA, US</t>
        </is>
      </c>
      <c r="D15746" t="inlineStr">
        <is>
          <t>21.08.2026</t>
        </is>
      </c>
      <c r="E15746" t="inlineStr">
        <is>
          <t>United States</t>
        </is>
      </c>
    </row>
    <row r="15747">
      <c r="A15747" t="inlineStr">
        <is>
          <t>FGV Palm Industries SDN BHD,  Lahad Datu, Malaysia</t>
        </is>
      </c>
      <c r="B15747" t="inlineStr">
        <is>
          <t>Point of Origin</t>
        </is>
      </c>
      <c r="C15747" t="inlineStr">
        <is>
          <t>Trans Certification and Inspection Sdn Bhd, Kuantan, MY</t>
        </is>
      </c>
      <c r="D15747" t="inlineStr">
        <is>
          <t>21.08.2026</t>
        </is>
      </c>
      <c r="E15747" t="inlineStr">
        <is>
          <t>Malaysia</t>
        </is>
      </c>
    </row>
    <row r="15748">
      <c r="A15748" t="inlineStr">
        <is>
          <t>Albéa Simandre,  Simandre, France</t>
        </is>
      </c>
      <c r="B15748" t="inlineStr">
        <is>
          <t>Processing Unit, Final Product Refinement</t>
        </is>
      </c>
      <c r="C15748" t="inlineStr">
        <is>
          <t>Bureau Veritas Polska Sp. z o.o., Warsaw, PL</t>
        </is>
      </c>
      <c r="D15748" t="inlineStr">
        <is>
          <t>21.08.2026</t>
        </is>
      </c>
      <c r="E15748" t="inlineStr">
        <is>
          <t>France</t>
        </is>
      </c>
    </row>
    <row r="15749">
      <c r="A15749" t="inlineStr">
        <is>
          <t>ExxonMobil Petroleum &amp; Chemical BV,  Meerhout, Belgium</t>
        </is>
      </c>
      <c r="B15749" t="inlineStr">
        <is>
          <t>Trader with Storage, Processing Unit</t>
        </is>
      </c>
      <c r="C15749" t="inlineStr">
        <is>
          <t>Bureau Veritas Polska Sp. z o.o., Warsaw, PL</t>
        </is>
      </c>
      <c r="D15749" t="inlineStr">
        <is>
          <t>21.08.2026</t>
        </is>
      </c>
      <c r="E15749" t="inlineStr">
        <is>
          <t>Belgium</t>
        </is>
      </c>
    </row>
    <row r="15750">
      <c r="A15750" t="inlineStr">
        <is>
          <t>BE8 S.A.,  Passo Fundo, Brazil</t>
        </is>
      </c>
      <c r="B15750" t="inlineStr">
        <is>
          <t>Collecting Point, Processing Unit, Point of Origin, Trader with Storage</t>
        </is>
      </c>
      <c r="C15750" t="inlineStr">
        <is>
          <t>Control Union Certifications Germany GmbH, Berlin, DE</t>
        </is>
      </c>
      <c r="D15750" t="inlineStr">
        <is>
          <t>21.08.2026</t>
        </is>
      </c>
      <c r="E15750" t="inlineStr">
        <is>
          <t>Brazil</t>
        </is>
      </c>
    </row>
    <row r="15751">
      <c r="A15751" t="inlineStr">
        <is>
          <t>RWA Magyarország Kft.,  Ikrény, Hungary</t>
        </is>
      </c>
      <c r="B15751" t="inlineStr">
        <is>
          <t>First Gathering Point, Trader with Storage</t>
        </is>
      </c>
      <c r="C15751" t="inlineStr">
        <is>
          <t>Certificadora Gallega del Noroeste SL, Vilagarcia de Arousa-Pontevedra, ES</t>
        </is>
      </c>
      <c r="D15751" t="inlineStr">
        <is>
          <t>21.08.2026</t>
        </is>
      </c>
      <c r="E15751" t="inlineStr">
        <is>
          <t>Hungary</t>
        </is>
      </c>
    </row>
    <row r="15752">
      <c r="A15752" t="inlineStr">
        <is>
          <t>Yuanhai Energy Limited,  Hefei City, Anhui Province, China</t>
        </is>
      </c>
      <c r="B15752" t="inlineStr">
        <is>
          <t>Trader</t>
        </is>
      </c>
      <c r="C15752" t="inlineStr">
        <is>
          <t>RINA Services S.p.A., Genova, IT</t>
        </is>
      </c>
      <c r="D15752" t="inlineStr">
        <is>
          <t>21.08.2026</t>
        </is>
      </c>
      <c r="E15752" t="inlineStr">
        <is>
          <t>China</t>
        </is>
      </c>
    </row>
    <row r="15753">
      <c r="A15753" t="inlineStr">
        <is>
          <t>Crealis PE.DI,  Ivrea, Italy</t>
        </is>
      </c>
      <c r="B15753" t="inlineStr">
        <is>
          <t>Processing Unit</t>
        </is>
      </c>
      <c r="C15753" t="inlineStr">
        <is>
          <t>Bureau Veritas Polska Sp. z o.o., Warsaw, PL</t>
        </is>
      </c>
      <c r="D15753" t="inlineStr">
        <is>
          <t>21.08.2026</t>
        </is>
      </c>
      <c r="E15753" t="inlineStr">
        <is>
          <t>Italy</t>
        </is>
      </c>
    </row>
    <row r="15754">
      <c r="A15754" t="inlineStr">
        <is>
          <t>Renhuai Masheng Environmental Technology Co., Ltd.,  Zunyi, China</t>
        </is>
      </c>
      <c r="B15754" t="inlineStr">
        <is>
          <t>Collecting Point, Processing Unit</t>
        </is>
      </c>
      <c r="C15754" t="inlineStr">
        <is>
          <t>RINA Services S.p.A., Genova, IT</t>
        </is>
      </c>
      <c r="D15754" t="inlineStr">
        <is>
          <t>21.08.2026</t>
        </is>
      </c>
      <c r="E15754" t="inlineStr">
        <is>
          <t>China</t>
        </is>
      </c>
    </row>
    <row r="15755">
      <c r="A15755" t="inlineStr">
        <is>
          <t>USINA SÃO LUIZ S/A,  OURINHOS, Brazil</t>
        </is>
      </c>
      <c r="B15755" t="inlineStr">
        <is>
          <t>First Gathering Point</t>
        </is>
      </c>
      <c r="C15755" t="inlineStr">
        <is>
          <t>Control Union Certifications Germany GmbH, Berlin, DE</t>
        </is>
      </c>
      <c r="D15755" t="inlineStr">
        <is>
          <t>21.08.2026</t>
        </is>
      </c>
      <c r="E15755" t="inlineStr">
        <is>
          <t>Brazil</t>
        </is>
      </c>
    </row>
    <row r="15756">
      <c r="A15756" t="inlineStr">
        <is>
          <t>Biotisk Energier Sweden AB,  Solna, Sweden</t>
        </is>
      </c>
      <c r="B15756" t="inlineStr">
        <is>
          <t>Trader</t>
        </is>
      </c>
      <c r="C15756" t="inlineStr">
        <is>
          <t>Trans Certification and Inspection Sdn Bhd, Kuantan, MY</t>
        </is>
      </c>
      <c r="D15756" t="inlineStr">
        <is>
          <t>21.08.2026</t>
        </is>
      </c>
      <c r="E15756" t="inlineStr">
        <is>
          <t>Sweden</t>
        </is>
      </c>
    </row>
    <row r="15757">
      <c r="A15757" t="inlineStr">
        <is>
          <t>FGV Palm Industries SDN BHD,  Lahad Datu, Malaysia</t>
        </is>
      </c>
      <c r="B15757" t="inlineStr">
        <is>
          <t>Point of Origin</t>
        </is>
      </c>
      <c r="C15757" t="inlineStr">
        <is>
          <t>Trans Certification and Inspection Sdn Bhd, Kuantan, MY</t>
        </is>
      </c>
      <c r="D15757" t="inlineStr">
        <is>
          <t>21.08.2026</t>
        </is>
      </c>
      <c r="E15757" t="inlineStr">
        <is>
          <t>Malaysia</t>
        </is>
      </c>
    </row>
    <row r="15758">
      <c r="A15758" t="inlineStr">
        <is>
          <t>FGV PALM INDUSTRIES SDN BHD (KILANG SAWIT BAIDURI AYU),  Lahad Datu, Malaysia</t>
        </is>
      </c>
      <c r="B15758" t="inlineStr">
        <is>
          <t>Point of Origin</t>
        </is>
      </c>
      <c r="C15758" t="inlineStr">
        <is>
          <t>Trans Certification and Inspection Sdn Bhd, Kuantan, MY</t>
        </is>
      </c>
      <c r="D15758" t="inlineStr">
        <is>
          <t>21.08.2026</t>
        </is>
      </c>
      <c r="E15758" t="inlineStr">
        <is>
          <t>Malaysia</t>
        </is>
      </c>
    </row>
    <row r="15759">
      <c r="A15759" t="inlineStr">
        <is>
          <t>UAB DNV Group,  Ąžuolynės k., Lithuania</t>
        </is>
      </c>
      <c r="B15759" t="inlineStr">
        <is>
          <t>First Gathering Point, Trader with Storage</t>
        </is>
      </c>
      <c r="C15759" t="inlineStr">
        <is>
          <t>Bureau Veritas Polska Sp. z o.o., Warsaw, PL</t>
        </is>
      </c>
      <c r="D15759" t="inlineStr">
        <is>
          <t>21.08.2026</t>
        </is>
      </c>
      <c r="E15759" t="inlineStr">
        <is>
          <t>Lithuania</t>
        </is>
      </c>
    </row>
    <row r="15760">
      <c r="A15760" t="inlineStr">
        <is>
          <t>AOSHI(HONGKONG)INTERNATIONAL LIMITED,  Guangzhou City, Guangdong Province, China</t>
        </is>
      </c>
      <c r="B15760" t="inlineStr">
        <is>
          <t>Trader</t>
        </is>
      </c>
      <c r="C15760" t="inlineStr">
        <is>
          <t>RINA Services S.p.A., Genova, IT</t>
        </is>
      </c>
      <c r="D15760" t="inlineStr">
        <is>
          <t>21.08.2026</t>
        </is>
      </c>
      <c r="E15760" t="inlineStr">
        <is>
          <t>China</t>
        </is>
      </c>
    </row>
    <row r="15761">
      <c r="A15761" t="inlineStr">
        <is>
          <t>Tabib Environment Quality,  Petach Tikva, Israel</t>
        </is>
      </c>
      <c r="B15761" t="inlineStr">
        <is>
          <t>Collecting Point</t>
        </is>
      </c>
      <c r="C15761" t="inlineStr">
        <is>
          <t>Control Union Certifications Germany GmbH, Berlin, DE</t>
        </is>
      </c>
      <c r="D15761" t="inlineStr">
        <is>
          <t>21.08.2026</t>
        </is>
      </c>
      <c r="E15761" t="inlineStr">
        <is>
          <t>Israel</t>
        </is>
      </c>
    </row>
    <row r="15762">
      <c r="A15762" t="inlineStr">
        <is>
          <t>AZ.AGR.CAREGA GIULIO di CAREGA MASSIMO &amp; C. S.s. S.a.,  LOBBI (AL), Italy</t>
        </is>
      </c>
      <c r="B15762" t="inlineStr">
        <is>
          <t>Farm / Plantation</t>
        </is>
      </c>
      <c r="C15762" t="inlineStr">
        <is>
          <t>RINA Services S.p.A., Genova, IT</t>
        </is>
      </c>
      <c r="D15762" t="inlineStr">
        <is>
          <t>21.08.2026</t>
        </is>
      </c>
      <c r="E15762" t="inlineStr">
        <is>
          <t>Italy</t>
        </is>
      </c>
    </row>
    <row r="15763">
      <c r="A15763" t="inlineStr">
        <is>
          <t>Wytwórnia Pianek Poliuretanowych Sp.z o.o.,  Bydgoszcz, Poland</t>
        </is>
      </c>
      <c r="B15763" t="inlineStr">
        <is>
          <t>Processing Unit</t>
        </is>
      </c>
      <c r="C15763" t="inlineStr">
        <is>
          <t>Bureau Veritas Polska Sp. z o.o., Warsaw, PL</t>
        </is>
      </c>
      <c r="D15763" t="inlineStr">
        <is>
          <t>21.08.2026</t>
        </is>
      </c>
      <c r="E15763" t="inlineStr">
        <is>
          <t>Poland</t>
        </is>
      </c>
    </row>
    <row r="15764">
      <c r="A15764" t="inlineStr">
        <is>
          <t>Vitol Asia Pte Ltd,  Guoco Midtown, Singapore</t>
        </is>
      </c>
      <c r="B15764" t="inlineStr">
        <is>
          <t>Trader</t>
        </is>
      </c>
      <c r="C15764" t="inlineStr">
        <is>
          <t>Control Union Certifications Germany GmbH, Berlin, DE</t>
        </is>
      </c>
      <c r="D15764" t="inlineStr">
        <is>
          <t>21.08.2026</t>
        </is>
      </c>
      <c r="E15764" t="inlineStr">
        <is>
          <t>Singapore</t>
        </is>
      </c>
    </row>
    <row r="15765">
      <c r="A15765" t="inlineStr">
        <is>
          <t>EM Oils,  Leicester, The United Kingdom</t>
        </is>
      </c>
      <c r="B15765" t="inlineStr">
        <is>
          <t>Collecting Point</t>
        </is>
      </c>
      <c r="C15765" t="inlineStr">
        <is>
          <t>BM Certification, Riga, LV</t>
        </is>
      </c>
      <c r="D15765" t="inlineStr">
        <is>
          <t>21.08.2026</t>
        </is>
      </c>
      <c r="E15765" t="inlineStr">
        <is>
          <t>The United Kingdom</t>
        </is>
      </c>
    </row>
    <row r="15766">
      <c r="A15766" t="inlineStr">
        <is>
          <t>Lagrandia s.r.o.,  Šaľa, Slovakia</t>
        </is>
      </c>
      <c r="B15766" t="inlineStr">
        <is>
          <t>Trader</t>
        </is>
      </c>
      <c r="C15766" t="inlineStr">
        <is>
          <t>Bureau Veritas Polska Sp. z o.o., Warsaw, PL</t>
        </is>
      </c>
      <c r="D15766" t="inlineStr">
        <is>
          <t>21.08.2026</t>
        </is>
      </c>
      <c r="E15766" t="inlineStr">
        <is>
          <t>Slovakia</t>
        </is>
      </c>
    </row>
    <row r="15767">
      <c r="A15767" t="inlineStr">
        <is>
          <t>VIVA TRNAVA s.r.o.,  Trnava, Slovakia</t>
        </is>
      </c>
      <c r="B15767" t="inlineStr">
        <is>
          <t>First Gathering Point, Trader</t>
        </is>
      </c>
      <c r="C15767" t="inlineStr">
        <is>
          <t>United Registrar of Systems Polska Sp. z o.o., Wrocław, PL</t>
        </is>
      </c>
      <c r="D15767" t="inlineStr">
        <is>
          <t>21.08.2026</t>
        </is>
      </c>
      <c r="E15767" t="inlineStr">
        <is>
          <t>Slovakia</t>
        </is>
      </c>
    </row>
    <row r="15768">
      <c r="A15768" t="inlineStr">
        <is>
          <t>Maystar (Vietnam) Footwear Co., Ltd.,  Quang Ngai province, Vietnam</t>
        </is>
      </c>
      <c r="B15768" t="inlineStr">
        <is>
          <t>Processing Unit</t>
        </is>
      </c>
      <c r="C15768" t="inlineStr">
        <is>
          <t>RINA Services S.p.A., Genova, IT</t>
        </is>
      </c>
      <c r="D15768" t="inlineStr">
        <is>
          <t>21.08.2026</t>
        </is>
      </c>
      <c r="E15768" t="inlineStr">
        <is>
          <t>Vietnam</t>
        </is>
      </c>
    </row>
    <row r="15769">
      <c r="A15769" t="inlineStr">
        <is>
          <t>LARIX VLČEK,  Branka u Opavy, Czech Republic</t>
        </is>
      </c>
      <c r="B15769" t="inlineStr">
        <is>
          <t>Point of Origin</t>
        </is>
      </c>
      <c r="C15769" t="inlineStr">
        <is>
          <t>SGS Germany GmbH, Emstek, DE</t>
        </is>
      </c>
      <c r="D15769" t="inlineStr">
        <is>
          <t>21.08.2026</t>
        </is>
      </c>
      <c r="E15769" t="inlineStr">
        <is>
          <t>Czech Republic</t>
        </is>
      </c>
    </row>
    <row r="15770">
      <c r="A15770" t="inlineStr">
        <is>
          <t>INEOS Nitriles at INEOS Manufacturing Deutschland GmbH,  Köln, Germany</t>
        </is>
      </c>
      <c r="B15770" t="inlineStr">
        <is>
          <t>Processing Unit</t>
        </is>
      </c>
      <c r="C15770" t="inlineStr">
        <is>
          <t>SCS Global Services, Emeryville, CA, US</t>
        </is>
      </c>
      <c r="D15770" t="inlineStr">
        <is>
          <t>21.08.2026</t>
        </is>
      </c>
      <c r="E15770" t="inlineStr">
        <is>
          <t>Germany</t>
        </is>
      </c>
    </row>
    <row r="15771">
      <c r="A15771" t="inlineStr">
        <is>
          <t>LCP Leuna Carboxylation Plant,  Leuna, Germany</t>
        </is>
      </c>
      <c r="B15771" t="inlineStr">
        <is>
          <t>Processing Unit, Collecting Point</t>
        </is>
      </c>
      <c r="C15771" t="inlineStr">
        <is>
          <t>GUT Certifizierungsgesellschaft für Managementsysteme mbH Umweltgutachter, Berlin, DE</t>
        </is>
      </c>
      <c r="D15771" t="inlineStr">
        <is>
          <t>21.08.2026</t>
        </is>
      </c>
      <c r="E15771" t="inlineStr">
        <is>
          <t>Germany</t>
        </is>
      </c>
    </row>
    <row r="15772">
      <c r="A15772" t="inlineStr">
        <is>
          <t>Renewable Energy Fuels BV (Refuels),  Den Haag, Netherlands</t>
        </is>
      </c>
      <c r="B15772" t="inlineStr">
        <is>
          <t>Trader</t>
        </is>
      </c>
      <c r="C15772" t="inlineStr">
        <is>
          <t>DEKRA Certification B.V., Arnhem, NL</t>
        </is>
      </c>
      <c r="D15772" t="inlineStr">
        <is>
          <t>21.08.2026</t>
        </is>
      </c>
      <c r="E15772" t="inlineStr">
        <is>
          <t>Netherlands</t>
        </is>
      </c>
    </row>
    <row r="15773">
      <c r="A15773" t="inlineStr">
        <is>
          <t>HAERS (THAILAND) CO., LTD.,  Ban Bueng District, Thailand</t>
        </is>
      </c>
      <c r="B15773" t="inlineStr">
        <is>
          <t>Processing Unit</t>
        </is>
      </c>
      <c r="C15773" t="inlineStr">
        <is>
          <t>Bureau Veritas Consumer Products Services, Inc., Littleton, MA, US</t>
        </is>
      </c>
      <c r="D15773" t="inlineStr">
        <is>
          <t>21.08.2026</t>
        </is>
      </c>
      <c r="E15773" t="inlineStr">
        <is>
          <t>Thailand</t>
        </is>
      </c>
    </row>
    <row r="15774">
      <c r="A15774" t="inlineStr">
        <is>
          <t>Fathopes Trading Pte. Ltd.,  Singapore, Singapore</t>
        </is>
      </c>
      <c r="B15774" t="inlineStr">
        <is>
          <t>Trader with Storage, Collecting Point</t>
        </is>
      </c>
      <c r="C15774" t="inlineStr">
        <is>
          <t>Global Gateway Certifications Sdn Bhd, Ampang, MY</t>
        </is>
      </c>
      <c r="D15774" t="inlineStr">
        <is>
          <t>21.08.2026</t>
        </is>
      </c>
      <c r="E15774" t="inlineStr">
        <is>
          <t>Singapore</t>
        </is>
      </c>
    </row>
    <row r="15775">
      <c r="A15775" t="inlineStr">
        <is>
          <t>Hubei Huiguang Environmental Protection Technology Co.,Ltd.,  Ezhou City, Hubei Province, China</t>
        </is>
      </c>
      <c r="B15775" t="inlineStr">
        <is>
          <t>Collecting Point, Trader with Storage</t>
        </is>
      </c>
      <c r="C15775" t="inlineStr">
        <is>
          <t>SCS Global Services, Emeryville, CA, US</t>
        </is>
      </c>
      <c r="D15775" t="inlineStr">
        <is>
          <t>20.08.2026</t>
        </is>
      </c>
      <c r="E15775" t="inlineStr">
        <is>
          <t>China</t>
        </is>
      </c>
    </row>
    <row r="15776">
      <c r="A15776" t="inlineStr">
        <is>
          <t>WEILAN OPTICAL (THAILAND) COMPANY LIMITED,  Mueang Samut Prakan District,Samut Prakan Province, Thailand</t>
        </is>
      </c>
      <c r="B15776" t="inlineStr">
        <is>
          <t>Processing Unit</t>
        </is>
      </c>
      <c r="C15776" t="inlineStr">
        <is>
          <t>SCS Global Services, Emeryville, CA, US</t>
        </is>
      </c>
      <c r="D15776" t="inlineStr">
        <is>
          <t>20.08.2026</t>
        </is>
      </c>
      <c r="E15776" t="inlineStr">
        <is>
          <t>Thailand</t>
        </is>
      </c>
    </row>
    <row r="15777">
      <c r="A15777" t="inlineStr">
        <is>
          <t>Zhoukou Chengzhi Biomass Energy Co., Ltd.,  Zhoukou City, Henan Province, China</t>
        </is>
      </c>
      <c r="B15777" t="inlineStr">
        <is>
          <t>Processing Unit, Collecting Point</t>
        </is>
      </c>
      <c r="C15777" t="inlineStr">
        <is>
          <t>SCS Global Services, Emeryville, CA, US</t>
        </is>
      </c>
      <c r="D15777" t="inlineStr">
        <is>
          <t>20.08.2026</t>
        </is>
      </c>
      <c r="E15777" t="inlineStr">
        <is>
          <t>China</t>
        </is>
      </c>
    </row>
    <row r="15778">
      <c r="A15778" t="inlineStr">
        <is>
          <t>FGV PALM INDUSTRIES SDN BHD (KKS EMBARA BUDI),  Lahad Datu, Malaysia</t>
        </is>
      </c>
      <c r="B15778" t="inlineStr">
        <is>
          <t>Point of Origin</t>
        </is>
      </c>
      <c r="C15778" t="inlineStr">
        <is>
          <t>Trans Certification and Inspection Sdn Bhd, Kuantan, MY</t>
        </is>
      </c>
      <c r="D15778" t="inlineStr">
        <is>
          <t>20.08.2026</t>
        </is>
      </c>
      <c r="E15778" t="inlineStr">
        <is>
          <t>Malaysia</t>
        </is>
      </c>
    </row>
    <row r="15779">
      <c r="A15779" t="inlineStr">
        <is>
          <t>FGV Palm Industries Sdn Bhd (KS Umas),  Tawau, Malaysia</t>
        </is>
      </c>
      <c r="B15779" t="inlineStr">
        <is>
          <t>Point of Origin</t>
        </is>
      </c>
      <c r="C15779" t="inlineStr">
        <is>
          <t>Trans Certification and Inspection Sdn Bhd, Kuantan, MY</t>
        </is>
      </c>
      <c r="D15779" t="inlineStr">
        <is>
          <t>20.08.2026</t>
        </is>
      </c>
      <c r="E15779" t="inlineStr">
        <is>
          <t>Malaysia</t>
        </is>
      </c>
    </row>
    <row r="15780">
      <c r="A15780" t="inlineStr">
        <is>
          <t>FGV Palm Industries SDN BHD,  Tawau, Malaysia</t>
        </is>
      </c>
      <c r="B15780" t="inlineStr">
        <is>
          <t>Point of Origin</t>
        </is>
      </c>
      <c r="C15780" t="inlineStr">
        <is>
          <t>Trans Certification and Inspection Sdn Bhd, Kuantan, MY</t>
        </is>
      </c>
      <c r="D15780" t="inlineStr">
        <is>
          <t>20.08.2026</t>
        </is>
      </c>
      <c r="E15780" t="inlineStr">
        <is>
          <t>Malaysia</t>
        </is>
      </c>
    </row>
    <row r="15781">
      <c r="A15781" t="inlineStr">
        <is>
          <t>FGV PALM INDUSTRIES SDN BHD (KKS LANCANG KEMUDI),  LAHAD DATU, Malaysia</t>
        </is>
      </c>
      <c r="B15781" t="inlineStr">
        <is>
          <t>Point of Origin</t>
        </is>
      </c>
      <c r="C15781" t="inlineStr">
        <is>
          <t>Trans Certification and Inspection Sdn Bhd, Kuantan, MY</t>
        </is>
      </c>
      <c r="D15781" t="inlineStr">
        <is>
          <t>20.08.2026</t>
        </is>
      </c>
      <c r="E15781" t="inlineStr">
        <is>
          <t>Malaysia</t>
        </is>
      </c>
    </row>
    <row r="15782">
      <c r="A15782" t="inlineStr">
        <is>
          <t>Carpenter Engineered Foams,  Mazeyrat d'Allier, France</t>
        </is>
      </c>
      <c r="B15782" t="inlineStr">
        <is>
          <t>Processing Unit</t>
        </is>
      </c>
      <c r="C15782" t="inlineStr">
        <is>
          <t>Bureau Veritas Polska Sp. z o.o., Warsaw, PL</t>
        </is>
      </c>
      <c r="D15782" t="inlineStr">
        <is>
          <t>20.08.2026</t>
        </is>
      </c>
      <c r="E15782" t="inlineStr">
        <is>
          <t>France</t>
        </is>
      </c>
    </row>
    <row r="15783">
      <c r="A15783" t="inlineStr">
        <is>
          <t>Green Plains Grain Company,  Omaha, Nebraska, United States</t>
        </is>
      </c>
      <c r="B15783" t="inlineStr">
        <is>
          <t>First Gathering Point</t>
        </is>
      </c>
      <c r="C15783" t="inlineStr">
        <is>
          <t>SCS Global Services, Emeryville, CA, US</t>
        </is>
      </c>
      <c r="D15783" t="inlineStr">
        <is>
          <t>20.08.2026</t>
        </is>
      </c>
      <c r="E15783" t="inlineStr">
        <is>
          <t>United States</t>
        </is>
      </c>
    </row>
    <row r="15784">
      <c r="A15784" t="inlineStr">
        <is>
          <t>XIAMEN C&amp;D LIANGYUAN AGRICULTURE CO., LTD.,  Xiamen, Fujian, China</t>
        </is>
      </c>
      <c r="B15784" t="inlineStr">
        <is>
          <t>Trader with Storage</t>
        </is>
      </c>
      <c r="C15784" t="inlineStr">
        <is>
          <t>RINA Services S.p.A., Genova, IT</t>
        </is>
      </c>
      <c r="D15784" t="inlineStr">
        <is>
          <t>20.08.2026</t>
        </is>
      </c>
      <c r="E15784" t="inlineStr">
        <is>
          <t>China</t>
        </is>
      </c>
    </row>
    <row r="15785">
      <c r="A15785" t="inlineStr">
        <is>
          <t>Xiamen C&amp;D Commodities Limited,  XIAMEN,FUJIAN, China</t>
        </is>
      </c>
      <c r="B15785" t="inlineStr">
        <is>
          <t>Trader with Storage</t>
        </is>
      </c>
      <c r="C15785" t="inlineStr">
        <is>
          <t>RINA Services S.p.A., Genova, IT</t>
        </is>
      </c>
      <c r="D15785" t="inlineStr">
        <is>
          <t>20.08.2026</t>
        </is>
      </c>
      <c r="E15785" t="inlineStr">
        <is>
          <t>China</t>
        </is>
      </c>
    </row>
    <row r="15786">
      <c r="A15786" t="inlineStr">
        <is>
          <t>Glencore International Import B.V.,  London, United Kingdom</t>
        </is>
      </c>
      <c r="B15786" t="inlineStr">
        <is>
          <t>Trader with Storage</t>
        </is>
      </c>
      <c r="C15786" t="inlineStr">
        <is>
          <t>SGS Germany GmbH, Emstek, DE</t>
        </is>
      </c>
      <c r="D15786" t="inlineStr">
        <is>
          <t>20.08.2026</t>
        </is>
      </c>
      <c r="E15786" t="inlineStr">
        <is>
          <t>United Kingdom</t>
        </is>
      </c>
    </row>
    <row r="15787">
      <c r="A15787" t="inlineStr">
        <is>
          <t>Altopro S de RL de CV,  Irapuato, Mexico</t>
        </is>
      </c>
      <c r="B15787" t="inlineStr">
        <is>
          <t>Processing Unit</t>
        </is>
      </c>
      <c r="C15787" t="inlineStr">
        <is>
          <t>Control Union Poland Sp. z o.o., Zielona Gora, PL</t>
        </is>
      </c>
      <c r="D15787" t="inlineStr">
        <is>
          <t>20.08.2026</t>
        </is>
      </c>
      <c r="E15787" t="inlineStr">
        <is>
          <t>Mexico</t>
        </is>
      </c>
    </row>
    <row r="15788">
      <c r="A15788" t="inlineStr">
        <is>
          <t>Setia Kawan Kilang Kelapa Sawit Sdn. Bhd.,  Kulim, Kedah, Malaysia</t>
        </is>
      </c>
      <c r="B15788" t="inlineStr">
        <is>
          <t>Point of Origin</t>
        </is>
      </c>
      <c r="C15788" t="inlineStr">
        <is>
          <t>Trans Certification and Inspection Sdn Bhd, Kuantan, MY</t>
        </is>
      </c>
      <c r="D15788" t="inlineStr">
        <is>
          <t>20.08.2026</t>
        </is>
      </c>
      <c r="E15788" t="inlineStr">
        <is>
          <t>Malaysia</t>
        </is>
      </c>
    </row>
    <row r="15789">
      <c r="A15789" t="inlineStr">
        <is>
          <t>Stolthaven Dagenham,  Dagenham, United Kingdom</t>
        </is>
      </c>
      <c r="B15789" t="inlineStr">
        <is>
          <t>Warehouse</t>
        </is>
      </c>
      <c r="C15789" t="inlineStr">
        <is>
          <t>SGS Germany GmbH, Emstek, DE</t>
        </is>
      </c>
      <c r="D15789" t="inlineStr">
        <is>
          <t>20.08.2026</t>
        </is>
      </c>
      <c r="E15789" t="inlineStr">
        <is>
          <t>United Kingdom</t>
        </is>
      </c>
    </row>
    <row r="15790">
      <c r="A15790" t="inlineStr">
        <is>
          <t>Heineken Slovensko Sladovne,  Hurbanovo, Slovakia</t>
        </is>
      </c>
      <c r="B15790" t="inlineStr">
        <is>
          <t>First Gathering Point, Trader with Storage, Point of Origin</t>
        </is>
      </c>
      <c r="C15790" t="inlineStr">
        <is>
          <t>Bureau Veritas Polska Sp. z o.o., Warsaw, PL</t>
        </is>
      </c>
      <c r="D15790" t="inlineStr">
        <is>
          <t>20.08.2026</t>
        </is>
      </c>
      <c r="E15790" t="inlineStr">
        <is>
          <t>Slovakia</t>
        </is>
      </c>
    </row>
    <row r="15791">
      <c r="A15791" t="inlineStr">
        <is>
          <t>TOHOSHOJI CO.,LTD.,  OSAKA, Japan</t>
        </is>
      </c>
      <c r="B15791" t="inlineStr">
        <is>
          <t>Trader</t>
        </is>
      </c>
      <c r="C15791" t="inlineStr">
        <is>
          <t>SGS Germany GmbH, Emstek, DE</t>
        </is>
      </c>
      <c r="D15791" t="inlineStr">
        <is>
          <t>20.08.2026</t>
        </is>
      </c>
      <c r="E15791" t="inlineStr">
        <is>
          <t>Japan</t>
        </is>
      </c>
    </row>
    <row r="15792">
      <c r="A15792" t="inlineStr">
        <is>
          <t>Schusz-Agro Kereskedelmi Kft,  Tolna, Hungary</t>
        </is>
      </c>
      <c r="B15792" t="inlineStr">
        <is>
          <t>First Gathering Point, Trader with Storage</t>
        </is>
      </c>
      <c r="C15792" t="inlineStr">
        <is>
          <t>Bureau Veritas Polska Sp. z o.o., Warsaw, PL</t>
        </is>
      </c>
      <c r="D15792" t="inlineStr">
        <is>
          <t>20.08.2026</t>
        </is>
      </c>
      <c r="E15792" t="inlineStr">
        <is>
          <t>Hungary</t>
        </is>
      </c>
    </row>
    <row r="15793">
      <c r="A15793" t="inlineStr">
        <is>
          <t>Fischer + Hohner GmbH,  Gersthofen, Germany</t>
        </is>
      </c>
      <c r="B15793" t="inlineStr">
        <is>
          <t>Collecting Point</t>
        </is>
      </c>
      <c r="C15793" t="inlineStr">
        <is>
          <t>DEKRA Certification GmbH, Stuttgart, DE</t>
        </is>
      </c>
      <c r="D15793" t="inlineStr">
        <is>
          <t>20.08.2026</t>
        </is>
      </c>
      <c r="E15793" t="inlineStr">
        <is>
          <t>Germany</t>
        </is>
      </c>
    </row>
    <row r="15794">
      <c r="A15794" t="inlineStr">
        <is>
          <t>MENTARI SAWIT MAKMUR,  Toboali, Indonesia</t>
        </is>
      </c>
      <c r="B15794" t="inlineStr">
        <is>
          <t>Point of Origin</t>
        </is>
      </c>
      <c r="C15794" t="inlineStr">
        <is>
          <t>PT Intertek Utama Services, Jakarta, ID</t>
        </is>
      </c>
      <c r="D15794" t="inlineStr">
        <is>
          <t>20.08.2026</t>
        </is>
      </c>
      <c r="E15794" t="inlineStr">
        <is>
          <t>Indonesia</t>
        </is>
      </c>
    </row>
    <row r="15795">
      <c r="A15795" t="inlineStr">
        <is>
          <t>Jinzhou Sihui Biotechnology Co., Ltd,  Linghai City, Jinzhou City, Liaoning Province, China</t>
        </is>
      </c>
      <c r="B15795" t="inlineStr">
        <is>
          <t>Trader, Collecting Point</t>
        </is>
      </c>
      <c r="C15795" t="inlineStr">
        <is>
          <t>SCS Global Services, Emeryville, CA, US</t>
        </is>
      </c>
      <c r="D15795" t="inlineStr">
        <is>
          <t>20.08.2026</t>
        </is>
      </c>
      <c r="E15795" t="inlineStr">
        <is>
          <t>China</t>
        </is>
      </c>
    </row>
    <row r="15796">
      <c r="A15796" t="inlineStr">
        <is>
          <t>Unipec Singapore Pte Ltd,  Singapore, Singapore</t>
        </is>
      </c>
      <c r="B15796" t="inlineStr">
        <is>
          <t>Trader with Storage</t>
        </is>
      </c>
      <c r="C15796" t="inlineStr">
        <is>
          <t>Control Union Certifications Germany GmbH, Berlin, DE</t>
        </is>
      </c>
      <c r="D15796" t="inlineStr">
        <is>
          <t>20.08.2026</t>
        </is>
      </c>
      <c r="E15796" t="inlineStr">
        <is>
          <t>Singapore</t>
        </is>
      </c>
    </row>
    <row r="15797">
      <c r="A15797" t="inlineStr">
        <is>
          <t>Kutai Sawit Mandiri,  Kabupaten Kutai Timur, Provinsi Kalimantan Timur, Indonesia</t>
        </is>
      </c>
      <c r="B15797" t="inlineStr">
        <is>
          <t>Point of Origin</t>
        </is>
      </c>
      <c r="C15797" t="inlineStr">
        <is>
          <t>PT. Qualitas Sertifikasi Indonesia, Jakarta, ID</t>
        </is>
      </c>
      <c r="D15797" t="inlineStr">
        <is>
          <t>20.08.2026</t>
        </is>
      </c>
      <c r="E15797" t="inlineStr">
        <is>
          <t>Indonesia</t>
        </is>
      </c>
    </row>
    <row r="15798">
      <c r="A15798" t="inlineStr">
        <is>
          <t>Kunming Ruochen Energy Technology Development Co.,Ltd.,  Anning City, Yunnan Province, China</t>
        </is>
      </c>
      <c r="B15798" t="inlineStr">
        <is>
          <t>Collecting Point, Trader with Storage</t>
        </is>
      </c>
      <c r="C15798" t="inlineStr">
        <is>
          <t>RINA Services S.p.A., Genova, IT</t>
        </is>
      </c>
      <c r="D15798" t="inlineStr">
        <is>
          <t>20.08.2026</t>
        </is>
      </c>
      <c r="E15798" t="inlineStr">
        <is>
          <t>China</t>
        </is>
      </c>
    </row>
    <row r="15799">
      <c r="A15799" t="inlineStr">
        <is>
          <t>Geumsan Environment Corporation,  Cheongbuk-eup, Pyeongtaek-si, Gyeonggi-do, South Korea</t>
        </is>
      </c>
      <c r="B15799" t="inlineStr">
        <is>
          <t>Collecting Point, Processing Unit</t>
        </is>
      </c>
      <c r="C15799" t="inlineStr">
        <is>
          <t>Control Union Certifications Germany GmbH, Berlin, DE</t>
        </is>
      </c>
      <c r="D15799" t="inlineStr">
        <is>
          <t>20.08.2026</t>
        </is>
      </c>
      <c r="E15799" t="inlineStr">
        <is>
          <t>South Korea</t>
        </is>
      </c>
    </row>
    <row r="15800">
      <c r="A15800" t="inlineStr">
        <is>
          <t>INEOS Manufacturing Deutschland,  Köln, Germany</t>
        </is>
      </c>
      <c r="B15800" t="inlineStr">
        <is>
          <t>Processing Unit, Trader</t>
        </is>
      </c>
      <c r="C15800" t="inlineStr">
        <is>
          <t>DNV Business Assurance Sweden AB, Solna, SE</t>
        </is>
      </c>
      <c r="D15800" t="inlineStr">
        <is>
          <t>20.08.2026</t>
        </is>
      </c>
      <c r="E15800" t="inlineStr">
        <is>
          <t>Germany</t>
        </is>
      </c>
    </row>
    <row r="15801">
      <c r="A15801" t="inlineStr">
        <is>
          <t>UNITED BUNKERS BV,  ANTWERPEN, Belgium</t>
        </is>
      </c>
      <c r="B15801" t="inlineStr">
        <is>
          <t>Proof of Compliance Trader, Trader with Storage</t>
        </is>
      </c>
      <c r="C15801" t="inlineStr">
        <is>
          <t>DEKRA Certification B.V., Arnhem, NL</t>
        </is>
      </c>
      <c r="D15801" t="inlineStr">
        <is>
          <t>20.08.2026</t>
        </is>
      </c>
      <c r="E15801" t="inlineStr">
        <is>
          <t>Belgium</t>
        </is>
      </c>
    </row>
    <row r="15802">
      <c r="A15802" t="inlineStr">
        <is>
          <t>GRANO 2004,  Miskolc, Hungary</t>
        </is>
      </c>
      <c r="B15802" t="inlineStr">
        <is>
          <t>Central Office (Farms/Plantations)</t>
        </is>
      </c>
      <c r="C15802" t="inlineStr">
        <is>
          <t>BM Certification, Riga, LV</t>
        </is>
      </c>
      <c r="D15802" t="inlineStr">
        <is>
          <t>20.08.2026</t>
        </is>
      </c>
      <c r="E15802" t="inlineStr">
        <is>
          <t>Hungary</t>
        </is>
      </c>
    </row>
    <row r="15803">
      <c r="A15803" t="inlineStr">
        <is>
          <t>Cray Valley,  Saint-Avold, France</t>
        </is>
      </c>
      <c r="B15803" t="inlineStr">
        <is>
          <t>Trader with Storage, Processing Unit</t>
        </is>
      </c>
      <c r="C15803" t="inlineStr">
        <is>
          <t>Bureau Veritas Polska Sp. z o.o., Warsaw, PL</t>
        </is>
      </c>
      <c r="D15803" t="inlineStr">
        <is>
          <t>20.08.2026</t>
        </is>
      </c>
      <c r="E15803" t="inlineStr">
        <is>
          <t>France</t>
        </is>
      </c>
    </row>
    <row r="15804">
      <c r="A15804" t="inlineStr">
        <is>
          <t>Henan Xinyinrui Oil Industry Co., Ltd.,  Wancheng District, Nanyang City, Henan Province, China</t>
        </is>
      </c>
      <c r="B15804" t="inlineStr">
        <is>
          <t>Collecting Point, Trader with Storage</t>
        </is>
      </c>
      <c r="C15804" t="inlineStr">
        <is>
          <t>PT Intertek Utama Services, Jakarta, ID</t>
        </is>
      </c>
      <c r="D15804" t="inlineStr">
        <is>
          <t>20.08.2026</t>
        </is>
      </c>
      <c r="E15804" t="inlineStr">
        <is>
          <t>China</t>
        </is>
      </c>
    </row>
    <row r="15805">
      <c r="A15805" t="inlineStr">
        <is>
          <t>Shandong Tingtai New Energy Co., Ltd.,  Dongying City, Shandong Province, China</t>
        </is>
      </c>
      <c r="B15805" t="inlineStr">
        <is>
          <t>Trader</t>
        </is>
      </c>
      <c r="C15805" t="inlineStr">
        <is>
          <t>PT Intertek Utama Services, Jakarta, ID</t>
        </is>
      </c>
      <c r="D15805" t="inlineStr">
        <is>
          <t>20.08.2026</t>
        </is>
      </c>
      <c r="E15805" t="inlineStr">
        <is>
          <t>China</t>
        </is>
      </c>
    </row>
    <row r="15806">
      <c r="A15806" t="inlineStr">
        <is>
          <t>ExxonMobil Petroleum &amp; Chemical BV,  Zwijndrecht, Belgium</t>
        </is>
      </c>
      <c r="B15806" t="inlineStr">
        <is>
          <t>Trader with Storage, Processing Unit</t>
        </is>
      </c>
      <c r="C15806" t="inlineStr">
        <is>
          <t>Bureau Veritas Polska Sp. z o.o., Warsaw, PL</t>
        </is>
      </c>
      <c r="D15806" t="inlineStr">
        <is>
          <t>20.08.2026</t>
        </is>
      </c>
      <c r="E15806" t="inlineStr">
        <is>
          <t>Belgium</t>
        </is>
      </c>
    </row>
    <row r="15807">
      <c r="A15807" t="inlineStr">
        <is>
          <t>Nordic Carbon Renewables A/S,  Hellerup, Denmark</t>
        </is>
      </c>
      <c r="B15807" t="inlineStr">
        <is>
          <t>Trader</t>
        </is>
      </c>
      <c r="C15807" t="inlineStr">
        <is>
          <t>Baltic Control Certification, Risskov, DK</t>
        </is>
      </c>
      <c r="D15807" t="inlineStr">
        <is>
          <t>20.08.2026</t>
        </is>
      </c>
      <c r="E15807" t="inlineStr">
        <is>
          <t>Denmark</t>
        </is>
      </c>
    </row>
    <row r="15808">
      <c r="A15808" t="inlineStr">
        <is>
          <t>Nordic Carbon Renewables A/S,  Hellerup, Denmark</t>
        </is>
      </c>
      <c r="B15808" t="inlineStr">
        <is>
          <t>Trader</t>
        </is>
      </c>
      <c r="C15808" t="inlineStr">
        <is>
          <t>Baltic Control Certification, Risskov, DK</t>
        </is>
      </c>
      <c r="D15808" t="inlineStr">
        <is>
          <t>20.08.2026</t>
        </is>
      </c>
      <c r="E15808" t="inlineStr">
        <is>
          <t>Denmark</t>
        </is>
      </c>
    </row>
    <row r="15809">
      <c r="A15809" t="inlineStr">
        <is>
          <t>BASF Antwerpen,  Antwerp, Belgium</t>
        </is>
      </c>
      <c r="B15809" t="inlineStr">
        <is>
          <t>Processing Unit</t>
        </is>
      </c>
      <c r="C15809" t="inlineStr">
        <is>
          <t>TÜV NORD CERT GmbH, Essen, DE</t>
        </is>
      </c>
      <c r="D15809" t="inlineStr">
        <is>
          <t>20.08.2026</t>
        </is>
      </c>
      <c r="E15809" t="inlineStr">
        <is>
          <t>Belgium</t>
        </is>
      </c>
    </row>
    <row r="15810">
      <c r="A15810" t="inlineStr">
        <is>
          <t>LOKEN TRADING SDN BHD,  Cyberjaya, Malaysia</t>
        </is>
      </c>
      <c r="B15810" t="inlineStr">
        <is>
          <t>Collecting Point, Trader with Storage</t>
        </is>
      </c>
      <c r="C15810" t="inlineStr">
        <is>
          <t>Trans Certification and Inspection Sdn Bhd, Kuantan, MY</t>
        </is>
      </c>
      <c r="D15810" t="inlineStr">
        <is>
          <t>20.08.2026</t>
        </is>
      </c>
      <c r="E15810" t="inlineStr">
        <is>
          <t>Malaysia</t>
        </is>
      </c>
    </row>
    <row r="15811">
      <c r="A15811" t="inlineStr">
        <is>
          <t>BUWON VINA CO., LTD.,  Trang Bom commune, Dong Nai Province, Vietnam</t>
        </is>
      </c>
      <c r="B15811" t="inlineStr">
        <is>
          <t>Processing Unit</t>
        </is>
      </c>
      <c r="C15811" t="inlineStr">
        <is>
          <t>Control Union Certifications Germany GmbH, Berlin, DE</t>
        </is>
      </c>
      <c r="D15811" t="inlineStr">
        <is>
          <t>19.08.2026</t>
        </is>
      </c>
      <c r="E15811" t="inlineStr">
        <is>
          <t>Vietnam</t>
        </is>
      </c>
    </row>
    <row r="15812">
      <c r="A15812" t="inlineStr">
        <is>
          <t>Menergija,  Veselkiškių k 1, Linkuvos sen., Pakruojo r., Lithuania</t>
        </is>
      </c>
      <c r="B15812" t="inlineStr">
        <is>
          <t>Collecting Point, Processing Unit</t>
        </is>
      </c>
      <c r="C15812" t="inlineStr">
        <is>
          <t>Bureau Veritas Polska Sp. z o.o., Warsaw, PL</t>
        </is>
      </c>
      <c r="D15812" t="inlineStr">
        <is>
          <t>19.08.2026</t>
        </is>
      </c>
      <c r="E15812" t="inlineStr">
        <is>
          <t>Lithuania</t>
        </is>
      </c>
    </row>
    <row r="15813">
      <c r="A15813" t="inlineStr">
        <is>
          <t>PRUTUL AGRI TRADE SRL,  Galati, Romania</t>
        </is>
      </c>
      <c r="B15813" t="inlineStr">
        <is>
          <t>Trader with Storage, First Gathering Point</t>
        </is>
      </c>
      <c r="C15813" t="inlineStr">
        <is>
          <t>Bureau Veritas Polska Sp. z o.o., Warsaw, PL</t>
        </is>
      </c>
      <c r="D15813" t="inlineStr">
        <is>
          <t>19.08.2026</t>
        </is>
      </c>
      <c r="E15813" t="inlineStr">
        <is>
          <t>Romania</t>
        </is>
      </c>
    </row>
    <row r="15814">
      <c r="A15814" t="inlineStr">
        <is>
          <t>Granolio d.d.,  Zagreb, Croatia</t>
        </is>
      </c>
      <c r="B15814" t="inlineStr">
        <is>
          <t>First Gathering Point, Trader with Storage</t>
        </is>
      </c>
      <c r="C15814" t="inlineStr">
        <is>
          <t>Bureau Veritas Polska Sp. z o.o., Warsaw, PL</t>
        </is>
      </c>
      <c r="D15814" t="inlineStr">
        <is>
          <t>19.08.2026</t>
        </is>
      </c>
      <c r="E15814" t="inlineStr">
        <is>
          <t>Croatia</t>
        </is>
      </c>
    </row>
    <row r="15815">
      <c r="A15815" t="inlineStr">
        <is>
          <t>SARAS S.P.A. O IN FORMA ESTESA SARAS S.P.A. - RAFFINERIE SARDE,  Sarroch, Italy</t>
        </is>
      </c>
      <c r="B15815" t="inlineStr">
        <is>
          <t>Trader with Storage, Processing Unit</t>
        </is>
      </c>
      <c r="C15815" t="inlineStr">
        <is>
          <t>SGS Germany GmbH, Emstek, DE</t>
        </is>
      </c>
      <c r="D15815" t="inlineStr">
        <is>
          <t>19.08.2026</t>
        </is>
      </c>
      <c r="E15815" t="inlineStr">
        <is>
          <t>Italy</t>
        </is>
      </c>
    </row>
    <row r="15816">
      <c r="A15816" t="inlineStr">
        <is>
          <t>Plastigaur SA,  Andoain, Spain</t>
        </is>
      </c>
      <c r="B15816" t="inlineStr">
        <is>
          <t>Processing Unit</t>
        </is>
      </c>
      <c r="C15816" t="inlineStr">
        <is>
          <t>SGS Germany GmbH, Emstek, DE</t>
        </is>
      </c>
      <c r="D15816" t="inlineStr">
        <is>
          <t>19.08.2026</t>
        </is>
      </c>
      <c r="E15816" t="inlineStr">
        <is>
          <t>Spain</t>
        </is>
      </c>
    </row>
    <row r="15817">
      <c r="A15817" t="inlineStr">
        <is>
          <t>SARAS S.P.A. O IN FORMA ESTESA SARAS S.P.A. - RAFFINERIE SARDE,  Sarroch, Italy</t>
        </is>
      </c>
      <c r="B15817" t="inlineStr">
        <is>
          <t>Processing Unit</t>
        </is>
      </c>
      <c r="C15817" t="inlineStr">
        <is>
          <t>SGS Germany GmbH, Emstek, DE</t>
        </is>
      </c>
      <c r="D15817" t="inlineStr">
        <is>
          <t>19.08.2026</t>
        </is>
      </c>
      <c r="E15817" t="inlineStr">
        <is>
          <t>Italy</t>
        </is>
      </c>
    </row>
    <row r="15818">
      <c r="A15818" t="inlineStr">
        <is>
          <t>Zhejiang Hebang Bionew Material Technology Co., Ltd,  Wenzhou, China</t>
        </is>
      </c>
      <c r="B15818" t="inlineStr">
        <is>
          <t>Farm / Plantation, First Gathering Point, Processing Unit, Trader with Storage</t>
        </is>
      </c>
      <c r="C15818" t="inlineStr">
        <is>
          <t>NSF International, Ann Arbor, MI, US</t>
        </is>
      </c>
      <c r="D15818" t="inlineStr">
        <is>
          <t>19.08.2026</t>
        </is>
      </c>
      <c r="E15818" t="inlineStr">
        <is>
          <t>China</t>
        </is>
      </c>
    </row>
    <row r="15819">
      <c r="A15819" t="inlineStr">
        <is>
          <t>Shanghai Chimbusco Marine Bunker Co., Ltd.,  Shanghai, China</t>
        </is>
      </c>
      <c r="B15819" t="inlineStr">
        <is>
          <t>Trader with Storage</t>
        </is>
      </c>
      <c r="C15819" t="inlineStr">
        <is>
          <t>SGS Germany GmbH, Emstek, DE</t>
        </is>
      </c>
      <c r="D15819" t="inlineStr">
        <is>
          <t>19.08.2026</t>
        </is>
      </c>
      <c r="E15819" t="inlineStr">
        <is>
          <t>China</t>
        </is>
      </c>
    </row>
    <row r="15820">
      <c r="A15820" t="inlineStr">
        <is>
          <t>FGV Palm Industries Sdn Bhd,  Labis, Johor, Malaysia</t>
        </is>
      </c>
      <c r="B15820" t="inlineStr">
        <is>
          <t>Point of Origin</t>
        </is>
      </c>
      <c r="C15820" t="inlineStr">
        <is>
          <t>Trans Certification and Inspection Sdn Bhd, Kuantan, MY</t>
        </is>
      </c>
      <c r="D15820" t="inlineStr">
        <is>
          <t>19.08.2026</t>
        </is>
      </c>
      <c r="E15820" t="inlineStr">
        <is>
          <t>Malaysia</t>
        </is>
      </c>
    </row>
    <row r="15821">
      <c r="A15821" t="inlineStr">
        <is>
          <t>CHANG SHIN VIET NAM Co., LTD,  DONG NAI, Vietnam</t>
        </is>
      </c>
      <c r="B15821" t="inlineStr">
        <is>
          <t>Processing Unit</t>
        </is>
      </c>
      <c r="C15821" t="inlineStr">
        <is>
          <t>SGS Germany GmbH, Emstek, DE</t>
        </is>
      </c>
      <c r="D15821" t="inlineStr">
        <is>
          <t>19.08.2026</t>
        </is>
      </c>
      <c r="E15821" t="inlineStr">
        <is>
          <t>Vietnam</t>
        </is>
      </c>
    </row>
    <row r="15822">
      <c r="A15822" t="inlineStr">
        <is>
          <t>Formosa Plastics,  Point Comfort, Texas, United States</t>
        </is>
      </c>
      <c r="B15822" t="inlineStr">
        <is>
          <t>Processing Unit</t>
        </is>
      </c>
      <c r="C15822" t="inlineStr">
        <is>
          <t>SCS Global Services, Emeryville, CA, US</t>
        </is>
      </c>
      <c r="D15822" t="inlineStr">
        <is>
          <t>19.08.2026</t>
        </is>
      </c>
      <c r="E15822" t="inlineStr">
        <is>
          <t>United States</t>
        </is>
      </c>
    </row>
    <row r="15823">
      <c r="A15823" t="inlineStr">
        <is>
          <t>SAE BANG,  Daegot-myeon, Gimpo-si, South Korea</t>
        </is>
      </c>
      <c r="B15823" t="inlineStr">
        <is>
          <t>Collecting Point, Processing Unit</t>
        </is>
      </c>
      <c r="C15823" t="inlineStr">
        <is>
          <t>Control Union Certifications Germany GmbH, Berlin, DE</t>
        </is>
      </c>
      <c r="D15823" t="inlineStr">
        <is>
          <t>19.08.2026</t>
        </is>
      </c>
      <c r="E15823" t="inlineStr">
        <is>
          <t>South Korea</t>
        </is>
      </c>
    </row>
    <row r="15824">
      <c r="A15824" t="inlineStr">
        <is>
          <t>Georg Menshen,  Finnentrop, Germany</t>
        </is>
      </c>
      <c r="B15824" t="inlineStr">
        <is>
          <t>Processing Unit</t>
        </is>
      </c>
      <c r="C15824" t="inlineStr">
        <is>
          <t>DQS CFS GmbH - Deutsche Gesellschaft für Nachhaltigkeit, Frankfurt am Main, DE</t>
        </is>
      </c>
      <c r="D15824" t="inlineStr">
        <is>
          <t>19.08.2026</t>
        </is>
      </c>
      <c r="E15824" t="inlineStr">
        <is>
          <t>Germany</t>
        </is>
      </c>
    </row>
    <row r="15825">
      <c r="A15825" t="inlineStr">
        <is>
          <t>Aptar Villingen,  Villingen-Schwenningen, Germany</t>
        </is>
      </c>
      <c r="B15825" t="inlineStr">
        <is>
          <t>Processing Unit, Final Product Refinement</t>
        </is>
      </c>
      <c r="C15825" t="inlineStr">
        <is>
          <t>DQS CFS GmbH - Deutsche Gesellschaft für Nachhaltigkeit, Frankfurt am Main, DE</t>
        </is>
      </c>
      <c r="D15825" t="inlineStr">
        <is>
          <t>19.08.2026</t>
        </is>
      </c>
      <c r="E15825" t="inlineStr">
        <is>
          <t>Germany</t>
        </is>
      </c>
    </row>
    <row r="15826">
      <c r="A15826" t="inlineStr">
        <is>
          <t>STX Commodities B.V.,  Amsterdam, Netherlands</t>
        </is>
      </c>
      <c r="B15826" t="inlineStr">
        <is>
          <t>Collecting Point, Trader with Storage</t>
        </is>
      </c>
      <c r="C15826" t="inlineStr">
        <is>
          <t>DEKRA Certification B.V., Arnhem, NL</t>
        </is>
      </c>
      <c r="D15826" t="inlineStr">
        <is>
          <t>19.08.2026</t>
        </is>
      </c>
      <c r="E15826" t="inlineStr">
        <is>
          <t>Netherlands</t>
        </is>
      </c>
    </row>
    <row r="15827">
      <c r="A15827" t="inlineStr">
        <is>
          <t>STX Commodities B.V.,  Amsterdam, Netherlands</t>
        </is>
      </c>
      <c r="B15827" t="inlineStr">
        <is>
          <t>Trader</t>
        </is>
      </c>
      <c r="C15827" t="inlineStr">
        <is>
          <t>DEKRA Certification B.V., Arnhem, NL</t>
        </is>
      </c>
      <c r="D15827" t="inlineStr">
        <is>
          <t>19.08.2026</t>
        </is>
      </c>
      <c r="E15827" t="inlineStr">
        <is>
          <t>Netherlands</t>
        </is>
      </c>
    </row>
    <row r="15828">
      <c r="A15828" t="inlineStr">
        <is>
          <t>Peters Biogas B.V.,  Luttelgeest, The Netherlands</t>
        </is>
      </c>
      <c r="B15828" t="inlineStr">
        <is>
          <t>Collecting Point, Processing Unit</t>
        </is>
      </c>
      <c r="C15828" t="inlineStr">
        <is>
          <t>DEKRA Certification B.V., Arnhem, NL</t>
        </is>
      </c>
      <c r="D15828" t="inlineStr">
        <is>
          <t>19.08.2026</t>
        </is>
      </c>
      <c r="E15828" t="inlineStr">
        <is>
          <t>The Netherlands</t>
        </is>
      </c>
    </row>
    <row r="15829">
      <c r="A15829" t="inlineStr">
        <is>
          <t>PT. Karya Inti Tani,  Kabupaten Ogan Komering Ulu, Indonesia</t>
        </is>
      </c>
      <c r="B15829" t="inlineStr">
        <is>
          <t>Point of Origin</t>
        </is>
      </c>
      <c r="C15829" t="inlineStr">
        <is>
          <t>PT. Qualitas Sertifikasi Indonesia, Jakarta, ID</t>
        </is>
      </c>
      <c r="D15829" t="inlineStr">
        <is>
          <t>19.08.2026</t>
        </is>
      </c>
      <c r="E15829" t="inlineStr">
        <is>
          <t>Indonesia</t>
        </is>
      </c>
    </row>
    <row r="15830">
      <c r="A15830" t="inlineStr">
        <is>
          <t>LIFE Agro s.r.o.,  Praha Vysočany, Czech Republic</t>
        </is>
      </c>
      <c r="B15830" t="inlineStr">
        <is>
          <t>Trader</t>
        </is>
      </c>
      <c r="C15830" t="inlineStr">
        <is>
          <t>United Registrar of Systems Polska Sp. z o.o., Wrocław, PL</t>
        </is>
      </c>
      <c r="D15830" t="inlineStr">
        <is>
          <t>19.08.2026</t>
        </is>
      </c>
      <c r="E15830" t="inlineStr">
        <is>
          <t>Czech Republic</t>
        </is>
      </c>
    </row>
    <row r="15831">
      <c r="A15831" t="inlineStr">
        <is>
          <t>Grainland Farmers,  Roanoke, Illinois, United States</t>
        </is>
      </c>
      <c r="B15831" t="inlineStr">
        <is>
          <t>First Gathering Point</t>
        </is>
      </c>
      <c r="C15831" t="inlineStr">
        <is>
          <t>Control Union Certifications Germany GmbH, Berlin, DE</t>
        </is>
      </c>
      <c r="D15831" t="inlineStr">
        <is>
          <t>19.08.2026</t>
        </is>
      </c>
      <c r="E15831" t="inlineStr">
        <is>
          <t>United States</t>
        </is>
      </c>
    </row>
    <row r="15832">
      <c r="A15832" t="inlineStr">
        <is>
          <t>Grainland Farmers,  Roanoke, Illinois, United States</t>
        </is>
      </c>
      <c r="B15832" t="inlineStr">
        <is>
          <t>First Gathering Point</t>
        </is>
      </c>
      <c r="C15832" t="inlineStr">
        <is>
          <t>Control Union Certifications Germany GmbH, Berlin, DE</t>
        </is>
      </c>
      <c r="D15832" t="inlineStr">
        <is>
          <t>19.08.2026</t>
        </is>
      </c>
      <c r="E15832" t="inlineStr">
        <is>
          <t>United States</t>
        </is>
      </c>
    </row>
    <row r="15833">
      <c r="A15833" t="inlineStr">
        <is>
          <t>DAEWON INDUSTRIAL CO., LTD.,  Incheon, South Korea</t>
        </is>
      </c>
      <c r="B15833" t="inlineStr">
        <is>
          <t>Processing Unit, Final Product Refinement</t>
        </is>
      </c>
      <c r="C15833" t="inlineStr">
        <is>
          <t>Korean Foundation for Quality, Songpa-gu, Seoul, KR</t>
        </is>
      </c>
      <c r="D15833" t="inlineStr">
        <is>
          <t>19.08.2026</t>
        </is>
      </c>
      <c r="E15833" t="inlineStr">
        <is>
          <t>South Korea</t>
        </is>
      </c>
    </row>
    <row r="15834">
      <c r="A15834" t="inlineStr">
        <is>
          <t>Karya Alam Perdana,  Kab. Konawe Selatan, Indonesia</t>
        </is>
      </c>
      <c r="B15834" t="inlineStr">
        <is>
          <t>Point of Origin</t>
        </is>
      </c>
      <c r="C15834" t="inlineStr">
        <is>
          <t>PT. CBQA GLOBAL INDONESIA, JAKARTA SELATAN, ID</t>
        </is>
      </c>
      <c r="D15834" t="inlineStr">
        <is>
          <t>19.08.2026</t>
        </is>
      </c>
      <c r="E15834" t="inlineStr">
        <is>
          <t>Indonesia</t>
        </is>
      </c>
    </row>
    <row r="15835">
      <c r="A15835" t="inlineStr">
        <is>
          <t>Indorama Ventures Mobility (Kaiping) No.2 Co., Ltd.,  Kaiping, China</t>
        </is>
      </c>
      <c r="B15835" t="inlineStr">
        <is>
          <t>Processing Unit, Trader</t>
        </is>
      </c>
      <c r="C15835" t="inlineStr">
        <is>
          <t>SGS Germany GmbH, Emstek, DE</t>
        </is>
      </c>
      <c r="D15835" t="inlineStr">
        <is>
          <t>19.08.2026</t>
        </is>
      </c>
      <c r="E15835" t="inlineStr">
        <is>
          <t>China</t>
        </is>
      </c>
    </row>
    <row r="15836">
      <c r="A15836" t="inlineStr">
        <is>
          <t>Viet D.E.L.T.A Industrial Co.,Ltd,  Ward 24, Binh Thanh District, Ho Chi Minh City, Vietnam</t>
        </is>
      </c>
      <c r="B15836" t="inlineStr">
        <is>
          <t>Trader</t>
        </is>
      </c>
      <c r="C15836" t="inlineStr">
        <is>
          <t>PT Intertek Utama Services, Jakarta, ID</t>
        </is>
      </c>
      <c r="D15836" t="inlineStr">
        <is>
          <t>19.08.2026</t>
        </is>
      </c>
      <c r="E15836" t="inlineStr">
        <is>
          <t>Vietnam</t>
        </is>
      </c>
    </row>
    <row r="15837">
      <c r="A15837" t="inlineStr">
        <is>
          <t>MEDARA TRADING,  Amsterdam, Netherlands</t>
        </is>
      </c>
      <c r="B15837" t="inlineStr">
        <is>
          <t>Trader</t>
        </is>
      </c>
      <c r="C15837" t="inlineStr">
        <is>
          <t>SGS Germany GmbH, Emstek, DE</t>
        </is>
      </c>
      <c r="D15837" t="inlineStr">
        <is>
          <t>19.08.2026</t>
        </is>
      </c>
      <c r="E15837" t="inlineStr">
        <is>
          <t>Netherlands</t>
        </is>
      </c>
    </row>
    <row r="15838">
      <c r="A15838" t="inlineStr">
        <is>
          <t>HANG JIANG RESOURCES LTD,  HONG KONG, China</t>
        </is>
      </c>
      <c r="B15838" t="inlineStr">
        <is>
          <t>Trader</t>
        </is>
      </c>
      <c r="C15838" t="inlineStr">
        <is>
          <t>SGS Germany GmbH, Emstek, DE</t>
        </is>
      </c>
      <c r="D15838" t="inlineStr">
        <is>
          <t>19.08.2026</t>
        </is>
      </c>
      <c r="E15838" t="inlineStr">
        <is>
          <t>China</t>
        </is>
      </c>
    </row>
    <row r="15839">
      <c r="A15839" t="inlineStr">
        <is>
          <t>SC LCM LAZCOM,  Sanandrei, Km 13., Romania</t>
        </is>
      </c>
      <c r="B15839" t="inlineStr">
        <is>
          <t>First Gathering Point, Trader</t>
        </is>
      </c>
      <c r="C15839" t="inlineStr">
        <is>
          <t>SRAC Cert SRL, Bucharest, RO</t>
        </is>
      </c>
      <c r="D15839" t="inlineStr">
        <is>
          <t>19.08.2026</t>
        </is>
      </c>
      <c r="E15839" t="inlineStr">
        <is>
          <t>Romania</t>
        </is>
      </c>
    </row>
    <row r="15840">
      <c r="A15840" t="inlineStr">
        <is>
          <t>PT SUMBER KARYA HIJAU,  Jakarta Utara, Indonesia</t>
        </is>
      </c>
      <c r="B15840" t="inlineStr">
        <is>
          <t>Trader</t>
        </is>
      </c>
      <c r="C15840" t="inlineStr">
        <is>
          <t>PT. Qualitas Sertifikasi Indonesia, Jakarta, ID</t>
        </is>
      </c>
      <c r="D15840" t="inlineStr">
        <is>
          <t>19.08.2026</t>
        </is>
      </c>
      <c r="E15840" t="inlineStr">
        <is>
          <t>Indonesia</t>
        </is>
      </c>
    </row>
    <row r="15841">
      <c r="A15841" t="inlineStr">
        <is>
          <t>FGV PALM INDUSTRIES SDN BHD (KKS HAMPARAN BADAI),  LAHAD DATU, Malaysia</t>
        </is>
      </c>
      <c r="B15841" t="inlineStr">
        <is>
          <t>Point of Origin</t>
        </is>
      </c>
      <c r="C15841" t="inlineStr">
        <is>
          <t>Trans Certification and Inspection Sdn Bhd, Kuantan, MY</t>
        </is>
      </c>
      <c r="D15841" t="inlineStr">
        <is>
          <t>19.08.2026</t>
        </is>
      </c>
      <c r="E15841" t="inlineStr">
        <is>
          <t>Malaysia</t>
        </is>
      </c>
    </row>
    <row r="15842">
      <c r="A15842" t="inlineStr">
        <is>
          <t>KPI OceanConnect UK Ltd,  London, The United Kingdom</t>
        </is>
      </c>
      <c r="B15842" t="inlineStr">
        <is>
          <t>Trader, Proof of Compliance Trader</t>
        </is>
      </c>
      <c r="C15842" t="inlineStr">
        <is>
          <t>Baltic Control Certification, Risskov, DK</t>
        </is>
      </c>
      <c r="D15842" t="inlineStr">
        <is>
          <t>19.08.2026</t>
        </is>
      </c>
      <c r="E15842" t="inlineStr">
        <is>
          <t>The United Kingdom</t>
        </is>
      </c>
    </row>
    <row r="15843">
      <c r="A15843" t="inlineStr">
        <is>
          <t>AROCHEM CORPORATION,  Yanchao Dist., Kaohsiung City, Taiwan, Province of China</t>
        </is>
      </c>
      <c r="B15843" t="inlineStr">
        <is>
          <t>Processing Unit</t>
        </is>
      </c>
      <c r="C15843" t="inlineStr">
        <is>
          <t>Bureau Veritas Polska Sp. z o.o., Warsaw, PL</t>
        </is>
      </c>
      <c r="D15843" t="inlineStr">
        <is>
          <t>19.08.2026</t>
        </is>
      </c>
      <c r="E15843" t="inlineStr">
        <is>
          <t>Province of China</t>
        </is>
      </c>
    </row>
    <row r="15844">
      <c r="A15844" t="inlineStr">
        <is>
          <t>YUEN LIANG INDUSTRIAL &amp; CO., LTD.,  Yanchao Dist., Kaohsiung City, Taiwan, Province of China</t>
        </is>
      </c>
      <c r="B15844" t="inlineStr">
        <is>
          <t>Trader</t>
        </is>
      </c>
      <c r="C15844" t="inlineStr">
        <is>
          <t>Bureau Veritas Polska Sp. z o.o., Warsaw, PL</t>
        </is>
      </c>
      <c r="D15844" t="inlineStr">
        <is>
          <t>19.08.2026</t>
        </is>
      </c>
      <c r="E15844" t="inlineStr">
        <is>
          <t>Province of China</t>
        </is>
      </c>
    </row>
    <row r="15845">
      <c r="A15845" t="inlineStr">
        <is>
          <t>Enens,  Lieusaint, France</t>
        </is>
      </c>
      <c r="B15845" t="inlineStr">
        <is>
          <t>Trader with Storage</t>
        </is>
      </c>
      <c r="C15845" t="inlineStr">
        <is>
          <t>Control Union Certifications Germany GmbH, Berlin, DE</t>
        </is>
      </c>
      <c r="D15845" t="inlineStr">
        <is>
          <t>18.08.2026</t>
        </is>
      </c>
      <c r="E15845" t="inlineStr">
        <is>
          <t>France</t>
        </is>
      </c>
    </row>
    <row r="15846">
      <c r="A15846" t="inlineStr">
        <is>
          <t>Ohkei Optical Co., Ltd.,  Inage-ku, Chiba-shi, Chiba, Japan</t>
        </is>
      </c>
      <c r="B15846" t="inlineStr">
        <is>
          <t>Processing Unit</t>
        </is>
      </c>
      <c r="C15846" t="inlineStr">
        <is>
          <t>Control Union Certifications Germany GmbH, Berlin, DE</t>
        </is>
      </c>
      <c r="D15846" t="inlineStr">
        <is>
          <t>18.08.2026</t>
        </is>
      </c>
      <c r="E15846" t="inlineStr">
        <is>
          <t>Japan</t>
        </is>
      </c>
    </row>
    <row r="15847">
      <c r="A15847" t="inlineStr">
        <is>
          <t>Mitsubishi Chemical Corporation,  Maibara-shi, Japan</t>
        </is>
      </c>
      <c r="B15847" t="inlineStr">
        <is>
          <t>Processing Unit, Point of Origin</t>
        </is>
      </c>
      <c r="C15847" t="inlineStr">
        <is>
          <t>Control Union Certifications Germany GmbH, Berlin, DE</t>
        </is>
      </c>
      <c r="D15847" t="inlineStr">
        <is>
          <t>18.08.2026</t>
        </is>
      </c>
      <c r="E15847" t="inlineStr">
        <is>
          <t>Japan</t>
        </is>
      </c>
    </row>
    <row r="15848">
      <c r="A15848" t="inlineStr">
        <is>
          <t>Sukses Bersama Pirolisis,  Kelurahan Gunung Putri, Kecamatan Gunung Putri, Indonesia</t>
        </is>
      </c>
      <c r="B15848" t="inlineStr">
        <is>
          <t>Collecting Point, Processing Unit</t>
        </is>
      </c>
      <c r="C15848" t="inlineStr">
        <is>
          <t>PT. Qualitas Sertifikasi Indonesia, Jakarta, ID</t>
        </is>
      </c>
      <c r="D15848" t="inlineStr">
        <is>
          <t>18.08.2026</t>
        </is>
      </c>
      <c r="E15848" t="inlineStr">
        <is>
          <t>Indonesia</t>
        </is>
      </c>
    </row>
    <row r="15849">
      <c r="A15849" t="inlineStr">
        <is>
          <t>Green Plains Wood River,  Wood River, NE, United States</t>
        </is>
      </c>
      <c r="B15849" t="inlineStr">
        <is>
          <t>Processing Unit</t>
        </is>
      </c>
      <c r="C15849" t="inlineStr">
        <is>
          <t>SCS Global Services, Emeryville, CA, US</t>
        </is>
      </c>
      <c r="D15849" t="inlineStr">
        <is>
          <t>18.08.2026</t>
        </is>
      </c>
      <c r="E15849" t="inlineStr">
        <is>
          <t>United States</t>
        </is>
      </c>
    </row>
    <row r="15850">
      <c r="A15850" t="inlineStr">
        <is>
          <t>PT. SUNG LIM INDONESIA JAYA,  KARAWANG, Indonesia</t>
        </is>
      </c>
      <c r="B15850" t="inlineStr">
        <is>
          <t>Trader</t>
        </is>
      </c>
      <c r="C15850" t="inlineStr">
        <is>
          <t>PT. Qualitas Sertifikasi Indonesia, Jakarta, ID</t>
        </is>
      </c>
      <c r="D15850" t="inlineStr">
        <is>
          <t>18.08.2026</t>
        </is>
      </c>
      <c r="E15850" t="inlineStr">
        <is>
          <t>Indonesia</t>
        </is>
      </c>
    </row>
    <row r="15851">
      <c r="A15851" t="inlineStr">
        <is>
          <t>IVICT (Singapore) Pte. Ltd,  Singapore, Singapore</t>
        </is>
      </c>
      <c r="B15851" t="inlineStr">
        <is>
          <t>Trader</t>
        </is>
      </c>
      <c r="C15851" t="inlineStr">
        <is>
          <t>SGS Germany GmbH, Emstek, DE</t>
        </is>
      </c>
      <c r="D15851" t="inlineStr">
        <is>
          <t>18.08.2026</t>
        </is>
      </c>
      <c r="E15851" t="inlineStr">
        <is>
          <t>Singapore</t>
        </is>
      </c>
    </row>
    <row r="15852">
      <c r="A15852" t="inlineStr">
        <is>
          <t>MPOli S.R.L.,  PIOBESI D'ALBA (CN), Italy</t>
        </is>
      </c>
      <c r="B15852" t="inlineStr">
        <is>
          <t>Collecting Point</t>
        </is>
      </c>
      <c r="C15852" t="inlineStr">
        <is>
          <t>RINA Services S.p.A., Genova, IT</t>
        </is>
      </c>
      <c r="D15852" t="inlineStr">
        <is>
          <t>18.08.2026</t>
        </is>
      </c>
      <c r="E15852" t="inlineStr">
        <is>
          <t>Italy</t>
        </is>
      </c>
    </row>
    <row r="15853">
      <c r="A15853" t="inlineStr">
        <is>
          <t>PASTERNAK, BAUM &amp; CO., INC,  HARRISON, United States</t>
        </is>
      </c>
      <c r="B15853" t="inlineStr">
        <is>
          <t>Trader</t>
        </is>
      </c>
      <c r="C15853" t="inlineStr">
        <is>
          <t>SCS Global Services, Emeryville, CA, US</t>
        </is>
      </c>
      <c r="D15853" t="inlineStr">
        <is>
          <t>18.08.2026</t>
        </is>
      </c>
      <c r="E15853" t="inlineStr">
        <is>
          <t>United States</t>
        </is>
      </c>
    </row>
    <row r="15854">
      <c r="A15854" t="inlineStr">
        <is>
          <t>PASTERNAK, BAUM &amp; CO., INC,  HARRISON, United States</t>
        </is>
      </c>
      <c r="B15854" t="inlineStr">
        <is>
          <t>Trader</t>
        </is>
      </c>
      <c r="C15854" t="inlineStr">
        <is>
          <t>SCS Global Services, Emeryville, CA, US</t>
        </is>
      </c>
      <c r="D15854" t="inlineStr">
        <is>
          <t>18.08.2026</t>
        </is>
      </c>
      <c r="E15854" t="inlineStr">
        <is>
          <t>United States</t>
        </is>
      </c>
    </row>
    <row r="15855">
      <c r="A15855" t="inlineStr">
        <is>
          <t>Wenzhou Lanson International Co., ltd.,  Wenzhou, Zhejiang, China</t>
        </is>
      </c>
      <c r="B15855" t="inlineStr">
        <is>
          <t>Trader</t>
        </is>
      </c>
      <c r="C15855" t="inlineStr">
        <is>
          <t>SCS Global Services, Emeryville, CA, US</t>
        </is>
      </c>
      <c r="D15855" t="inlineStr">
        <is>
          <t>18.08.2026</t>
        </is>
      </c>
      <c r="E15855" t="inlineStr">
        <is>
          <t>China</t>
        </is>
      </c>
    </row>
    <row r="15856">
      <c r="A15856" t="inlineStr">
        <is>
          <t>Rendac Jagel GmbH,  Jagel, Germany</t>
        </is>
      </c>
      <c r="B15856" t="inlineStr">
        <is>
          <t>Point of Origin</t>
        </is>
      </c>
      <c r="C15856" t="inlineStr">
        <is>
          <t>DEKRA Certification B.V., Arnhem, NL</t>
        </is>
      </c>
      <c r="D15856" t="inlineStr">
        <is>
          <t>18.08.2026</t>
        </is>
      </c>
      <c r="E15856" t="inlineStr">
        <is>
          <t>Germany</t>
        </is>
      </c>
    </row>
    <row r="15857">
      <c r="A15857" t="inlineStr">
        <is>
          <t>Rendac Rotenburg GmbH,  Rotenburg/ Wümme, Germany</t>
        </is>
      </c>
      <c r="B15857" t="inlineStr">
        <is>
          <t>Point of Origin</t>
        </is>
      </c>
      <c r="C15857" t="inlineStr">
        <is>
          <t>DEKRA Certification B.V., Arnhem, NL</t>
        </is>
      </c>
      <c r="D15857" t="inlineStr">
        <is>
          <t>18.08.2026</t>
        </is>
      </c>
      <c r="E15857" t="inlineStr">
        <is>
          <t>Germany</t>
        </is>
      </c>
    </row>
    <row r="15858">
      <c r="A15858" t="inlineStr">
        <is>
          <t>Formosa Plastics Cooperation,  Mailiao Township, Taiwan, Province of China</t>
        </is>
      </c>
      <c r="B15858" t="inlineStr">
        <is>
          <t>Processing Unit</t>
        </is>
      </c>
      <c r="C15858" t="inlineStr">
        <is>
          <t>Bureau Veritas Polska Sp. z o.o., Warsaw, PL</t>
        </is>
      </c>
      <c r="D15858" t="inlineStr">
        <is>
          <t>18.08.2026</t>
        </is>
      </c>
      <c r="E15858" t="inlineStr">
        <is>
          <t>Province of China</t>
        </is>
      </c>
    </row>
    <row r="15859">
      <c r="A15859" t="inlineStr">
        <is>
          <t>Altens,  La Rochelle, France</t>
        </is>
      </c>
      <c r="B15859" t="inlineStr">
        <is>
          <t>Trader with Storage</t>
        </is>
      </c>
      <c r="C15859" t="inlineStr">
        <is>
          <t>Control Union Certifications Germany GmbH, Berlin, DE</t>
        </is>
      </c>
      <c r="D15859" t="inlineStr">
        <is>
          <t>18.08.2026</t>
        </is>
      </c>
      <c r="E15859" t="inlineStr">
        <is>
          <t>France</t>
        </is>
      </c>
    </row>
    <row r="15860">
      <c r="A15860" t="inlineStr">
        <is>
          <t>Vinnytska Ptakhofabryka,  Ladyzhyn territorial community, Haisyn district, Ukraine</t>
        </is>
      </c>
      <c r="B15860" t="inlineStr">
        <is>
          <t>Processing Unit</t>
        </is>
      </c>
      <c r="C15860" t="inlineStr">
        <is>
          <t>Bureau Veritas Polska Sp. z o.o., Warsaw, PL</t>
        </is>
      </c>
      <c r="D15860" t="inlineStr">
        <is>
          <t>18.08.2026</t>
        </is>
      </c>
      <c r="E15860" t="inlineStr">
        <is>
          <t>Ukraine</t>
        </is>
      </c>
    </row>
    <row r="15861">
      <c r="A15861" t="inlineStr">
        <is>
          <t>SHIN-ETSU (HONG KONG) CO., LIMITED.,  Hong Kong, China</t>
        </is>
      </c>
      <c r="B15861" t="inlineStr">
        <is>
          <t>Trader</t>
        </is>
      </c>
      <c r="C15861" t="inlineStr">
        <is>
          <t>DIN CERTCO GmbH, Berlin, DE</t>
        </is>
      </c>
      <c r="D15861" t="inlineStr">
        <is>
          <t>18.08.2026</t>
        </is>
      </c>
      <c r="E15861" t="inlineStr">
        <is>
          <t>China</t>
        </is>
      </c>
    </row>
    <row r="15862">
      <c r="A15862" t="inlineStr">
        <is>
          <t>Darányi Gabona Mezőgazdasági Szövetkezet,  Darány, Hungary</t>
        </is>
      </c>
      <c r="B15862" t="inlineStr">
        <is>
          <t>First Gathering Point</t>
        </is>
      </c>
      <c r="C15862" t="inlineStr">
        <is>
          <t>SGS Germany GmbH, Emstek, DE</t>
        </is>
      </c>
      <c r="D15862" t="inlineStr">
        <is>
          <t>18.08.2026</t>
        </is>
      </c>
      <c r="E15862" t="inlineStr">
        <is>
          <t>Hungary</t>
        </is>
      </c>
    </row>
    <row r="15863">
      <c r="A15863" t="inlineStr">
        <is>
          <t>Sedamyl UK Ltd,  Selby, United Kingdom</t>
        </is>
      </c>
      <c r="B15863" t="inlineStr">
        <is>
          <t>Processing Unit, Point of Origin</t>
        </is>
      </c>
      <c r="C15863" t="inlineStr">
        <is>
          <t>Control Union Certifications Germany GmbH, Berlin, DE</t>
        </is>
      </c>
      <c r="D15863" t="inlineStr">
        <is>
          <t>18.08.2026</t>
        </is>
      </c>
      <c r="E15863" t="inlineStr">
        <is>
          <t>United Kingdom</t>
        </is>
      </c>
    </row>
    <row r="15864">
      <c r="A15864" t="inlineStr">
        <is>
          <t>Mito Energi Indonesia,  Pekanbaru, Indonesia</t>
        </is>
      </c>
      <c r="B15864" t="inlineStr">
        <is>
          <t>Trader with Storage</t>
        </is>
      </c>
      <c r="C15864" t="inlineStr">
        <is>
          <t>PT SBC Asia Sertifikasi, Kebumen, ID</t>
        </is>
      </c>
      <c r="D15864" t="inlineStr">
        <is>
          <t>18.08.2026</t>
        </is>
      </c>
      <c r="E15864" t="inlineStr">
        <is>
          <t>Indonesia</t>
        </is>
      </c>
    </row>
    <row r="15865">
      <c r="A15865" t="inlineStr">
        <is>
          <t>Golden Falkon,  Singapore, Singapore</t>
        </is>
      </c>
      <c r="B15865" t="inlineStr">
        <is>
          <t>Trader</t>
        </is>
      </c>
      <c r="C15865" t="inlineStr">
        <is>
          <t>PT. Qualitas Sertifikasi Indonesia, Jakarta, ID</t>
        </is>
      </c>
      <c r="D15865" t="inlineStr">
        <is>
          <t>18.08.2026</t>
        </is>
      </c>
      <c r="E15865" t="inlineStr">
        <is>
          <t>Singapore</t>
        </is>
      </c>
    </row>
    <row r="15866">
      <c r="A15866" t="inlineStr">
        <is>
          <t>ArcelorMittal Belgium NV,  Gent, Belgium</t>
        </is>
      </c>
      <c r="B15866" t="inlineStr">
        <is>
          <t>Point of Origin, Processing Unit</t>
        </is>
      </c>
      <c r="C15866" t="inlineStr">
        <is>
          <t>SGS Germany GmbH, Emstek, DE</t>
        </is>
      </c>
      <c r="D15866" t="inlineStr">
        <is>
          <t>18.08.2026</t>
        </is>
      </c>
      <c r="E15866" t="inlineStr">
        <is>
          <t>Belgium</t>
        </is>
      </c>
    </row>
    <row r="15867">
      <c r="A15867" t="inlineStr">
        <is>
          <t>GAU-KER-BAU,  Gara, Hungary</t>
        </is>
      </c>
      <c r="B15867" t="inlineStr">
        <is>
          <t>First Gathering Point</t>
        </is>
      </c>
      <c r="C15867" t="inlineStr">
        <is>
          <t>Bureau Veritas Polska Sp. z o.o., Warsaw, PL</t>
        </is>
      </c>
      <c r="D15867" t="inlineStr">
        <is>
          <t>18.08.2026</t>
        </is>
      </c>
      <c r="E15867" t="inlineStr">
        <is>
          <t>Hungary</t>
        </is>
      </c>
    </row>
    <row r="15868">
      <c r="A15868" t="inlineStr">
        <is>
          <t>Wenzhou Feihong Glasses Co. Ltd,  Wenzhou city, Zhejiang Province, China</t>
        </is>
      </c>
      <c r="B15868" t="inlineStr">
        <is>
          <t>Processing Unit</t>
        </is>
      </c>
      <c r="C15868" t="inlineStr">
        <is>
          <t>SCS Global Services, Emeryville, CA, US</t>
        </is>
      </c>
      <c r="D15868" t="inlineStr">
        <is>
          <t>18.08.2026</t>
        </is>
      </c>
      <c r="E15868" t="inlineStr">
        <is>
          <t>China</t>
        </is>
      </c>
    </row>
    <row r="15869">
      <c r="A15869" t="inlineStr">
        <is>
          <t>BUNGE GIDA SANAYİ VE TİCARET ANONİM ŞİRKETİ ALİAĞA ŞUBESİ (owned by BUNGE GIDA SANAYİ VE TİCARET ANONİM ŞİRKETİ),  ALİAĞA/İZMİR, Turkey</t>
        </is>
      </c>
      <c r="B15869" t="inlineStr">
        <is>
          <t>Processing Unit, Trader with Storage</t>
        </is>
      </c>
      <c r="C15869" t="inlineStr">
        <is>
          <t>Control Union Poland Sp. z o.o., Zielona Gora, PL</t>
        </is>
      </c>
      <c r="D15869" t="inlineStr">
        <is>
          <t>18.08.2026</t>
        </is>
      </c>
      <c r="E15869" t="inlineStr">
        <is>
          <t>Turkey</t>
        </is>
      </c>
    </row>
    <row r="15870">
      <c r="A15870" t="inlineStr">
        <is>
          <t>BUNGE GIDA SANAYİ VE TİCARET ANONİM ŞİRKETİ,  ISTANBUL, Turkey</t>
        </is>
      </c>
      <c r="B15870" t="inlineStr">
        <is>
          <t>Trader with Storage</t>
        </is>
      </c>
      <c r="C15870" t="inlineStr">
        <is>
          <t>Control Union Poland Sp. z o.o., Zielona Gora, PL</t>
        </is>
      </c>
      <c r="D15870" t="inlineStr">
        <is>
          <t>18.08.2026</t>
        </is>
      </c>
      <c r="E15870" t="inlineStr">
        <is>
          <t>Turkey</t>
        </is>
      </c>
    </row>
    <row r="15871">
      <c r="A15871" t="inlineStr">
        <is>
          <t>Jiangsu Zhihao Recycling Technology Co., Ltd.,  Huai’an, China</t>
        </is>
      </c>
      <c r="B15871" t="inlineStr">
        <is>
          <t>Processing Unit, Collecting Point</t>
        </is>
      </c>
      <c r="C15871" t="inlineStr">
        <is>
          <t>PT Intertek Utama Services, Jakarta, ID</t>
        </is>
      </c>
      <c r="D15871" t="inlineStr">
        <is>
          <t>18.08.2026</t>
        </is>
      </c>
      <c r="E15871" t="inlineStr">
        <is>
          <t>China</t>
        </is>
      </c>
    </row>
    <row r="15872">
      <c r="A15872" t="inlineStr">
        <is>
          <t>Riverina Oils &amp; Bio Energy,  Bomen, Australia</t>
        </is>
      </c>
      <c r="B15872" t="inlineStr">
        <is>
          <t>Processing Unit</t>
        </is>
      </c>
      <c r="C15872" t="inlineStr">
        <is>
          <t>SGS Germany GmbH, Emstek, DE</t>
        </is>
      </c>
      <c r="D15872" t="inlineStr">
        <is>
          <t>18.08.2026</t>
        </is>
      </c>
      <c r="E15872" t="inlineStr">
        <is>
          <t>Australia</t>
        </is>
      </c>
    </row>
    <row r="15873">
      <c r="A15873" t="inlineStr">
        <is>
          <t>Usina Açucareira São Manoel S.A,  São Manuel, Brazil</t>
        </is>
      </c>
      <c r="B15873" t="inlineStr">
        <is>
          <t>First Gathering Point</t>
        </is>
      </c>
      <c r="C15873" t="inlineStr">
        <is>
          <t>SCS Global Services, Emeryville, CA, US</t>
        </is>
      </c>
      <c r="D15873" t="inlineStr">
        <is>
          <t>18.08.2026</t>
        </is>
      </c>
      <c r="E15873" t="inlineStr">
        <is>
          <t>Brazil</t>
        </is>
      </c>
    </row>
    <row r="15874">
      <c r="A15874" t="inlineStr">
        <is>
          <t>Green Plains Central City,  Central City, Nebraska, United States</t>
        </is>
      </c>
      <c r="B15874" t="inlineStr">
        <is>
          <t>Processing Unit</t>
        </is>
      </c>
      <c r="C15874" t="inlineStr">
        <is>
          <t>SCS Global Services, Emeryville, CA, US</t>
        </is>
      </c>
      <c r="D15874" t="inlineStr">
        <is>
          <t>18.08.2026</t>
        </is>
      </c>
      <c r="E15874" t="inlineStr">
        <is>
          <t>United States</t>
        </is>
      </c>
    </row>
    <row r="15875">
      <c r="A15875" t="inlineStr">
        <is>
          <t>Huaibei Chunjing Oil Co.,Ltd,  Huaibei, Anhui, China</t>
        </is>
      </c>
      <c r="B15875" t="inlineStr">
        <is>
          <t>Collecting Point, Processing Unit</t>
        </is>
      </c>
      <c r="C15875" t="inlineStr">
        <is>
          <t>SCS Global Services, Emeryville, CA, US</t>
        </is>
      </c>
      <c r="D15875" t="inlineStr">
        <is>
          <t>18.08.2026</t>
        </is>
      </c>
      <c r="E15875" t="inlineStr">
        <is>
          <t>China</t>
        </is>
      </c>
    </row>
    <row r="15876">
      <c r="A15876" t="inlineStr">
        <is>
          <t>Shijiazhuang Huaide Biotechnology Co., Ltd,  Shijiazhuang City, Hebei Province, China</t>
        </is>
      </c>
      <c r="B15876" t="inlineStr">
        <is>
          <t>Collecting Point, Trader with Storage</t>
        </is>
      </c>
      <c r="C15876" t="inlineStr">
        <is>
          <t>SCS Global Services, Emeryville, CA, US</t>
        </is>
      </c>
      <c r="D15876" t="inlineStr">
        <is>
          <t>18.08.2026</t>
        </is>
      </c>
      <c r="E15876" t="inlineStr">
        <is>
          <t>China</t>
        </is>
      </c>
    </row>
    <row r="15877">
      <c r="A15877" t="inlineStr">
        <is>
          <t>FGV REFINERIES SDN BHD (SAHABAT OIL PRODUCTS),  LAHAD DATU, Malaysia</t>
        </is>
      </c>
      <c r="B15877" t="inlineStr">
        <is>
          <t>Point of Origin</t>
        </is>
      </c>
      <c r="C15877" t="inlineStr">
        <is>
          <t>Trans Certification and Inspection Sdn Bhd, Kuantan, MY</t>
        </is>
      </c>
      <c r="D15877" t="inlineStr">
        <is>
          <t>18.08.2026</t>
        </is>
      </c>
      <c r="E15877" t="inlineStr">
        <is>
          <t>Malaysia</t>
        </is>
      </c>
    </row>
    <row r="15878">
      <c r="A15878" t="inlineStr">
        <is>
          <t>FGV PALM INDSUTRIES,  MARAN, Malaysia</t>
        </is>
      </c>
      <c r="B15878" t="inlineStr">
        <is>
          <t>Point of Origin</t>
        </is>
      </c>
      <c r="C15878" t="inlineStr">
        <is>
          <t>Trans Certification and Inspection Sdn Bhd, Kuantan, MY</t>
        </is>
      </c>
      <c r="D15878" t="inlineStr">
        <is>
          <t>18.08.2026</t>
        </is>
      </c>
      <c r="E15878" t="inlineStr">
        <is>
          <t>Malaysia</t>
        </is>
      </c>
    </row>
    <row r="15879">
      <c r="A15879" t="inlineStr">
        <is>
          <t>Wenzhou Lanson Optical Co., LTD.,  Wenzhou City, Zhejiang Province, China</t>
        </is>
      </c>
      <c r="B15879" t="inlineStr">
        <is>
          <t>Processing Unit</t>
        </is>
      </c>
      <c r="C15879" t="inlineStr">
        <is>
          <t>SCS Global Services, Emeryville, CA, US</t>
        </is>
      </c>
      <c r="D15879" t="inlineStr">
        <is>
          <t>18.08.2026</t>
        </is>
      </c>
      <c r="E15879" t="inlineStr">
        <is>
          <t>China</t>
        </is>
      </c>
    </row>
    <row r="15880">
      <c r="A15880" t="inlineStr">
        <is>
          <t>HONG KONG SOUTH STAR INDUSTRIAL DEVELOPMENT CO.,LIMITED,  hongkong, Hong Kong, SAR, China</t>
        </is>
      </c>
      <c r="B15880" t="inlineStr">
        <is>
          <t>Trader</t>
        </is>
      </c>
      <c r="C15880" t="inlineStr">
        <is>
          <t>SCS Global Services, Emeryville, CA, US</t>
        </is>
      </c>
      <c r="D15880" t="inlineStr">
        <is>
          <t>18.08.2026</t>
        </is>
      </c>
      <c r="E15880" t="inlineStr">
        <is>
          <t>China</t>
        </is>
      </c>
    </row>
    <row r="15881">
      <c r="A15881" t="inlineStr">
        <is>
          <t>ORIENTAL WORLD CORPORATION LIMITED,  HONGKONG, Hong Kong, SAR, China</t>
        </is>
      </c>
      <c r="B15881" t="inlineStr">
        <is>
          <t>Trader</t>
        </is>
      </c>
      <c r="C15881" t="inlineStr">
        <is>
          <t>SCS Global Services, Emeryville, CA, US</t>
        </is>
      </c>
      <c r="D15881" t="inlineStr">
        <is>
          <t>18.08.2026</t>
        </is>
      </c>
      <c r="E15881" t="inlineStr">
        <is>
          <t>China</t>
        </is>
      </c>
    </row>
    <row r="15882">
      <c r="A15882" t="inlineStr">
        <is>
          <t>PT. PESONA SAWIT MAKMUR,  Way Kanan Regency, Indonesia</t>
        </is>
      </c>
      <c r="B15882" t="inlineStr">
        <is>
          <t>Point of Origin</t>
        </is>
      </c>
      <c r="C15882" t="inlineStr">
        <is>
          <t>PT. Qualitas Sertifikasi Indonesia, Jakarta, ID</t>
        </is>
      </c>
      <c r="D15882" t="inlineStr">
        <is>
          <t>18.08.2026</t>
        </is>
      </c>
      <c r="E15882" t="inlineStr">
        <is>
          <t>Indonesia</t>
        </is>
      </c>
    </row>
    <row r="15883">
      <c r="A15883" t="inlineStr">
        <is>
          <t>Apicius - Recicalgem de Residuos, Lda,  Machico - Caniçal, Portugal</t>
        </is>
      </c>
      <c r="B15883" t="inlineStr">
        <is>
          <t>Collecting Point</t>
        </is>
      </c>
      <c r="C15883" t="inlineStr">
        <is>
          <t>Certificadora Gallega del Noroeste SL, Vilagarcia de Arousa-Pontevedra, ES</t>
        </is>
      </c>
      <c r="D15883" t="inlineStr">
        <is>
          <t>18.08.2026</t>
        </is>
      </c>
      <c r="E15883" t="inlineStr">
        <is>
          <t>Portugal</t>
        </is>
      </c>
    </row>
    <row r="15884">
      <c r="A15884" t="inlineStr">
        <is>
          <t>MEIYUME (HONG KONG) LIMITED,  Hongkong, Hong Kong, SAR, China</t>
        </is>
      </c>
      <c r="B15884" t="inlineStr">
        <is>
          <t>Trader</t>
        </is>
      </c>
      <c r="C15884" t="inlineStr">
        <is>
          <t>Bureau Veritas Polska Sp. z o.o., Warsaw, PL</t>
        </is>
      </c>
      <c r="D15884" t="inlineStr">
        <is>
          <t>18.08.2026</t>
        </is>
      </c>
      <c r="E15884" t="inlineStr">
        <is>
          <t>China</t>
        </is>
      </c>
    </row>
    <row r="15885">
      <c r="A15885" t="inlineStr">
        <is>
          <t>Trocme Vallart Emballage,  Le Ronssoy, France</t>
        </is>
      </c>
      <c r="B15885" t="inlineStr">
        <is>
          <t>Processing Unit</t>
        </is>
      </c>
      <c r="C15885" t="inlineStr">
        <is>
          <t>Bureau Veritas Polska Sp. z o.o., Warsaw, PL</t>
        </is>
      </c>
      <c r="D15885" t="inlineStr">
        <is>
          <t>18.08.2026</t>
        </is>
      </c>
      <c r="E15885" t="inlineStr">
        <is>
          <t>France</t>
        </is>
      </c>
    </row>
    <row r="15886">
      <c r="A15886" t="inlineStr">
        <is>
          <t>East Wind Footwear Company Limited (India Branch) - Unit 1,  Thiruvannamalai, India</t>
        </is>
      </c>
      <c r="B15886" t="inlineStr">
        <is>
          <t>Final Product Refinement, Processing Unit, Trader</t>
        </is>
      </c>
      <c r="C15886" t="inlineStr">
        <is>
          <t>Cotecna India Inspection Pvt Ltd, Kolkata, IN</t>
        </is>
      </c>
      <c r="D15886" t="inlineStr">
        <is>
          <t>18.08.2026</t>
        </is>
      </c>
      <c r="E15886" t="inlineStr">
        <is>
          <t>India</t>
        </is>
      </c>
    </row>
    <row r="15887">
      <c r="A15887" t="inlineStr">
        <is>
          <t>Green Plains York,  York, Nebraska, United States</t>
        </is>
      </c>
      <c r="B15887" t="inlineStr">
        <is>
          <t>Processing Unit</t>
        </is>
      </c>
      <c r="C15887" t="inlineStr">
        <is>
          <t>SCS Global Services, Emeryville, CA, US</t>
        </is>
      </c>
      <c r="D15887" t="inlineStr">
        <is>
          <t>18.08.2026</t>
        </is>
      </c>
      <c r="E15887" t="inlineStr">
        <is>
          <t>United States</t>
        </is>
      </c>
    </row>
    <row r="15888">
      <c r="A15888" t="inlineStr">
        <is>
          <t>BOURREL,  NARBONNE, France</t>
        </is>
      </c>
      <c r="B15888" t="inlineStr">
        <is>
          <t>Collecting Point</t>
        </is>
      </c>
      <c r="C15888" t="inlineStr">
        <is>
          <t>Control Union Certifications Germany GmbH, Berlin, DE</t>
        </is>
      </c>
      <c r="D15888" t="inlineStr">
        <is>
          <t>18.08.2026</t>
        </is>
      </c>
      <c r="E15888" t="inlineStr">
        <is>
          <t>France</t>
        </is>
      </c>
    </row>
    <row r="15889">
      <c r="A15889" t="inlineStr">
        <is>
          <t>FGV Palm Industries,  MUKIM PULAU TAWAR,JERANTUT, Malaysia</t>
        </is>
      </c>
      <c r="B15889" t="inlineStr">
        <is>
          <t>Point of Origin</t>
        </is>
      </c>
      <c r="C15889" t="inlineStr">
        <is>
          <t>Trans Certification and Inspection Sdn Bhd, Kuantan, MY</t>
        </is>
      </c>
      <c r="D15889" t="inlineStr">
        <is>
          <t>18.08.2026</t>
        </is>
      </c>
      <c r="E15889" t="inlineStr">
        <is>
          <t>Malaysia</t>
        </is>
      </c>
    </row>
    <row r="15890">
      <c r="A15890" t="inlineStr">
        <is>
          <t>FGV Palm Industries Sdn Bhd,  Maran, Malaysia</t>
        </is>
      </c>
      <c r="B15890" t="inlineStr">
        <is>
          <t>Point of Origin</t>
        </is>
      </c>
      <c r="C15890" t="inlineStr">
        <is>
          <t>Trans Certification and Inspection Sdn Bhd, Kuantan, MY</t>
        </is>
      </c>
      <c r="D15890" t="inlineStr">
        <is>
          <t>18.08.2026</t>
        </is>
      </c>
      <c r="E15890" t="inlineStr">
        <is>
          <t>Malaysia</t>
        </is>
      </c>
    </row>
    <row r="15891">
      <c r="A15891" t="inlineStr">
        <is>
          <t>Biocirc Vesthimmerland Biogas,  Farsø, Denmark</t>
        </is>
      </c>
      <c r="B15891" t="inlineStr">
        <is>
          <t>Collecting Point, First Gathering Point, Processing Unit</t>
        </is>
      </c>
      <c r="C15891" t="inlineStr">
        <is>
          <t>Baltic Control Certification, Risskov, DK</t>
        </is>
      </c>
      <c r="D15891" t="inlineStr">
        <is>
          <t>18.08.2026</t>
        </is>
      </c>
      <c r="E15891" t="inlineStr">
        <is>
          <t>Denmark</t>
        </is>
      </c>
    </row>
    <row r="15892">
      <c r="A15892" t="inlineStr">
        <is>
          <t>Lambang Bumi Perkasa,  Lampung, Indonesia</t>
        </is>
      </c>
      <c r="B15892" t="inlineStr">
        <is>
          <t>Point of Origin</t>
        </is>
      </c>
      <c r="C15892" t="inlineStr">
        <is>
          <t>PT. Qualitas Sertifikasi Indonesia, Jakarta, ID</t>
        </is>
      </c>
      <c r="D15892" t="inlineStr">
        <is>
          <t>18.08.2026</t>
        </is>
      </c>
      <c r="E15892" t="inlineStr">
        <is>
          <t>Indonesia</t>
        </is>
      </c>
    </row>
    <row r="15893">
      <c r="A15893" t="inlineStr">
        <is>
          <t>MOSTOS, VINOS Y ALCOHOLES,  Campo de Criptana, Spain</t>
        </is>
      </c>
      <c r="B15893" t="inlineStr">
        <is>
          <t>Collecting Point, Processing Unit</t>
        </is>
      </c>
      <c r="C15893" t="inlineStr">
        <is>
          <t>Control Union Poland Sp. z o.o., Zielona Gora, PL</t>
        </is>
      </c>
      <c r="D15893" t="inlineStr">
        <is>
          <t>17.08.2026</t>
        </is>
      </c>
      <c r="E15893" t="inlineStr">
        <is>
          <t>Spain</t>
        </is>
      </c>
    </row>
    <row r="15894">
      <c r="A15894" t="inlineStr">
        <is>
          <t>Agricultural private enterprise “Nesvich”,  Nesvich, Ukraine</t>
        </is>
      </c>
      <c r="B15894" t="inlineStr">
        <is>
          <t>Farm / Plantation</t>
        </is>
      </c>
      <c r="C15894" t="inlineStr">
        <is>
          <t>Control Union Poland Sp. z o.o., Zielona Gora, PL</t>
        </is>
      </c>
      <c r="D15894" t="inlineStr">
        <is>
          <t>17.08.2026</t>
        </is>
      </c>
      <c r="E15894" t="inlineStr">
        <is>
          <t>Ukraine</t>
        </is>
      </c>
    </row>
    <row r="15895">
      <c r="A15895" t="inlineStr">
        <is>
          <t>Dongguan Times Plastic Sheet Co., Ltd.,  Dongguan, China</t>
        </is>
      </c>
      <c r="B15895" t="inlineStr">
        <is>
          <t>Processing Unit</t>
        </is>
      </c>
      <c r="C15895" t="inlineStr">
        <is>
          <t>SCS Global Services, Emeryville, CA, US</t>
        </is>
      </c>
      <c r="D15895" t="inlineStr">
        <is>
          <t>17.08.2026</t>
        </is>
      </c>
      <c r="E15895" t="inlineStr">
        <is>
          <t>China</t>
        </is>
      </c>
    </row>
    <row r="15896">
      <c r="A15896" t="inlineStr">
        <is>
          <t>Celanese Performance Solutions Switzerland,  Geleen, Netherlands</t>
        </is>
      </c>
      <c r="B15896" t="inlineStr">
        <is>
          <t>Processing Unit</t>
        </is>
      </c>
      <c r="C15896" t="inlineStr">
        <is>
          <t>DIN CERTCO GmbH, Berlin, DE</t>
        </is>
      </c>
      <c r="D15896" t="inlineStr">
        <is>
          <t>17.08.2026</t>
        </is>
      </c>
      <c r="E15896" t="inlineStr">
        <is>
          <t>Netherlands</t>
        </is>
      </c>
    </row>
    <row r="15897">
      <c r="A15897" t="inlineStr">
        <is>
          <t>Cartavio,  Cartavio, Ascope, Peru</t>
        </is>
      </c>
      <c r="B15897" t="inlineStr">
        <is>
          <t>First Gathering Point, Processing Unit</t>
        </is>
      </c>
      <c r="C15897" t="inlineStr">
        <is>
          <t>SCS Global Services, Emeryville, CA, US</t>
        </is>
      </c>
      <c r="D15897" t="inlineStr">
        <is>
          <t>17.08.2026</t>
        </is>
      </c>
      <c r="E15897" t="inlineStr">
        <is>
          <t>Peru</t>
        </is>
      </c>
    </row>
    <row r="15898">
      <c r="A15898" t="inlineStr">
        <is>
          <t>Cartavio,  Cartavio, Ascope, Peru</t>
        </is>
      </c>
      <c r="B15898" t="inlineStr">
        <is>
          <t>First Gathering Point, Processing Unit</t>
        </is>
      </c>
      <c r="C15898" t="inlineStr">
        <is>
          <t>SCS Global Services, Emeryville, CA, US</t>
        </is>
      </c>
      <c r="D15898" t="inlineStr">
        <is>
          <t>17.08.2026</t>
        </is>
      </c>
      <c r="E15898" t="inlineStr">
        <is>
          <t>Peru</t>
        </is>
      </c>
    </row>
    <row r="15899">
      <c r="A15899" t="inlineStr">
        <is>
          <t>NEO Co., Ltd,  Onsan-Eup, Ulju-Gun, Ulsan, South Korea</t>
        </is>
      </c>
      <c r="B15899" t="inlineStr">
        <is>
          <t>Collecting Point, Processing Unit</t>
        </is>
      </c>
      <c r="C15899" t="inlineStr">
        <is>
          <t>Control Union Certifications Germany GmbH, Berlin, DE</t>
        </is>
      </c>
      <c r="D15899" t="inlineStr">
        <is>
          <t>17.08.2026</t>
        </is>
      </c>
      <c r="E15899" t="inlineStr">
        <is>
          <t>South Korea</t>
        </is>
      </c>
    </row>
    <row r="15900">
      <c r="A15900" t="inlineStr">
        <is>
          <t>POLYNT COMPOSITES SPAIN SLU,  MIRANDA DE EBRO, Spain</t>
        </is>
      </c>
      <c r="B15900" t="inlineStr">
        <is>
          <t>Processing Unit</t>
        </is>
      </c>
      <c r="C15900" t="inlineStr">
        <is>
          <t>BMC Assurance, S.L, Santander, ES</t>
        </is>
      </c>
      <c r="D15900" t="inlineStr">
        <is>
          <t>17.08.2026</t>
        </is>
      </c>
      <c r="E15900" t="inlineStr">
        <is>
          <t>Spain</t>
        </is>
      </c>
    </row>
    <row r="15901">
      <c r="A15901" t="inlineStr">
        <is>
          <t>PT Siringo Ringo,  Kab. Labuhan Batu, Rantau Prapat, Sumatera Utara, Indonesia</t>
        </is>
      </c>
      <c r="B15901" t="inlineStr">
        <is>
          <t>Farm / Plantation, Point of Origin, Processing Unit</t>
        </is>
      </c>
      <c r="C15901" t="inlineStr">
        <is>
          <t>Control Union Certifications Germany GmbH, Berlin, DE</t>
        </is>
      </c>
      <c r="D15901" t="inlineStr">
        <is>
          <t>17.08.2026</t>
        </is>
      </c>
      <c r="E15901" t="inlineStr">
        <is>
          <t>Indonesia</t>
        </is>
      </c>
    </row>
    <row r="15902">
      <c r="A15902" t="inlineStr">
        <is>
          <t>Agrorodeo UAB,  Vilnius, Lithuania</t>
        </is>
      </c>
      <c r="B15902" t="inlineStr">
        <is>
          <t>First Gathering Point, Trader with Storage</t>
        </is>
      </c>
      <c r="C15902" t="inlineStr">
        <is>
          <t>Bureau Veritas Polska Sp. z o.o., Warsaw, PL</t>
        </is>
      </c>
      <c r="D15902" t="inlineStr">
        <is>
          <t>17.08.2026</t>
        </is>
      </c>
      <c r="E15902" t="inlineStr">
        <is>
          <t>Lithuania</t>
        </is>
      </c>
    </row>
    <row r="15903">
      <c r="A15903" t="inlineStr">
        <is>
          <t>Jilin Jimeng Acrylic Co., Ltd.,  JILIN CITY,JILIN PROVINCE, China</t>
        </is>
      </c>
      <c r="B15903" t="inlineStr">
        <is>
          <t>Processing Unit</t>
        </is>
      </c>
      <c r="C15903" t="inlineStr">
        <is>
          <t>SGS Germany GmbH, Emstek, DE</t>
        </is>
      </c>
      <c r="D15903" t="inlineStr">
        <is>
          <t>17.08.2026</t>
        </is>
      </c>
      <c r="E15903" t="inlineStr">
        <is>
          <t>China</t>
        </is>
      </c>
    </row>
    <row r="15904">
      <c r="A15904" t="inlineStr">
        <is>
          <t>Plastchem BV,  Hardenberg, Netherlands</t>
        </is>
      </c>
      <c r="B15904" t="inlineStr">
        <is>
          <t>Processing Unit</t>
        </is>
      </c>
      <c r="C15904" t="inlineStr">
        <is>
          <t>Bureau Veritas Polska Sp. z o.o., Warsaw, PL</t>
        </is>
      </c>
      <c r="D15904" t="inlineStr">
        <is>
          <t>17.08.2026</t>
        </is>
      </c>
      <c r="E15904" t="inlineStr">
        <is>
          <t>Netherlands</t>
        </is>
      </c>
    </row>
    <row r="15905">
      <c r="A15905" t="inlineStr">
        <is>
          <t>Shanghai Shenji Energy &amp; Environment Technology Co., Ltd,  Shanghai, China</t>
        </is>
      </c>
      <c r="B15905" t="inlineStr">
        <is>
          <t>Trader with Storage</t>
        </is>
      </c>
      <c r="C15905" t="inlineStr">
        <is>
          <t>SGS Germany GmbH, Emstek, DE</t>
        </is>
      </c>
      <c r="D15905" t="inlineStr">
        <is>
          <t>17.08.2026</t>
        </is>
      </c>
      <c r="E15905" t="inlineStr">
        <is>
          <t>China</t>
        </is>
      </c>
    </row>
    <row r="15906">
      <c r="A15906" t="inlineStr">
        <is>
          <t>Shanghai Shenji Energy &amp; Environment Technology Co., Ltd,  Shanghai, China</t>
        </is>
      </c>
      <c r="B15906" t="inlineStr">
        <is>
          <t>Trader with Storage</t>
        </is>
      </c>
      <c r="C15906" t="inlineStr">
        <is>
          <t>SGS Germany GmbH, Emstek, DE</t>
        </is>
      </c>
      <c r="D15906" t="inlineStr">
        <is>
          <t>17.08.2026</t>
        </is>
      </c>
      <c r="E15906" t="inlineStr">
        <is>
          <t>China</t>
        </is>
      </c>
    </row>
    <row r="15907">
      <c r="A15907" t="inlineStr">
        <is>
          <t>Cooperativa Agricola BIOFOOD AGRI,  et.1, sc.B, ap.38, sector 1, Romania</t>
        </is>
      </c>
      <c r="B15907" t="inlineStr">
        <is>
          <t>First Gathering Point</t>
        </is>
      </c>
      <c r="C15907" t="inlineStr">
        <is>
          <t>BM Certification, Riga, LV</t>
        </is>
      </c>
      <c r="D15907" t="inlineStr">
        <is>
          <t>17.08.2026</t>
        </is>
      </c>
      <c r="E15907" t="inlineStr">
        <is>
          <t>Romania</t>
        </is>
      </c>
    </row>
    <row r="15908">
      <c r="A15908" t="inlineStr">
        <is>
          <t>Grain Express SRL,  Oradea, Romania</t>
        </is>
      </c>
      <c r="B15908" t="inlineStr">
        <is>
          <t>First Gathering Point</t>
        </is>
      </c>
      <c r="C15908" t="inlineStr">
        <is>
          <t>SGS Germany GmbH, Emstek, DE</t>
        </is>
      </c>
      <c r="D15908" t="inlineStr">
        <is>
          <t>17.08.2026</t>
        </is>
      </c>
      <c r="E15908" t="inlineStr">
        <is>
          <t>Romania</t>
        </is>
      </c>
    </row>
    <row r="15909">
      <c r="A15909" t="inlineStr">
        <is>
          <t>King's Flair Development Ltd.,  Huishou, Guangdong, China</t>
        </is>
      </c>
      <c r="B15909" t="inlineStr">
        <is>
          <t>Processing Unit</t>
        </is>
      </c>
      <c r="C15909" t="inlineStr">
        <is>
          <t>TÜV NORD CERT GmbH, Essen, DE</t>
        </is>
      </c>
      <c r="D15909" t="inlineStr">
        <is>
          <t>17.08.2026</t>
        </is>
      </c>
      <c r="E15909" t="inlineStr">
        <is>
          <t>China</t>
        </is>
      </c>
    </row>
    <row r="15910">
      <c r="A15910" t="inlineStr">
        <is>
          <t>King's Flair Development Ltd.,  Dongguan, Guangdong province, China</t>
        </is>
      </c>
      <c r="B15910" t="inlineStr">
        <is>
          <t>Processing Unit</t>
        </is>
      </c>
      <c r="C15910" t="inlineStr">
        <is>
          <t>TÜV NORD CERT GmbH, Essen, DE</t>
        </is>
      </c>
      <c r="D15910" t="inlineStr">
        <is>
          <t>17.08.2026</t>
        </is>
      </c>
      <c r="E15910" t="inlineStr">
        <is>
          <t>China</t>
        </is>
      </c>
    </row>
    <row r="15911">
      <c r="A15911" t="inlineStr">
        <is>
          <t>Classic Segamat Palm Oil Mill,  Mukim Sermin Segamat Johor, Malaysia</t>
        </is>
      </c>
      <c r="B15911" t="inlineStr">
        <is>
          <t>Point of Origin, Trader with Storage</t>
        </is>
      </c>
      <c r="C15911" t="inlineStr">
        <is>
          <t>Trans Certification and Inspection Sdn Bhd, Kuantan, MY</t>
        </is>
      </c>
      <c r="D15911" t="inlineStr">
        <is>
          <t>17.08.2026</t>
        </is>
      </c>
      <c r="E15911" t="inlineStr">
        <is>
          <t>Malaysia</t>
        </is>
      </c>
    </row>
    <row r="15912">
      <c r="A15912" t="inlineStr">
        <is>
          <t>TIAN SIANG OIL MILL (PAHANG),  CHEROH RAUB PAHANG, Malaysia</t>
        </is>
      </c>
      <c r="B15912" t="inlineStr">
        <is>
          <t>Point of Origin</t>
        </is>
      </c>
      <c r="C15912" t="inlineStr">
        <is>
          <t>Trans Certification and Inspection Sdn Bhd, Kuantan, MY</t>
        </is>
      </c>
      <c r="D15912" t="inlineStr">
        <is>
          <t>17.08.2026</t>
        </is>
      </c>
      <c r="E15912" t="inlineStr">
        <is>
          <t>Malaysia</t>
        </is>
      </c>
    </row>
    <row r="15913">
      <c r="A15913" t="inlineStr">
        <is>
          <t>Ruichang Ronglian Environmental Protection Technology Co., Ltd,  Jiujiang City, Jiangxi Province, China</t>
        </is>
      </c>
      <c r="B15913" t="inlineStr">
        <is>
          <t>Processing Unit, Collecting Point</t>
        </is>
      </c>
      <c r="C15913" t="inlineStr">
        <is>
          <t>SCS Global Services, Emeryville, CA, US</t>
        </is>
      </c>
      <c r="D15913" t="inlineStr">
        <is>
          <t>17.08.2026</t>
        </is>
      </c>
      <c r="E15913" t="inlineStr">
        <is>
          <t>China</t>
        </is>
      </c>
    </row>
    <row r="15914">
      <c r="A15914" t="inlineStr">
        <is>
          <t>Sunrising Green Energy Group Co., Limited,  Shenzhen City, Guangdong Province, China</t>
        </is>
      </c>
      <c r="B15914" t="inlineStr">
        <is>
          <t>Trader</t>
        </is>
      </c>
      <c r="C15914" t="inlineStr">
        <is>
          <t>SCS Global Services, Emeryville, CA, US</t>
        </is>
      </c>
      <c r="D15914" t="inlineStr">
        <is>
          <t>17.08.2026</t>
        </is>
      </c>
      <c r="E15914" t="inlineStr">
        <is>
          <t>China</t>
        </is>
      </c>
    </row>
    <row r="15915">
      <c r="A15915" t="inlineStr">
        <is>
          <t>Envalior LPM (India) Private Limited,  GIDC JHAGADIA INDUSTRIAL ESTATE, Jhagadia,, India</t>
        </is>
      </c>
      <c r="B15915" t="inlineStr">
        <is>
          <t>Processing Unit</t>
        </is>
      </c>
      <c r="C15915" t="inlineStr">
        <is>
          <t>TÜV NORD CERT GmbH, Essen, DE</t>
        </is>
      </c>
      <c r="D15915" t="inlineStr">
        <is>
          <t>17.08.2026</t>
        </is>
      </c>
      <c r="E15915" t="inlineStr">
        <is>
          <t>India</t>
        </is>
      </c>
    </row>
    <row r="15916">
      <c r="A15916" t="inlineStr">
        <is>
          <t>Saras Energia S.A.,  PLANTA 6, MADRID, Spain</t>
        </is>
      </c>
      <c r="B15916" t="inlineStr">
        <is>
          <t>Trader with Storage</t>
        </is>
      </c>
      <c r="C15916" t="inlineStr">
        <is>
          <t>Bureau Veritas Polska Sp. z o.o., Warsaw, PL</t>
        </is>
      </c>
      <c r="D15916" t="inlineStr">
        <is>
          <t>17.08.2026</t>
        </is>
      </c>
      <c r="E15916" t="inlineStr">
        <is>
          <t>Spain</t>
        </is>
      </c>
    </row>
    <row r="15917">
      <c r="A15917" t="inlineStr">
        <is>
          <t>Jan Sovel,  Nálepkovo, Slovakia</t>
        </is>
      </c>
      <c r="B15917" t="inlineStr">
        <is>
          <t>Trader, Collecting Point</t>
        </is>
      </c>
      <c r="C15917" t="inlineStr">
        <is>
          <t>United Registrar of Systems Polska Sp. z o.o., Wrocław, PL</t>
        </is>
      </c>
      <c r="D15917" t="inlineStr">
        <is>
          <t>17.08.2026</t>
        </is>
      </c>
      <c r="E15917" t="inlineStr">
        <is>
          <t>Slovakia</t>
        </is>
      </c>
    </row>
    <row r="15918">
      <c r="A15918" t="inlineStr">
        <is>
          <t>MVM CEEnergy Slovakia s.r.o.,  Bratislava, Slovakia</t>
        </is>
      </c>
      <c r="B15918" t="inlineStr">
        <is>
          <t>Trader</t>
        </is>
      </c>
      <c r="C15918" t="inlineStr">
        <is>
          <t>TÜV SÜD Czech s.r.o., Praha 4, CZ</t>
        </is>
      </c>
      <c r="D15918" t="inlineStr">
        <is>
          <t>17.08.2026</t>
        </is>
      </c>
      <c r="E15918" t="inlineStr">
        <is>
          <t>Slovakia</t>
        </is>
      </c>
    </row>
    <row r="15919">
      <c r="A15919" t="inlineStr">
        <is>
          <t>BioCirc Grønhøj Biogas ApS,  Karup J, Denmark</t>
        </is>
      </c>
      <c r="B15919" t="inlineStr">
        <is>
          <t>Collecting Point, First Gathering Point, Processing Unit</t>
        </is>
      </c>
      <c r="C15919" t="inlineStr">
        <is>
          <t>Baltic Control Certification, Risskov, DK</t>
        </is>
      </c>
      <c r="D15919" t="inlineStr">
        <is>
          <t>17.08.2026</t>
        </is>
      </c>
      <c r="E15919" t="inlineStr">
        <is>
          <t>Denmark</t>
        </is>
      </c>
    </row>
    <row r="15920">
      <c r="A15920" t="inlineStr">
        <is>
          <t>FGV PALM INDUSTRIES,  ROMPIN, Malaysia</t>
        </is>
      </c>
      <c r="B15920" t="inlineStr">
        <is>
          <t>Point of Origin</t>
        </is>
      </c>
      <c r="C15920" t="inlineStr">
        <is>
          <t>Trans Certification and Inspection Sdn Bhd, Kuantan, MY</t>
        </is>
      </c>
      <c r="D15920" t="inlineStr">
        <is>
          <t>17.08.2026</t>
        </is>
      </c>
      <c r="E15920" t="inlineStr">
        <is>
          <t>Malaysia</t>
        </is>
      </c>
    </row>
    <row r="15921">
      <c r="A15921" t="inlineStr">
        <is>
          <t>TONGDA OPTICAL CO., LTD,  Bang Sao Thong, Samut Prakarn, Thailand</t>
        </is>
      </c>
      <c r="B15921" t="inlineStr">
        <is>
          <t>Processing Unit, Trader with Storage, Final Product Refinement</t>
        </is>
      </c>
      <c r="C15921" t="inlineStr">
        <is>
          <t>SCS Global Services, Emeryville, CA, US</t>
        </is>
      </c>
      <c r="D15921" t="inlineStr">
        <is>
          <t>17.08.2026</t>
        </is>
      </c>
      <c r="E15921" t="inlineStr">
        <is>
          <t>Thailand</t>
        </is>
      </c>
    </row>
    <row r="15922">
      <c r="A15922" t="inlineStr">
        <is>
          <t>FGV PALM INDUSTRIES,  ROMPIN, Malaysia</t>
        </is>
      </c>
      <c r="B15922" t="inlineStr">
        <is>
          <t>Point of Origin</t>
        </is>
      </c>
      <c r="C15922" t="inlineStr">
        <is>
          <t>Trans Certification and Inspection Sdn Bhd, Kuantan, MY</t>
        </is>
      </c>
      <c r="D15922" t="inlineStr">
        <is>
          <t>17.08.2026</t>
        </is>
      </c>
      <c r="E15922" t="inlineStr">
        <is>
          <t>Malaysia</t>
        </is>
      </c>
    </row>
    <row r="15923">
      <c r="A15923" t="inlineStr">
        <is>
          <t>FGV Palm Industries Sdn Bhd,  Rompin, Malaysia</t>
        </is>
      </c>
      <c r="B15923" t="inlineStr">
        <is>
          <t>Point of Origin</t>
        </is>
      </c>
      <c r="C15923" t="inlineStr">
        <is>
          <t>Trans Certification and Inspection Sdn Bhd, Kuantan, MY</t>
        </is>
      </c>
      <c r="D15923" t="inlineStr">
        <is>
          <t>17.08.2026</t>
        </is>
      </c>
      <c r="E15923" t="inlineStr">
        <is>
          <t>Malaysia</t>
        </is>
      </c>
    </row>
    <row r="15924">
      <c r="A15924" t="inlineStr">
        <is>
          <t>China National Aviation Fuel Supply Co. Ltd Chengdu Branch,  Chengdu, Sichuan Province, China</t>
        </is>
      </c>
      <c r="B15924" t="inlineStr">
        <is>
          <t>Trader with Storage</t>
        </is>
      </c>
      <c r="C15924" t="inlineStr">
        <is>
          <t>China Quality Certification Centre Co., Ltd., Beijing, CN</t>
        </is>
      </c>
      <c r="D15924" t="inlineStr">
        <is>
          <t>17.08.2026</t>
        </is>
      </c>
      <c r="E15924" t="inlineStr">
        <is>
          <t>China</t>
        </is>
      </c>
    </row>
    <row r="15925">
      <c r="A15925" t="inlineStr">
        <is>
          <t>Seges,  Zupanja, Croatia</t>
        </is>
      </c>
      <c r="B15925" t="inlineStr">
        <is>
          <t>Farm / Plantation, First Gathering Point, Trader with Storage</t>
        </is>
      </c>
      <c r="C15925" t="inlineStr">
        <is>
          <t>Bureau Veritas Polska Sp. z o.o., Warsaw, PL</t>
        </is>
      </c>
      <c r="D15925" t="inlineStr">
        <is>
          <t>17.08.2026</t>
        </is>
      </c>
      <c r="E15925" t="inlineStr">
        <is>
          <t>Croatia</t>
        </is>
      </c>
    </row>
    <row r="15926">
      <c r="A15926" t="inlineStr">
        <is>
          <t>Leygatech,  Saint Romain Lachalm, France</t>
        </is>
      </c>
      <c r="B15926" t="inlineStr">
        <is>
          <t>Processing Unit</t>
        </is>
      </c>
      <c r="C15926" t="inlineStr">
        <is>
          <t>Bureau Veritas Polska Sp. z o.o., Warsaw, PL</t>
        </is>
      </c>
      <c r="D15926" t="inlineStr">
        <is>
          <t>17.08.2026</t>
        </is>
      </c>
      <c r="E15926" t="inlineStr">
        <is>
          <t>France</t>
        </is>
      </c>
    </row>
    <row r="15927">
      <c r="A15927" t="inlineStr">
        <is>
          <t>PT. Gapura Mas Lestari,  Desa/Kelurahan Trimulyo, Kec. Genuk, Kota Semarang, Indonesia</t>
        </is>
      </c>
      <c r="B15927" t="inlineStr">
        <is>
          <t>Processing Unit</t>
        </is>
      </c>
      <c r="C15927" t="inlineStr">
        <is>
          <t>Trans Certification and Inspection Sdn Bhd, Kuantan, MY</t>
        </is>
      </c>
      <c r="D15927" t="inlineStr">
        <is>
          <t>17.08.2026</t>
        </is>
      </c>
      <c r="E15927" t="inlineStr">
        <is>
          <t>Indonesia</t>
        </is>
      </c>
    </row>
    <row r="15928">
      <c r="A15928" t="inlineStr">
        <is>
          <t>SHANDONG GOLDEN FOREST INDUSTRY AND TRADE DEVELOPMENTCO., LTD,  Economic Development Zone, Rizhao City, China</t>
        </is>
      </c>
      <c r="B15928" t="inlineStr">
        <is>
          <t>Collecting Point, Trader with Storage</t>
        </is>
      </c>
      <c r="C15928" t="inlineStr">
        <is>
          <t>RINA Services S.p.A., Genova, IT</t>
        </is>
      </c>
      <c r="D15928" t="inlineStr">
        <is>
          <t>17.08.2026</t>
        </is>
      </c>
      <c r="E15928" t="inlineStr">
        <is>
          <t>China</t>
        </is>
      </c>
    </row>
    <row r="15929">
      <c r="A15929" t="inlineStr">
        <is>
          <t>BioCirc Vinkel Biogas,  Højslev, Denmark</t>
        </is>
      </c>
      <c r="B15929" t="inlineStr">
        <is>
          <t>Collecting Point, First Gathering Point, Processing Unit</t>
        </is>
      </c>
      <c r="C15929" t="inlineStr">
        <is>
          <t>Baltic Control Certification, Risskov, DK</t>
        </is>
      </c>
      <c r="D15929" t="inlineStr">
        <is>
          <t>17.08.2026</t>
        </is>
      </c>
      <c r="E15929" t="inlineStr">
        <is>
          <t>Denmark</t>
        </is>
      </c>
    </row>
    <row r="15930">
      <c r="A15930" t="inlineStr">
        <is>
          <t>Enrg projektas 2,  Megučionių k., Linkuvos sen., Pakruojo r. sav., Lithuania</t>
        </is>
      </c>
      <c r="B15930" t="inlineStr">
        <is>
          <t>Collecting Point, Processing Unit</t>
        </is>
      </c>
      <c r="C15930" t="inlineStr">
        <is>
          <t>Bureau Veritas Polska Sp. z o.o., Warsaw, PL</t>
        </is>
      </c>
      <c r="D15930" t="inlineStr">
        <is>
          <t>17.08.2026</t>
        </is>
      </c>
      <c r="E15930" t="inlineStr">
        <is>
          <t>Lithuania</t>
        </is>
      </c>
    </row>
    <row r="15931">
      <c r="A15931" t="inlineStr">
        <is>
          <t>Howa Sangyo Co., Ltd.,  Ujitawara-cho, Tsuzuki-gun, Kyoto, Japan</t>
        </is>
      </c>
      <c r="B15931" t="inlineStr">
        <is>
          <t>Warehouse, Processing Unit</t>
        </is>
      </c>
      <c r="C15931" t="inlineStr">
        <is>
          <t>SGS Germany GmbH, Emstek, DE</t>
        </is>
      </c>
      <c r="D15931" t="inlineStr">
        <is>
          <t>16.08.2026</t>
        </is>
      </c>
      <c r="E15931" t="inlineStr">
        <is>
          <t>Japan</t>
        </is>
      </c>
    </row>
    <row r="15932">
      <c r="A15932" t="inlineStr">
        <is>
          <t>Fandango Collection &amp; Recycling LTD,  Shikmim, Israel</t>
        </is>
      </c>
      <c r="B15932" t="inlineStr">
        <is>
          <t>Collecting Point</t>
        </is>
      </c>
      <c r="C15932" t="inlineStr">
        <is>
          <t>Control Union Certifications Germany GmbH, Berlin, DE</t>
        </is>
      </c>
      <c r="D15932" t="inlineStr">
        <is>
          <t>16.08.2026</t>
        </is>
      </c>
      <c r="E15932" t="inlineStr">
        <is>
          <t>Israel</t>
        </is>
      </c>
    </row>
    <row r="15933">
      <c r="A15933" t="inlineStr">
        <is>
          <t>JPY Trading &amp; Services Sdn Bhd,  Miri, Malaysia</t>
        </is>
      </c>
      <c r="B15933" t="inlineStr">
        <is>
          <t>Trader with Storage</t>
        </is>
      </c>
      <c r="C15933" t="inlineStr">
        <is>
          <t>NIOSH Certification Sdn. Bhd., Selangor Darul Ehsan, MY</t>
        </is>
      </c>
      <c r="D15933" t="inlineStr">
        <is>
          <t>16.08.2026</t>
        </is>
      </c>
      <c r="E15933" t="inlineStr">
        <is>
          <t>Malaysia</t>
        </is>
      </c>
    </row>
    <row r="15934">
      <c r="A15934" t="inlineStr">
        <is>
          <t>TALLERES DAUMAR S.L.,  Sant Antoni de Vilamajor, Barcelona, Spain</t>
        </is>
      </c>
      <c r="B15934" t="inlineStr">
        <is>
          <t>Processing Unit</t>
        </is>
      </c>
      <c r="C15934" t="inlineStr">
        <is>
          <t>BMC Assurance, S.L, Santander, ES</t>
        </is>
      </c>
      <c r="D15934" t="inlineStr">
        <is>
          <t>16.08.2026</t>
        </is>
      </c>
      <c r="E15934" t="inlineStr">
        <is>
          <t>Spain</t>
        </is>
      </c>
    </row>
    <row r="15935">
      <c r="A15935" t="inlineStr">
        <is>
          <t>Ypsomed,  Schwerin, Germany</t>
        </is>
      </c>
      <c r="B15935" t="inlineStr">
        <is>
          <t>Processing Unit</t>
        </is>
      </c>
      <c r="C15935" t="inlineStr">
        <is>
          <t>SGS Germany GmbH, Emstek, DE</t>
        </is>
      </c>
      <c r="D15935" t="inlineStr">
        <is>
          <t>16.08.2026</t>
        </is>
      </c>
      <c r="E15935" t="inlineStr">
        <is>
          <t>Germany</t>
        </is>
      </c>
    </row>
    <row r="15936">
      <c r="A15936" t="inlineStr">
        <is>
          <t>IL CHANG INDUSTRY CO.,  Anyang-si, Gyeonggi-do, Korea, Republic of</t>
        </is>
      </c>
      <c r="B15936" t="inlineStr">
        <is>
          <t>Processing Unit</t>
        </is>
      </c>
      <c r="C15936" t="inlineStr">
        <is>
          <t>Control Union Certifications Germany GmbH, Berlin, DE</t>
        </is>
      </c>
      <c r="D15936" t="inlineStr">
        <is>
          <t>16.08.2026</t>
        </is>
      </c>
      <c r="E15936" t="inlineStr">
        <is>
          <t>Republic of</t>
        </is>
      </c>
    </row>
    <row r="15937">
      <c r="A15937" t="inlineStr">
        <is>
          <t>Ypsomed,  Oberburg, Switzerland</t>
        </is>
      </c>
      <c r="B15937" t="inlineStr">
        <is>
          <t>Processing Unit</t>
        </is>
      </c>
      <c r="C15937" t="inlineStr">
        <is>
          <t>SGS Germany GmbH, Emstek, DE</t>
        </is>
      </c>
      <c r="D15937" t="inlineStr">
        <is>
          <t>16.08.2026</t>
        </is>
      </c>
      <c r="E15937" t="inlineStr">
        <is>
          <t>Switzerland</t>
        </is>
      </c>
    </row>
    <row r="15938">
      <c r="A15938" t="inlineStr">
        <is>
          <t>Howa Sangyo Co., Ltd.,  Asahi-shi, Chiba, Japan</t>
        </is>
      </c>
      <c r="B15938" t="inlineStr">
        <is>
          <t>Processing Unit</t>
        </is>
      </c>
      <c r="C15938" t="inlineStr">
        <is>
          <t>SGS Germany GmbH, Emstek, DE</t>
        </is>
      </c>
      <c r="D15938" t="inlineStr">
        <is>
          <t>16.08.2026</t>
        </is>
      </c>
      <c r="E15938" t="inlineStr">
        <is>
          <t>Japan</t>
        </is>
      </c>
    </row>
    <row r="15939">
      <c r="A15939" t="inlineStr">
        <is>
          <t>SHPP,  AC PO Box 117, Netherlands</t>
        </is>
      </c>
      <c r="B15939" t="inlineStr">
        <is>
          <t>Trader</t>
        </is>
      </c>
      <c r="C15939" t="inlineStr">
        <is>
          <t>TÜV NORD CERT GmbH, Essen, DE</t>
        </is>
      </c>
      <c r="D15939" t="inlineStr">
        <is>
          <t>16.08.2026</t>
        </is>
      </c>
      <c r="E15939" t="inlineStr">
        <is>
          <t>Netherlands</t>
        </is>
      </c>
    </row>
    <row r="15940">
      <c r="A15940" t="inlineStr">
        <is>
          <t>Howa Sangyo Co., Ltd.,  Koga-shi, Fukuoka, Japan</t>
        </is>
      </c>
      <c r="B15940" t="inlineStr">
        <is>
          <t>Processing Unit, Warehouse</t>
        </is>
      </c>
      <c r="C15940" t="inlineStr">
        <is>
          <t>SGS Germany GmbH, Emstek, DE</t>
        </is>
      </c>
      <c r="D15940" t="inlineStr">
        <is>
          <t>16.08.2026</t>
        </is>
      </c>
      <c r="E15940" t="inlineStr">
        <is>
          <t>Japan</t>
        </is>
      </c>
    </row>
    <row r="15941">
      <c r="A15941" t="inlineStr">
        <is>
          <t>Howa Sangyo Co., Ltd.,  Funabashi-shi, Chiba, Japan</t>
        </is>
      </c>
      <c r="B15941" t="inlineStr">
        <is>
          <t>Warehouse, Processing Unit</t>
        </is>
      </c>
      <c r="C15941" t="inlineStr">
        <is>
          <t>SGS Germany GmbH, Emstek, DE</t>
        </is>
      </c>
      <c r="D15941" t="inlineStr">
        <is>
          <t>16.08.2026</t>
        </is>
      </c>
      <c r="E15941" t="inlineStr">
        <is>
          <t>Japan</t>
        </is>
      </c>
    </row>
    <row r="15942">
      <c r="A15942" t="inlineStr">
        <is>
          <t>Ypsomed,  Solothurn, Switzerland</t>
        </is>
      </c>
      <c r="B15942" t="inlineStr">
        <is>
          <t>Processing Unit</t>
        </is>
      </c>
      <c r="C15942" t="inlineStr">
        <is>
          <t>SGS Germany GmbH, Emstek, DE</t>
        </is>
      </c>
      <c r="D15942" t="inlineStr">
        <is>
          <t>16.08.2026</t>
        </is>
      </c>
      <c r="E15942" t="inlineStr">
        <is>
          <t>Switzerland</t>
        </is>
      </c>
    </row>
    <row r="15943">
      <c r="A15943" t="inlineStr">
        <is>
          <t>Casa Grande,  Ascope, Peru</t>
        </is>
      </c>
      <c r="B15943" t="inlineStr">
        <is>
          <t>First Gathering Point, Processing Unit</t>
        </is>
      </c>
      <c r="C15943" t="inlineStr">
        <is>
          <t>SCS Global Services, Emeryville, CA, US</t>
        </is>
      </c>
      <c r="D15943" t="inlineStr">
        <is>
          <t>16.08.2026</t>
        </is>
      </c>
      <c r="E15943" t="inlineStr">
        <is>
          <t>Peru</t>
        </is>
      </c>
    </row>
    <row r="15944">
      <c r="A15944" t="inlineStr">
        <is>
          <t>Casa Grande,  Ascope, Peru</t>
        </is>
      </c>
      <c r="B15944" t="inlineStr">
        <is>
          <t>First Gathering Point, Processing Unit</t>
        </is>
      </c>
      <c r="C15944" t="inlineStr">
        <is>
          <t>SCS Global Services, Emeryville, CA, US</t>
        </is>
      </c>
      <c r="D15944" t="inlineStr">
        <is>
          <t>16.08.2026</t>
        </is>
      </c>
      <c r="E15944" t="inlineStr">
        <is>
          <t>Peru</t>
        </is>
      </c>
    </row>
    <row r="15945">
      <c r="A15945" t="inlineStr">
        <is>
          <t>Mewah Marketing Pte Ltd,  Singapore, Singapore</t>
        </is>
      </c>
      <c r="B15945" t="inlineStr">
        <is>
          <t>Trader</t>
        </is>
      </c>
      <c r="C15945" t="inlineStr">
        <is>
          <t>ASG Cert GmbH, Munich, DE</t>
        </is>
      </c>
      <c r="D15945" t="inlineStr">
        <is>
          <t>16.08.2026</t>
        </is>
      </c>
      <c r="E15945" t="inlineStr">
        <is>
          <t>Singapore</t>
        </is>
      </c>
    </row>
    <row r="15946">
      <c r="A15946" t="inlineStr">
        <is>
          <t>Indaver Plastics2Chemicals nv,  Antwerpen, Belgium</t>
        </is>
      </c>
      <c r="B15946" t="inlineStr">
        <is>
          <t>Trader with Storage, Processing Unit, Collecting Point</t>
        </is>
      </c>
      <c r="C15946" t="inlineStr">
        <is>
          <t>SGS Germany GmbH, Emstek, DE</t>
        </is>
      </c>
      <c r="D15946" t="inlineStr">
        <is>
          <t>16.08.2026</t>
        </is>
      </c>
      <c r="E15946" t="inlineStr">
        <is>
          <t>Belgium</t>
        </is>
      </c>
    </row>
    <row r="15947">
      <c r="A15947" t="inlineStr">
        <is>
          <t>INDUSTRIA AGRO QUIMICA BRAIDO LTDA,  LEME, Brazil</t>
        </is>
      </c>
      <c r="B15947" t="inlineStr">
        <is>
          <t>Point of Origin, Collecting Point</t>
        </is>
      </c>
      <c r="C15947" t="inlineStr">
        <is>
          <t>SCS Global Services, Emeryville, CA, US</t>
        </is>
      </c>
      <c r="D15947" t="inlineStr">
        <is>
          <t>16.08.2026</t>
        </is>
      </c>
      <c r="E15947" t="inlineStr">
        <is>
          <t>Brazil</t>
        </is>
      </c>
    </row>
    <row r="15948">
      <c r="A15948" t="inlineStr">
        <is>
          <t>Szuro-Trade Kft.,  Nyíregyháza, Hungary</t>
        </is>
      </c>
      <c r="B15948" t="inlineStr">
        <is>
          <t>First Gathering Point, Trader with Storage</t>
        </is>
      </c>
      <c r="C15948" t="inlineStr">
        <is>
          <t>Certificadora Gallega del Noroeste SL, Vilagarcia de Arousa-Pontevedra, ES</t>
        </is>
      </c>
      <c r="D15948" t="inlineStr">
        <is>
          <t>16.08.2026</t>
        </is>
      </c>
      <c r="E15948" t="inlineStr">
        <is>
          <t>Hungary</t>
        </is>
      </c>
    </row>
    <row r="15949">
      <c r="A15949" t="inlineStr">
        <is>
          <t>ESSO Deutschland GmbH,  Hamburg, Germany</t>
        </is>
      </c>
      <c r="B15949" t="inlineStr">
        <is>
          <t>Trader with Storage</t>
        </is>
      </c>
      <c r="C15949" t="inlineStr">
        <is>
          <t>Control Union Certifications Germany GmbH, Berlin, DE</t>
        </is>
      </c>
      <c r="D15949" t="inlineStr">
        <is>
          <t>16.08.2026</t>
        </is>
      </c>
      <c r="E15949" t="inlineStr">
        <is>
          <t>Germany</t>
        </is>
      </c>
    </row>
    <row r="15950">
      <c r="A15950" t="inlineStr">
        <is>
          <t>Jugra Renewables,  Banting, Selangor, Malaysia</t>
        </is>
      </c>
      <c r="B15950" t="inlineStr">
        <is>
          <t>Collecting Point, Trader with Storage, Processing Unit</t>
        </is>
      </c>
      <c r="C15950" t="inlineStr">
        <is>
          <t>Control Union Certifications Germany GmbH, Berlin, DE</t>
        </is>
      </c>
      <c r="D15950" t="inlineStr">
        <is>
          <t>16.08.2026</t>
        </is>
      </c>
      <c r="E15950" t="inlineStr">
        <is>
          <t>Malaysia</t>
        </is>
      </c>
    </row>
    <row r="15951">
      <c r="A15951" t="inlineStr">
        <is>
          <t>Bio-Oil SL,  Donostia (Guipúzcoa), Spain</t>
        </is>
      </c>
      <c r="B15951" t="inlineStr">
        <is>
          <t>Collecting Point</t>
        </is>
      </c>
      <c r="C15951" t="inlineStr">
        <is>
          <t>Control Union Poland Sp. z o.o., Zielona Gora, PL</t>
        </is>
      </c>
      <c r="D15951" t="inlineStr">
        <is>
          <t>16.08.2026</t>
        </is>
      </c>
      <c r="E15951" t="inlineStr">
        <is>
          <t>Spain</t>
        </is>
      </c>
    </row>
    <row r="15952">
      <c r="A15952" t="inlineStr">
        <is>
          <t>Etapak Baskı Ambalaj San. ve Tic. A.Ş.,  Izmir, Turkey</t>
        </is>
      </c>
      <c r="B15952" t="inlineStr">
        <is>
          <t>Processing Unit, Final Product Refinement</t>
        </is>
      </c>
      <c r="C15952" t="inlineStr">
        <is>
          <t>RINA Services S.p.A., Genova, IT</t>
        </is>
      </c>
      <c r="D15952" t="inlineStr">
        <is>
          <t>16.08.2026</t>
        </is>
      </c>
      <c r="E15952" t="inlineStr">
        <is>
          <t>Turkey</t>
        </is>
      </c>
    </row>
    <row r="15953">
      <c r="A15953" t="inlineStr">
        <is>
          <t>Ritrama,  Sassoferrato (AN), Italy</t>
        </is>
      </c>
      <c r="B15953" t="inlineStr">
        <is>
          <t>Trader with Storage, Processing Unit, Final Product Refinement</t>
        </is>
      </c>
      <c r="C15953" t="inlineStr">
        <is>
          <t>SGS Germany GmbH, Emstek, DE</t>
        </is>
      </c>
      <c r="D15953" t="inlineStr">
        <is>
          <t>15.08.2026</t>
        </is>
      </c>
      <c r="E15953" t="inlineStr">
        <is>
          <t>Italy</t>
        </is>
      </c>
    </row>
    <row r="15954">
      <c r="A15954" t="inlineStr">
        <is>
          <t>WORLD TOP INDUSTRIES LIMITED,  HUNGHOM, KOWLOON, HONG KONG, China</t>
        </is>
      </c>
      <c r="B15954" t="inlineStr">
        <is>
          <t>Trader</t>
        </is>
      </c>
      <c r="C15954" t="inlineStr">
        <is>
          <t>China Quality Certification Centre Co., Ltd., Beijing, CN</t>
        </is>
      </c>
      <c r="D15954" t="inlineStr">
        <is>
          <t>15.08.2026</t>
        </is>
      </c>
      <c r="E15954" t="inlineStr">
        <is>
          <t>China</t>
        </is>
      </c>
    </row>
    <row r="15955">
      <c r="A15955" t="inlineStr">
        <is>
          <t>AGRIDUDCOOP FARM COOPERATIVĂ AGRICOLĂ,  comuna Zavoaia, sat Dudescu, jud. Braila, Romania</t>
        </is>
      </c>
      <c r="B15955" t="inlineStr">
        <is>
          <t>First Gathering Point</t>
        </is>
      </c>
      <c r="C15955" t="inlineStr">
        <is>
          <t>BM Certification, Riga, LV</t>
        </is>
      </c>
      <c r="D15955" t="inlineStr">
        <is>
          <t>15.08.2026</t>
        </is>
      </c>
      <c r="E15955" t="inlineStr">
        <is>
          <t>Romania</t>
        </is>
      </c>
    </row>
    <row r="15956">
      <c r="A15956" t="inlineStr">
        <is>
          <t>Jiangmen K.K. Plastic Factory Ltd.,  Jiangmen City, Guangdong Province, China</t>
        </is>
      </c>
      <c r="B15956" t="inlineStr">
        <is>
          <t>Processing Unit</t>
        </is>
      </c>
      <c r="C15956" t="inlineStr">
        <is>
          <t>China Quality Certification Centre Co., Ltd., Beijing, CN</t>
        </is>
      </c>
      <c r="D15956" t="inlineStr">
        <is>
          <t>15.08.2026</t>
        </is>
      </c>
      <c r="E15956" t="inlineStr">
        <is>
          <t>China</t>
        </is>
      </c>
    </row>
    <row r="15957">
      <c r="A15957" t="inlineStr">
        <is>
          <t>Linyi Dongshang Environmental Sci-Tech Co.,Ltd.,  Linyi City， Shandong Province, China</t>
        </is>
      </c>
      <c r="B15957" t="inlineStr">
        <is>
          <t>Collecting Point, Trader with Storage</t>
        </is>
      </c>
      <c r="C15957" t="inlineStr">
        <is>
          <t>SCS Global Services, Emeryville, CA, US</t>
        </is>
      </c>
      <c r="D15957" t="inlineStr">
        <is>
          <t>15.08.2026</t>
        </is>
      </c>
      <c r="E15957" t="inlineStr">
        <is>
          <t>China</t>
        </is>
      </c>
    </row>
    <row r="15958">
      <c r="A15958" t="inlineStr">
        <is>
          <t>Toray Plastics (America), Inc.,  North Kingstown, Rhode Island, The United States of America</t>
        </is>
      </c>
      <c r="B15958" t="inlineStr">
        <is>
          <t>Processing Unit, Collecting Point</t>
        </is>
      </c>
      <c r="C15958" t="inlineStr">
        <is>
          <t>SGS Germany GmbH, Emstek, DE</t>
        </is>
      </c>
      <c r="D15958" t="inlineStr">
        <is>
          <t>15.08.2026</t>
        </is>
      </c>
      <c r="E15958" t="inlineStr">
        <is>
          <t>The United States of America</t>
        </is>
      </c>
    </row>
    <row r="15959">
      <c r="A15959" t="inlineStr">
        <is>
          <t>PT. JOOWON TECH INDONESIA,  TANGERANG, Indonesia</t>
        </is>
      </c>
      <c r="B15959" t="inlineStr">
        <is>
          <t>Processing Unit</t>
        </is>
      </c>
      <c r="C15959" t="inlineStr">
        <is>
          <t>PT. Qualitas Sertifikasi Indonesia, Jakarta, ID</t>
        </is>
      </c>
      <c r="D15959" t="inlineStr">
        <is>
          <t>15.08.2026</t>
        </is>
      </c>
      <c r="E15959" t="inlineStr">
        <is>
          <t>Indonesia</t>
        </is>
      </c>
    </row>
    <row r="15960">
      <c r="A15960" t="inlineStr">
        <is>
          <t>Alberdingk Boley GmbH,  Krefeld, Germany</t>
        </is>
      </c>
      <c r="B15960" t="inlineStr">
        <is>
          <t>Processing Unit, Trader</t>
        </is>
      </c>
      <c r="C15960" t="inlineStr">
        <is>
          <t>TÜV NORD CERT GmbH, Essen, DE</t>
        </is>
      </c>
      <c r="D15960" t="inlineStr">
        <is>
          <t>15.08.2026</t>
        </is>
      </c>
      <c r="E15960" t="inlineStr">
        <is>
          <t>Germany</t>
        </is>
      </c>
    </row>
    <row r="15961">
      <c r="A15961" t="inlineStr">
        <is>
          <t>Alberdingk Boley GmbH,  Kerpen, Germany</t>
        </is>
      </c>
      <c r="B15961" t="inlineStr">
        <is>
          <t>Processing Unit</t>
        </is>
      </c>
      <c r="C15961" t="inlineStr">
        <is>
          <t>TÜV NORD CERT GmbH, Essen, DE</t>
        </is>
      </c>
      <c r="D15961" t="inlineStr">
        <is>
          <t>15.08.2026</t>
        </is>
      </c>
      <c r="E15961" t="inlineStr">
        <is>
          <t>Germany</t>
        </is>
      </c>
    </row>
    <row r="15962">
      <c r="A15962" t="inlineStr">
        <is>
          <t>M.B. Trading,  Lemvig, Denmark</t>
        </is>
      </c>
      <c r="B15962" t="inlineStr">
        <is>
          <t>Trader</t>
        </is>
      </c>
      <c r="C15962" t="inlineStr">
        <is>
          <t>Baltic Control Certification, Risskov, DK</t>
        </is>
      </c>
      <c r="D15962" t="inlineStr">
        <is>
          <t>15.08.2026</t>
        </is>
      </c>
      <c r="E15962" t="inlineStr">
        <is>
          <t>Denmark</t>
        </is>
      </c>
    </row>
    <row r="15963">
      <c r="A15963" t="inlineStr">
        <is>
          <t>Bunge Zrt.,  Gemeinde Bruck an der Leitha, Austria</t>
        </is>
      </c>
      <c r="B15963" t="inlineStr">
        <is>
          <t>First Gathering Point, Trader with Storage, Point of Origin, Processing Unit</t>
        </is>
      </c>
      <c r="C15963" t="inlineStr">
        <is>
          <t>Bureau Veritas Polska Sp. z o.o., Warsaw, PL</t>
        </is>
      </c>
      <c r="D15963" t="inlineStr">
        <is>
          <t>15.08.2026</t>
        </is>
      </c>
      <c r="E15963" t="inlineStr">
        <is>
          <t>Austria</t>
        </is>
      </c>
    </row>
    <row r="15964">
      <c r="A15964" t="inlineStr">
        <is>
          <t>Bunge Zrt.,  Gemeinde Bruck an der Leitha, Austria</t>
        </is>
      </c>
      <c r="B15964" t="inlineStr">
        <is>
          <t>First Gathering Point, Trader with Storage, Processing Unit</t>
        </is>
      </c>
      <c r="C15964" t="inlineStr">
        <is>
          <t>Bureau Veritas Polska Sp. z o.o., Warsaw, PL</t>
        </is>
      </c>
      <c r="D15964" t="inlineStr">
        <is>
          <t>15.08.2026</t>
        </is>
      </c>
      <c r="E15964" t="inlineStr">
        <is>
          <t>Austria</t>
        </is>
      </c>
    </row>
    <row r="15965">
      <c r="A15965" t="inlineStr">
        <is>
          <t>Hyungje Industrial Co., Ltd.,  Dongnamgu, Cheonansi, Chungcheongnam-do, Korea, Republic of</t>
        </is>
      </c>
      <c r="B15965" t="inlineStr">
        <is>
          <t>Point of Origin</t>
        </is>
      </c>
      <c r="C15965" t="inlineStr">
        <is>
          <t>Control Union Certifications Germany GmbH, Berlin, DE</t>
        </is>
      </c>
      <c r="D15965" t="inlineStr">
        <is>
          <t>15.08.2026</t>
        </is>
      </c>
      <c r="E15965" t="inlineStr">
        <is>
          <t>Republic of</t>
        </is>
      </c>
    </row>
    <row r="15966">
      <c r="A15966" t="inlineStr">
        <is>
          <t>Hyungje Industrial Co., Ltd.,  Dongnamgu, Cheonansi, Chungcheongnam-do, Korea, Republic of</t>
        </is>
      </c>
      <c r="B15966" t="inlineStr">
        <is>
          <t>Point of Origin</t>
        </is>
      </c>
      <c r="C15966" t="inlineStr">
        <is>
          <t>Control Union Certifications Germany GmbH, Berlin, DE</t>
        </is>
      </c>
      <c r="D15966" t="inlineStr">
        <is>
          <t>15.08.2026</t>
        </is>
      </c>
      <c r="E15966" t="inlineStr">
        <is>
          <t>Republic of</t>
        </is>
      </c>
    </row>
    <row r="15967">
      <c r="A15967" t="inlineStr">
        <is>
          <t>Hyungje Industrial Co., Ltd.,  Dongnamgu, Cheonansi, Chungcheongnam-do, Korea, Republic of</t>
        </is>
      </c>
      <c r="B15967" t="inlineStr">
        <is>
          <t>Point of Origin</t>
        </is>
      </c>
      <c r="C15967" t="inlineStr">
        <is>
          <t>Control Union Certifications Germany GmbH, Berlin, DE</t>
        </is>
      </c>
      <c r="D15967" t="inlineStr">
        <is>
          <t>15.08.2026</t>
        </is>
      </c>
      <c r="E15967" t="inlineStr">
        <is>
          <t>Republic of</t>
        </is>
      </c>
    </row>
    <row r="15968">
      <c r="A15968" t="inlineStr">
        <is>
          <t>Yamada Unitec (Shenzhen) Co.,Ltd,  Yanluo Subdistrict, Bao'an District, Shenzhen, China</t>
        </is>
      </c>
      <c r="B15968" t="inlineStr">
        <is>
          <t>Processing Unit</t>
        </is>
      </c>
      <c r="C15968" t="inlineStr">
        <is>
          <t>SGS Germany GmbH, Emstek, DE</t>
        </is>
      </c>
      <c r="D15968" t="inlineStr">
        <is>
          <t>15.08.2026</t>
        </is>
      </c>
      <c r="E15968" t="inlineStr">
        <is>
          <t>China</t>
        </is>
      </c>
    </row>
    <row r="15969">
      <c r="A15969" t="inlineStr">
        <is>
          <t>Astra KLK Pte Ltd,  Singapore, Singapore</t>
        </is>
      </c>
      <c r="B15969" t="inlineStr">
        <is>
          <t>Trader</t>
        </is>
      </c>
      <c r="C15969" t="inlineStr">
        <is>
          <t>Global Gateway Certifications Sdn Bhd, Ampang, MY</t>
        </is>
      </c>
      <c r="D15969" t="inlineStr">
        <is>
          <t>15.08.2026</t>
        </is>
      </c>
      <c r="E15969" t="inlineStr">
        <is>
          <t>Singapore</t>
        </is>
      </c>
    </row>
    <row r="15970">
      <c r="A15970" t="inlineStr">
        <is>
          <t>Ergon International, Inc. Belgium Branch,  Waterloo, Belgium</t>
        </is>
      </c>
      <c r="B15970" t="inlineStr">
        <is>
          <t>Trader with Storage</t>
        </is>
      </c>
      <c r="C15970" t="inlineStr">
        <is>
          <t>SGS Germany GmbH, Emstek, DE</t>
        </is>
      </c>
      <c r="D15970" t="inlineStr">
        <is>
          <t>15.08.2026</t>
        </is>
      </c>
      <c r="E15970" t="inlineStr">
        <is>
          <t>Belgium</t>
        </is>
      </c>
    </row>
    <row r="15971">
      <c r="A15971" t="inlineStr">
        <is>
          <t>BASF Antwerpen N.V.,  Antwerp, Belgium</t>
        </is>
      </c>
      <c r="B15971" t="inlineStr">
        <is>
          <t>Processing Unit</t>
        </is>
      </c>
      <c r="C15971" t="inlineStr">
        <is>
          <t>TÜV NORD CERT GmbH, Essen, DE</t>
        </is>
      </c>
      <c r="D15971" t="inlineStr">
        <is>
          <t>15.08.2026</t>
        </is>
      </c>
      <c r="E15971" t="inlineStr">
        <is>
          <t>Belgium</t>
        </is>
      </c>
    </row>
    <row r="15972">
      <c r="A15972" t="inlineStr">
        <is>
          <t>Alberdingk Boley GmbH,  Leuna, Germany</t>
        </is>
      </c>
      <c r="B15972" t="inlineStr">
        <is>
          <t>Processing Unit</t>
        </is>
      </c>
      <c r="C15972" t="inlineStr">
        <is>
          <t>TÜV NORD CERT GmbH, Essen, DE</t>
        </is>
      </c>
      <c r="D15972" t="inlineStr">
        <is>
          <t>15.08.2026</t>
        </is>
      </c>
      <c r="E15972" t="inlineStr">
        <is>
          <t>Germany</t>
        </is>
      </c>
    </row>
    <row r="15973">
      <c r="A15973" t="inlineStr">
        <is>
          <t>Advanced Fabrics Factory Co.-SAAF,  Rabigh, Saudi Arabia</t>
        </is>
      </c>
      <c r="B15973" t="inlineStr">
        <is>
          <t>Processing Unit</t>
        </is>
      </c>
      <c r="C15973" t="inlineStr">
        <is>
          <t>Business Quality Verification Testing and Certification Services P.C. (BQV), Marousi, Athens, GR</t>
        </is>
      </c>
      <c r="D15973" t="inlineStr">
        <is>
          <t>15.08.2026</t>
        </is>
      </c>
      <c r="E15973" t="inlineStr">
        <is>
          <t>Saudi Arabia</t>
        </is>
      </c>
    </row>
    <row r="15974">
      <c r="A15974" t="inlineStr">
        <is>
          <t>Himadri speciality chemical Ltd.,  Hooghly, India</t>
        </is>
      </c>
      <c r="B15974" t="inlineStr">
        <is>
          <t>Processing Unit</t>
        </is>
      </c>
      <c r="C15974" t="inlineStr">
        <is>
          <t>PT Intertek Utama Services, Jakarta, ID</t>
        </is>
      </c>
      <c r="D15974" t="inlineStr">
        <is>
          <t>15.08.2026</t>
        </is>
      </c>
      <c r="E15974" t="inlineStr">
        <is>
          <t>India</t>
        </is>
      </c>
    </row>
    <row r="15975">
      <c r="A15975" t="inlineStr">
        <is>
          <t>Kaz Oil d.o.o,  Indjija, Serbia</t>
        </is>
      </c>
      <c r="B15975" t="inlineStr">
        <is>
          <t>Collecting Point, Trader with Storage</t>
        </is>
      </c>
      <c r="C15975" t="inlineStr">
        <is>
          <t>Eurocert SA, Metamorfosi, Athens, GR</t>
        </is>
      </c>
      <c r="D15975" t="inlineStr">
        <is>
          <t>15.08.2026</t>
        </is>
      </c>
      <c r="E15975" t="inlineStr">
        <is>
          <t>Serbia</t>
        </is>
      </c>
    </row>
    <row r="15976">
      <c r="A15976" t="inlineStr">
        <is>
          <t>Clean Tech International SRL,  Ciulnita, Romania</t>
        </is>
      </c>
      <c r="B15976" t="inlineStr">
        <is>
          <t>Point of Origin</t>
        </is>
      </c>
      <c r="C15976" t="inlineStr">
        <is>
          <t>SGS Germany GmbH, Emstek, DE</t>
        </is>
      </c>
      <c r="D15976" t="inlineStr">
        <is>
          <t>15.08.2026</t>
        </is>
      </c>
      <c r="E15976" t="inlineStr">
        <is>
          <t>Romania</t>
        </is>
      </c>
    </row>
    <row r="15977">
      <c r="A15977" t="inlineStr">
        <is>
          <t>Agroholding “Zorya”,  Zorya, Ukraine</t>
        </is>
      </c>
      <c r="B15977" t="inlineStr">
        <is>
          <t>Farm / Plantation, Trader</t>
        </is>
      </c>
      <c r="C15977" t="inlineStr">
        <is>
          <t>United Registrar of Systems Polska Sp. z o.o., Wrocław, PL</t>
        </is>
      </c>
      <c r="D15977" t="inlineStr">
        <is>
          <t>15.08.2026</t>
        </is>
      </c>
      <c r="E15977" t="inlineStr">
        <is>
          <t>Ukraine</t>
        </is>
      </c>
    </row>
    <row r="15978">
      <c r="A15978" t="inlineStr">
        <is>
          <t>Partner Agroprom,  Volochysk, Ukraine</t>
        </is>
      </c>
      <c r="B15978" t="inlineStr">
        <is>
          <t>First Gathering Point, Trader with Storage</t>
        </is>
      </c>
      <c r="C15978" t="inlineStr">
        <is>
          <t>United Registrar of Systems Polska Sp. z o.o., Wrocław, PL</t>
        </is>
      </c>
      <c r="D15978" t="inlineStr">
        <is>
          <t>15.08.2026</t>
        </is>
      </c>
      <c r="E15978" t="inlineStr">
        <is>
          <t>Ukraine</t>
        </is>
      </c>
    </row>
    <row r="15979">
      <c r="A15979" t="inlineStr">
        <is>
          <t>Company “Ukrelitagro”,  Khmelnytsky region, Mykhniv vill., Ukraine</t>
        </is>
      </c>
      <c r="B15979" t="inlineStr">
        <is>
          <t>Farm / Plantation, Trader</t>
        </is>
      </c>
      <c r="C15979" t="inlineStr">
        <is>
          <t>United Registrar of Systems Polska Sp. z o.o., Wrocław, PL</t>
        </is>
      </c>
      <c r="D15979" t="inlineStr">
        <is>
          <t>15.08.2026</t>
        </is>
      </c>
      <c r="E15979" t="inlineStr">
        <is>
          <t>Ukraine</t>
        </is>
      </c>
    </row>
    <row r="15980">
      <c r="A15980" t="inlineStr">
        <is>
          <t>A Hughes and Son (Skellingthorpe) Ltd,  Skellingthorpe, United Kingdom</t>
        </is>
      </c>
      <c r="B15980" t="inlineStr">
        <is>
          <t>Point of Origin</t>
        </is>
      </c>
      <c r="C15980" t="inlineStr">
        <is>
          <t>SGS Germany GmbH, Emstek, DE</t>
        </is>
      </c>
      <c r="D15980" t="inlineStr">
        <is>
          <t>15.08.2026</t>
        </is>
      </c>
      <c r="E15980" t="inlineStr">
        <is>
          <t>United Kingdom</t>
        </is>
      </c>
    </row>
    <row r="15981">
      <c r="A15981" t="inlineStr">
        <is>
          <t>BOP EUROPE,  Bratislava, Slovakia</t>
        </is>
      </c>
      <c r="B15981" t="inlineStr">
        <is>
          <t>Trader</t>
        </is>
      </c>
      <c r="C15981" t="inlineStr">
        <is>
          <t>SGS Germany GmbH, Emstek, DE</t>
        </is>
      </c>
      <c r="D15981" t="inlineStr">
        <is>
          <t>15.08.2026</t>
        </is>
      </c>
      <c r="E15981" t="inlineStr">
        <is>
          <t>Slovakia</t>
        </is>
      </c>
    </row>
    <row r="15982">
      <c r="A15982" t="inlineStr">
        <is>
          <t>QFK TRADE FZ-LLC,  Ras Al Khaimah (RAK), The United Arab Emirates</t>
        </is>
      </c>
      <c r="B15982" t="inlineStr">
        <is>
          <t>Trader with Storage</t>
        </is>
      </c>
      <c r="C15982" t="inlineStr">
        <is>
          <t>Bureau Veritas Polska Sp. z o.o., Warsaw, PL</t>
        </is>
      </c>
      <c r="D15982" t="inlineStr">
        <is>
          <t>15.08.2026</t>
        </is>
      </c>
      <c r="E15982" t="inlineStr">
        <is>
          <t>The United Arab Emirates</t>
        </is>
      </c>
    </row>
    <row r="15983">
      <c r="A15983" t="inlineStr">
        <is>
          <t>amba,  parma, Italy</t>
        </is>
      </c>
      <c r="B15983" t="inlineStr">
        <is>
          <t>Processing Unit</t>
        </is>
      </c>
      <c r="C15983" t="inlineStr">
        <is>
          <t>DNV Business Assurance Sweden AB, Solna, SE</t>
        </is>
      </c>
      <c r="D15983" t="inlineStr">
        <is>
          <t>15.08.2026</t>
        </is>
      </c>
      <c r="E15983" t="inlineStr">
        <is>
          <t>Italy</t>
        </is>
      </c>
    </row>
    <row r="15984">
      <c r="A15984" t="inlineStr">
        <is>
          <t>STEPAN DEUTSCHLAND GmbH,  Wesseling, Germany</t>
        </is>
      </c>
      <c r="B15984" t="inlineStr">
        <is>
          <t>Processing Unit</t>
        </is>
      </c>
      <c r="C15984" t="inlineStr">
        <is>
          <t>Control Union Certifications Germany GmbH, Berlin, DE</t>
        </is>
      </c>
      <c r="D15984" t="inlineStr">
        <is>
          <t>15.08.2026</t>
        </is>
      </c>
      <c r="E15984" t="inlineStr">
        <is>
          <t>Germany</t>
        </is>
      </c>
    </row>
    <row r="15985">
      <c r="A15985" t="inlineStr">
        <is>
          <t>Raizen Argentina,  Dock Sud, Argentina</t>
        </is>
      </c>
      <c r="B15985" t="inlineStr">
        <is>
          <t>Processing Unit</t>
        </is>
      </c>
      <c r="C15985" t="inlineStr">
        <is>
          <t>SGS Germany GmbH, Emstek, DE</t>
        </is>
      </c>
      <c r="D15985" t="inlineStr">
        <is>
          <t>15.08.2026</t>
        </is>
      </c>
      <c r="E15985" t="inlineStr">
        <is>
          <t>Argentina</t>
        </is>
      </c>
    </row>
    <row r="15986">
      <c r="A15986" t="inlineStr">
        <is>
          <t>Shenzhen Worbolly Supply Chain Co.,Ltd,  Nanshan District, Shenzhen, Guangdong, China</t>
        </is>
      </c>
      <c r="B15986" t="inlineStr">
        <is>
          <t>Trader</t>
        </is>
      </c>
      <c r="C15986" t="inlineStr">
        <is>
          <t>SCS Global Services, Emeryville, CA, US</t>
        </is>
      </c>
      <c r="D15986" t="inlineStr">
        <is>
          <t>14.08.2026</t>
        </is>
      </c>
      <c r="E15986" t="inlineStr">
        <is>
          <t>China</t>
        </is>
      </c>
    </row>
    <row r="15987">
      <c r="A15987" t="inlineStr">
        <is>
          <t>CNG Fuels Limited,  London, The United Kingdom</t>
        </is>
      </c>
      <c r="B15987" t="inlineStr">
        <is>
          <t>Trader</t>
        </is>
      </c>
      <c r="C15987" t="inlineStr">
        <is>
          <t>DEKRA Certification B.V., Arnhem, NL</t>
        </is>
      </c>
      <c r="D15987" t="inlineStr">
        <is>
          <t>14.08.2026</t>
        </is>
      </c>
      <c r="E15987" t="inlineStr">
        <is>
          <t>The United Kingdom</t>
        </is>
      </c>
    </row>
    <row r="15988">
      <c r="A15988" t="inlineStr">
        <is>
          <t>Liso S.r.l.,  Villanova D'albenga, Italy</t>
        </is>
      </c>
      <c r="B15988" t="inlineStr">
        <is>
          <t>Collecting Point, Trader with Storage, Processing Unit</t>
        </is>
      </c>
      <c r="C15988" t="inlineStr">
        <is>
          <t>SGS Germany GmbH, Emstek, DE</t>
        </is>
      </c>
      <c r="D15988" t="inlineStr">
        <is>
          <t>14.08.2026</t>
        </is>
      </c>
      <c r="E15988" t="inlineStr">
        <is>
          <t>Italy</t>
        </is>
      </c>
    </row>
    <row r="15989">
      <c r="A15989" t="inlineStr">
        <is>
          <t>Ecogreen,  Gunpo-si, Gyeonggi-do, The Republic of Korea</t>
        </is>
      </c>
      <c r="B15989" t="inlineStr">
        <is>
          <t>Collecting Point</t>
        </is>
      </c>
      <c r="C15989" t="inlineStr">
        <is>
          <t>Control Union Certifications Germany GmbH, Berlin, DE</t>
        </is>
      </c>
      <c r="D15989" t="inlineStr">
        <is>
          <t>14.08.2026</t>
        </is>
      </c>
      <c r="E15989" t="inlineStr">
        <is>
          <t>The Republic of Korea</t>
        </is>
      </c>
    </row>
    <row r="15990">
      <c r="A15990" t="inlineStr">
        <is>
          <t>Ecogreen,  Gunpo-si, Gyeonggi-do, South Korea</t>
        </is>
      </c>
      <c r="B15990" t="inlineStr">
        <is>
          <t>Collecting Point</t>
        </is>
      </c>
      <c r="C15990" t="inlineStr">
        <is>
          <t>Control Union Certifications Germany GmbH, Berlin, DE</t>
        </is>
      </c>
      <c r="D15990" t="inlineStr">
        <is>
          <t>14.08.2026</t>
        </is>
      </c>
      <c r="E15990" t="inlineStr">
        <is>
          <t>South Korea</t>
        </is>
      </c>
    </row>
    <row r="15991">
      <c r="A15991" t="inlineStr">
        <is>
          <t>Tettens Grain,  Sterling, IL, United States</t>
        </is>
      </c>
      <c r="B15991" t="inlineStr">
        <is>
          <t>First Gathering Point</t>
        </is>
      </c>
      <c r="C15991" t="inlineStr">
        <is>
          <t>Control Union Certifications Germany GmbH, Berlin, DE</t>
        </is>
      </c>
      <c r="D15991" t="inlineStr">
        <is>
          <t>14.08.2026</t>
        </is>
      </c>
      <c r="E15991" t="inlineStr">
        <is>
          <t>United States</t>
        </is>
      </c>
    </row>
    <row r="15992">
      <c r="A15992" t="inlineStr">
        <is>
          <t>SC Tober Agro Srl,  Unimat, judetul Satu Mare, Romania</t>
        </is>
      </c>
      <c r="B15992" t="inlineStr">
        <is>
          <t>First Gathering Point, Trader with Storage</t>
        </is>
      </c>
      <c r="C15992" t="inlineStr">
        <is>
          <t>SGS Germany GmbH, Emstek, DE</t>
        </is>
      </c>
      <c r="D15992" t="inlineStr">
        <is>
          <t>14.08.2026</t>
        </is>
      </c>
      <c r="E15992" t="inlineStr">
        <is>
          <t>Romania</t>
        </is>
      </c>
    </row>
    <row r="15993">
      <c r="A15993" t="inlineStr">
        <is>
          <t>LLC ''Agrarna Perspektiva'',  Lviv region, Volitsa Village, Ukraine</t>
        </is>
      </c>
      <c r="B15993" t="inlineStr">
        <is>
          <t>First Gathering Point, Trader with Storage</t>
        </is>
      </c>
      <c r="C15993" t="inlineStr">
        <is>
          <t>United Registrar of Systems Polska Sp. z o.o., Wrocław, PL</t>
        </is>
      </c>
      <c r="D15993" t="inlineStr">
        <is>
          <t>14.08.2026</t>
        </is>
      </c>
      <c r="E15993" t="inlineStr">
        <is>
          <t>Ukraine</t>
        </is>
      </c>
    </row>
    <row r="15994">
      <c r="A15994" t="inlineStr">
        <is>
          <t>Wenzhou Ouhai Glasses Co., Ltd.,  Wenzhou, China</t>
        </is>
      </c>
      <c r="B15994" t="inlineStr">
        <is>
          <t>Processing Unit</t>
        </is>
      </c>
      <c r="C15994" t="inlineStr">
        <is>
          <t>Extensive Standard Technical Services Co., Ltd., Hong Kong, CN</t>
        </is>
      </c>
      <c r="D15994" t="inlineStr">
        <is>
          <t>14.08.2026</t>
        </is>
      </c>
      <c r="E15994" t="inlineStr">
        <is>
          <t>China</t>
        </is>
      </c>
    </row>
    <row r="15995">
      <c r="A15995" t="inlineStr">
        <is>
          <t>Weifang Orlon Zinc Industry Co., Ltd.,  Weifang City, Shandong Province,, China</t>
        </is>
      </c>
      <c r="B15995" t="inlineStr">
        <is>
          <t>Processing Unit, Collecting Point</t>
        </is>
      </c>
      <c r="C15995" t="inlineStr">
        <is>
          <t>SCS Global Services, Emeryville, CA, US</t>
        </is>
      </c>
      <c r="D15995" t="inlineStr">
        <is>
          <t>14.08.2026</t>
        </is>
      </c>
      <c r="E15995" t="inlineStr">
        <is>
          <t>China</t>
        </is>
      </c>
    </row>
    <row r="15996">
      <c r="A15996" t="inlineStr">
        <is>
          <t>LLC "Distribution Company Agrotech",  Cherkasy, Uman, Ukraine</t>
        </is>
      </c>
      <c r="B15996" t="inlineStr">
        <is>
          <t>First Gathering Point, Trader with Storage</t>
        </is>
      </c>
      <c r="C15996" t="inlineStr">
        <is>
          <t>United Registrar of Systems Polska Sp. z o.o., Wrocław, PL</t>
        </is>
      </c>
      <c r="D15996" t="inlineStr">
        <is>
          <t>14.08.2026</t>
        </is>
      </c>
      <c r="E15996" t="inlineStr">
        <is>
          <t>Ukraine</t>
        </is>
      </c>
    </row>
    <row r="15997">
      <c r="A15997" t="inlineStr">
        <is>
          <t>Changhang (Wuhan) Green Shipping Technology Service Co., Ltd. Zhenjiang Branch,  Zhenjiang, Jiangsu Province, China</t>
        </is>
      </c>
      <c r="B15997" t="inlineStr">
        <is>
          <t>Trader</t>
        </is>
      </c>
      <c r="C15997" t="inlineStr">
        <is>
          <t>Guardian Independent Certification Limited, Singapore, SG</t>
        </is>
      </c>
      <c r="D15997" t="inlineStr">
        <is>
          <t>14.08.2026</t>
        </is>
      </c>
      <c r="E15997" t="inlineStr">
        <is>
          <t>China</t>
        </is>
      </c>
    </row>
    <row r="15998">
      <c r="A15998" t="inlineStr">
        <is>
          <t>Q2 Engineering Sdn Bhd,  Petaling Jaya, Malaysia</t>
        </is>
      </c>
      <c r="B15998" t="inlineStr">
        <is>
          <t>Trader with Storage</t>
        </is>
      </c>
      <c r="C15998" t="inlineStr">
        <is>
          <t>Trans Certification and Inspection Sdn Bhd, Kuantan, MY</t>
        </is>
      </c>
      <c r="D15998" t="inlineStr">
        <is>
          <t>14.08.2026</t>
        </is>
      </c>
      <c r="E15998" t="inlineStr">
        <is>
          <t>Malaysia</t>
        </is>
      </c>
    </row>
    <row r="15999">
      <c r="A15999" t="inlineStr">
        <is>
          <t>Shenzhen Aoker Eyewear Manufactory Ltd.,  Shenzhen City, GuangDong Province, China</t>
        </is>
      </c>
      <c r="B15999" t="inlineStr">
        <is>
          <t>Trader, Processing Unit</t>
        </is>
      </c>
      <c r="C15999" t="inlineStr">
        <is>
          <t>SCS Global Services, Emeryville, CA, US</t>
        </is>
      </c>
      <c r="D15999" t="inlineStr">
        <is>
          <t>14.08.2026</t>
        </is>
      </c>
      <c r="E15999" t="inlineStr">
        <is>
          <t>China</t>
        </is>
      </c>
    </row>
    <row r="16000">
      <c r="A16000" t="inlineStr">
        <is>
          <t>Marathon Petroleum Company,  St. Paul Park, United States</t>
        </is>
      </c>
      <c r="B16000" t="inlineStr">
        <is>
          <t>Processing Unit, Trader with Storage</t>
        </is>
      </c>
      <c r="C16000" t="inlineStr">
        <is>
          <t>SCS Global Services, Emeryville, CA, US</t>
        </is>
      </c>
      <c r="D16000" t="inlineStr">
        <is>
          <t>14.08.2026</t>
        </is>
      </c>
      <c r="E16000" t="inlineStr">
        <is>
          <t>United States</t>
        </is>
      </c>
    </row>
    <row r="16001">
      <c r="A16001" t="inlineStr">
        <is>
          <t>Klockner Pentaplast,  Rural Retreat, Virginia, United States</t>
        </is>
      </c>
      <c r="B16001" t="inlineStr">
        <is>
          <t>Processing Unit</t>
        </is>
      </c>
      <c r="C16001" t="inlineStr">
        <is>
          <t>SCS Global Services, Emeryville, CA, US</t>
        </is>
      </c>
      <c r="D16001" t="inlineStr">
        <is>
          <t>14.08.2026</t>
        </is>
      </c>
      <c r="E16001" t="inlineStr">
        <is>
          <t>United States</t>
        </is>
      </c>
    </row>
    <row r="16002">
      <c r="A16002" t="inlineStr">
        <is>
          <t>WELLE (Changzhou) Food Waste Treatment Plan Limited,  Changzhou, Jiangsu, China</t>
        </is>
      </c>
      <c r="B16002" t="inlineStr">
        <is>
          <t>Collecting Point, Trader, Processing Unit</t>
        </is>
      </c>
      <c r="C16002" t="inlineStr">
        <is>
          <t>SCS Global Services, Emeryville, CA, US</t>
        </is>
      </c>
      <c r="D16002" t="inlineStr">
        <is>
          <t>14.08.2026</t>
        </is>
      </c>
      <c r="E16002" t="inlineStr">
        <is>
          <t>China</t>
        </is>
      </c>
    </row>
    <row r="16003">
      <c r="A16003" t="inlineStr">
        <is>
          <t>BELLEVUE SOLUTIONS LIMITED,  Shanghai, China</t>
        </is>
      </c>
      <c r="B16003" t="inlineStr">
        <is>
          <t>Trader</t>
        </is>
      </c>
      <c r="C16003" t="inlineStr">
        <is>
          <t>RINA Services S.p.A., Genova, IT</t>
        </is>
      </c>
      <c r="D16003" t="inlineStr">
        <is>
          <t>14.08.2026</t>
        </is>
      </c>
      <c r="E16003" t="inlineStr">
        <is>
          <t>China</t>
        </is>
      </c>
    </row>
    <row r="16004">
      <c r="A16004" t="inlineStr">
        <is>
          <t>FGV PALM INDUSTRIES,  TRIANG, Malaysia</t>
        </is>
      </c>
      <c r="B16004" t="inlineStr">
        <is>
          <t>Point of Origin</t>
        </is>
      </c>
      <c r="C16004" t="inlineStr">
        <is>
          <t>Trans Certification and Inspection Sdn Bhd, Kuantan, MY</t>
        </is>
      </c>
      <c r="D16004" t="inlineStr">
        <is>
          <t>14.08.2026</t>
        </is>
      </c>
      <c r="E16004" t="inlineStr">
        <is>
          <t>Malaysia</t>
        </is>
      </c>
    </row>
    <row r="16005">
      <c r="A16005" t="inlineStr">
        <is>
          <t>FGV PALM INDUSTRIES,  TRIANG, Malaysia</t>
        </is>
      </c>
      <c r="B16005" t="inlineStr">
        <is>
          <t>Point of Origin</t>
        </is>
      </c>
      <c r="C16005" t="inlineStr">
        <is>
          <t>Trans Certification and Inspection Sdn Bhd, Kuantan, MY</t>
        </is>
      </c>
      <c r="D16005" t="inlineStr">
        <is>
          <t>14.08.2026</t>
        </is>
      </c>
      <c r="E16005" t="inlineStr">
        <is>
          <t>Malaysia</t>
        </is>
      </c>
    </row>
    <row r="16006">
      <c r="A16006" t="inlineStr">
        <is>
          <t>Green Renewable Energie For Non Edible Oil Trading,  DUBAI, United Arab Emirates</t>
        </is>
      </c>
      <c r="B16006" t="inlineStr">
        <is>
          <t>Collecting Point</t>
        </is>
      </c>
      <c r="C16006" t="inlineStr">
        <is>
          <t>BM Certification, Riga, LV</t>
        </is>
      </c>
      <c r="D16006" t="inlineStr">
        <is>
          <t>14.08.2026</t>
        </is>
      </c>
      <c r="E16006" t="inlineStr">
        <is>
          <t>United Arab Emirates</t>
        </is>
      </c>
    </row>
    <row r="16007">
      <c r="A16007" t="inlineStr">
        <is>
          <t>FGV PALM INDUSTRIES,  TRIANG, Malaysia</t>
        </is>
      </c>
      <c r="B16007" t="inlineStr">
        <is>
          <t>Point of Origin</t>
        </is>
      </c>
      <c r="C16007" t="inlineStr">
        <is>
          <t>Trans Certification and Inspection Sdn Bhd, Kuantan, MY</t>
        </is>
      </c>
      <c r="D16007" t="inlineStr">
        <is>
          <t>14.08.2026</t>
        </is>
      </c>
      <c r="E16007" t="inlineStr">
        <is>
          <t>Malaysia</t>
        </is>
      </c>
    </row>
    <row r="16008">
      <c r="A16008" t="inlineStr">
        <is>
          <t>Agro - Tovarnik d.o.o.,  Tovarnik, Croatia</t>
        </is>
      </c>
      <c r="B16008" t="inlineStr">
        <is>
          <t>Farm / Plantation, First Gathering Point</t>
        </is>
      </c>
      <c r="C16008" t="inlineStr">
        <is>
          <t>Bureau Veritas Polska Sp. z o.o., Warsaw, PL</t>
        </is>
      </c>
      <c r="D16008" t="inlineStr">
        <is>
          <t>14.08.2026</t>
        </is>
      </c>
      <c r="E16008" t="inlineStr">
        <is>
          <t>Croatia</t>
        </is>
      </c>
    </row>
    <row r="16009">
      <c r="A16009" t="inlineStr">
        <is>
          <t>Crystal Clean, LLC,  Indianapolis, United States</t>
        </is>
      </c>
      <c r="B16009" t="inlineStr">
        <is>
          <t>Collecting Point, Processing Unit</t>
        </is>
      </c>
      <c r="C16009" t="inlineStr">
        <is>
          <t>SCS Global Services, Emeryville, CA, US</t>
        </is>
      </c>
      <c r="D16009" t="inlineStr">
        <is>
          <t>14.08.2026</t>
        </is>
      </c>
      <c r="E16009" t="inlineStr">
        <is>
          <t>United States</t>
        </is>
      </c>
    </row>
    <row r="16010">
      <c r="A16010" t="inlineStr">
        <is>
          <t>QUANTUM PRO TRADING,  TAMAN CAHAYA KOTA PUTRI, Malaysia</t>
        </is>
      </c>
      <c r="B16010" t="inlineStr">
        <is>
          <t>Collecting Point, Trader with Storage</t>
        </is>
      </c>
      <c r="C16010" t="inlineStr">
        <is>
          <t>Trans Certification and Inspection Sdn Bhd, Kuantan, MY</t>
        </is>
      </c>
      <c r="D16010" t="inlineStr">
        <is>
          <t>14.08.2026</t>
        </is>
      </c>
      <c r="E16010" t="inlineStr">
        <is>
          <t>Malaysia</t>
        </is>
      </c>
    </row>
    <row r="16011">
      <c r="A16011" t="inlineStr">
        <is>
          <t>Dr. Szabó Agrokémiai Kft.,  Zalaszentgrót, Hungary</t>
        </is>
      </c>
      <c r="B16011" t="inlineStr">
        <is>
          <t>First Gathering Point</t>
        </is>
      </c>
      <c r="C16011" t="inlineStr">
        <is>
          <t>Bureau Veritas Polska Sp. z o.o., Warsaw, PL</t>
        </is>
      </c>
      <c r="D16011" t="inlineStr">
        <is>
          <t>14.08.2026</t>
        </is>
      </c>
      <c r="E16011" t="inlineStr">
        <is>
          <t>Hungary</t>
        </is>
      </c>
    </row>
    <row r="16012">
      <c r="A16012" t="inlineStr">
        <is>
          <t>Bumi Gemilang Oils Sdn Bhd,  Pulau Indah, Malaysia</t>
        </is>
      </c>
      <c r="B16012" t="inlineStr">
        <is>
          <t>Processing Unit, Trader with Storage, Collecting Point, Point of Origin</t>
        </is>
      </c>
      <c r="C16012" t="inlineStr">
        <is>
          <t>Trans Certification and Inspection Sdn Bhd, Kuantan, MY</t>
        </is>
      </c>
      <c r="D16012" t="inlineStr">
        <is>
          <t>14.08.2026</t>
        </is>
      </c>
      <c r="E16012" t="inlineStr">
        <is>
          <t>Malaysia</t>
        </is>
      </c>
    </row>
    <row r="16013">
      <c r="A16013" t="inlineStr">
        <is>
          <t>BALAJI GREEN ENEGRY,  VADA, PALGHAR, India</t>
        </is>
      </c>
      <c r="B16013" t="inlineStr">
        <is>
          <t>Collecting Point, Processing Unit</t>
        </is>
      </c>
      <c r="C16013" t="inlineStr">
        <is>
          <t>Alcumus ISOQAR Ltd, Stretford, Manchester, GB</t>
        </is>
      </c>
      <c r="D16013" t="inlineStr">
        <is>
          <t>14.08.2026</t>
        </is>
      </c>
      <c r="E16013" t="inlineStr">
        <is>
          <t>India</t>
        </is>
      </c>
    </row>
    <row r="16014">
      <c r="A16014" t="inlineStr">
        <is>
          <t>PT. Inti Surya Agrolestari Perkasa,  Medan Timur, Medan, Indonesia</t>
        </is>
      </c>
      <c r="B16014" t="inlineStr">
        <is>
          <t>Trader</t>
        </is>
      </c>
      <c r="C16014" t="inlineStr">
        <is>
          <t>RINA Services S.p.A., Genova, IT</t>
        </is>
      </c>
      <c r="D16014" t="inlineStr">
        <is>
          <t>14.08.2026</t>
        </is>
      </c>
      <c r="E16014" t="inlineStr">
        <is>
          <t>Indonesia</t>
        </is>
      </c>
    </row>
    <row r="16015">
      <c r="A16015" t="inlineStr">
        <is>
          <t>Venture Energy Limited,  WanChai, Hong Kong, SAR, China</t>
        </is>
      </c>
      <c r="B16015" t="inlineStr">
        <is>
          <t>Trader</t>
        </is>
      </c>
      <c r="C16015" t="inlineStr">
        <is>
          <t>RINA Services S.p.A., Genova, IT</t>
        </is>
      </c>
      <c r="D16015" t="inlineStr">
        <is>
          <t>14.08.2026</t>
        </is>
      </c>
      <c r="E16015" t="inlineStr">
        <is>
          <t>China</t>
        </is>
      </c>
    </row>
    <row r="16016">
      <c r="A16016" t="inlineStr">
        <is>
          <t>Establishment ASOL AL-THAQA For logistics,  Riyadh, Saudi Arabia</t>
        </is>
      </c>
      <c r="B16016" t="inlineStr">
        <is>
          <t>Collecting Point, Trader with Storage</t>
        </is>
      </c>
      <c r="C16016" t="inlineStr">
        <is>
          <t>Trans Certification and Inspection Sdn Bhd, Kuantan, MY</t>
        </is>
      </c>
      <c r="D16016" t="inlineStr">
        <is>
          <t>14.08.2026</t>
        </is>
      </c>
      <c r="E16016" t="inlineStr">
        <is>
          <t>Saudi Arabia</t>
        </is>
      </c>
    </row>
    <row r="16017">
      <c r="A16017" t="inlineStr">
        <is>
          <t>Berry Superfos Mullsjö AB,  Mullsjö, Sweden</t>
        </is>
      </c>
      <c r="B16017" t="inlineStr">
        <is>
          <t>Processing Unit</t>
        </is>
      </c>
      <c r="C16017" t="inlineStr">
        <is>
          <t>SGS Germany GmbH, Emstek, DE</t>
        </is>
      </c>
      <c r="D16017" t="inlineStr">
        <is>
          <t>14.08.2026</t>
        </is>
      </c>
      <c r="E16017" t="inlineStr">
        <is>
          <t>Sweden</t>
        </is>
      </c>
    </row>
    <row r="16018">
      <c r="A16018" t="inlineStr">
        <is>
          <t>Bunkerstation Delta Stolk &amp; Berends BV,  Dordrecht, Netherlands</t>
        </is>
      </c>
      <c r="B16018" t="inlineStr">
        <is>
          <t>Trader with Storage, Warehouse</t>
        </is>
      </c>
      <c r="C16018" t="inlineStr">
        <is>
          <t>SGS Germany GmbH, Emstek, DE</t>
        </is>
      </c>
      <c r="D16018" t="inlineStr">
        <is>
          <t>14.08.2026</t>
        </is>
      </c>
      <c r="E16018" t="inlineStr">
        <is>
          <t>Netherlands</t>
        </is>
      </c>
    </row>
    <row r="16019">
      <c r="A16019" t="inlineStr">
        <is>
          <t>MeHow Medical (M) Sdn Bhd,  Simpang Ampat, Penang, Malaysia</t>
        </is>
      </c>
      <c r="B16019" t="inlineStr">
        <is>
          <t>Trader with Storage, Processing Unit</t>
        </is>
      </c>
      <c r="C16019" t="inlineStr">
        <is>
          <t>Global Gateway Certifications Sdn Bhd, Ampang, MY</t>
        </is>
      </c>
      <c r="D16019" t="inlineStr">
        <is>
          <t>14.08.2026</t>
        </is>
      </c>
      <c r="E16019" t="inlineStr">
        <is>
          <t>Malaysia</t>
        </is>
      </c>
    </row>
    <row r="16020">
      <c r="A16020" t="inlineStr">
        <is>
          <t>Shenzhen Beauty Star Co., Ltd.,  Longgang，Shenzhen, Guangdong, China</t>
        </is>
      </c>
      <c r="B16020" t="inlineStr">
        <is>
          <t>Processing Unit, Trader</t>
        </is>
      </c>
      <c r="C16020" t="inlineStr">
        <is>
          <t>China Quality Certification Centre Co., Ltd., Beijing, CN</t>
        </is>
      </c>
      <c r="D16020" t="inlineStr">
        <is>
          <t>14.08.2026</t>
        </is>
      </c>
      <c r="E16020" t="inlineStr">
        <is>
          <t>China</t>
        </is>
      </c>
    </row>
    <row r="16021">
      <c r="A16021" t="inlineStr">
        <is>
          <t>EDF Trading,  London, United Kingdom</t>
        </is>
      </c>
      <c r="B16021" t="inlineStr">
        <is>
          <t>Trader with Storage</t>
        </is>
      </c>
      <c r="C16021" t="inlineStr">
        <is>
          <t>SGS Germany GmbH, Emstek, DE</t>
        </is>
      </c>
      <c r="D16021" t="inlineStr">
        <is>
          <t>14.08.2026</t>
        </is>
      </c>
      <c r="E16021" t="inlineStr">
        <is>
          <t>United Kingdom</t>
        </is>
      </c>
    </row>
    <row r="16022">
      <c r="A16022" t="inlineStr">
        <is>
          <t>Eurodatus UAB,  Mažeikiai, Lithuania</t>
        </is>
      </c>
      <c r="B16022" t="inlineStr">
        <is>
          <t>Trader with Storage</t>
        </is>
      </c>
      <c r="C16022" t="inlineStr">
        <is>
          <t>BM Certification, Riga, LV</t>
        </is>
      </c>
      <c r="D16022" t="inlineStr">
        <is>
          <t>14.08.2026</t>
        </is>
      </c>
      <c r="E16022" t="inlineStr">
        <is>
          <t>Lithuania</t>
        </is>
      </c>
    </row>
    <row r="16023">
      <c r="A16023" t="inlineStr">
        <is>
          <t>NOCCIOLE MARCHISIO,  Cortemilia, Italy</t>
        </is>
      </c>
      <c r="B16023" t="inlineStr">
        <is>
          <t>Warehouse, Processing Unit</t>
        </is>
      </c>
      <c r="C16023" t="inlineStr">
        <is>
          <t>SGS Germany GmbH, Emstek, DE</t>
        </is>
      </c>
      <c r="D16023" t="inlineStr">
        <is>
          <t>14.08.2026</t>
        </is>
      </c>
      <c r="E16023" t="inlineStr">
        <is>
          <t>Italy</t>
        </is>
      </c>
    </row>
    <row r="16024">
      <c r="A16024" t="inlineStr">
        <is>
          <t>Syensqo Specialty Polymers USA,  Augusta, GA, United States</t>
        </is>
      </c>
      <c r="B16024" t="inlineStr">
        <is>
          <t>Point of Origin, Collecting Point, Processing Unit</t>
        </is>
      </c>
      <c r="C16024" t="inlineStr">
        <is>
          <t>SCS Global Services, Emeryville, CA, US</t>
        </is>
      </c>
      <c r="D16024" t="inlineStr">
        <is>
          <t>14.08.2026</t>
        </is>
      </c>
      <c r="E16024" t="inlineStr">
        <is>
          <t>United States</t>
        </is>
      </c>
    </row>
    <row r="16025">
      <c r="A16025" t="inlineStr">
        <is>
          <t>INOVYN Europe Limited,  Jemeppe-sur-Sambre, Belgium</t>
        </is>
      </c>
      <c r="B16025" t="inlineStr">
        <is>
          <t>Processing Unit</t>
        </is>
      </c>
      <c r="C16025" t="inlineStr">
        <is>
          <t>SCS Global Services, Emeryville, CA, US</t>
        </is>
      </c>
      <c r="D16025" t="inlineStr">
        <is>
          <t>14.08.2026</t>
        </is>
      </c>
      <c r="E16025" t="inlineStr">
        <is>
          <t>Belgium</t>
        </is>
      </c>
    </row>
    <row r="16026">
      <c r="A16026" t="inlineStr">
        <is>
          <t>Tai'an Junye Environmental Protection Engineering Co., Ltd.,  Taishan, Tai'an, China</t>
        </is>
      </c>
      <c r="B16026" t="inlineStr">
        <is>
          <t>Collecting Point</t>
        </is>
      </c>
      <c r="C16026" t="inlineStr">
        <is>
          <t>RINA Services S.p.A., Genova, IT</t>
        </is>
      </c>
      <c r="D16026" t="inlineStr">
        <is>
          <t>13.08.2026</t>
        </is>
      </c>
      <c r="E16026" t="inlineStr">
        <is>
          <t>China</t>
        </is>
      </c>
    </row>
    <row r="16027">
      <c r="A16027" t="inlineStr">
        <is>
          <t>PT Industri Prima Lestari,  Deli Serdang, Indonesia</t>
        </is>
      </c>
      <c r="B16027" t="inlineStr">
        <is>
          <t>Collecting Point, Trader with Storage, Processing Unit</t>
        </is>
      </c>
      <c r="C16027" t="inlineStr">
        <is>
          <t>Trans Certification and Inspection Sdn Bhd, Kuantan, MY</t>
        </is>
      </c>
      <c r="D16027" t="inlineStr">
        <is>
          <t>13.08.2026</t>
        </is>
      </c>
      <c r="E16027" t="inlineStr">
        <is>
          <t>Indonesia</t>
        </is>
      </c>
    </row>
    <row r="16028">
      <c r="A16028" t="inlineStr">
        <is>
          <t>FGV Palm Industries,  KULAI, Malaysia</t>
        </is>
      </c>
      <c r="B16028" t="inlineStr">
        <is>
          <t>Point of Origin</t>
        </is>
      </c>
      <c r="C16028" t="inlineStr">
        <is>
          <t>Trans Certification and Inspection Sdn Bhd, Kuantan, MY</t>
        </is>
      </c>
      <c r="D16028" t="inlineStr">
        <is>
          <t>13.08.2026</t>
        </is>
      </c>
      <c r="E16028" t="inlineStr">
        <is>
          <t>Malaysia</t>
        </is>
      </c>
    </row>
    <row r="16029">
      <c r="A16029" t="inlineStr">
        <is>
          <t>PT Bumi Permai Lestari,  Kab Bangka Barat, Prov Kepulauan Bangka Belitung, Indonesia</t>
        </is>
      </c>
      <c r="B16029" t="inlineStr">
        <is>
          <t>First Gathering Point, Processing Unit</t>
        </is>
      </c>
      <c r="C16029" t="inlineStr">
        <is>
          <t>PT Mutuagung Lestari, Depok, ID</t>
        </is>
      </c>
      <c r="D16029" t="inlineStr">
        <is>
          <t>13.08.2026</t>
        </is>
      </c>
      <c r="E16029" t="inlineStr">
        <is>
          <t>Indonesia</t>
        </is>
      </c>
    </row>
    <row r="16030">
      <c r="A16030" t="inlineStr">
        <is>
          <t>KONICA MINOLTA, INC.,  Nishi-ku, Kobe-shi, Japan</t>
        </is>
      </c>
      <c r="B16030" t="inlineStr">
        <is>
          <t>Processing Unit, Trader with Storage</t>
        </is>
      </c>
      <c r="C16030" t="inlineStr">
        <is>
          <t>Control Union Certifications Germany GmbH, Berlin, DE</t>
        </is>
      </c>
      <c r="D16030" t="inlineStr">
        <is>
          <t>13.08.2026</t>
        </is>
      </c>
      <c r="E16030" t="inlineStr">
        <is>
          <t>Japan</t>
        </is>
      </c>
    </row>
    <row r="16031">
      <c r="A16031" t="inlineStr">
        <is>
          <t>Industrias Suescun SAU,  Andosilla, Spain</t>
        </is>
      </c>
      <c r="B16031" t="inlineStr">
        <is>
          <t>Point of Origin, Collecting Point, Trader</t>
        </is>
      </c>
      <c r="C16031" t="inlineStr">
        <is>
          <t>Control Union Poland Sp. z o.o., Zielona Gora, PL</t>
        </is>
      </c>
      <c r="D16031" t="inlineStr">
        <is>
          <t>13.08.2026</t>
        </is>
      </c>
      <c r="E16031" t="inlineStr">
        <is>
          <t>Spain</t>
        </is>
      </c>
    </row>
    <row r="16032">
      <c r="A16032" t="inlineStr">
        <is>
          <t>PT Maskapai Perkebunan Leidong West Indonesia - Leidong West Mill,  Kepulauan Bangka Belitung, Indonesia</t>
        </is>
      </c>
      <c r="B16032" t="inlineStr">
        <is>
          <t>First Gathering Point, Processing Unit</t>
        </is>
      </c>
      <c r="C16032" t="inlineStr">
        <is>
          <t>PT Mutuagung Lestari, Depok, ID</t>
        </is>
      </c>
      <c r="D16032" t="inlineStr">
        <is>
          <t>13.08.2026</t>
        </is>
      </c>
      <c r="E16032" t="inlineStr">
        <is>
          <t>Indonesia</t>
        </is>
      </c>
    </row>
    <row r="16033">
      <c r="A16033" t="inlineStr">
        <is>
          <t>BIOVIGO ENERGY,  Curtis, Spain</t>
        </is>
      </c>
      <c r="B16033" t="inlineStr">
        <is>
          <t>Processing Unit, Trader with Storage, Point of Origin</t>
        </is>
      </c>
      <c r="C16033" t="inlineStr">
        <is>
          <t>Amspec Iberia SL, Vilagarcia de Arousa-Pontevedra, ES</t>
        </is>
      </c>
      <c r="D16033" t="inlineStr">
        <is>
          <t>13.08.2026</t>
        </is>
      </c>
      <c r="E16033" t="inlineStr">
        <is>
          <t>Spain</t>
        </is>
      </c>
    </row>
    <row r="16034">
      <c r="A16034" t="inlineStr">
        <is>
          <t>Wenzhou Bada Optical Co., Ltd.,  Wenzhou City, Zhejiang, China</t>
        </is>
      </c>
      <c r="B16034" t="inlineStr">
        <is>
          <t>Processing Unit</t>
        </is>
      </c>
      <c r="C16034" t="inlineStr">
        <is>
          <t>SCS Global Services, Emeryville, CA, US</t>
        </is>
      </c>
      <c r="D16034" t="inlineStr">
        <is>
          <t>13.08.2026</t>
        </is>
      </c>
      <c r="E16034" t="inlineStr">
        <is>
          <t>China</t>
        </is>
      </c>
    </row>
    <row r="16035">
      <c r="A16035" t="inlineStr">
        <is>
          <t>VIETNAM GLOBAL BIO-ENERGY COMPANY LIMITED,  HO CHI MINH CITY, Vietnam</t>
        </is>
      </c>
      <c r="B16035" t="inlineStr">
        <is>
          <t>Trader with Storage</t>
        </is>
      </c>
      <c r="C16035" t="inlineStr">
        <is>
          <t>Trans Certification and Inspection Sdn Bhd, Kuantan, MY</t>
        </is>
      </c>
      <c r="D16035" t="inlineStr">
        <is>
          <t>13.08.2026</t>
        </is>
      </c>
      <c r="E16035" t="inlineStr">
        <is>
          <t>Vietnam</t>
        </is>
      </c>
    </row>
    <row r="16036">
      <c r="A16036" t="inlineStr">
        <is>
          <t>KOOPOM RESOURCES PTE. LTD.,  PAYA LEBAR SQUARE, Singapore</t>
        </is>
      </c>
      <c r="B16036" t="inlineStr">
        <is>
          <t>Trader</t>
        </is>
      </c>
      <c r="C16036" t="inlineStr">
        <is>
          <t>Trans Certification and Inspection Sdn Bhd, Kuantan, MY</t>
        </is>
      </c>
      <c r="D16036" t="inlineStr">
        <is>
          <t>13.08.2026</t>
        </is>
      </c>
      <c r="E16036" t="inlineStr">
        <is>
          <t>Singapore</t>
        </is>
      </c>
    </row>
    <row r="16037">
      <c r="A16037" t="inlineStr">
        <is>
          <t>Yoshioka Oil Co.,Ltd,  Iruma,Saitama, Japan</t>
        </is>
      </c>
      <c r="B16037" t="inlineStr">
        <is>
          <t>Collecting Point</t>
        </is>
      </c>
      <c r="C16037" t="inlineStr">
        <is>
          <t>Trans Certification and Inspection Sdn Bhd, Kuantan, MY</t>
        </is>
      </c>
      <c r="D16037" t="inlineStr">
        <is>
          <t>13.08.2026</t>
        </is>
      </c>
      <c r="E16037" t="inlineStr">
        <is>
          <t>Japan</t>
        </is>
      </c>
    </row>
    <row r="16038">
      <c r="A16038" t="inlineStr">
        <is>
          <t>Kasama Shoji Ltd,  Hanamigawa-ku, Chiba, Japan</t>
        </is>
      </c>
      <c r="B16038" t="inlineStr">
        <is>
          <t>Collecting Point</t>
        </is>
      </c>
      <c r="C16038" t="inlineStr">
        <is>
          <t>Trans Certification and Inspection Sdn Bhd, Kuantan, MY</t>
        </is>
      </c>
      <c r="D16038" t="inlineStr">
        <is>
          <t>13.08.2026</t>
        </is>
      </c>
      <c r="E16038" t="inlineStr">
        <is>
          <t>Japan</t>
        </is>
      </c>
    </row>
    <row r="16039">
      <c r="A16039" t="inlineStr">
        <is>
          <t>American Poly del Norte, SA de CV,  San Nicolas de los Garza, Nuevo León, Mexico</t>
        </is>
      </c>
      <c r="B16039" t="inlineStr">
        <is>
          <t>Processing Unit</t>
        </is>
      </c>
      <c r="C16039" t="inlineStr">
        <is>
          <t>Control Union Poland Sp. z o.o., Zielona Gora, PL</t>
        </is>
      </c>
      <c r="D16039" t="inlineStr">
        <is>
          <t>13.08.2026</t>
        </is>
      </c>
      <c r="E16039" t="inlineStr">
        <is>
          <t>Mexico</t>
        </is>
      </c>
    </row>
    <row r="16040">
      <c r="A16040" t="inlineStr">
        <is>
          <t>SHINYO OIL CO., Ltd,  Showa-cho, Nakakoma District, Yamanashi, Japan</t>
        </is>
      </c>
      <c r="B16040" t="inlineStr">
        <is>
          <t>Collecting Point</t>
        </is>
      </c>
      <c r="C16040" t="inlineStr">
        <is>
          <t>Trans Certification and Inspection Sdn Bhd, Kuantan, MY</t>
        </is>
      </c>
      <c r="D16040" t="inlineStr">
        <is>
          <t>13.08.2026</t>
        </is>
      </c>
      <c r="E16040" t="inlineStr">
        <is>
          <t>Japan</t>
        </is>
      </c>
    </row>
    <row r="16041">
      <c r="A16041" t="inlineStr">
        <is>
          <t>Sankyo corporation,  Kosai, Shizuoka, Japan</t>
        </is>
      </c>
      <c r="B16041" t="inlineStr">
        <is>
          <t>Collecting Point, Trader with Storage</t>
        </is>
      </c>
      <c r="C16041" t="inlineStr">
        <is>
          <t>Trans Certification and Inspection Sdn Bhd, Kuantan, MY</t>
        </is>
      </c>
      <c r="D16041" t="inlineStr">
        <is>
          <t>13.08.2026</t>
        </is>
      </c>
      <c r="E16041" t="inlineStr">
        <is>
          <t>Japan</t>
        </is>
      </c>
    </row>
    <row r="16042">
      <c r="A16042" t="inlineStr">
        <is>
          <t>Pezzutti Group SPA,  Fiume Veneto (PN), Italy</t>
        </is>
      </c>
      <c r="B16042" t="inlineStr">
        <is>
          <t>Processing Unit</t>
        </is>
      </c>
      <c r="C16042" t="inlineStr">
        <is>
          <t>RINA Services S.p.A., Genova, IT</t>
        </is>
      </c>
      <c r="D16042" t="inlineStr">
        <is>
          <t>13.08.2026</t>
        </is>
      </c>
      <c r="E16042" t="inlineStr">
        <is>
          <t>Italy</t>
        </is>
      </c>
    </row>
    <row r="16043">
      <c r="A16043" t="inlineStr">
        <is>
          <t>Iberia Bioenergy S.L.U.,  Granada, Spain</t>
        </is>
      </c>
      <c r="B16043" t="inlineStr">
        <is>
          <t>Trader with Storage</t>
        </is>
      </c>
      <c r="C16043" t="inlineStr">
        <is>
          <t>RINA Services S.p.A., Genova, IT</t>
        </is>
      </c>
      <c r="D16043" t="inlineStr">
        <is>
          <t>13.08.2026</t>
        </is>
      </c>
      <c r="E16043" t="inlineStr">
        <is>
          <t>Spain</t>
        </is>
      </c>
    </row>
    <row r="16044">
      <c r="A16044" t="inlineStr">
        <is>
          <t>Chongqing Jiye Energy Technology Co., Ltd,  Chongqing City, China</t>
        </is>
      </c>
      <c r="B16044" t="inlineStr">
        <is>
          <t>Collecting Point, Trader</t>
        </is>
      </c>
      <c r="C16044" t="inlineStr">
        <is>
          <t>RINA Services S.p.A., Genova, IT</t>
        </is>
      </c>
      <c r="D16044" t="inlineStr">
        <is>
          <t>13.08.2026</t>
        </is>
      </c>
      <c r="E16044" t="inlineStr">
        <is>
          <t>China</t>
        </is>
      </c>
    </row>
    <row r="16045">
      <c r="A16045" t="inlineStr">
        <is>
          <t>Tizona BioEnergy,  Geneva, Switzerland</t>
        </is>
      </c>
      <c r="B16045" t="inlineStr">
        <is>
          <t>Trader</t>
        </is>
      </c>
      <c r="C16045" t="inlineStr">
        <is>
          <t>Certificadora Gallega del Noroeste SL, Vilagarcia de Arousa-Pontevedra, ES</t>
        </is>
      </c>
      <c r="D16045" t="inlineStr">
        <is>
          <t>13.08.2026</t>
        </is>
      </c>
      <c r="E16045" t="inlineStr">
        <is>
          <t>Switzerland</t>
        </is>
      </c>
    </row>
    <row r="16046">
      <c r="A16046" t="inlineStr">
        <is>
          <t>Iberia Bioenergy S.L.U.,  Granada, Spain</t>
        </is>
      </c>
      <c r="B16046" t="inlineStr">
        <is>
          <t>Trader with Storage</t>
        </is>
      </c>
      <c r="C16046" t="inlineStr">
        <is>
          <t>RINA Services S.p.A., Genova, IT</t>
        </is>
      </c>
      <c r="D16046" t="inlineStr">
        <is>
          <t>13.08.2026</t>
        </is>
      </c>
      <c r="E16046" t="inlineStr">
        <is>
          <t>Spain</t>
        </is>
      </c>
    </row>
    <row r="16047">
      <c r="A16047" t="inlineStr">
        <is>
          <t>KONICA MINOLTA, INC.,  Nishi-ku, Kobe-shi, Japan</t>
        </is>
      </c>
      <c r="B16047" t="inlineStr">
        <is>
          <t>Processing Unit, Trader with Storage</t>
        </is>
      </c>
      <c r="C16047" t="inlineStr">
        <is>
          <t>Control Union Certifications Germany GmbH, Berlin, DE</t>
        </is>
      </c>
      <c r="D16047" t="inlineStr">
        <is>
          <t>13.08.2026</t>
        </is>
      </c>
      <c r="E16047" t="inlineStr">
        <is>
          <t>Japan</t>
        </is>
      </c>
    </row>
    <row r="16048">
      <c r="A16048" t="inlineStr">
        <is>
          <t>Cinnamon Bay, LLC,  East Brunswick, New Jersey, United States</t>
        </is>
      </c>
      <c r="B16048" t="inlineStr">
        <is>
          <t>Collecting Point, Processing Unit</t>
        </is>
      </c>
      <c r="C16048" t="inlineStr">
        <is>
          <t>Control Union Poland Sp. z o.o., Zielona Gora, PL</t>
        </is>
      </c>
      <c r="D16048" t="inlineStr">
        <is>
          <t>13.08.2026</t>
        </is>
      </c>
      <c r="E16048" t="inlineStr">
        <is>
          <t>United States</t>
        </is>
      </c>
    </row>
    <row r="16049">
      <c r="A16049" t="inlineStr">
        <is>
          <t>Cheng Yi Optical (Xiamen) Co., Ltd.,  Xiamen City, Fujian Province, China</t>
        </is>
      </c>
      <c r="B16049" t="inlineStr">
        <is>
          <t>Processing Unit</t>
        </is>
      </c>
      <c r="C16049" t="inlineStr">
        <is>
          <t>RINA Services S.p.A., Genova, IT</t>
        </is>
      </c>
      <c r="D16049" t="inlineStr">
        <is>
          <t>13.08.2026</t>
        </is>
      </c>
      <c r="E16049" t="inlineStr">
        <is>
          <t>China</t>
        </is>
      </c>
    </row>
    <row r="16050">
      <c r="A16050" t="inlineStr">
        <is>
          <t>GLOBAL AGRI SRL,  Comuna Totesti, Romania</t>
        </is>
      </c>
      <c r="B16050" t="inlineStr">
        <is>
          <t>First Gathering Point, Trader with Storage</t>
        </is>
      </c>
      <c r="C16050" t="inlineStr">
        <is>
          <t>BM Certification, Riga, LV</t>
        </is>
      </c>
      <c r="D16050" t="inlineStr">
        <is>
          <t>13.08.2026</t>
        </is>
      </c>
      <c r="E16050" t="inlineStr">
        <is>
          <t>Romania</t>
        </is>
      </c>
    </row>
    <row r="16051">
      <c r="A16051" t="inlineStr">
        <is>
          <t>ZHEJIANG DOMO ENGINEERING MATERIAL CO.,LTD,  Haiyan Jiaxing, China</t>
        </is>
      </c>
      <c r="B16051" t="inlineStr">
        <is>
          <t>Processing Unit</t>
        </is>
      </c>
      <c r="C16051" t="inlineStr">
        <is>
          <t>SGS Germany GmbH, Emstek, DE</t>
        </is>
      </c>
      <c r="D16051" t="inlineStr">
        <is>
          <t>13.08.2026</t>
        </is>
      </c>
      <c r="E16051" t="inlineStr">
        <is>
          <t>China</t>
        </is>
      </c>
    </row>
    <row r="16052">
      <c r="A16052" t="inlineStr">
        <is>
          <t>KEM ONE,  Fos Sur Mer Cedex, France</t>
        </is>
      </c>
      <c r="B16052" t="inlineStr">
        <is>
          <t>Processing Unit</t>
        </is>
      </c>
      <c r="C16052" t="inlineStr">
        <is>
          <t>Bureau Veritas Polska Sp. z o.o., Warsaw, PL</t>
        </is>
      </c>
      <c r="D16052" t="inlineStr">
        <is>
          <t>13.08.2026</t>
        </is>
      </c>
      <c r="E16052" t="inlineStr">
        <is>
          <t>France</t>
        </is>
      </c>
    </row>
    <row r="16053">
      <c r="A16053" t="inlineStr">
        <is>
          <t>KEM ONE,  Saint-Fons, France</t>
        </is>
      </c>
      <c r="B16053" t="inlineStr">
        <is>
          <t>Trader with Storage, Processing Unit</t>
        </is>
      </c>
      <c r="C16053" t="inlineStr">
        <is>
          <t>Bureau Veritas Polska Sp. z o.o., Warsaw, PL</t>
        </is>
      </c>
      <c r="D16053" t="inlineStr">
        <is>
          <t>13.08.2026</t>
        </is>
      </c>
      <c r="E16053" t="inlineStr">
        <is>
          <t>France</t>
        </is>
      </c>
    </row>
    <row r="16054">
      <c r="A16054" t="inlineStr">
        <is>
          <t>Reliance Industries Limited,  Jamnagar, India</t>
        </is>
      </c>
      <c r="B16054" t="inlineStr">
        <is>
          <t>Processing Unit</t>
        </is>
      </c>
      <c r="C16054" t="inlineStr">
        <is>
          <t>Cotecna India Inspection Pvt Ltd, Kolkata, IN</t>
        </is>
      </c>
      <c r="D16054" t="inlineStr">
        <is>
          <t>13.08.2026</t>
        </is>
      </c>
      <c r="E16054" t="inlineStr">
        <is>
          <t>India</t>
        </is>
      </c>
    </row>
    <row r="16055">
      <c r="A16055" t="inlineStr">
        <is>
          <t>Graphic Packaging International,  Kenton, United States</t>
        </is>
      </c>
      <c r="B16055" t="inlineStr">
        <is>
          <t>Processing Unit</t>
        </is>
      </c>
      <c r="C16055" t="inlineStr">
        <is>
          <t>SCS Global Services, Emeryville, CA, US</t>
        </is>
      </c>
      <c r="D16055" t="inlineStr">
        <is>
          <t>13.08.2026</t>
        </is>
      </c>
      <c r="E16055" t="inlineStr">
        <is>
          <t>United States</t>
        </is>
      </c>
    </row>
    <row r="16056">
      <c r="A16056" t="inlineStr">
        <is>
          <t>Suburmas Palm Oil Mill Sdn Bhd,  Bintulu, Malaysia</t>
        </is>
      </c>
      <c r="B16056" t="inlineStr">
        <is>
          <t>Point of Origin</t>
        </is>
      </c>
      <c r="C16056" t="inlineStr">
        <is>
          <t>NIOSH Certification Sdn. Bhd., Selangor Darul Ehsan, MY</t>
        </is>
      </c>
      <c r="D16056" t="inlineStr">
        <is>
          <t>13.08.2026</t>
        </is>
      </c>
      <c r="E16056" t="inlineStr">
        <is>
          <t>Malaysia</t>
        </is>
      </c>
    </row>
    <row r="16057">
      <c r="A16057" t="inlineStr">
        <is>
          <t>Seatex Development Sdn. Bhd. (Hass Palm Oil Mill),  Miri, Malaysia</t>
        </is>
      </c>
      <c r="B16057" t="inlineStr">
        <is>
          <t>Point of Origin</t>
        </is>
      </c>
      <c r="C16057" t="inlineStr">
        <is>
          <t>NIOSH Certification Sdn. Bhd., Selangor Darul Ehsan, MY</t>
        </is>
      </c>
      <c r="D16057" t="inlineStr">
        <is>
          <t>13.08.2026</t>
        </is>
      </c>
      <c r="E16057" t="inlineStr">
        <is>
          <t>Malaysia</t>
        </is>
      </c>
    </row>
    <row r="16058">
      <c r="A16058" t="inlineStr">
        <is>
          <t>Best Pacific Vietnam Company Limited,  Hai Phong City, Vietnam</t>
        </is>
      </c>
      <c r="B16058" t="inlineStr">
        <is>
          <t>Processing Unit</t>
        </is>
      </c>
      <c r="C16058" t="inlineStr">
        <is>
          <t>Control Union Certifications Germany GmbH, Berlin, DE</t>
        </is>
      </c>
      <c r="D16058" t="inlineStr">
        <is>
          <t>13.08.2026</t>
        </is>
      </c>
      <c r="E16058" t="inlineStr">
        <is>
          <t>Vietnam</t>
        </is>
      </c>
    </row>
    <row r="16059">
      <c r="A16059" t="inlineStr">
        <is>
          <t>PT Bumi Permai Lestari,  Pangkalpinang,, Indonesia</t>
        </is>
      </c>
      <c r="B16059" t="inlineStr">
        <is>
          <t>Trader with Storage, Warehouse</t>
        </is>
      </c>
      <c r="C16059" t="inlineStr">
        <is>
          <t>PT Intertek Utama Services, Jakarta, ID</t>
        </is>
      </c>
      <c r="D16059" t="inlineStr">
        <is>
          <t>13.08.2026</t>
        </is>
      </c>
      <c r="E16059" t="inlineStr">
        <is>
          <t>Indonesia</t>
        </is>
      </c>
    </row>
    <row r="16060">
      <c r="A16060" t="inlineStr">
        <is>
          <t>Vestjysk Biogas,  Skjern, Denmark</t>
        </is>
      </c>
      <c r="B16060" t="inlineStr">
        <is>
          <t>Collecting Point, First Gathering Point, Processing Unit</t>
        </is>
      </c>
      <c r="C16060" t="inlineStr">
        <is>
          <t>Baltic Control Certification, Risskov, DK</t>
        </is>
      </c>
      <c r="D16060" t="inlineStr">
        <is>
          <t>13.08.2026</t>
        </is>
      </c>
      <c r="E16060" t="inlineStr">
        <is>
          <t>Denmark</t>
        </is>
      </c>
    </row>
    <row r="16061">
      <c r="A16061" t="inlineStr">
        <is>
          <t>Hebei Enlio Sports Goods Co., Ltd,  Shijiazhuang, China</t>
        </is>
      </c>
      <c r="B16061" t="inlineStr">
        <is>
          <t>Processing Unit</t>
        </is>
      </c>
      <c r="C16061" t="inlineStr">
        <is>
          <t>China Testing &amp; Certification International Group Co., Ltd., Beijing, CN</t>
        </is>
      </c>
      <c r="D16061" t="inlineStr">
        <is>
          <t>13.08.2026</t>
        </is>
      </c>
      <c r="E16061" t="inlineStr">
        <is>
          <t>China</t>
        </is>
      </c>
    </row>
    <row r="16062">
      <c r="A16062" t="inlineStr">
        <is>
          <t>KAROLIA,  Zhytomyr reg., Berdychiv dist., Skraglivka village, Ukraine</t>
        </is>
      </c>
      <c r="B16062" t="inlineStr">
        <is>
          <t>Farm / Plantation</t>
        </is>
      </c>
      <c r="C16062" t="inlineStr">
        <is>
          <t>Control Union Poland Sp. z o.o., Zielona Gora, PL</t>
        </is>
      </c>
      <c r="D16062" t="inlineStr">
        <is>
          <t>13.08.2026</t>
        </is>
      </c>
      <c r="E16062" t="inlineStr">
        <is>
          <t>Ukraine</t>
        </is>
      </c>
    </row>
    <row r="16063">
      <c r="A16063" t="inlineStr">
        <is>
          <t>HELM INDIA PRIVATE LIMITED,  MUMBAI, India</t>
        </is>
      </c>
      <c r="B16063" t="inlineStr">
        <is>
          <t>Trader</t>
        </is>
      </c>
      <c r="C16063" t="inlineStr">
        <is>
          <t>Control Union Certifications Germany GmbH, Berlin, DE</t>
        </is>
      </c>
      <c r="D16063" t="inlineStr">
        <is>
          <t>13.08.2026</t>
        </is>
      </c>
      <c r="E16063" t="inlineStr">
        <is>
          <t>India</t>
        </is>
      </c>
    </row>
    <row r="16064">
      <c r="A16064" t="inlineStr">
        <is>
          <t>VOLDANI GROUP,  Kyiv, Ukraine</t>
        </is>
      </c>
      <c r="B16064" t="inlineStr">
        <is>
          <t>Trader</t>
        </is>
      </c>
      <c r="C16064" t="inlineStr">
        <is>
          <t>Control Union Certifications Germany GmbH, Berlin, DE</t>
        </is>
      </c>
      <c r="D16064" t="inlineStr">
        <is>
          <t>13.08.2026</t>
        </is>
      </c>
      <c r="E16064" t="inlineStr">
        <is>
          <t>Ukraine</t>
        </is>
      </c>
    </row>
    <row r="16065">
      <c r="A16065" t="inlineStr">
        <is>
          <t>Ningbo Topcentral New Material Co.,Ltd.,  Fenghua District, Ningbo City, Zhejiang Province, China</t>
        </is>
      </c>
      <c r="B16065" t="inlineStr">
        <is>
          <t>Processing Unit</t>
        </is>
      </c>
      <c r="C16065" t="inlineStr">
        <is>
          <t>DIN CERTCO GmbH, Berlin, DE</t>
        </is>
      </c>
      <c r="D16065" t="inlineStr">
        <is>
          <t>13.08.2026</t>
        </is>
      </c>
      <c r="E16065" t="inlineStr">
        <is>
          <t>China</t>
        </is>
      </c>
    </row>
    <row r="16066">
      <c r="A16066" t="inlineStr">
        <is>
          <t>LIMITED LIABILITY COMPANY "AGRICULTURAL PRODUCTION ENTERPRISE "OCHAKIVSKE",  Ivanivka, Ochakivskyi disctrict, Mykolaivska oblast, Ukraine</t>
        </is>
      </c>
      <c r="B16066" t="inlineStr">
        <is>
          <t>Farm / Plantation</t>
        </is>
      </c>
      <c r="C16066" t="inlineStr">
        <is>
          <t>Baltic Control Certification, Risskov, DK</t>
        </is>
      </c>
      <c r="D16066" t="inlineStr">
        <is>
          <t>13.08.2026</t>
        </is>
      </c>
      <c r="E16066" t="inlineStr">
        <is>
          <t>Ukraine</t>
        </is>
      </c>
    </row>
    <row r="16067">
      <c r="A16067" t="inlineStr">
        <is>
          <t>Flogas Britain Ltd,  Syston, Leicestershire, United Kingdom</t>
        </is>
      </c>
      <c r="B16067" t="inlineStr">
        <is>
          <t>Trader with Storage</t>
        </is>
      </c>
      <c r="C16067" t="inlineStr">
        <is>
          <t>SGS Germany GmbH, Emstek, DE</t>
        </is>
      </c>
      <c r="D16067" t="inlineStr">
        <is>
          <t>13.08.2026</t>
        </is>
      </c>
      <c r="E16067" t="inlineStr">
        <is>
          <t>United Kingdom</t>
        </is>
      </c>
    </row>
    <row r="16068">
      <c r="A16068" t="inlineStr">
        <is>
          <t>Zhejiang Dongling Energy Co., LTD,  Jiaxing City, Zhejiang Province, China</t>
        </is>
      </c>
      <c r="B16068" t="inlineStr">
        <is>
          <t>Trader with Storage</t>
        </is>
      </c>
      <c r="C16068" t="inlineStr">
        <is>
          <t>RINA Services S.p.A., Genova, IT</t>
        </is>
      </c>
      <c r="D16068" t="inlineStr">
        <is>
          <t>13.08.2026</t>
        </is>
      </c>
      <c r="E16068" t="inlineStr">
        <is>
          <t>China</t>
        </is>
      </c>
    </row>
    <row r="16069">
      <c r="A16069" t="inlineStr">
        <is>
          <t>GUANGDONG LINDA POLYMER MATERIAL TECHNOLOGY CO., LTD,  Baihao, Houjie town, Dongguan City, China</t>
        </is>
      </c>
      <c r="B16069" t="inlineStr">
        <is>
          <t>Processing Unit</t>
        </is>
      </c>
      <c r="C16069" t="inlineStr">
        <is>
          <t>SGS Germany GmbH, Emstek, DE</t>
        </is>
      </c>
      <c r="D16069" t="inlineStr">
        <is>
          <t>13.08.2026</t>
        </is>
      </c>
      <c r="E16069" t="inlineStr">
        <is>
          <t>China</t>
        </is>
      </c>
    </row>
    <row r="16070">
      <c r="A16070" t="inlineStr">
        <is>
          <t>Qinyang Youjun oil Industry Co., LTD,  Jiaozuo, Henan, China</t>
        </is>
      </c>
      <c r="B16070" t="inlineStr">
        <is>
          <t>Trader, Collecting Point, Processing Unit</t>
        </is>
      </c>
      <c r="C16070" t="inlineStr">
        <is>
          <t>SCS Global Services, Emeryville, CA, US</t>
        </is>
      </c>
      <c r="D16070" t="inlineStr">
        <is>
          <t>13.08.2026</t>
        </is>
      </c>
      <c r="E16070" t="inlineStr">
        <is>
          <t>China</t>
        </is>
      </c>
    </row>
    <row r="16071">
      <c r="A16071" t="inlineStr">
        <is>
          <t>PT Sukses Unggul Palma,  Kab. Ketapang, Provinsi Kalimantan Barat, Indonesia</t>
        </is>
      </c>
      <c r="B16071" t="inlineStr">
        <is>
          <t>Point of Origin</t>
        </is>
      </c>
      <c r="C16071" t="inlineStr">
        <is>
          <t>PT. Qualitas Sertifikasi Indonesia, Jakarta, ID</t>
        </is>
      </c>
      <c r="D16071" t="inlineStr">
        <is>
          <t>13.08.2026</t>
        </is>
      </c>
      <c r="E16071" t="inlineStr">
        <is>
          <t>Indonesia</t>
        </is>
      </c>
    </row>
    <row r="16072">
      <c r="A16072" t="inlineStr">
        <is>
          <t>INCO INTERNATIONAL (HK) CO., LIMITED,  Hangzhou City, Zhejiang Province,, China</t>
        </is>
      </c>
      <c r="B16072" t="inlineStr">
        <is>
          <t>Trader with Storage</t>
        </is>
      </c>
      <c r="C16072" t="inlineStr">
        <is>
          <t>SCS Global Services, Emeryville, CA, US</t>
        </is>
      </c>
      <c r="D16072" t="inlineStr">
        <is>
          <t>13.08.2026</t>
        </is>
      </c>
      <c r="E16072" t="inlineStr">
        <is>
          <t>China</t>
        </is>
      </c>
    </row>
    <row r="16073">
      <c r="A16073" t="inlineStr">
        <is>
          <t>Juice Trading SIA,  Riga, Latvia</t>
        </is>
      </c>
      <c r="B16073" t="inlineStr">
        <is>
          <t>Trader with Storage</t>
        </is>
      </c>
      <c r="C16073" t="inlineStr">
        <is>
          <t>BM Certification, Riga, LV</t>
        </is>
      </c>
      <c r="D16073" t="inlineStr">
        <is>
          <t>13.08.2026</t>
        </is>
      </c>
      <c r="E16073" t="inlineStr">
        <is>
          <t>Latvia</t>
        </is>
      </c>
    </row>
    <row r="16074">
      <c r="A16074" t="inlineStr">
        <is>
          <t>APN Plastics,  Dandenong, Victoria, Australia</t>
        </is>
      </c>
      <c r="B16074" t="inlineStr">
        <is>
          <t>Trader with Storage</t>
        </is>
      </c>
      <c r="C16074" t="inlineStr">
        <is>
          <t>SGS Germany GmbH, Emstek, DE</t>
        </is>
      </c>
      <c r="D16074" t="inlineStr">
        <is>
          <t>13.08.2026</t>
        </is>
      </c>
      <c r="E16074" t="inlineStr">
        <is>
          <t>Australia</t>
        </is>
      </c>
    </row>
    <row r="16075">
      <c r="A16075" t="inlineStr">
        <is>
          <t>Qingdao Haier New Material Development Co., Ltd.,  Qingdao city, shandong Province, China</t>
        </is>
      </c>
      <c r="B16075" t="inlineStr">
        <is>
          <t>Processing Unit</t>
        </is>
      </c>
      <c r="C16075" t="inlineStr">
        <is>
          <t>SGS Germany GmbH, Emstek, DE</t>
        </is>
      </c>
      <c r="D16075" t="inlineStr">
        <is>
          <t>13.08.2026</t>
        </is>
      </c>
      <c r="E16075" t="inlineStr">
        <is>
          <t>China</t>
        </is>
      </c>
    </row>
    <row r="16076">
      <c r="A16076" t="inlineStr">
        <is>
          <t>Euston biogas limited,  Thetford, United Kingdom</t>
        </is>
      </c>
      <c r="B16076" t="inlineStr">
        <is>
          <t>First Gathering Point, Collecting Point, Processing Unit</t>
        </is>
      </c>
      <c r="C16076" t="inlineStr">
        <is>
          <t>Aardvark Certification Ltd, Wiveliscombe, Somerset, GB</t>
        </is>
      </c>
      <c r="D16076" t="inlineStr">
        <is>
          <t>13.08.2026</t>
        </is>
      </c>
      <c r="E16076" t="inlineStr">
        <is>
          <t>United Kingdom</t>
        </is>
      </c>
    </row>
    <row r="16077">
      <c r="A16077" t="inlineStr">
        <is>
          <t>INABA RUBBER CO., LTD Tottori Second Factory,  Tottori-shi, Tottori, Japan</t>
        </is>
      </c>
      <c r="B16077" t="inlineStr">
        <is>
          <t>Point of Origin, Processing Unit</t>
        </is>
      </c>
      <c r="C16077" t="inlineStr">
        <is>
          <t>SGS Germany GmbH, Emstek, DE</t>
        </is>
      </c>
      <c r="D16077" t="inlineStr">
        <is>
          <t>13.08.2026</t>
        </is>
      </c>
      <c r="E16077" t="inlineStr">
        <is>
          <t>Japan</t>
        </is>
      </c>
    </row>
    <row r="16078">
      <c r="A16078" t="inlineStr">
        <is>
          <t>Bay Farm Power Limited,  Suffolk, United Kingdom</t>
        </is>
      </c>
      <c r="B16078" t="inlineStr">
        <is>
          <t>First Gathering Point, Collecting Point, Processing Unit</t>
        </is>
      </c>
      <c r="C16078" t="inlineStr">
        <is>
          <t>Aardvark Certification Ltd, Wiveliscombe, Somerset, GB</t>
        </is>
      </c>
      <c r="D16078" t="inlineStr">
        <is>
          <t>13.08.2026</t>
        </is>
      </c>
      <c r="E16078" t="inlineStr">
        <is>
          <t>United Kingdom</t>
        </is>
      </c>
    </row>
    <row r="16079">
      <c r="A16079" t="inlineStr">
        <is>
          <t>BOMIX INDÚSTRIA DE EMBALAGENS LTDA,  Simões Filho, Brazil</t>
        </is>
      </c>
      <c r="B16079" t="inlineStr">
        <is>
          <t>Processing Unit</t>
        </is>
      </c>
      <c r="C16079" t="inlineStr">
        <is>
          <t>QIMA, Centro, Botucatu - SP, CEP, BR</t>
        </is>
      </c>
      <c r="D16079" t="inlineStr">
        <is>
          <t>13.08.2026</t>
        </is>
      </c>
      <c r="E16079" t="inlineStr">
        <is>
          <t>Brazil</t>
        </is>
      </c>
    </row>
    <row r="16080">
      <c r="A16080" t="inlineStr">
        <is>
          <t>RECICLAJES ECOLOGICOS IMEBAJAL SL,  HUELVA, Spain</t>
        </is>
      </c>
      <c r="B16080" t="inlineStr">
        <is>
          <t>Collecting Point, Trader with Storage, Warehouse</t>
        </is>
      </c>
      <c r="C16080" t="inlineStr">
        <is>
          <t>RINA Services S.p.A., Genova, IT</t>
        </is>
      </c>
      <c r="D16080" t="inlineStr">
        <is>
          <t>12.08.2026</t>
        </is>
      </c>
      <c r="E16080" t="inlineStr">
        <is>
          <t>Spain</t>
        </is>
      </c>
    </row>
    <row r="16081">
      <c r="A16081" t="inlineStr">
        <is>
          <t>Celanese US Holdings LLC,  Bishop, United States</t>
        </is>
      </c>
      <c r="B16081" t="inlineStr">
        <is>
          <t>Processing Unit</t>
        </is>
      </c>
      <c r="C16081" t="inlineStr">
        <is>
          <t>DIN CERTCO GmbH, Berlin, DE</t>
        </is>
      </c>
      <c r="D16081" t="inlineStr">
        <is>
          <t>12.08.2026</t>
        </is>
      </c>
      <c r="E16081" t="inlineStr">
        <is>
          <t>United States</t>
        </is>
      </c>
    </row>
    <row r="16082">
      <c r="A16082" t="inlineStr">
        <is>
          <t>Secretmatrix, Lda,  Maia, Portugal</t>
        </is>
      </c>
      <c r="B16082" t="inlineStr">
        <is>
          <t>Trader</t>
        </is>
      </c>
      <c r="C16082" t="inlineStr">
        <is>
          <t>United Registrar of Systems Polska Sp. z o.o., Wrocław, PL</t>
        </is>
      </c>
      <c r="D16082" t="inlineStr">
        <is>
          <t>12.08.2026</t>
        </is>
      </c>
      <c r="E16082" t="inlineStr">
        <is>
          <t>Portugal</t>
        </is>
      </c>
    </row>
    <row r="16083">
      <c r="A16083" t="inlineStr">
        <is>
          <t>Gunvor Biodiesel Berantevilla SL,  Berantevilla, Spain</t>
        </is>
      </c>
      <c r="B16083" t="inlineStr">
        <is>
          <t>Point of Origin, Processing Unit</t>
        </is>
      </c>
      <c r="C16083" t="inlineStr">
        <is>
          <t>ASG Cert GmbH, Munich, DE</t>
        </is>
      </c>
      <c r="D16083" t="inlineStr">
        <is>
          <t>12.08.2026</t>
        </is>
      </c>
      <c r="E16083" t="inlineStr">
        <is>
          <t>Spain</t>
        </is>
      </c>
    </row>
    <row r="16084">
      <c r="A16084" t="inlineStr">
        <is>
          <t>PUcore co.,ltd. (Seoul Office),  Seoul, South Korea</t>
        </is>
      </c>
      <c r="B16084" t="inlineStr">
        <is>
          <t>Trader</t>
        </is>
      </c>
      <c r="C16084" t="inlineStr">
        <is>
          <t>Control Union Certifications Germany GmbH, Berlin, DE</t>
        </is>
      </c>
      <c r="D16084" t="inlineStr">
        <is>
          <t>12.08.2026</t>
        </is>
      </c>
      <c r="E16084" t="inlineStr">
        <is>
          <t>South Korea</t>
        </is>
      </c>
    </row>
    <row r="16085">
      <c r="A16085" t="inlineStr">
        <is>
          <t>PUcore co.,ltd. (Ulsan Plant),  Nam-gu, Ulsan, South Korea</t>
        </is>
      </c>
      <c r="B16085" t="inlineStr">
        <is>
          <t>Processing Unit</t>
        </is>
      </c>
      <c r="C16085" t="inlineStr">
        <is>
          <t>Control Union Certifications Germany GmbH, Berlin, DE</t>
        </is>
      </c>
      <c r="D16085" t="inlineStr">
        <is>
          <t>12.08.2026</t>
        </is>
      </c>
      <c r="E16085" t="inlineStr">
        <is>
          <t>South Korea</t>
        </is>
      </c>
    </row>
    <row r="16086">
      <c r="A16086" t="inlineStr">
        <is>
          <t>Evos Amsterdam East B.V.,  Amsterdam, Netherlands</t>
        </is>
      </c>
      <c r="B16086" t="inlineStr">
        <is>
          <t>Warehouse</t>
        </is>
      </c>
      <c r="C16086" t="inlineStr">
        <is>
          <t>DEKRA Certification B.V., Arnhem, NL</t>
        </is>
      </c>
      <c r="D16086" t="inlineStr">
        <is>
          <t>12.08.2026</t>
        </is>
      </c>
      <c r="E16086" t="inlineStr">
        <is>
          <t>Netherlands</t>
        </is>
      </c>
    </row>
    <row r="16087">
      <c r="A16087" t="inlineStr">
        <is>
          <t>Bonset America Corporation,  Browns Summit, United States</t>
        </is>
      </c>
      <c r="B16087" t="inlineStr">
        <is>
          <t>Processing Unit</t>
        </is>
      </c>
      <c r="C16087" t="inlineStr">
        <is>
          <t>SCS Global Services, Emeryville, CA, US</t>
        </is>
      </c>
      <c r="D16087" t="inlineStr">
        <is>
          <t>12.08.2026</t>
        </is>
      </c>
      <c r="E16087" t="inlineStr">
        <is>
          <t>United States</t>
        </is>
      </c>
    </row>
    <row r="16088">
      <c r="A16088" t="inlineStr">
        <is>
          <t>CEZ Prodej, a.s.,  Praha 4, Czech Republic</t>
        </is>
      </c>
      <c r="B16088" t="inlineStr">
        <is>
          <t>Trader</t>
        </is>
      </c>
      <c r="C16088" t="inlineStr">
        <is>
          <t>TÜV SÜD Czech s.r.o., Praha 4, CZ</t>
        </is>
      </c>
      <c r="D16088" t="inlineStr">
        <is>
          <t>12.08.2026</t>
        </is>
      </c>
      <c r="E16088" t="inlineStr">
        <is>
          <t>Czech Republic</t>
        </is>
      </c>
    </row>
    <row r="16089">
      <c r="A16089" t="inlineStr">
        <is>
          <t>IMCD España Especialidades Quimicas S.A.,  Barcelona, Spain</t>
        </is>
      </c>
      <c r="B16089" t="inlineStr">
        <is>
          <t>Trader with Storage</t>
        </is>
      </c>
      <c r="C16089" t="inlineStr">
        <is>
          <t>BMC Assurance, S.L, Santander, ES</t>
        </is>
      </c>
      <c r="D16089" t="inlineStr">
        <is>
          <t>12.08.2026</t>
        </is>
      </c>
      <c r="E16089" t="inlineStr">
        <is>
          <t>Spain</t>
        </is>
      </c>
    </row>
    <row r="16090">
      <c r="A16090" t="inlineStr">
        <is>
          <t>Pertamina International Marketing and Distribution,  Singapore, Singapore</t>
        </is>
      </c>
      <c r="B16090" t="inlineStr">
        <is>
          <t>Trader, Trader with Storage</t>
        </is>
      </c>
      <c r="C16090" t="inlineStr">
        <is>
          <t>PT Intertek Utama Services, Jakarta, ID</t>
        </is>
      </c>
      <c r="D16090" t="inlineStr">
        <is>
          <t>12.08.2026</t>
        </is>
      </c>
      <c r="E16090" t="inlineStr">
        <is>
          <t>Singapore</t>
        </is>
      </c>
    </row>
    <row r="16091">
      <c r="A16091" t="inlineStr">
        <is>
          <t>Pertamina International Marketing and Distribution,  Singapore, Singapore</t>
        </is>
      </c>
      <c r="B16091" t="inlineStr">
        <is>
          <t>Trader, Trader with Storage</t>
        </is>
      </c>
      <c r="C16091" t="inlineStr">
        <is>
          <t>PT Intertek Utama Services, Jakarta, ID</t>
        </is>
      </c>
      <c r="D16091" t="inlineStr">
        <is>
          <t>12.08.2026</t>
        </is>
      </c>
      <c r="E16091" t="inlineStr">
        <is>
          <t>Singapore</t>
        </is>
      </c>
    </row>
    <row r="16092">
      <c r="A16092" t="inlineStr">
        <is>
          <t>G-3 Chickadee Purchaser, LLC,  Houston, United States</t>
        </is>
      </c>
      <c r="B16092" t="inlineStr">
        <is>
          <t>Processing Unit</t>
        </is>
      </c>
      <c r="C16092" t="inlineStr">
        <is>
          <t>SCS Global Services, Emeryville, CA, US</t>
        </is>
      </c>
      <c r="D16092" t="inlineStr">
        <is>
          <t>12.08.2026</t>
        </is>
      </c>
      <c r="E16092" t="inlineStr">
        <is>
          <t>United States</t>
        </is>
      </c>
    </row>
    <row r="16093">
      <c r="A16093" t="inlineStr">
        <is>
          <t>HARVESTONE INTERNATIONAL TRADE CO.,LTD.OF TIANJIN PORT BONDED,  Tianjin, China</t>
        </is>
      </c>
      <c r="B16093" t="inlineStr">
        <is>
          <t>Trader</t>
        </is>
      </c>
      <c r="C16093" t="inlineStr">
        <is>
          <t>SCS Global Services, Emeryville, CA, US</t>
        </is>
      </c>
      <c r="D16093" t="inlineStr">
        <is>
          <t>12.08.2026</t>
        </is>
      </c>
      <c r="E16093" t="inlineStr">
        <is>
          <t>China</t>
        </is>
      </c>
    </row>
    <row r="16094">
      <c r="A16094" t="inlineStr">
        <is>
          <t>Kilang Sawit C.P,  Temerloh, Malaysia</t>
        </is>
      </c>
      <c r="B16094" t="inlineStr">
        <is>
          <t>Point of Origin</t>
        </is>
      </c>
      <c r="C16094" t="inlineStr">
        <is>
          <t>Trans Certification and Inspection Sdn Bhd, Kuantan, MY</t>
        </is>
      </c>
      <c r="D16094" t="inlineStr">
        <is>
          <t>12.08.2026</t>
        </is>
      </c>
      <c r="E16094" t="inlineStr">
        <is>
          <t>Malaysia</t>
        </is>
      </c>
    </row>
    <row r="16095">
      <c r="A16095" t="inlineStr">
        <is>
          <t>SEB Servizi Ecologici Brenta Srl,  Lugo di Campagna Lupia, Italy</t>
        </is>
      </c>
      <c r="B16095" t="inlineStr">
        <is>
          <t>Collecting Point, Trader</t>
        </is>
      </c>
      <c r="C16095" t="inlineStr">
        <is>
          <t>SGS Germany GmbH, Emstek, DE</t>
        </is>
      </c>
      <c r="D16095" t="inlineStr">
        <is>
          <t>12.08.2026</t>
        </is>
      </c>
      <c r="E16095" t="inlineStr">
        <is>
          <t>Italy</t>
        </is>
      </c>
    </row>
    <row r="16096">
      <c r="A16096" t="inlineStr">
        <is>
          <t>Ausumgaard Biogen A/S,  Hjerm, Denmark</t>
        </is>
      </c>
      <c r="B16096" t="inlineStr">
        <is>
          <t>Collecting Point, First Gathering Point, Processing Unit</t>
        </is>
      </c>
      <c r="C16096" t="inlineStr">
        <is>
          <t>Baltic Control Certification, Risskov, DK</t>
        </is>
      </c>
      <c r="D16096" t="inlineStr">
        <is>
          <t>12.08.2026</t>
        </is>
      </c>
      <c r="E16096" t="inlineStr">
        <is>
          <t>Denmark</t>
        </is>
      </c>
    </row>
    <row r="16097">
      <c r="A16097" t="inlineStr">
        <is>
          <t>HeNan AoMeng Energy Technology Development Co., Ltd.,  Shangqiu City, Henan, China</t>
        </is>
      </c>
      <c r="B16097" t="inlineStr">
        <is>
          <t>Collecting Point, Trader</t>
        </is>
      </c>
      <c r="C16097" t="inlineStr">
        <is>
          <t>SCS Global Services, Emeryville, CA, US</t>
        </is>
      </c>
      <c r="D16097" t="inlineStr">
        <is>
          <t>12.08.2026</t>
        </is>
      </c>
      <c r="E16097" t="inlineStr">
        <is>
          <t>China</t>
        </is>
      </c>
    </row>
    <row r="16098">
      <c r="A16098" t="inlineStr">
        <is>
          <t>Anugerah Hidup Abadi,  Tegal, Indonesia</t>
        </is>
      </c>
      <c r="B16098" t="inlineStr">
        <is>
          <t>Collecting Point, Trader with Storage</t>
        </is>
      </c>
      <c r="C16098" t="inlineStr">
        <is>
          <t>PT SBC Asia Sertifikasi, Kebumen, ID</t>
        </is>
      </c>
      <c r="D16098" t="inlineStr">
        <is>
          <t>12.08.2026</t>
        </is>
      </c>
      <c r="E16098" t="inlineStr">
        <is>
          <t>Indonesia</t>
        </is>
      </c>
    </row>
    <row r="16099">
      <c r="A16099" t="inlineStr">
        <is>
          <t>Plastribution,  Ashby de la Zouch, United Kingdom</t>
        </is>
      </c>
      <c r="B16099" t="inlineStr">
        <is>
          <t>Warehouse, Trader with Storage</t>
        </is>
      </c>
      <c r="C16099" t="inlineStr">
        <is>
          <t>Aardvark Certification Ltd, Wiveliscombe, Somerset, GB</t>
        </is>
      </c>
      <c r="D16099" t="inlineStr">
        <is>
          <t>12.08.2026</t>
        </is>
      </c>
      <c r="E16099" t="inlineStr">
        <is>
          <t>United Kingdom</t>
        </is>
      </c>
    </row>
    <row r="16100">
      <c r="A16100" t="inlineStr">
        <is>
          <t>Vitalite-Mihaela,  raionul Criuleni, s.Isnovat, Moldova</t>
        </is>
      </c>
      <c r="B16100" t="inlineStr">
        <is>
          <t>First Gathering Point, Warehouse</t>
        </is>
      </c>
      <c r="C16100" t="inlineStr">
        <is>
          <t>BM Certification, Riga, LV</t>
        </is>
      </c>
      <c r="D16100" t="inlineStr">
        <is>
          <t>12.08.2026</t>
        </is>
      </c>
      <c r="E16100" t="inlineStr">
        <is>
          <t>Moldova</t>
        </is>
      </c>
    </row>
    <row r="16101">
      <c r="A16101" t="inlineStr">
        <is>
          <t>SRF Limited,  Malanpur, Bhind District, India</t>
        </is>
      </c>
      <c r="B16101" t="inlineStr">
        <is>
          <t>Collecting Point, Processing Unit</t>
        </is>
      </c>
      <c r="C16101" t="inlineStr">
        <is>
          <t>Cotecna India Inspection Pvt Ltd, Kolkata, IN</t>
        </is>
      </c>
      <c r="D16101" t="inlineStr">
        <is>
          <t>12.08.2026</t>
        </is>
      </c>
      <c r="E16101" t="inlineStr">
        <is>
          <t>India</t>
        </is>
      </c>
    </row>
    <row r="16102">
      <c r="A16102" t="inlineStr">
        <is>
          <t>PACKEM UMASREE PVT LTD,  Dholka, Ahmedabad, India</t>
        </is>
      </c>
      <c r="B16102" t="inlineStr">
        <is>
          <t>Collecting Point, Processing Unit</t>
        </is>
      </c>
      <c r="C16102" t="inlineStr">
        <is>
          <t>ISOQAR Ltd, Stretford, Manchester, GB</t>
        </is>
      </c>
      <c r="D16102" t="inlineStr">
        <is>
          <t>12.08.2026</t>
        </is>
      </c>
      <c r="E16102" t="inlineStr">
        <is>
          <t>India</t>
        </is>
      </c>
    </row>
    <row r="16103">
      <c r="A16103" t="inlineStr">
        <is>
          <t>JOSIAL-FOREST s.r.o.,  Matiašovce, Slovakia</t>
        </is>
      </c>
      <c r="B16103" t="inlineStr">
        <is>
          <t>Collecting Point, Trader</t>
        </is>
      </c>
      <c r="C16103" t="inlineStr">
        <is>
          <t>United Registrar of Systems Polska Sp. z o.o., Wrocław, PL</t>
        </is>
      </c>
      <c r="D16103" t="inlineStr">
        <is>
          <t>12.08.2026</t>
        </is>
      </c>
      <c r="E16103" t="inlineStr">
        <is>
          <t>Slovakia</t>
        </is>
      </c>
    </row>
    <row r="16104">
      <c r="A16104" t="inlineStr">
        <is>
          <t>MANAT,  Riga, Latvia</t>
        </is>
      </c>
      <c r="B16104" t="inlineStr">
        <is>
          <t>Trader with Storage, Collecting Point</t>
        </is>
      </c>
      <c r="C16104" t="inlineStr">
        <is>
          <t>SGS Germany GmbH, Emstek, DE</t>
        </is>
      </c>
      <c r="D16104" t="inlineStr">
        <is>
          <t>12.08.2026</t>
        </is>
      </c>
      <c r="E16104" t="inlineStr">
        <is>
          <t>Latvia</t>
        </is>
      </c>
    </row>
    <row r="16105">
      <c r="A16105" t="inlineStr">
        <is>
          <t>BioUrja Trading LLC,  Houston, United States</t>
        </is>
      </c>
      <c r="B16105" t="inlineStr">
        <is>
          <t>Trader with Storage</t>
        </is>
      </c>
      <c r="C16105" t="inlineStr">
        <is>
          <t>TÜV NORD CERT GmbH, Essen, DE</t>
        </is>
      </c>
      <c r="D16105" t="inlineStr">
        <is>
          <t>12.08.2026</t>
        </is>
      </c>
      <c r="E16105" t="inlineStr">
        <is>
          <t>United States</t>
        </is>
      </c>
    </row>
    <row r="16106">
      <c r="A16106" t="inlineStr">
        <is>
          <t>Agrokoncerno grūdai UAB,  Babtų k., Kauno raj., Lithuania</t>
        </is>
      </c>
      <c r="B16106" t="inlineStr">
        <is>
          <t>First Gathering Point, Trader with Storage</t>
        </is>
      </c>
      <c r="C16106" t="inlineStr">
        <is>
          <t>SGS Germany GmbH, Emstek, DE</t>
        </is>
      </c>
      <c r="D16106" t="inlineStr">
        <is>
          <t>12.08.2026</t>
        </is>
      </c>
      <c r="E16106" t="inlineStr">
        <is>
          <t>Lithuania</t>
        </is>
      </c>
    </row>
    <row r="16107">
      <c r="A16107" t="inlineStr">
        <is>
          <t>FGV Palm Industries Sdn Bhd,  Kluang,, Malaysia</t>
        </is>
      </c>
      <c r="B16107" t="inlineStr">
        <is>
          <t>Point of Origin</t>
        </is>
      </c>
      <c r="C16107" t="inlineStr">
        <is>
          <t>Trans Certification and Inspection Sdn Bhd, Kuantan, MY</t>
        </is>
      </c>
      <c r="D16107" t="inlineStr">
        <is>
          <t>12.08.2026</t>
        </is>
      </c>
      <c r="E16107" t="inlineStr">
        <is>
          <t>Malaysia</t>
        </is>
      </c>
    </row>
    <row r="16108">
      <c r="A16108" t="inlineStr">
        <is>
          <t>Xiamen C&amp;D Commodity Trading Co., Ltd.,  Xiamen, China</t>
        </is>
      </c>
      <c r="B16108" t="inlineStr">
        <is>
          <t>Trader with Storage</t>
        </is>
      </c>
      <c r="C16108" t="inlineStr">
        <is>
          <t>RINA Services S.p.A., Genova, IT</t>
        </is>
      </c>
      <c r="D16108" t="inlineStr">
        <is>
          <t>12.08.2026</t>
        </is>
      </c>
      <c r="E16108" t="inlineStr">
        <is>
          <t>China</t>
        </is>
      </c>
    </row>
    <row r="16109">
      <c r="A16109" t="inlineStr">
        <is>
          <t>BioCirc Favrskov Biogas,  Hammel, Denmark</t>
        </is>
      </c>
      <c r="B16109" t="inlineStr">
        <is>
          <t>Collecting Point, First Gathering Point, Processing Unit</t>
        </is>
      </c>
      <c r="C16109" t="inlineStr">
        <is>
          <t>Baltic Control Certification, Risskov, DK</t>
        </is>
      </c>
      <c r="D16109" t="inlineStr">
        <is>
          <t>12.08.2026</t>
        </is>
      </c>
      <c r="E16109" t="inlineStr">
        <is>
          <t>Denmark</t>
        </is>
      </c>
    </row>
    <row r="16110">
      <c r="A16110" t="inlineStr">
        <is>
          <t>Vila Sutera Sdn Bhd - Kilang Sawit Bukit Kapah,  Hulu Terengganu, Malaysia</t>
        </is>
      </c>
      <c r="B16110" t="inlineStr">
        <is>
          <t>Point of Origin</t>
        </is>
      </c>
      <c r="C16110" t="inlineStr">
        <is>
          <t>Trans Certification and Inspection Sdn Bhd, Kuantan, MY</t>
        </is>
      </c>
      <c r="D16110" t="inlineStr">
        <is>
          <t>12.08.2026</t>
        </is>
      </c>
      <c r="E16110" t="inlineStr">
        <is>
          <t>Malaysia</t>
        </is>
      </c>
    </row>
    <row r="16111">
      <c r="A16111" t="inlineStr">
        <is>
          <t>GRANARIA NET DOO SILBAŠ,  Silbaš, Serbia</t>
        </is>
      </c>
      <c r="B16111" t="inlineStr">
        <is>
          <t>First Gathering Point, Trader</t>
        </is>
      </c>
      <c r="C16111" t="inlineStr">
        <is>
          <t>Bureau Veritas Polska Sp. z o.o., Warsaw, PL</t>
        </is>
      </c>
      <c r="D16111" t="inlineStr">
        <is>
          <t>12.08.2026</t>
        </is>
      </c>
      <c r="E16111" t="inlineStr">
        <is>
          <t>Serbia</t>
        </is>
      </c>
    </row>
    <row r="16112">
      <c r="A16112" t="inlineStr">
        <is>
          <t>Organic Protect SRL,  Chisinau, Moldova</t>
        </is>
      </c>
      <c r="B16112" t="inlineStr">
        <is>
          <t>First Gathering Point</t>
        </is>
      </c>
      <c r="C16112" t="inlineStr">
        <is>
          <t>Bureau Veritas Polska Sp. z o.o., Warsaw, PL</t>
        </is>
      </c>
      <c r="D16112" t="inlineStr">
        <is>
          <t>12.08.2026</t>
        </is>
      </c>
      <c r="E16112" t="inlineStr">
        <is>
          <t>Moldova</t>
        </is>
      </c>
    </row>
    <row r="16113">
      <c r="A16113" t="inlineStr">
        <is>
          <t>EXXONMOBIL ASIA PACIFIC PTE. LTD.,  Singapore, Singapore</t>
        </is>
      </c>
      <c r="B16113" t="inlineStr">
        <is>
          <t>Trader with Storage</t>
        </is>
      </c>
      <c r="C16113" t="inlineStr">
        <is>
          <t>Control Union Certifications Germany GmbH, Berlin, DE</t>
        </is>
      </c>
      <c r="D16113" t="inlineStr">
        <is>
          <t>12.08.2026</t>
        </is>
      </c>
      <c r="E16113" t="inlineStr">
        <is>
          <t>Singapore</t>
        </is>
      </c>
    </row>
    <row r="16114">
      <c r="A16114" t="inlineStr">
        <is>
          <t>Palmaceite S.A.,  Aracataca, Magdalena, Colombia</t>
        </is>
      </c>
      <c r="B16114" t="inlineStr">
        <is>
          <t>First Gathering Point, Processing Unit</t>
        </is>
      </c>
      <c r="C16114" t="inlineStr">
        <is>
          <t>Control Union Poland Sp. z o.o., Zielona Gora, PL</t>
        </is>
      </c>
      <c r="D16114" t="inlineStr">
        <is>
          <t>12.08.2026</t>
        </is>
      </c>
      <c r="E16114" t="inlineStr">
        <is>
          <t>Colombia</t>
        </is>
      </c>
    </row>
    <row r="16115">
      <c r="A16115" t="inlineStr">
        <is>
          <t>Palmaceite S.A.,  Aracataca, Magdalena, Colombia</t>
        </is>
      </c>
      <c r="B16115" t="inlineStr">
        <is>
          <t>First Gathering Point, Processing Unit</t>
        </is>
      </c>
      <c r="C16115" t="inlineStr">
        <is>
          <t>Control Union Poland Sp. z o.o., Zielona Gora, PL</t>
        </is>
      </c>
      <c r="D16115" t="inlineStr">
        <is>
          <t>12.08.2026</t>
        </is>
      </c>
      <c r="E16115" t="inlineStr">
        <is>
          <t>Colombia</t>
        </is>
      </c>
    </row>
    <row r="16116">
      <c r="A16116" t="inlineStr">
        <is>
          <t>FGV Palm Industries,  Lundu, Sarawak, Malaysia</t>
        </is>
      </c>
      <c r="B16116" t="inlineStr">
        <is>
          <t>Point of Origin</t>
        </is>
      </c>
      <c r="C16116" t="inlineStr">
        <is>
          <t>Trans Certification and Inspection Sdn Bhd, Kuantan, MY</t>
        </is>
      </c>
      <c r="D16116" t="inlineStr">
        <is>
          <t>12.08.2026</t>
        </is>
      </c>
      <c r="E16116" t="inlineStr">
        <is>
          <t>Malaysia</t>
        </is>
      </c>
    </row>
    <row r="16117">
      <c r="A16117" t="inlineStr">
        <is>
          <t>Greenergy Biofuels Teesside Limited,  Middlesbrough, United Kingdom</t>
        </is>
      </c>
      <c r="B16117" t="inlineStr">
        <is>
          <t>Point of Origin, Processing Unit</t>
        </is>
      </c>
      <c r="C16117" t="inlineStr">
        <is>
          <t>Control Union Certifications Germany GmbH, Berlin, DE</t>
        </is>
      </c>
      <c r="D16117" t="inlineStr">
        <is>
          <t>11.08.2026</t>
        </is>
      </c>
      <c r="E16117" t="inlineStr">
        <is>
          <t>United Kingdom</t>
        </is>
      </c>
    </row>
    <row r="16118">
      <c r="A16118" t="inlineStr">
        <is>
          <t>ANDRITZ Fabrics and Rolls,  Gloggnitz, Austria</t>
        </is>
      </c>
      <c r="B16118" t="inlineStr">
        <is>
          <t>Point of Origin, Processing Unit</t>
        </is>
      </c>
      <c r="C16118" t="inlineStr">
        <is>
          <t>agroVet GmbH, Enzersfeld, AT</t>
        </is>
      </c>
      <c r="D16118" t="inlineStr">
        <is>
          <t>11.08.2026</t>
        </is>
      </c>
      <c r="E16118" t="inlineStr">
        <is>
          <t>Austria</t>
        </is>
      </c>
    </row>
    <row r="16119">
      <c r="A16119" t="inlineStr">
        <is>
          <t>Sugó-Gabona Kft.,  Baja, Hungary</t>
        </is>
      </c>
      <c r="B16119" t="inlineStr">
        <is>
          <t>First Gathering Point, Trader with Storage</t>
        </is>
      </c>
      <c r="C16119" t="inlineStr">
        <is>
          <t>Certificadora Gallega del Noroeste SL, Vilagarcia de Arousa-Pontevedra, ES</t>
        </is>
      </c>
      <c r="D16119" t="inlineStr">
        <is>
          <t>11.08.2026</t>
        </is>
      </c>
      <c r="E16119" t="inlineStr">
        <is>
          <t>Hungary</t>
        </is>
      </c>
    </row>
    <row r="16120">
      <c r="A16120" t="inlineStr">
        <is>
          <t>S.C. Maria Invest Holding s.r.l.,  Chirnogi, Romania</t>
        </is>
      </c>
      <c r="B16120" t="inlineStr">
        <is>
          <t>First Gathering Point</t>
        </is>
      </c>
      <c r="C16120" t="inlineStr">
        <is>
          <t>Control Union Certifications Germany GmbH, Berlin, DE</t>
        </is>
      </c>
      <c r="D16120" t="inlineStr">
        <is>
          <t>11.08.2026</t>
        </is>
      </c>
      <c r="E16120" t="inlineStr">
        <is>
          <t>Romania</t>
        </is>
      </c>
    </row>
    <row r="16121">
      <c r="A16121" t="inlineStr">
        <is>
          <t>Cocal,  Paraguaçu Paulista, Brazil</t>
        </is>
      </c>
      <c r="B16121" t="inlineStr">
        <is>
          <t>Farm / Plantation</t>
        </is>
      </c>
      <c r="C16121" t="inlineStr">
        <is>
          <t>Control Union Certifications Germany GmbH, Berlin, DE</t>
        </is>
      </c>
      <c r="D16121" t="inlineStr">
        <is>
          <t>11.08.2026</t>
        </is>
      </c>
      <c r="E16121" t="inlineStr">
        <is>
          <t>Brazil</t>
        </is>
      </c>
    </row>
    <row r="16122">
      <c r="A16122" t="inlineStr">
        <is>
          <t>Cocal,  Paraguaçu Paulista, Brazil</t>
        </is>
      </c>
      <c r="B16122" t="inlineStr">
        <is>
          <t>Processing Unit, Farm / Plantation</t>
        </is>
      </c>
      <c r="C16122" t="inlineStr">
        <is>
          <t>Control Union Certifications Germany GmbH, Berlin, DE</t>
        </is>
      </c>
      <c r="D16122" t="inlineStr">
        <is>
          <t>11.08.2026</t>
        </is>
      </c>
      <c r="E16122" t="inlineStr">
        <is>
          <t>Brazil</t>
        </is>
      </c>
    </row>
    <row r="16123">
      <c r="A16123" t="inlineStr">
        <is>
          <t>VictoriaOil Doo ŠID,  Sid, Serbia</t>
        </is>
      </c>
      <c r="B16123" t="inlineStr">
        <is>
          <t>First Gathering Point, Processing Unit, Trader with Storage</t>
        </is>
      </c>
      <c r="C16123" t="inlineStr">
        <is>
          <t>Control Union Certifications Germany GmbH, Berlin, DE</t>
        </is>
      </c>
      <c r="D16123" t="inlineStr">
        <is>
          <t>11.08.2026</t>
        </is>
      </c>
      <c r="E16123" t="inlineStr">
        <is>
          <t>Serbia</t>
        </is>
      </c>
    </row>
    <row r="16124">
      <c r="A16124" t="inlineStr">
        <is>
          <t>VictoriaOil Doo ŠID,  Sid, Serbia</t>
        </is>
      </c>
      <c r="B16124" t="inlineStr">
        <is>
          <t>First Gathering Point, Trader with Storage, Processing Unit</t>
        </is>
      </c>
      <c r="C16124" t="inlineStr">
        <is>
          <t>Control Union Certifications Germany GmbH, Berlin, DE</t>
        </is>
      </c>
      <c r="D16124" t="inlineStr">
        <is>
          <t>11.08.2026</t>
        </is>
      </c>
      <c r="E16124" t="inlineStr">
        <is>
          <t>Serbia</t>
        </is>
      </c>
    </row>
    <row r="16125">
      <c r="A16125" t="inlineStr">
        <is>
          <t>Shekolan,  Cherkasy reg., Drabiv distr., Drabove-Baryatynske, Ukraine</t>
        </is>
      </c>
      <c r="B16125" t="inlineStr">
        <is>
          <t>First Gathering Point, Trader with Storage</t>
        </is>
      </c>
      <c r="C16125" t="inlineStr">
        <is>
          <t>Aciter Genelab LLC, Odessa, UA</t>
        </is>
      </c>
      <c r="D16125" t="inlineStr">
        <is>
          <t>11.08.2026</t>
        </is>
      </c>
      <c r="E16125" t="inlineStr">
        <is>
          <t>Ukraine</t>
        </is>
      </c>
    </row>
    <row r="16126">
      <c r="A16126" t="inlineStr">
        <is>
          <t>Jiangxi Xinhe Chemical Co., Ltd.,  Ji'an City, Jiangxi Province, China</t>
        </is>
      </c>
      <c r="B16126" t="inlineStr">
        <is>
          <t>Collecting Point, Trader</t>
        </is>
      </c>
      <c r="C16126" t="inlineStr">
        <is>
          <t>SCS Global Services, Emeryville, CA, US</t>
        </is>
      </c>
      <c r="D16126" t="inlineStr">
        <is>
          <t>11.08.2026</t>
        </is>
      </c>
      <c r="E16126" t="inlineStr">
        <is>
          <t>China</t>
        </is>
      </c>
    </row>
    <row r="16127">
      <c r="A16127" t="inlineStr">
        <is>
          <t>Vitol (China) Energy Co., Ltd,  Jing'an District, Shanghai City, China</t>
        </is>
      </c>
      <c r="B16127" t="inlineStr">
        <is>
          <t>Trader with Storage</t>
        </is>
      </c>
      <c r="C16127" t="inlineStr">
        <is>
          <t>SCS Global Services, Emeryville, CA, US</t>
        </is>
      </c>
      <c r="D16127" t="inlineStr">
        <is>
          <t>11.08.2026</t>
        </is>
      </c>
      <c r="E16127" t="inlineStr">
        <is>
          <t>China</t>
        </is>
      </c>
    </row>
    <row r="16128">
      <c r="A16128" t="inlineStr">
        <is>
          <t>Sonac Harlingen B.V.,  Harlingen, Netherlands</t>
        </is>
      </c>
      <c r="B16128" t="inlineStr">
        <is>
          <t>Collecting Point, Processing Unit</t>
        </is>
      </c>
      <c r="C16128" t="inlineStr">
        <is>
          <t>DEKRA Certification B.V., Arnhem, NL</t>
        </is>
      </c>
      <c r="D16128" t="inlineStr">
        <is>
          <t>11.08.2026</t>
        </is>
      </c>
      <c r="E16128" t="inlineStr">
        <is>
          <t>Netherlands</t>
        </is>
      </c>
    </row>
    <row r="16129">
      <c r="A16129" t="inlineStr">
        <is>
          <t>Biovender Witteveen,  Witteveen, The Netherlands</t>
        </is>
      </c>
      <c r="B16129" t="inlineStr">
        <is>
          <t>Collecting Point, Processing Unit</t>
        </is>
      </c>
      <c r="C16129" t="inlineStr">
        <is>
          <t>DEKRA Certification B.V., Arnhem, NL</t>
        </is>
      </c>
      <c r="D16129" t="inlineStr">
        <is>
          <t>11.08.2026</t>
        </is>
      </c>
      <c r="E16129" t="inlineStr">
        <is>
          <t>The Netherlands</t>
        </is>
      </c>
    </row>
    <row r="16130">
      <c r="A16130" t="inlineStr">
        <is>
          <t>Röchling Industrial Ruppertsweiler GmbH,  Ruppertsweiler, Germany</t>
        </is>
      </c>
      <c r="B16130" t="inlineStr">
        <is>
          <t>Processing Unit</t>
        </is>
      </c>
      <c r="C16130" t="inlineStr">
        <is>
          <t>SGS Germany GmbH, Emstek, DE</t>
        </is>
      </c>
      <c r="D16130" t="inlineStr">
        <is>
          <t>11.08.2026</t>
        </is>
      </c>
      <c r="E16130" t="inlineStr">
        <is>
          <t>Germany</t>
        </is>
      </c>
    </row>
    <row r="16131">
      <c r="A16131" t="inlineStr">
        <is>
          <t>SAAR Depositi Portuali S.p.A.,  Genova, Italy</t>
        </is>
      </c>
      <c r="B16131" t="inlineStr">
        <is>
          <t>Warehouse</t>
        </is>
      </c>
      <c r="C16131" t="inlineStr">
        <is>
          <t>SGS Germany GmbH, Emstek, DE</t>
        </is>
      </c>
      <c r="D16131" t="inlineStr">
        <is>
          <t>11.08.2026</t>
        </is>
      </c>
      <c r="E16131" t="inlineStr">
        <is>
          <t>Italy</t>
        </is>
      </c>
    </row>
    <row r="16132">
      <c r="A16132" t="inlineStr">
        <is>
          <t>INVISTA (Canada) Company,  Kingston, Canada</t>
        </is>
      </c>
      <c r="B16132" t="inlineStr">
        <is>
          <t>Processing Unit</t>
        </is>
      </c>
      <c r="C16132" t="inlineStr">
        <is>
          <t>SCS Global Services, Emeryville, CA, US</t>
        </is>
      </c>
      <c r="D16132" t="inlineStr">
        <is>
          <t>11.08.2026</t>
        </is>
      </c>
      <c r="E16132" t="inlineStr">
        <is>
          <t>Canada</t>
        </is>
      </c>
    </row>
    <row r="16133">
      <c r="A16133" t="inlineStr">
        <is>
          <t>BST Elastomers Co., Ltd.,  Rayong, Thailand</t>
        </is>
      </c>
      <c r="B16133" t="inlineStr">
        <is>
          <t>Processing Unit</t>
        </is>
      </c>
      <c r="C16133" t="inlineStr">
        <is>
          <t>SGS Germany GmbH, Emstek, DE</t>
        </is>
      </c>
      <c r="D16133" t="inlineStr">
        <is>
          <t>11.08.2026</t>
        </is>
      </c>
      <c r="E16133" t="inlineStr">
        <is>
          <t>Thailand</t>
        </is>
      </c>
    </row>
    <row r="16134">
      <c r="A16134" t="inlineStr">
        <is>
          <t>Presperse Corporation,  Somerset, United States</t>
        </is>
      </c>
      <c r="B16134" t="inlineStr">
        <is>
          <t>Trader with Storage</t>
        </is>
      </c>
      <c r="C16134" t="inlineStr">
        <is>
          <t>SCS Global Services, Emeryville, CA, US</t>
        </is>
      </c>
      <c r="D16134" t="inlineStr">
        <is>
          <t>11.08.2026</t>
        </is>
      </c>
      <c r="E16134" t="inlineStr">
        <is>
          <t>United States</t>
        </is>
      </c>
    </row>
    <row r="16135">
      <c r="A16135" t="inlineStr">
        <is>
          <t>Continental Carbon Company,  Ponca City, Oklahoma, United States</t>
        </is>
      </c>
      <c r="B16135" t="inlineStr">
        <is>
          <t>Collecting Point, Processing Unit</t>
        </is>
      </c>
      <c r="C16135" t="inlineStr">
        <is>
          <t>SCS Global Services, Emeryville, CA, US</t>
        </is>
      </c>
      <c r="D16135" t="inlineStr">
        <is>
          <t>11.08.2026</t>
        </is>
      </c>
      <c r="E16135" t="inlineStr">
        <is>
          <t>United States</t>
        </is>
      </c>
    </row>
    <row r="16136">
      <c r="A16136" t="inlineStr">
        <is>
          <t>Continental Carbon Company,  Sunray, Texas, United States</t>
        </is>
      </c>
      <c r="B16136" t="inlineStr">
        <is>
          <t>Collecting Point, Processing Unit</t>
        </is>
      </c>
      <c r="C16136" t="inlineStr">
        <is>
          <t>SCS Global Services, Emeryville, CA, US</t>
        </is>
      </c>
      <c r="D16136" t="inlineStr">
        <is>
          <t>11.08.2026</t>
        </is>
      </c>
      <c r="E16136" t="inlineStr">
        <is>
          <t>United States</t>
        </is>
      </c>
    </row>
    <row r="16137">
      <c r="A16137" t="inlineStr">
        <is>
          <t>Weinan Kelinle Environmental Protection Technology Co., Ltd.,  Weinan City, China</t>
        </is>
      </c>
      <c r="B16137" t="inlineStr">
        <is>
          <t>Processing Unit</t>
        </is>
      </c>
      <c r="C16137" t="inlineStr">
        <is>
          <t>Extensive Standard Technical Services Co., Ltd., Hong Kong, CN</t>
        </is>
      </c>
      <c r="D16137" t="inlineStr">
        <is>
          <t>11.08.2026</t>
        </is>
      </c>
      <c r="E16137" t="inlineStr">
        <is>
          <t>China</t>
        </is>
      </c>
    </row>
    <row r="16138">
      <c r="A16138" t="inlineStr">
        <is>
          <t>Surya Andalan Primatama,  Bengkulu, Indonesia</t>
        </is>
      </c>
      <c r="B16138" t="inlineStr">
        <is>
          <t>Point of Origin</t>
        </is>
      </c>
      <c r="C16138" t="inlineStr">
        <is>
          <t>PT. Qualitas Sertifikasi Indonesia, Jakarta, ID</t>
        </is>
      </c>
      <c r="D16138" t="inlineStr">
        <is>
          <t>11.08.2026</t>
        </is>
      </c>
      <c r="E16138" t="inlineStr">
        <is>
          <t>Indonesia</t>
        </is>
      </c>
    </row>
    <row r="16139">
      <c r="A16139" t="inlineStr">
        <is>
          <t>TRIFOL Resources,  Littleton, Ireland</t>
        </is>
      </c>
      <c r="B16139" t="inlineStr">
        <is>
          <t>Processing Unit, Collecting Point</t>
        </is>
      </c>
      <c r="C16139" t="inlineStr">
        <is>
          <t>Cotecna India Inspection Pvt Ltd, Kolkata, IN</t>
        </is>
      </c>
      <c r="D16139" t="inlineStr">
        <is>
          <t>11.08.2026</t>
        </is>
      </c>
      <c r="E16139" t="inlineStr">
        <is>
          <t>Ireland</t>
        </is>
      </c>
    </row>
    <row r="16140">
      <c r="A16140" t="inlineStr">
        <is>
          <t>Kaijiang Xinrui Wanyuan Environmental Protection Technology Co., Ltd,  Dazhou City, Sichuan Province, China</t>
        </is>
      </c>
      <c r="B16140" t="inlineStr">
        <is>
          <t>Collecting Point, Trader, Processing Unit</t>
        </is>
      </c>
      <c r="C16140" t="inlineStr">
        <is>
          <t>RINA Services S.p.A., Genova, IT</t>
        </is>
      </c>
      <c r="D16140" t="inlineStr">
        <is>
          <t>11.08.2026</t>
        </is>
      </c>
      <c r="E16140" t="inlineStr">
        <is>
          <t>China</t>
        </is>
      </c>
    </row>
    <row r="16141">
      <c r="A16141" t="inlineStr">
        <is>
          <t>Amato International Inc,  Miami Beach, United States</t>
        </is>
      </c>
      <c r="B16141" t="inlineStr">
        <is>
          <t>Trader, Collecting Point</t>
        </is>
      </c>
      <c r="C16141" t="inlineStr">
        <is>
          <t>SCS Global Services, Emeryville, CA, US</t>
        </is>
      </c>
      <c r="D16141" t="inlineStr">
        <is>
          <t>11.08.2026</t>
        </is>
      </c>
      <c r="E16141" t="inlineStr">
        <is>
          <t>United States</t>
        </is>
      </c>
    </row>
    <row r="16142">
      <c r="A16142" t="inlineStr">
        <is>
          <t>INOVYN Europe Limited,  Tavaux, France</t>
        </is>
      </c>
      <c r="B16142" t="inlineStr">
        <is>
          <t>Processing Unit</t>
        </is>
      </c>
      <c r="C16142" t="inlineStr">
        <is>
          <t>SCS Global Services, Emeryville, CA, US</t>
        </is>
      </c>
      <c r="D16142" t="inlineStr">
        <is>
          <t>11.08.2026</t>
        </is>
      </c>
      <c r="E16142" t="inlineStr">
        <is>
          <t>France</t>
        </is>
      </c>
    </row>
    <row r="16143">
      <c r="A16143" t="inlineStr">
        <is>
          <t>Greentech trading and Resourcer LLC,  Cuidad Autónoma de Buenos Aires, Argentina</t>
        </is>
      </c>
      <c r="B16143" t="inlineStr">
        <is>
          <t>Trader</t>
        </is>
      </c>
      <c r="C16143" t="inlineStr">
        <is>
          <t>Control Union Certifications Germany GmbH, Berlin, DE</t>
        </is>
      </c>
      <c r="D16143" t="inlineStr">
        <is>
          <t>11.08.2026</t>
        </is>
      </c>
      <c r="E16143" t="inlineStr">
        <is>
          <t>Argentina</t>
        </is>
      </c>
    </row>
    <row r="16144">
      <c r="A16144" t="inlineStr">
        <is>
          <t>Sumatera Palma Andalan 2,  Kabupaten Musi Rawas, Provinsi Sumatera selatan, Indonesia</t>
        </is>
      </c>
      <c r="B16144" t="inlineStr">
        <is>
          <t>Point of Origin</t>
        </is>
      </c>
      <c r="C16144" t="inlineStr">
        <is>
          <t>PT. Qualitas Sertifikasi Indonesia, Jakarta, ID</t>
        </is>
      </c>
      <c r="D16144" t="inlineStr">
        <is>
          <t>11.08.2026</t>
        </is>
      </c>
      <c r="E16144" t="inlineStr">
        <is>
          <t>Indonesia</t>
        </is>
      </c>
    </row>
    <row r="16145">
      <c r="A16145" t="inlineStr">
        <is>
          <t>Nikotė, UAB,  Kaunas, Lithuania</t>
        </is>
      </c>
      <c r="B16145" t="inlineStr">
        <is>
          <t>Trader</t>
        </is>
      </c>
      <c r="C16145" t="inlineStr">
        <is>
          <t>NCS Estonia OÜ, Tallinn, EE</t>
        </is>
      </c>
      <c r="D16145" t="inlineStr">
        <is>
          <t>11.08.2026</t>
        </is>
      </c>
      <c r="E16145" t="inlineStr">
        <is>
          <t>Lithuania</t>
        </is>
      </c>
    </row>
    <row r="16146">
      <c r="A16146" t="inlineStr">
        <is>
          <t>CV. Artha Metro Oil,  Sidoarjo, Indonesia</t>
        </is>
      </c>
      <c r="B16146" t="inlineStr">
        <is>
          <t>Collecting Point, Trader with Storage, Processing Unit</t>
        </is>
      </c>
      <c r="C16146" t="inlineStr">
        <is>
          <t>PT Intertek Utama Services, Jakarta, ID</t>
        </is>
      </c>
      <c r="D16146" t="inlineStr">
        <is>
          <t>11.08.2026</t>
        </is>
      </c>
      <c r="E16146" t="inlineStr">
        <is>
          <t>Indonesia</t>
        </is>
      </c>
    </row>
    <row r="16147">
      <c r="A16147" t="inlineStr">
        <is>
          <t>FGV Palm Industries Sdn Bhd,  Kota Tinggi, Malaysia</t>
        </is>
      </c>
      <c r="B16147" t="inlineStr">
        <is>
          <t>Point of Origin</t>
        </is>
      </c>
      <c r="C16147" t="inlineStr">
        <is>
          <t>Trans Certification and Inspection Sdn Bhd, Kuantan, MY</t>
        </is>
      </c>
      <c r="D16147" t="inlineStr">
        <is>
          <t>11.08.2026</t>
        </is>
      </c>
      <c r="E16147" t="inlineStr">
        <is>
          <t>Malaysia</t>
        </is>
      </c>
    </row>
    <row r="16148">
      <c r="A16148" t="inlineStr">
        <is>
          <t>Olga,  Chateaubourg, France</t>
        </is>
      </c>
      <c r="B16148" t="inlineStr">
        <is>
          <t>Final Product Refinement</t>
        </is>
      </c>
      <c r="C16148" t="inlineStr">
        <is>
          <t>Bureau Veritas Polska Sp. z o.o., Warsaw, PL</t>
        </is>
      </c>
      <c r="D16148" t="inlineStr">
        <is>
          <t>11.08.2026</t>
        </is>
      </c>
      <c r="E16148" t="inlineStr">
        <is>
          <t>France</t>
        </is>
      </c>
    </row>
    <row r="16149">
      <c r="A16149" t="inlineStr">
        <is>
          <t>AENVO PTE. LTD.,  CITY HOUSE, SINGAPORE, Singapore</t>
        </is>
      </c>
      <c r="B16149" t="inlineStr">
        <is>
          <t>Trader</t>
        </is>
      </c>
      <c r="C16149" t="inlineStr">
        <is>
          <t>Trans Certification and Inspection Sdn Bhd, Kuantan, MY</t>
        </is>
      </c>
      <c r="D16149" t="inlineStr">
        <is>
          <t>11.08.2026</t>
        </is>
      </c>
      <c r="E16149" t="inlineStr">
        <is>
          <t>Singapore</t>
        </is>
      </c>
    </row>
    <row r="16150">
      <c r="A16150" t="inlineStr">
        <is>
          <t>PLAIURI BARAGANE COOPERATIVA AGRICOLA,  IAZU, Romania</t>
        </is>
      </c>
      <c r="B16150" t="inlineStr">
        <is>
          <t>First Gathering Point</t>
        </is>
      </c>
      <c r="C16150" t="inlineStr">
        <is>
          <t>BM Certification, Riga, LV</t>
        </is>
      </c>
      <c r="D16150" t="inlineStr">
        <is>
          <t>11.08.2026</t>
        </is>
      </c>
      <c r="E16150" t="inlineStr">
        <is>
          <t>Romania</t>
        </is>
      </c>
    </row>
    <row r="16151">
      <c r="A16151" t="inlineStr">
        <is>
          <t>EVERGREENERGY RESOURCES TRADING (M) SDN BHD,  Sungai Petani, Kedah, Malaysia</t>
        </is>
      </c>
      <c r="B16151" t="inlineStr">
        <is>
          <t>Trader with Storage, Collecting Point, Processing Unit</t>
        </is>
      </c>
      <c r="C16151" t="inlineStr">
        <is>
          <t>Trans Certification and Inspection Sdn Bhd, Kuantan, MY</t>
        </is>
      </c>
      <c r="D16151" t="inlineStr">
        <is>
          <t>11.08.2026</t>
        </is>
      </c>
      <c r="E16151" t="inlineStr">
        <is>
          <t>Malaysia</t>
        </is>
      </c>
    </row>
    <row r="16152">
      <c r="A16152" t="inlineStr">
        <is>
          <t>Vilokan ADF Solutions AB,  Märsta, Sweden</t>
        </is>
      </c>
      <c r="B16152" t="inlineStr">
        <is>
          <t>Collecting Point, Processing Unit</t>
        </is>
      </c>
      <c r="C16152" t="inlineStr">
        <is>
          <t>DNV Business Assurance Sweden AB, Solna, SE</t>
        </is>
      </c>
      <c r="D16152" t="inlineStr">
        <is>
          <t>11.08.2026</t>
        </is>
      </c>
      <c r="E16152" t="inlineStr">
        <is>
          <t>Sweden</t>
        </is>
      </c>
    </row>
    <row r="16153">
      <c r="A16153" t="inlineStr">
        <is>
          <t>PT. RYFAN ENERGI NABATI,  Kabupaten Langkat, Sumatera Utara, Indonesia</t>
        </is>
      </c>
      <c r="B16153" t="inlineStr">
        <is>
          <t>Trader</t>
        </is>
      </c>
      <c r="C16153" t="inlineStr">
        <is>
          <t>SGS Germany GmbH, Emstek, DE</t>
        </is>
      </c>
      <c r="D16153" t="inlineStr">
        <is>
          <t>11.08.2026</t>
        </is>
      </c>
      <c r="E16153" t="inlineStr">
        <is>
          <t>Indonesia</t>
        </is>
      </c>
    </row>
    <row r="16154">
      <c r="A16154" t="inlineStr">
        <is>
          <t>Godavari Biorefineries Limited,  Dist .- Ahemadnagar-, India</t>
        </is>
      </c>
      <c r="B16154" t="inlineStr">
        <is>
          <t>Processing Unit</t>
        </is>
      </c>
      <c r="C16154" t="inlineStr">
        <is>
          <t>Cotecna India Inspection Pvt Ltd, Kolkata, IN</t>
        </is>
      </c>
      <c r="D16154" t="inlineStr">
        <is>
          <t>11.08.2026</t>
        </is>
      </c>
      <c r="E16154" t="inlineStr">
        <is>
          <t>India</t>
        </is>
      </c>
    </row>
    <row r="16155">
      <c r="A16155" t="inlineStr">
        <is>
          <t>ARMONIA MUNTENI BUZAU COOPERATIVA AGRICOLA,  MUNTENI-BUZAU, Romania</t>
        </is>
      </c>
      <c r="B16155" t="inlineStr">
        <is>
          <t>First Gathering Point</t>
        </is>
      </c>
      <c r="C16155" t="inlineStr">
        <is>
          <t>SRAC Cert SRL, Bucharest, RO</t>
        </is>
      </c>
      <c r="D16155" t="inlineStr">
        <is>
          <t>11.08.2026</t>
        </is>
      </c>
      <c r="E16155" t="inlineStr">
        <is>
          <t>Romania</t>
        </is>
      </c>
    </row>
    <row r="16156">
      <c r="A16156" t="inlineStr">
        <is>
          <t>Monument Chemical BV,  Kallo, Belgium</t>
        </is>
      </c>
      <c r="B16156" t="inlineStr">
        <is>
          <t>Point of Origin, Processing Unit</t>
        </is>
      </c>
      <c r="C16156" t="inlineStr">
        <is>
          <t>Control Union Certifications Germany GmbH, Berlin, DE</t>
        </is>
      </c>
      <c r="D16156" t="inlineStr">
        <is>
          <t>11.08.2026</t>
        </is>
      </c>
      <c r="E16156" t="inlineStr">
        <is>
          <t>Belgium</t>
        </is>
      </c>
    </row>
    <row r="16157">
      <c r="A16157" t="inlineStr">
        <is>
          <t>Monument Chemical BV,  Kallo, Belgium</t>
        </is>
      </c>
      <c r="B16157" t="inlineStr">
        <is>
          <t>Processing Unit</t>
        </is>
      </c>
      <c r="C16157" t="inlineStr">
        <is>
          <t>Control Union Certifications Germany GmbH, Berlin, DE</t>
        </is>
      </c>
      <c r="D16157" t="inlineStr">
        <is>
          <t>11.08.2026</t>
        </is>
      </c>
      <c r="E16157" t="inlineStr">
        <is>
          <t>Belgium</t>
        </is>
      </c>
    </row>
    <row r="16158">
      <c r="A16158" t="inlineStr">
        <is>
          <t>Daqing Shengquan Green Technology Co., Ltd.,  Daqing city, Heilongjiang Province,, China</t>
        </is>
      </c>
      <c r="B16158" t="inlineStr">
        <is>
          <t>Point of Origin</t>
        </is>
      </c>
      <c r="C16158" t="inlineStr">
        <is>
          <t>SCS Global Services, Emeryville, CA, US</t>
        </is>
      </c>
      <c r="D16158" t="inlineStr">
        <is>
          <t>11.08.2026</t>
        </is>
      </c>
      <c r="E16158" t="inlineStr">
        <is>
          <t>China</t>
        </is>
      </c>
    </row>
    <row r="16159">
      <c r="A16159" t="inlineStr">
        <is>
          <t>Empire Green Generation,  Follansebee, West Virginia, United States</t>
        </is>
      </c>
      <c r="B16159" t="inlineStr">
        <is>
          <t>Collecting Point, Processing Unit</t>
        </is>
      </c>
      <c r="C16159" t="inlineStr">
        <is>
          <t>Control Union Certifications Germany GmbH, Berlin, DE</t>
        </is>
      </c>
      <c r="D16159" t="inlineStr">
        <is>
          <t>11.08.2026</t>
        </is>
      </c>
      <c r="E16159" t="inlineStr">
        <is>
          <t>United States</t>
        </is>
      </c>
    </row>
    <row r="16160">
      <c r="A16160" t="inlineStr">
        <is>
          <t>Ecolomondo Environmental (Hawkesbury) INC.,  Hawkesbury, Canada</t>
        </is>
      </c>
      <c r="B16160" t="inlineStr">
        <is>
          <t>Collecting Point, Processing Unit</t>
        </is>
      </c>
      <c r="C16160" t="inlineStr">
        <is>
          <t>SCS Global Services, Emeryville, CA, US</t>
        </is>
      </c>
      <c r="D16160" t="inlineStr">
        <is>
          <t>11.08.2026</t>
        </is>
      </c>
      <c r="E16160" t="inlineStr">
        <is>
          <t>Canada</t>
        </is>
      </c>
    </row>
    <row r="16161">
      <c r="A16161" t="inlineStr">
        <is>
          <t>DVA Renewable Energy,  Ba Ria Vung Tau, Vietnam</t>
        </is>
      </c>
      <c r="B16161" t="inlineStr">
        <is>
          <t>Trader with Storage, Collecting Point, Processing Unit</t>
        </is>
      </c>
      <c r="C16161" t="inlineStr">
        <is>
          <t>Trans Certification and Inspection Sdn Bhd, Kuantan, MY</t>
        </is>
      </c>
      <c r="D16161" t="inlineStr">
        <is>
          <t>11.08.2026</t>
        </is>
      </c>
      <c r="E16161" t="inlineStr">
        <is>
          <t>Vietnam</t>
        </is>
      </c>
    </row>
    <row r="16162">
      <c r="A16162" t="inlineStr">
        <is>
          <t>PT Hari Sawit Jaya,  Labuhan Batu Regency, North Sumatera, Indonesia</t>
        </is>
      </c>
      <c r="B16162" t="inlineStr">
        <is>
          <t>Point of Origin, Processing Unit</t>
        </is>
      </c>
      <c r="C16162" t="inlineStr">
        <is>
          <t>SGS Germany GmbH, Emstek, DE</t>
        </is>
      </c>
      <c r="D16162" t="inlineStr">
        <is>
          <t>11.08.2026</t>
        </is>
      </c>
      <c r="E16162" t="inlineStr">
        <is>
          <t>Indonesia</t>
        </is>
      </c>
    </row>
    <row r="16163">
      <c r="A16163" t="inlineStr">
        <is>
          <t>Co-op LAgrenas,  Biruliskiu k., Kauno r. sav., Lithuania</t>
        </is>
      </c>
      <c r="B16163" t="inlineStr">
        <is>
          <t>Trader, First Gathering Point</t>
        </is>
      </c>
      <c r="C16163" t="inlineStr">
        <is>
          <t>Bureau Veritas Polska Sp. z o.o., Warsaw, PL</t>
        </is>
      </c>
      <c r="D16163" t="inlineStr">
        <is>
          <t>11.08.2026</t>
        </is>
      </c>
      <c r="E16163" t="inlineStr">
        <is>
          <t>Lithuania</t>
        </is>
      </c>
    </row>
    <row r="16164">
      <c r="A16164" t="inlineStr">
        <is>
          <t>Bionova Lt, UAB,  Garliava,Kauno r.sav, Lithuania</t>
        </is>
      </c>
      <c r="B16164" t="inlineStr">
        <is>
          <t>Collecting Point, Trader with Storage</t>
        </is>
      </c>
      <c r="C16164" t="inlineStr">
        <is>
          <t>Bureau Veritas Polska Sp. z o.o., Warsaw, PL</t>
        </is>
      </c>
      <c r="D16164" t="inlineStr">
        <is>
          <t>11.08.2026</t>
        </is>
      </c>
      <c r="E16164" t="inlineStr">
        <is>
          <t>Lithuania</t>
        </is>
      </c>
    </row>
    <row r="16165">
      <c r="A16165" t="inlineStr">
        <is>
          <t>Repsol LNG Holding, S.A.,  Madrid, Spain</t>
        </is>
      </c>
      <c r="B16165" t="inlineStr">
        <is>
          <t>Trader with Storage, Processing Unit</t>
        </is>
      </c>
      <c r="C16165" t="inlineStr">
        <is>
          <t>Control Union Poland Sp. z o.o., Zielona Gora, PL</t>
        </is>
      </c>
      <c r="D16165" t="inlineStr">
        <is>
          <t>11.08.2026</t>
        </is>
      </c>
      <c r="E16165" t="inlineStr">
        <is>
          <t>Spain</t>
        </is>
      </c>
    </row>
    <row r="16166">
      <c r="A16166" t="inlineStr">
        <is>
          <t>Agri De Rese,  Nieuwpoort, Belgium</t>
        </is>
      </c>
      <c r="B16166" t="inlineStr">
        <is>
          <t>Collecting Point, Point of Origin</t>
        </is>
      </c>
      <c r="C16166" t="inlineStr">
        <is>
          <t>Control Union Certifications Germany GmbH, Berlin, DE</t>
        </is>
      </c>
      <c r="D16166" t="inlineStr">
        <is>
          <t>11.08.2026</t>
        </is>
      </c>
      <c r="E16166" t="inlineStr">
        <is>
          <t>Belgium</t>
        </is>
      </c>
    </row>
    <row r="16167">
      <c r="A16167" t="inlineStr">
        <is>
          <t>Qiyuan Low-Carbon New Materials Technology (Hebi) Co., Ltd.,  Shancheng District, Hebi City, Henan Province, China</t>
        </is>
      </c>
      <c r="B16167" t="inlineStr">
        <is>
          <t>Processing Unit, Trader with Storage</t>
        </is>
      </c>
      <c r="C16167" t="inlineStr">
        <is>
          <t>RINA Services S.p.A., Genova, IT</t>
        </is>
      </c>
      <c r="D16167" t="inlineStr">
        <is>
          <t>11.08.2026</t>
        </is>
      </c>
      <c r="E16167" t="inlineStr">
        <is>
          <t>China</t>
        </is>
      </c>
    </row>
    <row r="16168">
      <c r="A16168" t="inlineStr">
        <is>
          <t>Qiyuan Low-Carbon New Materials Technology (Hebi) Co., Ltd.,  Shancheng District, Hebi City, Henan Province, China</t>
        </is>
      </c>
      <c r="B16168" t="inlineStr">
        <is>
          <t>Processing Unit, Trader with Storage</t>
        </is>
      </c>
      <c r="C16168" t="inlineStr">
        <is>
          <t>RINA Services S.p.A., Genova, IT</t>
        </is>
      </c>
      <c r="D16168" t="inlineStr">
        <is>
          <t>11.08.2026</t>
        </is>
      </c>
      <c r="E16168" t="inlineStr">
        <is>
          <t>China</t>
        </is>
      </c>
    </row>
    <row r="16169">
      <c r="A16169" t="inlineStr">
        <is>
          <t>Abicont Industrial,  Viladecans, Barcelona, Spain</t>
        </is>
      </c>
      <c r="B16169" t="inlineStr">
        <is>
          <t>Collecting Point</t>
        </is>
      </c>
      <c r="C16169" t="inlineStr">
        <is>
          <t>Amspec Iberia SL, Vilagarcia de Arousa-Pontevedra, ES</t>
        </is>
      </c>
      <c r="D16169" t="inlineStr">
        <is>
          <t>11.08.2026</t>
        </is>
      </c>
      <c r="E16169" t="inlineStr">
        <is>
          <t>Spain</t>
        </is>
      </c>
    </row>
    <row r="16170">
      <c r="A16170" t="inlineStr">
        <is>
          <t>KAPACHIM S.A.,  Inofita, Greece</t>
        </is>
      </c>
      <c r="B16170" t="inlineStr">
        <is>
          <t>Processing Unit</t>
        </is>
      </c>
      <c r="C16170" t="inlineStr">
        <is>
          <t>Eurocert SA, Metamorfosi, Athens, GR</t>
        </is>
      </c>
      <c r="D16170" t="inlineStr">
        <is>
          <t>11.08.2026</t>
        </is>
      </c>
      <c r="E16170" t="inlineStr">
        <is>
          <t>Greece</t>
        </is>
      </c>
    </row>
    <row r="16171">
      <c r="A16171" t="inlineStr">
        <is>
          <t>KAPACHIM S.A.,  Inofita, Greece</t>
        </is>
      </c>
      <c r="B16171" t="inlineStr">
        <is>
          <t>Processing Unit</t>
        </is>
      </c>
      <c r="C16171" t="inlineStr">
        <is>
          <t>Eurocert SA, Metamorfosi, Athens, GR</t>
        </is>
      </c>
      <c r="D16171" t="inlineStr">
        <is>
          <t>11.08.2026</t>
        </is>
      </c>
      <c r="E16171" t="inlineStr">
        <is>
          <t>Greece</t>
        </is>
      </c>
    </row>
    <row r="16172">
      <c r="A16172" t="inlineStr">
        <is>
          <t>Plasfer Industria e Comercio,  Porto, Portugal</t>
        </is>
      </c>
      <c r="B16172" t="inlineStr">
        <is>
          <t>Trader</t>
        </is>
      </c>
      <c r="C16172" t="inlineStr">
        <is>
          <t>RINA Services S.p.A., Genova, IT</t>
        </is>
      </c>
      <c r="D16172" t="inlineStr">
        <is>
          <t>10.08.2026</t>
        </is>
      </c>
      <c r="E16172" t="inlineStr">
        <is>
          <t>Portugal</t>
        </is>
      </c>
    </row>
    <row r="16173">
      <c r="A16173" t="inlineStr">
        <is>
          <t>Pt. Asianagro Agungjaya,  Jakarta, Indonesia</t>
        </is>
      </c>
      <c r="B16173" t="inlineStr">
        <is>
          <t>Point of Origin</t>
        </is>
      </c>
      <c r="C16173" t="inlineStr">
        <is>
          <t>SGS Germany GmbH, Emstek, DE</t>
        </is>
      </c>
      <c r="D16173" t="inlineStr">
        <is>
          <t>10.08.2026</t>
        </is>
      </c>
      <c r="E16173" t="inlineStr">
        <is>
          <t>Indonesia</t>
        </is>
      </c>
    </row>
    <row r="16174">
      <c r="A16174" t="inlineStr">
        <is>
          <t>Long Fa (Vietnam) Co., Ltd.,  Binh Phuoc, Vietnam</t>
        </is>
      </c>
      <c r="B16174" t="inlineStr">
        <is>
          <t>Processing Unit, Final Product Refinement, Trader with Storage</t>
        </is>
      </c>
      <c r="C16174" t="inlineStr">
        <is>
          <t>China Quality Certification Centre Co., Ltd., Beijing, CN</t>
        </is>
      </c>
      <c r="D16174" t="inlineStr">
        <is>
          <t>10.08.2026</t>
        </is>
      </c>
      <c r="E16174" t="inlineStr">
        <is>
          <t>Vietnam</t>
        </is>
      </c>
    </row>
    <row r="16175">
      <c r="A16175" t="inlineStr">
        <is>
          <t>KEM ONE,  Berrre L’Etang Cédex, France</t>
        </is>
      </c>
      <c r="B16175" t="inlineStr">
        <is>
          <t>Processing Unit</t>
        </is>
      </c>
      <c r="C16175" t="inlineStr">
        <is>
          <t>Bureau Veritas Polska Sp. z o.o., Warsaw, PL</t>
        </is>
      </c>
      <c r="D16175" t="inlineStr">
        <is>
          <t>10.08.2026</t>
        </is>
      </c>
      <c r="E16175" t="inlineStr">
        <is>
          <t>France</t>
        </is>
      </c>
    </row>
    <row r="16176">
      <c r="A16176" t="inlineStr">
        <is>
          <t>Societatea Agro Chirnogi SA,  Chirnogi, Romania</t>
        </is>
      </c>
      <c r="B16176" t="inlineStr">
        <is>
          <t>First Gathering Point, Trader with Storage, Logistics Center</t>
        </is>
      </c>
      <c r="C16176" t="inlineStr">
        <is>
          <t>Control Union Certifications Germany GmbH, Berlin, DE</t>
        </is>
      </c>
      <c r="D16176" t="inlineStr">
        <is>
          <t>10.08.2026</t>
        </is>
      </c>
      <c r="E16176" t="inlineStr">
        <is>
          <t>Romania</t>
        </is>
      </c>
    </row>
    <row r="16177">
      <c r="A16177" t="inlineStr">
        <is>
          <t>Mitsubishi Chemical Corporation Tsukuba Plant,  Ushiku-shi, Japan</t>
        </is>
      </c>
      <c r="B16177" t="inlineStr">
        <is>
          <t>Processing Unit</t>
        </is>
      </c>
      <c r="C16177" t="inlineStr">
        <is>
          <t>SCS Global Services, Emeryville, CA, US</t>
        </is>
      </c>
      <c r="D16177" t="inlineStr">
        <is>
          <t>10.08.2026</t>
        </is>
      </c>
      <c r="E16177" t="inlineStr">
        <is>
          <t>Japan</t>
        </is>
      </c>
    </row>
    <row r="16178">
      <c r="A16178" t="inlineStr">
        <is>
          <t>Japan Elastomer Co.,  Oita-shi, Oita, Japan</t>
        </is>
      </c>
      <c r="B16178" t="inlineStr">
        <is>
          <t>Processing Unit</t>
        </is>
      </c>
      <c r="C16178" t="inlineStr">
        <is>
          <t>Control Union Certifications Germany GmbH, Berlin, DE</t>
        </is>
      </c>
      <c r="D16178" t="inlineStr">
        <is>
          <t>10.08.2026</t>
        </is>
      </c>
      <c r="E16178" t="inlineStr">
        <is>
          <t>Japan</t>
        </is>
      </c>
    </row>
    <row r="16179">
      <c r="A16179" t="inlineStr">
        <is>
          <t>Nomura Jimusho,  Minato-ku, Tokyo, Japan</t>
        </is>
      </c>
      <c r="B16179" t="inlineStr">
        <is>
          <t>Trader</t>
        </is>
      </c>
      <c r="C16179" t="inlineStr">
        <is>
          <t>PT. Qualitas Sertifikasi Indonesia, Jakarta, ID</t>
        </is>
      </c>
      <c r="D16179" t="inlineStr">
        <is>
          <t>10.08.2026</t>
        </is>
      </c>
      <c r="E16179" t="inlineStr">
        <is>
          <t>Japan</t>
        </is>
      </c>
    </row>
    <row r="16180">
      <c r="A16180" t="inlineStr">
        <is>
          <t>Nomura Jimusho,  Minato-ku, Tokyo, Japan</t>
        </is>
      </c>
      <c r="B16180" t="inlineStr">
        <is>
          <t>Trader</t>
        </is>
      </c>
      <c r="C16180" t="inlineStr">
        <is>
          <t>PT. Qualitas Sertifikasi Indonesia, Jakarta, ID</t>
        </is>
      </c>
      <c r="D16180" t="inlineStr">
        <is>
          <t>10.08.2026</t>
        </is>
      </c>
      <c r="E16180" t="inlineStr">
        <is>
          <t>Japan</t>
        </is>
      </c>
    </row>
    <row r="16181">
      <c r="A16181" t="inlineStr">
        <is>
          <t>TIAN SIANG OIL MILL (AIR KUNING),  JALAN AIR KUNING KE LANGKAP, Malaysia</t>
        </is>
      </c>
      <c r="B16181" t="inlineStr">
        <is>
          <t>Point of Origin</t>
        </is>
      </c>
      <c r="C16181" t="inlineStr">
        <is>
          <t>Trans Certification and Inspection Sdn Bhd, Kuantan, MY</t>
        </is>
      </c>
      <c r="D16181" t="inlineStr">
        <is>
          <t>10.08.2026</t>
        </is>
      </c>
      <c r="E16181" t="inlineStr">
        <is>
          <t>Malaysia</t>
        </is>
      </c>
    </row>
    <row r="16182">
      <c r="A16182" t="inlineStr">
        <is>
          <t>Johor Plantations Group Berhad,  Kluang, Johor, Malaysia</t>
        </is>
      </c>
      <c r="B16182" t="inlineStr">
        <is>
          <t>First Gathering Point, Processing Unit</t>
        </is>
      </c>
      <c r="C16182" t="inlineStr">
        <is>
          <t>ASG Cert GmbH, Munich, DE</t>
        </is>
      </c>
      <c r="D16182" t="inlineStr">
        <is>
          <t>10.08.2026</t>
        </is>
      </c>
      <c r="E16182" t="inlineStr">
        <is>
          <t>Malaysia</t>
        </is>
      </c>
    </row>
    <row r="16183">
      <c r="A16183" t="inlineStr">
        <is>
          <t>Johor Plantations Group Berhad,  Kluang, Johor, Malaysia</t>
        </is>
      </c>
      <c r="B16183" t="inlineStr">
        <is>
          <t>First Gathering Point, Processing Unit</t>
        </is>
      </c>
      <c r="C16183" t="inlineStr">
        <is>
          <t>ASG Cert GmbH, Munich, DE</t>
        </is>
      </c>
      <c r="D16183" t="inlineStr">
        <is>
          <t>10.08.2026</t>
        </is>
      </c>
      <c r="E16183" t="inlineStr">
        <is>
          <t>Malaysia</t>
        </is>
      </c>
    </row>
    <row r="16184">
      <c r="A16184" t="inlineStr">
        <is>
          <t>Johor Plantations Group Berhad,  Kota Tinggi, Malaysia</t>
        </is>
      </c>
      <c r="B16184" t="inlineStr">
        <is>
          <t>First Gathering Point, Processing Unit, Point of Origin</t>
        </is>
      </c>
      <c r="C16184" t="inlineStr">
        <is>
          <t>ASG Cert GmbH, Munich, DE</t>
        </is>
      </c>
      <c r="D16184" t="inlineStr">
        <is>
          <t>10.08.2026</t>
        </is>
      </c>
      <c r="E16184" t="inlineStr">
        <is>
          <t>Malaysia</t>
        </is>
      </c>
    </row>
    <row r="16185">
      <c r="A16185" t="inlineStr">
        <is>
          <t>Johor Plantations Group Berhad,  Kota Tinggi, Malaysia</t>
        </is>
      </c>
      <c r="B16185" t="inlineStr">
        <is>
          <t>First Gathering Point, Processing Unit</t>
        </is>
      </c>
      <c r="C16185" t="inlineStr">
        <is>
          <t>ASG Cert GmbH, Munich, DE</t>
        </is>
      </c>
      <c r="D16185" t="inlineStr">
        <is>
          <t>10.08.2026</t>
        </is>
      </c>
      <c r="E16185" t="inlineStr">
        <is>
          <t>Malaysia</t>
        </is>
      </c>
    </row>
    <row r="16186">
      <c r="A16186" t="inlineStr">
        <is>
          <t>PARAMES AGENCY SDN BHD,  KULAI, Malaysia</t>
        </is>
      </c>
      <c r="B16186" t="inlineStr">
        <is>
          <t>Collecting Point, Trader with Storage</t>
        </is>
      </c>
      <c r="C16186" t="inlineStr">
        <is>
          <t>PT SBC Asia Sertifikasi, Kebumen, ID</t>
        </is>
      </c>
      <c r="D16186" t="inlineStr">
        <is>
          <t>10.08.2026</t>
        </is>
      </c>
      <c r="E16186" t="inlineStr">
        <is>
          <t>Malaysia</t>
        </is>
      </c>
    </row>
    <row r="16187">
      <c r="A16187" t="inlineStr">
        <is>
          <t>Junma Tyre Cord Company Limited,  Zhangjiagang city, Jiangsu Province, China</t>
        </is>
      </c>
      <c r="B16187" t="inlineStr">
        <is>
          <t>Processing Unit</t>
        </is>
      </c>
      <c r="C16187" t="inlineStr">
        <is>
          <t>DIN CERTCO GmbH, Berlin, DE</t>
        </is>
      </c>
      <c r="D16187" t="inlineStr">
        <is>
          <t>10.08.2026</t>
        </is>
      </c>
      <c r="E16187" t="inlineStr">
        <is>
          <t>China</t>
        </is>
      </c>
    </row>
    <row r="16188">
      <c r="A16188" t="inlineStr">
        <is>
          <t>Abedon Oil Mill Sdn Bhd,  Kinabatangan, Sabah, Malaysia</t>
        </is>
      </c>
      <c r="B16188" t="inlineStr">
        <is>
          <t>First Gathering Point, Processing Unit, Point of Origin</t>
        </is>
      </c>
      <c r="C16188" t="inlineStr">
        <is>
          <t>PT Intertek Utama Services, Jakarta, ID</t>
        </is>
      </c>
      <c r="D16188" t="inlineStr">
        <is>
          <t>10.08.2026</t>
        </is>
      </c>
      <c r="E16188" t="inlineStr">
        <is>
          <t>Malaysia</t>
        </is>
      </c>
    </row>
    <row r="16189">
      <c r="A16189" t="inlineStr">
        <is>
          <t>Dundas Chemical Company (Mosspark) Ltd,  Dumfries, United Kingdom</t>
        </is>
      </c>
      <c r="B16189" t="inlineStr">
        <is>
          <t>Point of Origin</t>
        </is>
      </c>
      <c r="C16189" t="inlineStr">
        <is>
          <t>SGS Germany GmbH, Emstek, DE</t>
        </is>
      </c>
      <c r="D16189" t="inlineStr">
        <is>
          <t>10.08.2026</t>
        </is>
      </c>
      <c r="E16189" t="inlineStr">
        <is>
          <t>United Kingdom</t>
        </is>
      </c>
    </row>
    <row r="16190">
      <c r="A16190" t="inlineStr">
        <is>
          <t>Forboth International Co., Ltd,  Guangzhou City, Guangdong Province, China</t>
        </is>
      </c>
      <c r="B16190" t="inlineStr">
        <is>
          <t>Trader with Storage</t>
        </is>
      </c>
      <c r="C16190" t="inlineStr">
        <is>
          <t>PT Intertek Utama Services, Jakarta, ID</t>
        </is>
      </c>
      <c r="D16190" t="inlineStr">
        <is>
          <t>10.08.2026</t>
        </is>
      </c>
      <c r="E16190" t="inlineStr">
        <is>
          <t>China</t>
        </is>
      </c>
    </row>
    <row r="16191">
      <c r="A16191" t="inlineStr">
        <is>
          <t>BLESSVORTEIL,  -, Singapore</t>
        </is>
      </c>
      <c r="B16191" t="inlineStr">
        <is>
          <t>Trader</t>
        </is>
      </c>
      <c r="C16191" t="inlineStr">
        <is>
          <t>PT TSI Sertifikasi Internasional, Jakarta Selatang, ID</t>
        </is>
      </c>
      <c r="D16191" t="inlineStr">
        <is>
          <t>10.08.2026</t>
        </is>
      </c>
      <c r="E16191" t="inlineStr">
        <is>
          <t>Singapore</t>
        </is>
      </c>
    </row>
    <row r="16192">
      <c r="A16192" t="inlineStr">
        <is>
          <t>Vant Trade LTD,  Veliko Tarnovo, Bulgaria</t>
        </is>
      </c>
      <c r="B16192" t="inlineStr">
        <is>
          <t>Trader</t>
        </is>
      </c>
      <c r="C16192" t="inlineStr">
        <is>
          <t>Aciter Genelab LLC, Odessa, UA</t>
        </is>
      </c>
      <c r="D16192" t="inlineStr">
        <is>
          <t>10.08.2026</t>
        </is>
      </c>
      <c r="E16192" t="inlineStr">
        <is>
          <t>Bulgaria</t>
        </is>
      </c>
    </row>
    <row r="16193">
      <c r="A16193" t="inlineStr">
        <is>
          <t>BIG Floorcoverings,  Wielsbeke, Belgium</t>
        </is>
      </c>
      <c r="B16193" t="inlineStr">
        <is>
          <t>Processing Unit, Trader with Storage</t>
        </is>
      </c>
      <c r="C16193" t="inlineStr">
        <is>
          <t>Control Union Certifications Germany GmbH, Berlin, DE</t>
        </is>
      </c>
      <c r="D16193" t="inlineStr">
        <is>
          <t>10.08.2026</t>
        </is>
      </c>
      <c r="E16193" t="inlineStr">
        <is>
          <t>Belgium</t>
        </is>
      </c>
    </row>
    <row r="16194">
      <c r="A16194" t="inlineStr">
        <is>
          <t>UAB RKJ Grupė,  Gūragių k., Šiaulių r., Lithuania</t>
        </is>
      </c>
      <c r="B16194" t="inlineStr">
        <is>
          <t>First Gathering Point</t>
        </is>
      </c>
      <c r="C16194" t="inlineStr">
        <is>
          <t>BM Certification, Riga, LV</t>
        </is>
      </c>
      <c r="D16194" t="inlineStr">
        <is>
          <t>10.08.2026</t>
        </is>
      </c>
      <c r="E16194" t="inlineStr">
        <is>
          <t>Lithuania</t>
        </is>
      </c>
    </row>
    <row r="16195">
      <c r="A16195" t="inlineStr">
        <is>
          <t>Dinant Exports S.A de C.V.,  Aldea palo Pintado Municipio de Comayagua, Honduras</t>
        </is>
      </c>
      <c r="B16195" t="inlineStr">
        <is>
          <t>Point of Origin</t>
        </is>
      </c>
      <c r="C16195" t="inlineStr">
        <is>
          <t>SCS Global Services, Emeryville, CA, US</t>
        </is>
      </c>
      <c r="D16195" t="inlineStr">
        <is>
          <t>10.08.2026</t>
        </is>
      </c>
      <c r="E16195" t="inlineStr">
        <is>
          <t>Honduras</t>
        </is>
      </c>
    </row>
    <row r="16196">
      <c r="A16196" t="inlineStr">
        <is>
          <t>AGROMEAT TRADING VM SRL,  NICOLAE TITULESCU, Romania</t>
        </is>
      </c>
      <c r="B16196" t="inlineStr">
        <is>
          <t>First Gathering Point</t>
        </is>
      </c>
      <c r="C16196" t="inlineStr">
        <is>
          <t>SRAC Cert SRL, Bucharest, RO</t>
        </is>
      </c>
      <c r="D16196" t="inlineStr">
        <is>
          <t>10.08.2026</t>
        </is>
      </c>
      <c r="E16196" t="inlineStr">
        <is>
          <t>Romania</t>
        </is>
      </c>
    </row>
    <row r="16197">
      <c r="A16197" t="inlineStr">
        <is>
          <t>Shenzhen Teng-Lang Recycling Development Co.,Ltd.,  Shenzhen City, Guangdong Province, China</t>
        </is>
      </c>
      <c r="B16197" t="inlineStr">
        <is>
          <t>Collecting Point, Warehouse</t>
        </is>
      </c>
      <c r="C16197" t="inlineStr">
        <is>
          <t>SCS Global Services, Emeryville, CA, US</t>
        </is>
      </c>
      <c r="D16197" t="inlineStr">
        <is>
          <t>10.08.2026</t>
        </is>
      </c>
      <c r="E16197" t="inlineStr">
        <is>
          <t>China</t>
        </is>
      </c>
    </row>
    <row r="16198">
      <c r="A16198" t="inlineStr">
        <is>
          <t>SC Ardealul Trading SRL,  Carei, Romania</t>
        </is>
      </c>
      <c r="B16198" t="inlineStr">
        <is>
          <t>First Gathering Point, Trader with Storage</t>
        </is>
      </c>
      <c r="C16198" t="inlineStr">
        <is>
          <t>SRAC Cert SRL, Bucharest, RO</t>
        </is>
      </c>
      <c r="D16198" t="inlineStr">
        <is>
          <t>10.08.2026</t>
        </is>
      </c>
      <c r="E16198" t="inlineStr">
        <is>
          <t>Romania</t>
        </is>
      </c>
    </row>
    <row r="16199">
      <c r="A16199" t="inlineStr">
        <is>
          <t>Agrolmos,  Olmos, Peru</t>
        </is>
      </c>
      <c r="B16199" t="inlineStr">
        <is>
          <t>First Gathering Point, Processing Unit</t>
        </is>
      </c>
      <c r="C16199" t="inlineStr">
        <is>
          <t>SCS Global Services, Emeryville, CA, US</t>
        </is>
      </c>
      <c r="D16199" t="inlineStr">
        <is>
          <t>10.08.2026</t>
        </is>
      </c>
      <c r="E16199" t="inlineStr">
        <is>
          <t>Peru</t>
        </is>
      </c>
    </row>
    <row r="16200">
      <c r="A16200" t="inlineStr">
        <is>
          <t>Agrolmos,  Olmos, Peru</t>
        </is>
      </c>
      <c r="B16200" t="inlineStr">
        <is>
          <t>First Gathering Point, Processing Unit</t>
        </is>
      </c>
      <c r="C16200" t="inlineStr">
        <is>
          <t>SCS Global Services, Emeryville, CA, US</t>
        </is>
      </c>
      <c r="D16200" t="inlineStr">
        <is>
          <t>10.08.2026</t>
        </is>
      </c>
      <c r="E16200" t="inlineStr">
        <is>
          <t>Peru</t>
        </is>
      </c>
    </row>
    <row r="16201">
      <c r="A16201" t="inlineStr">
        <is>
          <t>Sludge Management Company,  Takoradi, Ghana</t>
        </is>
      </c>
      <c r="B16201" t="inlineStr">
        <is>
          <t>Trader with Storage</t>
        </is>
      </c>
      <c r="C16201" t="inlineStr">
        <is>
          <t>Trans Certification and Inspection Sdn Bhd, Kuantan, MY</t>
        </is>
      </c>
      <c r="D16201" t="inlineStr">
        <is>
          <t>10.08.2026</t>
        </is>
      </c>
      <c r="E16201" t="inlineStr">
        <is>
          <t>Ghana</t>
        </is>
      </c>
    </row>
    <row r="16202">
      <c r="A16202" t="inlineStr">
        <is>
          <t>Wuchan Zhongda agricultural products (Zhejiang) Co.,Ltd.,  Ningbo City, Zhejiang Province, China</t>
        </is>
      </c>
      <c r="B16202" t="inlineStr">
        <is>
          <t>Trader with Storage</t>
        </is>
      </c>
      <c r="C16202" t="inlineStr">
        <is>
          <t>SCS Global Services, Emeryville, CA, US</t>
        </is>
      </c>
      <c r="D16202" t="inlineStr">
        <is>
          <t>10.08.2026</t>
        </is>
      </c>
      <c r="E16202" t="inlineStr">
        <is>
          <t>China</t>
        </is>
      </c>
    </row>
    <row r="16203">
      <c r="A16203" t="inlineStr">
        <is>
          <t>Luxam Oils Trading LLC,  DUBAI, United Arab Emirates</t>
        </is>
      </c>
      <c r="B16203" t="inlineStr">
        <is>
          <t>Collecting Point, Trader with Storage</t>
        </is>
      </c>
      <c r="C16203" t="inlineStr">
        <is>
          <t>SGS Germany GmbH, Emstek, DE</t>
        </is>
      </c>
      <c r="D16203" t="inlineStr">
        <is>
          <t>10.08.2026</t>
        </is>
      </c>
      <c r="E16203" t="inlineStr">
        <is>
          <t>United Arab Emirates</t>
        </is>
      </c>
    </row>
    <row r="16204">
      <c r="A16204" t="inlineStr">
        <is>
          <t>GestiRes,  Santander, Spain</t>
        </is>
      </c>
      <c r="B16204" t="inlineStr">
        <is>
          <t>Collecting Point, Trader with Storage</t>
        </is>
      </c>
      <c r="C16204" t="inlineStr">
        <is>
          <t>RINA Services S.p.A., Genova, IT</t>
        </is>
      </c>
      <c r="D16204" t="inlineStr">
        <is>
          <t>10.08.2026</t>
        </is>
      </c>
      <c r="E16204" t="inlineStr">
        <is>
          <t>Spain</t>
        </is>
      </c>
    </row>
    <row r="16205">
      <c r="A16205" t="inlineStr">
        <is>
          <t>Olga,  NOYAL SUR VILAINE, France</t>
        </is>
      </c>
      <c r="B16205" t="inlineStr">
        <is>
          <t>Final Product Refinement</t>
        </is>
      </c>
      <c r="C16205" t="inlineStr">
        <is>
          <t>Bureau Veritas Polska Sp. z o.o., Warsaw, PL</t>
        </is>
      </c>
      <c r="D16205" t="inlineStr">
        <is>
          <t>10.08.2026</t>
        </is>
      </c>
      <c r="E16205" t="inlineStr">
        <is>
          <t>France</t>
        </is>
      </c>
    </row>
    <row r="16206">
      <c r="A16206" t="inlineStr">
        <is>
          <t>Nan Ya Electronic Materials (Kun Shan) Co.,Ltd,  KunShan City, China</t>
        </is>
      </c>
      <c r="B16206" t="inlineStr">
        <is>
          <t>Processing Unit</t>
        </is>
      </c>
      <c r="C16206" t="inlineStr">
        <is>
          <t>SGS Germany GmbH, Emstek, DE</t>
        </is>
      </c>
      <c r="D16206" t="inlineStr">
        <is>
          <t>10.08.2026</t>
        </is>
      </c>
      <c r="E16206" t="inlineStr">
        <is>
          <t>China</t>
        </is>
      </c>
    </row>
    <row r="16207">
      <c r="A16207" t="inlineStr">
        <is>
          <t>PMA Nutrigras, S.A.,  Mos, Pontevedra, Spain</t>
        </is>
      </c>
      <c r="B16207" t="inlineStr">
        <is>
          <t>Collecting Point</t>
        </is>
      </c>
      <c r="C16207" t="inlineStr">
        <is>
          <t>RINA Services S.p.A., Genova, IT</t>
        </is>
      </c>
      <c r="D16207" t="inlineStr">
        <is>
          <t>10.08.2026</t>
        </is>
      </c>
      <c r="E16207" t="inlineStr">
        <is>
          <t>Spain</t>
        </is>
      </c>
    </row>
    <row r="16208">
      <c r="A16208" t="inlineStr">
        <is>
          <t>Moragro, a.s. v Prostějově,  Prostějov, Czech Republic</t>
        </is>
      </c>
      <c r="B16208" t="inlineStr">
        <is>
          <t>First Gathering Point, Trader with Storage, Warehouse</t>
        </is>
      </c>
      <c r="C16208" t="inlineStr">
        <is>
          <t>TÜV SÜD Czech s.r.o., Praha 4, CZ</t>
        </is>
      </c>
      <c r="D16208" t="inlineStr">
        <is>
          <t>10.08.2026</t>
        </is>
      </c>
      <c r="E16208" t="inlineStr">
        <is>
          <t>Czech Republic</t>
        </is>
      </c>
    </row>
    <row r="16209">
      <c r="A16209" t="inlineStr">
        <is>
          <t>Slovetra,  Nové Mesto nad Váhom, Slovakia</t>
        </is>
      </c>
      <c r="B16209" t="inlineStr">
        <is>
          <t>First Gathering Point, Trader</t>
        </is>
      </c>
      <c r="C16209" t="inlineStr">
        <is>
          <t>Bureau Veritas Polska Sp. z o.o., Warsaw, PL</t>
        </is>
      </c>
      <c r="D16209" t="inlineStr">
        <is>
          <t>10.08.2026</t>
        </is>
      </c>
      <c r="E16209" t="inlineStr">
        <is>
          <t>Slovakia</t>
        </is>
      </c>
    </row>
    <row r="16210">
      <c r="A16210" t="inlineStr">
        <is>
          <t>Westlake Polymers LLC,  Sulphur, United States</t>
        </is>
      </c>
      <c r="B16210" t="inlineStr">
        <is>
          <t>Processing Unit</t>
        </is>
      </c>
      <c r="C16210" t="inlineStr">
        <is>
          <t>SCS Global Services, Emeryville, CA, US</t>
        </is>
      </c>
      <c r="D16210" t="inlineStr">
        <is>
          <t>10.08.2026</t>
        </is>
      </c>
      <c r="E16210" t="inlineStr">
        <is>
          <t>United States</t>
        </is>
      </c>
    </row>
    <row r="16211">
      <c r="A16211" t="inlineStr">
        <is>
          <t>Hainan Annengjie International Trade Co., Ltd,  Haikou City, Hainan Province, China</t>
        </is>
      </c>
      <c r="B16211" t="inlineStr">
        <is>
          <t>Trader</t>
        </is>
      </c>
      <c r="C16211" t="inlineStr">
        <is>
          <t>RINA Services S.p.A., Genova, IT</t>
        </is>
      </c>
      <c r="D16211" t="inlineStr">
        <is>
          <t>10.08.2026</t>
        </is>
      </c>
      <c r="E16211" t="inlineStr">
        <is>
          <t>China</t>
        </is>
      </c>
    </row>
    <row r="16212">
      <c r="A16212" t="inlineStr">
        <is>
          <t>Purinova,  Bydgoszcz, Poland</t>
        </is>
      </c>
      <c r="B16212" t="inlineStr">
        <is>
          <t>Processing Unit, Collecting Point</t>
        </is>
      </c>
      <c r="C16212" t="inlineStr">
        <is>
          <t>Bureau Veritas Polska Sp. z o.o., Warsaw, PL</t>
        </is>
      </c>
      <c r="D16212" t="inlineStr">
        <is>
          <t>10.08.2026</t>
        </is>
      </c>
      <c r="E16212" t="inlineStr">
        <is>
          <t>Poland</t>
        </is>
      </c>
    </row>
    <row r="16213">
      <c r="A16213" t="inlineStr">
        <is>
          <t>Soya Hellas SA,  Chalkis, Greece</t>
        </is>
      </c>
      <c r="B16213" t="inlineStr">
        <is>
          <t>First Gathering Point, Processing Unit</t>
        </is>
      </c>
      <c r="C16213" t="inlineStr">
        <is>
          <t>Eurocert SA, Metamorfosi, Athens, GR</t>
        </is>
      </c>
      <c r="D16213" t="inlineStr">
        <is>
          <t>10.08.2026</t>
        </is>
      </c>
      <c r="E16213" t="inlineStr">
        <is>
          <t>Greece</t>
        </is>
      </c>
    </row>
    <row r="16214">
      <c r="A16214" t="inlineStr">
        <is>
          <t>Elung Industrial Co., Ltd.,  Dongguan City, Guangdong Province, China</t>
        </is>
      </c>
      <c r="B16214" t="inlineStr">
        <is>
          <t>Trader</t>
        </is>
      </c>
      <c r="C16214" t="inlineStr">
        <is>
          <t>RINA Services S.p.A., Genova, IT</t>
        </is>
      </c>
      <c r="D16214" t="inlineStr">
        <is>
          <t>09.08.2026</t>
        </is>
      </c>
      <c r="E16214" t="inlineStr">
        <is>
          <t>China</t>
        </is>
      </c>
    </row>
    <row r="16215">
      <c r="A16215" t="inlineStr">
        <is>
          <t>STE OLIVOR,  Sfax, Tunisia</t>
        </is>
      </c>
      <c r="B16215" t="inlineStr">
        <is>
          <t>Collecting Point, Trader</t>
        </is>
      </c>
      <c r="C16215" t="inlineStr">
        <is>
          <t>ICIM SpA, sesto san giovanni, IT</t>
        </is>
      </c>
      <c r="D16215" t="inlineStr">
        <is>
          <t>09.08.2026</t>
        </is>
      </c>
      <c r="E16215" t="inlineStr">
        <is>
          <t>Tunisia</t>
        </is>
      </c>
    </row>
    <row r="16216">
      <c r="A16216" t="inlineStr">
        <is>
          <t>VIANA TRADING,  Dubai, United Arab Emirates</t>
        </is>
      </c>
      <c r="B16216" t="inlineStr">
        <is>
          <t>Trader</t>
        </is>
      </c>
      <c r="C16216" t="inlineStr">
        <is>
          <t>Aciter Genelab LLC, Odessa, UA</t>
        </is>
      </c>
      <c r="D16216" t="inlineStr">
        <is>
          <t>09.08.2026</t>
        </is>
      </c>
      <c r="E16216" t="inlineStr">
        <is>
          <t>United Arab Emirates</t>
        </is>
      </c>
    </row>
    <row r="16217">
      <c r="A16217" t="inlineStr">
        <is>
          <t>Trigon-Export,  Kiev, Ukraine</t>
        </is>
      </c>
      <c r="B16217" t="inlineStr">
        <is>
          <t>First Gathering Point, Trader</t>
        </is>
      </c>
      <c r="C16217" t="inlineStr">
        <is>
          <t>United Registrar of Systems Polska Sp. z o.o., Wrocław, PL</t>
        </is>
      </c>
      <c r="D16217" t="inlineStr">
        <is>
          <t>09.08.2026</t>
        </is>
      </c>
      <c r="E16217" t="inlineStr">
        <is>
          <t>Ukraine</t>
        </is>
      </c>
    </row>
    <row r="16218">
      <c r="A16218" t="inlineStr">
        <is>
          <t>SMAG GROUP S.R.L.,  CONSTANTA, Romania</t>
        </is>
      </c>
      <c r="B16218" t="inlineStr">
        <is>
          <t>First Gathering Point, Trader with Storage</t>
        </is>
      </c>
      <c r="C16218" t="inlineStr">
        <is>
          <t>Control Union Certifications Germany GmbH, Berlin, DE</t>
        </is>
      </c>
      <c r="D16218" t="inlineStr">
        <is>
          <t>09.08.2026</t>
        </is>
      </c>
      <c r="E16218" t="inlineStr">
        <is>
          <t>Romania</t>
        </is>
      </c>
    </row>
    <row r="16219">
      <c r="A16219" t="inlineStr">
        <is>
          <t>Coveris Flexibles France,  Montfaucon-en-Velay, France</t>
        </is>
      </c>
      <c r="B16219" t="inlineStr">
        <is>
          <t>Processing Unit</t>
        </is>
      </c>
      <c r="C16219" t="inlineStr">
        <is>
          <t>SGS Germany GmbH, Emstek, DE</t>
        </is>
      </c>
      <c r="D16219" t="inlineStr">
        <is>
          <t>09.08.2026</t>
        </is>
      </c>
      <c r="E16219" t="inlineStr">
        <is>
          <t>France</t>
        </is>
      </c>
    </row>
    <row r="16220">
      <c r="A16220" t="inlineStr">
        <is>
          <t>Renewable Transport Fuel Services Limited,  Beaconsfield, United Kingdom</t>
        </is>
      </c>
      <c r="B16220" t="inlineStr">
        <is>
          <t>Trader</t>
        </is>
      </c>
      <c r="C16220" t="inlineStr">
        <is>
          <t>DEKRA Certification B.V., Arnhem, NL</t>
        </is>
      </c>
      <c r="D16220" t="inlineStr">
        <is>
          <t>09.08.2026</t>
        </is>
      </c>
      <c r="E16220" t="inlineStr">
        <is>
          <t>United Kingdom</t>
        </is>
      </c>
    </row>
    <row r="16221">
      <c r="A16221" t="inlineStr">
        <is>
          <t>POULTRY FEED COMPANY,  Vaiges, France</t>
        </is>
      </c>
      <c r="B16221" t="inlineStr">
        <is>
          <t>Point of Origin</t>
        </is>
      </c>
      <c r="C16221" t="inlineStr">
        <is>
          <t>Bureau Veritas Polska Sp. z o.o., Warsaw, PL</t>
        </is>
      </c>
      <c r="D16221" t="inlineStr">
        <is>
          <t>09.08.2026</t>
        </is>
      </c>
      <c r="E16221" t="inlineStr">
        <is>
          <t>France</t>
        </is>
      </c>
    </row>
    <row r="16222">
      <c r="A16222" t="inlineStr">
        <is>
          <t>MGC Woodchem,  Shizuoka, Japan</t>
        </is>
      </c>
      <c r="B16222" t="inlineStr">
        <is>
          <t>Processing Unit</t>
        </is>
      </c>
      <c r="C16222" t="inlineStr">
        <is>
          <t>SGS Germany GmbH, Emstek, DE</t>
        </is>
      </c>
      <c r="D16222" t="inlineStr">
        <is>
          <t>09.08.2026</t>
        </is>
      </c>
      <c r="E16222" t="inlineStr">
        <is>
          <t>Japan</t>
        </is>
      </c>
    </row>
    <row r="16223">
      <c r="A16223" t="inlineStr">
        <is>
          <t>Coveris Flexibles France,  Firminy, France</t>
        </is>
      </c>
      <c r="B16223" t="inlineStr">
        <is>
          <t>Processing Unit, Final Product Refinement</t>
        </is>
      </c>
      <c r="C16223" t="inlineStr">
        <is>
          <t>SGS Germany GmbH, Emstek, DE</t>
        </is>
      </c>
      <c r="D16223" t="inlineStr">
        <is>
          <t>09.08.2026</t>
        </is>
      </c>
      <c r="E16223" t="inlineStr">
        <is>
          <t>France</t>
        </is>
      </c>
    </row>
    <row r="16224">
      <c r="A16224" t="inlineStr">
        <is>
          <t>PSTV ENERGY FZCO | Bunker One,  Dubai, United Arab Emirates</t>
        </is>
      </c>
      <c r="B16224" t="inlineStr">
        <is>
          <t>Trader</t>
        </is>
      </c>
      <c r="C16224" t="inlineStr">
        <is>
          <t>Baltic Control Certification, Risskov, DK</t>
        </is>
      </c>
      <c r="D16224" t="inlineStr">
        <is>
          <t>09.08.2026</t>
        </is>
      </c>
      <c r="E16224" t="inlineStr">
        <is>
          <t>United Arab Emirates</t>
        </is>
      </c>
    </row>
    <row r="16225">
      <c r="A16225" t="inlineStr">
        <is>
          <t>PSTV ENERGY FZCO | Bunker One,  Dubai, United Arab Emirates</t>
        </is>
      </c>
      <c r="B16225" t="inlineStr">
        <is>
          <t>Trader</t>
        </is>
      </c>
      <c r="C16225" t="inlineStr">
        <is>
          <t>Baltic Control Certification, Risskov, DK</t>
        </is>
      </c>
      <c r="D16225" t="inlineStr">
        <is>
          <t>09.08.2026</t>
        </is>
      </c>
      <c r="E16225" t="inlineStr">
        <is>
          <t>United Arab Emirates</t>
        </is>
      </c>
    </row>
    <row r="16226">
      <c r="A16226" t="inlineStr">
        <is>
          <t>Otro Tiempo Otro Planeta S.L.,  Getafe, Spain</t>
        </is>
      </c>
      <c r="B16226" t="inlineStr">
        <is>
          <t>Collecting Point</t>
        </is>
      </c>
      <c r="C16226" t="inlineStr">
        <is>
          <t>RINA Services S.p.A., Genova, IT</t>
        </is>
      </c>
      <c r="D16226" t="inlineStr">
        <is>
          <t>09.08.2026</t>
        </is>
      </c>
      <c r="E16226" t="inlineStr">
        <is>
          <t>Spain</t>
        </is>
      </c>
    </row>
    <row r="16227">
      <c r="A16227" t="inlineStr">
        <is>
          <t>Tunas Baru Lampung - Mesuji,  Lampung, Indonesia</t>
        </is>
      </c>
      <c r="B16227" t="inlineStr">
        <is>
          <t>Point of Origin</t>
        </is>
      </c>
      <c r="C16227" t="inlineStr">
        <is>
          <t>PT. Qualitas Sertifikasi Indonesia, Jakarta, ID</t>
        </is>
      </c>
      <c r="D16227" t="inlineStr">
        <is>
          <t>09.08.2026</t>
        </is>
      </c>
      <c r="E16227" t="inlineStr">
        <is>
          <t>Indonesia</t>
        </is>
      </c>
    </row>
    <row r="16228">
      <c r="A16228" t="inlineStr">
        <is>
          <t>Budi Nabati Perkasa - Muaro Bungo,  Jambi, Indonesia</t>
        </is>
      </c>
      <c r="B16228" t="inlineStr">
        <is>
          <t>Point of Origin</t>
        </is>
      </c>
      <c r="C16228" t="inlineStr">
        <is>
          <t>PT. Qualitas Sertifikasi Indonesia, Jakarta, ID</t>
        </is>
      </c>
      <c r="D16228" t="inlineStr">
        <is>
          <t>09.08.2026</t>
        </is>
      </c>
      <c r="E16228" t="inlineStr">
        <is>
          <t>Indonesia</t>
        </is>
      </c>
    </row>
    <row r="16229">
      <c r="A16229" t="inlineStr">
        <is>
          <t>CS CABOT, spol. s r.o.,  Valašské Meziříčí, Krásno nad Bečvou, Czech Republic</t>
        </is>
      </c>
      <c r="B16229" t="inlineStr">
        <is>
          <t>Processing Unit, Trader with Storage</t>
        </is>
      </c>
      <c r="C16229" t="inlineStr">
        <is>
          <t>SGS Germany GmbH, Emstek, DE</t>
        </is>
      </c>
      <c r="D16229" t="inlineStr">
        <is>
          <t>09.08.2026</t>
        </is>
      </c>
      <c r="E16229" t="inlineStr">
        <is>
          <t>Czech Republic</t>
        </is>
      </c>
    </row>
    <row r="16230">
      <c r="A16230" t="inlineStr">
        <is>
          <t>Agro Bumi Mas - Hanakau,  Lampung, Indonesia</t>
        </is>
      </c>
      <c r="B16230" t="inlineStr">
        <is>
          <t>Point of Origin</t>
        </is>
      </c>
      <c r="C16230" t="inlineStr">
        <is>
          <t>PT. Qualitas Sertifikasi Indonesia, Jakarta, ID</t>
        </is>
      </c>
      <c r="D16230" t="inlineStr">
        <is>
          <t>09.08.2026</t>
        </is>
      </c>
      <c r="E16230" t="inlineStr">
        <is>
          <t>Indonesia</t>
        </is>
      </c>
    </row>
    <row r="16231">
      <c r="A16231" t="inlineStr">
        <is>
          <t>Future Fuels-Biotechnology, LDA,  Ponte de Lima, Portugal</t>
        </is>
      </c>
      <c r="B16231" t="inlineStr">
        <is>
          <t>Collecting Point</t>
        </is>
      </c>
      <c r="C16231" t="inlineStr">
        <is>
          <t>Certificadora Gallega del Noroeste SL, Vilagarcia de Arousa-Pontevedra, ES</t>
        </is>
      </c>
      <c r="D16231" t="inlineStr">
        <is>
          <t>09.08.2026</t>
        </is>
      </c>
      <c r="E16231" t="inlineStr">
        <is>
          <t>Portugal</t>
        </is>
      </c>
    </row>
    <row r="16232">
      <c r="A16232" t="inlineStr">
        <is>
          <t>Medosz Kereskedelmi És Szolgáltató Kft.,  Szombathely, Hungary</t>
        </is>
      </c>
      <c r="B16232" t="inlineStr">
        <is>
          <t>First Gathering Point, Trader with Storage</t>
        </is>
      </c>
      <c r="C16232" t="inlineStr">
        <is>
          <t>Certificadora Gallega del Noroeste SL, Vilagarcia de Arousa-Pontevedra, ES</t>
        </is>
      </c>
      <c r="D16232" t="inlineStr">
        <is>
          <t>09.08.2026</t>
        </is>
      </c>
      <c r="E16232" t="inlineStr">
        <is>
          <t>Hungary</t>
        </is>
      </c>
    </row>
    <row r="16233">
      <c r="A16233" t="inlineStr">
        <is>
          <t>Repsol Lubricantes Y Especialidades, S.A.,  Palencia, Spain</t>
        </is>
      </c>
      <c r="B16233" t="inlineStr">
        <is>
          <t>Trader with Storage</t>
        </is>
      </c>
      <c r="C16233" t="inlineStr">
        <is>
          <t>Control Union Poland Sp. z o.o., Zielona Gora, PL</t>
        </is>
      </c>
      <c r="D16233" t="inlineStr">
        <is>
          <t>09.08.2026</t>
        </is>
      </c>
      <c r="E16233" t="inlineStr">
        <is>
          <t>Spain</t>
        </is>
      </c>
    </row>
    <row r="16234">
      <c r="A16234" t="inlineStr">
        <is>
          <t>Filmac,  Cabiate, Italy</t>
        </is>
      </c>
      <c r="B16234" t="inlineStr">
        <is>
          <t>Final Product Refinement</t>
        </is>
      </c>
      <c r="C16234" t="inlineStr">
        <is>
          <t>SGS Germany GmbH, Emstek, DE</t>
        </is>
      </c>
      <c r="D16234" t="inlineStr">
        <is>
          <t>09.08.2026</t>
        </is>
      </c>
      <c r="E16234" t="inlineStr">
        <is>
          <t>Italy</t>
        </is>
      </c>
    </row>
    <row r="16235">
      <c r="A16235" t="inlineStr">
        <is>
          <t>SIA CIRCLE K LATVIA,  Riga, Latvia</t>
        </is>
      </c>
      <c r="B16235" t="inlineStr">
        <is>
          <t>Trader</t>
        </is>
      </c>
      <c r="C16235" t="inlineStr">
        <is>
          <t>Bureau Veritas Polska Sp. z o.o., Warsaw, PL</t>
        </is>
      </c>
      <c r="D16235" t="inlineStr">
        <is>
          <t>09.08.2026</t>
        </is>
      </c>
      <c r="E16235" t="inlineStr">
        <is>
          <t>Latvia</t>
        </is>
      </c>
    </row>
    <row r="16236">
      <c r="A16236" t="inlineStr">
        <is>
          <t>Jin Wei (M) Sdn Bhd,  Petaling Jaya, Selangor Darul Ehsan, Malaysia</t>
        </is>
      </c>
      <c r="B16236" t="inlineStr">
        <is>
          <t>Collecting Point, Trader with Storage</t>
        </is>
      </c>
      <c r="C16236" t="inlineStr">
        <is>
          <t>Trans Certification and Inspection Sdn Bhd, Kuantan, MY</t>
        </is>
      </c>
      <c r="D16236" t="inlineStr">
        <is>
          <t>09.08.2026</t>
        </is>
      </c>
      <c r="E16236" t="inlineStr">
        <is>
          <t>Malaysia</t>
        </is>
      </c>
    </row>
    <row r="16237">
      <c r="A16237" t="inlineStr">
        <is>
          <t>GRAIN TRADING COMPANY "AGROTEM",  Kyiv, Ukraine</t>
        </is>
      </c>
      <c r="B16237" t="inlineStr">
        <is>
          <t>First Gathering Point, Trader</t>
        </is>
      </c>
      <c r="C16237" t="inlineStr">
        <is>
          <t>Bureau Veritas Polska Sp. z o.o., Warsaw, PL</t>
        </is>
      </c>
      <c r="D16237" t="inlineStr">
        <is>
          <t>09.08.2026</t>
        </is>
      </c>
      <c r="E16237" t="inlineStr">
        <is>
          <t>Ukraine</t>
        </is>
      </c>
    </row>
    <row r="16238">
      <c r="A16238" t="inlineStr">
        <is>
          <t>URUDOS s.r.o,  Třebíč, Czech Republic</t>
        </is>
      </c>
      <c r="B16238" t="inlineStr">
        <is>
          <t>Trader, First Gathering Point</t>
        </is>
      </c>
      <c r="C16238" t="inlineStr">
        <is>
          <t>United Registrar of Systems Polska Sp. z o.o., Wrocław, PL</t>
        </is>
      </c>
      <c r="D16238" t="inlineStr">
        <is>
          <t>09.08.2026</t>
        </is>
      </c>
      <c r="E16238" t="inlineStr">
        <is>
          <t>Czech Republic</t>
        </is>
      </c>
    </row>
    <row r="16239">
      <c r="A16239" t="inlineStr">
        <is>
          <t>E.KOSTOPOULOS-A.TSIOYMAS,  Pelasgia, Greece</t>
        </is>
      </c>
      <c r="B16239" t="inlineStr">
        <is>
          <t>Collecting Point, Trader</t>
        </is>
      </c>
      <c r="C16239" t="inlineStr">
        <is>
          <t>Eurocert SA, Metamorfosi, Athens, GR</t>
        </is>
      </c>
      <c r="D16239" t="inlineStr">
        <is>
          <t>09.08.2026</t>
        </is>
      </c>
      <c r="E16239" t="inlineStr">
        <is>
          <t>Greece</t>
        </is>
      </c>
    </row>
    <row r="16240">
      <c r="A16240" t="inlineStr">
        <is>
          <t>GIDER COMPANY LIMITED,  Zhongshan Dist., Taipei City, Taiwan, Province of China</t>
        </is>
      </c>
      <c r="B16240" t="inlineStr">
        <is>
          <t>Trader with Storage</t>
        </is>
      </c>
      <c r="C16240" t="inlineStr">
        <is>
          <t>Bureau Veritas Polska Sp. z o.o., Warsaw, PL</t>
        </is>
      </c>
      <c r="D16240" t="inlineStr">
        <is>
          <t>08.08.2026</t>
        </is>
      </c>
      <c r="E16240" t="inlineStr">
        <is>
          <t>Province of China</t>
        </is>
      </c>
    </row>
    <row r="16241">
      <c r="A16241" t="inlineStr">
        <is>
          <t>Resilient a.s.,  Praha 4 - Modřany, Czech Republic</t>
        </is>
      </c>
      <c r="B16241" t="inlineStr">
        <is>
          <t>First Gathering Point, Trader</t>
        </is>
      </c>
      <c r="C16241" t="inlineStr">
        <is>
          <t>United Registrar of Systems Polska Sp. z o.o., Wrocław, PL</t>
        </is>
      </c>
      <c r="D16241" t="inlineStr">
        <is>
          <t>08.08.2026</t>
        </is>
      </c>
      <c r="E16241" t="inlineStr">
        <is>
          <t>Czech Republic</t>
        </is>
      </c>
    </row>
    <row r="16242">
      <c r="A16242" t="inlineStr">
        <is>
          <t>K+V International spol.s r.o.,  Breclav, Czech Republic</t>
        </is>
      </c>
      <c r="B16242" t="inlineStr">
        <is>
          <t>First Gathering Point, Trader</t>
        </is>
      </c>
      <c r="C16242" t="inlineStr">
        <is>
          <t>United Registrar of Systems Polska Sp. z o.o., Wrocław, PL</t>
        </is>
      </c>
      <c r="D16242" t="inlineStr">
        <is>
          <t>08.08.2026</t>
        </is>
      </c>
      <c r="E16242" t="inlineStr">
        <is>
          <t>Czech Republic</t>
        </is>
      </c>
    </row>
    <row r="16243">
      <c r="A16243" t="inlineStr">
        <is>
          <t>Yamada Unitec Company Limited,  Yanluo Subdistrict, Bao'an District, Shenzhen City, China</t>
        </is>
      </c>
      <c r="B16243" t="inlineStr">
        <is>
          <t>Trader</t>
        </is>
      </c>
      <c r="C16243" t="inlineStr">
        <is>
          <t>SGS Germany GmbH, Emstek, DE</t>
        </is>
      </c>
      <c r="D16243" t="inlineStr">
        <is>
          <t>08.08.2026</t>
        </is>
      </c>
      <c r="E16243" t="inlineStr">
        <is>
          <t>China</t>
        </is>
      </c>
    </row>
    <row r="16244">
      <c r="A16244" t="inlineStr">
        <is>
          <t>ASAP s.r.o.,  Věž, Czech Republic</t>
        </is>
      </c>
      <c r="B16244" t="inlineStr">
        <is>
          <t>Point of Origin, Trader</t>
        </is>
      </c>
      <c r="C16244" t="inlineStr">
        <is>
          <t>SGS Germany GmbH, Emstek, DE</t>
        </is>
      </c>
      <c r="D16244" t="inlineStr">
        <is>
          <t>08.08.2026</t>
        </is>
      </c>
      <c r="E16244" t="inlineStr">
        <is>
          <t>Czech Republic</t>
        </is>
      </c>
    </row>
    <row r="16245">
      <c r="A16245" t="inlineStr">
        <is>
          <t>Bridgestone Corporation, TOSU Plant,  Tosu-shi, Saga, Japan</t>
        </is>
      </c>
      <c r="B16245" t="inlineStr">
        <is>
          <t>Processing Unit</t>
        </is>
      </c>
      <c r="C16245" t="inlineStr">
        <is>
          <t>SGS Germany GmbH, Emstek, DE</t>
        </is>
      </c>
      <c r="D16245" t="inlineStr">
        <is>
          <t>08.08.2026</t>
        </is>
      </c>
      <c r="E16245" t="inlineStr">
        <is>
          <t>Japan</t>
        </is>
      </c>
    </row>
    <row r="16246">
      <c r="A16246" t="inlineStr">
        <is>
          <t>BUGATTI PLASTICA S.R.L.,  LUMEZZANE -BS-, Italy</t>
        </is>
      </c>
      <c r="B16246" t="inlineStr">
        <is>
          <t>Processing Unit</t>
        </is>
      </c>
      <c r="C16246" t="inlineStr">
        <is>
          <t>Bureau Veritas Polska Sp. z o.o., Warsaw, PL</t>
        </is>
      </c>
      <c r="D16246" t="inlineStr">
        <is>
          <t>08.08.2026</t>
        </is>
      </c>
      <c r="E16246" t="inlineStr">
        <is>
          <t>Italy</t>
        </is>
      </c>
    </row>
    <row r="16247">
      <c r="A16247" t="inlineStr">
        <is>
          <t>AGROINTEGRAL DEL NORTE SAS,  CUCUTA, Colombia</t>
        </is>
      </c>
      <c r="B16247" t="inlineStr">
        <is>
          <t>Collecting Point, Trader with Storage</t>
        </is>
      </c>
      <c r="C16247" t="inlineStr">
        <is>
          <t>Control Union Poland Sp. z o.o., Zielona Gora, PL</t>
        </is>
      </c>
      <c r="D16247" t="inlineStr">
        <is>
          <t>08.08.2026</t>
        </is>
      </c>
      <c r="E16247" t="inlineStr">
        <is>
          <t>Colombia</t>
        </is>
      </c>
    </row>
    <row r="16248">
      <c r="A16248" t="inlineStr">
        <is>
          <t>WINTEAM INTERNATIONAL CORPORATION,  BELIZE, Belize</t>
        </is>
      </c>
      <c r="B16248" t="inlineStr">
        <is>
          <t>Trader</t>
        </is>
      </c>
      <c r="C16248" t="inlineStr">
        <is>
          <t>PT Intertek Utama Services, Jakarta, ID</t>
        </is>
      </c>
      <c r="D16248" t="inlineStr">
        <is>
          <t>08.08.2026</t>
        </is>
      </c>
      <c r="E16248" t="inlineStr">
        <is>
          <t>Belize</t>
        </is>
      </c>
    </row>
    <row r="16249">
      <c r="A16249" t="inlineStr">
        <is>
          <t>JVK Filtration Systems GmbH,  Georgensgmünd, Germany</t>
        </is>
      </c>
      <c r="B16249" t="inlineStr">
        <is>
          <t>Processing Unit</t>
        </is>
      </c>
      <c r="C16249" t="inlineStr">
        <is>
          <t>TÜV SÜD Industrie Service GmbH, München, DE</t>
        </is>
      </c>
      <c r="D16249" t="inlineStr">
        <is>
          <t>08.08.2026</t>
        </is>
      </c>
      <c r="E16249" t="inlineStr">
        <is>
          <t>Germany</t>
        </is>
      </c>
    </row>
    <row r="16250">
      <c r="A16250" t="inlineStr">
        <is>
          <t>Xiamen Kunlun Fuel Oil Co. ,Ltd.,  Guangzhou City, Guangdong Province, China</t>
        </is>
      </c>
      <c r="B16250" t="inlineStr">
        <is>
          <t>Trader with Storage</t>
        </is>
      </c>
      <c r="C16250" t="inlineStr">
        <is>
          <t>China Standard Conformity Assessment Co. Ltd, Beijing, CN</t>
        </is>
      </c>
      <c r="D16250" t="inlineStr">
        <is>
          <t>08.08.2026</t>
        </is>
      </c>
      <c r="E16250" t="inlineStr">
        <is>
          <t>China</t>
        </is>
      </c>
    </row>
    <row r="16251">
      <c r="A16251" t="inlineStr">
        <is>
          <t>Tunas Baru Lampung,  Lampung, Indonesia</t>
        </is>
      </c>
      <c r="B16251" t="inlineStr">
        <is>
          <t>Point of Origin</t>
        </is>
      </c>
      <c r="C16251" t="inlineStr">
        <is>
          <t>PT. Qualitas Sertifikasi Indonesia, Jakarta, ID</t>
        </is>
      </c>
      <c r="D16251" t="inlineStr">
        <is>
          <t>08.08.2026</t>
        </is>
      </c>
      <c r="E16251" t="inlineStr">
        <is>
          <t>Indonesia</t>
        </is>
      </c>
    </row>
    <row r="16252">
      <c r="A16252" t="inlineStr">
        <is>
          <t>Tunas Baru Lampung - Terbanggi,  Lampung, Indonesia</t>
        </is>
      </c>
      <c r="B16252" t="inlineStr">
        <is>
          <t>Point of Origin</t>
        </is>
      </c>
      <c r="C16252" t="inlineStr">
        <is>
          <t>PT. Qualitas Sertifikasi Indonesia, Jakarta, ID</t>
        </is>
      </c>
      <c r="D16252" t="inlineStr">
        <is>
          <t>08.08.2026</t>
        </is>
      </c>
      <c r="E16252" t="inlineStr">
        <is>
          <t>Indonesia</t>
        </is>
      </c>
    </row>
    <row r="16253">
      <c r="A16253" t="inlineStr">
        <is>
          <t>Lechner,  Bad Vöslau, Austria</t>
        </is>
      </c>
      <c r="B16253" t="inlineStr">
        <is>
          <t>Processing Unit</t>
        </is>
      </c>
      <c r="C16253" t="inlineStr">
        <is>
          <t>agroVet GmbH, Enzersfeld, AT</t>
        </is>
      </c>
      <c r="D16253" t="inlineStr">
        <is>
          <t>08.08.2026</t>
        </is>
      </c>
      <c r="E16253" t="inlineStr">
        <is>
          <t>Austria</t>
        </is>
      </c>
    </row>
    <row r="16254">
      <c r="A16254" t="inlineStr">
        <is>
          <t>PetroEast Singapore Pte. Ltd.,  Singapore, Singapore</t>
        </is>
      </c>
      <c r="B16254" t="inlineStr">
        <is>
          <t>Trader</t>
        </is>
      </c>
      <c r="C16254" t="inlineStr">
        <is>
          <t>SCS Global Services, Emeryville, CA, US</t>
        </is>
      </c>
      <c r="D16254" t="inlineStr">
        <is>
          <t>08.08.2026</t>
        </is>
      </c>
      <c r="E16254" t="inlineStr">
        <is>
          <t>Singapore</t>
        </is>
      </c>
    </row>
    <row r="16255">
      <c r="A16255" t="inlineStr">
        <is>
          <t>PT. Pangkatan Indonesia,  Kabupaten Labuhanbatu, Propinsi Sumatera Utara, Indonesia</t>
        </is>
      </c>
      <c r="B16255" t="inlineStr">
        <is>
          <t>First Gathering Point, Processing Unit</t>
        </is>
      </c>
      <c r="C16255" t="inlineStr">
        <is>
          <t>ASG Cert GmbH, Munich, DE</t>
        </is>
      </c>
      <c r="D16255" t="inlineStr">
        <is>
          <t>08.08.2026</t>
        </is>
      </c>
      <c r="E16255" t="inlineStr">
        <is>
          <t>Indonesia</t>
        </is>
      </c>
    </row>
    <row r="16256">
      <c r="A16256" t="inlineStr">
        <is>
          <t>IMCD PORTUGAL - PRODUTOS QUÍMICOS, LDA,  Porto, Portugal</t>
        </is>
      </c>
      <c r="B16256" t="inlineStr">
        <is>
          <t>Trader with Storage</t>
        </is>
      </c>
      <c r="C16256" t="inlineStr">
        <is>
          <t>BMC Assurance, S.L, Santander, ES</t>
        </is>
      </c>
      <c r="D16256" t="inlineStr">
        <is>
          <t>08.08.2026</t>
        </is>
      </c>
      <c r="E16256" t="inlineStr">
        <is>
          <t>Portugal</t>
        </is>
      </c>
    </row>
    <row r="16257">
      <c r="A16257" t="inlineStr">
        <is>
          <t>Servicios Ecológicos de Recursos para el Campo S.L.,  Cuenca, Spain</t>
        </is>
      </c>
      <c r="B16257" t="inlineStr">
        <is>
          <t>Collecting Point, Trader with Storage</t>
        </is>
      </c>
      <c r="C16257" t="inlineStr">
        <is>
          <t>Certificadora Gallega del Noroeste SL, Vilagarcia de Arousa-Pontevedra, ES</t>
        </is>
      </c>
      <c r="D16257" t="inlineStr">
        <is>
          <t>08.08.2026</t>
        </is>
      </c>
      <c r="E16257" t="inlineStr">
        <is>
          <t>Spain</t>
        </is>
      </c>
    </row>
    <row r="16258">
      <c r="A16258" t="inlineStr">
        <is>
          <t>Dezinsekcija d.o.o.,  Rijeka, Croatia</t>
        </is>
      </c>
      <c r="B16258" t="inlineStr">
        <is>
          <t>Collecting Point, Trader with Storage</t>
        </is>
      </c>
      <c r="C16258" t="inlineStr">
        <is>
          <t>Bureau Veritas Polska Sp. z o.o., Warsaw, PL</t>
        </is>
      </c>
      <c r="D16258" t="inlineStr">
        <is>
          <t>08.08.2026</t>
        </is>
      </c>
      <c r="E16258" t="inlineStr">
        <is>
          <t>Croatia</t>
        </is>
      </c>
    </row>
    <row r="16259">
      <c r="A16259" t="inlineStr">
        <is>
          <t>Saica Flex Italia,  Meldola, Italy</t>
        </is>
      </c>
      <c r="B16259" t="inlineStr">
        <is>
          <t>Processing Unit</t>
        </is>
      </c>
      <c r="C16259" t="inlineStr">
        <is>
          <t>CSQA Certificazioni Srl, Thiene, IT</t>
        </is>
      </c>
      <c r="D16259" t="inlineStr">
        <is>
          <t>08.08.2026</t>
        </is>
      </c>
      <c r="E16259" t="inlineStr">
        <is>
          <t>Italy</t>
        </is>
      </c>
    </row>
    <row r="16260">
      <c r="A16260" t="inlineStr">
        <is>
          <t>Mezőfalva-Gabona Mezőgazdasági Termelői Csoport Szövetkezet,  Mezőfalva, Hungary</t>
        </is>
      </c>
      <c r="B16260" t="inlineStr">
        <is>
          <t>First Gathering Point, Trader with Storage</t>
        </is>
      </c>
      <c r="C16260" t="inlineStr">
        <is>
          <t>SGS Germany GmbH, Emstek, DE</t>
        </is>
      </c>
      <c r="D16260" t="inlineStr">
        <is>
          <t>08.08.2026</t>
        </is>
      </c>
      <c r="E16260" t="inlineStr">
        <is>
          <t>Hungary</t>
        </is>
      </c>
    </row>
    <row r="16261">
      <c r="A16261" t="inlineStr">
        <is>
          <t>Indorama Ventures Mobility Obernburg GmbH,  Obernburg, Germany</t>
        </is>
      </c>
      <c r="B16261" t="inlineStr">
        <is>
          <t>Processing Unit</t>
        </is>
      </c>
      <c r="C16261" t="inlineStr">
        <is>
          <t>GUT Certifizierungsgesellschaft für Managementsysteme mbH Umweltgutachter, Berlin, DE</t>
        </is>
      </c>
      <c r="D16261" t="inlineStr">
        <is>
          <t>08.08.2026</t>
        </is>
      </c>
      <c r="E16261" t="inlineStr">
        <is>
          <t>Germany</t>
        </is>
      </c>
    </row>
    <row r="16262">
      <c r="A16262" t="inlineStr">
        <is>
          <t>TotalEnergies Marketing España, S.A.U.,  Madrid, Spain</t>
        </is>
      </c>
      <c r="B16262" t="inlineStr">
        <is>
          <t>Trader</t>
        </is>
      </c>
      <c r="C16262" t="inlineStr">
        <is>
          <t>Control Union Poland Sp. z o.o., Zielona Gora, PL</t>
        </is>
      </c>
      <c r="D16262" t="inlineStr">
        <is>
          <t>08.08.2026</t>
        </is>
      </c>
      <c r="E16262" t="inlineStr">
        <is>
          <t>Spain</t>
        </is>
      </c>
    </row>
    <row r="16263">
      <c r="A16263" t="inlineStr">
        <is>
          <t>DIC Epoxy (Malaysia),  Pasir Gudang, Malaysia</t>
        </is>
      </c>
      <c r="B16263" t="inlineStr">
        <is>
          <t>Processing Unit</t>
        </is>
      </c>
      <c r="C16263" t="inlineStr">
        <is>
          <t>SCS Global Services, Emeryville, CA, US</t>
        </is>
      </c>
      <c r="D16263" t="inlineStr">
        <is>
          <t>08.08.2026</t>
        </is>
      </c>
      <c r="E16263" t="inlineStr">
        <is>
          <t>Malaysia</t>
        </is>
      </c>
    </row>
    <row r="16264">
      <c r="A16264" t="inlineStr">
        <is>
          <t>Bio-Albero S.L.,  Cuevas de San Marcos, Spain</t>
        </is>
      </c>
      <c r="B16264" t="inlineStr">
        <is>
          <t>Collecting Point</t>
        </is>
      </c>
      <c r="C16264" t="inlineStr">
        <is>
          <t>Control Union Poland Sp. z o.o., Zielona Gora, PL</t>
        </is>
      </c>
      <c r="D16264" t="inlineStr">
        <is>
          <t>08.08.2026</t>
        </is>
      </c>
      <c r="E16264" t="inlineStr">
        <is>
          <t>Spain</t>
        </is>
      </c>
    </row>
    <row r="16265">
      <c r="A16265" t="inlineStr">
        <is>
          <t>Saica Flex Luxembourg,  Rodange, Luxembourg</t>
        </is>
      </c>
      <c r="B16265" t="inlineStr">
        <is>
          <t>Processing Unit</t>
        </is>
      </c>
      <c r="C16265" t="inlineStr">
        <is>
          <t>Control Union Poland Sp. z o.o., Zielona Gora, PL</t>
        </is>
      </c>
      <c r="D16265" t="inlineStr">
        <is>
          <t>08.08.2026</t>
        </is>
      </c>
      <c r="E16265" t="inlineStr">
        <is>
          <t>Luxembourg</t>
        </is>
      </c>
    </row>
    <row r="16266">
      <c r="A16266" t="inlineStr">
        <is>
          <t>Consignatarios Barcos De Santander, S.A.,  Camargo, Spain</t>
        </is>
      </c>
      <c r="B16266" t="inlineStr">
        <is>
          <t>Logistics Center</t>
        </is>
      </c>
      <c r="C16266" t="inlineStr">
        <is>
          <t>Control Union Poland Sp. z o.o., Zielona Gora, PL</t>
        </is>
      </c>
      <c r="D16266" t="inlineStr">
        <is>
          <t>08.08.2026</t>
        </is>
      </c>
      <c r="E16266" t="inlineStr">
        <is>
          <t>Spain</t>
        </is>
      </c>
    </row>
    <row r="16267">
      <c r="A16267" t="inlineStr">
        <is>
          <t>Twifo Oil Palm Plantations,  Twifo Praso, Ghana</t>
        </is>
      </c>
      <c r="B16267" t="inlineStr">
        <is>
          <t>Point of Origin</t>
        </is>
      </c>
      <c r="C16267" t="inlineStr">
        <is>
          <t>Trans Certification and Inspection Sdn Bhd, Kuantan, MY</t>
        </is>
      </c>
      <c r="D16267" t="inlineStr">
        <is>
          <t>08.08.2026</t>
        </is>
      </c>
      <c r="E16267" t="inlineStr">
        <is>
          <t>Ghana</t>
        </is>
      </c>
    </row>
    <row r="16268">
      <c r="A16268" t="inlineStr">
        <is>
          <t>ŽŪK Šiaurės aruodai,  Talačkoniai, Pasvalio r., Lithuania</t>
        </is>
      </c>
      <c r="B16268" t="inlineStr">
        <is>
          <t>First Gathering Point, Trader with Storage</t>
        </is>
      </c>
      <c r="C16268" t="inlineStr">
        <is>
          <t>Bureau Veritas Polska Sp. z o.o., Warsaw, PL</t>
        </is>
      </c>
      <c r="D16268" t="inlineStr">
        <is>
          <t>08.08.2026</t>
        </is>
      </c>
      <c r="E16268" t="inlineStr">
        <is>
          <t>Lithuania</t>
        </is>
      </c>
    </row>
    <row r="16269">
      <c r="A16269" t="inlineStr">
        <is>
          <t>Feednova,  Busk, Ukraine</t>
        </is>
      </c>
      <c r="B16269" t="inlineStr">
        <is>
          <t>Collecting Point, Processing Unit</t>
        </is>
      </c>
      <c r="C16269" t="inlineStr">
        <is>
          <t>United Registrar of Systems Polska Sp. z o.o., Wrocław, PL</t>
        </is>
      </c>
      <c r="D16269" t="inlineStr">
        <is>
          <t>08.08.2026</t>
        </is>
      </c>
      <c r="E16269" t="inlineStr">
        <is>
          <t>Ukraine</t>
        </is>
      </c>
    </row>
    <row r="16270">
      <c r="A16270" t="inlineStr">
        <is>
          <t>Ragn-Sells Havbruk AS,  Rådal, Norway</t>
        </is>
      </c>
      <c r="B16270" t="inlineStr">
        <is>
          <t>Collecting Point, Trader</t>
        </is>
      </c>
      <c r="C16270" t="inlineStr">
        <is>
          <t>Baltic Control Certification, Risskov, DK</t>
        </is>
      </c>
      <c r="D16270" t="inlineStr">
        <is>
          <t>08.08.2026</t>
        </is>
      </c>
      <c r="E16270" t="inlineStr">
        <is>
          <t>Norway</t>
        </is>
      </c>
    </row>
    <row r="16271">
      <c r="A16271" t="inlineStr">
        <is>
          <t>SIT SpA - Stampa Imballaggi Trasparenti,  Faetano, San Marino</t>
        </is>
      </c>
      <c r="B16271" t="inlineStr">
        <is>
          <t>Processing Unit</t>
        </is>
      </c>
      <c r="C16271" t="inlineStr">
        <is>
          <t>DNV Business Assurance Sweden AB, Solna, SE</t>
        </is>
      </c>
      <c r="D16271" t="inlineStr">
        <is>
          <t>08.08.2026</t>
        </is>
      </c>
      <c r="E16271" t="inlineStr">
        <is>
          <t>San Marino</t>
        </is>
      </c>
    </row>
    <row r="16272">
      <c r="A16272" t="inlineStr">
        <is>
          <t>Zhangzhou Xingzhong Biotechnology Co., Ltd,  Zhangzhou City, Fujian Province, China</t>
        </is>
      </c>
      <c r="B16272" t="inlineStr">
        <is>
          <t>Collecting Point, Trader with Storage</t>
        </is>
      </c>
      <c r="C16272" t="inlineStr">
        <is>
          <t>RINA Services S.p.A., Genova, IT</t>
        </is>
      </c>
      <c r="D16272" t="inlineStr">
        <is>
          <t>08.08.2026</t>
        </is>
      </c>
      <c r="E16272" t="inlineStr">
        <is>
          <t>China</t>
        </is>
      </c>
    </row>
    <row r="16273">
      <c r="A16273" t="inlineStr">
        <is>
          <t>Dongguan Guan Yuan Biological Technology Co., LTD,  Dongguan City, Guangdong Province, China</t>
        </is>
      </c>
      <c r="B16273" t="inlineStr">
        <is>
          <t>Collecting Point</t>
        </is>
      </c>
      <c r="C16273" t="inlineStr">
        <is>
          <t>RINA Services S.p.A., Genova, IT</t>
        </is>
      </c>
      <c r="D16273" t="inlineStr">
        <is>
          <t>08.08.2026</t>
        </is>
      </c>
      <c r="E16273" t="inlineStr">
        <is>
          <t>China</t>
        </is>
      </c>
    </row>
    <row r="16274">
      <c r="A16274" t="inlineStr">
        <is>
          <t>Dongguan Zhongtang Chuangji industrial grease business Department,  Dongguan City, China</t>
        </is>
      </c>
      <c r="B16274" t="inlineStr">
        <is>
          <t>Collecting Point</t>
        </is>
      </c>
      <c r="C16274" t="inlineStr">
        <is>
          <t>RINA Services S.p.A., Genova, IT</t>
        </is>
      </c>
      <c r="D16274" t="inlineStr">
        <is>
          <t>08.08.2026</t>
        </is>
      </c>
      <c r="E16274" t="inlineStr">
        <is>
          <t>China</t>
        </is>
      </c>
    </row>
    <row r="16275">
      <c r="A16275" t="inlineStr">
        <is>
          <t>DongGuan Yan Optical Company,  DongGuan, China</t>
        </is>
      </c>
      <c r="B16275" t="inlineStr">
        <is>
          <t>Processing Unit</t>
        </is>
      </c>
      <c r="C16275" t="inlineStr">
        <is>
          <t>SGS Germany GmbH, Emstek, DE</t>
        </is>
      </c>
      <c r="D16275" t="inlineStr">
        <is>
          <t>07.08.2026</t>
        </is>
      </c>
      <c r="E16275" t="inlineStr">
        <is>
          <t>China</t>
        </is>
      </c>
    </row>
    <row r="16276">
      <c r="A16276" t="inlineStr">
        <is>
          <t>DAE MYEONG O&amp;C Co., LTD,  Nongam-myeon, Mungyeong-si, South Korea</t>
        </is>
      </c>
      <c r="B16276" t="inlineStr">
        <is>
          <t>Point of Origin</t>
        </is>
      </c>
      <c r="C16276" t="inlineStr">
        <is>
          <t>BM Certification, Riga, LV</t>
        </is>
      </c>
      <c r="D16276" t="inlineStr">
        <is>
          <t>07.08.2026</t>
        </is>
      </c>
      <c r="E16276" t="inlineStr">
        <is>
          <t>South Korea</t>
        </is>
      </c>
    </row>
    <row r="16277">
      <c r="A16277" t="inlineStr">
        <is>
          <t>Toray Carbon Fibers Europe,  Abidos, France</t>
        </is>
      </c>
      <c r="B16277" t="inlineStr">
        <is>
          <t>Processing Unit</t>
        </is>
      </c>
      <c r="C16277" t="inlineStr">
        <is>
          <t>Bureau Veritas Polska Sp. z o.o., Warsaw, PL</t>
        </is>
      </c>
      <c r="D16277" t="inlineStr">
        <is>
          <t>07.08.2026</t>
        </is>
      </c>
      <c r="E16277" t="inlineStr">
        <is>
          <t>France</t>
        </is>
      </c>
    </row>
    <row r="16278">
      <c r="A16278" t="inlineStr">
        <is>
          <t>UAB Scandagra,  Kaunas, Lithuania</t>
        </is>
      </c>
      <c r="B16278" t="inlineStr">
        <is>
          <t>First Gathering Point, Trader with Storage</t>
        </is>
      </c>
      <c r="C16278" t="inlineStr">
        <is>
          <t>Bureau Veritas Polska Sp. z o.o., Warsaw, PL</t>
        </is>
      </c>
      <c r="D16278" t="inlineStr">
        <is>
          <t>07.08.2026</t>
        </is>
      </c>
      <c r="E16278" t="inlineStr">
        <is>
          <t>Lithuania</t>
        </is>
      </c>
    </row>
    <row r="16279">
      <c r="A16279" t="inlineStr">
        <is>
          <t>KUPREX s.r.o.,  Choča, Slovakia</t>
        </is>
      </c>
      <c r="B16279" t="inlineStr">
        <is>
          <t>Trader</t>
        </is>
      </c>
      <c r="C16279" t="inlineStr">
        <is>
          <t>Bureau Veritas Polska Sp. z o.o., Warsaw, PL</t>
        </is>
      </c>
      <c r="D16279" t="inlineStr">
        <is>
          <t>07.08.2026</t>
        </is>
      </c>
      <c r="E16279" t="inlineStr">
        <is>
          <t>Slovakia</t>
        </is>
      </c>
    </row>
    <row r="16280">
      <c r="A16280" t="inlineStr">
        <is>
          <t>KUPREX s.r.o.,  Choča, Slovakia</t>
        </is>
      </c>
      <c r="B16280" t="inlineStr">
        <is>
          <t>First Gathering Point, Trader</t>
        </is>
      </c>
      <c r="C16280" t="inlineStr">
        <is>
          <t>Bureau Veritas Polska Sp. z o.o., Warsaw, PL</t>
        </is>
      </c>
      <c r="D16280" t="inlineStr">
        <is>
          <t>07.08.2026</t>
        </is>
      </c>
      <c r="E16280" t="inlineStr">
        <is>
          <t>Slovakia</t>
        </is>
      </c>
    </row>
    <row r="16281">
      <c r="A16281" t="inlineStr">
        <is>
          <t>Mitsubishi Chemical Corporation,  Sakaide-shi, Japan</t>
        </is>
      </c>
      <c r="B16281" t="inlineStr">
        <is>
          <t>Processing Unit</t>
        </is>
      </c>
      <c r="C16281" t="inlineStr">
        <is>
          <t>Control Union Certifications Germany GmbH, Berlin, DE</t>
        </is>
      </c>
      <c r="D16281" t="inlineStr">
        <is>
          <t>07.08.2026</t>
        </is>
      </c>
      <c r="E16281" t="inlineStr">
        <is>
          <t>Japan</t>
        </is>
      </c>
    </row>
    <row r="16282">
      <c r="A16282" t="inlineStr">
        <is>
          <t>Denka Company Limited Isesaki Plant (Ota),  Ota-shi, Gunma, Japan</t>
        </is>
      </c>
      <c r="B16282" t="inlineStr">
        <is>
          <t>Point of Origin, Processing Unit</t>
        </is>
      </c>
      <c r="C16282" t="inlineStr">
        <is>
          <t>SGS Germany GmbH, Emstek, DE</t>
        </is>
      </c>
      <c r="D16282" t="inlineStr">
        <is>
          <t>07.08.2026</t>
        </is>
      </c>
      <c r="E16282" t="inlineStr">
        <is>
          <t>Japan</t>
        </is>
      </c>
    </row>
    <row r="16283">
      <c r="A16283" t="inlineStr">
        <is>
          <t>PRIME AGRICULTURE TRADING DMCC,  Dubai, United Arab Emirates</t>
        </is>
      </c>
      <c r="B16283" t="inlineStr">
        <is>
          <t>Trader</t>
        </is>
      </c>
      <c r="C16283" t="inlineStr">
        <is>
          <t>BM Certification, Riga, LV</t>
        </is>
      </c>
      <c r="D16283" t="inlineStr">
        <is>
          <t>07.08.2026</t>
        </is>
      </c>
      <c r="E16283" t="inlineStr">
        <is>
          <t>United Arab Emirates</t>
        </is>
      </c>
    </row>
    <row r="16284">
      <c r="A16284" t="inlineStr">
        <is>
          <t>Lato Eya,  Patra, Greece</t>
        </is>
      </c>
      <c r="B16284" t="inlineStr">
        <is>
          <t>Collecting Point</t>
        </is>
      </c>
      <c r="C16284" t="inlineStr">
        <is>
          <t>Eurocert SA, Metamorfosi, Athens, GR</t>
        </is>
      </c>
      <c r="D16284" t="inlineStr">
        <is>
          <t>07.08.2026</t>
        </is>
      </c>
      <c r="E16284" t="inlineStr">
        <is>
          <t>Greece</t>
        </is>
      </c>
    </row>
    <row r="16285">
      <c r="A16285" t="inlineStr">
        <is>
          <t>TEREOS-Origny,  Origny Ste Benoite, France</t>
        </is>
      </c>
      <c r="B16285" t="inlineStr">
        <is>
          <t>Point of Origin, Processing Unit</t>
        </is>
      </c>
      <c r="C16285" t="inlineStr">
        <is>
          <t>Control Union Certifications Germany GmbH, Berlin, DE</t>
        </is>
      </c>
      <c r="D16285" t="inlineStr">
        <is>
          <t>07.08.2026</t>
        </is>
      </c>
      <c r="E16285" t="inlineStr">
        <is>
          <t>France</t>
        </is>
      </c>
    </row>
    <row r="16286">
      <c r="A16286" t="inlineStr">
        <is>
          <t>Amaggi Europe Bv,  Rotterdam, Netherlands</t>
        </is>
      </c>
      <c r="B16286" t="inlineStr">
        <is>
          <t>Trader</t>
        </is>
      </c>
      <c r="C16286" t="inlineStr">
        <is>
          <t>Control Union Certifications Germany GmbH, Berlin, DE</t>
        </is>
      </c>
      <c r="D16286" t="inlineStr">
        <is>
          <t>07.08.2026</t>
        </is>
      </c>
      <c r="E16286" t="inlineStr">
        <is>
          <t>Netherlands</t>
        </is>
      </c>
    </row>
    <row r="16287">
      <c r="A16287" t="inlineStr">
        <is>
          <t>Gentse Warmte Centrale,  Gent, Belgium</t>
        </is>
      </c>
      <c r="B16287" t="inlineStr">
        <is>
          <t>Processing Unit</t>
        </is>
      </c>
      <c r="C16287" t="inlineStr">
        <is>
          <t>SGS Germany GmbH, Emstek, DE</t>
        </is>
      </c>
      <c r="D16287" t="inlineStr">
        <is>
          <t>07.08.2026</t>
        </is>
      </c>
      <c r="E16287" t="inlineStr">
        <is>
          <t>Belgium</t>
        </is>
      </c>
    </row>
    <row r="16288">
      <c r="A16288" t="inlineStr">
        <is>
          <t>FGV PALM INDUSTRIES,  TRIANG, Malaysia</t>
        </is>
      </c>
      <c r="B16288" t="inlineStr">
        <is>
          <t>Point of Origin</t>
        </is>
      </c>
      <c r="C16288" t="inlineStr">
        <is>
          <t>Trans Certification and Inspection Sdn Bhd, Kuantan, MY</t>
        </is>
      </c>
      <c r="D16288" t="inlineStr">
        <is>
          <t>07.08.2026</t>
        </is>
      </c>
      <c r="E16288" t="inlineStr">
        <is>
          <t>Malaysia</t>
        </is>
      </c>
    </row>
    <row r="16289">
      <c r="A16289" t="inlineStr">
        <is>
          <t>SC Baryan Com Srl,  Slobozia, Romania</t>
        </is>
      </c>
      <c r="B16289" t="inlineStr">
        <is>
          <t>First Gathering Point, Trader with Storage</t>
        </is>
      </c>
      <c r="C16289" t="inlineStr">
        <is>
          <t>Bureau Veritas Polska Sp. z o.o., Warsaw, PL</t>
        </is>
      </c>
      <c r="D16289" t="inlineStr">
        <is>
          <t>07.08.2026</t>
        </is>
      </c>
      <c r="E16289" t="inlineStr">
        <is>
          <t>Romania</t>
        </is>
      </c>
    </row>
    <row r="16290">
      <c r="A16290" t="inlineStr">
        <is>
          <t>S.A.E. S.r.l.,  Gricignano d’Aversa, Italy</t>
        </is>
      </c>
      <c r="B16290" t="inlineStr">
        <is>
          <t>Collecting Point, Trader with Storage, Processing Unit</t>
        </is>
      </c>
      <c r="C16290" t="inlineStr">
        <is>
          <t>RINA Services S.p.A., Genova, IT</t>
        </is>
      </c>
      <c r="D16290" t="inlineStr">
        <is>
          <t>07.08.2026</t>
        </is>
      </c>
      <c r="E16290" t="inlineStr">
        <is>
          <t>Italy</t>
        </is>
      </c>
    </row>
    <row r="16291">
      <c r="A16291" t="inlineStr">
        <is>
          <t>Sititalia,  Pesaro, Italy</t>
        </is>
      </c>
      <c r="B16291" t="inlineStr">
        <is>
          <t>Processing Unit</t>
        </is>
      </c>
      <c r="C16291" t="inlineStr">
        <is>
          <t>DNV Business Assurance Sweden AB, Solna, SE</t>
        </is>
      </c>
      <c r="D16291" t="inlineStr">
        <is>
          <t>07.08.2026</t>
        </is>
      </c>
      <c r="E16291" t="inlineStr">
        <is>
          <t>Italy</t>
        </is>
      </c>
    </row>
    <row r="16292">
      <c r="A16292" t="inlineStr">
        <is>
          <t>Henan Jiabaote Chemical Co.,Ltd.,  Pingdingshan City, Henan Province, China</t>
        </is>
      </c>
      <c r="B16292" t="inlineStr">
        <is>
          <t>Collecting Point, Trader with Storage</t>
        </is>
      </c>
      <c r="C16292" t="inlineStr">
        <is>
          <t>SCS Global Services, Emeryville, CA, US</t>
        </is>
      </c>
      <c r="D16292" t="inlineStr">
        <is>
          <t>07.08.2026</t>
        </is>
      </c>
      <c r="E16292" t="inlineStr">
        <is>
          <t>China</t>
        </is>
      </c>
    </row>
    <row r="16293">
      <c r="A16293" t="inlineStr">
        <is>
          <t>Adnoc Global Trading,  Al Maryah Island, Abu Dhabi, United Arab Emirates</t>
        </is>
      </c>
      <c r="B16293" t="inlineStr">
        <is>
          <t>Trader with Storage</t>
        </is>
      </c>
      <c r="C16293" t="inlineStr">
        <is>
          <t>RINA Services S.p.A., Genova, IT</t>
        </is>
      </c>
      <c r="D16293" t="inlineStr">
        <is>
          <t>07.08.2026</t>
        </is>
      </c>
      <c r="E16293" t="inlineStr">
        <is>
          <t>United Arab Emirates</t>
        </is>
      </c>
    </row>
    <row r="16294">
      <c r="A16294" t="inlineStr">
        <is>
          <t>Adnoc Global Trading,  Al Maryah Island, Abu Dhabi, United Arab Emirates</t>
        </is>
      </c>
      <c r="B16294" t="inlineStr">
        <is>
          <t>Trader</t>
        </is>
      </c>
      <c r="C16294" t="inlineStr">
        <is>
          <t>RINA Services S.p.A., Genova, IT</t>
        </is>
      </c>
      <c r="D16294" t="inlineStr">
        <is>
          <t>07.08.2026</t>
        </is>
      </c>
      <c r="E16294" t="inlineStr">
        <is>
          <t>United Arab Emirates</t>
        </is>
      </c>
    </row>
    <row r="16295">
      <c r="A16295" t="inlineStr">
        <is>
          <t>Adnoc Global Trading,  Al Maryah Island, Abu Dhabi, United Arab Emirates</t>
        </is>
      </c>
      <c r="B16295" t="inlineStr">
        <is>
          <t>Trader</t>
        </is>
      </c>
      <c r="C16295" t="inlineStr">
        <is>
          <t>RINA Services S.p.A., Genova, IT</t>
        </is>
      </c>
      <c r="D16295" t="inlineStr">
        <is>
          <t>07.08.2026</t>
        </is>
      </c>
      <c r="E16295" t="inlineStr">
        <is>
          <t>United Arab Emirates</t>
        </is>
      </c>
    </row>
    <row r="16296">
      <c r="A16296" t="inlineStr">
        <is>
          <t>Abu Dhabi Oil Refining Company (TAKREER) - TA ADNOC REFINING,  Al Ruwais Industrial City, United Arab Emirates</t>
        </is>
      </c>
      <c r="B16296" t="inlineStr">
        <is>
          <t>Processing Unit</t>
        </is>
      </c>
      <c r="C16296" t="inlineStr">
        <is>
          <t>RINA Services S.p.A., Genova, IT</t>
        </is>
      </c>
      <c r="D16296" t="inlineStr">
        <is>
          <t>07.08.2026</t>
        </is>
      </c>
      <c r="E16296" t="inlineStr">
        <is>
          <t>United Arab Emirates</t>
        </is>
      </c>
    </row>
    <row r="16297">
      <c r="A16297" t="inlineStr">
        <is>
          <t>Abu Dhabi Oil Refining Company (TAKREER) - TA ADNOC REFINING,  Al Ruwais Industrial City, United Arab Emirates</t>
        </is>
      </c>
      <c r="B16297" t="inlineStr">
        <is>
          <t>Processing Unit</t>
        </is>
      </c>
      <c r="C16297" t="inlineStr">
        <is>
          <t>RINA Services S.p.A., Genova, IT</t>
        </is>
      </c>
      <c r="D16297" t="inlineStr">
        <is>
          <t>07.08.2026</t>
        </is>
      </c>
      <c r="E16297" t="inlineStr">
        <is>
          <t>United Arab Emirates</t>
        </is>
      </c>
    </row>
    <row r="16298">
      <c r="A16298" t="inlineStr">
        <is>
          <t>MJ Chemical Co.Ltd.,  Hwaseong-si, Gyeonggi-do, Korea, Republic of</t>
        </is>
      </c>
      <c r="B16298" t="inlineStr">
        <is>
          <t>Trader with Storage</t>
        </is>
      </c>
      <c r="C16298" t="inlineStr">
        <is>
          <t>Control Union Certifications Germany GmbH, Berlin, DE</t>
        </is>
      </c>
      <c r="D16298" t="inlineStr">
        <is>
          <t>07.08.2026</t>
        </is>
      </c>
      <c r="E16298" t="inlineStr">
        <is>
          <t>Republic of</t>
        </is>
      </c>
    </row>
    <row r="16299">
      <c r="A16299" t="inlineStr">
        <is>
          <t>Ladang Sabah Sdn. Bhd,  Sandakan, Malaysia</t>
        </is>
      </c>
      <c r="B16299" t="inlineStr">
        <is>
          <t>Point of Origin</t>
        </is>
      </c>
      <c r="C16299" t="inlineStr">
        <is>
          <t>PT Intertek Utama Services, Jakarta, ID</t>
        </is>
      </c>
      <c r="D16299" t="inlineStr">
        <is>
          <t>07.08.2026</t>
        </is>
      </c>
      <c r="E16299" t="inlineStr">
        <is>
          <t>Malaysia</t>
        </is>
      </c>
    </row>
    <row r="16300">
      <c r="A16300" t="inlineStr">
        <is>
          <t>PT Pertamina Patra Niaga,  South Jakarta, Indonesia</t>
        </is>
      </c>
      <c r="B16300" t="inlineStr">
        <is>
          <t>Trader with Storage, Trader</t>
        </is>
      </c>
      <c r="C16300" t="inlineStr">
        <is>
          <t>PT. Qualitas Sertifikasi Indonesia, Jakarta, ID</t>
        </is>
      </c>
      <c r="D16300" t="inlineStr">
        <is>
          <t>07.08.2026</t>
        </is>
      </c>
      <c r="E16300" t="inlineStr">
        <is>
          <t>Indonesia</t>
        </is>
      </c>
    </row>
    <row r="16301">
      <c r="A16301" t="inlineStr">
        <is>
          <t>Dong Guan Essentia Industries Co., Ltd,  Dongguan City, Guangdong Province, China</t>
        </is>
      </c>
      <c r="B16301" t="inlineStr">
        <is>
          <t>Processing Unit, Trader</t>
        </is>
      </c>
      <c r="C16301" t="inlineStr">
        <is>
          <t>RINA Services S.p.A., Genova, IT</t>
        </is>
      </c>
      <c r="D16301" t="inlineStr">
        <is>
          <t>07.08.2026</t>
        </is>
      </c>
      <c r="E16301" t="inlineStr">
        <is>
          <t>China</t>
        </is>
      </c>
    </row>
    <row r="16302">
      <c r="A16302" t="inlineStr">
        <is>
          <t>PT Pertamina Patra Niaga,  South Jakarta, Indonesia</t>
        </is>
      </c>
      <c r="B16302" t="inlineStr">
        <is>
          <t>Trader with Storage, Trader</t>
        </is>
      </c>
      <c r="C16302" t="inlineStr">
        <is>
          <t>PT. Qualitas Sertifikasi Indonesia, Jakarta, ID</t>
        </is>
      </c>
      <c r="D16302" t="inlineStr">
        <is>
          <t>07.08.2026</t>
        </is>
      </c>
      <c r="E16302" t="inlineStr">
        <is>
          <t>Indonesia</t>
        </is>
      </c>
    </row>
    <row r="16303">
      <c r="A16303" t="inlineStr">
        <is>
          <t>FIBERWEB France SAS,  Biesheim, France</t>
        </is>
      </c>
      <c r="B16303" t="inlineStr">
        <is>
          <t>Processing Unit</t>
        </is>
      </c>
      <c r="C16303" t="inlineStr">
        <is>
          <t>SGS Germany GmbH, Emstek, DE</t>
        </is>
      </c>
      <c r="D16303" t="inlineStr">
        <is>
          <t>07.08.2026</t>
        </is>
      </c>
      <c r="E16303" t="inlineStr">
        <is>
          <t>France</t>
        </is>
      </c>
    </row>
    <row r="16304">
      <c r="A16304" t="inlineStr">
        <is>
          <t>Naber Plastics,  Waalwijk, Netherlands</t>
        </is>
      </c>
      <c r="B16304" t="inlineStr">
        <is>
          <t>Processing Unit</t>
        </is>
      </c>
      <c r="C16304" t="inlineStr">
        <is>
          <t>SGS Germany GmbH, Emstek, DE</t>
        </is>
      </c>
      <c r="D16304" t="inlineStr">
        <is>
          <t>07.08.2026</t>
        </is>
      </c>
      <c r="E16304" t="inlineStr">
        <is>
          <t>Netherlands</t>
        </is>
      </c>
    </row>
    <row r="16305">
      <c r="A16305" t="inlineStr">
        <is>
          <t>Chengdu Jinchengjiang Resources Recycling Co, Ltd.,  Chengdu city, Sichuan Province, China</t>
        </is>
      </c>
      <c r="B16305" t="inlineStr">
        <is>
          <t>Trader</t>
        </is>
      </c>
      <c r="C16305" t="inlineStr">
        <is>
          <t>RINA Services S.p.A., Genova, IT</t>
        </is>
      </c>
      <c r="D16305" t="inlineStr">
        <is>
          <t>07.08.2026</t>
        </is>
      </c>
      <c r="E16305" t="inlineStr">
        <is>
          <t>China</t>
        </is>
      </c>
    </row>
    <row r="16306">
      <c r="A16306" t="inlineStr">
        <is>
          <t>AgroAurora S.A.C.,  Paita, Peru</t>
        </is>
      </c>
      <c r="B16306" t="inlineStr">
        <is>
          <t>First Gathering Point, Processing Unit</t>
        </is>
      </c>
      <c r="C16306" t="inlineStr">
        <is>
          <t>SCS Global Services, Emeryville, CA, US</t>
        </is>
      </c>
      <c r="D16306" t="inlineStr">
        <is>
          <t>07.08.2026</t>
        </is>
      </c>
      <c r="E16306" t="inlineStr">
        <is>
          <t>Peru</t>
        </is>
      </c>
    </row>
    <row r="16307">
      <c r="A16307" t="inlineStr">
        <is>
          <t>A5 TM Trade, s.r.o.,  Tesárske Mlyňany, Slovakia</t>
        </is>
      </c>
      <c r="B16307" t="inlineStr">
        <is>
          <t>First Gathering Point, Trader</t>
        </is>
      </c>
      <c r="C16307" t="inlineStr">
        <is>
          <t>Bureau Veritas Polska Sp. z o.o., Warsaw, PL</t>
        </is>
      </c>
      <c r="D16307" t="inlineStr">
        <is>
          <t>07.08.2026</t>
        </is>
      </c>
      <c r="E16307" t="inlineStr">
        <is>
          <t>Slovakia</t>
        </is>
      </c>
    </row>
    <row r="16308">
      <c r="A16308" t="inlineStr">
        <is>
          <t>COOPERATIVA AGRICOLA VICTORIA,  Victoria,  Jud. Iasi, Romania</t>
        </is>
      </c>
      <c r="B16308" t="inlineStr">
        <is>
          <t>First Gathering Point</t>
        </is>
      </c>
      <c r="C16308" t="inlineStr">
        <is>
          <t>BM Certification, Riga, LV</t>
        </is>
      </c>
      <c r="D16308" t="inlineStr">
        <is>
          <t>07.08.2026</t>
        </is>
      </c>
      <c r="E16308" t="inlineStr">
        <is>
          <t>Romania</t>
        </is>
      </c>
    </row>
    <row r="16309">
      <c r="A16309" t="inlineStr">
        <is>
          <t>Sinopec Hong Kong (Singapore) Pte Ltd,  HONG KONG, Hong Kong, SAR, China</t>
        </is>
      </c>
      <c r="B16309" t="inlineStr">
        <is>
          <t>Trader with Storage</t>
        </is>
      </c>
      <c r="C16309" t="inlineStr">
        <is>
          <t>SGS Germany GmbH, Emstek, DE</t>
        </is>
      </c>
      <c r="D16309" t="inlineStr">
        <is>
          <t>07.08.2026</t>
        </is>
      </c>
      <c r="E16309" t="inlineStr">
        <is>
          <t>China</t>
        </is>
      </c>
    </row>
    <row r="16310">
      <c r="A16310" t="inlineStr">
        <is>
          <t>S.C. MARIA GROUP SRL,  Chirnogi, Romania</t>
        </is>
      </c>
      <c r="B16310" t="inlineStr">
        <is>
          <t>Farm / Plantation</t>
        </is>
      </c>
      <c r="C16310" t="inlineStr">
        <is>
          <t>Control Union Certifications Germany GmbH, Berlin, DE</t>
        </is>
      </c>
      <c r="D16310" t="inlineStr">
        <is>
          <t>07.08.2026</t>
        </is>
      </c>
      <c r="E16310" t="inlineStr">
        <is>
          <t>Romania</t>
        </is>
      </c>
    </row>
    <row r="16311">
      <c r="A16311" t="inlineStr">
        <is>
          <t>Wenzhou Sunrise Industrial and Trading Co., Ltd.,  Wenzhou, Zhejiang, China</t>
        </is>
      </c>
      <c r="B16311" t="inlineStr">
        <is>
          <t>Processing Unit</t>
        </is>
      </c>
      <c r="C16311" t="inlineStr">
        <is>
          <t>SCS Global Services, Emeryville, CA, US</t>
        </is>
      </c>
      <c r="D16311" t="inlineStr">
        <is>
          <t>07.08.2026</t>
        </is>
      </c>
      <c r="E16311" t="inlineStr">
        <is>
          <t>China</t>
        </is>
      </c>
    </row>
    <row r="16312">
      <c r="A16312" t="inlineStr">
        <is>
          <t>Fujian O'SK Baby and Children Products Corp. Ltd.,  Zhangzhou, China</t>
        </is>
      </c>
      <c r="B16312" t="inlineStr">
        <is>
          <t>Processing Unit</t>
        </is>
      </c>
      <c r="C16312" t="inlineStr">
        <is>
          <t>Bureau Veritas Consumer Products Services, Inc., Littleton, MA, US</t>
        </is>
      </c>
      <c r="D16312" t="inlineStr">
        <is>
          <t>07.08.2026</t>
        </is>
      </c>
      <c r="E16312" t="inlineStr">
        <is>
          <t>China</t>
        </is>
      </c>
    </row>
    <row r="16313">
      <c r="A16313" t="inlineStr">
        <is>
          <t>Green Power Co.,  Zarqa, Jordan</t>
        </is>
      </c>
      <c r="B16313" t="inlineStr">
        <is>
          <t>Collecting Point</t>
        </is>
      </c>
      <c r="C16313" t="inlineStr">
        <is>
          <t>Business Quality Verification Testing and Certification Services P.C. (BQV), Marousi, Athens, GR</t>
        </is>
      </c>
      <c r="D16313" t="inlineStr">
        <is>
          <t>07.08.2026</t>
        </is>
      </c>
      <c r="E16313" t="inlineStr">
        <is>
          <t>Jordan</t>
        </is>
      </c>
    </row>
    <row r="16314">
      <c r="A16314" t="inlineStr">
        <is>
          <t>PANAC INDUSTRIES, INC.,  Minamiashigara-shi, Japan</t>
        </is>
      </c>
      <c r="B16314" t="inlineStr">
        <is>
          <t>Processing Unit</t>
        </is>
      </c>
      <c r="C16314" t="inlineStr">
        <is>
          <t>Control Union Certifications Germany GmbH, Berlin, DE</t>
        </is>
      </c>
      <c r="D16314" t="inlineStr">
        <is>
          <t>07.08.2026</t>
        </is>
      </c>
      <c r="E16314" t="inlineStr">
        <is>
          <t>Japan</t>
        </is>
      </c>
    </row>
    <row r="16315">
      <c r="A16315" t="inlineStr">
        <is>
          <t>Achi Jaya Plantations Sdn. Bhd.,  Chaah, Malaysia</t>
        </is>
      </c>
      <c r="B16315" t="inlineStr">
        <is>
          <t>First Gathering Point, Processing Unit</t>
        </is>
      </c>
      <c r="C16315" t="inlineStr">
        <is>
          <t>ASG Cert GmbH, Munich, DE</t>
        </is>
      </c>
      <c r="D16315" t="inlineStr">
        <is>
          <t>07.08.2026</t>
        </is>
      </c>
      <c r="E16315" t="inlineStr">
        <is>
          <t>Malaysia</t>
        </is>
      </c>
    </row>
    <row r="16316">
      <c r="A16316" t="inlineStr">
        <is>
          <t>Achi Jaya Plantations Sdn. Bhd.,  Chaah, Malaysia</t>
        </is>
      </c>
      <c r="B16316" t="inlineStr">
        <is>
          <t>First Gathering Point, Processing Unit</t>
        </is>
      </c>
      <c r="C16316" t="inlineStr">
        <is>
          <t>ASG Cert GmbH, Munich, DE</t>
        </is>
      </c>
      <c r="D16316" t="inlineStr">
        <is>
          <t>07.08.2026</t>
        </is>
      </c>
      <c r="E16316" t="inlineStr">
        <is>
          <t>Malaysia</t>
        </is>
      </c>
    </row>
    <row r="16317">
      <c r="A16317" t="inlineStr">
        <is>
          <t>UAB Šiaurės grūdai,  Talačkoniai, Pasvalio r. sav, Lithuania</t>
        </is>
      </c>
      <c r="B16317" t="inlineStr">
        <is>
          <t>First Gathering Point, Trader with Storage</t>
        </is>
      </c>
      <c r="C16317" t="inlineStr">
        <is>
          <t>Bureau Veritas Polska Sp. z o.o., Warsaw, PL</t>
        </is>
      </c>
      <c r="D16317" t="inlineStr">
        <is>
          <t>07.08.2026</t>
        </is>
      </c>
      <c r="E16317" t="inlineStr">
        <is>
          <t>Lithuania</t>
        </is>
      </c>
    </row>
    <row r="16318">
      <c r="A16318" t="inlineStr">
        <is>
          <t>Luka Koper d.d.,  Koper, Slovenia</t>
        </is>
      </c>
      <c r="B16318" t="inlineStr">
        <is>
          <t>Warehouse</t>
        </is>
      </c>
      <c r="C16318" t="inlineStr">
        <is>
          <t>Bureau Veritas Polska Sp. z o.o., Warsaw, PL</t>
        </is>
      </c>
      <c r="D16318" t="inlineStr">
        <is>
          <t>07.08.2026</t>
        </is>
      </c>
      <c r="E16318" t="inlineStr">
        <is>
          <t>Slovenia</t>
        </is>
      </c>
    </row>
    <row r="16319">
      <c r="A16319" t="inlineStr">
        <is>
          <t>Sanner Pharmaceutical&amp;Medical Packaging Materials (kunshan) Co., Ltd,  Kunshan Jiangsu Province, China</t>
        </is>
      </c>
      <c r="B16319" t="inlineStr">
        <is>
          <t>Processing Unit</t>
        </is>
      </c>
      <c r="C16319" t="inlineStr">
        <is>
          <t>SGS Germany GmbH, Emstek, DE</t>
        </is>
      </c>
      <c r="D16319" t="inlineStr">
        <is>
          <t>07.08.2026</t>
        </is>
      </c>
      <c r="E16319" t="inlineStr">
        <is>
          <t>China</t>
        </is>
      </c>
    </row>
    <row r="16320">
      <c r="A16320" t="inlineStr">
        <is>
          <t>MOLTECH SINGAPORE PTE LTD,  KEPPEL DISTRIPARK, Singapore</t>
        </is>
      </c>
      <c r="B16320" t="inlineStr">
        <is>
          <t>Trader with Storage</t>
        </is>
      </c>
      <c r="C16320" t="inlineStr">
        <is>
          <t>PT Mutuagung Lestari, Depok, ID</t>
        </is>
      </c>
      <c r="D16320" t="inlineStr">
        <is>
          <t>07.08.2026</t>
        </is>
      </c>
      <c r="E16320" t="inlineStr">
        <is>
          <t>Singapore</t>
        </is>
      </c>
    </row>
    <row r="16321">
      <c r="A16321" t="inlineStr">
        <is>
          <t>ENEOS Corporation,  Miyagi, Japan</t>
        </is>
      </c>
      <c r="B16321" t="inlineStr">
        <is>
          <t>Processing Unit</t>
        </is>
      </c>
      <c r="C16321" t="inlineStr">
        <is>
          <t>Control Union Certifications Germany GmbH, Berlin, DE</t>
        </is>
      </c>
      <c r="D16321" t="inlineStr">
        <is>
          <t>07.08.2026</t>
        </is>
      </c>
      <c r="E16321" t="inlineStr">
        <is>
          <t>Japan</t>
        </is>
      </c>
    </row>
    <row r="16322">
      <c r="A16322" t="inlineStr">
        <is>
          <t>Grain from Ukraine Sp. z o.o.,  Lutsk, Ukraine</t>
        </is>
      </c>
      <c r="B16322" t="inlineStr">
        <is>
          <t>First Gathering Point, Trader with Storage</t>
        </is>
      </c>
      <c r="C16322" t="inlineStr">
        <is>
          <t>United Registrar of Systems Polska Sp. z o.o., Wrocław, PL</t>
        </is>
      </c>
      <c r="D16322" t="inlineStr">
        <is>
          <t>07.08.2026</t>
        </is>
      </c>
      <c r="E16322" t="inlineStr">
        <is>
          <t>Ukraine</t>
        </is>
      </c>
    </row>
    <row r="16323">
      <c r="A16323" t="inlineStr">
        <is>
          <t>Ladang Petri Tenggara (Kilang Sawit Sg Kachur),  Bandar Tenggara, Malaysia</t>
        </is>
      </c>
      <c r="B16323" t="inlineStr">
        <is>
          <t>Point of Origin</t>
        </is>
      </c>
      <c r="C16323" t="inlineStr">
        <is>
          <t>Trans Certification and Inspection Sdn Bhd, Kuantan, MY</t>
        </is>
      </c>
      <c r="D16323" t="inlineStr">
        <is>
          <t>07.08.2026</t>
        </is>
      </c>
      <c r="E16323" t="inlineStr">
        <is>
          <t>Malaysia</t>
        </is>
      </c>
    </row>
    <row r="16324">
      <c r="A16324" t="inlineStr">
        <is>
          <t>NS Millennium Vietnam Company Limited,  Bau Bang District, Binh Duong,</t>
        </is>
      </c>
      <c r="B16324" t="inlineStr">
        <is>
          <t>Processing Unit</t>
        </is>
      </c>
      <c r="C16324" t="inlineStr">
        <is>
          <t>Trans Certification and Inspection Sdn Bhd, Kuantan, MY</t>
        </is>
      </c>
      <c r="D16324" t="inlineStr">
        <is>
          <t>07.08.2026</t>
        </is>
      </c>
      <c r="E16324" t="inlineStr"/>
    </row>
    <row r="16325">
      <c r="A16325" t="inlineStr">
        <is>
          <t>Laizhou Tongji Chemical Co.,Ltd,  Laizhou, China</t>
        </is>
      </c>
      <c r="B16325" t="inlineStr">
        <is>
          <t>Processing Unit, Collecting Point</t>
        </is>
      </c>
      <c r="C16325" t="inlineStr">
        <is>
          <t>PT Intertek Utama Services, Jakarta, ID</t>
        </is>
      </c>
      <c r="D16325" t="inlineStr">
        <is>
          <t>07.08.2026</t>
        </is>
      </c>
      <c r="E16325" t="inlineStr">
        <is>
          <t>China</t>
        </is>
      </c>
    </row>
    <row r="16326">
      <c r="A16326" t="inlineStr">
        <is>
          <t>FGV PALM INDUSTRIES,  MUKIM TRIANG, BERA, Malaysia</t>
        </is>
      </c>
      <c r="B16326" t="inlineStr">
        <is>
          <t>Point of Origin</t>
        </is>
      </c>
      <c r="C16326" t="inlineStr">
        <is>
          <t>Trans Certification and Inspection Sdn Bhd, Kuantan, MY</t>
        </is>
      </c>
      <c r="D16326" t="inlineStr">
        <is>
          <t>07.08.2026</t>
        </is>
      </c>
      <c r="E16326" t="inlineStr">
        <is>
          <t>Malaysia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2026-08-07T11:05:08Z</dcterms:created>
  <dcterms:modified xsi:type="dcterms:W3CDTF">2026-08-07T11:05:09Z</dcterms:modified>
</cp:coreProperties>
</file>